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chie\Github\COVID-19\Analysis\"/>
    </mc:Choice>
  </mc:AlternateContent>
  <xr:revisionPtr revIDLastSave="0" documentId="13_ncr:1_{30D7F749-438F-4A0E-B59D-AD564F9975EF}" xr6:coauthVersionLast="45" xr6:coauthVersionMax="45" xr10:uidLastSave="{00000000-0000-0000-0000-000000000000}"/>
  <bookViews>
    <workbookView xWindow="-108" yWindow="-108" windowWidth="23256" windowHeight="13176" xr2:uid="{00000000-000D-0000-FFFF-FFFF00000000}"/>
  </bookViews>
  <sheets>
    <sheet name="Projections" sheetId="15" r:id="rId1"/>
    <sheet name="Country_Rates" sheetId="20" r:id="rId2"/>
    <sheet name="Country_Comparison" sheetId="12" r:id="rId3"/>
    <sheet name="Projections_Data" sheetId="13" r:id="rId4"/>
    <sheet name="Days_Since_100" sheetId="8" r:id="rId5"/>
    <sheet name="Deaths_since_10" sheetId="23" r:id="rId6"/>
    <sheet name="Country_Data" sheetId="14" r:id="rId7"/>
    <sheet name="CumulativeConfirmed" sheetId="3" state="hidden" r:id="rId8"/>
    <sheet name="CumulativeDead" sheetId="19" state="hidden" r:id="rId9"/>
    <sheet name="RecoveredRaw" sheetId="17" state="hidden" r:id="rId10"/>
    <sheet name="DeadRaw" sheetId="16" state="hidden" r:id="rId11"/>
    <sheet name="ConfirmedRaw" sheetId="2" state="hidden" r:id="rId12"/>
  </sheets>
  <definedNames>
    <definedName name="_xlnm._FilterDatabase" localSheetId="1" hidden="1">Country_Rates!$C$3:$M$3</definedName>
    <definedName name="_xlnm._FilterDatabase" localSheetId="7" hidden="1">CumulativeConfirmed!$B$1:$BB$1</definedName>
    <definedName name="_xlnm._FilterDatabase" localSheetId="4" hidden="1">Days_Since_100!$B$1:$CU$1</definedName>
    <definedName name="_xlnm._FilterDatabase" localSheetId="5" hidden="1">Deaths_since_10!$A$1:$KU$1</definedName>
    <definedName name="_xlnm._FilterDatabase" localSheetId="0" hidden="1">Projections!$W$3:$AC$5</definedName>
    <definedName name="_xlnm._FilterDatabase" localSheetId="3" hidden="1">Country_Rates!$C$3:$M$3</definedName>
    <definedName name="Choice_range">Projections!$AE$25</definedName>
    <definedName name="country">Projections!$C$7</definedName>
    <definedName name="country_by_day_jpg">Country_Comparison!$B$2:$P$29</definedName>
    <definedName name="country_jpg">Country_Rates!$A$1:$I$68</definedName>
    <definedName name="criticalcare">Projections!$C$34</definedName>
    <definedName name="death_by_day_jpg">Country_Comparison!$B$31:$P$56</definedName>
    <definedName name="graph_range">Country_Comparison!$X$15</definedName>
    <definedName name="image_jpg">Projections!$A$1:$U$53</definedName>
    <definedName name="image2_jpg">Projections!$A$1:$U$28</definedName>
    <definedName name="Show">Country_Rates!$Q$14</definedName>
    <definedName name="xMax">Country_Comparison!$S$8</definedName>
    <definedName name="xMax2">Projections_Data!$C$30</definedName>
    <definedName name="xMax3">Projections_Data!$D$30</definedName>
    <definedName name="xMax4">Country_Comparison!$T$8</definedName>
    <definedName name="xMin">Country_Comparison!$S$7</definedName>
    <definedName name="xMin2">Projections_Data!$C$29</definedName>
    <definedName name="xMin3">Projections_Data!$D$29</definedName>
    <definedName name="xMin4">Country_Comparison!$T$7</definedName>
    <definedName name="yMax">Country_Comparison!$S$5</definedName>
    <definedName name="yMax2">Projections_Data!$C$27</definedName>
    <definedName name="yMax3">Projections_Data!$D$27</definedName>
    <definedName name="yMax4">Country_Comparison!$T$5</definedName>
    <definedName name="yMin">Country_Comparison!$S$4</definedName>
    <definedName name="yMin2">Projections_Data!$C$26</definedName>
    <definedName name="yMin3">Projections_Data!$D$26</definedName>
    <definedName name="yMin4">Country_Comparison!$T$4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6" i="23" l="1" a="1"/>
  <c r="B6" i="23" s="1"/>
  <c r="C6" i="23"/>
  <c r="D6" i="23"/>
  <c r="B7" i="23" a="1"/>
  <c r="B7" i="23" s="1"/>
  <c r="C7" i="23"/>
  <c r="D7" i="23"/>
  <c r="B8" i="23" a="1"/>
  <c r="B8" i="23" s="1"/>
  <c r="C8" i="23"/>
  <c r="D8" i="23"/>
  <c r="B9" i="23" a="1"/>
  <c r="B9" i="23" s="1"/>
  <c r="C9" i="23"/>
  <c r="D9" i="23"/>
  <c r="B10" i="23" a="1"/>
  <c r="B10" i="23" s="1"/>
  <c r="C10" i="23"/>
  <c r="D10" i="23"/>
  <c r="B11" i="23" a="1"/>
  <c r="B11" i="23" s="1"/>
  <c r="C11" i="23"/>
  <c r="D11" i="23"/>
  <c r="B12" i="23" a="1"/>
  <c r="B12" i="23" s="1"/>
  <c r="C12" i="23"/>
  <c r="D12" i="23"/>
  <c r="B13" i="23" a="1"/>
  <c r="B13" i="23" s="1"/>
  <c r="C13" i="23"/>
  <c r="D13" i="23"/>
  <c r="B14" i="23" a="1"/>
  <c r="B14" i="23" s="1"/>
  <c r="C14" i="23"/>
  <c r="D14" i="23"/>
  <c r="B15" i="23" a="1"/>
  <c r="B15" i="23" s="1"/>
  <c r="C15" i="23"/>
  <c r="D15" i="23"/>
  <c r="B16" i="23" a="1"/>
  <c r="B16" i="23" s="1"/>
  <c r="C16" i="23"/>
  <c r="D16" i="23"/>
  <c r="B17" i="23" a="1"/>
  <c r="B17" i="23" s="1"/>
  <c r="C17" i="23"/>
  <c r="D17" i="23"/>
  <c r="B18" i="23" a="1"/>
  <c r="B18" i="23" s="1"/>
  <c r="C18" i="23"/>
  <c r="D18" i="23"/>
  <c r="B19" i="23" a="1"/>
  <c r="B19" i="23" s="1"/>
  <c r="C19" i="23"/>
  <c r="D19" i="23"/>
  <c r="B20" i="23" a="1"/>
  <c r="B20" i="23" s="1"/>
  <c r="C20" i="23"/>
  <c r="D20" i="23"/>
  <c r="B21" i="23" a="1"/>
  <c r="B21" i="23" s="1"/>
  <c r="C21" i="23"/>
  <c r="D21" i="23"/>
  <c r="B22" i="23" a="1"/>
  <c r="B22" i="23" s="1"/>
  <c r="C22" i="23"/>
  <c r="D22" i="23"/>
  <c r="B23" i="23" a="1"/>
  <c r="B23" i="23" s="1"/>
  <c r="C23" i="23"/>
  <c r="D23" i="23"/>
  <c r="B24" i="23" a="1"/>
  <c r="B24" i="23" s="1"/>
  <c r="C24" i="23"/>
  <c r="D24" i="23"/>
  <c r="B25" i="23" a="1"/>
  <c r="B25" i="23" s="1"/>
  <c r="C25" i="23"/>
  <c r="D25" i="23"/>
  <c r="B26" i="23" a="1"/>
  <c r="B26" i="23" s="1"/>
  <c r="C26" i="23"/>
  <c r="D26" i="23"/>
  <c r="C27" i="23"/>
  <c r="B27" i="23" s="1" a="1"/>
  <c r="B27" i="23" s="1"/>
  <c r="D27" i="23"/>
  <c r="C28" i="23"/>
  <c r="B28" i="23" s="1" a="1"/>
  <c r="B28" i="23" s="1"/>
  <c r="D28" i="23"/>
  <c r="B29" i="23" a="1"/>
  <c r="B29" i="23" s="1"/>
  <c r="C29" i="23"/>
  <c r="D29" i="23"/>
  <c r="C30" i="23"/>
  <c r="B30" i="23" s="1" a="1"/>
  <c r="B30" i="23" s="1"/>
  <c r="D30" i="23"/>
  <c r="B31" i="23" a="1"/>
  <c r="B31" i="23" s="1"/>
  <c r="C31" i="23"/>
  <c r="D31" i="23"/>
  <c r="B32" i="23" a="1"/>
  <c r="B32" i="23" s="1"/>
  <c r="C32" i="23"/>
  <c r="D32" i="23"/>
  <c r="C33" i="23"/>
  <c r="B33" i="23" s="1" a="1"/>
  <c r="B33" i="23" s="1"/>
  <c r="D33" i="23"/>
  <c r="B34" i="23" a="1"/>
  <c r="B34" i="23" s="1"/>
  <c r="C34" i="23"/>
  <c r="D34" i="23"/>
  <c r="C35" i="23"/>
  <c r="B35" i="23" s="1" a="1"/>
  <c r="B35" i="23" s="1"/>
  <c r="D35" i="23"/>
  <c r="B36" i="23" a="1"/>
  <c r="B36" i="23" s="1"/>
  <c r="C36" i="23"/>
  <c r="D36" i="23"/>
  <c r="B37" i="23" a="1"/>
  <c r="B37" i="23" s="1"/>
  <c r="C37" i="23"/>
  <c r="D37" i="23"/>
  <c r="C38" i="23"/>
  <c r="B38" i="23" s="1" a="1"/>
  <c r="B38" i="23" s="1"/>
  <c r="D38" i="23"/>
  <c r="B39" i="23" a="1"/>
  <c r="B39" i="23" s="1"/>
  <c r="C39" i="23"/>
  <c r="D39" i="23"/>
  <c r="B40" i="23" a="1"/>
  <c r="B40" i="23" s="1"/>
  <c r="C40" i="23"/>
  <c r="D40" i="23"/>
  <c r="C41" i="23"/>
  <c r="B41" i="23" s="1" a="1"/>
  <c r="B41" i="23" s="1"/>
  <c r="D41" i="23"/>
  <c r="B42" i="23" a="1"/>
  <c r="B42" i="23" s="1"/>
  <c r="C42" i="23"/>
  <c r="D42" i="23"/>
  <c r="C43" i="23"/>
  <c r="B43" i="23" s="1" a="1"/>
  <c r="B43" i="23" s="1"/>
  <c r="D43" i="23"/>
  <c r="B44" i="23" a="1"/>
  <c r="B44" i="23" s="1"/>
  <c r="C44" i="23"/>
  <c r="D44" i="23"/>
  <c r="B45" i="23" a="1"/>
  <c r="B45" i="23" s="1"/>
  <c r="C45" i="23"/>
  <c r="D45" i="23"/>
  <c r="C46" i="23"/>
  <c r="B46" i="23" s="1" a="1"/>
  <c r="B46" i="23" s="1"/>
  <c r="D46" i="23"/>
  <c r="B47" i="23" a="1"/>
  <c r="B47" i="23" s="1"/>
  <c r="C47" i="23"/>
  <c r="D47" i="23"/>
  <c r="B48" i="23" a="1"/>
  <c r="B48" i="23" s="1"/>
  <c r="C48" i="23"/>
  <c r="D48" i="23"/>
  <c r="C49" i="23"/>
  <c r="B49" i="23" s="1" a="1"/>
  <c r="B49" i="23" s="1"/>
  <c r="D49" i="23"/>
  <c r="B50" i="23" a="1"/>
  <c r="B50" i="23" s="1"/>
  <c r="C50" i="23"/>
  <c r="D50" i="23"/>
  <c r="C51" i="23"/>
  <c r="B51" i="23" s="1" a="1"/>
  <c r="B51" i="23" s="1"/>
  <c r="D51" i="23"/>
  <c r="B52" i="23" a="1"/>
  <c r="B52" i="23" s="1"/>
  <c r="C52" i="23"/>
  <c r="D52" i="23"/>
  <c r="B53" i="23" a="1"/>
  <c r="B53" i="23" s="1"/>
  <c r="C53" i="23"/>
  <c r="D53" i="23"/>
  <c r="C54" i="23"/>
  <c r="B54" i="23" s="1" a="1"/>
  <c r="B54" i="23" s="1"/>
  <c r="D54" i="23"/>
  <c r="B55" i="23" a="1"/>
  <c r="B55" i="23" s="1"/>
  <c r="C55" i="23"/>
  <c r="D55" i="23"/>
  <c r="B56" i="23" a="1"/>
  <c r="B56" i="23" s="1"/>
  <c r="C56" i="23"/>
  <c r="D56" i="23"/>
  <c r="C57" i="23"/>
  <c r="B57" i="23" s="1" a="1"/>
  <c r="B57" i="23" s="1"/>
  <c r="D57" i="23"/>
  <c r="B58" i="23" a="1"/>
  <c r="B58" i="23" s="1"/>
  <c r="C58" i="23"/>
  <c r="D58" i="23"/>
  <c r="C59" i="23"/>
  <c r="B59" i="23" s="1" a="1"/>
  <c r="B59" i="23" s="1"/>
  <c r="D59" i="23"/>
  <c r="B60" i="23" a="1"/>
  <c r="B60" i="23" s="1"/>
  <c r="C60" i="23"/>
  <c r="D60" i="23"/>
  <c r="B61" i="23" a="1"/>
  <c r="B61" i="23" s="1"/>
  <c r="C61" i="23"/>
  <c r="D61" i="23"/>
  <c r="C62" i="23"/>
  <c r="B62" i="23" s="1" a="1"/>
  <c r="B62" i="23" s="1"/>
  <c r="D62" i="23"/>
  <c r="B63" i="23" a="1"/>
  <c r="B63" i="23" s="1"/>
  <c r="C63" i="23"/>
  <c r="D63" i="23"/>
  <c r="B64" i="23" a="1"/>
  <c r="B64" i="23" s="1"/>
  <c r="C64" i="23"/>
  <c r="D64" i="23"/>
  <c r="C65" i="23"/>
  <c r="B65" i="23" s="1" a="1"/>
  <c r="B65" i="23" s="1"/>
  <c r="D65" i="23"/>
  <c r="B66" i="23" a="1"/>
  <c r="B66" i="23" s="1"/>
  <c r="C66" i="23"/>
  <c r="D66" i="23"/>
  <c r="E66" i="23"/>
  <c r="F66" i="23"/>
  <c r="G66" i="23"/>
  <c r="C67" i="23"/>
  <c r="B67" i="23" s="1" a="1"/>
  <c r="B67" i="23" s="1"/>
  <c r="D67" i="23"/>
  <c r="E67" i="23"/>
  <c r="F67" i="23"/>
  <c r="G67" i="23"/>
  <c r="B68" i="23" a="1"/>
  <c r="B68" i="23" s="1"/>
  <c r="C68" i="23"/>
  <c r="D68" i="23"/>
  <c r="E68" i="23"/>
  <c r="F68" i="23"/>
  <c r="G68" i="23"/>
  <c r="B69" i="23" a="1"/>
  <c r="B69" i="23" s="1"/>
  <c r="C69" i="23"/>
  <c r="D69" i="23"/>
  <c r="E69" i="23"/>
  <c r="F69" i="23"/>
  <c r="G69" i="23"/>
  <c r="C70" i="23"/>
  <c r="B70" i="23" s="1" a="1"/>
  <c r="B70" i="23" s="1"/>
  <c r="D70" i="23"/>
  <c r="E70" i="23"/>
  <c r="F70" i="23"/>
  <c r="G70" i="23"/>
  <c r="B71" i="23" a="1"/>
  <c r="B71" i="23" s="1"/>
  <c r="C71" i="23"/>
  <c r="D71" i="23"/>
  <c r="E71" i="23"/>
  <c r="F71" i="23"/>
  <c r="G71" i="23"/>
  <c r="B72" i="23" a="1"/>
  <c r="B72" i="23" s="1"/>
  <c r="C72" i="23"/>
  <c r="D72" i="23"/>
  <c r="E72" i="23"/>
  <c r="F72" i="23"/>
  <c r="G72" i="23"/>
  <c r="C73" i="23"/>
  <c r="B73" i="23" s="1" a="1"/>
  <c r="B73" i="23" s="1"/>
  <c r="D73" i="23"/>
  <c r="E73" i="23"/>
  <c r="F73" i="23"/>
  <c r="G73" i="23"/>
  <c r="B74" i="23" a="1"/>
  <c r="B74" i="23" s="1"/>
  <c r="C74" i="23"/>
  <c r="D74" i="23"/>
  <c r="E74" i="23"/>
  <c r="F74" i="23"/>
  <c r="G74" i="23"/>
  <c r="C75" i="23"/>
  <c r="B75" i="23" s="1" a="1"/>
  <c r="B75" i="23" s="1"/>
  <c r="D75" i="23"/>
  <c r="E75" i="23"/>
  <c r="F75" i="23"/>
  <c r="G75" i="23"/>
  <c r="B76" i="23" a="1"/>
  <c r="B76" i="23" s="1"/>
  <c r="C76" i="23"/>
  <c r="D76" i="23"/>
  <c r="E76" i="23"/>
  <c r="F76" i="23"/>
  <c r="G76" i="23"/>
  <c r="B77" i="23" a="1"/>
  <c r="B77" i="23" s="1"/>
  <c r="C77" i="23"/>
  <c r="D77" i="23"/>
  <c r="E77" i="23"/>
  <c r="F77" i="23"/>
  <c r="G77" i="23"/>
  <c r="C78" i="23"/>
  <c r="B78" i="23" s="1" a="1"/>
  <c r="B78" i="23" s="1"/>
  <c r="D78" i="23"/>
  <c r="E78" i="23"/>
  <c r="F78" i="23"/>
  <c r="G78" i="23"/>
  <c r="B79" i="23" a="1"/>
  <c r="B79" i="23" s="1"/>
  <c r="C79" i="23"/>
  <c r="D79" i="23"/>
  <c r="E79" i="23"/>
  <c r="F79" i="23"/>
  <c r="G79" i="23"/>
  <c r="B80" i="23" a="1"/>
  <c r="B80" i="23" s="1"/>
  <c r="C80" i="23"/>
  <c r="D80" i="23"/>
  <c r="E80" i="23"/>
  <c r="F80" i="23"/>
  <c r="G80" i="23"/>
  <c r="C81" i="23"/>
  <c r="B81" i="23" s="1" a="1"/>
  <c r="B81" i="23" s="1"/>
  <c r="D81" i="23"/>
  <c r="E81" i="23"/>
  <c r="F81" i="23"/>
  <c r="G81" i="23"/>
  <c r="B82" i="23" a="1"/>
  <c r="B82" i="23" s="1"/>
  <c r="C82" i="23"/>
  <c r="D82" i="23"/>
  <c r="E82" i="23"/>
  <c r="F82" i="23"/>
  <c r="G82" i="23"/>
  <c r="C83" i="23"/>
  <c r="B83" i="23" s="1" a="1"/>
  <c r="B83" i="23" s="1"/>
  <c r="D83" i="23"/>
  <c r="E83" i="23"/>
  <c r="F83" i="23"/>
  <c r="G83" i="23"/>
  <c r="B84" i="23" a="1"/>
  <c r="B84" i="23" s="1"/>
  <c r="C84" i="23"/>
  <c r="D84" i="23"/>
  <c r="E84" i="23"/>
  <c r="F84" i="23"/>
  <c r="G84" i="23"/>
  <c r="B85" i="23" a="1"/>
  <c r="B85" i="23" s="1"/>
  <c r="C85" i="23"/>
  <c r="D85" i="23"/>
  <c r="E85" i="23"/>
  <c r="F85" i="23"/>
  <c r="G85" i="23"/>
  <c r="C86" i="23"/>
  <c r="B86" i="23" s="1" a="1"/>
  <c r="B86" i="23" s="1"/>
  <c r="D86" i="23"/>
  <c r="E86" i="23"/>
  <c r="F86" i="23"/>
  <c r="G86" i="23"/>
  <c r="B87" i="23" a="1"/>
  <c r="B87" i="23" s="1"/>
  <c r="C87" i="23"/>
  <c r="D87" i="23"/>
  <c r="E87" i="23"/>
  <c r="F87" i="23"/>
  <c r="G87" i="23"/>
  <c r="B88" i="23" a="1"/>
  <c r="B88" i="23" s="1"/>
  <c r="C88" i="23"/>
  <c r="D88" i="23"/>
  <c r="E88" i="23"/>
  <c r="F88" i="23"/>
  <c r="G88" i="23"/>
  <c r="C89" i="23"/>
  <c r="B89" i="23" s="1" a="1"/>
  <c r="B89" i="23" s="1"/>
  <c r="D89" i="23"/>
  <c r="E89" i="23"/>
  <c r="F89" i="23"/>
  <c r="G89" i="23"/>
  <c r="B90" i="23" a="1"/>
  <c r="B90" i="23" s="1"/>
  <c r="C90" i="23"/>
  <c r="D90" i="23"/>
  <c r="E90" i="23"/>
  <c r="F90" i="23"/>
  <c r="G90" i="23"/>
  <c r="B91" i="23" a="1"/>
  <c r="B91" i="23"/>
  <c r="C91" i="23"/>
  <c r="D91" i="23"/>
  <c r="E91" i="23"/>
  <c r="F91" i="23"/>
  <c r="G91" i="23"/>
  <c r="B92" i="23" a="1"/>
  <c r="B92" i="23"/>
  <c r="C92" i="23"/>
  <c r="D92" i="23"/>
  <c r="E92" i="23"/>
  <c r="F92" i="23"/>
  <c r="G92" i="23"/>
  <c r="B93" i="23" a="1"/>
  <c r="B93" i="23"/>
  <c r="C93" i="23"/>
  <c r="D93" i="23"/>
  <c r="E93" i="23"/>
  <c r="F93" i="23"/>
  <c r="G93" i="23"/>
  <c r="B94" i="23" a="1"/>
  <c r="B94" i="23"/>
  <c r="C94" i="23"/>
  <c r="D94" i="23"/>
  <c r="E94" i="23"/>
  <c r="F94" i="23"/>
  <c r="G94" i="23"/>
  <c r="B95" i="23" a="1"/>
  <c r="B95" i="23"/>
  <c r="C95" i="23"/>
  <c r="D95" i="23"/>
  <c r="E95" i="23"/>
  <c r="F95" i="23"/>
  <c r="G95" i="23"/>
  <c r="B96" i="23" a="1"/>
  <c r="B96" i="23"/>
  <c r="C96" i="23"/>
  <c r="D96" i="23"/>
  <c r="E96" i="23"/>
  <c r="F96" i="23"/>
  <c r="G96" i="23"/>
  <c r="B97" i="23" a="1"/>
  <c r="B97" i="23"/>
  <c r="C97" i="23"/>
  <c r="D97" i="23"/>
  <c r="E97" i="23"/>
  <c r="F97" i="23"/>
  <c r="G97" i="23"/>
  <c r="B98" i="23" a="1"/>
  <c r="B98" i="23"/>
  <c r="C98" i="23"/>
  <c r="D98" i="23"/>
  <c r="E98" i="23"/>
  <c r="F98" i="23"/>
  <c r="G98" i="23"/>
  <c r="B99" i="23" a="1"/>
  <c r="B99" i="23"/>
  <c r="C99" i="23"/>
  <c r="D99" i="23"/>
  <c r="E99" i="23"/>
  <c r="F99" i="23"/>
  <c r="G99" i="23"/>
  <c r="B100" i="23" a="1"/>
  <c r="B100" i="23"/>
  <c r="C100" i="23"/>
  <c r="D100" i="23"/>
  <c r="E100" i="23"/>
  <c r="F100" i="23"/>
  <c r="G100" i="23"/>
  <c r="B101" i="23" a="1"/>
  <c r="B101" i="23"/>
  <c r="C101" i="23"/>
  <c r="D101" i="23"/>
  <c r="E101" i="23"/>
  <c r="F101" i="23"/>
  <c r="G101" i="23"/>
  <c r="B102" i="23" a="1"/>
  <c r="B102" i="23"/>
  <c r="C102" i="23"/>
  <c r="D102" i="23"/>
  <c r="E102" i="23"/>
  <c r="F102" i="23"/>
  <c r="G102" i="23"/>
  <c r="B103" i="23" a="1"/>
  <c r="B103" i="23"/>
  <c r="C103" i="23"/>
  <c r="D103" i="23"/>
  <c r="E103" i="23"/>
  <c r="F103" i="23"/>
  <c r="G103" i="23"/>
  <c r="B104" i="23" a="1"/>
  <c r="B104" i="23"/>
  <c r="C104" i="23"/>
  <c r="D104" i="23"/>
  <c r="E104" i="23"/>
  <c r="F104" i="23"/>
  <c r="G104" i="23"/>
  <c r="B105" i="23" a="1"/>
  <c r="B105" i="23"/>
  <c r="C105" i="23"/>
  <c r="D105" i="23"/>
  <c r="E105" i="23"/>
  <c r="F105" i="23"/>
  <c r="G105" i="23"/>
  <c r="B106" i="23" a="1"/>
  <c r="B106" i="23"/>
  <c r="C106" i="23"/>
  <c r="D106" i="23"/>
  <c r="E106" i="23"/>
  <c r="F106" i="23"/>
  <c r="G106" i="23"/>
  <c r="B107" i="23" a="1"/>
  <c r="B107" i="23"/>
  <c r="C107" i="23"/>
  <c r="D107" i="23"/>
  <c r="E107" i="23"/>
  <c r="F107" i="23"/>
  <c r="G107" i="23"/>
  <c r="B108" i="23" a="1"/>
  <c r="B108" i="23"/>
  <c r="C108" i="23"/>
  <c r="D108" i="23"/>
  <c r="E108" i="23"/>
  <c r="F108" i="23"/>
  <c r="G108" i="23"/>
  <c r="B109" i="23" a="1"/>
  <c r="B109" i="23"/>
  <c r="C109" i="23"/>
  <c r="D109" i="23"/>
  <c r="E109" i="23"/>
  <c r="F109" i="23"/>
  <c r="G109" i="23"/>
  <c r="B110" i="23" a="1"/>
  <c r="B110" i="23"/>
  <c r="C110" i="23"/>
  <c r="D110" i="23"/>
  <c r="E110" i="23"/>
  <c r="F110" i="23"/>
  <c r="G110" i="23"/>
  <c r="B111" i="23" a="1"/>
  <c r="B111" i="23"/>
  <c r="C111" i="23"/>
  <c r="D111" i="23"/>
  <c r="E111" i="23"/>
  <c r="F111" i="23"/>
  <c r="G111" i="23"/>
  <c r="B112" i="23" a="1"/>
  <c r="B112" i="23"/>
  <c r="C112" i="23"/>
  <c r="D112" i="23"/>
  <c r="E112" i="23"/>
  <c r="F112" i="23"/>
  <c r="G112" i="23"/>
  <c r="B113" i="23" a="1"/>
  <c r="B113" i="23"/>
  <c r="C113" i="23"/>
  <c r="D113" i="23"/>
  <c r="E113" i="23"/>
  <c r="F113" i="23"/>
  <c r="G113" i="23"/>
  <c r="B114" i="23" a="1"/>
  <c r="B114" i="23"/>
  <c r="C114" i="23"/>
  <c r="D114" i="23"/>
  <c r="E114" i="23"/>
  <c r="F114" i="23"/>
  <c r="G114" i="23"/>
  <c r="B115" i="23" a="1"/>
  <c r="B115" i="23"/>
  <c r="C115" i="23"/>
  <c r="D115" i="23"/>
  <c r="E115" i="23"/>
  <c r="F115" i="23"/>
  <c r="G115" i="23"/>
  <c r="B116" i="23" a="1"/>
  <c r="B116" i="23"/>
  <c r="C116" i="23"/>
  <c r="D116" i="23"/>
  <c r="E116" i="23"/>
  <c r="F116" i="23"/>
  <c r="G116" i="23"/>
  <c r="B117" i="23" a="1"/>
  <c r="B117" i="23"/>
  <c r="C117" i="23"/>
  <c r="D117" i="23"/>
  <c r="E117" i="23"/>
  <c r="F117" i="23"/>
  <c r="G117" i="23"/>
  <c r="B118" i="23" a="1"/>
  <c r="B118" i="23" s="1"/>
  <c r="C118" i="23"/>
  <c r="D118" i="23"/>
  <c r="E118" i="23"/>
  <c r="F118" i="23"/>
  <c r="G118" i="23"/>
  <c r="B119" i="23" a="1"/>
  <c r="B119" i="23" s="1"/>
  <c r="C119" i="23"/>
  <c r="D119" i="23"/>
  <c r="E119" i="23"/>
  <c r="F119" i="23"/>
  <c r="G119" i="23"/>
  <c r="B120" i="23" a="1"/>
  <c r="B120" i="23" s="1"/>
  <c r="C120" i="23"/>
  <c r="D120" i="23"/>
  <c r="E120" i="23"/>
  <c r="F120" i="23"/>
  <c r="G120" i="23"/>
  <c r="B121" i="23" a="1"/>
  <c r="B121" i="23" s="1"/>
  <c r="C121" i="23"/>
  <c r="D121" i="23"/>
  <c r="E121" i="23"/>
  <c r="F121" i="23"/>
  <c r="G121" i="23"/>
  <c r="B122" i="23" a="1"/>
  <c r="B122" i="23" s="1"/>
  <c r="C122" i="23"/>
  <c r="D122" i="23"/>
  <c r="E122" i="23"/>
  <c r="F122" i="23"/>
  <c r="G122" i="23"/>
  <c r="B123" i="23" a="1"/>
  <c r="B123" i="23" s="1"/>
  <c r="C123" i="23"/>
  <c r="D123" i="23"/>
  <c r="E123" i="23"/>
  <c r="F123" i="23"/>
  <c r="G123" i="23"/>
  <c r="B124" i="23" a="1"/>
  <c r="B124" i="23" s="1"/>
  <c r="C124" i="23"/>
  <c r="D124" i="23"/>
  <c r="E124" i="23"/>
  <c r="F124" i="23"/>
  <c r="G124" i="23"/>
  <c r="B125" i="23" a="1"/>
  <c r="B125" i="23" s="1"/>
  <c r="C125" i="23"/>
  <c r="D125" i="23"/>
  <c r="E125" i="23"/>
  <c r="F125" i="23"/>
  <c r="G125" i="23"/>
  <c r="B126" i="23" a="1"/>
  <c r="B126" i="23" s="1"/>
  <c r="C126" i="23"/>
  <c r="D126" i="23"/>
  <c r="E126" i="23"/>
  <c r="F126" i="23"/>
  <c r="G126" i="23"/>
  <c r="B127" i="23" a="1"/>
  <c r="B127" i="23" s="1"/>
  <c r="C127" i="23"/>
  <c r="D127" i="23"/>
  <c r="E127" i="23"/>
  <c r="F127" i="23"/>
  <c r="G127" i="23"/>
  <c r="B128" i="23" a="1"/>
  <c r="B128" i="23" s="1"/>
  <c r="C128" i="23"/>
  <c r="D128" i="23"/>
  <c r="E128" i="23"/>
  <c r="F128" i="23"/>
  <c r="G128" i="23"/>
  <c r="B129" i="23" a="1"/>
  <c r="B129" i="23" s="1"/>
  <c r="C129" i="23"/>
  <c r="D129" i="23"/>
  <c r="E129" i="23"/>
  <c r="F129" i="23"/>
  <c r="G129" i="23"/>
  <c r="B130" i="23" a="1"/>
  <c r="B130" i="23" s="1"/>
  <c r="C130" i="23"/>
  <c r="D130" i="23"/>
  <c r="E130" i="23"/>
  <c r="F130" i="23"/>
  <c r="G130" i="23"/>
  <c r="B131" i="23" a="1"/>
  <c r="B131" i="23" s="1"/>
  <c r="C131" i="23"/>
  <c r="D131" i="23"/>
  <c r="E131" i="23"/>
  <c r="F131" i="23"/>
  <c r="G131" i="23"/>
  <c r="B132" i="23" a="1"/>
  <c r="B132" i="23" s="1"/>
  <c r="C132" i="23"/>
  <c r="D132" i="23"/>
  <c r="E132" i="23"/>
  <c r="F132" i="23"/>
  <c r="G132" i="23"/>
  <c r="B133" i="23" a="1"/>
  <c r="B133" i="23" s="1"/>
  <c r="C133" i="23"/>
  <c r="D133" i="23"/>
  <c r="E133" i="23"/>
  <c r="F133" i="23"/>
  <c r="G133" i="23"/>
  <c r="B134" i="23" a="1"/>
  <c r="B134" i="23" s="1"/>
  <c r="C134" i="23"/>
  <c r="D134" i="23"/>
  <c r="E134" i="23"/>
  <c r="F134" i="23"/>
  <c r="G134" i="23"/>
  <c r="B135" i="23" a="1"/>
  <c r="B135" i="23" s="1"/>
  <c r="C135" i="23"/>
  <c r="D135" i="23"/>
  <c r="E135" i="23"/>
  <c r="F135" i="23"/>
  <c r="G135" i="23"/>
  <c r="B136" i="23" a="1"/>
  <c r="B136" i="23" s="1"/>
  <c r="C136" i="23"/>
  <c r="D136" i="23"/>
  <c r="E136" i="23"/>
  <c r="F136" i="23"/>
  <c r="G136" i="23"/>
  <c r="B137" i="23" a="1"/>
  <c r="B137" i="23" s="1"/>
  <c r="C137" i="23"/>
  <c r="D137" i="23"/>
  <c r="E137" i="23"/>
  <c r="F137" i="23"/>
  <c r="G137" i="23"/>
  <c r="B138" i="23" a="1"/>
  <c r="B138" i="23" s="1"/>
  <c r="C138" i="23"/>
  <c r="D138" i="23"/>
  <c r="E138" i="23"/>
  <c r="F138" i="23"/>
  <c r="G138" i="23"/>
  <c r="B139" i="23" a="1"/>
  <c r="B139" i="23" s="1"/>
  <c r="C139" i="23"/>
  <c r="D139" i="23"/>
  <c r="E139" i="23"/>
  <c r="F139" i="23"/>
  <c r="G139" i="23"/>
  <c r="B140" i="23" a="1"/>
  <c r="B140" i="23" s="1"/>
  <c r="C140" i="23"/>
  <c r="D140" i="23"/>
  <c r="E140" i="23"/>
  <c r="F140" i="23"/>
  <c r="G140" i="23"/>
  <c r="B141" i="23" a="1"/>
  <c r="B141" i="23" s="1"/>
  <c r="C141" i="23"/>
  <c r="D141" i="23"/>
  <c r="E141" i="23"/>
  <c r="F141" i="23"/>
  <c r="G141" i="23"/>
  <c r="B142" i="23" a="1"/>
  <c r="B142" i="23" s="1"/>
  <c r="C142" i="23"/>
  <c r="D142" i="23"/>
  <c r="E142" i="23"/>
  <c r="F142" i="23"/>
  <c r="G142" i="23"/>
  <c r="B143" i="23" a="1"/>
  <c r="B143" i="23" s="1"/>
  <c r="C143" i="23"/>
  <c r="D143" i="23"/>
  <c r="E143" i="23"/>
  <c r="F143" i="23"/>
  <c r="G143" i="23"/>
  <c r="B144" i="23" a="1"/>
  <c r="B144" i="23" s="1"/>
  <c r="C144" i="23"/>
  <c r="D144" i="23"/>
  <c r="E144" i="23"/>
  <c r="F144" i="23"/>
  <c r="G144" i="23"/>
  <c r="B145" i="23" a="1"/>
  <c r="B145" i="23" s="1"/>
  <c r="C145" i="23"/>
  <c r="D145" i="23"/>
  <c r="E145" i="23"/>
  <c r="F145" i="23"/>
  <c r="G145" i="23"/>
  <c r="B146" i="23" a="1"/>
  <c r="B146" i="23" s="1"/>
  <c r="C146" i="23"/>
  <c r="D146" i="23"/>
  <c r="E146" i="23"/>
  <c r="F146" i="23"/>
  <c r="G146" i="23"/>
  <c r="B147" i="23" a="1"/>
  <c r="B147" i="23" s="1"/>
  <c r="C147" i="23"/>
  <c r="D147" i="23"/>
  <c r="E147" i="23"/>
  <c r="F147" i="23"/>
  <c r="G147" i="23"/>
  <c r="B148" i="23" a="1"/>
  <c r="B148" i="23" s="1"/>
  <c r="C148" i="23"/>
  <c r="D148" i="23"/>
  <c r="E148" i="23"/>
  <c r="F148" i="23"/>
  <c r="G148" i="23"/>
  <c r="B149" i="23" a="1"/>
  <c r="B149" i="23" s="1"/>
  <c r="C149" i="23"/>
  <c r="D149" i="23"/>
  <c r="E149" i="23"/>
  <c r="F149" i="23"/>
  <c r="G149" i="23"/>
  <c r="B150" i="23" a="1"/>
  <c r="B150" i="23" s="1"/>
  <c r="C150" i="23"/>
  <c r="D150" i="23"/>
  <c r="E150" i="23"/>
  <c r="F150" i="23"/>
  <c r="G150" i="23"/>
  <c r="B151" i="23" a="1"/>
  <c r="B151" i="23" s="1"/>
  <c r="C151" i="23"/>
  <c r="D151" i="23"/>
  <c r="E151" i="23"/>
  <c r="F151" i="23"/>
  <c r="G151" i="23"/>
  <c r="B152" i="23" a="1"/>
  <c r="B152" i="23" s="1"/>
  <c r="C152" i="23"/>
  <c r="D152" i="23"/>
  <c r="E152" i="23"/>
  <c r="F152" i="23"/>
  <c r="G152" i="23"/>
  <c r="B153" i="23" a="1"/>
  <c r="B153" i="23" s="1"/>
  <c r="C153" i="23"/>
  <c r="D153" i="23"/>
  <c r="E153" i="23"/>
  <c r="F153" i="23"/>
  <c r="G153" i="23"/>
  <c r="B154" i="23" a="1"/>
  <c r="B154" i="23" s="1"/>
  <c r="C154" i="23"/>
  <c r="D154" i="23"/>
  <c r="E154" i="23"/>
  <c r="F154" i="23"/>
  <c r="G154" i="23"/>
  <c r="B155" i="23" a="1"/>
  <c r="B155" i="23" s="1"/>
  <c r="C155" i="23"/>
  <c r="D155" i="23"/>
  <c r="E155" i="23"/>
  <c r="F155" i="23"/>
  <c r="G155" i="23"/>
  <c r="B156" i="23" a="1"/>
  <c r="B156" i="23" s="1"/>
  <c r="C156" i="23"/>
  <c r="D156" i="23"/>
  <c r="E156" i="23"/>
  <c r="F156" i="23"/>
  <c r="G156" i="23"/>
  <c r="B157" i="23" a="1"/>
  <c r="B157" i="23" s="1"/>
  <c r="C157" i="23"/>
  <c r="D157" i="23"/>
  <c r="E157" i="23"/>
  <c r="F157" i="23"/>
  <c r="G157" i="23"/>
  <c r="B158" i="23" a="1"/>
  <c r="B158" i="23" s="1"/>
  <c r="C158" i="23"/>
  <c r="D158" i="23"/>
  <c r="E158" i="23"/>
  <c r="F158" i="23"/>
  <c r="G158" i="23"/>
  <c r="B159" i="23" a="1"/>
  <c r="B159" i="23" s="1"/>
  <c r="C159" i="23"/>
  <c r="D159" i="23"/>
  <c r="E159" i="23"/>
  <c r="F159" i="23"/>
  <c r="G159" i="23"/>
  <c r="B160" i="23" a="1"/>
  <c r="B160" i="23" s="1"/>
  <c r="C160" i="23"/>
  <c r="D160" i="23"/>
  <c r="E160" i="23"/>
  <c r="F160" i="23"/>
  <c r="G160" i="23"/>
  <c r="B161" i="23" a="1"/>
  <c r="B161" i="23" s="1"/>
  <c r="C161" i="23"/>
  <c r="D161" i="23"/>
  <c r="E161" i="23"/>
  <c r="F161" i="23"/>
  <c r="G161" i="23"/>
  <c r="B162" i="23" a="1"/>
  <c r="B162" i="23" s="1"/>
  <c r="C162" i="23"/>
  <c r="D162" i="23"/>
  <c r="E162" i="23"/>
  <c r="F162" i="23"/>
  <c r="G162" i="23"/>
  <c r="B163" i="23" a="1"/>
  <c r="B163" i="23" s="1"/>
  <c r="C163" i="23"/>
  <c r="D163" i="23"/>
  <c r="E163" i="23"/>
  <c r="F163" i="23"/>
  <c r="G163" i="23"/>
  <c r="B164" i="23" a="1"/>
  <c r="B164" i="23" s="1"/>
  <c r="C164" i="23"/>
  <c r="D164" i="23"/>
  <c r="E164" i="23"/>
  <c r="F164" i="23"/>
  <c r="G164" i="23"/>
  <c r="B165" i="23" a="1"/>
  <c r="B165" i="23" s="1"/>
  <c r="C165" i="23"/>
  <c r="D165" i="23"/>
  <c r="E165" i="23"/>
  <c r="F165" i="23"/>
  <c r="G165" i="23"/>
  <c r="B166" i="23" a="1"/>
  <c r="B166" i="23" s="1"/>
  <c r="C166" i="23"/>
  <c r="D166" i="23"/>
  <c r="E166" i="23"/>
  <c r="F166" i="23"/>
  <c r="G166" i="23"/>
  <c r="B167" i="23" a="1"/>
  <c r="B167" i="23" s="1"/>
  <c r="C167" i="23"/>
  <c r="D167" i="23"/>
  <c r="E167" i="23"/>
  <c r="F167" i="23"/>
  <c r="G167" i="23"/>
  <c r="B168" i="23" a="1"/>
  <c r="B168" i="23" s="1"/>
  <c r="C168" i="23"/>
  <c r="D168" i="23"/>
  <c r="E168" i="23"/>
  <c r="F168" i="23"/>
  <c r="G168" i="23"/>
  <c r="B169" i="23" a="1"/>
  <c r="B169" i="23" s="1"/>
  <c r="C169" i="23"/>
  <c r="D169" i="23"/>
  <c r="E169" i="23"/>
  <c r="F169" i="23"/>
  <c r="G169" i="23"/>
  <c r="B170" i="23" a="1"/>
  <c r="B170" i="23" s="1"/>
  <c r="C170" i="23"/>
  <c r="D170" i="23"/>
  <c r="E170" i="23"/>
  <c r="F170" i="23"/>
  <c r="G170" i="23"/>
  <c r="B171" i="23" a="1"/>
  <c r="B171" i="23" s="1"/>
  <c r="C171" i="23"/>
  <c r="D171" i="23"/>
  <c r="E171" i="23"/>
  <c r="F171" i="23"/>
  <c r="G171" i="23"/>
  <c r="B172" i="23" a="1"/>
  <c r="B172" i="23" s="1"/>
  <c r="C172" i="23"/>
  <c r="D172" i="23"/>
  <c r="E172" i="23"/>
  <c r="F172" i="23"/>
  <c r="G172" i="23"/>
  <c r="B173" i="23" a="1"/>
  <c r="B173" i="23" s="1"/>
  <c r="C173" i="23"/>
  <c r="D173" i="23"/>
  <c r="E173" i="23"/>
  <c r="F173" i="23"/>
  <c r="G173" i="23"/>
  <c r="B174" i="23" a="1"/>
  <c r="B174" i="23" s="1"/>
  <c r="C174" i="23"/>
  <c r="D174" i="23"/>
  <c r="E174" i="23"/>
  <c r="F174" i="23"/>
  <c r="G174" i="23"/>
  <c r="B175" i="23" a="1"/>
  <c r="B175" i="23" s="1"/>
  <c r="C175" i="23"/>
  <c r="D175" i="23"/>
  <c r="E175" i="23"/>
  <c r="F175" i="23"/>
  <c r="G175" i="23"/>
  <c r="B176" i="23" a="1"/>
  <c r="B176" i="23" s="1"/>
  <c r="C176" i="23"/>
  <c r="D176" i="23"/>
  <c r="E176" i="23"/>
  <c r="F176" i="23"/>
  <c r="G176" i="23"/>
  <c r="B177" i="23" a="1"/>
  <c r="B177" i="23" s="1"/>
  <c r="C177" i="23"/>
  <c r="D177" i="23"/>
  <c r="E177" i="23"/>
  <c r="F177" i="23"/>
  <c r="G177" i="23"/>
  <c r="B178" i="23" a="1"/>
  <c r="B178" i="23" s="1"/>
  <c r="C178" i="23"/>
  <c r="D178" i="23"/>
  <c r="E178" i="23"/>
  <c r="F178" i="23"/>
  <c r="G178" i="23"/>
  <c r="B179" i="23" a="1"/>
  <c r="B179" i="23" s="1"/>
  <c r="C179" i="23"/>
  <c r="D179" i="23"/>
  <c r="E179" i="23"/>
  <c r="F179" i="23"/>
  <c r="G179" i="23"/>
  <c r="B180" i="23" a="1"/>
  <c r="B180" i="23" s="1"/>
  <c r="C180" i="23"/>
  <c r="D180" i="23"/>
  <c r="E180" i="23"/>
  <c r="F180" i="23"/>
  <c r="G180" i="23"/>
  <c r="B181" i="23" a="1"/>
  <c r="B181" i="23" s="1"/>
  <c r="C181" i="23"/>
  <c r="D181" i="23"/>
  <c r="E181" i="23"/>
  <c r="F181" i="23"/>
  <c r="G181" i="23"/>
  <c r="B182" i="23" a="1"/>
  <c r="B182" i="23" s="1"/>
  <c r="C182" i="23"/>
  <c r="D182" i="23"/>
  <c r="E182" i="23"/>
  <c r="F182" i="23"/>
  <c r="G182" i="23"/>
  <c r="B183" i="23" a="1"/>
  <c r="B183" i="23" s="1"/>
  <c r="C183" i="23"/>
  <c r="D183" i="23"/>
  <c r="E183" i="23"/>
  <c r="F183" i="23"/>
  <c r="G183" i="23"/>
  <c r="B184" i="23" a="1"/>
  <c r="B184" i="23" s="1"/>
  <c r="C184" i="23"/>
  <c r="D184" i="23"/>
  <c r="E184" i="23"/>
  <c r="F184" i="23"/>
  <c r="G184" i="23"/>
  <c r="B185" i="23" a="1"/>
  <c r="B185" i="23" s="1"/>
  <c r="C185" i="23"/>
  <c r="D185" i="23"/>
  <c r="E185" i="23"/>
  <c r="F185" i="23"/>
  <c r="G185" i="23"/>
  <c r="B186" i="23" a="1"/>
  <c r="B186" i="23" s="1"/>
  <c r="C186" i="23"/>
  <c r="D186" i="23"/>
  <c r="E186" i="23"/>
  <c r="F186" i="23"/>
  <c r="G186" i="23"/>
  <c r="B187" i="23" a="1"/>
  <c r="B187" i="23" s="1"/>
  <c r="C187" i="23"/>
  <c r="D187" i="23"/>
  <c r="E187" i="23"/>
  <c r="F187" i="23"/>
  <c r="G187" i="23"/>
  <c r="B188" i="23" a="1"/>
  <c r="B188" i="23" s="1"/>
  <c r="C188" i="23"/>
  <c r="D188" i="23"/>
  <c r="E188" i="23"/>
  <c r="F188" i="23"/>
  <c r="G188" i="23"/>
  <c r="B189" i="23" a="1"/>
  <c r="B189" i="23" s="1"/>
  <c r="C189" i="23"/>
  <c r="D189" i="23"/>
  <c r="E189" i="23"/>
  <c r="F189" i="23"/>
  <c r="G189" i="23"/>
  <c r="B190" i="23" a="1"/>
  <c r="B190" i="23" s="1"/>
  <c r="C190" i="23"/>
  <c r="D190" i="23"/>
  <c r="E190" i="23"/>
  <c r="F190" i="23"/>
  <c r="G190" i="23"/>
  <c r="B191" i="23" a="1"/>
  <c r="B191" i="23" s="1"/>
  <c r="C191" i="23"/>
  <c r="D191" i="23"/>
  <c r="E191" i="23"/>
  <c r="F191" i="23"/>
  <c r="G191" i="23"/>
  <c r="B192" i="23" a="1"/>
  <c r="B192" i="23" s="1"/>
  <c r="C192" i="23"/>
  <c r="D192" i="23"/>
  <c r="E192" i="23"/>
  <c r="F192" i="23"/>
  <c r="G192" i="23"/>
  <c r="B193" i="23" a="1"/>
  <c r="B193" i="23" s="1"/>
  <c r="C193" i="23"/>
  <c r="D193" i="23"/>
  <c r="E193" i="23"/>
  <c r="F193" i="23"/>
  <c r="G193" i="23"/>
  <c r="B194" i="23" a="1"/>
  <c r="B194" i="23" s="1"/>
  <c r="C194" i="23"/>
  <c r="D194" i="23"/>
  <c r="E194" i="23"/>
  <c r="F194" i="23"/>
  <c r="G194" i="23"/>
  <c r="B195" i="23" a="1"/>
  <c r="B195" i="23" s="1"/>
  <c r="C195" i="23"/>
  <c r="D195" i="23"/>
  <c r="E195" i="23"/>
  <c r="F195" i="23"/>
  <c r="G195" i="23"/>
  <c r="B196" i="23" a="1"/>
  <c r="B196" i="23" s="1"/>
  <c r="C196" i="23"/>
  <c r="D196" i="23"/>
  <c r="E196" i="23"/>
  <c r="F196" i="23"/>
  <c r="G196" i="23"/>
  <c r="B197" i="23" a="1"/>
  <c r="B197" i="23" s="1"/>
  <c r="C197" i="23"/>
  <c r="D197" i="23"/>
  <c r="E197" i="23"/>
  <c r="F197" i="23"/>
  <c r="G197" i="23"/>
  <c r="B198" i="23" a="1"/>
  <c r="B198" i="23" s="1"/>
  <c r="C198" i="23"/>
  <c r="D198" i="23"/>
  <c r="E198" i="23"/>
  <c r="F198" i="23"/>
  <c r="G198" i="23"/>
  <c r="B199" i="23" a="1"/>
  <c r="B199" i="23" s="1"/>
  <c r="C199" i="23"/>
  <c r="D199" i="23"/>
  <c r="E199" i="23"/>
  <c r="F199" i="23"/>
  <c r="G199" i="23"/>
  <c r="B200" i="23" a="1"/>
  <c r="B200" i="23" s="1"/>
  <c r="C200" i="23"/>
  <c r="D200" i="23"/>
  <c r="E200" i="23"/>
  <c r="F200" i="23"/>
  <c r="G200" i="23"/>
  <c r="D5" i="23"/>
  <c r="C6" i="8"/>
  <c r="B6" i="8" s="1" a="1"/>
  <c r="B6" i="8" s="1"/>
  <c r="D6" i="8"/>
  <c r="C7" i="8"/>
  <c r="B7" i="8" s="1" a="1"/>
  <c r="B7" i="8" s="1"/>
  <c r="D7" i="8"/>
  <c r="C8" i="8"/>
  <c r="B8" i="8" s="1" a="1"/>
  <c r="B8" i="8" s="1"/>
  <c r="D8" i="8"/>
  <c r="C9" i="8"/>
  <c r="B9" i="8" s="1" a="1"/>
  <c r="B9" i="8" s="1"/>
  <c r="D9" i="8"/>
  <c r="C10" i="8"/>
  <c r="B10" i="8" s="1" a="1"/>
  <c r="B10" i="8" s="1"/>
  <c r="D10" i="8"/>
  <c r="C11" i="8"/>
  <c r="B11" i="8" s="1" a="1"/>
  <c r="B11" i="8" s="1"/>
  <c r="D11" i="8"/>
  <c r="C12" i="8"/>
  <c r="B12" i="8" s="1" a="1"/>
  <c r="B12" i="8" s="1"/>
  <c r="D12" i="8"/>
  <c r="C13" i="8"/>
  <c r="B13" i="8" s="1" a="1"/>
  <c r="B13" i="8" s="1"/>
  <c r="D13" i="8"/>
  <c r="C14" i="8"/>
  <c r="B14" i="8" s="1" a="1"/>
  <c r="B14" i="8" s="1"/>
  <c r="D14" i="8"/>
  <c r="C15" i="8"/>
  <c r="B15" i="8" s="1" a="1"/>
  <c r="B15" i="8" s="1"/>
  <c r="D15" i="8"/>
  <c r="C16" i="8"/>
  <c r="B16" i="8" s="1" a="1"/>
  <c r="B16" i="8" s="1"/>
  <c r="D16" i="8"/>
  <c r="B17" i="8" a="1"/>
  <c r="B17" i="8" s="1"/>
  <c r="C17" i="8"/>
  <c r="D17" i="8"/>
  <c r="C18" i="8"/>
  <c r="B18" i="8" s="1" a="1"/>
  <c r="B18" i="8" s="1"/>
  <c r="D18" i="8"/>
  <c r="C19" i="8"/>
  <c r="B19" i="8" s="1" a="1"/>
  <c r="B19" i="8" s="1"/>
  <c r="D19" i="8"/>
  <c r="C20" i="8"/>
  <c r="B20" i="8" s="1" a="1"/>
  <c r="B20" i="8" s="1"/>
  <c r="D20" i="8"/>
  <c r="B21" i="8" a="1"/>
  <c r="B21" i="8" s="1"/>
  <c r="C21" i="8"/>
  <c r="D21" i="8"/>
  <c r="C22" i="8"/>
  <c r="B22" i="8" s="1" a="1"/>
  <c r="B22" i="8" s="1"/>
  <c r="D22" i="8"/>
  <c r="C23" i="8"/>
  <c r="B23" i="8" s="1" a="1"/>
  <c r="B23" i="8" s="1"/>
  <c r="D23" i="8"/>
  <c r="C24" i="8"/>
  <c r="B24" i="8" s="1" a="1"/>
  <c r="B24" i="8" s="1"/>
  <c r="D24" i="8"/>
  <c r="B25" i="8" a="1"/>
  <c r="B25" i="8" s="1"/>
  <c r="C25" i="8"/>
  <c r="D25" i="8"/>
  <c r="C26" i="8"/>
  <c r="B26" i="8" s="1" a="1"/>
  <c r="B26" i="8" s="1"/>
  <c r="D26" i="8"/>
  <c r="C27" i="8"/>
  <c r="B27" i="8" s="1" a="1"/>
  <c r="B27" i="8" s="1"/>
  <c r="D27" i="8"/>
  <c r="C28" i="8"/>
  <c r="B28" i="8" s="1" a="1"/>
  <c r="B28" i="8" s="1"/>
  <c r="D28" i="8"/>
  <c r="B29" i="8" a="1"/>
  <c r="B29" i="8" s="1"/>
  <c r="C29" i="8"/>
  <c r="D29" i="8"/>
  <c r="C30" i="8"/>
  <c r="B30" i="8" s="1" a="1"/>
  <c r="B30" i="8" s="1"/>
  <c r="D30" i="8"/>
  <c r="C31" i="8"/>
  <c r="B31" i="8" s="1" a="1"/>
  <c r="B31" i="8" s="1"/>
  <c r="D31" i="8"/>
  <c r="C32" i="8"/>
  <c r="B32" i="8" s="1" a="1"/>
  <c r="B32" i="8" s="1"/>
  <c r="D32" i="8"/>
  <c r="B33" i="8" a="1"/>
  <c r="B33" i="8" s="1"/>
  <c r="C33" i="8"/>
  <c r="D33" i="8"/>
  <c r="C34" i="8"/>
  <c r="B34" i="8" s="1" a="1"/>
  <c r="B34" i="8" s="1"/>
  <c r="D34" i="8"/>
  <c r="C35" i="8"/>
  <c r="B35" i="8" s="1" a="1"/>
  <c r="B35" i="8" s="1"/>
  <c r="D35" i="8"/>
  <c r="C36" i="8"/>
  <c r="B36" i="8" s="1" a="1"/>
  <c r="B36" i="8" s="1"/>
  <c r="D36" i="8"/>
  <c r="B37" i="8" a="1"/>
  <c r="B37" i="8" s="1"/>
  <c r="C37" i="8"/>
  <c r="D37" i="8"/>
  <c r="C38" i="8"/>
  <c r="B38" i="8" s="1" a="1"/>
  <c r="B38" i="8" s="1"/>
  <c r="D38" i="8"/>
  <c r="C39" i="8"/>
  <c r="B39" i="8" s="1" a="1"/>
  <c r="B39" i="8" s="1"/>
  <c r="D39" i="8"/>
  <c r="C40" i="8"/>
  <c r="B40" i="8" s="1" a="1"/>
  <c r="B40" i="8" s="1"/>
  <c r="D40" i="8"/>
  <c r="B41" i="8" a="1"/>
  <c r="B41" i="8" s="1"/>
  <c r="C41" i="8"/>
  <c r="D41" i="8"/>
  <c r="C42" i="8"/>
  <c r="B42" i="8" s="1" a="1"/>
  <c r="B42" i="8" s="1"/>
  <c r="D42" i="8"/>
  <c r="C43" i="8"/>
  <c r="B43" i="8" s="1" a="1"/>
  <c r="B43" i="8" s="1"/>
  <c r="D43" i="8"/>
  <c r="C44" i="8"/>
  <c r="B44" i="8" s="1" a="1"/>
  <c r="B44" i="8" s="1"/>
  <c r="D44" i="8"/>
  <c r="B45" i="8" a="1"/>
  <c r="B45" i="8" s="1"/>
  <c r="C45" i="8"/>
  <c r="D45" i="8"/>
  <c r="C46" i="8"/>
  <c r="B46" i="8" s="1" a="1"/>
  <c r="B46" i="8" s="1"/>
  <c r="D46" i="8"/>
  <c r="C47" i="8"/>
  <c r="B47" i="8" s="1" a="1"/>
  <c r="B47" i="8" s="1"/>
  <c r="D47" i="8"/>
  <c r="C48" i="8"/>
  <c r="B48" i="8" s="1" a="1"/>
  <c r="B48" i="8" s="1"/>
  <c r="D48" i="8"/>
  <c r="B49" i="8" a="1"/>
  <c r="B49" i="8" s="1"/>
  <c r="C49" i="8"/>
  <c r="D49" i="8"/>
  <c r="C50" i="8"/>
  <c r="B50" i="8" s="1" a="1"/>
  <c r="B50" i="8" s="1"/>
  <c r="D50" i="8"/>
  <c r="C51" i="8"/>
  <c r="B51" i="8" s="1" a="1"/>
  <c r="B51" i="8" s="1"/>
  <c r="D51" i="8"/>
  <c r="C52" i="8"/>
  <c r="B52" i="8" s="1" a="1"/>
  <c r="B52" i="8" s="1"/>
  <c r="D52" i="8"/>
  <c r="B53" i="8" a="1"/>
  <c r="B53" i="8" s="1"/>
  <c r="C53" i="8"/>
  <c r="D53" i="8"/>
  <c r="C54" i="8"/>
  <c r="B54" i="8" s="1" a="1"/>
  <c r="B54" i="8" s="1"/>
  <c r="D54" i="8"/>
  <c r="C55" i="8"/>
  <c r="B55" i="8" s="1" a="1"/>
  <c r="B55" i="8" s="1"/>
  <c r="D55" i="8"/>
  <c r="C56" i="8"/>
  <c r="B56" i="8" s="1" a="1"/>
  <c r="B56" i="8" s="1"/>
  <c r="D56" i="8"/>
  <c r="B57" i="8" a="1"/>
  <c r="B57" i="8" s="1"/>
  <c r="C57" i="8"/>
  <c r="D57" i="8"/>
  <c r="C58" i="8"/>
  <c r="B58" i="8" s="1" a="1"/>
  <c r="B58" i="8" s="1"/>
  <c r="D58" i="8"/>
  <c r="C59" i="8"/>
  <c r="B59" i="8" s="1" a="1"/>
  <c r="B59" i="8" s="1"/>
  <c r="D59" i="8"/>
  <c r="C60" i="8"/>
  <c r="B60" i="8" s="1" a="1"/>
  <c r="B60" i="8" s="1"/>
  <c r="D60" i="8"/>
  <c r="B61" i="8" a="1"/>
  <c r="B61" i="8" s="1"/>
  <c r="C61" i="8"/>
  <c r="D61" i="8"/>
  <c r="C62" i="8"/>
  <c r="B62" i="8" s="1" a="1"/>
  <c r="B62" i="8" s="1"/>
  <c r="D62" i="8"/>
  <c r="C63" i="8"/>
  <c r="B63" i="8" s="1" a="1"/>
  <c r="B63" i="8" s="1"/>
  <c r="D63" i="8"/>
  <c r="C64" i="8"/>
  <c r="B64" i="8" s="1" a="1"/>
  <c r="B64" i="8" s="1"/>
  <c r="D64" i="8"/>
  <c r="B65" i="8" a="1"/>
  <c r="B65" i="8" s="1"/>
  <c r="C65" i="8"/>
  <c r="D65" i="8"/>
  <c r="C66" i="8"/>
  <c r="B66" i="8" s="1" a="1"/>
  <c r="B66" i="8" s="1"/>
  <c r="D66" i="8"/>
  <c r="C67" i="8"/>
  <c r="B67" i="8" s="1" a="1"/>
  <c r="B67" i="8" s="1"/>
  <c r="D67" i="8"/>
  <c r="C68" i="8"/>
  <c r="B68" i="8" s="1" a="1"/>
  <c r="B68" i="8" s="1"/>
  <c r="D68" i="8"/>
  <c r="B69" i="8" a="1"/>
  <c r="B69" i="8" s="1"/>
  <c r="C69" i="8"/>
  <c r="D69" i="8"/>
  <c r="C70" i="8"/>
  <c r="B70" i="8" s="1" a="1"/>
  <c r="B70" i="8" s="1"/>
  <c r="D70" i="8"/>
  <c r="C71" i="8"/>
  <c r="B71" i="8" s="1" a="1"/>
  <c r="B71" i="8" s="1"/>
  <c r="D71" i="8"/>
  <c r="C72" i="8"/>
  <c r="B72" i="8" s="1" a="1"/>
  <c r="B72" i="8" s="1"/>
  <c r="D72" i="8"/>
  <c r="B73" i="8" a="1"/>
  <c r="B73" i="8" s="1"/>
  <c r="C73" i="8"/>
  <c r="D73" i="8"/>
  <c r="C74" i="8"/>
  <c r="B74" i="8" s="1" a="1"/>
  <c r="B74" i="8" s="1"/>
  <c r="D74" i="8"/>
  <c r="C75" i="8"/>
  <c r="B75" i="8" s="1" a="1"/>
  <c r="B75" i="8" s="1"/>
  <c r="D75" i="8"/>
  <c r="C76" i="8"/>
  <c r="B76" i="8" s="1" a="1"/>
  <c r="B76" i="8" s="1"/>
  <c r="D76" i="8"/>
  <c r="C77" i="8"/>
  <c r="B77" i="8" s="1" a="1"/>
  <c r="B77" i="8" s="1"/>
  <c r="D77" i="8"/>
  <c r="C78" i="8"/>
  <c r="B78" i="8" s="1" a="1"/>
  <c r="B78" i="8" s="1"/>
  <c r="D78" i="8"/>
  <c r="C79" i="8"/>
  <c r="B79" i="8" s="1" a="1"/>
  <c r="B79" i="8" s="1"/>
  <c r="D79" i="8"/>
  <c r="C80" i="8"/>
  <c r="B80" i="8" s="1" a="1"/>
  <c r="B80" i="8" s="1"/>
  <c r="D80" i="8"/>
  <c r="B81" i="8" a="1"/>
  <c r="B81" i="8" s="1"/>
  <c r="C81" i="8"/>
  <c r="D81" i="8"/>
  <c r="B82" i="8" a="1"/>
  <c r="B82" i="8" s="1"/>
  <c r="C82" i="8"/>
  <c r="D82" i="8"/>
  <c r="C83" i="8"/>
  <c r="B83" i="8" s="1" a="1"/>
  <c r="B83" i="8" s="1"/>
  <c r="D83" i="8"/>
  <c r="C84" i="8"/>
  <c r="B84" i="8" s="1" a="1"/>
  <c r="B84" i="8" s="1"/>
  <c r="D84" i="8"/>
  <c r="B85" i="8" a="1"/>
  <c r="B85" i="8" s="1"/>
  <c r="C85" i="8"/>
  <c r="D85" i="8"/>
  <c r="C86" i="8"/>
  <c r="B86" i="8" s="1" a="1"/>
  <c r="B86" i="8" s="1"/>
  <c r="D86" i="8"/>
  <c r="B87" i="8" a="1"/>
  <c r="B87" i="8" s="1"/>
  <c r="C87" i="8"/>
  <c r="D87" i="8"/>
  <c r="C88" i="8"/>
  <c r="B88" i="8" s="1" a="1"/>
  <c r="B88" i="8" s="1"/>
  <c r="D88" i="8"/>
  <c r="B89" i="8" a="1"/>
  <c r="B89" i="8" s="1"/>
  <c r="C89" i="8"/>
  <c r="D89" i="8"/>
  <c r="B90" i="8" a="1"/>
  <c r="B90" i="8" s="1"/>
  <c r="C90" i="8"/>
  <c r="D90" i="8"/>
  <c r="C91" i="8"/>
  <c r="B91" i="8" s="1" a="1"/>
  <c r="B91" i="8" s="1"/>
  <c r="D91" i="8"/>
  <c r="B92" i="8" a="1"/>
  <c r="B92" i="8" s="1"/>
  <c r="C92" i="8"/>
  <c r="D92" i="8"/>
  <c r="B93" i="8" a="1"/>
  <c r="B93" i="8" s="1"/>
  <c r="C93" i="8"/>
  <c r="D93" i="8"/>
  <c r="C94" i="8"/>
  <c r="B94" i="8" s="1" a="1"/>
  <c r="B94" i="8" s="1"/>
  <c r="D94" i="8"/>
  <c r="C95" i="8"/>
  <c r="B95" i="8" s="1" a="1"/>
  <c r="B95" i="8" s="1"/>
  <c r="D95" i="8"/>
  <c r="B96" i="8" a="1"/>
  <c r="B96" i="8" s="1"/>
  <c r="C96" i="8"/>
  <c r="D96" i="8"/>
  <c r="C97" i="8"/>
  <c r="B97" i="8" s="1" a="1"/>
  <c r="B97" i="8" s="1"/>
  <c r="D97" i="8"/>
  <c r="C98" i="8"/>
  <c r="B98" i="8" s="1" a="1"/>
  <c r="B98" i="8" s="1"/>
  <c r="D98" i="8"/>
  <c r="B99" i="8" a="1"/>
  <c r="B99" i="8"/>
  <c r="C99" i="8"/>
  <c r="D99" i="8"/>
  <c r="B100" i="8" a="1"/>
  <c r="B100" i="8" s="1"/>
  <c r="C100" i="8"/>
  <c r="D100" i="8"/>
  <c r="B101" i="8" a="1"/>
  <c r="B101" i="8" s="1"/>
  <c r="C101" i="8"/>
  <c r="D101" i="8"/>
  <c r="B102" i="8"/>
  <c r="C102" i="8"/>
  <c r="B102" i="8" s="1" a="1"/>
  <c r="D102" i="8"/>
  <c r="C103" i="8"/>
  <c r="B103" i="8" s="1" a="1"/>
  <c r="B103" i="8" s="1"/>
  <c r="D103" i="8"/>
  <c r="B104" i="8" a="1"/>
  <c r="B104" i="8" s="1"/>
  <c r="C104" i="8"/>
  <c r="D104" i="8"/>
  <c r="C105" i="8"/>
  <c r="B105" i="8" s="1" a="1"/>
  <c r="B105" i="8" s="1"/>
  <c r="D105" i="8"/>
  <c r="E105" i="8"/>
  <c r="F105" i="8"/>
  <c r="G105" i="8"/>
  <c r="C106" i="8"/>
  <c r="B106" i="8" s="1" a="1"/>
  <c r="B106" i="8" s="1"/>
  <c r="D106" i="8"/>
  <c r="E106" i="8"/>
  <c r="F106" i="8"/>
  <c r="G106" i="8"/>
  <c r="B107" i="8" a="1"/>
  <c r="B107" i="8" s="1"/>
  <c r="C107" i="8"/>
  <c r="D107" i="8"/>
  <c r="E107" i="8"/>
  <c r="F107" i="8"/>
  <c r="G107" i="8"/>
  <c r="B108" i="8" a="1"/>
  <c r="B108" i="8" s="1"/>
  <c r="C108" i="8"/>
  <c r="D108" i="8"/>
  <c r="E108" i="8"/>
  <c r="F108" i="8"/>
  <c r="G108" i="8"/>
  <c r="B109" i="8" a="1"/>
  <c r="B109" i="8" s="1"/>
  <c r="C109" i="8"/>
  <c r="D109" i="8"/>
  <c r="E109" i="8"/>
  <c r="F109" i="8"/>
  <c r="G109" i="8"/>
  <c r="B110" i="8"/>
  <c r="C110" i="8"/>
  <c r="B110" i="8" s="1" a="1"/>
  <c r="D110" i="8"/>
  <c r="E110" i="8"/>
  <c r="F110" i="8"/>
  <c r="G110" i="8"/>
  <c r="C111" i="8"/>
  <c r="B111" i="8" s="1" a="1"/>
  <c r="B111" i="8" s="1"/>
  <c r="D111" i="8"/>
  <c r="E111" i="8"/>
  <c r="F111" i="8"/>
  <c r="G111" i="8"/>
  <c r="B112" i="8" a="1"/>
  <c r="B112" i="8" s="1"/>
  <c r="C112" i="8"/>
  <c r="D112" i="8"/>
  <c r="E112" i="8"/>
  <c r="F112" i="8"/>
  <c r="G112" i="8"/>
  <c r="B113" i="8" a="1"/>
  <c r="B113" i="8"/>
  <c r="C113" i="8"/>
  <c r="D113" i="8"/>
  <c r="E113" i="8"/>
  <c r="F113" i="8"/>
  <c r="G113" i="8"/>
  <c r="C114" i="8"/>
  <c r="B114" i="8" s="1" a="1"/>
  <c r="B114" i="8" s="1"/>
  <c r="D114" i="8"/>
  <c r="E114" i="8"/>
  <c r="F114" i="8"/>
  <c r="G114" i="8"/>
  <c r="B115" i="8" a="1"/>
  <c r="B115" i="8" s="1"/>
  <c r="C115" i="8"/>
  <c r="D115" i="8"/>
  <c r="E115" i="8"/>
  <c r="F115" i="8"/>
  <c r="G115" i="8"/>
  <c r="B116" i="8" a="1"/>
  <c r="B116" i="8" s="1"/>
  <c r="C116" i="8"/>
  <c r="D116" i="8"/>
  <c r="E116" i="8"/>
  <c r="F116" i="8"/>
  <c r="G116" i="8"/>
  <c r="B117" i="8" a="1"/>
  <c r="B117" i="8" s="1"/>
  <c r="C117" i="8"/>
  <c r="D117" i="8"/>
  <c r="E117" i="8"/>
  <c r="F117" i="8"/>
  <c r="G117" i="8"/>
  <c r="C118" i="8"/>
  <c r="B118" i="8" s="1" a="1"/>
  <c r="B118" i="8" s="1"/>
  <c r="D118" i="8"/>
  <c r="E118" i="8"/>
  <c r="F118" i="8"/>
  <c r="G118" i="8"/>
  <c r="C119" i="8"/>
  <c r="B119" i="8" s="1" a="1"/>
  <c r="B119" i="8" s="1"/>
  <c r="D119" i="8"/>
  <c r="E119" i="8"/>
  <c r="F119" i="8"/>
  <c r="G119" i="8"/>
  <c r="B120" i="8" a="1"/>
  <c r="B120" i="8" s="1"/>
  <c r="C120" i="8"/>
  <c r="D120" i="8"/>
  <c r="E120" i="8"/>
  <c r="F120" i="8"/>
  <c r="G120" i="8"/>
  <c r="B121" i="8" a="1"/>
  <c r="B121" i="8"/>
  <c r="C121" i="8"/>
  <c r="D121" i="8"/>
  <c r="E121" i="8"/>
  <c r="F121" i="8"/>
  <c r="G121" i="8"/>
  <c r="C122" i="8"/>
  <c r="B122" i="8" s="1" a="1"/>
  <c r="B122" i="8" s="1"/>
  <c r="D122" i="8"/>
  <c r="E122" i="8"/>
  <c r="F122" i="8"/>
  <c r="G122" i="8"/>
  <c r="B123" i="8" a="1"/>
  <c r="B123" i="8" s="1"/>
  <c r="C123" i="8"/>
  <c r="D123" i="8"/>
  <c r="E123" i="8"/>
  <c r="F123" i="8"/>
  <c r="G123" i="8"/>
  <c r="B124" i="8" a="1"/>
  <c r="B124" i="8" s="1"/>
  <c r="C124" i="8"/>
  <c r="D124" i="8"/>
  <c r="E124" i="8"/>
  <c r="F124" i="8"/>
  <c r="G124" i="8"/>
  <c r="B125" i="8" a="1"/>
  <c r="B125" i="8" s="1"/>
  <c r="C125" i="8"/>
  <c r="D125" i="8"/>
  <c r="E125" i="8"/>
  <c r="F125" i="8"/>
  <c r="G125" i="8"/>
  <c r="C126" i="8"/>
  <c r="B126" i="8" s="1" a="1"/>
  <c r="B126" i="8" s="1"/>
  <c r="D126" i="8"/>
  <c r="E126" i="8"/>
  <c r="F126" i="8"/>
  <c r="G126" i="8"/>
  <c r="C127" i="8"/>
  <c r="B127" i="8" s="1" a="1"/>
  <c r="B127" i="8" s="1"/>
  <c r="D127" i="8"/>
  <c r="E127" i="8"/>
  <c r="F127" i="8"/>
  <c r="G127" i="8"/>
  <c r="B128" i="8" a="1"/>
  <c r="B128" i="8" s="1"/>
  <c r="C128" i="8"/>
  <c r="D128" i="8"/>
  <c r="E128" i="8"/>
  <c r="F128" i="8"/>
  <c r="G128" i="8"/>
  <c r="B129" i="8" a="1"/>
  <c r="B129" i="8" s="1"/>
  <c r="C129" i="8"/>
  <c r="D129" i="8"/>
  <c r="E129" i="8"/>
  <c r="F129" i="8"/>
  <c r="G129" i="8"/>
  <c r="C130" i="8"/>
  <c r="B130" i="8" s="1" a="1"/>
  <c r="B130" i="8" s="1"/>
  <c r="D130" i="8"/>
  <c r="E130" i="8"/>
  <c r="F130" i="8"/>
  <c r="G130" i="8"/>
  <c r="C131" i="8"/>
  <c r="B131" i="8" s="1" a="1"/>
  <c r="B131" i="8" s="1"/>
  <c r="D131" i="8"/>
  <c r="E131" i="8"/>
  <c r="F131" i="8"/>
  <c r="G131" i="8"/>
  <c r="B132" i="8" a="1"/>
  <c r="B132" i="8"/>
  <c r="C132" i="8"/>
  <c r="D132" i="8"/>
  <c r="E132" i="8"/>
  <c r="F132" i="8"/>
  <c r="G132" i="8"/>
  <c r="B133" i="8" a="1"/>
  <c r="B133" i="8" s="1"/>
  <c r="C133" i="8"/>
  <c r="D133" i="8"/>
  <c r="E133" i="8"/>
  <c r="F133" i="8"/>
  <c r="G133" i="8"/>
  <c r="B134" i="8" a="1"/>
  <c r="B134" i="8"/>
  <c r="C134" i="8"/>
  <c r="D134" i="8"/>
  <c r="E134" i="8"/>
  <c r="F134" i="8"/>
  <c r="G134" i="8"/>
  <c r="C135" i="8"/>
  <c r="B135" i="8" s="1" a="1"/>
  <c r="B135" i="8" s="1"/>
  <c r="D135" i="8"/>
  <c r="E135" i="8"/>
  <c r="F135" i="8"/>
  <c r="G135" i="8"/>
  <c r="B136" i="8" a="1"/>
  <c r="B136" i="8"/>
  <c r="C136" i="8"/>
  <c r="D136" i="8"/>
  <c r="E136" i="8"/>
  <c r="F136" i="8"/>
  <c r="G136" i="8"/>
  <c r="B137" i="8" a="1"/>
  <c r="B137" i="8" s="1"/>
  <c r="C137" i="8"/>
  <c r="D137" i="8"/>
  <c r="E137" i="8"/>
  <c r="F137" i="8"/>
  <c r="G137" i="8"/>
  <c r="C138" i="8"/>
  <c r="B138" i="8" s="1" a="1"/>
  <c r="B138" i="8" s="1"/>
  <c r="D138" i="8"/>
  <c r="E138" i="8"/>
  <c r="F138" i="8"/>
  <c r="G138" i="8"/>
  <c r="C139" i="8"/>
  <c r="B139" i="8" s="1" a="1"/>
  <c r="B139" i="8" s="1"/>
  <c r="D139" i="8"/>
  <c r="E139" i="8"/>
  <c r="F139" i="8"/>
  <c r="G139" i="8"/>
  <c r="B140" i="8" a="1"/>
  <c r="B140" i="8"/>
  <c r="C140" i="8"/>
  <c r="D140" i="8"/>
  <c r="E140" i="8"/>
  <c r="F140" i="8"/>
  <c r="G140" i="8"/>
  <c r="B141" i="8" a="1"/>
  <c r="B141" i="8" s="1"/>
  <c r="C141" i="8"/>
  <c r="D141" i="8"/>
  <c r="E141" i="8"/>
  <c r="F141" i="8"/>
  <c r="G141" i="8"/>
  <c r="B142" i="8" a="1"/>
  <c r="B142" i="8"/>
  <c r="C142" i="8"/>
  <c r="D142" i="8"/>
  <c r="E142" i="8"/>
  <c r="F142" i="8"/>
  <c r="G142" i="8"/>
  <c r="C143" i="8"/>
  <c r="B143" i="8" s="1" a="1"/>
  <c r="B143" i="8" s="1"/>
  <c r="D143" i="8"/>
  <c r="E143" i="8"/>
  <c r="F143" i="8"/>
  <c r="G143" i="8"/>
  <c r="B144" i="8" a="1"/>
  <c r="B144" i="8"/>
  <c r="C144" i="8"/>
  <c r="D144" i="8"/>
  <c r="E144" i="8"/>
  <c r="F144" i="8"/>
  <c r="G144" i="8"/>
  <c r="B145" i="8" a="1"/>
  <c r="B145" i="8" s="1"/>
  <c r="C145" i="8"/>
  <c r="D145" i="8"/>
  <c r="E145" i="8"/>
  <c r="F145" i="8"/>
  <c r="G145" i="8"/>
  <c r="C146" i="8"/>
  <c r="B146" i="8" s="1" a="1"/>
  <c r="B146" i="8" s="1"/>
  <c r="D146" i="8"/>
  <c r="E146" i="8"/>
  <c r="F146" i="8"/>
  <c r="G146" i="8"/>
  <c r="C147" i="8"/>
  <c r="B147" i="8" s="1" a="1"/>
  <c r="B147" i="8" s="1"/>
  <c r="D147" i="8"/>
  <c r="E147" i="8"/>
  <c r="F147" i="8"/>
  <c r="G147" i="8"/>
  <c r="B148" i="8" a="1"/>
  <c r="B148" i="8"/>
  <c r="C148" i="8"/>
  <c r="D148" i="8"/>
  <c r="E148" i="8"/>
  <c r="F148" i="8"/>
  <c r="G148" i="8"/>
  <c r="B149" i="8" a="1"/>
  <c r="B149" i="8" s="1"/>
  <c r="C149" i="8"/>
  <c r="D149" i="8"/>
  <c r="E149" i="8"/>
  <c r="F149" i="8"/>
  <c r="G149" i="8"/>
  <c r="B150" i="8" a="1"/>
  <c r="B150" i="8"/>
  <c r="C150" i="8"/>
  <c r="D150" i="8"/>
  <c r="E150" i="8"/>
  <c r="F150" i="8"/>
  <c r="G150" i="8"/>
  <c r="C151" i="8"/>
  <c r="B151" i="8" s="1" a="1"/>
  <c r="B151" i="8" s="1"/>
  <c r="D151" i="8"/>
  <c r="E151" i="8"/>
  <c r="F151" i="8"/>
  <c r="G151" i="8"/>
  <c r="B152" i="8" a="1"/>
  <c r="B152" i="8"/>
  <c r="C152" i="8"/>
  <c r="D152" i="8"/>
  <c r="E152" i="8"/>
  <c r="F152" i="8"/>
  <c r="G152" i="8"/>
  <c r="B153" i="8" a="1"/>
  <c r="B153" i="8" s="1"/>
  <c r="C153" i="8"/>
  <c r="D153" i="8"/>
  <c r="E153" i="8"/>
  <c r="F153" i="8"/>
  <c r="G153" i="8"/>
  <c r="C154" i="8"/>
  <c r="B154" i="8" s="1" a="1"/>
  <c r="B154" i="8" s="1"/>
  <c r="D154" i="8"/>
  <c r="E154" i="8"/>
  <c r="F154" i="8"/>
  <c r="G154" i="8"/>
  <c r="C155" i="8"/>
  <c r="B155" i="8" s="1" a="1"/>
  <c r="B155" i="8" s="1"/>
  <c r="D155" i="8"/>
  <c r="E155" i="8"/>
  <c r="F155" i="8"/>
  <c r="G155" i="8"/>
  <c r="B156" i="8" a="1"/>
  <c r="B156" i="8"/>
  <c r="C156" i="8"/>
  <c r="D156" i="8"/>
  <c r="E156" i="8"/>
  <c r="F156" i="8"/>
  <c r="G156" i="8"/>
  <c r="B157" i="8" a="1"/>
  <c r="B157" i="8" s="1"/>
  <c r="C157" i="8"/>
  <c r="D157" i="8"/>
  <c r="E157" i="8"/>
  <c r="F157" i="8"/>
  <c r="G157" i="8"/>
  <c r="B158" i="8" a="1"/>
  <c r="B158" i="8"/>
  <c r="C158" i="8"/>
  <c r="D158" i="8"/>
  <c r="E158" i="8"/>
  <c r="F158" i="8"/>
  <c r="G158" i="8"/>
  <c r="C159" i="8"/>
  <c r="B159" i="8" s="1" a="1"/>
  <c r="B159" i="8" s="1"/>
  <c r="D159" i="8"/>
  <c r="E159" i="8"/>
  <c r="F159" i="8"/>
  <c r="G159" i="8"/>
  <c r="B160" i="8" a="1"/>
  <c r="B160" i="8"/>
  <c r="C160" i="8"/>
  <c r="D160" i="8"/>
  <c r="E160" i="8"/>
  <c r="F160" i="8"/>
  <c r="G160" i="8"/>
  <c r="B161" i="8" a="1"/>
  <c r="B161" i="8" s="1"/>
  <c r="C161" i="8"/>
  <c r="D161" i="8"/>
  <c r="E161" i="8"/>
  <c r="F161" i="8"/>
  <c r="G161" i="8"/>
  <c r="C162" i="8"/>
  <c r="B162" i="8" s="1" a="1"/>
  <c r="B162" i="8" s="1"/>
  <c r="D162" i="8"/>
  <c r="E162" i="8"/>
  <c r="F162" i="8"/>
  <c r="G162" i="8"/>
  <c r="C163" i="8"/>
  <c r="B163" i="8" s="1" a="1"/>
  <c r="B163" i="8" s="1"/>
  <c r="D163" i="8"/>
  <c r="E163" i="8"/>
  <c r="F163" i="8"/>
  <c r="G163" i="8"/>
  <c r="B164" i="8" a="1"/>
  <c r="B164" i="8"/>
  <c r="C164" i="8"/>
  <c r="D164" i="8"/>
  <c r="E164" i="8"/>
  <c r="F164" i="8"/>
  <c r="G164" i="8"/>
  <c r="B165" i="8" a="1"/>
  <c r="B165" i="8" s="1"/>
  <c r="C165" i="8"/>
  <c r="D165" i="8"/>
  <c r="E165" i="8"/>
  <c r="F165" i="8"/>
  <c r="G165" i="8"/>
  <c r="B166" i="8" a="1"/>
  <c r="B166" i="8"/>
  <c r="C166" i="8"/>
  <c r="D166" i="8"/>
  <c r="E166" i="8"/>
  <c r="F166" i="8"/>
  <c r="G166" i="8"/>
  <c r="C167" i="8"/>
  <c r="B167" i="8" s="1" a="1"/>
  <c r="B167" i="8" s="1"/>
  <c r="D167" i="8"/>
  <c r="E167" i="8"/>
  <c r="F167" i="8"/>
  <c r="G167" i="8"/>
  <c r="B168" i="8" a="1"/>
  <c r="B168" i="8"/>
  <c r="C168" i="8"/>
  <c r="D168" i="8"/>
  <c r="E168" i="8"/>
  <c r="F168" i="8"/>
  <c r="G168" i="8"/>
  <c r="B169" i="8" a="1"/>
  <c r="B169" i="8" s="1"/>
  <c r="C169" i="8"/>
  <c r="D169" i="8"/>
  <c r="E169" i="8"/>
  <c r="F169" i="8"/>
  <c r="G169" i="8"/>
  <c r="C170" i="8"/>
  <c r="B170" i="8" s="1" a="1"/>
  <c r="B170" i="8" s="1"/>
  <c r="D170" i="8"/>
  <c r="E170" i="8"/>
  <c r="F170" i="8"/>
  <c r="G170" i="8"/>
  <c r="C171" i="8"/>
  <c r="B171" i="8" s="1" a="1"/>
  <c r="B171" i="8" s="1"/>
  <c r="D171" i="8"/>
  <c r="E171" i="8"/>
  <c r="F171" i="8"/>
  <c r="G171" i="8"/>
  <c r="B172" i="8" a="1"/>
  <c r="B172" i="8"/>
  <c r="C172" i="8"/>
  <c r="D172" i="8"/>
  <c r="E172" i="8"/>
  <c r="F172" i="8"/>
  <c r="G172" i="8"/>
  <c r="B173" i="8" a="1"/>
  <c r="B173" i="8" s="1"/>
  <c r="C173" i="8"/>
  <c r="D173" i="8"/>
  <c r="E173" i="8"/>
  <c r="F173" i="8"/>
  <c r="G173" i="8"/>
  <c r="B174" i="8" a="1"/>
  <c r="B174" i="8"/>
  <c r="C174" i="8"/>
  <c r="D174" i="8"/>
  <c r="E174" i="8"/>
  <c r="F174" i="8"/>
  <c r="G174" i="8"/>
  <c r="C175" i="8"/>
  <c r="B175" i="8" s="1" a="1"/>
  <c r="B175" i="8" s="1"/>
  <c r="D175" i="8"/>
  <c r="E175" i="8"/>
  <c r="F175" i="8"/>
  <c r="G175" i="8"/>
  <c r="B176" i="8" a="1"/>
  <c r="B176" i="8"/>
  <c r="C176" i="8"/>
  <c r="D176" i="8"/>
  <c r="E176" i="8"/>
  <c r="F176" i="8"/>
  <c r="G176" i="8"/>
  <c r="B177" i="8" a="1"/>
  <c r="B177" i="8" s="1"/>
  <c r="C177" i="8"/>
  <c r="D177" i="8"/>
  <c r="E177" i="8"/>
  <c r="F177" i="8"/>
  <c r="G177" i="8"/>
  <c r="C178" i="8"/>
  <c r="B178" i="8" s="1" a="1"/>
  <c r="B178" i="8" s="1"/>
  <c r="D178" i="8"/>
  <c r="E178" i="8"/>
  <c r="F178" i="8"/>
  <c r="G178" i="8"/>
  <c r="C179" i="8"/>
  <c r="B179" i="8" s="1" a="1"/>
  <c r="B179" i="8" s="1"/>
  <c r="D179" i="8"/>
  <c r="E179" i="8"/>
  <c r="F179" i="8"/>
  <c r="G179" i="8"/>
  <c r="B180" i="8" a="1"/>
  <c r="B180" i="8"/>
  <c r="C180" i="8"/>
  <c r="D180" i="8"/>
  <c r="E180" i="8"/>
  <c r="F180" i="8"/>
  <c r="G180" i="8"/>
  <c r="B181" i="8" a="1"/>
  <c r="B181" i="8" s="1"/>
  <c r="C181" i="8"/>
  <c r="D181" i="8"/>
  <c r="E181" i="8"/>
  <c r="F181" i="8"/>
  <c r="G181" i="8"/>
  <c r="B182" i="8" a="1"/>
  <c r="B182" i="8"/>
  <c r="C182" i="8"/>
  <c r="D182" i="8"/>
  <c r="E182" i="8"/>
  <c r="F182" i="8"/>
  <c r="G182" i="8"/>
  <c r="C183" i="8"/>
  <c r="B183" i="8" s="1" a="1"/>
  <c r="B183" i="8" s="1"/>
  <c r="D183" i="8"/>
  <c r="E183" i="8"/>
  <c r="F183" i="8"/>
  <c r="G183" i="8"/>
  <c r="B184" i="8" a="1"/>
  <c r="B184" i="8"/>
  <c r="C184" i="8"/>
  <c r="D184" i="8"/>
  <c r="E184" i="8"/>
  <c r="F184" i="8"/>
  <c r="G184" i="8"/>
  <c r="B185" i="8" a="1"/>
  <c r="B185" i="8" s="1"/>
  <c r="C185" i="8"/>
  <c r="D185" i="8"/>
  <c r="E185" i="8"/>
  <c r="F185" i="8"/>
  <c r="G185" i="8"/>
  <c r="C186" i="8"/>
  <c r="B186" i="8" s="1" a="1"/>
  <c r="B186" i="8" s="1"/>
  <c r="D186" i="8"/>
  <c r="E186" i="8"/>
  <c r="F186" i="8"/>
  <c r="G186" i="8"/>
  <c r="C187" i="8"/>
  <c r="B187" i="8" s="1" a="1"/>
  <c r="B187" i="8" s="1"/>
  <c r="D187" i="8"/>
  <c r="E187" i="8"/>
  <c r="F187" i="8"/>
  <c r="G187" i="8"/>
  <c r="B188" i="8" a="1"/>
  <c r="B188" i="8"/>
  <c r="C188" i="8"/>
  <c r="D188" i="8"/>
  <c r="E188" i="8"/>
  <c r="F188" i="8"/>
  <c r="G188" i="8"/>
  <c r="B189" i="8" a="1"/>
  <c r="B189" i="8" s="1"/>
  <c r="C189" i="8"/>
  <c r="D189" i="8"/>
  <c r="E189" i="8"/>
  <c r="F189" i="8"/>
  <c r="G189" i="8"/>
  <c r="B190" i="8" a="1"/>
  <c r="B190" i="8"/>
  <c r="C190" i="8"/>
  <c r="D190" i="8"/>
  <c r="E190" i="8"/>
  <c r="F190" i="8"/>
  <c r="G190" i="8"/>
  <c r="C191" i="8"/>
  <c r="B191" i="8" s="1" a="1"/>
  <c r="B191" i="8" s="1"/>
  <c r="D191" i="8"/>
  <c r="E191" i="8"/>
  <c r="F191" i="8"/>
  <c r="G191" i="8"/>
  <c r="B192" i="8" a="1"/>
  <c r="B192" i="8"/>
  <c r="C192" i="8"/>
  <c r="D192" i="8"/>
  <c r="E192" i="8"/>
  <c r="F192" i="8"/>
  <c r="G192" i="8"/>
  <c r="B193" i="8" a="1"/>
  <c r="B193" i="8" s="1"/>
  <c r="C193" i="8"/>
  <c r="D193" i="8"/>
  <c r="E193" i="8"/>
  <c r="F193" i="8"/>
  <c r="G193" i="8"/>
  <c r="C194" i="8"/>
  <c r="B194" i="8" s="1" a="1"/>
  <c r="B194" i="8" s="1"/>
  <c r="D194" i="8"/>
  <c r="E194" i="8"/>
  <c r="F194" i="8"/>
  <c r="G194" i="8"/>
  <c r="C195" i="8"/>
  <c r="B195" i="8" s="1" a="1"/>
  <c r="B195" i="8" s="1"/>
  <c r="D195" i="8"/>
  <c r="E195" i="8"/>
  <c r="F195" i="8"/>
  <c r="G195" i="8"/>
  <c r="B196" i="8" a="1"/>
  <c r="B196" i="8"/>
  <c r="C196" i="8"/>
  <c r="D196" i="8"/>
  <c r="E196" i="8"/>
  <c r="F196" i="8"/>
  <c r="G196" i="8"/>
  <c r="B197" i="8" a="1"/>
  <c r="B197" i="8" s="1"/>
  <c r="C197" i="8"/>
  <c r="D197" i="8"/>
  <c r="E197" i="8"/>
  <c r="F197" i="8"/>
  <c r="G197" i="8"/>
  <c r="B198" i="8" a="1"/>
  <c r="B198" i="8"/>
  <c r="C198" i="8"/>
  <c r="D198" i="8"/>
  <c r="E198" i="8"/>
  <c r="F198" i="8"/>
  <c r="G198" i="8"/>
  <c r="B199" i="8" a="1"/>
  <c r="B199" i="8"/>
  <c r="C199" i="8"/>
  <c r="D199" i="8"/>
  <c r="E199" i="8"/>
  <c r="F199" i="8"/>
  <c r="G199" i="8"/>
  <c r="B200" i="8" a="1"/>
  <c r="B200" i="8"/>
  <c r="C200" i="8"/>
  <c r="D200" i="8"/>
  <c r="E200" i="8"/>
  <c r="F200" i="8"/>
  <c r="G200" i="8"/>
  <c r="D5" i="8"/>
  <c r="X15" i="12" l="1"/>
  <c r="C5" i="23"/>
  <c r="B5" i="23" s="1" a="1"/>
  <c r="B5" i="23" s="1"/>
  <c r="C5" i="8"/>
  <c r="B5" i="8" s="1" a="1"/>
  <c r="B5" i="8" s="1"/>
  <c r="BB5" i="3"/>
  <c r="C7" i="15" l="1"/>
  <c r="J129" i="14"/>
  <c r="J130" i="14"/>
  <c r="J131" i="14"/>
  <c r="J132" i="14"/>
  <c r="J133" i="14"/>
  <c r="J128" i="14"/>
  <c r="J127" i="14"/>
  <c r="D127" i="14"/>
  <c r="N127" i="14"/>
  <c r="D128" i="14"/>
  <c r="N128" i="14"/>
  <c r="D129" i="14"/>
  <c r="N129" i="14"/>
  <c r="D130" i="14"/>
  <c r="N130" i="14"/>
  <c r="D131" i="14"/>
  <c r="N131" i="14"/>
  <c r="D132" i="14"/>
  <c r="N132" i="14"/>
  <c r="D133" i="14"/>
  <c r="N133" i="14"/>
  <c r="D4" i="14"/>
  <c r="D5" i="14"/>
  <c r="D6" i="14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35" i="14"/>
  <c r="D36" i="14"/>
  <c r="D37" i="14"/>
  <c r="D38" i="14"/>
  <c r="D39" i="14"/>
  <c r="D40" i="14"/>
  <c r="D41" i="14"/>
  <c r="D42" i="14"/>
  <c r="D43" i="14"/>
  <c r="D44" i="14"/>
  <c r="D45" i="14"/>
  <c r="D46" i="14"/>
  <c r="D47" i="14"/>
  <c r="D48" i="14"/>
  <c r="D49" i="14"/>
  <c r="D50" i="14"/>
  <c r="D51" i="14"/>
  <c r="D52" i="14"/>
  <c r="D53" i="14"/>
  <c r="D54" i="14"/>
  <c r="D55" i="14"/>
  <c r="D56" i="14"/>
  <c r="D57" i="14"/>
  <c r="D58" i="14"/>
  <c r="D59" i="14"/>
  <c r="D60" i="14"/>
  <c r="D61" i="14"/>
  <c r="D62" i="14"/>
  <c r="D63" i="14"/>
  <c r="D64" i="14"/>
  <c r="D65" i="14"/>
  <c r="D66" i="14"/>
  <c r="D67" i="14"/>
  <c r="D68" i="14"/>
  <c r="D69" i="14"/>
  <c r="D70" i="14"/>
  <c r="D71" i="14"/>
  <c r="D72" i="14"/>
  <c r="D73" i="14"/>
  <c r="D74" i="14"/>
  <c r="D75" i="14"/>
  <c r="D76" i="14"/>
  <c r="D77" i="14"/>
  <c r="D78" i="14"/>
  <c r="D79" i="14"/>
  <c r="D80" i="14"/>
  <c r="D81" i="14"/>
  <c r="D82" i="14"/>
  <c r="D83" i="14"/>
  <c r="D84" i="14"/>
  <c r="D85" i="14"/>
  <c r="D86" i="14"/>
  <c r="D87" i="14"/>
  <c r="D88" i="14"/>
  <c r="D89" i="14"/>
  <c r="D90" i="14"/>
  <c r="D91" i="14"/>
  <c r="D92" i="14"/>
  <c r="D93" i="14"/>
  <c r="D94" i="14"/>
  <c r="D95" i="14"/>
  <c r="D96" i="14"/>
  <c r="D97" i="14"/>
  <c r="D98" i="14"/>
  <c r="D99" i="14"/>
  <c r="D100" i="14"/>
  <c r="D101" i="14"/>
  <c r="D102" i="14"/>
  <c r="D103" i="14"/>
  <c r="D104" i="14"/>
  <c r="D105" i="14"/>
  <c r="D106" i="14"/>
  <c r="D107" i="14"/>
  <c r="D108" i="14"/>
  <c r="D109" i="14"/>
  <c r="D110" i="14"/>
  <c r="D111" i="14"/>
  <c r="D112" i="14"/>
  <c r="D113" i="14"/>
  <c r="D114" i="14"/>
  <c r="D115" i="14"/>
  <c r="D116" i="14"/>
  <c r="D117" i="14"/>
  <c r="D118" i="14"/>
  <c r="D119" i="14"/>
  <c r="D120" i="14"/>
  <c r="D121" i="14"/>
  <c r="D122" i="14"/>
  <c r="D123" i="14"/>
  <c r="D124" i="14"/>
  <c r="D125" i="14"/>
  <c r="D126" i="14"/>
  <c r="D3" i="14"/>
  <c r="A126" i="19"/>
  <c r="A125" i="19"/>
  <c r="A124" i="19"/>
  <c r="A123" i="19"/>
  <c r="A122" i="19"/>
  <c r="A121" i="19"/>
  <c r="A120" i="19"/>
  <c r="A119" i="19"/>
  <c r="A118" i="19"/>
  <c r="A117" i="19"/>
  <c r="A116" i="19"/>
  <c r="A115" i="19"/>
  <c r="A114" i="19"/>
  <c r="A113" i="19"/>
  <c r="A112" i="19"/>
  <c r="A111" i="19"/>
  <c r="A110" i="19"/>
  <c r="A109" i="19"/>
  <c r="A108" i="19"/>
  <c r="A107" i="19"/>
  <c r="A106" i="19"/>
  <c r="A105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4" i="19"/>
  <c r="A3" i="19"/>
  <c r="A2" i="19"/>
  <c r="A3" i="3"/>
  <c r="A4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2" i="3"/>
  <c r="L15" i="20" l="1"/>
  <c r="L16" i="20"/>
  <c r="L9" i="20"/>
  <c r="L10" i="20"/>
  <c r="L20" i="20"/>
  <c r="L18" i="20"/>
  <c r="L6" i="20"/>
  <c r="L14" i="20"/>
  <c r="L7" i="20"/>
  <c r="L17" i="20"/>
  <c r="L5" i="20"/>
  <c r="L21" i="20"/>
  <c r="L13" i="20"/>
  <c r="L30" i="20"/>
  <c r="L23" i="20"/>
  <c r="L11" i="20"/>
  <c r="L26" i="20"/>
  <c r="L12" i="20"/>
  <c r="L24" i="20"/>
  <c r="L32" i="20"/>
  <c r="L25" i="20"/>
  <c r="L33" i="20"/>
  <c r="L31" i="20"/>
  <c r="L28" i="20"/>
  <c r="L8" i="20"/>
  <c r="L41" i="20"/>
  <c r="L29" i="20"/>
  <c r="L4" i="20"/>
  <c r="L38" i="20"/>
  <c r="L27" i="20"/>
  <c r="L35" i="20"/>
  <c r="L42" i="20"/>
  <c r="L37" i="20"/>
  <c r="L22" i="20"/>
  <c r="L36" i="20"/>
  <c r="L34" i="20"/>
  <c r="L43" i="20"/>
  <c r="L39" i="20"/>
  <c r="L40" i="20"/>
  <c r="L44" i="20"/>
  <c r="L45" i="20"/>
  <c r="L46" i="20"/>
  <c r="L47" i="20"/>
  <c r="L48" i="20"/>
  <c r="L49" i="20"/>
  <c r="L50" i="20"/>
  <c r="L51" i="20"/>
  <c r="L52" i="20"/>
  <c r="L53" i="20"/>
  <c r="L54" i="20"/>
  <c r="L55" i="20"/>
  <c r="L56" i="20"/>
  <c r="L57" i="20"/>
  <c r="L58" i="20"/>
  <c r="L59" i="20"/>
  <c r="L60" i="20"/>
  <c r="L63" i="20"/>
  <c r="L64" i="20"/>
  <c r="L65" i="20"/>
  <c r="L66" i="20"/>
  <c r="L19" i="20"/>
  <c r="N3" i="14" l="1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18" i="14"/>
  <c r="N19" i="14"/>
  <c r="N20" i="14"/>
  <c r="O20" i="14" s="1"/>
  <c r="N21" i="14"/>
  <c r="N22" i="14"/>
  <c r="O22" i="14" s="1"/>
  <c r="N23" i="14"/>
  <c r="N24" i="14"/>
  <c r="N25" i="14"/>
  <c r="N26" i="14"/>
  <c r="O26" i="14" s="1"/>
  <c r="N27" i="14"/>
  <c r="N28" i="14"/>
  <c r="O28" i="14" s="1"/>
  <c r="N29" i="14"/>
  <c r="N30" i="14"/>
  <c r="N31" i="14"/>
  <c r="N32" i="14"/>
  <c r="O32" i="14" s="1"/>
  <c r="N33" i="14"/>
  <c r="N34" i="14"/>
  <c r="N35" i="14"/>
  <c r="N36" i="14"/>
  <c r="N37" i="14"/>
  <c r="O37" i="14" s="1"/>
  <c r="N38" i="14"/>
  <c r="O38" i="14" s="1"/>
  <c r="N39" i="14"/>
  <c r="N40" i="14"/>
  <c r="N41" i="14"/>
  <c r="O41" i="14" s="1"/>
  <c r="N42" i="14"/>
  <c r="N43" i="14"/>
  <c r="O43" i="14" s="1"/>
  <c r="N44" i="14"/>
  <c r="N45" i="14"/>
  <c r="O45" i="14" s="1"/>
  <c r="N46" i="14"/>
  <c r="N47" i="14"/>
  <c r="N48" i="14"/>
  <c r="N49" i="14"/>
  <c r="O49" i="14" s="1"/>
  <c r="N50" i="14"/>
  <c r="O50" i="14" s="1"/>
  <c r="N51" i="14"/>
  <c r="O51" i="14" s="1"/>
  <c r="N52" i="14"/>
  <c r="O52" i="14" s="1"/>
  <c r="N53" i="14"/>
  <c r="O53" i="14" s="1"/>
  <c r="N54" i="14"/>
  <c r="O54" i="14" s="1"/>
  <c r="N55" i="14"/>
  <c r="N56" i="14"/>
  <c r="N57" i="14"/>
  <c r="O57" i="14" s="1"/>
  <c r="N58" i="14"/>
  <c r="O58" i="14" s="1"/>
  <c r="N59" i="14"/>
  <c r="N60" i="14"/>
  <c r="N61" i="14"/>
  <c r="N62" i="14"/>
  <c r="O62" i="14" s="1"/>
  <c r="N63" i="14"/>
  <c r="N64" i="14"/>
  <c r="N65" i="14"/>
  <c r="O65" i="14" s="1"/>
  <c r="N66" i="14"/>
  <c r="O66" i="14" s="1"/>
  <c r="N67" i="14"/>
  <c r="O67" i="14" s="1"/>
  <c r="N68" i="14"/>
  <c r="O68" i="14" s="1"/>
  <c r="N69" i="14"/>
  <c r="N70" i="14"/>
  <c r="O70" i="14" s="1"/>
  <c r="N71" i="14"/>
  <c r="N72" i="14"/>
  <c r="O72" i="14" s="1"/>
  <c r="N73" i="14"/>
  <c r="O73" i="14" s="1"/>
  <c r="N74" i="14"/>
  <c r="O74" i="14" s="1"/>
  <c r="N75" i="14"/>
  <c r="O75" i="14" s="1"/>
  <c r="N76" i="14"/>
  <c r="O76" i="14" s="1"/>
  <c r="N77" i="14"/>
  <c r="O77" i="14" s="1"/>
  <c r="N78" i="14"/>
  <c r="O78" i="14" s="1"/>
  <c r="N79" i="14"/>
  <c r="O79" i="14" s="1"/>
  <c r="N80" i="14"/>
  <c r="N81" i="14"/>
  <c r="O81" i="14" s="1"/>
  <c r="N82" i="14"/>
  <c r="O82" i="14" s="1"/>
  <c r="N83" i="14"/>
  <c r="O83" i="14" s="1"/>
  <c r="N84" i="14"/>
  <c r="O84" i="14" s="1"/>
  <c r="N85" i="14"/>
  <c r="O85" i="14" s="1"/>
  <c r="N86" i="14"/>
  <c r="N87" i="14"/>
  <c r="O87" i="14" s="1"/>
  <c r="N88" i="14"/>
  <c r="O88" i="14" s="1"/>
  <c r="N89" i="14"/>
  <c r="O89" i="14" s="1"/>
  <c r="N90" i="14"/>
  <c r="O90" i="14" s="1"/>
  <c r="N91" i="14"/>
  <c r="O91" i="14" s="1"/>
  <c r="N92" i="14"/>
  <c r="N93" i="14"/>
  <c r="O93" i="14" s="1"/>
  <c r="N94" i="14"/>
  <c r="O94" i="14" s="1"/>
  <c r="N95" i="14"/>
  <c r="N96" i="14"/>
  <c r="N97" i="14"/>
  <c r="O97" i="14" s="1"/>
  <c r="N98" i="14"/>
  <c r="O98" i="14" s="1"/>
  <c r="N99" i="14"/>
  <c r="O99" i="14" s="1"/>
  <c r="N100" i="14"/>
  <c r="O100" i="14" s="1"/>
  <c r="N101" i="14"/>
  <c r="O101" i="14" s="1"/>
  <c r="N102" i="14"/>
  <c r="O102" i="14" s="1"/>
  <c r="N103" i="14"/>
  <c r="O103" i="14" s="1"/>
  <c r="N104" i="14"/>
  <c r="N105" i="14"/>
  <c r="O105" i="14" s="1"/>
  <c r="N106" i="14"/>
  <c r="O106" i="14" s="1"/>
  <c r="N107" i="14"/>
  <c r="O107" i="14" s="1"/>
  <c r="N108" i="14"/>
  <c r="O108" i="14" s="1"/>
  <c r="N109" i="14"/>
  <c r="O109" i="14" s="1"/>
  <c r="N110" i="14"/>
  <c r="O110" i="14" s="1"/>
  <c r="N111" i="14"/>
  <c r="O111" i="14" s="1"/>
  <c r="N112" i="14"/>
  <c r="O112" i="14" s="1"/>
  <c r="N113" i="14"/>
  <c r="O113" i="14" s="1"/>
  <c r="N114" i="14"/>
  <c r="O114" i="14" s="1"/>
  <c r="N115" i="14"/>
  <c r="O115" i="14" s="1"/>
  <c r="N116" i="14"/>
  <c r="O116" i="14" s="1"/>
  <c r="N117" i="14"/>
  <c r="O117" i="14" s="1"/>
  <c r="N118" i="14"/>
  <c r="O118" i="14" s="1"/>
  <c r="N119" i="14"/>
  <c r="O119" i="14" s="1"/>
  <c r="N120" i="14"/>
  <c r="O120" i="14" s="1"/>
  <c r="N121" i="14"/>
  <c r="O121" i="14" s="1"/>
  <c r="N122" i="14"/>
  <c r="O122" i="14" s="1"/>
  <c r="N123" i="14"/>
  <c r="O123" i="14" s="1"/>
  <c r="N124" i="14"/>
  <c r="O124" i="14" s="1"/>
  <c r="N125" i="14"/>
  <c r="O125" i="14" s="1"/>
  <c r="J4" i="23" l="1"/>
  <c r="C4" i="23"/>
  <c r="J3" i="23"/>
  <c r="C3" i="23"/>
  <c r="J2" i="23"/>
  <c r="K2" i="23" s="1"/>
  <c r="L2" i="23" s="1"/>
  <c r="M2" i="23" s="1"/>
  <c r="N2" i="23" s="1"/>
  <c r="O2" i="23" s="1"/>
  <c r="P2" i="23" s="1"/>
  <c r="Q2" i="23" s="1"/>
  <c r="R2" i="23" s="1"/>
  <c r="S2" i="23" s="1"/>
  <c r="T2" i="23" s="1"/>
  <c r="U2" i="23" s="1"/>
  <c r="V2" i="23" s="1"/>
  <c r="W2" i="23" s="1"/>
  <c r="X2" i="23" s="1"/>
  <c r="Y2" i="23" s="1"/>
  <c r="Z2" i="23" s="1"/>
  <c r="AA2" i="23" s="1"/>
  <c r="AB2" i="23" s="1"/>
  <c r="AC2" i="23" s="1"/>
  <c r="AD2" i="23" s="1"/>
  <c r="AE2" i="23" s="1"/>
  <c r="AF2" i="23" s="1"/>
  <c r="AG2" i="23" s="1"/>
  <c r="AH2" i="23" s="1"/>
  <c r="AI2" i="23" s="1"/>
  <c r="AJ2" i="23" s="1"/>
  <c r="AK2" i="23" s="1"/>
  <c r="AL2" i="23" s="1"/>
  <c r="AM2" i="23" s="1"/>
  <c r="AN2" i="23" s="1"/>
  <c r="AO2" i="23" s="1"/>
  <c r="AP2" i="23" s="1"/>
  <c r="AQ2" i="23" s="1"/>
  <c r="AR2" i="23" s="1"/>
  <c r="AS2" i="23" s="1"/>
  <c r="AT2" i="23" s="1"/>
  <c r="AU2" i="23" s="1"/>
  <c r="AV2" i="23" s="1"/>
  <c r="AW2" i="23" s="1"/>
  <c r="AX2" i="23" s="1"/>
  <c r="AY2" i="23" s="1"/>
  <c r="AZ2" i="23" s="1"/>
  <c r="BA2" i="23" s="1"/>
  <c r="BB2" i="23" s="1"/>
  <c r="BC2" i="23" s="1"/>
  <c r="BD2" i="23" s="1"/>
  <c r="BE2" i="23" s="1"/>
  <c r="BF2" i="23" s="1"/>
  <c r="BG2" i="23" s="1"/>
  <c r="BH2" i="23" s="1"/>
  <c r="C2" i="23"/>
  <c r="A2" i="23"/>
  <c r="A3" i="23" s="1"/>
  <c r="A4" i="23" s="1"/>
  <c r="J1" i="23"/>
  <c r="F1" i="23"/>
  <c r="H62" i="20" l="1"/>
  <c r="H55" i="20"/>
  <c r="K1" i="23"/>
  <c r="L1" i="23" s="1"/>
  <c r="M1" i="23" s="1"/>
  <c r="N1" i="23" s="1"/>
  <c r="O1" i="23" s="1"/>
  <c r="P1" i="23" s="1"/>
  <c r="Q1" i="23" s="1"/>
  <c r="R1" i="23" s="1"/>
  <c r="S1" i="23" s="1"/>
  <c r="T1" i="23" s="1"/>
  <c r="U1" i="23" s="1"/>
  <c r="V1" i="23" s="1"/>
  <c r="W1" i="23" s="1"/>
  <c r="X1" i="23" s="1"/>
  <c r="Y1" i="23" s="1"/>
  <c r="Z1" i="23" s="1"/>
  <c r="AA1" i="23" s="1"/>
  <c r="AB1" i="23" s="1"/>
  <c r="AC1" i="23" s="1"/>
  <c r="AD1" i="23" s="1"/>
  <c r="AE1" i="23" s="1"/>
  <c r="AF1" i="23" s="1"/>
  <c r="AG1" i="23" s="1"/>
  <c r="AH1" i="23" s="1"/>
  <c r="AI1" i="23" s="1"/>
  <c r="AJ1" i="23" s="1"/>
  <c r="AK1" i="23" s="1"/>
  <c r="AL1" i="23" s="1"/>
  <c r="AM1" i="23" s="1"/>
  <c r="AN1" i="23" s="1"/>
  <c r="AO1" i="23" s="1"/>
  <c r="AP1" i="23" s="1"/>
  <c r="AQ1" i="23" s="1"/>
  <c r="AR1" i="23" s="1"/>
  <c r="AS1" i="23" s="1"/>
  <c r="AT1" i="23" s="1"/>
  <c r="AU1" i="23" s="1"/>
  <c r="AV1" i="23" s="1"/>
  <c r="AW1" i="23" s="1"/>
  <c r="AX1" i="23" s="1"/>
  <c r="AY1" i="23" s="1"/>
  <c r="AZ1" i="23" s="1"/>
  <c r="BA1" i="23" s="1"/>
  <c r="BB1" i="23" s="1"/>
  <c r="BC1" i="23" s="1"/>
  <c r="BD1" i="23" s="1"/>
  <c r="BE1" i="23" s="1"/>
  <c r="BF1" i="23" s="1"/>
  <c r="BG1" i="23" s="1"/>
  <c r="BH1" i="23" s="1"/>
  <c r="BI1" i="23" s="1"/>
  <c r="BJ1" i="23" s="1"/>
  <c r="BK1" i="23" s="1"/>
  <c r="BL1" i="23" s="1"/>
  <c r="BM1" i="23" s="1"/>
  <c r="BN1" i="23" s="1"/>
  <c r="BO1" i="23" s="1"/>
  <c r="BP1" i="23" s="1"/>
  <c r="BQ1" i="23" s="1"/>
  <c r="BR1" i="23" s="1"/>
  <c r="BS1" i="23" s="1"/>
  <c r="BT1" i="23" s="1"/>
  <c r="BU1" i="23" s="1"/>
  <c r="BV1" i="23" s="1"/>
  <c r="BW1" i="23" s="1"/>
  <c r="BX1" i="23" s="1"/>
  <c r="BY1" i="23" s="1"/>
  <c r="BZ1" i="23" s="1"/>
  <c r="CA1" i="23" s="1"/>
  <c r="CB1" i="23" s="1"/>
  <c r="CC1" i="23" s="1"/>
  <c r="CD1" i="23" s="1"/>
  <c r="CE1" i="23" s="1"/>
  <c r="CF1" i="23" s="1"/>
  <c r="CG1" i="23" s="1"/>
  <c r="CH1" i="23" s="1"/>
  <c r="CI1" i="23" s="1"/>
  <c r="CJ1" i="23" s="1"/>
  <c r="CK1" i="23" s="1"/>
  <c r="CL1" i="23" s="1"/>
  <c r="CM1" i="23" s="1"/>
  <c r="CN1" i="23" s="1"/>
  <c r="CO1" i="23" s="1"/>
  <c r="CP1" i="23" s="1"/>
  <c r="CQ1" i="23" s="1"/>
  <c r="CR1" i="23" s="1"/>
  <c r="CS1" i="23" s="1"/>
  <c r="CT1" i="23" s="1"/>
  <c r="CU1" i="23" s="1"/>
  <c r="CV1" i="23" s="1"/>
  <c r="CW1" i="23" s="1"/>
  <c r="CX1" i="23" s="1"/>
  <c r="CY1" i="23" s="1"/>
  <c r="CZ1" i="23" s="1"/>
  <c r="DA1" i="23" s="1"/>
  <c r="DB1" i="23" s="1"/>
  <c r="DC1" i="23" s="1"/>
  <c r="DD1" i="23" s="1"/>
  <c r="DE1" i="23" s="1"/>
  <c r="DF1" i="23" s="1"/>
  <c r="DG1" i="23" s="1"/>
  <c r="DH1" i="23" s="1"/>
  <c r="DI1" i="23" s="1"/>
  <c r="DJ1" i="23" s="1"/>
  <c r="DK1" i="23" s="1"/>
  <c r="DL1" i="23" s="1"/>
  <c r="DM1" i="23" s="1"/>
  <c r="DN1" i="23" s="1"/>
  <c r="DO1" i="23" s="1"/>
  <c r="DP1" i="23" s="1"/>
  <c r="DQ1" i="23" s="1"/>
  <c r="DR1" i="23" s="1"/>
  <c r="DS1" i="23" s="1"/>
  <c r="DT1" i="23" s="1"/>
  <c r="DU1" i="23" s="1"/>
  <c r="DV1" i="23" s="1"/>
  <c r="DW1" i="23" s="1"/>
  <c r="DX1" i="23" s="1"/>
  <c r="DY1" i="23" s="1"/>
  <c r="DZ1" i="23" s="1"/>
  <c r="EA1" i="23" s="1"/>
  <c r="EB1" i="23" s="1"/>
  <c r="EC1" i="23" s="1"/>
  <c r="ED1" i="23" s="1"/>
  <c r="EE1" i="23" s="1"/>
  <c r="EF1" i="23" s="1"/>
  <c r="EG1" i="23" s="1"/>
  <c r="EH1" i="23" s="1"/>
  <c r="EI1" i="23" s="1"/>
  <c r="EJ1" i="23" s="1"/>
  <c r="EK1" i="23" s="1"/>
  <c r="EL1" i="23" s="1"/>
  <c r="EM1" i="23" s="1"/>
  <c r="EN1" i="23" s="1"/>
  <c r="EO1" i="23" s="1"/>
  <c r="EP1" i="23" s="1"/>
  <c r="EQ1" i="23" s="1"/>
  <c r="ER1" i="23" s="1"/>
  <c r="ES1" i="23" s="1"/>
  <c r="ET1" i="23" s="1"/>
  <c r="EU1" i="23" s="1"/>
  <c r="EV1" i="23" s="1"/>
  <c r="EW1" i="23" s="1"/>
  <c r="EX1" i="23" s="1"/>
  <c r="EY1" i="23" s="1"/>
  <c r="EZ1" i="23" s="1"/>
  <c r="FA1" i="23" s="1"/>
  <c r="FB1" i="23" s="1"/>
  <c r="FC1" i="23" s="1"/>
  <c r="FD1" i="23" s="1"/>
  <c r="FE1" i="23" s="1"/>
  <c r="FF1" i="23" s="1"/>
  <c r="FG1" i="23" s="1"/>
  <c r="FH1" i="23" s="1"/>
  <c r="FI1" i="23" s="1"/>
  <c r="FJ1" i="23" s="1"/>
  <c r="FK1" i="23" s="1"/>
  <c r="FL1" i="23" s="1"/>
  <c r="FM1" i="23" s="1"/>
  <c r="FN1" i="23" s="1"/>
  <c r="FO1" i="23" s="1"/>
  <c r="FP1" i="23" s="1"/>
  <c r="FQ1" i="23" s="1"/>
  <c r="FR1" i="23" s="1"/>
  <c r="FS1" i="23" s="1"/>
  <c r="FT1" i="23" s="1"/>
  <c r="FU1" i="23" s="1"/>
  <c r="FV1" i="23" s="1"/>
  <c r="FW1" i="23" s="1"/>
  <c r="FX1" i="23" s="1"/>
  <c r="FY1" i="23" s="1"/>
  <c r="FZ1" i="23" s="1"/>
  <c r="GA1" i="23" s="1"/>
  <c r="GB1" i="23" s="1"/>
  <c r="GC1" i="23" s="1"/>
  <c r="GD1" i="23" s="1"/>
  <c r="GE1" i="23" s="1"/>
  <c r="GF1" i="23" s="1"/>
  <c r="GG1" i="23" s="1"/>
  <c r="GH1" i="23" s="1"/>
  <c r="GI1" i="23" s="1"/>
  <c r="GJ1" i="23" s="1"/>
  <c r="GK1" i="23" s="1"/>
  <c r="GL1" i="23" s="1"/>
  <c r="GM1" i="23" s="1"/>
  <c r="GN1" i="23" s="1"/>
  <c r="GO1" i="23" s="1"/>
  <c r="GP1" i="23" s="1"/>
  <c r="GQ1" i="23" s="1"/>
  <c r="GR1" i="23" s="1"/>
  <c r="GS1" i="23" s="1"/>
  <c r="GT1" i="23" s="1"/>
  <c r="GU1" i="23" s="1"/>
  <c r="GV1" i="23" s="1"/>
  <c r="GW1" i="23" s="1"/>
  <c r="GX1" i="23" s="1"/>
  <c r="GY1" i="23" s="1"/>
  <c r="GZ1" i="23" s="1"/>
  <c r="HA1" i="23" s="1"/>
  <c r="HB1" i="23" s="1"/>
  <c r="HC1" i="23" s="1"/>
  <c r="HD1" i="23" s="1"/>
  <c r="HE1" i="23" s="1"/>
  <c r="HF1" i="23" s="1"/>
  <c r="HG1" i="23" s="1"/>
  <c r="HH1" i="23" s="1"/>
  <c r="HI1" i="23" s="1"/>
  <c r="HJ1" i="23" s="1"/>
  <c r="HK1" i="23" s="1"/>
  <c r="HL1" i="23" s="1"/>
  <c r="HM1" i="23" s="1"/>
  <c r="HN1" i="23" s="1"/>
  <c r="HO1" i="23" s="1"/>
  <c r="HP1" i="23" s="1"/>
  <c r="HQ1" i="23" s="1"/>
  <c r="HR1" i="23" s="1"/>
  <c r="HS1" i="23" s="1"/>
  <c r="HT1" i="23" s="1"/>
  <c r="HU1" i="23" s="1"/>
  <c r="HV1" i="23" s="1"/>
  <c r="HW1" i="23" s="1"/>
  <c r="HX1" i="23" s="1"/>
  <c r="HY1" i="23" s="1"/>
  <c r="HZ1" i="23" s="1"/>
  <c r="IA1" i="23" s="1"/>
  <c r="IB1" i="23" s="1"/>
  <c r="IC1" i="23" s="1"/>
  <c r="ID1" i="23" s="1"/>
  <c r="IE1" i="23" s="1"/>
  <c r="IF1" i="23" s="1"/>
  <c r="IG1" i="23" s="1"/>
  <c r="IH1" i="23" s="1"/>
  <c r="II1" i="23" s="1"/>
  <c r="IJ1" i="23" s="1"/>
  <c r="IK1" i="23" s="1"/>
  <c r="IL1" i="23" s="1"/>
  <c r="IM1" i="23" s="1"/>
  <c r="IN1" i="23" s="1"/>
  <c r="IO1" i="23" s="1"/>
  <c r="IP1" i="23" s="1"/>
  <c r="IQ1" i="23" s="1"/>
  <c r="IR1" i="23" s="1"/>
  <c r="IS1" i="23" s="1"/>
  <c r="IT1" i="23" s="1"/>
  <c r="IU1" i="23" s="1"/>
  <c r="IV1" i="23" s="1"/>
  <c r="IW1" i="23" s="1"/>
  <c r="IX1" i="23" s="1"/>
  <c r="IY1" i="23" s="1"/>
  <c r="IZ1" i="23" s="1"/>
  <c r="JA1" i="23" s="1"/>
  <c r="JB1" i="23" s="1"/>
  <c r="JC1" i="23" s="1"/>
  <c r="JD1" i="23" s="1"/>
  <c r="JE1" i="23" s="1"/>
  <c r="JF1" i="23" s="1"/>
  <c r="JG1" i="23" s="1"/>
  <c r="JH1" i="23" s="1"/>
  <c r="JI1" i="23" s="1"/>
  <c r="JJ1" i="23" s="1"/>
  <c r="JK1" i="23" s="1"/>
  <c r="JL1" i="23" s="1"/>
  <c r="JM1" i="23" s="1"/>
  <c r="JN1" i="23" s="1"/>
  <c r="JO1" i="23" s="1"/>
  <c r="JP1" i="23" s="1"/>
  <c r="JQ1" i="23" s="1"/>
  <c r="JR1" i="23" s="1"/>
  <c r="JS1" i="23" s="1"/>
  <c r="JT1" i="23" s="1"/>
  <c r="JU1" i="23" s="1"/>
  <c r="JV1" i="23" s="1"/>
  <c r="JW1" i="23" s="1"/>
  <c r="JX1" i="23" s="1"/>
  <c r="JY1" i="23" s="1"/>
  <c r="JZ1" i="23" s="1"/>
  <c r="KA1" i="23" s="1"/>
  <c r="KB1" i="23" s="1"/>
  <c r="KC1" i="23" s="1"/>
  <c r="KD1" i="23" s="1"/>
  <c r="KE1" i="23" s="1"/>
  <c r="KF1" i="23" s="1"/>
  <c r="KG1" i="23" s="1"/>
  <c r="KH1" i="23" s="1"/>
  <c r="KI1" i="23" s="1"/>
  <c r="KJ1" i="23" s="1"/>
  <c r="KK1" i="23" s="1"/>
  <c r="KL1" i="23" s="1"/>
  <c r="KM1" i="23" s="1"/>
  <c r="KN1" i="23" s="1"/>
  <c r="KO1" i="23" s="1"/>
  <c r="KP1" i="23" s="1"/>
  <c r="KQ1" i="23" s="1"/>
  <c r="KR1" i="23" s="1"/>
  <c r="KS1" i="23" s="1"/>
  <c r="KT1" i="23" s="1"/>
  <c r="KU1" i="23" s="1"/>
  <c r="H34" i="20"/>
  <c r="H4" i="20"/>
  <c r="H58" i="20"/>
  <c r="H61" i="20"/>
  <c r="D2" i="23"/>
  <c r="K3" i="23"/>
  <c r="L3" i="23" s="1"/>
  <c r="M3" i="23" s="1"/>
  <c r="N3" i="23" s="1"/>
  <c r="O3" i="23" s="1"/>
  <c r="P3" i="23" s="1"/>
  <c r="Q3" i="23" s="1"/>
  <c r="R3" i="23" s="1"/>
  <c r="S3" i="23" s="1"/>
  <c r="T3" i="23" s="1"/>
  <c r="U3" i="23" s="1"/>
  <c r="V3" i="23" s="1"/>
  <c r="W3" i="23" s="1"/>
  <c r="X3" i="23" s="1"/>
  <c r="Y3" i="23" s="1"/>
  <c r="Z3" i="23" s="1"/>
  <c r="AA3" i="23" s="1"/>
  <c r="AB3" i="23" s="1"/>
  <c r="AC3" i="23" s="1"/>
  <c r="AD3" i="23" s="1"/>
  <c r="AE3" i="23" s="1"/>
  <c r="AF3" i="23" s="1"/>
  <c r="AG3" i="23" s="1"/>
  <c r="AH3" i="23" s="1"/>
  <c r="AI3" i="23" s="1"/>
  <c r="AJ3" i="23" s="1"/>
  <c r="AK3" i="23" s="1"/>
  <c r="AL3" i="23" s="1"/>
  <c r="AM3" i="23" s="1"/>
  <c r="AN3" i="23" s="1"/>
  <c r="AO3" i="23" s="1"/>
  <c r="AP3" i="23" s="1"/>
  <c r="AQ3" i="23" s="1"/>
  <c r="AR3" i="23" s="1"/>
  <c r="AS3" i="23" s="1"/>
  <c r="AT3" i="23" s="1"/>
  <c r="AU3" i="23" s="1"/>
  <c r="AV3" i="23" s="1"/>
  <c r="AW3" i="23" s="1"/>
  <c r="AX3" i="23" s="1"/>
  <c r="AY3" i="23" s="1"/>
  <c r="AZ3" i="23" s="1"/>
  <c r="BA3" i="23" s="1"/>
  <c r="BB3" i="23" s="1"/>
  <c r="BC3" i="23" s="1"/>
  <c r="BD3" i="23" s="1"/>
  <c r="BE3" i="23" s="1"/>
  <c r="BF3" i="23" s="1"/>
  <c r="BG3" i="23" s="1"/>
  <c r="BH3" i="23" s="1"/>
  <c r="K4" i="23"/>
  <c r="E3" i="23" l="1"/>
  <c r="D3" i="23"/>
  <c r="F3" i="23"/>
  <c r="F2" i="23"/>
  <c r="E2" i="23"/>
  <c r="L4" i="23"/>
  <c r="C32" i="13"/>
  <c r="G3" i="23" l="1"/>
  <c r="G2" i="23"/>
  <c r="M4" i="23"/>
  <c r="B44" i="15"/>
  <c r="N4" i="23" l="1"/>
  <c r="O4" i="23" l="1"/>
  <c r="P4" i="23" l="1"/>
  <c r="J4" i="8"/>
  <c r="J3" i="8"/>
  <c r="J64" i="20"/>
  <c r="J65" i="20"/>
  <c r="J66" i="20"/>
  <c r="O5" i="20" a="1"/>
  <c r="O5" i="20" s="1"/>
  <c r="O6" i="20" a="1"/>
  <c r="O6" i="20" s="1"/>
  <c r="O7" i="20" a="1"/>
  <c r="O7" i="20" s="1"/>
  <c r="O8" i="20" a="1"/>
  <c r="O8" i="20" s="1"/>
  <c r="O9" i="20" a="1"/>
  <c r="O9" i="20" s="1"/>
  <c r="O10" i="20" a="1"/>
  <c r="O10" i="20" s="1"/>
  <c r="O11" i="20" a="1"/>
  <c r="O11" i="20" s="1"/>
  <c r="O12" i="20" a="1"/>
  <c r="O12" i="20" s="1"/>
  <c r="O13" i="20" a="1"/>
  <c r="O13" i="20" s="1"/>
  <c r="O14" i="20" a="1"/>
  <c r="O14" i="20" s="1"/>
  <c r="O15" i="20" a="1"/>
  <c r="O15" i="20" s="1"/>
  <c r="O16" i="20" a="1"/>
  <c r="O16" i="20" s="1"/>
  <c r="O17" i="20" a="1"/>
  <c r="O17" i="20" s="1"/>
  <c r="O18" i="20" a="1"/>
  <c r="O18" i="20" s="1"/>
  <c r="O19" i="20" a="1"/>
  <c r="O19" i="20" s="1"/>
  <c r="O20" i="20" a="1"/>
  <c r="O20" i="20" s="1"/>
  <c r="O21" i="20" a="1"/>
  <c r="O21" i="20" s="1"/>
  <c r="O22" i="20" a="1"/>
  <c r="O22" i="20" s="1"/>
  <c r="O23" i="20" a="1"/>
  <c r="O23" i="20" s="1"/>
  <c r="O24" i="20" a="1"/>
  <c r="O24" i="20" s="1"/>
  <c r="O25" i="20" a="1"/>
  <c r="O25" i="20" s="1"/>
  <c r="O26" i="20" a="1"/>
  <c r="O26" i="20" s="1"/>
  <c r="O27" i="20" a="1"/>
  <c r="O27" i="20" s="1"/>
  <c r="O28" i="20" a="1"/>
  <c r="O28" i="20" s="1"/>
  <c r="O29" i="20" a="1"/>
  <c r="O29" i="20" s="1"/>
  <c r="O30" i="20" a="1"/>
  <c r="O30" i="20" s="1"/>
  <c r="O31" i="20" a="1"/>
  <c r="O31" i="20" s="1"/>
  <c r="O32" i="20" a="1"/>
  <c r="O32" i="20" s="1"/>
  <c r="O33" i="20" a="1"/>
  <c r="O33" i="20" s="1"/>
  <c r="O34" i="20" a="1"/>
  <c r="O34" i="20" s="1"/>
  <c r="O35" i="20" a="1"/>
  <c r="O35" i="20" s="1"/>
  <c r="O36" i="20" a="1"/>
  <c r="O36" i="20" s="1"/>
  <c r="O37" i="20" a="1"/>
  <c r="O37" i="20" s="1"/>
  <c r="O38" i="20" a="1"/>
  <c r="O38" i="20" s="1"/>
  <c r="O39" i="20" a="1"/>
  <c r="O39" i="20" s="1"/>
  <c r="O40" i="20" a="1"/>
  <c r="O40" i="20" s="1"/>
  <c r="O41" i="20" a="1"/>
  <c r="O41" i="20" s="1"/>
  <c r="O42" i="20" a="1"/>
  <c r="O42" i="20" s="1"/>
  <c r="O43" i="20" a="1"/>
  <c r="O43" i="20" s="1"/>
  <c r="O44" i="20" a="1"/>
  <c r="O44" i="20" s="1"/>
  <c r="O45" i="20" a="1"/>
  <c r="O45" i="20" s="1"/>
  <c r="O46" i="20" a="1"/>
  <c r="O46" i="20" s="1"/>
  <c r="O47" i="20" a="1"/>
  <c r="O47" i="20" s="1"/>
  <c r="O48" i="20" a="1"/>
  <c r="O48" i="20" s="1"/>
  <c r="O49" i="20" a="1"/>
  <c r="O49" i="20" s="1"/>
  <c r="O50" i="20" a="1"/>
  <c r="O50" i="20" s="1"/>
  <c r="O51" i="20" a="1"/>
  <c r="O51" i="20" s="1"/>
  <c r="O52" i="20" a="1"/>
  <c r="O52" i="20" s="1"/>
  <c r="O53" i="20" a="1"/>
  <c r="O53" i="20" s="1"/>
  <c r="O54" i="20" a="1"/>
  <c r="O54" i="20" s="1"/>
  <c r="O55" i="20" a="1"/>
  <c r="O55" i="20" s="1"/>
  <c r="O56" i="20" a="1"/>
  <c r="O56" i="20" s="1"/>
  <c r="O57" i="20" a="1"/>
  <c r="O57" i="20" s="1"/>
  <c r="O58" i="20" a="1"/>
  <c r="O58" i="20" s="1"/>
  <c r="O59" i="20" a="1"/>
  <c r="O59" i="20" s="1"/>
  <c r="O60" i="20" a="1"/>
  <c r="O60" i="20" s="1"/>
  <c r="O61" i="20" a="1"/>
  <c r="O61" i="20" s="1"/>
  <c r="O62" i="20" a="1"/>
  <c r="O62" i="20" s="1"/>
  <c r="O63" i="20" a="1"/>
  <c r="O63" i="20" s="1"/>
  <c r="O64" i="20" a="1"/>
  <c r="O64" i="20" s="1"/>
  <c r="O65" i="20" a="1"/>
  <c r="O65" i="20" s="1"/>
  <c r="O66" i="20" a="1"/>
  <c r="O66" i="20" s="1"/>
  <c r="O4" i="20" a="1"/>
  <c r="O4" i="20" s="1"/>
  <c r="B2" i="13"/>
  <c r="M10" i="20"/>
  <c r="H5" i="13" l="1"/>
  <c r="C24" i="13"/>
  <c r="C23" i="13"/>
  <c r="C16" i="13"/>
  <c r="C19" i="13"/>
  <c r="G5" i="13"/>
  <c r="Q4" i="23"/>
  <c r="B35" i="13"/>
  <c r="K3" i="8"/>
  <c r="L3" i="8" s="1"/>
  <c r="M3" i="8" s="1"/>
  <c r="N3" i="8" s="1"/>
  <c r="O3" i="8" s="1"/>
  <c r="P3" i="8" s="1"/>
  <c r="Q3" i="8" s="1"/>
  <c r="R3" i="8" s="1"/>
  <c r="S3" i="8" s="1"/>
  <c r="T3" i="8" s="1"/>
  <c r="U3" i="8" s="1"/>
  <c r="V3" i="8" s="1"/>
  <c r="W3" i="8" s="1"/>
  <c r="X3" i="8" s="1"/>
  <c r="Y3" i="8" s="1"/>
  <c r="Z3" i="8" s="1"/>
  <c r="AA3" i="8" s="1"/>
  <c r="AB3" i="8" s="1"/>
  <c r="AC3" i="8" s="1"/>
  <c r="AD3" i="8" s="1"/>
  <c r="AE3" i="8" s="1"/>
  <c r="AF3" i="8" s="1"/>
  <c r="AG3" i="8" s="1"/>
  <c r="AH3" i="8" s="1"/>
  <c r="AI3" i="8" s="1"/>
  <c r="AJ3" i="8" s="1"/>
  <c r="AK3" i="8" s="1"/>
  <c r="AL3" i="8" s="1"/>
  <c r="AM3" i="8" s="1"/>
  <c r="AN3" i="8" s="1"/>
  <c r="AO3" i="8" s="1"/>
  <c r="AP3" i="8" s="1"/>
  <c r="AQ3" i="8" s="1"/>
  <c r="AR3" i="8" s="1"/>
  <c r="AS3" i="8" s="1"/>
  <c r="AT3" i="8" s="1"/>
  <c r="AU3" i="8" s="1"/>
  <c r="AV3" i="8" s="1"/>
  <c r="AW3" i="8" s="1"/>
  <c r="AX3" i="8" s="1"/>
  <c r="AY3" i="8" s="1"/>
  <c r="AZ3" i="8" s="1"/>
  <c r="BA3" i="8" s="1"/>
  <c r="BB3" i="8" s="1"/>
  <c r="BC3" i="8" s="1"/>
  <c r="BD3" i="8" s="1"/>
  <c r="BE3" i="8" s="1"/>
  <c r="BF3" i="8" s="1"/>
  <c r="BG3" i="8" s="1"/>
  <c r="BH3" i="8" s="1"/>
  <c r="K4" i="8"/>
  <c r="L4" i="8" s="1"/>
  <c r="M4" i="8" s="1"/>
  <c r="N4" i="8" s="1"/>
  <c r="O4" i="8" s="1"/>
  <c r="P4" i="8" s="1"/>
  <c r="Q4" i="8" s="1"/>
  <c r="R4" i="8" s="1"/>
  <c r="S4" i="8" s="1"/>
  <c r="T4" i="8" s="1"/>
  <c r="U4" i="8" s="1"/>
  <c r="V4" i="8" s="1"/>
  <c r="W4" i="8" s="1"/>
  <c r="X4" i="8" s="1"/>
  <c r="Y4" i="8" s="1"/>
  <c r="Z4" i="8" s="1"/>
  <c r="AA4" i="8" s="1"/>
  <c r="AB4" i="8" s="1"/>
  <c r="AC4" i="8" s="1"/>
  <c r="AD4" i="8" s="1"/>
  <c r="AE4" i="8" s="1"/>
  <c r="AF4" i="8" s="1"/>
  <c r="AG4" i="8" s="1"/>
  <c r="AH4" i="8" s="1"/>
  <c r="AI4" i="8" s="1"/>
  <c r="AJ4" i="8" s="1"/>
  <c r="AK4" i="8" s="1"/>
  <c r="AL4" i="8" s="1"/>
  <c r="AM4" i="8" s="1"/>
  <c r="AN4" i="8" s="1"/>
  <c r="AO4" i="8" s="1"/>
  <c r="AP4" i="8" s="1"/>
  <c r="AQ4" i="8" s="1"/>
  <c r="AR4" i="8" s="1"/>
  <c r="AS4" i="8" s="1"/>
  <c r="AT4" i="8" s="1"/>
  <c r="AU4" i="8" s="1"/>
  <c r="AV4" i="8" s="1"/>
  <c r="AW4" i="8" s="1"/>
  <c r="AX4" i="8" s="1"/>
  <c r="AY4" i="8" s="1"/>
  <c r="AZ4" i="8" s="1"/>
  <c r="BA4" i="8" s="1"/>
  <c r="BB4" i="8" s="1"/>
  <c r="BC4" i="8" s="1"/>
  <c r="BD4" i="8" s="1"/>
  <c r="BE4" i="8" s="1"/>
  <c r="BF4" i="8" s="1"/>
  <c r="BG4" i="8" s="1"/>
  <c r="BH4" i="8" s="1"/>
  <c r="M33" i="20"/>
  <c r="M51" i="20"/>
  <c r="M50" i="20"/>
  <c r="M56" i="20"/>
  <c r="M16" i="20"/>
  <c r="M4" i="20"/>
  <c r="M12" i="20"/>
  <c r="M30" i="20"/>
  <c r="M21" i="20"/>
  <c r="M43" i="20"/>
  <c r="M24" i="20"/>
  <c r="M25" i="20"/>
  <c r="M26" i="20"/>
  <c r="M53" i="20"/>
  <c r="M6" i="20"/>
  <c r="M55" i="20"/>
  <c r="C2" i="13"/>
  <c r="C3" i="8"/>
  <c r="C4" i="8"/>
  <c r="D4" i="8" l="1"/>
  <c r="D3" i="8"/>
  <c r="B27" i="15"/>
  <c r="B49" i="15"/>
  <c r="G8" i="13"/>
  <c r="H13" i="13"/>
  <c r="R4" i="23"/>
  <c r="S4" i="23" s="1"/>
  <c r="T4" i="23" s="1"/>
  <c r="U4" i="23" s="1"/>
  <c r="V4" i="23" s="1"/>
  <c r="W4" i="23" s="1"/>
  <c r="X4" i="23" s="1"/>
  <c r="Y4" i="23" s="1"/>
  <c r="Z4" i="23" s="1"/>
  <c r="AA4" i="23" s="1"/>
  <c r="AB4" i="23" s="1"/>
  <c r="AC4" i="23" s="1"/>
  <c r="AD4" i="23" s="1"/>
  <c r="AE4" i="23" s="1"/>
  <c r="AF4" i="23" s="1"/>
  <c r="AG4" i="23" s="1"/>
  <c r="AH4" i="23" s="1"/>
  <c r="AI4" i="23" s="1"/>
  <c r="AJ4" i="23" s="1"/>
  <c r="AK4" i="23" s="1"/>
  <c r="AL4" i="23" s="1"/>
  <c r="AM4" i="23" s="1"/>
  <c r="AN4" i="23" s="1"/>
  <c r="AO4" i="23" s="1"/>
  <c r="AP4" i="23" s="1"/>
  <c r="AQ4" i="23" s="1"/>
  <c r="AR4" i="23" s="1"/>
  <c r="AS4" i="23" s="1"/>
  <c r="AT4" i="23" s="1"/>
  <c r="AU4" i="23" s="1"/>
  <c r="AV4" i="23" s="1"/>
  <c r="AW4" i="23" s="1"/>
  <c r="AX4" i="23" s="1"/>
  <c r="AY4" i="23" s="1"/>
  <c r="AZ4" i="23" s="1"/>
  <c r="BA4" i="23" s="1"/>
  <c r="BB4" i="23" s="1"/>
  <c r="BC4" i="23" s="1"/>
  <c r="BD4" i="23" s="1"/>
  <c r="BE4" i="23" s="1"/>
  <c r="BF4" i="23" s="1"/>
  <c r="BG4" i="23" s="1"/>
  <c r="BH4" i="23" s="1"/>
  <c r="IM19" i="13"/>
  <c r="IE19" i="13"/>
  <c r="HW19" i="13"/>
  <c r="HO19" i="13"/>
  <c r="HG19" i="13"/>
  <c r="GY19" i="13"/>
  <c r="GQ19" i="13"/>
  <c r="GI19" i="13"/>
  <c r="GA19" i="13"/>
  <c r="FS19" i="13"/>
  <c r="FK19" i="13"/>
  <c r="FC19" i="13"/>
  <c r="EU19" i="13"/>
  <c r="EM19" i="13"/>
  <c r="EE19" i="13"/>
  <c r="DW19" i="13"/>
  <c r="DO19" i="13"/>
  <c r="DG19" i="13"/>
  <c r="CY19" i="13"/>
  <c r="CQ19" i="13"/>
  <c r="CI19" i="13"/>
  <c r="CA19" i="13"/>
  <c r="BS19" i="13"/>
  <c r="BK19" i="13"/>
  <c r="BC19" i="13"/>
  <c r="AU19" i="13"/>
  <c r="AM19" i="13"/>
  <c r="AE19" i="13"/>
  <c r="W19" i="13"/>
  <c r="O19" i="13"/>
  <c r="HH19" i="13"/>
  <c r="BD19" i="13"/>
  <c r="IL19" i="13"/>
  <c r="ID19" i="13"/>
  <c r="HV19" i="13"/>
  <c r="HN19" i="13"/>
  <c r="HF19" i="13"/>
  <c r="GX19" i="13"/>
  <c r="GP19" i="13"/>
  <c r="GH19" i="13"/>
  <c r="FZ19" i="13"/>
  <c r="FR19" i="13"/>
  <c r="FJ19" i="13"/>
  <c r="FB19" i="13"/>
  <c r="ET19" i="13"/>
  <c r="EL19" i="13"/>
  <c r="ED19" i="13"/>
  <c r="DV19" i="13"/>
  <c r="DN19" i="13"/>
  <c r="DF19" i="13"/>
  <c r="CX19" i="13"/>
  <c r="CP19" i="13"/>
  <c r="CH19" i="13"/>
  <c r="BZ19" i="13"/>
  <c r="BR19" i="13"/>
  <c r="BJ19" i="13"/>
  <c r="BB19" i="13"/>
  <c r="AT19" i="13"/>
  <c r="AL19" i="13"/>
  <c r="AD19" i="13"/>
  <c r="V19" i="13"/>
  <c r="N19" i="13"/>
  <c r="G19" i="13"/>
  <c r="IN19" i="13"/>
  <c r="IK19" i="13"/>
  <c r="IC19" i="13"/>
  <c r="HU19" i="13"/>
  <c r="HM19" i="13"/>
  <c r="HE19" i="13"/>
  <c r="GW19" i="13"/>
  <c r="GO19" i="13"/>
  <c r="GG19" i="13"/>
  <c r="FY19" i="13"/>
  <c r="FQ19" i="13"/>
  <c r="FI19" i="13"/>
  <c r="FA19" i="13"/>
  <c r="ES19" i="13"/>
  <c r="EK19" i="13"/>
  <c r="EC19" i="13"/>
  <c r="DU19" i="13"/>
  <c r="DM19" i="13"/>
  <c r="DE19" i="13"/>
  <c r="CW19" i="13"/>
  <c r="CO19" i="13"/>
  <c r="CG19" i="13"/>
  <c r="BY19" i="13"/>
  <c r="BQ19" i="13"/>
  <c r="BI19" i="13"/>
  <c r="BA19" i="13"/>
  <c r="AS19" i="13"/>
  <c r="AK19" i="13"/>
  <c r="AC19" i="13"/>
  <c r="U19" i="13"/>
  <c r="M19" i="13"/>
  <c r="IF19" i="13"/>
  <c r="GB19" i="13"/>
  <c r="FD19" i="13"/>
  <c r="EN19" i="13"/>
  <c r="DX19" i="13"/>
  <c r="CZ19" i="13"/>
  <c r="CJ19" i="13"/>
  <c r="AN19" i="13"/>
  <c r="X19" i="13"/>
  <c r="IJ19" i="13"/>
  <c r="IB19" i="13"/>
  <c r="HT19" i="13"/>
  <c r="HL19" i="13"/>
  <c r="HD19" i="13"/>
  <c r="GV19" i="13"/>
  <c r="GN19" i="13"/>
  <c r="GF19" i="13"/>
  <c r="FX19" i="13"/>
  <c r="FP19" i="13"/>
  <c r="FH19" i="13"/>
  <c r="EZ19" i="13"/>
  <c r="ER19" i="13"/>
  <c r="EJ19" i="13"/>
  <c r="EB19" i="13"/>
  <c r="DT19" i="13"/>
  <c r="DL19" i="13"/>
  <c r="DD19" i="13"/>
  <c r="CV19" i="13"/>
  <c r="CN19" i="13"/>
  <c r="CF19" i="13"/>
  <c r="BX19" i="13"/>
  <c r="BP19" i="13"/>
  <c r="BH19" i="13"/>
  <c r="AZ19" i="13"/>
  <c r="AR19" i="13"/>
  <c r="AJ19" i="13"/>
  <c r="AB19" i="13"/>
  <c r="T19" i="13"/>
  <c r="L19" i="13"/>
  <c r="HX19" i="13"/>
  <c r="BT19" i="13"/>
  <c r="H19" i="13"/>
  <c r="II19" i="13"/>
  <c r="IA19" i="13"/>
  <c r="HS19" i="13"/>
  <c r="HK19" i="13"/>
  <c r="HC19" i="13"/>
  <c r="GU19" i="13"/>
  <c r="GM19" i="13"/>
  <c r="GE19" i="13"/>
  <c r="FW19" i="13"/>
  <c r="FO19" i="13"/>
  <c r="FG19" i="13"/>
  <c r="EY19" i="13"/>
  <c r="EQ19" i="13"/>
  <c r="EI19" i="13"/>
  <c r="EA19" i="13"/>
  <c r="DS19" i="13"/>
  <c r="DK19" i="13"/>
  <c r="DC19" i="13"/>
  <c r="CU19" i="13"/>
  <c r="CM19" i="13"/>
  <c r="CE19" i="13"/>
  <c r="BW19" i="13"/>
  <c r="BO19" i="13"/>
  <c r="BG19" i="13"/>
  <c r="AY19" i="13"/>
  <c r="AQ19" i="13"/>
  <c r="AI19" i="13"/>
  <c r="AA19" i="13"/>
  <c r="S19" i="13"/>
  <c r="K19" i="13"/>
  <c r="HP19" i="13"/>
  <c r="BL19" i="13"/>
  <c r="IH19" i="13"/>
  <c r="HZ19" i="13"/>
  <c r="HR19" i="13"/>
  <c r="HJ19" i="13"/>
  <c r="HB19" i="13"/>
  <c r="GT19" i="13"/>
  <c r="GL19" i="13"/>
  <c r="GD19" i="13"/>
  <c r="FV19" i="13"/>
  <c r="FN19" i="13"/>
  <c r="FF19" i="13"/>
  <c r="EX19" i="13"/>
  <c r="EP19" i="13"/>
  <c r="EH19" i="13"/>
  <c r="DZ19" i="13"/>
  <c r="DR19" i="13"/>
  <c r="DJ19" i="13"/>
  <c r="DB19" i="13"/>
  <c r="CT19" i="13"/>
  <c r="CL19" i="13"/>
  <c r="CD19" i="13"/>
  <c r="BV19" i="13"/>
  <c r="BN19" i="13"/>
  <c r="BF19" i="13"/>
  <c r="AX19" i="13"/>
  <c r="AP19" i="13"/>
  <c r="AH19" i="13"/>
  <c r="Z19" i="13"/>
  <c r="R19" i="13"/>
  <c r="J19" i="13"/>
  <c r="GZ19" i="13"/>
  <c r="GJ19" i="13"/>
  <c r="FT19" i="13"/>
  <c r="FL19" i="13"/>
  <c r="EV19" i="13"/>
  <c r="EF19" i="13"/>
  <c r="DP19" i="13"/>
  <c r="DH19" i="13"/>
  <c r="CR19" i="13"/>
  <c r="AV19" i="13"/>
  <c r="AF19" i="13"/>
  <c r="P19" i="13"/>
  <c r="IG19" i="13"/>
  <c r="HY19" i="13"/>
  <c r="HQ19" i="13"/>
  <c r="HI19" i="13"/>
  <c r="HA19" i="13"/>
  <c r="GS19" i="13"/>
  <c r="GK19" i="13"/>
  <c r="GC19" i="13"/>
  <c r="FU19" i="13"/>
  <c r="FM19" i="13"/>
  <c r="FE19" i="13"/>
  <c r="EW19" i="13"/>
  <c r="EO19" i="13"/>
  <c r="EG19" i="13"/>
  <c r="DY19" i="13"/>
  <c r="DQ19" i="13"/>
  <c r="DI19" i="13"/>
  <c r="DA19" i="13"/>
  <c r="CS19" i="13"/>
  <c r="CK19" i="13"/>
  <c r="CC19" i="13"/>
  <c r="BU19" i="13"/>
  <c r="BM19" i="13"/>
  <c r="BE19" i="13"/>
  <c r="AW19" i="13"/>
  <c r="AO19" i="13"/>
  <c r="AG19" i="13"/>
  <c r="Y19" i="13"/>
  <c r="Q19" i="13"/>
  <c r="I19" i="13"/>
  <c r="GR19" i="13"/>
  <c r="CB19" i="13"/>
  <c r="B2" i="15"/>
  <c r="C3" i="19"/>
  <c r="D3" i="19"/>
  <c r="E3" i="19"/>
  <c r="F3" i="19"/>
  <c r="G3" i="19"/>
  <c r="H3" i="19"/>
  <c r="I3" i="19"/>
  <c r="J3" i="19"/>
  <c r="K3" i="19"/>
  <c r="L3" i="19"/>
  <c r="M3" i="19"/>
  <c r="N3" i="19"/>
  <c r="O3" i="19"/>
  <c r="P3" i="19"/>
  <c r="Q3" i="19"/>
  <c r="R3" i="19"/>
  <c r="S3" i="19"/>
  <c r="T3" i="19"/>
  <c r="U3" i="19"/>
  <c r="V3" i="19"/>
  <c r="W3" i="19"/>
  <c r="X3" i="19"/>
  <c r="Y3" i="19"/>
  <c r="Z3" i="19"/>
  <c r="AA3" i="19"/>
  <c r="AB3" i="19"/>
  <c r="AC3" i="19"/>
  <c r="AD3" i="19"/>
  <c r="AE3" i="19"/>
  <c r="AF3" i="19"/>
  <c r="AG3" i="19"/>
  <c r="AH3" i="19"/>
  <c r="AI3" i="19"/>
  <c r="AJ3" i="19"/>
  <c r="AK3" i="19"/>
  <c r="AL3" i="19"/>
  <c r="AM3" i="19"/>
  <c r="AN3" i="19"/>
  <c r="AO3" i="19"/>
  <c r="AP3" i="19"/>
  <c r="AQ3" i="19"/>
  <c r="AR3" i="19"/>
  <c r="AS3" i="19"/>
  <c r="AT3" i="19"/>
  <c r="AU3" i="19"/>
  <c r="AV3" i="19"/>
  <c r="AW3" i="19"/>
  <c r="AX3" i="19"/>
  <c r="AY3" i="19"/>
  <c r="AZ3" i="19"/>
  <c r="BB3" i="19"/>
  <c r="BC3" i="19"/>
  <c r="BD3" i="19"/>
  <c r="BE3" i="19"/>
  <c r="BF3" i="19"/>
  <c r="BG3" i="19"/>
  <c r="BH3" i="19"/>
  <c r="BI3" i="19"/>
  <c r="BJ3" i="19"/>
  <c r="BK3" i="19"/>
  <c r="BL3" i="19"/>
  <c r="BM3" i="19"/>
  <c r="BN3" i="19"/>
  <c r="BO3" i="19"/>
  <c r="BP3" i="19"/>
  <c r="BQ3" i="19"/>
  <c r="BR3" i="19"/>
  <c r="BS3" i="19"/>
  <c r="BT3" i="19"/>
  <c r="BU3" i="19"/>
  <c r="C4" i="19"/>
  <c r="D4" i="19"/>
  <c r="E4" i="19"/>
  <c r="F4" i="19"/>
  <c r="G4" i="19"/>
  <c r="H4" i="19"/>
  <c r="I4" i="19"/>
  <c r="J4" i="19"/>
  <c r="K4" i="19"/>
  <c r="L4" i="19"/>
  <c r="M4" i="19"/>
  <c r="N4" i="19"/>
  <c r="O4" i="19"/>
  <c r="P4" i="19"/>
  <c r="Q4" i="19"/>
  <c r="R4" i="19"/>
  <c r="S4" i="19"/>
  <c r="T4" i="19"/>
  <c r="U4" i="19"/>
  <c r="V4" i="19"/>
  <c r="W4" i="19"/>
  <c r="X4" i="19"/>
  <c r="Y4" i="19"/>
  <c r="Z4" i="19"/>
  <c r="AA4" i="19"/>
  <c r="AB4" i="19"/>
  <c r="AC4" i="19"/>
  <c r="AD4" i="19"/>
  <c r="AE4" i="19"/>
  <c r="AF4" i="19"/>
  <c r="AG4" i="19"/>
  <c r="AH4" i="19"/>
  <c r="AI4" i="19"/>
  <c r="AJ4" i="19"/>
  <c r="AK4" i="19"/>
  <c r="AL4" i="19"/>
  <c r="AM4" i="19"/>
  <c r="AN4" i="19"/>
  <c r="AO4" i="19"/>
  <c r="AP4" i="19"/>
  <c r="AQ4" i="19"/>
  <c r="AR4" i="19"/>
  <c r="AS4" i="19"/>
  <c r="AT4" i="19"/>
  <c r="AU4" i="19"/>
  <c r="AV4" i="19"/>
  <c r="AW4" i="19"/>
  <c r="AX4" i="19"/>
  <c r="AY4" i="19"/>
  <c r="AZ4" i="19"/>
  <c r="BA4" i="19"/>
  <c r="BB4" i="19"/>
  <c r="BC4" i="19"/>
  <c r="BD4" i="19"/>
  <c r="BE4" i="19"/>
  <c r="BF4" i="19"/>
  <c r="BG4" i="19"/>
  <c r="BH4" i="19"/>
  <c r="BI4" i="19"/>
  <c r="BJ4" i="19"/>
  <c r="BK4" i="19"/>
  <c r="BL4" i="19"/>
  <c r="BM4" i="19"/>
  <c r="BN4" i="19"/>
  <c r="BO4" i="19"/>
  <c r="BP4" i="19"/>
  <c r="BQ4" i="19"/>
  <c r="BR4" i="19"/>
  <c r="BS4" i="19"/>
  <c r="BT4" i="19"/>
  <c r="BU4" i="19"/>
  <c r="C5" i="19"/>
  <c r="D5" i="19"/>
  <c r="E5" i="19"/>
  <c r="F5" i="19"/>
  <c r="G5" i="19"/>
  <c r="H5" i="19"/>
  <c r="I5" i="19"/>
  <c r="J5" i="19"/>
  <c r="K5" i="19"/>
  <c r="L5" i="19"/>
  <c r="M5" i="19"/>
  <c r="N5" i="19"/>
  <c r="O5" i="19"/>
  <c r="P5" i="19"/>
  <c r="Q5" i="19"/>
  <c r="R5" i="19"/>
  <c r="S5" i="19"/>
  <c r="T5" i="19"/>
  <c r="U5" i="19"/>
  <c r="V5" i="19"/>
  <c r="W5" i="19"/>
  <c r="X5" i="19"/>
  <c r="Y5" i="19"/>
  <c r="Z5" i="19"/>
  <c r="AA5" i="19"/>
  <c r="AB5" i="19"/>
  <c r="AC5" i="19"/>
  <c r="AD5" i="19"/>
  <c r="AE5" i="19"/>
  <c r="AF5" i="19"/>
  <c r="AG5" i="19"/>
  <c r="AH5" i="19"/>
  <c r="AI5" i="19"/>
  <c r="AJ5" i="19"/>
  <c r="AK5" i="19"/>
  <c r="AL5" i="19"/>
  <c r="AM5" i="19"/>
  <c r="AN5" i="19"/>
  <c r="AO5" i="19"/>
  <c r="AP5" i="19"/>
  <c r="AQ5" i="19"/>
  <c r="AR5" i="19"/>
  <c r="AS5" i="19"/>
  <c r="AT5" i="19"/>
  <c r="AU5" i="19"/>
  <c r="AV5" i="19"/>
  <c r="AW5" i="19"/>
  <c r="AX5" i="19"/>
  <c r="AY5" i="19"/>
  <c r="AZ5" i="19"/>
  <c r="BA5" i="19"/>
  <c r="BB5" i="19"/>
  <c r="BC5" i="19"/>
  <c r="BD5" i="19"/>
  <c r="BE5" i="19"/>
  <c r="BF5" i="19"/>
  <c r="BG5" i="19"/>
  <c r="BH5" i="19"/>
  <c r="BI5" i="19"/>
  <c r="BJ5" i="19"/>
  <c r="BK5" i="19"/>
  <c r="BL5" i="19"/>
  <c r="BM5" i="19"/>
  <c r="BN5" i="19"/>
  <c r="BO5" i="19"/>
  <c r="BP5" i="19"/>
  <c r="BQ5" i="19"/>
  <c r="BR5" i="19"/>
  <c r="BS5" i="19"/>
  <c r="BT5" i="19"/>
  <c r="BU5" i="19"/>
  <c r="C6" i="19"/>
  <c r="D6" i="19"/>
  <c r="E6" i="19"/>
  <c r="F6" i="19"/>
  <c r="G6" i="19"/>
  <c r="H6" i="19"/>
  <c r="I6" i="19"/>
  <c r="J6" i="19"/>
  <c r="K6" i="19"/>
  <c r="L6" i="19"/>
  <c r="M6" i="19"/>
  <c r="N6" i="19"/>
  <c r="O6" i="19"/>
  <c r="P6" i="19"/>
  <c r="Q6" i="19"/>
  <c r="R6" i="19"/>
  <c r="S6" i="19"/>
  <c r="T6" i="19"/>
  <c r="U6" i="19"/>
  <c r="V6" i="19"/>
  <c r="W6" i="19"/>
  <c r="X6" i="19"/>
  <c r="Y6" i="19"/>
  <c r="Z6" i="19"/>
  <c r="AA6" i="19"/>
  <c r="AB6" i="19"/>
  <c r="AC6" i="19"/>
  <c r="AD6" i="19"/>
  <c r="AE6" i="19"/>
  <c r="AF6" i="19"/>
  <c r="AG6" i="19"/>
  <c r="AH6" i="19"/>
  <c r="AI6" i="19"/>
  <c r="AJ6" i="19"/>
  <c r="AK6" i="19"/>
  <c r="AL6" i="19"/>
  <c r="AM6" i="19"/>
  <c r="AN6" i="19"/>
  <c r="AO6" i="19"/>
  <c r="AP6" i="19"/>
  <c r="AQ6" i="19"/>
  <c r="AR6" i="19"/>
  <c r="AS6" i="19"/>
  <c r="AT6" i="19"/>
  <c r="AU6" i="19"/>
  <c r="AV6" i="19"/>
  <c r="AW6" i="19"/>
  <c r="AX6" i="19"/>
  <c r="AY6" i="19"/>
  <c r="AZ6" i="19"/>
  <c r="BB6" i="19"/>
  <c r="BC6" i="19"/>
  <c r="BD6" i="19"/>
  <c r="BE6" i="19"/>
  <c r="BF6" i="19"/>
  <c r="BG6" i="19"/>
  <c r="BH6" i="19"/>
  <c r="BI6" i="19"/>
  <c r="BJ6" i="19"/>
  <c r="BK6" i="19"/>
  <c r="BL6" i="19"/>
  <c r="BM6" i="19"/>
  <c r="BN6" i="19"/>
  <c r="BO6" i="19"/>
  <c r="BP6" i="19"/>
  <c r="BQ6" i="19"/>
  <c r="BR6" i="19"/>
  <c r="BS6" i="19"/>
  <c r="BT6" i="19"/>
  <c r="BU6" i="19"/>
  <c r="C7" i="19"/>
  <c r="D7" i="19"/>
  <c r="E7" i="19"/>
  <c r="F7" i="19"/>
  <c r="G7" i="19"/>
  <c r="H7" i="19"/>
  <c r="I7" i="19"/>
  <c r="J7" i="19"/>
  <c r="K7" i="19"/>
  <c r="L7" i="19"/>
  <c r="M7" i="19"/>
  <c r="N7" i="19"/>
  <c r="O7" i="19"/>
  <c r="P7" i="19"/>
  <c r="Q7" i="19"/>
  <c r="R7" i="19"/>
  <c r="S7" i="19"/>
  <c r="T7" i="19"/>
  <c r="U7" i="19"/>
  <c r="V7" i="19"/>
  <c r="W7" i="19"/>
  <c r="X7" i="19"/>
  <c r="Y7" i="19"/>
  <c r="Z7" i="19"/>
  <c r="AA7" i="19"/>
  <c r="AB7" i="19"/>
  <c r="AC7" i="19"/>
  <c r="AD7" i="19"/>
  <c r="AE7" i="19"/>
  <c r="AF7" i="19"/>
  <c r="AG7" i="19"/>
  <c r="AH7" i="19"/>
  <c r="AI7" i="19"/>
  <c r="AJ7" i="19"/>
  <c r="AK7" i="19"/>
  <c r="AL7" i="19"/>
  <c r="AM7" i="19"/>
  <c r="AN7" i="19"/>
  <c r="AO7" i="19"/>
  <c r="AP7" i="19"/>
  <c r="AQ7" i="19"/>
  <c r="AR7" i="19"/>
  <c r="AS7" i="19"/>
  <c r="AT7" i="19"/>
  <c r="AU7" i="19"/>
  <c r="AV7" i="19"/>
  <c r="AW7" i="19"/>
  <c r="AX7" i="19"/>
  <c r="AY7" i="19"/>
  <c r="AZ7" i="19"/>
  <c r="BA7" i="19"/>
  <c r="BB7" i="19"/>
  <c r="BC7" i="19"/>
  <c r="BD7" i="19"/>
  <c r="BE7" i="19"/>
  <c r="BF7" i="19"/>
  <c r="BG7" i="19"/>
  <c r="BH7" i="19"/>
  <c r="BI7" i="19"/>
  <c r="BJ7" i="19"/>
  <c r="BK7" i="19"/>
  <c r="BL7" i="19"/>
  <c r="BM7" i="19"/>
  <c r="BN7" i="19"/>
  <c r="BO7" i="19"/>
  <c r="BP7" i="19"/>
  <c r="BQ7" i="19"/>
  <c r="BR7" i="19"/>
  <c r="BS7" i="19"/>
  <c r="BT7" i="19"/>
  <c r="BU7" i="19"/>
  <c r="C8" i="19"/>
  <c r="D8" i="19"/>
  <c r="E8" i="19"/>
  <c r="F8" i="19"/>
  <c r="G8" i="19"/>
  <c r="H8" i="19"/>
  <c r="I8" i="19"/>
  <c r="J8" i="19"/>
  <c r="K8" i="19"/>
  <c r="L8" i="19"/>
  <c r="M8" i="19"/>
  <c r="N8" i="19"/>
  <c r="O8" i="19"/>
  <c r="P8" i="19"/>
  <c r="Q8" i="19"/>
  <c r="R8" i="19"/>
  <c r="S8" i="19"/>
  <c r="T8" i="19"/>
  <c r="U8" i="19"/>
  <c r="V8" i="19"/>
  <c r="W8" i="19"/>
  <c r="X8" i="19"/>
  <c r="Y8" i="19"/>
  <c r="Z8" i="19"/>
  <c r="AA8" i="19"/>
  <c r="AB8" i="19"/>
  <c r="AC8" i="19"/>
  <c r="AD8" i="19"/>
  <c r="AE8" i="19"/>
  <c r="AF8" i="19"/>
  <c r="AG8" i="19"/>
  <c r="AH8" i="19"/>
  <c r="AI8" i="19"/>
  <c r="AJ8" i="19"/>
  <c r="AK8" i="19"/>
  <c r="AL8" i="19"/>
  <c r="AM8" i="19"/>
  <c r="AN8" i="19"/>
  <c r="AO8" i="19"/>
  <c r="AP8" i="19"/>
  <c r="AQ8" i="19"/>
  <c r="AR8" i="19"/>
  <c r="AS8" i="19"/>
  <c r="AT8" i="19"/>
  <c r="AU8" i="19"/>
  <c r="AV8" i="19"/>
  <c r="AW8" i="19"/>
  <c r="AX8" i="19"/>
  <c r="AY8" i="19"/>
  <c r="AZ8" i="19"/>
  <c r="BB8" i="19"/>
  <c r="BC8" i="19"/>
  <c r="BE8" i="19"/>
  <c r="BI8" i="19"/>
  <c r="BJ8" i="19"/>
  <c r="BK8" i="19"/>
  <c r="BL8" i="19"/>
  <c r="BM8" i="19"/>
  <c r="BN8" i="19"/>
  <c r="BO8" i="19"/>
  <c r="BP8" i="19"/>
  <c r="BQ8" i="19"/>
  <c r="BR8" i="19"/>
  <c r="BS8" i="19"/>
  <c r="BT8" i="19"/>
  <c r="BU8" i="19"/>
  <c r="C9" i="19"/>
  <c r="D9" i="19"/>
  <c r="E9" i="19"/>
  <c r="F9" i="19"/>
  <c r="G9" i="19"/>
  <c r="H9" i="19"/>
  <c r="I9" i="19"/>
  <c r="J9" i="19"/>
  <c r="K9" i="19"/>
  <c r="L9" i="19"/>
  <c r="M9" i="19"/>
  <c r="N9" i="19"/>
  <c r="O9" i="19"/>
  <c r="P9" i="19"/>
  <c r="Q9" i="19"/>
  <c r="R9" i="19"/>
  <c r="S9" i="19"/>
  <c r="T9" i="19"/>
  <c r="U9" i="19"/>
  <c r="V9" i="19"/>
  <c r="W9" i="19"/>
  <c r="X9" i="19"/>
  <c r="Y9" i="19"/>
  <c r="Z9" i="19"/>
  <c r="AA9" i="19"/>
  <c r="AB9" i="19"/>
  <c r="AC9" i="19"/>
  <c r="AD9" i="19"/>
  <c r="AE9" i="19"/>
  <c r="AF9" i="19"/>
  <c r="AG9" i="19"/>
  <c r="AH9" i="19"/>
  <c r="AI9" i="19"/>
  <c r="AJ9" i="19"/>
  <c r="AK9" i="19"/>
  <c r="AL9" i="19"/>
  <c r="AM9" i="19"/>
  <c r="AN9" i="19"/>
  <c r="AO9" i="19"/>
  <c r="AP9" i="19"/>
  <c r="AQ9" i="19"/>
  <c r="AR9" i="19"/>
  <c r="AS9" i="19"/>
  <c r="AT9" i="19"/>
  <c r="AU9" i="19"/>
  <c r="AV9" i="19"/>
  <c r="AW9" i="19"/>
  <c r="AX9" i="19"/>
  <c r="AY9" i="19"/>
  <c r="AZ9" i="19"/>
  <c r="BA9" i="19"/>
  <c r="BB9" i="19"/>
  <c r="BC9" i="19"/>
  <c r="BD9" i="19"/>
  <c r="BE9" i="19"/>
  <c r="BF9" i="19"/>
  <c r="BG9" i="19"/>
  <c r="BH9" i="19"/>
  <c r="BI9" i="19"/>
  <c r="BJ9" i="19"/>
  <c r="BK9" i="19"/>
  <c r="BL9" i="19"/>
  <c r="BM9" i="19"/>
  <c r="BN9" i="19"/>
  <c r="BO9" i="19"/>
  <c r="BP9" i="19"/>
  <c r="BQ9" i="19"/>
  <c r="BR9" i="19"/>
  <c r="BS9" i="19"/>
  <c r="BT9" i="19"/>
  <c r="BU9" i="19"/>
  <c r="C10" i="19"/>
  <c r="D10" i="19"/>
  <c r="E10" i="19"/>
  <c r="F10" i="19"/>
  <c r="G10" i="19"/>
  <c r="H10" i="19"/>
  <c r="I10" i="19"/>
  <c r="J10" i="19"/>
  <c r="K10" i="19"/>
  <c r="L10" i="19"/>
  <c r="M10" i="19"/>
  <c r="N10" i="19"/>
  <c r="O10" i="19"/>
  <c r="P10" i="19"/>
  <c r="Q10" i="19"/>
  <c r="R10" i="19"/>
  <c r="S10" i="19"/>
  <c r="T10" i="19"/>
  <c r="U10" i="19"/>
  <c r="V10" i="19"/>
  <c r="W10" i="19"/>
  <c r="X10" i="19"/>
  <c r="Y10" i="19"/>
  <c r="Z10" i="19"/>
  <c r="AA10" i="19"/>
  <c r="AB10" i="19"/>
  <c r="AC10" i="19"/>
  <c r="AD10" i="19"/>
  <c r="AE10" i="19"/>
  <c r="AF10" i="19"/>
  <c r="AG10" i="19"/>
  <c r="AH10" i="19"/>
  <c r="AI10" i="19"/>
  <c r="AJ10" i="19"/>
  <c r="AK10" i="19"/>
  <c r="AL10" i="19"/>
  <c r="AM10" i="19"/>
  <c r="AN10" i="19"/>
  <c r="AO10" i="19"/>
  <c r="AP10" i="19"/>
  <c r="AQ10" i="19"/>
  <c r="AR10" i="19"/>
  <c r="AS10" i="19"/>
  <c r="AT10" i="19"/>
  <c r="AU10" i="19"/>
  <c r="AV10" i="19"/>
  <c r="AW10" i="19"/>
  <c r="AX10" i="19"/>
  <c r="AY10" i="19"/>
  <c r="AZ10" i="19"/>
  <c r="BA10" i="19"/>
  <c r="BB10" i="19"/>
  <c r="BC10" i="19"/>
  <c r="BD10" i="19"/>
  <c r="BE10" i="19"/>
  <c r="BF10" i="19"/>
  <c r="BG10" i="19"/>
  <c r="BH10" i="19"/>
  <c r="BI10" i="19"/>
  <c r="BJ10" i="19"/>
  <c r="BK10" i="19"/>
  <c r="BL10" i="19"/>
  <c r="BM10" i="19"/>
  <c r="BN10" i="19"/>
  <c r="BO10" i="19"/>
  <c r="BP10" i="19"/>
  <c r="BQ10" i="19"/>
  <c r="BR10" i="19"/>
  <c r="BS10" i="19"/>
  <c r="BT10" i="19"/>
  <c r="BU10" i="19"/>
  <c r="C11" i="19"/>
  <c r="D11" i="19"/>
  <c r="E11" i="19"/>
  <c r="F11" i="19"/>
  <c r="G11" i="19"/>
  <c r="H11" i="19"/>
  <c r="I11" i="19"/>
  <c r="J11" i="19"/>
  <c r="K11" i="19"/>
  <c r="L11" i="19"/>
  <c r="M11" i="19"/>
  <c r="N11" i="19"/>
  <c r="O11" i="19"/>
  <c r="P11" i="19"/>
  <c r="Q11" i="19"/>
  <c r="R11" i="19"/>
  <c r="S11" i="19"/>
  <c r="T11" i="19"/>
  <c r="U11" i="19"/>
  <c r="V11" i="19"/>
  <c r="W11" i="19"/>
  <c r="X11" i="19"/>
  <c r="Y11" i="19"/>
  <c r="Z11" i="19"/>
  <c r="AA11" i="19"/>
  <c r="AB11" i="19"/>
  <c r="AC11" i="19"/>
  <c r="AD11" i="19"/>
  <c r="AE11" i="19"/>
  <c r="AF11" i="19"/>
  <c r="AG11" i="19"/>
  <c r="AH11" i="19"/>
  <c r="AI11" i="19"/>
  <c r="AJ11" i="19"/>
  <c r="AK11" i="19"/>
  <c r="AL11" i="19"/>
  <c r="AM11" i="19"/>
  <c r="AN11" i="19"/>
  <c r="AO11" i="19"/>
  <c r="AP11" i="19"/>
  <c r="AQ11" i="19"/>
  <c r="AR11" i="19"/>
  <c r="AS11" i="19"/>
  <c r="AT11" i="19"/>
  <c r="AU11" i="19"/>
  <c r="AV11" i="19"/>
  <c r="AW11" i="19"/>
  <c r="AX11" i="19"/>
  <c r="AY11" i="19"/>
  <c r="AZ11" i="19"/>
  <c r="BA11" i="19"/>
  <c r="BB11" i="19"/>
  <c r="BC11" i="19"/>
  <c r="BD11" i="19"/>
  <c r="BE11" i="19"/>
  <c r="BF11" i="19"/>
  <c r="BG11" i="19"/>
  <c r="BH11" i="19"/>
  <c r="BI11" i="19"/>
  <c r="BJ11" i="19"/>
  <c r="BK11" i="19"/>
  <c r="BL11" i="19"/>
  <c r="BM11" i="19"/>
  <c r="BN11" i="19"/>
  <c r="BO11" i="19"/>
  <c r="BP11" i="19"/>
  <c r="BQ11" i="19"/>
  <c r="BR11" i="19"/>
  <c r="BS11" i="19"/>
  <c r="BT11" i="19"/>
  <c r="BU11" i="19"/>
  <c r="C12" i="19"/>
  <c r="D12" i="19"/>
  <c r="E12" i="19"/>
  <c r="F12" i="19"/>
  <c r="G12" i="19"/>
  <c r="H12" i="19"/>
  <c r="I12" i="19"/>
  <c r="J12" i="19"/>
  <c r="K12" i="19"/>
  <c r="L12" i="19"/>
  <c r="M12" i="19"/>
  <c r="N12" i="19"/>
  <c r="O12" i="19"/>
  <c r="P12" i="19"/>
  <c r="Q12" i="19"/>
  <c r="R12" i="19"/>
  <c r="S12" i="19"/>
  <c r="T12" i="19"/>
  <c r="U12" i="19"/>
  <c r="V12" i="19"/>
  <c r="W12" i="19"/>
  <c r="X12" i="19"/>
  <c r="Y12" i="19"/>
  <c r="Z12" i="19"/>
  <c r="AA12" i="19"/>
  <c r="AB12" i="19"/>
  <c r="AC12" i="19"/>
  <c r="AD12" i="19"/>
  <c r="AE12" i="19"/>
  <c r="AF12" i="19"/>
  <c r="AG12" i="19"/>
  <c r="AH12" i="19"/>
  <c r="AI12" i="19"/>
  <c r="AJ12" i="19"/>
  <c r="AK12" i="19"/>
  <c r="AL12" i="19"/>
  <c r="AM12" i="19"/>
  <c r="AN12" i="19"/>
  <c r="AO12" i="19"/>
  <c r="AP12" i="19"/>
  <c r="AQ12" i="19"/>
  <c r="AR12" i="19"/>
  <c r="AS12" i="19"/>
  <c r="AT12" i="19"/>
  <c r="AU12" i="19"/>
  <c r="AV12" i="19"/>
  <c r="AW12" i="19"/>
  <c r="AX12" i="19"/>
  <c r="AY12" i="19"/>
  <c r="AZ12" i="19"/>
  <c r="BA12" i="19"/>
  <c r="BB12" i="19"/>
  <c r="BC12" i="19"/>
  <c r="BD12" i="19"/>
  <c r="BE12" i="19"/>
  <c r="BF12" i="19"/>
  <c r="BG12" i="19"/>
  <c r="BH12" i="19"/>
  <c r="BI12" i="19"/>
  <c r="BJ12" i="19"/>
  <c r="BK12" i="19"/>
  <c r="BL12" i="19"/>
  <c r="BM12" i="19"/>
  <c r="BN12" i="19"/>
  <c r="BO12" i="19"/>
  <c r="BP12" i="19"/>
  <c r="BQ12" i="19"/>
  <c r="BR12" i="19"/>
  <c r="BS12" i="19"/>
  <c r="BT12" i="19"/>
  <c r="BU12" i="19"/>
  <c r="C13" i="19"/>
  <c r="D13" i="19"/>
  <c r="E13" i="19"/>
  <c r="F13" i="19"/>
  <c r="G13" i="19"/>
  <c r="H13" i="19"/>
  <c r="I13" i="19"/>
  <c r="J13" i="19"/>
  <c r="K13" i="19"/>
  <c r="L13" i="19"/>
  <c r="M13" i="19"/>
  <c r="N13" i="19"/>
  <c r="O13" i="19"/>
  <c r="P13" i="19"/>
  <c r="Q13" i="19"/>
  <c r="R13" i="19"/>
  <c r="S13" i="19"/>
  <c r="T13" i="19"/>
  <c r="U13" i="19"/>
  <c r="V13" i="19"/>
  <c r="W13" i="19"/>
  <c r="X13" i="19"/>
  <c r="Y13" i="19"/>
  <c r="Z13" i="19"/>
  <c r="AA13" i="19"/>
  <c r="AB13" i="19"/>
  <c r="AC13" i="19"/>
  <c r="AD13" i="19"/>
  <c r="AE13" i="19"/>
  <c r="AF13" i="19"/>
  <c r="AG13" i="19"/>
  <c r="AH13" i="19"/>
  <c r="AI13" i="19"/>
  <c r="AJ13" i="19"/>
  <c r="AK13" i="19"/>
  <c r="AL13" i="19"/>
  <c r="AM13" i="19"/>
  <c r="AN13" i="19"/>
  <c r="AO13" i="19"/>
  <c r="AP13" i="19"/>
  <c r="AQ13" i="19"/>
  <c r="AR13" i="19"/>
  <c r="AS13" i="19"/>
  <c r="AT13" i="19"/>
  <c r="AU13" i="19"/>
  <c r="AV13" i="19"/>
  <c r="AW13" i="19"/>
  <c r="AX13" i="19"/>
  <c r="AY13" i="19"/>
  <c r="AZ13" i="19"/>
  <c r="BA13" i="19"/>
  <c r="BB13" i="19"/>
  <c r="BC13" i="19"/>
  <c r="BD13" i="19"/>
  <c r="BE13" i="19"/>
  <c r="BF13" i="19"/>
  <c r="BG13" i="19"/>
  <c r="BH13" i="19"/>
  <c r="BI13" i="19"/>
  <c r="BJ13" i="19"/>
  <c r="BK13" i="19"/>
  <c r="BL13" i="19"/>
  <c r="BM13" i="19"/>
  <c r="BN13" i="19"/>
  <c r="BO13" i="19"/>
  <c r="BP13" i="19"/>
  <c r="BQ13" i="19"/>
  <c r="BR13" i="19"/>
  <c r="BS13" i="19"/>
  <c r="BT13" i="19"/>
  <c r="BU13" i="19"/>
  <c r="C14" i="19"/>
  <c r="D14" i="19"/>
  <c r="E14" i="19"/>
  <c r="F14" i="19"/>
  <c r="G14" i="19"/>
  <c r="H14" i="19"/>
  <c r="I14" i="19"/>
  <c r="J14" i="19"/>
  <c r="K14" i="19"/>
  <c r="L14" i="19"/>
  <c r="M14" i="19"/>
  <c r="N14" i="19"/>
  <c r="O14" i="19"/>
  <c r="P14" i="19"/>
  <c r="Q14" i="19"/>
  <c r="R14" i="19"/>
  <c r="S14" i="19"/>
  <c r="T14" i="19"/>
  <c r="U14" i="19"/>
  <c r="V14" i="19"/>
  <c r="W14" i="19"/>
  <c r="X14" i="19"/>
  <c r="Y14" i="19"/>
  <c r="Z14" i="19"/>
  <c r="AA14" i="19"/>
  <c r="AB14" i="19"/>
  <c r="AC14" i="19"/>
  <c r="AD14" i="19"/>
  <c r="AE14" i="19"/>
  <c r="AF14" i="19"/>
  <c r="AG14" i="19"/>
  <c r="AH14" i="19"/>
  <c r="AI14" i="19"/>
  <c r="AJ14" i="19"/>
  <c r="AK14" i="19"/>
  <c r="AL14" i="19"/>
  <c r="AM14" i="19"/>
  <c r="AN14" i="19"/>
  <c r="AO14" i="19"/>
  <c r="AP14" i="19"/>
  <c r="AQ14" i="19"/>
  <c r="AR14" i="19"/>
  <c r="AS14" i="19"/>
  <c r="AT14" i="19"/>
  <c r="AU14" i="19"/>
  <c r="AV14" i="19"/>
  <c r="AW14" i="19"/>
  <c r="AX14" i="19"/>
  <c r="AY14" i="19"/>
  <c r="AZ14" i="19"/>
  <c r="BA14" i="19"/>
  <c r="BB14" i="19"/>
  <c r="BC14" i="19"/>
  <c r="BD14" i="19"/>
  <c r="BE14" i="19"/>
  <c r="BF14" i="19"/>
  <c r="BG14" i="19"/>
  <c r="BH14" i="19"/>
  <c r="BI14" i="19"/>
  <c r="BJ14" i="19"/>
  <c r="BK14" i="19"/>
  <c r="BL14" i="19"/>
  <c r="BM14" i="19"/>
  <c r="BN14" i="19"/>
  <c r="BO14" i="19"/>
  <c r="BP14" i="19"/>
  <c r="BQ14" i="19"/>
  <c r="BR14" i="19"/>
  <c r="BS14" i="19"/>
  <c r="BT14" i="19"/>
  <c r="BU14" i="19"/>
  <c r="C15" i="19"/>
  <c r="D15" i="19"/>
  <c r="E15" i="19"/>
  <c r="F15" i="19"/>
  <c r="G15" i="19"/>
  <c r="H15" i="19"/>
  <c r="I15" i="19"/>
  <c r="J15" i="19"/>
  <c r="K15" i="19"/>
  <c r="L15" i="19"/>
  <c r="M15" i="19"/>
  <c r="N15" i="19"/>
  <c r="O15" i="19"/>
  <c r="P15" i="19"/>
  <c r="Q15" i="19"/>
  <c r="R15" i="19"/>
  <c r="S15" i="19"/>
  <c r="T15" i="19"/>
  <c r="U15" i="19"/>
  <c r="V15" i="19"/>
  <c r="W15" i="19"/>
  <c r="X15" i="19"/>
  <c r="Y15" i="19"/>
  <c r="Z15" i="19"/>
  <c r="AA15" i="19"/>
  <c r="AB15" i="19"/>
  <c r="AC15" i="19"/>
  <c r="AD15" i="19"/>
  <c r="AE15" i="19"/>
  <c r="AF15" i="19"/>
  <c r="AG15" i="19"/>
  <c r="AH15" i="19"/>
  <c r="AI15" i="19"/>
  <c r="AJ15" i="19"/>
  <c r="AK15" i="19"/>
  <c r="AL15" i="19"/>
  <c r="AM15" i="19"/>
  <c r="AN15" i="19"/>
  <c r="AO15" i="19"/>
  <c r="AP15" i="19"/>
  <c r="AQ15" i="19"/>
  <c r="AR15" i="19"/>
  <c r="AS15" i="19"/>
  <c r="AT15" i="19"/>
  <c r="AU15" i="19"/>
  <c r="AV15" i="19"/>
  <c r="AW15" i="19"/>
  <c r="AX15" i="19"/>
  <c r="AY15" i="19"/>
  <c r="AZ15" i="19"/>
  <c r="BC15" i="19"/>
  <c r="BE15" i="19"/>
  <c r="BH15" i="19"/>
  <c r="BI15" i="19"/>
  <c r="BJ15" i="19"/>
  <c r="BK15" i="19"/>
  <c r="BL15" i="19"/>
  <c r="BM15" i="19"/>
  <c r="BN15" i="19"/>
  <c r="BO15" i="19"/>
  <c r="BP15" i="19"/>
  <c r="BQ15" i="19"/>
  <c r="BR15" i="19"/>
  <c r="BS15" i="19"/>
  <c r="BT15" i="19"/>
  <c r="BU15" i="19"/>
  <c r="C16" i="19"/>
  <c r="D16" i="19"/>
  <c r="E16" i="19"/>
  <c r="F16" i="19"/>
  <c r="G16" i="19"/>
  <c r="H16" i="19"/>
  <c r="I16" i="19"/>
  <c r="J16" i="19"/>
  <c r="K16" i="19"/>
  <c r="L16" i="19"/>
  <c r="M16" i="19"/>
  <c r="N16" i="19"/>
  <c r="O16" i="19"/>
  <c r="P16" i="19"/>
  <c r="Q16" i="19"/>
  <c r="R16" i="19"/>
  <c r="S16" i="19"/>
  <c r="T16" i="19"/>
  <c r="U16" i="19"/>
  <c r="V16" i="19"/>
  <c r="W16" i="19"/>
  <c r="X16" i="19"/>
  <c r="Y16" i="19"/>
  <c r="Z16" i="19"/>
  <c r="AA16" i="19"/>
  <c r="AB16" i="19"/>
  <c r="AC16" i="19"/>
  <c r="AD16" i="19"/>
  <c r="AE16" i="19"/>
  <c r="AF16" i="19"/>
  <c r="AG16" i="19"/>
  <c r="AH16" i="19"/>
  <c r="AI16" i="19"/>
  <c r="AJ16" i="19"/>
  <c r="AK16" i="19"/>
  <c r="AL16" i="19"/>
  <c r="AM16" i="19"/>
  <c r="AN16" i="19"/>
  <c r="AO16" i="19"/>
  <c r="AP16" i="19"/>
  <c r="AQ16" i="19"/>
  <c r="AR16" i="19"/>
  <c r="AS16" i="19"/>
  <c r="AT16" i="19"/>
  <c r="AU16" i="19"/>
  <c r="AV16" i="19"/>
  <c r="AW16" i="19"/>
  <c r="AX16" i="19"/>
  <c r="AY16" i="19"/>
  <c r="AZ16" i="19"/>
  <c r="BA16" i="19"/>
  <c r="BB16" i="19"/>
  <c r="BC16" i="19"/>
  <c r="BD16" i="19"/>
  <c r="BE16" i="19"/>
  <c r="BF16" i="19"/>
  <c r="BG16" i="19"/>
  <c r="BH16" i="19"/>
  <c r="BI16" i="19"/>
  <c r="BJ16" i="19"/>
  <c r="BK16" i="19"/>
  <c r="BL16" i="19"/>
  <c r="BM16" i="19"/>
  <c r="BN16" i="19"/>
  <c r="BO16" i="19"/>
  <c r="BP16" i="19"/>
  <c r="BQ16" i="19"/>
  <c r="BR16" i="19"/>
  <c r="BS16" i="19"/>
  <c r="BT16" i="19"/>
  <c r="BU16" i="19"/>
  <c r="C17" i="19"/>
  <c r="D17" i="19"/>
  <c r="E17" i="19"/>
  <c r="F17" i="19"/>
  <c r="G17" i="19"/>
  <c r="H17" i="19"/>
  <c r="I17" i="19"/>
  <c r="J17" i="19"/>
  <c r="K17" i="19"/>
  <c r="L17" i="19"/>
  <c r="M17" i="19"/>
  <c r="N17" i="19"/>
  <c r="O17" i="19"/>
  <c r="P17" i="19"/>
  <c r="Q17" i="19"/>
  <c r="R17" i="19"/>
  <c r="S17" i="19"/>
  <c r="T17" i="19"/>
  <c r="U17" i="19"/>
  <c r="V17" i="19"/>
  <c r="W17" i="19"/>
  <c r="X17" i="19"/>
  <c r="Y17" i="19"/>
  <c r="Z17" i="19"/>
  <c r="AA17" i="19"/>
  <c r="AB17" i="19"/>
  <c r="AC17" i="19"/>
  <c r="AD17" i="19"/>
  <c r="AE17" i="19"/>
  <c r="AF17" i="19"/>
  <c r="AG17" i="19"/>
  <c r="AH17" i="19"/>
  <c r="AI17" i="19"/>
  <c r="AJ17" i="19"/>
  <c r="AK17" i="19"/>
  <c r="AL17" i="19"/>
  <c r="AM17" i="19"/>
  <c r="AN17" i="19"/>
  <c r="AO17" i="19"/>
  <c r="AP17" i="19"/>
  <c r="AQ17" i="19"/>
  <c r="AR17" i="19"/>
  <c r="AS17" i="19"/>
  <c r="AT17" i="19"/>
  <c r="AU17" i="19"/>
  <c r="AV17" i="19"/>
  <c r="AW17" i="19"/>
  <c r="AX17" i="19"/>
  <c r="AY17" i="19"/>
  <c r="AZ17" i="19"/>
  <c r="BA17" i="19"/>
  <c r="BB17" i="19"/>
  <c r="BC17" i="19"/>
  <c r="BD17" i="19"/>
  <c r="BE17" i="19"/>
  <c r="BF17" i="19"/>
  <c r="BG17" i="19"/>
  <c r="BH17" i="19"/>
  <c r="BI17" i="19"/>
  <c r="BJ17" i="19"/>
  <c r="BK17" i="19"/>
  <c r="BL17" i="19"/>
  <c r="BM17" i="19"/>
  <c r="BN17" i="19"/>
  <c r="BO17" i="19"/>
  <c r="BP17" i="19"/>
  <c r="BQ17" i="19"/>
  <c r="BR17" i="19"/>
  <c r="BS17" i="19"/>
  <c r="BT17" i="19"/>
  <c r="BU17" i="19"/>
  <c r="C18" i="19"/>
  <c r="D18" i="19"/>
  <c r="E18" i="19"/>
  <c r="F18" i="19"/>
  <c r="G18" i="19"/>
  <c r="H18" i="19"/>
  <c r="I18" i="19"/>
  <c r="J18" i="19"/>
  <c r="K18" i="19"/>
  <c r="L18" i="19"/>
  <c r="M18" i="19"/>
  <c r="N18" i="19"/>
  <c r="O18" i="19"/>
  <c r="P18" i="19"/>
  <c r="Q18" i="19"/>
  <c r="R18" i="19"/>
  <c r="S18" i="19"/>
  <c r="T18" i="19"/>
  <c r="U18" i="19"/>
  <c r="V18" i="19"/>
  <c r="W18" i="19"/>
  <c r="X18" i="19"/>
  <c r="Y18" i="19"/>
  <c r="Z18" i="19"/>
  <c r="AA18" i="19"/>
  <c r="AB18" i="19"/>
  <c r="AC18" i="19"/>
  <c r="AD18" i="19"/>
  <c r="AE18" i="19"/>
  <c r="AF18" i="19"/>
  <c r="AG18" i="19"/>
  <c r="AH18" i="19"/>
  <c r="AI18" i="19"/>
  <c r="AJ18" i="19"/>
  <c r="AK18" i="19"/>
  <c r="AL18" i="19"/>
  <c r="AM18" i="19"/>
  <c r="AN18" i="19"/>
  <c r="AO18" i="19"/>
  <c r="AP18" i="19"/>
  <c r="AQ18" i="19"/>
  <c r="AR18" i="19"/>
  <c r="AS18" i="19"/>
  <c r="AT18" i="19"/>
  <c r="AU18" i="19"/>
  <c r="AV18" i="19"/>
  <c r="AW18" i="19"/>
  <c r="AX18" i="19"/>
  <c r="AY18" i="19"/>
  <c r="AZ18" i="19"/>
  <c r="BA18" i="19"/>
  <c r="BB18" i="19"/>
  <c r="BC18" i="19"/>
  <c r="BD18" i="19"/>
  <c r="BE18" i="19"/>
  <c r="BF18" i="19"/>
  <c r="BG18" i="19"/>
  <c r="BH18" i="19"/>
  <c r="BI18" i="19"/>
  <c r="BJ18" i="19"/>
  <c r="BK18" i="19"/>
  <c r="BL18" i="19"/>
  <c r="BM18" i="19"/>
  <c r="BN18" i="19"/>
  <c r="BO18" i="19"/>
  <c r="BP18" i="19"/>
  <c r="BQ18" i="19"/>
  <c r="BR18" i="19"/>
  <c r="BS18" i="19"/>
  <c r="BT18" i="19"/>
  <c r="BU18" i="19"/>
  <c r="C19" i="19"/>
  <c r="D19" i="19"/>
  <c r="E19" i="19"/>
  <c r="F19" i="19"/>
  <c r="G19" i="19"/>
  <c r="H19" i="19"/>
  <c r="I19" i="19"/>
  <c r="J19" i="19"/>
  <c r="K19" i="19"/>
  <c r="L19" i="19"/>
  <c r="M19" i="19"/>
  <c r="N19" i="19"/>
  <c r="O19" i="19"/>
  <c r="P19" i="19"/>
  <c r="Q19" i="19"/>
  <c r="R19" i="19"/>
  <c r="S19" i="19"/>
  <c r="T19" i="19"/>
  <c r="U19" i="19"/>
  <c r="V19" i="19"/>
  <c r="W19" i="19"/>
  <c r="X19" i="19"/>
  <c r="Y19" i="19"/>
  <c r="Z19" i="19"/>
  <c r="AA19" i="19"/>
  <c r="AB19" i="19"/>
  <c r="AC19" i="19"/>
  <c r="AD19" i="19"/>
  <c r="AE19" i="19"/>
  <c r="AF19" i="19"/>
  <c r="AG19" i="19"/>
  <c r="AH19" i="19"/>
  <c r="AI19" i="19"/>
  <c r="AJ19" i="19"/>
  <c r="AK19" i="19"/>
  <c r="AL19" i="19"/>
  <c r="AM19" i="19"/>
  <c r="AN19" i="19"/>
  <c r="AO19" i="19"/>
  <c r="AP19" i="19"/>
  <c r="AQ19" i="19"/>
  <c r="AR19" i="19"/>
  <c r="AS19" i="19"/>
  <c r="AT19" i="19"/>
  <c r="AU19" i="19"/>
  <c r="AV19" i="19"/>
  <c r="AW19" i="19"/>
  <c r="AX19" i="19"/>
  <c r="AY19" i="19"/>
  <c r="AZ19" i="19"/>
  <c r="BA19" i="19"/>
  <c r="BB19" i="19"/>
  <c r="BC19" i="19"/>
  <c r="BD19" i="19"/>
  <c r="BE19" i="19"/>
  <c r="BF19" i="19"/>
  <c r="BG19" i="19"/>
  <c r="BH19" i="19"/>
  <c r="BI19" i="19"/>
  <c r="BJ19" i="19"/>
  <c r="BK19" i="19"/>
  <c r="BL19" i="19"/>
  <c r="BM19" i="19"/>
  <c r="BN19" i="19"/>
  <c r="BO19" i="19"/>
  <c r="BP19" i="19"/>
  <c r="BQ19" i="19"/>
  <c r="BR19" i="19"/>
  <c r="BS19" i="19"/>
  <c r="BT19" i="19"/>
  <c r="BU19" i="19"/>
  <c r="C20" i="19"/>
  <c r="D20" i="19"/>
  <c r="E20" i="19"/>
  <c r="F20" i="19"/>
  <c r="G20" i="19"/>
  <c r="H20" i="19"/>
  <c r="I20" i="19"/>
  <c r="J20" i="19"/>
  <c r="K20" i="19"/>
  <c r="L20" i="19"/>
  <c r="M20" i="19"/>
  <c r="N20" i="19"/>
  <c r="O20" i="19"/>
  <c r="P20" i="19"/>
  <c r="Q20" i="19"/>
  <c r="R20" i="19"/>
  <c r="S20" i="19"/>
  <c r="T20" i="19"/>
  <c r="U20" i="19"/>
  <c r="V20" i="19"/>
  <c r="W20" i="19"/>
  <c r="X20" i="19"/>
  <c r="Y20" i="19"/>
  <c r="Z20" i="19"/>
  <c r="AA20" i="19"/>
  <c r="AB20" i="19"/>
  <c r="AC20" i="19"/>
  <c r="AD20" i="19"/>
  <c r="AE20" i="19"/>
  <c r="AF20" i="19"/>
  <c r="AG20" i="19"/>
  <c r="AH20" i="19"/>
  <c r="AI20" i="19"/>
  <c r="AJ20" i="19"/>
  <c r="AK20" i="19"/>
  <c r="AL20" i="19"/>
  <c r="AM20" i="19"/>
  <c r="AN20" i="19"/>
  <c r="AO20" i="19"/>
  <c r="AP20" i="19"/>
  <c r="AQ20" i="19"/>
  <c r="AR20" i="19"/>
  <c r="AS20" i="19"/>
  <c r="AT20" i="19"/>
  <c r="AU20" i="19"/>
  <c r="AV20" i="19"/>
  <c r="AW20" i="19"/>
  <c r="AX20" i="19"/>
  <c r="AY20" i="19"/>
  <c r="AZ20" i="19"/>
  <c r="BA20" i="19"/>
  <c r="BB20" i="19"/>
  <c r="BC20" i="19"/>
  <c r="BD20" i="19"/>
  <c r="BE20" i="19"/>
  <c r="BF20" i="19"/>
  <c r="BG20" i="19"/>
  <c r="BH20" i="19"/>
  <c r="BI20" i="19"/>
  <c r="BJ20" i="19"/>
  <c r="BK20" i="19"/>
  <c r="BL20" i="19"/>
  <c r="BM20" i="19"/>
  <c r="BN20" i="19"/>
  <c r="BO20" i="19"/>
  <c r="BP20" i="19"/>
  <c r="BQ20" i="19"/>
  <c r="BR20" i="19"/>
  <c r="BS20" i="19"/>
  <c r="BT20" i="19"/>
  <c r="BU20" i="19"/>
  <c r="C21" i="19"/>
  <c r="D21" i="19"/>
  <c r="E21" i="19"/>
  <c r="F21" i="19"/>
  <c r="G21" i="19"/>
  <c r="H21" i="19"/>
  <c r="I21" i="19"/>
  <c r="J21" i="19"/>
  <c r="K21" i="19"/>
  <c r="L21" i="19"/>
  <c r="M21" i="19"/>
  <c r="N21" i="19"/>
  <c r="O21" i="19"/>
  <c r="P21" i="19"/>
  <c r="Q21" i="19"/>
  <c r="R21" i="19"/>
  <c r="S21" i="19"/>
  <c r="T21" i="19"/>
  <c r="U21" i="19"/>
  <c r="V21" i="19"/>
  <c r="W21" i="19"/>
  <c r="X21" i="19"/>
  <c r="Y21" i="19"/>
  <c r="Z21" i="19"/>
  <c r="AA21" i="19"/>
  <c r="AB21" i="19"/>
  <c r="AC21" i="19"/>
  <c r="AD21" i="19"/>
  <c r="AE21" i="19"/>
  <c r="AF21" i="19"/>
  <c r="AG21" i="19"/>
  <c r="AH21" i="19"/>
  <c r="AI21" i="19"/>
  <c r="AJ21" i="19"/>
  <c r="AK21" i="19"/>
  <c r="AL21" i="19"/>
  <c r="AM21" i="19"/>
  <c r="AN21" i="19"/>
  <c r="AO21" i="19"/>
  <c r="AP21" i="19"/>
  <c r="AQ21" i="19"/>
  <c r="AR21" i="19"/>
  <c r="AS21" i="19"/>
  <c r="AT21" i="19"/>
  <c r="AU21" i="19"/>
  <c r="AV21" i="19"/>
  <c r="AW21" i="19"/>
  <c r="AX21" i="19"/>
  <c r="AY21" i="19"/>
  <c r="AZ21" i="19"/>
  <c r="BA21" i="19"/>
  <c r="BB21" i="19"/>
  <c r="BC21" i="19"/>
  <c r="BD21" i="19"/>
  <c r="BE21" i="19"/>
  <c r="BF21" i="19"/>
  <c r="BG21" i="19"/>
  <c r="BH21" i="19"/>
  <c r="BI21" i="19"/>
  <c r="BJ21" i="19"/>
  <c r="BK21" i="19"/>
  <c r="BL21" i="19"/>
  <c r="BM21" i="19"/>
  <c r="BN21" i="19"/>
  <c r="BO21" i="19"/>
  <c r="BP21" i="19"/>
  <c r="BQ21" i="19"/>
  <c r="BR21" i="19"/>
  <c r="BS21" i="19"/>
  <c r="BT21" i="19"/>
  <c r="BU21" i="19"/>
  <c r="C22" i="19"/>
  <c r="D22" i="19"/>
  <c r="E22" i="19"/>
  <c r="F22" i="19"/>
  <c r="G22" i="19"/>
  <c r="H22" i="19"/>
  <c r="I22" i="19"/>
  <c r="J22" i="19"/>
  <c r="K22" i="19"/>
  <c r="L22" i="19"/>
  <c r="M22" i="19"/>
  <c r="N22" i="19"/>
  <c r="O22" i="19"/>
  <c r="P22" i="19"/>
  <c r="Q22" i="19"/>
  <c r="R22" i="19"/>
  <c r="S22" i="19"/>
  <c r="T22" i="19"/>
  <c r="U22" i="19"/>
  <c r="V22" i="19"/>
  <c r="W22" i="19"/>
  <c r="X22" i="19"/>
  <c r="Y22" i="19"/>
  <c r="Z22" i="19"/>
  <c r="AA22" i="19"/>
  <c r="AB22" i="19"/>
  <c r="AC22" i="19"/>
  <c r="AD22" i="19"/>
  <c r="AE22" i="19"/>
  <c r="AF22" i="19"/>
  <c r="AG22" i="19"/>
  <c r="AH22" i="19"/>
  <c r="AI22" i="19"/>
  <c r="AJ22" i="19"/>
  <c r="AK22" i="19"/>
  <c r="AL22" i="19"/>
  <c r="AM22" i="19"/>
  <c r="AN22" i="19"/>
  <c r="AO22" i="19"/>
  <c r="AP22" i="19"/>
  <c r="AQ22" i="19"/>
  <c r="AR22" i="19"/>
  <c r="AS22" i="19"/>
  <c r="AT22" i="19"/>
  <c r="AU22" i="19"/>
  <c r="AV22" i="19"/>
  <c r="AW22" i="19"/>
  <c r="AX22" i="19"/>
  <c r="AY22" i="19"/>
  <c r="AZ22" i="19"/>
  <c r="BA22" i="19"/>
  <c r="BB22" i="19"/>
  <c r="BC22" i="19"/>
  <c r="BD22" i="19"/>
  <c r="BE22" i="19"/>
  <c r="BF22" i="19"/>
  <c r="BG22" i="19"/>
  <c r="BH22" i="19"/>
  <c r="BI22" i="19"/>
  <c r="BJ22" i="19"/>
  <c r="BK22" i="19"/>
  <c r="BL22" i="19"/>
  <c r="BM22" i="19"/>
  <c r="BN22" i="19"/>
  <c r="BO22" i="19"/>
  <c r="BP22" i="19"/>
  <c r="BQ22" i="19"/>
  <c r="BR22" i="19"/>
  <c r="BS22" i="19"/>
  <c r="BT22" i="19"/>
  <c r="BU22" i="19"/>
  <c r="C23" i="19"/>
  <c r="D23" i="19"/>
  <c r="E23" i="19"/>
  <c r="F23" i="19"/>
  <c r="G23" i="19"/>
  <c r="H23" i="19"/>
  <c r="I23" i="19"/>
  <c r="J23" i="19"/>
  <c r="K23" i="19"/>
  <c r="L23" i="19"/>
  <c r="M23" i="19"/>
  <c r="N23" i="19"/>
  <c r="O23" i="19"/>
  <c r="P23" i="19"/>
  <c r="Q23" i="19"/>
  <c r="R23" i="19"/>
  <c r="S23" i="19"/>
  <c r="T23" i="19"/>
  <c r="U23" i="19"/>
  <c r="V23" i="19"/>
  <c r="W23" i="19"/>
  <c r="X23" i="19"/>
  <c r="Y23" i="19"/>
  <c r="Z23" i="19"/>
  <c r="AA23" i="19"/>
  <c r="AB23" i="19"/>
  <c r="AC23" i="19"/>
  <c r="AD23" i="19"/>
  <c r="AE23" i="19"/>
  <c r="AF23" i="19"/>
  <c r="AG23" i="19"/>
  <c r="AH23" i="19"/>
  <c r="AI23" i="19"/>
  <c r="AJ23" i="19"/>
  <c r="AK23" i="19"/>
  <c r="AL23" i="19"/>
  <c r="AM23" i="19"/>
  <c r="AN23" i="19"/>
  <c r="AO23" i="19"/>
  <c r="AP23" i="19"/>
  <c r="AQ23" i="19"/>
  <c r="AR23" i="19"/>
  <c r="AS23" i="19"/>
  <c r="AT23" i="19"/>
  <c r="AU23" i="19"/>
  <c r="AV23" i="19"/>
  <c r="AW23" i="19"/>
  <c r="AX23" i="19"/>
  <c r="AY23" i="19"/>
  <c r="AZ23" i="19"/>
  <c r="BA23" i="19"/>
  <c r="BB23" i="19"/>
  <c r="BC23" i="19"/>
  <c r="BD23" i="19"/>
  <c r="BE23" i="19"/>
  <c r="BF23" i="19"/>
  <c r="BG23" i="19"/>
  <c r="BH23" i="19"/>
  <c r="BI23" i="19"/>
  <c r="BJ23" i="19"/>
  <c r="BK23" i="19"/>
  <c r="BL23" i="19"/>
  <c r="BM23" i="19"/>
  <c r="BN23" i="19"/>
  <c r="BO23" i="19"/>
  <c r="BP23" i="19"/>
  <c r="BQ23" i="19"/>
  <c r="BR23" i="19"/>
  <c r="BS23" i="19"/>
  <c r="BT23" i="19"/>
  <c r="BU23" i="19"/>
  <c r="C24" i="19"/>
  <c r="D24" i="19"/>
  <c r="E24" i="19"/>
  <c r="F24" i="19"/>
  <c r="G24" i="19"/>
  <c r="H24" i="19"/>
  <c r="I24" i="19"/>
  <c r="J24" i="19"/>
  <c r="K24" i="19"/>
  <c r="L24" i="19"/>
  <c r="M24" i="19"/>
  <c r="N24" i="19"/>
  <c r="O24" i="19"/>
  <c r="P24" i="19"/>
  <c r="Q24" i="19"/>
  <c r="R24" i="19"/>
  <c r="S24" i="19"/>
  <c r="T24" i="19"/>
  <c r="U24" i="19"/>
  <c r="V24" i="19"/>
  <c r="W24" i="19"/>
  <c r="X24" i="19"/>
  <c r="Y24" i="19"/>
  <c r="Z24" i="19"/>
  <c r="AA24" i="19"/>
  <c r="AB24" i="19"/>
  <c r="AC24" i="19"/>
  <c r="AD24" i="19"/>
  <c r="AE24" i="19"/>
  <c r="AF24" i="19"/>
  <c r="AG24" i="19"/>
  <c r="AH24" i="19"/>
  <c r="AI24" i="19"/>
  <c r="AJ24" i="19"/>
  <c r="AK24" i="19"/>
  <c r="AL24" i="19"/>
  <c r="AM24" i="19"/>
  <c r="AN24" i="19"/>
  <c r="AO24" i="19"/>
  <c r="AP24" i="19"/>
  <c r="AQ24" i="19"/>
  <c r="AR24" i="19"/>
  <c r="AS24" i="19"/>
  <c r="AT24" i="19"/>
  <c r="AU24" i="19"/>
  <c r="AV24" i="19"/>
  <c r="AW24" i="19"/>
  <c r="AX24" i="19"/>
  <c r="AY24" i="19"/>
  <c r="AZ24" i="19"/>
  <c r="BA24" i="19"/>
  <c r="BB24" i="19"/>
  <c r="BC24" i="19"/>
  <c r="BD24" i="19"/>
  <c r="BE24" i="19"/>
  <c r="BF24" i="19"/>
  <c r="BG24" i="19"/>
  <c r="BH24" i="19"/>
  <c r="BI24" i="19"/>
  <c r="BJ24" i="19"/>
  <c r="BK24" i="19"/>
  <c r="BL24" i="19"/>
  <c r="BM24" i="19"/>
  <c r="BN24" i="19"/>
  <c r="BO24" i="19"/>
  <c r="BP24" i="19"/>
  <c r="BQ24" i="19"/>
  <c r="BR24" i="19"/>
  <c r="BS24" i="19"/>
  <c r="BT24" i="19"/>
  <c r="BU24" i="19"/>
  <c r="C25" i="19"/>
  <c r="D25" i="19"/>
  <c r="E25" i="19"/>
  <c r="F25" i="19"/>
  <c r="G25" i="19"/>
  <c r="H25" i="19"/>
  <c r="I25" i="19"/>
  <c r="J25" i="19"/>
  <c r="K25" i="19"/>
  <c r="L25" i="19"/>
  <c r="M25" i="19"/>
  <c r="N25" i="19"/>
  <c r="O25" i="19"/>
  <c r="P25" i="19"/>
  <c r="Q25" i="19"/>
  <c r="R25" i="19"/>
  <c r="S25" i="19"/>
  <c r="T25" i="19"/>
  <c r="U25" i="19"/>
  <c r="V25" i="19"/>
  <c r="W25" i="19"/>
  <c r="X25" i="19"/>
  <c r="Y25" i="19"/>
  <c r="Z25" i="19"/>
  <c r="AA25" i="19"/>
  <c r="AB25" i="19"/>
  <c r="AC25" i="19"/>
  <c r="AD25" i="19"/>
  <c r="AE25" i="19"/>
  <c r="AF25" i="19"/>
  <c r="AG25" i="19"/>
  <c r="AH25" i="19"/>
  <c r="AI25" i="19"/>
  <c r="AJ25" i="19"/>
  <c r="AK25" i="19"/>
  <c r="AL25" i="19"/>
  <c r="AM25" i="19"/>
  <c r="AN25" i="19"/>
  <c r="AO25" i="19"/>
  <c r="AP25" i="19"/>
  <c r="AQ25" i="19"/>
  <c r="AR25" i="19"/>
  <c r="AS25" i="19"/>
  <c r="AT25" i="19"/>
  <c r="AU25" i="19"/>
  <c r="AV25" i="19"/>
  <c r="AW25" i="19"/>
  <c r="AX25" i="19"/>
  <c r="AY25" i="19"/>
  <c r="AZ25" i="19"/>
  <c r="BA25" i="19"/>
  <c r="BB25" i="19"/>
  <c r="BC25" i="19"/>
  <c r="BD25" i="19"/>
  <c r="BE25" i="19"/>
  <c r="BF25" i="19"/>
  <c r="BG25" i="19"/>
  <c r="BH25" i="19"/>
  <c r="BI25" i="19"/>
  <c r="BJ25" i="19"/>
  <c r="BK25" i="19"/>
  <c r="BL25" i="19"/>
  <c r="BM25" i="19"/>
  <c r="BN25" i="19"/>
  <c r="BO25" i="19"/>
  <c r="BP25" i="19"/>
  <c r="BQ25" i="19"/>
  <c r="BR25" i="19"/>
  <c r="BS25" i="19"/>
  <c r="BT25" i="19"/>
  <c r="BU25" i="19"/>
  <c r="C26" i="19"/>
  <c r="D26" i="19"/>
  <c r="E26" i="19"/>
  <c r="F26" i="19"/>
  <c r="G26" i="19"/>
  <c r="H26" i="19"/>
  <c r="I26" i="19"/>
  <c r="J26" i="19"/>
  <c r="K26" i="19"/>
  <c r="L26" i="19"/>
  <c r="M26" i="19"/>
  <c r="N26" i="19"/>
  <c r="O26" i="19"/>
  <c r="P26" i="19"/>
  <c r="Q26" i="19"/>
  <c r="R26" i="19"/>
  <c r="S26" i="19"/>
  <c r="T26" i="19"/>
  <c r="U26" i="19"/>
  <c r="V26" i="19"/>
  <c r="W26" i="19"/>
  <c r="X26" i="19"/>
  <c r="Y26" i="19"/>
  <c r="Z26" i="19"/>
  <c r="AA26" i="19"/>
  <c r="AB26" i="19"/>
  <c r="AC26" i="19"/>
  <c r="AD26" i="19"/>
  <c r="AE26" i="19"/>
  <c r="AF26" i="19"/>
  <c r="AG26" i="19"/>
  <c r="AH26" i="19"/>
  <c r="AI26" i="19"/>
  <c r="AJ26" i="19"/>
  <c r="AK26" i="19"/>
  <c r="AL26" i="19"/>
  <c r="AM26" i="19"/>
  <c r="AN26" i="19"/>
  <c r="AO26" i="19"/>
  <c r="AP26" i="19"/>
  <c r="AQ26" i="19"/>
  <c r="AR26" i="19"/>
  <c r="AS26" i="19"/>
  <c r="AT26" i="19"/>
  <c r="AU26" i="19"/>
  <c r="AV26" i="19"/>
  <c r="AW26" i="19"/>
  <c r="AX26" i="19"/>
  <c r="AY26" i="19"/>
  <c r="AZ26" i="19"/>
  <c r="BA26" i="19"/>
  <c r="BB26" i="19"/>
  <c r="BC26" i="19"/>
  <c r="BD26" i="19"/>
  <c r="BE26" i="19"/>
  <c r="BF26" i="19"/>
  <c r="BG26" i="19"/>
  <c r="BH26" i="19"/>
  <c r="BI26" i="19"/>
  <c r="BJ26" i="19"/>
  <c r="BK26" i="19"/>
  <c r="BL26" i="19"/>
  <c r="BM26" i="19"/>
  <c r="BN26" i="19"/>
  <c r="BO26" i="19"/>
  <c r="BP26" i="19"/>
  <c r="BQ26" i="19"/>
  <c r="BR26" i="19"/>
  <c r="BS26" i="19"/>
  <c r="BT26" i="19"/>
  <c r="BU26" i="19"/>
  <c r="C27" i="19"/>
  <c r="D27" i="19"/>
  <c r="E27" i="19"/>
  <c r="F27" i="19"/>
  <c r="G27" i="19"/>
  <c r="H27" i="19"/>
  <c r="I27" i="19"/>
  <c r="J27" i="19"/>
  <c r="K27" i="19"/>
  <c r="L27" i="19"/>
  <c r="M27" i="19"/>
  <c r="N27" i="19"/>
  <c r="O27" i="19"/>
  <c r="P27" i="19"/>
  <c r="Q27" i="19"/>
  <c r="R27" i="19"/>
  <c r="S27" i="19"/>
  <c r="T27" i="19"/>
  <c r="U27" i="19"/>
  <c r="V27" i="19"/>
  <c r="W27" i="19"/>
  <c r="X27" i="19"/>
  <c r="Y27" i="19"/>
  <c r="Z27" i="19"/>
  <c r="AA27" i="19"/>
  <c r="AB27" i="19"/>
  <c r="AC27" i="19"/>
  <c r="AD27" i="19"/>
  <c r="AE27" i="19"/>
  <c r="AF27" i="19"/>
  <c r="AG27" i="19"/>
  <c r="AH27" i="19"/>
  <c r="AI27" i="19"/>
  <c r="AJ27" i="19"/>
  <c r="AK27" i="19"/>
  <c r="AL27" i="19"/>
  <c r="AM27" i="19"/>
  <c r="AN27" i="19"/>
  <c r="AO27" i="19"/>
  <c r="AP27" i="19"/>
  <c r="AQ27" i="19"/>
  <c r="AR27" i="19"/>
  <c r="AS27" i="19"/>
  <c r="AT27" i="19"/>
  <c r="AU27" i="19"/>
  <c r="AV27" i="19"/>
  <c r="AW27" i="19"/>
  <c r="AX27" i="19"/>
  <c r="AY27" i="19"/>
  <c r="AZ27" i="19"/>
  <c r="BA27" i="19"/>
  <c r="BB27" i="19"/>
  <c r="BC27" i="19"/>
  <c r="BD27" i="19"/>
  <c r="BE27" i="19"/>
  <c r="BF27" i="19"/>
  <c r="BG27" i="19"/>
  <c r="BH27" i="19"/>
  <c r="BI27" i="19"/>
  <c r="BJ27" i="19"/>
  <c r="BK27" i="19"/>
  <c r="BL27" i="19"/>
  <c r="BM27" i="19"/>
  <c r="BN27" i="19"/>
  <c r="BO27" i="19"/>
  <c r="BP27" i="19"/>
  <c r="BQ27" i="19"/>
  <c r="BR27" i="19"/>
  <c r="BS27" i="19"/>
  <c r="BT27" i="19"/>
  <c r="BU27" i="19"/>
  <c r="C28" i="19"/>
  <c r="D28" i="19"/>
  <c r="E28" i="19"/>
  <c r="F28" i="19"/>
  <c r="G28" i="19"/>
  <c r="H28" i="19"/>
  <c r="I28" i="19"/>
  <c r="J28" i="19"/>
  <c r="K28" i="19"/>
  <c r="L28" i="19"/>
  <c r="M28" i="19"/>
  <c r="N28" i="19"/>
  <c r="O28" i="19"/>
  <c r="P28" i="19"/>
  <c r="Q28" i="19"/>
  <c r="R28" i="19"/>
  <c r="S28" i="19"/>
  <c r="T28" i="19"/>
  <c r="U28" i="19"/>
  <c r="V28" i="19"/>
  <c r="W28" i="19"/>
  <c r="X28" i="19"/>
  <c r="Y28" i="19"/>
  <c r="Z28" i="19"/>
  <c r="AA28" i="19"/>
  <c r="AB28" i="19"/>
  <c r="AC28" i="19"/>
  <c r="AD28" i="19"/>
  <c r="AE28" i="19"/>
  <c r="AF28" i="19"/>
  <c r="AG28" i="19"/>
  <c r="AH28" i="19"/>
  <c r="AI28" i="19"/>
  <c r="AJ28" i="19"/>
  <c r="AK28" i="19"/>
  <c r="AL28" i="19"/>
  <c r="AM28" i="19"/>
  <c r="AN28" i="19"/>
  <c r="AO28" i="19"/>
  <c r="AP28" i="19"/>
  <c r="AQ28" i="19"/>
  <c r="AR28" i="19"/>
  <c r="AS28" i="19"/>
  <c r="AT28" i="19"/>
  <c r="AU28" i="19"/>
  <c r="AV28" i="19"/>
  <c r="AW28" i="19"/>
  <c r="AX28" i="19"/>
  <c r="AY28" i="19"/>
  <c r="AZ28" i="19"/>
  <c r="BA28" i="19"/>
  <c r="BB28" i="19"/>
  <c r="BC28" i="19"/>
  <c r="BD28" i="19"/>
  <c r="BE28" i="19"/>
  <c r="BF28" i="19"/>
  <c r="BG28" i="19"/>
  <c r="BH28" i="19"/>
  <c r="BI28" i="19"/>
  <c r="BJ28" i="19"/>
  <c r="BK28" i="19"/>
  <c r="BL28" i="19"/>
  <c r="BM28" i="19"/>
  <c r="BN28" i="19"/>
  <c r="BO28" i="19"/>
  <c r="BP28" i="19"/>
  <c r="BQ28" i="19"/>
  <c r="BR28" i="19"/>
  <c r="BS28" i="19"/>
  <c r="BT28" i="19"/>
  <c r="BU28" i="19"/>
  <c r="C29" i="19"/>
  <c r="D29" i="19"/>
  <c r="E29" i="19"/>
  <c r="F29" i="19"/>
  <c r="G29" i="19"/>
  <c r="H29" i="19"/>
  <c r="I29" i="19"/>
  <c r="J29" i="19"/>
  <c r="K29" i="19"/>
  <c r="L29" i="19"/>
  <c r="M29" i="19"/>
  <c r="N29" i="19"/>
  <c r="O29" i="19"/>
  <c r="P29" i="19"/>
  <c r="Q29" i="19"/>
  <c r="R29" i="19"/>
  <c r="S29" i="19"/>
  <c r="T29" i="19"/>
  <c r="U29" i="19"/>
  <c r="V29" i="19"/>
  <c r="W29" i="19"/>
  <c r="X29" i="19"/>
  <c r="Y29" i="19"/>
  <c r="Z29" i="19"/>
  <c r="AA29" i="19"/>
  <c r="AB29" i="19"/>
  <c r="AC29" i="19"/>
  <c r="AD29" i="19"/>
  <c r="AE29" i="19"/>
  <c r="AF29" i="19"/>
  <c r="AG29" i="19"/>
  <c r="AH29" i="19"/>
  <c r="AI29" i="19"/>
  <c r="AJ29" i="19"/>
  <c r="AK29" i="19"/>
  <c r="AL29" i="19"/>
  <c r="AM29" i="19"/>
  <c r="AN29" i="19"/>
  <c r="AO29" i="19"/>
  <c r="AP29" i="19"/>
  <c r="AQ29" i="19"/>
  <c r="AR29" i="19"/>
  <c r="AS29" i="19"/>
  <c r="AT29" i="19"/>
  <c r="AU29" i="19"/>
  <c r="AV29" i="19"/>
  <c r="AW29" i="19"/>
  <c r="AX29" i="19"/>
  <c r="AY29" i="19"/>
  <c r="AZ29" i="19"/>
  <c r="BA29" i="19"/>
  <c r="BB29" i="19"/>
  <c r="BC29" i="19"/>
  <c r="BD29" i="19"/>
  <c r="BE29" i="19"/>
  <c r="BF29" i="19"/>
  <c r="BG29" i="19"/>
  <c r="BH29" i="19"/>
  <c r="BI29" i="19"/>
  <c r="BJ29" i="19"/>
  <c r="BK29" i="19"/>
  <c r="BL29" i="19"/>
  <c r="BM29" i="19"/>
  <c r="BN29" i="19"/>
  <c r="BO29" i="19"/>
  <c r="BP29" i="19"/>
  <c r="BQ29" i="19"/>
  <c r="BR29" i="19"/>
  <c r="BS29" i="19"/>
  <c r="BT29" i="19"/>
  <c r="BU29" i="19"/>
  <c r="C30" i="19"/>
  <c r="D30" i="19"/>
  <c r="E30" i="19"/>
  <c r="F30" i="19"/>
  <c r="G30" i="19"/>
  <c r="H30" i="19"/>
  <c r="I30" i="19"/>
  <c r="J30" i="19"/>
  <c r="K30" i="19"/>
  <c r="L30" i="19"/>
  <c r="M30" i="19"/>
  <c r="N30" i="19"/>
  <c r="O30" i="19"/>
  <c r="P30" i="19"/>
  <c r="Q30" i="19"/>
  <c r="R30" i="19"/>
  <c r="S30" i="19"/>
  <c r="T30" i="19"/>
  <c r="U30" i="19"/>
  <c r="V30" i="19"/>
  <c r="W30" i="19"/>
  <c r="X30" i="19"/>
  <c r="Y30" i="19"/>
  <c r="Z30" i="19"/>
  <c r="AA30" i="19"/>
  <c r="AB30" i="19"/>
  <c r="AC30" i="19"/>
  <c r="AD30" i="19"/>
  <c r="AE30" i="19"/>
  <c r="AF30" i="19"/>
  <c r="AG30" i="19"/>
  <c r="AH30" i="19"/>
  <c r="AI30" i="19"/>
  <c r="AJ30" i="19"/>
  <c r="AK30" i="19"/>
  <c r="AL30" i="19"/>
  <c r="AM30" i="19"/>
  <c r="AN30" i="19"/>
  <c r="AO30" i="19"/>
  <c r="AP30" i="19"/>
  <c r="AQ30" i="19"/>
  <c r="AR30" i="19"/>
  <c r="AS30" i="19"/>
  <c r="AT30" i="19"/>
  <c r="AU30" i="19"/>
  <c r="AV30" i="19"/>
  <c r="AW30" i="19"/>
  <c r="AX30" i="19"/>
  <c r="AY30" i="19"/>
  <c r="AZ30" i="19"/>
  <c r="BA30" i="19"/>
  <c r="BB30" i="19"/>
  <c r="BC30" i="19"/>
  <c r="BD30" i="19"/>
  <c r="BE30" i="19"/>
  <c r="BF30" i="19"/>
  <c r="BG30" i="19"/>
  <c r="BH30" i="19"/>
  <c r="BI30" i="19"/>
  <c r="BJ30" i="19"/>
  <c r="BK30" i="19"/>
  <c r="BL30" i="19"/>
  <c r="BM30" i="19"/>
  <c r="BN30" i="19"/>
  <c r="BO30" i="19"/>
  <c r="BP30" i="19"/>
  <c r="BQ30" i="19"/>
  <c r="BR30" i="19"/>
  <c r="BS30" i="19"/>
  <c r="BT30" i="19"/>
  <c r="BU30" i="19"/>
  <c r="C31" i="19"/>
  <c r="D31" i="19"/>
  <c r="E31" i="19"/>
  <c r="F31" i="19"/>
  <c r="G31" i="19"/>
  <c r="H31" i="19"/>
  <c r="I31" i="19"/>
  <c r="J31" i="19"/>
  <c r="K31" i="19"/>
  <c r="L31" i="19"/>
  <c r="M31" i="19"/>
  <c r="N31" i="19"/>
  <c r="O31" i="19"/>
  <c r="P31" i="19"/>
  <c r="Q31" i="19"/>
  <c r="R31" i="19"/>
  <c r="S31" i="19"/>
  <c r="T31" i="19"/>
  <c r="U31" i="19"/>
  <c r="V31" i="19"/>
  <c r="W31" i="19"/>
  <c r="X31" i="19"/>
  <c r="Y31" i="19"/>
  <c r="Z31" i="19"/>
  <c r="AA31" i="19"/>
  <c r="AB31" i="19"/>
  <c r="AC31" i="19"/>
  <c r="AD31" i="19"/>
  <c r="AE31" i="19"/>
  <c r="AF31" i="19"/>
  <c r="AG31" i="19"/>
  <c r="AH31" i="19"/>
  <c r="AI31" i="19"/>
  <c r="AJ31" i="19"/>
  <c r="AK31" i="19"/>
  <c r="AL31" i="19"/>
  <c r="AM31" i="19"/>
  <c r="AN31" i="19"/>
  <c r="AO31" i="19"/>
  <c r="AP31" i="19"/>
  <c r="AQ31" i="19"/>
  <c r="AR31" i="19"/>
  <c r="AS31" i="19"/>
  <c r="AT31" i="19"/>
  <c r="AU31" i="19"/>
  <c r="AV31" i="19"/>
  <c r="AW31" i="19"/>
  <c r="AX31" i="19"/>
  <c r="AY31" i="19"/>
  <c r="AZ31" i="19"/>
  <c r="BA31" i="19"/>
  <c r="BB31" i="19"/>
  <c r="BC31" i="19"/>
  <c r="BD31" i="19"/>
  <c r="BE31" i="19"/>
  <c r="BF31" i="19"/>
  <c r="BG31" i="19"/>
  <c r="BH31" i="19"/>
  <c r="BI31" i="19"/>
  <c r="BJ31" i="19"/>
  <c r="BK31" i="19"/>
  <c r="BL31" i="19"/>
  <c r="BM31" i="19"/>
  <c r="BN31" i="19"/>
  <c r="BO31" i="19"/>
  <c r="BP31" i="19"/>
  <c r="BQ31" i="19"/>
  <c r="BR31" i="19"/>
  <c r="BS31" i="19"/>
  <c r="BT31" i="19"/>
  <c r="BU31" i="19"/>
  <c r="C32" i="19"/>
  <c r="D32" i="19"/>
  <c r="E32" i="19"/>
  <c r="F32" i="19"/>
  <c r="G32" i="19"/>
  <c r="H32" i="19"/>
  <c r="I32" i="19"/>
  <c r="J32" i="19"/>
  <c r="K32" i="19"/>
  <c r="L32" i="19"/>
  <c r="M32" i="19"/>
  <c r="N32" i="19"/>
  <c r="O32" i="19"/>
  <c r="P32" i="19"/>
  <c r="Q32" i="19"/>
  <c r="R32" i="19"/>
  <c r="S32" i="19"/>
  <c r="T32" i="19"/>
  <c r="U32" i="19"/>
  <c r="V32" i="19"/>
  <c r="W32" i="19"/>
  <c r="X32" i="19"/>
  <c r="Y32" i="19"/>
  <c r="Z32" i="19"/>
  <c r="AA32" i="19"/>
  <c r="AB32" i="19"/>
  <c r="AC32" i="19"/>
  <c r="AD32" i="19"/>
  <c r="AE32" i="19"/>
  <c r="AF32" i="19"/>
  <c r="AG32" i="19"/>
  <c r="AH32" i="19"/>
  <c r="AI32" i="19"/>
  <c r="AJ32" i="19"/>
  <c r="AK32" i="19"/>
  <c r="AL32" i="19"/>
  <c r="AM32" i="19"/>
  <c r="AN32" i="19"/>
  <c r="AO32" i="19"/>
  <c r="AP32" i="19"/>
  <c r="AQ32" i="19"/>
  <c r="AR32" i="19"/>
  <c r="AS32" i="19"/>
  <c r="AT32" i="19"/>
  <c r="AU32" i="19"/>
  <c r="AV32" i="19"/>
  <c r="AW32" i="19"/>
  <c r="AX32" i="19"/>
  <c r="AY32" i="19"/>
  <c r="AZ32" i="19"/>
  <c r="BA32" i="19"/>
  <c r="BB32" i="19"/>
  <c r="BC32" i="19"/>
  <c r="BD32" i="19"/>
  <c r="BE32" i="19"/>
  <c r="BF32" i="19"/>
  <c r="BG32" i="19"/>
  <c r="BH32" i="19"/>
  <c r="BI32" i="19"/>
  <c r="BJ32" i="19"/>
  <c r="BK32" i="19"/>
  <c r="BL32" i="19"/>
  <c r="BM32" i="19"/>
  <c r="BN32" i="19"/>
  <c r="BO32" i="19"/>
  <c r="BP32" i="19"/>
  <c r="BQ32" i="19"/>
  <c r="BR32" i="19"/>
  <c r="BS32" i="19"/>
  <c r="BT32" i="19"/>
  <c r="BU32" i="19"/>
  <c r="C33" i="19"/>
  <c r="D33" i="19"/>
  <c r="E33" i="19"/>
  <c r="F33" i="19"/>
  <c r="G33" i="19"/>
  <c r="H33" i="19"/>
  <c r="I33" i="19"/>
  <c r="J33" i="19"/>
  <c r="K33" i="19"/>
  <c r="L33" i="19"/>
  <c r="M33" i="19"/>
  <c r="N33" i="19"/>
  <c r="O33" i="19"/>
  <c r="P33" i="19"/>
  <c r="Q33" i="19"/>
  <c r="R33" i="19"/>
  <c r="S33" i="19"/>
  <c r="T33" i="19"/>
  <c r="U33" i="19"/>
  <c r="V33" i="19"/>
  <c r="W33" i="19"/>
  <c r="X33" i="19"/>
  <c r="Y33" i="19"/>
  <c r="Z33" i="19"/>
  <c r="AA33" i="19"/>
  <c r="AB33" i="19"/>
  <c r="AC33" i="19"/>
  <c r="AD33" i="19"/>
  <c r="AE33" i="19"/>
  <c r="AF33" i="19"/>
  <c r="AG33" i="19"/>
  <c r="AH33" i="19"/>
  <c r="AI33" i="19"/>
  <c r="AJ33" i="19"/>
  <c r="AK33" i="19"/>
  <c r="AL33" i="19"/>
  <c r="AM33" i="19"/>
  <c r="AN33" i="19"/>
  <c r="AO33" i="19"/>
  <c r="AP33" i="19"/>
  <c r="AQ33" i="19"/>
  <c r="AR33" i="19"/>
  <c r="AS33" i="19"/>
  <c r="AT33" i="19"/>
  <c r="AU33" i="19"/>
  <c r="AV33" i="19"/>
  <c r="AW33" i="19"/>
  <c r="AX33" i="19"/>
  <c r="AY33" i="19"/>
  <c r="AZ33" i="19"/>
  <c r="BA33" i="19"/>
  <c r="BB33" i="19"/>
  <c r="BC33" i="19"/>
  <c r="BD33" i="19"/>
  <c r="BE33" i="19"/>
  <c r="BF33" i="19"/>
  <c r="BG33" i="19"/>
  <c r="BH33" i="19"/>
  <c r="BI33" i="19"/>
  <c r="BJ33" i="19"/>
  <c r="BK33" i="19"/>
  <c r="BL33" i="19"/>
  <c r="BM33" i="19"/>
  <c r="BN33" i="19"/>
  <c r="BO33" i="19"/>
  <c r="BP33" i="19"/>
  <c r="BQ33" i="19"/>
  <c r="BR33" i="19"/>
  <c r="BS33" i="19"/>
  <c r="BT33" i="19"/>
  <c r="BU33" i="19"/>
  <c r="C34" i="19"/>
  <c r="D34" i="19"/>
  <c r="E34" i="19"/>
  <c r="F34" i="19"/>
  <c r="G34" i="19"/>
  <c r="H34" i="19"/>
  <c r="I34" i="19"/>
  <c r="J34" i="19"/>
  <c r="K34" i="19"/>
  <c r="L34" i="19"/>
  <c r="M34" i="19"/>
  <c r="N34" i="19"/>
  <c r="O34" i="19"/>
  <c r="P34" i="19"/>
  <c r="Q34" i="19"/>
  <c r="R34" i="19"/>
  <c r="S34" i="19"/>
  <c r="T34" i="19"/>
  <c r="U34" i="19"/>
  <c r="V34" i="19"/>
  <c r="W34" i="19"/>
  <c r="X34" i="19"/>
  <c r="Y34" i="19"/>
  <c r="Z34" i="19"/>
  <c r="AA34" i="19"/>
  <c r="AB34" i="19"/>
  <c r="AC34" i="19"/>
  <c r="AD34" i="19"/>
  <c r="AE34" i="19"/>
  <c r="AF34" i="19"/>
  <c r="AG34" i="19"/>
  <c r="AH34" i="19"/>
  <c r="AI34" i="19"/>
  <c r="AJ34" i="19"/>
  <c r="AK34" i="19"/>
  <c r="AL34" i="19"/>
  <c r="AM34" i="19"/>
  <c r="AN34" i="19"/>
  <c r="AO34" i="19"/>
  <c r="AP34" i="19"/>
  <c r="AQ34" i="19"/>
  <c r="AR34" i="19"/>
  <c r="AS34" i="19"/>
  <c r="AT34" i="19"/>
  <c r="AU34" i="19"/>
  <c r="AV34" i="19"/>
  <c r="AW34" i="19"/>
  <c r="AX34" i="19"/>
  <c r="AY34" i="19"/>
  <c r="AZ34" i="19"/>
  <c r="BA34" i="19"/>
  <c r="BB34" i="19"/>
  <c r="BC34" i="19"/>
  <c r="BD34" i="19"/>
  <c r="BE34" i="19"/>
  <c r="BF34" i="19"/>
  <c r="BG34" i="19"/>
  <c r="BH34" i="19"/>
  <c r="BI34" i="19"/>
  <c r="BJ34" i="19"/>
  <c r="BK34" i="19"/>
  <c r="BL34" i="19"/>
  <c r="BM34" i="19"/>
  <c r="BN34" i="19"/>
  <c r="BO34" i="19"/>
  <c r="BP34" i="19"/>
  <c r="BQ34" i="19"/>
  <c r="BR34" i="19"/>
  <c r="BS34" i="19"/>
  <c r="BT34" i="19"/>
  <c r="BU34" i="19"/>
  <c r="C35" i="19"/>
  <c r="D35" i="19"/>
  <c r="E35" i="19"/>
  <c r="F35" i="19"/>
  <c r="G35" i="19"/>
  <c r="H35" i="19"/>
  <c r="I35" i="19"/>
  <c r="J35" i="19"/>
  <c r="K35" i="19"/>
  <c r="L35" i="19"/>
  <c r="M35" i="19"/>
  <c r="N35" i="19"/>
  <c r="O35" i="19"/>
  <c r="P35" i="19"/>
  <c r="Q35" i="19"/>
  <c r="R35" i="19"/>
  <c r="S35" i="19"/>
  <c r="T35" i="19"/>
  <c r="U35" i="19"/>
  <c r="V35" i="19"/>
  <c r="W35" i="19"/>
  <c r="X35" i="19"/>
  <c r="Y35" i="19"/>
  <c r="Z35" i="19"/>
  <c r="AA35" i="19"/>
  <c r="AB35" i="19"/>
  <c r="AC35" i="19"/>
  <c r="AD35" i="19"/>
  <c r="AE35" i="19"/>
  <c r="AF35" i="19"/>
  <c r="AG35" i="19"/>
  <c r="AH35" i="19"/>
  <c r="AI35" i="19"/>
  <c r="AJ35" i="19"/>
  <c r="AK35" i="19"/>
  <c r="AL35" i="19"/>
  <c r="AM35" i="19"/>
  <c r="AN35" i="19"/>
  <c r="AO35" i="19"/>
  <c r="AP35" i="19"/>
  <c r="AQ35" i="19"/>
  <c r="AR35" i="19"/>
  <c r="AS35" i="19"/>
  <c r="AT35" i="19"/>
  <c r="AU35" i="19"/>
  <c r="AV35" i="19"/>
  <c r="AW35" i="19"/>
  <c r="AX35" i="19"/>
  <c r="AY35" i="19"/>
  <c r="AZ35" i="19"/>
  <c r="BA35" i="19"/>
  <c r="BB35" i="19"/>
  <c r="BC35" i="19"/>
  <c r="BD35" i="19"/>
  <c r="BE35" i="19"/>
  <c r="BF35" i="19"/>
  <c r="BG35" i="19"/>
  <c r="BH35" i="19"/>
  <c r="BI35" i="19"/>
  <c r="BJ35" i="19"/>
  <c r="BK35" i="19"/>
  <c r="BL35" i="19"/>
  <c r="BM35" i="19"/>
  <c r="BN35" i="19"/>
  <c r="BO35" i="19"/>
  <c r="BP35" i="19"/>
  <c r="BQ35" i="19"/>
  <c r="BR35" i="19"/>
  <c r="BS35" i="19"/>
  <c r="BT35" i="19"/>
  <c r="BU35" i="19"/>
  <c r="C36" i="19"/>
  <c r="D36" i="19"/>
  <c r="E36" i="19"/>
  <c r="F36" i="19"/>
  <c r="G36" i="19"/>
  <c r="H36" i="19"/>
  <c r="I36" i="19"/>
  <c r="J36" i="19"/>
  <c r="K36" i="19"/>
  <c r="L36" i="19"/>
  <c r="M36" i="19"/>
  <c r="N36" i="19"/>
  <c r="O36" i="19"/>
  <c r="P36" i="19"/>
  <c r="Q36" i="19"/>
  <c r="R36" i="19"/>
  <c r="S36" i="19"/>
  <c r="T36" i="19"/>
  <c r="U36" i="19"/>
  <c r="V36" i="19"/>
  <c r="W36" i="19"/>
  <c r="X36" i="19"/>
  <c r="Y36" i="19"/>
  <c r="Z36" i="19"/>
  <c r="AA36" i="19"/>
  <c r="AB36" i="19"/>
  <c r="AC36" i="19"/>
  <c r="AD36" i="19"/>
  <c r="AE36" i="19"/>
  <c r="AF36" i="19"/>
  <c r="AG36" i="19"/>
  <c r="AH36" i="19"/>
  <c r="AI36" i="19"/>
  <c r="AJ36" i="19"/>
  <c r="AK36" i="19"/>
  <c r="AL36" i="19"/>
  <c r="AM36" i="19"/>
  <c r="AN36" i="19"/>
  <c r="AO36" i="19"/>
  <c r="AP36" i="19"/>
  <c r="AQ36" i="19"/>
  <c r="AR36" i="19"/>
  <c r="AS36" i="19"/>
  <c r="AT36" i="19"/>
  <c r="AU36" i="19"/>
  <c r="AV36" i="19"/>
  <c r="AW36" i="19"/>
  <c r="AX36" i="19"/>
  <c r="AY36" i="19"/>
  <c r="AZ36" i="19"/>
  <c r="BA36" i="19"/>
  <c r="BB36" i="19"/>
  <c r="BC36" i="19"/>
  <c r="BD36" i="19"/>
  <c r="BE36" i="19"/>
  <c r="BF36" i="19"/>
  <c r="BG36" i="19"/>
  <c r="BH36" i="19"/>
  <c r="BI36" i="19"/>
  <c r="BJ36" i="19"/>
  <c r="BK36" i="19"/>
  <c r="BL36" i="19"/>
  <c r="BM36" i="19"/>
  <c r="BN36" i="19"/>
  <c r="BO36" i="19"/>
  <c r="BP36" i="19"/>
  <c r="BQ36" i="19"/>
  <c r="BR36" i="19"/>
  <c r="BS36" i="19"/>
  <c r="BT36" i="19"/>
  <c r="BU36" i="19"/>
  <c r="C37" i="19"/>
  <c r="D37" i="19"/>
  <c r="E37" i="19"/>
  <c r="F37" i="19"/>
  <c r="G37" i="19"/>
  <c r="H37" i="19"/>
  <c r="I37" i="19"/>
  <c r="J37" i="19"/>
  <c r="K37" i="19"/>
  <c r="L37" i="19"/>
  <c r="M37" i="19"/>
  <c r="N37" i="19"/>
  <c r="O37" i="19"/>
  <c r="P37" i="19"/>
  <c r="Q37" i="19"/>
  <c r="R37" i="19"/>
  <c r="S37" i="19"/>
  <c r="T37" i="19"/>
  <c r="U37" i="19"/>
  <c r="V37" i="19"/>
  <c r="W37" i="19"/>
  <c r="X37" i="19"/>
  <c r="Y37" i="19"/>
  <c r="Z37" i="19"/>
  <c r="AA37" i="19"/>
  <c r="AB37" i="19"/>
  <c r="AC37" i="19"/>
  <c r="AD37" i="19"/>
  <c r="AE37" i="19"/>
  <c r="AF37" i="19"/>
  <c r="AG37" i="19"/>
  <c r="AH37" i="19"/>
  <c r="AI37" i="19"/>
  <c r="AJ37" i="19"/>
  <c r="AK37" i="19"/>
  <c r="AL37" i="19"/>
  <c r="AM37" i="19"/>
  <c r="AN37" i="19"/>
  <c r="AO37" i="19"/>
  <c r="AP37" i="19"/>
  <c r="AQ37" i="19"/>
  <c r="AR37" i="19"/>
  <c r="AS37" i="19"/>
  <c r="AT37" i="19"/>
  <c r="AU37" i="19"/>
  <c r="AV37" i="19"/>
  <c r="AW37" i="19"/>
  <c r="AX37" i="19"/>
  <c r="AY37" i="19"/>
  <c r="AZ37" i="19"/>
  <c r="BA37" i="19"/>
  <c r="BB37" i="19"/>
  <c r="BC37" i="19"/>
  <c r="BD37" i="19"/>
  <c r="BE37" i="19"/>
  <c r="BF37" i="19"/>
  <c r="BG37" i="19"/>
  <c r="BH37" i="19"/>
  <c r="BI37" i="19"/>
  <c r="BJ37" i="19"/>
  <c r="BK37" i="19"/>
  <c r="BL37" i="19"/>
  <c r="BM37" i="19"/>
  <c r="BN37" i="19"/>
  <c r="BO37" i="19"/>
  <c r="BP37" i="19"/>
  <c r="BQ37" i="19"/>
  <c r="BR37" i="19"/>
  <c r="BS37" i="19"/>
  <c r="BT37" i="19"/>
  <c r="BU37" i="19"/>
  <c r="C38" i="19"/>
  <c r="D38" i="19"/>
  <c r="E38" i="19"/>
  <c r="F38" i="19"/>
  <c r="G38" i="19"/>
  <c r="H38" i="19"/>
  <c r="I38" i="19"/>
  <c r="J38" i="19"/>
  <c r="K38" i="19"/>
  <c r="L38" i="19"/>
  <c r="M38" i="19"/>
  <c r="N38" i="19"/>
  <c r="O38" i="19"/>
  <c r="P38" i="19"/>
  <c r="Q38" i="19"/>
  <c r="R38" i="19"/>
  <c r="S38" i="19"/>
  <c r="T38" i="19"/>
  <c r="U38" i="19"/>
  <c r="V38" i="19"/>
  <c r="W38" i="19"/>
  <c r="X38" i="19"/>
  <c r="Y38" i="19"/>
  <c r="Z38" i="19"/>
  <c r="AA38" i="19"/>
  <c r="AB38" i="19"/>
  <c r="AC38" i="19"/>
  <c r="AD38" i="19"/>
  <c r="AE38" i="19"/>
  <c r="AF38" i="19"/>
  <c r="AG38" i="19"/>
  <c r="AH38" i="19"/>
  <c r="AI38" i="19"/>
  <c r="AJ38" i="19"/>
  <c r="AK38" i="19"/>
  <c r="AL38" i="19"/>
  <c r="AM38" i="19"/>
  <c r="AN38" i="19"/>
  <c r="AO38" i="19"/>
  <c r="AP38" i="19"/>
  <c r="AQ38" i="19"/>
  <c r="AR38" i="19"/>
  <c r="AS38" i="19"/>
  <c r="AT38" i="19"/>
  <c r="AU38" i="19"/>
  <c r="AV38" i="19"/>
  <c r="AW38" i="19"/>
  <c r="AX38" i="19"/>
  <c r="AY38" i="19"/>
  <c r="AZ38" i="19"/>
  <c r="BA38" i="19"/>
  <c r="BB38" i="19"/>
  <c r="BC38" i="19"/>
  <c r="BD38" i="19"/>
  <c r="BE38" i="19"/>
  <c r="BF38" i="19"/>
  <c r="BG38" i="19"/>
  <c r="BH38" i="19"/>
  <c r="BI38" i="19"/>
  <c r="BJ38" i="19"/>
  <c r="BK38" i="19"/>
  <c r="BL38" i="19"/>
  <c r="BM38" i="19"/>
  <c r="BN38" i="19"/>
  <c r="BO38" i="19"/>
  <c r="BP38" i="19"/>
  <c r="BQ38" i="19"/>
  <c r="BR38" i="19"/>
  <c r="BS38" i="19"/>
  <c r="BT38" i="19"/>
  <c r="BU38" i="19"/>
  <c r="C39" i="19"/>
  <c r="D39" i="19"/>
  <c r="E39" i="19"/>
  <c r="F39" i="19"/>
  <c r="G39" i="19"/>
  <c r="H39" i="19"/>
  <c r="I39" i="19"/>
  <c r="J39" i="19"/>
  <c r="K39" i="19"/>
  <c r="L39" i="19"/>
  <c r="M39" i="19"/>
  <c r="N39" i="19"/>
  <c r="O39" i="19"/>
  <c r="P39" i="19"/>
  <c r="Q39" i="19"/>
  <c r="R39" i="19"/>
  <c r="S39" i="19"/>
  <c r="T39" i="19"/>
  <c r="U39" i="19"/>
  <c r="V39" i="19"/>
  <c r="W39" i="19"/>
  <c r="X39" i="19"/>
  <c r="Y39" i="19"/>
  <c r="Z39" i="19"/>
  <c r="AA39" i="19"/>
  <c r="AB39" i="19"/>
  <c r="AC39" i="19"/>
  <c r="AD39" i="19"/>
  <c r="AE39" i="19"/>
  <c r="AF39" i="19"/>
  <c r="AG39" i="19"/>
  <c r="AH39" i="19"/>
  <c r="AI39" i="19"/>
  <c r="AJ39" i="19"/>
  <c r="AK39" i="19"/>
  <c r="AL39" i="19"/>
  <c r="AM39" i="19"/>
  <c r="AN39" i="19"/>
  <c r="AO39" i="19"/>
  <c r="AP39" i="19"/>
  <c r="AQ39" i="19"/>
  <c r="AR39" i="19"/>
  <c r="AS39" i="19"/>
  <c r="AT39" i="19"/>
  <c r="AU39" i="19"/>
  <c r="AV39" i="19"/>
  <c r="AW39" i="19"/>
  <c r="AX39" i="19"/>
  <c r="AY39" i="19"/>
  <c r="AZ39" i="19"/>
  <c r="BA39" i="19"/>
  <c r="BB39" i="19"/>
  <c r="BC39" i="19"/>
  <c r="BD39" i="19"/>
  <c r="BE39" i="19"/>
  <c r="BF39" i="19"/>
  <c r="BG39" i="19"/>
  <c r="BH39" i="19"/>
  <c r="BI39" i="19"/>
  <c r="BJ39" i="19"/>
  <c r="BK39" i="19"/>
  <c r="BL39" i="19"/>
  <c r="BM39" i="19"/>
  <c r="BN39" i="19"/>
  <c r="BO39" i="19"/>
  <c r="BP39" i="19"/>
  <c r="BQ39" i="19"/>
  <c r="BR39" i="19"/>
  <c r="BS39" i="19"/>
  <c r="BT39" i="19"/>
  <c r="BU39" i="19"/>
  <c r="C40" i="19"/>
  <c r="D40" i="19"/>
  <c r="E40" i="19"/>
  <c r="F40" i="19"/>
  <c r="G40" i="19"/>
  <c r="H40" i="19"/>
  <c r="I40" i="19"/>
  <c r="J40" i="19"/>
  <c r="K40" i="19"/>
  <c r="L40" i="19"/>
  <c r="M40" i="19"/>
  <c r="N40" i="19"/>
  <c r="O40" i="19"/>
  <c r="P40" i="19"/>
  <c r="Q40" i="19"/>
  <c r="R40" i="19"/>
  <c r="S40" i="19"/>
  <c r="T40" i="19"/>
  <c r="U40" i="19"/>
  <c r="V40" i="19"/>
  <c r="W40" i="19"/>
  <c r="X40" i="19"/>
  <c r="Y40" i="19"/>
  <c r="Z40" i="19"/>
  <c r="AA40" i="19"/>
  <c r="AB40" i="19"/>
  <c r="AC40" i="19"/>
  <c r="AD40" i="19"/>
  <c r="AE40" i="19"/>
  <c r="AF40" i="19"/>
  <c r="AG40" i="19"/>
  <c r="AH40" i="19"/>
  <c r="AI40" i="19"/>
  <c r="AJ40" i="19"/>
  <c r="AK40" i="19"/>
  <c r="AL40" i="19"/>
  <c r="AM40" i="19"/>
  <c r="AN40" i="19"/>
  <c r="AO40" i="19"/>
  <c r="AP40" i="19"/>
  <c r="AQ40" i="19"/>
  <c r="AR40" i="19"/>
  <c r="AS40" i="19"/>
  <c r="AT40" i="19"/>
  <c r="AU40" i="19"/>
  <c r="AV40" i="19"/>
  <c r="AW40" i="19"/>
  <c r="AX40" i="19"/>
  <c r="AY40" i="19"/>
  <c r="AZ40" i="19"/>
  <c r="BA40" i="19"/>
  <c r="BB40" i="19"/>
  <c r="BC40" i="19"/>
  <c r="BD40" i="19"/>
  <c r="BE40" i="19"/>
  <c r="BF40" i="19"/>
  <c r="BG40" i="19"/>
  <c r="BH40" i="19"/>
  <c r="BI40" i="19"/>
  <c r="BJ40" i="19"/>
  <c r="BK40" i="19"/>
  <c r="BL40" i="19"/>
  <c r="BM40" i="19"/>
  <c r="BN40" i="19"/>
  <c r="BO40" i="19"/>
  <c r="BP40" i="19"/>
  <c r="BQ40" i="19"/>
  <c r="BR40" i="19"/>
  <c r="BS40" i="19"/>
  <c r="BT40" i="19"/>
  <c r="BU40" i="19"/>
  <c r="C41" i="19"/>
  <c r="D41" i="19"/>
  <c r="E41" i="19"/>
  <c r="F41" i="19"/>
  <c r="G41" i="19"/>
  <c r="H41" i="19"/>
  <c r="I41" i="19"/>
  <c r="J41" i="19"/>
  <c r="K41" i="19"/>
  <c r="L41" i="19"/>
  <c r="M41" i="19"/>
  <c r="N41" i="19"/>
  <c r="O41" i="19"/>
  <c r="P41" i="19"/>
  <c r="Q41" i="19"/>
  <c r="R41" i="19"/>
  <c r="S41" i="19"/>
  <c r="T41" i="19"/>
  <c r="U41" i="19"/>
  <c r="V41" i="19"/>
  <c r="W41" i="19"/>
  <c r="X41" i="19"/>
  <c r="Y41" i="19"/>
  <c r="Z41" i="19"/>
  <c r="AA41" i="19"/>
  <c r="AB41" i="19"/>
  <c r="AC41" i="19"/>
  <c r="AD41" i="19"/>
  <c r="AE41" i="19"/>
  <c r="AF41" i="19"/>
  <c r="AG41" i="19"/>
  <c r="AH41" i="19"/>
  <c r="AI41" i="19"/>
  <c r="AJ41" i="19"/>
  <c r="AK41" i="19"/>
  <c r="AL41" i="19"/>
  <c r="AM41" i="19"/>
  <c r="AN41" i="19"/>
  <c r="AO41" i="19"/>
  <c r="AP41" i="19"/>
  <c r="AQ41" i="19"/>
  <c r="AR41" i="19"/>
  <c r="AS41" i="19"/>
  <c r="AT41" i="19"/>
  <c r="AU41" i="19"/>
  <c r="AV41" i="19"/>
  <c r="AW41" i="19"/>
  <c r="AX41" i="19"/>
  <c r="AY41" i="19"/>
  <c r="AZ41" i="19"/>
  <c r="BA41" i="19"/>
  <c r="BB41" i="19"/>
  <c r="BC41" i="19"/>
  <c r="BD41" i="19"/>
  <c r="BE41" i="19"/>
  <c r="BF41" i="19"/>
  <c r="BG41" i="19"/>
  <c r="BH41" i="19"/>
  <c r="BI41" i="19"/>
  <c r="BJ41" i="19"/>
  <c r="BK41" i="19"/>
  <c r="BL41" i="19"/>
  <c r="BM41" i="19"/>
  <c r="BN41" i="19"/>
  <c r="BO41" i="19"/>
  <c r="BP41" i="19"/>
  <c r="BQ41" i="19"/>
  <c r="BR41" i="19"/>
  <c r="BS41" i="19"/>
  <c r="BT41" i="19"/>
  <c r="BU41" i="19"/>
  <c r="C42" i="19"/>
  <c r="D42" i="19"/>
  <c r="E42" i="19"/>
  <c r="F42" i="19"/>
  <c r="G42" i="19"/>
  <c r="H42" i="19"/>
  <c r="I42" i="19"/>
  <c r="J42" i="19"/>
  <c r="K42" i="19"/>
  <c r="L42" i="19"/>
  <c r="M42" i="19"/>
  <c r="N42" i="19"/>
  <c r="O42" i="19"/>
  <c r="P42" i="19"/>
  <c r="Q42" i="19"/>
  <c r="R42" i="19"/>
  <c r="S42" i="19"/>
  <c r="T42" i="19"/>
  <c r="U42" i="19"/>
  <c r="V42" i="19"/>
  <c r="W42" i="19"/>
  <c r="X42" i="19"/>
  <c r="Y42" i="19"/>
  <c r="Z42" i="19"/>
  <c r="AA42" i="19"/>
  <c r="AB42" i="19"/>
  <c r="AC42" i="19"/>
  <c r="AD42" i="19"/>
  <c r="AE42" i="19"/>
  <c r="AF42" i="19"/>
  <c r="AG42" i="19"/>
  <c r="AH42" i="19"/>
  <c r="AI42" i="19"/>
  <c r="AJ42" i="19"/>
  <c r="AK42" i="19"/>
  <c r="AL42" i="19"/>
  <c r="AM42" i="19"/>
  <c r="AN42" i="19"/>
  <c r="AO42" i="19"/>
  <c r="AP42" i="19"/>
  <c r="AQ42" i="19"/>
  <c r="AR42" i="19"/>
  <c r="AS42" i="19"/>
  <c r="AT42" i="19"/>
  <c r="AU42" i="19"/>
  <c r="AV42" i="19"/>
  <c r="AW42" i="19"/>
  <c r="AX42" i="19"/>
  <c r="AY42" i="19"/>
  <c r="AZ42" i="19"/>
  <c r="BA42" i="19"/>
  <c r="BB42" i="19"/>
  <c r="BC42" i="19"/>
  <c r="BD42" i="19"/>
  <c r="BE42" i="19"/>
  <c r="BF42" i="19"/>
  <c r="BG42" i="19"/>
  <c r="BH42" i="19"/>
  <c r="BI42" i="19"/>
  <c r="BJ42" i="19"/>
  <c r="BK42" i="19"/>
  <c r="BL42" i="19"/>
  <c r="BM42" i="19"/>
  <c r="BN42" i="19"/>
  <c r="BO42" i="19"/>
  <c r="BP42" i="19"/>
  <c r="BQ42" i="19"/>
  <c r="BR42" i="19"/>
  <c r="BS42" i="19"/>
  <c r="BT42" i="19"/>
  <c r="BU42" i="19"/>
  <c r="C43" i="19"/>
  <c r="D43" i="19"/>
  <c r="E43" i="19"/>
  <c r="F43" i="19"/>
  <c r="G43" i="19"/>
  <c r="H43" i="19"/>
  <c r="I43" i="19"/>
  <c r="J43" i="19"/>
  <c r="K43" i="19"/>
  <c r="L43" i="19"/>
  <c r="M43" i="19"/>
  <c r="N43" i="19"/>
  <c r="O43" i="19"/>
  <c r="P43" i="19"/>
  <c r="Q43" i="19"/>
  <c r="R43" i="19"/>
  <c r="S43" i="19"/>
  <c r="T43" i="19"/>
  <c r="U43" i="19"/>
  <c r="V43" i="19"/>
  <c r="W43" i="19"/>
  <c r="X43" i="19"/>
  <c r="Y43" i="19"/>
  <c r="Z43" i="19"/>
  <c r="AA43" i="19"/>
  <c r="AB43" i="19"/>
  <c r="AC43" i="19"/>
  <c r="AD43" i="19"/>
  <c r="AE43" i="19"/>
  <c r="AF43" i="19"/>
  <c r="AG43" i="19"/>
  <c r="AH43" i="19"/>
  <c r="AI43" i="19"/>
  <c r="AJ43" i="19"/>
  <c r="AK43" i="19"/>
  <c r="AL43" i="19"/>
  <c r="AM43" i="19"/>
  <c r="AN43" i="19"/>
  <c r="AO43" i="19"/>
  <c r="AP43" i="19"/>
  <c r="AQ43" i="19"/>
  <c r="AR43" i="19"/>
  <c r="AS43" i="19"/>
  <c r="AT43" i="19"/>
  <c r="AU43" i="19"/>
  <c r="AV43" i="19"/>
  <c r="AW43" i="19"/>
  <c r="AX43" i="19"/>
  <c r="AY43" i="19"/>
  <c r="AZ43" i="19"/>
  <c r="BA43" i="19"/>
  <c r="BB43" i="19"/>
  <c r="BC43" i="19"/>
  <c r="BD43" i="19"/>
  <c r="BE43" i="19"/>
  <c r="BF43" i="19"/>
  <c r="BG43" i="19"/>
  <c r="BH43" i="19"/>
  <c r="BI43" i="19"/>
  <c r="BJ43" i="19"/>
  <c r="BK43" i="19"/>
  <c r="BL43" i="19"/>
  <c r="BM43" i="19"/>
  <c r="BN43" i="19"/>
  <c r="BO43" i="19"/>
  <c r="BP43" i="19"/>
  <c r="BQ43" i="19"/>
  <c r="BR43" i="19"/>
  <c r="BS43" i="19"/>
  <c r="BT43" i="19"/>
  <c r="BU43" i="19"/>
  <c r="C44" i="19"/>
  <c r="D44" i="19"/>
  <c r="E44" i="19"/>
  <c r="F44" i="19"/>
  <c r="G44" i="19"/>
  <c r="H44" i="19"/>
  <c r="I44" i="19"/>
  <c r="J44" i="19"/>
  <c r="K44" i="19"/>
  <c r="L44" i="19"/>
  <c r="M44" i="19"/>
  <c r="N44" i="19"/>
  <c r="O44" i="19"/>
  <c r="P44" i="19"/>
  <c r="Q44" i="19"/>
  <c r="R44" i="19"/>
  <c r="S44" i="19"/>
  <c r="T44" i="19"/>
  <c r="U44" i="19"/>
  <c r="V44" i="19"/>
  <c r="W44" i="19"/>
  <c r="X44" i="19"/>
  <c r="Y44" i="19"/>
  <c r="Z44" i="19"/>
  <c r="AA44" i="19"/>
  <c r="AB44" i="19"/>
  <c r="AC44" i="19"/>
  <c r="AD44" i="19"/>
  <c r="AE44" i="19"/>
  <c r="AF44" i="19"/>
  <c r="AG44" i="19"/>
  <c r="AH44" i="19"/>
  <c r="AI44" i="19"/>
  <c r="AJ44" i="19"/>
  <c r="AK44" i="19"/>
  <c r="AL44" i="19"/>
  <c r="AM44" i="19"/>
  <c r="AN44" i="19"/>
  <c r="AO44" i="19"/>
  <c r="AP44" i="19"/>
  <c r="AQ44" i="19"/>
  <c r="AR44" i="19"/>
  <c r="AS44" i="19"/>
  <c r="AT44" i="19"/>
  <c r="AU44" i="19"/>
  <c r="AV44" i="19"/>
  <c r="AW44" i="19"/>
  <c r="AX44" i="19"/>
  <c r="AY44" i="19"/>
  <c r="AZ44" i="19"/>
  <c r="BA44" i="19"/>
  <c r="BB44" i="19"/>
  <c r="BC44" i="19"/>
  <c r="BD44" i="19"/>
  <c r="BE44" i="19"/>
  <c r="BF44" i="19"/>
  <c r="BG44" i="19"/>
  <c r="BH44" i="19"/>
  <c r="BI44" i="19"/>
  <c r="BJ44" i="19"/>
  <c r="BK44" i="19"/>
  <c r="BL44" i="19"/>
  <c r="BM44" i="19"/>
  <c r="BN44" i="19"/>
  <c r="BO44" i="19"/>
  <c r="BP44" i="19"/>
  <c r="BQ44" i="19"/>
  <c r="BR44" i="19"/>
  <c r="BS44" i="19"/>
  <c r="BT44" i="19"/>
  <c r="BU44" i="19"/>
  <c r="C45" i="19"/>
  <c r="D45" i="19"/>
  <c r="E45" i="19"/>
  <c r="F45" i="19"/>
  <c r="G45" i="19"/>
  <c r="H45" i="19"/>
  <c r="I45" i="19"/>
  <c r="J45" i="19"/>
  <c r="K45" i="19"/>
  <c r="L45" i="19"/>
  <c r="M45" i="19"/>
  <c r="N45" i="19"/>
  <c r="O45" i="19"/>
  <c r="P45" i="19"/>
  <c r="Q45" i="19"/>
  <c r="R45" i="19"/>
  <c r="S45" i="19"/>
  <c r="T45" i="19"/>
  <c r="U45" i="19"/>
  <c r="V45" i="19"/>
  <c r="W45" i="19"/>
  <c r="X45" i="19"/>
  <c r="Y45" i="19"/>
  <c r="Z45" i="19"/>
  <c r="AA45" i="19"/>
  <c r="AB45" i="19"/>
  <c r="AC45" i="19"/>
  <c r="AD45" i="19"/>
  <c r="AE45" i="19"/>
  <c r="AF45" i="19"/>
  <c r="AG45" i="19"/>
  <c r="AH45" i="19"/>
  <c r="AI45" i="19"/>
  <c r="AJ45" i="19"/>
  <c r="AK45" i="19"/>
  <c r="AL45" i="19"/>
  <c r="AM45" i="19"/>
  <c r="AN45" i="19"/>
  <c r="AO45" i="19"/>
  <c r="AP45" i="19"/>
  <c r="AQ45" i="19"/>
  <c r="AR45" i="19"/>
  <c r="AS45" i="19"/>
  <c r="AT45" i="19"/>
  <c r="AU45" i="19"/>
  <c r="AV45" i="19"/>
  <c r="AW45" i="19"/>
  <c r="AX45" i="19"/>
  <c r="AY45" i="19"/>
  <c r="AZ45" i="19"/>
  <c r="BA45" i="19"/>
  <c r="BB45" i="19"/>
  <c r="BC45" i="19"/>
  <c r="BD45" i="19"/>
  <c r="BE45" i="19"/>
  <c r="BF45" i="19"/>
  <c r="BG45" i="19"/>
  <c r="BH45" i="19"/>
  <c r="BI45" i="19"/>
  <c r="BJ45" i="19"/>
  <c r="BK45" i="19"/>
  <c r="BL45" i="19"/>
  <c r="BM45" i="19"/>
  <c r="BN45" i="19"/>
  <c r="BO45" i="19"/>
  <c r="BP45" i="19"/>
  <c r="BQ45" i="19"/>
  <c r="BR45" i="19"/>
  <c r="BS45" i="19"/>
  <c r="BT45" i="19"/>
  <c r="BU45" i="19"/>
  <c r="C46" i="19"/>
  <c r="D46" i="19"/>
  <c r="E46" i="19"/>
  <c r="F46" i="19"/>
  <c r="G46" i="19"/>
  <c r="H46" i="19"/>
  <c r="I46" i="19"/>
  <c r="J46" i="19"/>
  <c r="K46" i="19"/>
  <c r="L46" i="19"/>
  <c r="M46" i="19"/>
  <c r="N46" i="19"/>
  <c r="O46" i="19"/>
  <c r="P46" i="19"/>
  <c r="Q46" i="19"/>
  <c r="R46" i="19"/>
  <c r="S46" i="19"/>
  <c r="T46" i="19"/>
  <c r="U46" i="19"/>
  <c r="V46" i="19"/>
  <c r="W46" i="19"/>
  <c r="X46" i="19"/>
  <c r="Y46" i="19"/>
  <c r="Z46" i="19"/>
  <c r="AA46" i="19"/>
  <c r="AB46" i="19"/>
  <c r="AC46" i="19"/>
  <c r="AD46" i="19"/>
  <c r="AE46" i="19"/>
  <c r="AF46" i="19"/>
  <c r="AG46" i="19"/>
  <c r="AH46" i="19"/>
  <c r="AI46" i="19"/>
  <c r="AJ46" i="19"/>
  <c r="AK46" i="19"/>
  <c r="AL46" i="19"/>
  <c r="AM46" i="19"/>
  <c r="AN46" i="19"/>
  <c r="AO46" i="19"/>
  <c r="AP46" i="19"/>
  <c r="AQ46" i="19"/>
  <c r="AR46" i="19"/>
  <c r="AS46" i="19"/>
  <c r="AT46" i="19"/>
  <c r="AU46" i="19"/>
  <c r="AV46" i="19"/>
  <c r="AW46" i="19"/>
  <c r="AX46" i="19"/>
  <c r="AY46" i="19"/>
  <c r="AZ46" i="19"/>
  <c r="BA46" i="19"/>
  <c r="BB46" i="19"/>
  <c r="BC46" i="19"/>
  <c r="BD46" i="19"/>
  <c r="BE46" i="19"/>
  <c r="BF46" i="19"/>
  <c r="BG46" i="19"/>
  <c r="BH46" i="19"/>
  <c r="BI46" i="19"/>
  <c r="BJ46" i="19"/>
  <c r="BK46" i="19"/>
  <c r="BL46" i="19"/>
  <c r="BM46" i="19"/>
  <c r="BN46" i="19"/>
  <c r="BO46" i="19"/>
  <c r="BP46" i="19"/>
  <c r="BQ46" i="19"/>
  <c r="BR46" i="19"/>
  <c r="BS46" i="19"/>
  <c r="BT46" i="19"/>
  <c r="BU46" i="19"/>
  <c r="C47" i="19"/>
  <c r="D47" i="19"/>
  <c r="E47" i="19"/>
  <c r="F47" i="19"/>
  <c r="G47" i="19"/>
  <c r="H47" i="19"/>
  <c r="I47" i="19"/>
  <c r="J47" i="19"/>
  <c r="K47" i="19"/>
  <c r="L47" i="19"/>
  <c r="M47" i="19"/>
  <c r="N47" i="19"/>
  <c r="O47" i="19"/>
  <c r="P47" i="19"/>
  <c r="Q47" i="19"/>
  <c r="R47" i="19"/>
  <c r="S47" i="19"/>
  <c r="T47" i="19"/>
  <c r="U47" i="19"/>
  <c r="V47" i="19"/>
  <c r="W47" i="19"/>
  <c r="X47" i="19"/>
  <c r="Y47" i="19"/>
  <c r="Z47" i="19"/>
  <c r="AA47" i="19"/>
  <c r="AB47" i="19"/>
  <c r="AC47" i="19"/>
  <c r="AD47" i="19"/>
  <c r="AE47" i="19"/>
  <c r="AF47" i="19"/>
  <c r="AG47" i="19"/>
  <c r="AH47" i="19"/>
  <c r="AI47" i="19"/>
  <c r="AJ47" i="19"/>
  <c r="AK47" i="19"/>
  <c r="AL47" i="19"/>
  <c r="AM47" i="19"/>
  <c r="AN47" i="19"/>
  <c r="AO47" i="19"/>
  <c r="AP47" i="19"/>
  <c r="AQ47" i="19"/>
  <c r="AR47" i="19"/>
  <c r="AS47" i="19"/>
  <c r="AT47" i="19"/>
  <c r="AU47" i="19"/>
  <c r="AV47" i="19"/>
  <c r="AW47" i="19"/>
  <c r="AX47" i="19"/>
  <c r="AY47" i="19"/>
  <c r="AZ47" i="19"/>
  <c r="BA47" i="19"/>
  <c r="BB47" i="19"/>
  <c r="BC47" i="19"/>
  <c r="BD47" i="19"/>
  <c r="BE47" i="19"/>
  <c r="BF47" i="19"/>
  <c r="BG47" i="19"/>
  <c r="BH47" i="19"/>
  <c r="BI47" i="19"/>
  <c r="BJ47" i="19"/>
  <c r="BK47" i="19"/>
  <c r="BL47" i="19"/>
  <c r="BM47" i="19"/>
  <c r="BN47" i="19"/>
  <c r="BO47" i="19"/>
  <c r="BP47" i="19"/>
  <c r="BQ47" i="19"/>
  <c r="BR47" i="19"/>
  <c r="BS47" i="19"/>
  <c r="BT47" i="19"/>
  <c r="BU47" i="19"/>
  <c r="C48" i="19"/>
  <c r="D48" i="19"/>
  <c r="E48" i="19"/>
  <c r="F48" i="19"/>
  <c r="G48" i="19"/>
  <c r="H48" i="19"/>
  <c r="I48" i="19"/>
  <c r="J48" i="19"/>
  <c r="K48" i="19"/>
  <c r="L48" i="19"/>
  <c r="M48" i="19"/>
  <c r="N48" i="19"/>
  <c r="O48" i="19"/>
  <c r="P48" i="19"/>
  <c r="Q48" i="19"/>
  <c r="R48" i="19"/>
  <c r="S48" i="19"/>
  <c r="T48" i="19"/>
  <c r="U48" i="19"/>
  <c r="V48" i="19"/>
  <c r="W48" i="19"/>
  <c r="X48" i="19"/>
  <c r="Y48" i="19"/>
  <c r="Z48" i="19"/>
  <c r="AA48" i="19"/>
  <c r="AB48" i="19"/>
  <c r="AC48" i="19"/>
  <c r="AD48" i="19"/>
  <c r="AE48" i="19"/>
  <c r="AF48" i="19"/>
  <c r="AG48" i="19"/>
  <c r="AH48" i="19"/>
  <c r="AI48" i="19"/>
  <c r="AJ48" i="19"/>
  <c r="AK48" i="19"/>
  <c r="AL48" i="19"/>
  <c r="AM48" i="19"/>
  <c r="AN48" i="19"/>
  <c r="AO48" i="19"/>
  <c r="AP48" i="19"/>
  <c r="AQ48" i="19"/>
  <c r="AR48" i="19"/>
  <c r="AS48" i="19"/>
  <c r="AT48" i="19"/>
  <c r="AU48" i="19"/>
  <c r="AV48" i="19"/>
  <c r="AW48" i="19"/>
  <c r="AX48" i="19"/>
  <c r="AY48" i="19"/>
  <c r="AZ48" i="19"/>
  <c r="BA48" i="19"/>
  <c r="BB48" i="19"/>
  <c r="BC48" i="19"/>
  <c r="BD48" i="19"/>
  <c r="BE48" i="19"/>
  <c r="BF48" i="19"/>
  <c r="BG48" i="19"/>
  <c r="BH48" i="19"/>
  <c r="BI48" i="19"/>
  <c r="BJ48" i="19"/>
  <c r="BK48" i="19"/>
  <c r="BL48" i="19"/>
  <c r="BM48" i="19"/>
  <c r="BN48" i="19"/>
  <c r="BO48" i="19"/>
  <c r="BP48" i="19"/>
  <c r="BQ48" i="19"/>
  <c r="BR48" i="19"/>
  <c r="BS48" i="19"/>
  <c r="BT48" i="19"/>
  <c r="BU48" i="19"/>
  <c r="C49" i="19"/>
  <c r="D49" i="19"/>
  <c r="E49" i="19"/>
  <c r="F49" i="19"/>
  <c r="G49" i="19"/>
  <c r="H49" i="19"/>
  <c r="I49" i="19"/>
  <c r="J49" i="19"/>
  <c r="K49" i="19"/>
  <c r="L49" i="19"/>
  <c r="M49" i="19"/>
  <c r="N49" i="19"/>
  <c r="O49" i="19"/>
  <c r="P49" i="19"/>
  <c r="Q49" i="19"/>
  <c r="R49" i="19"/>
  <c r="S49" i="19"/>
  <c r="T49" i="19"/>
  <c r="U49" i="19"/>
  <c r="V49" i="19"/>
  <c r="W49" i="19"/>
  <c r="X49" i="19"/>
  <c r="Y49" i="19"/>
  <c r="Z49" i="19"/>
  <c r="AA49" i="19"/>
  <c r="AB49" i="19"/>
  <c r="AC49" i="19"/>
  <c r="AD49" i="19"/>
  <c r="AE49" i="19"/>
  <c r="AF49" i="19"/>
  <c r="AG49" i="19"/>
  <c r="AH49" i="19"/>
  <c r="AI49" i="19"/>
  <c r="AJ49" i="19"/>
  <c r="AK49" i="19"/>
  <c r="AL49" i="19"/>
  <c r="AM49" i="19"/>
  <c r="AN49" i="19"/>
  <c r="AO49" i="19"/>
  <c r="AP49" i="19"/>
  <c r="AQ49" i="19"/>
  <c r="AR49" i="19"/>
  <c r="AS49" i="19"/>
  <c r="AT49" i="19"/>
  <c r="AU49" i="19"/>
  <c r="AV49" i="19"/>
  <c r="AW49" i="19"/>
  <c r="AX49" i="19"/>
  <c r="AY49" i="19"/>
  <c r="AZ49" i="19"/>
  <c r="BA49" i="19"/>
  <c r="BB49" i="19"/>
  <c r="BC49" i="19"/>
  <c r="BD49" i="19"/>
  <c r="BE49" i="19"/>
  <c r="BF49" i="19"/>
  <c r="BG49" i="19"/>
  <c r="BH49" i="19"/>
  <c r="BI49" i="19"/>
  <c r="BJ49" i="19"/>
  <c r="BK49" i="19"/>
  <c r="BL49" i="19"/>
  <c r="BM49" i="19"/>
  <c r="BN49" i="19"/>
  <c r="BO49" i="19"/>
  <c r="BP49" i="19"/>
  <c r="BQ49" i="19"/>
  <c r="BR49" i="19"/>
  <c r="BS49" i="19"/>
  <c r="BT49" i="19"/>
  <c r="BU49" i="19"/>
  <c r="C50" i="19"/>
  <c r="D50" i="19"/>
  <c r="E50" i="19"/>
  <c r="F50" i="19"/>
  <c r="G50" i="19"/>
  <c r="H50" i="19"/>
  <c r="I50" i="19"/>
  <c r="J50" i="19"/>
  <c r="K50" i="19"/>
  <c r="L50" i="19"/>
  <c r="M50" i="19"/>
  <c r="N50" i="19"/>
  <c r="O50" i="19"/>
  <c r="P50" i="19"/>
  <c r="Q50" i="19"/>
  <c r="R50" i="19"/>
  <c r="S50" i="19"/>
  <c r="T50" i="19"/>
  <c r="U50" i="19"/>
  <c r="V50" i="19"/>
  <c r="W50" i="19"/>
  <c r="X50" i="19"/>
  <c r="Y50" i="19"/>
  <c r="Z50" i="19"/>
  <c r="AA50" i="19"/>
  <c r="AB50" i="19"/>
  <c r="AC50" i="19"/>
  <c r="AD50" i="19"/>
  <c r="AE50" i="19"/>
  <c r="AF50" i="19"/>
  <c r="AG50" i="19"/>
  <c r="AH50" i="19"/>
  <c r="AI50" i="19"/>
  <c r="AJ50" i="19"/>
  <c r="AK50" i="19"/>
  <c r="AL50" i="19"/>
  <c r="AM50" i="19"/>
  <c r="AN50" i="19"/>
  <c r="AO50" i="19"/>
  <c r="AP50" i="19"/>
  <c r="AQ50" i="19"/>
  <c r="AR50" i="19"/>
  <c r="AS50" i="19"/>
  <c r="AT50" i="19"/>
  <c r="AU50" i="19"/>
  <c r="AV50" i="19"/>
  <c r="AW50" i="19"/>
  <c r="AX50" i="19"/>
  <c r="AY50" i="19"/>
  <c r="AZ50" i="19"/>
  <c r="BA50" i="19"/>
  <c r="BB50" i="19"/>
  <c r="BC50" i="19"/>
  <c r="BD50" i="19"/>
  <c r="BE50" i="19"/>
  <c r="BF50" i="19"/>
  <c r="BG50" i="19"/>
  <c r="BH50" i="19"/>
  <c r="BI50" i="19"/>
  <c r="BJ50" i="19"/>
  <c r="BK50" i="19"/>
  <c r="BL50" i="19"/>
  <c r="BM50" i="19"/>
  <c r="BN50" i="19"/>
  <c r="BO50" i="19"/>
  <c r="BP50" i="19"/>
  <c r="BQ50" i="19"/>
  <c r="BR50" i="19"/>
  <c r="BS50" i="19"/>
  <c r="BT50" i="19"/>
  <c r="BU50" i="19"/>
  <c r="C51" i="19"/>
  <c r="D51" i="19"/>
  <c r="E51" i="19"/>
  <c r="F51" i="19"/>
  <c r="G51" i="19"/>
  <c r="H51" i="19"/>
  <c r="I51" i="19"/>
  <c r="J51" i="19"/>
  <c r="K51" i="19"/>
  <c r="L51" i="19"/>
  <c r="M51" i="19"/>
  <c r="N51" i="19"/>
  <c r="O51" i="19"/>
  <c r="P51" i="19"/>
  <c r="Q51" i="19"/>
  <c r="R51" i="19"/>
  <c r="S51" i="19"/>
  <c r="T51" i="19"/>
  <c r="U51" i="19"/>
  <c r="V51" i="19"/>
  <c r="W51" i="19"/>
  <c r="X51" i="19"/>
  <c r="Y51" i="19"/>
  <c r="Z51" i="19"/>
  <c r="AA51" i="19"/>
  <c r="AB51" i="19"/>
  <c r="AC51" i="19"/>
  <c r="AD51" i="19"/>
  <c r="AE51" i="19"/>
  <c r="AF51" i="19"/>
  <c r="AG51" i="19"/>
  <c r="AH51" i="19"/>
  <c r="AI51" i="19"/>
  <c r="AJ51" i="19"/>
  <c r="AK51" i="19"/>
  <c r="AL51" i="19"/>
  <c r="AM51" i="19"/>
  <c r="AN51" i="19"/>
  <c r="AO51" i="19"/>
  <c r="AP51" i="19"/>
  <c r="AQ51" i="19"/>
  <c r="AR51" i="19"/>
  <c r="AS51" i="19"/>
  <c r="AT51" i="19"/>
  <c r="AU51" i="19"/>
  <c r="AV51" i="19"/>
  <c r="AW51" i="19"/>
  <c r="AX51" i="19"/>
  <c r="AY51" i="19"/>
  <c r="AZ51" i="19"/>
  <c r="BA51" i="19"/>
  <c r="BB51" i="19"/>
  <c r="BC51" i="19"/>
  <c r="BD51" i="19"/>
  <c r="BE51" i="19"/>
  <c r="BF51" i="19"/>
  <c r="BG51" i="19"/>
  <c r="BH51" i="19"/>
  <c r="BI51" i="19"/>
  <c r="BJ51" i="19"/>
  <c r="BK51" i="19"/>
  <c r="BL51" i="19"/>
  <c r="BM51" i="19"/>
  <c r="BN51" i="19"/>
  <c r="BO51" i="19"/>
  <c r="BP51" i="19"/>
  <c r="BQ51" i="19"/>
  <c r="BR51" i="19"/>
  <c r="BS51" i="19"/>
  <c r="BT51" i="19"/>
  <c r="BU51" i="19"/>
  <c r="C52" i="19"/>
  <c r="D52" i="19"/>
  <c r="E52" i="19"/>
  <c r="F52" i="19"/>
  <c r="G52" i="19"/>
  <c r="H52" i="19"/>
  <c r="I52" i="19"/>
  <c r="J52" i="19"/>
  <c r="K52" i="19"/>
  <c r="L52" i="19"/>
  <c r="M52" i="19"/>
  <c r="N52" i="19"/>
  <c r="O52" i="19"/>
  <c r="P52" i="19"/>
  <c r="Q52" i="19"/>
  <c r="R52" i="19"/>
  <c r="S52" i="19"/>
  <c r="T52" i="19"/>
  <c r="U52" i="19"/>
  <c r="V52" i="19"/>
  <c r="W52" i="19"/>
  <c r="X52" i="19"/>
  <c r="Y52" i="19"/>
  <c r="Z52" i="19"/>
  <c r="AA52" i="19"/>
  <c r="AB52" i="19"/>
  <c r="AC52" i="19"/>
  <c r="AD52" i="19"/>
  <c r="AE52" i="19"/>
  <c r="AF52" i="19"/>
  <c r="AG52" i="19"/>
  <c r="AH52" i="19"/>
  <c r="AI52" i="19"/>
  <c r="AJ52" i="19"/>
  <c r="AK52" i="19"/>
  <c r="AL52" i="19"/>
  <c r="AM52" i="19"/>
  <c r="AN52" i="19"/>
  <c r="AO52" i="19"/>
  <c r="AP52" i="19"/>
  <c r="AQ52" i="19"/>
  <c r="AR52" i="19"/>
  <c r="AS52" i="19"/>
  <c r="AT52" i="19"/>
  <c r="AU52" i="19"/>
  <c r="AV52" i="19"/>
  <c r="AW52" i="19"/>
  <c r="AX52" i="19"/>
  <c r="AY52" i="19"/>
  <c r="AZ52" i="19"/>
  <c r="BA52" i="19"/>
  <c r="BB52" i="19"/>
  <c r="BC52" i="19"/>
  <c r="BD52" i="19"/>
  <c r="BE52" i="19"/>
  <c r="BF52" i="19"/>
  <c r="BG52" i="19"/>
  <c r="BH52" i="19"/>
  <c r="BI52" i="19"/>
  <c r="BJ52" i="19"/>
  <c r="BK52" i="19"/>
  <c r="BL52" i="19"/>
  <c r="BM52" i="19"/>
  <c r="BN52" i="19"/>
  <c r="BO52" i="19"/>
  <c r="BP52" i="19"/>
  <c r="BQ52" i="19"/>
  <c r="BR52" i="19"/>
  <c r="BS52" i="19"/>
  <c r="BT52" i="19"/>
  <c r="BU52" i="19"/>
  <c r="C53" i="19"/>
  <c r="D53" i="19"/>
  <c r="E53" i="19"/>
  <c r="F53" i="19"/>
  <c r="G53" i="19"/>
  <c r="H53" i="19"/>
  <c r="I53" i="19"/>
  <c r="J53" i="19"/>
  <c r="K53" i="19"/>
  <c r="L53" i="19"/>
  <c r="M53" i="19"/>
  <c r="N53" i="19"/>
  <c r="O53" i="19"/>
  <c r="P53" i="19"/>
  <c r="Q53" i="19"/>
  <c r="R53" i="19"/>
  <c r="S53" i="19"/>
  <c r="T53" i="19"/>
  <c r="U53" i="19"/>
  <c r="V53" i="19"/>
  <c r="W53" i="19"/>
  <c r="X53" i="19"/>
  <c r="Y53" i="19"/>
  <c r="Z53" i="19"/>
  <c r="AA53" i="19"/>
  <c r="AB53" i="19"/>
  <c r="AC53" i="19"/>
  <c r="AD53" i="19"/>
  <c r="AE53" i="19"/>
  <c r="AF53" i="19"/>
  <c r="AG53" i="19"/>
  <c r="AH53" i="19"/>
  <c r="AI53" i="19"/>
  <c r="AJ53" i="19"/>
  <c r="AK53" i="19"/>
  <c r="AL53" i="19"/>
  <c r="AM53" i="19"/>
  <c r="AN53" i="19"/>
  <c r="AO53" i="19"/>
  <c r="AP53" i="19"/>
  <c r="AQ53" i="19"/>
  <c r="AR53" i="19"/>
  <c r="AS53" i="19"/>
  <c r="AT53" i="19"/>
  <c r="AU53" i="19"/>
  <c r="AV53" i="19"/>
  <c r="AW53" i="19"/>
  <c r="AX53" i="19"/>
  <c r="AY53" i="19"/>
  <c r="AZ53" i="19"/>
  <c r="BA53" i="19"/>
  <c r="BB53" i="19"/>
  <c r="BC53" i="19"/>
  <c r="BD53" i="19"/>
  <c r="BE53" i="19"/>
  <c r="BF53" i="19"/>
  <c r="BG53" i="19"/>
  <c r="BH53" i="19"/>
  <c r="BI53" i="19"/>
  <c r="BJ53" i="19"/>
  <c r="BK53" i="19"/>
  <c r="BL53" i="19"/>
  <c r="BM53" i="19"/>
  <c r="BN53" i="19"/>
  <c r="BO53" i="19"/>
  <c r="BP53" i="19"/>
  <c r="BQ53" i="19"/>
  <c r="BR53" i="19"/>
  <c r="BS53" i="19"/>
  <c r="BT53" i="19"/>
  <c r="BU53" i="19"/>
  <c r="C54" i="19"/>
  <c r="D54" i="19"/>
  <c r="E54" i="19"/>
  <c r="F54" i="19"/>
  <c r="G54" i="19"/>
  <c r="H54" i="19"/>
  <c r="I54" i="19"/>
  <c r="J54" i="19"/>
  <c r="K54" i="19"/>
  <c r="L54" i="19"/>
  <c r="M54" i="19"/>
  <c r="N54" i="19"/>
  <c r="O54" i="19"/>
  <c r="P54" i="19"/>
  <c r="Q54" i="19"/>
  <c r="R54" i="19"/>
  <c r="S54" i="19"/>
  <c r="T54" i="19"/>
  <c r="U54" i="19"/>
  <c r="V54" i="19"/>
  <c r="W54" i="19"/>
  <c r="X54" i="19"/>
  <c r="Y54" i="19"/>
  <c r="Z54" i="19"/>
  <c r="AA54" i="19"/>
  <c r="AB54" i="19"/>
  <c r="AC54" i="19"/>
  <c r="AD54" i="19"/>
  <c r="AE54" i="19"/>
  <c r="AF54" i="19"/>
  <c r="AG54" i="19"/>
  <c r="AH54" i="19"/>
  <c r="AI54" i="19"/>
  <c r="AJ54" i="19"/>
  <c r="AK54" i="19"/>
  <c r="AL54" i="19"/>
  <c r="AM54" i="19"/>
  <c r="AN54" i="19"/>
  <c r="AO54" i="19"/>
  <c r="AP54" i="19"/>
  <c r="AQ54" i="19"/>
  <c r="AR54" i="19"/>
  <c r="AS54" i="19"/>
  <c r="AT54" i="19"/>
  <c r="AU54" i="19"/>
  <c r="AV54" i="19"/>
  <c r="AW54" i="19"/>
  <c r="AX54" i="19"/>
  <c r="AY54" i="19"/>
  <c r="AZ54" i="19"/>
  <c r="BA54" i="19"/>
  <c r="BB54" i="19"/>
  <c r="BC54" i="19"/>
  <c r="BD54" i="19"/>
  <c r="BE54" i="19"/>
  <c r="BF54" i="19"/>
  <c r="BG54" i="19"/>
  <c r="BH54" i="19"/>
  <c r="BI54" i="19"/>
  <c r="BJ54" i="19"/>
  <c r="BK54" i="19"/>
  <c r="BL54" i="19"/>
  <c r="BM54" i="19"/>
  <c r="BN54" i="19"/>
  <c r="BO54" i="19"/>
  <c r="BP54" i="19"/>
  <c r="BQ54" i="19"/>
  <c r="BR54" i="19"/>
  <c r="BS54" i="19"/>
  <c r="BT54" i="19"/>
  <c r="BU54" i="19"/>
  <c r="C55" i="19"/>
  <c r="D55" i="19"/>
  <c r="E55" i="19"/>
  <c r="F55" i="19"/>
  <c r="G55" i="19"/>
  <c r="H55" i="19"/>
  <c r="I55" i="19"/>
  <c r="J55" i="19"/>
  <c r="K55" i="19"/>
  <c r="L55" i="19"/>
  <c r="M55" i="19"/>
  <c r="N55" i="19"/>
  <c r="O55" i="19"/>
  <c r="P55" i="19"/>
  <c r="Q55" i="19"/>
  <c r="R55" i="19"/>
  <c r="S55" i="19"/>
  <c r="T55" i="19"/>
  <c r="U55" i="19"/>
  <c r="V55" i="19"/>
  <c r="W55" i="19"/>
  <c r="X55" i="19"/>
  <c r="Y55" i="19"/>
  <c r="Z55" i="19"/>
  <c r="AA55" i="19"/>
  <c r="AB55" i="19"/>
  <c r="AC55" i="19"/>
  <c r="AD55" i="19"/>
  <c r="AE55" i="19"/>
  <c r="AF55" i="19"/>
  <c r="AG55" i="19"/>
  <c r="AH55" i="19"/>
  <c r="AI55" i="19"/>
  <c r="AJ55" i="19"/>
  <c r="AK55" i="19"/>
  <c r="AL55" i="19"/>
  <c r="AM55" i="19"/>
  <c r="AN55" i="19"/>
  <c r="AO55" i="19"/>
  <c r="AP55" i="19"/>
  <c r="AQ55" i="19"/>
  <c r="AR55" i="19"/>
  <c r="AS55" i="19"/>
  <c r="AT55" i="19"/>
  <c r="AU55" i="19"/>
  <c r="AV55" i="19"/>
  <c r="AW55" i="19"/>
  <c r="AX55" i="19"/>
  <c r="AY55" i="19"/>
  <c r="AZ55" i="19"/>
  <c r="BA55" i="19"/>
  <c r="BB55" i="19"/>
  <c r="BC55" i="19"/>
  <c r="BD55" i="19"/>
  <c r="BE55" i="19"/>
  <c r="BF55" i="19"/>
  <c r="BG55" i="19"/>
  <c r="BH55" i="19"/>
  <c r="BI55" i="19"/>
  <c r="BJ55" i="19"/>
  <c r="BK55" i="19"/>
  <c r="BL55" i="19"/>
  <c r="BM55" i="19"/>
  <c r="BN55" i="19"/>
  <c r="BO55" i="19"/>
  <c r="BP55" i="19"/>
  <c r="BQ55" i="19"/>
  <c r="BR55" i="19"/>
  <c r="BS55" i="19"/>
  <c r="BT55" i="19"/>
  <c r="BU55" i="19"/>
  <c r="C56" i="19"/>
  <c r="D56" i="19"/>
  <c r="E56" i="19"/>
  <c r="F56" i="19"/>
  <c r="G56" i="19"/>
  <c r="H56" i="19"/>
  <c r="I56" i="19"/>
  <c r="J56" i="19"/>
  <c r="K56" i="19"/>
  <c r="L56" i="19"/>
  <c r="M56" i="19"/>
  <c r="N56" i="19"/>
  <c r="O56" i="19"/>
  <c r="P56" i="19"/>
  <c r="Q56" i="19"/>
  <c r="R56" i="19"/>
  <c r="S56" i="19"/>
  <c r="T56" i="19"/>
  <c r="U56" i="19"/>
  <c r="V56" i="19"/>
  <c r="W56" i="19"/>
  <c r="X56" i="19"/>
  <c r="Y56" i="19"/>
  <c r="Z56" i="19"/>
  <c r="AA56" i="19"/>
  <c r="AB56" i="19"/>
  <c r="AC56" i="19"/>
  <c r="AD56" i="19"/>
  <c r="AE56" i="19"/>
  <c r="AF56" i="19"/>
  <c r="AG56" i="19"/>
  <c r="AH56" i="19"/>
  <c r="AI56" i="19"/>
  <c r="AJ56" i="19"/>
  <c r="AK56" i="19"/>
  <c r="AL56" i="19"/>
  <c r="AM56" i="19"/>
  <c r="AN56" i="19"/>
  <c r="AO56" i="19"/>
  <c r="AP56" i="19"/>
  <c r="AQ56" i="19"/>
  <c r="AR56" i="19"/>
  <c r="AS56" i="19"/>
  <c r="AT56" i="19"/>
  <c r="AU56" i="19"/>
  <c r="AV56" i="19"/>
  <c r="AW56" i="19"/>
  <c r="AX56" i="19"/>
  <c r="AY56" i="19"/>
  <c r="AZ56" i="19"/>
  <c r="BA56" i="19"/>
  <c r="BB56" i="19"/>
  <c r="BC56" i="19"/>
  <c r="BD56" i="19"/>
  <c r="BE56" i="19"/>
  <c r="BF56" i="19"/>
  <c r="BG56" i="19"/>
  <c r="BH56" i="19"/>
  <c r="BI56" i="19"/>
  <c r="BJ56" i="19"/>
  <c r="BK56" i="19"/>
  <c r="BL56" i="19"/>
  <c r="BM56" i="19"/>
  <c r="BN56" i="19"/>
  <c r="BO56" i="19"/>
  <c r="BP56" i="19"/>
  <c r="BQ56" i="19"/>
  <c r="BR56" i="19"/>
  <c r="BS56" i="19"/>
  <c r="BT56" i="19"/>
  <c r="BU56" i="19"/>
  <c r="C57" i="19"/>
  <c r="D57" i="19"/>
  <c r="E57" i="19"/>
  <c r="F57" i="19"/>
  <c r="G57" i="19"/>
  <c r="H57" i="19"/>
  <c r="I57" i="19"/>
  <c r="J57" i="19"/>
  <c r="K57" i="19"/>
  <c r="L57" i="19"/>
  <c r="M57" i="19"/>
  <c r="N57" i="19"/>
  <c r="O57" i="19"/>
  <c r="P57" i="19"/>
  <c r="Q57" i="19"/>
  <c r="R57" i="19"/>
  <c r="S57" i="19"/>
  <c r="T57" i="19"/>
  <c r="U57" i="19"/>
  <c r="V57" i="19"/>
  <c r="W57" i="19"/>
  <c r="X57" i="19"/>
  <c r="Y57" i="19"/>
  <c r="Z57" i="19"/>
  <c r="AA57" i="19"/>
  <c r="AB57" i="19"/>
  <c r="AC57" i="19"/>
  <c r="AD57" i="19"/>
  <c r="AE57" i="19"/>
  <c r="AF57" i="19"/>
  <c r="AG57" i="19"/>
  <c r="AH57" i="19"/>
  <c r="AI57" i="19"/>
  <c r="AJ57" i="19"/>
  <c r="AK57" i="19"/>
  <c r="AL57" i="19"/>
  <c r="AM57" i="19"/>
  <c r="AN57" i="19"/>
  <c r="AO57" i="19"/>
  <c r="AP57" i="19"/>
  <c r="AQ57" i="19"/>
  <c r="AR57" i="19"/>
  <c r="AS57" i="19"/>
  <c r="AT57" i="19"/>
  <c r="AU57" i="19"/>
  <c r="AV57" i="19"/>
  <c r="AW57" i="19"/>
  <c r="AX57" i="19"/>
  <c r="AY57" i="19"/>
  <c r="AZ57" i="19"/>
  <c r="BA57" i="19"/>
  <c r="BB57" i="19"/>
  <c r="BC57" i="19"/>
  <c r="BD57" i="19"/>
  <c r="BE57" i="19"/>
  <c r="BF57" i="19"/>
  <c r="BG57" i="19"/>
  <c r="BH57" i="19"/>
  <c r="BI57" i="19"/>
  <c r="BJ57" i="19"/>
  <c r="BK57" i="19"/>
  <c r="BL57" i="19"/>
  <c r="BM57" i="19"/>
  <c r="BN57" i="19"/>
  <c r="BO57" i="19"/>
  <c r="BP57" i="19"/>
  <c r="BQ57" i="19"/>
  <c r="BR57" i="19"/>
  <c r="BS57" i="19"/>
  <c r="BT57" i="19"/>
  <c r="BU57" i="19"/>
  <c r="C58" i="19"/>
  <c r="D58" i="19"/>
  <c r="E58" i="19"/>
  <c r="F58" i="19"/>
  <c r="G58" i="19"/>
  <c r="H58" i="19"/>
  <c r="I58" i="19"/>
  <c r="J58" i="19"/>
  <c r="K58" i="19"/>
  <c r="L58" i="19"/>
  <c r="M58" i="19"/>
  <c r="N58" i="19"/>
  <c r="O58" i="19"/>
  <c r="P58" i="19"/>
  <c r="Q58" i="19"/>
  <c r="R58" i="19"/>
  <c r="S58" i="19"/>
  <c r="T58" i="19"/>
  <c r="U58" i="19"/>
  <c r="V58" i="19"/>
  <c r="W58" i="19"/>
  <c r="X58" i="19"/>
  <c r="Y58" i="19"/>
  <c r="Z58" i="19"/>
  <c r="AA58" i="19"/>
  <c r="AB58" i="19"/>
  <c r="AC58" i="19"/>
  <c r="AD58" i="19"/>
  <c r="AE58" i="19"/>
  <c r="AF58" i="19"/>
  <c r="AG58" i="19"/>
  <c r="AH58" i="19"/>
  <c r="AI58" i="19"/>
  <c r="AJ58" i="19"/>
  <c r="AK58" i="19"/>
  <c r="AL58" i="19"/>
  <c r="AM58" i="19"/>
  <c r="AN58" i="19"/>
  <c r="AO58" i="19"/>
  <c r="AP58" i="19"/>
  <c r="AQ58" i="19"/>
  <c r="AR58" i="19"/>
  <c r="AS58" i="19"/>
  <c r="AT58" i="19"/>
  <c r="AU58" i="19"/>
  <c r="AV58" i="19"/>
  <c r="AW58" i="19"/>
  <c r="AX58" i="19"/>
  <c r="AY58" i="19"/>
  <c r="AZ58" i="19"/>
  <c r="BA58" i="19"/>
  <c r="BB58" i="19"/>
  <c r="BC58" i="19"/>
  <c r="BD58" i="19"/>
  <c r="BE58" i="19"/>
  <c r="BF58" i="19"/>
  <c r="BG58" i="19"/>
  <c r="BH58" i="19"/>
  <c r="BI58" i="19"/>
  <c r="BJ58" i="19"/>
  <c r="BK58" i="19"/>
  <c r="BL58" i="19"/>
  <c r="BM58" i="19"/>
  <c r="BN58" i="19"/>
  <c r="BO58" i="19"/>
  <c r="BP58" i="19"/>
  <c r="BQ58" i="19"/>
  <c r="BR58" i="19"/>
  <c r="BS58" i="19"/>
  <c r="BT58" i="19"/>
  <c r="BU58" i="19"/>
  <c r="C59" i="19"/>
  <c r="D59" i="19"/>
  <c r="E59" i="19"/>
  <c r="F59" i="19"/>
  <c r="G59" i="19"/>
  <c r="H59" i="19"/>
  <c r="I59" i="19"/>
  <c r="J59" i="19"/>
  <c r="K59" i="19"/>
  <c r="L59" i="19"/>
  <c r="M59" i="19"/>
  <c r="N59" i="19"/>
  <c r="O59" i="19"/>
  <c r="P59" i="19"/>
  <c r="Q59" i="19"/>
  <c r="R59" i="19"/>
  <c r="S59" i="19"/>
  <c r="T59" i="19"/>
  <c r="U59" i="19"/>
  <c r="V59" i="19"/>
  <c r="W59" i="19"/>
  <c r="X59" i="19"/>
  <c r="Y59" i="19"/>
  <c r="Z59" i="19"/>
  <c r="AA59" i="19"/>
  <c r="AB59" i="19"/>
  <c r="AC59" i="19"/>
  <c r="AD59" i="19"/>
  <c r="AE59" i="19"/>
  <c r="AF59" i="19"/>
  <c r="AG59" i="19"/>
  <c r="AH59" i="19"/>
  <c r="AI59" i="19"/>
  <c r="AJ59" i="19"/>
  <c r="AK59" i="19"/>
  <c r="AL59" i="19"/>
  <c r="AM59" i="19"/>
  <c r="AN59" i="19"/>
  <c r="AO59" i="19"/>
  <c r="AP59" i="19"/>
  <c r="AQ59" i="19"/>
  <c r="AR59" i="19"/>
  <c r="AS59" i="19"/>
  <c r="AT59" i="19"/>
  <c r="AU59" i="19"/>
  <c r="AV59" i="19"/>
  <c r="AW59" i="19"/>
  <c r="AX59" i="19"/>
  <c r="AY59" i="19"/>
  <c r="AZ59" i="19"/>
  <c r="BA59" i="19"/>
  <c r="BB59" i="19"/>
  <c r="BC59" i="19"/>
  <c r="BD59" i="19"/>
  <c r="BE59" i="19"/>
  <c r="BF59" i="19"/>
  <c r="BG59" i="19"/>
  <c r="BH59" i="19"/>
  <c r="BI59" i="19"/>
  <c r="BJ59" i="19"/>
  <c r="BK59" i="19"/>
  <c r="BL59" i="19"/>
  <c r="BM59" i="19"/>
  <c r="BN59" i="19"/>
  <c r="BO59" i="19"/>
  <c r="BP59" i="19"/>
  <c r="BQ59" i="19"/>
  <c r="BR59" i="19"/>
  <c r="BS59" i="19"/>
  <c r="BT59" i="19"/>
  <c r="BU59" i="19"/>
  <c r="C60" i="19"/>
  <c r="D60" i="19"/>
  <c r="E60" i="19"/>
  <c r="F60" i="19"/>
  <c r="G60" i="19"/>
  <c r="H60" i="19"/>
  <c r="I60" i="19"/>
  <c r="J60" i="19"/>
  <c r="K60" i="19"/>
  <c r="L60" i="19"/>
  <c r="M60" i="19"/>
  <c r="N60" i="19"/>
  <c r="O60" i="19"/>
  <c r="P60" i="19"/>
  <c r="Q60" i="19"/>
  <c r="R60" i="19"/>
  <c r="S60" i="19"/>
  <c r="T60" i="19"/>
  <c r="U60" i="19"/>
  <c r="V60" i="19"/>
  <c r="W60" i="19"/>
  <c r="X60" i="19"/>
  <c r="Y60" i="19"/>
  <c r="Z60" i="19"/>
  <c r="AA60" i="19"/>
  <c r="AB60" i="19"/>
  <c r="AC60" i="19"/>
  <c r="AD60" i="19"/>
  <c r="AE60" i="19"/>
  <c r="AF60" i="19"/>
  <c r="AG60" i="19"/>
  <c r="AH60" i="19"/>
  <c r="AI60" i="19"/>
  <c r="AJ60" i="19"/>
  <c r="AK60" i="19"/>
  <c r="AL60" i="19"/>
  <c r="AM60" i="19"/>
  <c r="AN60" i="19"/>
  <c r="AO60" i="19"/>
  <c r="AP60" i="19"/>
  <c r="AQ60" i="19"/>
  <c r="AR60" i="19"/>
  <c r="AS60" i="19"/>
  <c r="AT60" i="19"/>
  <c r="AU60" i="19"/>
  <c r="AV60" i="19"/>
  <c r="AW60" i="19"/>
  <c r="AX60" i="19"/>
  <c r="AY60" i="19"/>
  <c r="AZ60" i="19"/>
  <c r="BA60" i="19"/>
  <c r="BB60" i="19"/>
  <c r="BC60" i="19"/>
  <c r="BD60" i="19"/>
  <c r="BE60" i="19"/>
  <c r="BF60" i="19"/>
  <c r="BG60" i="19"/>
  <c r="BH60" i="19"/>
  <c r="BI60" i="19"/>
  <c r="BJ60" i="19"/>
  <c r="BK60" i="19"/>
  <c r="BL60" i="19"/>
  <c r="BM60" i="19"/>
  <c r="BN60" i="19"/>
  <c r="BO60" i="19"/>
  <c r="BP60" i="19"/>
  <c r="BQ60" i="19"/>
  <c r="BR60" i="19"/>
  <c r="BS60" i="19"/>
  <c r="BT60" i="19"/>
  <c r="BU60" i="19"/>
  <c r="C61" i="19"/>
  <c r="D61" i="19"/>
  <c r="E61" i="19"/>
  <c r="F61" i="19"/>
  <c r="G61" i="19"/>
  <c r="H61" i="19"/>
  <c r="I61" i="19"/>
  <c r="J61" i="19"/>
  <c r="K61" i="19"/>
  <c r="L61" i="19"/>
  <c r="M61" i="19"/>
  <c r="N61" i="19"/>
  <c r="O61" i="19"/>
  <c r="P61" i="19"/>
  <c r="Q61" i="19"/>
  <c r="R61" i="19"/>
  <c r="S61" i="19"/>
  <c r="T61" i="19"/>
  <c r="U61" i="19"/>
  <c r="V61" i="19"/>
  <c r="W61" i="19"/>
  <c r="X61" i="19"/>
  <c r="Y61" i="19"/>
  <c r="Z61" i="19"/>
  <c r="AA61" i="19"/>
  <c r="AB61" i="19"/>
  <c r="AC61" i="19"/>
  <c r="AD61" i="19"/>
  <c r="AE61" i="19"/>
  <c r="AF61" i="19"/>
  <c r="AG61" i="19"/>
  <c r="AH61" i="19"/>
  <c r="AI61" i="19"/>
  <c r="AJ61" i="19"/>
  <c r="AK61" i="19"/>
  <c r="AL61" i="19"/>
  <c r="AM61" i="19"/>
  <c r="AN61" i="19"/>
  <c r="AO61" i="19"/>
  <c r="AP61" i="19"/>
  <c r="AQ61" i="19"/>
  <c r="AR61" i="19"/>
  <c r="AS61" i="19"/>
  <c r="AT61" i="19"/>
  <c r="AU61" i="19"/>
  <c r="AV61" i="19"/>
  <c r="AW61" i="19"/>
  <c r="AX61" i="19"/>
  <c r="AY61" i="19"/>
  <c r="AZ61" i="19"/>
  <c r="BA61" i="19"/>
  <c r="BB61" i="19"/>
  <c r="BC61" i="19"/>
  <c r="BD61" i="19"/>
  <c r="BE61" i="19"/>
  <c r="BF61" i="19"/>
  <c r="BG61" i="19"/>
  <c r="BH61" i="19"/>
  <c r="BI61" i="19"/>
  <c r="BJ61" i="19"/>
  <c r="BK61" i="19"/>
  <c r="BL61" i="19"/>
  <c r="BM61" i="19"/>
  <c r="BN61" i="19"/>
  <c r="BO61" i="19"/>
  <c r="BP61" i="19"/>
  <c r="BQ61" i="19"/>
  <c r="BR61" i="19"/>
  <c r="BS61" i="19"/>
  <c r="BT61" i="19"/>
  <c r="BU61" i="19"/>
  <c r="C62" i="19"/>
  <c r="D62" i="19"/>
  <c r="E62" i="19"/>
  <c r="F62" i="19"/>
  <c r="G62" i="19"/>
  <c r="H62" i="19"/>
  <c r="I62" i="19"/>
  <c r="J62" i="19"/>
  <c r="K62" i="19"/>
  <c r="L62" i="19"/>
  <c r="M62" i="19"/>
  <c r="N62" i="19"/>
  <c r="O62" i="19"/>
  <c r="P62" i="19"/>
  <c r="Q62" i="19"/>
  <c r="R62" i="19"/>
  <c r="S62" i="19"/>
  <c r="T62" i="19"/>
  <c r="U62" i="19"/>
  <c r="V62" i="19"/>
  <c r="W62" i="19"/>
  <c r="X62" i="19"/>
  <c r="Y62" i="19"/>
  <c r="Z62" i="19"/>
  <c r="AA62" i="19"/>
  <c r="AB62" i="19"/>
  <c r="AC62" i="19"/>
  <c r="AD62" i="19"/>
  <c r="AE62" i="19"/>
  <c r="AF62" i="19"/>
  <c r="AG62" i="19"/>
  <c r="AH62" i="19"/>
  <c r="AI62" i="19"/>
  <c r="AJ62" i="19"/>
  <c r="AK62" i="19"/>
  <c r="AL62" i="19"/>
  <c r="AM62" i="19"/>
  <c r="AN62" i="19"/>
  <c r="AO62" i="19"/>
  <c r="AP62" i="19"/>
  <c r="AQ62" i="19"/>
  <c r="AR62" i="19"/>
  <c r="AS62" i="19"/>
  <c r="AT62" i="19"/>
  <c r="AU62" i="19"/>
  <c r="AV62" i="19"/>
  <c r="AW62" i="19"/>
  <c r="AX62" i="19"/>
  <c r="AY62" i="19"/>
  <c r="AZ62" i="19"/>
  <c r="BA62" i="19"/>
  <c r="BB62" i="19"/>
  <c r="BC62" i="19"/>
  <c r="BD62" i="19"/>
  <c r="BE62" i="19"/>
  <c r="BF62" i="19"/>
  <c r="BG62" i="19"/>
  <c r="BH62" i="19"/>
  <c r="BI62" i="19"/>
  <c r="BJ62" i="19"/>
  <c r="BK62" i="19"/>
  <c r="BL62" i="19"/>
  <c r="BM62" i="19"/>
  <c r="BN62" i="19"/>
  <c r="BO62" i="19"/>
  <c r="BP62" i="19"/>
  <c r="BQ62" i="19"/>
  <c r="BR62" i="19"/>
  <c r="BS62" i="19"/>
  <c r="BT62" i="19"/>
  <c r="BU62" i="19"/>
  <c r="C63" i="19"/>
  <c r="D63" i="19"/>
  <c r="E63" i="19"/>
  <c r="F63" i="19"/>
  <c r="G63" i="19"/>
  <c r="H63" i="19"/>
  <c r="I63" i="19"/>
  <c r="J63" i="19"/>
  <c r="K63" i="19"/>
  <c r="L63" i="19"/>
  <c r="M63" i="19"/>
  <c r="N63" i="19"/>
  <c r="O63" i="19"/>
  <c r="P63" i="19"/>
  <c r="Q63" i="19"/>
  <c r="R63" i="19"/>
  <c r="S63" i="19"/>
  <c r="T63" i="19"/>
  <c r="U63" i="19"/>
  <c r="V63" i="19"/>
  <c r="W63" i="19"/>
  <c r="X63" i="19"/>
  <c r="Y63" i="19"/>
  <c r="Z63" i="19"/>
  <c r="AA63" i="19"/>
  <c r="AB63" i="19"/>
  <c r="AC63" i="19"/>
  <c r="AD63" i="19"/>
  <c r="AE63" i="19"/>
  <c r="AF63" i="19"/>
  <c r="AG63" i="19"/>
  <c r="AH63" i="19"/>
  <c r="AI63" i="19"/>
  <c r="AJ63" i="19"/>
  <c r="AK63" i="19"/>
  <c r="AL63" i="19"/>
  <c r="AM63" i="19"/>
  <c r="AN63" i="19"/>
  <c r="AO63" i="19"/>
  <c r="AP63" i="19"/>
  <c r="AQ63" i="19"/>
  <c r="AR63" i="19"/>
  <c r="AS63" i="19"/>
  <c r="AT63" i="19"/>
  <c r="AU63" i="19"/>
  <c r="AV63" i="19"/>
  <c r="AW63" i="19"/>
  <c r="AX63" i="19"/>
  <c r="AY63" i="19"/>
  <c r="AZ63" i="19"/>
  <c r="BA63" i="19"/>
  <c r="BB63" i="19"/>
  <c r="BC63" i="19"/>
  <c r="BD63" i="19"/>
  <c r="BE63" i="19"/>
  <c r="BF63" i="19"/>
  <c r="BG63" i="19"/>
  <c r="BH63" i="19"/>
  <c r="BI63" i="19"/>
  <c r="BJ63" i="19"/>
  <c r="BK63" i="19"/>
  <c r="BL63" i="19"/>
  <c r="BM63" i="19"/>
  <c r="BN63" i="19"/>
  <c r="BO63" i="19"/>
  <c r="BP63" i="19"/>
  <c r="BQ63" i="19"/>
  <c r="BR63" i="19"/>
  <c r="BS63" i="19"/>
  <c r="BT63" i="19"/>
  <c r="BU63" i="19"/>
  <c r="C64" i="19"/>
  <c r="D64" i="19"/>
  <c r="E64" i="19"/>
  <c r="F64" i="19"/>
  <c r="G64" i="19"/>
  <c r="H64" i="19"/>
  <c r="I64" i="19"/>
  <c r="J64" i="19"/>
  <c r="K64" i="19"/>
  <c r="L64" i="19"/>
  <c r="M64" i="19"/>
  <c r="N64" i="19"/>
  <c r="O64" i="19"/>
  <c r="P64" i="19"/>
  <c r="Q64" i="19"/>
  <c r="R64" i="19"/>
  <c r="S64" i="19"/>
  <c r="T64" i="19"/>
  <c r="U64" i="19"/>
  <c r="V64" i="19"/>
  <c r="W64" i="19"/>
  <c r="X64" i="19"/>
  <c r="Y64" i="19"/>
  <c r="Z64" i="19"/>
  <c r="AA64" i="19"/>
  <c r="AB64" i="19"/>
  <c r="AC64" i="19"/>
  <c r="AD64" i="19"/>
  <c r="AE64" i="19"/>
  <c r="AF64" i="19"/>
  <c r="AG64" i="19"/>
  <c r="AH64" i="19"/>
  <c r="AI64" i="19"/>
  <c r="AJ64" i="19"/>
  <c r="AK64" i="19"/>
  <c r="AL64" i="19"/>
  <c r="AM64" i="19"/>
  <c r="AN64" i="19"/>
  <c r="AO64" i="19"/>
  <c r="AP64" i="19"/>
  <c r="AQ64" i="19"/>
  <c r="AR64" i="19"/>
  <c r="AS64" i="19"/>
  <c r="AT64" i="19"/>
  <c r="AU64" i="19"/>
  <c r="AV64" i="19"/>
  <c r="AW64" i="19"/>
  <c r="AX64" i="19"/>
  <c r="AY64" i="19"/>
  <c r="AZ64" i="19"/>
  <c r="BA64" i="19"/>
  <c r="BB64" i="19"/>
  <c r="BC64" i="19"/>
  <c r="BD64" i="19"/>
  <c r="BE64" i="19"/>
  <c r="BF64" i="19"/>
  <c r="BG64" i="19"/>
  <c r="BH64" i="19"/>
  <c r="BI64" i="19"/>
  <c r="BJ64" i="19"/>
  <c r="BK64" i="19"/>
  <c r="BL64" i="19"/>
  <c r="BM64" i="19"/>
  <c r="BN64" i="19"/>
  <c r="BO64" i="19"/>
  <c r="BP64" i="19"/>
  <c r="BQ64" i="19"/>
  <c r="BR64" i="19"/>
  <c r="BS64" i="19"/>
  <c r="BT64" i="19"/>
  <c r="BU64" i="19"/>
  <c r="C65" i="19"/>
  <c r="D65" i="19"/>
  <c r="E65" i="19"/>
  <c r="F65" i="19"/>
  <c r="G65" i="19"/>
  <c r="H65" i="19"/>
  <c r="I65" i="19"/>
  <c r="J65" i="19"/>
  <c r="K65" i="19"/>
  <c r="L65" i="19"/>
  <c r="M65" i="19"/>
  <c r="N65" i="19"/>
  <c r="O65" i="19"/>
  <c r="P65" i="19"/>
  <c r="Q65" i="19"/>
  <c r="R65" i="19"/>
  <c r="S65" i="19"/>
  <c r="T65" i="19"/>
  <c r="U65" i="19"/>
  <c r="V65" i="19"/>
  <c r="W65" i="19"/>
  <c r="X65" i="19"/>
  <c r="Y65" i="19"/>
  <c r="Z65" i="19"/>
  <c r="AA65" i="19"/>
  <c r="AB65" i="19"/>
  <c r="AC65" i="19"/>
  <c r="AD65" i="19"/>
  <c r="AE65" i="19"/>
  <c r="AF65" i="19"/>
  <c r="AG65" i="19"/>
  <c r="AH65" i="19"/>
  <c r="AI65" i="19"/>
  <c r="AJ65" i="19"/>
  <c r="AK65" i="19"/>
  <c r="AL65" i="19"/>
  <c r="AM65" i="19"/>
  <c r="AN65" i="19"/>
  <c r="AO65" i="19"/>
  <c r="AP65" i="19"/>
  <c r="AQ65" i="19"/>
  <c r="AR65" i="19"/>
  <c r="AS65" i="19"/>
  <c r="AT65" i="19"/>
  <c r="AU65" i="19"/>
  <c r="AV65" i="19"/>
  <c r="AW65" i="19"/>
  <c r="AX65" i="19"/>
  <c r="AY65" i="19"/>
  <c r="AZ65" i="19"/>
  <c r="BA65" i="19"/>
  <c r="BB65" i="19"/>
  <c r="BC65" i="19"/>
  <c r="BD65" i="19"/>
  <c r="BE65" i="19"/>
  <c r="BF65" i="19"/>
  <c r="BG65" i="19"/>
  <c r="BH65" i="19"/>
  <c r="BI65" i="19"/>
  <c r="BJ65" i="19"/>
  <c r="BK65" i="19"/>
  <c r="BL65" i="19"/>
  <c r="BM65" i="19"/>
  <c r="BN65" i="19"/>
  <c r="BO65" i="19"/>
  <c r="BP65" i="19"/>
  <c r="BQ65" i="19"/>
  <c r="BR65" i="19"/>
  <c r="BS65" i="19"/>
  <c r="BT65" i="19"/>
  <c r="BU65" i="19"/>
  <c r="C66" i="19"/>
  <c r="D66" i="19"/>
  <c r="E66" i="19"/>
  <c r="F66" i="19"/>
  <c r="G66" i="19"/>
  <c r="H66" i="19"/>
  <c r="I66" i="19"/>
  <c r="J66" i="19"/>
  <c r="K66" i="19"/>
  <c r="L66" i="19"/>
  <c r="M66" i="19"/>
  <c r="N66" i="19"/>
  <c r="O66" i="19"/>
  <c r="P66" i="19"/>
  <c r="Q66" i="19"/>
  <c r="R66" i="19"/>
  <c r="S66" i="19"/>
  <c r="T66" i="19"/>
  <c r="U66" i="19"/>
  <c r="V66" i="19"/>
  <c r="W66" i="19"/>
  <c r="X66" i="19"/>
  <c r="Y66" i="19"/>
  <c r="Z66" i="19"/>
  <c r="AA66" i="19"/>
  <c r="AB66" i="19"/>
  <c r="AC66" i="19"/>
  <c r="AD66" i="19"/>
  <c r="AE66" i="19"/>
  <c r="AF66" i="19"/>
  <c r="AG66" i="19"/>
  <c r="AH66" i="19"/>
  <c r="AI66" i="19"/>
  <c r="AJ66" i="19"/>
  <c r="AK66" i="19"/>
  <c r="AL66" i="19"/>
  <c r="AM66" i="19"/>
  <c r="AN66" i="19"/>
  <c r="AO66" i="19"/>
  <c r="AP66" i="19"/>
  <c r="AQ66" i="19"/>
  <c r="AR66" i="19"/>
  <c r="AS66" i="19"/>
  <c r="AT66" i="19"/>
  <c r="AU66" i="19"/>
  <c r="AV66" i="19"/>
  <c r="AW66" i="19"/>
  <c r="AX66" i="19"/>
  <c r="AY66" i="19"/>
  <c r="AZ66" i="19"/>
  <c r="BA66" i="19"/>
  <c r="BB66" i="19"/>
  <c r="BC66" i="19"/>
  <c r="BD66" i="19"/>
  <c r="BE66" i="19"/>
  <c r="BF66" i="19"/>
  <c r="BG66" i="19"/>
  <c r="BH66" i="19"/>
  <c r="BI66" i="19"/>
  <c r="BJ66" i="19"/>
  <c r="BK66" i="19"/>
  <c r="BL66" i="19"/>
  <c r="BM66" i="19"/>
  <c r="BN66" i="19"/>
  <c r="BO66" i="19"/>
  <c r="BP66" i="19"/>
  <c r="BQ66" i="19"/>
  <c r="BR66" i="19"/>
  <c r="BS66" i="19"/>
  <c r="BT66" i="19"/>
  <c r="BU66" i="19"/>
  <c r="C67" i="19"/>
  <c r="D67" i="19"/>
  <c r="E67" i="19"/>
  <c r="F67" i="19"/>
  <c r="G67" i="19"/>
  <c r="H67" i="19"/>
  <c r="I67" i="19"/>
  <c r="J67" i="19"/>
  <c r="K67" i="19"/>
  <c r="L67" i="19"/>
  <c r="M67" i="19"/>
  <c r="N67" i="19"/>
  <c r="O67" i="19"/>
  <c r="P67" i="19"/>
  <c r="Q67" i="19"/>
  <c r="R67" i="19"/>
  <c r="S67" i="19"/>
  <c r="T67" i="19"/>
  <c r="U67" i="19"/>
  <c r="V67" i="19"/>
  <c r="W67" i="19"/>
  <c r="X67" i="19"/>
  <c r="Y67" i="19"/>
  <c r="Z67" i="19"/>
  <c r="AA67" i="19"/>
  <c r="AB67" i="19"/>
  <c r="AC67" i="19"/>
  <c r="AD67" i="19"/>
  <c r="AE67" i="19"/>
  <c r="AF67" i="19"/>
  <c r="AG67" i="19"/>
  <c r="AH67" i="19"/>
  <c r="AI67" i="19"/>
  <c r="AJ67" i="19"/>
  <c r="AK67" i="19"/>
  <c r="AL67" i="19"/>
  <c r="AM67" i="19"/>
  <c r="AN67" i="19"/>
  <c r="AO67" i="19"/>
  <c r="AP67" i="19"/>
  <c r="AQ67" i="19"/>
  <c r="AR67" i="19"/>
  <c r="AS67" i="19"/>
  <c r="AT67" i="19"/>
  <c r="AU67" i="19"/>
  <c r="AV67" i="19"/>
  <c r="AW67" i="19"/>
  <c r="AX67" i="19"/>
  <c r="AY67" i="19"/>
  <c r="AZ67" i="19"/>
  <c r="BA67" i="19"/>
  <c r="BB67" i="19"/>
  <c r="BC67" i="19"/>
  <c r="BD67" i="19"/>
  <c r="BE67" i="19"/>
  <c r="BF67" i="19"/>
  <c r="BG67" i="19"/>
  <c r="BH67" i="19"/>
  <c r="BI67" i="19"/>
  <c r="BJ67" i="19"/>
  <c r="BK67" i="19"/>
  <c r="BL67" i="19"/>
  <c r="BM67" i="19"/>
  <c r="BN67" i="19"/>
  <c r="BO67" i="19"/>
  <c r="BP67" i="19"/>
  <c r="BQ67" i="19"/>
  <c r="BR67" i="19"/>
  <c r="BS67" i="19"/>
  <c r="BT67" i="19"/>
  <c r="BU67" i="19"/>
  <c r="C68" i="19"/>
  <c r="D68" i="19"/>
  <c r="E68" i="19"/>
  <c r="F68" i="19"/>
  <c r="G68" i="19"/>
  <c r="H68" i="19"/>
  <c r="I68" i="19"/>
  <c r="J68" i="19"/>
  <c r="K68" i="19"/>
  <c r="L68" i="19"/>
  <c r="M68" i="19"/>
  <c r="N68" i="19"/>
  <c r="O68" i="19"/>
  <c r="P68" i="19"/>
  <c r="Q68" i="19"/>
  <c r="R68" i="19"/>
  <c r="S68" i="19"/>
  <c r="T68" i="19"/>
  <c r="U68" i="19"/>
  <c r="V68" i="19"/>
  <c r="W68" i="19"/>
  <c r="X68" i="19"/>
  <c r="Y68" i="19"/>
  <c r="Z68" i="19"/>
  <c r="AA68" i="19"/>
  <c r="AB68" i="19"/>
  <c r="AC68" i="19"/>
  <c r="AD68" i="19"/>
  <c r="AE68" i="19"/>
  <c r="AF68" i="19"/>
  <c r="AG68" i="19"/>
  <c r="AH68" i="19"/>
  <c r="AI68" i="19"/>
  <c r="AJ68" i="19"/>
  <c r="AK68" i="19"/>
  <c r="AL68" i="19"/>
  <c r="AM68" i="19"/>
  <c r="AN68" i="19"/>
  <c r="AO68" i="19"/>
  <c r="AP68" i="19"/>
  <c r="AQ68" i="19"/>
  <c r="AR68" i="19"/>
  <c r="AS68" i="19"/>
  <c r="AT68" i="19"/>
  <c r="AU68" i="19"/>
  <c r="AV68" i="19"/>
  <c r="AW68" i="19"/>
  <c r="AX68" i="19"/>
  <c r="AY68" i="19"/>
  <c r="AZ68" i="19"/>
  <c r="BA68" i="19"/>
  <c r="BB68" i="19"/>
  <c r="BC68" i="19"/>
  <c r="BD68" i="19"/>
  <c r="BE68" i="19"/>
  <c r="BF68" i="19"/>
  <c r="BG68" i="19"/>
  <c r="BH68" i="19"/>
  <c r="BI68" i="19"/>
  <c r="BJ68" i="19"/>
  <c r="BK68" i="19"/>
  <c r="BL68" i="19"/>
  <c r="BM68" i="19"/>
  <c r="BN68" i="19"/>
  <c r="BO68" i="19"/>
  <c r="BP68" i="19"/>
  <c r="BQ68" i="19"/>
  <c r="BR68" i="19"/>
  <c r="BS68" i="19"/>
  <c r="BT68" i="19"/>
  <c r="BU68" i="19"/>
  <c r="C69" i="19"/>
  <c r="D69" i="19"/>
  <c r="E69" i="19"/>
  <c r="F69" i="19"/>
  <c r="G69" i="19"/>
  <c r="H69" i="19"/>
  <c r="I69" i="19"/>
  <c r="J69" i="19"/>
  <c r="K69" i="19"/>
  <c r="L69" i="19"/>
  <c r="M69" i="19"/>
  <c r="N69" i="19"/>
  <c r="O69" i="19"/>
  <c r="P69" i="19"/>
  <c r="Q69" i="19"/>
  <c r="R69" i="19"/>
  <c r="S69" i="19"/>
  <c r="T69" i="19"/>
  <c r="U69" i="19"/>
  <c r="V69" i="19"/>
  <c r="W69" i="19"/>
  <c r="X69" i="19"/>
  <c r="Y69" i="19"/>
  <c r="Z69" i="19"/>
  <c r="AA69" i="19"/>
  <c r="AB69" i="19"/>
  <c r="AC69" i="19"/>
  <c r="AD69" i="19"/>
  <c r="AE69" i="19"/>
  <c r="AF69" i="19"/>
  <c r="AG69" i="19"/>
  <c r="AH69" i="19"/>
  <c r="AI69" i="19"/>
  <c r="AJ69" i="19"/>
  <c r="AK69" i="19"/>
  <c r="AL69" i="19"/>
  <c r="AM69" i="19"/>
  <c r="AN69" i="19"/>
  <c r="AO69" i="19"/>
  <c r="AP69" i="19"/>
  <c r="AQ69" i="19"/>
  <c r="AR69" i="19"/>
  <c r="AS69" i="19"/>
  <c r="AT69" i="19"/>
  <c r="AU69" i="19"/>
  <c r="AV69" i="19"/>
  <c r="AW69" i="19"/>
  <c r="AX69" i="19"/>
  <c r="AY69" i="19"/>
  <c r="AZ69" i="19"/>
  <c r="BA69" i="19"/>
  <c r="BB69" i="19"/>
  <c r="BC69" i="19"/>
  <c r="BD69" i="19"/>
  <c r="BE69" i="19"/>
  <c r="BF69" i="19"/>
  <c r="BG69" i="19"/>
  <c r="BH69" i="19"/>
  <c r="BI69" i="19"/>
  <c r="BJ69" i="19"/>
  <c r="BK69" i="19"/>
  <c r="BL69" i="19"/>
  <c r="BM69" i="19"/>
  <c r="BN69" i="19"/>
  <c r="BO69" i="19"/>
  <c r="BP69" i="19"/>
  <c r="BQ69" i="19"/>
  <c r="BR69" i="19"/>
  <c r="BS69" i="19"/>
  <c r="BT69" i="19"/>
  <c r="BU69" i="19"/>
  <c r="C70" i="19"/>
  <c r="D70" i="19"/>
  <c r="E70" i="19"/>
  <c r="F70" i="19"/>
  <c r="G70" i="19"/>
  <c r="H70" i="19"/>
  <c r="I70" i="19"/>
  <c r="J70" i="19"/>
  <c r="K70" i="19"/>
  <c r="L70" i="19"/>
  <c r="M70" i="19"/>
  <c r="N70" i="19"/>
  <c r="O70" i="19"/>
  <c r="P70" i="19"/>
  <c r="Q70" i="19"/>
  <c r="R70" i="19"/>
  <c r="S70" i="19"/>
  <c r="T70" i="19"/>
  <c r="U70" i="19"/>
  <c r="V70" i="19"/>
  <c r="W70" i="19"/>
  <c r="X70" i="19"/>
  <c r="Y70" i="19"/>
  <c r="Z70" i="19"/>
  <c r="AA70" i="19"/>
  <c r="AB70" i="19"/>
  <c r="AC70" i="19"/>
  <c r="AD70" i="19"/>
  <c r="AE70" i="19"/>
  <c r="AF70" i="19"/>
  <c r="AG70" i="19"/>
  <c r="AH70" i="19"/>
  <c r="AI70" i="19"/>
  <c r="AJ70" i="19"/>
  <c r="AK70" i="19"/>
  <c r="AL70" i="19"/>
  <c r="AM70" i="19"/>
  <c r="AN70" i="19"/>
  <c r="AO70" i="19"/>
  <c r="AP70" i="19"/>
  <c r="AQ70" i="19"/>
  <c r="AR70" i="19"/>
  <c r="AS70" i="19"/>
  <c r="AT70" i="19"/>
  <c r="AU70" i="19"/>
  <c r="AV70" i="19"/>
  <c r="AW70" i="19"/>
  <c r="AX70" i="19"/>
  <c r="AY70" i="19"/>
  <c r="AZ70" i="19"/>
  <c r="BA70" i="19"/>
  <c r="BB70" i="19"/>
  <c r="BC70" i="19"/>
  <c r="BD70" i="19"/>
  <c r="BE70" i="19"/>
  <c r="BF70" i="19"/>
  <c r="BG70" i="19"/>
  <c r="BH70" i="19"/>
  <c r="BI70" i="19"/>
  <c r="BJ70" i="19"/>
  <c r="BK70" i="19"/>
  <c r="BL70" i="19"/>
  <c r="BM70" i="19"/>
  <c r="BN70" i="19"/>
  <c r="BO70" i="19"/>
  <c r="BP70" i="19"/>
  <c r="BQ70" i="19"/>
  <c r="BR70" i="19"/>
  <c r="BS70" i="19"/>
  <c r="BT70" i="19"/>
  <c r="BU70" i="19"/>
  <c r="C71" i="19"/>
  <c r="D71" i="19"/>
  <c r="E71" i="19"/>
  <c r="F71" i="19"/>
  <c r="G71" i="19"/>
  <c r="H71" i="19"/>
  <c r="I71" i="19"/>
  <c r="J71" i="19"/>
  <c r="K71" i="19"/>
  <c r="L71" i="19"/>
  <c r="M71" i="19"/>
  <c r="N71" i="19"/>
  <c r="O71" i="19"/>
  <c r="P71" i="19"/>
  <c r="Q71" i="19"/>
  <c r="R71" i="19"/>
  <c r="S71" i="19"/>
  <c r="T71" i="19"/>
  <c r="U71" i="19"/>
  <c r="V71" i="19"/>
  <c r="W71" i="19"/>
  <c r="X71" i="19"/>
  <c r="Y71" i="19"/>
  <c r="Z71" i="19"/>
  <c r="AA71" i="19"/>
  <c r="AB71" i="19"/>
  <c r="AC71" i="19"/>
  <c r="AD71" i="19"/>
  <c r="AE71" i="19"/>
  <c r="AF71" i="19"/>
  <c r="AG71" i="19"/>
  <c r="AH71" i="19"/>
  <c r="AI71" i="19"/>
  <c r="AJ71" i="19"/>
  <c r="AK71" i="19"/>
  <c r="AL71" i="19"/>
  <c r="AM71" i="19"/>
  <c r="AN71" i="19"/>
  <c r="AO71" i="19"/>
  <c r="AP71" i="19"/>
  <c r="AQ71" i="19"/>
  <c r="AR71" i="19"/>
  <c r="AS71" i="19"/>
  <c r="AT71" i="19"/>
  <c r="AU71" i="19"/>
  <c r="AV71" i="19"/>
  <c r="AW71" i="19"/>
  <c r="AX71" i="19"/>
  <c r="AY71" i="19"/>
  <c r="AZ71" i="19"/>
  <c r="BA71" i="19"/>
  <c r="BB71" i="19"/>
  <c r="BC71" i="19"/>
  <c r="BD71" i="19"/>
  <c r="BE71" i="19"/>
  <c r="BF71" i="19"/>
  <c r="BG71" i="19"/>
  <c r="BH71" i="19"/>
  <c r="BI71" i="19"/>
  <c r="BJ71" i="19"/>
  <c r="BK71" i="19"/>
  <c r="BL71" i="19"/>
  <c r="BM71" i="19"/>
  <c r="BN71" i="19"/>
  <c r="BO71" i="19"/>
  <c r="BP71" i="19"/>
  <c r="BQ71" i="19"/>
  <c r="BR71" i="19"/>
  <c r="BS71" i="19"/>
  <c r="BT71" i="19"/>
  <c r="BU71" i="19"/>
  <c r="C72" i="19"/>
  <c r="D72" i="19"/>
  <c r="E72" i="19"/>
  <c r="F72" i="19"/>
  <c r="G72" i="19"/>
  <c r="H72" i="19"/>
  <c r="I72" i="19"/>
  <c r="J72" i="19"/>
  <c r="K72" i="19"/>
  <c r="L72" i="19"/>
  <c r="M72" i="19"/>
  <c r="N72" i="19"/>
  <c r="O72" i="19"/>
  <c r="P72" i="19"/>
  <c r="Q72" i="19"/>
  <c r="R72" i="19"/>
  <c r="S72" i="19"/>
  <c r="T72" i="19"/>
  <c r="U72" i="19"/>
  <c r="V72" i="19"/>
  <c r="W72" i="19"/>
  <c r="X72" i="19"/>
  <c r="Y72" i="19"/>
  <c r="Z72" i="19"/>
  <c r="AA72" i="19"/>
  <c r="AB72" i="19"/>
  <c r="AC72" i="19"/>
  <c r="AD72" i="19"/>
  <c r="AE72" i="19"/>
  <c r="AF72" i="19"/>
  <c r="AG72" i="19"/>
  <c r="AH72" i="19"/>
  <c r="AI72" i="19"/>
  <c r="AJ72" i="19"/>
  <c r="AK72" i="19"/>
  <c r="AL72" i="19"/>
  <c r="AM72" i="19"/>
  <c r="AN72" i="19"/>
  <c r="AO72" i="19"/>
  <c r="AP72" i="19"/>
  <c r="AQ72" i="19"/>
  <c r="AR72" i="19"/>
  <c r="AS72" i="19"/>
  <c r="AT72" i="19"/>
  <c r="AU72" i="19"/>
  <c r="AV72" i="19"/>
  <c r="AW72" i="19"/>
  <c r="AX72" i="19"/>
  <c r="AY72" i="19"/>
  <c r="AZ72" i="19"/>
  <c r="BA72" i="19"/>
  <c r="BB72" i="19"/>
  <c r="BC72" i="19"/>
  <c r="BD72" i="19"/>
  <c r="BE72" i="19"/>
  <c r="BF72" i="19"/>
  <c r="BG72" i="19"/>
  <c r="BH72" i="19"/>
  <c r="BI72" i="19"/>
  <c r="BJ72" i="19"/>
  <c r="BK72" i="19"/>
  <c r="BL72" i="19"/>
  <c r="BM72" i="19"/>
  <c r="BN72" i="19"/>
  <c r="BO72" i="19"/>
  <c r="BP72" i="19"/>
  <c r="BQ72" i="19"/>
  <c r="BR72" i="19"/>
  <c r="BS72" i="19"/>
  <c r="BT72" i="19"/>
  <c r="BU72" i="19"/>
  <c r="C73" i="19"/>
  <c r="D73" i="19"/>
  <c r="E73" i="19"/>
  <c r="F73" i="19"/>
  <c r="G73" i="19"/>
  <c r="H73" i="19"/>
  <c r="I73" i="19"/>
  <c r="J73" i="19"/>
  <c r="K73" i="19"/>
  <c r="L73" i="19"/>
  <c r="M73" i="19"/>
  <c r="N73" i="19"/>
  <c r="O73" i="19"/>
  <c r="P73" i="19"/>
  <c r="Q73" i="19"/>
  <c r="R73" i="19"/>
  <c r="S73" i="19"/>
  <c r="T73" i="19"/>
  <c r="U73" i="19"/>
  <c r="V73" i="19"/>
  <c r="W73" i="19"/>
  <c r="X73" i="19"/>
  <c r="Y73" i="19"/>
  <c r="Z73" i="19"/>
  <c r="AA73" i="19"/>
  <c r="AB73" i="19"/>
  <c r="AC73" i="19"/>
  <c r="AD73" i="19"/>
  <c r="AE73" i="19"/>
  <c r="AF73" i="19"/>
  <c r="AG73" i="19"/>
  <c r="AH73" i="19"/>
  <c r="AI73" i="19"/>
  <c r="AJ73" i="19"/>
  <c r="AK73" i="19"/>
  <c r="AL73" i="19"/>
  <c r="AM73" i="19"/>
  <c r="AN73" i="19"/>
  <c r="AO73" i="19"/>
  <c r="AP73" i="19"/>
  <c r="AQ73" i="19"/>
  <c r="AR73" i="19"/>
  <c r="AS73" i="19"/>
  <c r="AT73" i="19"/>
  <c r="AU73" i="19"/>
  <c r="AV73" i="19"/>
  <c r="AW73" i="19"/>
  <c r="AX73" i="19"/>
  <c r="AY73" i="19"/>
  <c r="AZ73" i="19"/>
  <c r="BA73" i="19"/>
  <c r="BB73" i="19"/>
  <c r="BC73" i="19"/>
  <c r="BD73" i="19"/>
  <c r="BE73" i="19"/>
  <c r="BF73" i="19"/>
  <c r="BG73" i="19"/>
  <c r="BH73" i="19"/>
  <c r="BI73" i="19"/>
  <c r="BJ73" i="19"/>
  <c r="BK73" i="19"/>
  <c r="BL73" i="19"/>
  <c r="BM73" i="19"/>
  <c r="BN73" i="19"/>
  <c r="BO73" i="19"/>
  <c r="BP73" i="19"/>
  <c r="BQ73" i="19"/>
  <c r="BR73" i="19"/>
  <c r="BS73" i="19"/>
  <c r="BT73" i="19"/>
  <c r="BU73" i="19"/>
  <c r="C74" i="19"/>
  <c r="D74" i="19"/>
  <c r="E74" i="19"/>
  <c r="F74" i="19"/>
  <c r="G74" i="19"/>
  <c r="H74" i="19"/>
  <c r="I74" i="19"/>
  <c r="J74" i="19"/>
  <c r="K74" i="19"/>
  <c r="L74" i="19"/>
  <c r="M74" i="19"/>
  <c r="N74" i="19"/>
  <c r="O74" i="19"/>
  <c r="P74" i="19"/>
  <c r="Q74" i="19"/>
  <c r="R74" i="19"/>
  <c r="S74" i="19"/>
  <c r="T74" i="19"/>
  <c r="U74" i="19"/>
  <c r="V74" i="19"/>
  <c r="W74" i="19"/>
  <c r="X74" i="19"/>
  <c r="Y74" i="19"/>
  <c r="Z74" i="19"/>
  <c r="AA74" i="19"/>
  <c r="AB74" i="19"/>
  <c r="AC74" i="19"/>
  <c r="AD74" i="19"/>
  <c r="AE74" i="19"/>
  <c r="AF74" i="19"/>
  <c r="AG74" i="19"/>
  <c r="AH74" i="19"/>
  <c r="AI74" i="19"/>
  <c r="AJ74" i="19"/>
  <c r="AK74" i="19"/>
  <c r="AL74" i="19"/>
  <c r="AM74" i="19"/>
  <c r="AN74" i="19"/>
  <c r="AO74" i="19"/>
  <c r="AP74" i="19"/>
  <c r="AQ74" i="19"/>
  <c r="AR74" i="19"/>
  <c r="AS74" i="19"/>
  <c r="AT74" i="19"/>
  <c r="AU74" i="19"/>
  <c r="AV74" i="19"/>
  <c r="AW74" i="19"/>
  <c r="AX74" i="19"/>
  <c r="AY74" i="19"/>
  <c r="AZ74" i="19"/>
  <c r="BA74" i="19"/>
  <c r="BB74" i="19"/>
  <c r="BC74" i="19"/>
  <c r="BD74" i="19"/>
  <c r="BE74" i="19"/>
  <c r="BF74" i="19"/>
  <c r="BG74" i="19"/>
  <c r="BH74" i="19"/>
  <c r="BI74" i="19"/>
  <c r="BJ74" i="19"/>
  <c r="BK74" i="19"/>
  <c r="BL74" i="19"/>
  <c r="BM74" i="19"/>
  <c r="BN74" i="19"/>
  <c r="BO74" i="19"/>
  <c r="BP74" i="19"/>
  <c r="BQ74" i="19"/>
  <c r="BR74" i="19"/>
  <c r="BS74" i="19"/>
  <c r="BT74" i="19"/>
  <c r="BU74" i="19"/>
  <c r="C75" i="19"/>
  <c r="D75" i="19"/>
  <c r="E75" i="19"/>
  <c r="F75" i="19"/>
  <c r="G75" i="19"/>
  <c r="H75" i="19"/>
  <c r="I75" i="19"/>
  <c r="J75" i="19"/>
  <c r="K75" i="19"/>
  <c r="L75" i="19"/>
  <c r="M75" i="19"/>
  <c r="N75" i="19"/>
  <c r="O75" i="19"/>
  <c r="P75" i="19"/>
  <c r="Q75" i="19"/>
  <c r="R75" i="19"/>
  <c r="S75" i="19"/>
  <c r="T75" i="19"/>
  <c r="U75" i="19"/>
  <c r="V75" i="19"/>
  <c r="W75" i="19"/>
  <c r="X75" i="19"/>
  <c r="Y75" i="19"/>
  <c r="Z75" i="19"/>
  <c r="AA75" i="19"/>
  <c r="AB75" i="19"/>
  <c r="AC75" i="19"/>
  <c r="AD75" i="19"/>
  <c r="AE75" i="19"/>
  <c r="AF75" i="19"/>
  <c r="AG75" i="19"/>
  <c r="AH75" i="19"/>
  <c r="AI75" i="19"/>
  <c r="AJ75" i="19"/>
  <c r="AK75" i="19"/>
  <c r="AL75" i="19"/>
  <c r="AM75" i="19"/>
  <c r="AN75" i="19"/>
  <c r="AO75" i="19"/>
  <c r="AP75" i="19"/>
  <c r="AQ75" i="19"/>
  <c r="AR75" i="19"/>
  <c r="AS75" i="19"/>
  <c r="AT75" i="19"/>
  <c r="AU75" i="19"/>
  <c r="AV75" i="19"/>
  <c r="AW75" i="19"/>
  <c r="AX75" i="19"/>
  <c r="AY75" i="19"/>
  <c r="AZ75" i="19"/>
  <c r="BA75" i="19"/>
  <c r="BB75" i="19"/>
  <c r="BC75" i="19"/>
  <c r="BD75" i="19"/>
  <c r="BE75" i="19"/>
  <c r="BF75" i="19"/>
  <c r="BG75" i="19"/>
  <c r="BH75" i="19"/>
  <c r="BI75" i="19"/>
  <c r="BJ75" i="19"/>
  <c r="BK75" i="19"/>
  <c r="BL75" i="19"/>
  <c r="BM75" i="19"/>
  <c r="BN75" i="19"/>
  <c r="BO75" i="19"/>
  <c r="BP75" i="19"/>
  <c r="BQ75" i="19"/>
  <c r="BR75" i="19"/>
  <c r="BS75" i="19"/>
  <c r="BT75" i="19"/>
  <c r="BU75" i="19"/>
  <c r="C76" i="19"/>
  <c r="D76" i="19"/>
  <c r="E76" i="19"/>
  <c r="F76" i="19"/>
  <c r="G76" i="19"/>
  <c r="H76" i="19"/>
  <c r="I76" i="19"/>
  <c r="J76" i="19"/>
  <c r="K76" i="19"/>
  <c r="L76" i="19"/>
  <c r="M76" i="19"/>
  <c r="N76" i="19"/>
  <c r="O76" i="19"/>
  <c r="P76" i="19"/>
  <c r="Q76" i="19"/>
  <c r="R76" i="19"/>
  <c r="S76" i="19"/>
  <c r="T76" i="19"/>
  <c r="U76" i="19"/>
  <c r="V76" i="19"/>
  <c r="W76" i="19"/>
  <c r="X76" i="19"/>
  <c r="Y76" i="19"/>
  <c r="Z76" i="19"/>
  <c r="AA76" i="19"/>
  <c r="AB76" i="19"/>
  <c r="AC76" i="19"/>
  <c r="AD76" i="19"/>
  <c r="AE76" i="19"/>
  <c r="AF76" i="19"/>
  <c r="AG76" i="19"/>
  <c r="AH76" i="19"/>
  <c r="AI76" i="19"/>
  <c r="AJ76" i="19"/>
  <c r="AK76" i="19"/>
  <c r="AL76" i="19"/>
  <c r="AM76" i="19"/>
  <c r="AN76" i="19"/>
  <c r="AO76" i="19"/>
  <c r="AP76" i="19"/>
  <c r="AQ76" i="19"/>
  <c r="AR76" i="19"/>
  <c r="AS76" i="19"/>
  <c r="AT76" i="19"/>
  <c r="AU76" i="19"/>
  <c r="AV76" i="19"/>
  <c r="AW76" i="19"/>
  <c r="AX76" i="19"/>
  <c r="AY76" i="19"/>
  <c r="AZ76" i="19"/>
  <c r="BA76" i="19"/>
  <c r="BB76" i="19"/>
  <c r="BC76" i="19"/>
  <c r="BD76" i="19"/>
  <c r="BE76" i="19"/>
  <c r="BF76" i="19"/>
  <c r="BG76" i="19"/>
  <c r="BH76" i="19"/>
  <c r="BI76" i="19"/>
  <c r="BJ76" i="19"/>
  <c r="BK76" i="19"/>
  <c r="BL76" i="19"/>
  <c r="BM76" i="19"/>
  <c r="BN76" i="19"/>
  <c r="BO76" i="19"/>
  <c r="BP76" i="19"/>
  <c r="BQ76" i="19"/>
  <c r="BR76" i="19"/>
  <c r="BS76" i="19"/>
  <c r="BT76" i="19"/>
  <c r="BU76" i="19"/>
  <c r="C77" i="19"/>
  <c r="D77" i="19"/>
  <c r="E77" i="19"/>
  <c r="F77" i="19"/>
  <c r="G77" i="19"/>
  <c r="H77" i="19"/>
  <c r="I77" i="19"/>
  <c r="J77" i="19"/>
  <c r="K77" i="19"/>
  <c r="L77" i="19"/>
  <c r="M77" i="19"/>
  <c r="N77" i="19"/>
  <c r="O77" i="19"/>
  <c r="P77" i="19"/>
  <c r="Q77" i="19"/>
  <c r="R77" i="19"/>
  <c r="S77" i="19"/>
  <c r="T77" i="19"/>
  <c r="U77" i="19"/>
  <c r="V77" i="19"/>
  <c r="W77" i="19"/>
  <c r="X77" i="19"/>
  <c r="Y77" i="19"/>
  <c r="Z77" i="19"/>
  <c r="AA77" i="19"/>
  <c r="AB77" i="19"/>
  <c r="AC77" i="19"/>
  <c r="AD77" i="19"/>
  <c r="AE77" i="19"/>
  <c r="AF77" i="19"/>
  <c r="AG77" i="19"/>
  <c r="AH77" i="19"/>
  <c r="AI77" i="19"/>
  <c r="AJ77" i="19"/>
  <c r="AK77" i="19"/>
  <c r="AL77" i="19"/>
  <c r="AM77" i="19"/>
  <c r="AN77" i="19"/>
  <c r="AO77" i="19"/>
  <c r="AP77" i="19"/>
  <c r="AQ77" i="19"/>
  <c r="AR77" i="19"/>
  <c r="AS77" i="19"/>
  <c r="AT77" i="19"/>
  <c r="AU77" i="19"/>
  <c r="AV77" i="19"/>
  <c r="AW77" i="19"/>
  <c r="AX77" i="19"/>
  <c r="AY77" i="19"/>
  <c r="AZ77" i="19"/>
  <c r="BA77" i="19"/>
  <c r="BB77" i="19"/>
  <c r="BC77" i="19"/>
  <c r="BD77" i="19"/>
  <c r="BE77" i="19"/>
  <c r="BF77" i="19"/>
  <c r="BG77" i="19"/>
  <c r="BH77" i="19"/>
  <c r="BI77" i="19"/>
  <c r="BJ77" i="19"/>
  <c r="BK77" i="19"/>
  <c r="BL77" i="19"/>
  <c r="BM77" i="19"/>
  <c r="BN77" i="19"/>
  <c r="BO77" i="19"/>
  <c r="BP77" i="19"/>
  <c r="BQ77" i="19"/>
  <c r="BR77" i="19"/>
  <c r="BS77" i="19"/>
  <c r="BT77" i="19"/>
  <c r="BU77" i="19"/>
  <c r="C78" i="19"/>
  <c r="D78" i="19"/>
  <c r="E78" i="19"/>
  <c r="F78" i="19"/>
  <c r="G78" i="19"/>
  <c r="H78" i="19"/>
  <c r="I78" i="19"/>
  <c r="J78" i="19"/>
  <c r="K78" i="19"/>
  <c r="L78" i="19"/>
  <c r="M78" i="19"/>
  <c r="N78" i="19"/>
  <c r="O78" i="19"/>
  <c r="P78" i="19"/>
  <c r="Q78" i="19"/>
  <c r="R78" i="19"/>
  <c r="S78" i="19"/>
  <c r="T78" i="19"/>
  <c r="U78" i="19"/>
  <c r="V78" i="19"/>
  <c r="W78" i="19"/>
  <c r="X78" i="19"/>
  <c r="Y78" i="19"/>
  <c r="Z78" i="19"/>
  <c r="AA78" i="19"/>
  <c r="AB78" i="19"/>
  <c r="AC78" i="19"/>
  <c r="AD78" i="19"/>
  <c r="AE78" i="19"/>
  <c r="AF78" i="19"/>
  <c r="AG78" i="19"/>
  <c r="AH78" i="19"/>
  <c r="AI78" i="19"/>
  <c r="AJ78" i="19"/>
  <c r="AK78" i="19"/>
  <c r="AL78" i="19"/>
  <c r="AM78" i="19"/>
  <c r="AN78" i="19"/>
  <c r="AO78" i="19"/>
  <c r="AP78" i="19"/>
  <c r="AQ78" i="19"/>
  <c r="AR78" i="19"/>
  <c r="AS78" i="19"/>
  <c r="AT78" i="19"/>
  <c r="AU78" i="19"/>
  <c r="AV78" i="19"/>
  <c r="AW78" i="19"/>
  <c r="AX78" i="19"/>
  <c r="AY78" i="19"/>
  <c r="AZ78" i="19"/>
  <c r="BA78" i="19"/>
  <c r="BB78" i="19"/>
  <c r="BC78" i="19"/>
  <c r="BD78" i="19"/>
  <c r="BE78" i="19"/>
  <c r="BF78" i="19"/>
  <c r="BG78" i="19"/>
  <c r="BH78" i="19"/>
  <c r="BI78" i="19"/>
  <c r="BJ78" i="19"/>
  <c r="BK78" i="19"/>
  <c r="BL78" i="19"/>
  <c r="BM78" i="19"/>
  <c r="BN78" i="19"/>
  <c r="BO78" i="19"/>
  <c r="BP78" i="19"/>
  <c r="BQ78" i="19"/>
  <c r="BR78" i="19"/>
  <c r="BS78" i="19"/>
  <c r="BT78" i="19"/>
  <c r="BU78" i="19"/>
  <c r="C79" i="19"/>
  <c r="D79" i="19"/>
  <c r="E79" i="19"/>
  <c r="F79" i="19"/>
  <c r="G79" i="19"/>
  <c r="H79" i="19"/>
  <c r="I79" i="19"/>
  <c r="J79" i="19"/>
  <c r="K79" i="19"/>
  <c r="L79" i="19"/>
  <c r="M79" i="19"/>
  <c r="N79" i="19"/>
  <c r="O79" i="19"/>
  <c r="P79" i="19"/>
  <c r="Q79" i="19"/>
  <c r="R79" i="19"/>
  <c r="S79" i="19"/>
  <c r="T79" i="19"/>
  <c r="U79" i="19"/>
  <c r="V79" i="19"/>
  <c r="W79" i="19"/>
  <c r="X79" i="19"/>
  <c r="Y79" i="19"/>
  <c r="Z79" i="19"/>
  <c r="AA79" i="19"/>
  <c r="AB79" i="19"/>
  <c r="AC79" i="19"/>
  <c r="AD79" i="19"/>
  <c r="AE79" i="19"/>
  <c r="AF79" i="19"/>
  <c r="AG79" i="19"/>
  <c r="AH79" i="19"/>
  <c r="AI79" i="19"/>
  <c r="AJ79" i="19"/>
  <c r="AK79" i="19"/>
  <c r="AL79" i="19"/>
  <c r="AM79" i="19"/>
  <c r="AN79" i="19"/>
  <c r="AO79" i="19"/>
  <c r="AP79" i="19"/>
  <c r="AQ79" i="19"/>
  <c r="AR79" i="19"/>
  <c r="AS79" i="19"/>
  <c r="AT79" i="19"/>
  <c r="AU79" i="19"/>
  <c r="AV79" i="19"/>
  <c r="AW79" i="19"/>
  <c r="AX79" i="19"/>
  <c r="AY79" i="19"/>
  <c r="AZ79" i="19"/>
  <c r="BA79" i="19"/>
  <c r="BB79" i="19"/>
  <c r="BC79" i="19"/>
  <c r="BD79" i="19"/>
  <c r="BE79" i="19"/>
  <c r="BF79" i="19"/>
  <c r="BG79" i="19"/>
  <c r="BH79" i="19"/>
  <c r="BI79" i="19"/>
  <c r="BJ79" i="19"/>
  <c r="BK79" i="19"/>
  <c r="BL79" i="19"/>
  <c r="BM79" i="19"/>
  <c r="BN79" i="19"/>
  <c r="BO79" i="19"/>
  <c r="BP79" i="19"/>
  <c r="BQ79" i="19"/>
  <c r="BR79" i="19"/>
  <c r="BS79" i="19"/>
  <c r="BT79" i="19"/>
  <c r="BU79" i="19"/>
  <c r="C80" i="19"/>
  <c r="D80" i="19"/>
  <c r="E80" i="19"/>
  <c r="F80" i="19"/>
  <c r="G80" i="19"/>
  <c r="H80" i="19"/>
  <c r="I80" i="19"/>
  <c r="J80" i="19"/>
  <c r="K80" i="19"/>
  <c r="L80" i="19"/>
  <c r="M80" i="19"/>
  <c r="N80" i="19"/>
  <c r="O80" i="19"/>
  <c r="P80" i="19"/>
  <c r="Q80" i="19"/>
  <c r="R80" i="19"/>
  <c r="S80" i="19"/>
  <c r="T80" i="19"/>
  <c r="U80" i="19"/>
  <c r="V80" i="19"/>
  <c r="W80" i="19"/>
  <c r="X80" i="19"/>
  <c r="Y80" i="19"/>
  <c r="Z80" i="19"/>
  <c r="AA80" i="19"/>
  <c r="AB80" i="19"/>
  <c r="AC80" i="19"/>
  <c r="AD80" i="19"/>
  <c r="AE80" i="19"/>
  <c r="AF80" i="19"/>
  <c r="AG80" i="19"/>
  <c r="AH80" i="19"/>
  <c r="AI80" i="19"/>
  <c r="AJ80" i="19"/>
  <c r="AK80" i="19"/>
  <c r="AL80" i="19"/>
  <c r="AM80" i="19"/>
  <c r="AN80" i="19"/>
  <c r="AO80" i="19"/>
  <c r="AP80" i="19"/>
  <c r="AQ80" i="19"/>
  <c r="AR80" i="19"/>
  <c r="AS80" i="19"/>
  <c r="AT80" i="19"/>
  <c r="AU80" i="19"/>
  <c r="AV80" i="19"/>
  <c r="AW80" i="19"/>
  <c r="AX80" i="19"/>
  <c r="AY80" i="19"/>
  <c r="AZ80" i="19"/>
  <c r="BA80" i="19"/>
  <c r="BB80" i="19"/>
  <c r="BC80" i="19"/>
  <c r="BD80" i="19"/>
  <c r="BE80" i="19"/>
  <c r="BF80" i="19"/>
  <c r="BG80" i="19"/>
  <c r="BH80" i="19"/>
  <c r="BI80" i="19"/>
  <c r="BJ80" i="19"/>
  <c r="BK80" i="19"/>
  <c r="BL80" i="19"/>
  <c r="BM80" i="19"/>
  <c r="BN80" i="19"/>
  <c r="BO80" i="19"/>
  <c r="BP80" i="19"/>
  <c r="BQ80" i="19"/>
  <c r="BR80" i="19"/>
  <c r="BS80" i="19"/>
  <c r="BT80" i="19"/>
  <c r="BU80" i="19"/>
  <c r="C81" i="19"/>
  <c r="D81" i="19"/>
  <c r="E81" i="19"/>
  <c r="F81" i="19"/>
  <c r="G81" i="19"/>
  <c r="H81" i="19"/>
  <c r="I81" i="19"/>
  <c r="J81" i="19"/>
  <c r="K81" i="19"/>
  <c r="L81" i="19"/>
  <c r="M81" i="19"/>
  <c r="N81" i="19"/>
  <c r="O81" i="19"/>
  <c r="P81" i="19"/>
  <c r="Q81" i="19"/>
  <c r="R81" i="19"/>
  <c r="S81" i="19"/>
  <c r="T81" i="19"/>
  <c r="U81" i="19"/>
  <c r="V81" i="19"/>
  <c r="W81" i="19"/>
  <c r="X81" i="19"/>
  <c r="Y81" i="19"/>
  <c r="Z81" i="19"/>
  <c r="AA81" i="19"/>
  <c r="AB81" i="19"/>
  <c r="AC81" i="19"/>
  <c r="AD81" i="19"/>
  <c r="AE81" i="19"/>
  <c r="AF81" i="19"/>
  <c r="AG81" i="19"/>
  <c r="AH81" i="19"/>
  <c r="AI81" i="19"/>
  <c r="AJ81" i="19"/>
  <c r="AK81" i="19"/>
  <c r="AL81" i="19"/>
  <c r="AM81" i="19"/>
  <c r="AN81" i="19"/>
  <c r="AO81" i="19"/>
  <c r="AP81" i="19"/>
  <c r="AQ81" i="19"/>
  <c r="AR81" i="19"/>
  <c r="AS81" i="19"/>
  <c r="AT81" i="19"/>
  <c r="AU81" i="19"/>
  <c r="AV81" i="19"/>
  <c r="AW81" i="19"/>
  <c r="AX81" i="19"/>
  <c r="AY81" i="19"/>
  <c r="AZ81" i="19"/>
  <c r="BA81" i="19"/>
  <c r="BB81" i="19"/>
  <c r="BC81" i="19"/>
  <c r="BD81" i="19"/>
  <c r="BE81" i="19"/>
  <c r="BF81" i="19"/>
  <c r="BG81" i="19"/>
  <c r="BH81" i="19"/>
  <c r="BI81" i="19"/>
  <c r="BJ81" i="19"/>
  <c r="BK81" i="19"/>
  <c r="BL81" i="19"/>
  <c r="BM81" i="19"/>
  <c r="BN81" i="19"/>
  <c r="BO81" i="19"/>
  <c r="BP81" i="19"/>
  <c r="BQ81" i="19"/>
  <c r="BR81" i="19"/>
  <c r="BS81" i="19"/>
  <c r="BT81" i="19"/>
  <c r="BU81" i="19"/>
  <c r="C82" i="19"/>
  <c r="D82" i="19"/>
  <c r="E82" i="19"/>
  <c r="F82" i="19"/>
  <c r="G82" i="19"/>
  <c r="H82" i="19"/>
  <c r="I82" i="19"/>
  <c r="J82" i="19"/>
  <c r="K82" i="19"/>
  <c r="L82" i="19"/>
  <c r="M82" i="19"/>
  <c r="N82" i="19"/>
  <c r="O82" i="19"/>
  <c r="P82" i="19"/>
  <c r="Q82" i="19"/>
  <c r="R82" i="19"/>
  <c r="S82" i="19"/>
  <c r="T82" i="19"/>
  <c r="U82" i="19"/>
  <c r="V82" i="19"/>
  <c r="W82" i="19"/>
  <c r="X82" i="19"/>
  <c r="Y82" i="19"/>
  <c r="Z82" i="19"/>
  <c r="AA82" i="19"/>
  <c r="AB82" i="19"/>
  <c r="AC82" i="19"/>
  <c r="AD82" i="19"/>
  <c r="AE82" i="19"/>
  <c r="AF82" i="19"/>
  <c r="AG82" i="19"/>
  <c r="AH82" i="19"/>
  <c r="AI82" i="19"/>
  <c r="AJ82" i="19"/>
  <c r="AK82" i="19"/>
  <c r="AL82" i="19"/>
  <c r="AM82" i="19"/>
  <c r="AN82" i="19"/>
  <c r="AO82" i="19"/>
  <c r="AP82" i="19"/>
  <c r="AQ82" i="19"/>
  <c r="AR82" i="19"/>
  <c r="AS82" i="19"/>
  <c r="AT82" i="19"/>
  <c r="AU82" i="19"/>
  <c r="AV82" i="19"/>
  <c r="AW82" i="19"/>
  <c r="AX82" i="19"/>
  <c r="AY82" i="19"/>
  <c r="AZ82" i="19"/>
  <c r="BA82" i="19"/>
  <c r="BB82" i="19"/>
  <c r="BC82" i="19"/>
  <c r="BD82" i="19"/>
  <c r="BE82" i="19"/>
  <c r="BF82" i="19"/>
  <c r="BG82" i="19"/>
  <c r="BH82" i="19"/>
  <c r="BI82" i="19"/>
  <c r="BJ82" i="19"/>
  <c r="BK82" i="19"/>
  <c r="BL82" i="19"/>
  <c r="BM82" i="19"/>
  <c r="BN82" i="19"/>
  <c r="BO82" i="19"/>
  <c r="BP82" i="19"/>
  <c r="BQ82" i="19"/>
  <c r="BR82" i="19"/>
  <c r="BS82" i="19"/>
  <c r="BT82" i="19"/>
  <c r="BU82" i="19"/>
  <c r="C83" i="19"/>
  <c r="D83" i="19"/>
  <c r="E83" i="19"/>
  <c r="F83" i="19"/>
  <c r="G83" i="19"/>
  <c r="H83" i="19"/>
  <c r="I83" i="19"/>
  <c r="J83" i="19"/>
  <c r="K83" i="19"/>
  <c r="L83" i="19"/>
  <c r="M83" i="19"/>
  <c r="N83" i="19"/>
  <c r="O83" i="19"/>
  <c r="P83" i="19"/>
  <c r="Q83" i="19"/>
  <c r="R83" i="19"/>
  <c r="S83" i="19"/>
  <c r="T83" i="19"/>
  <c r="U83" i="19"/>
  <c r="V83" i="19"/>
  <c r="W83" i="19"/>
  <c r="X83" i="19"/>
  <c r="Y83" i="19"/>
  <c r="Z83" i="19"/>
  <c r="AA83" i="19"/>
  <c r="AB83" i="19"/>
  <c r="AC83" i="19"/>
  <c r="AD83" i="19"/>
  <c r="AE83" i="19"/>
  <c r="AF83" i="19"/>
  <c r="AG83" i="19"/>
  <c r="AH83" i="19"/>
  <c r="AI83" i="19"/>
  <c r="AJ83" i="19"/>
  <c r="AK83" i="19"/>
  <c r="AL83" i="19"/>
  <c r="AM83" i="19"/>
  <c r="AN83" i="19"/>
  <c r="AO83" i="19"/>
  <c r="AP83" i="19"/>
  <c r="AQ83" i="19"/>
  <c r="AR83" i="19"/>
  <c r="AS83" i="19"/>
  <c r="AT83" i="19"/>
  <c r="AU83" i="19"/>
  <c r="AV83" i="19"/>
  <c r="AW83" i="19"/>
  <c r="AX83" i="19"/>
  <c r="AY83" i="19"/>
  <c r="AZ83" i="19"/>
  <c r="BA83" i="19"/>
  <c r="BB83" i="19"/>
  <c r="BC83" i="19"/>
  <c r="BD83" i="19"/>
  <c r="BE83" i="19"/>
  <c r="BF83" i="19"/>
  <c r="BG83" i="19"/>
  <c r="BH83" i="19"/>
  <c r="BI83" i="19"/>
  <c r="BJ83" i="19"/>
  <c r="BK83" i="19"/>
  <c r="BL83" i="19"/>
  <c r="BM83" i="19"/>
  <c r="BN83" i="19"/>
  <c r="BO83" i="19"/>
  <c r="BP83" i="19"/>
  <c r="BQ83" i="19"/>
  <c r="BR83" i="19"/>
  <c r="BS83" i="19"/>
  <c r="BT83" i="19"/>
  <c r="BU83" i="19"/>
  <c r="C84" i="19"/>
  <c r="D84" i="19"/>
  <c r="E84" i="19"/>
  <c r="F84" i="19"/>
  <c r="G84" i="19"/>
  <c r="H84" i="19"/>
  <c r="I84" i="19"/>
  <c r="J84" i="19"/>
  <c r="K84" i="19"/>
  <c r="L84" i="19"/>
  <c r="M84" i="19"/>
  <c r="N84" i="19"/>
  <c r="O84" i="19"/>
  <c r="P84" i="19"/>
  <c r="Q84" i="19"/>
  <c r="R84" i="19"/>
  <c r="S84" i="19"/>
  <c r="T84" i="19"/>
  <c r="U84" i="19"/>
  <c r="V84" i="19"/>
  <c r="W84" i="19"/>
  <c r="X84" i="19"/>
  <c r="Y84" i="19"/>
  <c r="Z84" i="19"/>
  <c r="AA84" i="19"/>
  <c r="AB84" i="19"/>
  <c r="AC84" i="19"/>
  <c r="AD84" i="19"/>
  <c r="AE84" i="19"/>
  <c r="AF84" i="19"/>
  <c r="AG84" i="19"/>
  <c r="AH84" i="19"/>
  <c r="AI84" i="19"/>
  <c r="AJ84" i="19"/>
  <c r="AK84" i="19"/>
  <c r="AL84" i="19"/>
  <c r="AM84" i="19"/>
  <c r="AN84" i="19"/>
  <c r="AO84" i="19"/>
  <c r="AP84" i="19"/>
  <c r="AQ84" i="19"/>
  <c r="AR84" i="19"/>
  <c r="AS84" i="19"/>
  <c r="AT84" i="19"/>
  <c r="AU84" i="19"/>
  <c r="AV84" i="19"/>
  <c r="AW84" i="19"/>
  <c r="AX84" i="19"/>
  <c r="AY84" i="19"/>
  <c r="AZ84" i="19"/>
  <c r="BA84" i="19"/>
  <c r="BB84" i="19"/>
  <c r="BC84" i="19"/>
  <c r="BD84" i="19"/>
  <c r="BE84" i="19"/>
  <c r="BF84" i="19"/>
  <c r="BG84" i="19"/>
  <c r="BH84" i="19"/>
  <c r="BI84" i="19"/>
  <c r="BJ84" i="19"/>
  <c r="BK84" i="19"/>
  <c r="BL84" i="19"/>
  <c r="BM84" i="19"/>
  <c r="BN84" i="19"/>
  <c r="BO84" i="19"/>
  <c r="BP84" i="19"/>
  <c r="BQ84" i="19"/>
  <c r="BR84" i="19"/>
  <c r="BS84" i="19"/>
  <c r="BT84" i="19"/>
  <c r="BU84" i="19"/>
  <c r="C85" i="19"/>
  <c r="D85" i="19"/>
  <c r="E85" i="19"/>
  <c r="F85" i="19"/>
  <c r="G85" i="19"/>
  <c r="H85" i="19"/>
  <c r="I85" i="19"/>
  <c r="J85" i="19"/>
  <c r="K85" i="19"/>
  <c r="L85" i="19"/>
  <c r="M85" i="19"/>
  <c r="N85" i="19"/>
  <c r="O85" i="19"/>
  <c r="P85" i="19"/>
  <c r="Q85" i="19"/>
  <c r="R85" i="19"/>
  <c r="S85" i="19"/>
  <c r="T85" i="19"/>
  <c r="U85" i="19"/>
  <c r="V85" i="19"/>
  <c r="W85" i="19"/>
  <c r="X85" i="19"/>
  <c r="Y85" i="19"/>
  <c r="Z85" i="19"/>
  <c r="AA85" i="19"/>
  <c r="AB85" i="19"/>
  <c r="AC85" i="19"/>
  <c r="AD85" i="19"/>
  <c r="AE85" i="19"/>
  <c r="AF85" i="19"/>
  <c r="AG85" i="19"/>
  <c r="AH85" i="19"/>
  <c r="AI85" i="19"/>
  <c r="AJ85" i="19"/>
  <c r="AK85" i="19"/>
  <c r="AL85" i="19"/>
  <c r="AM85" i="19"/>
  <c r="AN85" i="19"/>
  <c r="AO85" i="19"/>
  <c r="AP85" i="19"/>
  <c r="AQ85" i="19"/>
  <c r="AR85" i="19"/>
  <c r="AS85" i="19"/>
  <c r="AT85" i="19"/>
  <c r="AU85" i="19"/>
  <c r="AV85" i="19"/>
  <c r="AW85" i="19"/>
  <c r="AX85" i="19"/>
  <c r="AY85" i="19"/>
  <c r="AZ85" i="19"/>
  <c r="BA85" i="19"/>
  <c r="BB85" i="19"/>
  <c r="BC85" i="19"/>
  <c r="BD85" i="19"/>
  <c r="BE85" i="19"/>
  <c r="BF85" i="19"/>
  <c r="BG85" i="19"/>
  <c r="BH85" i="19"/>
  <c r="BI85" i="19"/>
  <c r="BJ85" i="19"/>
  <c r="BK85" i="19"/>
  <c r="BL85" i="19"/>
  <c r="BM85" i="19"/>
  <c r="BN85" i="19"/>
  <c r="BO85" i="19"/>
  <c r="BP85" i="19"/>
  <c r="BQ85" i="19"/>
  <c r="BR85" i="19"/>
  <c r="BS85" i="19"/>
  <c r="BT85" i="19"/>
  <c r="BU85" i="19"/>
  <c r="C86" i="19"/>
  <c r="D86" i="19"/>
  <c r="E86" i="19"/>
  <c r="F86" i="19"/>
  <c r="G86" i="19"/>
  <c r="H86" i="19"/>
  <c r="I86" i="19"/>
  <c r="J86" i="19"/>
  <c r="K86" i="19"/>
  <c r="L86" i="19"/>
  <c r="M86" i="19"/>
  <c r="N86" i="19"/>
  <c r="O86" i="19"/>
  <c r="P86" i="19"/>
  <c r="Q86" i="19"/>
  <c r="R86" i="19"/>
  <c r="S86" i="19"/>
  <c r="T86" i="19"/>
  <c r="U86" i="19"/>
  <c r="V86" i="19"/>
  <c r="W86" i="19"/>
  <c r="X86" i="19"/>
  <c r="Y86" i="19"/>
  <c r="Z86" i="19"/>
  <c r="AA86" i="19"/>
  <c r="AB86" i="19"/>
  <c r="AC86" i="19"/>
  <c r="AD86" i="19"/>
  <c r="AE86" i="19"/>
  <c r="AF86" i="19"/>
  <c r="AG86" i="19"/>
  <c r="AH86" i="19"/>
  <c r="AI86" i="19"/>
  <c r="AJ86" i="19"/>
  <c r="AK86" i="19"/>
  <c r="AL86" i="19"/>
  <c r="AM86" i="19"/>
  <c r="AN86" i="19"/>
  <c r="AO86" i="19"/>
  <c r="AP86" i="19"/>
  <c r="AQ86" i="19"/>
  <c r="AR86" i="19"/>
  <c r="AS86" i="19"/>
  <c r="AT86" i="19"/>
  <c r="AU86" i="19"/>
  <c r="AV86" i="19"/>
  <c r="AW86" i="19"/>
  <c r="AX86" i="19"/>
  <c r="AY86" i="19"/>
  <c r="AZ86" i="19"/>
  <c r="BA86" i="19"/>
  <c r="BB86" i="19"/>
  <c r="BC86" i="19"/>
  <c r="BD86" i="19"/>
  <c r="BE86" i="19"/>
  <c r="BF86" i="19"/>
  <c r="BG86" i="19"/>
  <c r="BH86" i="19"/>
  <c r="BI86" i="19"/>
  <c r="BJ86" i="19"/>
  <c r="BK86" i="19"/>
  <c r="BL86" i="19"/>
  <c r="BM86" i="19"/>
  <c r="BN86" i="19"/>
  <c r="BO86" i="19"/>
  <c r="BP86" i="19"/>
  <c r="BQ86" i="19"/>
  <c r="BR86" i="19"/>
  <c r="BS86" i="19"/>
  <c r="BT86" i="19"/>
  <c r="BU86" i="19"/>
  <c r="C87" i="19"/>
  <c r="D87" i="19"/>
  <c r="E87" i="19"/>
  <c r="F87" i="19"/>
  <c r="G87" i="19"/>
  <c r="H87" i="19"/>
  <c r="I87" i="19"/>
  <c r="J87" i="19"/>
  <c r="K87" i="19"/>
  <c r="L87" i="19"/>
  <c r="M87" i="19"/>
  <c r="N87" i="19"/>
  <c r="O87" i="19"/>
  <c r="P87" i="19"/>
  <c r="Q87" i="19"/>
  <c r="R87" i="19"/>
  <c r="S87" i="19"/>
  <c r="T87" i="19"/>
  <c r="U87" i="19"/>
  <c r="V87" i="19"/>
  <c r="W87" i="19"/>
  <c r="X87" i="19"/>
  <c r="Y87" i="19"/>
  <c r="Z87" i="19"/>
  <c r="AA87" i="19"/>
  <c r="AB87" i="19"/>
  <c r="AC87" i="19"/>
  <c r="AD87" i="19"/>
  <c r="AE87" i="19"/>
  <c r="AF87" i="19"/>
  <c r="AG87" i="19"/>
  <c r="AH87" i="19"/>
  <c r="AI87" i="19"/>
  <c r="AJ87" i="19"/>
  <c r="AK87" i="19"/>
  <c r="AL87" i="19"/>
  <c r="AM87" i="19"/>
  <c r="AN87" i="19"/>
  <c r="AO87" i="19"/>
  <c r="AP87" i="19"/>
  <c r="AQ87" i="19"/>
  <c r="AR87" i="19"/>
  <c r="AS87" i="19"/>
  <c r="AT87" i="19"/>
  <c r="AU87" i="19"/>
  <c r="AV87" i="19"/>
  <c r="AW87" i="19"/>
  <c r="AX87" i="19"/>
  <c r="AY87" i="19"/>
  <c r="AZ87" i="19"/>
  <c r="BA87" i="19"/>
  <c r="BB87" i="19"/>
  <c r="BC87" i="19"/>
  <c r="BD87" i="19"/>
  <c r="BE87" i="19"/>
  <c r="BF87" i="19"/>
  <c r="BG87" i="19"/>
  <c r="BH87" i="19"/>
  <c r="BI87" i="19"/>
  <c r="BJ87" i="19"/>
  <c r="BK87" i="19"/>
  <c r="BL87" i="19"/>
  <c r="BM87" i="19"/>
  <c r="BN87" i="19"/>
  <c r="BO87" i="19"/>
  <c r="BP87" i="19"/>
  <c r="BQ87" i="19"/>
  <c r="BR87" i="19"/>
  <c r="BS87" i="19"/>
  <c r="BT87" i="19"/>
  <c r="BU87" i="19"/>
  <c r="C88" i="19"/>
  <c r="D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T88" i="19"/>
  <c r="U88" i="19"/>
  <c r="V88" i="19"/>
  <c r="W88" i="19"/>
  <c r="X88" i="19"/>
  <c r="Y88" i="19"/>
  <c r="Z88" i="19"/>
  <c r="AA88" i="19"/>
  <c r="AB88" i="19"/>
  <c r="AC88" i="19"/>
  <c r="AD88" i="19"/>
  <c r="AE88" i="19"/>
  <c r="AF88" i="19"/>
  <c r="AG88" i="19"/>
  <c r="AH88" i="19"/>
  <c r="AI88" i="19"/>
  <c r="AJ88" i="19"/>
  <c r="AK88" i="19"/>
  <c r="AL88" i="19"/>
  <c r="AM88" i="19"/>
  <c r="AN88" i="19"/>
  <c r="AO88" i="19"/>
  <c r="AP88" i="19"/>
  <c r="AQ88" i="19"/>
  <c r="AR88" i="19"/>
  <c r="AS88" i="19"/>
  <c r="AT88" i="19"/>
  <c r="AU88" i="19"/>
  <c r="AV88" i="19"/>
  <c r="AW88" i="19"/>
  <c r="AX88" i="19"/>
  <c r="AY88" i="19"/>
  <c r="AZ88" i="19"/>
  <c r="BA88" i="19"/>
  <c r="BB88" i="19"/>
  <c r="BC88" i="19"/>
  <c r="BD88" i="19"/>
  <c r="BE88" i="19"/>
  <c r="BF88" i="19"/>
  <c r="BG88" i="19"/>
  <c r="BH88" i="19"/>
  <c r="BI88" i="19"/>
  <c r="BJ88" i="19"/>
  <c r="BK88" i="19"/>
  <c r="BL88" i="19"/>
  <c r="BM88" i="19"/>
  <c r="BN88" i="19"/>
  <c r="BO88" i="19"/>
  <c r="BP88" i="19"/>
  <c r="BQ88" i="19"/>
  <c r="BR88" i="19"/>
  <c r="BS88" i="19"/>
  <c r="BT88" i="19"/>
  <c r="BU88" i="19"/>
  <c r="C89" i="19"/>
  <c r="D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T89" i="19"/>
  <c r="U89" i="19"/>
  <c r="V89" i="19"/>
  <c r="W89" i="19"/>
  <c r="X89" i="19"/>
  <c r="Y89" i="19"/>
  <c r="Z89" i="19"/>
  <c r="AA89" i="19"/>
  <c r="AB89" i="19"/>
  <c r="AC89" i="19"/>
  <c r="AD89" i="19"/>
  <c r="AE89" i="19"/>
  <c r="AF89" i="19"/>
  <c r="AG89" i="19"/>
  <c r="AH89" i="19"/>
  <c r="AI89" i="19"/>
  <c r="AJ89" i="19"/>
  <c r="AK89" i="19"/>
  <c r="AL89" i="19"/>
  <c r="AM89" i="19"/>
  <c r="AN89" i="19"/>
  <c r="AO89" i="19"/>
  <c r="AP89" i="19"/>
  <c r="AQ89" i="19"/>
  <c r="AR89" i="19"/>
  <c r="AS89" i="19"/>
  <c r="AT89" i="19"/>
  <c r="AU89" i="19"/>
  <c r="AV89" i="19"/>
  <c r="AW89" i="19"/>
  <c r="AX89" i="19"/>
  <c r="AY89" i="19"/>
  <c r="AZ89" i="19"/>
  <c r="BA89" i="19"/>
  <c r="BB89" i="19"/>
  <c r="BC89" i="19"/>
  <c r="BD89" i="19"/>
  <c r="BE89" i="19"/>
  <c r="BF89" i="19"/>
  <c r="BG89" i="19"/>
  <c r="BH89" i="19"/>
  <c r="BI89" i="19"/>
  <c r="BJ89" i="19"/>
  <c r="BK89" i="19"/>
  <c r="BL89" i="19"/>
  <c r="BM89" i="19"/>
  <c r="BN89" i="19"/>
  <c r="BO89" i="19"/>
  <c r="BP89" i="19"/>
  <c r="BQ89" i="19"/>
  <c r="BR89" i="19"/>
  <c r="BS89" i="19"/>
  <c r="BT89" i="19"/>
  <c r="BU89" i="19"/>
  <c r="C90" i="19"/>
  <c r="D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T90" i="19"/>
  <c r="U90" i="19"/>
  <c r="V90" i="19"/>
  <c r="W90" i="19"/>
  <c r="X90" i="19"/>
  <c r="Y90" i="19"/>
  <c r="Z90" i="19"/>
  <c r="AA90" i="19"/>
  <c r="AB90" i="19"/>
  <c r="AC90" i="19"/>
  <c r="AD90" i="19"/>
  <c r="AE90" i="19"/>
  <c r="AF90" i="19"/>
  <c r="AG90" i="19"/>
  <c r="AH90" i="19"/>
  <c r="AI90" i="19"/>
  <c r="AJ90" i="19"/>
  <c r="AK90" i="19"/>
  <c r="AL90" i="19"/>
  <c r="AM90" i="19"/>
  <c r="AN90" i="19"/>
  <c r="AO90" i="19"/>
  <c r="AP90" i="19"/>
  <c r="AQ90" i="19"/>
  <c r="AR90" i="19"/>
  <c r="AS90" i="19"/>
  <c r="AT90" i="19"/>
  <c r="AU90" i="19"/>
  <c r="AV90" i="19"/>
  <c r="AW90" i="19"/>
  <c r="AX90" i="19"/>
  <c r="AY90" i="19"/>
  <c r="AZ90" i="19"/>
  <c r="BA90" i="19"/>
  <c r="BB90" i="19"/>
  <c r="BC90" i="19"/>
  <c r="BD90" i="19"/>
  <c r="BE90" i="19"/>
  <c r="BF90" i="19"/>
  <c r="BG90" i="19"/>
  <c r="BH90" i="19"/>
  <c r="BI90" i="19"/>
  <c r="BJ90" i="19"/>
  <c r="BK90" i="19"/>
  <c r="BL90" i="19"/>
  <c r="BM90" i="19"/>
  <c r="BN90" i="19"/>
  <c r="BO90" i="19"/>
  <c r="BP90" i="19"/>
  <c r="BQ90" i="19"/>
  <c r="BR90" i="19"/>
  <c r="BS90" i="19"/>
  <c r="BT90" i="19"/>
  <c r="BU90" i="19"/>
  <c r="C91" i="19"/>
  <c r="D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T91" i="19"/>
  <c r="U91" i="19"/>
  <c r="V91" i="19"/>
  <c r="W91" i="19"/>
  <c r="X91" i="19"/>
  <c r="Y91" i="19"/>
  <c r="Z91" i="19"/>
  <c r="AA91" i="19"/>
  <c r="AB91" i="19"/>
  <c r="AC91" i="19"/>
  <c r="AD91" i="19"/>
  <c r="AE91" i="19"/>
  <c r="AF91" i="19"/>
  <c r="AG91" i="19"/>
  <c r="AH91" i="19"/>
  <c r="AI91" i="19"/>
  <c r="AJ91" i="19"/>
  <c r="AK91" i="19"/>
  <c r="AL91" i="19"/>
  <c r="AM91" i="19"/>
  <c r="AN91" i="19"/>
  <c r="AO91" i="19"/>
  <c r="AP91" i="19"/>
  <c r="AQ91" i="19"/>
  <c r="AR91" i="19"/>
  <c r="AS91" i="19"/>
  <c r="AT91" i="19"/>
  <c r="AU91" i="19"/>
  <c r="AV91" i="19"/>
  <c r="AW91" i="19"/>
  <c r="AX91" i="19"/>
  <c r="AY91" i="19"/>
  <c r="AZ91" i="19"/>
  <c r="BA91" i="19"/>
  <c r="BB91" i="19"/>
  <c r="BC91" i="19"/>
  <c r="BD91" i="19"/>
  <c r="BE91" i="19"/>
  <c r="BF91" i="19"/>
  <c r="BG91" i="19"/>
  <c r="BH91" i="19"/>
  <c r="BI91" i="19"/>
  <c r="BJ91" i="19"/>
  <c r="BK91" i="19"/>
  <c r="BL91" i="19"/>
  <c r="BM91" i="19"/>
  <c r="BN91" i="19"/>
  <c r="BO91" i="19"/>
  <c r="BP91" i="19"/>
  <c r="BQ91" i="19"/>
  <c r="BR91" i="19"/>
  <c r="BS91" i="19"/>
  <c r="BT91" i="19"/>
  <c r="BU91" i="19"/>
  <c r="C92" i="19"/>
  <c r="D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T92" i="19"/>
  <c r="U92" i="19"/>
  <c r="V92" i="19"/>
  <c r="W92" i="19"/>
  <c r="X92" i="19"/>
  <c r="Y92" i="19"/>
  <c r="Z92" i="19"/>
  <c r="AA92" i="19"/>
  <c r="AB92" i="19"/>
  <c r="AC92" i="19"/>
  <c r="AD92" i="19"/>
  <c r="AE92" i="19"/>
  <c r="AF92" i="19"/>
  <c r="AG92" i="19"/>
  <c r="AH92" i="19"/>
  <c r="AI92" i="19"/>
  <c r="AJ92" i="19"/>
  <c r="AK92" i="19"/>
  <c r="AL92" i="19"/>
  <c r="AM92" i="19"/>
  <c r="AN92" i="19"/>
  <c r="AO92" i="19"/>
  <c r="AP92" i="19"/>
  <c r="AQ92" i="19"/>
  <c r="AR92" i="19"/>
  <c r="AS92" i="19"/>
  <c r="AT92" i="19"/>
  <c r="AU92" i="19"/>
  <c r="AV92" i="19"/>
  <c r="AW92" i="19"/>
  <c r="AX92" i="19"/>
  <c r="AY92" i="19"/>
  <c r="AZ92" i="19"/>
  <c r="BA92" i="19"/>
  <c r="BB92" i="19"/>
  <c r="BC92" i="19"/>
  <c r="BD92" i="19"/>
  <c r="BE92" i="19"/>
  <c r="BF92" i="19"/>
  <c r="BG92" i="19"/>
  <c r="BH92" i="19"/>
  <c r="BI92" i="19"/>
  <c r="BJ92" i="19"/>
  <c r="BK92" i="19"/>
  <c r="BL92" i="19"/>
  <c r="BM92" i="19"/>
  <c r="BN92" i="19"/>
  <c r="BO92" i="19"/>
  <c r="BP92" i="19"/>
  <c r="BQ92" i="19"/>
  <c r="BR92" i="19"/>
  <c r="BS92" i="19"/>
  <c r="BT92" i="19"/>
  <c r="BU92" i="19"/>
  <c r="C93" i="19"/>
  <c r="D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T93" i="19"/>
  <c r="U93" i="19"/>
  <c r="V93" i="19"/>
  <c r="W93" i="19"/>
  <c r="X93" i="19"/>
  <c r="Y93" i="19"/>
  <c r="Z93" i="19"/>
  <c r="AA93" i="19"/>
  <c r="AB93" i="19"/>
  <c r="AC93" i="19"/>
  <c r="AD93" i="19"/>
  <c r="AE93" i="19"/>
  <c r="AF93" i="19"/>
  <c r="AG93" i="19"/>
  <c r="AH93" i="19"/>
  <c r="AI93" i="19"/>
  <c r="AJ93" i="19"/>
  <c r="AK93" i="19"/>
  <c r="AL93" i="19"/>
  <c r="AM93" i="19"/>
  <c r="AN93" i="19"/>
  <c r="AO93" i="19"/>
  <c r="AP93" i="19"/>
  <c r="AQ93" i="19"/>
  <c r="AR93" i="19"/>
  <c r="AS93" i="19"/>
  <c r="AT93" i="19"/>
  <c r="AU93" i="19"/>
  <c r="AV93" i="19"/>
  <c r="AW93" i="19"/>
  <c r="AX93" i="19"/>
  <c r="AY93" i="19"/>
  <c r="AZ93" i="19"/>
  <c r="BA93" i="19"/>
  <c r="BB93" i="19"/>
  <c r="BC93" i="19"/>
  <c r="BD93" i="19"/>
  <c r="BE93" i="19"/>
  <c r="BF93" i="19"/>
  <c r="BG93" i="19"/>
  <c r="BH93" i="19"/>
  <c r="BI93" i="19"/>
  <c r="BJ93" i="19"/>
  <c r="BK93" i="19"/>
  <c r="BL93" i="19"/>
  <c r="BM93" i="19"/>
  <c r="BN93" i="19"/>
  <c r="BO93" i="19"/>
  <c r="BP93" i="19"/>
  <c r="BQ93" i="19"/>
  <c r="BR93" i="19"/>
  <c r="BS93" i="19"/>
  <c r="BT93" i="19"/>
  <c r="BU93" i="19"/>
  <c r="C94" i="19"/>
  <c r="D94" i="19"/>
  <c r="E94" i="19"/>
  <c r="F94" i="19"/>
  <c r="G94" i="19"/>
  <c r="H94" i="19"/>
  <c r="I94" i="19"/>
  <c r="J94" i="19"/>
  <c r="K94" i="19"/>
  <c r="L94" i="19"/>
  <c r="M94" i="19"/>
  <c r="N94" i="19"/>
  <c r="O94" i="19"/>
  <c r="P94" i="19"/>
  <c r="Q94" i="19"/>
  <c r="R94" i="19"/>
  <c r="S94" i="19"/>
  <c r="T94" i="19"/>
  <c r="U94" i="19"/>
  <c r="V94" i="19"/>
  <c r="W94" i="19"/>
  <c r="X94" i="19"/>
  <c r="Y94" i="19"/>
  <c r="Z94" i="19"/>
  <c r="AA94" i="19"/>
  <c r="AB94" i="19"/>
  <c r="AC94" i="19"/>
  <c r="AD94" i="19"/>
  <c r="AE94" i="19"/>
  <c r="AF94" i="19"/>
  <c r="AG94" i="19"/>
  <c r="AH94" i="19"/>
  <c r="AI94" i="19"/>
  <c r="AJ94" i="19"/>
  <c r="AK94" i="19"/>
  <c r="AL94" i="19"/>
  <c r="AM94" i="19"/>
  <c r="AN94" i="19"/>
  <c r="AO94" i="19"/>
  <c r="AP94" i="19"/>
  <c r="AQ94" i="19"/>
  <c r="AR94" i="19"/>
  <c r="AS94" i="19"/>
  <c r="AT94" i="19"/>
  <c r="AU94" i="19"/>
  <c r="AV94" i="19"/>
  <c r="AW94" i="19"/>
  <c r="AX94" i="19"/>
  <c r="AY94" i="19"/>
  <c r="AZ94" i="19"/>
  <c r="BA94" i="19"/>
  <c r="BB94" i="19"/>
  <c r="BC94" i="19"/>
  <c r="BD94" i="19"/>
  <c r="BE94" i="19"/>
  <c r="BF94" i="19"/>
  <c r="BG94" i="19"/>
  <c r="BH94" i="19"/>
  <c r="BI94" i="19"/>
  <c r="BJ94" i="19"/>
  <c r="BK94" i="19"/>
  <c r="BL94" i="19"/>
  <c r="BM94" i="19"/>
  <c r="BN94" i="19"/>
  <c r="BO94" i="19"/>
  <c r="BP94" i="19"/>
  <c r="BQ94" i="19"/>
  <c r="BR94" i="19"/>
  <c r="BS94" i="19"/>
  <c r="BT94" i="19"/>
  <c r="BU94" i="19"/>
  <c r="C95" i="19"/>
  <c r="D95" i="19"/>
  <c r="E95" i="19"/>
  <c r="F95" i="19"/>
  <c r="G95" i="19"/>
  <c r="H95" i="19"/>
  <c r="I95" i="19"/>
  <c r="J95" i="19"/>
  <c r="K95" i="19"/>
  <c r="L95" i="19"/>
  <c r="M95" i="19"/>
  <c r="N95" i="19"/>
  <c r="O95" i="19"/>
  <c r="P95" i="19"/>
  <c r="Q95" i="19"/>
  <c r="R95" i="19"/>
  <c r="S95" i="19"/>
  <c r="T95" i="19"/>
  <c r="U95" i="19"/>
  <c r="V95" i="19"/>
  <c r="W95" i="19"/>
  <c r="X95" i="19"/>
  <c r="Y95" i="19"/>
  <c r="Z95" i="19"/>
  <c r="AA95" i="19"/>
  <c r="AB95" i="19"/>
  <c r="AC95" i="19"/>
  <c r="AD95" i="19"/>
  <c r="AE95" i="19"/>
  <c r="AF95" i="19"/>
  <c r="AG95" i="19"/>
  <c r="AH95" i="19"/>
  <c r="AI95" i="19"/>
  <c r="AJ95" i="19"/>
  <c r="AK95" i="19"/>
  <c r="AL95" i="19"/>
  <c r="AM95" i="19"/>
  <c r="AN95" i="19"/>
  <c r="AO95" i="19"/>
  <c r="AP95" i="19"/>
  <c r="AQ95" i="19"/>
  <c r="AR95" i="19"/>
  <c r="AS95" i="19"/>
  <c r="AT95" i="19"/>
  <c r="AU95" i="19"/>
  <c r="AV95" i="19"/>
  <c r="AW95" i="19"/>
  <c r="AX95" i="19"/>
  <c r="AY95" i="19"/>
  <c r="AZ95" i="19"/>
  <c r="BA95" i="19"/>
  <c r="BB95" i="19"/>
  <c r="BC95" i="19"/>
  <c r="BD95" i="19"/>
  <c r="BE95" i="19"/>
  <c r="BF95" i="19"/>
  <c r="BG95" i="19"/>
  <c r="BH95" i="19"/>
  <c r="BI95" i="19"/>
  <c r="BJ95" i="19"/>
  <c r="BK95" i="19"/>
  <c r="BL95" i="19"/>
  <c r="BM95" i="19"/>
  <c r="BN95" i="19"/>
  <c r="BO95" i="19"/>
  <c r="BP95" i="19"/>
  <c r="BQ95" i="19"/>
  <c r="BR95" i="19"/>
  <c r="BS95" i="19"/>
  <c r="BT95" i="19"/>
  <c r="BU95" i="19"/>
  <c r="C96" i="19"/>
  <c r="D96" i="19"/>
  <c r="E96" i="19"/>
  <c r="F96" i="19"/>
  <c r="G96" i="19"/>
  <c r="H96" i="19"/>
  <c r="I96" i="19"/>
  <c r="J96" i="19"/>
  <c r="K96" i="19"/>
  <c r="L96" i="19"/>
  <c r="M96" i="19"/>
  <c r="N96" i="19"/>
  <c r="O96" i="19"/>
  <c r="P96" i="19"/>
  <c r="Q96" i="19"/>
  <c r="R96" i="19"/>
  <c r="S96" i="19"/>
  <c r="T96" i="19"/>
  <c r="U96" i="19"/>
  <c r="V96" i="19"/>
  <c r="W96" i="19"/>
  <c r="X96" i="19"/>
  <c r="Y96" i="19"/>
  <c r="Z96" i="19"/>
  <c r="AA96" i="19"/>
  <c r="AB96" i="19"/>
  <c r="AC96" i="19"/>
  <c r="AD96" i="19"/>
  <c r="AE96" i="19"/>
  <c r="AF96" i="19"/>
  <c r="AG96" i="19"/>
  <c r="AH96" i="19"/>
  <c r="AI96" i="19"/>
  <c r="AJ96" i="19"/>
  <c r="AK96" i="19"/>
  <c r="AL96" i="19"/>
  <c r="AM96" i="19"/>
  <c r="AN96" i="19"/>
  <c r="AO96" i="19"/>
  <c r="AP96" i="19"/>
  <c r="AQ96" i="19"/>
  <c r="AR96" i="19"/>
  <c r="AS96" i="19"/>
  <c r="AT96" i="19"/>
  <c r="AU96" i="19"/>
  <c r="AV96" i="19"/>
  <c r="AW96" i="19"/>
  <c r="AX96" i="19"/>
  <c r="AY96" i="19"/>
  <c r="AZ96" i="19"/>
  <c r="BA96" i="19"/>
  <c r="BB96" i="19"/>
  <c r="BC96" i="19"/>
  <c r="BD96" i="19"/>
  <c r="BE96" i="19"/>
  <c r="BF96" i="19"/>
  <c r="BG96" i="19"/>
  <c r="BH96" i="19"/>
  <c r="BI96" i="19"/>
  <c r="BJ96" i="19"/>
  <c r="BK96" i="19"/>
  <c r="BL96" i="19"/>
  <c r="BM96" i="19"/>
  <c r="BN96" i="19"/>
  <c r="BO96" i="19"/>
  <c r="BP96" i="19"/>
  <c r="BQ96" i="19"/>
  <c r="BR96" i="19"/>
  <c r="BS96" i="19"/>
  <c r="BT96" i="19"/>
  <c r="BU96" i="19"/>
  <c r="C97" i="19"/>
  <c r="D97" i="19"/>
  <c r="E97" i="19"/>
  <c r="F97" i="19"/>
  <c r="G97" i="19"/>
  <c r="H97" i="19"/>
  <c r="I97" i="19"/>
  <c r="J97" i="19"/>
  <c r="K97" i="19"/>
  <c r="L97" i="19"/>
  <c r="M97" i="19"/>
  <c r="N97" i="19"/>
  <c r="O97" i="19"/>
  <c r="P97" i="19"/>
  <c r="Q97" i="19"/>
  <c r="R97" i="19"/>
  <c r="S97" i="19"/>
  <c r="T97" i="19"/>
  <c r="U97" i="19"/>
  <c r="V97" i="19"/>
  <c r="W97" i="19"/>
  <c r="X97" i="19"/>
  <c r="Y97" i="19"/>
  <c r="Z97" i="19"/>
  <c r="AA97" i="19"/>
  <c r="AB97" i="19"/>
  <c r="AC97" i="19"/>
  <c r="AD97" i="19"/>
  <c r="AE97" i="19"/>
  <c r="AF97" i="19"/>
  <c r="AG97" i="19"/>
  <c r="AH97" i="19"/>
  <c r="AI97" i="19"/>
  <c r="AJ97" i="19"/>
  <c r="AK97" i="19"/>
  <c r="AL97" i="19"/>
  <c r="AM97" i="19"/>
  <c r="AN97" i="19"/>
  <c r="AO97" i="19"/>
  <c r="AP97" i="19"/>
  <c r="AQ97" i="19"/>
  <c r="AR97" i="19"/>
  <c r="AS97" i="19"/>
  <c r="AT97" i="19"/>
  <c r="AU97" i="19"/>
  <c r="AV97" i="19"/>
  <c r="AW97" i="19"/>
  <c r="AX97" i="19"/>
  <c r="AY97" i="19"/>
  <c r="AZ97" i="19"/>
  <c r="BA97" i="19"/>
  <c r="BB97" i="19"/>
  <c r="BC97" i="19"/>
  <c r="BD97" i="19"/>
  <c r="BE97" i="19"/>
  <c r="BF97" i="19"/>
  <c r="BG97" i="19"/>
  <c r="BH97" i="19"/>
  <c r="BI97" i="19"/>
  <c r="BJ97" i="19"/>
  <c r="BK97" i="19"/>
  <c r="BL97" i="19"/>
  <c r="BM97" i="19"/>
  <c r="BN97" i="19"/>
  <c r="BO97" i="19"/>
  <c r="BP97" i="19"/>
  <c r="BQ97" i="19"/>
  <c r="BR97" i="19"/>
  <c r="BS97" i="19"/>
  <c r="BT97" i="19"/>
  <c r="BU97" i="19"/>
  <c r="C98" i="19"/>
  <c r="D98" i="19"/>
  <c r="E98" i="19"/>
  <c r="F98" i="19"/>
  <c r="G98" i="19"/>
  <c r="H98" i="19"/>
  <c r="I98" i="19"/>
  <c r="J98" i="19"/>
  <c r="K98" i="19"/>
  <c r="L98" i="19"/>
  <c r="M98" i="19"/>
  <c r="N98" i="19"/>
  <c r="O98" i="19"/>
  <c r="P98" i="19"/>
  <c r="Q98" i="19"/>
  <c r="R98" i="19"/>
  <c r="S98" i="19"/>
  <c r="T98" i="19"/>
  <c r="U98" i="19"/>
  <c r="V98" i="19"/>
  <c r="W98" i="19"/>
  <c r="X98" i="19"/>
  <c r="Y98" i="19"/>
  <c r="Z98" i="19"/>
  <c r="AA98" i="19"/>
  <c r="AB98" i="19"/>
  <c r="AC98" i="19"/>
  <c r="AD98" i="19"/>
  <c r="AE98" i="19"/>
  <c r="AF98" i="19"/>
  <c r="AG98" i="19"/>
  <c r="AH98" i="19"/>
  <c r="AI98" i="19"/>
  <c r="AJ98" i="19"/>
  <c r="AK98" i="19"/>
  <c r="AL98" i="19"/>
  <c r="AM98" i="19"/>
  <c r="AN98" i="19"/>
  <c r="AO98" i="19"/>
  <c r="AP98" i="19"/>
  <c r="AQ98" i="19"/>
  <c r="AR98" i="19"/>
  <c r="AS98" i="19"/>
  <c r="AT98" i="19"/>
  <c r="AU98" i="19"/>
  <c r="AV98" i="19"/>
  <c r="AW98" i="19"/>
  <c r="AX98" i="19"/>
  <c r="AY98" i="19"/>
  <c r="AZ98" i="19"/>
  <c r="BA98" i="19"/>
  <c r="BB98" i="19"/>
  <c r="BC98" i="19"/>
  <c r="BD98" i="19"/>
  <c r="BE98" i="19"/>
  <c r="BF98" i="19"/>
  <c r="BG98" i="19"/>
  <c r="BH98" i="19"/>
  <c r="BI98" i="19"/>
  <c r="BJ98" i="19"/>
  <c r="BK98" i="19"/>
  <c r="BL98" i="19"/>
  <c r="BM98" i="19"/>
  <c r="BN98" i="19"/>
  <c r="BO98" i="19"/>
  <c r="BP98" i="19"/>
  <c r="BQ98" i="19"/>
  <c r="BR98" i="19"/>
  <c r="BS98" i="19"/>
  <c r="BT98" i="19"/>
  <c r="BU98" i="19"/>
  <c r="C99" i="19"/>
  <c r="D99" i="19"/>
  <c r="E99" i="19"/>
  <c r="F99" i="19"/>
  <c r="G99" i="19"/>
  <c r="H99" i="19"/>
  <c r="I99" i="19"/>
  <c r="J99" i="19"/>
  <c r="K99" i="19"/>
  <c r="L99" i="19"/>
  <c r="M99" i="19"/>
  <c r="N99" i="19"/>
  <c r="O99" i="19"/>
  <c r="P99" i="19"/>
  <c r="Q99" i="19"/>
  <c r="R99" i="19"/>
  <c r="S99" i="19"/>
  <c r="T99" i="19"/>
  <c r="U99" i="19"/>
  <c r="V99" i="19"/>
  <c r="W99" i="19"/>
  <c r="X99" i="19"/>
  <c r="Y99" i="19"/>
  <c r="Z99" i="19"/>
  <c r="AA99" i="19"/>
  <c r="AB99" i="19"/>
  <c r="AC99" i="19"/>
  <c r="AD99" i="19"/>
  <c r="AE99" i="19"/>
  <c r="AF99" i="19"/>
  <c r="AG99" i="19"/>
  <c r="AH99" i="19"/>
  <c r="AI99" i="19"/>
  <c r="AJ99" i="19"/>
  <c r="AK99" i="19"/>
  <c r="AL99" i="19"/>
  <c r="AM99" i="19"/>
  <c r="AN99" i="19"/>
  <c r="AO99" i="19"/>
  <c r="AP99" i="19"/>
  <c r="AQ99" i="19"/>
  <c r="AR99" i="19"/>
  <c r="AS99" i="19"/>
  <c r="AT99" i="19"/>
  <c r="AU99" i="19"/>
  <c r="AV99" i="19"/>
  <c r="AW99" i="19"/>
  <c r="AX99" i="19"/>
  <c r="AY99" i="19"/>
  <c r="AZ99" i="19"/>
  <c r="BA99" i="19"/>
  <c r="BB99" i="19"/>
  <c r="BC99" i="19"/>
  <c r="BD99" i="19"/>
  <c r="BE99" i="19"/>
  <c r="BF99" i="19"/>
  <c r="BG99" i="19"/>
  <c r="BH99" i="19"/>
  <c r="BI99" i="19"/>
  <c r="BJ99" i="19"/>
  <c r="BK99" i="19"/>
  <c r="BL99" i="19"/>
  <c r="BM99" i="19"/>
  <c r="BN99" i="19"/>
  <c r="BO99" i="19"/>
  <c r="BP99" i="19"/>
  <c r="BQ99" i="19"/>
  <c r="BR99" i="19"/>
  <c r="BS99" i="19"/>
  <c r="BT99" i="19"/>
  <c r="BU99" i="19"/>
  <c r="C100" i="19"/>
  <c r="D100" i="19"/>
  <c r="E100" i="19"/>
  <c r="F100" i="19"/>
  <c r="G100" i="19"/>
  <c r="H100" i="19"/>
  <c r="I100" i="19"/>
  <c r="J100" i="19"/>
  <c r="K100" i="19"/>
  <c r="L100" i="19"/>
  <c r="M100" i="19"/>
  <c r="N100" i="19"/>
  <c r="O100" i="19"/>
  <c r="P100" i="19"/>
  <c r="Q100" i="19"/>
  <c r="R100" i="19"/>
  <c r="S100" i="19"/>
  <c r="T100" i="19"/>
  <c r="U100" i="19"/>
  <c r="V100" i="19"/>
  <c r="W100" i="19"/>
  <c r="X100" i="19"/>
  <c r="Y100" i="19"/>
  <c r="Z100" i="19"/>
  <c r="AA100" i="19"/>
  <c r="AB100" i="19"/>
  <c r="AC100" i="19"/>
  <c r="AD100" i="19"/>
  <c r="AE100" i="19"/>
  <c r="AF100" i="19"/>
  <c r="AG100" i="19"/>
  <c r="AH100" i="19"/>
  <c r="AI100" i="19"/>
  <c r="AJ100" i="19"/>
  <c r="AK100" i="19"/>
  <c r="AL100" i="19"/>
  <c r="AM100" i="19"/>
  <c r="AN100" i="19"/>
  <c r="AO100" i="19"/>
  <c r="AP100" i="19"/>
  <c r="AQ100" i="19"/>
  <c r="AR100" i="19"/>
  <c r="AS100" i="19"/>
  <c r="AT100" i="19"/>
  <c r="AU100" i="19"/>
  <c r="AV100" i="19"/>
  <c r="AW100" i="19"/>
  <c r="AX100" i="19"/>
  <c r="AY100" i="19"/>
  <c r="AZ100" i="19"/>
  <c r="BA100" i="19"/>
  <c r="BB100" i="19"/>
  <c r="BC100" i="19"/>
  <c r="BD100" i="19"/>
  <c r="BE100" i="19"/>
  <c r="BF100" i="19"/>
  <c r="BG100" i="19"/>
  <c r="BH100" i="19"/>
  <c r="BI100" i="19"/>
  <c r="BJ100" i="19"/>
  <c r="BK100" i="19"/>
  <c r="BL100" i="19"/>
  <c r="BM100" i="19"/>
  <c r="BN100" i="19"/>
  <c r="BO100" i="19"/>
  <c r="BP100" i="19"/>
  <c r="BQ100" i="19"/>
  <c r="BR100" i="19"/>
  <c r="BS100" i="19"/>
  <c r="BT100" i="19"/>
  <c r="BU100" i="19"/>
  <c r="C101" i="19"/>
  <c r="D101" i="19"/>
  <c r="E101" i="19"/>
  <c r="F101" i="19"/>
  <c r="G101" i="19"/>
  <c r="H101" i="19"/>
  <c r="I101" i="19"/>
  <c r="J101" i="19"/>
  <c r="K101" i="19"/>
  <c r="L101" i="19"/>
  <c r="M101" i="19"/>
  <c r="N101" i="19"/>
  <c r="O101" i="19"/>
  <c r="P101" i="19"/>
  <c r="Q101" i="19"/>
  <c r="R101" i="19"/>
  <c r="S101" i="19"/>
  <c r="T101" i="19"/>
  <c r="U101" i="19"/>
  <c r="V101" i="19"/>
  <c r="W101" i="19"/>
  <c r="X101" i="19"/>
  <c r="Y101" i="19"/>
  <c r="Z101" i="19"/>
  <c r="AA101" i="19"/>
  <c r="AB101" i="19"/>
  <c r="AC101" i="19"/>
  <c r="AD101" i="19"/>
  <c r="AE101" i="19"/>
  <c r="AF101" i="19"/>
  <c r="AG101" i="19"/>
  <c r="AH101" i="19"/>
  <c r="AI101" i="19"/>
  <c r="AJ101" i="19"/>
  <c r="AK101" i="19"/>
  <c r="AL101" i="19"/>
  <c r="AM101" i="19"/>
  <c r="AN101" i="19"/>
  <c r="AO101" i="19"/>
  <c r="AP101" i="19"/>
  <c r="AQ101" i="19"/>
  <c r="AR101" i="19"/>
  <c r="AS101" i="19"/>
  <c r="AT101" i="19"/>
  <c r="AU101" i="19"/>
  <c r="AV101" i="19"/>
  <c r="AW101" i="19"/>
  <c r="AX101" i="19"/>
  <c r="AY101" i="19"/>
  <c r="AZ101" i="19"/>
  <c r="BA101" i="19"/>
  <c r="BB101" i="19"/>
  <c r="BC101" i="19"/>
  <c r="BD101" i="19"/>
  <c r="BE101" i="19"/>
  <c r="BF101" i="19"/>
  <c r="BG101" i="19"/>
  <c r="BH101" i="19"/>
  <c r="BI101" i="19"/>
  <c r="BJ101" i="19"/>
  <c r="BK101" i="19"/>
  <c r="BL101" i="19"/>
  <c r="BM101" i="19"/>
  <c r="BN101" i="19"/>
  <c r="BO101" i="19"/>
  <c r="BP101" i="19"/>
  <c r="BQ101" i="19"/>
  <c r="BR101" i="19"/>
  <c r="BS101" i="19"/>
  <c r="BT101" i="19"/>
  <c r="BU101" i="19"/>
  <c r="C102" i="19"/>
  <c r="D102" i="19"/>
  <c r="E102" i="19"/>
  <c r="F102" i="19"/>
  <c r="G102" i="19"/>
  <c r="H102" i="19"/>
  <c r="I102" i="19"/>
  <c r="J102" i="19"/>
  <c r="K102" i="19"/>
  <c r="L102" i="19"/>
  <c r="M102" i="19"/>
  <c r="N102" i="19"/>
  <c r="O102" i="19"/>
  <c r="P102" i="19"/>
  <c r="Q102" i="19"/>
  <c r="R102" i="19"/>
  <c r="S102" i="19"/>
  <c r="T102" i="19"/>
  <c r="U102" i="19"/>
  <c r="V102" i="19"/>
  <c r="W102" i="19"/>
  <c r="X102" i="19"/>
  <c r="Y102" i="19"/>
  <c r="Z102" i="19"/>
  <c r="AA102" i="19"/>
  <c r="AB102" i="19"/>
  <c r="AC102" i="19"/>
  <c r="AD102" i="19"/>
  <c r="AE102" i="19"/>
  <c r="AF102" i="19"/>
  <c r="AG102" i="19"/>
  <c r="AH102" i="19"/>
  <c r="AI102" i="19"/>
  <c r="AJ102" i="19"/>
  <c r="AK102" i="19"/>
  <c r="AL102" i="19"/>
  <c r="AM102" i="19"/>
  <c r="AN102" i="19"/>
  <c r="AO102" i="19"/>
  <c r="AP102" i="19"/>
  <c r="AQ102" i="19"/>
  <c r="AR102" i="19"/>
  <c r="AS102" i="19"/>
  <c r="AT102" i="19"/>
  <c r="AU102" i="19"/>
  <c r="AV102" i="19"/>
  <c r="AW102" i="19"/>
  <c r="AX102" i="19"/>
  <c r="AY102" i="19"/>
  <c r="AZ102" i="19"/>
  <c r="BA102" i="19"/>
  <c r="BB102" i="19"/>
  <c r="BC102" i="19"/>
  <c r="BD102" i="19"/>
  <c r="BE102" i="19"/>
  <c r="BF102" i="19"/>
  <c r="BG102" i="19"/>
  <c r="BH102" i="19"/>
  <c r="BI102" i="19"/>
  <c r="BJ102" i="19"/>
  <c r="BK102" i="19"/>
  <c r="BL102" i="19"/>
  <c r="BM102" i="19"/>
  <c r="BN102" i="19"/>
  <c r="BO102" i="19"/>
  <c r="BP102" i="19"/>
  <c r="BQ102" i="19"/>
  <c r="BR102" i="19"/>
  <c r="BS102" i="19"/>
  <c r="BT102" i="19"/>
  <c r="BU102" i="19"/>
  <c r="C103" i="19"/>
  <c r="D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T103" i="19"/>
  <c r="U103" i="19"/>
  <c r="V103" i="19"/>
  <c r="W103" i="19"/>
  <c r="X103" i="19"/>
  <c r="Y103" i="19"/>
  <c r="Z103" i="19"/>
  <c r="AA103" i="19"/>
  <c r="AB103" i="19"/>
  <c r="AC103" i="19"/>
  <c r="AD103" i="19"/>
  <c r="AE103" i="19"/>
  <c r="AF103" i="19"/>
  <c r="AG103" i="19"/>
  <c r="AH103" i="19"/>
  <c r="AI103" i="19"/>
  <c r="AJ103" i="19"/>
  <c r="AK103" i="19"/>
  <c r="AL103" i="19"/>
  <c r="AM103" i="19"/>
  <c r="AN103" i="19"/>
  <c r="AO103" i="19"/>
  <c r="AP103" i="19"/>
  <c r="AQ103" i="19"/>
  <c r="AR103" i="19"/>
  <c r="AS103" i="19"/>
  <c r="AT103" i="19"/>
  <c r="AU103" i="19"/>
  <c r="AV103" i="19"/>
  <c r="AW103" i="19"/>
  <c r="AX103" i="19"/>
  <c r="AY103" i="19"/>
  <c r="AZ103" i="19"/>
  <c r="BA103" i="19"/>
  <c r="BB103" i="19"/>
  <c r="BC103" i="19"/>
  <c r="BD103" i="19"/>
  <c r="BE103" i="19"/>
  <c r="BF103" i="19"/>
  <c r="BG103" i="19"/>
  <c r="BH103" i="19"/>
  <c r="BI103" i="19"/>
  <c r="BJ103" i="19"/>
  <c r="BK103" i="19"/>
  <c r="BL103" i="19"/>
  <c r="BM103" i="19"/>
  <c r="BN103" i="19"/>
  <c r="BO103" i="19"/>
  <c r="BP103" i="19"/>
  <c r="BQ103" i="19"/>
  <c r="BR103" i="19"/>
  <c r="BS103" i="19"/>
  <c r="BT103" i="19"/>
  <c r="BU103" i="19"/>
  <c r="C104" i="19"/>
  <c r="D104" i="19"/>
  <c r="E104" i="19"/>
  <c r="F104" i="19"/>
  <c r="G104" i="19"/>
  <c r="H104" i="19"/>
  <c r="I104" i="19"/>
  <c r="J104" i="19"/>
  <c r="K104" i="19"/>
  <c r="L104" i="19"/>
  <c r="M104" i="19"/>
  <c r="N104" i="19"/>
  <c r="O104" i="19"/>
  <c r="P104" i="19"/>
  <c r="Q104" i="19"/>
  <c r="R104" i="19"/>
  <c r="S104" i="19"/>
  <c r="T104" i="19"/>
  <c r="U104" i="19"/>
  <c r="V104" i="19"/>
  <c r="W104" i="19"/>
  <c r="X104" i="19"/>
  <c r="Y104" i="19"/>
  <c r="Z104" i="19"/>
  <c r="AA104" i="19"/>
  <c r="AB104" i="19"/>
  <c r="AC104" i="19"/>
  <c r="AD104" i="19"/>
  <c r="AE104" i="19"/>
  <c r="AF104" i="19"/>
  <c r="AG104" i="19"/>
  <c r="AH104" i="19"/>
  <c r="AI104" i="19"/>
  <c r="AJ104" i="19"/>
  <c r="AK104" i="19"/>
  <c r="AL104" i="19"/>
  <c r="AM104" i="19"/>
  <c r="AN104" i="19"/>
  <c r="AO104" i="19"/>
  <c r="AP104" i="19"/>
  <c r="AQ104" i="19"/>
  <c r="AR104" i="19"/>
  <c r="AS104" i="19"/>
  <c r="AT104" i="19"/>
  <c r="AU104" i="19"/>
  <c r="AV104" i="19"/>
  <c r="AW104" i="19"/>
  <c r="AX104" i="19"/>
  <c r="AY104" i="19"/>
  <c r="AZ104" i="19"/>
  <c r="BA104" i="19"/>
  <c r="BB104" i="19"/>
  <c r="BC104" i="19"/>
  <c r="BD104" i="19"/>
  <c r="BE104" i="19"/>
  <c r="BF104" i="19"/>
  <c r="BG104" i="19"/>
  <c r="BH104" i="19"/>
  <c r="BI104" i="19"/>
  <c r="BJ104" i="19"/>
  <c r="BK104" i="19"/>
  <c r="BL104" i="19"/>
  <c r="BM104" i="19"/>
  <c r="BN104" i="19"/>
  <c r="BO104" i="19"/>
  <c r="BP104" i="19"/>
  <c r="BQ104" i="19"/>
  <c r="BR104" i="19"/>
  <c r="BS104" i="19"/>
  <c r="BT104" i="19"/>
  <c r="BU104" i="19"/>
  <c r="C105" i="19"/>
  <c r="D105" i="19"/>
  <c r="E105" i="19"/>
  <c r="F105" i="19"/>
  <c r="G105" i="19"/>
  <c r="H105" i="19"/>
  <c r="I105" i="19"/>
  <c r="J105" i="19"/>
  <c r="K105" i="19"/>
  <c r="L105" i="19"/>
  <c r="M105" i="19"/>
  <c r="N105" i="19"/>
  <c r="O105" i="19"/>
  <c r="P105" i="19"/>
  <c r="Q105" i="19"/>
  <c r="R105" i="19"/>
  <c r="S105" i="19"/>
  <c r="T105" i="19"/>
  <c r="U105" i="19"/>
  <c r="V105" i="19"/>
  <c r="W105" i="19"/>
  <c r="X105" i="19"/>
  <c r="Y105" i="19"/>
  <c r="Z105" i="19"/>
  <c r="AA105" i="19"/>
  <c r="AB105" i="19"/>
  <c r="AC105" i="19"/>
  <c r="AD105" i="19"/>
  <c r="AE105" i="19"/>
  <c r="AF105" i="19"/>
  <c r="AG105" i="19"/>
  <c r="AH105" i="19"/>
  <c r="AI105" i="19"/>
  <c r="AJ105" i="19"/>
  <c r="AK105" i="19"/>
  <c r="AL105" i="19"/>
  <c r="AM105" i="19"/>
  <c r="AN105" i="19"/>
  <c r="AO105" i="19"/>
  <c r="AP105" i="19"/>
  <c r="AQ105" i="19"/>
  <c r="AR105" i="19"/>
  <c r="AS105" i="19"/>
  <c r="AT105" i="19"/>
  <c r="AU105" i="19"/>
  <c r="AV105" i="19"/>
  <c r="AW105" i="19"/>
  <c r="AX105" i="19"/>
  <c r="AY105" i="19"/>
  <c r="AZ105" i="19"/>
  <c r="BA105" i="19"/>
  <c r="BB105" i="19"/>
  <c r="BC105" i="19"/>
  <c r="BD105" i="19"/>
  <c r="BE105" i="19"/>
  <c r="BF105" i="19"/>
  <c r="BG105" i="19"/>
  <c r="BH105" i="19"/>
  <c r="BI105" i="19"/>
  <c r="BJ105" i="19"/>
  <c r="BK105" i="19"/>
  <c r="BL105" i="19"/>
  <c r="BM105" i="19"/>
  <c r="BN105" i="19"/>
  <c r="BO105" i="19"/>
  <c r="BP105" i="19"/>
  <c r="BQ105" i="19"/>
  <c r="BR105" i="19"/>
  <c r="BS105" i="19"/>
  <c r="BT105" i="19"/>
  <c r="BU105" i="19"/>
  <c r="C106" i="19"/>
  <c r="D106" i="19"/>
  <c r="E106" i="19"/>
  <c r="F106" i="19"/>
  <c r="G106" i="19"/>
  <c r="H106" i="19"/>
  <c r="I106" i="19"/>
  <c r="J106" i="19"/>
  <c r="K106" i="19"/>
  <c r="L106" i="19"/>
  <c r="M106" i="19"/>
  <c r="N106" i="19"/>
  <c r="O106" i="19"/>
  <c r="P106" i="19"/>
  <c r="Q106" i="19"/>
  <c r="R106" i="19"/>
  <c r="S106" i="19"/>
  <c r="T106" i="19"/>
  <c r="U106" i="19"/>
  <c r="V106" i="19"/>
  <c r="W106" i="19"/>
  <c r="X106" i="19"/>
  <c r="Y106" i="19"/>
  <c r="Z106" i="19"/>
  <c r="AA106" i="19"/>
  <c r="AB106" i="19"/>
  <c r="AC106" i="19"/>
  <c r="AD106" i="19"/>
  <c r="AE106" i="19"/>
  <c r="AF106" i="19"/>
  <c r="AG106" i="19"/>
  <c r="AH106" i="19"/>
  <c r="AI106" i="19"/>
  <c r="AJ106" i="19"/>
  <c r="AK106" i="19"/>
  <c r="AL106" i="19"/>
  <c r="AM106" i="19"/>
  <c r="AN106" i="19"/>
  <c r="AO106" i="19"/>
  <c r="AP106" i="19"/>
  <c r="AQ106" i="19"/>
  <c r="AR106" i="19"/>
  <c r="AS106" i="19"/>
  <c r="AT106" i="19"/>
  <c r="AU106" i="19"/>
  <c r="AV106" i="19"/>
  <c r="AW106" i="19"/>
  <c r="AX106" i="19"/>
  <c r="AY106" i="19"/>
  <c r="AZ106" i="19"/>
  <c r="BA106" i="19"/>
  <c r="BB106" i="19"/>
  <c r="BC106" i="19"/>
  <c r="BD106" i="19"/>
  <c r="BE106" i="19"/>
  <c r="BF106" i="19"/>
  <c r="BG106" i="19"/>
  <c r="BH106" i="19"/>
  <c r="BI106" i="19"/>
  <c r="BJ106" i="19"/>
  <c r="BK106" i="19"/>
  <c r="BL106" i="19"/>
  <c r="BM106" i="19"/>
  <c r="BN106" i="19"/>
  <c r="BO106" i="19"/>
  <c r="BP106" i="19"/>
  <c r="BQ106" i="19"/>
  <c r="BR106" i="19"/>
  <c r="BS106" i="19"/>
  <c r="BT106" i="19"/>
  <c r="BU106" i="19"/>
  <c r="C107" i="19"/>
  <c r="D107" i="19"/>
  <c r="E107" i="19"/>
  <c r="F107" i="19"/>
  <c r="G107" i="19"/>
  <c r="H107" i="19"/>
  <c r="I107" i="19"/>
  <c r="J107" i="19"/>
  <c r="K107" i="19"/>
  <c r="L107" i="19"/>
  <c r="M107" i="19"/>
  <c r="N107" i="19"/>
  <c r="O107" i="19"/>
  <c r="P107" i="19"/>
  <c r="Q107" i="19"/>
  <c r="R107" i="19"/>
  <c r="S107" i="19"/>
  <c r="T107" i="19"/>
  <c r="U107" i="19"/>
  <c r="V107" i="19"/>
  <c r="W107" i="19"/>
  <c r="X107" i="19"/>
  <c r="Y107" i="19"/>
  <c r="Z107" i="19"/>
  <c r="AA107" i="19"/>
  <c r="AB107" i="19"/>
  <c r="AC107" i="19"/>
  <c r="AD107" i="19"/>
  <c r="AE107" i="19"/>
  <c r="AF107" i="19"/>
  <c r="AG107" i="19"/>
  <c r="AH107" i="19"/>
  <c r="AI107" i="19"/>
  <c r="AJ107" i="19"/>
  <c r="AK107" i="19"/>
  <c r="AL107" i="19"/>
  <c r="AM107" i="19"/>
  <c r="AN107" i="19"/>
  <c r="AO107" i="19"/>
  <c r="AP107" i="19"/>
  <c r="AQ107" i="19"/>
  <c r="AR107" i="19"/>
  <c r="AS107" i="19"/>
  <c r="AT107" i="19"/>
  <c r="AU107" i="19"/>
  <c r="AV107" i="19"/>
  <c r="AW107" i="19"/>
  <c r="AX107" i="19"/>
  <c r="AY107" i="19"/>
  <c r="AZ107" i="19"/>
  <c r="BA107" i="19"/>
  <c r="BB107" i="19"/>
  <c r="BC107" i="19"/>
  <c r="BD107" i="19"/>
  <c r="BE107" i="19"/>
  <c r="BF107" i="19"/>
  <c r="BG107" i="19"/>
  <c r="BH107" i="19"/>
  <c r="BI107" i="19"/>
  <c r="BJ107" i="19"/>
  <c r="BK107" i="19"/>
  <c r="BL107" i="19"/>
  <c r="BM107" i="19"/>
  <c r="BN107" i="19"/>
  <c r="BO107" i="19"/>
  <c r="BP107" i="19"/>
  <c r="BQ107" i="19"/>
  <c r="BR107" i="19"/>
  <c r="BS107" i="19"/>
  <c r="BT107" i="19"/>
  <c r="BU107" i="19"/>
  <c r="C108" i="19"/>
  <c r="D108" i="19"/>
  <c r="E108" i="19"/>
  <c r="F108" i="19"/>
  <c r="G108" i="19"/>
  <c r="H108" i="19"/>
  <c r="I108" i="19"/>
  <c r="J108" i="19"/>
  <c r="K108" i="19"/>
  <c r="L108" i="19"/>
  <c r="M108" i="19"/>
  <c r="N108" i="19"/>
  <c r="O108" i="19"/>
  <c r="P108" i="19"/>
  <c r="Q108" i="19"/>
  <c r="R108" i="19"/>
  <c r="S108" i="19"/>
  <c r="T108" i="19"/>
  <c r="U108" i="19"/>
  <c r="V108" i="19"/>
  <c r="W108" i="19"/>
  <c r="X108" i="19"/>
  <c r="Y108" i="19"/>
  <c r="Z108" i="19"/>
  <c r="AA108" i="19"/>
  <c r="AB108" i="19"/>
  <c r="AC108" i="19"/>
  <c r="AD108" i="19"/>
  <c r="AE108" i="19"/>
  <c r="AF108" i="19"/>
  <c r="AG108" i="19"/>
  <c r="AH108" i="19"/>
  <c r="AI108" i="19"/>
  <c r="AJ108" i="19"/>
  <c r="AK108" i="19"/>
  <c r="AL108" i="19"/>
  <c r="AM108" i="19"/>
  <c r="AN108" i="19"/>
  <c r="AO108" i="19"/>
  <c r="AP108" i="19"/>
  <c r="AQ108" i="19"/>
  <c r="AR108" i="19"/>
  <c r="AS108" i="19"/>
  <c r="AT108" i="19"/>
  <c r="AU108" i="19"/>
  <c r="AV108" i="19"/>
  <c r="AW108" i="19"/>
  <c r="AX108" i="19"/>
  <c r="AY108" i="19"/>
  <c r="AZ108" i="19"/>
  <c r="BA108" i="19"/>
  <c r="BB108" i="19"/>
  <c r="BC108" i="19"/>
  <c r="BD108" i="19"/>
  <c r="BE108" i="19"/>
  <c r="BF108" i="19"/>
  <c r="BG108" i="19"/>
  <c r="BH108" i="19"/>
  <c r="BI108" i="19"/>
  <c r="BJ108" i="19"/>
  <c r="BK108" i="19"/>
  <c r="BL108" i="19"/>
  <c r="BM108" i="19"/>
  <c r="BN108" i="19"/>
  <c r="BO108" i="19"/>
  <c r="BP108" i="19"/>
  <c r="BQ108" i="19"/>
  <c r="BR108" i="19"/>
  <c r="BS108" i="19"/>
  <c r="BT108" i="19"/>
  <c r="BU108" i="19"/>
  <c r="C109" i="19"/>
  <c r="D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T109" i="19"/>
  <c r="U109" i="19"/>
  <c r="V109" i="19"/>
  <c r="W109" i="19"/>
  <c r="X109" i="19"/>
  <c r="Y109" i="19"/>
  <c r="Z109" i="19"/>
  <c r="AA109" i="19"/>
  <c r="AB109" i="19"/>
  <c r="AC109" i="19"/>
  <c r="AD109" i="19"/>
  <c r="AE109" i="19"/>
  <c r="AF109" i="19"/>
  <c r="AG109" i="19"/>
  <c r="AH109" i="19"/>
  <c r="AI109" i="19"/>
  <c r="AJ109" i="19"/>
  <c r="AK109" i="19"/>
  <c r="AL109" i="19"/>
  <c r="AM109" i="19"/>
  <c r="AN109" i="19"/>
  <c r="AO109" i="19"/>
  <c r="AP109" i="19"/>
  <c r="AQ109" i="19"/>
  <c r="AR109" i="19"/>
  <c r="AS109" i="19"/>
  <c r="AT109" i="19"/>
  <c r="AU109" i="19"/>
  <c r="AV109" i="19"/>
  <c r="AW109" i="19"/>
  <c r="AX109" i="19"/>
  <c r="AY109" i="19"/>
  <c r="AZ109" i="19"/>
  <c r="BA109" i="19"/>
  <c r="BB109" i="19"/>
  <c r="BC109" i="19"/>
  <c r="BD109" i="19"/>
  <c r="BE109" i="19"/>
  <c r="BF109" i="19"/>
  <c r="BG109" i="19"/>
  <c r="BH109" i="19"/>
  <c r="BI109" i="19"/>
  <c r="BJ109" i="19"/>
  <c r="BK109" i="19"/>
  <c r="BL109" i="19"/>
  <c r="BM109" i="19"/>
  <c r="BN109" i="19"/>
  <c r="BO109" i="19"/>
  <c r="BP109" i="19"/>
  <c r="BQ109" i="19"/>
  <c r="BR109" i="19"/>
  <c r="BS109" i="19"/>
  <c r="BT109" i="19"/>
  <c r="BU109" i="19"/>
  <c r="C110" i="19"/>
  <c r="D110" i="19"/>
  <c r="E110" i="19"/>
  <c r="F110" i="19"/>
  <c r="G110" i="19"/>
  <c r="H110" i="19"/>
  <c r="I110" i="19"/>
  <c r="J110" i="19"/>
  <c r="K110" i="19"/>
  <c r="L110" i="19"/>
  <c r="M110" i="19"/>
  <c r="N110" i="19"/>
  <c r="O110" i="19"/>
  <c r="P110" i="19"/>
  <c r="Q110" i="19"/>
  <c r="R110" i="19"/>
  <c r="S110" i="19"/>
  <c r="T110" i="19"/>
  <c r="U110" i="19"/>
  <c r="V110" i="19"/>
  <c r="W110" i="19"/>
  <c r="X110" i="19"/>
  <c r="Y110" i="19"/>
  <c r="Z110" i="19"/>
  <c r="AA110" i="19"/>
  <c r="AB110" i="19"/>
  <c r="AC110" i="19"/>
  <c r="AD110" i="19"/>
  <c r="AE110" i="19"/>
  <c r="AF110" i="19"/>
  <c r="AG110" i="19"/>
  <c r="AH110" i="19"/>
  <c r="AI110" i="19"/>
  <c r="AJ110" i="19"/>
  <c r="AK110" i="19"/>
  <c r="AL110" i="19"/>
  <c r="AM110" i="19"/>
  <c r="AN110" i="19"/>
  <c r="AO110" i="19"/>
  <c r="AP110" i="19"/>
  <c r="AQ110" i="19"/>
  <c r="AR110" i="19"/>
  <c r="AS110" i="19"/>
  <c r="AT110" i="19"/>
  <c r="AU110" i="19"/>
  <c r="AV110" i="19"/>
  <c r="AW110" i="19"/>
  <c r="AX110" i="19"/>
  <c r="AY110" i="19"/>
  <c r="AZ110" i="19"/>
  <c r="BA110" i="19"/>
  <c r="BB110" i="19"/>
  <c r="BC110" i="19"/>
  <c r="BD110" i="19"/>
  <c r="BE110" i="19"/>
  <c r="BF110" i="19"/>
  <c r="BG110" i="19"/>
  <c r="BH110" i="19"/>
  <c r="BI110" i="19"/>
  <c r="BJ110" i="19"/>
  <c r="BK110" i="19"/>
  <c r="BL110" i="19"/>
  <c r="BM110" i="19"/>
  <c r="BN110" i="19"/>
  <c r="BO110" i="19"/>
  <c r="BP110" i="19"/>
  <c r="BQ110" i="19"/>
  <c r="BR110" i="19"/>
  <c r="BS110" i="19"/>
  <c r="BT110" i="19"/>
  <c r="BU110" i="19"/>
  <c r="C111" i="19"/>
  <c r="D111" i="19"/>
  <c r="E111" i="19"/>
  <c r="F111" i="19"/>
  <c r="G111" i="19"/>
  <c r="H111" i="19"/>
  <c r="I111" i="19"/>
  <c r="J111" i="19"/>
  <c r="K111" i="19"/>
  <c r="L111" i="19"/>
  <c r="M111" i="19"/>
  <c r="N111" i="19"/>
  <c r="O111" i="19"/>
  <c r="P111" i="19"/>
  <c r="Q111" i="19"/>
  <c r="R111" i="19"/>
  <c r="S111" i="19"/>
  <c r="T111" i="19"/>
  <c r="U111" i="19"/>
  <c r="V111" i="19"/>
  <c r="W111" i="19"/>
  <c r="X111" i="19"/>
  <c r="Y111" i="19"/>
  <c r="Z111" i="19"/>
  <c r="AA111" i="19"/>
  <c r="AB111" i="19"/>
  <c r="AC111" i="19"/>
  <c r="AD111" i="19"/>
  <c r="AE111" i="19"/>
  <c r="AF111" i="19"/>
  <c r="AG111" i="19"/>
  <c r="AH111" i="19"/>
  <c r="AI111" i="19"/>
  <c r="AJ111" i="19"/>
  <c r="AK111" i="19"/>
  <c r="AL111" i="19"/>
  <c r="AM111" i="19"/>
  <c r="AN111" i="19"/>
  <c r="AO111" i="19"/>
  <c r="AP111" i="19"/>
  <c r="AQ111" i="19"/>
  <c r="AR111" i="19"/>
  <c r="AS111" i="19"/>
  <c r="AT111" i="19"/>
  <c r="AU111" i="19"/>
  <c r="AV111" i="19"/>
  <c r="AW111" i="19"/>
  <c r="AX111" i="19"/>
  <c r="AY111" i="19"/>
  <c r="AZ111" i="19"/>
  <c r="BA111" i="19"/>
  <c r="BB111" i="19"/>
  <c r="BC111" i="19"/>
  <c r="BD111" i="19"/>
  <c r="BE111" i="19"/>
  <c r="BF111" i="19"/>
  <c r="BG111" i="19"/>
  <c r="BH111" i="19"/>
  <c r="BI111" i="19"/>
  <c r="BJ111" i="19"/>
  <c r="BK111" i="19"/>
  <c r="BL111" i="19"/>
  <c r="BM111" i="19"/>
  <c r="BN111" i="19"/>
  <c r="BO111" i="19"/>
  <c r="BP111" i="19"/>
  <c r="BQ111" i="19"/>
  <c r="BR111" i="19"/>
  <c r="BS111" i="19"/>
  <c r="BT111" i="19"/>
  <c r="BU111" i="19"/>
  <c r="C112" i="19"/>
  <c r="D112" i="19"/>
  <c r="E112" i="19"/>
  <c r="F112" i="19"/>
  <c r="G112" i="19"/>
  <c r="H112" i="19"/>
  <c r="I112" i="19"/>
  <c r="J112" i="19"/>
  <c r="K112" i="19"/>
  <c r="L112" i="19"/>
  <c r="M112" i="19"/>
  <c r="N112" i="19"/>
  <c r="O112" i="19"/>
  <c r="P112" i="19"/>
  <c r="Q112" i="19"/>
  <c r="R112" i="19"/>
  <c r="S112" i="19"/>
  <c r="T112" i="19"/>
  <c r="U112" i="19"/>
  <c r="V112" i="19"/>
  <c r="W112" i="19"/>
  <c r="X112" i="19"/>
  <c r="Y112" i="19"/>
  <c r="Z112" i="19"/>
  <c r="AA112" i="19"/>
  <c r="AB112" i="19"/>
  <c r="AC112" i="19"/>
  <c r="AD112" i="19"/>
  <c r="AE112" i="19"/>
  <c r="AF112" i="19"/>
  <c r="AG112" i="19"/>
  <c r="AH112" i="19"/>
  <c r="AI112" i="19"/>
  <c r="AJ112" i="19"/>
  <c r="AK112" i="19"/>
  <c r="AL112" i="19"/>
  <c r="AM112" i="19"/>
  <c r="AN112" i="19"/>
  <c r="AO112" i="19"/>
  <c r="AP112" i="19"/>
  <c r="AQ112" i="19"/>
  <c r="AR112" i="19"/>
  <c r="AS112" i="19"/>
  <c r="AT112" i="19"/>
  <c r="AU112" i="19"/>
  <c r="AV112" i="19"/>
  <c r="AW112" i="19"/>
  <c r="AX112" i="19"/>
  <c r="AY112" i="19"/>
  <c r="AZ112" i="19"/>
  <c r="BA112" i="19"/>
  <c r="BB112" i="19"/>
  <c r="BC112" i="19"/>
  <c r="BD112" i="19"/>
  <c r="BE112" i="19"/>
  <c r="BF112" i="19"/>
  <c r="BG112" i="19"/>
  <c r="BH112" i="19"/>
  <c r="BI112" i="19"/>
  <c r="BJ112" i="19"/>
  <c r="BK112" i="19"/>
  <c r="BL112" i="19"/>
  <c r="BM112" i="19"/>
  <c r="BN112" i="19"/>
  <c r="BO112" i="19"/>
  <c r="BP112" i="19"/>
  <c r="BQ112" i="19"/>
  <c r="BR112" i="19"/>
  <c r="BS112" i="19"/>
  <c r="BT112" i="19"/>
  <c r="BU112" i="19"/>
  <c r="C113" i="19"/>
  <c r="D113" i="19"/>
  <c r="E113" i="19"/>
  <c r="F113" i="19"/>
  <c r="G113" i="19"/>
  <c r="H113" i="19"/>
  <c r="I113" i="19"/>
  <c r="J113" i="19"/>
  <c r="K113" i="19"/>
  <c r="L113" i="19"/>
  <c r="M113" i="19"/>
  <c r="N113" i="19"/>
  <c r="O113" i="19"/>
  <c r="P113" i="19"/>
  <c r="Q113" i="19"/>
  <c r="R113" i="19"/>
  <c r="S113" i="19"/>
  <c r="T113" i="19"/>
  <c r="U113" i="19"/>
  <c r="V113" i="19"/>
  <c r="W113" i="19"/>
  <c r="X113" i="19"/>
  <c r="Y113" i="19"/>
  <c r="Z113" i="19"/>
  <c r="AA113" i="19"/>
  <c r="AB113" i="19"/>
  <c r="AC113" i="19"/>
  <c r="AD113" i="19"/>
  <c r="AE113" i="19"/>
  <c r="AF113" i="19"/>
  <c r="AG113" i="19"/>
  <c r="AH113" i="19"/>
  <c r="AI113" i="19"/>
  <c r="AJ113" i="19"/>
  <c r="AK113" i="19"/>
  <c r="AL113" i="19"/>
  <c r="AM113" i="19"/>
  <c r="AN113" i="19"/>
  <c r="AO113" i="19"/>
  <c r="AP113" i="19"/>
  <c r="AQ113" i="19"/>
  <c r="AR113" i="19"/>
  <c r="AS113" i="19"/>
  <c r="AT113" i="19"/>
  <c r="AU113" i="19"/>
  <c r="AV113" i="19"/>
  <c r="AW113" i="19"/>
  <c r="AX113" i="19"/>
  <c r="AY113" i="19"/>
  <c r="AZ113" i="19"/>
  <c r="BA113" i="19"/>
  <c r="BB113" i="19"/>
  <c r="BC113" i="19"/>
  <c r="BD113" i="19"/>
  <c r="BE113" i="19"/>
  <c r="BF113" i="19"/>
  <c r="BG113" i="19"/>
  <c r="BH113" i="19"/>
  <c r="BI113" i="19"/>
  <c r="BJ113" i="19"/>
  <c r="BK113" i="19"/>
  <c r="BL113" i="19"/>
  <c r="BM113" i="19"/>
  <c r="BN113" i="19"/>
  <c r="BO113" i="19"/>
  <c r="BP113" i="19"/>
  <c r="BQ113" i="19"/>
  <c r="BR113" i="19"/>
  <c r="BS113" i="19"/>
  <c r="BT113" i="19"/>
  <c r="BU113" i="19"/>
  <c r="C114" i="19"/>
  <c r="D114" i="19"/>
  <c r="E114" i="19"/>
  <c r="F114" i="19"/>
  <c r="G114" i="19"/>
  <c r="H114" i="19"/>
  <c r="I114" i="19"/>
  <c r="J114" i="19"/>
  <c r="K114" i="19"/>
  <c r="L114" i="19"/>
  <c r="M114" i="19"/>
  <c r="N114" i="19"/>
  <c r="O114" i="19"/>
  <c r="P114" i="19"/>
  <c r="Q114" i="19"/>
  <c r="R114" i="19"/>
  <c r="S114" i="19"/>
  <c r="T114" i="19"/>
  <c r="U114" i="19"/>
  <c r="V114" i="19"/>
  <c r="W114" i="19"/>
  <c r="X114" i="19"/>
  <c r="Y114" i="19"/>
  <c r="Z114" i="19"/>
  <c r="AA114" i="19"/>
  <c r="AB114" i="19"/>
  <c r="AC114" i="19"/>
  <c r="AD114" i="19"/>
  <c r="AE114" i="19"/>
  <c r="AF114" i="19"/>
  <c r="AG114" i="19"/>
  <c r="AH114" i="19"/>
  <c r="AI114" i="19"/>
  <c r="AJ114" i="19"/>
  <c r="AK114" i="19"/>
  <c r="AL114" i="19"/>
  <c r="AM114" i="19"/>
  <c r="AN114" i="19"/>
  <c r="AO114" i="19"/>
  <c r="AP114" i="19"/>
  <c r="AQ114" i="19"/>
  <c r="AR114" i="19"/>
  <c r="AS114" i="19"/>
  <c r="AT114" i="19"/>
  <c r="AU114" i="19"/>
  <c r="AV114" i="19"/>
  <c r="AW114" i="19"/>
  <c r="AX114" i="19"/>
  <c r="AY114" i="19"/>
  <c r="AZ114" i="19"/>
  <c r="BA114" i="19"/>
  <c r="BB114" i="19"/>
  <c r="BC114" i="19"/>
  <c r="BD114" i="19"/>
  <c r="BE114" i="19"/>
  <c r="BF114" i="19"/>
  <c r="BG114" i="19"/>
  <c r="BH114" i="19"/>
  <c r="BI114" i="19"/>
  <c r="BJ114" i="19"/>
  <c r="BK114" i="19"/>
  <c r="BL114" i="19"/>
  <c r="BM114" i="19"/>
  <c r="BN114" i="19"/>
  <c r="BO114" i="19"/>
  <c r="BP114" i="19"/>
  <c r="BQ114" i="19"/>
  <c r="BR114" i="19"/>
  <c r="BS114" i="19"/>
  <c r="BT114" i="19"/>
  <c r="BU114" i="19"/>
  <c r="C115" i="19"/>
  <c r="D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T115" i="19"/>
  <c r="U115" i="19"/>
  <c r="V115" i="19"/>
  <c r="W115" i="19"/>
  <c r="X115" i="19"/>
  <c r="Y115" i="19"/>
  <c r="Z115" i="19"/>
  <c r="AA115" i="19"/>
  <c r="AB115" i="19"/>
  <c r="AC115" i="19"/>
  <c r="AD115" i="19"/>
  <c r="AE115" i="19"/>
  <c r="AF115" i="19"/>
  <c r="AG115" i="19"/>
  <c r="AH115" i="19"/>
  <c r="AI115" i="19"/>
  <c r="AJ115" i="19"/>
  <c r="AK115" i="19"/>
  <c r="AL115" i="19"/>
  <c r="AM115" i="19"/>
  <c r="AN115" i="19"/>
  <c r="AO115" i="19"/>
  <c r="AP115" i="19"/>
  <c r="AQ115" i="19"/>
  <c r="AR115" i="19"/>
  <c r="AS115" i="19"/>
  <c r="AT115" i="19"/>
  <c r="AU115" i="19"/>
  <c r="AV115" i="19"/>
  <c r="AW115" i="19"/>
  <c r="AX115" i="19"/>
  <c r="AY115" i="19"/>
  <c r="AZ115" i="19"/>
  <c r="BA115" i="19"/>
  <c r="BB115" i="19"/>
  <c r="BC115" i="19"/>
  <c r="BD115" i="19"/>
  <c r="BE115" i="19"/>
  <c r="BF115" i="19"/>
  <c r="BG115" i="19"/>
  <c r="BH115" i="19"/>
  <c r="BI115" i="19"/>
  <c r="BJ115" i="19"/>
  <c r="BK115" i="19"/>
  <c r="BL115" i="19"/>
  <c r="BM115" i="19"/>
  <c r="BN115" i="19"/>
  <c r="BO115" i="19"/>
  <c r="BP115" i="19"/>
  <c r="BQ115" i="19"/>
  <c r="BR115" i="19"/>
  <c r="BS115" i="19"/>
  <c r="BT115" i="19"/>
  <c r="BU115" i="19"/>
  <c r="C116" i="19"/>
  <c r="D116" i="19"/>
  <c r="E116" i="19"/>
  <c r="F116" i="19"/>
  <c r="G116" i="19"/>
  <c r="H116" i="19"/>
  <c r="I116" i="19"/>
  <c r="J116" i="19"/>
  <c r="K116" i="19"/>
  <c r="L116" i="19"/>
  <c r="M116" i="19"/>
  <c r="N116" i="19"/>
  <c r="O116" i="19"/>
  <c r="P116" i="19"/>
  <c r="Q116" i="19"/>
  <c r="R116" i="19"/>
  <c r="S116" i="19"/>
  <c r="T116" i="19"/>
  <c r="U116" i="19"/>
  <c r="V116" i="19"/>
  <c r="W116" i="19"/>
  <c r="X116" i="19"/>
  <c r="Y116" i="19"/>
  <c r="Z116" i="19"/>
  <c r="AA116" i="19"/>
  <c r="AB116" i="19"/>
  <c r="AC116" i="19"/>
  <c r="AD116" i="19"/>
  <c r="AE116" i="19"/>
  <c r="AF116" i="19"/>
  <c r="AG116" i="19"/>
  <c r="AH116" i="19"/>
  <c r="AI116" i="19"/>
  <c r="AJ116" i="19"/>
  <c r="AK116" i="19"/>
  <c r="AL116" i="19"/>
  <c r="AM116" i="19"/>
  <c r="AN116" i="19"/>
  <c r="AO116" i="19"/>
  <c r="AP116" i="19"/>
  <c r="AQ116" i="19"/>
  <c r="AR116" i="19"/>
  <c r="AS116" i="19"/>
  <c r="AT116" i="19"/>
  <c r="AU116" i="19"/>
  <c r="AV116" i="19"/>
  <c r="AW116" i="19"/>
  <c r="AX116" i="19"/>
  <c r="AY116" i="19"/>
  <c r="AZ116" i="19"/>
  <c r="BA116" i="19"/>
  <c r="BB116" i="19"/>
  <c r="BC116" i="19"/>
  <c r="BD116" i="19"/>
  <c r="BE116" i="19"/>
  <c r="BF116" i="19"/>
  <c r="BG116" i="19"/>
  <c r="BH116" i="19"/>
  <c r="BI116" i="19"/>
  <c r="BJ116" i="19"/>
  <c r="BK116" i="19"/>
  <c r="BL116" i="19"/>
  <c r="BM116" i="19"/>
  <c r="BN116" i="19"/>
  <c r="BO116" i="19"/>
  <c r="BP116" i="19"/>
  <c r="BQ116" i="19"/>
  <c r="BR116" i="19"/>
  <c r="BS116" i="19"/>
  <c r="BT116" i="19"/>
  <c r="BU116" i="19"/>
  <c r="C117" i="19"/>
  <c r="D117" i="19"/>
  <c r="E117" i="19"/>
  <c r="F117" i="19"/>
  <c r="G117" i="19"/>
  <c r="H117" i="19"/>
  <c r="I117" i="19"/>
  <c r="J117" i="19"/>
  <c r="K117" i="19"/>
  <c r="L117" i="19"/>
  <c r="M117" i="19"/>
  <c r="N117" i="19"/>
  <c r="O117" i="19"/>
  <c r="P117" i="19"/>
  <c r="Q117" i="19"/>
  <c r="R117" i="19"/>
  <c r="S117" i="19"/>
  <c r="T117" i="19"/>
  <c r="U117" i="19"/>
  <c r="V117" i="19"/>
  <c r="W117" i="19"/>
  <c r="X117" i="19"/>
  <c r="Y117" i="19"/>
  <c r="Z117" i="19"/>
  <c r="AA117" i="19"/>
  <c r="AB117" i="19"/>
  <c r="AC117" i="19"/>
  <c r="AD117" i="19"/>
  <c r="AE117" i="19"/>
  <c r="AF117" i="19"/>
  <c r="AG117" i="19"/>
  <c r="AH117" i="19"/>
  <c r="AI117" i="19"/>
  <c r="AJ117" i="19"/>
  <c r="AK117" i="19"/>
  <c r="AL117" i="19"/>
  <c r="AM117" i="19"/>
  <c r="AN117" i="19"/>
  <c r="AO117" i="19"/>
  <c r="AP117" i="19"/>
  <c r="AQ117" i="19"/>
  <c r="AR117" i="19"/>
  <c r="AS117" i="19"/>
  <c r="AT117" i="19"/>
  <c r="AU117" i="19"/>
  <c r="AV117" i="19"/>
  <c r="AW117" i="19"/>
  <c r="AX117" i="19"/>
  <c r="AY117" i="19"/>
  <c r="AZ117" i="19"/>
  <c r="BA117" i="19"/>
  <c r="BB117" i="19"/>
  <c r="BC117" i="19"/>
  <c r="BD117" i="19"/>
  <c r="BE117" i="19"/>
  <c r="BF117" i="19"/>
  <c r="BG117" i="19"/>
  <c r="BH117" i="19"/>
  <c r="BI117" i="19"/>
  <c r="BJ117" i="19"/>
  <c r="BK117" i="19"/>
  <c r="BL117" i="19"/>
  <c r="BM117" i="19"/>
  <c r="BN117" i="19"/>
  <c r="BO117" i="19"/>
  <c r="BP117" i="19"/>
  <c r="BQ117" i="19"/>
  <c r="BR117" i="19"/>
  <c r="BS117" i="19"/>
  <c r="BT117" i="19"/>
  <c r="BU117" i="19"/>
  <c r="C118" i="19"/>
  <c r="D118" i="19"/>
  <c r="E118" i="19"/>
  <c r="F118" i="19"/>
  <c r="G118" i="19"/>
  <c r="H118" i="19"/>
  <c r="I118" i="19"/>
  <c r="J118" i="19"/>
  <c r="K118" i="19"/>
  <c r="L118" i="19"/>
  <c r="M118" i="19"/>
  <c r="N118" i="19"/>
  <c r="O118" i="19"/>
  <c r="P118" i="19"/>
  <c r="Q118" i="19"/>
  <c r="R118" i="19"/>
  <c r="S118" i="19"/>
  <c r="T118" i="19"/>
  <c r="U118" i="19"/>
  <c r="V118" i="19"/>
  <c r="W118" i="19"/>
  <c r="X118" i="19"/>
  <c r="Y118" i="19"/>
  <c r="Z118" i="19"/>
  <c r="AA118" i="19"/>
  <c r="AB118" i="19"/>
  <c r="AC118" i="19"/>
  <c r="AD118" i="19"/>
  <c r="AE118" i="19"/>
  <c r="AF118" i="19"/>
  <c r="AG118" i="19"/>
  <c r="AH118" i="19"/>
  <c r="AI118" i="19"/>
  <c r="AJ118" i="19"/>
  <c r="AK118" i="19"/>
  <c r="AL118" i="19"/>
  <c r="AM118" i="19"/>
  <c r="AN118" i="19"/>
  <c r="AO118" i="19"/>
  <c r="AP118" i="19"/>
  <c r="AQ118" i="19"/>
  <c r="AR118" i="19"/>
  <c r="AS118" i="19"/>
  <c r="AT118" i="19"/>
  <c r="AU118" i="19"/>
  <c r="AV118" i="19"/>
  <c r="AW118" i="19"/>
  <c r="AX118" i="19"/>
  <c r="AY118" i="19"/>
  <c r="AZ118" i="19"/>
  <c r="BA118" i="19"/>
  <c r="BB118" i="19"/>
  <c r="BC118" i="19"/>
  <c r="BD118" i="19"/>
  <c r="BE118" i="19"/>
  <c r="BF118" i="19"/>
  <c r="BG118" i="19"/>
  <c r="BH118" i="19"/>
  <c r="BI118" i="19"/>
  <c r="BJ118" i="19"/>
  <c r="BK118" i="19"/>
  <c r="BL118" i="19"/>
  <c r="BM118" i="19"/>
  <c r="BN118" i="19"/>
  <c r="BO118" i="19"/>
  <c r="BP118" i="19"/>
  <c r="BQ118" i="19"/>
  <c r="BR118" i="19"/>
  <c r="BS118" i="19"/>
  <c r="BT118" i="19"/>
  <c r="BU118" i="19"/>
  <c r="C119" i="19"/>
  <c r="D119" i="19"/>
  <c r="E119" i="19"/>
  <c r="F119" i="19"/>
  <c r="G119" i="19"/>
  <c r="H119" i="19"/>
  <c r="I119" i="19"/>
  <c r="J119" i="19"/>
  <c r="K119" i="19"/>
  <c r="L119" i="19"/>
  <c r="M119" i="19"/>
  <c r="N119" i="19"/>
  <c r="O119" i="19"/>
  <c r="P119" i="19"/>
  <c r="Q119" i="19"/>
  <c r="R119" i="19"/>
  <c r="S119" i="19"/>
  <c r="T119" i="19"/>
  <c r="U119" i="19"/>
  <c r="V119" i="19"/>
  <c r="W119" i="19"/>
  <c r="X119" i="19"/>
  <c r="Y119" i="19"/>
  <c r="Z119" i="19"/>
  <c r="AA119" i="19"/>
  <c r="AB119" i="19"/>
  <c r="AC119" i="19"/>
  <c r="AD119" i="19"/>
  <c r="AE119" i="19"/>
  <c r="AF119" i="19"/>
  <c r="AG119" i="19"/>
  <c r="AH119" i="19"/>
  <c r="AI119" i="19"/>
  <c r="AJ119" i="19"/>
  <c r="AK119" i="19"/>
  <c r="AL119" i="19"/>
  <c r="AM119" i="19"/>
  <c r="AN119" i="19"/>
  <c r="AO119" i="19"/>
  <c r="AP119" i="19"/>
  <c r="AQ119" i="19"/>
  <c r="AR119" i="19"/>
  <c r="AS119" i="19"/>
  <c r="AT119" i="19"/>
  <c r="AU119" i="19"/>
  <c r="AV119" i="19"/>
  <c r="AW119" i="19"/>
  <c r="AX119" i="19"/>
  <c r="AY119" i="19"/>
  <c r="AZ119" i="19"/>
  <c r="BA119" i="19"/>
  <c r="BB119" i="19"/>
  <c r="BC119" i="19"/>
  <c r="BD119" i="19"/>
  <c r="BE119" i="19"/>
  <c r="BF119" i="19"/>
  <c r="BG119" i="19"/>
  <c r="BH119" i="19"/>
  <c r="BI119" i="19"/>
  <c r="BJ119" i="19"/>
  <c r="BK119" i="19"/>
  <c r="BL119" i="19"/>
  <c r="BM119" i="19"/>
  <c r="BN119" i="19"/>
  <c r="BO119" i="19"/>
  <c r="BP119" i="19"/>
  <c r="BQ119" i="19"/>
  <c r="BR119" i="19"/>
  <c r="BS119" i="19"/>
  <c r="BT119" i="19"/>
  <c r="BU119" i="19"/>
  <c r="C120" i="19"/>
  <c r="D120" i="19"/>
  <c r="E120" i="19"/>
  <c r="F120" i="19"/>
  <c r="G120" i="19"/>
  <c r="H120" i="19"/>
  <c r="I120" i="19"/>
  <c r="J120" i="19"/>
  <c r="K120" i="19"/>
  <c r="L120" i="19"/>
  <c r="M120" i="19"/>
  <c r="N120" i="19"/>
  <c r="O120" i="19"/>
  <c r="P120" i="19"/>
  <c r="Q120" i="19"/>
  <c r="R120" i="19"/>
  <c r="S120" i="19"/>
  <c r="T120" i="19"/>
  <c r="U120" i="19"/>
  <c r="V120" i="19"/>
  <c r="W120" i="19"/>
  <c r="X120" i="19"/>
  <c r="Y120" i="19"/>
  <c r="Z120" i="19"/>
  <c r="AA120" i="19"/>
  <c r="AB120" i="19"/>
  <c r="AC120" i="19"/>
  <c r="AD120" i="19"/>
  <c r="AE120" i="19"/>
  <c r="AF120" i="19"/>
  <c r="AG120" i="19"/>
  <c r="AH120" i="19"/>
  <c r="AI120" i="19"/>
  <c r="AJ120" i="19"/>
  <c r="AK120" i="19"/>
  <c r="AL120" i="19"/>
  <c r="AM120" i="19"/>
  <c r="AN120" i="19"/>
  <c r="AO120" i="19"/>
  <c r="AP120" i="19"/>
  <c r="AQ120" i="19"/>
  <c r="AR120" i="19"/>
  <c r="AS120" i="19"/>
  <c r="AT120" i="19"/>
  <c r="AU120" i="19"/>
  <c r="AV120" i="19"/>
  <c r="AW120" i="19"/>
  <c r="AX120" i="19"/>
  <c r="AY120" i="19"/>
  <c r="AZ120" i="19"/>
  <c r="BA120" i="19"/>
  <c r="BB120" i="19"/>
  <c r="BC120" i="19"/>
  <c r="BD120" i="19"/>
  <c r="BE120" i="19"/>
  <c r="BF120" i="19"/>
  <c r="BG120" i="19"/>
  <c r="BH120" i="19"/>
  <c r="BI120" i="19"/>
  <c r="BJ120" i="19"/>
  <c r="BK120" i="19"/>
  <c r="BL120" i="19"/>
  <c r="BM120" i="19"/>
  <c r="BN120" i="19"/>
  <c r="BO120" i="19"/>
  <c r="BP120" i="19"/>
  <c r="BQ120" i="19"/>
  <c r="BR120" i="19"/>
  <c r="BS120" i="19"/>
  <c r="BT120" i="19"/>
  <c r="BU120" i="19"/>
  <c r="C121" i="19"/>
  <c r="D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T121" i="19"/>
  <c r="U121" i="19"/>
  <c r="V121" i="19"/>
  <c r="W121" i="19"/>
  <c r="X121" i="19"/>
  <c r="Y121" i="19"/>
  <c r="Z121" i="19"/>
  <c r="AA121" i="19"/>
  <c r="AB121" i="19"/>
  <c r="AC121" i="19"/>
  <c r="AD121" i="19"/>
  <c r="AE121" i="19"/>
  <c r="AF121" i="19"/>
  <c r="AG121" i="19"/>
  <c r="AH121" i="19"/>
  <c r="AI121" i="19"/>
  <c r="AJ121" i="19"/>
  <c r="AK121" i="19"/>
  <c r="AL121" i="19"/>
  <c r="AM121" i="19"/>
  <c r="AN121" i="19"/>
  <c r="AO121" i="19"/>
  <c r="AP121" i="19"/>
  <c r="AQ121" i="19"/>
  <c r="AR121" i="19"/>
  <c r="AS121" i="19"/>
  <c r="AT121" i="19"/>
  <c r="AU121" i="19"/>
  <c r="AV121" i="19"/>
  <c r="AW121" i="19"/>
  <c r="AX121" i="19"/>
  <c r="AY121" i="19"/>
  <c r="AZ121" i="19"/>
  <c r="BA121" i="19"/>
  <c r="BB121" i="19"/>
  <c r="BC121" i="19"/>
  <c r="BD121" i="19"/>
  <c r="BE121" i="19"/>
  <c r="BF121" i="19"/>
  <c r="BG121" i="19"/>
  <c r="BH121" i="19"/>
  <c r="BI121" i="19"/>
  <c r="BJ121" i="19"/>
  <c r="BK121" i="19"/>
  <c r="BL121" i="19"/>
  <c r="BM121" i="19"/>
  <c r="BN121" i="19"/>
  <c r="BO121" i="19"/>
  <c r="BP121" i="19"/>
  <c r="BQ121" i="19"/>
  <c r="BR121" i="19"/>
  <c r="BS121" i="19"/>
  <c r="BT121" i="19"/>
  <c r="BU121" i="19"/>
  <c r="C122" i="19"/>
  <c r="D122" i="19"/>
  <c r="E122" i="19"/>
  <c r="F122" i="19"/>
  <c r="G122" i="19"/>
  <c r="H122" i="19"/>
  <c r="I122" i="19"/>
  <c r="J122" i="19"/>
  <c r="K122" i="19"/>
  <c r="L122" i="19"/>
  <c r="M122" i="19"/>
  <c r="N122" i="19"/>
  <c r="O122" i="19"/>
  <c r="P122" i="19"/>
  <c r="Q122" i="19"/>
  <c r="R122" i="19"/>
  <c r="S122" i="19"/>
  <c r="T122" i="19"/>
  <c r="U122" i="19"/>
  <c r="V122" i="19"/>
  <c r="W122" i="19"/>
  <c r="X122" i="19"/>
  <c r="Y122" i="19"/>
  <c r="Z122" i="19"/>
  <c r="AA122" i="19"/>
  <c r="AB122" i="19"/>
  <c r="AC122" i="19"/>
  <c r="AD122" i="19"/>
  <c r="AE122" i="19"/>
  <c r="AF122" i="19"/>
  <c r="AG122" i="19"/>
  <c r="AH122" i="19"/>
  <c r="AI122" i="19"/>
  <c r="AJ122" i="19"/>
  <c r="AK122" i="19"/>
  <c r="AL122" i="19"/>
  <c r="AM122" i="19"/>
  <c r="AN122" i="19"/>
  <c r="AO122" i="19"/>
  <c r="AP122" i="19"/>
  <c r="AQ122" i="19"/>
  <c r="AR122" i="19"/>
  <c r="AS122" i="19"/>
  <c r="AT122" i="19"/>
  <c r="AU122" i="19"/>
  <c r="AV122" i="19"/>
  <c r="AW122" i="19"/>
  <c r="AX122" i="19"/>
  <c r="AY122" i="19"/>
  <c r="AZ122" i="19"/>
  <c r="BA122" i="19"/>
  <c r="BB122" i="19"/>
  <c r="BC122" i="19"/>
  <c r="BD122" i="19"/>
  <c r="BE122" i="19"/>
  <c r="BF122" i="19"/>
  <c r="BG122" i="19"/>
  <c r="BH122" i="19"/>
  <c r="BI122" i="19"/>
  <c r="BJ122" i="19"/>
  <c r="BK122" i="19"/>
  <c r="BL122" i="19"/>
  <c r="BM122" i="19"/>
  <c r="BN122" i="19"/>
  <c r="BO122" i="19"/>
  <c r="BP122" i="19"/>
  <c r="BQ122" i="19"/>
  <c r="BR122" i="19"/>
  <c r="BS122" i="19"/>
  <c r="BT122" i="19"/>
  <c r="BU122" i="19"/>
  <c r="C123" i="19"/>
  <c r="D123" i="19"/>
  <c r="E123" i="19"/>
  <c r="F123" i="19"/>
  <c r="G123" i="19"/>
  <c r="H123" i="19"/>
  <c r="I123" i="19"/>
  <c r="J123" i="19"/>
  <c r="K123" i="19"/>
  <c r="L123" i="19"/>
  <c r="M123" i="19"/>
  <c r="N123" i="19"/>
  <c r="O123" i="19"/>
  <c r="P123" i="19"/>
  <c r="Q123" i="19"/>
  <c r="R123" i="19"/>
  <c r="S123" i="19"/>
  <c r="T123" i="19"/>
  <c r="U123" i="19"/>
  <c r="V123" i="19"/>
  <c r="W123" i="19"/>
  <c r="X123" i="19"/>
  <c r="Y123" i="19"/>
  <c r="Z123" i="19"/>
  <c r="AA123" i="19"/>
  <c r="AB123" i="19"/>
  <c r="AC123" i="19"/>
  <c r="AD123" i="19"/>
  <c r="AE123" i="19"/>
  <c r="AF123" i="19"/>
  <c r="AG123" i="19"/>
  <c r="AH123" i="19"/>
  <c r="AI123" i="19"/>
  <c r="AJ123" i="19"/>
  <c r="AK123" i="19"/>
  <c r="AL123" i="19"/>
  <c r="AM123" i="19"/>
  <c r="AN123" i="19"/>
  <c r="AO123" i="19"/>
  <c r="AP123" i="19"/>
  <c r="AQ123" i="19"/>
  <c r="AR123" i="19"/>
  <c r="AS123" i="19"/>
  <c r="AT123" i="19"/>
  <c r="AU123" i="19"/>
  <c r="AV123" i="19"/>
  <c r="AW123" i="19"/>
  <c r="AX123" i="19"/>
  <c r="AY123" i="19"/>
  <c r="AZ123" i="19"/>
  <c r="BA123" i="19"/>
  <c r="BB123" i="19"/>
  <c r="BC123" i="19"/>
  <c r="BD123" i="19"/>
  <c r="BE123" i="19"/>
  <c r="BF123" i="19"/>
  <c r="BG123" i="19"/>
  <c r="BH123" i="19"/>
  <c r="BI123" i="19"/>
  <c r="BJ123" i="19"/>
  <c r="BK123" i="19"/>
  <c r="BL123" i="19"/>
  <c r="BM123" i="19"/>
  <c r="BN123" i="19"/>
  <c r="BO123" i="19"/>
  <c r="BP123" i="19"/>
  <c r="BQ123" i="19"/>
  <c r="BR123" i="19"/>
  <c r="BS123" i="19"/>
  <c r="BT123" i="19"/>
  <c r="BU123" i="19"/>
  <c r="C124" i="19"/>
  <c r="D124" i="19"/>
  <c r="E124" i="19"/>
  <c r="F124" i="19"/>
  <c r="G124" i="19"/>
  <c r="H124" i="19"/>
  <c r="I124" i="19"/>
  <c r="J124" i="19"/>
  <c r="K124" i="19"/>
  <c r="L124" i="19"/>
  <c r="M124" i="19"/>
  <c r="N124" i="19"/>
  <c r="O124" i="19"/>
  <c r="P124" i="19"/>
  <c r="Q124" i="19"/>
  <c r="R124" i="19"/>
  <c r="S124" i="19"/>
  <c r="T124" i="19"/>
  <c r="U124" i="19"/>
  <c r="V124" i="19"/>
  <c r="W124" i="19"/>
  <c r="X124" i="19"/>
  <c r="Y124" i="19"/>
  <c r="Z124" i="19"/>
  <c r="AA124" i="19"/>
  <c r="AB124" i="19"/>
  <c r="AC124" i="19"/>
  <c r="AD124" i="19"/>
  <c r="AE124" i="19"/>
  <c r="AF124" i="19"/>
  <c r="AG124" i="19"/>
  <c r="AH124" i="19"/>
  <c r="AI124" i="19"/>
  <c r="AJ124" i="19"/>
  <c r="AK124" i="19"/>
  <c r="AL124" i="19"/>
  <c r="AM124" i="19"/>
  <c r="AN124" i="19"/>
  <c r="AO124" i="19"/>
  <c r="AP124" i="19"/>
  <c r="AQ124" i="19"/>
  <c r="AR124" i="19"/>
  <c r="AS124" i="19"/>
  <c r="AT124" i="19"/>
  <c r="AU124" i="19"/>
  <c r="AV124" i="19"/>
  <c r="AW124" i="19"/>
  <c r="AX124" i="19"/>
  <c r="AY124" i="19"/>
  <c r="AZ124" i="19"/>
  <c r="BA124" i="19"/>
  <c r="BB124" i="19"/>
  <c r="BC124" i="19"/>
  <c r="BD124" i="19"/>
  <c r="BE124" i="19"/>
  <c r="BF124" i="19"/>
  <c r="BG124" i="19"/>
  <c r="BH124" i="19"/>
  <c r="BI124" i="19"/>
  <c r="BJ124" i="19"/>
  <c r="BK124" i="19"/>
  <c r="BL124" i="19"/>
  <c r="BM124" i="19"/>
  <c r="BN124" i="19"/>
  <c r="BO124" i="19"/>
  <c r="BP124" i="19"/>
  <c r="BQ124" i="19"/>
  <c r="BR124" i="19"/>
  <c r="BS124" i="19"/>
  <c r="BT124" i="19"/>
  <c r="BU124" i="19"/>
  <c r="C125" i="19"/>
  <c r="D125" i="19"/>
  <c r="E125" i="19"/>
  <c r="F125" i="19"/>
  <c r="G125" i="19"/>
  <c r="H125" i="19"/>
  <c r="I125" i="19"/>
  <c r="J125" i="19"/>
  <c r="K125" i="19"/>
  <c r="L125" i="19"/>
  <c r="M125" i="19"/>
  <c r="N125" i="19"/>
  <c r="O125" i="19"/>
  <c r="P125" i="19"/>
  <c r="Q125" i="19"/>
  <c r="R125" i="19"/>
  <c r="S125" i="19"/>
  <c r="T125" i="19"/>
  <c r="U125" i="19"/>
  <c r="V125" i="19"/>
  <c r="W125" i="19"/>
  <c r="X125" i="19"/>
  <c r="Y125" i="19"/>
  <c r="Z125" i="19"/>
  <c r="AA125" i="19"/>
  <c r="AB125" i="19"/>
  <c r="AC125" i="19"/>
  <c r="AD125" i="19"/>
  <c r="AE125" i="19"/>
  <c r="AF125" i="19"/>
  <c r="AG125" i="19"/>
  <c r="AH125" i="19"/>
  <c r="AI125" i="19"/>
  <c r="AJ125" i="19"/>
  <c r="AK125" i="19"/>
  <c r="AL125" i="19"/>
  <c r="AM125" i="19"/>
  <c r="AN125" i="19"/>
  <c r="AO125" i="19"/>
  <c r="AP125" i="19"/>
  <c r="AQ125" i="19"/>
  <c r="AR125" i="19"/>
  <c r="AS125" i="19"/>
  <c r="AT125" i="19"/>
  <c r="AU125" i="19"/>
  <c r="AV125" i="19"/>
  <c r="AW125" i="19"/>
  <c r="AX125" i="19"/>
  <c r="AY125" i="19"/>
  <c r="AZ125" i="19"/>
  <c r="BA125" i="19"/>
  <c r="BB125" i="19"/>
  <c r="BC125" i="19"/>
  <c r="BD125" i="19"/>
  <c r="BE125" i="19"/>
  <c r="BF125" i="19"/>
  <c r="BG125" i="19"/>
  <c r="BH125" i="19"/>
  <c r="BI125" i="19"/>
  <c r="BJ125" i="19"/>
  <c r="BK125" i="19"/>
  <c r="BL125" i="19"/>
  <c r="BM125" i="19"/>
  <c r="BN125" i="19"/>
  <c r="BO125" i="19"/>
  <c r="BP125" i="19"/>
  <c r="BQ125" i="19"/>
  <c r="BR125" i="19"/>
  <c r="BS125" i="19"/>
  <c r="BT125" i="19"/>
  <c r="BU125" i="19"/>
  <c r="C126" i="19"/>
  <c r="D126" i="19"/>
  <c r="E126" i="19"/>
  <c r="F126" i="19"/>
  <c r="G126" i="19"/>
  <c r="H126" i="19"/>
  <c r="I126" i="19"/>
  <c r="J126" i="19"/>
  <c r="K126" i="19"/>
  <c r="L126" i="19"/>
  <c r="M126" i="19"/>
  <c r="N126" i="19"/>
  <c r="O126" i="19"/>
  <c r="P126" i="19"/>
  <c r="Q126" i="19"/>
  <c r="R126" i="19"/>
  <c r="S126" i="19"/>
  <c r="T126" i="19"/>
  <c r="U126" i="19"/>
  <c r="V126" i="19"/>
  <c r="W126" i="19"/>
  <c r="X126" i="19"/>
  <c r="Y126" i="19"/>
  <c r="Z126" i="19"/>
  <c r="AA126" i="19"/>
  <c r="AB126" i="19"/>
  <c r="AC126" i="19"/>
  <c r="AD126" i="19"/>
  <c r="AE126" i="19"/>
  <c r="AF126" i="19"/>
  <c r="AG126" i="19"/>
  <c r="AH126" i="19"/>
  <c r="AI126" i="19"/>
  <c r="AJ126" i="19"/>
  <c r="AK126" i="19"/>
  <c r="AL126" i="19"/>
  <c r="AM126" i="19"/>
  <c r="AN126" i="19"/>
  <c r="AO126" i="19"/>
  <c r="AP126" i="19"/>
  <c r="AQ126" i="19"/>
  <c r="AR126" i="19"/>
  <c r="AS126" i="19"/>
  <c r="AT126" i="19"/>
  <c r="AU126" i="19"/>
  <c r="AV126" i="19"/>
  <c r="AW126" i="19"/>
  <c r="AX126" i="19"/>
  <c r="AY126" i="19"/>
  <c r="AZ126" i="19"/>
  <c r="BA126" i="19"/>
  <c r="BB126" i="19"/>
  <c r="BC126" i="19"/>
  <c r="BD126" i="19"/>
  <c r="BE126" i="19"/>
  <c r="BF126" i="19"/>
  <c r="BG126" i="19"/>
  <c r="BH126" i="19"/>
  <c r="BI126" i="19"/>
  <c r="BJ126" i="19"/>
  <c r="BK126" i="19"/>
  <c r="BL126" i="19"/>
  <c r="BM126" i="19"/>
  <c r="BN126" i="19"/>
  <c r="BO126" i="19"/>
  <c r="BP126" i="19"/>
  <c r="BQ126" i="19"/>
  <c r="BR126" i="19"/>
  <c r="BS126" i="19"/>
  <c r="BT126" i="19"/>
  <c r="BU126" i="19"/>
  <c r="BU2" i="19"/>
  <c r="BT2" i="19"/>
  <c r="BS2" i="19"/>
  <c r="BR2" i="19"/>
  <c r="BQ2" i="19"/>
  <c r="BP2" i="19"/>
  <c r="BO2" i="19"/>
  <c r="BN2" i="19"/>
  <c r="BM2" i="19"/>
  <c r="BL2" i="19"/>
  <c r="BK2" i="19"/>
  <c r="BJ2" i="19"/>
  <c r="BI2" i="19"/>
  <c r="BH2" i="19"/>
  <c r="BG2" i="19"/>
  <c r="BF2" i="19"/>
  <c r="BE2" i="19"/>
  <c r="BD2" i="19"/>
  <c r="BC2" i="19"/>
  <c r="BB2" i="19"/>
  <c r="BA2" i="19"/>
  <c r="AZ2" i="19"/>
  <c r="AY2" i="19"/>
  <c r="AX2" i="19"/>
  <c r="AW2" i="19"/>
  <c r="AV2" i="19"/>
  <c r="AU2" i="19"/>
  <c r="AT2" i="19"/>
  <c r="AS2" i="19"/>
  <c r="AR2" i="19"/>
  <c r="AQ2" i="19"/>
  <c r="AP2" i="19"/>
  <c r="AO2" i="19"/>
  <c r="AN2" i="19"/>
  <c r="AM2" i="19"/>
  <c r="AL2" i="19"/>
  <c r="AK2" i="19"/>
  <c r="AJ2" i="19"/>
  <c r="AI2" i="19"/>
  <c r="AH2" i="19"/>
  <c r="AG2" i="19"/>
  <c r="AF2" i="19"/>
  <c r="AE2" i="19"/>
  <c r="AD2" i="19"/>
  <c r="AC2" i="19"/>
  <c r="AB2" i="19"/>
  <c r="AA2" i="19"/>
  <c r="Z2" i="19"/>
  <c r="Y2" i="19"/>
  <c r="X2" i="19"/>
  <c r="W2" i="19"/>
  <c r="V2" i="19"/>
  <c r="U2" i="19"/>
  <c r="T2" i="19"/>
  <c r="S2" i="19"/>
  <c r="R2" i="19"/>
  <c r="Q2" i="19"/>
  <c r="P2" i="19"/>
  <c r="O2" i="19"/>
  <c r="N2" i="19"/>
  <c r="M2" i="19"/>
  <c r="L2" i="19"/>
  <c r="K2" i="19"/>
  <c r="J2" i="19"/>
  <c r="I2" i="19"/>
  <c r="H2" i="19"/>
  <c r="G2" i="19"/>
  <c r="F2" i="19"/>
  <c r="E2" i="19"/>
  <c r="D2" i="19"/>
  <c r="C2" i="19"/>
  <c r="E4" i="23" l="1"/>
  <c r="G4" i="23" s="1"/>
  <c r="F4" i="23"/>
  <c r="D4" i="23"/>
  <c r="O44" i="14"/>
  <c r="O31" i="14"/>
  <c r="O104" i="14"/>
  <c r="O80" i="14"/>
  <c r="O56" i="14"/>
  <c r="O95" i="14"/>
  <c r="O127" i="19"/>
  <c r="O128" i="19"/>
  <c r="BR132" i="19"/>
  <c r="BJ132" i="19"/>
  <c r="BB132" i="19"/>
  <c r="AT132" i="19"/>
  <c r="AL132" i="19"/>
  <c r="AD132" i="19"/>
  <c r="V132" i="19"/>
  <c r="N132" i="19"/>
  <c r="F132" i="19"/>
  <c r="BO131" i="19"/>
  <c r="BG131" i="19"/>
  <c r="AY131" i="19"/>
  <c r="AQ131" i="19"/>
  <c r="AI131" i="19"/>
  <c r="AA131" i="19"/>
  <c r="S131" i="19"/>
  <c r="K131" i="19"/>
  <c r="C131" i="19"/>
  <c r="BN130" i="19"/>
  <c r="BF130" i="19"/>
  <c r="AX130" i="19"/>
  <c r="AP130" i="19"/>
  <c r="AH130" i="19"/>
  <c r="Z130" i="19"/>
  <c r="R130" i="19"/>
  <c r="J130" i="19"/>
  <c r="BS133" i="19"/>
  <c r="BK133" i="19"/>
  <c r="BC133" i="19"/>
  <c r="AU133" i="19"/>
  <c r="AM133" i="19"/>
  <c r="AE133" i="19"/>
  <c r="W133" i="19"/>
  <c r="O133" i="19"/>
  <c r="G133" i="19"/>
  <c r="BR129" i="19"/>
  <c r="BJ129" i="19"/>
  <c r="BB129" i="19"/>
  <c r="AS129" i="19"/>
  <c r="AK129" i="19"/>
  <c r="AC129" i="19"/>
  <c r="U129" i="19"/>
  <c r="M129" i="19"/>
  <c r="E129" i="19"/>
  <c r="BK127" i="19"/>
  <c r="BK128" i="19"/>
  <c r="H127" i="19"/>
  <c r="H128" i="19"/>
  <c r="P127" i="19"/>
  <c r="P128" i="19"/>
  <c r="X127" i="19"/>
  <c r="X128" i="19"/>
  <c r="AF127" i="19"/>
  <c r="AF128" i="19"/>
  <c r="AN127" i="19"/>
  <c r="AN128" i="19"/>
  <c r="AV127" i="19"/>
  <c r="AV128" i="19"/>
  <c r="BD127" i="19"/>
  <c r="BD128" i="19"/>
  <c r="BL127" i="19"/>
  <c r="BL128" i="19"/>
  <c r="BT127" i="19"/>
  <c r="BT128" i="19"/>
  <c r="BQ132" i="19"/>
  <c r="BI132" i="19"/>
  <c r="BA132" i="19"/>
  <c r="AS132" i="19"/>
  <c r="AK132" i="19"/>
  <c r="AC132" i="19"/>
  <c r="U132" i="19"/>
  <c r="M132" i="19"/>
  <c r="E132" i="19"/>
  <c r="BN131" i="19"/>
  <c r="BF131" i="19"/>
  <c r="AX131" i="19"/>
  <c r="AP131" i="19"/>
  <c r="AH131" i="19"/>
  <c r="Z131" i="19"/>
  <c r="R131" i="19"/>
  <c r="J131" i="19"/>
  <c r="BU130" i="19"/>
  <c r="BM130" i="19"/>
  <c r="BE130" i="19"/>
  <c r="AW130" i="19"/>
  <c r="AO130" i="19"/>
  <c r="AG130" i="19"/>
  <c r="Y130" i="19"/>
  <c r="Q130" i="19"/>
  <c r="I130" i="19"/>
  <c r="BR133" i="19"/>
  <c r="BJ133" i="19"/>
  <c r="BB133" i="19"/>
  <c r="AT133" i="19"/>
  <c r="AL133" i="19"/>
  <c r="AD133" i="19"/>
  <c r="V133" i="19"/>
  <c r="N133" i="19"/>
  <c r="F133" i="19"/>
  <c r="BQ129" i="19"/>
  <c r="BI129" i="19"/>
  <c r="AZ129" i="19"/>
  <c r="AR129" i="19"/>
  <c r="AJ129" i="19"/>
  <c r="AB129" i="19"/>
  <c r="T129" i="19"/>
  <c r="L129" i="19"/>
  <c r="D129" i="19"/>
  <c r="G127" i="19"/>
  <c r="G128" i="19"/>
  <c r="BS127" i="19"/>
  <c r="BS128" i="19"/>
  <c r="I127" i="19"/>
  <c r="I128" i="19"/>
  <c r="BE127" i="19"/>
  <c r="BE128" i="19"/>
  <c r="BP132" i="19"/>
  <c r="BH132" i="19"/>
  <c r="AZ132" i="19"/>
  <c r="AR132" i="19"/>
  <c r="AJ132" i="19"/>
  <c r="AB132" i="19"/>
  <c r="T132" i="19"/>
  <c r="L132" i="19"/>
  <c r="D132" i="19"/>
  <c r="BU131" i="19"/>
  <c r="BM131" i="19"/>
  <c r="BE131" i="19"/>
  <c r="AW131" i="19"/>
  <c r="AO131" i="19"/>
  <c r="AG131" i="19"/>
  <c r="Y131" i="19"/>
  <c r="Q131" i="19"/>
  <c r="I131" i="19"/>
  <c r="BT130" i="19"/>
  <c r="BL130" i="19"/>
  <c r="BD130" i="19"/>
  <c r="AV130" i="19"/>
  <c r="AN130" i="19"/>
  <c r="AF130" i="19"/>
  <c r="X130" i="19"/>
  <c r="P130" i="19"/>
  <c r="H130" i="19"/>
  <c r="BQ133" i="19"/>
  <c r="BI133" i="19"/>
  <c r="BA133" i="19"/>
  <c r="AS133" i="19"/>
  <c r="AK133" i="19"/>
  <c r="AC133" i="19"/>
  <c r="U133" i="19"/>
  <c r="M133" i="19"/>
  <c r="E133" i="19"/>
  <c r="BP129" i="19"/>
  <c r="BH129" i="19"/>
  <c r="AY129" i="19"/>
  <c r="AQ129" i="19"/>
  <c r="AI129" i="19"/>
  <c r="AA129" i="19"/>
  <c r="S129" i="19"/>
  <c r="K129" i="19"/>
  <c r="C129" i="19"/>
  <c r="W127" i="19"/>
  <c r="W128" i="19"/>
  <c r="AW127" i="19"/>
  <c r="AW128" i="19"/>
  <c r="R127" i="19"/>
  <c r="R128" i="19"/>
  <c r="AP127" i="19"/>
  <c r="AP128" i="19"/>
  <c r="BN127" i="19"/>
  <c r="BN128" i="19"/>
  <c r="BO132" i="19"/>
  <c r="BG132" i="19"/>
  <c r="AY132" i="19"/>
  <c r="AQ132" i="19"/>
  <c r="AI132" i="19"/>
  <c r="AA132" i="19"/>
  <c r="S132" i="19"/>
  <c r="K132" i="19"/>
  <c r="C132" i="19"/>
  <c r="BT131" i="19"/>
  <c r="BL131" i="19"/>
  <c r="BD131" i="19"/>
  <c r="AV131" i="19"/>
  <c r="AN131" i="19"/>
  <c r="AF131" i="19"/>
  <c r="X131" i="19"/>
  <c r="P131" i="19"/>
  <c r="H131" i="19"/>
  <c r="BS130" i="19"/>
  <c r="BK130" i="19"/>
  <c r="BC130" i="19"/>
  <c r="AU130" i="19"/>
  <c r="AM130" i="19"/>
  <c r="AE130" i="19"/>
  <c r="W130" i="19"/>
  <c r="O130" i="19"/>
  <c r="G130" i="19"/>
  <c r="BP133" i="19"/>
  <c r="BH133" i="19"/>
  <c r="AZ133" i="19"/>
  <c r="AR133" i="19"/>
  <c r="AJ133" i="19"/>
  <c r="AB133" i="19"/>
  <c r="T133" i="19"/>
  <c r="L133" i="19"/>
  <c r="D133" i="19"/>
  <c r="BO129" i="19"/>
  <c r="BG129" i="19"/>
  <c r="AX129" i="19"/>
  <c r="AP129" i="19"/>
  <c r="AH129" i="19"/>
  <c r="Z129" i="19"/>
  <c r="R129" i="19"/>
  <c r="J129" i="19"/>
  <c r="AU127" i="19"/>
  <c r="AU128" i="19"/>
  <c r="AG127" i="19"/>
  <c r="AG128" i="19"/>
  <c r="Z127" i="19"/>
  <c r="Z128" i="19"/>
  <c r="AX127" i="19"/>
  <c r="AX128" i="19"/>
  <c r="O2" i="14"/>
  <c r="C127" i="19"/>
  <c r="C128" i="19"/>
  <c r="K127" i="19"/>
  <c r="K128" i="19"/>
  <c r="S127" i="19"/>
  <c r="S128" i="19"/>
  <c r="AA127" i="19"/>
  <c r="AA128" i="19"/>
  <c r="AI127" i="19"/>
  <c r="AI128" i="19"/>
  <c r="AQ127" i="19"/>
  <c r="AQ128" i="19"/>
  <c r="AY127" i="19"/>
  <c r="AY128" i="19"/>
  <c r="BG127" i="19"/>
  <c r="BG128" i="19"/>
  <c r="BO127" i="19"/>
  <c r="BO128" i="19"/>
  <c r="BN132" i="19"/>
  <c r="BF132" i="19"/>
  <c r="AX132" i="19"/>
  <c r="AP132" i="19"/>
  <c r="AH132" i="19"/>
  <c r="Z132" i="19"/>
  <c r="R132" i="19"/>
  <c r="J132" i="19"/>
  <c r="BS131" i="19"/>
  <c r="BK131" i="19"/>
  <c r="BC131" i="19"/>
  <c r="AU131" i="19"/>
  <c r="AM131" i="19"/>
  <c r="AE131" i="19"/>
  <c r="W131" i="19"/>
  <c r="O131" i="19"/>
  <c r="G131" i="19"/>
  <c r="BR130" i="19"/>
  <c r="BJ130" i="19"/>
  <c r="BB130" i="19"/>
  <c r="AT130" i="19"/>
  <c r="AL130" i="19"/>
  <c r="AD130" i="19"/>
  <c r="V130" i="19"/>
  <c r="N130" i="19"/>
  <c r="F130" i="19"/>
  <c r="BO133" i="19"/>
  <c r="BG133" i="19"/>
  <c r="AY133" i="19"/>
  <c r="AQ133" i="19"/>
  <c r="AI133" i="19"/>
  <c r="AA133" i="19"/>
  <c r="S133" i="19"/>
  <c r="K133" i="19"/>
  <c r="C133" i="19"/>
  <c r="BN129" i="19"/>
  <c r="BF129" i="19"/>
  <c r="AW129" i="19"/>
  <c r="AO129" i="19"/>
  <c r="AG129" i="19"/>
  <c r="Y129" i="19"/>
  <c r="Q129" i="19"/>
  <c r="I129" i="19"/>
  <c r="AE127" i="19"/>
  <c r="AE128" i="19"/>
  <c r="Q127" i="19"/>
  <c r="Q128" i="19"/>
  <c r="BM127" i="19"/>
  <c r="BM128" i="19"/>
  <c r="J127" i="19"/>
  <c r="J128" i="19"/>
  <c r="AH127" i="19"/>
  <c r="AH128" i="19"/>
  <c r="BF127" i="19"/>
  <c r="BF128" i="19"/>
  <c r="D127" i="19"/>
  <c r="D128" i="19"/>
  <c r="L127" i="19"/>
  <c r="L128" i="19"/>
  <c r="T127" i="19"/>
  <c r="T128" i="19"/>
  <c r="AB127" i="19"/>
  <c r="AB128" i="19"/>
  <c r="AJ127" i="19"/>
  <c r="AJ128" i="19"/>
  <c r="AR127" i="19"/>
  <c r="AR128" i="19"/>
  <c r="AZ127" i="19"/>
  <c r="AZ128" i="19"/>
  <c r="BH127" i="19"/>
  <c r="BH128" i="19"/>
  <c r="BP127" i="19"/>
  <c r="BP128" i="19"/>
  <c r="BU132" i="19"/>
  <c r="BM132" i="19"/>
  <c r="BE132" i="19"/>
  <c r="AW132" i="19"/>
  <c r="AO132" i="19"/>
  <c r="AG132" i="19"/>
  <c r="Y132" i="19"/>
  <c r="Q132" i="19"/>
  <c r="I132" i="19"/>
  <c r="BR131" i="19"/>
  <c r="BJ131" i="19"/>
  <c r="BB131" i="19"/>
  <c r="AT131" i="19"/>
  <c r="AL131" i="19"/>
  <c r="AD131" i="19"/>
  <c r="V131" i="19"/>
  <c r="N131" i="19"/>
  <c r="F131" i="19"/>
  <c r="BQ130" i="19"/>
  <c r="BI130" i="19"/>
  <c r="BA130" i="19"/>
  <c r="AS130" i="19"/>
  <c r="AK130" i="19"/>
  <c r="AC130" i="19"/>
  <c r="U130" i="19"/>
  <c r="M130" i="19"/>
  <c r="E130" i="19"/>
  <c r="BN133" i="19"/>
  <c r="BF133" i="19"/>
  <c r="AX133" i="19"/>
  <c r="AP133" i="19"/>
  <c r="AH133" i="19"/>
  <c r="Z133" i="19"/>
  <c r="R133" i="19"/>
  <c r="J133" i="19"/>
  <c r="BU129" i="19"/>
  <c r="BM129" i="19"/>
  <c r="BE129" i="19"/>
  <c r="AV129" i="19"/>
  <c r="AN129" i="19"/>
  <c r="AF129" i="19"/>
  <c r="X129" i="19"/>
  <c r="P129" i="19"/>
  <c r="H129" i="19"/>
  <c r="AM127" i="19"/>
  <c r="AM128" i="19"/>
  <c r="Y127" i="19"/>
  <c r="Y128" i="19"/>
  <c r="BU127" i="19"/>
  <c r="BU128" i="19"/>
  <c r="E127" i="19"/>
  <c r="E128" i="19"/>
  <c r="U127" i="19"/>
  <c r="U128" i="19"/>
  <c r="AK127" i="19"/>
  <c r="AK128" i="19"/>
  <c r="BA127" i="19"/>
  <c r="BA128" i="19"/>
  <c r="BQ127" i="19"/>
  <c r="BQ128" i="19"/>
  <c r="BT132" i="19"/>
  <c r="BL132" i="19"/>
  <c r="BD132" i="19"/>
  <c r="AV132" i="19"/>
  <c r="AN132" i="19"/>
  <c r="AF132" i="19"/>
  <c r="X132" i="19"/>
  <c r="P132" i="19"/>
  <c r="H132" i="19"/>
  <c r="BQ131" i="19"/>
  <c r="BI131" i="19"/>
  <c r="BA131" i="19"/>
  <c r="AS131" i="19"/>
  <c r="AK131" i="19"/>
  <c r="AC131" i="19"/>
  <c r="U131" i="19"/>
  <c r="M131" i="19"/>
  <c r="E131" i="19"/>
  <c r="BP130" i="19"/>
  <c r="BH130" i="19"/>
  <c r="AZ130" i="19"/>
  <c r="AR130" i="19"/>
  <c r="AJ130" i="19"/>
  <c r="AB130" i="19"/>
  <c r="T130" i="19"/>
  <c r="L130" i="19"/>
  <c r="D130" i="19"/>
  <c r="BA129" i="19"/>
  <c r="BU133" i="19"/>
  <c r="BM133" i="19"/>
  <c r="BE133" i="19"/>
  <c r="AW133" i="19"/>
  <c r="AO133" i="19"/>
  <c r="AG133" i="19"/>
  <c r="Y133" i="19"/>
  <c r="Q133" i="19"/>
  <c r="I133" i="19"/>
  <c r="BT129" i="19"/>
  <c r="BL129" i="19"/>
  <c r="BD129" i="19"/>
  <c r="AU129" i="19"/>
  <c r="AM129" i="19"/>
  <c r="AE129" i="19"/>
  <c r="W129" i="19"/>
  <c r="O129" i="19"/>
  <c r="G129" i="19"/>
  <c r="BC127" i="19"/>
  <c r="BC128" i="19"/>
  <c r="AO127" i="19"/>
  <c r="AO128" i="19"/>
  <c r="M127" i="19"/>
  <c r="M128" i="19"/>
  <c r="AC127" i="19"/>
  <c r="AC128" i="19"/>
  <c r="AS127" i="19"/>
  <c r="AS128" i="19"/>
  <c r="BI127" i="19"/>
  <c r="BI128" i="19"/>
  <c r="F127" i="19"/>
  <c r="F128" i="19"/>
  <c r="N127" i="19"/>
  <c r="N128" i="19"/>
  <c r="V127" i="19"/>
  <c r="V128" i="19"/>
  <c r="AD127" i="19"/>
  <c r="AD128" i="19"/>
  <c r="AL127" i="19"/>
  <c r="AL128" i="19"/>
  <c r="AT127" i="19"/>
  <c r="AT128" i="19"/>
  <c r="BB127" i="19"/>
  <c r="BB128" i="19"/>
  <c r="BJ127" i="19"/>
  <c r="BJ128" i="19"/>
  <c r="BR127" i="19"/>
  <c r="BR128" i="19"/>
  <c r="BS132" i="19"/>
  <c r="BK132" i="19"/>
  <c r="BC132" i="19"/>
  <c r="AU132" i="19"/>
  <c r="AM132" i="19"/>
  <c r="AE132" i="19"/>
  <c r="W132" i="19"/>
  <c r="O132" i="19"/>
  <c r="G132" i="19"/>
  <c r="BP131" i="19"/>
  <c r="BH131" i="19"/>
  <c r="AZ131" i="19"/>
  <c r="AR131" i="19"/>
  <c r="AJ131" i="19"/>
  <c r="AB131" i="19"/>
  <c r="T131" i="19"/>
  <c r="L131" i="19"/>
  <c r="D131" i="19"/>
  <c r="BO130" i="19"/>
  <c r="BG130" i="19"/>
  <c r="AY130" i="19"/>
  <c r="AQ130" i="19"/>
  <c r="AI130" i="19"/>
  <c r="AA130" i="19"/>
  <c r="S130" i="19"/>
  <c r="K130" i="19"/>
  <c r="C130" i="19"/>
  <c r="BT133" i="19"/>
  <c r="BL133" i="19"/>
  <c r="BD133" i="19"/>
  <c r="AV133" i="19"/>
  <c r="AN133" i="19"/>
  <c r="AF133" i="19"/>
  <c r="X133" i="19"/>
  <c r="P133" i="19"/>
  <c r="H133" i="19"/>
  <c r="BS129" i="19"/>
  <c r="BK129" i="19"/>
  <c r="BC129" i="19"/>
  <c r="AT129" i="19"/>
  <c r="AL129" i="19"/>
  <c r="AD129" i="19"/>
  <c r="V129" i="19"/>
  <c r="N129" i="19"/>
  <c r="F129" i="19"/>
  <c r="O86" i="14"/>
  <c r="O30" i="14"/>
  <c r="O27" i="14"/>
  <c r="O63" i="14"/>
  <c r="O59" i="14"/>
  <c r="O35" i="14"/>
  <c r="O92" i="14"/>
  <c r="O60" i="14"/>
  <c r="O61" i="14"/>
  <c r="O36" i="14"/>
  <c r="O69" i="14"/>
  <c r="O21" i="14"/>
  <c r="O11" i="14"/>
  <c r="O47" i="14"/>
  <c r="O39" i="14"/>
  <c r="O24" i="14"/>
  <c r="O33" i="14"/>
  <c r="O25" i="14"/>
  <c r="O17" i="14"/>
  <c r="O9" i="14"/>
  <c r="O96" i="14"/>
  <c r="O8" i="14"/>
  <c r="O42" i="14"/>
  <c r="O34" i="14"/>
  <c r="O18" i="14"/>
  <c r="O10" i="14"/>
  <c r="O16" i="14"/>
  <c r="O19" i="14"/>
  <c r="O3" i="14"/>
  <c r="O64" i="14"/>
  <c r="O48" i="14"/>
  <c r="O12" i="14"/>
  <c r="O4" i="14"/>
  <c r="O29" i="14"/>
  <c r="O13" i="14"/>
  <c r="O5" i="14"/>
  <c r="O40" i="14"/>
  <c r="O46" i="14"/>
  <c r="O14" i="14"/>
  <c r="O6" i="14"/>
  <c r="O71" i="14"/>
  <c r="O55" i="14"/>
  <c r="O23" i="14"/>
  <c r="O15" i="14"/>
  <c r="O7" i="14"/>
  <c r="G119" i="14"/>
  <c r="G111" i="14"/>
  <c r="G103" i="14"/>
  <c r="G95" i="14"/>
  <c r="G87" i="14"/>
  <c r="F66" i="20" s="1"/>
  <c r="G79" i="14"/>
  <c r="G71" i="14"/>
  <c r="F19" i="20" s="1"/>
  <c r="G63" i="14"/>
  <c r="G55" i="14"/>
  <c r="F24" i="20" s="1"/>
  <c r="G47" i="14"/>
  <c r="F12" i="20" s="1"/>
  <c r="G39" i="14"/>
  <c r="F30" i="20" s="1"/>
  <c r="G31" i="14"/>
  <c r="F49" i="20" s="1"/>
  <c r="G23" i="14"/>
  <c r="F22" i="20" s="1"/>
  <c r="G15" i="14"/>
  <c r="F7" i="20" s="1"/>
  <c r="G7" i="14"/>
  <c r="F17" i="20" s="1"/>
  <c r="G120" i="14"/>
  <c r="G112" i="14"/>
  <c r="G104" i="14"/>
  <c r="G96" i="14"/>
  <c r="G88" i="14"/>
  <c r="G80" i="14"/>
  <c r="G72" i="14"/>
  <c r="F34" i="20" s="1"/>
  <c r="G64" i="14"/>
  <c r="G56" i="14"/>
  <c r="G48" i="14"/>
  <c r="F11" i="20" s="1"/>
  <c r="G40" i="14"/>
  <c r="F44" i="20" s="1"/>
  <c r="G32" i="14"/>
  <c r="G24" i="14"/>
  <c r="F6" i="20" s="1"/>
  <c r="G16" i="14"/>
  <c r="F57" i="20" s="1"/>
  <c r="G8" i="14"/>
  <c r="G126" i="14"/>
  <c r="M126" i="14" s="1"/>
  <c r="G121" i="14"/>
  <c r="G113" i="14"/>
  <c r="G105" i="14"/>
  <c r="G97" i="14"/>
  <c r="G89" i="14"/>
  <c r="G81" i="14"/>
  <c r="G73" i="14"/>
  <c r="G65" i="14"/>
  <c r="G57" i="14"/>
  <c r="F64" i="20" s="1"/>
  <c r="G49" i="14"/>
  <c r="F36" i="20" s="1"/>
  <c r="G41" i="14"/>
  <c r="F55" i="20" s="1"/>
  <c r="G33" i="14"/>
  <c r="F9" i="20" s="1"/>
  <c r="G25" i="14"/>
  <c r="F47" i="20" s="1"/>
  <c r="G17" i="14"/>
  <c r="F59" i="20" s="1"/>
  <c r="G9" i="14"/>
  <c r="F5" i="20" s="1"/>
  <c r="G122" i="14"/>
  <c r="G114" i="14"/>
  <c r="G106" i="14"/>
  <c r="G98" i="14"/>
  <c r="G90" i="14"/>
  <c r="G82" i="14"/>
  <c r="G74" i="14"/>
  <c r="G66" i="14"/>
  <c r="F4" i="20" s="1"/>
  <c r="G58" i="14"/>
  <c r="F42" i="20" s="1"/>
  <c r="G50" i="14"/>
  <c r="G42" i="14"/>
  <c r="F51" i="20" s="1"/>
  <c r="G34" i="14"/>
  <c r="F48" i="20" s="1"/>
  <c r="G26" i="14"/>
  <c r="F53" i="20" s="1"/>
  <c r="G18" i="14"/>
  <c r="F10" i="20" s="1"/>
  <c r="G10" i="14"/>
  <c r="F21" i="20" s="1"/>
  <c r="G123" i="14"/>
  <c r="G115" i="14"/>
  <c r="G107" i="14"/>
  <c r="G99" i="14"/>
  <c r="G91" i="14"/>
  <c r="G83" i="14"/>
  <c r="G75" i="14"/>
  <c r="F63" i="20" s="1"/>
  <c r="G67" i="14"/>
  <c r="F38" i="20" s="1"/>
  <c r="G59" i="14"/>
  <c r="G51" i="14"/>
  <c r="F31" i="20" s="1"/>
  <c r="G43" i="14"/>
  <c r="F54" i="20" s="1"/>
  <c r="G35" i="14"/>
  <c r="F32" i="20" s="1"/>
  <c r="G27" i="14"/>
  <c r="F28" i="20" s="1"/>
  <c r="G19" i="14"/>
  <c r="F20" i="20" s="1"/>
  <c r="G11" i="14"/>
  <c r="F45" i="20" s="1"/>
  <c r="G124" i="14"/>
  <c r="G116" i="14"/>
  <c r="G108" i="14"/>
  <c r="G100" i="14"/>
  <c r="G92" i="14"/>
  <c r="G84" i="14"/>
  <c r="G76" i="14"/>
  <c r="G68" i="14"/>
  <c r="G60" i="14"/>
  <c r="F33" i="20" s="1"/>
  <c r="G52" i="14"/>
  <c r="F8" i="20" s="1"/>
  <c r="G44" i="14"/>
  <c r="F35" i="20" s="1"/>
  <c r="G36" i="14"/>
  <c r="F27" i="20" s="1"/>
  <c r="G28" i="14"/>
  <c r="F37" i="20" s="1"/>
  <c r="G20" i="14"/>
  <c r="F58" i="20" s="1"/>
  <c r="G12" i="14"/>
  <c r="F46" i="20" s="1"/>
  <c r="G4" i="14"/>
  <c r="F56" i="20" s="1"/>
  <c r="G125" i="14"/>
  <c r="G117" i="14"/>
  <c r="G109" i="14"/>
  <c r="G101" i="14"/>
  <c r="G93" i="14"/>
  <c r="G85" i="14"/>
  <c r="G77" i="14"/>
  <c r="G69" i="14"/>
  <c r="F65" i="20" s="1"/>
  <c r="G61" i="14"/>
  <c r="F41" i="20" s="1"/>
  <c r="G53" i="14"/>
  <c r="G45" i="14"/>
  <c r="F25" i="20" s="1"/>
  <c r="G37" i="14"/>
  <c r="F29" i="20" s="1"/>
  <c r="G29" i="14"/>
  <c r="F15" i="20" s="1"/>
  <c r="G21" i="14"/>
  <c r="F26" i="20" s="1"/>
  <c r="G13" i="14"/>
  <c r="F50" i="20" s="1"/>
  <c r="G5" i="14"/>
  <c r="G118" i="14"/>
  <c r="G110" i="14"/>
  <c r="G102" i="14"/>
  <c r="G94" i="14"/>
  <c r="G86" i="14"/>
  <c r="G78" i="14"/>
  <c r="G70" i="14"/>
  <c r="G62" i="14"/>
  <c r="G54" i="14"/>
  <c r="G46" i="14"/>
  <c r="F16" i="20" s="1"/>
  <c r="G38" i="14"/>
  <c r="F52" i="20" s="1"/>
  <c r="G30" i="14"/>
  <c r="G22" i="14"/>
  <c r="F43" i="20" s="1"/>
  <c r="G14" i="14"/>
  <c r="F14" i="20" s="1"/>
  <c r="G6" i="14"/>
  <c r="F13" i="20" s="1"/>
  <c r="G2" i="14"/>
  <c r="F60" i="20" s="1"/>
  <c r="G3" i="14"/>
  <c r="F23" i="20" s="1"/>
  <c r="A2" i="8"/>
  <c r="A3" i="8" s="1"/>
  <c r="G134" i="14" l="1"/>
  <c r="G127" i="14"/>
  <c r="M127" i="14" s="1"/>
  <c r="O127" i="14"/>
  <c r="O133" i="14"/>
  <c r="G128" i="14"/>
  <c r="M128" i="14" s="1"/>
  <c r="O128" i="14"/>
  <c r="O131" i="14"/>
  <c r="G131" i="14"/>
  <c r="M131" i="14" s="1"/>
  <c r="G129" i="14"/>
  <c r="M129" i="14" s="1"/>
  <c r="O129" i="14"/>
  <c r="O130" i="14"/>
  <c r="G130" i="14"/>
  <c r="M130" i="14" s="1"/>
  <c r="G133" i="14"/>
  <c r="M133" i="14" s="1"/>
  <c r="G132" i="14"/>
  <c r="M132" i="14" s="1"/>
  <c r="O132" i="14"/>
  <c r="F40" i="20"/>
  <c r="F39" i="20"/>
  <c r="F18" i="20"/>
  <c r="C8" i="13"/>
  <c r="A4" i="8"/>
  <c r="F61" i="20" l="1"/>
  <c r="L61" i="20"/>
  <c r="F62" i="20"/>
  <c r="L62" i="20"/>
  <c r="N126" i="14"/>
  <c r="O126" i="14" s="1"/>
  <c r="A5" i="8"/>
  <c r="H4" i="13"/>
  <c r="F1" i="8"/>
  <c r="C2" i="8"/>
  <c r="C4" i="13" s="1"/>
  <c r="AZ15" i="3"/>
  <c r="BC3" i="3"/>
  <c r="BD3" i="3"/>
  <c r="BE3" i="3"/>
  <c r="BF3" i="3"/>
  <c r="BG3" i="3"/>
  <c r="BH3" i="3"/>
  <c r="BI3" i="3"/>
  <c r="BJ3" i="3"/>
  <c r="BK3" i="3"/>
  <c r="BL3" i="3"/>
  <c r="BM3" i="3"/>
  <c r="BN3" i="3"/>
  <c r="BO3" i="3"/>
  <c r="BP3" i="3"/>
  <c r="BQ3" i="3"/>
  <c r="BR3" i="3"/>
  <c r="BS3" i="3"/>
  <c r="BT3" i="3"/>
  <c r="BU3" i="3"/>
  <c r="BC4" i="3"/>
  <c r="BD4" i="3"/>
  <c r="BE4" i="3"/>
  <c r="BF4" i="3"/>
  <c r="BG4" i="3"/>
  <c r="BH4" i="3"/>
  <c r="BI4" i="3"/>
  <c r="BJ4" i="3"/>
  <c r="BK4" i="3"/>
  <c r="BL4" i="3"/>
  <c r="BM4" i="3"/>
  <c r="BN4" i="3"/>
  <c r="BO4" i="3"/>
  <c r="BP4" i="3"/>
  <c r="BQ4" i="3"/>
  <c r="BR4" i="3"/>
  <c r="BS4" i="3"/>
  <c r="BT4" i="3"/>
  <c r="BU4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C6" i="3"/>
  <c r="BD6" i="3"/>
  <c r="BE6" i="3"/>
  <c r="BF6" i="3"/>
  <c r="BG6" i="3"/>
  <c r="BH6" i="3"/>
  <c r="BI6" i="3"/>
  <c r="BJ6" i="3"/>
  <c r="BK6" i="3"/>
  <c r="BL6" i="3"/>
  <c r="BM6" i="3"/>
  <c r="BN6" i="3"/>
  <c r="BO6" i="3"/>
  <c r="BP6" i="3"/>
  <c r="BQ6" i="3"/>
  <c r="BR6" i="3"/>
  <c r="BS6" i="3"/>
  <c r="BT6" i="3"/>
  <c r="BU6" i="3"/>
  <c r="BC7" i="3"/>
  <c r="BD7" i="3"/>
  <c r="BE7" i="3"/>
  <c r="BF7" i="3"/>
  <c r="BG7" i="3"/>
  <c r="BH7" i="3"/>
  <c r="BI7" i="3"/>
  <c r="BJ7" i="3"/>
  <c r="BK7" i="3"/>
  <c r="BL7" i="3"/>
  <c r="BM7" i="3"/>
  <c r="BN7" i="3"/>
  <c r="BO7" i="3"/>
  <c r="BP7" i="3"/>
  <c r="BQ7" i="3"/>
  <c r="BR7" i="3"/>
  <c r="BS7" i="3"/>
  <c r="BT7" i="3"/>
  <c r="BU7" i="3"/>
  <c r="BC8" i="3"/>
  <c r="BE8" i="3"/>
  <c r="BF8" i="3"/>
  <c r="BG8" i="3"/>
  <c r="BH8" i="3"/>
  <c r="BI8" i="3"/>
  <c r="BJ8" i="3"/>
  <c r="BK8" i="3"/>
  <c r="BL8" i="3"/>
  <c r="BM8" i="3"/>
  <c r="BN8" i="3"/>
  <c r="BO8" i="3"/>
  <c r="BP8" i="3"/>
  <c r="BQ8" i="3"/>
  <c r="BR8" i="3"/>
  <c r="BS8" i="3"/>
  <c r="BT8" i="3"/>
  <c r="BU8" i="3"/>
  <c r="BC9" i="3"/>
  <c r="BD9" i="3"/>
  <c r="BE9" i="3"/>
  <c r="BF9" i="3"/>
  <c r="BG9" i="3"/>
  <c r="BH9" i="3"/>
  <c r="BI9" i="3"/>
  <c r="BJ9" i="3"/>
  <c r="BK9" i="3"/>
  <c r="BL9" i="3"/>
  <c r="BM9" i="3"/>
  <c r="BN9" i="3"/>
  <c r="BO9" i="3"/>
  <c r="BP9" i="3"/>
  <c r="BQ9" i="3"/>
  <c r="BR9" i="3"/>
  <c r="BS9" i="3"/>
  <c r="BT9" i="3"/>
  <c r="BU9" i="3"/>
  <c r="BC10" i="3"/>
  <c r="BD10" i="3"/>
  <c r="BE10" i="3"/>
  <c r="BF10" i="3"/>
  <c r="BG10" i="3"/>
  <c r="BH10" i="3"/>
  <c r="BI10" i="3"/>
  <c r="BJ10" i="3"/>
  <c r="BK10" i="3"/>
  <c r="BL10" i="3"/>
  <c r="BM10" i="3"/>
  <c r="BN10" i="3"/>
  <c r="BO10" i="3"/>
  <c r="BP10" i="3"/>
  <c r="BQ10" i="3"/>
  <c r="BR10" i="3"/>
  <c r="BS10" i="3"/>
  <c r="BT10" i="3"/>
  <c r="BU10" i="3"/>
  <c r="BC11" i="3"/>
  <c r="BD11" i="3"/>
  <c r="BE11" i="3"/>
  <c r="BF11" i="3"/>
  <c r="BG11" i="3"/>
  <c r="BH11" i="3"/>
  <c r="BI11" i="3"/>
  <c r="BJ11" i="3"/>
  <c r="BK11" i="3"/>
  <c r="BL11" i="3"/>
  <c r="BM11" i="3"/>
  <c r="BN11" i="3"/>
  <c r="BO11" i="3"/>
  <c r="BP11" i="3"/>
  <c r="BQ11" i="3"/>
  <c r="BR11" i="3"/>
  <c r="BS11" i="3"/>
  <c r="BT11" i="3"/>
  <c r="BU11" i="3"/>
  <c r="BC12" i="3"/>
  <c r="BD12" i="3"/>
  <c r="BE12" i="3"/>
  <c r="BF12" i="3"/>
  <c r="BG12" i="3"/>
  <c r="BH12" i="3"/>
  <c r="BI12" i="3"/>
  <c r="BJ12" i="3"/>
  <c r="BK12" i="3"/>
  <c r="BL12" i="3"/>
  <c r="BM12" i="3"/>
  <c r="BN12" i="3"/>
  <c r="BO12" i="3"/>
  <c r="BP12" i="3"/>
  <c r="BQ12" i="3"/>
  <c r="BR12" i="3"/>
  <c r="BS12" i="3"/>
  <c r="BT12" i="3"/>
  <c r="BU12" i="3"/>
  <c r="BC13" i="3"/>
  <c r="BD13" i="3"/>
  <c r="BE13" i="3"/>
  <c r="BF13" i="3"/>
  <c r="BG13" i="3"/>
  <c r="BH13" i="3"/>
  <c r="BI13" i="3"/>
  <c r="BJ13" i="3"/>
  <c r="BK13" i="3"/>
  <c r="BL13" i="3"/>
  <c r="BM13" i="3"/>
  <c r="BN13" i="3"/>
  <c r="BO13" i="3"/>
  <c r="BP13" i="3"/>
  <c r="BQ13" i="3"/>
  <c r="BR13" i="3"/>
  <c r="BS13" i="3"/>
  <c r="BT13" i="3"/>
  <c r="BU13" i="3"/>
  <c r="BC14" i="3"/>
  <c r="BD14" i="3"/>
  <c r="BE14" i="3"/>
  <c r="BF14" i="3"/>
  <c r="BG14" i="3"/>
  <c r="BH14" i="3"/>
  <c r="BI14" i="3"/>
  <c r="BJ14" i="3"/>
  <c r="BK14" i="3"/>
  <c r="BL14" i="3"/>
  <c r="BM14" i="3"/>
  <c r="BN14" i="3"/>
  <c r="BO14" i="3"/>
  <c r="BP14" i="3"/>
  <c r="BQ14" i="3"/>
  <c r="BR14" i="3"/>
  <c r="BS14" i="3"/>
  <c r="BT14" i="3"/>
  <c r="BU14" i="3"/>
  <c r="BC15" i="3"/>
  <c r="BE15" i="3"/>
  <c r="BF15" i="3"/>
  <c r="BG15" i="3"/>
  <c r="BH15" i="3"/>
  <c r="BI15" i="3"/>
  <c r="BJ15" i="3"/>
  <c r="BK15" i="3"/>
  <c r="BL15" i="3"/>
  <c r="BM15" i="3"/>
  <c r="BN15" i="3"/>
  <c r="BO15" i="3"/>
  <c r="BP15" i="3"/>
  <c r="BQ15" i="3"/>
  <c r="BR15" i="3"/>
  <c r="BS15" i="3"/>
  <c r="BT15" i="3"/>
  <c r="BU15" i="3"/>
  <c r="BC16" i="3"/>
  <c r="BD16" i="3"/>
  <c r="BE16" i="3"/>
  <c r="BF16" i="3"/>
  <c r="BG16" i="3"/>
  <c r="BH16" i="3"/>
  <c r="BI16" i="3"/>
  <c r="BJ16" i="3"/>
  <c r="BK16" i="3"/>
  <c r="BL16" i="3"/>
  <c r="BM16" i="3"/>
  <c r="BN16" i="3"/>
  <c r="BO16" i="3"/>
  <c r="BP16" i="3"/>
  <c r="BQ16" i="3"/>
  <c r="BR16" i="3"/>
  <c r="BS16" i="3"/>
  <c r="BT16" i="3"/>
  <c r="BU16" i="3"/>
  <c r="BC17" i="3"/>
  <c r="BD17" i="3"/>
  <c r="BE17" i="3"/>
  <c r="BF17" i="3"/>
  <c r="BG17" i="3"/>
  <c r="BH17" i="3"/>
  <c r="BI17" i="3"/>
  <c r="BJ17" i="3"/>
  <c r="BK17" i="3"/>
  <c r="BL17" i="3"/>
  <c r="BM17" i="3"/>
  <c r="BN17" i="3"/>
  <c r="BO17" i="3"/>
  <c r="BP17" i="3"/>
  <c r="BQ17" i="3"/>
  <c r="BR17" i="3"/>
  <c r="BS17" i="3"/>
  <c r="BT17" i="3"/>
  <c r="BU17" i="3"/>
  <c r="BC18" i="3"/>
  <c r="BD18" i="3"/>
  <c r="BE18" i="3"/>
  <c r="BF18" i="3"/>
  <c r="BG18" i="3"/>
  <c r="BH18" i="3"/>
  <c r="BI18" i="3"/>
  <c r="BJ18" i="3"/>
  <c r="BK18" i="3"/>
  <c r="BL18" i="3"/>
  <c r="BM18" i="3"/>
  <c r="BN18" i="3"/>
  <c r="BO18" i="3"/>
  <c r="BP18" i="3"/>
  <c r="BQ18" i="3"/>
  <c r="BR18" i="3"/>
  <c r="BS18" i="3"/>
  <c r="BT18" i="3"/>
  <c r="BU18" i="3"/>
  <c r="BC19" i="3"/>
  <c r="BD19" i="3"/>
  <c r="BE19" i="3"/>
  <c r="BF19" i="3"/>
  <c r="BG19" i="3"/>
  <c r="BH19" i="3"/>
  <c r="BI19" i="3"/>
  <c r="BJ19" i="3"/>
  <c r="BK19" i="3"/>
  <c r="BL19" i="3"/>
  <c r="BM19" i="3"/>
  <c r="BN19" i="3"/>
  <c r="BO19" i="3"/>
  <c r="BP19" i="3"/>
  <c r="BQ19" i="3"/>
  <c r="BR19" i="3"/>
  <c r="BS19" i="3"/>
  <c r="BT19" i="3"/>
  <c r="BU19" i="3"/>
  <c r="BC20" i="3"/>
  <c r="BD20" i="3"/>
  <c r="BE20" i="3"/>
  <c r="BF20" i="3"/>
  <c r="BG20" i="3"/>
  <c r="BH20" i="3"/>
  <c r="BI20" i="3"/>
  <c r="BJ20" i="3"/>
  <c r="BK20" i="3"/>
  <c r="BL20" i="3"/>
  <c r="BM20" i="3"/>
  <c r="BN20" i="3"/>
  <c r="BO20" i="3"/>
  <c r="BP20" i="3"/>
  <c r="BQ20" i="3"/>
  <c r="BR20" i="3"/>
  <c r="BS20" i="3"/>
  <c r="BT20" i="3"/>
  <c r="BU20" i="3"/>
  <c r="BC21" i="3"/>
  <c r="BD21" i="3"/>
  <c r="BE21" i="3"/>
  <c r="BF21" i="3"/>
  <c r="BG21" i="3"/>
  <c r="BH21" i="3"/>
  <c r="BI21" i="3"/>
  <c r="BJ21" i="3"/>
  <c r="BK21" i="3"/>
  <c r="BL21" i="3"/>
  <c r="BM21" i="3"/>
  <c r="BN21" i="3"/>
  <c r="BO21" i="3"/>
  <c r="BP21" i="3"/>
  <c r="BQ21" i="3"/>
  <c r="BR21" i="3"/>
  <c r="BS21" i="3"/>
  <c r="BT21" i="3"/>
  <c r="BU21" i="3"/>
  <c r="BC22" i="3"/>
  <c r="BD22" i="3"/>
  <c r="BE22" i="3"/>
  <c r="BF22" i="3"/>
  <c r="BG22" i="3"/>
  <c r="BH22" i="3"/>
  <c r="BI22" i="3"/>
  <c r="BJ22" i="3"/>
  <c r="BK22" i="3"/>
  <c r="BL22" i="3"/>
  <c r="BM22" i="3"/>
  <c r="BN22" i="3"/>
  <c r="BO22" i="3"/>
  <c r="BP22" i="3"/>
  <c r="BQ22" i="3"/>
  <c r="BR22" i="3"/>
  <c r="BS22" i="3"/>
  <c r="BT22" i="3"/>
  <c r="BU22" i="3"/>
  <c r="BC23" i="3"/>
  <c r="BD23" i="3"/>
  <c r="BE23" i="3"/>
  <c r="BF23" i="3"/>
  <c r="BG23" i="3"/>
  <c r="BH23" i="3"/>
  <c r="BI23" i="3"/>
  <c r="BJ23" i="3"/>
  <c r="BK23" i="3"/>
  <c r="BL23" i="3"/>
  <c r="BM23" i="3"/>
  <c r="BN23" i="3"/>
  <c r="BO23" i="3"/>
  <c r="BP23" i="3"/>
  <c r="BQ23" i="3"/>
  <c r="BR23" i="3"/>
  <c r="BS23" i="3"/>
  <c r="BT23" i="3"/>
  <c r="BU23" i="3"/>
  <c r="BC24" i="3"/>
  <c r="BD24" i="3"/>
  <c r="BE24" i="3"/>
  <c r="BF24" i="3"/>
  <c r="BG24" i="3"/>
  <c r="BH24" i="3"/>
  <c r="BI24" i="3"/>
  <c r="BJ24" i="3"/>
  <c r="BK24" i="3"/>
  <c r="BL24" i="3"/>
  <c r="BM24" i="3"/>
  <c r="BN24" i="3"/>
  <c r="BO24" i="3"/>
  <c r="BP24" i="3"/>
  <c r="BQ24" i="3"/>
  <c r="BR24" i="3"/>
  <c r="BS24" i="3"/>
  <c r="BT24" i="3"/>
  <c r="BU24" i="3"/>
  <c r="BC25" i="3"/>
  <c r="BD25" i="3"/>
  <c r="BE25" i="3"/>
  <c r="BF25" i="3"/>
  <c r="BG25" i="3"/>
  <c r="BH25" i="3"/>
  <c r="BI25" i="3"/>
  <c r="BJ25" i="3"/>
  <c r="BK25" i="3"/>
  <c r="BL25" i="3"/>
  <c r="BM25" i="3"/>
  <c r="BN25" i="3"/>
  <c r="BO25" i="3"/>
  <c r="BP25" i="3"/>
  <c r="BQ25" i="3"/>
  <c r="BR25" i="3"/>
  <c r="BS25" i="3"/>
  <c r="BT25" i="3"/>
  <c r="BU25" i="3"/>
  <c r="BC26" i="3"/>
  <c r="BD26" i="3"/>
  <c r="BE26" i="3"/>
  <c r="BF26" i="3"/>
  <c r="BG26" i="3"/>
  <c r="BH26" i="3"/>
  <c r="BI26" i="3"/>
  <c r="BJ26" i="3"/>
  <c r="BK26" i="3"/>
  <c r="BL26" i="3"/>
  <c r="BM26" i="3"/>
  <c r="BN26" i="3"/>
  <c r="BO26" i="3"/>
  <c r="BP26" i="3"/>
  <c r="BQ26" i="3"/>
  <c r="BR26" i="3"/>
  <c r="BS26" i="3"/>
  <c r="BT26" i="3"/>
  <c r="BU26" i="3"/>
  <c r="BC27" i="3"/>
  <c r="BD27" i="3"/>
  <c r="BE27" i="3"/>
  <c r="BF27" i="3"/>
  <c r="BG27" i="3"/>
  <c r="BH27" i="3"/>
  <c r="BI27" i="3"/>
  <c r="BJ27" i="3"/>
  <c r="BK27" i="3"/>
  <c r="BL27" i="3"/>
  <c r="BM27" i="3"/>
  <c r="BN27" i="3"/>
  <c r="BO27" i="3"/>
  <c r="BP27" i="3"/>
  <c r="BQ27" i="3"/>
  <c r="BR27" i="3"/>
  <c r="BS27" i="3"/>
  <c r="BT27" i="3"/>
  <c r="BU27" i="3"/>
  <c r="BC28" i="3"/>
  <c r="BD28" i="3"/>
  <c r="BE28" i="3"/>
  <c r="BF28" i="3"/>
  <c r="BG28" i="3"/>
  <c r="BH28" i="3"/>
  <c r="BI28" i="3"/>
  <c r="BJ28" i="3"/>
  <c r="BK28" i="3"/>
  <c r="BL28" i="3"/>
  <c r="BM28" i="3"/>
  <c r="BN28" i="3"/>
  <c r="BO28" i="3"/>
  <c r="BP28" i="3"/>
  <c r="BQ28" i="3"/>
  <c r="BR28" i="3"/>
  <c r="BS28" i="3"/>
  <c r="BT28" i="3"/>
  <c r="BU28" i="3"/>
  <c r="BC29" i="3"/>
  <c r="BD29" i="3"/>
  <c r="BE29" i="3"/>
  <c r="BF29" i="3"/>
  <c r="BG29" i="3"/>
  <c r="BH29" i="3"/>
  <c r="BI29" i="3"/>
  <c r="BJ29" i="3"/>
  <c r="BK29" i="3"/>
  <c r="BL29" i="3"/>
  <c r="BM29" i="3"/>
  <c r="BN29" i="3"/>
  <c r="BO29" i="3"/>
  <c r="BP29" i="3"/>
  <c r="BQ29" i="3"/>
  <c r="BR29" i="3"/>
  <c r="BS29" i="3"/>
  <c r="BT29" i="3"/>
  <c r="BU29" i="3"/>
  <c r="BC30" i="3"/>
  <c r="BD30" i="3"/>
  <c r="BE30" i="3"/>
  <c r="BF30" i="3"/>
  <c r="BG30" i="3"/>
  <c r="BH30" i="3"/>
  <c r="BI30" i="3"/>
  <c r="BJ30" i="3"/>
  <c r="BK30" i="3"/>
  <c r="BL30" i="3"/>
  <c r="BM30" i="3"/>
  <c r="BN30" i="3"/>
  <c r="BO30" i="3"/>
  <c r="BP30" i="3"/>
  <c r="BQ30" i="3"/>
  <c r="BR30" i="3"/>
  <c r="BS30" i="3"/>
  <c r="BT30" i="3"/>
  <c r="BU30" i="3"/>
  <c r="BC31" i="3"/>
  <c r="BD31" i="3"/>
  <c r="BE31" i="3"/>
  <c r="BF31" i="3"/>
  <c r="BG31" i="3"/>
  <c r="BH31" i="3"/>
  <c r="BI31" i="3"/>
  <c r="BJ31" i="3"/>
  <c r="BK31" i="3"/>
  <c r="BL31" i="3"/>
  <c r="BM31" i="3"/>
  <c r="BN31" i="3"/>
  <c r="BO31" i="3"/>
  <c r="BP31" i="3"/>
  <c r="BQ31" i="3"/>
  <c r="BR31" i="3"/>
  <c r="BS31" i="3"/>
  <c r="BT31" i="3"/>
  <c r="BU31" i="3"/>
  <c r="BC32" i="3"/>
  <c r="BD32" i="3"/>
  <c r="BE32" i="3"/>
  <c r="BF32" i="3"/>
  <c r="BG32" i="3"/>
  <c r="BH32" i="3"/>
  <c r="BI32" i="3"/>
  <c r="BJ32" i="3"/>
  <c r="BK32" i="3"/>
  <c r="BL32" i="3"/>
  <c r="BM32" i="3"/>
  <c r="BN32" i="3"/>
  <c r="BO32" i="3"/>
  <c r="BP32" i="3"/>
  <c r="BQ32" i="3"/>
  <c r="BR32" i="3"/>
  <c r="BS32" i="3"/>
  <c r="BT32" i="3"/>
  <c r="BU32" i="3"/>
  <c r="BC33" i="3"/>
  <c r="BD33" i="3"/>
  <c r="BE33" i="3"/>
  <c r="BF33" i="3"/>
  <c r="BG33" i="3"/>
  <c r="BH33" i="3"/>
  <c r="BI33" i="3"/>
  <c r="BJ33" i="3"/>
  <c r="BK33" i="3"/>
  <c r="BL33" i="3"/>
  <c r="BM33" i="3"/>
  <c r="BN33" i="3"/>
  <c r="BO33" i="3"/>
  <c r="BP33" i="3"/>
  <c r="BQ33" i="3"/>
  <c r="BR33" i="3"/>
  <c r="BS33" i="3"/>
  <c r="BT33" i="3"/>
  <c r="BU33" i="3"/>
  <c r="BC34" i="3"/>
  <c r="BD34" i="3"/>
  <c r="BE34" i="3"/>
  <c r="BF34" i="3"/>
  <c r="BG34" i="3"/>
  <c r="BH34" i="3"/>
  <c r="BI34" i="3"/>
  <c r="BJ34" i="3"/>
  <c r="BK34" i="3"/>
  <c r="BL34" i="3"/>
  <c r="BM34" i="3"/>
  <c r="BN34" i="3"/>
  <c r="BO34" i="3"/>
  <c r="BP34" i="3"/>
  <c r="BQ34" i="3"/>
  <c r="BR34" i="3"/>
  <c r="BS34" i="3"/>
  <c r="BT34" i="3"/>
  <c r="BU34" i="3"/>
  <c r="BC35" i="3"/>
  <c r="BD35" i="3"/>
  <c r="BE35" i="3"/>
  <c r="BF35" i="3"/>
  <c r="BG35" i="3"/>
  <c r="BH35" i="3"/>
  <c r="BI35" i="3"/>
  <c r="BJ35" i="3"/>
  <c r="BK35" i="3"/>
  <c r="BL35" i="3"/>
  <c r="BM35" i="3"/>
  <c r="BN35" i="3"/>
  <c r="BO35" i="3"/>
  <c r="BP35" i="3"/>
  <c r="BQ35" i="3"/>
  <c r="BR35" i="3"/>
  <c r="BS35" i="3"/>
  <c r="BT35" i="3"/>
  <c r="BU35" i="3"/>
  <c r="BC36" i="3"/>
  <c r="BD36" i="3"/>
  <c r="BE36" i="3"/>
  <c r="BF36" i="3"/>
  <c r="BG36" i="3"/>
  <c r="BH36" i="3"/>
  <c r="BI36" i="3"/>
  <c r="BJ36" i="3"/>
  <c r="BK36" i="3"/>
  <c r="BL36" i="3"/>
  <c r="BM36" i="3"/>
  <c r="BN36" i="3"/>
  <c r="BO36" i="3"/>
  <c r="BP36" i="3"/>
  <c r="BQ36" i="3"/>
  <c r="BR36" i="3"/>
  <c r="BS36" i="3"/>
  <c r="BT36" i="3"/>
  <c r="BU36" i="3"/>
  <c r="BC37" i="3"/>
  <c r="BD37" i="3"/>
  <c r="BE37" i="3"/>
  <c r="BF37" i="3"/>
  <c r="BG37" i="3"/>
  <c r="BH37" i="3"/>
  <c r="BI37" i="3"/>
  <c r="BJ37" i="3"/>
  <c r="BK37" i="3"/>
  <c r="BL37" i="3"/>
  <c r="BM37" i="3"/>
  <c r="BN37" i="3"/>
  <c r="BO37" i="3"/>
  <c r="BP37" i="3"/>
  <c r="BQ37" i="3"/>
  <c r="BR37" i="3"/>
  <c r="BS37" i="3"/>
  <c r="BT37" i="3"/>
  <c r="BU37" i="3"/>
  <c r="BC38" i="3"/>
  <c r="BD38" i="3"/>
  <c r="BE38" i="3"/>
  <c r="BF38" i="3"/>
  <c r="BG38" i="3"/>
  <c r="BH38" i="3"/>
  <c r="BI38" i="3"/>
  <c r="BJ38" i="3"/>
  <c r="BK38" i="3"/>
  <c r="BL38" i="3"/>
  <c r="BM38" i="3"/>
  <c r="BN38" i="3"/>
  <c r="BO38" i="3"/>
  <c r="BP38" i="3"/>
  <c r="BQ38" i="3"/>
  <c r="BR38" i="3"/>
  <c r="BS38" i="3"/>
  <c r="BT38" i="3"/>
  <c r="BU38" i="3"/>
  <c r="BC39" i="3"/>
  <c r="BD39" i="3"/>
  <c r="BE39" i="3"/>
  <c r="BF39" i="3"/>
  <c r="BG39" i="3"/>
  <c r="BH39" i="3"/>
  <c r="BI39" i="3"/>
  <c r="BJ39" i="3"/>
  <c r="BK39" i="3"/>
  <c r="BL39" i="3"/>
  <c r="BM39" i="3"/>
  <c r="BN39" i="3"/>
  <c r="BO39" i="3"/>
  <c r="BP39" i="3"/>
  <c r="BQ39" i="3"/>
  <c r="BR39" i="3"/>
  <c r="BS39" i="3"/>
  <c r="BT39" i="3"/>
  <c r="BU39" i="3"/>
  <c r="BC40" i="3"/>
  <c r="BD40" i="3"/>
  <c r="BE40" i="3"/>
  <c r="BF40" i="3"/>
  <c r="BG40" i="3"/>
  <c r="BH40" i="3"/>
  <c r="BI40" i="3"/>
  <c r="BJ40" i="3"/>
  <c r="BK40" i="3"/>
  <c r="BL40" i="3"/>
  <c r="BM40" i="3"/>
  <c r="BN40" i="3"/>
  <c r="BO40" i="3"/>
  <c r="BP40" i="3"/>
  <c r="BQ40" i="3"/>
  <c r="BR40" i="3"/>
  <c r="BS40" i="3"/>
  <c r="BT40" i="3"/>
  <c r="BU40" i="3"/>
  <c r="BC41" i="3"/>
  <c r="BD41" i="3"/>
  <c r="BE41" i="3"/>
  <c r="BF41" i="3"/>
  <c r="BG41" i="3"/>
  <c r="BH41" i="3"/>
  <c r="BI41" i="3"/>
  <c r="BJ41" i="3"/>
  <c r="BK41" i="3"/>
  <c r="BL41" i="3"/>
  <c r="BM41" i="3"/>
  <c r="BN41" i="3"/>
  <c r="BO41" i="3"/>
  <c r="BP41" i="3"/>
  <c r="BQ41" i="3"/>
  <c r="BR41" i="3"/>
  <c r="BS41" i="3"/>
  <c r="BT41" i="3"/>
  <c r="BU41" i="3"/>
  <c r="BC42" i="3"/>
  <c r="BD42" i="3"/>
  <c r="BE42" i="3"/>
  <c r="BF42" i="3"/>
  <c r="BG42" i="3"/>
  <c r="BH42" i="3"/>
  <c r="BI42" i="3"/>
  <c r="BJ42" i="3"/>
  <c r="BK42" i="3"/>
  <c r="BL42" i="3"/>
  <c r="BM42" i="3"/>
  <c r="BN42" i="3"/>
  <c r="BO42" i="3"/>
  <c r="BP42" i="3"/>
  <c r="BQ42" i="3"/>
  <c r="BR42" i="3"/>
  <c r="BS42" i="3"/>
  <c r="BT42" i="3"/>
  <c r="BU42" i="3"/>
  <c r="BC43" i="3"/>
  <c r="BD43" i="3"/>
  <c r="BE43" i="3"/>
  <c r="BF43" i="3"/>
  <c r="BG43" i="3"/>
  <c r="BH43" i="3"/>
  <c r="BI43" i="3"/>
  <c r="BJ43" i="3"/>
  <c r="BK43" i="3"/>
  <c r="BL43" i="3"/>
  <c r="BM43" i="3"/>
  <c r="BN43" i="3"/>
  <c r="BO43" i="3"/>
  <c r="BP43" i="3"/>
  <c r="BQ43" i="3"/>
  <c r="BR43" i="3"/>
  <c r="BS43" i="3"/>
  <c r="BT43" i="3"/>
  <c r="BU43" i="3"/>
  <c r="BC44" i="3"/>
  <c r="BD44" i="3"/>
  <c r="BE44" i="3"/>
  <c r="BF44" i="3"/>
  <c r="BG44" i="3"/>
  <c r="BH44" i="3"/>
  <c r="BI44" i="3"/>
  <c r="BJ44" i="3"/>
  <c r="BK44" i="3"/>
  <c r="BL44" i="3"/>
  <c r="BM44" i="3"/>
  <c r="BN44" i="3"/>
  <c r="BO44" i="3"/>
  <c r="BP44" i="3"/>
  <c r="BQ44" i="3"/>
  <c r="BR44" i="3"/>
  <c r="BS44" i="3"/>
  <c r="BT44" i="3"/>
  <c r="BU44" i="3"/>
  <c r="BC45" i="3"/>
  <c r="BD45" i="3"/>
  <c r="BE45" i="3"/>
  <c r="BF45" i="3"/>
  <c r="BG45" i="3"/>
  <c r="BH45" i="3"/>
  <c r="BI45" i="3"/>
  <c r="BJ45" i="3"/>
  <c r="BK45" i="3"/>
  <c r="BL45" i="3"/>
  <c r="BM45" i="3"/>
  <c r="BN45" i="3"/>
  <c r="BO45" i="3"/>
  <c r="BP45" i="3"/>
  <c r="BQ45" i="3"/>
  <c r="BR45" i="3"/>
  <c r="BS45" i="3"/>
  <c r="BT45" i="3"/>
  <c r="BU45" i="3"/>
  <c r="BC46" i="3"/>
  <c r="BD46" i="3"/>
  <c r="BE46" i="3"/>
  <c r="BF46" i="3"/>
  <c r="BG46" i="3"/>
  <c r="BH46" i="3"/>
  <c r="BI46" i="3"/>
  <c r="BJ46" i="3"/>
  <c r="BK46" i="3"/>
  <c r="BL46" i="3"/>
  <c r="BM46" i="3"/>
  <c r="BN46" i="3"/>
  <c r="BO46" i="3"/>
  <c r="BP46" i="3"/>
  <c r="BQ46" i="3"/>
  <c r="BR46" i="3"/>
  <c r="BS46" i="3"/>
  <c r="BT46" i="3"/>
  <c r="BU46" i="3"/>
  <c r="BC47" i="3"/>
  <c r="BD47" i="3"/>
  <c r="BE47" i="3"/>
  <c r="BF47" i="3"/>
  <c r="BG47" i="3"/>
  <c r="BH47" i="3"/>
  <c r="BI47" i="3"/>
  <c r="BJ47" i="3"/>
  <c r="BK47" i="3"/>
  <c r="BL47" i="3"/>
  <c r="BM47" i="3"/>
  <c r="BN47" i="3"/>
  <c r="BO47" i="3"/>
  <c r="BP47" i="3"/>
  <c r="BQ47" i="3"/>
  <c r="BR47" i="3"/>
  <c r="BS47" i="3"/>
  <c r="BT47" i="3"/>
  <c r="BU47" i="3"/>
  <c r="BC48" i="3"/>
  <c r="BD48" i="3"/>
  <c r="BE48" i="3"/>
  <c r="BF48" i="3"/>
  <c r="BG48" i="3"/>
  <c r="BH48" i="3"/>
  <c r="BI48" i="3"/>
  <c r="BJ48" i="3"/>
  <c r="BK48" i="3"/>
  <c r="BL48" i="3"/>
  <c r="BM48" i="3"/>
  <c r="BN48" i="3"/>
  <c r="BO48" i="3"/>
  <c r="BP48" i="3"/>
  <c r="BQ48" i="3"/>
  <c r="BR48" i="3"/>
  <c r="BS48" i="3"/>
  <c r="BT48" i="3"/>
  <c r="BU48" i="3"/>
  <c r="BC49" i="3"/>
  <c r="BD49" i="3"/>
  <c r="BE49" i="3"/>
  <c r="BF49" i="3"/>
  <c r="BG49" i="3"/>
  <c r="BH49" i="3"/>
  <c r="BI49" i="3"/>
  <c r="BJ49" i="3"/>
  <c r="BK49" i="3"/>
  <c r="BL49" i="3"/>
  <c r="BM49" i="3"/>
  <c r="BN49" i="3"/>
  <c r="BO49" i="3"/>
  <c r="BP49" i="3"/>
  <c r="BQ49" i="3"/>
  <c r="BR49" i="3"/>
  <c r="BS49" i="3"/>
  <c r="BT49" i="3"/>
  <c r="BU49" i="3"/>
  <c r="BC50" i="3"/>
  <c r="BD50" i="3"/>
  <c r="BE50" i="3"/>
  <c r="BF50" i="3"/>
  <c r="BG50" i="3"/>
  <c r="BH50" i="3"/>
  <c r="BI50" i="3"/>
  <c r="BJ50" i="3"/>
  <c r="BK50" i="3"/>
  <c r="BL50" i="3"/>
  <c r="BM50" i="3"/>
  <c r="BN50" i="3"/>
  <c r="BO50" i="3"/>
  <c r="BP50" i="3"/>
  <c r="BQ50" i="3"/>
  <c r="BR50" i="3"/>
  <c r="BS50" i="3"/>
  <c r="BT50" i="3"/>
  <c r="BU50" i="3"/>
  <c r="BC51" i="3"/>
  <c r="BD51" i="3"/>
  <c r="BE51" i="3"/>
  <c r="BF51" i="3"/>
  <c r="BG51" i="3"/>
  <c r="BH51" i="3"/>
  <c r="BI51" i="3"/>
  <c r="BJ51" i="3"/>
  <c r="BK51" i="3"/>
  <c r="BL51" i="3"/>
  <c r="BM51" i="3"/>
  <c r="BN51" i="3"/>
  <c r="BO51" i="3"/>
  <c r="BP51" i="3"/>
  <c r="BQ51" i="3"/>
  <c r="BR51" i="3"/>
  <c r="BS51" i="3"/>
  <c r="BT51" i="3"/>
  <c r="BU51" i="3"/>
  <c r="BC52" i="3"/>
  <c r="BD52" i="3"/>
  <c r="BE52" i="3"/>
  <c r="BF52" i="3"/>
  <c r="BG52" i="3"/>
  <c r="BH52" i="3"/>
  <c r="BI52" i="3"/>
  <c r="BJ52" i="3"/>
  <c r="BK52" i="3"/>
  <c r="BL52" i="3"/>
  <c r="BM52" i="3"/>
  <c r="BN52" i="3"/>
  <c r="BO52" i="3"/>
  <c r="BP52" i="3"/>
  <c r="BQ52" i="3"/>
  <c r="BR52" i="3"/>
  <c r="BS52" i="3"/>
  <c r="BT52" i="3"/>
  <c r="BU52" i="3"/>
  <c r="BC53" i="3"/>
  <c r="BD53" i="3"/>
  <c r="BE53" i="3"/>
  <c r="BF53" i="3"/>
  <c r="BG53" i="3"/>
  <c r="BH53" i="3"/>
  <c r="BI53" i="3"/>
  <c r="BJ53" i="3"/>
  <c r="BK53" i="3"/>
  <c r="BL53" i="3"/>
  <c r="BM53" i="3"/>
  <c r="BN53" i="3"/>
  <c r="BO53" i="3"/>
  <c r="BP53" i="3"/>
  <c r="BQ53" i="3"/>
  <c r="BR53" i="3"/>
  <c r="BS53" i="3"/>
  <c r="BT53" i="3"/>
  <c r="BU53" i="3"/>
  <c r="BC54" i="3"/>
  <c r="BD54" i="3"/>
  <c r="BE54" i="3"/>
  <c r="BF54" i="3"/>
  <c r="BG54" i="3"/>
  <c r="BH54" i="3"/>
  <c r="BI54" i="3"/>
  <c r="BJ54" i="3"/>
  <c r="BK54" i="3"/>
  <c r="BL54" i="3"/>
  <c r="BM54" i="3"/>
  <c r="BN54" i="3"/>
  <c r="BO54" i="3"/>
  <c r="BP54" i="3"/>
  <c r="BQ54" i="3"/>
  <c r="BR54" i="3"/>
  <c r="BS54" i="3"/>
  <c r="BT54" i="3"/>
  <c r="BU54" i="3"/>
  <c r="BC55" i="3"/>
  <c r="BD55" i="3"/>
  <c r="BE55" i="3"/>
  <c r="BF55" i="3"/>
  <c r="BG55" i="3"/>
  <c r="BH55" i="3"/>
  <c r="BI55" i="3"/>
  <c r="BJ55" i="3"/>
  <c r="BK55" i="3"/>
  <c r="BL55" i="3"/>
  <c r="BM55" i="3"/>
  <c r="BN55" i="3"/>
  <c r="BO55" i="3"/>
  <c r="BP55" i="3"/>
  <c r="BQ55" i="3"/>
  <c r="BR55" i="3"/>
  <c r="BS55" i="3"/>
  <c r="BT55" i="3"/>
  <c r="BU55" i="3"/>
  <c r="BC56" i="3"/>
  <c r="BD56" i="3"/>
  <c r="BE56" i="3"/>
  <c r="BF56" i="3"/>
  <c r="BG56" i="3"/>
  <c r="BH56" i="3"/>
  <c r="BI56" i="3"/>
  <c r="BJ56" i="3"/>
  <c r="BK56" i="3"/>
  <c r="BL56" i="3"/>
  <c r="BM56" i="3"/>
  <c r="BN56" i="3"/>
  <c r="BO56" i="3"/>
  <c r="BP56" i="3"/>
  <c r="BQ56" i="3"/>
  <c r="BR56" i="3"/>
  <c r="BS56" i="3"/>
  <c r="BT56" i="3"/>
  <c r="BU56" i="3"/>
  <c r="BC57" i="3"/>
  <c r="BD57" i="3"/>
  <c r="BE57" i="3"/>
  <c r="BF57" i="3"/>
  <c r="BG57" i="3"/>
  <c r="BH57" i="3"/>
  <c r="BI57" i="3"/>
  <c r="BJ57" i="3"/>
  <c r="BK57" i="3"/>
  <c r="BL57" i="3"/>
  <c r="BM57" i="3"/>
  <c r="BN57" i="3"/>
  <c r="BO57" i="3"/>
  <c r="BP57" i="3"/>
  <c r="BQ57" i="3"/>
  <c r="BR57" i="3"/>
  <c r="BS57" i="3"/>
  <c r="BT57" i="3"/>
  <c r="BU57" i="3"/>
  <c r="BC58" i="3"/>
  <c r="BD58" i="3"/>
  <c r="BE58" i="3"/>
  <c r="BF58" i="3"/>
  <c r="BG58" i="3"/>
  <c r="BH58" i="3"/>
  <c r="BI58" i="3"/>
  <c r="BJ58" i="3"/>
  <c r="BK58" i="3"/>
  <c r="BL58" i="3"/>
  <c r="BM58" i="3"/>
  <c r="BN58" i="3"/>
  <c r="BO58" i="3"/>
  <c r="BP58" i="3"/>
  <c r="BQ58" i="3"/>
  <c r="BR58" i="3"/>
  <c r="BS58" i="3"/>
  <c r="BT58" i="3"/>
  <c r="BU58" i="3"/>
  <c r="BC59" i="3"/>
  <c r="BD59" i="3"/>
  <c r="BE59" i="3"/>
  <c r="BF59" i="3"/>
  <c r="BG59" i="3"/>
  <c r="BH59" i="3"/>
  <c r="BI59" i="3"/>
  <c r="BJ59" i="3"/>
  <c r="BK59" i="3"/>
  <c r="BL59" i="3"/>
  <c r="BM59" i="3"/>
  <c r="BN59" i="3"/>
  <c r="BO59" i="3"/>
  <c r="BP59" i="3"/>
  <c r="BQ59" i="3"/>
  <c r="BR59" i="3"/>
  <c r="BS59" i="3"/>
  <c r="BT59" i="3"/>
  <c r="BU59" i="3"/>
  <c r="BC60" i="3"/>
  <c r="BD60" i="3"/>
  <c r="BE60" i="3"/>
  <c r="BF60" i="3"/>
  <c r="BG60" i="3"/>
  <c r="BH60" i="3"/>
  <c r="BI60" i="3"/>
  <c r="BJ60" i="3"/>
  <c r="BK60" i="3"/>
  <c r="BL60" i="3"/>
  <c r="BM60" i="3"/>
  <c r="BN60" i="3"/>
  <c r="BO60" i="3"/>
  <c r="BP60" i="3"/>
  <c r="BQ60" i="3"/>
  <c r="BR60" i="3"/>
  <c r="BS60" i="3"/>
  <c r="BT60" i="3"/>
  <c r="BU60" i="3"/>
  <c r="BC61" i="3"/>
  <c r="BD61" i="3"/>
  <c r="BE61" i="3"/>
  <c r="BF61" i="3"/>
  <c r="BG61" i="3"/>
  <c r="BH61" i="3"/>
  <c r="BI61" i="3"/>
  <c r="BJ61" i="3"/>
  <c r="BK61" i="3"/>
  <c r="BL61" i="3"/>
  <c r="BM61" i="3"/>
  <c r="BN61" i="3"/>
  <c r="BO61" i="3"/>
  <c r="BP61" i="3"/>
  <c r="BQ61" i="3"/>
  <c r="BR61" i="3"/>
  <c r="BS61" i="3"/>
  <c r="BT61" i="3"/>
  <c r="BU61" i="3"/>
  <c r="BC62" i="3"/>
  <c r="BD62" i="3"/>
  <c r="BE62" i="3"/>
  <c r="BF62" i="3"/>
  <c r="BG62" i="3"/>
  <c r="BH62" i="3"/>
  <c r="BI62" i="3"/>
  <c r="BJ62" i="3"/>
  <c r="BK62" i="3"/>
  <c r="BL62" i="3"/>
  <c r="BM62" i="3"/>
  <c r="BN62" i="3"/>
  <c r="BO62" i="3"/>
  <c r="BP62" i="3"/>
  <c r="BQ62" i="3"/>
  <c r="BR62" i="3"/>
  <c r="BS62" i="3"/>
  <c r="BT62" i="3"/>
  <c r="BU62" i="3"/>
  <c r="BC63" i="3"/>
  <c r="BD63" i="3"/>
  <c r="BE63" i="3"/>
  <c r="BF63" i="3"/>
  <c r="BG63" i="3"/>
  <c r="BH63" i="3"/>
  <c r="BI63" i="3"/>
  <c r="BJ63" i="3"/>
  <c r="BK63" i="3"/>
  <c r="BL63" i="3"/>
  <c r="BM63" i="3"/>
  <c r="BN63" i="3"/>
  <c r="BO63" i="3"/>
  <c r="BP63" i="3"/>
  <c r="BQ63" i="3"/>
  <c r="BR63" i="3"/>
  <c r="BS63" i="3"/>
  <c r="BT63" i="3"/>
  <c r="BU63" i="3"/>
  <c r="BC64" i="3"/>
  <c r="BD64" i="3"/>
  <c r="BE64" i="3"/>
  <c r="BF64" i="3"/>
  <c r="BG64" i="3"/>
  <c r="BH64" i="3"/>
  <c r="BI64" i="3"/>
  <c r="BJ64" i="3"/>
  <c r="BK64" i="3"/>
  <c r="BL64" i="3"/>
  <c r="BM64" i="3"/>
  <c r="BN64" i="3"/>
  <c r="BO64" i="3"/>
  <c r="BP64" i="3"/>
  <c r="BQ64" i="3"/>
  <c r="BR64" i="3"/>
  <c r="BS64" i="3"/>
  <c r="BT64" i="3"/>
  <c r="BU64" i="3"/>
  <c r="BC65" i="3"/>
  <c r="BD65" i="3"/>
  <c r="BE65" i="3"/>
  <c r="BF65" i="3"/>
  <c r="BG65" i="3"/>
  <c r="BH65" i="3"/>
  <c r="BI65" i="3"/>
  <c r="BJ65" i="3"/>
  <c r="BK65" i="3"/>
  <c r="BL65" i="3"/>
  <c r="BM65" i="3"/>
  <c r="BN65" i="3"/>
  <c r="BO65" i="3"/>
  <c r="BP65" i="3"/>
  <c r="BQ65" i="3"/>
  <c r="BR65" i="3"/>
  <c r="BS65" i="3"/>
  <c r="BT65" i="3"/>
  <c r="BU65" i="3"/>
  <c r="BC66" i="3"/>
  <c r="BD66" i="3"/>
  <c r="BE66" i="3"/>
  <c r="BF66" i="3"/>
  <c r="BG66" i="3"/>
  <c r="BH66" i="3"/>
  <c r="BI66" i="3"/>
  <c r="BJ66" i="3"/>
  <c r="BK66" i="3"/>
  <c r="BL66" i="3"/>
  <c r="BM66" i="3"/>
  <c r="BN66" i="3"/>
  <c r="BO66" i="3"/>
  <c r="BP66" i="3"/>
  <c r="BQ66" i="3"/>
  <c r="BR66" i="3"/>
  <c r="BS66" i="3"/>
  <c r="BT66" i="3"/>
  <c r="BU66" i="3"/>
  <c r="BC67" i="3"/>
  <c r="BD67" i="3"/>
  <c r="BE67" i="3"/>
  <c r="BF67" i="3"/>
  <c r="BG67" i="3"/>
  <c r="BH67" i="3"/>
  <c r="BI67" i="3"/>
  <c r="BJ67" i="3"/>
  <c r="BK67" i="3"/>
  <c r="BL67" i="3"/>
  <c r="BM67" i="3"/>
  <c r="BN67" i="3"/>
  <c r="BO67" i="3"/>
  <c r="BP67" i="3"/>
  <c r="BQ67" i="3"/>
  <c r="BR67" i="3"/>
  <c r="BS67" i="3"/>
  <c r="BT67" i="3"/>
  <c r="BU67" i="3"/>
  <c r="BC68" i="3"/>
  <c r="BD68" i="3"/>
  <c r="BE68" i="3"/>
  <c r="BF68" i="3"/>
  <c r="BG68" i="3"/>
  <c r="BH68" i="3"/>
  <c r="BI68" i="3"/>
  <c r="BJ68" i="3"/>
  <c r="BK68" i="3"/>
  <c r="BL68" i="3"/>
  <c r="BM68" i="3"/>
  <c r="BN68" i="3"/>
  <c r="BO68" i="3"/>
  <c r="BP68" i="3"/>
  <c r="BQ68" i="3"/>
  <c r="BR68" i="3"/>
  <c r="BS68" i="3"/>
  <c r="BT68" i="3"/>
  <c r="BU68" i="3"/>
  <c r="BC69" i="3"/>
  <c r="BD69" i="3"/>
  <c r="BE69" i="3"/>
  <c r="BF69" i="3"/>
  <c r="BG69" i="3"/>
  <c r="BH69" i="3"/>
  <c r="BI69" i="3"/>
  <c r="BJ69" i="3"/>
  <c r="BK69" i="3"/>
  <c r="BL69" i="3"/>
  <c r="BM69" i="3"/>
  <c r="BN69" i="3"/>
  <c r="BO69" i="3"/>
  <c r="BP69" i="3"/>
  <c r="BQ69" i="3"/>
  <c r="BR69" i="3"/>
  <c r="BS69" i="3"/>
  <c r="BT69" i="3"/>
  <c r="BU69" i="3"/>
  <c r="BC70" i="3"/>
  <c r="BD70" i="3"/>
  <c r="BE70" i="3"/>
  <c r="BF70" i="3"/>
  <c r="BG70" i="3"/>
  <c r="BH70" i="3"/>
  <c r="BI70" i="3"/>
  <c r="BJ70" i="3"/>
  <c r="BK70" i="3"/>
  <c r="BL70" i="3"/>
  <c r="BM70" i="3"/>
  <c r="BN70" i="3"/>
  <c r="BO70" i="3"/>
  <c r="BP70" i="3"/>
  <c r="BQ70" i="3"/>
  <c r="BR70" i="3"/>
  <c r="BS70" i="3"/>
  <c r="BT70" i="3"/>
  <c r="BU70" i="3"/>
  <c r="BC71" i="3"/>
  <c r="BD71" i="3"/>
  <c r="BE71" i="3"/>
  <c r="BF71" i="3"/>
  <c r="BG71" i="3"/>
  <c r="BH71" i="3"/>
  <c r="BI71" i="3"/>
  <c r="BJ71" i="3"/>
  <c r="BK71" i="3"/>
  <c r="BL71" i="3"/>
  <c r="BM71" i="3"/>
  <c r="BN71" i="3"/>
  <c r="BO71" i="3"/>
  <c r="BP71" i="3"/>
  <c r="BQ71" i="3"/>
  <c r="BR71" i="3"/>
  <c r="BS71" i="3"/>
  <c r="BT71" i="3"/>
  <c r="BU71" i="3"/>
  <c r="BC72" i="3"/>
  <c r="BD72" i="3"/>
  <c r="BE72" i="3"/>
  <c r="BF72" i="3"/>
  <c r="BG72" i="3"/>
  <c r="BH72" i="3"/>
  <c r="BI72" i="3"/>
  <c r="BJ72" i="3"/>
  <c r="BK72" i="3"/>
  <c r="BL72" i="3"/>
  <c r="BM72" i="3"/>
  <c r="BN72" i="3"/>
  <c r="BO72" i="3"/>
  <c r="BP72" i="3"/>
  <c r="BQ72" i="3"/>
  <c r="BR72" i="3"/>
  <c r="BS72" i="3"/>
  <c r="BT72" i="3"/>
  <c r="BU72" i="3"/>
  <c r="BC73" i="3"/>
  <c r="BD73" i="3"/>
  <c r="BE73" i="3"/>
  <c r="BF73" i="3"/>
  <c r="BG73" i="3"/>
  <c r="BH73" i="3"/>
  <c r="BI73" i="3"/>
  <c r="BJ73" i="3"/>
  <c r="BK73" i="3"/>
  <c r="BL73" i="3"/>
  <c r="BM73" i="3"/>
  <c r="BN73" i="3"/>
  <c r="BO73" i="3"/>
  <c r="BP73" i="3"/>
  <c r="BQ73" i="3"/>
  <c r="BR73" i="3"/>
  <c r="BS73" i="3"/>
  <c r="BT73" i="3"/>
  <c r="BU73" i="3"/>
  <c r="BC74" i="3"/>
  <c r="BD74" i="3"/>
  <c r="BE74" i="3"/>
  <c r="BF74" i="3"/>
  <c r="BG74" i="3"/>
  <c r="BH74" i="3"/>
  <c r="BI74" i="3"/>
  <c r="BJ74" i="3"/>
  <c r="BK74" i="3"/>
  <c r="BL74" i="3"/>
  <c r="BM74" i="3"/>
  <c r="BN74" i="3"/>
  <c r="BO74" i="3"/>
  <c r="BP74" i="3"/>
  <c r="BQ74" i="3"/>
  <c r="BR74" i="3"/>
  <c r="BS74" i="3"/>
  <c r="BT74" i="3"/>
  <c r="BU74" i="3"/>
  <c r="BC75" i="3"/>
  <c r="BD75" i="3"/>
  <c r="BE75" i="3"/>
  <c r="BF75" i="3"/>
  <c r="BG75" i="3"/>
  <c r="BH75" i="3"/>
  <c r="BI75" i="3"/>
  <c r="BJ75" i="3"/>
  <c r="BK75" i="3"/>
  <c r="BL75" i="3"/>
  <c r="BM75" i="3"/>
  <c r="BN75" i="3"/>
  <c r="BO75" i="3"/>
  <c r="BP75" i="3"/>
  <c r="BQ75" i="3"/>
  <c r="BR75" i="3"/>
  <c r="BS75" i="3"/>
  <c r="BT75" i="3"/>
  <c r="BU75" i="3"/>
  <c r="BC76" i="3"/>
  <c r="BD76" i="3"/>
  <c r="BE76" i="3"/>
  <c r="BF76" i="3"/>
  <c r="BG76" i="3"/>
  <c r="BH76" i="3"/>
  <c r="BI76" i="3"/>
  <c r="BJ76" i="3"/>
  <c r="BK76" i="3"/>
  <c r="BL76" i="3"/>
  <c r="BM76" i="3"/>
  <c r="BN76" i="3"/>
  <c r="BO76" i="3"/>
  <c r="BP76" i="3"/>
  <c r="BQ76" i="3"/>
  <c r="BR76" i="3"/>
  <c r="BS76" i="3"/>
  <c r="BT76" i="3"/>
  <c r="BU76" i="3"/>
  <c r="BC77" i="3"/>
  <c r="BD77" i="3"/>
  <c r="BE77" i="3"/>
  <c r="BF77" i="3"/>
  <c r="BG77" i="3"/>
  <c r="BH77" i="3"/>
  <c r="BI77" i="3"/>
  <c r="BJ77" i="3"/>
  <c r="BK77" i="3"/>
  <c r="BL77" i="3"/>
  <c r="BM77" i="3"/>
  <c r="BN77" i="3"/>
  <c r="BO77" i="3"/>
  <c r="BP77" i="3"/>
  <c r="BQ77" i="3"/>
  <c r="BR77" i="3"/>
  <c r="BS77" i="3"/>
  <c r="BT77" i="3"/>
  <c r="BU77" i="3"/>
  <c r="BC78" i="3"/>
  <c r="BD78" i="3"/>
  <c r="BE78" i="3"/>
  <c r="BF78" i="3"/>
  <c r="BG78" i="3"/>
  <c r="BH78" i="3"/>
  <c r="BI78" i="3"/>
  <c r="BJ78" i="3"/>
  <c r="BK78" i="3"/>
  <c r="BL78" i="3"/>
  <c r="BM78" i="3"/>
  <c r="BN78" i="3"/>
  <c r="BO78" i="3"/>
  <c r="BP78" i="3"/>
  <c r="BQ78" i="3"/>
  <c r="BR78" i="3"/>
  <c r="BS78" i="3"/>
  <c r="BT78" i="3"/>
  <c r="BU78" i="3"/>
  <c r="BC79" i="3"/>
  <c r="BD79" i="3"/>
  <c r="BE79" i="3"/>
  <c r="BF79" i="3"/>
  <c r="BG79" i="3"/>
  <c r="BH79" i="3"/>
  <c r="BI79" i="3"/>
  <c r="BJ79" i="3"/>
  <c r="BK79" i="3"/>
  <c r="BL79" i="3"/>
  <c r="BM79" i="3"/>
  <c r="BN79" i="3"/>
  <c r="BO79" i="3"/>
  <c r="BP79" i="3"/>
  <c r="BQ79" i="3"/>
  <c r="BR79" i="3"/>
  <c r="BS79" i="3"/>
  <c r="BT79" i="3"/>
  <c r="BU79" i="3"/>
  <c r="BC80" i="3"/>
  <c r="BD80" i="3"/>
  <c r="BE80" i="3"/>
  <c r="BF80" i="3"/>
  <c r="BG80" i="3"/>
  <c r="BH80" i="3"/>
  <c r="BI80" i="3"/>
  <c r="BJ80" i="3"/>
  <c r="BK80" i="3"/>
  <c r="BL80" i="3"/>
  <c r="BM80" i="3"/>
  <c r="BN80" i="3"/>
  <c r="BO80" i="3"/>
  <c r="BP80" i="3"/>
  <c r="BQ80" i="3"/>
  <c r="BR80" i="3"/>
  <c r="BS80" i="3"/>
  <c r="BT80" i="3"/>
  <c r="BU80" i="3"/>
  <c r="BC81" i="3"/>
  <c r="BD81" i="3"/>
  <c r="BE81" i="3"/>
  <c r="BF81" i="3"/>
  <c r="BG81" i="3"/>
  <c r="BH81" i="3"/>
  <c r="BI81" i="3"/>
  <c r="BJ81" i="3"/>
  <c r="BK81" i="3"/>
  <c r="BL81" i="3"/>
  <c r="BM81" i="3"/>
  <c r="BN81" i="3"/>
  <c r="BO81" i="3"/>
  <c r="BP81" i="3"/>
  <c r="BQ81" i="3"/>
  <c r="BR81" i="3"/>
  <c r="BS81" i="3"/>
  <c r="BT81" i="3"/>
  <c r="BU81" i="3"/>
  <c r="BC82" i="3"/>
  <c r="BD82" i="3"/>
  <c r="BE82" i="3"/>
  <c r="BF82" i="3"/>
  <c r="BG82" i="3"/>
  <c r="BH82" i="3"/>
  <c r="BI82" i="3"/>
  <c r="BJ82" i="3"/>
  <c r="BK82" i="3"/>
  <c r="BL82" i="3"/>
  <c r="BM82" i="3"/>
  <c r="BN82" i="3"/>
  <c r="BO82" i="3"/>
  <c r="BP82" i="3"/>
  <c r="BQ82" i="3"/>
  <c r="BR82" i="3"/>
  <c r="BS82" i="3"/>
  <c r="BT82" i="3"/>
  <c r="BU82" i="3"/>
  <c r="BC83" i="3"/>
  <c r="BD83" i="3"/>
  <c r="BE83" i="3"/>
  <c r="BF83" i="3"/>
  <c r="BG83" i="3"/>
  <c r="BH83" i="3"/>
  <c r="BI83" i="3"/>
  <c r="BJ83" i="3"/>
  <c r="BK83" i="3"/>
  <c r="BL83" i="3"/>
  <c r="BM83" i="3"/>
  <c r="BN83" i="3"/>
  <c r="BO83" i="3"/>
  <c r="BP83" i="3"/>
  <c r="BQ83" i="3"/>
  <c r="BR83" i="3"/>
  <c r="BS83" i="3"/>
  <c r="BT83" i="3"/>
  <c r="BU83" i="3"/>
  <c r="BC84" i="3"/>
  <c r="BD84" i="3"/>
  <c r="BE84" i="3"/>
  <c r="BF84" i="3"/>
  <c r="BG84" i="3"/>
  <c r="BH84" i="3"/>
  <c r="BI84" i="3"/>
  <c r="BJ84" i="3"/>
  <c r="BK84" i="3"/>
  <c r="BL84" i="3"/>
  <c r="BM84" i="3"/>
  <c r="BN84" i="3"/>
  <c r="BO84" i="3"/>
  <c r="BP84" i="3"/>
  <c r="BQ84" i="3"/>
  <c r="BR84" i="3"/>
  <c r="BS84" i="3"/>
  <c r="BT84" i="3"/>
  <c r="BU84" i="3"/>
  <c r="BC85" i="3"/>
  <c r="BD85" i="3"/>
  <c r="BE85" i="3"/>
  <c r="BF85" i="3"/>
  <c r="BG85" i="3"/>
  <c r="BH85" i="3"/>
  <c r="BI85" i="3"/>
  <c r="BJ85" i="3"/>
  <c r="BK85" i="3"/>
  <c r="BL85" i="3"/>
  <c r="BM85" i="3"/>
  <c r="BN85" i="3"/>
  <c r="BO85" i="3"/>
  <c r="BP85" i="3"/>
  <c r="BQ85" i="3"/>
  <c r="BR85" i="3"/>
  <c r="BS85" i="3"/>
  <c r="BT85" i="3"/>
  <c r="BU85" i="3"/>
  <c r="BC86" i="3"/>
  <c r="BD86" i="3"/>
  <c r="BE86" i="3"/>
  <c r="BF86" i="3"/>
  <c r="BG86" i="3"/>
  <c r="BH86" i="3"/>
  <c r="BI86" i="3"/>
  <c r="BJ86" i="3"/>
  <c r="BK86" i="3"/>
  <c r="BL86" i="3"/>
  <c r="BM86" i="3"/>
  <c r="BN86" i="3"/>
  <c r="BO86" i="3"/>
  <c r="BP86" i="3"/>
  <c r="BQ86" i="3"/>
  <c r="BR86" i="3"/>
  <c r="BS86" i="3"/>
  <c r="BT86" i="3"/>
  <c r="BU86" i="3"/>
  <c r="BC87" i="3"/>
  <c r="BD87" i="3"/>
  <c r="BE87" i="3"/>
  <c r="BF87" i="3"/>
  <c r="BG87" i="3"/>
  <c r="BH87" i="3"/>
  <c r="BI87" i="3"/>
  <c r="BJ87" i="3"/>
  <c r="BK87" i="3"/>
  <c r="BL87" i="3"/>
  <c r="BM87" i="3"/>
  <c r="BN87" i="3"/>
  <c r="BO87" i="3"/>
  <c r="BP87" i="3"/>
  <c r="BQ87" i="3"/>
  <c r="BR87" i="3"/>
  <c r="BS87" i="3"/>
  <c r="BT87" i="3"/>
  <c r="BU87" i="3"/>
  <c r="BC88" i="3"/>
  <c r="BD88" i="3"/>
  <c r="BE88" i="3"/>
  <c r="BF88" i="3"/>
  <c r="BG88" i="3"/>
  <c r="BH88" i="3"/>
  <c r="BI88" i="3"/>
  <c r="BJ88" i="3"/>
  <c r="BK88" i="3"/>
  <c r="BL88" i="3"/>
  <c r="BM88" i="3"/>
  <c r="BN88" i="3"/>
  <c r="BO88" i="3"/>
  <c r="BP88" i="3"/>
  <c r="BQ88" i="3"/>
  <c r="BR88" i="3"/>
  <c r="BS88" i="3"/>
  <c r="BT88" i="3"/>
  <c r="BU88" i="3"/>
  <c r="BC89" i="3"/>
  <c r="BD89" i="3"/>
  <c r="BE89" i="3"/>
  <c r="BF89" i="3"/>
  <c r="BG89" i="3"/>
  <c r="BH89" i="3"/>
  <c r="BI89" i="3"/>
  <c r="BJ89" i="3"/>
  <c r="BK89" i="3"/>
  <c r="BL89" i="3"/>
  <c r="BM89" i="3"/>
  <c r="BN89" i="3"/>
  <c r="BO89" i="3"/>
  <c r="BP89" i="3"/>
  <c r="BQ89" i="3"/>
  <c r="BR89" i="3"/>
  <c r="BS89" i="3"/>
  <c r="BT89" i="3"/>
  <c r="BU89" i="3"/>
  <c r="BC90" i="3"/>
  <c r="BD90" i="3"/>
  <c r="BE90" i="3"/>
  <c r="BF90" i="3"/>
  <c r="BG90" i="3"/>
  <c r="BH90" i="3"/>
  <c r="BI90" i="3"/>
  <c r="BJ90" i="3"/>
  <c r="BK90" i="3"/>
  <c r="BL90" i="3"/>
  <c r="BM90" i="3"/>
  <c r="BN90" i="3"/>
  <c r="BO90" i="3"/>
  <c r="BP90" i="3"/>
  <c r="BQ90" i="3"/>
  <c r="BR90" i="3"/>
  <c r="BS90" i="3"/>
  <c r="BT90" i="3"/>
  <c r="BU90" i="3"/>
  <c r="BC91" i="3"/>
  <c r="BD91" i="3"/>
  <c r="BE91" i="3"/>
  <c r="BF91" i="3"/>
  <c r="BG91" i="3"/>
  <c r="BH91" i="3"/>
  <c r="BI91" i="3"/>
  <c r="BJ91" i="3"/>
  <c r="BK91" i="3"/>
  <c r="BL91" i="3"/>
  <c r="BM91" i="3"/>
  <c r="BN91" i="3"/>
  <c r="BO91" i="3"/>
  <c r="BP91" i="3"/>
  <c r="BQ91" i="3"/>
  <c r="BR91" i="3"/>
  <c r="BS91" i="3"/>
  <c r="BT91" i="3"/>
  <c r="BU91" i="3"/>
  <c r="BC92" i="3"/>
  <c r="BD92" i="3"/>
  <c r="BE92" i="3"/>
  <c r="BF92" i="3"/>
  <c r="BG92" i="3"/>
  <c r="BH92" i="3"/>
  <c r="BI92" i="3"/>
  <c r="BJ92" i="3"/>
  <c r="BK92" i="3"/>
  <c r="BL92" i="3"/>
  <c r="BM92" i="3"/>
  <c r="BN92" i="3"/>
  <c r="BO92" i="3"/>
  <c r="BP92" i="3"/>
  <c r="BQ92" i="3"/>
  <c r="BR92" i="3"/>
  <c r="BS92" i="3"/>
  <c r="BT92" i="3"/>
  <c r="BU92" i="3"/>
  <c r="BC93" i="3"/>
  <c r="BD93" i="3"/>
  <c r="BE93" i="3"/>
  <c r="BF93" i="3"/>
  <c r="BG93" i="3"/>
  <c r="BH93" i="3"/>
  <c r="BI93" i="3"/>
  <c r="BJ93" i="3"/>
  <c r="BK93" i="3"/>
  <c r="BL93" i="3"/>
  <c r="BM93" i="3"/>
  <c r="BN93" i="3"/>
  <c r="BO93" i="3"/>
  <c r="BP93" i="3"/>
  <c r="BQ93" i="3"/>
  <c r="BR93" i="3"/>
  <c r="BS93" i="3"/>
  <c r="BT93" i="3"/>
  <c r="BU93" i="3"/>
  <c r="BC94" i="3"/>
  <c r="BD94" i="3"/>
  <c r="BE94" i="3"/>
  <c r="BF94" i="3"/>
  <c r="BG94" i="3"/>
  <c r="BH94" i="3"/>
  <c r="BI94" i="3"/>
  <c r="BJ94" i="3"/>
  <c r="BK94" i="3"/>
  <c r="BL94" i="3"/>
  <c r="BM94" i="3"/>
  <c r="BN94" i="3"/>
  <c r="BO94" i="3"/>
  <c r="BP94" i="3"/>
  <c r="BQ94" i="3"/>
  <c r="BR94" i="3"/>
  <c r="BS94" i="3"/>
  <c r="BT94" i="3"/>
  <c r="BU94" i="3"/>
  <c r="BC95" i="3"/>
  <c r="BD95" i="3"/>
  <c r="BE95" i="3"/>
  <c r="BF95" i="3"/>
  <c r="BG95" i="3"/>
  <c r="BH95" i="3"/>
  <c r="BI95" i="3"/>
  <c r="BJ95" i="3"/>
  <c r="BK95" i="3"/>
  <c r="BL95" i="3"/>
  <c r="BM95" i="3"/>
  <c r="BN95" i="3"/>
  <c r="BO95" i="3"/>
  <c r="BP95" i="3"/>
  <c r="BQ95" i="3"/>
  <c r="BR95" i="3"/>
  <c r="BS95" i="3"/>
  <c r="BT95" i="3"/>
  <c r="BU95" i="3"/>
  <c r="BC96" i="3"/>
  <c r="BD96" i="3"/>
  <c r="BE96" i="3"/>
  <c r="BF96" i="3"/>
  <c r="BG96" i="3"/>
  <c r="BH96" i="3"/>
  <c r="BI96" i="3"/>
  <c r="BJ96" i="3"/>
  <c r="BK96" i="3"/>
  <c r="BL96" i="3"/>
  <c r="BM96" i="3"/>
  <c r="BN96" i="3"/>
  <c r="BO96" i="3"/>
  <c r="BP96" i="3"/>
  <c r="BQ96" i="3"/>
  <c r="BR96" i="3"/>
  <c r="BS96" i="3"/>
  <c r="BT96" i="3"/>
  <c r="BU96" i="3"/>
  <c r="BC97" i="3"/>
  <c r="BD97" i="3"/>
  <c r="BE97" i="3"/>
  <c r="BF97" i="3"/>
  <c r="BG97" i="3"/>
  <c r="BH97" i="3"/>
  <c r="BI97" i="3"/>
  <c r="BJ97" i="3"/>
  <c r="BK97" i="3"/>
  <c r="BL97" i="3"/>
  <c r="BM97" i="3"/>
  <c r="BN97" i="3"/>
  <c r="BO97" i="3"/>
  <c r="BP97" i="3"/>
  <c r="BQ97" i="3"/>
  <c r="BR97" i="3"/>
  <c r="BS97" i="3"/>
  <c r="BT97" i="3"/>
  <c r="BU97" i="3"/>
  <c r="BC98" i="3"/>
  <c r="BD98" i="3"/>
  <c r="BE98" i="3"/>
  <c r="BF98" i="3"/>
  <c r="BG98" i="3"/>
  <c r="BH98" i="3"/>
  <c r="BI98" i="3"/>
  <c r="BJ98" i="3"/>
  <c r="BK98" i="3"/>
  <c r="BL98" i="3"/>
  <c r="BM98" i="3"/>
  <c r="BN98" i="3"/>
  <c r="BO98" i="3"/>
  <c r="BP98" i="3"/>
  <c r="BQ98" i="3"/>
  <c r="BR98" i="3"/>
  <c r="BS98" i="3"/>
  <c r="BT98" i="3"/>
  <c r="BU98" i="3"/>
  <c r="BC99" i="3"/>
  <c r="BD99" i="3"/>
  <c r="BE99" i="3"/>
  <c r="BF99" i="3"/>
  <c r="BG99" i="3"/>
  <c r="BH99" i="3"/>
  <c r="BI99" i="3"/>
  <c r="BJ99" i="3"/>
  <c r="BK99" i="3"/>
  <c r="BL99" i="3"/>
  <c r="BM99" i="3"/>
  <c r="BN99" i="3"/>
  <c r="BO99" i="3"/>
  <c r="BP99" i="3"/>
  <c r="BQ99" i="3"/>
  <c r="BR99" i="3"/>
  <c r="BS99" i="3"/>
  <c r="BT99" i="3"/>
  <c r="BU99" i="3"/>
  <c r="BC100" i="3"/>
  <c r="BD100" i="3"/>
  <c r="BE100" i="3"/>
  <c r="BF100" i="3"/>
  <c r="BG100" i="3"/>
  <c r="BH100" i="3"/>
  <c r="BI100" i="3"/>
  <c r="BJ100" i="3"/>
  <c r="BK100" i="3"/>
  <c r="BL100" i="3"/>
  <c r="BM100" i="3"/>
  <c r="BN100" i="3"/>
  <c r="BO100" i="3"/>
  <c r="BP100" i="3"/>
  <c r="BQ100" i="3"/>
  <c r="BR100" i="3"/>
  <c r="BS100" i="3"/>
  <c r="BT100" i="3"/>
  <c r="BU100" i="3"/>
  <c r="BC101" i="3"/>
  <c r="BD101" i="3"/>
  <c r="BE101" i="3"/>
  <c r="BF101" i="3"/>
  <c r="BG101" i="3"/>
  <c r="BH101" i="3"/>
  <c r="BI101" i="3"/>
  <c r="BJ101" i="3"/>
  <c r="BK101" i="3"/>
  <c r="BL101" i="3"/>
  <c r="BM101" i="3"/>
  <c r="BN101" i="3"/>
  <c r="BO101" i="3"/>
  <c r="BP101" i="3"/>
  <c r="BQ101" i="3"/>
  <c r="BR101" i="3"/>
  <c r="BS101" i="3"/>
  <c r="BT101" i="3"/>
  <c r="BU101" i="3"/>
  <c r="BC102" i="3"/>
  <c r="BD102" i="3"/>
  <c r="BE102" i="3"/>
  <c r="BF102" i="3"/>
  <c r="BG102" i="3"/>
  <c r="BH102" i="3"/>
  <c r="BI102" i="3"/>
  <c r="BJ102" i="3"/>
  <c r="BK102" i="3"/>
  <c r="BL102" i="3"/>
  <c r="BM102" i="3"/>
  <c r="BN102" i="3"/>
  <c r="BO102" i="3"/>
  <c r="BP102" i="3"/>
  <c r="BQ102" i="3"/>
  <c r="BR102" i="3"/>
  <c r="BS102" i="3"/>
  <c r="BT102" i="3"/>
  <c r="BU102" i="3"/>
  <c r="BC103" i="3"/>
  <c r="BD103" i="3"/>
  <c r="BE103" i="3"/>
  <c r="BF103" i="3"/>
  <c r="BG103" i="3"/>
  <c r="BH103" i="3"/>
  <c r="BI103" i="3"/>
  <c r="BJ103" i="3"/>
  <c r="BK103" i="3"/>
  <c r="BL103" i="3"/>
  <c r="BM103" i="3"/>
  <c r="BN103" i="3"/>
  <c r="BO103" i="3"/>
  <c r="BP103" i="3"/>
  <c r="BQ103" i="3"/>
  <c r="BR103" i="3"/>
  <c r="BS103" i="3"/>
  <c r="BT103" i="3"/>
  <c r="BU103" i="3"/>
  <c r="BC104" i="3"/>
  <c r="BD104" i="3"/>
  <c r="BE104" i="3"/>
  <c r="BF104" i="3"/>
  <c r="BG104" i="3"/>
  <c r="BH104" i="3"/>
  <c r="BI104" i="3"/>
  <c r="BJ104" i="3"/>
  <c r="BK104" i="3"/>
  <c r="BL104" i="3"/>
  <c r="BM104" i="3"/>
  <c r="BN104" i="3"/>
  <c r="BO104" i="3"/>
  <c r="BP104" i="3"/>
  <c r="BQ104" i="3"/>
  <c r="BR104" i="3"/>
  <c r="BS104" i="3"/>
  <c r="BT104" i="3"/>
  <c r="BU104" i="3"/>
  <c r="BC105" i="3"/>
  <c r="BD105" i="3"/>
  <c r="BE105" i="3"/>
  <c r="BF105" i="3"/>
  <c r="BG105" i="3"/>
  <c r="BH105" i="3"/>
  <c r="BI105" i="3"/>
  <c r="BJ105" i="3"/>
  <c r="BK105" i="3"/>
  <c r="BL105" i="3"/>
  <c r="BM105" i="3"/>
  <c r="BN105" i="3"/>
  <c r="BO105" i="3"/>
  <c r="BP105" i="3"/>
  <c r="BQ105" i="3"/>
  <c r="BR105" i="3"/>
  <c r="BS105" i="3"/>
  <c r="BT105" i="3"/>
  <c r="BU105" i="3"/>
  <c r="BC106" i="3"/>
  <c r="BD106" i="3"/>
  <c r="BE106" i="3"/>
  <c r="BF106" i="3"/>
  <c r="BG106" i="3"/>
  <c r="BH106" i="3"/>
  <c r="BI106" i="3"/>
  <c r="BJ106" i="3"/>
  <c r="BK106" i="3"/>
  <c r="BL106" i="3"/>
  <c r="BM106" i="3"/>
  <c r="BN106" i="3"/>
  <c r="BO106" i="3"/>
  <c r="BP106" i="3"/>
  <c r="BQ106" i="3"/>
  <c r="BR106" i="3"/>
  <c r="BS106" i="3"/>
  <c r="BT106" i="3"/>
  <c r="BU106" i="3"/>
  <c r="BC107" i="3"/>
  <c r="BD107" i="3"/>
  <c r="BE107" i="3"/>
  <c r="BF107" i="3"/>
  <c r="BG107" i="3"/>
  <c r="BH107" i="3"/>
  <c r="BI107" i="3"/>
  <c r="BJ107" i="3"/>
  <c r="BK107" i="3"/>
  <c r="BL107" i="3"/>
  <c r="BM107" i="3"/>
  <c r="BN107" i="3"/>
  <c r="BO107" i="3"/>
  <c r="BP107" i="3"/>
  <c r="BQ107" i="3"/>
  <c r="BR107" i="3"/>
  <c r="BS107" i="3"/>
  <c r="BT107" i="3"/>
  <c r="BU107" i="3"/>
  <c r="BC108" i="3"/>
  <c r="BD108" i="3"/>
  <c r="BE108" i="3"/>
  <c r="BF108" i="3"/>
  <c r="BG108" i="3"/>
  <c r="BH108" i="3"/>
  <c r="BI108" i="3"/>
  <c r="BJ108" i="3"/>
  <c r="BK108" i="3"/>
  <c r="BL108" i="3"/>
  <c r="BM108" i="3"/>
  <c r="BN108" i="3"/>
  <c r="BO108" i="3"/>
  <c r="BP108" i="3"/>
  <c r="BQ108" i="3"/>
  <c r="BR108" i="3"/>
  <c r="BS108" i="3"/>
  <c r="BT108" i="3"/>
  <c r="BU108" i="3"/>
  <c r="BC109" i="3"/>
  <c r="BD109" i="3"/>
  <c r="BE109" i="3"/>
  <c r="BF109" i="3"/>
  <c r="BG109" i="3"/>
  <c r="BH109" i="3"/>
  <c r="BI109" i="3"/>
  <c r="BJ109" i="3"/>
  <c r="BK109" i="3"/>
  <c r="BL109" i="3"/>
  <c r="BM109" i="3"/>
  <c r="BN109" i="3"/>
  <c r="BO109" i="3"/>
  <c r="BP109" i="3"/>
  <c r="BQ109" i="3"/>
  <c r="BR109" i="3"/>
  <c r="BS109" i="3"/>
  <c r="BT109" i="3"/>
  <c r="BU109" i="3"/>
  <c r="BC110" i="3"/>
  <c r="BD110" i="3"/>
  <c r="BE110" i="3"/>
  <c r="BF110" i="3"/>
  <c r="BG110" i="3"/>
  <c r="BH110" i="3"/>
  <c r="BI110" i="3"/>
  <c r="BJ110" i="3"/>
  <c r="BK110" i="3"/>
  <c r="BL110" i="3"/>
  <c r="BM110" i="3"/>
  <c r="BN110" i="3"/>
  <c r="BO110" i="3"/>
  <c r="BP110" i="3"/>
  <c r="BQ110" i="3"/>
  <c r="BR110" i="3"/>
  <c r="BS110" i="3"/>
  <c r="BT110" i="3"/>
  <c r="BU110" i="3"/>
  <c r="BC111" i="3"/>
  <c r="BD111" i="3"/>
  <c r="BE111" i="3"/>
  <c r="BF111" i="3"/>
  <c r="BG111" i="3"/>
  <c r="BH111" i="3"/>
  <c r="BI111" i="3"/>
  <c r="BJ111" i="3"/>
  <c r="BK111" i="3"/>
  <c r="BL111" i="3"/>
  <c r="BM111" i="3"/>
  <c r="BN111" i="3"/>
  <c r="BO111" i="3"/>
  <c r="BP111" i="3"/>
  <c r="BQ111" i="3"/>
  <c r="BR111" i="3"/>
  <c r="BS111" i="3"/>
  <c r="BT111" i="3"/>
  <c r="BU111" i="3"/>
  <c r="BC112" i="3"/>
  <c r="BD112" i="3"/>
  <c r="BE112" i="3"/>
  <c r="BF112" i="3"/>
  <c r="BG112" i="3"/>
  <c r="BH112" i="3"/>
  <c r="BI112" i="3"/>
  <c r="BJ112" i="3"/>
  <c r="BK112" i="3"/>
  <c r="BL112" i="3"/>
  <c r="BM112" i="3"/>
  <c r="BN112" i="3"/>
  <c r="BO112" i="3"/>
  <c r="BP112" i="3"/>
  <c r="BQ112" i="3"/>
  <c r="BR112" i="3"/>
  <c r="BS112" i="3"/>
  <c r="BT112" i="3"/>
  <c r="BU112" i="3"/>
  <c r="BC113" i="3"/>
  <c r="BD113" i="3"/>
  <c r="BE113" i="3"/>
  <c r="BF113" i="3"/>
  <c r="BG113" i="3"/>
  <c r="BH113" i="3"/>
  <c r="BI113" i="3"/>
  <c r="BJ113" i="3"/>
  <c r="BK113" i="3"/>
  <c r="BL113" i="3"/>
  <c r="BM113" i="3"/>
  <c r="BN113" i="3"/>
  <c r="BO113" i="3"/>
  <c r="BP113" i="3"/>
  <c r="BQ113" i="3"/>
  <c r="BR113" i="3"/>
  <c r="BS113" i="3"/>
  <c r="BT113" i="3"/>
  <c r="BU113" i="3"/>
  <c r="BC114" i="3"/>
  <c r="BD114" i="3"/>
  <c r="BE114" i="3"/>
  <c r="BF114" i="3"/>
  <c r="BG114" i="3"/>
  <c r="BH114" i="3"/>
  <c r="BI114" i="3"/>
  <c r="BJ114" i="3"/>
  <c r="BK114" i="3"/>
  <c r="BL114" i="3"/>
  <c r="BM114" i="3"/>
  <c r="BN114" i="3"/>
  <c r="BO114" i="3"/>
  <c r="BP114" i="3"/>
  <c r="BQ114" i="3"/>
  <c r="BR114" i="3"/>
  <c r="BS114" i="3"/>
  <c r="BT114" i="3"/>
  <c r="BU114" i="3"/>
  <c r="BC115" i="3"/>
  <c r="BD115" i="3"/>
  <c r="BE115" i="3"/>
  <c r="BF115" i="3"/>
  <c r="BG115" i="3"/>
  <c r="BH115" i="3"/>
  <c r="BI115" i="3"/>
  <c r="BJ115" i="3"/>
  <c r="BK115" i="3"/>
  <c r="BL115" i="3"/>
  <c r="BM115" i="3"/>
  <c r="BN115" i="3"/>
  <c r="BO115" i="3"/>
  <c r="BP115" i="3"/>
  <c r="BQ115" i="3"/>
  <c r="BR115" i="3"/>
  <c r="BS115" i="3"/>
  <c r="BT115" i="3"/>
  <c r="BU115" i="3"/>
  <c r="BC116" i="3"/>
  <c r="BD116" i="3"/>
  <c r="BE116" i="3"/>
  <c r="BF116" i="3"/>
  <c r="BG116" i="3"/>
  <c r="BH116" i="3"/>
  <c r="BI116" i="3"/>
  <c r="BJ116" i="3"/>
  <c r="BK116" i="3"/>
  <c r="BL116" i="3"/>
  <c r="BM116" i="3"/>
  <c r="BN116" i="3"/>
  <c r="BO116" i="3"/>
  <c r="BP116" i="3"/>
  <c r="BQ116" i="3"/>
  <c r="BR116" i="3"/>
  <c r="BS116" i="3"/>
  <c r="BT116" i="3"/>
  <c r="BU116" i="3"/>
  <c r="BC117" i="3"/>
  <c r="BD117" i="3"/>
  <c r="BE117" i="3"/>
  <c r="BF117" i="3"/>
  <c r="BG117" i="3"/>
  <c r="BH117" i="3"/>
  <c r="BI117" i="3"/>
  <c r="BJ117" i="3"/>
  <c r="BK117" i="3"/>
  <c r="BL117" i="3"/>
  <c r="BM117" i="3"/>
  <c r="BN117" i="3"/>
  <c r="BO117" i="3"/>
  <c r="BP117" i="3"/>
  <c r="BQ117" i="3"/>
  <c r="BR117" i="3"/>
  <c r="BS117" i="3"/>
  <c r="BT117" i="3"/>
  <c r="BU117" i="3"/>
  <c r="BC118" i="3"/>
  <c r="BD118" i="3"/>
  <c r="BE118" i="3"/>
  <c r="BF118" i="3"/>
  <c r="BG118" i="3"/>
  <c r="BH118" i="3"/>
  <c r="BI118" i="3"/>
  <c r="BJ118" i="3"/>
  <c r="BK118" i="3"/>
  <c r="BL118" i="3"/>
  <c r="BM118" i="3"/>
  <c r="BN118" i="3"/>
  <c r="BO118" i="3"/>
  <c r="BP118" i="3"/>
  <c r="BQ118" i="3"/>
  <c r="BR118" i="3"/>
  <c r="BS118" i="3"/>
  <c r="BT118" i="3"/>
  <c r="BU118" i="3"/>
  <c r="BC119" i="3"/>
  <c r="BD119" i="3"/>
  <c r="BE119" i="3"/>
  <c r="BF119" i="3"/>
  <c r="BG119" i="3"/>
  <c r="BH119" i="3"/>
  <c r="BI119" i="3"/>
  <c r="BJ119" i="3"/>
  <c r="BK119" i="3"/>
  <c r="BL119" i="3"/>
  <c r="BM119" i="3"/>
  <c r="BN119" i="3"/>
  <c r="BO119" i="3"/>
  <c r="BP119" i="3"/>
  <c r="BQ119" i="3"/>
  <c r="BR119" i="3"/>
  <c r="BS119" i="3"/>
  <c r="BT119" i="3"/>
  <c r="BU119" i="3"/>
  <c r="BC120" i="3"/>
  <c r="BD120" i="3"/>
  <c r="BE120" i="3"/>
  <c r="BF120" i="3"/>
  <c r="BG120" i="3"/>
  <c r="BH120" i="3"/>
  <c r="BI120" i="3"/>
  <c r="BJ120" i="3"/>
  <c r="BK120" i="3"/>
  <c r="BL120" i="3"/>
  <c r="BM120" i="3"/>
  <c r="BN120" i="3"/>
  <c r="BO120" i="3"/>
  <c r="BP120" i="3"/>
  <c r="BQ120" i="3"/>
  <c r="BR120" i="3"/>
  <c r="BS120" i="3"/>
  <c r="BT120" i="3"/>
  <c r="BU120" i="3"/>
  <c r="BC121" i="3"/>
  <c r="BD121" i="3"/>
  <c r="BE121" i="3"/>
  <c r="BF121" i="3"/>
  <c r="BG121" i="3"/>
  <c r="BH121" i="3"/>
  <c r="BI121" i="3"/>
  <c r="BJ121" i="3"/>
  <c r="BK121" i="3"/>
  <c r="BL121" i="3"/>
  <c r="BM121" i="3"/>
  <c r="BN121" i="3"/>
  <c r="BO121" i="3"/>
  <c r="BP121" i="3"/>
  <c r="BQ121" i="3"/>
  <c r="BR121" i="3"/>
  <c r="BS121" i="3"/>
  <c r="BT121" i="3"/>
  <c r="BU121" i="3"/>
  <c r="BC122" i="3"/>
  <c r="BD122" i="3"/>
  <c r="BE122" i="3"/>
  <c r="BF122" i="3"/>
  <c r="BG122" i="3"/>
  <c r="BH122" i="3"/>
  <c r="BI122" i="3"/>
  <c r="BJ122" i="3"/>
  <c r="BK122" i="3"/>
  <c r="BL122" i="3"/>
  <c r="BM122" i="3"/>
  <c r="BN122" i="3"/>
  <c r="BO122" i="3"/>
  <c r="BP122" i="3"/>
  <c r="BQ122" i="3"/>
  <c r="BR122" i="3"/>
  <c r="BS122" i="3"/>
  <c r="BT122" i="3"/>
  <c r="BU122" i="3"/>
  <c r="BC123" i="3"/>
  <c r="BD123" i="3"/>
  <c r="BE123" i="3"/>
  <c r="BF123" i="3"/>
  <c r="BG123" i="3"/>
  <c r="BH123" i="3"/>
  <c r="BI123" i="3"/>
  <c r="BJ123" i="3"/>
  <c r="BK123" i="3"/>
  <c r="BL123" i="3"/>
  <c r="BM123" i="3"/>
  <c r="BN123" i="3"/>
  <c r="BO123" i="3"/>
  <c r="BP123" i="3"/>
  <c r="BQ123" i="3"/>
  <c r="BR123" i="3"/>
  <c r="BS123" i="3"/>
  <c r="BT123" i="3"/>
  <c r="BU123" i="3"/>
  <c r="BC124" i="3"/>
  <c r="BD124" i="3"/>
  <c r="BE124" i="3"/>
  <c r="BF124" i="3"/>
  <c r="BG124" i="3"/>
  <c r="BH124" i="3"/>
  <c r="BI124" i="3"/>
  <c r="BJ124" i="3"/>
  <c r="BK124" i="3"/>
  <c r="BL124" i="3"/>
  <c r="BM124" i="3"/>
  <c r="BN124" i="3"/>
  <c r="BO124" i="3"/>
  <c r="BP124" i="3"/>
  <c r="BQ124" i="3"/>
  <c r="BR124" i="3"/>
  <c r="BS124" i="3"/>
  <c r="BT124" i="3"/>
  <c r="BU124" i="3"/>
  <c r="BC125" i="3"/>
  <c r="BD125" i="3"/>
  <c r="BE125" i="3"/>
  <c r="BF125" i="3"/>
  <c r="BG125" i="3"/>
  <c r="BH125" i="3"/>
  <c r="BI125" i="3"/>
  <c r="BJ125" i="3"/>
  <c r="BK125" i="3"/>
  <c r="BL125" i="3"/>
  <c r="BM125" i="3"/>
  <c r="BN125" i="3"/>
  <c r="BO125" i="3"/>
  <c r="BP125" i="3"/>
  <c r="BQ125" i="3"/>
  <c r="BR125" i="3"/>
  <c r="BS125" i="3"/>
  <c r="BT125" i="3"/>
  <c r="BU125" i="3"/>
  <c r="BC126" i="3"/>
  <c r="BD126" i="3"/>
  <c r="BE126" i="3"/>
  <c r="BF126" i="3"/>
  <c r="BG126" i="3"/>
  <c r="BH126" i="3"/>
  <c r="BI126" i="3"/>
  <c r="BJ126" i="3"/>
  <c r="BK126" i="3"/>
  <c r="BL126" i="3"/>
  <c r="BM126" i="3"/>
  <c r="BN126" i="3"/>
  <c r="BO126" i="3"/>
  <c r="BP126" i="3"/>
  <c r="BQ126" i="3"/>
  <c r="BR126" i="3"/>
  <c r="BS126" i="3"/>
  <c r="BT126" i="3"/>
  <c r="BU126" i="3"/>
  <c r="BC2" i="3"/>
  <c r="BD2" i="3"/>
  <c r="BE2" i="3"/>
  <c r="BF2" i="3"/>
  <c r="BG2" i="3"/>
  <c r="BH2" i="3"/>
  <c r="BI2" i="3"/>
  <c r="BJ2" i="3"/>
  <c r="BK2" i="3"/>
  <c r="BL2" i="3"/>
  <c r="BM2" i="3"/>
  <c r="BN2" i="3"/>
  <c r="BO2" i="3"/>
  <c r="BP2" i="3"/>
  <c r="BQ2" i="3"/>
  <c r="BR2" i="3"/>
  <c r="BS2" i="3"/>
  <c r="BT2" i="3"/>
  <c r="BU2" i="3"/>
  <c r="A6" i="8" l="1"/>
  <c r="BI128" i="3"/>
  <c r="BO128" i="3"/>
  <c r="BQ128" i="3"/>
  <c r="BG128" i="3"/>
  <c r="BL132" i="3"/>
  <c r="BE131" i="3"/>
  <c r="BO133" i="3"/>
  <c r="BC132" i="3"/>
  <c r="BT131" i="3"/>
  <c r="BG130" i="3"/>
  <c r="BN133" i="3"/>
  <c r="BF133" i="3"/>
  <c r="BQ129" i="3"/>
  <c r="BI129" i="3"/>
  <c r="BU128" i="3"/>
  <c r="BM128" i="3"/>
  <c r="BE128" i="3"/>
  <c r="BR132" i="3"/>
  <c r="BJ132" i="3"/>
  <c r="BS131" i="3"/>
  <c r="BK131" i="3"/>
  <c r="BC131" i="3"/>
  <c r="BN130" i="3"/>
  <c r="BF130" i="3"/>
  <c r="BU133" i="3"/>
  <c r="BM133" i="3"/>
  <c r="BE133" i="3"/>
  <c r="BP129" i="3"/>
  <c r="BH129" i="3"/>
  <c r="BD132" i="3"/>
  <c r="BM131" i="3"/>
  <c r="BH130" i="3"/>
  <c r="BJ129" i="3"/>
  <c r="BK132" i="3"/>
  <c r="BT128" i="3"/>
  <c r="BQ132" i="3"/>
  <c r="BI132" i="3"/>
  <c r="BR131" i="3"/>
  <c r="BJ131" i="3"/>
  <c r="BU130" i="3"/>
  <c r="BM130" i="3"/>
  <c r="BE130" i="3"/>
  <c r="BT133" i="3"/>
  <c r="BL133" i="3"/>
  <c r="BD133" i="3"/>
  <c r="BO129" i="3"/>
  <c r="BG129" i="3"/>
  <c r="BU131" i="3"/>
  <c r="BR129" i="3"/>
  <c r="BF128" i="3"/>
  <c r="BS132" i="3"/>
  <c r="BD131" i="3"/>
  <c r="BD128" i="3"/>
  <c r="BS128" i="3"/>
  <c r="BK128" i="3"/>
  <c r="BC128" i="3"/>
  <c r="BP132" i="3"/>
  <c r="BH132" i="3"/>
  <c r="BQ131" i="3"/>
  <c r="BI131" i="3"/>
  <c r="BT130" i="3"/>
  <c r="BL130" i="3"/>
  <c r="BD130" i="3"/>
  <c r="BS133" i="3"/>
  <c r="BK133" i="3"/>
  <c r="BC133" i="3"/>
  <c r="BN129" i="3"/>
  <c r="BF129" i="3"/>
  <c r="BT132" i="3"/>
  <c r="BP130" i="3"/>
  <c r="BG133" i="3"/>
  <c r="BN128" i="3"/>
  <c r="BL131" i="3"/>
  <c r="BO130" i="3"/>
  <c r="BL128" i="3"/>
  <c r="BR128" i="3"/>
  <c r="BJ128" i="3"/>
  <c r="BO132" i="3"/>
  <c r="BG132" i="3"/>
  <c r="BP131" i="3"/>
  <c r="BH131" i="3"/>
  <c r="BS130" i="3"/>
  <c r="BK130" i="3"/>
  <c r="BC130" i="3"/>
  <c r="BR133" i="3"/>
  <c r="BJ133" i="3"/>
  <c r="BU129" i="3"/>
  <c r="BM129" i="3"/>
  <c r="BE129" i="3"/>
  <c r="BN132" i="3"/>
  <c r="BF132" i="3"/>
  <c r="BO131" i="3"/>
  <c r="BG131" i="3"/>
  <c r="BR130" i="3"/>
  <c r="BJ130" i="3"/>
  <c r="BQ133" i="3"/>
  <c r="BI133" i="3"/>
  <c r="BT129" i="3"/>
  <c r="BL129" i="3"/>
  <c r="BD129" i="3"/>
  <c r="BP128" i="3"/>
  <c r="BH128" i="3"/>
  <c r="BU132" i="3"/>
  <c r="BM132" i="3"/>
  <c r="BE132" i="3"/>
  <c r="BN131" i="3"/>
  <c r="BF131" i="3"/>
  <c r="BQ130" i="3"/>
  <c r="BI130" i="3"/>
  <c r="BP133" i="3"/>
  <c r="BH133" i="3"/>
  <c r="BS129" i="3"/>
  <c r="BK129" i="3"/>
  <c r="BC129" i="3"/>
  <c r="BP127" i="3"/>
  <c r="BT127" i="3"/>
  <c r="BD127" i="3"/>
  <c r="BN127" i="3"/>
  <c r="BU127" i="3"/>
  <c r="BE127" i="3"/>
  <c r="BK127" i="3"/>
  <c r="BC127" i="3"/>
  <c r="BI127" i="3"/>
  <c r="BM127" i="3"/>
  <c r="BL127" i="3"/>
  <c r="BS127" i="3"/>
  <c r="BR127" i="3"/>
  <c r="BJ127" i="3"/>
  <c r="BQ127" i="3"/>
  <c r="BH127" i="3"/>
  <c r="BO127" i="3"/>
  <c r="BG127" i="3"/>
  <c r="BF127" i="3"/>
  <c r="G61" i="20"/>
  <c r="G62" i="20"/>
  <c r="I4" i="13"/>
  <c r="J2" i="8"/>
  <c r="R21" i="12"/>
  <c r="R22" i="12" s="1"/>
  <c r="R23" i="12" s="1"/>
  <c r="R24" i="12" s="1"/>
  <c r="R25" i="12" s="1"/>
  <c r="R26" i="12" s="1"/>
  <c r="R27" i="12" s="1"/>
  <c r="R28" i="12" s="1"/>
  <c r="R29" i="12" s="1"/>
  <c r="A7" i="8" l="1"/>
  <c r="I5" i="13"/>
  <c r="J4" i="13"/>
  <c r="K2" i="8"/>
  <c r="L2" i="8" s="1"/>
  <c r="M2" i="8" s="1"/>
  <c r="N2" i="8" s="1"/>
  <c r="O2" i="8" s="1"/>
  <c r="P2" i="8" s="1"/>
  <c r="Q2" i="8" s="1"/>
  <c r="R2" i="8" s="1"/>
  <c r="S2" i="8" s="1"/>
  <c r="T2" i="8" s="1"/>
  <c r="U2" i="8" s="1"/>
  <c r="V2" i="8" s="1"/>
  <c r="W2" i="8" s="1"/>
  <c r="X2" i="8" s="1"/>
  <c r="Y2" i="8" s="1"/>
  <c r="Z2" i="8" s="1"/>
  <c r="AA2" i="8" s="1"/>
  <c r="AB2" i="8" s="1"/>
  <c r="AC2" i="8" s="1"/>
  <c r="AD2" i="8" s="1"/>
  <c r="AE2" i="8" s="1"/>
  <c r="AF2" i="8" s="1"/>
  <c r="AG2" i="8" s="1"/>
  <c r="AH2" i="8" s="1"/>
  <c r="AI2" i="8" s="1"/>
  <c r="AJ2" i="8" s="1"/>
  <c r="AK2" i="8" s="1"/>
  <c r="AL2" i="8" s="1"/>
  <c r="AM2" i="8" s="1"/>
  <c r="AN2" i="8" s="1"/>
  <c r="AO2" i="8" s="1"/>
  <c r="AP2" i="8" s="1"/>
  <c r="AQ2" i="8" s="1"/>
  <c r="AR2" i="8" s="1"/>
  <c r="AS2" i="8" s="1"/>
  <c r="AT2" i="8" s="1"/>
  <c r="AU2" i="8" s="1"/>
  <c r="AV2" i="8" s="1"/>
  <c r="AW2" i="8" s="1"/>
  <c r="AX2" i="8" s="1"/>
  <c r="AY2" i="8" s="1"/>
  <c r="AZ2" i="8" s="1"/>
  <c r="BA2" i="8" s="1"/>
  <c r="BB2" i="8" s="1"/>
  <c r="BC2" i="8" s="1"/>
  <c r="BD2" i="8" s="1"/>
  <c r="BE2" i="8" s="1"/>
  <c r="BF2" i="8" s="1"/>
  <c r="BG2" i="8" s="1"/>
  <c r="BH2" i="8" s="1"/>
  <c r="J1" i="8"/>
  <c r="C10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AM10" i="3"/>
  <c r="AN10" i="3"/>
  <c r="AO10" i="3"/>
  <c r="AP10" i="3"/>
  <c r="AQ10" i="3"/>
  <c r="AR10" i="3"/>
  <c r="AS10" i="3"/>
  <c r="AT10" i="3"/>
  <c r="AU10" i="3"/>
  <c r="AV10" i="3"/>
  <c r="AW10" i="3"/>
  <c r="AX10" i="3"/>
  <c r="AY10" i="3"/>
  <c r="AZ10" i="3"/>
  <c r="BA10" i="3"/>
  <c r="BB10" i="3"/>
  <c r="C49" i="3"/>
  <c r="D49" i="3"/>
  <c r="E49" i="3"/>
  <c r="F49" i="3"/>
  <c r="G49" i="3"/>
  <c r="H49" i="3"/>
  <c r="I49" i="3"/>
  <c r="J49" i="3"/>
  <c r="K49" i="3"/>
  <c r="L49" i="3"/>
  <c r="M49" i="3"/>
  <c r="N49" i="3"/>
  <c r="O49" i="3"/>
  <c r="P49" i="3"/>
  <c r="Q49" i="3"/>
  <c r="R49" i="3"/>
  <c r="S49" i="3"/>
  <c r="T49" i="3"/>
  <c r="U49" i="3"/>
  <c r="V49" i="3"/>
  <c r="W49" i="3"/>
  <c r="X49" i="3"/>
  <c r="Y49" i="3"/>
  <c r="Z49" i="3"/>
  <c r="AA49" i="3"/>
  <c r="AB49" i="3"/>
  <c r="AC49" i="3"/>
  <c r="AD49" i="3"/>
  <c r="AE49" i="3"/>
  <c r="AF49" i="3"/>
  <c r="AG49" i="3"/>
  <c r="AH49" i="3"/>
  <c r="AI49" i="3"/>
  <c r="AJ49" i="3"/>
  <c r="AK49" i="3"/>
  <c r="AL49" i="3"/>
  <c r="AM49" i="3"/>
  <c r="AN49" i="3"/>
  <c r="AO49" i="3"/>
  <c r="AP49" i="3"/>
  <c r="AQ49" i="3"/>
  <c r="AR49" i="3"/>
  <c r="AS49" i="3"/>
  <c r="AT49" i="3"/>
  <c r="AU49" i="3"/>
  <c r="AV49" i="3"/>
  <c r="AW49" i="3"/>
  <c r="AX49" i="3"/>
  <c r="AY49" i="3"/>
  <c r="AZ49" i="3"/>
  <c r="BA49" i="3"/>
  <c r="BB49" i="3"/>
  <c r="C126" i="3"/>
  <c r="E126" i="14" s="1"/>
  <c r="P126" i="14" s="1"/>
  <c r="D126" i="3"/>
  <c r="E126" i="3"/>
  <c r="F126" i="3"/>
  <c r="G126" i="3"/>
  <c r="H126" i="3"/>
  <c r="I126" i="3"/>
  <c r="J126" i="3"/>
  <c r="K126" i="3"/>
  <c r="L126" i="3"/>
  <c r="M126" i="3"/>
  <c r="N126" i="3"/>
  <c r="O126" i="3"/>
  <c r="P126" i="3"/>
  <c r="Q126" i="3"/>
  <c r="R126" i="3"/>
  <c r="S126" i="3"/>
  <c r="T126" i="3"/>
  <c r="U126" i="3"/>
  <c r="V126" i="3"/>
  <c r="W126" i="3"/>
  <c r="X126" i="3"/>
  <c r="Y126" i="3"/>
  <c r="Z126" i="3"/>
  <c r="AA126" i="3"/>
  <c r="AB126" i="3"/>
  <c r="AC126" i="3"/>
  <c r="AD126" i="3"/>
  <c r="AE126" i="3"/>
  <c r="AF126" i="3"/>
  <c r="AG126" i="3"/>
  <c r="AH126" i="3"/>
  <c r="AI126" i="3"/>
  <c r="AJ126" i="3"/>
  <c r="AK126" i="3"/>
  <c r="AL126" i="3"/>
  <c r="AM126" i="3"/>
  <c r="AN126" i="3"/>
  <c r="AO126" i="3"/>
  <c r="AP126" i="3"/>
  <c r="AQ126" i="3"/>
  <c r="AR126" i="3"/>
  <c r="AS126" i="3"/>
  <c r="AT126" i="3"/>
  <c r="AU126" i="3"/>
  <c r="AV126" i="3"/>
  <c r="AW126" i="3"/>
  <c r="AX126" i="3"/>
  <c r="AY126" i="3"/>
  <c r="AZ126" i="3"/>
  <c r="BA126" i="3"/>
  <c r="BB126" i="3"/>
  <c r="C73" i="3"/>
  <c r="D73" i="3"/>
  <c r="E73" i="3"/>
  <c r="F73" i="3"/>
  <c r="G73" i="3"/>
  <c r="H73" i="3"/>
  <c r="I73" i="3"/>
  <c r="J73" i="3"/>
  <c r="K73" i="3"/>
  <c r="L73" i="3"/>
  <c r="M73" i="3"/>
  <c r="N73" i="3"/>
  <c r="O73" i="3"/>
  <c r="P73" i="3"/>
  <c r="Q73" i="3"/>
  <c r="R73" i="3"/>
  <c r="S73" i="3"/>
  <c r="T73" i="3"/>
  <c r="U73" i="3"/>
  <c r="V73" i="3"/>
  <c r="W73" i="3"/>
  <c r="X73" i="3"/>
  <c r="Y73" i="3"/>
  <c r="Z73" i="3"/>
  <c r="AA73" i="3"/>
  <c r="AB73" i="3"/>
  <c r="AC73" i="3"/>
  <c r="AD73" i="3"/>
  <c r="AE73" i="3"/>
  <c r="AF73" i="3"/>
  <c r="AG73" i="3"/>
  <c r="AH73" i="3"/>
  <c r="AI73" i="3"/>
  <c r="AJ73" i="3"/>
  <c r="AK73" i="3"/>
  <c r="AL73" i="3"/>
  <c r="AM73" i="3"/>
  <c r="AN73" i="3"/>
  <c r="AO73" i="3"/>
  <c r="AP73" i="3"/>
  <c r="AQ73" i="3"/>
  <c r="AR73" i="3"/>
  <c r="AS73" i="3"/>
  <c r="AT73" i="3"/>
  <c r="AU73" i="3"/>
  <c r="AV73" i="3"/>
  <c r="AW73" i="3"/>
  <c r="AX73" i="3"/>
  <c r="AY73" i="3"/>
  <c r="AZ73" i="3"/>
  <c r="BA73" i="3"/>
  <c r="BB73" i="3"/>
  <c r="C96" i="3"/>
  <c r="D96" i="3"/>
  <c r="E96" i="3"/>
  <c r="F96" i="3"/>
  <c r="G96" i="3"/>
  <c r="H96" i="3"/>
  <c r="I96" i="3"/>
  <c r="J96" i="3"/>
  <c r="K96" i="3"/>
  <c r="L96" i="3"/>
  <c r="M96" i="3"/>
  <c r="N96" i="3"/>
  <c r="O96" i="3"/>
  <c r="P96" i="3"/>
  <c r="Q96" i="3"/>
  <c r="R96" i="3"/>
  <c r="S96" i="3"/>
  <c r="T96" i="3"/>
  <c r="U96" i="3"/>
  <c r="V96" i="3"/>
  <c r="W96" i="3"/>
  <c r="X96" i="3"/>
  <c r="Y96" i="3"/>
  <c r="Z96" i="3"/>
  <c r="AA96" i="3"/>
  <c r="AB96" i="3"/>
  <c r="AC96" i="3"/>
  <c r="AD96" i="3"/>
  <c r="AE96" i="3"/>
  <c r="AF96" i="3"/>
  <c r="AG96" i="3"/>
  <c r="AH96" i="3"/>
  <c r="AI96" i="3"/>
  <c r="AJ96" i="3"/>
  <c r="AK96" i="3"/>
  <c r="AL96" i="3"/>
  <c r="AM96" i="3"/>
  <c r="AN96" i="3"/>
  <c r="AO96" i="3"/>
  <c r="AP96" i="3"/>
  <c r="AQ96" i="3"/>
  <c r="AR96" i="3"/>
  <c r="AS96" i="3"/>
  <c r="AT96" i="3"/>
  <c r="AU96" i="3"/>
  <c r="AV96" i="3"/>
  <c r="AW96" i="3"/>
  <c r="AX96" i="3"/>
  <c r="AY96" i="3"/>
  <c r="AZ96" i="3"/>
  <c r="BA96" i="3"/>
  <c r="BB96" i="3"/>
  <c r="C102" i="3"/>
  <c r="D102" i="3"/>
  <c r="E102" i="3"/>
  <c r="F102" i="3"/>
  <c r="G102" i="3"/>
  <c r="H102" i="3"/>
  <c r="I102" i="3"/>
  <c r="J102" i="3"/>
  <c r="K102" i="3"/>
  <c r="L102" i="3"/>
  <c r="M102" i="3"/>
  <c r="N102" i="3"/>
  <c r="O102" i="3"/>
  <c r="P102" i="3"/>
  <c r="Q102" i="3"/>
  <c r="R102" i="3"/>
  <c r="S102" i="3"/>
  <c r="T102" i="3"/>
  <c r="U102" i="3"/>
  <c r="V102" i="3"/>
  <c r="W102" i="3"/>
  <c r="X102" i="3"/>
  <c r="Y102" i="3"/>
  <c r="Z102" i="3"/>
  <c r="AA102" i="3"/>
  <c r="AB102" i="3"/>
  <c r="AC102" i="3"/>
  <c r="AD102" i="3"/>
  <c r="AE102" i="3"/>
  <c r="AF102" i="3"/>
  <c r="AG102" i="3"/>
  <c r="AH102" i="3"/>
  <c r="AI102" i="3"/>
  <c r="AJ102" i="3"/>
  <c r="AK102" i="3"/>
  <c r="AL102" i="3"/>
  <c r="AM102" i="3"/>
  <c r="AN102" i="3"/>
  <c r="AO102" i="3"/>
  <c r="AP102" i="3"/>
  <c r="AQ102" i="3"/>
  <c r="AR102" i="3"/>
  <c r="AS102" i="3"/>
  <c r="AT102" i="3"/>
  <c r="AU102" i="3"/>
  <c r="AV102" i="3"/>
  <c r="AW102" i="3"/>
  <c r="AX102" i="3"/>
  <c r="AY102" i="3"/>
  <c r="AZ102" i="3"/>
  <c r="BA102" i="3"/>
  <c r="BB102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/>
  <c r="S38" i="3"/>
  <c r="T38" i="3"/>
  <c r="U38" i="3"/>
  <c r="V38" i="3"/>
  <c r="W38" i="3"/>
  <c r="X38" i="3"/>
  <c r="Y38" i="3"/>
  <c r="Z38" i="3"/>
  <c r="AA38" i="3"/>
  <c r="AB38" i="3"/>
  <c r="AC38" i="3"/>
  <c r="AD38" i="3"/>
  <c r="AE38" i="3"/>
  <c r="AF38" i="3"/>
  <c r="AG38" i="3"/>
  <c r="AH38" i="3"/>
  <c r="AI38" i="3"/>
  <c r="AJ38" i="3"/>
  <c r="AK38" i="3"/>
  <c r="AL38" i="3"/>
  <c r="AM38" i="3"/>
  <c r="AN38" i="3"/>
  <c r="AO38" i="3"/>
  <c r="AP38" i="3"/>
  <c r="AQ38" i="3"/>
  <c r="AR38" i="3"/>
  <c r="AS38" i="3"/>
  <c r="AT38" i="3"/>
  <c r="AU38" i="3"/>
  <c r="AV38" i="3"/>
  <c r="AW38" i="3"/>
  <c r="AX38" i="3"/>
  <c r="AY38" i="3"/>
  <c r="AZ38" i="3"/>
  <c r="BA38" i="3"/>
  <c r="BB38" i="3"/>
  <c r="C15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AM15" i="3"/>
  <c r="AN15" i="3"/>
  <c r="AO15" i="3"/>
  <c r="AP15" i="3"/>
  <c r="AQ15" i="3"/>
  <c r="AR15" i="3"/>
  <c r="AS15" i="3"/>
  <c r="AT15" i="3"/>
  <c r="AU15" i="3"/>
  <c r="AV15" i="3"/>
  <c r="AW15" i="3"/>
  <c r="AX15" i="3"/>
  <c r="AY15" i="3"/>
  <c r="BB15" i="3"/>
  <c r="C9" i="3"/>
  <c r="D9" i="3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AM9" i="3"/>
  <c r="AN9" i="3"/>
  <c r="AO9" i="3"/>
  <c r="AP9" i="3"/>
  <c r="AQ9" i="3"/>
  <c r="AR9" i="3"/>
  <c r="AS9" i="3"/>
  <c r="AT9" i="3"/>
  <c r="AU9" i="3"/>
  <c r="AV9" i="3"/>
  <c r="AW9" i="3"/>
  <c r="AX9" i="3"/>
  <c r="AY9" i="3"/>
  <c r="AZ9" i="3"/>
  <c r="BA9" i="3"/>
  <c r="BB9" i="3"/>
  <c r="C50" i="3"/>
  <c r="D50" i="3"/>
  <c r="E50" i="3"/>
  <c r="F50" i="3"/>
  <c r="G50" i="3"/>
  <c r="H50" i="3"/>
  <c r="I50" i="3"/>
  <c r="J50" i="3"/>
  <c r="K50" i="3"/>
  <c r="L50" i="3"/>
  <c r="M50" i="3"/>
  <c r="N50" i="3"/>
  <c r="O50" i="3"/>
  <c r="P50" i="3"/>
  <c r="Q50" i="3"/>
  <c r="R50" i="3"/>
  <c r="S50" i="3"/>
  <c r="T50" i="3"/>
  <c r="U50" i="3"/>
  <c r="V50" i="3"/>
  <c r="W50" i="3"/>
  <c r="X50" i="3"/>
  <c r="Y50" i="3"/>
  <c r="Z50" i="3"/>
  <c r="AA50" i="3"/>
  <c r="AB50" i="3"/>
  <c r="AC50" i="3"/>
  <c r="AD50" i="3"/>
  <c r="AE50" i="3"/>
  <c r="AF50" i="3"/>
  <c r="AG50" i="3"/>
  <c r="AH50" i="3"/>
  <c r="AI50" i="3"/>
  <c r="AJ50" i="3"/>
  <c r="AK50" i="3"/>
  <c r="AL50" i="3"/>
  <c r="AM50" i="3"/>
  <c r="AN50" i="3"/>
  <c r="AO50" i="3"/>
  <c r="AP50" i="3"/>
  <c r="AQ50" i="3"/>
  <c r="AR50" i="3"/>
  <c r="AS50" i="3"/>
  <c r="AT50" i="3"/>
  <c r="AU50" i="3"/>
  <c r="AV50" i="3"/>
  <c r="AW50" i="3"/>
  <c r="AX50" i="3"/>
  <c r="AY50" i="3"/>
  <c r="AZ50" i="3"/>
  <c r="BA50" i="3"/>
  <c r="BB50" i="3"/>
  <c r="AZ45" i="3"/>
  <c r="BA45" i="3"/>
  <c r="BB45" i="3"/>
  <c r="AZ85" i="3"/>
  <c r="BA85" i="3"/>
  <c r="BB85" i="3"/>
  <c r="AZ56" i="3"/>
  <c r="BA56" i="3"/>
  <c r="BB56" i="3"/>
  <c r="AZ64" i="3"/>
  <c r="BA64" i="3"/>
  <c r="BB64" i="3"/>
  <c r="AZ110" i="3"/>
  <c r="BA110" i="3"/>
  <c r="BB110" i="3"/>
  <c r="AZ111" i="3"/>
  <c r="BA111" i="3"/>
  <c r="BB111" i="3"/>
  <c r="AZ59" i="3"/>
  <c r="BA59" i="3"/>
  <c r="BB59" i="3"/>
  <c r="AZ83" i="3"/>
  <c r="BA83" i="3"/>
  <c r="BB83" i="3"/>
  <c r="AZ103" i="3"/>
  <c r="BA103" i="3"/>
  <c r="BB103" i="3"/>
  <c r="AZ21" i="3"/>
  <c r="BA21" i="3"/>
  <c r="BB21" i="3"/>
  <c r="AZ19" i="3"/>
  <c r="BA19" i="3"/>
  <c r="BB19" i="3"/>
  <c r="AZ74" i="3"/>
  <c r="BA74" i="3"/>
  <c r="BB74" i="3"/>
  <c r="AZ26" i="3"/>
  <c r="BA26" i="3"/>
  <c r="BB26" i="3"/>
  <c r="AZ99" i="3"/>
  <c r="BA99" i="3"/>
  <c r="BB99" i="3"/>
  <c r="AZ62" i="3"/>
  <c r="BA62" i="3"/>
  <c r="BB62" i="3"/>
  <c r="AZ18" i="3"/>
  <c r="BA18" i="3"/>
  <c r="BB18" i="3"/>
  <c r="AZ112" i="3"/>
  <c r="BA112" i="3"/>
  <c r="BB112" i="3"/>
  <c r="AZ100" i="3"/>
  <c r="BA100" i="3"/>
  <c r="BB100" i="3"/>
  <c r="AZ77" i="3"/>
  <c r="BA77" i="3"/>
  <c r="BB77" i="3"/>
  <c r="AZ29" i="3"/>
  <c r="BA29" i="3"/>
  <c r="BB29" i="3"/>
  <c r="AZ53" i="3"/>
  <c r="BA53" i="3"/>
  <c r="BB53" i="3"/>
  <c r="AZ67" i="3"/>
  <c r="BA67" i="3"/>
  <c r="BB67" i="3"/>
  <c r="AZ104" i="3"/>
  <c r="BA104" i="3"/>
  <c r="BB104" i="3"/>
  <c r="AZ91" i="3"/>
  <c r="BA91" i="3"/>
  <c r="BB91" i="3"/>
  <c r="AZ105" i="3"/>
  <c r="BA105" i="3"/>
  <c r="BB105" i="3"/>
  <c r="AZ24" i="3"/>
  <c r="BA24" i="3"/>
  <c r="BB24" i="3"/>
  <c r="AZ113" i="3"/>
  <c r="BA113" i="3"/>
  <c r="BB113" i="3"/>
  <c r="AZ52" i="3"/>
  <c r="BA52" i="3"/>
  <c r="BB52" i="3"/>
  <c r="AZ2" i="3"/>
  <c r="BA2" i="3"/>
  <c r="BB2" i="3"/>
  <c r="AZ78" i="3"/>
  <c r="BA78" i="3"/>
  <c r="BB78" i="3"/>
  <c r="AZ106" i="3"/>
  <c r="BA106" i="3"/>
  <c r="BB106" i="3"/>
  <c r="AZ68" i="3"/>
  <c r="BA68" i="3"/>
  <c r="BB68" i="3"/>
  <c r="AZ114" i="3"/>
  <c r="BA114" i="3"/>
  <c r="BB114" i="3"/>
  <c r="AZ57" i="3"/>
  <c r="BA57" i="3"/>
  <c r="BB57" i="3"/>
  <c r="AZ17" i="3"/>
  <c r="BA17" i="3"/>
  <c r="BB17" i="3"/>
  <c r="AZ97" i="3"/>
  <c r="BA97" i="3"/>
  <c r="BB97" i="3"/>
  <c r="AZ75" i="3"/>
  <c r="BA75" i="3"/>
  <c r="BB75" i="3"/>
  <c r="AZ30" i="3"/>
  <c r="BA30" i="3"/>
  <c r="BB30" i="3"/>
  <c r="AZ13" i="3"/>
  <c r="BA13" i="3"/>
  <c r="BB13" i="3"/>
  <c r="AZ92" i="3"/>
  <c r="BA92" i="3"/>
  <c r="BB92" i="3"/>
  <c r="AZ71" i="3"/>
  <c r="BA71" i="3"/>
  <c r="BB71" i="3"/>
  <c r="AZ40" i="3"/>
  <c r="BA40" i="3"/>
  <c r="BB40" i="3"/>
  <c r="AZ43" i="3"/>
  <c r="BA43" i="3"/>
  <c r="BB43" i="3"/>
  <c r="AZ115" i="3"/>
  <c r="BA115" i="3"/>
  <c r="BB115" i="3"/>
  <c r="AZ28" i="3"/>
  <c r="BA28" i="3"/>
  <c r="BB28" i="3"/>
  <c r="AZ8" i="3"/>
  <c r="BB8" i="3"/>
  <c r="AZ93" i="3"/>
  <c r="BA93" i="3"/>
  <c r="BB93" i="3"/>
  <c r="AZ65" i="3"/>
  <c r="BA65" i="3"/>
  <c r="BB65" i="3"/>
  <c r="AZ7" i="3"/>
  <c r="BB7" i="3"/>
  <c r="AZ25" i="3"/>
  <c r="BA25" i="3"/>
  <c r="BB25" i="3"/>
  <c r="AZ116" i="3"/>
  <c r="BA116" i="3"/>
  <c r="BB116" i="3"/>
  <c r="AZ117" i="3"/>
  <c r="BA117" i="3"/>
  <c r="BB117" i="3"/>
  <c r="AZ118" i="3"/>
  <c r="BA118" i="3"/>
  <c r="BB118" i="3"/>
  <c r="AZ119" i="3"/>
  <c r="BA119" i="3"/>
  <c r="BB119" i="3"/>
  <c r="AZ107" i="3"/>
  <c r="BA107" i="3"/>
  <c r="BB107" i="3"/>
  <c r="AZ69" i="3"/>
  <c r="BA69" i="3"/>
  <c r="BB69" i="3"/>
  <c r="AZ32" i="3"/>
  <c r="BA32" i="3"/>
  <c r="BB32" i="3"/>
  <c r="AZ39" i="3"/>
  <c r="BA39" i="3"/>
  <c r="BB39" i="3"/>
  <c r="AZ46" i="3"/>
  <c r="BA46" i="3"/>
  <c r="BB46" i="3"/>
  <c r="AZ4" i="3"/>
  <c r="BA4" i="3"/>
  <c r="BB4" i="3"/>
  <c r="AZ34" i="3"/>
  <c r="BA34" i="3"/>
  <c r="BB34" i="3"/>
  <c r="AZ35" i="3"/>
  <c r="BA35" i="3"/>
  <c r="BB35" i="3"/>
  <c r="AZ27" i="3"/>
  <c r="BA27" i="3"/>
  <c r="BB27" i="3"/>
  <c r="AZ3" i="3"/>
  <c r="BB3" i="3"/>
  <c r="AZ84" i="3"/>
  <c r="BA84" i="3"/>
  <c r="BB84" i="3"/>
  <c r="AZ16" i="3"/>
  <c r="BA16" i="3"/>
  <c r="BB16" i="3"/>
  <c r="AZ120" i="3"/>
  <c r="BA120" i="3"/>
  <c r="BB120" i="3"/>
  <c r="AZ98" i="3"/>
  <c r="BA98" i="3"/>
  <c r="BB98" i="3"/>
  <c r="AZ121" i="3"/>
  <c r="BA121" i="3"/>
  <c r="BB121" i="3"/>
  <c r="AZ5" i="3"/>
  <c r="BA5" i="3"/>
  <c r="AZ41" i="3"/>
  <c r="BA41" i="3"/>
  <c r="BB41" i="3"/>
  <c r="AZ72" i="3"/>
  <c r="BA72" i="3"/>
  <c r="BB72" i="3"/>
  <c r="AZ44" i="3"/>
  <c r="BA44" i="3"/>
  <c r="BB44" i="3"/>
  <c r="AZ122" i="3"/>
  <c r="BA122" i="3"/>
  <c r="BB122" i="3"/>
  <c r="AZ87" i="3"/>
  <c r="BA87" i="3"/>
  <c r="BB87" i="3"/>
  <c r="AZ55" i="3"/>
  <c r="BA55" i="3"/>
  <c r="BB55" i="3"/>
  <c r="AZ23" i="3"/>
  <c r="BA23" i="3"/>
  <c r="BB23" i="3"/>
  <c r="AZ82" i="3"/>
  <c r="BA82" i="3"/>
  <c r="BB82" i="3"/>
  <c r="AZ79" i="3"/>
  <c r="BA79" i="3"/>
  <c r="BB79" i="3"/>
  <c r="AZ101" i="3"/>
  <c r="BA101" i="3"/>
  <c r="BB101" i="3"/>
  <c r="AZ80" i="3"/>
  <c r="BA80" i="3"/>
  <c r="BB80" i="3"/>
  <c r="AZ88" i="3"/>
  <c r="BA88" i="3"/>
  <c r="BB88" i="3"/>
  <c r="AZ108" i="3"/>
  <c r="BA108" i="3"/>
  <c r="BB108" i="3"/>
  <c r="AZ123" i="3"/>
  <c r="BA123" i="3"/>
  <c r="BB123" i="3"/>
  <c r="AZ86" i="3"/>
  <c r="BA86" i="3"/>
  <c r="BB86" i="3"/>
  <c r="AZ124" i="3"/>
  <c r="BA124" i="3"/>
  <c r="BB124" i="3"/>
  <c r="AZ14" i="3"/>
  <c r="BA14" i="3"/>
  <c r="BB14" i="3"/>
  <c r="AZ94" i="3"/>
  <c r="BA94" i="3"/>
  <c r="BB94" i="3"/>
  <c r="AZ109" i="3"/>
  <c r="BA109" i="3"/>
  <c r="BB109" i="3"/>
  <c r="AZ76" i="3"/>
  <c r="BA76" i="3"/>
  <c r="BB76" i="3"/>
  <c r="AZ11" i="3"/>
  <c r="BA11" i="3"/>
  <c r="BB11" i="3"/>
  <c r="AZ70" i="3"/>
  <c r="BA70" i="3"/>
  <c r="BB70" i="3"/>
  <c r="AZ60" i="3"/>
  <c r="BA60" i="3"/>
  <c r="BB60" i="3"/>
  <c r="AZ63" i="3"/>
  <c r="BA63" i="3"/>
  <c r="BB63" i="3"/>
  <c r="AZ89" i="3"/>
  <c r="BA89" i="3"/>
  <c r="BB89" i="3"/>
  <c r="AZ61" i="3"/>
  <c r="BA61" i="3"/>
  <c r="BB61" i="3"/>
  <c r="AZ48" i="3"/>
  <c r="BA48" i="3"/>
  <c r="BB48" i="3"/>
  <c r="AZ47" i="3"/>
  <c r="BA47" i="3"/>
  <c r="BB47" i="3"/>
  <c r="AZ33" i="3"/>
  <c r="BA33" i="3"/>
  <c r="BB33" i="3"/>
  <c r="AZ20" i="3"/>
  <c r="BA20" i="3"/>
  <c r="BB20" i="3"/>
  <c r="AZ95" i="3"/>
  <c r="BA95" i="3"/>
  <c r="BB95" i="3"/>
  <c r="AZ36" i="3"/>
  <c r="BA36" i="3"/>
  <c r="BB36" i="3"/>
  <c r="AZ51" i="3"/>
  <c r="BA51" i="3"/>
  <c r="BB51" i="3"/>
  <c r="AZ42" i="3"/>
  <c r="BA42" i="3"/>
  <c r="BB42" i="3"/>
  <c r="AZ37" i="3"/>
  <c r="BA37" i="3"/>
  <c r="BB37" i="3"/>
  <c r="AZ81" i="3"/>
  <c r="BA81" i="3"/>
  <c r="BB81" i="3"/>
  <c r="AZ54" i="3"/>
  <c r="BA54" i="3"/>
  <c r="BB54" i="3"/>
  <c r="AZ22" i="3"/>
  <c r="BA22" i="3"/>
  <c r="BB22" i="3"/>
  <c r="AZ58" i="3"/>
  <c r="BA58" i="3"/>
  <c r="BB58" i="3"/>
  <c r="AZ31" i="3"/>
  <c r="BA31" i="3"/>
  <c r="BB31" i="3"/>
  <c r="AZ66" i="3"/>
  <c r="BA66" i="3"/>
  <c r="BB66" i="3"/>
  <c r="AZ6" i="3"/>
  <c r="BB6" i="3"/>
  <c r="AZ90" i="3"/>
  <c r="BA90" i="3"/>
  <c r="BB90" i="3"/>
  <c r="AZ125" i="3"/>
  <c r="BA125" i="3"/>
  <c r="BB125" i="3"/>
  <c r="AZ12" i="3"/>
  <c r="BA12" i="3"/>
  <c r="BB12" i="3"/>
  <c r="C85" i="3"/>
  <c r="E85" i="14" s="1"/>
  <c r="P85" i="14" s="1"/>
  <c r="D85" i="3"/>
  <c r="E85" i="3"/>
  <c r="F85" i="3"/>
  <c r="G85" i="3"/>
  <c r="H85" i="3"/>
  <c r="I85" i="3"/>
  <c r="J85" i="3"/>
  <c r="K85" i="3"/>
  <c r="L85" i="3"/>
  <c r="M85" i="3"/>
  <c r="N85" i="3"/>
  <c r="O85" i="3"/>
  <c r="P85" i="3"/>
  <c r="Q85" i="3"/>
  <c r="R85" i="3"/>
  <c r="S85" i="3"/>
  <c r="T85" i="3"/>
  <c r="U85" i="3"/>
  <c r="V85" i="3"/>
  <c r="W85" i="3"/>
  <c r="X85" i="3"/>
  <c r="Y85" i="3"/>
  <c r="Z85" i="3"/>
  <c r="AA85" i="3"/>
  <c r="AB85" i="3"/>
  <c r="AC85" i="3"/>
  <c r="AD85" i="3"/>
  <c r="AE85" i="3"/>
  <c r="AF85" i="3"/>
  <c r="AG85" i="3"/>
  <c r="AH85" i="3"/>
  <c r="AI85" i="3"/>
  <c r="AJ85" i="3"/>
  <c r="AK85" i="3"/>
  <c r="AL85" i="3"/>
  <c r="AM85" i="3"/>
  <c r="AN85" i="3"/>
  <c r="AO85" i="3"/>
  <c r="AP85" i="3"/>
  <c r="AQ85" i="3"/>
  <c r="AR85" i="3"/>
  <c r="AS85" i="3"/>
  <c r="AT85" i="3"/>
  <c r="AU85" i="3"/>
  <c r="AV85" i="3"/>
  <c r="AW85" i="3"/>
  <c r="AX85" i="3"/>
  <c r="AY85" i="3"/>
  <c r="C56" i="3"/>
  <c r="D56" i="3"/>
  <c r="E56" i="3"/>
  <c r="F56" i="3"/>
  <c r="G56" i="3"/>
  <c r="H56" i="3"/>
  <c r="I56" i="3"/>
  <c r="J56" i="3"/>
  <c r="K56" i="3"/>
  <c r="L56" i="3"/>
  <c r="M56" i="3"/>
  <c r="N56" i="3"/>
  <c r="O56" i="3"/>
  <c r="P56" i="3"/>
  <c r="Q56" i="3"/>
  <c r="R56" i="3"/>
  <c r="S56" i="3"/>
  <c r="T56" i="3"/>
  <c r="U56" i="3"/>
  <c r="V56" i="3"/>
  <c r="W56" i="3"/>
  <c r="X56" i="3"/>
  <c r="Y56" i="3"/>
  <c r="Z56" i="3"/>
  <c r="AA56" i="3"/>
  <c r="AB56" i="3"/>
  <c r="AC56" i="3"/>
  <c r="AD56" i="3"/>
  <c r="AE56" i="3"/>
  <c r="AF56" i="3"/>
  <c r="AG56" i="3"/>
  <c r="AH56" i="3"/>
  <c r="AI56" i="3"/>
  <c r="AJ56" i="3"/>
  <c r="AK56" i="3"/>
  <c r="AL56" i="3"/>
  <c r="AM56" i="3"/>
  <c r="AN56" i="3"/>
  <c r="AO56" i="3"/>
  <c r="AP56" i="3"/>
  <c r="AQ56" i="3"/>
  <c r="AR56" i="3"/>
  <c r="AS56" i="3"/>
  <c r="AT56" i="3"/>
  <c r="AU56" i="3"/>
  <c r="AV56" i="3"/>
  <c r="AW56" i="3"/>
  <c r="AX56" i="3"/>
  <c r="AY56" i="3"/>
  <c r="C64" i="3"/>
  <c r="D64" i="3"/>
  <c r="E64" i="3"/>
  <c r="F64" i="3"/>
  <c r="G64" i="3"/>
  <c r="H64" i="3"/>
  <c r="I64" i="3"/>
  <c r="J64" i="3"/>
  <c r="K64" i="3"/>
  <c r="L64" i="3"/>
  <c r="M64" i="3"/>
  <c r="N64" i="3"/>
  <c r="O64" i="3"/>
  <c r="P64" i="3"/>
  <c r="Q64" i="3"/>
  <c r="R64" i="3"/>
  <c r="S64" i="3"/>
  <c r="T64" i="3"/>
  <c r="U64" i="3"/>
  <c r="V64" i="3"/>
  <c r="W64" i="3"/>
  <c r="X64" i="3"/>
  <c r="Y64" i="3"/>
  <c r="Z64" i="3"/>
  <c r="AA64" i="3"/>
  <c r="AB64" i="3"/>
  <c r="AC64" i="3"/>
  <c r="AD64" i="3"/>
  <c r="AE64" i="3"/>
  <c r="AF64" i="3"/>
  <c r="AG64" i="3"/>
  <c r="AH64" i="3"/>
  <c r="AI64" i="3"/>
  <c r="AJ64" i="3"/>
  <c r="AK64" i="3"/>
  <c r="AL64" i="3"/>
  <c r="AM64" i="3"/>
  <c r="AN64" i="3"/>
  <c r="AO64" i="3"/>
  <c r="AP64" i="3"/>
  <c r="AQ64" i="3"/>
  <c r="AR64" i="3"/>
  <c r="AS64" i="3"/>
  <c r="AT64" i="3"/>
  <c r="AU64" i="3"/>
  <c r="AV64" i="3"/>
  <c r="AW64" i="3"/>
  <c r="AX64" i="3"/>
  <c r="AY64" i="3"/>
  <c r="C110" i="3"/>
  <c r="D110" i="3"/>
  <c r="E110" i="3"/>
  <c r="F110" i="3"/>
  <c r="G110" i="3"/>
  <c r="H110" i="3"/>
  <c r="I110" i="3"/>
  <c r="J110" i="3"/>
  <c r="K110" i="3"/>
  <c r="L110" i="3"/>
  <c r="M110" i="3"/>
  <c r="N110" i="3"/>
  <c r="O110" i="3"/>
  <c r="P110" i="3"/>
  <c r="Q110" i="3"/>
  <c r="R110" i="3"/>
  <c r="S110" i="3"/>
  <c r="T110" i="3"/>
  <c r="U110" i="3"/>
  <c r="V110" i="3"/>
  <c r="W110" i="3"/>
  <c r="X110" i="3"/>
  <c r="Y110" i="3"/>
  <c r="Z110" i="3"/>
  <c r="AA110" i="3"/>
  <c r="AB110" i="3"/>
  <c r="AC110" i="3"/>
  <c r="AD110" i="3"/>
  <c r="AE110" i="3"/>
  <c r="AF110" i="3"/>
  <c r="AG110" i="3"/>
  <c r="AH110" i="3"/>
  <c r="AI110" i="3"/>
  <c r="AJ110" i="3"/>
  <c r="AK110" i="3"/>
  <c r="AL110" i="3"/>
  <c r="AM110" i="3"/>
  <c r="AN110" i="3"/>
  <c r="AO110" i="3"/>
  <c r="AP110" i="3"/>
  <c r="AQ110" i="3"/>
  <c r="AR110" i="3"/>
  <c r="AS110" i="3"/>
  <c r="AT110" i="3"/>
  <c r="AU110" i="3"/>
  <c r="AV110" i="3"/>
  <c r="AW110" i="3"/>
  <c r="AX110" i="3"/>
  <c r="AY110" i="3"/>
  <c r="C111" i="3"/>
  <c r="E111" i="14" s="1"/>
  <c r="P111" i="14" s="1"/>
  <c r="D111" i="3"/>
  <c r="E111" i="3"/>
  <c r="F111" i="3"/>
  <c r="G111" i="3"/>
  <c r="H111" i="3"/>
  <c r="I111" i="3"/>
  <c r="J111" i="3"/>
  <c r="K111" i="3"/>
  <c r="L111" i="3"/>
  <c r="M111" i="3"/>
  <c r="N111" i="3"/>
  <c r="O111" i="3"/>
  <c r="P111" i="3"/>
  <c r="Q111" i="3"/>
  <c r="R111" i="3"/>
  <c r="S111" i="3"/>
  <c r="T111" i="3"/>
  <c r="U111" i="3"/>
  <c r="V111" i="3"/>
  <c r="W111" i="3"/>
  <c r="X111" i="3"/>
  <c r="Y111" i="3"/>
  <c r="Z111" i="3"/>
  <c r="AA111" i="3"/>
  <c r="AB111" i="3"/>
  <c r="AC111" i="3"/>
  <c r="AD111" i="3"/>
  <c r="AE111" i="3"/>
  <c r="AF111" i="3"/>
  <c r="AG111" i="3"/>
  <c r="AH111" i="3"/>
  <c r="AI111" i="3"/>
  <c r="AJ111" i="3"/>
  <c r="AK111" i="3"/>
  <c r="AL111" i="3"/>
  <c r="AM111" i="3"/>
  <c r="AN111" i="3"/>
  <c r="AO111" i="3"/>
  <c r="AP111" i="3"/>
  <c r="AQ111" i="3"/>
  <c r="AR111" i="3"/>
  <c r="AS111" i="3"/>
  <c r="AT111" i="3"/>
  <c r="AU111" i="3"/>
  <c r="AV111" i="3"/>
  <c r="AW111" i="3"/>
  <c r="AX111" i="3"/>
  <c r="AY111" i="3"/>
  <c r="C59" i="3"/>
  <c r="D59" i="3"/>
  <c r="E59" i="3"/>
  <c r="F59" i="3"/>
  <c r="G59" i="3"/>
  <c r="H59" i="3"/>
  <c r="I59" i="3"/>
  <c r="J59" i="3"/>
  <c r="K59" i="3"/>
  <c r="L59" i="3"/>
  <c r="M59" i="3"/>
  <c r="N59" i="3"/>
  <c r="O59" i="3"/>
  <c r="P59" i="3"/>
  <c r="Q59" i="3"/>
  <c r="R59" i="3"/>
  <c r="S59" i="3"/>
  <c r="T59" i="3"/>
  <c r="U59" i="3"/>
  <c r="V59" i="3"/>
  <c r="W59" i="3"/>
  <c r="X59" i="3"/>
  <c r="Y59" i="3"/>
  <c r="Z59" i="3"/>
  <c r="AA59" i="3"/>
  <c r="AB59" i="3"/>
  <c r="AC59" i="3"/>
  <c r="AD59" i="3"/>
  <c r="AE59" i="3"/>
  <c r="AF59" i="3"/>
  <c r="AG59" i="3"/>
  <c r="AH59" i="3"/>
  <c r="AI59" i="3"/>
  <c r="AJ59" i="3"/>
  <c r="AK59" i="3"/>
  <c r="AL59" i="3"/>
  <c r="AM59" i="3"/>
  <c r="AN59" i="3"/>
  <c r="AO59" i="3"/>
  <c r="AP59" i="3"/>
  <c r="AQ59" i="3"/>
  <c r="AR59" i="3"/>
  <c r="AS59" i="3"/>
  <c r="AT59" i="3"/>
  <c r="AU59" i="3"/>
  <c r="AV59" i="3"/>
  <c r="AW59" i="3"/>
  <c r="AX59" i="3"/>
  <c r="AY59" i="3"/>
  <c r="C83" i="3"/>
  <c r="D83" i="3"/>
  <c r="E83" i="3"/>
  <c r="F83" i="3"/>
  <c r="G83" i="3"/>
  <c r="H83" i="3"/>
  <c r="I83" i="3"/>
  <c r="J83" i="3"/>
  <c r="K83" i="3"/>
  <c r="L83" i="3"/>
  <c r="M83" i="3"/>
  <c r="N83" i="3"/>
  <c r="O83" i="3"/>
  <c r="P83" i="3"/>
  <c r="Q83" i="3"/>
  <c r="R83" i="3"/>
  <c r="S83" i="3"/>
  <c r="T83" i="3"/>
  <c r="U83" i="3"/>
  <c r="V83" i="3"/>
  <c r="W83" i="3"/>
  <c r="X83" i="3"/>
  <c r="Y83" i="3"/>
  <c r="Z83" i="3"/>
  <c r="AA83" i="3"/>
  <c r="AB83" i="3"/>
  <c r="AC83" i="3"/>
  <c r="AD83" i="3"/>
  <c r="AE83" i="3"/>
  <c r="AF83" i="3"/>
  <c r="AG83" i="3"/>
  <c r="AH83" i="3"/>
  <c r="AI83" i="3"/>
  <c r="AJ83" i="3"/>
  <c r="AK83" i="3"/>
  <c r="AL83" i="3"/>
  <c r="AM83" i="3"/>
  <c r="AN83" i="3"/>
  <c r="AO83" i="3"/>
  <c r="AP83" i="3"/>
  <c r="AQ83" i="3"/>
  <c r="AR83" i="3"/>
  <c r="AS83" i="3"/>
  <c r="AT83" i="3"/>
  <c r="AU83" i="3"/>
  <c r="AV83" i="3"/>
  <c r="AW83" i="3"/>
  <c r="AX83" i="3"/>
  <c r="AY83" i="3"/>
  <c r="C103" i="3"/>
  <c r="D103" i="3"/>
  <c r="E103" i="3"/>
  <c r="F103" i="3"/>
  <c r="G103" i="3"/>
  <c r="H103" i="3"/>
  <c r="I103" i="3"/>
  <c r="J103" i="3"/>
  <c r="K103" i="3"/>
  <c r="L103" i="3"/>
  <c r="M103" i="3"/>
  <c r="N103" i="3"/>
  <c r="O103" i="3"/>
  <c r="P103" i="3"/>
  <c r="Q103" i="3"/>
  <c r="R103" i="3"/>
  <c r="S103" i="3"/>
  <c r="T103" i="3"/>
  <c r="U103" i="3"/>
  <c r="V103" i="3"/>
  <c r="W103" i="3"/>
  <c r="X103" i="3"/>
  <c r="Y103" i="3"/>
  <c r="Z103" i="3"/>
  <c r="AA103" i="3"/>
  <c r="AB103" i="3"/>
  <c r="AC103" i="3"/>
  <c r="AD103" i="3"/>
  <c r="AE103" i="3"/>
  <c r="AF103" i="3"/>
  <c r="AG103" i="3"/>
  <c r="AH103" i="3"/>
  <c r="AI103" i="3"/>
  <c r="AJ103" i="3"/>
  <c r="AK103" i="3"/>
  <c r="AL103" i="3"/>
  <c r="AM103" i="3"/>
  <c r="AN103" i="3"/>
  <c r="AO103" i="3"/>
  <c r="AP103" i="3"/>
  <c r="AQ103" i="3"/>
  <c r="AR103" i="3"/>
  <c r="AS103" i="3"/>
  <c r="AT103" i="3"/>
  <c r="AU103" i="3"/>
  <c r="AV103" i="3"/>
  <c r="AW103" i="3"/>
  <c r="AX103" i="3"/>
  <c r="AY103" i="3"/>
  <c r="C21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V21" i="3"/>
  <c r="AW21" i="3"/>
  <c r="AX21" i="3"/>
  <c r="AY21" i="3"/>
  <c r="C19" i="3"/>
  <c r="D19" i="3"/>
  <c r="E19" i="3"/>
  <c r="F19" i="3"/>
  <c r="G19" i="3"/>
  <c r="H19" i="3"/>
  <c r="I19" i="3"/>
  <c r="J19" i="3"/>
  <c r="K19" i="3"/>
  <c r="L19" i="3"/>
  <c r="M19" i="3"/>
  <c r="N19" i="3"/>
  <c r="O19" i="3"/>
  <c r="P19" i="3"/>
  <c r="Q19" i="3"/>
  <c r="R19" i="3"/>
  <c r="S19" i="3"/>
  <c r="T19" i="3"/>
  <c r="U19" i="3"/>
  <c r="V19" i="3"/>
  <c r="W19" i="3"/>
  <c r="X19" i="3"/>
  <c r="Y19" i="3"/>
  <c r="Z19" i="3"/>
  <c r="AA19" i="3"/>
  <c r="AB19" i="3"/>
  <c r="AC19" i="3"/>
  <c r="AD19" i="3"/>
  <c r="AE19" i="3"/>
  <c r="AF19" i="3"/>
  <c r="AG19" i="3"/>
  <c r="AH19" i="3"/>
  <c r="AI19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V19" i="3"/>
  <c r="AW19" i="3"/>
  <c r="AX19" i="3"/>
  <c r="AY19" i="3"/>
  <c r="C74" i="3"/>
  <c r="D74" i="3"/>
  <c r="E74" i="3"/>
  <c r="F74" i="3"/>
  <c r="G74" i="3"/>
  <c r="H74" i="3"/>
  <c r="I74" i="3"/>
  <c r="J74" i="3"/>
  <c r="K74" i="3"/>
  <c r="L74" i="3"/>
  <c r="M74" i="3"/>
  <c r="N74" i="3"/>
  <c r="O74" i="3"/>
  <c r="P74" i="3"/>
  <c r="Q74" i="3"/>
  <c r="R74" i="3"/>
  <c r="S74" i="3"/>
  <c r="T74" i="3"/>
  <c r="U74" i="3"/>
  <c r="V74" i="3"/>
  <c r="W74" i="3"/>
  <c r="X74" i="3"/>
  <c r="Y74" i="3"/>
  <c r="Z74" i="3"/>
  <c r="AA74" i="3"/>
  <c r="AB74" i="3"/>
  <c r="AC74" i="3"/>
  <c r="AD74" i="3"/>
  <c r="AE74" i="3"/>
  <c r="AF74" i="3"/>
  <c r="AG74" i="3"/>
  <c r="AH74" i="3"/>
  <c r="AI74" i="3"/>
  <c r="AJ74" i="3"/>
  <c r="AK74" i="3"/>
  <c r="AL74" i="3"/>
  <c r="AM74" i="3"/>
  <c r="AN74" i="3"/>
  <c r="AO74" i="3"/>
  <c r="AP74" i="3"/>
  <c r="AQ74" i="3"/>
  <c r="AR74" i="3"/>
  <c r="AS74" i="3"/>
  <c r="AT74" i="3"/>
  <c r="AU74" i="3"/>
  <c r="AV74" i="3"/>
  <c r="AW74" i="3"/>
  <c r="AX74" i="3"/>
  <c r="AY74" i="3"/>
  <c r="C26" i="3"/>
  <c r="D26" i="3"/>
  <c r="E26" i="3"/>
  <c r="F26" i="3"/>
  <c r="G26" i="3"/>
  <c r="H26" i="3"/>
  <c r="I26" i="3"/>
  <c r="J26" i="3"/>
  <c r="K26" i="3"/>
  <c r="L26" i="3"/>
  <c r="M26" i="3"/>
  <c r="N26" i="3"/>
  <c r="O26" i="3"/>
  <c r="P26" i="3"/>
  <c r="Q26" i="3"/>
  <c r="R26" i="3"/>
  <c r="S26" i="3"/>
  <c r="T26" i="3"/>
  <c r="U26" i="3"/>
  <c r="V26" i="3"/>
  <c r="W26" i="3"/>
  <c r="X26" i="3"/>
  <c r="Y26" i="3"/>
  <c r="Z26" i="3"/>
  <c r="AA26" i="3"/>
  <c r="AB26" i="3"/>
  <c r="AC26" i="3"/>
  <c r="AD26" i="3"/>
  <c r="AE26" i="3"/>
  <c r="AF26" i="3"/>
  <c r="AG26" i="3"/>
  <c r="AH26" i="3"/>
  <c r="AI26" i="3"/>
  <c r="AJ26" i="3"/>
  <c r="AK26" i="3"/>
  <c r="AL26" i="3"/>
  <c r="AM26" i="3"/>
  <c r="AN26" i="3"/>
  <c r="AO26" i="3"/>
  <c r="AP26" i="3"/>
  <c r="AQ26" i="3"/>
  <c r="AR26" i="3"/>
  <c r="AS26" i="3"/>
  <c r="AT26" i="3"/>
  <c r="AU26" i="3"/>
  <c r="AV26" i="3"/>
  <c r="AW26" i="3"/>
  <c r="AX26" i="3"/>
  <c r="AY26" i="3"/>
  <c r="C99" i="3"/>
  <c r="E99" i="14" s="1"/>
  <c r="P99" i="14" s="1"/>
  <c r="D99" i="3"/>
  <c r="E99" i="3"/>
  <c r="F99" i="3"/>
  <c r="G99" i="3"/>
  <c r="H99" i="3"/>
  <c r="I99" i="3"/>
  <c r="J99" i="3"/>
  <c r="K99" i="3"/>
  <c r="L99" i="3"/>
  <c r="M99" i="3"/>
  <c r="N99" i="3"/>
  <c r="O99" i="3"/>
  <c r="P99" i="3"/>
  <c r="Q99" i="3"/>
  <c r="R99" i="3"/>
  <c r="S99" i="3"/>
  <c r="T99" i="3"/>
  <c r="U99" i="3"/>
  <c r="V99" i="3"/>
  <c r="W99" i="3"/>
  <c r="X99" i="3"/>
  <c r="Y99" i="3"/>
  <c r="Z99" i="3"/>
  <c r="AA99" i="3"/>
  <c r="AB99" i="3"/>
  <c r="AC99" i="3"/>
  <c r="AD99" i="3"/>
  <c r="AE99" i="3"/>
  <c r="AF99" i="3"/>
  <c r="AG99" i="3"/>
  <c r="AH99" i="3"/>
  <c r="AI99" i="3"/>
  <c r="AJ99" i="3"/>
  <c r="AK99" i="3"/>
  <c r="AL99" i="3"/>
  <c r="AM99" i="3"/>
  <c r="AN99" i="3"/>
  <c r="AO99" i="3"/>
  <c r="AP99" i="3"/>
  <c r="AQ99" i="3"/>
  <c r="AR99" i="3"/>
  <c r="AS99" i="3"/>
  <c r="AT99" i="3"/>
  <c r="AU99" i="3"/>
  <c r="AV99" i="3"/>
  <c r="AW99" i="3"/>
  <c r="AX99" i="3"/>
  <c r="AY99" i="3"/>
  <c r="C62" i="3"/>
  <c r="E62" i="14" s="1"/>
  <c r="P62" i="14" s="1"/>
  <c r="D62" i="3"/>
  <c r="E62" i="3"/>
  <c r="F62" i="3"/>
  <c r="G62" i="3"/>
  <c r="H62" i="3"/>
  <c r="I62" i="3"/>
  <c r="J62" i="3"/>
  <c r="K62" i="3"/>
  <c r="L62" i="3"/>
  <c r="M62" i="3"/>
  <c r="N62" i="3"/>
  <c r="O62" i="3"/>
  <c r="P62" i="3"/>
  <c r="Q62" i="3"/>
  <c r="R62" i="3"/>
  <c r="S62" i="3"/>
  <c r="T62" i="3"/>
  <c r="U62" i="3"/>
  <c r="V62" i="3"/>
  <c r="W62" i="3"/>
  <c r="X62" i="3"/>
  <c r="Y62" i="3"/>
  <c r="Z62" i="3"/>
  <c r="AA62" i="3"/>
  <c r="AB62" i="3"/>
  <c r="AC62" i="3"/>
  <c r="AD62" i="3"/>
  <c r="AE62" i="3"/>
  <c r="AF62" i="3"/>
  <c r="AG62" i="3"/>
  <c r="AH62" i="3"/>
  <c r="AI62" i="3"/>
  <c r="AJ62" i="3"/>
  <c r="AK62" i="3"/>
  <c r="AL62" i="3"/>
  <c r="AM62" i="3"/>
  <c r="AN62" i="3"/>
  <c r="AO62" i="3"/>
  <c r="AP62" i="3"/>
  <c r="AQ62" i="3"/>
  <c r="AR62" i="3"/>
  <c r="AS62" i="3"/>
  <c r="AT62" i="3"/>
  <c r="AU62" i="3"/>
  <c r="AV62" i="3"/>
  <c r="AW62" i="3"/>
  <c r="AX62" i="3"/>
  <c r="AY62" i="3"/>
  <c r="C18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AM18" i="3"/>
  <c r="AN18" i="3"/>
  <c r="AO18" i="3"/>
  <c r="AP18" i="3"/>
  <c r="AQ18" i="3"/>
  <c r="AR18" i="3"/>
  <c r="AS18" i="3"/>
  <c r="AT18" i="3"/>
  <c r="AU18" i="3"/>
  <c r="AV18" i="3"/>
  <c r="AW18" i="3"/>
  <c r="AX18" i="3"/>
  <c r="AY18" i="3"/>
  <c r="C112" i="3"/>
  <c r="E112" i="14" s="1"/>
  <c r="P112" i="14" s="1"/>
  <c r="D112" i="3"/>
  <c r="E112" i="3"/>
  <c r="F112" i="3"/>
  <c r="G112" i="3"/>
  <c r="H112" i="3"/>
  <c r="I112" i="3"/>
  <c r="J112" i="3"/>
  <c r="K112" i="3"/>
  <c r="L112" i="3"/>
  <c r="M112" i="3"/>
  <c r="N112" i="3"/>
  <c r="O112" i="3"/>
  <c r="P112" i="3"/>
  <c r="Q112" i="3"/>
  <c r="R112" i="3"/>
  <c r="S112" i="3"/>
  <c r="T112" i="3"/>
  <c r="U112" i="3"/>
  <c r="V112" i="3"/>
  <c r="W112" i="3"/>
  <c r="X112" i="3"/>
  <c r="Y112" i="3"/>
  <c r="Z112" i="3"/>
  <c r="AA112" i="3"/>
  <c r="AB112" i="3"/>
  <c r="AC112" i="3"/>
  <c r="AD112" i="3"/>
  <c r="AE112" i="3"/>
  <c r="AF112" i="3"/>
  <c r="AG112" i="3"/>
  <c r="AH112" i="3"/>
  <c r="AI112" i="3"/>
  <c r="AJ112" i="3"/>
  <c r="AK112" i="3"/>
  <c r="AL112" i="3"/>
  <c r="AM112" i="3"/>
  <c r="AN112" i="3"/>
  <c r="AO112" i="3"/>
  <c r="AP112" i="3"/>
  <c r="AQ112" i="3"/>
  <c r="AR112" i="3"/>
  <c r="AS112" i="3"/>
  <c r="AT112" i="3"/>
  <c r="AU112" i="3"/>
  <c r="AV112" i="3"/>
  <c r="AW112" i="3"/>
  <c r="AX112" i="3"/>
  <c r="AY112" i="3"/>
  <c r="C100" i="3"/>
  <c r="E100" i="14" s="1"/>
  <c r="P100" i="14" s="1"/>
  <c r="D100" i="3"/>
  <c r="E100" i="3"/>
  <c r="F100" i="3"/>
  <c r="G100" i="3"/>
  <c r="H100" i="3"/>
  <c r="I100" i="3"/>
  <c r="J100" i="3"/>
  <c r="K100" i="3"/>
  <c r="L100" i="3"/>
  <c r="M100" i="3"/>
  <c r="N100" i="3"/>
  <c r="O100" i="3"/>
  <c r="P100" i="3"/>
  <c r="Q100" i="3"/>
  <c r="R100" i="3"/>
  <c r="S100" i="3"/>
  <c r="T100" i="3"/>
  <c r="U100" i="3"/>
  <c r="V100" i="3"/>
  <c r="W100" i="3"/>
  <c r="X100" i="3"/>
  <c r="Y100" i="3"/>
  <c r="Z100" i="3"/>
  <c r="AA100" i="3"/>
  <c r="AB100" i="3"/>
  <c r="AC100" i="3"/>
  <c r="AD100" i="3"/>
  <c r="AE100" i="3"/>
  <c r="AF100" i="3"/>
  <c r="AG100" i="3"/>
  <c r="AH100" i="3"/>
  <c r="AI100" i="3"/>
  <c r="AJ100" i="3"/>
  <c r="AK100" i="3"/>
  <c r="AL100" i="3"/>
  <c r="AM100" i="3"/>
  <c r="AN100" i="3"/>
  <c r="AO100" i="3"/>
  <c r="AP100" i="3"/>
  <c r="AQ100" i="3"/>
  <c r="AR100" i="3"/>
  <c r="AS100" i="3"/>
  <c r="AT100" i="3"/>
  <c r="AU100" i="3"/>
  <c r="AV100" i="3"/>
  <c r="AW100" i="3"/>
  <c r="AX100" i="3"/>
  <c r="AY100" i="3"/>
  <c r="C77" i="3"/>
  <c r="D77" i="3"/>
  <c r="E77" i="3"/>
  <c r="F77" i="3"/>
  <c r="G77" i="3"/>
  <c r="H77" i="3"/>
  <c r="I77" i="3"/>
  <c r="J77" i="3"/>
  <c r="K77" i="3"/>
  <c r="L77" i="3"/>
  <c r="M77" i="3"/>
  <c r="N77" i="3"/>
  <c r="O77" i="3"/>
  <c r="P77" i="3"/>
  <c r="Q77" i="3"/>
  <c r="R77" i="3"/>
  <c r="S77" i="3"/>
  <c r="T77" i="3"/>
  <c r="U77" i="3"/>
  <c r="V77" i="3"/>
  <c r="W77" i="3"/>
  <c r="X77" i="3"/>
  <c r="Y77" i="3"/>
  <c r="Z77" i="3"/>
  <c r="AA77" i="3"/>
  <c r="AB77" i="3"/>
  <c r="AC77" i="3"/>
  <c r="AD77" i="3"/>
  <c r="AE77" i="3"/>
  <c r="AF77" i="3"/>
  <c r="AG77" i="3"/>
  <c r="AH77" i="3"/>
  <c r="AI77" i="3"/>
  <c r="AJ77" i="3"/>
  <c r="AK77" i="3"/>
  <c r="AL77" i="3"/>
  <c r="AM77" i="3"/>
  <c r="AN77" i="3"/>
  <c r="AO77" i="3"/>
  <c r="AP77" i="3"/>
  <c r="AQ77" i="3"/>
  <c r="AR77" i="3"/>
  <c r="AS77" i="3"/>
  <c r="AT77" i="3"/>
  <c r="AU77" i="3"/>
  <c r="AV77" i="3"/>
  <c r="AW77" i="3"/>
  <c r="AX77" i="3"/>
  <c r="AY77" i="3"/>
  <c r="C29" i="3"/>
  <c r="D29" i="3"/>
  <c r="E29" i="3"/>
  <c r="F29" i="3"/>
  <c r="G29" i="3"/>
  <c r="H29" i="3"/>
  <c r="I29" i="3"/>
  <c r="J29" i="3"/>
  <c r="K29" i="3"/>
  <c r="L29" i="3"/>
  <c r="M29" i="3"/>
  <c r="N29" i="3"/>
  <c r="O29" i="3"/>
  <c r="P29" i="3"/>
  <c r="Q29" i="3"/>
  <c r="R29" i="3"/>
  <c r="S29" i="3"/>
  <c r="T29" i="3"/>
  <c r="U29" i="3"/>
  <c r="V29" i="3"/>
  <c r="W29" i="3"/>
  <c r="X29" i="3"/>
  <c r="Y29" i="3"/>
  <c r="Z29" i="3"/>
  <c r="AA29" i="3"/>
  <c r="AB29" i="3"/>
  <c r="AC29" i="3"/>
  <c r="AD29" i="3"/>
  <c r="AE29" i="3"/>
  <c r="AF29" i="3"/>
  <c r="AG29" i="3"/>
  <c r="AH29" i="3"/>
  <c r="AI29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V29" i="3"/>
  <c r="AW29" i="3"/>
  <c r="AX29" i="3"/>
  <c r="AY29" i="3"/>
  <c r="C53" i="3"/>
  <c r="D53" i="3"/>
  <c r="E53" i="3"/>
  <c r="F53" i="3"/>
  <c r="G53" i="3"/>
  <c r="H53" i="3"/>
  <c r="I53" i="3"/>
  <c r="J53" i="3"/>
  <c r="K53" i="3"/>
  <c r="L53" i="3"/>
  <c r="M53" i="3"/>
  <c r="N53" i="3"/>
  <c r="O53" i="3"/>
  <c r="P53" i="3"/>
  <c r="Q53" i="3"/>
  <c r="R53" i="3"/>
  <c r="S53" i="3"/>
  <c r="T53" i="3"/>
  <c r="U53" i="3"/>
  <c r="V53" i="3"/>
  <c r="W53" i="3"/>
  <c r="X53" i="3"/>
  <c r="Y53" i="3"/>
  <c r="Z53" i="3"/>
  <c r="AA53" i="3"/>
  <c r="AB53" i="3"/>
  <c r="AC53" i="3"/>
  <c r="AD53" i="3"/>
  <c r="AE53" i="3"/>
  <c r="AF53" i="3"/>
  <c r="AG53" i="3"/>
  <c r="AH53" i="3"/>
  <c r="AI53" i="3"/>
  <c r="AJ53" i="3"/>
  <c r="AK53" i="3"/>
  <c r="AL53" i="3"/>
  <c r="AM53" i="3"/>
  <c r="AN53" i="3"/>
  <c r="AO53" i="3"/>
  <c r="AP53" i="3"/>
  <c r="AQ53" i="3"/>
  <c r="AR53" i="3"/>
  <c r="AS53" i="3"/>
  <c r="AT53" i="3"/>
  <c r="AU53" i="3"/>
  <c r="AV53" i="3"/>
  <c r="AW53" i="3"/>
  <c r="AX53" i="3"/>
  <c r="AY53" i="3"/>
  <c r="C67" i="3"/>
  <c r="D67" i="3"/>
  <c r="E67" i="3"/>
  <c r="F67" i="3"/>
  <c r="G67" i="3"/>
  <c r="H67" i="3"/>
  <c r="I67" i="3"/>
  <c r="J67" i="3"/>
  <c r="K67" i="3"/>
  <c r="L67" i="3"/>
  <c r="M67" i="3"/>
  <c r="N67" i="3"/>
  <c r="O67" i="3"/>
  <c r="P67" i="3"/>
  <c r="Q67" i="3"/>
  <c r="R67" i="3"/>
  <c r="S67" i="3"/>
  <c r="T67" i="3"/>
  <c r="U67" i="3"/>
  <c r="V67" i="3"/>
  <c r="W67" i="3"/>
  <c r="X67" i="3"/>
  <c r="Y67" i="3"/>
  <c r="Z67" i="3"/>
  <c r="AA67" i="3"/>
  <c r="AB67" i="3"/>
  <c r="AC67" i="3"/>
  <c r="AD67" i="3"/>
  <c r="AE67" i="3"/>
  <c r="AF67" i="3"/>
  <c r="AG67" i="3"/>
  <c r="AH67" i="3"/>
  <c r="AI67" i="3"/>
  <c r="AJ67" i="3"/>
  <c r="AK67" i="3"/>
  <c r="AL67" i="3"/>
  <c r="AM67" i="3"/>
  <c r="AN67" i="3"/>
  <c r="AO67" i="3"/>
  <c r="AP67" i="3"/>
  <c r="AQ67" i="3"/>
  <c r="AR67" i="3"/>
  <c r="AS67" i="3"/>
  <c r="AT67" i="3"/>
  <c r="AU67" i="3"/>
  <c r="AV67" i="3"/>
  <c r="AW67" i="3"/>
  <c r="AX67" i="3"/>
  <c r="AY67" i="3"/>
  <c r="C104" i="3"/>
  <c r="D104" i="3"/>
  <c r="E104" i="3"/>
  <c r="F104" i="3"/>
  <c r="G104" i="3"/>
  <c r="H104" i="3"/>
  <c r="I104" i="3"/>
  <c r="J104" i="3"/>
  <c r="K104" i="3"/>
  <c r="L104" i="3"/>
  <c r="M104" i="3"/>
  <c r="N104" i="3"/>
  <c r="O104" i="3"/>
  <c r="P104" i="3"/>
  <c r="Q104" i="3"/>
  <c r="R104" i="3"/>
  <c r="S104" i="3"/>
  <c r="T104" i="3"/>
  <c r="U104" i="3"/>
  <c r="V104" i="3"/>
  <c r="W104" i="3"/>
  <c r="X104" i="3"/>
  <c r="Y104" i="3"/>
  <c r="Z104" i="3"/>
  <c r="AA104" i="3"/>
  <c r="AB104" i="3"/>
  <c r="AC104" i="3"/>
  <c r="AD104" i="3"/>
  <c r="AE104" i="3"/>
  <c r="AF104" i="3"/>
  <c r="AG104" i="3"/>
  <c r="AH104" i="3"/>
  <c r="AI104" i="3"/>
  <c r="AJ104" i="3"/>
  <c r="AK104" i="3"/>
  <c r="AL104" i="3"/>
  <c r="AM104" i="3"/>
  <c r="AN104" i="3"/>
  <c r="AO104" i="3"/>
  <c r="AP104" i="3"/>
  <c r="AQ104" i="3"/>
  <c r="AR104" i="3"/>
  <c r="AS104" i="3"/>
  <c r="AT104" i="3"/>
  <c r="AU104" i="3"/>
  <c r="AV104" i="3"/>
  <c r="AW104" i="3"/>
  <c r="AX104" i="3"/>
  <c r="AY104" i="3"/>
  <c r="C91" i="3"/>
  <c r="E91" i="14" s="1"/>
  <c r="P91" i="14" s="1"/>
  <c r="D91" i="3"/>
  <c r="E91" i="3"/>
  <c r="F91" i="3"/>
  <c r="G91" i="3"/>
  <c r="H91" i="3"/>
  <c r="I91" i="3"/>
  <c r="J91" i="3"/>
  <c r="K91" i="3"/>
  <c r="L91" i="3"/>
  <c r="M91" i="3"/>
  <c r="N91" i="3"/>
  <c r="O91" i="3"/>
  <c r="P91" i="3"/>
  <c r="Q91" i="3"/>
  <c r="R91" i="3"/>
  <c r="S91" i="3"/>
  <c r="T91" i="3"/>
  <c r="U91" i="3"/>
  <c r="V91" i="3"/>
  <c r="W91" i="3"/>
  <c r="X91" i="3"/>
  <c r="Y91" i="3"/>
  <c r="Z91" i="3"/>
  <c r="AA91" i="3"/>
  <c r="AB91" i="3"/>
  <c r="AC91" i="3"/>
  <c r="AD91" i="3"/>
  <c r="AE91" i="3"/>
  <c r="AF91" i="3"/>
  <c r="AG91" i="3"/>
  <c r="AH91" i="3"/>
  <c r="AI91" i="3"/>
  <c r="AJ91" i="3"/>
  <c r="AK91" i="3"/>
  <c r="AL91" i="3"/>
  <c r="AM91" i="3"/>
  <c r="AN91" i="3"/>
  <c r="AO91" i="3"/>
  <c r="AP91" i="3"/>
  <c r="AQ91" i="3"/>
  <c r="AR91" i="3"/>
  <c r="AS91" i="3"/>
  <c r="AT91" i="3"/>
  <c r="AU91" i="3"/>
  <c r="AV91" i="3"/>
  <c r="AW91" i="3"/>
  <c r="AX91" i="3"/>
  <c r="AY91" i="3"/>
  <c r="C105" i="3"/>
  <c r="E105" i="14" s="1"/>
  <c r="P105" i="14" s="1"/>
  <c r="D105" i="3"/>
  <c r="E105" i="3"/>
  <c r="F105" i="3"/>
  <c r="G105" i="3"/>
  <c r="H105" i="3"/>
  <c r="I105" i="3"/>
  <c r="J105" i="3"/>
  <c r="K105" i="3"/>
  <c r="L105" i="3"/>
  <c r="M105" i="3"/>
  <c r="N105" i="3"/>
  <c r="O105" i="3"/>
  <c r="P105" i="3"/>
  <c r="Q105" i="3"/>
  <c r="R105" i="3"/>
  <c r="S105" i="3"/>
  <c r="T105" i="3"/>
  <c r="U105" i="3"/>
  <c r="V105" i="3"/>
  <c r="W105" i="3"/>
  <c r="X105" i="3"/>
  <c r="Y105" i="3"/>
  <c r="Z105" i="3"/>
  <c r="AA105" i="3"/>
  <c r="AB105" i="3"/>
  <c r="AC105" i="3"/>
  <c r="AD105" i="3"/>
  <c r="AE105" i="3"/>
  <c r="AF105" i="3"/>
  <c r="AG105" i="3"/>
  <c r="AH105" i="3"/>
  <c r="AI105" i="3"/>
  <c r="AJ105" i="3"/>
  <c r="AK105" i="3"/>
  <c r="AL105" i="3"/>
  <c r="AM105" i="3"/>
  <c r="AN105" i="3"/>
  <c r="AO105" i="3"/>
  <c r="AP105" i="3"/>
  <c r="AQ105" i="3"/>
  <c r="AR105" i="3"/>
  <c r="AS105" i="3"/>
  <c r="AT105" i="3"/>
  <c r="AU105" i="3"/>
  <c r="AV105" i="3"/>
  <c r="AW105" i="3"/>
  <c r="AX105" i="3"/>
  <c r="AY105" i="3"/>
  <c r="C24" i="3"/>
  <c r="D24" i="3"/>
  <c r="E24" i="3"/>
  <c r="F24" i="3"/>
  <c r="G24" i="3"/>
  <c r="H24" i="3"/>
  <c r="I24" i="3"/>
  <c r="J24" i="3"/>
  <c r="K24" i="3"/>
  <c r="L24" i="3"/>
  <c r="M24" i="3"/>
  <c r="N24" i="3"/>
  <c r="O24" i="3"/>
  <c r="P24" i="3"/>
  <c r="Q24" i="3"/>
  <c r="R24" i="3"/>
  <c r="S24" i="3"/>
  <c r="T24" i="3"/>
  <c r="U24" i="3"/>
  <c r="V24" i="3"/>
  <c r="W24" i="3"/>
  <c r="X24" i="3"/>
  <c r="Y24" i="3"/>
  <c r="Z24" i="3"/>
  <c r="AA24" i="3"/>
  <c r="AB24" i="3"/>
  <c r="AC24" i="3"/>
  <c r="AD24" i="3"/>
  <c r="AE24" i="3"/>
  <c r="AF24" i="3"/>
  <c r="AG24" i="3"/>
  <c r="AH24" i="3"/>
  <c r="AI24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V24" i="3"/>
  <c r="AW24" i="3"/>
  <c r="AX24" i="3"/>
  <c r="AY24" i="3"/>
  <c r="C113" i="3"/>
  <c r="D113" i="3"/>
  <c r="E113" i="3"/>
  <c r="F113" i="3"/>
  <c r="G113" i="3"/>
  <c r="H113" i="3"/>
  <c r="I113" i="3"/>
  <c r="J113" i="3"/>
  <c r="K113" i="3"/>
  <c r="L113" i="3"/>
  <c r="M113" i="3"/>
  <c r="N113" i="3"/>
  <c r="O113" i="3"/>
  <c r="P113" i="3"/>
  <c r="Q113" i="3"/>
  <c r="R113" i="3"/>
  <c r="S113" i="3"/>
  <c r="T113" i="3"/>
  <c r="U113" i="3"/>
  <c r="V113" i="3"/>
  <c r="W113" i="3"/>
  <c r="X113" i="3"/>
  <c r="Y113" i="3"/>
  <c r="Z113" i="3"/>
  <c r="AA113" i="3"/>
  <c r="AB113" i="3"/>
  <c r="AC113" i="3"/>
  <c r="AD113" i="3"/>
  <c r="AE113" i="3"/>
  <c r="AF113" i="3"/>
  <c r="AG113" i="3"/>
  <c r="AH113" i="3"/>
  <c r="AI113" i="3"/>
  <c r="AJ113" i="3"/>
  <c r="AK113" i="3"/>
  <c r="AL113" i="3"/>
  <c r="AM113" i="3"/>
  <c r="AN113" i="3"/>
  <c r="AO113" i="3"/>
  <c r="AP113" i="3"/>
  <c r="AQ113" i="3"/>
  <c r="AR113" i="3"/>
  <c r="AS113" i="3"/>
  <c r="AT113" i="3"/>
  <c r="AU113" i="3"/>
  <c r="AV113" i="3"/>
  <c r="AW113" i="3"/>
  <c r="AX113" i="3"/>
  <c r="AY113" i="3"/>
  <c r="C52" i="3"/>
  <c r="D52" i="3"/>
  <c r="E52" i="3"/>
  <c r="F52" i="3"/>
  <c r="G52" i="3"/>
  <c r="H52" i="3"/>
  <c r="I52" i="3"/>
  <c r="J52" i="3"/>
  <c r="K52" i="3"/>
  <c r="L52" i="3"/>
  <c r="M52" i="3"/>
  <c r="N52" i="3"/>
  <c r="O52" i="3"/>
  <c r="P52" i="3"/>
  <c r="Q52" i="3"/>
  <c r="R52" i="3"/>
  <c r="S52" i="3"/>
  <c r="T52" i="3"/>
  <c r="U52" i="3"/>
  <c r="V52" i="3"/>
  <c r="W52" i="3"/>
  <c r="X52" i="3"/>
  <c r="Y52" i="3"/>
  <c r="Z52" i="3"/>
  <c r="AA52" i="3"/>
  <c r="AB52" i="3"/>
  <c r="AC52" i="3"/>
  <c r="AD52" i="3"/>
  <c r="AE52" i="3"/>
  <c r="AF52" i="3"/>
  <c r="AG52" i="3"/>
  <c r="AH52" i="3"/>
  <c r="AI52" i="3"/>
  <c r="AJ52" i="3"/>
  <c r="AK52" i="3"/>
  <c r="AL52" i="3"/>
  <c r="AM52" i="3"/>
  <c r="AN52" i="3"/>
  <c r="AO52" i="3"/>
  <c r="AP52" i="3"/>
  <c r="AQ52" i="3"/>
  <c r="AR52" i="3"/>
  <c r="AS52" i="3"/>
  <c r="AT52" i="3"/>
  <c r="AU52" i="3"/>
  <c r="AV52" i="3"/>
  <c r="AW52" i="3"/>
  <c r="AX52" i="3"/>
  <c r="AY52" i="3"/>
  <c r="C2" i="3"/>
  <c r="D2" i="3"/>
  <c r="E2" i="3"/>
  <c r="F2" i="3"/>
  <c r="G2" i="3"/>
  <c r="H2" i="3"/>
  <c r="I2" i="3"/>
  <c r="J2" i="3"/>
  <c r="K2" i="3"/>
  <c r="L2" i="3"/>
  <c r="M2" i="3"/>
  <c r="N2" i="3"/>
  <c r="O2" i="3"/>
  <c r="P2" i="3"/>
  <c r="Q2" i="3"/>
  <c r="R2" i="3"/>
  <c r="S2" i="3"/>
  <c r="T2" i="3"/>
  <c r="U2" i="3"/>
  <c r="V2" i="3"/>
  <c r="W2" i="3"/>
  <c r="Y2" i="3"/>
  <c r="Z2" i="3"/>
  <c r="AA2" i="3"/>
  <c r="AB2" i="3"/>
  <c r="AC2" i="3"/>
  <c r="AD2" i="3"/>
  <c r="AE2" i="3"/>
  <c r="AF2" i="3"/>
  <c r="AG2" i="3"/>
  <c r="AH2" i="3"/>
  <c r="AI2" i="3"/>
  <c r="AJ2" i="3"/>
  <c r="AK2" i="3"/>
  <c r="AL2" i="3"/>
  <c r="AM2" i="3"/>
  <c r="AN2" i="3"/>
  <c r="AO2" i="3"/>
  <c r="AP2" i="3"/>
  <c r="AQ2" i="3"/>
  <c r="AR2" i="3"/>
  <c r="AS2" i="3"/>
  <c r="AT2" i="3"/>
  <c r="AU2" i="3"/>
  <c r="AV2" i="3"/>
  <c r="AW2" i="3"/>
  <c r="AX2" i="3"/>
  <c r="AY2" i="3"/>
  <c r="C78" i="3"/>
  <c r="D78" i="3"/>
  <c r="E78" i="3"/>
  <c r="F78" i="3"/>
  <c r="G78" i="3"/>
  <c r="H78" i="3"/>
  <c r="I78" i="3"/>
  <c r="J78" i="3"/>
  <c r="K78" i="3"/>
  <c r="L78" i="3"/>
  <c r="M78" i="3"/>
  <c r="N78" i="3"/>
  <c r="O78" i="3"/>
  <c r="P78" i="3"/>
  <c r="Q78" i="3"/>
  <c r="R78" i="3"/>
  <c r="S78" i="3"/>
  <c r="T78" i="3"/>
  <c r="U78" i="3"/>
  <c r="V78" i="3"/>
  <c r="W78" i="3"/>
  <c r="X78" i="3"/>
  <c r="Y78" i="3"/>
  <c r="Z78" i="3"/>
  <c r="AA78" i="3"/>
  <c r="AB78" i="3"/>
  <c r="AC78" i="3"/>
  <c r="AD78" i="3"/>
  <c r="AE78" i="3"/>
  <c r="AF78" i="3"/>
  <c r="AG78" i="3"/>
  <c r="AH78" i="3"/>
  <c r="AI78" i="3"/>
  <c r="AJ78" i="3"/>
  <c r="AK78" i="3"/>
  <c r="AL78" i="3"/>
  <c r="AM78" i="3"/>
  <c r="AN78" i="3"/>
  <c r="AO78" i="3"/>
  <c r="AP78" i="3"/>
  <c r="AQ78" i="3"/>
  <c r="AR78" i="3"/>
  <c r="AS78" i="3"/>
  <c r="AT78" i="3"/>
  <c r="AU78" i="3"/>
  <c r="AV78" i="3"/>
  <c r="AW78" i="3"/>
  <c r="AX78" i="3"/>
  <c r="AY78" i="3"/>
  <c r="C106" i="3"/>
  <c r="E106" i="14" s="1"/>
  <c r="P106" i="14" s="1"/>
  <c r="D106" i="3"/>
  <c r="E106" i="3"/>
  <c r="F106" i="3"/>
  <c r="G106" i="3"/>
  <c r="H106" i="3"/>
  <c r="I106" i="3"/>
  <c r="J106" i="3"/>
  <c r="K106" i="3"/>
  <c r="L106" i="3"/>
  <c r="M106" i="3"/>
  <c r="N106" i="3"/>
  <c r="O106" i="3"/>
  <c r="P106" i="3"/>
  <c r="Q106" i="3"/>
  <c r="R106" i="3"/>
  <c r="S106" i="3"/>
  <c r="T106" i="3"/>
  <c r="U106" i="3"/>
  <c r="V106" i="3"/>
  <c r="W106" i="3"/>
  <c r="X106" i="3"/>
  <c r="Y106" i="3"/>
  <c r="Z106" i="3"/>
  <c r="AA106" i="3"/>
  <c r="AB106" i="3"/>
  <c r="AC106" i="3"/>
  <c r="AD106" i="3"/>
  <c r="AE106" i="3"/>
  <c r="AF106" i="3"/>
  <c r="AG106" i="3"/>
  <c r="AH106" i="3"/>
  <c r="AI106" i="3"/>
  <c r="AJ106" i="3"/>
  <c r="AK106" i="3"/>
  <c r="AL106" i="3"/>
  <c r="AM106" i="3"/>
  <c r="AN106" i="3"/>
  <c r="AO106" i="3"/>
  <c r="AP106" i="3"/>
  <c r="AQ106" i="3"/>
  <c r="AR106" i="3"/>
  <c r="AS106" i="3"/>
  <c r="AT106" i="3"/>
  <c r="AU106" i="3"/>
  <c r="AV106" i="3"/>
  <c r="AW106" i="3"/>
  <c r="AX106" i="3"/>
  <c r="AY106" i="3"/>
  <c r="C68" i="3"/>
  <c r="D68" i="3"/>
  <c r="E68" i="3"/>
  <c r="F68" i="3"/>
  <c r="G68" i="3"/>
  <c r="H68" i="3"/>
  <c r="I68" i="3"/>
  <c r="J68" i="3"/>
  <c r="K68" i="3"/>
  <c r="L68" i="3"/>
  <c r="M68" i="3"/>
  <c r="N68" i="3"/>
  <c r="O68" i="3"/>
  <c r="P68" i="3"/>
  <c r="Q68" i="3"/>
  <c r="R68" i="3"/>
  <c r="S68" i="3"/>
  <c r="T68" i="3"/>
  <c r="U68" i="3"/>
  <c r="V68" i="3"/>
  <c r="W68" i="3"/>
  <c r="X68" i="3"/>
  <c r="Y68" i="3"/>
  <c r="Z68" i="3"/>
  <c r="AA68" i="3"/>
  <c r="AB68" i="3"/>
  <c r="AC68" i="3"/>
  <c r="AD68" i="3"/>
  <c r="AE68" i="3"/>
  <c r="AF68" i="3"/>
  <c r="AG68" i="3"/>
  <c r="AH68" i="3"/>
  <c r="AI68" i="3"/>
  <c r="AJ68" i="3"/>
  <c r="AK68" i="3"/>
  <c r="AL68" i="3"/>
  <c r="AM68" i="3"/>
  <c r="AN68" i="3"/>
  <c r="AO68" i="3"/>
  <c r="AP68" i="3"/>
  <c r="AQ68" i="3"/>
  <c r="AR68" i="3"/>
  <c r="AS68" i="3"/>
  <c r="AT68" i="3"/>
  <c r="AU68" i="3"/>
  <c r="AV68" i="3"/>
  <c r="AW68" i="3"/>
  <c r="AX68" i="3"/>
  <c r="AY68" i="3"/>
  <c r="C114" i="3"/>
  <c r="D114" i="3"/>
  <c r="E114" i="3"/>
  <c r="F114" i="3"/>
  <c r="G114" i="3"/>
  <c r="H114" i="3"/>
  <c r="I114" i="3"/>
  <c r="J114" i="3"/>
  <c r="K114" i="3"/>
  <c r="L114" i="3"/>
  <c r="M114" i="3"/>
  <c r="N114" i="3"/>
  <c r="O114" i="3"/>
  <c r="P114" i="3"/>
  <c r="Q114" i="3"/>
  <c r="R114" i="3"/>
  <c r="S114" i="3"/>
  <c r="T114" i="3"/>
  <c r="U114" i="3"/>
  <c r="V114" i="3"/>
  <c r="W114" i="3"/>
  <c r="X114" i="3"/>
  <c r="Y114" i="3"/>
  <c r="Z114" i="3"/>
  <c r="AA114" i="3"/>
  <c r="AB114" i="3"/>
  <c r="AC114" i="3"/>
  <c r="AD114" i="3"/>
  <c r="AE114" i="3"/>
  <c r="AF114" i="3"/>
  <c r="AG114" i="3"/>
  <c r="AH114" i="3"/>
  <c r="AI114" i="3"/>
  <c r="AJ114" i="3"/>
  <c r="AK114" i="3"/>
  <c r="AL114" i="3"/>
  <c r="AM114" i="3"/>
  <c r="AN114" i="3"/>
  <c r="AO114" i="3"/>
  <c r="AP114" i="3"/>
  <c r="AQ114" i="3"/>
  <c r="AR114" i="3"/>
  <c r="AS114" i="3"/>
  <c r="AT114" i="3"/>
  <c r="AU114" i="3"/>
  <c r="AV114" i="3"/>
  <c r="AW114" i="3"/>
  <c r="AX114" i="3"/>
  <c r="AY114" i="3"/>
  <c r="C57" i="3"/>
  <c r="D57" i="3"/>
  <c r="E57" i="3"/>
  <c r="F57" i="3"/>
  <c r="G57" i="3"/>
  <c r="H57" i="3"/>
  <c r="I57" i="3"/>
  <c r="J57" i="3"/>
  <c r="K57" i="3"/>
  <c r="L57" i="3"/>
  <c r="M57" i="3"/>
  <c r="N57" i="3"/>
  <c r="O57" i="3"/>
  <c r="P57" i="3"/>
  <c r="Q57" i="3"/>
  <c r="R57" i="3"/>
  <c r="S57" i="3"/>
  <c r="T57" i="3"/>
  <c r="U57" i="3"/>
  <c r="V57" i="3"/>
  <c r="W57" i="3"/>
  <c r="X57" i="3"/>
  <c r="Y57" i="3"/>
  <c r="Z57" i="3"/>
  <c r="AA57" i="3"/>
  <c r="AB57" i="3"/>
  <c r="AC57" i="3"/>
  <c r="AD57" i="3"/>
  <c r="AE57" i="3"/>
  <c r="AF57" i="3"/>
  <c r="AG57" i="3"/>
  <c r="AH57" i="3"/>
  <c r="AI57" i="3"/>
  <c r="AJ57" i="3"/>
  <c r="AK57" i="3"/>
  <c r="AL57" i="3"/>
  <c r="AM57" i="3"/>
  <c r="AN57" i="3"/>
  <c r="AO57" i="3"/>
  <c r="AP57" i="3"/>
  <c r="AQ57" i="3"/>
  <c r="AR57" i="3"/>
  <c r="AS57" i="3"/>
  <c r="AT57" i="3"/>
  <c r="AU57" i="3"/>
  <c r="AV57" i="3"/>
  <c r="AW57" i="3"/>
  <c r="AX57" i="3"/>
  <c r="AY57" i="3"/>
  <c r="C17" i="3"/>
  <c r="E17" i="14" s="1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AM17" i="3"/>
  <c r="AN17" i="3"/>
  <c r="AO17" i="3"/>
  <c r="AP17" i="3"/>
  <c r="AQ17" i="3"/>
  <c r="AR17" i="3"/>
  <c r="AS17" i="3"/>
  <c r="AT17" i="3"/>
  <c r="AU17" i="3"/>
  <c r="AV17" i="3"/>
  <c r="AW17" i="3"/>
  <c r="AX17" i="3"/>
  <c r="AY17" i="3"/>
  <c r="C97" i="3"/>
  <c r="E97" i="14" s="1"/>
  <c r="P97" i="14" s="1"/>
  <c r="D97" i="3"/>
  <c r="E97" i="3"/>
  <c r="F97" i="3"/>
  <c r="G97" i="3"/>
  <c r="H97" i="3"/>
  <c r="I97" i="3"/>
  <c r="J97" i="3"/>
  <c r="K97" i="3"/>
  <c r="L97" i="3"/>
  <c r="M97" i="3"/>
  <c r="N97" i="3"/>
  <c r="O97" i="3"/>
  <c r="P97" i="3"/>
  <c r="Q97" i="3"/>
  <c r="R97" i="3"/>
  <c r="S97" i="3"/>
  <c r="T97" i="3"/>
  <c r="U97" i="3"/>
  <c r="V97" i="3"/>
  <c r="W97" i="3"/>
  <c r="X97" i="3"/>
  <c r="Y97" i="3"/>
  <c r="Z97" i="3"/>
  <c r="AA97" i="3"/>
  <c r="AB97" i="3"/>
  <c r="AC97" i="3"/>
  <c r="AD97" i="3"/>
  <c r="AE97" i="3"/>
  <c r="AF97" i="3"/>
  <c r="AG97" i="3"/>
  <c r="AH97" i="3"/>
  <c r="AI97" i="3"/>
  <c r="AJ97" i="3"/>
  <c r="AK97" i="3"/>
  <c r="AL97" i="3"/>
  <c r="AM97" i="3"/>
  <c r="AN97" i="3"/>
  <c r="AO97" i="3"/>
  <c r="AP97" i="3"/>
  <c r="AQ97" i="3"/>
  <c r="AR97" i="3"/>
  <c r="AS97" i="3"/>
  <c r="AT97" i="3"/>
  <c r="AU97" i="3"/>
  <c r="AV97" i="3"/>
  <c r="AW97" i="3"/>
  <c r="AX97" i="3"/>
  <c r="AY97" i="3"/>
  <c r="C75" i="3"/>
  <c r="D75" i="3"/>
  <c r="E75" i="3"/>
  <c r="F75" i="3"/>
  <c r="G75" i="3"/>
  <c r="H75" i="3"/>
  <c r="I75" i="3"/>
  <c r="J75" i="3"/>
  <c r="K75" i="3"/>
  <c r="L75" i="3"/>
  <c r="M75" i="3"/>
  <c r="N75" i="3"/>
  <c r="O75" i="3"/>
  <c r="P75" i="3"/>
  <c r="Q75" i="3"/>
  <c r="R75" i="3"/>
  <c r="S75" i="3"/>
  <c r="T75" i="3"/>
  <c r="U75" i="3"/>
  <c r="V75" i="3"/>
  <c r="W75" i="3"/>
  <c r="X75" i="3"/>
  <c r="Y75" i="3"/>
  <c r="Z75" i="3"/>
  <c r="AA75" i="3"/>
  <c r="AB75" i="3"/>
  <c r="AC75" i="3"/>
  <c r="AD75" i="3"/>
  <c r="AE75" i="3"/>
  <c r="AF75" i="3"/>
  <c r="AG75" i="3"/>
  <c r="AH75" i="3"/>
  <c r="AI75" i="3"/>
  <c r="AJ75" i="3"/>
  <c r="AK75" i="3"/>
  <c r="AL75" i="3"/>
  <c r="AM75" i="3"/>
  <c r="AN75" i="3"/>
  <c r="AO75" i="3"/>
  <c r="AP75" i="3"/>
  <c r="AQ75" i="3"/>
  <c r="AR75" i="3"/>
  <c r="AS75" i="3"/>
  <c r="AT75" i="3"/>
  <c r="AU75" i="3"/>
  <c r="AV75" i="3"/>
  <c r="AW75" i="3"/>
  <c r="AX75" i="3"/>
  <c r="AY75" i="3"/>
  <c r="C30" i="3"/>
  <c r="D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U30" i="3"/>
  <c r="V30" i="3"/>
  <c r="W30" i="3"/>
  <c r="X30" i="3"/>
  <c r="Y30" i="3"/>
  <c r="Z30" i="3"/>
  <c r="AA30" i="3"/>
  <c r="AB30" i="3"/>
  <c r="AC30" i="3"/>
  <c r="AD30" i="3"/>
  <c r="AE30" i="3"/>
  <c r="AF30" i="3"/>
  <c r="AG30" i="3"/>
  <c r="AH30" i="3"/>
  <c r="AI30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V30" i="3"/>
  <c r="AW30" i="3"/>
  <c r="AX30" i="3"/>
  <c r="AY30" i="3"/>
  <c r="C13" i="3"/>
  <c r="D13" i="3"/>
  <c r="E13" i="3"/>
  <c r="F13" i="3"/>
  <c r="G13" i="3"/>
  <c r="H13" i="3"/>
  <c r="I13" i="3"/>
  <c r="J13" i="3"/>
  <c r="K13" i="3"/>
  <c r="L13" i="3"/>
  <c r="M13" i="3"/>
  <c r="N13" i="3"/>
  <c r="O13" i="3"/>
  <c r="P13" i="3"/>
  <c r="Q13" i="3"/>
  <c r="R13" i="3"/>
  <c r="S13" i="3"/>
  <c r="T13" i="3"/>
  <c r="U13" i="3"/>
  <c r="V13" i="3"/>
  <c r="W13" i="3"/>
  <c r="X13" i="3"/>
  <c r="Y13" i="3"/>
  <c r="Z13" i="3"/>
  <c r="AA13" i="3"/>
  <c r="AB13" i="3"/>
  <c r="AC13" i="3"/>
  <c r="AD13" i="3"/>
  <c r="AE13" i="3"/>
  <c r="AF13" i="3"/>
  <c r="AG13" i="3"/>
  <c r="AH13" i="3"/>
  <c r="AI13" i="3"/>
  <c r="AJ13" i="3"/>
  <c r="AK13" i="3"/>
  <c r="AL13" i="3"/>
  <c r="AM13" i="3"/>
  <c r="AN13" i="3"/>
  <c r="AO13" i="3"/>
  <c r="AP13" i="3"/>
  <c r="AQ13" i="3"/>
  <c r="AR13" i="3"/>
  <c r="AS13" i="3"/>
  <c r="AT13" i="3"/>
  <c r="AU13" i="3"/>
  <c r="AV13" i="3"/>
  <c r="AW13" i="3"/>
  <c r="AX13" i="3"/>
  <c r="AY13" i="3"/>
  <c r="C92" i="3"/>
  <c r="D92" i="3"/>
  <c r="E92" i="3"/>
  <c r="F92" i="3"/>
  <c r="G92" i="3"/>
  <c r="H92" i="3"/>
  <c r="I92" i="3"/>
  <c r="J92" i="3"/>
  <c r="K92" i="3"/>
  <c r="L92" i="3"/>
  <c r="M92" i="3"/>
  <c r="N92" i="3"/>
  <c r="O92" i="3"/>
  <c r="P92" i="3"/>
  <c r="Q92" i="3"/>
  <c r="R92" i="3"/>
  <c r="S92" i="3"/>
  <c r="T92" i="3"/>
  <c r="U92" i="3"/>
  <c r="V92" i="3"/>
  <c r="W92" i="3"/>
  <c r="X92" i="3"/>
  <c r="Y92" i="3"/>
  <c r="Z92" i="3"/>
  <c r="AA92" i="3"/>
  <c r="AB92" i="3"/>
  <c r="AC92" i="3"/>
  <c r="AD92" i="3"/>
  <c r="AE92" i="3"/>
  <c r="AF92" i="3"/>
  <c r="AG92" i="3"/>
  <c r="AH92" i="3"/>
  <c r="AI92" i="3"/>
  <c r="AJ92" i="3"/>
  <c r="AK92" i="3"/>
  <c r="AL92" i="3"/>
  <c r="AM92" i="3"/>
  <c r="AN92" i="3"/>
  <c r="AO92" i="3"/>
  <c r="AP92" i="3"/>
  <c r="AQ92" i="3"/>
  <c r="AR92" i="3"/>
  <c r="AS92" i="3"/>
  <c r="AT92" i="3"/>
  <c r="AU92" i="3"/>
  <c r="AV92" i="3"/>
  <c r="AW92" i="3"/>
  <c r="AX92" i="3"/>
  <c r="AY92" i="3"/>
  <c r="C71" i="3"/>
  <c r="D71" i="3"/>
  <c r="E71" i="3"/>
  <c r="F71" i="3"/>
  <c r="G71" i="3"/>
  <c r="H71" i="3"/>
  <c r="I71" i="3"/>
  <c r="J71" i="3"/>
  <c r="K71" i="3"/>
  <c r="L71" i="3"/>
  <c r="M71" i="3"/>
  <c r="N71" i="3"/>
  <c r="O71" i="3"/>
  <c r="P71" i="3"/>
  <c r="Q71" i="3"/>
  <c r="R71" i="3"/>
  <c r="S71" i="3"/>
  <c r="T71" i="3"/>
  <c r="U71" i="3"/>
  <c r="V71" i="3"/>
  <c r="W71" i="3"/>
  <c r="X71" i="3"/>
  <c r="Y71" i="3"/>
  <c r="Z71" i="3"/>
  <c r="AA71" i="3"/>
  <c r="AB71" i="3"/>
  <c r="AC71" i="3"/>
  <c r="AD71" i="3"/>
  <c r="AE71" i="3"/>
  <c r="AF71" i="3"/>
  <c r="AG71" i="3"/>
  <c r="AH71" i="3"/>
  <c r="AI71" i="3"/>
  <c r="AJ71" i="3"/>
  <c r="AK71" i="3"/>
  <c r="AL71" i="3"/>
  <c r="AM71" i="3"/>
  <c r="AN71" i="3"/>
  <c r="AO71" i="3"/>
  <c r="AP71" i="3"/>
  <c r="AQ71" i="3"/>
  <c r="AR71" i="3"/>
  <c r="AS71" i="3"/>
  <c r="AT71" i="3"/>
  <c r="AU71" i="3"/>
  <c r="AV71" i="3"/>
  <c r="AW71" i="3"/>
  <c r="AX71" i="3"/>
  <c r="AY71" i="3"/>
  <c r="C40" i="3"/>
  <c r="D40" i="3"/>
  <c r="E40" i="3"/>
  <c r="F40" i="3"/>
  <c r="G40" i="3"/>
  <c r="H40" i="3"/>
  <c r="I40" i="3"/>
  <c r="J40" i="3"/>
  <c r="K40" i="3"/>
  <c r="L40" i="3"/>
  <c r="M40" i="3"/>
  <c r="N40" i="3"/>
  <c r="O40" i="3"/>
  <c r="P40" i="3"/>
  <c r="Q40" i="3"/>
  <c r="R40" i="3"/>
  <c r="S40" i="3"/>
  <c r="T40" i="3"/>
  <c r="U40" i="3"/>
  <c r="V40" i="3"/>
  <c r="W40" i="3"/>
  <c r="X40" i="3"/>
  <c r="Y40" i="3"/>
  <c r="Z40" i="3"/>
  <c r="AA40" i="3"/>
  <c r="AB40" i="3"/>
  <c r="AC40" i="3"/>
  <c r="AD40" i="3"/>
  <c r="AE40" i="3"/>
  <c r="AF40" i="3"/>
  <c r="AG40" i="3"/>
  <c r="AH40" i="3"/>
  <c r="AI40" i="3"/>
  <c r="AJ40" i="3"/>
  <c r="AK40" i="3"/>
  <c r="AL40" i="3"/>
  <c r="AM40" i="3"/>
  <c r="AN40" i="3"/>
  <c r="AO40" i="3"/>
  <c r="AP40" i="3"/>
  <c r="AQ40" i="3"/>
  <c r="AR40" i="3"/>
  <c r="AS40" i="3"/>
  <c r="AT40" i="3"/>
  <c r="AU40" i="3"/>
  <c r="AV40" i="3"/>
  <c r="AW40" i="3"/>
  <c r="AX40" i="3"/>
  <c r="AY40" i="3"/>
  <c r="C43" i="3"/>
  <c r="D43" i="3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AM43" i="3"/>
  <c r="AN43" i="3"/>
  <c r="AO43" i="3"/>
  <c r="AP43" i="3"/>
  <c r="AQ43" i="3"/>
  <c r="AR43" i="3"/>
  <c r="AS43" i="3"/>
  <c r="AT43" i="3"/>
  <c r="AU43" i="3"/>
  <c r="AV43" i="3"/>
  <c r="AW43" i="3"/>
  <c r="AX43" i="3"/>
  <c r="AY43" i="3"/>
  <c r="C115" i="3"/>
  <c r="E115" i="14" s="1"/>
  <c r="P115" i="14" s="1"/>
  <c r="D115" i="3"/>
  <c r="E115" i="3"/>
  <c r="F115" i="3"/>
  <c r="G115" i="3"/>
  <c r="H115" i="3"/>
  <c r="I115" i="3"/>
  <c r="J115" i="3"/>
  <c r="K115" i="3"/>
  <c r="L115" i="3"/>
  <c r="M115" i="3"/>
  <c r="N115" i="3"/>
  <c r="O115" i="3"/>
  <c r="P115" i="3"/>
  <c r="Q115" i="3"/>
  <c r="R115" i="3"/>
  <c r="S115" i="3"/>
  <c r="T115" i="3"/>
  <c r="U115" i="3"/>
  <c r="V115" i="3"/>
  <c r="W115" i="3"/>
  <c r="X115" i="3"/>
  <c r="Y115" i="3"/>
  <c r="Z115" i="3"/>
  <c r="AA115" i="3"/>
  <c r="AB115" i="3"/>
  <c r="AC115" i="3"/>
  <c r="AD115" i="3"/>
  <c r="AE115" i="3"/>
  <c r="AF115" i="3"/>
  <c r="AG115" i="3"/>
  <c r="AH115" i="3"/>
  <c r="AI115" i="3"/>
  <c r="AJ115" i="3"/>
  <c r="AK115" i="3"/>
  <c r="AL115" i="3"/>
  <c r="AM115" i="3"/>
  <c r="AN115" i="3"/>
  <c r="AO115" i="3"/>
  <c r="AP115" i="3"/>
  <c r="AQ115" i="3"/>
  <c r="AR115" i="3"/>
  <c r="AS115" i="3"/>
  <c r="AT115" i="3"/>
  <c r="AU115" i="3"/>
  <c r="AV115" i="3"/>
  <c r="AW115" i="3"/>
  <c r="AX115" i="3"/>
  <c r="AY115" i="3"/>
  <c r="C28" i="3"/>
  <c r="D28" i="3"/>
  <c r="E28" i="3"/>
  <c r="F28" i="3"/>
  <c r="G28" i="3"/>
  <c r="H28" i="3"/>
  <c r="I28" i="3"/>
  <c r="J28" i="3"/>
  <c r="K28" i="3"/>
  <c r="L28" i="3"/>
  <c r="M28" i="3"/>
  <c r="N28" i="3"/>
  <c r="O28" i="3"/>
  <c r="P28" i="3"/>
  <c r="Q28" i="3"/>
  <c r="R28" i="3"/>
  <c r="S28" i="3"/>
  <c r="T28" i="3"/>
  <c r="U28" i="3"/>
  <c r="V28" i="3"/>
  <c r="W28" i="3"/>
  <c r="X28" i="3"/>
  <c r="Y28" i="3"/>
  <c r="Z28" i="3"/>
  <c r="AA28" i="3"/>
  <c r="AB28" i="3"/>
  <c r="AC28" i="3"/>
  <c r="AD28" i="3"/>
  <c r="AE28" i="3"/>
  <c r="AF28" i="3"/>
  <c r="AG28" i="3"/>
  <c r="AH28" i="3"/>
  <c r="AI28" i="3"/>
  <c r="AJ28" i="3"/>
  <c r="AK28" i="3"/>
  <c r="AL28" i="3"/>
  <c r="AM28" i="3"/>
  <c r="AN28" i="3"/>
  <c r="AO28" i="3"/>
  <c r="AP28" i="3"/>
  <c r="AQ28" i="3"/>
  <c r="AR28" i="3"/>
  <c r="AS28" i="3"/>
  <c r="AT28" i="3"/>
  <c r="AU28" i="3"/>
  <c r="AV28" i="3"/>
  <c r="AW28" i="3"/>
  <c r="AX28" i="3"/>
  <c r="AY28" i="3"/>
  <c r="C8" i="3"/>
  <c r="D8" i="3"/>
  <c r="E8" i="3"/>
  <c r="F8" i="3"/>
  <c r="G8" i="3"/>
  <c r="H8" i="3"/>
  <c r="I8" i="3"/>
  <c r="J8" i="3"/>
  <c r="K8" i="3"/>
  <c r="L8" i="3"/>
  <c r="M8" i="3"/>
  <c r="N8" i="3"/>
  <c r="O8" i="3"/>
  <c r="P8" i="3"/>
  <c r="Q8" i="3"/>
  <c r="R8" i="3"/>
  <c r="S8" i="3"/>
  <c r="T8" i="3"/>
  <c r="U8" i="3"/>
  <c r="V8" i="3"/>
  <c r="W8" i="3"/>
  <c r="X8" i="3"/>
  <c r="Y8" i="3"/>
  <c r="Z8" i="3"/>
  <c r="AA8" i="3"/>
  <c r="AB8" i="3"/>
  <c r="AC8" i="3"/>
  <c r="AD8" i="3"/>
  <c r="AE8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Y8" i="3"/>
  <c r="C93" i="3"/>
  <c r="D93" i="3"/>
  <c r="E93" i="3"/>
  <c r="F93" i="3"/>
  <c r="G93" i="3"/>
  <c r="H93" i="3"/>
  <c r="I93" i="3"/>
  <c r="J93" i="3"/>
  <c r="K93" i="3"/>
  <c r="L93" i="3"/>
  <c r="M93" i="3"/>
  <c r="N93" i="3"/>
  <c r="O93" i="3"/>
  <c r="P93" i="3"/>
  <c r="Q93" i="3"/>
  <c r="R93" i="3"/>
  <c r="S93" i="3"/>
  <c r="T93" i="3"/>
  <c r="U93" i="3"/>
  <c r="V93" i="3"/>
  <c r="W93" i="3"/>
  <c r="X93" i="3"/>
  <c r="Y93" i="3"/>
  <c r="Z93" i="3"/>
  <c r="AA93" i="3"/>
  <c r="AB93" i="3"/>
  <c r="AC93" i="3"/>
  <c r="AD93" i="3"/>
  <c r="AE93" i="3"/>
  <c r="AF93" i="3"/>
  <c r="AG93" i="3"/>
  <c r="AH93" i="3"/>
  <c r="AI93" i="3"/>
  <c r="AJ93" i="3"/>
  <c r="AK93" i="3"/>
  <c r="AL93" i="3"/>
  <c r="AM93" i="3"/>
  <c r="AN93" i="3"/>
  <c r="AO93" i="3"/>
  <c r="AP93" i="3"/>
  <c r="AQ93" i="3"/>
  <c r="AR93" i="3"/>
  <c r="AS93" i="3"/>
  <c r="AT93" i="3"/>
  <c r="AU93" i="3"/>
  <c r="AV93" i="3"/>
  <c r="AW93" i="3"/>
  <c r="AX93" i="3"/>
  <c r="AY93" i="3"/>
  <c r="C65" i="3"/>
  <c r="E65" i="14" s="1"/>
  <c r="P65" i="14" s="1"/>
  <c r="D65" i="3"/>
  <c r="E65" i="3"/>
  <c r="F65" i="3"/>
  <c r="G65" i="3"/>
  <c r="H65" i="3"/>
  <c r="I65" i="3"/>
  <c r="J65" i="3"/>
  <c r="K65" i="3"/>
  <c r="L65" i="3"/>
  <c r="M65" i="3"/>
  <c r="N65" i="3"/>
  <c r="O65" i="3"/>
  <c r="P65" i="3"/>
  <c r="Q65" i="3"/>
  <c r="R65" i="3"/>
  <c r="S65" i="3"/>
  <c r="T65" i="3"/>
  <c r="U65" i="3"/>
  <c r="V65" i="3"/>
  <c r="W65" i="3"/>
  <c r="X65" i="3"/>
  <c r="Y65" i="3"/>
  <c r="Z65" i="3"/>
  <c r="AA65" i="3"/>
  <c r="AB65" i="3"/>
  <c r="AC65" i="3"/>
  <c r="AD65" i="3"/>
  <c r="AE65" i="3"/>
  <c r="AF65" i="3"/>
  <c r="AG65" i="3"/>
  <c r="AH65" i="3"/>
  <c r="AI65" i="3"/>
  <c r="AJ65" i="3"/>
  <c r="AK65" i="3"/>
  <c r="AL65" i="3"/>
  <c r="AM65" i="3"/>
  <c r="AN65" i="3"/>
  <c r="AO65" i="3"/>
  <c r="AP65" i="3"/>
  <c r="AQ65" i="3"/>
  <c r="AR65" i="3"/>
  <c r="AS65" i="3"/>
  <c r="AT65" i="3"/>
  <c r="AU65" i="3"/>
  <c r="AV65" i="3"/>
  <c r="AW65" i="3"/>
  <c r="AX65" i="3"/>
  <c r="AY65" i="3"/>
  <c r="C7" i="3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AM7" i="3"/>
  <c r="AN7" i="3"/>
  <c r="AO7" i="3"/>
  <c r="AP7" i="3"/>
  <c r="AQ7" i="3"/>
  <c r="AR7" i="3"/>
  <c r="AS7" i="3"/>
  <c r="AT7" i="3"/>
  <c r="AU7" i="3"/>
  <c r="AV7" i="3"/>
  <c r="AW7" i="3"/>
  <c r="AX7" i="3"/>
  <c r="AY7" i="3"/>
  <c r="C25" i="3"/>
  <c r="D25" i="3"/>
  <c r="E25" i="3"/>
  <c r="F25" i="3"/>
  <c r="G25" i="3"/>
  <c r="H25" i="3"/>
  <c r="I25" i="3"/>
  <c r="J25" i="3"/>
  <c r="K25" i="3"/>
  <c r="L25" i="3"/>
  <c r="M25" i="3"/>
  <c r="N25" i="3"/>
  <c r="O25" i="3"/>
  <c r="P25" i="3"/>
  <c r="Q25" i="3"/>
  <c r="R25" i="3"/>
  <c r="S25" i="3"/>
  <c r="T25" i="3"/>
  <c r="U25" i="3"/>
  <c r="V25" i="3"/>
  <c r="W25" i="3"/>
  <c r="X25" i="3"/>
  <c r="Y25" i="3"/>
  <c r="Z25" i="3"/>
  <c r="AA25" i="3"/>
  <c r="AB25" i="3"/>
  <c r="AC25" i="3"/>
  <c r="AD25" i="3"/>
  <c r="AE25" i="3"/>
  <c r="AF25" i="3"/>
  <c r="AG25" i="3"/>
  <c r="AH25" i="3"/>
  <c r="AI25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V25" i="3"/>
  <c r="AW25" i="3"/>
  <c r="AX25" i="3"/>
  <c r="AY25" i="3"/>
  <c r="C116" i="3"/>
  <c r="D116" i="3"/>
  <c r="E116" i="3"/>
  <c r="F116" i="3"/>
  <c r="G116" i="3"/>
  <c r="H116" i="3"/>
  <c r="I116" i="3"/>
  <c r="J116" i="3"/>
  <c r="K116" i="3"/>
  <c r="L116" i="3"/>
  <c r="M116" i="3"/>
  <c r="N116" i="3"/>
  <c r="O116" i="3"/>
  <c r="P116" i="3"/>
  <c r="Q116" i="3"/>
  <c r="R116" i="3"/>
  <c r="S116" i="3"/>
  <c r="T116" i="3"/>
  <c r="U116" i="3"/>
  <c r="V116" i="3"/>
  <c r="W116" i="3"/>
  <c r="X116" i="3"/>
  <c r="Y116" i="3"/>
  <c r="Z116" i="3"/>
  <c r="AA116" i="3"/>
  <c r="AB116" i="3"/>
  <c r="AC116" i="3"/>
  <c r="AD116" i="3"/>
  <c r="AE116" i="3"/>
  <c r="AF116" i="3"/>
  <c r="AG116" i="3"/>
  <c r="AH116" i="3"/>
  <c r="AI116" i="3"/>
  <c r="AJ116" i="3"/>
  <c r="AK116" i="3"/>
  <c r="AL116" i="3"/>
  <c r="AM116" i="3"/>
  <c r="AN116" i="3"/>
  <c r="AO116" i="3"/>
  <c r="AP116" i="3"/>
  <c r="AQ116" i="3"/>
  <c r="AR116" i="3"/>
  <c r="AS116" i="3"/>
  <c r="AT116" i="3"/>
  <c r="AU116" i="3"/>
  <c r="AV116" i="3"/>
  <c r="AW116" i="3"/>
  <c r="AX116" i="3"/>
  <c r="AY116" i="3"/>
  <c r="C117" i="3"/>
  <c r="E117" i="14" s="1"/>
  <c r="P117" i="14" s="1"/>
  <c r="D117" i="3"/>
  <c r="E117" i="3"/>
  <c r="F117" i="3"/>
  <c r="G117" i="3"/>
  <c r="H117" i="3"/>
  <c r="I117" i="3"/>
  <c r="J117" i="3"/>
  <c r="K117" i="3"/>
  <c r="L117" i="3"/>
  <c r="M117" i="3"/>
  <c r="N117" i="3"/>
  <c r="O117" i="3"/>
  <c r="P117" i="3"/>
  <c r="Q117" i="3"/>
  <c r="R117" i="3"/>
  <c r="S117" i="3"/>
  <c r="T117" i="3"/>
  <c r="U117" i="3"/>
  <c r="V117" i="3"/>
  <c r="W117" i="3"/>
  <c r="X117" i="3"/>
  <c r="Y117" i="3"/>
  <c r="Z117" i="3"/>
  <c r="AA117" i="3"/>
  <c r="AB117" i="3"/>
  <c r="AC117" i="3"/>
  <c r="AD117" i="3"/>
  <c r="AE117" i="3"/>
  <c r="AF117" i="3"/>
  <c r="AG117" i="3"/>
  <c r="AH117" i="3"/>
  <c r="AI117" i="3"/>
  <c r="AJ117" i="3"/>
  <c r="AK117" i="3"/>
  <c r="AL117" i="3"/>
  <c r="AM117" i="3"/>
  <c r="AN117" i="3"/>
  <c r="AO117" i="3"/>
  <c r="AP117" i="3"/>
  <c r="AQ117" i="3"/>
  <c r="AR117" i="3"/>
  <c r="AS117" i="3"/>
  <c r="AT117" i="3"/>
  <c r="AU117" i="3"/>
  <c r="AV117" i="3"/>
  <c r="AW117" i="3"/>
  <c r="AX117" i="3"/>
  <c r="AY117" i="3"/>
  <c r="C118" i="3"/>
  <c r="E118" i="14" s="1"/>
  <c r="P118" i="14" s="1"/>
  <c r="D118" i="3"/>
  <c r="E118" i="3"/>
  <c r="F118" i="3"/>
  <c r="G118" i="3"/>
  <c r="H118" i="3"/>
  <c r="I118" i="3"/>
  <c r="J118" i="3"/>
  <c r="K118" i="3"/>
  <c r="L118" i="3"/>
  <c r="M118" i="3"/>
  <c r="N118" i="3"/>
  <c r="O118" i="3"/>
  <c r="P118" i="3"/>
  <c r="Q118" i="3"/>
  <c r="R118" i="3"/>
  <c r="S118" i="3"/>
  <c r="T118" i="3"/>
  <c r="U118" i="3"/>
  <c r="V118" i="3"/>
  <c r="W118" i="3"/>
  <c r="X118" i="3"/>
  <c r="Y118" i="3"/>
  <c r="Z118" i="3"/>
  <c r="AA118" i="3"/>
  <c r="AB118" i="3"/>
  <c r="AC118" i="3"/>
  <c r="AD118" i="3"/>
  <c r="AE118" i="3"/>
  <c r="AF118" i="3"/>
  <c r="AG118" i="3"/>
  <c r="AH118" i="3"/>
  <c r="AI118" i="3"/>
  <c r="AJ118" i="3"/>
  <c r="AK118" i="3"/>
  <c r="AL118" i="3"/>
  <c r="AM118" i="3"/>
  <c r="AN118" i="3"/>
  <c r="AO118" i="3"/>
  <c r="AP118" i="3"/>
  <c r="AQ118" i="3"/>
  <c r="AR118" i="3"/>
  <c r="AS118" i="3"/>
  <c r="AT118" i="3"/>
  <c r="AU118" i="3"/>
  <c r="AV118" i="3"/>
  <c r="AW118" i="3"/>
  <c r="AX118" i="3"/>
  <c r="AY118" i="3"/>
  <c r="C119" i="3"/>
  <c r="E119" i="14" s="1"/>
  <c r="P119" i="14" s="1"/>
  <c r="D119" i="3"/>
  <c r="E119" i="3"/>
  <c r="F119" i="3"/>
  <c r="G119" i="3"/>
  <c r="H119" i="3"/>
  <c r="I119" i="3"/>
  <c r="J119" i="3"/>
  <c r="K119" i="3"/>
  <c r="L119" i="3"/>
  <c r="M119" i="3"/>
  <c r="N119" i="3"/>
  <c r="O119" i="3"/>
  <c r="P119" i="3"/>
  <c r="Q119" i="3"/>
  <c r="R119" i="3"/>
  <c r="S119" i="3"/>
  <c r="T119" i="3"/>
  <c r="U119" i="3"/>
  <c r="V119" i="3"/>
  <c r="W119" i="3"/>
  <c r="X119" i="3"/>
  <c r="Y119" i="3"/>
  <c r="Z119" i="3"/>
  <c r="AA119" i="3"/>
  <c r="AB119" i="3"/>
  <c r="AC119" i="3"/>
  <c r="AD119" i="3"/>
  <c r="AE119" i="3"/>
  <c r="AF119" i="3"/>
  <c r="AG119" i="3"/>
  <c r="AH119" i="3"/>
  <c r="AI119" i="3"/>
  <c r="AJ119" i="3"/>
  <c r="AK119" i="3"/>
  <c r="AL119" i="3"/>
  <c r="AM119" i="3"/>
  <c r="AN119" i="3"/>
  <c r="AO119" i="3"/>
  <c r="AP119" i="3"/>
  <c r="AQ119" i="3"/>
  <c r="AR119" i="3"/>
  <c r="AS119" i="3"/>
  <c r="AT119" i="3"/>
  <c r="AU119" i="3"/>
  <c r="AV119" i="3"/>
  <c r="AW119" i="3"/>
  <c r="AX119" i="3"/>
  <c r="AY119" i="3"/>
  <c r="C107" i="3"/>
  <c r="E107" i="14" s="1"/>
  <c r="P107" i="14" s="1"/>
  <c r="D107" i="3"/>
  <c r="E107" i="3"/>
  <c r="F107" i="3"/>
  <c r="G107" i="3"/>
  <c r="H107" i="3"/>
  <c r="I107" i="3"/>
  <c r="J107" i="3"/>
  <c r="K107" i="3"/>
  <c r="L107" i="3"/>
  <c r="M107" i="3"/>
  <c r="N107" i="3"/>
  <c r="O107" i="3"/>
  <c r="P107" i="3"/>
  <c r="Q107" i="3"/>
  <c r="R107" i="3"/>
  <c r="S107" i="3"/>
  <c r="T107" i="3"/>
  <c r="U107" i="3"/>
  <c r="V107" i="3"/>
  <c r="W107" i="3"/>
  <c r="X107" i="3"/>
  <c r="Y107" i="3"/>
  <c r="Z107" i="3"/>
  <c r="AA107" i="3"/>
  <c r="AB107" i="3"/>
  <c r="AC107" i="3"/>
  <c r="AD107" i="3"/>
  <c r="AE107" i="3"/>
  <c r="AF107" i="3"/>
  <c r="AG107" i="3"/>
  <c r="AH107" i="3"/>
  <c r="AI107" i="3"/>
  <c r="AJ107" i="3"/>
  <c r="AK107" i="3"/>
  <c r="AL107" i="3"/>
  <c r="AM107" i="3"/>
  <c r="AN107" i="3"/>
  <c r="AO107" i="3"/>
  <c r="AP107" i="3"/>
  <c r="AQ107" i="3"/>
  <c r="AR107" i="3"/>
  <c r="AS107" i="3"/>
  <c r="AT107" i="3"/>
  <c r="AU107" i="3"/>
  <c r="AV107" i="3"/>
  <c r="AW107" i="3"/>
  <c r="AX107" i="3"/>
  <c r="AY107" i="3"/>
  <c r="C69" i="3"/>
  <c r="D69" i="3"/>
  <c r="E69" i="3"/>
  <c r="F69" i="3"/>
  <c r="G69" i="3"/>
  <c r="H69" i="3"/>
  <c r="I69" i="3"/>
  <c r="J69" i="3"/>
  <c r="K69" i="3"/>
  <c r="L69" i="3"/>
  <c r="M69" i="3"/>
  <c r="N69" i="3"/>
  <c r="O69" i="3"/>
  <c r="P69" i="3"/>
  <c r="Q69" i="3"/>
  <c r="R69" i="3"/>
  <c r="S69" i="3"/>
  <c r="T69" i="3"/>
  <c r="U69" i="3"/>
  <c r="V69" i="3"/>
  <c r="W69" i="3"/>
  <c r="X69" i="3"/>
  <c r="Y69" i="3"/>
  <c r="Z69" i="3"/>
  <c r="AA69" i="3"/>
  <c r="AB69" i="3"/>
  <c r="AC69" i="3"/>
  <c r="AD69" i="3"/>
  <c r="AE69" i="3"/>
  <c r="AF69" i="3"/>
  <c r="AG69" i="3"/>
  <c r="AH69" i="3"/>
  <c r="AI69" i="3"/>
  <c r="AJ69" i="3"/>
  <c r="AK69" i="3"/>
  <c r="AL69" i="3"/>
  <c r="AM69" i="3"/>
  <c r="AN69" i="3"/>
  <c r="AO69" i="3"/>
  <c r="AP69" i="3"/>
  <c r="AQ69" i="3"/>
  <c r="AR69" i="3"/>
  <c r="AS69" i="3"/>
  <c r="AT69" i="3"/>
  <c r="AU69" i="3"/>
  <c r="AV69" i="3"/>
  <c r="AW69" i="3"/>
  <c r="AX69" i="3"/>
  <c r="AY69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P32" i="3"/>
  <c r="Q32" i="3"/>
  <c r="R32" i="3"/>
  <c r="S32" i="3"/>
  <c r="T32" i="3"/>
  <c r="U32" i="3"/>
  <c r="V32" i="3"/>
  <c r="W32" i="3"/>
  <c r="X32" i="3"/>
  <c r="Y32" i="3"/>
  <c r="Z32" i="3"/>
  <c r="AA32" i="3"/>
  <c r="AB32" i="3"/>
  <c r="AC32" i="3"/>
  <c r="AD32" i="3"/>
  <c r="AE32" i="3"/>
  <c r="AF32" i="3"/>
  <c r="AG32" i="3"/>
  <c r="AH32" i="3"/>
  <c r="AI32" i="3"/>
  <c r="AJ32" i="3"/>
  <c r="AK32" i="3"/>
  <c r="AL32" i="3"/>
  <c r="AM32" i="3"/>
  <c r="AN32" i="3"/>
  <c r="AO32" i="3"/>
  <c r="AP32" i="3"/>
  <c r="AQ32" i="3"/>
  <c r="AR32" i="3"/>
  <c r="AS32" i="3"/>
  <c r="AT32" i="3"/>
  <c r="AU32" i="3"/>
  <c r="AV32" i="3"/>
  <c r="AW32" i="3"/>
  <c r="AX32" i="3"/>
  <c r="AY32" i="3"/>
  <c r="C39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W39" i="3"/>
  <c r="X39" i="3"/>
  <c r="Y39" i="3"/>
  <c r="Z39" i="3"/>
  <c r="AA39" i="3"/>
  <c r="AB39" i="3"/>
  <c r="AC39" i="3"/>
  <c r="AD39" i="3"/>
  <c r="AE39" i="3"/>
  <c r="AF39" i="3"/>
  <c r="AG39" i="3"/>
  <c r="AH39" i="3"/>
  <c r="AI39" i="3"/>
  <c r="AJ39" i="3"/>
  <c r="AK39" i="3"/>
  <c r="AL39" i="3"/>
  <c r="AM39" i="3"/>
  <c r="AN39" i="3"/>
  <c r="AO39" i="3"/>
  <c r="AP39" i="3"/>
  <c r="AQ39" i="3"/>
  <c r="AR39" i="3"/>
  <c r="AS39" i="3"/>
  <c r="AT39" i="3"/>
  <c r="AU39" i="3"/>
  <c r="AV39" i="3"/>
  <c r="AW39" i="3"/>
  <c r="AX39" i="3"/>
  <c r="AY39" i="3"/>
  <c r="C46" i="3"/>
  <c r="D46" i="3"/>
  <c r="E46" i="3"/>
  <c r="F46" i="3"/>
  <c r="G46" i="3"/>
  <c r="H46" i="3"/>
  <c r="I46" i="3"/>
  <c r="J46" i="3"/>
  <c r="K46" i="3"/>
  <c r="L46" i="3"/>
  <c r="M46" i="3"/>
  <c r="N46" i="3"/>
  <c r="O46" i="3"/>
  <c r="P46" i="3"/>
  <c r="Q46" i="3"/>
  <c r="R46" i="3"/>
  <c r="S46" i="3"/>
  <c r="T46" i="3"/>
  <c r="U46" i="3"/>
  <c r="V46" i="3"/>
  <c r="W46" i="3"/>
  <c r="X46" i="3"/>
  <c r="Y46" i="3"/>
  <c r="Z46" i="3"/>
  <c r="AA46" i="3"/>
  <c r="AB46" i="3"/>
  <c r="AC46" i="3"/>
  <c r="AD46" i="3"/>
  <c r="AE46" i="3"/>
  <c r="AF46" i="3"/>
  <c r="AG46" i="3"/>
  <c r="AH46" i="3"/>
  <c r="AI46" i="3"/>
  <c r="AJ46" i="3"/>
  <c r="AK46" i="3"/>
  <c r="AL46" i="3"/>
  <c r="AM46" i="3"/>
  <c r="AN46" i="3"/>
  <c r="AO46" i="3"/>
  <c r="AP46" i="3"/>
  <c r="AQ46" i="3"/>
  <c r="AR46" i="3"/>
  <c r="AS46" i="3"/>
  <c r="AT46" i="3"/>
  <c r="AU46" i="3"/>
  <c r="AV46" i="3"/>
  <c r="AW46" i="3"/>
  <c r="AX46" i="3"/>
  <c r="AY46" i="3"/>
  <c r="C4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AM4" i="3"/>
  <c r="AN4" i="3"/>
  <c r="AO4" i="3"/>
  <c r="AP4" i="3"/>
  <c r="AQ4" i="3"/>
  <c r="AR4" i="3"/>
  <c r="AS4" i="3"/>
  <c r="AT4" i="3"/>
  <c r="AU4" i="3"/>
  <c r="AV4" i="3"/>
  <c r="AW4" i="3"/>
  <c r="AX4" i="3"/>
  <c r="AY4" i="3"/>
  <c r="C34" i="3"/>
  <c r="D34" i="3"/>
  <c r="E34" i="3"/>
  <c r="F34" i="3"/>
  <c r="G34" i="3"/>
  <c r="H34" i="3"/>
  <c r="I34" i="3"/>
  <c r="J34" i="3"/>
  <c r="K34" i="3"/>
  <c r="L34" i="3"/>
  <c r="M34" i="3"/>
  <c r="N34" i="3"/>
  <c r="O34" i="3"/>
  <c r="P34" i="3"/>
  <c r="Q34" i="3"/>
  <c r="R34" i="3"/>
  <c r="S34" i="3"/>
  <c r="T34" i="3"/>
  <c r="U34" i="3"/>
  <c r="V34" i="3"/>
  <c r="W34" i="3"/>
  <c r="X34" i="3"/>
  <c r="Y34" i="3"/>
  <c r="Z34" i="3"/>
  <c r="AA34" i="3"/>
  <c r="AB34" i="3"/>
  <c r="AC34" i="3"/>
  <c r="AD34" i="3"/>
  <c r="AE34" i="3"/>
  <c r="AF34" i="3"/>
  <c r="AG34" i="3"/>
  <c r="AH34" i="3"/>
  <c r="AI34" i="3"/>
  <c r="AJ34" i="3"/>
  <c r="AK34" i="3"/>
  <c r="AL34" i="3"/>
  <c r="AM34" i="3"/>
  <c r="AN34" i="3"/>
  <c r="AO34" i="3"/>
  <c r="AP34" i="3"/>
  <c r="AQ34" i="3"/>
  <c r="AR34" i="3"/>
  <c r="AS34" i="3"/>
  <c r="AT34" i="3"/>
  <c r="AU34" i="3"/>
  <c r="AV34" i="3"/>
  <c r="AW34" i="3"/>
  <c r="AX34" i="3"/>
  <c r="AY34" i="3"/>
  <c r="C35" i="3"/>
  <c r="D35" i="3"/>
  <c r="E35" i="3"/>
  <c r="F35" i="3"/>
  <c r="G35" i="3"/>
  <c r="H35" i="3"/>
  <c r="I35" i="3"/>
  <c r="J35" i="3"/>
  <c r="K35" i="3"/>
  <c r="L35" i="3"/>
  <c r="M35" i="3"/>
  <c r="N35" i="3"/>
  <c r="O35" i="3"/>
  <c r="P35" i="3"/>
  <c r="Q35" i="3"/>
  <c r="R35" i="3"/>
  <c r="S35" i="3"/>
  <c r="T35" i="3"/>
  <c r="U35" i="3"/>
  <c r="V35" i="3"/>
  <c r="W35" i="3"/>
  <c r="X35" i="3"/>
  <c r="Y35" i="3"/>
  <c r="Z35" i="3"/>
  <c r="AA35" i="3"/>
  <c r="AB35" i="3"/>
  <c r="AC35" i="3"/>
  <c r="AD35" i="3"/>
  <c r="AE35" i="3"/>
  <c r="AF35" i="3"/>
  <c r="AG35" i="3"/>
  <c r="AH35" i="3"/>
  <c r="AI35" i="3"/>
  <c r="AJ35" i="3"/>
  <c r="AK35" i="3"/>
  <c r="AL35" i="3"/>
  <c r="AM35" i="3"/>
  <c r="AN35" i="3"/>
  <c r="AO35" i="3"/>
  <c r="AP35" i="3"/>
  <c r="AQ35" i="3"/>
  <c r="AR35" i="3"/>
  <c r="AS35" i="3"/>
  <c r="AT35" i="3"/>
  <c r="AU35" i="3"/>
  <c r="AV35" i="3"/>
  <c r="AW35" i="3"/>
  <c r="AX35" i="3"/>
  <c r="AY35" i="3"/>
  <c r="C27" i="3"/>
  <c r="D27" i="3"/>
  <c r="E27" i="3"/>
  <c r="F27" i="3"/>
  <c r="G27" i="3"/>
  <c r="H27" i="3"/>
  <c r="I27" i="3"/>
  <c r="J27" i="3"/>
  <c r="K27" i="3"/>
  <c r="L27" i="3"/>
  <c r="M27" i="3"/>
  <c r="N27" i="3"/>
  <c r="O27" i="3"/>
  <c r="P27" i="3"/>
  <c r="Q27" i="3"/>
  <c r="R27" i="3"/>
  <c r="S27" i="3"/>
  <c r="T27" i="3"/>
  <c r="U27" i="3"/>
  <c r="V27" i="3"/>
  <c r="W27" i="3"/>
  <c r="X27" i="3"/>
  <c r="Y27" i="3"/>
  <c r="Z27" i="3"/>
  <c r="AA27" i="3"/>
  <c r="AB27" i="3"/>
  <c r="AC27" i="3"/>
  <c r="AD27" i="3"/>
  <c r="AE27" i="3"/>
  <c r="AF27" i="3"/>
  <c r="AG27" i="3"/>
  <c r="AH27" i="3"/>
  <c r="AI27" i="3"/>
  <c r="AJ27" i="3"/>
  <c r="AK27" i="3"/>
  <c r="AL27" i="3"/>
  <c r="AM27" i="3"/>
  <c r="AN27" i="3"/>
  <c r="AO27" i="3"/>
  <c r="AP27" i="3"/>
  <c r="AQ27" i="3"/>
  <c r="AR27" i="3"/>
  <c r="AS27" i="3"/>
  <c r="AT27" i="3"/>
  <c r="AU27" i="3"/>
  <c r="AV27" i="3"/>
  <c r="AW27" i="3"/>
  <c r="AX27" i="3"/>
  <c r="AY27" i="3"/>
  <c r="C3" i="3"/>
  <c r="D3" i="3"/>
  <c r="E3" i="3"/>
  <c r="F3" i="3"/>
  <c r="G3" i="3"/>
  <c r="H3" i="3"/>
  <c r="I3" i="3"/>
  <c r="J3" i="3"/>
  <c r="K3" i="3"/>
  <c r="L3" i="3"/>
  <c r="M3" i="3"/>
  <c r="N3" i="3"/>
  <c r="O3" i="3"/>
  <c r="P3" i="3"/>
  <c r="Q3" i="3"/>
  <c r="R3" i="3"/>
  <c r="S3" i="3"/>
  <c r="T3" i="3"/>
  <c r="U3" i="3"/>
  <c r="V3" i="3"/>
  <c r="W3" i="3"/>
  <c r="X3" i="3"/>
  <c r="Y3" i="3"/>
  <c r="Z3" i="3"/>
  <c r="AA3" i="3"/>
  <c r="AB3" i="3"/>
  <c r="AC3" i="3"/>
  <c r="AD3" i="3"/>
  <c r="AE3" i="3"/>
  <c r="AF3" i="3"/>
  <c r="AG3" i="3"/>
  <c r="AH3" i="3"/>
  <c r="AI3" i="3"/>
  <c r="AJ3" i="3"/>
  <c r="AK3" i="3"/>
  <c r="AL3" i="3"/>
  <c r="AM3" i="3"/>
  <c r="AN3" i="3"/>
  <c r="AO3" i="3"/>
  <c r="AP3" i="3"/>
  <c r="AQ3" i="3"/>
  <c r="AR3" i="3"/>
  <c r="AS3" i="3"/>
  <c r="AT3" i="3"/>
  <c r="AU3" i="3"/>
  <c r="AV3" i="3"/>
  <c r="AW3" i="3"/>
  <c r="AX3" i="3"/>
  <c r="AY3" i="3"/>
  <c r="C84" i="3"/>
  <c r="E84" i="14" s="1"/>
  <c r="P84" i="14" s="1"/>
  <c r="D84" i="3"/>
  <c r="E84" i="3"/>
  <c r="F84" i="3"/>
  <c r="G84" i="3"/>
  <c r="H84" i="3"/>
  <c r="I84" i="3"/>
  <c r="J84" i="3"/>
  <c r="K84" i="3"/>
  <c r="L84" i="3"/>
  <c r="M84" i="3"/>
  <c r="N84" i="3"/>
  <c r="O84" i="3"/>
  <c r="P84" i="3"/>
  <c r="Q84" i="3"/>
  <c r="R84" i="3"/>
  <c r="S84" i="3"/>
  <c r="T84" i="3"/>
  <c r="U84" i="3"/>
  <c r="V84" i="3"/>
  <c r="W84" i="3"/>
  <c r="X84" i="3"/>
  <c r="Y84" i="3"/>
  <c r="Z84" i="3"/>
  <c r="AA84" i="3"/>
  <c r="AB84" i="3"/>
  <c r="AC84" i="3"/>
  <c r="AD84" i="3"/>
  <c r="AE84" i="3"/>
  <c r="AF84" i="3"/>
  <c r="AG84" i="3"/>
  <c r="AH84" i="3"/>
  <c r="AI84" i="3"/>
  <c r="AJ84" i="3"/>
  <c r="AK84" i="3"/>
  <c r="AL84" i="3"/>
  <c r="AM84" i="3"/>
  <c r="AN84" i="3"/>
  <c r="AO84" i="3"/>
  <c r="AP84" i="3"/>
  <c r="AQ84" i="3"/>
  <c r="AR84" i="3"/>
  <c r="AS84" i="3"/>
  <c r="AT84" i="3"/>
  <c r="AU84" i="3"/>
  <c r="AV84" i="3"/>
  <c r="AW84" i="3"/>
  <c r="AX84" i="3"/>
  <c r="AY84" i="3"/>
  <c r="C16" i="3"/>
  <c r="D16" i="3"/>
  <c r="E16" i="3"/>
  <c r="F16" i="3"/>
  <c r="G16" i="3"/>
  <c r="H16" i="3"/>
  <c r="I16" i="3"/>
  <c r="J16" i="3"/>
  <c r="K16" i="3"/>
  <c r="L16" i="3"/>
  <c r="M16" i="3"/>
  <c r="N16" i="3"/>
  <c r="O16" i="3"/>
  <c r="P16" i="3"/>
  <c r="Q16" i="3"/>
  <c r="R16" i="3"/>
  <c r="S16" i="3"/>
  <c r="T16" i="3"/>
  <c r="U16" i="3"/>
  <c r="V16" i="3"/>
  <c r="W16" i="3"/>
  <c r="X16" i="3"/>
  <c r="Y16" i="3"/>
  <c r="Z16" i="3"/>
  <c r="AA16" i="3"/>
  <c r="AB16" i="3"/>
  <c r="AC16" i="3"/>
  <c r="AD16" i="3"/>
  <c r="AE16" i="3"/>
  <c r="AF16" i="3"/>
  <c r="AG16" i="3"/>
  <c r="AH16" i="3"/>
  <c r="AI16" i="3"/>
  <c r="AJ16" i="3"/>
  <c r="AK16" i="3"/>
  <c r="AL16" i="3"/>
  <c r="AM16" i="3"/>
  <c r="AN16" i="3"/>
  <c r="AO16" i="3"/>
  <c r="AP16" i="3"/>
  <c r="AQ16" i="3"/>
  <c r="AR16" i="3"/>
  <c r="AS16" i="3"/>
  <c r="AT16" i="3"/>
  <c r="AU16" i="3"/>
  <c r="AV16" i="3"/>
  <c r="AW16" i="3"/>
  <c r="AX16" i="3"/>
  <c r="AY16" i="3"/>
  <c r="C120" i="3"/>
  <c r="D120" i="3"/>
  <c r="E120" i="3"/>
  <c r="F120" i="3"/>
  <c r="G120" i="3"/>
  <c r="H120" i="3"/>
  <c r="I120" i="3"/>
  <c r="J120" i="3"/>
  <c r="K120" i="3"/>
  <c r="L120" i="3"/>
  <c r="M120" i="3"/>
  <c r="N120" i="3"/>
  <c r="O120" i="3"/>
  <c r="P120" i="3"/>
  <c r="Q120" i="3"/>
  <c r="R120" i="3"/>
  <c r="S120" i="3"/>
  <c r="T120" i="3"/>
  <c r="U120" i="3"/>
  <c r="V120" i="3"/>
  <c r="W120" i="3"/>
  <c r="X120" i="3"/>
  <c r="Y120" i="3"/>
  <c r="Z120" i="3"/>
  <c r="AA120" i="3"/>
  <c r="AB120" i="3"/>
  <c r="AC120" i="3"/>
  <c r="AD120" i="3"/>
  <c r="AE120" i="3"/>
  <c r="AF120" i="3"/>
  <c r="AG120" i="3"/>
  <c r="AH120" i="3"/>
  <c r="AI120" i="3"/>
  <c r="AJ120" i="3"/>
  <c r="AK120" i="3"/>
  <c r="AL120" i="3"/>
  <c r="AM120" i="3"/>
  <c r="AN120" i="3"/>
  <c r="AO120" i="3"/>
  <c r="AP120" i="3"/>
  <c r="AQ120" i="3"/>
  <c r="AR120" i="3"/>
  <c r="AS120" i="3"/>
  <c r="AT120" i="3"/>
  <c r="AU120" i="3"/>
  <c r="AV120" i="3"/>
  <c r="AW120" i="3"/>
  <c r="AX120" i="3"/>
  <c r="AY120" i="3"/>
  <c r="C98" i="3"/>
  <c r="D98" i="3"/>
  <c r="E98" i="3"/>
  <c r="F98" i="3"/>
  <c r="G98" i="3"/>
  <c r="H98" i="3"/>
  <c r="I98" i="3"/>
  <c r="J98" i="3"/>
  <c r="K98" i="3"/>
  <c r="L98" i="3"/>
  <c r="M98" i="3"/>
  <c r="N98" i="3"/>
  <c r="O98" i="3"/>
  <c r="P98" i="3"/>
  <c r="Q98" i="3"/>
  <c r="R98" i="3"/>
  <c r="S98" i="3"/>
  <c r="T98" i="3"/>
  <c r="U98" i="3"/>
  <c r="V98" i="3"/>
  <c r="W98" i="3"/>
  <c r="X98" i="3"/>
  <c r="Y98" i="3"/>
  <c r="Z98" i="3"/>
  <c r="AA98" i="3"/>
  <c r="AB98" i="3"/>
  <c r="AC98" i="3"/>
  <c r="AD98" i="3"/>
  <c r="AE98" i="3"/>
  <c r="AF98" i="3"/>
  <c r="AG98" i="3"/>
  <c r="AH98" i="3"/>
  <c r="AI98" i="3"/>
  <c r="AJ98" i="3"/>
  <c r="AK98" i="3"/>
  <c r="AL98" i="3"/>
  <c r="AM98" i="3"/>
  <c r="AN98" i="3"/>
  <c r="AO98" i="3"/>
  <c r="AP98" i="3"/>
  <c r="AQ98" i="3"/>
  <c r="AR98" i="3"/>
  <c r="AS98" i="3"/>
  <c r="AT98" i="3"/>
  <c r="AU98" i="3"/>
  <c r="AV98" i="3"/>
  <c r="AW98" i="3"/>
  <c r="AX98" i="3"/>
  <c r="AY98" i="3"/>
  <c r="C121" i="3"/>
  <c r="E121" i="14" s="1"/>
  <c r="P121" i="14" s="1"/>
  <c r="D121" i="3"/>
  <c r="E121" i="3"/>
  <c r="F121" i="3"/>
  <c r="G121" i="3"/>
  <c r="H121" i="3"/>
  <c r="I121" i="3"/>
  <c r="J121" i="3"/>
  <c r="K121" i="3"/>
  <c r="L121" i="3"/>
  <c r="M121" i="3"/>
  <c r="N121" i="3"/>
  <c r="O121" i="3"/>
  <c r="P121" i="3"/>
  <c r="Q121" i="3"/>
  <c r="R121" i="3"/>
  <c r="S121" i="3"/>
  <c r="T121" i="3"/>
  <c r="U121" i="3"/>
  <c r="V121" i="3"/>
  <c r="W121" i="3"/>
  <c r="X121" i="3"/>
  <c r="Y121" i="3"/>
  <c r="Z121" i="3"/>
  <c r="AA121" i="3"/>
  <c r="AB121" i="3"/>
  <c r="AC121" i="3"/>
  <c r="AD121" i="3"/>
  <c r="AE121" i="3"/>
  <c r="AF121" i="3"/>
  <c r="AG121" i="3"/>
  <c r="AH121" i="3"/>
  <c r="AI121" i="3"/>
  <c r="AJ121" i="3"/>
  <c r="AK121" i="3"/>
  <c r="AL121" i="3"/>
  <c r="AM121" i="3"/>
  <c r="AN121" i="3"/>
  <c r="AO121" i="3"/>
  <c r="AP121" i="3"/>
  <c r="AQ121" i="3"/>
  <c r="AR121" i="3"/>
  <c r="AS121" i="3"/>
  <c r="AT121" i="3"/>
  <c r="AU121" i="3"/>
  <c r="AV121" i="3"/>
  <c r="AW121" i="3"/>
  <c r="AX121" i="3"/>
  <c r="AY121" i="3"/>
  <c r="C5" i="3"/>
  <c r="D5" i="3"/>
  <c r="E5" i="3"/>
  <c r="F5" i="3"/>
  <c r="G5" i="3"/>
  <c r="H5" i="3"/>
  <c r="I5" i="3"/>
  <c r="J5" i="3"/>
  <c r="K5" i="3"/>
  <c r="L5" i="3"/>
  <c r="M5" i="3"/>
  <c r="N5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C41" i="3"/>
  <c r="D41" i="3"/>
  <c r="E41" i="3"/>
  <c r="F41" i="3"/>
  <c r="G41" i="3"/>
  <c r="H41" i="3"/>
  <c r="I41" i="3"/>
  <c r="J41" i="3"/>
  <c r="K41" i="3"/>
  <c r="L41" i="3"/>
  <c r="M41" i="3"/>
  <c r="N41" i="3"/>
  <c r="O41" i="3"/>
  <c r="P41" i="3"/>
  <c r="Q41" i="3"/>
  <c r="R41" i="3"/>
  <c r="S41" i="3"/>
  <c r="T41" i="3"/>
  <c r="U41" i="3"/>
  <c r="V41" i="3"/>
  <c r="W41" i="3"/>
  <c r="X41" i="3"/>
  <c r="Y41" i="3"/>
  <c r="Z41" i="3"/>
  <c r="AA41" i="3"/>
  <c r="AB41" i="3"/>
  <c r="AC41" i="3"/>
  <c r="AD41" i="3"/>
  <c r="AE41" i="3"/>
  <c r="AF41" i="3"/>
  <c r="AG41" i="3"/>
  <c r="AH41" i="3"/>
  <c r="AI41" i="3"/>
  <c r="AJ41" i="3"/>
  <c r="AK41" i="3"/>
  <c r="AL41" i="3"/>
  <c r="AM41" i="3"/>
  <c r="AN41" i="3"/>
  <c r="AO41" i="3"/>
  <c r="AP41" i="3"/>
  <c r="AQ41" i="3"/>
  <c r="AR41" i="3"/>
  <c r="AS41" i="3"/>
  <c r="AT41" i="3"/>
  <c r="AU41" i="3"/>
  <c r="AV41" i="3"/>
  <c r="AW41" i="3"/>
  <c r="AX41" i="3"/>
  <c r="AY41" i="3"/>
  <c r="C72" i="3"/>
  <c r="D72" i="3"/>
  <c r="E72" i="3"/>
  <c r="F72" i="3"/>
  <c r="G72" i="3"/>
  <c r="H72" i="3"/>
  <c r="I72" i="3"/>
  <c r="J72" i="3"/>
  <c r="K72" i="3"/>
  <c r="L72" i="3"/>
  <c r="M72" i="3"/>
  <c r="N72" i="3"/>
  <c r="O72" i="3"/>
  <c r="P72" i="3"/>
  <c r="Q72" i="3"/>
  <c r="R72" i="3"/>
  <c r="S72" i="3"/>
  <c r="T72" i="3"/>
  <c r="U72" i="3"/>
  <c r="V72" i="3"/>
  <c r="W72" i="3"/>
  <c r="X72" i="3"/>
  <c r="Y72" i="3"/>
  <c r="Z72" i="3"/>
  <c r="AA72" i="3"/>
  <c r="AB72" i="3"/>
  <c r="AC72" i="3"/>
  <c r="AD72" i="3"/>
  <c r="AE72" i="3"/>
  <c r="AF72" i="3"/>
  <c r="AG72" i="3"/>
  <c r="AH72" i="3"/>
  <c r="AI72" i="3"/>
  <c r="AJ72" i="3"/>
  <c r="AK72" i="3"/>
  <c r="AL72" i="3"/>
  <c r="AM72" i="3"/>
  <c r="AN72" i="3"/>
  <c r="AO72" i="3"/>
  <c r="AP72" i="3"/>
  <c r="AQ72" i="3"/>
  <c r="AR72" i="3"/>
  <c r="AS72" i="3"/>
  <c r="AT72" i="3"/>
  <c r="AU72" i="3"/>
  <c r="AV72" i="3"/>
  <c r="AW72" i="3"/>
  <c r="AX72" i="3"/>
  <c r="AY72" i="3"/>
  <c r="C44" i="3"/>
  <c r="D44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R44" i="3"/>
  <c r="S44" i="3"/>
  <c r="T44" i="3"/>
  <c r="U44" i="3"/>
  <c r="V44" i="3"/>
  <c r="W44" i="3"/>
  <c r="X44" i="3"/>
  <c r="Y44" i="3"/>
  <c r="Z44" i="3"/>
  <c r="AA44" i="3"/>
  <c r="AB44" i="3"/>
  <c r="AC44" i="3"/>
  <c r="AD44" i="3"/>
  <c r="AE44" i="3"/>
  <c r="AF44" i="3"/>
  <c r="AG44" i="3"/>
  <c r="AH44" i="3"/>
  <c r="AI44" i="3"/>
  <c r="AJ44" i="3"/>
  <c r="AK44" i="3"/>
  <c r="AL44" i="3"/>
  <c r="AM44" i="3"/>
  <c r="AN44" i="3"/>
  <c r="AO44" i="3"/>
  <c r="AP44" i="3"/>
  <c r="AQ44" i="3"/>
  <c r="AR44" i="3"/>
  <c r="AS44" i="3"/>
  <c r="AT44" i="3"/>
  <c r="AU44" i="3"/>
  <c r="AV44" i="3"/>
  <c r="AW44" i="3"/>
  <c r="AX44" i="3"/>
  <c r="AY44" i="3"/>
  <c r="C122" i="3"/>
  <c r="E122" i="14" s="1"/>
  <c r="P122" i="14" s="1"/>
  <c r="D122" i="3"/>
  <c r="E122" i="3"/>
  <c r="F122" i="3"/>
  <c r="G122" i="3"/>
  <c r="H122" i="3"/>
  <c r="I122" i="3"/>
  <c r="J122" i="3"/>
  <c r="K122" i="3"/>
  <c r="L122" i="3"/>
  <c r="M122" i="3"/>
  <c r="N122" i="3"/>
  <c r="O122" i="3"/>
  <c r="P122" i="3"/>
  <c r="Q122" i="3"/>
  <c r="R122" i="3"/>
  <c r="S122" i="3"/>
  <c r="T122" i="3"/>
  <c r="U122" i="3"/>
  <c r="V122" i="3"/>
  <c r="W122" i="3"/>
  <c r="X122" i="3"/>
  <c r="Y122" i="3"/>
  <c r="Z122" i="3"/>
  <c r="AA122" i="3"/>
  <c r="AB122" i="3"/>
  <c r="AC122" i="3"/>
  <c r="AD122" i="3"/>
  <c r="AE122" i="3"/>
  <c r="AF122" i="3"/>
  <c r="AG122" i="3"/>
  <c r="AH122" i="3"/>
  <c r="AI122" i="3"/>
  <c r="AJ122" i="3"/>
  <c r="AK122" i="3"/>
  <c r="AL122" i="3"/>
  <c r="AM122" i="3"/>
  <c r="AN122" i="3"/>
  <c r="AO122" i="3"/>
  <c r="AP122" i="3"/>
  <c r="AQ122" i="3"/>
  <c r="AR122" i="3"/>
  <c r="AS122" i="3"/>
  <c r="AT122" i="3"/>
  <c r="AU122" i="3"/>
  <c r="AV122" i="3"/>
  <c r="AW122" i="3"/>
  <c r="AX122" i="3"/>
  <c r="AY122" i="3"/>
  <c r="C87" i="3"/>
  <c r="D87" i="3"/>
  <c r="E87" i="3"/>
  <c r="F87" i="3"/>
  <c r="G87" i="3"/>
  <c r="H87" i="3"/>
  <c r="I87" i="3"/>
  <c r="J87" i="3"/>
  <c r="K87" i="3"/>
  <c r="L87" i="3"/>
  <c r="M87" i="3"/>
  <c r="N87" i="3"/>
  <c r="O87" i="3"/>
  <c r="P87" i="3"/>
  <c r="Q87" i="3"/>
  <c r="R87" i="3"/>
  <c r="S87" i="3"/>
  <c r="T87" i="3"/>
  <c r="U87" i="3"/>
  <c r="V87" i="3"/>
  <c r="W87" i="3"/>
  <c r="X87" i="3"/>
  <c r="Y87" i="3"/>
  <c r="Z87" i="3"/>
  <c r="AA87" i="3"/>
  <c r="AB87" i="3"/>
  <c r="AC87" i="3"/>
  <c r="AD87" i="3"/>
  <c r="AE87" i="3"/>
  <c r="AF87" i="3"/>
  <c r="AG87" i="3"/>
  <c r="AH87" i="3"/>
  <c r="AI87" i="3"/>
  <c r="AJ87" i="3"/>
  <c r="AK87" i="3"/>
  <c r="AL87" i="3"/>
  <c r="AM87" i="3"/>
  <c r="AN87" i="3"/>
  <c r="AO87" i="3"/>
  <c r="AP87" i="3"/>
  <c r="AQ87" i="3"/>
  <c r="AR87" i="3"/>
  <c r="AS87" i="3"/>
  <c r="AT87" i="3"/>
  <c r="AU87" i="3"/>
  <c r="AV87" i="3"/>
  <c r="AW87" i="3"/>
  <c r="AX87" i="3"/>
  <c r="AY87" i="3"/>
  <c r="C55" i="3"/>
  <c r="D55" i="3"/>
  <c r="E55" i="3"/>
  <c r="F55" i="3"/>
  <c r="G55" i="3"/>
  <c r="H55" i="3"/>
  <c r="I55" i="3"/>
  <c r="J55" i="3"/>
  <c r="K55" i="3"/>
  <c r="L55" i="3"/>
  <c r="M55" i="3"/>
  <c r="N55" i="3"/>
  <c r="O55" i="3"/>
  <c r="P55" i="3"/>
  <c r="Q55" i="3"/>
  <c r="R55" i="3"/>
  <c r="S55" i="3"/>
  <c r="T55" i="3"/>
  <c r="U55" i="3"/>
  <c r="V55" i="3"/>
  <c r="W55" i="3"/>
  <c r="X55" i="3"/>
  <c r="Y55" i="3"/>
  <c r="Z55" i="3"/>
  <c r="AA55" i="3"/>
  <c r="AB55" i="3"/>
  <c r="AC55" i="3"/>
  <c r="AD55" i="3"/>
  <c r="AE55" i="3"/>
  <c r="AF55" i="3"/>
  <c r="AG55" i="3"/>
  <c r="AH55" i="3"/>
  <c r="AI55" i="3"/>
  <c r="AJ55" i="3"/>
  <c r="AK55" i="3"/>
  <c r="AL55" i="3"/>
  <c r="AM55" i="3"/>
  <c r="AN55" i="3"/>
  <c r="AO55" i="3"/>
  <c r="AP55" i="3"/>
  <c r="AQ55" i="3"/>
  <c r="AR55" i="3"/>
  <c r="AS55" i="3"/>
  <c r="AT55" i="3"/>
  <c r="AU55" i="3"/>
  <c r="AV55" i="3"/>
  <c r="AW55" i="3"/>
  <c r="AX55" i="3"/>
  <c r="AY55" i="3"/>
  <c r="C23" i="3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V23" i="3"/>
  <c r="AW23" i="3"/>
  <c r="AX23" i="3"/>
  <c r="AY23" i="3"/>
  <c r="C82" i="3"/>
  <c r="E82" i="14" s="1"/>
  <c r="P82" i="14" s="1"/>
  <c r="D82" i="3"/>
  <c r="E82" i="3"/>
  <c r="F82" i="3"/>
  <c r="G82" i="3"/>
  <c r="H82" i="3"/>
  <c r="I82" i="3"/>
  <c r="J82" i="3"/>
  <c r="K82" i="3"/>
  <c r="L82" i="3"/>
  <c r="M82" i="3"/>
  <c r="N82" i="3"/>
  <c r="O82" i="3"/>
  <c r="P82" i="3"/>
  <c r="Q82" i="3"/>
  <c r="R82" i="3"/>
  <c r="S82" i="3"/>
  <c r="T82" i="3"/>
  <c r="U82" i="3"/>
  <c r="V82" i="3"/>
  <c r="W82" i="3"/>
  <c r="X82" i="3"/>
  <c r="Y82" i="3"/>
  <c r="Z82" i="3"/>
  <c r="AA82" i="3"/>
  <c r="AB82" i="3"/>
  <c r="AC82" i="3"/>
  <c r="AD82" i="3"/>
  <c r="AE82" i="3"/>
  <c r="AF82" i="3"/>
  <c r="AG82" i="3"/>
  <c r="AH82" i="3"/>
  <c r="AI82" i="3"/>
  <c r="AJ82" i="3"/>
  <c r="AK82" i="3"/>
  <c r="AL82" i="3"/>
  <c r="AM82" i="3"/>
  <c r="AN82" i="3"/>
  <c r="AO82" i="3"/>
  <c r="AP82" i="3"/>
  <c r="AQ82" i="3"/>
  <c r="AR82" i="3"/>
  <c r="AS82" i="3"/>
  <c r="AT82" i="3"/>
  <c r="AU82" i="3"/>
  <c r="AV82" i="3"/>
  <c r="AW82" i="3"/>
  <c r="AX82" i="3"/>
  <c r="AY82" i="3"/>
  <c r="C79" i="3"/>
  <c r="D79" i="3"/>
  <c r="E79" i="3"/>
  <c r="F79" i="3"/>
  <c r="G79" i="3"/>
  <c r="H79" i="3"/>
  <c r="I79" i="3"/>
  <c r="J79" i="3"/>
  <c r="K79" i="3"/>
  <c r="L79" i="3"/>
  <c r="M79" i="3"/>
  <c r="N79" i="3"/>
  <c r="O79" i="3"/>
  <c r="P79" i="3"/>
  <c r="Q79" i="3"/>
  <c r="R79" i="3"/>
  <c r="S79" i="3"/>
  <c r="T79" i="3"/>
  <c r="U79" i="3"/>
  <c r="V79" i="3"/>
  <c r="W79" i="3"/>
  <c r="X79" i="3"/>
  <c r="Y79" i="3"/>
  <c r="Z79" i="3"/>
  <c r="AA79" i="3"/>
  <c r="AB79" i="3"/>
  <c r="AC79" i="3"/>
  <c r="AD79" i="3"/>
  <c r="AE79" i="3"/>
  <c r="AF79" i="3"/>
  <c r="AG79" i="3"/>
  <c r="AH79" i="3"/>
  <c r="AI79" i="3"/>
  <c r="AJ79" i="3"/>
  <c r="AK79" i="3"/>
  <c r="AL79" i="3"/>
  <c r="AM79" i="3"/>
  <c r="AN79" i="3"/>
  <c r="AO79" i="3"/>
  <c r="AP79" i="3"/>
  <c r="AQ79" i="3"/>
  <c r="AR79" i="3"/>
  <c r="AS79" i="3"/>
  <c r="AT79" i="3"/>
  <c r="AU79" i="3"/>
  <c r="AV79" i="3"/>
  <c r="AW79" i="3"/>
  <c r="AX79" i="3"/>
  <c r="AY79" i="3"/>
  <c r="C101" i="3"/>
  <c r="D101" i="3"/>
  <c r="E101" i="3"/>
  <c r="F101" i="3"/>
  <c r="G101" i="3"/>
  <c r="H101" i="3"/>
  <c r="I101" i="3"/>
  <c r="J101" i="3"/>
  <c r="K101" i="3"/>
  <c r="L101" i="3"/>
  <c r="M101" i="3"/>
  <c r="N101" i="3"/>
  <c r="O101" i="3"/>
  <c r="P101" i="3"/>
  <c r="Q101" i="3"/>
  <c r="R101" i="3"/>
  <c r="S101" i="3"/>
  <c r="T101" i="3"/>
  <c r="U101" i="3"/>
  <c r="V101" i="3"/>
  <c r="W101" i="3"/>
  <c r="X101" i="3"/>
  <c r="Y101" i="3"/>
  <c r="Z101" i="3"/>
  <c r="AA101" i="3"/>
  <c r="AB101" i="3"/>
  <c r="AC101" i="3"/>
  <c r="AD101" i="3"/>
  <c r="AE101" i="3"/>
  <c r="AF101" i="3"/>
  <c r="AG101" i="3"/>
  <c r="AH101" i="3"/>
  <c r="AI101" i="3"/>
  <c r="AJ101" i="3"/>
  <c r="AK101" i="3"/>
  <c r="AL101" i="3"/>
  <c r="AM101" i="3"/>
  <c r="AN101" i="3"/>
  <c r="AO101" i="3"/>
  <c r="AP101" i="3"/>
  <c r="AQ101" i="3"/>
  <c r="AR101" i="3"/>
  <c r="AS101" i="3"/>
  <c r="AT101" i="3"/>
  <c r="AU101" i="3"/>
  <c r="AV101" i="3"/>
  <c r="AW101" i="3"/>
  <c r="AX101" i="3"/>
  <c r="AY101" i="3"/>
  <c r="C80" i="3"/>
  <c r="D80" i="3"/>
  <c r="E80" i="3"/>
  <c r="F80" i="3"/>
  <c r="G80" i="3"/>
  <c r="H80" i="3"/>
  <c r="I80" i="3"/>
  <c r="J80" i="3"/>
  <c r="K80" i="3"/>
  <c r="L80" i="3"/>
  <c r="M80" i="3"/>
  <c r="N80" i="3"/>
  <c r="O80" i="3"/>
  <c r="P80" i="3"/>
  <c r="Q80" i="3"/>
  <c r="R80" i="3"/>
  <c r="S80" i="3"/>
  <c r="T80" i="3"/>
  <c r="U80" i="3"/>
  <c r="V80" i="3"/>
  <c r="W80" i="3"/>
  <c r="X80" i="3"/>
  <c r="Y80" i="3"/>
  <c r="Z80" i="3"/>
  <c r="AA80" i="3"/>
  <c r="AB80" i="3"/>
  <c r="AC80" i="3"/>
  <c r="AD80" i="3"/>
  <c r="AE80" i="3"/>
  <c r="AF80" i="3"/>
  <c r="AG80" i="3"/>
  <c r="AH80" i="3"/>
  <c r="AI80" i="3"/>
  <c r="AJ80" i="3"/>
  <c r="AK80" i="3"/>
  <c r="AL80" i="3"/>
  <c r="AM80" i="3"/>
  <c r="AN80" i="3"/>
  <c r="AO80" i="3"/>
  <c r="AP80" i="3"/>
  <c r="AQ80" i="3"/>
  <c r="AR80" i="3"/>
  <c r="AS80" i="3"/>
  <c r="AT80" i="3"/>
  <c r="AU80" i="3"/>
  <c r="AV80" i="3"/>
  <c r="AW80" i="3"/>
  <c r="AX80" i="3"/>
  <c r="AY80" i="3"/>
  <c r="C88" i="3"/>
  <c r="D88" i="3"/>
  <c r="E88" i="3"/>
  <c r="F88" i="3"/>
  <c r="G88" i="3"/>
  <c r="H88" i="3"/>
  <c r="I88" i="3"/>
  <c r="J88" i="3"/>
  <c r="K88" i="3"/>
  <c r="L88" i="3"/>
  <c r="M88" i="3"/>
  <c r="N88" i="3"/>
  <c r="O88" i="3"/>
  <c r="P88" i="3"/>
  <c r="Q88" i="3"/>
  <c r="R88" i="3"/>
  <c r="S88" i="3"/>
  <c r="T88" i="3"/>
  <c r="U88" i="3"/>
  <c r="V88" i="3"/>
  <c r="W88" i="3"/>
  <c r="X88" i="3"/>
  <c r="Y88" i="3"/>
  <c r="Z88" i="3"/>
  <c r="AA88" i="3"/>
  <c r="AB88" i="3"/>
  <c r="AC88" i="3"/>
  <c r="AD88" i="3"/>
  <c r="AE88" i="3"/>
  <c r="AF88" i="3"/>
  <c r="AG88" i="3"/>
  <c r="AH88" i="3"/>
  <c r="AI88" i="3"/>
  <c r="AJ88" i="3"/>
  <c r="AK88" i="3"/>
  <c r="AL88" i="3"/>
  <c r="AM88" i="3"/>
  <c r="AN88" i="3"/>
  <c r="AO88" i="3"/>
  <c r="AP88" i="3"/>
  <c r="AQ88" i="3"/>
  <c r="AR88" i="3"/>
  <c r="AS88" i="3"/>
  <c r="AT88" i="3"/>
  <c r="AU88" i="3"/>
  <c r="AV88" i="3"/>
  <c r="AW88" i="3"/>
  <c r="AX88" i="3"/>
  <c r="AY88" i="3"/>
  <c r="C108" i="3"/>
  <c r="E108" i="14" s="1"/>
  <c r="P108" i="14" s="1"/>
  <c r="D108" i="3"/>
  <c r="E108" i="3"/>
  <c r="F108" i="3"/>
  <c r="G108" i="3"/>
  <c r="H108" i="3"/>
  <c r="I108" i="3"/>
  <c r="J108" i="3"/>
  <c r="K108" i="3"/>
  <c r="L108" i="3"/>
  <c r="M108" i="3"/>
  <c r="N108" i="3"/>
  <c r="O108" i="3"/>
  <c r="P108" i="3"/>
  <c r="Q108" i="3"/>
  <c r="R108" i="3"/>
  <c r="S108" i="3"/>
  <c r="T108" i="3"/>
  <c r="U108" i="3"/>
  <c r="V108" i="3"/>
  <c r="W108" i="3"/>
  <c r="X108" i="3"/>
  <c r="Y108" i="3"/>
  <c r="Z108" i="3"/>
  <c r="AA108" i="3"/>
  <c r="AB108" i="3"/>
  <c r="AC108" i="3"/>
  <c r="AD108" i="3"/>
  <c r="AE108" i="3"/>
  <c r="AF108" i="3"/>
  <c r="AG108" i="3"/>
  <c r="AH108" i="3"/>
  <c r="AI108" i="3"/>
  <c r="AJ108" i="3"/>
  <c r="AK108" i="3"/>
  <c r="AL108" i="3"/>
  <c r="AM108" i="3"/>
  <c r="AN108" i="3"/>
  <c r="AO108" i="3"/>
  <c r="AP108" i="3"/>
  <c r="AQ108" i="3"/>
  <c r="AR108" i="3"/>
  <c r="AS108" i="3"/>
  <c r="AT108" i="3"/>
  <c r="AU108" i="3"/>
  <c r="AV108" i="3"/>
  <c r="AW108" i="3"/>
  <c r="AX108" i="3"/>
  <c r="AY108" i="3"/>
  <c r="C123" i="3"/>
  <c r="E123" i="14" s="1"/>
  <c r="P123" i="14" s="1"/>
  <c r="D123" i="3"/>
  <c r="E123" i="3"/>
  <c r="F123" i="3"/>
  <c r="G123" i="3"/>
  <c r="H123" i="3"/>
  <c r="I123" i="3"/>
  <c r="J123" i="3"/>
  <c r="K123" i="3"/>
  <c r="L123" i="3"/>
  <c r="M123" i="3"/>
  <c r="N123" i="3"/>
  <c r="O123" i="3"/>
  <c r="P123" i="3"/>
  <c r="Q123" i="3"/>
  <c r="R123" i="3"/>
  <c r="S123" i="3"/>
  <c r="T123" i="3"/>
  <c r="U123" i="3"/>
  <c r="V123" i="3"/>
  <c r="W123" i="3"/>
  <c r="X123" i="3"/>
  <c r="Y123" i="3"/>
  <c r="Z123" i="3"/>
  <c r="AA123" i="3"/>
  <c r="AB123" i="3"/>
  <c r="AC123" i="3"/>
  <c r="AD123" i="3"/>
  <c r="AE123" i="3"/>
  <c r="AF123" i="3"/>
  <c r="AG123" i="3"/>
  <c r="AH123" i="3"/>
  <c r="AI123" i="3"/>
  <c r="AJ123" i="3"/>
  <c r="AK123" i="3"/>
  <c r="AL123" i="3"/>
  <c r="AM123" i="3"/>
  <c r="AN123" i="3"/>
  <c r="AO123" i="3"/>
  <c r="AP123" i="3"/>
  <c r="AQ123" i="3"/>
  <c r="AR123" i="3"/>
  <c r="AS123" i="3"/>
  <c r="AT123" i="3"/>
  <c r="AU123" i="3"/>
  <c r="AV123" i="3"/>
  <c r="AW123" i="3"/>
  <c r="AX123" i="3"/>
  <c r="AY123" i="3"/>
  <c r="C86" i="3"/>
  <c r="D86" i="3"/>
  <c r="E86" i="3"/>
  <c r="F86" i="3"/>
  <c r="G86" i="3"/>
  <c r="H86" i="3"/>
  <c r="I86" i="3"/>
  <c r="J86" i="3"/>
  <c r="K86" i="3"/>
  <c r="L86" i="3"/>
  <c r="M86" i="3"/>
  <c r="N86" i="3"/>
  <c r="O86" i="3"/>
  <c r="P86" i="3"/>
  <c r="Q86" i="3"/>
  <c r="R86" i="3"/>
  <c r="S86" i="3"/>
  <c r="T86" i="3"/>
  <c r="U86" i="3"/>
  <c r="V86" i="3"/>
  <c r="W86" i="3"/>
  <c r="X86" i="3"/>
  <c r="Y86" i="3"/>
  <c r="Z86" i="3"/>
  <c r="AA86" i="3"/>
  <c r="AB86" i="3"/>
  <c r="AC86" i="3"/>
  <c r="AD86" i="3"/>
  <c r="AE86" i="3"/>
  <c r="AF86" i="3"/>
  <c r="AG86" i="3"/>
  <c r="AH86" i="3"/>
  <c r="AI86" i="3"/>
  <c r="AJ86" i="3"/>
  <c r="AK86" i="3"/>
  <c r="AL86" i="3"/>
  <c r="AM86" i="3"/>
  <c r="AN86" i="3"/>
  <c r="AO86" i="3"/>
  <c r="AP86" i="3"/>
  <c r="AQ86" i="3"/>
  <c r="AR86" i="3"/>
  <c r="AS86" i="3"/>
  <c r="AT86" i="3"/>
  <c r="AU86" i="3"/>
  <c r="AV86" i="3"/>
  <c r="AW86" i="3"/>
  <c r="AX86" i="3"/>
  <c r="AY86" i="3"/>
  <c r="C124" i="3"/>
  <c r="E124" i="14" s="1"/>
  <c r="P124" i="14" s="1"/>
  <c r="D124" i="3"/>
  <c r="E124" i="3"/>
  <c r="F124" i="3"/>
  <c r="G124" i="3"/>
  <c r="H124" i="3"/>
  <c r="I124" i="3"/>
  <c r="J124" i="3"/>
  <c r="K124" i="3"/>
  <c r="L124" i="3"/>
  <c r="M124" i="3"/>
  <c r="N124" i="3"/>
  <c r="O124" i="3"/>
  <c r="P124" i="3"/>
  <c r="Q124" i="3"/>
  <c r="R124" i="3"/>
  <c r="S124" i="3"/>
  <c r="T124" i="3"/>
  <c r="U124" i="3"/>
  <c r="V124" i="3"/>
  <c r="W124" i="3"/>
  <c r="X124" i="3"/>
  <c r="Y124" i="3"/>
  <c r="Z124" i="3"/>
  <c r="AA124" i="3"/>
  <c r="AB124" i="3"/>
  <c r="AC124" i="3"/>
  <c r="AD124" i="3"/>
  <c r="AE124" i="3"/>
  <c r="AF124" i="3"/>
  <c r="AG124" i="3"/>
  <c r="AH124" i="3"/>
  <c r="AI124" i="3"/>
  <c r="AJ124" i="3"/>
  <c r="AK124" i="3"/>
  <c r="AL124" i="3"/>
  <c r="AM124" i="3"/>
  <c r="AN124" i="3"/>
  <c r="AO124" i="3"/>
  <c r="AP124" i="3"/>
  <c r="AQ124" i="3"/>
  <c r="AR124" i="3"/>
  <c r="AS124" i="3"/>
  <c r="AT124" i="3"/>
  <c r="AU124" i="3"/>
  <c r="AV124" i="3"/>
  <c r="AW124" i="3"/>
  <c r="AX124" i="3"/>
  <c r="AY124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AM14" i="3"/>
  <c r="AN14" i="3"/>
  <c r="AO14" i="3"/>
  <c r="AP14" i="3"/>
  <c r="AQ14" i="3"/>
  <c r="AR14" i="3"/>
  <c r="AS14" i="3"/>
  <c r="AT14" i="3"/>
  <c r="AU14" i="3"/>
  <c r="AV14" i="3"/>
  <c r="AW14" i="3"/>
  <c r="AX14" i="3"/>
  <c r="AY14" i="3"/>
  <c r="C94" i="3"/>
  <c r="D94" i="3"/>
  <c r="E94" i="3"/>
  <c r="F94" i="3"/>
  <c r="G94" i="3"/>
  <c r="H94" i="3"/>
  <c r="I94" i="3"/>
  <c r="J94" i="3"/>
  <c r="K94" i="3"/>
  <c r="L94" i="3"/>
  <c r="M94" i="3"/>
  <c r="N94" i="3"/>
  <c r="O94" i="3"/>
  <c r="P94" i="3"/>
  <c r="Q94" i="3"/>
  <c r="R94" i="3"/>
  <c r="S94" i="3"/>
  <c r="T94" i="3"/>
  <c r="U94" i="3"/>
  <c r="V94" i="3"/>
  <c r="W94" i="3"/>
  <c r="X94" i="3"/>
  <c r="Y94" i="3"/>
  <c r="Z94" i="3"/>
  <c r="AA94" i="3"/>
  <c r="AB94" i="3"/>
  <c r="AC94" i="3"/>
  <c r="AD94" i="3"/>
  <c r="AE94" i="3"/>
  <c r="AF94" i="3"/>
  <c r="AG94" i="3"/>
  <c r="AH94" i="3"/>
  <c r="AI94" i="3"/>
  <c r="AJ94" i="3"/>
  <c r="AK94" i="3"/>
  <c r="AL94" i="3"/>
  <c r="AM94" i="3"/>
  <c r="AN94" i="3"/>
  <c r="AO94" i="3"/>
  <c r="AP94" i="3"/>
  <c r="AQ94" i="3"/>
  <c r="AR94" i="3"/>
  <c r="AS94" i="3"/>
  <c r="AT94" i="3"/>
  <c r="AU94" i="3"/>
  <c r="AV94" i="3"/>
  <c r="AW94" i="3"/>
  <c r="AX94" i="3"/>
  <c r="AY94" i="3"/>
  <c r="C109" i="3"/>
  <c r="E109" i="14" s="1"/>
  <c r="P109" i="14" s="1"/>
  <c r="D109" i="3"/>
  <c r="E109" i="3"/>
  <c r="F109" i="3"/>
  <c r="G109" i="3"/>
  <c r="H109" i="3"/>
  <c r="I109" i="3"/>
  <c r="J109" i="3"/>
  <c r="K109" i="3"/>
  <c r="L109" i="3"/>
  <c r="M109" i="3"/>
  <c r="N109" i="3"/>
  <c r="O109" i="3"/>
  <c r="P109" i="3"/>
  <c r="Q109" i="3"/>
  <c r="R109" i="3"/>
  <c r="S109" i="3"/>
  <c r="T109" i="3"/>
  <c r="U109" i="3"/>
  <c r="V109" i="3"/>
  <c r="W109" i="3"/>
  <c r="X109" i="3"/>
  <c r="Y109" i="3"/>
  <c r="Z109" i="3"/>
  <c r="AA109" i="3"/>
  <c r="AB109" i="3"/>
  <c r="AC109" i="3"/>
  <c r="AD109" i="3"/>
  <c r="AE109" i="3"/>
  <c r="AF109" i="3"/>
  <c r="AG109" i="3"/>
  <c r="AH109" i="3"/>
  <c r="AI109" i="3"/>
  <c r="AJ109" i="3"/>
  <c r="AK109" i="3"/>
  <c r="AL109" i="3"/>
  <c r="AM109" i="3"/>
  <c r="AN109" i="3"/>
  <c r="AO109" i="3"/>
  <c r="AP109" i="3"/>
  <c r="AQ109" i="3"/>
  <c r="AR109" i="3"/>
  <c r="AS109" i="3"/>
  <c r="AT109" i="3"/>
  <c r="AU109" i="3"/>
  <c r="AV109" i="3"/>
  <c r="AW109" i="3"/>
  <c r="AX109" i="3"/>
  <c r="AY109" i="3"/>
  <c r="C76" i="3"/>
  <c r="D76" i="3"/>
  <c r="E76" i="3"/>
  <c r="F76" i="3"/>
  <c r="G76" i="3"/>
  <c r="H76" i="3"/>
  <c r="I76" i="3"/>
  <c r="J76" i="3"/>
  <c r="K76" i="3"/>
  <c r="L76" i="3"/>
  <c r="M76" i="3"/>
  <c r="N76" i="3"/>
  <c r="O76" i="3"/>
  <c r="P76" i="3"/>
  <c r="Q76" i="3"/>
  <c r="R76" i="3"/>
  <c r="S76" i="3"/>
  <c r="T76" i="3"/>
  <c r="U76" i="3"/>
  <c r="V76" i="3"/>
  <c r="W76" i="3"/>
  <c r="X76" i="3"/>
  <c r="Y76" i="3"/>
  <c r="Z76" i="3"/>
  <c r="AA76" i="3"/>
  <c r="AB76" i="3"/>
  <c r="AC76" i="3"/>
  <c r="AD76" i="3"/>
  <c r="AE76" i="3"/>
  <c r="AF76" i="3"/>
  <c r="AG76" i="3"/>
  <c r="AH76" i="3"/>
  <c r="AI76" i="3"/>
  <c r="AJ76" i="3"/>
  <c r="AK76" i="3"/>
  <c r="AL76" i="3"/>
  <c r="AM76" i="3"/>
  <c r="AN76" i="3"/>
  <c r="AO76" i="3"/>
  <c r="AP76" i="3"/>
  <c r="AQ76" i="3"/>
  <c r="AR76" i="3"/>
  <c r="AS76" i="3"/>
  <c r="AT76" i="3"/>
  <c r="AU76" i="3"/>
  <c r="AV76" i="3"/>
  <c r="AW76" i="3"/>
  <c r="AX76" i="3"/>
  <c r="AY76" i="3"/>
  <c r="C11" i="3"/>
  <c r="D11" i="3"/>
  <c r="E11" i="3"/>
  <c r="F11" i="3"/>
  <c r="G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AM11" i="3"/>
  <c r="AN11" i="3"/>
  <c r="AO11" i="3"/>
  <c r="AP11" i="3"/>
  <c r="AQ11" i="3"/>
  <c r="AR11" i="3"/>
  <c r="AS11" i="3"/>
  <c r="AT11" i="3"/>
  <c r="AU11" i="3"/>
  <c r="AV11" i="3"/>
  <c r="AW11" i="3"/>
  <c r="AX11" i="3"/>
  <c r="AY11" i="3"/>
  <c r="C70" i="3"/>
  <c r="D70" i="3"/>
  <c r="E70" i="3"/>
  <c r="F70" i="3"/>
  <c r="G70" i="3"/>
  <c r="H70" i="3"/>
  <c r="I70" i="3"/>
  <c r="J70" i="3"/>
  <c r="K70" i="3"/>
  <c r="L70" i="3"/>
  <c r="M70" i="3"/>
  <c r="N70" i="3"/>
  <c r="O70" i="3"/>
  <c r="P70" i="3"/>
  <c r="Q70" i="3"/>
  <c r="R70" i="3"/>
  <c r="S70" i="3"/>
  <c r="T70" i="3"/>
  <c r="U70" i="3"/>
  <c r="V70" i="3"/>
  <c r="W70" i="3"/>
  <c r="X70" i="3"/>
  <c r="Y70" i="3"/>
  <c r="Z70" i="3"/>
  <c r="AA70" i="3"/>
  <c r="AB70" i="3"/>
  <c r="AC70" i="3"/>
  <c r="AD70" i="3"/>
  <c r="AE70" i="3"/>
  <c r="AF70" i="3"/>
  <c r="AG70" i="3"/>
  <c r="AH70" i="3"/>
  <c r="AI70" i="3"/>
  <c r="AJ70" i="3"/>
  <c r="AK70" i="3"/>
  <c r="AL70" i="3"/>
  <c r="AM70" i="3"/>
  <c r="AN70" i="3"/>
  <c r="AO70" i="3"/>
  <c r="AP70" i="3"/>
  <c r="AQ70" i="3"/>
  <c r="AR70" i="3"/>
  <c r="AS70" i="3"/>
  <c r="AT70" i="3"/>
  <c r="AU70" i="3"/>
  <c r="AV70" i="3"/>
  <c r="AW70" i="3"/>
  <c r="AX70" i="3"/>
  <c r="AY70" i="3"/>
  <c r="C60" i="3"/>
  <c r="D60" i="3"/>
  <c r="E60" i="3"/>
  <c r="F60" i="3"/>
  <c r="G60" i="3"/>
  <c r="H60" i="3"/>
  <c r="I60" i="3"/>
  <c r="J60" i="3"/>
  <c r="K60" i="3"/>
  <c r="L60" i="3"/>
  <c r="M60" i="3"/>
  <c r="N60" i="3"/>
  <c r="O60" i="3"/>
  <c r="P60" i="3"/>
  <c r="Q60" i="3"/>
  <c r="R60" i="3"/>
  <c r="S60" i="3"/>
  <c r="T60" i="3"/>
  <c r="U60" i="3"/>
  <c r="V60" i="3"/>
  <c r="W60" i="3"/>
  <c r="X60" i="3"/>
  <c r="Y60" i="3"/>
  <c r="Z60" i="3"/>
  <c r="AA60" i="3"/>
  <c r="AB60" i="3"/>
  <c r="AC60" i="3"/>
  <c r="AD60" i="3"/>
  <c r="AE60" i="3"/>
  <c r="AF60" i="3"/>
  <c r="AG60" i="3"/>
  <c r="AH60" i="3"/>
  <c r="AI60" i="3"/>
  <c r="AJ60" i="3"/>
  <c r="AK60" i="3"/>
  <c r="AL60" i="3"/>
  <c r="AM60" i="3"/>
  <c r="AN60" i="3"/>
  <c r="AO60" i="3"/>
  <c r="AP60" i="3"/>
  <c r="AQ60" i="3"/>
  <c r="AR60" i="3"/>
  <c r="AS60" i="3"/>
  <c r="AT60" i="3"/>
  <c r="AU60" i="3"/>
  <c r="AV60" i="3"/>
  <c r="AW60" i="3"/>
  <c r="AX60" i="3"/>
  <c r="AY60" i="3"/>
  <c r="C63" i="3"/>
  <c r="D63" i="3"/>
  <c r="E63" i="3"/>
  <c r="F63" i="3"/>
  <c r="G63" i="3"/>
  <c r="H63" i="3"/>
  <c r="I63" i="3"/>
  <c r="J63" i="3"/>
  <c r="K63" i="3"/>
  <c r="L63" i="3"/>
  <c r="M63" i="3"/>
  <c r="N63" i="3"/>
  <c r="O63" i="3"/>
  <c r="P63" i="3"/>
  <c r="Q63" i="3"/>
  <c r="R63" i="3"/>
  <c r="S63" i="3"/>
  <c r="T63" i="3"/>
  <c r="U63" i="3"/>
  <c r="V63" i="3"/>
  <c r="W63" i="3"/>
  <c r="X63" i="3"/>
  <c r="Y63" i="3"/>
  <c r="Z63" i="3"/>
  <c r="AA63" i="3"/>
  <c r="AB63" i="3"/>
  <c r="AC63" i="3"/>
  <c r="AD63" i="3"/>
  <c r="AE63" i="3"/>
  <c r="AF63" i="3"/>
  <c r="AG63" i="3"/>
  <c r="AH63" i="3"/>
  <c r="AI63" i="3"/>
  <c r="AJ63" i="3"/>
  <c r="AK63" i="3"/>
  <c r="AL63" i="3"/>
  <c r="AM63" i="3"/>
  <c r="AN63" i="3"/>
  <c r="AO63" i="3"/>
  <c r="AP63" i="3"/>
  <c r="AQ63" i="3"/>
  <c r="AR63" i="3"/>
  <c r="AS63" i="3"/>
  <c r="AT63" i="3"/>
  <c r="AU63" i="3"/>
  <c r="AV63" i="3"/>
  <c r="AW63" i="3"/>
  <c r="AX63" i="3"/>
  <c r="AY63" i="3"/>
  <c r="C89" i="3"/>
  <c r="E89" i="14" s="1"/>
  <c r="P89" i="14" s="1"/>
  <c r="D89" i="3"/>
  <c r="E89" i="3"/>
  <c r="F89" i="3"/>
  <c r="G89" i="3"/>
  <c r="H89" i="3"/>
  <c r="I89" i="3"/>
  <c r="J89" i="3"/>
  <c r="K89" i="3"/>
  <c r="L89" i="3"/>
  <c r="M89" i="3"/>
  <c r="N89" i="3"/>
  <c r="O89" i="3"/>
  <c r="P89" i="3"/>
  <c r="Q89" i="3"/>
  <c r="R89" i="3"/>
  <c r="S89" i="3"/>
  <c r="T89" i="3"/>
  <c r="U89" i="3"/>
  <c r="V89" i="3"/>
  <c r="W89" i="3"/>
  <c r="X89" i="3"/>
  <c r="Y89" i="3"/>
  <c r="Z89" i="3"/>
  <c r="AA89" i="3"/>
  <c r="AB89" i="3"/>
  <c r="AC89" i="3"/>
  <c r="AD89" i="3"/>
  <c r="AE89" i="3"/>
  <c r="AF89" i="3"/>
  <c r="AG89" i="3"/>
  <c r="AH89" i="3"/>
  <c r="AI89" i="3"/>
  <c r="AJ89" i="3"/>
  <c r="AK89" i="3"/>
  <c r="AL89" i="3"/>
  <c r="AM89" i="3"/>
  <c r="AN89" i="3"/>
  <c r="AO89" i="3"/>
  <c r="AP89" i="3"/>
  <c r="AQ89" i="3"/>
  <c r="AR89" i="3"/>
  <c r="AS89" i="3"/>
  <c r="AT89" i="3"/>
  <c r="AU89" i="3"/>
  <c r="AV89" i="3"/>
  <c r="AW89" i="3"/>
  <c r="AX89" i="3"/>
  <c r="AY89" i="3"/>
  <c r="C61" i="3"/>
  <c r="D61" i="3"/>
  <c r="E61" i="3"/>
  <c r="F61" i="3"/>
  <c r="G61" i="3"/>
  <c r="H61" i="3"/>
  <c r="I61" i="3"/>
  <c r="J61" i="3"/>
  <c r="K61" i="3"/>
  <c r="L61" i="3"/>
  <c r="M61" i="3"/>
  <c r="N61" i="3"/>
  <c r="O61" i="3"/>
  <c r="P61" i="3"/>
  <c r="Q61" i="3"/>
  <c r="R61" i="3"/>
  <c r="S61" i="3"/>
  <c r="T61" i="3"/>
  <c r="U61" i="3"/>
  <c r="V61" i="3"/>
  <c r="W61" i="3"/>
  <c r="X61" i="3"/>
  <c r="Y61" i="3"/>
  <c r="Z61" i="3"/>
  <c r="AA61" i="3"/>
  <c r="AB61" i="3"/>
  <c r="AC61" i="3"/>
  <c r="AD61" i="3"/>
  <c r="AE61" i="3"/>
  <c r="AF61" i="3"/>
  <c r="AG61" i="3"/>
  <c r="AH61" i="3"/>
  <c r="AI61" i="3"/>
  <c r="AJ61" i="3"/>
  <c r="AK61" i="3"/>
  <c r="AL61" i="3"/>
  <c r="AM61" i="3"/>
  <c r="AN61" i="3"/>
  <c r="AO61" i="3"/>
  <c r="AP61" i="3"/>
  <c r="AQ61" i="3"/>
  <c r="AR61" i="3"/>
  <c r="AS61" i="3"/>
  <c r="AT61" i="3"/>
  <c r="AU61" i="3"/>
  <c r="AV61" i="3"/>
  <c r="AW61" i="3"/>
  <c r="AX61" i="3"/>
  <c r="AY61" i="3"/>
  <c r="C48" i="3"/>
  <c r="D48" i="3"/>
  <c r="E48" i="3"/>
  <c r="F48" i="3"/>
  <c r="G48" i="3"/>
  <c r="H48" i="3"/>
  <c r="I48" i="3"/>
  <c r="J48" i="3"/>
  <c r="K48" i="3"/>
  <c r="L48" i="3"/>
  <c r="M48" i="3"/>
  <c r="N48" i="3"/>
  <c r="O48" i="3"/>
  <c r="P48" i="3"/>
  <c r="Q48" i="3"/>
  <c r="R48" i="3"/>
  <c r="S48" i="3"/>
  <c r="T48" i="3"/>
  <c r="U48" i="3"/>
  <c r="V48" i="3"/>
  <c r="W48" i="3"/>
  <c r="X48" i="3"/>
  <c r="Y48" i="3"/>
  <c r="Z48" i="3"/>
  <c r="AA48" i="3"/>
  <c r="AB48" i="3"/>
  <c r="AC48" i="3"/>
  <c r="AD48" i="3"/>
  <c r="AE48" i="3"/>
  <c r="AF48" i="3"/>
  <c r="AG48" i="3"/>
  <c r="AH48" i="3"/>
  <c r="AI48" i="3"/>
  <c r="AJ48" i="3"/>
  <c r="AK48" i="3"/>
  <c r="AL48" i="3"/>
  <c r="AM48" i="3"/>
  <c r="AN48" i="3"/>
  <c r="AO48" i="3"/>
  <c r="AP48" i="3"/>
  <c r="AQ48" i="3"/>
  <c r="AR48" i="3"/>
  <c r="AS48" i="3"/>
  <c r="AT48" i="3"/>
  <c r="AU48" i="3"/>
  <c r="AV48" i="3"/>
  <c r="AW48" i="3"/>
  <c r="AX48" i="3"/>
  <c r="AY48" i="3"/>
  <c r="C47" i="3"/>
  <c r="D47" i="3"/>
  <c r="E47" i="3"/>
  <c r="F47" i="3"/>
  <c r="G47" i="3"/>
  <c r="H47" i="3"/>
  <c r="I47" i="3"/>
  <c r="J47" i="3"/>
  <c r="K47" i="3"/>
  <c r="L47" i="3"/>
  <c r="M47" i="3"/>
  <c r="N47" i="3"/>
  <c r="O47" i="3"/>
  <c r="P47" i="3"/>
  <c r="Q47" i="3"/>
  <c r="R47" i="3"/>
  <c r="S47" i="3"/>
  <c r="T47" i="3"/>
  <c r="U47" i="3"/>
  <c r="V47" i="3"/>
  <c r="W47" i="3"/>
  <c r="X47" i="3"/>
  <c r="Y47" i="3"/>
  <c r="Z47" i="3"/>
  <c r="AA47" i="3"/>
  <c r="AB47" i="3"/>
  <c r="AC47" i="3"/>
  <c r="AD47" i="3"/>
  <c r="AE47" i="3"/>
  <c r="AF47" i="3"/>
  <c r="AG47" i="3"/>
  <c r="AH47" i="3"/>
  <c r="AI47" i="3"/>
  <c r="AJ47" i="3"/>
  <c r="AK47" i="3"/>
  <c r="AL47" i="3"/>
  <c r="AM47" i="3"/>
  <c r="AN47" i="3"/>
  <c r="AO47" i="3"/>
  <c r="AP47" i="3"/>
  <c r="AQ47" i="3"/>
  <c r="AR47" i="3"/>
  <c r="AS47" i="3"/>
  <c r="AT47" i="3"/>
  <c r="AU47" i="3"/>
  <c r="AV47" i="3"/>
  <c r="AW47" i="3"/>
  <c r="AX47" i="3"/>
  <c r="AY47" i="3"/>
  <c r="C33" i="3"/>
  <c r="D33" i="3"/>
  <c r="E33" i="3"/>
  <c r="F33" i="3"/>
  <c r="G33" i="3"/>
  <c r="H33" i="3"/>
  <c r="I33" i="3"/>
  <c r="J33" i="3"/>
  <c r="K33" i="3"/>
  <c r="L33" i="3"/>
  <c r="M33" i="3"/>
  <c r="N33" i="3"/>
  <c r="O33" i="3"/>
  <c r="P33" i="3"/>
  <c r="Q33" i="3"/>
  <c r="R33" i="3"/>
  <c r="S33" i="3"/>
  <c r="T33" i="3"/>
  <c r="U33" i="3"/>
  <c r="V33" i="3"/>
  <c r="W33" i="3"/>
  <c r="X33" i="3"/>
  <c r="Y33" i="3"/>
  <c r="Z33" i="3"/>
  <c r="AA33" i="3"/>
  <c r="AB33" i="3"/>
  <c r="AC33" i="3"/>
  <c r="AD33" i="3"/>
  <c r="AE33" i="3"/>
  <c r="AF33" i="3"/>
  <c r="AG33" i="3"/>
  <c r="AH33" i="3"/>
  <c r="AI33" i="3"/>
  <c r="AJ33" i="3"/>
  <c r="AK33" i="3"/>
  <c r="AL33" i="3"/>
  <c r="AM33" i="3"/>
  <c r="AN33" i="3"/>
  <c r="AO33" i="3"/>
  <c r="AP33" i="3"/>
  <c r="AQ33" i="3"/>
  <c r="AR33" i="3"/>
  <c r="AS33" i="3"/>
  <c r="AT33" i="3"/>
  <c r="AU33" i="3"/>
  <c r="AV33" i="3"/>
  <c r="AW33" i="3"/>
  <c r="AX33" i="3"/>
  <c r="AY33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V20" i="3"/>
  <c r="AW20" i="3"/>
  <c r="AX20" i="3"/>
  <c r="AY20" i="3"/>
  <c r="C95" i="3"/>
  <c r="D95" i="3"/>
  <c r="E95" i="3"/>
  <c r="F95" i="3"/>
  <c r="G95" i="3"/>
  <c r="H95" i="3"/>
  <c r="I95" i="3"/>
  <c r="J95" i="3"/>
  <c r="K95" i="3"/>
  <c r="L95" i="3"/>
  <c r="M95" i="3"/>
  <c r="N95" i="3"/>
  <c r="O95" i="3"/>
  <c r="P95" i="3"/>
  <c r="Q95" i="3"/>
  <c r="R95" i="3"/>
  <c r="S95" i="3"/>
  <c r="T95" i="3"/>
  <c r="U95" i="3"/>
  <c r="V95" i="3"/>
  <c r="W95" i="3"/>
  <c r="X95" i="3"/>
  <c r="Y95" i="3"/>
  <c r="Z95" i="3"/>
  <c r="AA95" i="3"/>
  <c r="AB95" i="3"/>
  <c r="AC95" i="3"/>
  <c r="AD95" i="3"/>
  <c r="AE95" i="3"/>
  <c r="AF95" i="3"/>
  <c r="AG95" i="3"/>
  <c r="AH95" i="3"/>
  <c r="AI95" i="3"/>
  <c r="AJ95" i="3"/>
  <c r="AK95" i="3"/>
  <c r="AL95" i="3"/>
  <c r="AM95" i="3"/>
  <c r="AN95" i="3"/>
  <c r="AO95" i="3"/>
  <c r="AP95" i="3"/>
  <c r="AQ95" i="3"/>
  <c r="AR95" i="3"/>
  <c r="AS95" i="3"/>
  <c r="AT95" i="3"/>
  <c r="AU95" i="3"/>
  <c r="AV95" i="3"/>
  <c r="AW95" i="3"/>
  <c r="AX95" i="3"/>
  <c r="AY95" i="3"/>
  <c r="C36" i="3"/>
  <c r="D36" i="3"/>
  <c r="E36" i="3"/>
  <c r="F36" i="3"/>
  <c r="G36" i="3"/>
  <c r="H36" i="3"/>
  <c r="I36" i="3"/>
  <c r="J36" i="3"/>
  <c r="K36" i="3"/>
  <c r="L36" i="3"/>
  <c r="M36" i="3"/>
  <c r="N36" i="3"/>
  <c r="O36" i="3"/>
  <c r="P36" i="3"/>
  <c r="Q36" i="3"/>
  <c r="R36" i="3"/>
  <c r="S36" i="3"/>
  <c r="T36" i="3"/>
  <c r="U36" i="3"/>
  <c r="V36" i="3"/>
  <c r="W36" i="3"/>
  <c r="X36" i="3"/>
  <c r="Y36" i="3"/>
  <c r="Z36" i="3"/>
  <c r="AA36" i="3"/>
  <c r="AB36" i="3"/>
  <c r="AC36" i="3"/>
  <c r="AD36" i="3"/>
  <c r="AE36" i="3"/>
  <c r="AF36" i="3"/>
  <c r="AG36" i="3"/>
  <c r="AH36" i="3"/>
  <c r="AI36" i="3"/>
  <c r="AJ36" i="3"/>
  <c r="AK36" i="3"/>
  <c r="AL36" i="3"/>
  <c r="AM36" i="3"/>
  <c r="AN36" i="3"/>
  <c r="AO36" i="3"/>
  <c r="AP36" i="3"/>
  <c r="AQ36" i="3"/>
  <c r="AR36" i="3"/>
  <c r="AS36" i="3"/>
  <c r="AT36" i="3"/>
  <c r="AU36" i="3"/>
  <c r="AV36" i="3"/>
  <c r="AW36" i="3"/>
  <c r="AX36" i="3"/>
  <c r="AY36" i="3"/>
  <c r="C51" i="3"/>
  <c r="D51" i="3"/>
  <c r="E51" i="3"/>
  <c r="F51" i="3"/>
  <c r="G51" i="3"/>
  <c r="H51" i="3"/>
  <c r="I51" i="3"/>
  <c r="J51" i="3"/>
  <c r="K51" i="3"/>
  <c r="L51" i="3"/>
  <c r="M51" i="3"/>
  <c r="N51" i="3"/>
  <c r="O51" i="3"/>
  <c r="P51" i="3"/>
  <c r="Q51" i="3"/>
  <c r="R51" i="3"/>
  <c r="S51" i="3"/>
  <c r="T51" i="3"/>
  <c r="U51" i="3"/>
  <c r="V51" i="3"/>
  <c r="W51" i="3"/>
  <c r="X51" i="3"/>
  <c r="Y51" i="3"/>
  <c r="Z51" i="3"/>
  <c r="AA51" i="3"/>
  <c r="AB51" i="3"/>
  <c r="AC51" i="3"/>
  <c r="AD51" i="3"/>
  <c r="AE51" i="3"/>
  <c r="AF51" i="3"/>
  <c r="AG51" i="3"/>
  <c r="AH51" i="3"/>
  <c r="AI51" i="3"/>
  <c r="AJ51" i="3"/>
  <c r="AK51" i="3"/>
  <c r="AL51" i="3"/>
  <c r="AM51" i="3"/>
  <c r="AN51" i="3"/>
  <c r="AO51" i="3"/>
  <c r="AP51" i="3"/>
  <c r="AQ51" i="3"/>
  <c r="AR51" i="3"/>
  <c r="AS51" i="3"/>
  <c r="AT51" i="3"/>
  <c r="AU51" i="3"/>
  <c r="AV51" i="3"/>
  <c r="AW51" i="3"/>
  <c r="AX51" i="3"/>
  <c r="AY51" i="3"/>
  <c r="C42" i="3"/>
  <c r="D42" i="3"/>
  <c r="E42" i="3"/>
  <c r="F42" i="3"/>
  <c r="G42" i="3"/>
  <c r="H42" i="3"/>
  <c r="I42" i="3"/>
  <c r="J42" i="3"/>
  <c r="K42" i="3"/>
  <c r="L42" i="3"/>
  <c r="M42" i="3"/>
  <c r="N42" i="3"/>
  <c r="O42" i="3"/>
  <c r="P42" i="3"/>
  <c r="Q42" i="3"/>
  <c r="R42" i="3"/>
  <c r="S42" i="3"/>
  <c r="T42" i="3"/>
  <c r="U42" i="3"/>
  <c r="V42" i="3"/>
  <c r="W42" i="3"/>
  <c r="X42" i="3"/>
  <c r="Y42" i="3"/>
  <c r="Z42" i="3"/>
  <c r="AA42" i="3"/>
  <c r="AB42" i="3"/>
  <c r="AC42" i="3"/>
  <c r="AD42" i="3"/>
  <c r="AE42" i="3"/>
  <c r="AF42" i="3"/>
  <c r="AG42" i="3"/>
  <c r="AH42" i="3"/>
  <c r="AI42" i="3"/>
  <c r="AJ42" i="3"/>
  <c r="AK42" i="3"/>
  <c r="AL42" i="3"/>
  <c r="AM42" i="3"/>
  <c r="AN42" i="3"/>
  <c r="AO42" i="3"/>
  <c r="AP42" i="3"/>
  <c r="AQ42" i="3"/>
  <c r="AR42" i="3"/>
  <c r="AS42" i="3"/>
  <c r="AT42" i="3"/>
  <c r="AU42" i="3"/>
  <c r="AV42" i="3"/>
  <c r="AW42" i="3"/>
  <c r="AX42" i="3"/>
  <c r="AY42" i="3"/>
  <c r="C37" i="3"/>
  <c r="D37" i="3"/>
  <c r="E37" i="3"/>
  <c r="F37" i="3"/>
  <c r="G37" i="3"/>
  <c r="H37" i="3"/>
  <c r="I37" i="3"/>
  <c r="J37" i="3"/>
  <c r="K37" i="3"/>
  <c r="L37" i="3"/>
  <c r="M37" i="3"/>
  <c r="N37" i="3"/>
  <c r="O37" i="3"/>
  <c r="P37" i="3"/>
  <c r="Q37" i="3"/>
  <c r="R37" i="3"/>
  <c r="S37" i="3"/>
  <c r="T37" i="3"/>
  <c r="U37" i="3"/>
  <c r="V37" i="3"/>
  <c r="W37" i="3"/>
  <c r="X37" i="3"/>
  <c r="Y37" i="3"/>
  <c r="Z37" i="3"/>
  <c r="AA37" i="3"/>
  <c r="AB37" i="3"/>
  <c r="AC37" i="3"/>
  <c r="AD37" i="3"/>
  <c r="AE37" i="3"/>
  <c r="AF37" i="3"/>
  <c r="AG37" i="3"/>
  <c r="AH37" i="3"/>
  <c r="AI37" i="3"/>
  <c r="AJ37" i="3"/>
  <c r="AK37" i="3"/>
  <c r="AL37" i="3"/>
  <c r="AM37" i="3"/>
  <c r="AN37" i="3"/>
  <c r="AO37" i="3"/>
  <c r="AP37" i="3"/>
  <c r="AQ37" i="3"/>
  <c r="AR37" i="3"/>
  <c r="AS37" i="3"/>
  <c r="AT37" i="3"/>
  <c r="AU37" i="3"/>
  <c r="AV37" i="3"/>
  <c r="AW37" i="3"/>
  <c r="AX37" i="3"/>
  <c r="AY37" i="3"/>
  <c r="C81" i="3"/>
  <c r="D81" i="3"/>
  <c r="E81" i="3"/>
  <c r="F81" i="3"/>
  <c r="G81" i="3"/>
  <c r="H81" i="3"/>
  <c r="I81" i="3"/>
  <c r="J81" i="3"/>
  <c r="K81" i="3"/>
  <c r="L81" i="3"/>
  <c r="M81" i="3"/>
  <c r="N81" i="3"/>
  <c r="O81" i="3"/>
  <c r="P81" i="3"/>
  <c r="Q81" i="3"/>
  <c r="R81" i="3"/>
  <c r="S81" i="3"/>
  <c r="T81" i="3"/>
  <c r="U81" i="3"/>
  <c r="V81" i="3"/>
  <c r="W81" i="3"/>
  <c r="X81" i="3"/>
  <c r="Y81" i="3"/>
  <c r="Z81" i="3"/>
  <c r="AA81" i="3"/>
  <c r="AB81" i="3"/>
  <c r="AC81" i="3"/>
  <c r="AD81" i="3"/>
  <c r="AE81" i="3"/>
  <c r="AF81" i="3"/>
  <c r="AG81" i="3"/>
  <c r="AH81" i="3"/>
  <c r="AI81" i="3"/>
  <c r="AJ81" i="3"/>
  <c r="AK81" i="3"/>
  <c r="AL81" i="3"/>
  <c r="AM81" i="3"/>
  <c r="AN81" i="3"/>
  <c r="AO81" i="3"/>
  <c r="AP81" i="3"/>
  <c r="AQ81" i="3"/>
  <c r="AR81" i="3"/>
  <c r="AS81" i="3"/>
  <c r="AT81" i="3"/>
  <c r="AU81" i="3"/>
  <c r="AV81" i="3"/>
  <c r="AW81" i="3"/>
  <c r="AX81" i="3"/>
  <c r="AY81" i="3"/>
  <c r="C54" i="3"/>
  <c r="D54" i="3"/>
  <c r="E54" i="3"/>
  <c r="F54" i="3"/>
  <c r="G54" i="3"/>
  <c r="H54" i="3"/>
  <c r="I54" i="3"/>
  <c r="J54" i="3"/>
  <c r="K54" i="3"/>
  <c r="L54" i="3"/>
  <c r="M54" i="3"/>
  <c r="N54" i="3"/>
  <c r="O54" i="3"/>
  <c r="P54" i="3"/>
  <c r="Q54" i="3"/>
  <c r="R54" i="3"/>
  <c r="S54" i="3"/>
  <c r="T54" i="3"/>
  <c r="U54" i="3"/>
  <c r="V54" i="3"/>
  <c r="W54" i="3"/>
  <c r="X54" i="3"/>
  <c r="Y54" i="3"/>
  <c r="Z54" i="3"/>
  <c r="AA54" i="3"/>
  <c r="AB54" i="3"/>
  <c r="AC54" i="3"/>
  <c r="AD54" i="3"/>
  <c r="AE54" i="3"/>
  <c r="AF54" i="3"/>
  <c r="AG54" i="3"/>
  <c r="AH54" i="3"/>
  <c r="AI54" i="3"/>
  <c r="AJ54" i="3"/>
  <c r="AK54" i="3"/>
  <c r="AL54" i="3"/>
  <c r="AM54" i="3"/>
  <c r="AN54" i="3"/>
  <c r="AO54" i="3"/>
  <c r="AP54" i="3"/>
  <c r="AQ54" i="3"/>
  <c r="AR54" i="3"/>
  <c r="AS54" i="3"/>
  <c r="AT54" i="3"/>
  <c r="AU54" i="3"/>
  <c r="AV54" i="3"/>
  <c r="AW54" i="3"/>
  <c r="AX54" i="3"/>
  <c r="AY54" i="3"/>
  <c r="C22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V22" i="3"/>
  <c r="AW22" i="3"/>
  <c r="AX22" i="3"/>
  <c r="AY22" i="3"/>
  <c r="C58" i="3"/>
  <c r="D58" i="3"/>
  <c r="E58" i="3"/>
  <c r="F58" i="3"/>
  <c r="G58" i="3"/>
  <c r="H58" i="3"/>
  <c r="I58" i="3"/>
  <c r="J58" i="3"/>
  <c r="K58" i="3"/>
  <c r="L58" i="3"/>
  <c r="M58" i="3"/>
  <c r="N58" i="3"/>
  <c r="O58" i="3"/>
  <c r="P58" i="3"/>
  <c r="Q58" i="3"/>
  <c r="R58" i="3"/>
  <c r="S58" i="3"/>
  <c r="T58" i="3"/>
  <c r="U58" i="3"/>
  <c r="V58" i="3"/>
  <c r="W58" i="3"/>
  <c r="X58" i="3"/>
  <c r="Y58" i="3"/>
  <c r="Z58" i="3"/>
  <c r="AA58" i="3"/>
  <c r="AB58" i="3"/>
  <c r="AC58" i="3"/>
  <c r="AD58" i="3"/>
  <c r="AE58" i="3"/>
  <c r="AF58" i="3"/>
  <c r="AG58" i="3"/>
  <c r="AH58" i="3"/>
  <c r="AI58" i="3"/>
  <c r="AJ58" i="3"/>
  <c r="AK58" i="3"/>
  <c r="AL58" i="3"/>
  <c r="AM58" i="3"/>
  <c r="AN58" i="3"/>
  <c r="AO58" i="3"/>
  <c r="AP58" i="3"/>
  <c r="AQ58" i="3"/>
  <c r="AR58" i="3"/>
  <c r="AS58" i="3"/>
  <c r="AT58" i="3"/>
  <c r="AU58" i="3"/>
  <c r="AV58" i="3"/>
  <c r="AW58" i="3"/>
  <c r="AX58" i="3"/>
  <c r="AY58" i="3"/>
  <c r="C31" i="3"/>
  <c r="D31" i="3"/>
  <c r="E31" i="3"/>
  <c r="F31" i="3"/>
  <c r="G31" i="3"/>
  <c r="H31" i="3"/>
  <c r="I31" i="3"/>
  <c r="J31" i="3"/>
  <c r="K31" i="3"/>
  <c r="L31" i="3"/>
  <c r="M31" i="3"/>
  <c r="N31" i="3"/>
  <c r="O31" i="3"/>
  <c r="P31" i="3"/>
  <c r="Q31" i="3"/>
  <c r="R31" i="3"/>
  <c r="S31" i="3"/>
  <c r="T31" i="3"/>
  <c r="U31" i="3"/>
  <c r="V31" i="3"/>
  <c r="W31" i="3"/>
  <c r="X31" i="3"/>
  <c r="Y31" i="3"/>
  <c r="Z31" i="3"/>
  <c r="AA31" i="3"/>
  <c r="AB31" i="3"/>
  <c r="AC31" i="3"/>
  <c r="AD31" i="3"/>
  <c r="AE31" i="3"/>
  <c r="AF31" i="3"/>
  <c r="AG31" i="3"/>
  <c r="AH31" i="3"/>
  <c r="AI31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V31" i="3"/>
  <c r="AW31" i="3"/>
  <c r="AX31" i="3"/>
  <c r="AY31" i="3"/>
  <c r="C66" i="3"/>
  <c r="D66" i="3"/>
  <c r="E66" i="3"/>
  <c r="F66" i="3"/>
  <c r="G66" i="3"/>
  <c r="H66" i="3"/>
  <c r="I66" i="3"/>
  <c r="J66" i="3"/>
  <c r="K66" i="3"/>
  <c r="L66" i="3"/>
  <c r="M66" i="3"/>
  <c r="N66" i="3"/>
  <c r="O66" i="3"/>
  <c r="P66" i="3"/>
  <c r="Q66" i="3"/>
  <c r="R66" i="3"/>
  <c r="S66" i="3"/>
  <c r="T66" i="3"/>
  <c r="U66" i="3"/>
  <c r="V66" i="3"/>
  <c r="W66" i="3"/>
  <c r="X66" i="3"/>
  <c r="Y66" i="3"/>
  <c r="Z66" i="3"/>
  <c r="AA66" i="3"/>
  <c r="AB66" i="3"/>
  <c r="AC66" i="3"/>
  <c r="AD66" i="3"/>
  <c r="AE66" i="3"/>
  <c r="AF66" i="3"/>
  <c r="AG66" i="3"/>
  <c r="AH66" i="3"/>
  <c r="AI66" i="3"/>
  <c r="AJ66" i="3"/>
  <c r="AK66" i="3"/>
  <c r="AL66" i="3"/>
  <c r="AM66" i="3"/>
  <c r="AN66" i="3"/>
  <c r="AO66" i="3"/>
  <c r="AP66" i="3"/>
  <c r="AQ66" i="3"/>
  <c r="AR66" i="3"/>
  <c r="AS66" i="3"/>
  <c r="AT66" i="3"/>
  <c r="AU66" i="3"/>
  <c r="AV66" i="3"/>
  <c r="AW66" i="3"/>
  <c r="AX66" i="3"/>
  <c r="AY66" i="3"/>
  <c r="C6" i="3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C90" i="3"/>
  <c r="D90" i="3"/>
  <c r="E90" i="3"/>
  <c r="F90" i="3"/>
  <c r="G90" i="3"/>
  <c r="H90" i="3"/>
  <c r="I90" i="3"/>
  <c r="J90" i="3"/>
  <c r="K90" i="3"/>
  <c r="L90" i="3"/>
  <c r="M90" i="3"/>
  <c r="N90" i="3"/>
  <c r="O90" i="3"/>
  <c r="P90" i="3"/>
  <c r="Q90" i="3"/>
  <c r="R90" i="3"/>
  <c r="S90" i="3"/>
  <c r="T90" i="3"/>
  <c r="U90" i="3"/>
  <c r="V90" i="3"/>
  <c r="W90" i="3"/>
  <c r="X90" i="3"/>
  <c r="Y90" i="3"/>
  <c r="Z90" i="3"/>
  <c r="AA90" i="3"/>
  <c r="AB90" i="3"/>
  <c r="AC90" i="3"/>
  <c r="AD90" i="3"/>
  <c r="AE90" i="3"/>
  <c r="AF90" i="3"/>
  <c r="AG90" i="3"/>
  <c r="AH90" i="3"/>
  <c r="AI90" i="3"/>
  <c r="AJ90" i="3"/>
  <c r="AK90" i="3"/>
  <c r="AL90" i="3"/>
  <c r="AM90" i="3"/>
  <c r="AN90" i="3"/>
  <c r="AO90" i="3"/>
  <c r="AP90" i="3"/>
  <c r="AQ90" i="3"/>
  <c r="AR90" i="3"/>
  <c r="AS90" i="3"/>
  <c r="AT90" i="3"/>
  <c r="AU90" i="3"/>
  <c r="AV90" i="3"/>
  <c r="AW90" i="3"/>
  <c r="AX90" i="3"/>
  <c r="AY90" i="3"/>
  <c r="C125" i="3"/>
  <c r="E125" i="14" s="1"/>
  <c r="P125" i="14" s="1"/>
  <c r="D125" i="3"/>
  <c r="E125" i="3"/>
  <c r="F125" i="3"/>
  <c r="G125" i="3"/>
  <c r="H125" i="3"/>
  <c r="I125" i="3"/>
  <c r="J125" i="3"/>
  <c r="K125" i="3"/>
  <c r="L125" i="3"/>
  <c r="M125" i="3"/>
  <c r="N125" i="3"/>
  <c r="O125" i="3"/>
  <c r="P125" i="3"/>
  <c r="Q125" i="3"/>
  <c r="R125" i="3"/>
  <c r="S125" i="3"/>
  <c r="T125" i="3"/>
  <c r="U125" i="3"/>
  <c r="V125" i="3"/>
  <c r="W125" i="3"/>
  <c r="X125" i="3"/>
  <c r="Y125" i="3"/>
  <c r="Z125" i="3"/>
  <c r="AA125" i="3"/>
  <c r="AB125" i="3"/>
  <c r="AC125" i="3"/>
  <c r="AD125" i="3"/>
  <c r="AE125" i="3"/>
  <c r="AF125" i="3"/>
  <c r="AG125" i="3"/>
  <c r="AH125" i="3"/>
  <c r="AI125" i="3"/>
  <c r="AJ125" i="3"/>
  <c r="AK125" i="3"/>
  <c r="AL125" i="3"/>
  <c r="AM125" i="3"/>
  <c r="AN125" i="3"/>
  <c r="AO125" i="3"/>
  <c r="AP125" i="3"/>
  <c r="AQ125" i="3"/>
  <c r="AR125" i="3"/>
  <c r="AS125" i="3"/>
  <c r="AT125" i="3"/>
  <c r="AU125" i="3"/>
  <c r="AV125" i="3"/>
  <c r="AW125" i="3"/>
  <c r="AX125" i="3"/>
  <c r="AY125" i="3"/>
  <c r="C12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AM12" i="3"/>
  <c r="AN12" i="3"/>
  <c r="AO12" i="3"/>
  <c r="AP12" i="3"/>
  <c r="AQ12" i="3"/>
  <c r="AR12" i="3"/>
  <c r="AS12" i="3"/>
  <c r="AT12" i="3"/>
  <c r="AU12" i="3"/>
  <c r="AV12" i="3"/>
  <c r="AW12" i="3"/>
  <c r="AX12" i="3"/>
  <c r="AY12" i="3"/>
  <c r="D45" i="3"/>
  <c r="E45" i="3"/>
  <c r="F45" i="3"/>
  <c r="G45" i="3"/>
  <c r="H45" i="3"/>
  <c r="I45" i="3"/>
  <c r="J45" i="3"/>
  <c r="K45" i="3"/>
  <c r="L45" i="3"/>
  <c r="M45" i="3"/>
  <c r="N45" i="3"/>
  <c r="O45" i="3"/>
  <c r="P45" i="3"/>
  <c r="Q45" i="3"/>
  <c r="R45" i="3"/>
  <c r="S45" i="3"/>
  <c r="T45" i="3"/>
  <c r="U45" i="3"/>
  <c r="V45" i="3"/>
  <c r="W45" i="3"/>
  <c r="X45" i="3"/>
  <c r="Y45" i="3"/>
  <c r="Z45" i="3"/>
  <c r="AA45" i="3"/>
  <c r="AB45" i="3"/>
  <c r="AC45" i="3"/>
  <c r="AD45" i="3"/>
  <c r="AE45" i="3"/>
  <c r="AF45" i="3"/>
  <c r="AG45" i="3"/>
  <c r="AH45" i="3"/>
  <c r="AI45" i="3"/>
  <c r="AJ45" i="3"/>
  <c r="AK45" i="3"/>
  <c r="AL45" i="3"/>
  <c r="AM45" i="3"/>
  <c r="AN45" i="3"/>
  <c r="AO45" i="3"/>
  <c r="AP45" i="3"/>
  <c r="AQ45" i="3"/>
  <c r="AR45" i="3"/>
  <c r="AS45" i="3"/>
  <c r="AT45" i="3"/>
  <c r="AU45" i="3"/>
  <c r="AV45" i="3"/>
  <c r="AW45" i="3"/>
  <c r="AX45" i="3"/>
  <c r="AY45" i="3"/>
  <c r="C45" i="3"/>
  <c r="A8" i="8" l="1"/>
  <c r="E114" i="14"/>
  <c r="P114" i="14" s="1"/>
  <c r="E113" i="14"/>
  <c r="P113" i="14" s="1"/>
  <c r="E116" i="14"/>
  <c r="P116" i="14" s="1"/>
  <c r="E16" i="14"/>
  <c r="P16" i="14" s="1"/>
  <c r="E103" i="14"/>
  <c r="P103" i="14" s="1"/>
  <c r="E101" i="14"/>
  <c r="P101" i="14" s="1"/>
  <c r="E93" i="14"/>
  <c r="P93" i="14" s="1"/>
  <c r="E95" i="14"/>
  <c r="P95" i="14" s="1"/>
  <c r="E50" i="14"/>
  <c r="P50" i="14" s="1"/>
  <c r="E90" i="14"/>
  <c r="P90" i="14" s="1"/>
  <c r="E37" i="14"/>
  <c r="P37" i="14" s="1"/>
  <c r="E48" i="14"/>
  <c r="P48" i="14" s="1"/>
  <c r="E80" i="14"/>
  <c r="P80" i="14" s="1"/>
  <c r="E44" i="14"/>
  <c r="P44" i="14" s="1"/>
  <c r="E32" i="14"/>
  <c r="P32" i="14" s="1"/>
  <c r="E7" i="14"/>
  <c r="P7" i="14" s="1"/>
  <c r="E71" i="14"/>
  <c r="P71" i="14" s="1"/>
  <c r="E18" i="14"/>
  <c r="P18" i="14" s="1"/>
  <c r="E83" i="14"/>
  <c r="P83" i="14" s="1"/>
  <c r="E25" i="14"/>
  <c r="P25" i="14" s="1"/>
  <c r="E6" i="14"/>
  <c r="P6" i="14" s="1"/>
  <c r="E42" i="14"/>
  <c r="P42" i="14" s="1"/>
  <c r="E61" i="14"/>
  <c r="P61" i="14" s="1"/>
  <c r="E94" i="14"/>
  <c r="P94" i="14" s="1"/>
  <c r="E72" i="14"/>
  <c r="P72" i="14" s="1"/>
  <c r="E3" i="14"/>
  <c r="P3" i="14" s="1"/>
  <c r="E69" i="14"/>
  <c r="P69" i="14" s="1"/>
  <c r="E92" i="14"/>
  <c r="P92" i="14" s="1"/>
  <c r="E68" i="14"/>
  <c r="P68" i="14" s="1"/>
  <c r="E104" i="14"/>
  <c r="P104" i="14" s="1"/>
  <c r="E59" i="14"/>
  <c r="P59" i="14" s="1"/>
  <c r="E38" i="14"/>
  <c r="P38" i="14" s="1"/>
  <c r="E96" i="14"/>
  <c r="P96" i="14" s="1"/>
  <c r="E10" i="14"/>
  <c r="P10" i="14" s="1"/>
  <c r="E88" i="14"/>
  <c r="P88" i="14" s="1"/>
  <c r="E27" i="14"/>
  <c r="P27" i="14" s="1"/>
  <c r="E13" i="14"/>
  <c r="P13" i="14" s="1"/>
  <c r="E67" i="14"/>
  <c r="P67" i="14" s="1"/>
  <c r="E57" i="14"/>
  <c r="P57" i="14" s="1"/>
  <c r="E31" i="14"/>
  <c r="P31" i="14" s="1"/>
  <c r="E36" i="14"/>
  <c r="P36" i="14" s="1"/>
  <c r="E63" i="14"/>
  <c r="P63" i="14" s="1"/>
  <c r="E5" i="14"/>
  <c r="P5" i="14" s="1"/>
  <c r="E35" i="14"/>
  <c r="P35" i="14" s="1"/>
  <c r="E8" i="14"/>
  <c r="P8" i="14" s="1"/>
  <c r="E30" i="14"/>
  <c r="P30" i="14" s="1"/>
  <c r="E78" i="14"/>
  <c r="P78" i="14" s="1"/>
  <c r="E2" i="14"/>
  <c r="P2" i="14" s="1"/>
  <c r="E53" i="14"/>
  <c r="P53" i="14" s="1"/>
  <c r="E26" i="14"/>
  <c r="P26" i="14" s="1"/>
  <c r="E110" i="14"/>
  <c r="P110" i="14" s="1"/>
  <c r="E9" i="14"/>
  <c r="P9" i="14" s="1"/>
  <c r="E81" i="14"/>
  <c r="P81" i="14" s="1"/>
  <c r="E51" i="14"/>
  <c r="P51" i="14" s="1"/>
  <c r="E14" i="14"/>
  <c r="P14" i="14" s="1"/>
  <c r="E58" i="14"/>
  <c r="P58" i="14" s="1"/>
  <c r="E60" i="14"/>
  <c r="P60" i="14" s="1"/>
  <c r="E86" i="14"/>
  <c r="P86" i="14" s="1"/>
  <c r="E23" i="14"/>
  <c r="P23" i="14" s="1"/>
  <c r="E34" i="14"/>
  <c r="P34" i="14" s="1"/>
  <c r="E28" i="14"/>
  <c r="P28" i="14" s="1"/>
  <c r="E75" i="14"/>
  <c r="P75" i="14" s="1"/>
  <c r="E52" i="14"/>
  <c r="P52" i="14" s="1"/>
  <c r="E29" i="14"/>
  <c r="E74" i="14"/>
  <c r="P74" i="14" s="1"/>
  <c r="E64" i="14"/>
  <c r="P64" i="14" s="1"/>
  <c r="E47" i="14"/>
  <c r="P47" i="14" s="1"/>
  <c r="E39" i="14"/>
  <c r="P39" i="14" s="1"/>
  <c r="E66" i="14"/>
  <c r="P66" i="14" s="1"/>
  <c r="E45" i="14"/>
  <c r="P45" i="14" s="1"/>
  <c r="E22" i="14"/>
  <c r="P22" i="14" s="1"/>
  <c r="E20" i="14"/>
  <c r="P20" i="14" s="1"/>
  <c r="E70" i="14"/>
  <c r="P70" i="14" s="1"/>
  <c r="E55" i="14"/>
  <c r="P55" i="14" s="1"/>
  <c r="E98" i="14"/>
  <c r="P98" i="14" s="1"/>
  <c r="E4" i="14"/>
  <c r="E77" i="14"/>
  <c r="P77" i="14" s="1"/>
  <c r="E19" i="14"/>
  <c r="P19" i="14" s="1"/>
  <c r="E56" i="14"/>
  <c r="P56" i="14" s="1"/>
  <c r="E15" i="14"/>
  <c r="P15" i="14" s="1"/>
  <c r="E102" i="14"/>
  <c r="P102" i="14" s="1"/>
  <c r="E73" i="14"/>
  <c r="P73" i="14" s="1"/>
  <c r="E49" i="14"/>
  <c r="P49" i="14" s="1"/>
  <c r="E76" i="14"/>
  <c r="P76" i="14" s="1"/>
  <c r="E40" i="14"/>
  <c r="E79" i="14"/>
  <c r="P79" i="14" s="1"/>
  <c r="E41" i="14"/>
  <c r="P41" i="14" s="1"/>
  <c r="E12" i="14"/>
  <c r="P12" i="14" s="1"/>
  <c r="E54" i="14"/>
  <c r="P54" i="14" s="1"/>
  <c r="E33" i="14"/>
  <c r="P33" i="14" s="1"/>
  <c r="E11" i="14"/>
  <c r="P11" i="14" s="1"/>
  <c r="E87" i="14"/>
  <c r="P87" i="14" s="1"/>
  <c r="E120" i="14"/>
  <c r="P120" i="14" s="1"/>
  <c r="E46" i="14"/>
  <c r="P46" i="14" s="1"/>
  <c r="E43" i="14"/>
  <c r="P43" i="14" s="1"/>
  <c r="E24" i="14"/>
  <c r="P24" i="14" s="1"/>
  <c r="E21" i="14"/>
  <c r="P21" i="14" s="1"/>
  <c r="D2" i="8"/>
  <c r="AI129" i="3"/>
  <c r="AM133" i="3"/>
  <c r="AR129" i="3"/>
  <c r="AJ129" i="3"/>
  <c r="AB129" i="3"/>
  <c r="T129" i="3"/>
  <c r="L129" i="3"/>
  <c r="D129" i="3"/>
  <c r="AV133" i="3"/>
  <c r="AN133" i="3"/>
  <c r="AF133" i="3"/>
  <c r="X133" i="3"/>
  <c r="P133" i="3"/>
  <c r="H133" i="3"/>
  <c r="AX132" i="3"/>
  <c r="AP132" i="3"/>
  <c r="AH132" i="3"/>
  <c r="Z132" i="3"/>
  <c r="R132" i="3"/>
  <c r="J132" i="3"/>
  <c r="AU128" i="3"/>
  <c r="AM128" i="3"/>
  <c r="AE128" i="3"/>
  <c r="W128" i="3"/>
  <c r="O128" i="3"/>
  <c r="G128" i="3"/>
  <c r="AV131" i="3"/>
  <c r="AN131" i="3"/>
  <c r="AF131" i="3"/>
  <c r="X131" i="3"/>
  <c r="P131" i="3"/>
  <c r="H131" i="3"/>
  <c r="AY130" i="3"/>
  <c r="AQ130" i="3"/>
  <c r="AI130" i="3"/>
  <c r="AA130" i="3"/>
  <c r="S130" i="3"/>
  <c r="K130" i="3"/>
  <c r="C130" i="3"/>
  <c r="S129" i="3"/>
  <c r="W133" i="3"/>
  <c r="AG132" i="3"/>
  <c r="I132" i="3"/>
  <c r="AD128" i="3"/>
  <c r="N128" i="3"/>
  <c r="AU131" i="3"/>
  <c r="AM131" i="3"/>
  <c r="AE131" i="3"/>
  <c r="W131" i="3"/>
  <c r="O131" i="3"/>
  <c r="G131" i="3"/>
  <c r="BB129" i="3"/>
  <c r="AX130" i="3"/>
  <c r="AP130" i="3"/>
  <c r="AH130" i="3"/>
  <c r="Z130" i="3"/>
  <c r="R130" i="3"/>
  <c r="J130" i="3"/>
  <c r="AO132" i="3"/>
  <c r="Q132" i="3"/>
  <c r="AL128" i="3"/>
  <c r="F128" i="3"/>
  <c r="AX129" i="3"/>
  <c r="AP129" i="3"/>
  <c r="AH129" i="3"/>
  <c r="Z129" i="3"/>
  <c r="R129" i="3"/>
  <c r="J129" i="3"/>
  <c r="AT133" i="3"/>
  <c r="AL133" i="3"/>
  <c r="AD133" i="3"/>
  <c r="V133" i="3"/>
  <c r="N133" i="3"/>
  <c r="F133" i="3"/>
  <c r="AV132" i="3"/>
  <c r="AN132" i="3"/>
  <c r="AF132" i="3"/>
  <c r="X132" i="3"/>
  <c r="P132" i="3"/>
  <c r="H132" i="3"/>
  <c r="AS128" i="3"/>
  <c r="AK128" i="3"/>
  <c r="AC128" i="3"/>
  <c r="U128" i="3"/>
  <c r="M128" i="3"/>
  <c r="E128" i="3"/>
  <c r="AT131" i="3"/>
  <c r="AL131" i="3"/>
  <c r="AD131" i="3"/>
  <c r="V131" i="3"/>
  <c r="N131" i="3"/>
  <c r="F131" i="3"/>
  <c r="BB128" i="3"/>
  <c r="AW130" i="3"/>
  <c r="AO130" i="3"/>
  <c r="AG130" i="3"/>
  <c r="Y130" i="3"/>
  <c r="Q130" i="3"/>
  <c r="I130" i="3"/>
  <c r="K129" i="3"/>
  <c r="G133" i="3"/>
  <c r="AW132" i="3"/>
  <c r="Y132" i="3"/>
  <c r="AT128" i="3"/>
  <c r="V128" i="3"/>
  <c r="AW129" i="3"/>
  <c r="AO129" i="3"/>
  <c r="AG129" i="3"/>
  <c r="Y129" i="3"/>
  <c r="Q129" i="3"/>
  <c r="I129" i="3"/>
  <c r="AS133" i="3"/>
  <c r="AK133" i="3"/>
  <c r="AC133" i="3"/>
  <c r="U133" i="3"/>
  <c r="M133" i="3"/>
  <c r="E133" i="3"/>
  <c r="AU132" i="3"/>
  <c r="AM132" i="3"/>
  <c r="AE132" i="3"/>
  <c r="W132" i="3"/>
  <c r="O132" i="3"/>
  <c r="G132" i="3"/>
  <c r="AR128" i="3"/>
  <c r="AJ128" i="3"/>
  <c r="AB128" i="3"/>
  <c r="T128" i="3"/>
  <c r="L128" i="3"/>
  <c r="D128" i="3"/>
  <c r="AS131" i="3"/>
  <c r="AK131" i="3"/>
  <c r="AC131" i="3"/>
  <c r="U131" i="3"/>
  <c r="M131" i="3"/>
  <c r="E131" i="3"/>
  <c r="AZ129" i="3"/>
  <c r="BB132" i="3"/>
  <c r="BA128" i="3"/>
  <c r="AV130" i="3"/>
  <c r="AN130" i="3"/>
  <c r="AF130" i="3"/>
  <c r="X130" i="3"/>
  <c r="P130" i="3"/>
  <c r="H130" i="3"/>
  <c r="C129" i="3"/>
  <c r="O133" i="3"/>
  <c r="AV129" i="3"/>
  <c r="AN129" i="3"/>
  <c r="AF129" i="3"/>
  <c r="X129" i="3"/>
  <c r="P129" i="3"/>
  <c r="H129" i="3"/>
  <c r="AR133" i="3"/>
  <c r="AJ133" i="3"/>
  <c r="AB133" i="3"/>
  <c r="T133" i="3"/>
  <c r="L133" i="3"/>
  <c r="D133" i="3"/>
  <c r="AT132" i="3"/>
  <c r="AL132" i="3"/>
  <c r="AD132" i="3"/>
  <c r="V132" i="3"/>
  <c r="N132" i="3"/>
  <c r="F132" i="3"/>
  <c r="AY128" i="3"/>
  <c r="AQ128" i="3"/>
  <c r="AI128" i="3"/>
  <c r="AA128" i="3"/>
  <c r="S128" i="3"/>
  <c r="K128" i="3"/>
  <c r="C128" i="3"/>
  <c r="AR131" i="3"/>
  <c r="AJ131" i="3"/>
  <c r="AB131" i="3"/>
  <c r="T131" i="3"/>
  <c r="L131" i="3"/>
  <c r="D131" i="3"/>
  <c r="BA132" i="3"/>
  <c r="AZ128" i="3"/>
  <c r="AU130" i="3"/>
  <c r="AM130" i="3"/>
  <c r="AE130" i="3"/>
  <c r="W130" i="3"/>
  <c r="O130" i="3"/>
  <c r="G130" i="3"/>
  <c r="BA129" i="3"/>
  <c r="AA129" i="3"/>
  <c r="AE133" i="3"/>
  <c r="AU129" i="3"/>
  <c r="AM129" i="3"/>
  <c r="AE129" i="3"/>
  <c r="W129" i="3"/>
  <c r="O129" i="3"/>
  <c r="G129" i="3"/>
  <c r="AY133" i="3"/>
  <c r="AQ133" i="3"/>
  <c r="AI133" i="3"/>
  <c r="AA133" i="3"/>
  <c r="S133" i="3"/>
  <c r="K133" i="3"/>
  <c r="C133" i="3"/>
  <c r="AS132" i="3"/>
  <c r="AK132" i="3"/>
  <c r="AC132" i="3"/>
  <c r="U132" i="3"/>
  <c r="M132" i="3"/>
  <c r="E132" i="3"/>
  <c r="AX128" i="3"/>
  <c r="AP128" i="3"/>
  <c r="AH128" i="3"/>
  <c r="Z128" i="3"/>
  <c r="R128" i="3"/>
  <c r="J128" i="3"/>
  <c r="AY131" i="3"/>
  <c r="AQ131" i="3"/>
  <c r="AI131" i="3"/>
  <c r="AA131" i="3"/>
  <c r="S131" i="3"/>
  <c r="K131" i="3"/>
  <c r="C131" i="3"/>
  <c r="BB133" i="3"/>
  <c r="AZ132" i="3"/>
  <c r="BB131" i="3"/>
  <c r="BB130" i="3"/>
  <c r="AT130" i="3"/>
  <c r="AL130" i="3"/>
  <c r="AD130" i="3"/>
  <c r="V130" i="3"/>
  <c r="N130" i="3"/>
  <c r="F130" i="3"/>
  <c r="AY129" i="3"/>
  <c r="AT129" i="3"/>
  <c r="AL129" i="3"/>
  <c r="AD129" i="3"/>
  <c r="V129" i="3"/>
  <c r="N129" i="3"/>
  <c r="F129" i="3"/>
  <c r="AX133" i="3"/>
  <c r="AP133" i="3"/>
  <c r="AH133" i="3"/>
  <c r="Z133" i="3"/>
  <c r="R133" i="3"/>
  <c r="J133" i="3"/>
  <c r="AR132" i="3"/>
  <c r="AJ132" i="3"/>
  <c r="AB132" i="3"/>
  <c r="T132" i="3"/>
  <c r="L132" i="3"/>
  <c r="D132" i="3"/>
  <c r="AW128" i="3"/>
  <c r="AO128" i="3"/>
  <c r="AG128" i="3"/>
  <c r="Y128" i="3"/>
  <c r="Q128" i="3"/>
  <c r="I128" i="3"/>
  <c r="AX131" i="3"/>
  <c r="AP131" i="3"/>
  <c r="AH131" i="3"/>
  <c r="Z131" i="3"/>
  <c r="R131" i="3"/>
  <c r="J131" i="3"/>
  <c r="BA133" i="3"/>
  <c r="BA131" i="3"/>
  <c r="BA130" i="3"/>
  <c r="AS130" i="3"/>
  <c r="AK130" i="3"/>
  <c r="AC130" i="3"/>
  <c r="U130" i="3"/>
  <c r="M130" i="3"/>
  <c r="E130" i="3"/>
  <c r="AQ129" i="3"/>
  <c r="AU133" i="3"/>
  <c r="AS129" i="3"/>
  <c r="AK129" i="3"/>
  <c r="AC129" i="3"/>
  <c r="U129" i="3"/>
  <c r="M129" i="3"/>
  <c r="E129" i="3"/>
  <c r="AW133" i="3"/>
  <c r="AO133" i="3"/>
  <c r="AG133" i="3"/>
  <c r="Y133" i="3"/>
  <c r="Q133" i="3"/>
  <c r="I133" i="3"/>
  <c r="AY132" i="3"/>
  <c r="AQ132" i="3"/>
  <c r="AI132" i="3"/>
  <c r="AA132" i="3"/>
  <c r="S132" i="3"/>
  <c r="K132" i="3"/>
  <c r="C132" i="3"/>
  <c r="AV128" i="3"/>
  <c r="AN128" i="3"/>
  <c r="AF128" i="3"/>
  <c r="X128" i="3"/>
  <c r="P128" i="3"/>
  <c r="H128" i="3"/>
  <c r="AW131" i="3"/>
  <c r="AO131" i="3"/>
  <c r="AG131" i="3"/>
  <c r="Y131" i="3"/>
  <c r="Q131" i="3"/>
  <c r="I131" i="3"/>
  <c r="AZ133" i="3"/>
  <c r="AZ131" i="3"/>
  <c r="AZ130" i="3"/>
  <c r="AR130" i="3"/>
  <c r="AJ130" i="3"/>
  <c r="AB130" i="3"/>
  <c r="T130" i="3"/>
  <c r="L130" i="3"/>
  <c r="D130" i="3"/>
  <c r="AU127" i="3"/>
  <c r="AM127" i="3"/>
  <c r="AE127" i="3"/>
  <c r="W127" i="3"/>
  <c r="O127" i="3"/>
  <c r="G127" i="3"/>
  <c r="AT127" i="3"/>
  <c r="AL127" i="3"/>
  <c r="AD127" i="3"/>
  <c r="V127" i="3"/>
  <c r="N127" i="3"/>
  <c r="F127" i="3"/>
  <c r="AS127" i="3"/>
  <c r="AK127" i="3"/>
  <c r="AC127" i="3"/>
  <c r="U127" i="3"/>
  <c r="M127" i="3"/>
  <c r="E127" i="3"/>
  <c r="BB127" i="3"/>
  <c r="AR127" i="3"/>
  <c r="AJ127" i="3"/>
  <c r="AB127" i="3"/>
  <c r="T127" i="3"/>
  <c r="L127" i="3"/>
  <c r="D127" i="3"/>
  <c r="BA127" i="3"/>
  <c r="AY127" i="3"/>
  <c r="AQ127" i="3"/>
  <c r="AI127" i="3"/>
  <c r="AA127" i="3"/>
  <c r="S127" i="3"/>
  <c r="K127" i="3"/>
  <c r="C127" i="3"/>
  <c r="AZ127" i="3"/>
  <c r="AX127" i="3"/>
  <c r="AP127" i="3"/>
  <c r="AH127" i="3"/>
  <c r="Z127" i="3"/>
  <c r="R127" i="3"/>
  <c r="J127" i="3"/>
  <c r="AW127" i="3"/>
  <c r="AO127" i="3"/>
  <c r="AG127" i="3"/>
  <c r="Y127" i="3"/>
  <c r="Q127" i="3"/>
  <c r="I127" i="3"/>
  <c r="AV127" i="3"/>
  <c r="AN127" i="3"/>
  <c r="AF127" i="3"/>
  <c r="X127" i="3"/>
  <c r="P127" i="3"/>
  <c r="H127" i="3"/>
  <c r="I13" i="13"/>
  <c r="J5" i="13"/>
  <c r="P17" i="14"/>
  <c r="F15" i="14"/>
  <c r="M15" i="14" s="1"/>
  <c r="F125" i="14"/>
  <c r="M125" i="14" s="1"/>
  <c r="F81" i="14"/>
  <c r="M81" i="14" s="1"/>
  <c r="F47" i="14"/>
  <c r="F76" i="14"/>
  <c r="M76" i="14" s="1"/>
  <c r="F88" i="14"/>
  <c r="M88" i="14" s="1"/>
  <c r="F122" i="14"/>
  <c r="M122" i="14" s="1"/>
  <c r="F16" i="14"/>
  <c r="M16" i="14" s="1"/>
  <c r="F39" i="14"/>
  <c r="F25" i="14"/>
  <c r="M25" i="14" s="1"/>
  <c r="F40" i="14"/>
  <c r="F57" i="14"/>
  <c r="M57" i="14" s="1"/>
  <c r="F24" i="14"/>
  <c r="M24" i="14" s="1"/>
  <c r="F100" i="14"/>
  <c r="M100" i="14" s="1"/>
  <c r="F21" i="14"/>
  <c r="M21" i="14" s="1"/>
  <c r="F85" i="14"/>
  <c r="M85" i="14" s="1"/>
  <c r="F90" i="14"/>
  <c r="M90" i="14" s="1"/>
  <c r="F37" i="14"/>
  <c r="F48" i="14"/>
  <c r="F109" i="14"/>
  <c r="M109" i="14" s="1"/>
  <c r="F80" i="14"/>
  <c r="M80" i="14" s="1"/>
  <c r="F44" i="14"/>
  <c r="F84" i="14"/>
  <c r="M84" i="14" s="1"/>
  <c r="F32" i="14"/>
  <c r="M32" i="14" s="1"/>
  <c r="F7" i="14"/>
  <c r="M7" i="14" s="1"/>
  <c r="F71" i="14"/>
  <c r="F114" i="14"/>
  <c r="M114" i="14" s="1"/>
  <c r="F105" i="14"/>
  <c r="M105" i="14" s="1"/>
  <c r="F112" i="14"/>
  <c r="M112" i="14" s="1"/>
  <c r="F103" i="14"/>
  <c r="M103" i="14" s="1"/>
  <c r="F9" i="14"/>
  <c r="M9" i="14" s="1"/>
  <c r="F6" i="14"/>
  <c r="M6" i="14" s="1"/>
  <c r="F42" i="14"/>
  <c r="F61" i="14"/>
  <c r="F94" i="14"/>
  <c r="M94" i="14" s="1"/>
  <c r="F101" i="14"/>
  <c r="M101" i="14" s="1"/>
  <c r="F72" i="14"/>
  <c r="F3" i="14"/>
  <c r="M3" i="14" s="1"/>
  <c r="F69" i="14"/>
  <c r="M69" i="14" s="1"/>
  <c r="F65" i="14"/>
  <c r="M65" i="14" s="1"/>
  <c r="F92" i="14"/>
  <c r="M92" i="14" s="1"/>
  <c r="F68" i="14"/>
  <c r="M68" i="14" s="1"/>
  <c r="F91" i="14"/>
  <c r="M91" i="14" s="1"/>
  <c r="F18" i="14"/>
  <c r="M18" i="14" s="1"/>
  <c r="F83" i="14"/>
  <c r="M83" i="14" s="1"/>
  <c r="F66" i="14"/>
  <c r="F51" i="14"/>
  <c r="F89" i="14"/>
  <c r="M89" i="14" s="1"/>
  <c r="F14" i="14"/>
  <c r="M14" i="14" s="1"/>
  <c r="F79" i="14"/>
  <c r="M79" i="14" s="1"/>
  <c r="F41" i="14"/>
  <c r="F27" i="14"/>
  <c r="M27" i="14" s="1"/>
  <c r="F107" i="14"/>
  <c r="M107" i="14" s="1"/>
  <c r="F93" i="14"/>
  <c r="M93" i="14" s="1"/>
  <c r="F13" i="14"/>
  <c r="M13" i="14" s="1"/>
  <c r="F106" i="14"/>
  <c r="M106" i="14" s="1"/>
  <c r="F104" i="14"/>
  <c r="M104" i="14" s="1"/>
  <c r="F62" i="14"/>
  <c r="M62" i="14" s="1"/>
  <c r="F59" i="14"/>
  <c r="M59" i="14" s="1"/>
  <c r="F102" i="14"/>
  <c r="M102" i="14" s="1"/>
  <c r="F73" i="14"/>
  <c r="M73" i="14" s="1"/>
  <c r="F49" i="14"/>
  <c r="F31" i="14"/>
  <c r="M31" i="14" s="1"/>
  <c r="F36" i="14"/>
  <c r="M36" i="14" s="1"/>
  <c r="F63" i="14"/>
  <c r="M63" i="14" s="1"/>
  <c r="F124" i="14"/>
  <c r="M124" i="14" s="1"/>
  <c r="F82" i="14"/>
  <c r="M82" i="14" s="1"/>
  <c r="F5" i="14"/>
  <c r="M5" i="14" s="1"/>
  <c r="F35" i="14"/>
  <c r="M35" i="14" s="1"/>
  <c r="F119" i="14"/>
  <c r="M119" i="14" s="1"/>
  <c r="F8" i="14"/>
  <c r="M8" i="14" s="1"/>
  <c r="F30" i="14"/>
  <c r="M30" i="14" s="1"/>
  <c r="F78" i="14"/>
  <c r="M78" i="14" s="1"/>
  <c r="F67" i="14"/>
  <c r="F99" i="14"/>
  <c r="M99" i="14" s="1"/>
  <c r="F111" i="14"/>
  <c r="M111" i="14" s="1"/>
  <c r="F58" i="14"/>
  <c r="F95" i="14"/>
  <c r="M95" i="14" s="1"/>
  <c r="F60" i="14"/>
  <c r="M60" i="14" s="1"/>
  <c r="F86" i="14"/>
  <c r="M86" i="14" s="1"/>
  <c r="F23" i="14"/>
  <c r="M23" i="14" s="1"/>
  <c r="F121" i="14"/>
  <c r="M121" i="14" s="1"/>
  <c r="F34" i="14"/>
  <c r="F118" i="14"/>
  <c r="M118" i="14" s="1"/>
  <c r="F28" i="14"/>
  <c r="M28" i="14" s="1"/>
  <c r="F75" i="14"/>
  <c r="F2" i="14"/>
  <c r="M2" i="14" s="1"/>
  <c r="F53" i="14"/>
  <c r="M53" i="14" s="1"/>
  <c r="F26" i="14"/>
  <c r="F110" i="14"/>
  <c r="M110" i="14" s="1"/>
  <c r="F50" i="14"/>
  <c r="M50" i="14" s="1"/>
  <c r="F45" i="14"/>
  <c r="F22" i="14"/>
  <c r="M22" i="14" s="1"/>
  <c r="F20" i="14"/>
  <c r="M20" i="14" s="1"/>
  <c r="F70" i="14"/>
  <c r="M70" i="14" s="1"/>
  <c r="F123" i="14"/>
  <c r="M123" i="14" s="1"/>
  <c r="F55" i="14"/>
  <c r="F98" i="14"/>
  <c r="M98" i="14" s="1"/>
  <c r="F4" i="14"/>
  <c r="M4" i="14" s="1"/>
  <c r="F117" i="14"/>
  <c r="M117" i="14" s="1"/>
  <c r="F115" i="14"/>
  <c r="M115" i="14" s="1"/>
  <c r="F97" i="14"/>
  <c r="M97" i="14" s="1"/>
  <c r="F52" i="14"/>
  <c r="F29" i="14"/>
  <c r="M29" i="14" s="1"/>
  <c r="F74" i="14"/>
  <c r="M74" i="14" s="1"/>
  <c r="F64" i="14"/>
  <c r="M64" i="14" s="1"/>
  <c r="F12" i="14"/>
  <c r="M12" i="14" s="1"/>
  <c r="F54" i="14"/>
  <c r="M54" i="14" s="1"/>
  <c r="F33" i="14"/>
  <c r="M33" i="14" s="1"/>
  <c r="F11" i="14"/>
  <c r="M11" i="14" s="1"/>
  <c r="F108" i="14"/>
  <c r="M108" i="14" s="1"/>
  <c r="F87" i="14"/>
  <c r="M87" i="14" s="1"/>
  <c r="F120" i="14"/>
  <c r="M120" i="14" s="1"/>
  <c r="F46" i="14"/>
  <c r="F116" i="14"/>
  <c r="M116" i="14" s="1"/>
  <c r="F43" i="14"/>
  <c r="M43" i="14" s="1"/>
  <c r="F17" i="14"/>
  <c r="M17" i="14" s="1"/>
  <c r="F113" i="14"/>
  <c r="M113" i="14" s="1"/>
  <c r="F77" i="14"/>
  <c r="M77" i="14" s="1"/>
  <c r="F19" i="14"/>
  <c r="M19" i="14" s="1"/>
  <c r="F56" i="14"/>
  <c r="M56" i="14" s="1"/>
  <c r="F38" i="14"/>
  <c r="F96" i="14"/>
  <c r="M96" i="14" s="1"/>
  <c r="F10" i="14"/>
  <c r="M10" i="14" s="1"/>
  <c r="K1" i="8"/>
  <c r="K4" i="13"/>
  <c r="A9" i="8" l="1"/>
  <c r="E127" i="14"/>
  <c r="P127" i="14" s="1"/>
  <c r="C15" i="13"/>
  <c r="C36" i="15" s="1"/>
  <c r="E128" i="14"/>
  <c r="P128" i="14" s="1"/>
  <c r="E133" i="14"/>
  <c r="P133" i="14" s="1"/>
  <c r="E130" i="14"/>
  <c r="P130" i="14" s="1"/>
  <c r="E131" i="14"/>
  <c r="P131" i="14" s="1"/>
  <c r="E132" i="14"/>
  <c r="P132" i="14" s="1"/>
  <c r="E129" i="14"/>
  <c r="P129" i="14" s="1"/>
  <c r="P29" i="14"/>
  <c r="P4" i="14"/>
  <c r="P40" i="14"/>
  <c r="J13" i="13"/>
  <c r="K5" i="13"/>
  <c r="D33" i="20"/>
  <c r="M66" i="14"/>
  <c r="D25" i="20"/>
  <c r="M45" i="14"/>
  <c r="D63" i="20"/>
  <c r="M75" i="14"/>
  <c r="D20" i="20"/>
  <c r="M67" i="14"/>
  <c r="D56" i="20"/>
  <c r="M41" i="14"/>
  <c r="D19" i="20"/>
  <c r="M71" i="14"/>
  <c r="D44" i="20"/>
  <c r="M52" i="14"/>
  <c r="D24" i="20"/>
  <c r="M55" i="14"/>
  <c r="D6" i="20"/>
  <c r="M47" i="14"/>
  <c r="D39" i="20"/>
  <c r="M49" i="14"/>
  <c r="D37" i="20"/>
  <c r="M72" i="14"/>
  <c r="D43" i="20"/>
  <c r="M48" i="14"/>
  <c r="D10" i="20"/>
  <c r="M39" i="14"/>
  <c r="D26" i="20"/>
  <c r="M46" i="14"/>
  <c r="D55" i="20"/>
  <c r="M26" i="14"/>
  <c r="D12" i="20"/>
  <c r="M34" i="14"/>
  <c r="D30" i="20"/>
  <c r="M37" i="14"/>
  <c r="D28" i="20"/>
  <c r="M58" i="14"/>
  <c r="D16" i="20"/>
  <c r="M61" i="14"/>
  <c r="D47" i="20"/>
  <c r="M38" i="14"/>
  <c r="D4" i="20"/>
  <c r="M51" i="14"/>
  <c r="D51" i="20"/>
  <c r="M42" i="14"/>
  <c r="D50" i="20"/>
  <c r="M44" i="14"/>
  <c r="D21" i="20"/>
  <c r="M40" i="14"/>
  <c r="D53" i="20"/>
  <c r="D42" i="20"/>
  <c r="L1" i="8"/>
  <c r="L4" i="13"/>
  <c r="C9" i="13" l="1"/>
  <c r="X6" i="13" s="1"/>
  <c r="A10" i="8"/>
  <c r="E4" i="20"/>
  <c r="G3" i="13"/>
  <c r="G25" i="13" s="1"/>
  <c r="K13" i="13"/>
  <c r="L5" i="13"/>
  <c r="E21" i="20"/>
  <c r="E47" i="20"/>
  <c r="E12" i="20"/>
  <c r="E53" i="20"/>
  <c r="E30" i="20"/>
  <c r="E6" i="20"/>
  <c r="E10" i="20"/>
  <c r="E56" i="20"/>
  <c r="E33" i="20"/>
  <c r="E20" i="20"/>
  <c r="E24" i="20"/>
  <c r="E43" i="20"/>
  <c r="E16" i="20"/>
  <c r="E55" i="20"/>
  <c r="E37" i="20"/>
  <c r="E44" i="20"/>
  <c r="E63" i="20"/>
  <c r="E50" i="20"/>
  <c r="E42" i="20"/>
  <c r="E51" i="20"/>
  <c r="E28" i="20"/>
  <c r="E26" i="20"/>
  <c r="E39" i="20"/>
  <c r="E19" i="20"/>
  <c r="E25" i="20"/>
  <c r="M1" i="8"/>
  <c r="M4" i="13"/>
  <c r="J6" i="13" l="1"/>
  <c r="J7" i="13" s="1"/>
  <c r="K6" i="13"/>
  <c r="I6" i="13"/>
  <c r="L6" i="13"/>
  <c r="L7" i="13" s="1"/>
  <c r="H6" i="13"/>
  <c r="G6" i="13"/>
  <c r="A11" i="8"/>
  <c r="G7" i="13"/>
  <c r="L13" i="13"/>
  <c r="M5" i="13"/>
  <c r="M6" i="13"/>
  <c r="N1" i="8"/>
  <c r="N4" i="13"/>
  <c r="H7" i="13" l="1"/>
  <c r="K7" i="13"/>
  <c r="L15" i="13"/>
  <c r="K15" i="13"/>
  <c r="I15" i="13"/>
  <c r="J15" i="13"/>
  <c r="L17" i="13" s="1"/>
  <c r="I7" i="13"/>
  <c r="K8" i="13" s="1"/>
  <c r="A12" i="8"/>
  <c r="M7" i="13"/>
  <c r="H8" i="13"/>
  <c r="I8" i="13"/>
  <c r="L8" i="13"/>
  <c r="M13" i="13"/>
  <c r="M15" i="13"/>
  <c r="M17" i="13" s="1"/>
  <c r="N5" i="13"/>
  <c r="N6" i="13"/>
  <c r="O1" i="8"/>
  <c r="O4" i="13"/>
  <c r="J8" i="13" l="1"/>
  <c r="J14" i="13" s="1"/>
  <c r="K17" i="13"/>
  <c r="M8" i="13"/>
  <c r="A13" i="8"/>
  <c r="M14" i="13"/>
  <c r="H14" i="13"/>
  <c r="I14" i="13"/>
  <c r="L14" i="13"/>
  <c r="N7" i="13"/>
  <c r="N8" i="13" s="1"/>
  <c r="N13" i="13"/>
  <c r="N15" i="13"/>
  <c r="O5" i="13"/>
  <c r="O6" i="13"/>
  <c r="P1" i="8"/>
  <c r="P4" i="13"/>
  <c r="K14" i="13" l="1"/>
  <c r="L16" i="13" s="1"/>
  <c r="A14" i="8"/>
  <c r="N14" i="13"/>
  <c r="N16" i="13" s="1"/>
  <c r="J16" i="13"/>
  <c r="G14" i="13"/>
  <c r="H16" i="13" s="1"/>
  <c r="N17" i="13"/>
  <c r="O7" i="13"/>
  <c r="O8" i="13" s="1"/>
  <c r="O13" i="13"/>
  <c r="O15" i="13"/>
  <c r="P5" i="13"/>
  <c r="P6" i="13"/>
  <c r="Q1" i="8"/>
  <c r="Q4" i="13"/>
  <c r="M16" i="13" l="1"/>
  <c r="K16" i="13"/>
  <c r="A15" i="8"/>
  <c r="I16" i="13"/>
  <c r="G16" i="13"/>
  <c r="O14" i="13"/>
  <c r="O16" i="13" s="1"/>
  <c r="O17" i="13"/>
  <c r="P7" i="13"/>
  <c r="P13" i="13"/>
  <c r="P15" i="13"/>
  <c r="Q5" i="13"/>
  <c r="Q6" i="13"/>
  <c r="R1" i="8"/>
  <c r="R4" i="13"/>
  <c r="A16" i="8" l="1"/>
  <c r="P17" i="13"/>
  <c r="Q7" i="13"/>
  <c r="Q8" i="13" s="1"/>
  <c r="P8" i="13"/>
  <c r="Q13" i="13"/>
  <c r="Q15" i="13"/>
  <c r="R5" i="13"/>
  <c r="R6" i="13"/>
  <c r="S1" i="8"/>
  <c r="S4" i="13"/>
  <c r="A17" i="8" l="1"/>
  <c r="Q14" i="13"/>
  <c r="P14" i="13"/>
  <c r="P16" i="13" s="1"/>
  <c r="Q17" i="13"/>
  <c r="R7" i="13"/>
  <c r="R8" i="13" s="1"/>
  <c r="R13" i="13"/>
  <c r="R15" i="13"/>
  <c r="S5" i="13"/>
  <c r="S6" i="13"/>
  <c r="T1" i="8"/>
  <c r="T4" i="13"/>
  <c r="A18" i="8" l="1"/>
  <c r="Q16" i="13"/>
  <c r="R14" i="13"/>
  <c r="R16" i="13" s="1"/>
  <c r="R17" i="13"/>
  <c r="S7" i="13"/>
  <c r="S8" i="13" s="1"/>
  <c r="S13" i="13"/>
  <c r="S15" i="13"/>
  <c r="T5" i="13"/>
  <c r="T6" i="13"/>
  <c r="U1" i="8"/>
  <c r="U4" i="13"/>
  <c r="A19" i="8" l="1"/>
  <c r="S14" i="13"/>
  <c r="S16" i="13" s="1"/>
  <c r="S17" i="13"/>
  <c r="T7" i="13"/>
  <c r="T8" i="13" s="1"/>
  <c r="T13" i="13"/>
  <c r="T15" i="13"/>
  <c r="U5" i="13"/>
  <c r="U6" i="13"/>
  <c r="V1" i="8"/>
  <c r="V4" i="13"/>
  <c r="A20" i="8" l="1"/>
  <c r="F19" i="8"/>
  <c r="T14" i="13"/>
  <c r="T16" i="13" s="1"/>
  <c r="T17" i="13"/>
  <c r="U7" i="13"/>
  <c r="U8" i="13" s="1"/>
  <c r="U13" i="13"/>
  <c r="U15" i="13"/>
  <c r="V5" i="13"/>
  <c r="V6" i="13"/>
  <c r="W1" i="8"/>
  <c r="W4" i="13"/>
  <c r="A21" i="8" l="1"/>
  <c r="U14" i="13"/>
  <c r="U16" i="13" s="1"/>
  <c r="U17" i="13"/>
  <c r="V7" i="13"/>
  <c r="V13" i="13"/>
  <c r="V15" i="13"/>
  <c r="W5" i="13"/>
  <c r="W6" i="13"/>
  <c r="X1" i="8"/>
  <c r="X4" i="13"/>
  <c r="A22" i="8" l="1"/>
  <c r="V17" i="13"/>
  <c r="V8" i="13"/>
  <c r="W7" i="13"/>
  <c r="W13" i="13"/>
  <c r="W15" i="13"/>
  <c r="X5" i="13"/>
  <c r="Y1" i="8"/>
  <c r="Y4" i="13"/>
  <c r="A23" i="8" l="1"/>
  <c r="F22" i="8"/>
  <c r="V14" i="13"/>
  <c r="W17" i="13"/>
  <c r="X7" i="13"/>
  <c r="X8" i="13" s="1"/>
  <c r="W8" i="13"/>
  <c r="X13" i="13"/>
  <c r="X15" i="13"/>
  <c r="Y5" i="13"/>
  <c r="Y6" i="13"/>
  <c r="Z1" i="8"/>
  <c r="Z4" i="13"/>
  <c r="A24" i="8" l="1"/>
  <c r="F23" i="8"/>
  <c r="E19" i="8"/>
  <c r="G19" i="8" s="1"/>
  <c r="F20" i="8"/>
  <c r="X14" i="13"/>
  <c r="V16" i="13"/>
  <c r="W14" i="13"/>
  <c r="W16" i="13" s="1"/>
  <c r="X17" i="13"/>
  <c r="Y7" i="13"/>
  <c r="Y8" i="13" s="1"/>
  <c r="Y13" i="13"/>
  <c r="Y15" i="13"/>
  <c r="Z5" i="13"/>
  <c r="Z6" i="13"/>
  <c r="AA1" i="8"/>
  <c r="AA4" i="13"/>
  <c r="A25" i="8" l="1"/>
  <c r="E24" i="8"/>
  <c r="G24" i="8" s="1"/>
  <c r="F24" i="8"/>
  <c r="X16" i="13"/>
  <c r="Y14" i="13"/>
  <c r="Y17" i="13"/>
  <c r="Z7" i="13"/>
  <c r="Z13" i="13"/>
  <c r="Z15" i="13"/>
  <c r="AA5" i="13"/>
  <c r="AA6" i="13"/>
  <c r="AB1" i="8"/>
  <c r="AB4" i="13"/>
  <c r="A26" i="8" l="1"/>
  <c r="E25" i="8"/>
  <c r="F25" i="8"/>
  <c r="Y16" i="13"/>
  <c r="Z17" i="13"/>
  <c r="Z8" i="13"/>
  <c r="AA7" i="13"/>
  <c r="AA13" i="13"/>
  <c r="AA15" i="13"/>
  <c r="AB5" i="13"/>
  <c r="AB6" i="13"/>
  <c r="AC1" i="8"/>
  <c r="AC4" i="13"/>
  <c r="G25" i="8" l="1"/>
  <c r="A27" i="8"/>
  <c r="E26" i="8"/>
  <c r="G26" i="8" s="1"/>
  <c r="F26" i="8"/>
  <c r="AA8" i="13"/>
  <c r="AA14" i="13" s="1"/>
  <c r="AB13" i="13"/>
  <c r="Z14" i="13"/>
  <c r="Z16" i="13" s="1"/>
  <c r="AA17" i="13"/>
  <c r="AB7" i="13"/>
  <c r="AB15" i="13"/>
  <c r="AC5" i="13"/>
  <c r="AC13" i="13" s="1"/>
  <c r="AC6" i="13"/>
  <c r="AD1" i="8"/>
  <c r="AD4" i="13"/>
  <c r="E22" i="8" l="1"/>
  <c r="G22" i="8" s="1"/>
  <c r="A28" i="8"/>
  <c r="E27" i="8"/>
  <c r="G27" i="8" s="1"/>
  <c r="F27" i="8"/>
  <c r="AB17" i="13"/>
  <c r="AA16" i="13"/>
  <c r="AB8" i="13"/>
  <c r="AC7" i="13"/>
  <c r="AC15" i="13"/>
  <c r="AD5" i="13"/>
  <c r="AD13" i="13" s="1"/>
  <c r="AD6" i="13"/>
  <c r="AE1" i="8"/>
  <c r="AE4" i="13"/>
  <c r="A29" i="8" l="1"/>
  <c r="E28" i="8"/>
  <c r="F28" i="8"/>
  <c r="AC17" i="13"/>
  <c r="AB14" i="13"/>
  <c r="AC8" i="13"/>
  <c r="AD7" i="13"/>
  <c r="AD15" i="13"/>
  <c r="AE5" i="13"/>
  <c r="AE13" i="13" s="1"/>
  <c r="AE6" i="13"/>
  <c r="AF1" i="8"/>
  <c r="AF4" i="13"/>
  <c r="G28" i="8" l="1"/>
  <c r="A30" i="8"/>
  <c r="E29" i="8"/>
  <c r="F29" i="8"/>
  <c r="AD17" i="13"/>
  <c r="AB16" i="13"/>
  <c r="AC14" i="13"/>
  <c r="AD8" i="13"/>
  <c r="AE7" i="13"/>
  <c r="AE15" i="13"/>
  <c r="AF5" i="13"/>
  <c r="AF13" i="13" s="1"/>
  <c r="AF6" i="13"/>
  <c r="AG1" i="8"/>
  <c r="AG4" i="13"/>
  <c r="G29" i="8" l="1"/>
  <c r="A31" i="8"/>
  <c r="E30" i="8"/>
  <c r="G30" i="8" s="1"/>
  <c r="F30" i="8"/>
  <c r="AC16" i="13"/>
  <c r="AE17" i="13"/>
  <c r="AD14" i="13"/>
  <c r="AF7" i="13"/>
  <c r="AF8" i="13" s="1"/>
  <c r="AE8" i="13"/>
  <c r="AF15" i="13"/>
  <c r="AG5" i="13"/>
  <c r="AG6" i="13"/>
  <c r="AH1" i="8"/>
  <c r="AH4" i="13"/>
  <c r="A32" i="8" l="1"/>
  <c r="E31" i="8"/>
  <c r="F31" i="8"/>
  <c r="AD16" i="13"/>
  <c r="AF17" i="13"/>
  <c r="AF14" i="13"/>
  <c r="AE14" i="13"/>
  <c r="AG7" i="13"/>
  <c r="AG13" i="13"/>
  <c r="AG15" i="13"/>
  <c r="AH5" i="13"/>
  <c r="AH13" i="13" s="1"/>
  <c r="AH6" i="13"/>
  <c r="AI1" i="8"/>
  <c r="AI4" i="13"/>
  <c r="G31" i="8" l="1"/>
  <c r="A33" i="8"/>
  <c r="E32" i="8"/>
  <c r="F32" i="8"/>
  <c r="AG17" i="13"/>
  <c r="AE16" i="13"/>
  <c r="AF16" i="13"/>
  <c r="AH7" i="13"/>
  <c r="AH8" i="13" s="1"/>
  <c r="AG8" i="13"/>
  <c r="AH15" i="13"/>
  <c r="AI5" i="13"/>
  <c r="AI13" i="13" s="1"/>
  <c r="AI6" i="13"/>
  <c r="AJ1" i="8"/>
  <c r="AJ4" i="13"/>
  <c r="G32" i="8" l="1"/>
  <c r="A34" i="8"/>
  <c r="E33" i="8"/>
  <c r="F33" i="8"/>
  <c r="AH17" i="13"/>
  <c r="AH14" i="13"/>
  <c r="AG14" i="13"/>
  <c r="AI7" i="13"/>
  <c r="AI15" i="13"/>
  <c r="AI17" i="13" s="1"/>
  <c r="AJ5" i="13"/>
  <c r="AJ13" i="13" s="1"/>
  <c r="AJ6" i="13"/>
  <c r="AK1" i="8"/>
  <c r="AK4" i="13"/>
  <c r="G33" i="8" l="1"/>
  <c r="A35" i="8"/>
  <c r="E34" i="8"/>
  <c r="F34" i="8"/>
  <c r="AG16" i="13"/>
  <c r="AH16" i="13"/>
  <c r="AI8" i="13"/>
  <c r="AJ7" i="13"/>
  <c r="AJ15" i="13"/>
  <c r="AJ17" i="13" s="1"/>
  <c r="AK5" i="13"/>
  <c r="AK13" i="13" s="1"/>
  <c r="AK6" i="13"/>
  <c r="AL1" i="8"/>
  <c r="AL4" i="13"/>
  <c r="G34" i="8" l="1"/>
  <c r="A36" i="8"/>
  <c r="E35" i="8"/>
  <c r="F35" i="8"/>
  <c r="AI14" i="13"/>
  <c r="AJ8" i="13"/>
  <c r="AK7" i="13"/>
  <c r="AK8" i="13" s="1"/>
  <c r="AL6" i="13"/>
  <c r="AK15" i="13"/>
  <c r="AL5" i="13"/>
  <c r="AM1" i="8"/>
  <c r="AM4" i="13"/>
  <c r="G35" i="8" l="1"/>
  <c r="A37" i="8"/>
  <c r="E36" i="8"/>
  <c r="G36" i="8" s="1"/>
  <c r="F36" i="8"/>
  <c r="AK17" i="13"/>
  <c r="AI16" i="13"/>
  <c r="G15" i="20"/>
  <c r="AK14" i="13"/>
  <c r="AJ14" i="13"/>
  <c r="AL7" i="13"/>
  <c r="AL8" i="13" s="1"/>
  <c r="AL13" i="13"/>
  <c r="AL15" i="13"/>
  <c r="AL17" i="13" s="1"/>
  <c r="AM5" i="13"/>
  <c r="AM13" i="13" s="1"/>
  <c r="AM6" i="13"/>
  <c r="AN1" i="8"/>
  <c r="AN4" i="13"/>
  <c r="A38" i="8" l="1"/>
  <c r="E37" i="8"/>
  <c r="G37" i="8" s="1"/>
  <c r="F37" i="8"/>
  <c r="AJ16" i="13"/>
  <c r="AK16" i="13"/>
  <c r="AM7" i="13"/>
  <c r="AM8" i="13" s="1"/>
  <c r="AM15" i="13"/>
  <c r="AN5" i="13"/>
  <c r="AN6" i="13"/>
  <c r="AO1" i="8"/>
  <c r="AO4" i="13"/>
  <c r="A39" i="8" l="1"/>
  <c r="E38" i="8"/>
  <c r="G38" i="8" s="1"/>
  <c r="F38" i="8"/>
  <c r="AM17" i="13"/>
  <c r="G32" i="20"/>
  <c r="AM14" i="13"/>
  <c r="AL14" i="13"/>
  <c r="AN7" i="13"/>
  <c r="AN8" i="13" s="1"/>
  <c r="AN13" i="13"/>
  <c r="AN15" i="13"/>
  <c r="AO5" i="13"/>
  <c r="AO13" i="13" s="1"/>
  <c r="AO6" i="13"/>
  <c r="AP1" i="8"/>
  <c r="AP4" i="13"/>
  <c r="A40" i="8" l="1"/>
  <c r="E39" i="8"/>
  <c r="F39" i="8"/>
  <c r="AL16" i="13"/>
  <c r="AM16" i="13"/>
  <c r="AN17" i="13"/>
  <c r="AN14" i="13"/>
  <c r="AO7" i="13"/>
  <c r="AO15" i="13"/>
  <c r="AP5" i="13"/>
  <c r="AP6" i="13"/>
  <c r="AQ1" i="8"/>
  <c r="AQ4" i="13"/>
  <c r="G39" i="8" l="1"/>
  <c r="A41" i="8"/>
  <c r="F40" i="8"/>
  <c r="AO17" i="13"/>
  <c r="AN16" i="13"/>
  <c r="AO8" i="13"/>
  <c r="AP7" i="13"/>
  <c r="AP8" i="13" s="1"/>
  <c r="AP13" i="13"/>
  <c r="AP15" i="13"/>
  <c r="AQ5" i="13"/>
  <c r="AQ13" i="13" s="1"/>
  <c r="AQ6" i="13"/>
  <c r="AR1" i="8"/>
  <c r="AR4" i="13"/>
  <c r="A42" i="8" l="1"/>
  <c r="E41" i="8"/>
  <c r="G41" i="8" s="1"/>
  <c r="F41" i="8"/>
  <c r="AP17" i="13"/>
  <c r="AP14" i="13"/>
  <c r="AO14" i="13"/>
  <c r="AQ7" i="13"/>
  <c r="AQ8" i="13" s="1"/>
  <c r="AQ15" i="13"/>
  <c r="AR5" i="13"/>
  <c r="AR6" i="13"/>
  <c r="AS1" i="8"/>
  <c r="E40" i="8" s="1"/>
  <c r="G40" i="8" s="1"/>
  <c r="AS4" i="13"/>
  <c r="A43" i="8" l="1"/>
  <c r="E42" i="8"/>
  <c r="G42" i="8" s="1"/>
  <c r="F42" i="8"/>
  <c r="AP16" i="13"/>
  <c r="AO16" i="13"/>
  <c r="AQ17" i="13"/>
  <c r="AQ14" i="13"/>
  <c r="AR7" i="13"/>
  <c r="AR8" i="13" s="1"/>
  <c r="AR13" i="13"/>
  <c r="AR15" i="13"/>
  <c r="AR17" i="13" s="1"/>
  <c r="AS5" i="13"/>
  <c r="AS13" i="13" s="1"/>
  <c r="AS6" i="13"/>
  <c r="AT1" i="8"/>
  <c r="AT4" i="13"/>
  <c r="A44" i="8" l="1"/>
  <c r="E43" i="8"/>
  <c r="G43" i="8" s="1"/>
  <c r="F43" i="8"/>
  <c r="AQ16" i="13"/>
  <c r="AR14" i="13"/>
  <c r="AS7" i="13"/>
  <c r="AS8" i="13" s="1"/>
  <c r="AS15" i="13"/>
  <c r="AS17" i="13" s="1"/>
  <c r="AT5" i="13"/>
  <c r="AT6" i="13"/>
  <c r="AU1" i="8"/>
  <c r="AU4" i="13"/>
  <c r="A45" i="8" l="1"/>
  <c r="E44" i="8"/>
  <c r="G44" i="8" s="1"/>
  <c r="F44" i="8"/>
  <c r="AR16" i="13"/>
  <c r="AS14" i="13"/>
  <c r="AS16" i="13" s="1"/>
  <c r="AT7" i="13"/>
  <c r="AT13" i="13"/>
  <c r="AT15" i="13"/>
  <c r="AU5" i="13"/>
  <c r="AU6" i="13"/>
  <c r="AV1" i="8"/>
  <c r="AV4" i="13"/>
  <c r="A46" i="8" l="1"/>
  <c r="E45" i="8"/>
  <c r="G45" i="8" s="1"/>
  <c r="F45" i="8"/>
  <c r="AT17" i="13"/>
  <c r="AT8" i="13"/>
  <c r="AU7" i="13"/>
  <c r="AU8" i="13" s="1"/>
  <c r="AU13" i="13"/>
  <c r="AU15" i="13"/>
  <c r="AU17" i="13" s="1"/>
  <c r="AV5" i="13"/>
  <c r="AV13" i="13" s="1"/>
  <c r="AV6" i="13"/>
  <c r="AW1" i="8"/>
  <c r="AW4" i="13"/>
  <c r="A47" i="8" l="1"/>
  <c r="E46" i="8"/>
  <c r="G46" i="8" s="1"/>
  <c r="G29" i="20" s="1"/>
  <c r="F46" i="8"/>
  <c r="AU14" i="13"/>
  <c r="AT14" i="13"/>
  <c r="AV7" i="13"/>
  <c r="AV8" i="13" s="1"/>
  <c r="AV15" i="13"/>
  <c r="AW5" i="13"/>
  <c r="AW6" i="13"/>
  <c r="AX1" i="8"/>
  <c r="G27" i="20"/>
  <c r="AX4" i="13"/>
  <c r="A48" i="8" l="1"/>
  <c r="E47" i="8"/>
  <c r="G47" i="8" s="1"/>
  <c r="F47" i="8"/>
  <c r="AU16" i="13"/>
  <c r="AT16" i="13"/>
  <c r="AV17" i="13"/>
  <c r="AV14" i="13"/>
  <c r="AW7" i="13"/>
  <c r="AW8" i="13" s="1"/>
  <c r="AW13" i="13"/>
  <c r="AW15" i="13"/>
  <c r="AX5" i="13"/>
  <c r="AX6" i="13"/>
  <c r="AY1" i="8"/>
  <c r="AY4" i="13"/>
  <c r="A49" i="8" l="1"/>
  <c r="E48" i="8"/>
  <c r="F48" i="8"/>
  <c r="AW17" i="13"/>
  <c r="AV16" i="13"/>
  <c r="AW14" i="13"/>
  <c r="AW16" i="13" s="1"/>
  <c r="AX7" i="13"/>
  <c r="AX8" i="13" s="1"/>
  <c r="AX13" i="13"/>
  <c r="AX15" i="13"/>
  <c r="AY5" i="13"/>
  <c r="AY13" i="13" s="1"/>
  <c r="AY6" i="13"/>
  <c r="AZ1" i="8"/>
  <c r="AZ4" i="13"/>
  <c r="G48" i="8" l="1"/>
  <c r="A50" i="8"/>
  <c r="E49" i="8"/>
  <c r="G49" i="8" s="1"/>
  <c r="F49" i="8"/>
  <c r="AX17" i="13"/>
  <c r="AX14" i="13"/>
  <c r="AX16" i="13" s="1"/>
  <c r="AY7" i="13"/>
  <c r="AY8" i="13" s="1"/>
  <c r="AY15" i="13"/>
  <c r="AY17" i="13" s="1"/>
  <c r="AZ5" i="13"/>
  <c r="AZ13" i="13" s="1"/>
  <c r="AZ6" i="13"/>
  <c r="BA1" i="8"/>
  <c r="G9" i="20"/>
  <c r="BA4" i="13"/>
  <c r="A51" i="8" l="1"/>
  <c r="E50" i="8"/>
  <c r="F50" i="8"/>
  <c r="AY14" i="13"/>
  <c r="AZ7" i="13"/>
  <c r="AZ8" i="13" s="1"/>
  <c r="AZ15" i="13"/>
  <c r="AZ17" i="13" s="1"/>
  <c r="BA5" i="13"/>
  <c r="BA6" i="13"/>
  <c r="BB1" i="8"/>
  <c r="BB4" i="13"/>
  <c r="G50" i="8" l="1"/>
  <c r="A52" i="8"/>
  <c r="E51" i="8"/>
  <c r="G51" i="8" s="1"/>
  <c r="F51" i="8"/>
  <c r="AY16" i="13"/>
  <c r="AZ14" i="13"/>
  <c r="BA7" i="13"/>
  <c r="BA8" i="13" s="1"/>
  <c r="BA13" i="13"/>
  <c r="BA15" i="13"/>
  <c r="BB5" i="13"/>
  <c r="BB13" i="13" s="1"/>
  <c r="BB6" i="13"/>
  <c r="BC1" i="8"/>
  <c r="BC4" i="13"/>
  <c r="A53" i="8" l="1"/>
  <c r="E52" i="8"/>
  <c r="F52" i="8"/>
  <c r="BA17" i="13"/>
  <c r="AZ16" i="13"/>
  <c r="BD1" i="8"/>
  <c r="F2" i="8"/>
  <c r="BA14" i="13"/>
  <c r="BB7" i="13"/>
  <c r="BB8" i="13" s="1"/>
  <c r="BB15" i="13"/>
  <c r="BC5" i="13"/>
  <c r="BC13" i="13" s="1"/>
  <c r="BC6" i="13"/>
  <c r="BD4" i="13"/>
  <c r="G52" i="8" l="1"/>
  <c r="A54" i="8"/>
  <c r="E53" i="8"/>
  <c r="F53" i="8"/>
  <c r="BA16" i="13"/>
  <c r="BB17" i="13"/>
  <c r="BE1" i="8"/>
  <c r="BB14" i="13"/>
  <c r="BB16" i="13" s="1"/>
  <c r="G59" i="20"/>
  <c r="BC7" i="13"/>
  <c r="BC8" i="13" s="1"/>
  <c r="BC15" i="13"/>
  <c r="BD5" i="13"/>
  <c r="BD6" i="13"/>
  <c r="C29" i="13"/>
  <c r="BE4" i="13"/>
  <c r="G53" i="8" l="1"/>
  <c r="G40" i="20" s="1"/>
  <c r="A55" i="8"/>
  <c r="E54" i="8"/>
  <c r="G54" i="8" s="1"/>
  <c r="F54" i="8"/>
  <c r="BC17" i="13"/>
  <c r="BF1" i="8"/>
  <c r="G8" i="20"/>
  <c r="BC14" i="13"/>
  <c r="BC16" i="13" s="1"/>
  <c r="BD7" i="13"/>
  <c r="BD8" i="13" s="1"/>
  <c r="BD13" i="13"/>
  <c r="BD15" i="13"/>
  <c r="BE5" i="13"/>
  <c r="BE13" i="13" s="1"/>
  <c r="BE6" i="13"/>
  <c r="C21" i="13"/>
  <c r="G10" i="13" s="1"/>
  <c r="D29" i="13"/>
  <c r="H3" i="13"/>
  <c r="B29" i="15"/>
  <c r="B34" i="13"/>
  <c r="BF4" i="13"/>
  <c r="A56" i="8" l="1"/>
  <c r="E55" i="8"/>
  <c r="G55" i="8" s="1"/>
  <c r="F55" i="8"/>
  <c r="BD17" i="13"/>
  <c r="BG1" i="8"/>
  <c r="BD14" i="13"/>
  <c r="BD16" i="13" s="1"/>
  <c r="H10" i="13"/>
  <c r="I10" i="13" s="1"/>
  <c r="J10" i="13" s="1"/>
  <c r="K10" i="13" s="1"/>
  <c r="L10" i="13" s="1"/>
  <c r="M10" i="13" s="1"/>
  <c r="N10" i="13" s="1"/>
  <c r="O10" i="13" s="1"/>
  <c r="P10" i="13" s="1"/>
  <c r="Q10" i="13" s="1"/>
  <c r="R10" i="13" s="1"/>
  <c r="S10" i="13" s="1"/>
  <c r="T10" i="13" s="1"/>
  <c r="U10" i="13" s="1"/>
  <c r="V10" i="13" s="1"/>
  <c r="W10" i="13" s="1"/>
  <c r="X10" i="13" s="1"/>
  <c r="Y10" i="13" s="1"/>
  <c r="Z10" i="13" s="1"/>
  <c r="AA10" i="13" s="1"/>
  <c r="AB10" i="13" s="1"/>
  <c r="AC10" i="13" s="1"/>
  <c r="AD10" i="13" s="1"/>
  <c r="AE10" i="13" s="1"/>
  <c r="AF10" i="13" s="1"/>
  <c r="AG10" i="13" s="1"/>
  <c r="AH10" i="13" s="1"/>
  <c r="AI10" i="13" s="1"/>
  <c r="AJ10" i="13" s="1"/>
  <c r="AK10" i="13" s="1"/>
  <c r="AL10" i="13" s="1"/>
  <c r="AM10" i="13" s="1"/>
  <c r="AN10" i="13" s="1"/>
  <c r="AO10" i="13" s="1"/>
  <c r="AP10" i="13" s="1"/>
  <c r="AQ10" i="13" s="1"/>
  <c r="AR10" i="13" s="1"/>
  <c r="AS10" i="13" s="1"/>
  <c r="AT10" i="13" s="1"/>
  <c r="AU10" i="13" s="1"/>
  <c r="AV10" i="13" s="1"/>
  <c r="AW10" i="13" s="1"/>
  <c r="AX10" i="13" s="1"/>
  <c r="AY10" i="13" s="1"/>
  <c r="AZ10" i="13" s="1"/>
  <c r="BA10" i="13" s="1"/>
  <c r="BB10" i="13" s="1"/>
  <c r="BC10" i="13" s="1"/>
  <c r="BD10" i="13" s="1"/>
  <c r="G12" i="13"/>
  <c r="H12" i="13" s="1"/>
  <c r="I12" i="13" s="1"/>
  <c r="J12" i="13" s="1"/>
  <c r="K12" i="13" s="1"/>
  <c r="L12" i="13" s="1"/>
  <c r="M12" i="13" s="1"/>
  <c r="N12" i="13" s="1"/>
  <c r="O12" i="13" s="1"/>
  <c r="P12" i="13" s="1"/>
  <c r="Q12" i="13" s="1"/>
  <c r="R12" i="13" s="1"/>
  <c r="S12" i="13" s="1"/>
  <c r="T12" i="13" s="1"/>
  <c r="U12" i="13" s="1"/>
  <c r="V12" i="13" s="1"/>
  <c r="W12" i="13" s="1"/>
  <c r="X12" i="13" s="1"/>
  <c r="Y12" i="13" s="1"/>
  <c r="Z12" i="13" s="1"/>
  <c r="AA12" i="13" s="1"/>
  <c r="AB12" i="13" s="1"/>
  <c r="AC12" i="13" s="1"/>
  <c r="AD12" i="13" s="1"/>
  <c r="AE12" i="13" s="1"/>
  <c r="AF12" i="13" s="1"/>
  <c r="AG12" i="13" s="1"/>
  <c r="AH12" i="13" s="1"/>
  <c r="AI12" i="13" s="1"/>
  <c r="AJ12" i="13" s="1"/>
  <c r="AK12" i="13" s="1"/>
  <c r="AL12" i="13" s="1"/>
  <c r="AM12" i="13" s="1"/>
  <c r="AN12" i="13" s="1"/>
  <c r="AO12" i="13" s="1"/>
  <c r="AP12" i="13" s="1"/>
  <c r="AQ12" i="13" s="1"/>
  <c r="AR12" i="13" s="1"/>
  <c r="AS12" i="13" s="1"/>
  <c r="AT12" i="13" s="1"/>
  <c r="AU12" i="13" s="1"/>
  <c r="AV12" i="13" s="1"/>
  <c r="AW12" i="13" s="1"/>
  <c r="AX12" i="13" s="1"/>
  <c r="AY12" i="13" s="1"/>
  <c r="AZ12" i="13" s="1"/>
  <c r="BA12" i="13" s="1"/>
  <c r="BB12" i="13" s="1"/>
  <c r="BC12" i="13" s="1"/>
  <c r="BD12" i="13" s="1"/>
  <c r="G11" i="13"/>
  <c r="H11" i="13" s="1"/>
  <c r="I11" i="13" s="1"/>
  <c r="J11" i="13" s="1"/>
  <c r="K11" i="13" s="1"/>
  <c r="L11" i="13" s="1"/>
  <c r="M11" i="13" s="1"/>
  <c r="N11" i="13" s="1"/>
  <c r="O11" i="13" s="1"/>
  <c r="P11" i="13" s="1"/>
  <c r="Q11" i="13" s="1"/>
  <c r="R11" i="13" s="1"/>
  <c r="S11" i="13" s="1"/>
  <c r="T11" i="13" s="1"/>
  <c r="U11" i="13" s="1"/>
  <c r="V11" i="13" s="1"/>
  <c r="W11" i="13" s="1"/>
  <c r="X11" i="13" s="1"/>
  <c r="Y11" i="13" s="1"/>
  <c r="Z11" i="13" s="1"/>
  <c r="AA11" i="13" s="1"/>
  <c r="AB11" i="13" s="1"/>
  <c r="AC11" i="13" s="1"/>
  <c r="AD11" i="13" s="1"/>
  <c r="AE11" i="13" s="1"/>
  <c r="AF11" i="13" s="1"/>
  <c r="AG11" i="13" s="1"/>
  <c r="AH11" i="13" s="1"/>
  <c r="AI11" i="13" s="1"/>
  <c r="AJ11" i="13" s="1"/>
  <c r="AK11" i="13" s="1"/>
  <c r="AL11" i="13" s="1"/>
  <c r="AM11" i="13" s="1"/>
  <c r="AN11" i="13" s="1"/>
  <c r="AO11" i="13" s="1"/>
  <c r="AP11" i="13" s="1"/>
  <c r="AQ11" i="13" s="1"/>
  <c r="AR11" i="13" s="1"/>
  <c r="AS11" i="13" s="1"/>
  <c r="AT11" i="13" s="1"/>
  <c r="AU11" i="13" s="1"/>
  <c r="AV11" i="13" s="1"/>
  <c r="AW11" i="13" s="1"/>
  <c r="AX11" i="13" s="1"/>
  <c r="AY11" i="13" s="1"/>
  <c r="AZ11" i="13" s="1"/>
  <c r="BA11" i="13" s="1"/>
  <c r="BB11" i="13" s="1"/>
  <c r="BC11" i="13" s="1"/>
  <c r="BD11" i="13" s="1"/>
  <c r="BE7" i="13"/>
  <c r="BE8" i="13" s="1"/>
  <c r="BE15" i="13"/>
  <c r="G27" i="13"/>
  <c r="G28" i="13" s="1"/>
  <c r="H27" i="13"/>
  <c r="H28" i="13" s="1"/>
  <c r="H25" i="13"/>
  <c r="BF5" i="13"/>
  <c r="BF13" i="13" s="1"/>
  <c r="BF6" i="13"/>
  <c r="G12" i="20"/>
  <c r="J12" i="20" s="1"/>
  <c r="C16" i="15"/>
  <c r="C34" i="15"/>
  <c r="I3" i="13"/>
  <c r="C10" i="15"/>
  <c r="BG4" i="13"/>
  <c r="A57" i="8" l="1"/>
  <c r="E56" i="8"/>
  <c r="F56" i="8"/>
  <c r="BE17" i="13"/>
  <c r="BH1" i="8"/>
  <c r="E2" i="8"/>
  <c r="G2" i="8" s="1"/>
  <c r="BE14" i="13"/>
  <c r="BE16" i="13" s="1"/>
  <c r="BF7" i="13"/>
  <c r="BF8" i="13" s="1"/>
  <c r="BE10" i="13"/>
  <c r="BE12" i="13"/>
  <c r="BE11" i="13"/>
  <c r="Y22" i="13"/>
  <c r="Y23" i="13"/>
  <c r="X23" i="13"/>
  <c r="X21" i="13"/>
  <c r="X22" i="13"/>
  <c r="W22" i="13"/>
  <c r="W23" i="13"/>
  <c r="W21" i="13"/>
  <c r="Z21" i="13"/>
  <c r="V22" i="13"/>
  <c r="V23" i="13"/>
  <c r="V21" i="13"/>
  <c r="G23" i="13"/>
  <c r="G22" i="13"/>
  <c r="G21" i="13"/>
  <c r="Y21" i="13"/>
  <c r="BF15" i="13"/>
  <c r="BF17" i="13" s="1"/>
  <c r="I27" i="13"/>
  <c r="I28" i="13" s="1"/>
  <c r="I25" i="13"/>
  <c r="BG5" i="13"/>
  <c r="BG6" i="13"/>
  <c r="J3" i="13"/>
  <c r="BH4" i="13"/>
  <c r="G56" i="8" l="1"/>
  <c r="A58" i="8"/>
  <c r="E57" i="8"/>
  <c r="G57" i="8" s="1"/>
  <c r="F57" i="8"/>
  <c r="BI1" i="8"/>
  <c r="BF14" i="13"/>
  <c r="BG7" i="13"/>
  <c r="BG8" i="13" s="1"/>
  <c r="BF12" i="13"/>
  <c r="BF11" i="13"/>
  <c r="BF10" i="13"/>
  <c r="BG13" i="13"/>
  <c r="BG15" i="13"/>
  <c r="Z23" i="13"/>
  <c r="Z22" i="13"/>
  <c r="J25" i="13"/>
  <c r="J27" i="13"/>
  <c r="J28" i="13" s="1"/>
  <c r="BH5" i="13"/>
  <c r="BH6" i="13"/>
  <c r="K3" i="13"/>
  <c r="BI4" i="13"/>
  <c r="A59" i="8" l="1"/>
  <c r="E58" i="8"/>
  <c r="G58" i="8" s="1"/>
  <c r="F58" i="8"/>
  <c r="BG17" i="13"/>
  <c r="BF16" i="13"/>
  <c r="BJ1" i="8"/>
  <c r="G24" i="20"/>
  <c r="BG14" i="13"/>
  <c r="BH7" i="13"/>
  <c r="BH8" i="13" s="1"/>
  <c r="BG12" i="13"/>
  <c r="BG11" i="13"/>
  <c r="BG10" i="13"/>
  <c r="BH13" i="13"/>
  <c r="BH15" i="13"/>
  <c r="BH17" i="13" s="1"/>
  <c r="AA21" i="13"/>
  <c r="AA23" i="13"/>
  <c r="AA22" i="13"/>
  <c r="K27" i="13"/>
  <c r="K28" i="13" s="1"/>
  <c r="K25" i="13"/>
  <c r="BI5" i="13"/>
  <c r="BI13" i="13" s="1"/>
  <c r="BI6" i="13"/>
  <c r="L3" i="13"/>
  <c r="BJ4" i="13"/>
  <c r="A60" i="8" l="1"/>
  <c r="E59" i="8"/>
  <c r="G59" i="8" s="1"/>
  <c r="F59" i="8"/>
  <c r="BG16" i="13"/>
  <c r="BH14" i="13"/>
  <c r="BK1" i="8"/>
  <c r="BH12" i="13"/>
  <c r="BH11" i="13"/>
  <c r="BH10" i="13"/>
  <c r="BI7" i="13"/>
  <c r="BI8" i="13" s="1"/>
  <c r="BI15" i="13"/>
  <c r="AB21" i="13"/>
  <c r="AB22" i="13"/>
  <c r="AB23" i="13"/>
  <c r="L27" i="13"/>
  <c r="L28" i="13" s="1"/>
  <c r="L25" i="13"/>
  <c r="BJ5" i="13"/>
  <c r="BJ6" i="13"/>
  <c r="M3" i="13"/>
  <c r="BK4" i="13"/>
  <c r="A61" i="8" l="1"/>
  <c r="E60" i="8"/>
  <c r="G60" i="8" s="1"/>
  <c r="F60" i="8"/>
  <c r="BH16" i="13"/>
  <c r="BI17" i="13"/>
  <c r="BI14" i="13"/>
  <c r="BL1" i="8"/>
  <c r="H29" i="20"/>
  <c r="BJ7" i="13"/>
  <c r="BI12" i="13"/>
  <c r="BI11" i="13"/>
  <c r="BI10" i="13"/>
  <c r="BJ13" i="13"/>
  <c r="BJ15" i="13"/>
  <c r="AC21" i="13"/>
  <c r="AC23" i="13"/>
  <c r="AC22" i="13"/>
  <c r="M27" i="13"/>
  <c r="M28" i="13" s="1"/>
  <c r="M25" i="13"/>
  <c r="BK5" i="13"/>
  <c r="BK13" i="13" s="1"/>
  <c r="BK6" i="13"/>
  <c r="N3" i="13"/>
  <c r="BL4" i="13"/>
  <c r="A62" i="8" l="1"/>
  <c r="E61" i="8"/>
  <c r="G61" i="8" s="1"/>
  <c r="F61" i="8"/>
  <c r="BI16" i="13"/>
  <c r="BJ17" i="13"/>
  <c r="BM1" i="8"/>
  <c r="BN1" i="8" s="1"/>
  <c r="BO1" i="8" s="1"/>
  <c r="BP1" i="8" s="1"/>
  <c r="BQ1" i="8" s="1"/>
  <c r="BR1" i="8" s="1"/>
  <c r="BS1" i="8" s="1"/>
  <c r="BT1" i="8" s="1"/>
  <c r="BU1" i="8" s="1"/>
  <c r="BV1" i="8" s="1"/>
  <c r="BW1" i="8" s="1"/>
  <c r="BX1" i="8" s="1"/>
  <c r="BY1" i="8" s="1"/>
  <c r="BZ1" i="8" s="1"/>
  <c r="CA1" i="8" s="1"/>
  <c r="CB1" i="8" s="1"/>
  <c r="CC1" i="8" s="1"/>
  <c r="CD1" i="8" s="1"/>
  <c r="CE1" i="8" s="1"/>
  <c r="CF1" i="8" s="1"/>
  <c r="CG1" i="8" s="1"/>
  <c r="CH1" i="8" s="1"/>
  <c r="CI1" i="8" s="1"/>
  <c r="CJ1" i="8" s="1"/>
  <c r="CK1" i="8" s="1"/>
  <c r="CL1" i="8" s="1"/>
  <c r="CM1" i="8" s="1"/>
  <c r="CN1" i="8" s="1"/>
  <c r="CO1" i="8" s="1"/>
  <c r="CP1" i="8" s="1"/>
  <c r="CQ1" i="8" s="1"/>
  <c r="CR1" i="8" s="1"/>
  <c r="CS1" i="8" s="1"/>
  <c r="CT1" i="8" s="1"/>
  <c r="CU1" i="8" s="1"/>
  <c r="CV1" i="8" s="1"/>
  <c r="CW1" i="8" s="1"/>
  <c r="CX1" i="8" s="1"/>
  <c r="CY1" i="8" s="1"/>
  <c r="CZ1" i="8" s="1"/>
  <c r="DA1" i="8" s="1"/>
  <c r="DB1" i="8" s="1"/>
  <c r="DC1" i="8" s="1"/>
  <c r="DD1" i="8" s="1"/>
  <c r="DE1" i="8" s="1"/>
  <c r="DF1" i="8" s="1"/>
  <c r="DG1" i="8" s="1"/>
  <c r="DH1" i="8" s="1"/>
  <c r="DI1" i="8" s="1"/>
  <c r="DJ1" i="8" s="1"/>
  <c r="DK1" i="8" s="1"/>
  <c r="DL1" i="8" s="1"/>
  <c r="DM1" i="8" s="1"/>
  <c r="DN1" i="8" s="1"/>
  <c r="DO1" i="8" s="1"/>
  <c r="DP1" i="8" s="1"/>
  <c r="DQ1" i="8" s="1"/>
  <c r="DR1" i="8" s="1"/>
  <c r="DS1" i="8" s="1"/>
  <c r="DT1" i="8" s="1"/>
  <c r="DU1" i="8" s="1"/>
  <c r="DV1" i="8" s="1"/>
  <c r="DW1" i="8" s="1"/>
  <c r="DX1" i="8" s="1"/>
  <c r="DY1" i="8" s="1"/>
  <c r="DZ1" i="8" s="1"/>
  <c r="EA1" i="8" s="1"/>
  <c r="EB1" i="8" s="1"/>
  <c r="EC1" i="8" s="1"/>
  <c r="ED1" i="8" s="1"/>
  <c r="EE1" i="8" s="1"/>
  <c r="EF1" i="8" s="1"/>
  <c r="EG1" i="8" s="1"/>
  <c r="EH1" i="8" s="1"/>
  <c r="EI1" i="8" s="1"/>
  <c r="EJ1" i="8" s="1"/>
  <c r="EK1" i="8" s="1"/>
  <c r="EL1" i="8" s="1"/>
  <c r="EM1" i="8" s="1"/>
  <c r="EN1" i="8" s="1"/>
  <c r="EO1" i="8" s="1"/>
  <c r="EP1" i="8" s="1"/>
  <c r="EQ1" i="8" s="1"/>
  <c r="ER1" i="8" s="1"/>
  <c r="ES1" i="8" s="1"/>
  <c r="ET1" i="8" s="1"/>
  <c r="EU1" i="8" s="1"/>
  <c r="EV1" i="8" s="1"/>
  <c r="EW1" i="8" s="1"/>
  <c r="EX1" i="8" s="1"/>
  <c r="EY1" i="8" s="1"/>
  <c r="EZ1" i="8" s="1"/>
  <c r="FA1" i="8" s="1"/>
  <c r="FB1" i="8" s="1"/>
  <c r="FC1" i="8" s="1"/>
  <c r="FD1" i="8" s="1"/>
  <c r="FE1" i="8" s="1"/>
  <c r="FF1" i="8" s="1"/>
  <c r="FG1" i="8" s="1"/>
  <c r="FH1" i="8" s="1"/>
  <c r="FI1" i="8" s="1"/>
  <c r="FJ1" i="8" s="1"/>
  <c r="FK1" i="8" s="1"/>
  <c r="FL1" i="8" s="1"/>
  <c r="FM1" i="8" s="1"/>
  <c r="FN1" i="8" s="1"/>
  <c r="FO1" i="8" s="1"/>
  <c r="FP1" i="8" s="1"/>
  <c r="FQ1" i="8" s="1"/>
  <c r="FR1" i="8" s="1"/>
  <c r="FS1" i="8" s="1"/>
  <c r="FT1" i="8" s="1"/>
  <c r="FU1" i="8" s="1"/>
  <c r="FV1" i="8" s="1"/>
  <c r="FW1" i="8" s="1"/>
  <c r="FX1" i="8" s="1"/>
  <c r="FY1" i="8" s="1"/>
  <c r="FZ1" i="8" s="1"/>
  <c r="GA1" i="8" s="1"/>
  <c r="GB1" i="8" s="1"/>
  <c r="GC1" i="8" s="1"/>
  <c r="GD1" i="8" s="1"/>
  <c r="GE1" i="8" s="1"/>
  <c r="GF1" i="8" s="1"/>
  <c r="GG1" i="8" s="1"/>
  <c r="GH1" i="8" s="1"/>
  <c r="GI1" i="8" s="1"/>
  <c r="GJ1" i="8" s="1"/>
  <c r="GK1" i="8" s="1"/>
  <c r="GL1" i="8" s="1"/>
  <c r="GM1" i="8" s="1"/>
  <c r="GN1" i="8" s="1"/>
  <c r="GO1" i="8" s="1"/>
  <c r="GP1" i="8" s="1"/>
  <c r="GQ1" i="8" s="1"/>
  <c r="GR1" i="8" s="1"/>
  <c r="GS1" i="8" s="1"/>
  <c r="GT1" i="8" s="1"/>
  <c r="GU1" i="8" s="1"/>
  <c r="GV1" i="8" s="1"/>
  <c r="GW1" i="8" s="1"/>
  <c r="GX1" i="8" s="1"/>
  <c r="GY1" i="8" s="1"/>
  <c r="GZ1" i="8" s="1"/>
  <c r="HA1" i="8" s="1"/>
  <c r="HB1" i="8" s="1"/>
  <c r="HC1" i="8" s="1"/>
  <c r="HD1" i="8" s="1"/>
  <c r="HE1" i="8" s="1"/>
  <c r="HF1" i="8" s="1"/>
  <c r="HG1" i="8" s="1"/>
  <c r="HH1" i="8" s="1"/>
  <c r="HI1" i="8" s="1"/>
  <c r="HJ1" i="8" s="1"/>
  <c r="HK1" i="8" s="1"/>
  <c r="HL1" i="8" s="1"/>
  <c r="HM1" i="8" s="1"/>
  <c r="HN1" i="8" s="1"/>
  <c r="HO1" i="8" s="1"/>
  <c r="HP1" i="8" s="1"/>
  <c r="HQ1" i="8" s="1"/>
  <c r="HR1" i="8" s="1"/>
  <c r="HS1" i="8" s="1"/>
  <c r="HT1" i="8" s="1"/>
  <c r="HU1" i="8" s="1"/>
  <c r="HV1" i="8" s="1"/>
  <c r="HW1" i="8" s="1"/>
  <c r="HX1" i="8" s="1"/>
  <c r="HY1" i="8" s="1"/>
  <c r="HZ1" i="8" s="1"/>
  <c r="IA1" i="8" s="1"/>
  <c r="IB1" i="8" s="1"/>
  <c r="IC1" i="8" s="1"/>
  <c r="ID1" i="8" s="1"/>
  <c r="IE1" i="8" s="1"/>
  <c r="IF1" i="8" s="1"/>
  <c r="IG1" i="8" s="1"/>
  <c r="IH1" i="8" s="1"/>
  <c r="II1" i="8" s="1"/>
  <c r="IJ1" i="8" s="1"/>
  <c r="IK1" i="8" s="1"/>
  <c r="IL1" i="8" s="1"/>
  <c r="IM1" i="8" s="1"/>
  <c r="IN1" i="8" s="1"/>
  <c r="IO1" i="8" s="1"/>
  <c r="IP1" i="8" s="1"/>
  <c r="IQ1" i="8" s="1"/>
  <c r="IR1" i="8" s="1"/>
  <c r="IS1" i="8" s="1"/>
  <c r="IT1" i="8" s="1"/>
  <c r="IU1" i="8" s="1"/>
  <c r="IV1" i="8" s="1"/>
  <c r="IW1" i="8" s="1"/>
  <c r="IX1" i="8" s="1"/>
  <c r="IY1" i="8" s="1"/>
  <c r="IZ1" i="8" s="1"/>
  <c r="JA1" i="8" s="1"/>
  <c r="JB1" i="8" s="1"/>
  <c r="JC1" i="8" s="1"/>
  <c r="JD1" i="8" s="1"/>
  <c r="JE1" i="8" s="1"/>
  <c r="JF1" i="8" s="1"/>
  <c r="JG1" i="8" s="1"/>
  <c r="JH1" i="8" s="1"/>
  <c r="JI1" i="8" s="1"/>
  <c r="JJ1" i="8" s="1"/>
  <c r="JK1" i="8" s="1"/>
  <c r="JL1" i="8" s="1"/>
  <c r="JM1" i="8" s="1"/>
  <c r="JN1" i="8" s="1"/>
  <c r="JO1" i="8" s="1"/>
  <c r="JP1" i="8" s="1"/>
  <c r="JQ1" i="8" s="1"/>
  <c r="JR1" i="8" s="1"/>
  <c r="JS1" i="8" s="1"/>
  <c r="JT1" i="8" s="1"/>
  <c r="JU1" i="8" s="1"/>
  <c r="JV1" i="8" s="1"/>
  <c r="JW1" i="8" s="1"/>
  <c r="JX1" i="8" s="1"/>
  <c r="JY1" i="8" s="1"/>
  <c r="JZ1" i="8" s="1"/>
  <c r="KA1" i="8" s="1"/>
  <c r="KB1" i="8" s="1"/>
  <c r="KC1" i="8" s="1"/>
  <c r="KD1" i="8" s="1"/>
  <c r="KE1" i="8" s="1"/>
  <c r="KF1" i="8" s="1"/>
  <c r="KG1" i="8" s="1"/>
  <c r="KH1" i="8" s="1"/>
  <c r="KI1" i="8" s="1"/>
  <c r="KJ1" i="8" s="1"/>
  <c r="KK1" i="8" s="1"/>
  <c r="KL1" i="8" s="1"/>
  <c r="KM1" i="8" s="1"/>
  <c r="KN1" i="8" s="1"/>
  <c r="KO1" i="8" s="1"/>
  <c r="KP1" i="8" s="1"/>
  <c r="KQ1" i="8" s="1"/>
  <c r="KR1" i="8" s="1"/>
  <c r="KS1" i="8" s="1"/>
  <c r="KT1" i="8" s="1"/>
  <c r="KU1" i="8" s="1"/>
  <c r="BJ8" i="13"/>
  <c r="BK7" i="13"/>
  <c r="BK8" i="13" s="1"/>
  <c r="BK15" i="13"/>
  <c r="AD21" i="13"/>
  <c r="AD22" i="13"/>
  <c r="AD23" i="13"/>
  <c r="N27" i="13"/>
  <c r="N28" i="13" s="1"/>
  <c r="N25" i="13"/>
  <c r="BL5" i="13"/>
  <c r="BL6" i="13"/>
  <c r="G47" i="20"/>
  <c r="J47" i="20" s="1"/>
  <c r="O3" i="13"/>
  <c r="BM4" i="13"/>
  <c r="E4" i="8" l="1"/>
  <c r="G4" i="8" s="1"/>
  <c r="E3" i="8"/>
  <c r="G3" i="8" s="1"/>
  <c r="F3" i="8"/>
  <c r="F4" i="8"/>
  <c r="F6" i="8"/>
  <c r="F7" i="8"/>
  <c r="E7" i="8"/>
  <c r="G7" i="8" s="1"/>
  <c r="E5" i="8"/>
  <c r="E6" i="8"/>
  <c r="F5" i="8"/>
  <c r="F8" i="8"/>
  <c r="E10" i="8"/>
  <c r="F10" i="8"/>
  <c r="E8" i="8"/>
  <c r="G8" i="8" s="1"/>
  <c r="F9" i="8"/>
  <c r="E9" i="8"/>
  <c r="F12" i="8"/>
  <c r="F11" i="8"/>
  <c r="E12" i="8"/>
  <c r="E11" i="8"/>
  <c r="F13" i="8"/>
  <c r="E13" i="8"/>
  <c r="E15" i="8"/>
  <c r="F14" i="8"/>
  <c r="F17" i="8"/>
  <c r="E14" i="8"/>
  <c r="G14" i="8" s="1"/>
  <c r="F16" i="8"/>
  <c r="F15" i="8"/>
  <c r="E16" i="8"/>
  <c r="G16" i="8" s="1"/>
  <c r="E17" i="8"/>
  <c r="F18" i="8"/>
  <c r="E21" i="8"/>
  <c r="E18" i="8"/>
  <c r="G18" i="8" s="1"/>
  <c r="E20" i="8"/>
  <c r="G20" i="8" s="1"/>
  <c r="G14" i="20" s="1"/>
  <c r="E23" i="8"/>
  <c r="G23" i="8" s="1"/>
  <c r="F21" i="8"/>
  <c r="A63" i="8"/>
  <c r="E62" i="8"/>
  <c r="F62" i="8"/>
  <c r="BK17" i="13"/>
  <c r="BJ14" i="13"/>
  <c r="G45" i="20"/>
  <c r="G57" i="20"/>
  <c r="G26" i="20"/>
  <c r="J26" i="20" s="1"/>
  <c r="G43" i="20"/>
  <c r="J43" i="20" s="1"/>
  <c r="G30" i="20"/>
  <c r="J30" i="20" s="1"/>
  <c r="G25" i="20"/>
  <c r="J25" i="20" s="1"/>
  <c r="G11" i="20"/>
  <c r="BJ12" i="13"/>
  <c r="BK12" i="13" s="1"/>
  <c r="BK14" i="13"/>
  <c r="BJ11" i="13"/>
  <c r="BK11" i="13" s="1"/>
  <c r="BJ10" i="13"/>
  <c r="BK10" i="13" s="1"/>
  <c r="BL7" i="13"/>
  <c r="BL13" i="13"/>
  <c r="BL15" i="13"/>
  <c r="AE21" i="13"/>
  <c r="AE23" i="13"/>
  <c r="AE22" i="13"/>
  <c r="O27" i="13"/>
  <c r="O28" i="13" s="1"/>
  <c r="O25" i="13"/>
  <c r="BM5" i="13"/>
  <c r="BM6" i="13"/>
  <c r="P3" i="13"/>
  <c r="BN4" i="13"/>
  <c r="G21" i="8" l="1"/>
  <c r="G9" i="8"/>
  <c r="G5" i="8"/>
  <c r="G15" i="8"/>
  <c r="G62" i="8"/>
  <c r="G17" i="8"/>
  <c r="G13" i="8"/>
  <c r="A64" i="8"/>
  <c r="E63" i="8"/>
  <c r="F63" i="8"/>
  <c r="G11" i="8"/>
  <c r="G7" i="20" s="1"/>
  <c r="G10" i="8"/>
  <c r="G18" i="20" s="1"/>
  <c r="G12" i="8"/>
  <c r="G6" i="8"/>
  <c r="G13" i="20"/>
  <c r="BK16" i="13"/>
  <c r="BJ16" i="13"/>
  <c r="BL17" i="13"/>
  <c r="G21" i="20"/>
  <c r="J21" i="20" s="1"/>
  <c r="G17" i="20"/>
  <c r="G50" i="20"/>
  <c r="J50" i="20" s="1"/>
  <c r="G10" i="20"/>
  <c r="J10" i="20" s="1"/>
  <c r="G60" i="20"/>
  <c r="G46" i="20"/>
  <c r="BL8" i="13"/>
  <c r="BM13" i="13"/>
  <c r="BM7" i="13"/>
  <c r="BM8" i="13" s="1"/>
  <c r="BM15" i="13"/>
  <c r="BM17" i="13" s="1"/>
  <c r="AF21" i="13"/>
  <c r="AF22" i="13"/>
  <c r="AF23" i="13"/>
  <c r="P27" i="13"/>
  <c r="P28" i="13" s="1"/>
  <c r="P25" i="13"/>
  <c r="BN5" i="13"/>
  <c r="BN6" i="13"/>
  <c r="J24" i="20"/>
  <c r="Q3" i="13"/>
  <c r="BO4" i="13"/>
  <c r="C12" i="13" l="1"/>
  <c r="C14" i="13" s="1"/>
  <c r="C20" i="15" s="1"/>
  <c r="A65" i="8"/>
  <c r="E64" i="8"/>
  <c r="G64" i="8" s="1"/>
  <c r="F64" i="8"/>
  <c r="G63" i="8"/>
  <c r="BL14" i="13"/>
  <c r="H54" i="20"/>
  <c r="BL12" i="13"/>
  <c r="BM12" i="13" s="1"/>
  <c r="BM14" i="13"/>
  <c r="BL10" i="13"/>
  <c r="BM10" i="13" s="1"/>
  <c r="BL11" i="13"/>
  <c r="BM11" i="13" s="1"/>
  <c r="BN7" i="13"/>
  <c r="BN13" i="13"/>
  <c r="BN15" i="13"/>
  <c r="AG21" i="13"/>
  <c r="AG23" i="13"/>
  <c r="AG22" i="13"/>
  <c r="Q27" i="13"/>
  <c r="Q28" i="13" s="1"/>
  <c r="Q25" i="13"/>
  <c r="BO5" i="13"/>
  <c r="BO6" i="13"/>
  <c r="G31" i="20"/>
  <c r="G41" i="20"/>
  <c r="R3" i="13"/>
  <c r="BP4" i="13"/>
  <c r="A66" i="8" l="1"/>
  <c r="E65" i="8"/>
  <c r="G65" i="8" s="1"/>
  <c r="G58" i="20" s="1"/>
  <c r="F65" i="8"/>
  <c r="BM16" i="13"/>
  <c r="BL16" i="13"/>
  <c r="BN17" i="13"/>
  <c r="BN8" i="13"/>
  <c r="BO7" i="13"/>
  <c r="BO13" i="13"/>
  <c r="BO15" i="13"/>
  <c r="AH21" i="13"/>
  <c r="AH22" i="13"/>
  <c r="AH23" i="13"/>
  <c r="R27" i="13"/>
  <c r="R28" i="13" s="1"/>
  <c r="R25" i="13"/>
  <c r="BP5" i="13"/>
  <c r="BP13" i="13" s="1"/>
  <c r="BP6" i="13"/>
  <c r="S3" i="13"/>
  <c r="BQ4" i="13"/>
  <c r="A67" i="8" l="1"/>
  <c r="E66" i="8"/>
  <c r="G66" i="8" s="1"/>
  <c r="G44" i="20" s="1"/>
  <c r="J44" i="20" s="1"/>
  <c r="F66" i="8"/>
  <c r="BO17" i="13"/>
  <c r="BN14" i="13"/>
  <c r="BN11" i="13"/>
  <c r="BN12" i="13"/>
  <c r="BN10" i="13"/>
  <c r="BO8" i="13"/>
  <c r="BP7" i="13"/>
  <c r="BP15" i="13"/>
  <c r="AI21" i="13"/>
  <c r="AI23" i="13"/>
  <c r="AI22" i="13"/>
  <c r="S27" i="13"/>
  <c r="S28" i="13" s="1"/>
  <c r="S25" i="13"/>
  <c r="BQ5" i="13"/>
  <c r="BQ6" i="13"/>
  <c r="G39" i="20"/>
  <c r="J39" i="20" s="1"/>
  <c r="T3" i="13"/>
  <c r="BR4" i="13"/>
  <c r="A68" i="8" l="1"/>
  <c r="E67" i="8"/>
  <c r="F67" i="8"/>
  <c r="BN16" i="13"/>
  <c r="BP17" i="13"/>
  <c r="BO14" i="13"/>
  <c r="BO10" i="13"/>
  <c r="BO12" i="13"/>
  <c r="BO11" i="13"/>
  <c r="BP8" i="13"/>
  <c r="BQ7" i="13"/>
  <c r="BQ13" i="13"/>
  <c r="BQ15" i="13"/>
  <c r="BQ17" i="13" s="1"/>
  <c r="AJ21" i="13"/>
  <c r="AJ22" i="13"/>
  <c r="AJ23" i="13"/>
  <c r="T27" i="13"/>
  <c r="T28" i="13" s="1"/>
  <c r="T25" i="13"/>
  <c r="BR5" i="13"/>
  <c r="BR6" i="13"/>
  <c r="U3" i="13"/>
  <c r="BS4" i="13"/>
  <c r="G67" i="8" l="1"/>
  <c r="A69" i="8"/>
  <c r="E68" i="8"/>
  <c r="G68" i="8" s="1"/>
  <c r="G53" i="20" s="1"/>
  <c r="J53" i="20" s="1"/>
  <c r="F68" i="8"/>
  <c r="BO16" i="13"/>
  <c r="BR15" i="13"/>
  <c r="BP14" i="13"/>
  <c r="BP16" i="13" s="1"/>
  <c r="BR13" i="13"/>
  <c r="BP10" i="13"/>
  <c r="BP12" i="13"/>
  <c r="BP11" i="13"/>
  <c r="BQ8" i="13"/>
  <c r="BR7" i="13"/>
  <c r="BR8" i="13" s="1"/>
  <c r="U27" i="13"/>
  <c r="U28" i="13" s="1"/>
  <c r="U25" i="13"/>
  <c r="BS5" i="13"/>
  <c r="BS6" i="13"/>
  <c r="G56" i="20"/>
  <c r="J56" i="20" s="1"/>
  <c r="G28" i="20"/>
  <c r="J28" i="20" s="1"/>
  <c r="V3" i="13"/>
  <c r="BT4" i="13"/>
  <c r="A70" i="8" l="1"/>
  <c r="E69" i="8"/>
  <c r="G69" i="8" s="1"/>
  <c r="F69" i="8"/>
  <c r="BR17" i="13"/>
  <c r="BS15" i="13"/>
  <c r="G4" i="20"/>
  <c r="J4" i="20" s="1"/>
  <c r="G48" i="20"/>
  <c r="BR14" i="13"/>
  <c r="BQ14" i="13"/>
  <c r="BS13" i="13"/>
  <c r="BQ12" i="13"/>
  <c r="BR12" i="13" s="1"/>
  <c r="BQ10" i="13"/>
  <c r="BR10" i="13" s="1"/>
  <c r="BQ11" i="13"/>
  <c r="BR11" i="13" s="1"/>
  <c r="BS7" i="13"/>
  <c r="V25" i="13"/>
  <c r="V27" i="13"/>
  <c r="V28" i="13" s="1"/>
  <c r="BT5" i="13"/>
  <c r="BT13" i="13" s="1"/>
  <c r="BT6" i="13"/>
  <c r="W3" i="13"/>
  <c r="BU4" i="13"/>
  <c r="A71" i="8" l="1"/>
  <c r="E70" i="8"/>
  <c r="F70" i="8"/>
  <c r="BQ16" i="13"/>
  <c r="BS17" i="13"/>
  <c r="BR16" i="13"/>
  <c r="BT15" i="13"/>
  <c r="BT17" i="13" s="1"/>
  <c r="BS8" i="13"/>
  <c r="BT7" i="13"/>
  <c r="W27" i="13"/>
  <c r="W28" i="13" s="1"/>
  <c r="W25" i="13"/>
  <c r="BU5" i="13"/>
  <c r="BU13" i="13" s="1"/>
  <c r="BU6" i="13"/>
  <c r="G22" i="20"/>
  <c r="G6" i="20"/>
  <c r="J6" i="20" s="1"/>
  <c r="X3" i="13"/>
  <c r="BV4" i="13"/>
  <c r="G70" i="8" l="1"/>
  <c r="A72" i="8"/>
  <c r="E71" i="8"/>
  <c r="G71" i="8" s="1"/>
  <c r="F71" i="8"/>
  <c r="BU15" i="13"/>
  <c r="BS14" i="13"/>
  <c r="BS12" i="13"/>
  <c r="BT8" i="13"/>
  <c r="BS10" i="13"/>
  <c r="BS11" i="13"/>
  <c r="BU7" i="13"/>
  <c r="X27" i="13"/>
  <c r="X28" i="13" s="1"/>
  <c r="X25" i="13"/>
  <c r="BV5" i="13"/>
  <c r="BV13" i="13" s="1"/>
  <c r="BV6" i="13"/>
  <c r="BV15" i="13" s="1"/>
  <c r="BX17" i="13" s="1"/>
  <c r="G23" i="20"/>
  <c r="Y3" i="13"/>
  <c r="BW4" i="13"/>
  <c r="BW17" i="13" l="1"/>
  <c r="A73" i="8"/>
  <c r="E72" i="8"/>
  <c r="F72" i="8"/>
  <c r="BS16" i="13"/>
  <c r="BU17" i="13"/>
  <c r="BU8" i="13"/>
  <c r="BU14" i="13" s="1"/>
  <c r="BV17" i="13"/>
  <c r="BT14" i="13"/>
  <c r="BT12" i="13"/>
  <c r="BT11" i="13"/>
  <c r="BT10" i="13"/>
  <c r="BV7" i="13"/>
  <c r="CF8" i="13" s="1"/>
  <c r="BW13" i="13"/>
  <c r="Y27" i="13"/>
  <c r="Y28" i="13" s="1"/>
  <c r="Y25" i="13"/>
  <c r="BW15" i="13"/>
  <c r="BY17" i="13" s="1"/>
  <c r="BW5" i="13"/>
  <c r="BW6" i="13"/>
  <c r="G49" i="20"/>
  <c r="Z3" i="13"/>
  <c r="BX4" i="13"/>
  <c r="CB8" i="13" l="1"/>
  <c r="CC14" i="13" s="1"/>
  <c r="CE16" i="13" s="1"/>
  <c r="CD8" i="13"/>
  <c r="CE14" i="13" s="1"/>
  <c r="CG16" i="13" s="1"/>
  <c r="BY8" i="13"/>
  <c r="BZ14" i="13" s="1"/>
  <c r="CB16" i="13" s="1"/>
  <c r="CC8" i="13"/>
  <c r="BX8" i="13"/>
  <c r="BY14" i="13" s="1"/>
  <c r="CA16" i="13" s="1"/>
  <c r="CE8" i="13"/>
  <c r="CF14" i="13" s="1"/>
  <c r="CH16" i="13" s="1"/>
  <c r="BV8" i="13"/>
  <c r="BW14" i="13" s="1"/>
  <c r="BY16" i="13" s="1"/>
  <c r="BZ8" i="13"/>
  <c r="CA14" i="13" s="1"/>
  <c r="CC16" i="13" s="1"/>
  <c r="CA8" i="13"/>
  <c r="CB14" i="13" s="1"/>
  <c r="CD16" i="13" s="1"/>
  <c r="BW8" i="13"/>
  <c r="BX14" i="13" s="1"/>
  <c r="BZ16" i="13" s="1"/>
  <c r="G72" i="8"/>
  <c r="G35" i="20" s="1"/>
  <c r="A74" i="8"/>
  <c r="E73" i="8"/>
  <c r="G73" i="8" s="1"/>
  <c r="F73" i="8"/>
  <c r="BU12" i="13"/>
  <c r="BV12" i="13" s="1"/>
  <c r="BW12" i="13" s="1"/>
  <c r="BX12" i="13" s="1"/>
  <c r="BY12" i="13" s="1"/>
  <c r="BZ12" i="13" s="1"/>
  <c r="CA12" i="13" s="1"/>
  <c r="CB12" i="13" s="1"/>
  <c r="CC12" i="13" s="1"/>
  <c r="CD12" i="13" s="1"/>
  <c r="CE12" i="13" s="1"/>
  <c r="BU10" i="13"/>
  <c r="BV10" i="13" s="1"/>
  <c r="BW10" i="13" s="1"/>
  <c r="BX10" i="13" s="1"/>
  <c r="BY10" i="13" s="1"/>
  <c r="BZ10" i="13" s="1"/>
  <c r="CA10" i="13" s="1"/>
  <c r="CB10" i="13" s="1"/>
  <c r="CC10" i="13" s="1"/>
  <c r="CD10" i="13" s="1"/>
  <c r="CE10" i="13" s="1"/>
  <c r="BU11" i="13"/>
  <c r="CD14" i="13"/>
  <c r="CF16" i="13" s="1"/>
  <c r="BT16" i="13"/>
  <c r="BU16" i="13"/>
  <c r="BV14" i="13"/>
  <c r="BX16" i="13" s="1"/>
  <c r="CG14" i="13"/>
  <c r="CI16" i="13" s="1"/>
  <c r="BW7" i="13"/>
  <c r="CG8" i="13" s="1"/>
  <c r="BX15" i="13"/>
  <c r="BZ17" i="13" s="1"/>
  <c r="BX13" i="13"/>
  <c r="Z25" i="13"/>
  <c r="Z27" i="13"/>
  <c r="Z28" i="13" s="1"/>
  <c r="BX5" i="13"/>
  <c r="BX6" i="13"/>
  <c r="G54" i="20"/>
  <c r="G52" i="20"/>
  <c r="AA3" i="13"/>
  <c r="BY4" i="13"/>
  <c r="BV16" i="13" l="1"/>
  <c r="BV11" i="13"/>
  <c r="BW11" i="13" s="1"/>
  <c r="BX11" i="13" s="1"/>
  <c r="BY11" i="13" s="1"/>
  <c r="BZ11" i="13" s="1"/>
  <c r="CA11" i="13" s="1"/>
  <c r="CB11" i="13" s="1"/>
  <c r="CC11" i="13" s="1"/>
  <c r="CD11" i="13" s="1"/>
  <c r="CE11" i="13" s="1"/>
  <c r="CF11" i="13" s="1"/>
  <c r="BW16" i="13"/>
  <c r="A75" i="8"/>
  <c r="E74" i="8"/>
  <c r="G74" i="8" s="1"/>
  <c r="F74" i="8"/>
  <c r="CH14" i="13"/>
  <c r="CJ16" i="13" s="1"/>
  <c r="CF10" i="13"/>
  <c r="CF12" i="13"/>
  <c r="BX7" i="13"/>
  <c r="CH8" i="13" s="1"/>
  <c r="BY13" i="13"/>
  <c r="BY15" i="13"/>
  <c r="CA17" i="13" s="1"/>
  <c r="AA27" i="13"/>
  <c r="AA28" i="13" s="1"/>
  <c r="AA25" i="13"/>
  <c r="BY5" i="13"/>
  <c r="BY6" i="13"/>
  <c r="AB3" i="13"/>
  <c r="BZ4" i="13"/>
  <c r="A76" i="8" l="1"/>
  <c r="E75" i="8"/>
  <c r="F75" i="8"/>
  <c r="CI14" i="13"/>
  <c r="CK16" i="13" s="1"/>
  <c r="CG10" i="13"/>
  <c r="CG12" i="13"/>
  <c r="CG11" i="13"/>
  <c r="CH11" i="13" s="1"/>
  <c r="BY7" i="13"/>
  <c r="CI8" i="13" s="1"/>
  <c r="BZ13" i="13"/>
  <c r="AB27" i="13"/>
  <c r="AB28" i="13" s="1"/>
  <c r="AB25" i="13"/>
  <c r="BZ15" i="13"/>
  <c r="CB17" i="13" s="1"/>
  <c r="BZ5" i="13"/>
  <c r="BZ6" i="13"/>
  <c r="AC3" i="13"/>
  <c r="CA4" i="13"/>
  <c r="G75" i="8" l="1"/>
  <c r="A77" i="8"/>
  <c r="E76" i="8"/>
  <c r="G76" i="8" s="1"/>
  <c r="F76" i="8"/>
  <c r="CJ14" i="13"/>
  <c r="CL16" i="13" s="1"/>
  <c r="CH10" i="13"/>
  <c r="CH12" i="13"/>
  <c r="CI12" i="13" s="1"/>
  <c r="BZ7" i="13"/>
  <c r="CJ8" i="13" s="1"/>
  <c r="CA15" i="13"/>
  <c r="CC17" i="13" s="1"/>
  <c r="CA13" i="13"/>
  <c r="AC27" i="13"/>
  <c r="AC28" i="13" s="1"/>
  <c r="AC25" i="13"/>
  <c r="CA5" i="13"/>
  <c r="CA6" i="13"/>
  <c r="G5" i="20"/>
  <c r="AD3" i="13"/>
  <c r="CB4" i="13"/>
  <c r="A78" i="8" l="1"/>
  <c r="E77" i="8"/>
  <c r="F77" i="8"/>
  <c r="CK14" i="13"/>
  <c r="CM16" i="13" s="1"/>
  <c r="CI10" i="13"/>
  <c r="CI11" i="13"/>
  <c r="CA7" i="13"/>
  <c r="CK8" i="13" s="1"/>
  <c r="CB13" i="13"/>
  <c r="CB15" i="13"/>
  <c r="CD17" i="13" s="1"/>
  <c r="AD27" i="13"/>
  <c r="AD28" i="13" s="1"/>
  <c r="AD25" i="13"/>
  <c r="CB5" i="13"/>
  <c r="CB6" i="13"/>
  <c r="AE3" i="13"/>
  <c r="CC4" i="13"/>
  <c r="G77" i="8" l="1"/>
  <c r="A79" i="8"/>
  <c r="E78" i="8"/>
  <c r="F78" i="8"/>
  <c r="CL14" i="13"/>
  <c r="CN16" i="13" s="1"/>
  <c r="CJ10" i="13"/>
  <c r="CJ11" i="13"/>
  <c r="CJ12" i="13"/>
  <c r="CK12" i="13" s="1"/>
  <c r="CB7" i="13"/>
  <c r="CL8" i="13" s="1"/>
  <c r="CC13" i="13"/>
  <c r="AE27" i="13"/>
  <c r="AE28" i="13" s="1"/>
  <c r="AE25" i="13"/>
  <c r="CC15" i="13"/>
  <c r="CE17" i="13" s="1"/>
  <c r="CC5" i="13"/>
  <c r="CC6" i="13"/>
  <c r="AF3" i="13"/>
  <c r="CD4" i="13"/>
  <c r="G78" i="8" l="1"/>
  <c r="G38" i="20" s="1"/>
  <c r="A80" i="8"/>
  <c r="E79" i="8"/>
  <c r="G79" i="8" s="1"/>
  <c r="F79" i="8"/>
  <c r="CM14" i="13"/>
  <c r="CO16" i="13" s="1"/>
  <c r="CK10" i="13"/>
  <c r="CK11" i="13"/>
  <c r="CC7" i="13"/>
  <c r="CM8" i="13" s="1"/>
  <c r="CD13" i="13"/>
  <c r="AF27" i="13"/>
  <c r="AF28" i="13" s="1"/>
  <c r="AF25" i="13"/>
  <c r="CD15" i="13"/>
  <c r="CF17" i="13" s="1"/>
  <c r="CD5" i="13"/>
  <c r="CD6" i="13"/>
  <c r="AG3" i="13"/>
  <c r="CE4" i="13"/>
  <c r="E80" i="8" l="1"/>
  <c r="A81" i="8"/>
  <c r="F80" i="8"/>
  <c r="CN14" i="13"/>
  <c r="CP16" i="13" s="1"/>
  <c r="CL10" i="13"/>
  <c r="CL11" i="13"/>
  <c r="CL12" i="13"/>
  <c r="CD7" i="13"/>
  <c r="CN8" i="13" s="1"/>
  <c r="CE13" i="13"/>
  <c r="AG27" i="13"/>
  <c r="AG28" i="13" s="1"/>
  <c r="AG25" i="13"/>
  <c r="CE15" i="13"/>
  <c r="CG17" i="13" s="1"/>
  <c r="CE5" i="13"/>
  <c r="CE6" i="13"/>
  <c r="AH3" i="13"/>
  <c r="CF4" i="13"/>
  <c r="E81" i="8" l="1"/>
  <c r="A82" i="8"/>
  <c r="F81" i="8"/>
  <c r="G80" i="8"/>
  <c r="G34" i="20" s="1"/>
  <c r="CO14" i="13"/>
  <c r="CQ16" i="13" s="1"/>
  <c r="CM10" i="13"/>
  <c r="CM11" i="13"/>
  <c r="CM12" i="13"/>
  <c r="CN12" i="13" s="1"/>
  <c r="CE7" i="13"/>
  <c r="CF13" i="13"/>
  <c r="CF15" i="13"/>
  <c r="CH17" i="13" s="1"/>
  <c r="AH27" i="13"/>
  <c r="AH28" i="13" s="1"/>
  <c r="AH25" i="13"/>
  <c r="CF5" i="13"/>
  <c r="CF6" i="13"/>
  <c r="AI3" i="13"/>
  <c r="CG4" i="13"/>
  <c r="A83" i="8" l="1"/>
  <c r="E82" i="8"/>
  <c r="F82" i="8"/>
  <c r="G81" i="8"/>
  <c r="CN10" i="13"/>
  <c r="CO8" i="13"/>
  <c r="CN11" i="13"/>
  <c r="CF7" i="13"/>
  <c r="CG13" i="13"/>
  <c r="CG15" i="13"/>
  <c r="CI17" i="13" s="1"/>
  <c r="AI27" i="13"/>
  <c r="AI28" i="13" s="1"/>
  <c r="AI25" i="13"/>
  <c r="CG5" i="13"/>
  <c r="CG6" i="13"/>
  <c r="G16" i="20"/>
  <c r="J16" i="20" s="1"/>
  <c r="AJ3" i="13"/>
  <c r="CH4" i="13"/>
  <c r="G82" i="8" l="1"/>
  <c r="G42" i="20" s="1"/>
  <c r="J42" i="20" s="1"/>
  <c r="E83" i="8"/>
  <c r="A84" i="8"/>
  <c r="F83" i="8"/>
  <c r="CP14" i="13"/>
  <c r="CR16" i="13" s="1"/>
  <c r="CO10" i="13"/>
  <c r="CP8" i="13"/>
  <c r="CO11" i="13"/>
  <c r="CO12" i="13"/>
  <c r="CG7" i="13"/>
  <c r="CH13" i="13"/>
  <c r="CH15" i="13"/>
  <c r="CJ17" i="13" s="1"/>
  <c r="AJ27" i="13"/>
  <c r="AJ28" i="13" s="1"/>
  <c r="AJ25" i="13"/>
  <c r="CH5" i="13"/>
  <c r="CH6" i="13"/>
  <c r="AK3" i="13"/>
  <c r="CI4" i="13"/>
  <c r="A85" i="8" l="1"/>
  <c r="E84" i="8"/>
  <c r="G84" i="8" s="1"/>
  <c r="F84" i="8"/>
  <c r="G83" i="8"/>
  <c r="G36" i="20" s="1"/>
  <c r="CQ14" i="13"/>
  <c r="CS16" i="13" s="1"/>
  <c r="CP12" i="13"/>
  <c r="CP10" i="13"/>
  <c r="CQ8" i="13"/>
  <c r="CP11" i="13"/>
  <c r="CH7" i="13"/>
  <c r="CI15" i="13"/>
  <c r="CK17" i="13" s="1"/>
  <c r="CI13" i="13"/>
  <c r="AK27" i="13"/>
  <c r="AK28" i="13" s="1"/>
  <c r="AK25" i="13"/>
  <c r="CI5" i="13"/>
  <c r="CI6" i="13"/>
  <c r="AL3" i="13"/>
  <c r="CJ4" i="13"/>
  <c r="E85" i="8" l="1"/>
  <c r="A86" i="8"/>
  <c r="F85" i="8"/>
  <c r="CR14" i="13"/>
  <c r="CT16" i="13" s="1"/>
  <c r="CQ11" i="13"/>
  <c r="CQ10" i="13"/>
  <c r="CR8" i="13"/>
  <c r="CQ12" i="13"/>
  <c r="CI7" i="13"/>
  <c r="CJ15" i="13"/>
  <c r="CL17" i="13" s="1"/>
  <c r="CJ13" i="13"/>
  <c r="AL25" i="13"/>
  <c r="AL27" i="13"/>
  <c r="AL28" i="13" s="1"/>
  <c r="CJ5" i="13"/>
  <c r="CJ6" i="13"/>
  <c r="AM3" i="13"/>
  <c r="CK4" i="13"/>
  <c r="A87" i="8" l="1"/>
  <c r="E86" i="8"/>
  <c r="F86" i="8"/>
  <c r="G85" i="8"/>
  <c r="CS14" i="13"/>
  <c r="CU16" i="13" s="1"/>
  <c r="CR10" i="13"/>
  <c r="CS8" i="13"/>
  <c r="CR11" i="13"/>
  <c r="CR12" i="13"/>
  <c r="CJ7" i="13"/>
  <c r="CK13" i="13"/>
  <c r="CK15" i="13"/>
  <c r="CM17" i="13" s="1"/>
  <c r="AM27" i="13"/>
  <c r="AM28" i="13" s="1"/>
  <c r="AM25" i="13"/>
  <c r="CK5" i="13"/>
  <c r="CK6" i="13"/>
  <c r="AN3" i="13"/>
  <c r="CL4" i="13"/>
  <c r="G86" i="8" l="1"/>
  <c r="E87" i="8"/>
  <c r="A88" i="8"/>
  <c r="F87" i="8"/>
  <c r="CT14" i="13"/>
  <c r="CV16" i="13" s="1"/>
  <c r="CS10" i="13"/>
  <c r="CT8" i="13"/>
  <c r="CS12" i="13"/>
  <c r="CS11" i="13"/>
  <c r="CK7" i="13"/>
  <c r="CL13" i="13"/>
  <c r="CL15" i="13"/>
  <c r="CN17" i="13" s="1"/>
  <c r="AN27" i="13"/>
  <c r="AN28" i="13" s="1"/>
  <c r="AN25" i="13"/>
  <c r="CL5" i="13"/>
  <c r="CL6" i="13"/>
  <c r="AO3" i="13"/>
  <c r="CM4" i="13"/>
  <c r="E88" i="8" l="1"/>
  <c r="A89" i="8"/>
  <c r="F88" i="8"/>
  <c r="G87" i="8"/>
  <c r="CU14" i="13"/>
  <c r="CW16" i="13" s="1"/>
  <c r="CT10" i="13"/>
  <c r="CU8" i="13"/>
  <c r="CT11" i="13"/>
  <c r="CT12" i="13"/>
  <c r="CL7" i="13"/>
  <c r="CV8" i="13" s="1"/>
  <c r="CM15" i="13"/>
  <c r="CO17" i="13" s="1"/>
  <c r="CM13" i="13"/>
  <c r="AO27" i="13"/>
  <c r="AO28" i="13" s="1"/>
  <c r="AO25" i="13"/>
  <c r="CM5" i="13"/>
  <c r="CM6" i="13"/>
  <c r="AP3" i="13"/>
  <c r="CN4" i="13"/>
  <c r="E89" i="8" l="1"/>
  <c r="G89" i="8" s="1"/>
  <c r="A90" i="8"/>
  <c r="F89" i="8"/>
  <c r="G88" i="8"/>
  <c r="G55" i="20" s="1"/>
  <c r="J55" i="20" s="1"/>
  <c r="CV14" i="13"/>
  <c r="CX16" i="13" s="1"/>
  <c r="CW14" i="13"/>
  <c r="CY16" i="13" s="1"/>
  <c r="CU12" i="13"/>
  <c r="CV12" i="13" s="1"/>
  <c r="CU10" i="13"/>
  <c r="CU11" i="13"/>
  <c r="CV11" i="13" s="1"/>
  <c r="CM7" i="13"/>
  <c r="CN15" i="13"/>
  <c r="CP17" i="13" s="1"/>
  <c r="CN13" i="13"/>
  <c r="AP25" i="13"/>
  <c r="AP27" i="13"/>
  <c r="AP28" i="13" s="1"/>
  <c r="CN5" i="13"/>
  <c r="CN6" i="13"/>
  <c r="AQ3" i="13"/>
  <c r="CO4" i="13"/>
  <c r="A91" i="8" l="1"/>
  <c r="E90" i="8"/>
  <c r="F90" i="8"/>
  <c r="CV10" i="13"/>
  <c r="CW8" i="13"/>
  <c r="CN7" i="13"/>
  <c r="CO13" i="13"/>
  <c r="CO15" i="13"/>
  <c r="CQ17" i="13" s="1"/>
  <c r="AQ27" i="13"/>
  <c r="AQ28" i="13" s="1"/>
  <c r="AQ25" i="13"/>
  <c r="CO5" i="13"/>
  <c r="CO6" i="13"/>
  <c r="AR3" i="13"/>
  <c r="CP4" i="13"/>
  <c r="G90" i="8" l="1"/>
  <c r="A92" i="8"/>
  <c r="E91" i="8"/>
  <c r="G91" i="8" s="1"/>
  <c r="G51" i="20" s="1"/>
  <c r="J51" i="20" s="1"/>
  <c r="F91" i="8"/>
  <c r="CX14" i="13"/>
  <c r="CZ16" i="13" s="1"/>
  <c r="CW10" i="13"/>
  <c r="CX8" i="13"/>
  <c r="CW12" i="13"/>
  <c r="CW11" i="13"/>
  <c r="CO7" i="13"/>
  <c r="CP15" i="13"/>
  <c r="CR17" i="13" s="1"/>
  <c r="CP13" i="13"/>
  <c r="AR27" i="13"/>
  <c r="AR28" i="13" s="1"/>
  <c r="AR25" i="13"/>
  <c r="CP5" i="13"/>
  <c r="CP6" i="13"/>
  <c r="AS3" i="13"/>
  <c r="CQ4" i="13"/>
  <c r="A93" i="8" l="1"/>
  <c r="E92" i="8"/>
  <c r="F92" i="8"/>
  <c r="CY14" i="13"/>
  <c r="DA16" i="13" s="1"/>
  <c r="CX11" i="13"/>
  <c r="CX10" i="13"/>
  <c r="CY8" i="13"/>
  <c r="CX12" i="13"/>
  <c r="CP7" i="13"/>
  <c r="CQ13" i="13"/>
  <c r="CQ15" i="13"/>
  <c r="CS17" i="13" s="1"/>
  <c r="AS27" i="13"/>
  <c r="AS28" i="13" s="1"/>
  <c r="AS25" i="13"/>
  <c r="CQ5" i="13"/>
  <c r="CQ6" i="13"/>
  <c r="AT3" i="13"/>
  <c r="CR4" i="13"/>
  <c r="G92" i="8" l="1"/>
  <c r="A94" i="8"/>
  <c r="E93" i="8"/>
  <c r="F93" i="8"/>
  <c r="CZ14" i="13"/>
  <c r="DB16" i="13" s="1"/>
  <c r="CY10" i="13"/>
  <c r="CZ8" i="13"/>
  <c r="CY12" i="13"/>
  <c r="CY11" i="13"/>
  <c r="CQ7" i="13"/>
  <c r="CR13" i="13"/>
  <c r="AT27" i="13"/>
  <c r="AT28" i="13" s="1"/>
  <c r="AT25" i="13"/>
  <c r="CR15" i="13"/>
  <c r="CT17" i="13" s="1"/>
  <c r="CR5" i="13"/>
  <c r="CR6" i="13"/>
  <c r="AU3" i="13"/>
  <c r="CS4" i="13"/>
  <c r="G93" i="8" l="1"/>
  <c r="A95" i="8"/>
  <c r="E94" i="8"/>
  <c r="F94" i="8"/>
  <c r="DA14" i="13"/>
  <c r="DC16" i="13" s="1"/>
  <c r="CZ10" i="13"/>
  <c r="DA8" i="13"/>
  <c r="CZ11" i="13"/>
  <c r="CZ12" i="13"/>
  <c r="CR7" i="13"/>
  <c r="CS13" i="13"/>
  <c r="CS15" i="13"/>
  <c r="CU17" i="13" s="1"/>
  <c r="AU27" i="13"/>
  <c r="AU28" i="13" s="1"/>
  <c r="AU25" i="13"/>
  <c r="CS5" i="13"/>
  <c r="CS6" i="13"/>
  <c r="AV3" i="13"/>
  <c r="CT4" i="13"/>
  <c r="G94" i="8" l="1"/>
  <c r="A96" i="8"/>
  <c r="E95" i="8"/>
  <c r="F95" i="8"/>
  <c r="DB14" i="13"/>
  <c r="DD16" i="13" s="1"/>
  <c r="DA12" i="13"/>
  <c r="DA10" i="13"/>
  <c r="DB8" i="13"/>
  <c r="DA11" i="13"/>
  <c r="CS7" i="13"/>
  <c r="CT15" i="13"/>
  <c r="CV17" i="13" s="1"/>
  <c r="CT13" i="13"/>
  <c r="AV27" i="13"/>
  <c r="AV28" i="13" s="1"/>
  <c r="AV25" i="13"/>
  <c r="CT5" i="13"/>
  <c r="CT6" i="13"/>
  <c r="AW3" i="13"/>
  <c r="CU4" i="13"/>
  <c r="G95" i="8" l="1"/>
  <c r="A97" i="8"/>
  <c r="E96" i="8"/>
  <c r="G96" i="8" s="1"/>
  <c r="F96" i="8"/>
  <c r="DC14" i="13"/>
  <c r="DE16" i="13" s="1"/>
  <c r="DB10" i="13"/>
  <c r="DC8" i="13"/>
  <c r="DB11" i="13"/>
  <c r="DB12" i="13"/>
  <c r="CT7" i="13"/>
  <c r="DD8" i="13" s="1"/>
  <c r="CU13" i="13"/>
  <c r="CU15" i="13"/>
  <c r="CW17" i="13" s="1"/>
  <c r="AW27" i="13"/>
  <c r="AW28" i="13" s="1"/>
  <c r="AW25" i="13"/>
  <c r="CU5" i="13"/>
  <c r="CU6" i="13"/>
  <c r="AX3" i="13"/>
  <c r="CV4" i="13"/>
  <c r="A98" i="8" l="1"/>
  <c r="E97" i="8"/>
  <c r="G97" i="8" s="1"/>
  <c r="F97" i="8"/>
  <c r="DD14" i="13"/>
  <c r="DF16" i="13" s="1"/>
  <c r="DE14" i="13"/>
  <c r="DG16" i="13" s="1"/>
  <c r="DC12" i="13"/>
  <c r="DC10" i="13"/>
  <c r="DC11" i="13"/>
  <c r="CU7" i="13"/>
  <c r="CV13" i="13"/>
  <c r="CV15" i="13"/>
  <c r="CX17" i="13" s="1"/>
  <c r="AX25" i="13"/>
  <c r="AX27" i="13"/>
  <c r="AX28" i="13" s="1"/>
  <c r="CV5" i="13"/>
  <c r="CV6" i="13"/>
  <c r="AY3" i="13"/>
  <c r="CW4" i="13"/>
  <c r="A99" i="8" l="1"/>
  <c r="E98" i="8"/>
  <c r="G98" i="8" s="1"/>
  <c r="F98" i="8"/>
  <c r="DD12" i="13"/>
  <c r="DE8" i="13"/>
  <c r="DD10" i="13"/>
  <c r="DD11" i="13"/>
  <c r="CV7" i="13"/>
  <c r="DF8" i="13" s="1"/>
  <c r="CW15" i="13"/>
  <c r="CY17" i="13" s="1"/>
  <c r="CW13" i="13"/>
  <c r="AY27" i="13"/>
  <c r="AY28" i="13" s="1"/>
  <c r="AY25" i="13"/>
  <c r="CW5" i="13"/>
  <c r="CW6" i="13"/>
  <c r="AZ3" i="13"/>
  <c r="CX4" i="13"/>
  <c r="A100" i="8" l="1"/>
  <c r="E99" i="8"/>
  <c r="F99" i="8"/>
  <c r="DF14" i="13"/>
  <c r="DH16" i="13" s="1"/>
  <c r="DG14" i="13"/>
  <c r="DI16" i="13" s="1"/>
  <c r="DE11" i="13"/>
  <c r="DE12" i="13"/>
  <c r="DE10" i="13"/>
  <c r="DF10" i="13" s="1"/>
  <c r="CW7" i="13"/>
  <c r="CX13" i="13"/>
  <c r="CX15" i="13"/>
  <c r="CZ17" i="13" s="1"/>
  <c r="AZ27" i="13"/>
  <c r="AZ28" i="13" s="1"/>
  <c r="AZ25" i="13"/>
  <c r="CX5" i="13"/>
  <c r="CX6" i="13"/>
  <c r="BA3" i="13"/>
  <c r="CY4" i="13"/>
  <c r="G99" i="8" l="1"/>
  <c r="A101" i="8"/>
  <c r="E100" i="8"/>
  <c r="F100" i="8"/>
  <c r="DF12" i="13"/>
  <c r="DG8" i="13"/>
  <c r="DF11" i="13"/>
  <c r="CX7" i="13"/>
  <c r="CY15" i="13"/>
  <c r="DA17" i="13" s="1"/>
  <c r="CY13" i="13"/>
  <c r="BA27" i="13"/>
  <c r="BA28" i="13" s="1"/>
  <c r="BA25" i="13"/>
  <c r="CY5" i="13"/>
  <c r="CY6" i="13"/>
  <c r="BB3" i="13"/>
  <c r="CZ4" i="13"/>
  <c r="G100" i="8" l="1"/>
  <c r="A102" i="8"/>
  <c r="E101" i="8"/>
  <c r="F101" i="8"/>
  <c r="DH14" i="13"/>
  <c r="DJ16" i="13" s="1"/>
  <c r="DG11" i="13"/>
  <c r="DG12" i="13"/>
  <c r="DH8" i="13"/>
  <c r="DG10" i="13"/>
  <c r="CY7" i="13"/>
  <c r="CZ13" i="13"/>
  <c r="BB25" i="13"/>
  <c r="BB27" i="13"/>
  <c r="BB28" i="13" s="1"/>
  <c r="CZ15" i="13"/>
  <c r="DB17" i="13" s="1"/>
  <c r="CZ5" i="13"/>
  <c r="CZ6" i="13"/>
  <c r="BC3" i="13"/>
  <c r="DA4" i="13"/>
  <c r="G101" i="8" l="1"/>
  <c r="A103" i="8"/>
  <c r="E102" i="8"/>
  <c r="F102" i="8"/>
  <c r="DI14" i="13"/>
  <c r="DK16" i="13" s="1"/>
  <c r="DH10" i="13"/>
  <c r="DH12" i="13"/>
  <c r="DI8" i="13"/>
  <c r="DH11" i="13"/>
  <c r="CZ7" i="13"/>
  <c r="DA13" i="13"/>
  <c r="DA15" i="13"/>
  <c r="DC17" i="13" s="1"/>
  <c r="BC27" i="13"/>
  <c r="BC28" i="13" s="1"/>
  <c r="BC25" i="13"/>
  <c r="DA5" i="13"/>
  <c r="DA6" i="13"/>
  <c r="BD3" i="13"/>
  <c r="DB4" i="13"/>
  <c r="G102" i="8" l="1"/>
  <c r="A104" i="8"/>
  <c r="E103" i="8"/>
  <c r="F103" i="8"/>
  <c r="DJ14" i="13"/>
  <c r="DL16" i="13" s="1"/>
  <c r="DI12" i="13"/>
  <c r="DJ8" i="13"/>
  <c r="DI10" i="13"/>
  <c r="DI11" i="13"/>
  <c r="DA7" i="13"/>
  <c r="DB13" i="13"/>
  <c r="BD27" i="13"/>
  <c r="BD28" i="13" s="1"/>
  <c r="BD25" i="13"/>
  <c r="DB15" i="13"/>
  <c r="DD17" i="13" s="1"/>
  <c r="DB5" i="13"/>
  <c r="DB6" i="13"/>
  <c r="BE3" i="13"/>
  <c r="DC4" i="13"/>
  <c r="G103" i="8" l="1"/>
  <c r="A105" i="8"/>
  <c r="A106" i="8" s="1"/>
  <c r="A107" i="8" s="1"/>
  <c r="A108" i="8" s="1"/>
  <c r="A109" i="8" s="1"/>
  <c r="A110" i="8" s="1"/>
  <c r="A111" i="8" s="1"/>
  <c r="A112" i="8" s="1"/>
  <c r="A113" i="8" s="1"/>
  <c r="A114" i="8" s="1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A141" i="8" s="1"/>
  <c r="A142" i="8" s="1"/>
  <c r="A143" i="8" s="1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E104" i="8"/>
  <c r="F104" i="8"/>
  <c r="DK14" i="13"/>
  <c r="DM16" i="13" s="1"/>
  <c r="DJ11" i="13"/>
  <c r="DJ12" i="13"/>
  <c r="DK8" i="13"/>
  <c r="DJ10" i="13"/>
  <c r="DB7" i="13"/>
  <c r="DC15" i="13"/>
  <c r="DE17" i="13" s="1"/>
  <c r="DC13" i="13"/>
  <c r="BE27" i="13"/>
  <c r="BE28" i="13" s="1"/>
  <c r="BE25" i="13"/>
  <c r="DC5" i="13"/>
  <c r="DC6" i="13"/>
  <c r="BF3" i="13"/>
  <c r="DD4" i="13"/>
  <c r="G104" i="8" l="1"/>
  <c r="DL14" i="13"/>
  <c r="DN16" i="13" s="1"/>
  <c r="DK12" i="13"/>
  <c r="DL8" i="13"/>
  <c r="DK10" i="13"/>
  <c r="DK11" i="13"/>
  <c r="DC7" i="13"/>
  <c r="DD13" i="13"/>
  <c r="BF25" i="13"/>
  <c r="BF27" i="13"/>
  <c r="BF28" i="13" s="1"/>
  <c r="DD15" i="13"/>
  <c r="DF17" i="13" s="1"/>
  <c r="DD5" i="13"/>
  <c r="DD6" i="13"/>
  <c r="BG3" i="13"/>
  <c r="DE4" i="13"/>
  <c r="DM14" i="13" l="1"/>
  <c r="DO16" i="13" s="1"/>
  <c r="DL11" i="13"/>
  <c r="DL10" i="13"/>
  <c r="DL12" i="13"/>
  <c r="DM8" i="13"/>
  <c r="DD7" i="13"/>
  <c r="DE15" i="13"/>
  <c r="DG17" i="13" s="1"/>
  <c r="DE13" i="13"/>
  <c r="BG27" i="13"/>
  <c r="BG28" i="13" s="1"/>
  <c r="BG25" i="13"/>
  <c r="DE5" i="13"/>
  <c r="DE6" i="13"/>
  <c r="BH3" i="13"/>
  <c r="DF4" i="13"/>
  <c r="DN14" i="13" l="1"/>
  <c r="DP16" i="13" s="1"/>
  <c r="DM12" i="13"/>
  <c r="DN8" i="13"/>
  <c r="DM10" i="13"/>
  <c r="DM11" i="13"/>
  <c r="DE7" i="13"/>
  <c r="DF13" i="13"/>
  <c r="BH27" i="13"/>
  <c r="BH28" i="13" s="1"/>
  <c r="BH25" i="13"/>
  <c r="DF15" i="13"/>
  <c r="DH17" i="13" s="1"/>
  <c r="DF5" i="13"/>
  <c r="DF6" i="13"/>
  <c r="BI3" i="13"/>
  <c r="DG4" i="13"/>
  <c r="DO14" i="13" l="1"/>
  <c r="DQ16" i="13" s="1"/>
  <c r="DN11" i="13"/>
  <c r="DN12" i="13"/>
  <c r="DO8" i="13"/>
  <c r="DN10" i="13"/>
  <c r="DF7" i="13"/>
  <c r="DG13" i="13"/>
  <c r="BI27" i="13"/>
  <c r="BI28" i="13" s="1"/>
  <c r="BI25" i="13"/>
  <c r="DG15" i="13"/>
  <c r="DI17" i="13" s="1"/>
  <c r="DG5" i="13"/>
  <c r="DG6" i="13"/>
  <c r="BJ3" i="13"/>
  <c r="DH4" i="13"/>
  <c r="DP14" i="13" l="1"/>
  <c r="DR16" i="13" s="1"/>
  <c r="DO12" i="13"/>
  <c r="DP8" i="13"/>
  <c r="DO10" i="13"/>
  <c r="DO11" i="13"/>
  <c r="DG7" i="13"/>
  <c r="DQ8" i="13" s="1"/>
  <c r="DH15" i="13"/>
  <c r="DJ17" i="13" s="1"/>
  <c r="DH13" i="13"/>
  <c r="BJ27" i="13"/>
  <c r="BJ28" i="13" s="1"/>
  <c r="BJ25" i="13"/>
  <c r="DH5" i="13"/>
  <c r="DH6" i="13"/>
  <c r="BK3" i="13"/>
  <c r="DI4" i="13"/>
  <c r="DR14" i="13" l="1"/>
  <c r="DT16" i="13" s="1"/>
  <c r="DQ14" i="13"/>
  <c r="DS16" i="13" s="1"/>
  <c r="DP12" i="13"/>
  <c r="DP11" i="13"/>
  <c r="DP10" i="13"/>
  <c r="DH7" i="13"/>
  <c r="DI13" i="13"/>
  <c r="DI15" i="13"/>
  <c r="DK17" i="13" s="1"/>
  <c r="BK27" i="13"/>
  <c r="BK28" i="13" s="1"/>
  <c r="BK25" i="13"/>
  <c r="DI5" i="13"/>
  <c r="DI6" i="13"/>
  <c r="BL3" i="13"/>
  <c r="DJ4" i="13"/>
  <c r="DQ11" i="13" l="1"/>
  <c r="DR8" i="13"/>
  <c r="DQ12" i="13"/>
  <c r="DQ10" i="13"/>
  <c r="DI7" i="13"/>
  <c r="DJ13" i="13"/>
  <c r="DJ15" i="13"/>
  <c r="DL17" i="13" s="1"/>
  <c r="BL27" i="13"/>
  <c r="BL28" i="13" s="1"/>
  <c r="BL25" i="13"/>
  <c r="DJ5" i="13"/>
  <c r="DJ6" i="13"/>
  <c r="BM3" i="13"/>
  <c r="DK4" i="13"/>
  <c r="DS14" i="13" l="1"/>
  <c r="DU16" i="13" s="1"/>
  <c r="DR11" i="13"/>
  <c r="DS8" i="13"/>
  <c r="DR10" i="13"/>
  <c r="DR12" i="13"/>
  <c r="DJ7" i="13"/>
  <c r="DT8" i="13" s="1"/>
  <c r="DK13" i="13"/>
  <c r="BM27" i="13"/>
  <c r="BM28" i="13" s="1"/>
  <c r="BM25" i="13"/>
  <c r="DK15" i="13"/>
  <c r="DM17" i="13" s="1"/>
  <c r="DK5" i="13"/>
  <c r="DK6" i="13"/>
  <c r="BN3" i="13"/>
  <c r="DL4" i="13"/>
  <c r="DT14" i="13" l="1"/>
  <c r="DV16" i="13" s="1"/>
  <c r="DU14" i="13"/>
  <c r="DW16" i="13" s="1"/>
  <c r="DS12" i="13"/>
  <c r="DS11" i="13"/>
  <c r="DS10" i="13"/>
  <c r="DT10" i="13" s="1"/>
  <c r="DK7" i="13"/>
  <c r="DL13" i="13"/>
  <c r="BN25" i="13"/>
  <c r="BN27" i="13"/>
  <c r="BN28" i="13" s="1"/>
  <c r="DL15" i="13"/>
  <c r="DN17" i="13" s="1"/>
  <c r="DL5" i="13"/>
  <c r="DL6" i="13"/>
  <c r="BO3" i="13"/>
  <c r="DM4" i="13"/>
  <c r="DT11" i="13" l="1"/>
  <c r="DU8" i="13"/>
  <c r="DT12" i="13"/>
  <c r="DL7" i="13"/>
  <c r="DM13" i="13"/>
  <c r="DM15" i="13"/>
  <c r="DO17" i="13" s="1"/>
  <c r="BO27" i="13"/>
  <c r="BO28" i="13" s="1"/>
  <c r="BO25" i="13"/>
  <c r="DM5" i="13"/>
  <c r="DM6" i="13"/>
  <c r="BP3" i="13"/>
  <c r="DN4" i="13"/>
  <c r="DV14" i="13" l="1"/>
  <c r="DX16" i="13" s="1"/>
  <c r="DU11" i="13"/>
  <c r="DV8" i="13"/>
  <c r="DU12" i="13"/>
  <c r="DU10" i="13"/>
  <c r="DM7" i="13"/>
  <c r="DN15" i="13"/>
  <c r="DP17" i="13" s="1"/>
  <c r="DN13" i="13"/>
  <c r="BP27" i="13"/>
  <c r="BP28" i="13" s="1"/>
  <c r="BP25" i="13"/>
  <c r="DN5" i="13"/>
  <c r="DN6" i="13"/>
  <c r="BQ3" i="13"/>
  <c r="DO4" i="13"/>
  <c r="DW14" i="13" l="1"/>
  <c r="DY16" i="13" s="1"/>
  <c r="DV11" i="13"/>
  <c r="DW8" i="13"/>
  <c r="DV10" i="13"/>
  <c r="DV12" i="13"/>
  <c r="DN7" i="13"/>
  <c r="DO13" i="13"/>
  <c r="DO15" i="13"/>
  <c r="DQ17" i="13" s="1"/>
  <c r="BQ27" i="13"/>
  <c r="BQ28" i="13" s="1"/>
  <c r="BQ25" i="13"/>
  <c r="DO5" i="13"/>
  <c r="DO6" i="13"/>
  <c r="BR3" i="13"/>
  <c r="DP4" i="13"/>
  <c r="DX14" i="13" l="1"/>
  <c r="DZ16" i="13" s="1"/>
  <c r="DW12" i="13"/>
  <c r="DW11" i="13"/>
  <c r="DX8" i="13"/>
  <c r="DW10" i="13"/>
  <c r="DO7" i="13"/>
  <c r="DP15" i="13"/>
  <c r="DR17" i="13" s="1"/>
  <c r="DP13" i="13"/>
  <c r="BR27" i="13"/>
  <c r="BR28" i="13" s="1"/>
  <c r="BR25" i="13"/>
  <c r="DP5" i="13"/>
  <c r="DP6" i="13"/>
  <c r="BS3" i="13"/>
  <c r="DQ4" i="13"/>
  <c r="DY14" i="13" l="1"/>
  <c r="EA16" i="13" s="1"/>
  <c r="DX10" i="13"/>
  <c r="DX11" i="13"/>
  <c r="DY8" i="13"/>
  <c r="DX12" i="13"/>
  <c r="DP7" i="13"/>
  <c r="DQ15" i="13"/>
  <c r="DS17" i="13" s="1"/>
  <c r="DQ13" i="13"/>
  <c r="BS27" i="13"/>
  <c r="BS28" i="13" s="1"/>
  <c r="BS25" i="13"/>
  <c r="DQ5" i="13"/>
  <c r="DQ6" i="13"/>
  <c r="BT3" i="13"/>
  <c r="DR4" i="13"/>
  <c r="DZ14" i="13" l="1"/>
  <c r="EB16" i="13" s="1"/>
  <c r="DY12" i="13"/>
  <c r="DY11" i="13"/>
  <c r="DZ8" i="13"/>
  <c r="DY10" i="13"/>
  <c r="DQ7" i="13"/>
  <c r="DR13" i="13"/>
  <c r="DR15" i="13"/>
  <c r="DT17" i="13" s="1"/>
  <c r="BT27" i="13"/>
  <c r="BT28" i="13" s="1"/>
  <c r="BT25" i="13"/>
  <c r="DR5" i="13"/>
  <c r="DR6" i="13"/>
  <c r="BU3" i="13"/>
  <c r="DS4" i="13"/>
  <c r="EA14" i="13" l="1"/>
  <c r="EC16" i="13" s="1"/>
  <c r="DZ11" i="13"/>
  <c r="EA8" i="13"/>
  <c r="DZ10" i="13"/>
  <c r="DZ12" i="13"/>
  <c r="DR7" i="13"/>
  <c r="DS15" i="13"/>
  <c r="DU17" i="13" s="1"/>
  <c r="DS13" i="13"/>
  <c r="BU27" i="13"/>
  <c r="BU28" i="13" s="1"/>
  <c r="BU25" i="13"/>
  <c r="DS5" i="13"/>
  <c r="DS6" i="13"/>
  <c r="BV3" i="13"/>
  <c r="DT4" i="13"/>
  <c r="EB14" i="13" l="1"/>
  <c r="ED16" i="13" s="1"/>
  <c r="EA12" i="13"/>
  <c r="EA11" i="13"/>
  <c r="EB8" i="13"/>
  <c r="EA10" i="13"/>
  <c r="DS7" i="13"/>
  <c r="DT13" i="13"/>
  <c r="DT15" i="13"/>
  <c r="DV17" i="13" s="1"/>
  <c r="BV25" i="13"/>
  <c r="BV27" i="13"/>
  <c r="BV28" i="13" s="1"/>
  <c r="DT5" i="13"/>
  <c r="DT6" i="13"/>
  <c r="BW3" i="13"/>
  <c r="DU4" i="13"/>
  <c r="EC14" i="13" l="1"/>
  <c r="EE16" i="13" s="1"/>
  <c r="EB11" i="13"/>
  <c r="EC8" i="13"/>
  <c r="EB10" i="13"/>
  <c r="EB12" i="13"/>
  <c r="DT7" i="13"/>
  <c r="DU13" i="13"/>
  <c r="DU15" i="13"/>
  <c r="DW17" i="13" s="1"/>
  <c r="BW27" i="13"/>
  <c r="BW28" i="13" s="1"/>
  <c r="BW25" i="13"/>
  <c r="DU5" i="13"/>
  <c r="DU6" i="13"/>
  <c r="BX3" i="13"/>
  <c r="DV4" i="13"/>
  <c r="ED14" i="13" l="1"/>
  <c r="EF16" i="13" s="1"/>
  <c r="EC12" i="13"/>
  <c r="EC11" i="13"/>
  <c r="ED8" i="13"/>
  <c r="EC10" i="13"/>
  <c r="DU7" i="13"/>
  <c r="DV13" i="13"/>
  <c r="DV15" i="13"/>
  <c r="DX17" i="13" s="1"/>
  <c r="BX27" i="13"/>
  <c r="BX28" i="13" s="1"/>
  <c r="BX25" i="13"/>
  <c r="DV5" i="13"/>
  <c r="DV6" i="13"/>
  <c r="BY3" i="13"/>
  <c r="DW4" i="13"/>
  <c r="EE14" i="13" l="1"/>
  <c r="EG16" i="13" s="1"/>
  <c r="ED10" i="13"/>
  <c r="ED11" i="13"/>
  <c r="EE8" i="13"/>
  <c r="ED12" i="13"/>
  <c r="DV7" i="13"/>
  <c r="DW13" i="13"/>
  <c r="DW15" i="13"/>
  <c r="DY17" i="13" s="1"/>
  <c r="BY27" i="13"/>
  <c r="BY28" i="13" s="1"/>
  <c r="BY25" i="13"/>
  <c r="DW5" i="13"/>
  <c r="DW6" i="13"/>
  <c r="BZ3" i="13"/>
  <c r="DX4" i="13"/>
  <c r="EF14" i="13" l="1"/>
  <c r="EH16" i="13" s="1"/>
  <c r="EE11" i="13"/>
  <c r="EF8" i="13"/>
  <c r="EE12" i="13"/>
  <c r="EE10" i="13"/>
  <c r="DW7" i="13"/>
  <c r="DX15" i="13"/>
  <c r="DZ17" i="13" s="1"/>
  <c r="DX13" i="13"/>
  <c r="BZ27" i="13"/>
  <c r="BZ28" i="13" s="1"/>
  <c r="BZ25" i="13"/>
  <c r="DX5" i="13"/>
  <c r="DX6" i="13"/>
  <c r="CA3" i="13"/>
  <c r="DY4" i="13"/>
  <c r="EG14" i="13" l="1"/>
  <c r="EI16" i="13" s="1"/>
  <c r="EF11" i="13"/>
  <c r="EG8" i="13"/>
  <c r="EF10" i="13"/>
  <c r="EF12" i="13"/>
  <c r="DX7" i="13"/>
  <c r="DY15" i="13"/>
  <c r="EA17" i="13" s="1"/>
  <c r="DY13" i="13"/>
  <c r="CA27" i="13"/>
  <c r="CA28" i="13" s="1"/>
  <c r="CA25" i="13"/>
  <c r="DY5" i="13"/>
  <c r="DY6" i="13"/>
  <c r="CB3" i="13"/>
  <c r="DZ4" i="13"/>
  <c r="EH14" i="13" l="1"/>
  <c r="EJ16" i="13" s="1"/>
  <c r="EG11" i="13"/>
  <c r="EH8" i="13"/>
  <c r="EG12" i="13"/>
  <c r="EG10" i="13"/>
  <c r="DY7" i="13"/>
  <c r="DZ15" i="13"/>
  <c r="EB17" i="13" s="1"/>
  <c r="DZ13" i="13"/>
  <c r="CB27" i="13"/>
  <c r="CB28" i="13" s="1"/>
  <c r="CB25" i="13"/>
  <c r="DZ5" i="13"/>
  <c r="DZ6" i="13"/>
  <c r="G33" i="20"/>
  <c r="J33" i="20" s="1"/>
  <c r="CC3" i="13"/>
  <c r="EA4" i="13"/>
  <c r="EI14" i="13" l="1"/>
  <c r="EK16" i="13" s="1"/>
  <c r="EH11" i="13"/>
  <c r="EI8" i="13"/>
  <c r="EH10" i="13"/>
  <c r="EH12" i="13"/>
  <c r="DZ7" i="13"/>
  <c r="EA15" i="13"/>
  <c r="EC17" i="13" s="1"/>
  <c r="EA13" i="13"/>
  <c r="CC27" i="13"/>
  <c r="CC28" i="13" s="1"/>
  <c r="CC25" i="13"/>
  <c r="EA5" i="13"/>
  <c r="EA6" i="13"/>
  <c r="CD3" i="13"/>
  <c r="EB4" i="13"/>
  <c r="EJ14" i="13" l="1"/>
  <c r="EL16" i="13" s="1"/>
  <c r="EI11" i="13"/>
  <c r="EJ8" i="13"/>
  <c r="EI12" i="13"/>
  <c r="EI10" i="13"/>
  <c r="EA7" i="13"/>
  <c r="EB15" i="13"/>
  <c r="ED17" i="13" s="1"/>
  <c r="EB13" i="13"/>
  <c r="CD27" i="13"/>
  <c r="CD28" i="13" s="1"/>
  <c r="CD25" i="13"/>
  <c r="EB5" i="13"/>
  <c r="EB6" i="13"/>
  <c r="G20" i="20"/>
  <c r="J20" i="20" s="1"/>
  <c r="CE3" i="13"/>
  <c r="EC4" i="13"/>
  <c r="EK14" i="13" l="1"/>
  <c r="EM16" i="13" s="1"/>
  <c r="EJ11" i="13"/>
  <c r="EK8" i="13"/>
  <c r="EJ10" i="13"/>
  <c r="EJ12" i="13"/>
  <c r="EB7" i="13"/>
  <c r="EC15" i="13"/>
  <c r="EE17" i="13" s="1"/>
  <c r="EC13" i="13"/>
  <c r="CE27" i="13"/>
  <c r="CE28" i="13" s="1"/>
  <c r="CE25" i="13"/>
  <c r="EC5" i="13"/>
  <c r="EC6" i="13"/>
  <c r="CF3" i="13"/>
  <c r="ED4" i="13"/>
  <c r="EL14" i="13" l="1"/>
  <c r="EN16" i="13" s="1"/>
  <c r="EK11" i="13"/>
  <c r="EL8" i="13"/>
  <c r="EK12" i="13"/>
  <c r="EK10" i="13"/>
  <c r="EC7" i="13"/>
  <c r="ED13" i="13"/>
  <c r="CF27" i="13"/>
  <c r="CF28" i="13" s="1"/>
  <c r="CF25" i="13"/>
  <c r="ED15" i="13"/>
  <c r="EF17" i="13" s="1"/>
  <c r="ED5" i="13"/>
  <c r="ED6" i="13"/>
  <c r="CG3" i="13"/>
  <c r="EE4" i="13"/>
  <c r="EM14" i="13" l="1"/>
  <c r="EO16" i="13" s="1"/>
  <c r="EL11" i="13"/>
  <c r="EM8" i="13"/>
  <c r="EL10" i="13"/>
  <c r="EL12" i="13"/>
  <c r="ED7" i="13"/>
  <c r="EE15" i="13"/>
  <c r="EG17" i="13" s="1"/>
  <c r="EE13" i="13"/>
  <c r="CG27" i="13"/>
  <c r="CG28" i="13" s="1"/>
  <c r="CG25" i="13"/>
  <c r="EE5" i="13"/>
  <c r="EE6" i="13"/>
  <c r="CH3" i="13"/>
  <c r="EF4" i="13"/>
  <c r="EN14" i="13" l="1"/>
  <c r="EP16" i="13" s="1"/>
  <c r="EM11" i="13"/>
  <c r="EN8" i="13"/>
  <c r="EM12" i="13"/>
  <c r="EM10" i="13"/>
  <c r="EE7" i="13"/>
  <c r="EF15" i="13"/>
  <c r="EH17" i="13" s="1"/>
  <c r="EF13" i="13"/>
  <c r="CH25" i="13"/>
  <c r="CH27" i="13"/>
  <c r="CH28" i="13" s="1"/>
  <c r="EF5" i="13"/>
  <c r="EF6" i="13"/>
  <c r="G19" i="20"/>
  <c r="J19" i="20" s="1"/>
  <c r="G37" i="20"/>
  <c r="J37" i="20" s="1"/>
  <c r="CI3" i="13"/>
  <c r="EG4" i="13"/>
  <c r="EO14" i="13" l="1"/>
  <c r="EQ16" i="13" s="1"/>
  <c r="EN11" i="13"/>
  <c r="EO8" i="13"/>
  <c r="EN10" i="13"/>
  <c r="EN12" i="13"/>
  <c r="EF7" i="13"/>
  <c r="EG13" i="13"/>
  <c r="EG15" i="13"/>
  <c r="EI17" i="13" s="1"/>
  <c r="CI27" i="13"/>
  <c r="CI28" i="13" s="1"/>
  <c r="CI25" i="13"/>
  <c r="EG5" i="13"/>
  <c r="EG6" i="13"/>
  <c r="CJ3" i="13"/>
  <c r="EH4" i="13"/>
  <c r="EP14" i="13" l="1"/>
  <c r="ER16" i="13" s="1"/>
  <c r="EO11" i="13"/>
  <c r="EP8" i="13"/>
  <c r="EO12" i="13"/>
  <c r="EO10" i="13"/>
  <c r="EG7" i="13"/>
  <c r="EH13" i="13"/>
  <c r="EH15" i="13"/>
  <c r="EJ17" i="13" s="1"/>
  <c r="CJ27" i="13"/>
  <c r="CJ28" i="13" s="1"/>
  <c r="CJ25" i="13"/>
  <c r="EH5" i="13"/>
  <c r="EH6" i="13"/>
  <c r="CK3" i="13"/>
  <c r="EI4" i="13"/>
  <c r="EQ14" i="13" l="1"/>
  <c r="ES16" i="13" s="1"/>
  <c r="EP11" i="13"/>
  <c r="EQ8" i="13"/>
  <c r="EP10" i="13"/>
  <c r="EP12" i="13"/>
  <c r="EH7" i="13"/>
  <c r="EI15" i="13"/>
  <c r="EK17" i="13" s="1"/>
  <c r="EI13" i="13"/>
  <c r="CK27" i="13"/>
  <c r="CK28" i="13" s="1"/>
  <c r="CK25" i="13"/>
  <c r="EI5" i="13"/>
  <c r="EI6" i="13"/>
  <c r="CL3" i="13"/>
  <c r="EJ4" i="13"/>
  <c r="ER14" i="13" l="1"/>
  <c r="ET16" i="13" s="1"/>
  <c r="EQ12" i="13"/>
  <c r="EQ11" i="13"/>
  <c r="ER8" i="13"/>
  <c r="EQ10" i="13"/>
  <c r="EI7" i="13"/>
  <c r="EJ13" i="13"/>
  <c r="EJ15" i="13"/>
  <c r="EL17" i="13" s="1"/>
  <c r="CL25" i="13"/>
  <c r="CL27" i="13"/>
  <c r="CL28" i="13" s="1"/>
  <c r="EJ5" i="13"/>
  <c r="EJ6" i="13"/>
  <c r="G63" i="20"/>
  <c r="J63" i="20" s="1"/>
  <c r="CM3" i="13"/>
  <c r="EK4" i="13"/>
  <c r="ES14" i="13" l="1"/>
  <c r="EU16" i="13" s="1"/>
  <c r="ER11" i="13"/>
  <c r="ES8" i="13"/>
  <c r="ER12" i="13"/>
  <c r="ER10" i="13"/>
  <c r="EJ7" i="13"/>
  <c r="EK13" i="13"/>
  <c r="EK15" i="13"/>
  <c r="EM17" i="13" s="1"/>
  <c r="CM27" i="13"/>
  <c r="CM28" i="13" s="1"/>
  <c r="CM25" i="13"/>
  <c r="EK5" i="13"/>
  <c r="EK6" i="13"/>
  <c r="CN3" i="13"/>
  <c r="EL4" i="13"/>
  <c r="ET14" i="13" l="1"/>
  <c r="EV16" i="13" s="1"/>
  <c r="ES10" i="13"/>
  <c r="ES11" i="13"/>
  <c r="ET8" i="13"/>
  <c r="ES12" i="13"/>
  <c r="EK7" i="13"/>
  <c r="EL13" i="13"/>
  <c r="EL15" i="13"/>
  <c r="EN17" i="13" s="1"/>
  <c r="CN27" i="13"/>
  <c r="CN28" i="13" s="1"/>
  <c r="CN25" i="13"/>
  <c r="EL5" i="13"/>
  <c r="EL6" i="13"/>
  <c r="CO3" i="13"/>
  <c r="EM4" i="13"/>
  <c r="EU14" i="13" l="1"/>
  <c r="EW16" i="13" s="1"/>
  <c r="ET11" i="13"/>
  <c r="EU8" i="13"/>
  <c r="ET12" i="13"/>
  <c r="ET10" i="13"/>
  <c r="EL7" i="13"/>
  <c r="EM15" i="13"/>
  <c r="EO17" i="13" s="1"/>
  <c r="EM13" i="13"/>
  <c r="CO27" i="13"/>
  <c r="CO28" i="13" s="1"/>
  <c r="CO25" i="13"/>
  <c r="EM5" i="13"/>
  <c r="EM6" i="13"/>
  <c r="CP3" i="13"/>
  <c r="EN4" i="13"/>
  <c r="EV14" i="13" l="1"/>
  <c r="EX16" i="13" s="1"/>
  <c r="EU11" i="13"/>
  <c r="EV8" i="13"/>
  <c r="EU10" i="13"/>
  <c r="EU12" i="13"/>
  <c r="EM7" i="13"/>
  <c r="EN13" i="13"/>
  <c r="EN15" i="13"/>
  <c r="EP17" i="13" s="1"/>
  <c r="CP27" i="13"/>
  <c r="CP28" i="13" s="1"/>
  <c r="CP25" i="13"/>
  <c r="EN5" i="13"/>
  <c r="EN6" i="13"/>
  <c r="CQ3" i="13"/>
  <c r="EO4" i="13"/>
  <c r="EW14" i="13" l="1"/>
  <c r="EY16" i="13" s="1"/>
  <c r="EV11" i="13"/>
  <c r="EW8" i="13"/>
  <c r="EV12" i="13"/>
  <c r="EV10" i="13"/>
  <c r="EN7" i="13"/>
  <c r="EO15" i="13"/>
  <c r="EQ17" i="13" s="1"/>
  <c r="EO13" i="13"/>
  <c r="CQ27" i="13"/>
  <c r="CQ28" i="13" s="1"/>
  <c r="CQ25" i="13"/>
  <c r="EO5" i="13"/>
  <c r="EO6" i="13"/>
  <c r="CR3" i="13"/>
  <c r="EP4" i="13"/>
  <c r="EX14" i="13" l="1"/>
  <c r="EZ16" i="13" s="1"/>
  <c r="EW11" i="13"/>
  <c r="EX8" i="13"/>
  <c r="EW10" i="13"/>
  <c r="EW12" i="13"/>
  <c r="EO7" i="13"/>
  <c r="EP15" i="13"/>
  <c r="ER17" i="13" s="1"/>
  <c r="EP13" i="13"/>
  <c r="CR25" i="13"/>
  <c r="CR27" i="13"/>
  <c r="CR28" i="13" s="1"/>
  <c r="EP5" i="13"/>
  <c r="EP6" i="13"/>
  <c r="CS3" i="13"/>
  <c r="EQ4" i="13"/>
  <c r="EY14" i="13" l="1"/>
  <c r="FA16" i="13" s="1"/>
  <c r="EX11" i="13"/>
  <c r="EY8" i="13"/>
  <c r="EX12" i="13"/>
  <c r="EX10" i="13"/>
  <c r="EP7" i="13"/>
  <c r="EQ15" i="13"/>
  <c r="ES17" i="13" s="1"/>
  <c r="EQ13" i="13"/>
  <c r="CS27" i="13"/>
  <c r="CS28" i="13" s="1"/>
  <c r="CS25" i="13"/>
  <c r="EQ5" i="13"/>
  <c r="EQ6" i="13"/>
  <c r="CT3" i="13"/>
  <c r="ER4" i="13"/>
  <c r="EZ14" i="13" l="1"/>
  <c r="FB16" i="13" s="1"/>
  <c r="EY11" i="13"/>
  <c r="EZ8" i="13"/>
  <c r="EY10" i="13"/>
  <c r="EY12" i="13"/>
  <c r="EQ7" i="13"/>
  <c r="ER15" i="13"/>
  <c r="ET17" i="13" s="1"/>
  <c r="ER13" i="13"/>
  <c r="CT27" i="13"/>
  <c r="CT28" i="13" s="1"/>
  <c r="CT25" i="13"/>
  <c r="ER5" i="13"/>
  <c r="ER6" i="13"/>
  <c r="CU3" i="13"/>
  <c r="ES4" i="13"/>
  <c r="FA14" i="13" l="1"/>
  <c r="FC16" i="13" s="1"/>
  <c r="EZ11" i="13"/>
  <c r="FA8" i="13"/>
  <c r="EZ12" i="13"/>
  <c r="EZ10" i="13"/>
  <c r="ER7" i="13"/>
  <c r="ES13" i="13"/>
  <c r="ES15" i="13"/>
  <c r="EU17" i="13" s="1"/>
  <c r="CU27" i="13"/>
  <c r="CU28" i="13" s="1"/>
  <c r="CU25" i="13"/>
  <c r="ES5" i="13"/>
  <c r="ES6" i="13"/>
  <c r="CV3" i="13"/>
  <c r="ET4" i="13"/>
  <c r="FB14" i="13" l="1"/>
  <c r="FD16" i="13" s="1"/>
  <c r="FA11" i="13"/>
  <c r="FB8" i="13"/>
  <c r="FA10" i="13"/>
  <c r="FA12" i="13"/>
  <c r="ES7" i="13"/>
  <c r="ET15" i="13"/>
  <c r="EV17" i="13" s="1"/>
  <c r="ET13" i="13"/>
  <c r="CV27" i="13"/>
  <c r="CV28" i="13" s="1"/>
  <c r="CV25" i="13"/>
  <c r="ET5" i="13"/>
  <c r="ET6" i="13"/>
  <c r="CW3" i="13"/>
  <c r="EU4" i="13"/>
  <c r="FC14" i="13" l="1"/>
  <c r="FE16" i="13" s="1"/>
  <c r="FB11" i="13"/>
  <c r="FC8" i="13"/>
  <c r="FB12" i="13"/>
  <c r="FB10" i="13"/>
  <c r="ET7" i="13"/>
  <c r="EU13" i="13"/>
  <c r="EU15" i="13"/>
  <c r="EW17" i="13" s="1"/>
  <c r="CW27" i="13"/>
  <c r="CW28" i="13" s="1"/>
  <c r="CW25" i="13"/>
  <c r="EU5" i="13"/>
  <c r="EU6" i="13"/>
  <c r="CX3" i="13"/>
  <c r="EV4" i="13"/>
  <c r="FD14" i="13" l="1"/>
  <c r="FF16" i="13" s="1"/>
  <c r="FC11" i="13"/>
  <c r="FD8" i="13"/>
  <c r="FC10" i="13"/>
  <c r="FC12" i="13"/>
  <c r="EU7" i="13"/>
  <c r="EV15" i="13"/>
  <c r="EX17" i="13" s="1"/>
  <c r="EV13" i="13"/>
  <c r="CX25" i="13"/>
  <c r="CX27" i="13"/>
  <c r="CX28" i="13" s="1"/>
  <c r="EV5" i="13"/>
  <c r="EV6" i="13"/>
  <c r="CY3" i="13"/>
  <c r="EW4" i="13"/>
  <c r="FE14" i="13" l="1"/>
  <c r="FG16" i="13" s="1"/>
  <c r="FD11" i="13"/>
  <c r="FE8" i="13"/>
  <c r="FD12" i="13"/>
  <c r="FD10" i="13"/>
  <c r="EV7" i="13"/>
  <c r="EW15" i="13"/>
  <c r="EY17" i="13" s="1"/>
  <c r="EW13" i="13"/>
  <c r="CY27" i="13"/>
  <c r="CY28" i="13" s="1"/>
  <c r="CY25" i="13"/>
  <c r="EW5" i="13"/>
  <c r="EW6" i="13"/>
  <c r="CZ3" i="13"/>
  <c r="EX4" i="13"/>
  <c r="FF14" i="13" l="1"/>
  <c r="FH16" i="13" s="1"/>
  <c r="FE11" i="13"/>
  <c r="FF8" i="13"/>
  <c r="FE10" i="13"/>
  <c r="FE12" i="13"/>
  <c r="EW7" i="13"/>
  <c r="EX13" i="13"/>
  <c r="EX15" i="13"/>
  <c r="EZ17" i="13" s="1"/>
  <c r="CZ27" i="13"/>
  <c r="CZ28" i="13" s="1"/>
  <c r="CZ25" i="13"/>
  <c r="EX5" i="13"/>
  <c r="EX6" i="13"/>
  <c r="DA3" i="13"/>
  <c r="EY4" i="13"/>
  <c r="FG14" i="13" l="1"/>
  <c r="FI16" i="13" s="1"/>
  <c r="FF11" i="13"/>
  <c r="FG8" i="13"/>
  <c r="FF12" i="13"/>
  <c r="FF10" i="13"/>
  <c r="EX7" i="13"/>
  <c r="EY15" i="13"/>
  <c r="FA17" i="13" s="1"/>
  <c r="EY13" i="13"/>
  <c r="DA27" i="13"/>
  <c r="DA28" i="13" s="1"/>
  <c r="DA25" i="13"/>
  <c r="EY5" i="13"/>
  <c r="EY6" i="13"/>
  <c r="DB3" i="13"/>
  <c r="EZ4" i="13"/>
  <c r="FH14" i="13" l="1"/>
  <c r="FJ16" i="13" s="1"/>
  <c r="FG11" i="13"/>
  <c r="FH8" i="13"/>
  <c r="FG10" i="13"/>
  <c r="FG12" i="13"/>
  <c r="EY7" i="13"/>
  <c r="EZ13" i="13"/>
  <c r="EZ15" i="13"/>
  <c r="FB17" i="13" s="1"/>
  <c r="DB25" i="13"/>
  <c r="DB27" i="13"/>
  <c r="DB28" i="13" s="1"/>
  <c r="EZ5" i="13"/>
  <c r="EZ6" i="13"/>
  <c r="DC3" i="13"/>
  <c r="FA4" i="13"/>
  <c r="FI14" i="13" l="1"/>
  <c r="FK16" i="13" s="1"/>
  <c r="FH11" i="13"/>
  <c r="FI8" i="13"/>
  <c r="FH12" i="13"/>
  <c r="FH10" i="13"/>
  <c r="EZ7" i="13"/>
  <c r="FA15" i="13"/>
  <c r="FC17" i="13" s="1"/>
  <c r="FA13" i="13"/>
  <c r="DC27" i="13"/>
  <c r="DC28" i="13" s="1"/>
  <c r="DC25" i="13"/>
  <c r="FA5" i="13"/>
  <c r="FA6" i="13"/>
  <c r="DD3" i="13"/>
  <c r="FB4" i="13"/>
  <c r="FJ14" i="13" l="1"/>
  <c r="FL16" i="13" s="1"/>
  <c r="FI11" i="13"/>
  <c r="FJ8" i="13"/>
  <c r="FI10" i="13"/>
  <c r="FI12" i="13"/>
  <c r="FA7" i="13"/>
  <c r="FB13" i="13"/>
  <c r="FB15" i="13"/>
  <c r="FD17" i="13" s="1"/>
  <c r="DD27" i="13"/>
  <c r="DD28" i="13" s="1"/>
  <c r="DD25" i="13"/>
  <c r="FB5" i="13"/>
  <c r="FB6" i="13"/>
  <c r="DE3" i="13"/>
  <c r="FC4" i="13"/>
  <c r="FK14" i="13" l="1"/>
  <c r="FM16" i="13" s="1"/>
  <c r="FJ11" i="13"/>
  <c r="FK8" i="13"/>
  <c r="FJ12" i="13"/>
  <c r="FJ10" i="13"/>
  <c r="FB7" i="13"/>
  <c r="FL8" i="13" s="1"/>
  <c r="FC15" i="13"/>
  <c r="FE17" i="13" s="1"/>
  <c r="FC13" i="13"/>
  <c r="DE27" i="13"/>
  <c r="DE28" i="13" s="1"/>
  <c r="DE25" i="13"/>
  <c r="FC5" i="13"/>
  <c r="FC6" i="13"/>
  <c r="DF3" i="13"/>
  <c r="FD4" i="13"/>
  <c r="FM14" i="13" l="1"/>
  <c r="FO16" i="13" s="1"/>
  <c r="FL14" i="13"/>
  <c r="FN16" i="13" s="1"/>
  <c r="FK11" i="13"/>
  <c r="FK10" i="13"/>
  <c r="FK12" i="13"/>
  <c r="FC7" i="13"/>
  <c r="FD15" i="13"/>
  <c r="FF17" i="13" s="1"/>
  <c r="FD13" i="13"/>
  <c r="DF27" i="13"/>
  <c r="DF28" i="13" s="1"/>
  <c r="DF25" i="13"/>
  <c r="FD5" i="13"/>
  <c r="FD6" i="13"/>
  <c r="DG3" i="13"/>
  <c r="FE4" i="13"/>
  <c r="FL11" i="13" l="1"/>
  <c r="FM8" i="13"/>
  <c r="FL12" i="13"/>
  <c r="FL10" i="13"/>
  <c r="FD7" i="13"/>
  <c r="FE15" i="13"/>
  <c r="FG17" i="13" s="1"/>
  <c r="FE13" i="13"/>
  <c r="DG27" i="13"/>
  <c r="DG28" i="13" s="1"/>
  <c r="DG25" i="13"/>
  <c r="FE5" i="13"/>
  <c r="FE6" i="13"/>
  <c r="DH3" i="13"/>
  <c r="FF4" i="13"/>
  <c r="FN14" i="13" l="1"/>
  <c r="FP16" i="13" s="1"/>
  <c r="FM11" i="13"/>
  <c r="FN8" i="13"/>
  <c r="FM10" i="13"/>
  <c r="FM12" i="13"/>
  <c r="FE7" i="13"/>
  <c r="FF15" i="13"/>
  <c r="FH17" i="13" s="1"/>
  <c r="FF13" i="13"/>
  <c r="DH25" i="13"/>
  <c r="DH27" i="13"/>
  <c r="DH28" i="13" s="1"/>
  <c r="FF5" i="13"/>
  <c r="FF6" i="13"/>
  <c r="DI3" i="13"/>
  <c r="FG4" i="13"/>
  <c r="FO14" i="13" l="1"/>
  <c r="FQ16" i="13" s="1"/>
  <c r="FN11" i="13"/>
  <c r="FO8" i="13"/>
  <c r="FN12" i="13"/>
  <c r="FN10" i="13"/>
  <c r="FF7" i="13"/>
  <c r="FG15" i="13"/>
  <c r="FI17" i="13" s="1"/>
  <c r="FG13" i="13"/>
  <c r="DI27" i="13"/>
  <c r="DI28" i="13" s="1"/>
  <c r="DI25" i="13"/>
  <c r="FG5" i="13"/>
  <c r="FG6" i="13"/>
  <c r="DJ3" i="13"/>
  <c r="FH4" i="13"/>
  <c r="FP14" i="13" l="1"/>
  <c r="FR16" i="13" s="1"/>
  <c r="FO11" i="13"/>
  <c r="FP8" i="13"/>
  <c r="FO10" i="13"/>
  <c r="FO12" i="13"/>
  <c r="FG7" i="13"/>
  <c r="FQ8" i="13" s="1"/>
  <c r="FH15" i="13"/>
  <c r="FJ17" i="13" s="1"/>
  <c r="FH13" i="13"/>
  <c r="DJ25" i="13"/>
  <c r="DJ27" i="13"/>
  <c r="DJ28" i="13" s="1"/>
  <c r="FH5" i="13"/>
  <c r="FH6" i="13"/>
  <c r="DK3" i="13"/>
  <c r="FI4" i="13"/>
  <c r="FR14" i="13" l="1"/>
  <c r="FT16" i="13" s="1"/>
  <c r="FQ14" i="13"/>
  <c r="FS16" i="13" s="1"/>
  <c r="FP10" i="13"/>
  <c r="FP12" i="13"/>
  <c r="FP11" i="13"/>
  <c r="FH7" i="13"/>
  <c r="FI15" i="13"/>
  <c r="FK17" i="13" s="1"/>
  <c r="FI13" i="13"/>
  <c r="DK27" i="13"/>
  <c r="DK28" i="13" s="1"/>
  <c r="DK25" i="13"/>
  <c r="FI5" i="13"/>
  <c r="FI6" i="13"/>
  <c r="DL3" i="13"/>
  <c r="FJ4" i="13"/>
  <c r="FQ11" i="13" l="1"/>
  <c r="FR8" i="13"/>
  <c r="FQ10" i="13"/>
  <c r="FQ12" i="13"/>
  <c r="FI7" i="13"/>
  <c r="FS8" i="13" s="1"/>
  <c r="FJ15" i="13"/>
  <c r="FL17" i="13" s="1"/>
  <c r="FJ13" i="13"/>
  <c r="DL27" i="13"/>
  <c r="DL28" i="13" s="1"/>
  <c r="DL25" i="13"/>
  <c r="FJ5" i="13"/>
  <c r="FJ6" i="13"/>
  <c r="DM3" i="13"/>
  <c r="FK4" i="13"/>
  <c r="FT14" i="13" l="1"/>
  <c r="FV16" i="13" s="1"/>
  <c r="FS14" i="13"/>
  <c r="FU16" i="13" s="1"/>
  <c r="FR11" i="13"/>
  <c r="FS11" i="13" s="1"/>
  <c r="FR12" i="13"/>
  <c r="FR10" i="13"/>
  <c r="FJ7" i="13"/>
  <c r="FT8" i="13" s="1"/>
  <c r="FK15" i="13"/>
  <c r="FM17" i="13" s="1"/>
  <c r="FK13" i="13"/>
  <c r="DM27" i="13"/>
  <c r="DM28" i="13" s="1"/>
  <c r="DM25" i="13"/>
  <c r="FK5" i="13"/>
  <c r="FK6" i="13"/>
  <c r="DN3" i="13"/>
  <c r="FL4" i="13"/>
  <c r="FU14" i="13" l="1"/>
  <c r="FW16" i="13" s="1"/>
  <c r="FS10" i="13"/>
  <c r="FS12" i="13"/>
  <c r="FK7" i="13"/>
  <c r="FL15" i="13"/>
  <c r="FN17" i="13" s="1"/>
  <c r="FL13" i="13"/>
  <c r="DN25" i="13"/>
  <c r="DN27" i="13"/>
  <c r="DN28" i="13" s="1"/>
  <c r="FL5" i="13"/>
  <c r="FL6" i="13"/>
  <c r="DO3" i="13"/>
  <c r="FM4" i="13"/>
  <c r="FT11" i="13" l="1"/>
  <c r="FU8" i="13"/>
  <c r="FT12" i="13"/>
  <c r="FT10" i="13"/>
  <c r="FL7" i="13"/>
  <c r="FM15" i="13"/>
  <c r="FO17" i="13" s="1"/>
  <c r="FM13" i="13"/>
  <c r="DO27" i="13"/>
  <c r="DO28" i="13" s="1"/>
  <c r="DO25" i="13"/>
  <c r="FM5" i="13"/>
  <c r="FM6" i="13"/>
  <c r="DP3" i="13"/>
  <c r="FN4" i="13"/>
  <c r="FV14" i="13" l="1"/>
  <c r="FX16" i="13" s="1"/>
  <c r="FU11" i="13"/>
  <c r="FV8" i="13"/>
  <c r="FU10" i="13"/>
  <c r="FU12" i="13"/>
  <c r="FM7" i="13"/>
  <c r="FN15" i="13"/>
  <c r="FP17" i="13" s="1"/>
  <c r="FN13" i="13"/>
  <c r="DP27" i="13"/>
  <c r="DP28" i="13" s="1"/>
  <c r="DP25" i="13"/>
  <c r="FN5" i="13"/>
  <c r="FN6" i="13"/>
  <c r="DQ3" i="13"/>
  <c r="FO4" i="13"/>
  <c r="FW14" i="13" l="1"/>
  <c r="FY16" i="13" s="1"/>
  <c r="FV11" i="13"/>
  <c r="FW8" i="13"/>
  <c r="FV12" i="13"/>
  <c r="FV10" i="13"/>
  <c r="FN7" i="13"/>
  <c r="FO15" i="13"/>
  <c r="FQ17" i="13" s="1"/>
  <c r="FO13" i="13"/>
  <c r="DQ27" i="13"/>
  <c r="DQ28" i="13" s="1"/>
  <c r="DQ25" i="13"/>
  <c r="FO5" i="13"/>
  <c r="FO6" i="13"/>
  <c r="DR3" i="13"/>
  <c r="FP4" i="13"/>
  <c r="FX14" i="13" l="1"/>
  <c r="FZ16" i="13" s="1"/>
  <c r="FW11" i="13"/>
  <c r="FX8" i="13"/>
  <c r="FW10" i="13"/>
  <c r="FW12" i="13"/>
  <c r="FO7" i="13"/>
  <c r="FP15" i="13"/>
  <c r="FR17" i="13" s="1"/>
  <c r="FP13" i="13"/>
  <c r="DR25" i="13"/>
  <c r="DR27" i="13"/>
  <c r="DR28" i="13" s="1"/>
  <c r="FP5" i="13"/>
  <c r="FP6" i="13"/>
  <c r="DS3" i="13"/>
  <c r="FQ4" i="13"/>
  <c r="FY14" i="13" l="1"/>
  <c r="GA16" i="13" s="1"/>
  <c r="FX11" i="13"/>
  <c r="FY8" i="13"/>
  <c r="FX12" i="13"/>
  <c r="FX10" i="13"/>
  <c r="FP7" i="13"/>
  <c r="FQ15" i="13"/>
  <c r="FS17" i="13" s="1"/>
  <c r="FQ13" i="13"/>
  <c r="DS27" i="13"/>
  <c r="DS28" i="13" s="1"/>
  <c r="DS25" i="13"/>
  <c r="FQ5" i="13"/>
  <c r="FQ6" i="13"/>
  <c r="DT3" i="13"/>
  <c r="FR4" i="13"/>
  <c r="FZ14" i="13" l="1"/>
  <c r="GB16" i="13" s="1"/>
  <c r="FY11" i="13"/>
  <c r="FZ8" i="13"/>
  <c r="FY10" i="13"/>
  <c r="FY12" i="13"/>
  <c r="FQ7" i="13"/>
  <c r="FR13" i="13"/>
  <c r="FR15" i="13"/>
  <c r="FT17" i="13" s="1"/>
  <c r="DT27" i="13"/>
  <c r="DT28" i="13" s="1"/>
  <c r="DT25" i="13"/>
  <c r="FR5" i="13"/>
  <c r="FR6" i="13"/>
  <c r="DU3" i="13"/>
  <c r="FS4" i="13"/>
  <c r="GA14" i="13" l="1"/>
  <c r="GC16" i="13" s="1"/>
  <c r="FZ11" i="13"/>
  <c r="GA8" i="13"/>
  <c r="FZ12" i="13"/>
  <c r="FZ10" i="13"/>
  <c r="FR7" i="13"/>
  <c r="FS13" i="13"/>
  <c r="FS15" i="13"/>
  <c r="FU17" i="13" s="1"/>
  <c r="DU27" i="13"/>
  <c r="DU28" i="13" s="1"/>
  <c r="DU25" i="13"/>
  <c r="FS5" i="13"/>
  <c r="FS6" i="13"/>
  <c r="DV3" i="13"/>
  <c r="FT4" i="13"/>
  <c r="GB14" i="13" l="1"/>
  <c r="GD16" i="13" s="1"/>
  <c r="GA11" i="13"/>
  <c r="GB8" i="13"/>
  <c r="GA10" i="13"/>
  <c r="GA12" i="13"/>
  <c r="FS7" i="13"/>
  <c r="FT15" i="13"/>
  <c r="FV17" i="13" s="1"/>
  <c r="FT13" i="13"/>
  <c r="DV27" i="13"/>
  <c r="DV28" i="13" s="1"/>
  <c r="DV25" i="13"/>
  <c r="FT5" i="13"/>
  <c r="FT6" i="13"/>
  <c r="DW3" i="13"/>
  <c r="FU4" i="13"/>
  <c r="GC14" i="13" l="1"/>
  <c r="GE16" i="13" s="1"/>
  <c r="GB11" i="13"/>
  <c r="GC8" i="13"/>
  <c r="GB12" i="13"/>
  <c r="GB10" i="13"/>
  <c r="FT7" i="13"/>
  <c r="FU13" i="13"/>
  <c r="FU15" i="13"/>
  <c r="FW17" i="13" s="1"/>
  <c r="DW27" i="13"/>
  <c r="DW28" i="13" s="1"/>
  <c r="DW25" i="13"/>
  <c r="FU5" i="13"/>
  <c r="FU6" i="13"/>
  <c r="DX3" i="13"/>
  <c r="FV4" i="13"/>
  <c r="GD14" i="13" l="1"/>
  <c r="GF16" i="13" s="1"/>
  <c r="GC11" i="13"/>
  <c r="GD8" i="13"/>
  <c r="GC10" i="13"/>
  <c r="GC12" i="13"/>
  <c r="FU7" i="13"/>
  <c r="FV15" i="13"/>
  <c r="FX17" i="13" s="1"/>
  <c r="FV13" i="13"/>
  <c r="DX25" i="13"/>
  <c r="DX27" i="13"/>
  <c r="DX28" i="13" s="1"/>
  <c r="FV5" i="13"/>
  <c r="FV6" i="13"/>
  <c r="DY3" i="13"/>
  <c r="FW4" i="13"/>
  <c r="GE14" i="13" l="1"/>
  <c r="GG16" i="13" s="1"/>
  <c r="GD11" i="13"/>
  <c r="GE8" i="13"/>
  <c r="GD12" i="13"/>
  <c r="GD10" i="13"/>
  <c r="FV7" i="13"/>
  <c r="FW13" i="13"/>
  <c r="FW15" i="13"/>
  <c r="FY17" i="13" s="1"/>
  <c r="DY27" i="13"/>
  <c r="DY28" i="13" s="1"/>
  <c r="DY25" i="13"/>
  <c r="FW5" i="13"/>
  <c r="FW6" i="13"/>
  <c r="DZ3" i="13"/>
  <c r="FX4" i="13"/>
  <c r="GF14" i="13" l="1"/>
  <c r="GH16" i="13" s="1"/>
  <c r="GE11" i="13"/>
  <c r="GF8" i="13"/>
  <c r="GE10" i="13"/>
  <c r="GE12" i="13"/>
  <c r="FW7" i="13"/>
  <c r="FX15" i="13"/>
  <c r="FZ17" i="13" s="1"/>
  <c r="FX13" i="13"/>
  <c r="DZ25" i="13"/>
  <c r="DZ27" i="13"/>
  <c r="DZ28" i="13" s="1"/>
  <c r="FX5" i="13"/>
  <c r="FX6" i="13"/>
  <c r="EA3" i="13"/>
  <c r="FY4" i="13"/>
  <c r="GG14" i="13" l="1"/>
  <c r="GI16" i="13" s="1"/>
  <c r="GF11" i="13"/>
  <c r="GG8" i="13"/>
  <c r="GF12" i="13"/>
  <c r="GF10" i="13"/>
  <c r="FX7" i="13"/>
  <c r="FY13" i="13"/>
  <c r="FY15" i="13"/>
  <c r="GA17" i="13" s="1"/>
  <c r="EA27" i="13"/>
  <c r="EA28" i="13" s="1"/>
  <c r="EA25" i="13"/>
  <c r="FY5" i="13"/>
  <c r="FY6" i="13"/>
  <c r="EB3" i="13"/>
  <c r="FZ4" i="13"/>
  <c r="GH14" i="13" l="1"/>
  <c r="GJ16" i="13" s="1"/>
  <c r="GG11" i="13"/>
  <c r="GH8" i="13"/>
  <c r="GG10" i="13"/>
  <c r="GG12" i="13"/>
  <c r="FY7" i="13"/>
  <c r="GI8" i="13" s="1"/>
  <c r="FZ13" i="13"/>
  <c r="EB27" i="13"/>
  <c r="EB28" i="13" s="1"/>
  <c r="EB25" i="13"/>
  <c r="FZ15" i="13"/>
  <c r="GB17" i="13" s="1"/>
  <c r="FZ5" i="13"/>
  <c r="FZ6" i="13"/>
  <c r="EC3" i="13"/>
  <c r="GA4" i="13"/>
  <c r="GI14" i="13" l="1"/>
  <c r="GK16" i="13" s="1"/>
  <c r="GJ14" i="13"/>
  <c r="GL16" i="13" s="1"/>
  <c r="GH11" i="13"/>
  <c r="GH12" i="13"/>
  <c r="GH10" i="13"/>
  <c r="FZ7" i="13"/>
  <c r="GA15" i="13"/>
  <c r="GC17" i="13" s="1"/>
  <c r="GA13" i="13"/>
  <c r="EC27" i="13"/>
  <c r="EC28" i="13" s="1"/>
  <c r="EC25" i="13"/>
  <c r="GA5" i="13"/>
  <c r="GA6" i="13"/>
  <c r="ED3" i="13"/>
  <c r="GB4" i="13"/>
  <c r="GI11" i="13" l="1"/>
  <c r="GJ8" i="13"/>
  <c r="GI10" i="13"/>
  <c r="GI12" i="13"/>
  <c r="GA7" i="13"/>
  <c r="GB13" i="13"/>
  <c r="GB15" i="13"/>
  <c r="GD17" i="13" s="1"/>
  <c r="ED27" i="13"/>
  <c r="ED28" i="13" s="1"/>
  <c r="ED25" i="13"/>
  <c r="GB5" i="13"/>
  <c r="GB6" i="13"/>
  <c r="EE3" i="13"/>
  <c r="GC4" i="13"/>
  <c r="GK14" i="13" l="1"/>
  <c r="GM16" i="13" s="1"/>
  <c r="GJ11" i="13"/>
  <c r="GK8" i="13"/>
  <c r="GJ12" i="13"/>
  <c r="GJ10" i="13"/>
  <c r="GB7" i="13"/>
  <c r="GC15" i="13"/>
  <c r="GE17" i="13" s="1"/>
  <c r="GC13" i="13"/>
  <c r="EE27" i="13"/>
  <c r="EE28" i="13" s="1"/>
  <c r="EE25" i="13"/>
  <c r="GC5" i="13"/>
  <c r="GC6" i="13"/>
  <c r="EF3" i="13"/>
  <c r="GD4" i="13"/>
  <c r="GL14" i="13" l="1"/>
  <c r="GN16" i="13" s="1"/>
  <c r="GK12" i="13"/>
  <c r="GK11" i="13"/>
  <c r="GL8" i="13"/>
  <c r="GK10" i="13"/>
  <c r="GC7" i="13"/>
  <c r="GD15" i="13"/>
  <c r="GF17" i="13" s="1"/>
  <c r="GD13" i="13"/>
  <c r="EF27" i="13"/>
  <c r="EF28" i="13" s="1"/>
  <c r="EF25" i="13"/>
  <c r="GD5" i="13"/>
  <c r="GD6" i="13"/>
  <c r="EG3" i="13"/>
  <c r="GE4" i="13"/>
  <c r="GM14" i="13" l="1"/>
  <c r="GO16" i="13" s="1"/>
  <c r="GL11" i="13"/>
  <c r="GM8" i="13"/>
  <c r="GL12" i="13"/>
  <c r="GL10" i="13"/>
  <c r="GD7" i="13"/>
  <c r="GE15" i="13"/>
  <c r="GG17" i="13" s="1"/>
  <c r="GE13" i="13"/>
  <c r="EG27" i="13"/>
  <c r="EG28" i="13" s="1"/>
  <c r="EG25" i="13"/>
  <c r="GE5" i="13"/>
  <c r="GE6" i="13"/>
  <c r="EH3" i="13"/>
  <c r="GF4" i="13"/>
  <c r="GN14" i="13" l="1"/>
  <c r="GP16" i="13" s="1"/>
  <c r="GM11" i="13"/>
  <c r="GN8" i="13"/>
  <c r="GM10" i="13"/>
  <c r="GM12" i="13"/>
  <c r="GE7" i="13"/>
  <c r="GF15" i="13"/>
  <c r="GH17" i="13" s="1"/>
  <c r="GF13" i="13"/>
  <c r="EH25" i="13"/>
  <c r="EH27" i="13"/>
  <c r="EH28" i="13" s="1"/>
  <c r="GF5" i="13"/>
  <c r="GF6" i="13"/>
  <c r="EI3" i="13"/>
  <c r="GG4" i="13"/>
  <c r="GO14" i="13" l="1"/>
  <c r="GQ16" i="13" s="1"/>
  <c r="GN11" i="13"/>
  <c r="GO8" i="13"/>
  <c r="GN12" i="13"/>
  <c r="GN10" i="13"/>
  <c r="GF7" i="13"/>
  <c r="GG15" i="13"/>
  <c r="GI17" i="13" s="1"/>
  <c r="GG13" i="13"/>
  <c r="EI27" i="13"/>
  <c r="EI28" i="13" s="1"/>
  <c r="EI25" i="13"/>
  <c r="GG5" i="13"/>
  <c r="GG6" i="13"/>
  <c r="EJ3" i="13"/>
  <c r="GH4" i="13"/>
  <c r="GP14" i="13" l="1"/>
  <c r="GR16" i="13" s="1"/>
  <c r="GO11" i="13"/>
  <c r="GP8" i="13"/>
  <c r="GO10" i="13"/>
  <c r="GO12" i="13"/>
  <c r="GG7" i="13"/>
  <c r="GH13" i="13"/>
  <c r="GH15" i="13"/>
  <c r="GJ17" i="13" s="1"/>
  <c r="EJ27" i="13"/>
  <c r="EJ28" i="13" s="1"/>
  <c r="EJ25" i="13"/>
  <c r="GH5" i="13"/>
  <c r="GH6" i="13"/>
  <c r="EK3" i="13"/>
  <c r="GI4" i="13"/>
  <c r="GQ14" i="13" l="1"/>
  <c r="GS16" i="13" s="1"/>
  <c r="GP11" i="13"/>
  <c r="GQ8" i="13"/>
  <c r="GP12" i="13"/>
  <c r="GP10" i="13"/>
  <c r="GH7" i="13"/>
  <c r="GI15" i="13"/>
  <c r="GK17" i="13" s="1"/>
  <c r="GI13" i="13"/>
  <c r="EK27" i="13"/>
  <c r="EK28" i="13" s="1"/>
  <c r="EK25" i="13"/>
  <c r="GI5" i="13"/>
  <c r="GI6" i="13"/>
  <c r="EL3" i="13"/>
  <c r="GJ4" i="13"/>
  <c r="GR14" i="13" l="1"/>
  <c r="GT16" i="13" s="1"/>
  <c r="GQ11" i="13"/>
  <c r="GR8" i="13"/>
  <c r="GQ10" i="13"/>
  <c r="GQ12" i="13"/>
  <c r="GI7" i="13"/>
  <c r="GJ13" i="13"/>
  <c r="EL27" i="13"/>
  <c r="EL28" i="13" s="1"/>
  <c r="EL25" i="13"/>
  <c r="GJ15" i="13"/>
  <c r="GL17" i="13" s="1"/>
  <c r="GJ5" i="13"/>
  <c r="GJ6" i="13"/>
  <c r="EM3" i="13"/>
  <c r="GK4" i="13"/>
  <c r="GS14" i="13" l="1"/>
  <c r="GU16" i="13" s="1"/>
  <c r="GR11" i="13"/>
  <c r="GS8" i="13"/>
  <c r="GR12" i="13"/>
  <c r="GR10" i="13"/>
  <c r="GJ7" i="13"/>
  <c r="GK15" i="13"/>
  <c r="GM17" i="13" s="1"/>
  <c r="GK13" i="13"/>
  <c r="EM27" i="13"/>
  <c r="EM28" i="13" s="1"/>
  <c r="EM25" i="13"/>
  <c r="GK5" i="13"/>
  <c r="GK6" i="13"/>
  <c r="EN3" i="13"/>
  <c r="GL4" i="13"/>
  <c r="GT14" i="13" l="1"/>
  <c r="GV16" i="13" s="1"/>
  <c r="GS11" i="13"/>
  <c r="GT8" i="13"/>
  <c r="GS10" i="13"/>
  <c r="GS12" i="13"/>
  <c r="GK7" i="13"/>
  <c r="GL13" i="13"/>
  <c r="GL15" i="13"/>
  <c r="GN17" i="13" s="1"/>
  <c r="EN25" i="13"/>
  <c r="EN27" i="13"/>
  <c r="EN28" i="13" s="1"/>
  <c r="GL5" i="13"/>
  <c r="GL6" i="13"/>
  <c r="EO3" i="13"/>
  <c r="GM4" i="13"/>
  <c r="GU14" i="13" l="1"/>
  <c r="GW16" i="13" s="1"/>
  <c r="GT11" i="13"/>
  <c r="GU8" i="13"/>
  <c r="GT12" i="13"/>
  <c r="GT10" i="13"/>
  <c r="GL7" i="13"/>
  <c r="GM13" i="13"/>
  <c r="GM15" i="13"/>
  <c r="GO17" i="13" s="1"/>
  <c r="EO27" i="13"/>
  <c r="EO28" i="13" s="1"/>
  <c r="EO25" i="13"/>
  <c r="GM5" i="13"/>
  <c r="GM6" i="13"/>
  <c r="EP3" i="13"/>
  <c r="GN4" i="13"/>
  <c r="GV14" i="13" l="1"/>
  <c r="GX16" i="13" s="1"/>
  <c r="GU11" i="13"/>
  <c r="GV8" i="13"/>
  <c r="GU10" i="13"/>
  <c r="GU12" i="13"/>
  <c r="GM7" i="13"/>
  <c r="GN13" i="13"/>
  <c r="GN15" i="13"/>
  <c r="GP17" i="13" s="1"/>
  <c r="EP27" i="13"/>
  <c r="EP28" i="13" s="1"/>
  <c r="EP25" i="13"/>
  <c r="GN5" i="13"/>
  <c r="GN6" i="13"/>
  <c r="EQ3" i="13"/>
  <c r="GO4" i="13"/>
  <c r="GW14" i="13" l="1"/>
  <c r="GY16" i="13" s="1"/>
  <c r="GV11" i="13"/>
  <c r="GW8" i="13"/>
  <c r="GV12" i="13"/>
  <c r="GV10" i="13"/>
  <c r="GN7" i="13"/>
  <c r="GO15" i="13"/>
  <c r="GQ17" i="13" s="1"/>
  <c r="GO13" i="13"/>
  <c r="EQ27" i="13"/>
  <c r="EQ28" i="13" s="1"/>
  <c r="EQ25" i="13"/>
  <c r="GO5" i="13"/>
  <c r="GO6" i="13"/>
  <c r="ER3" i="13"/>
  <c r="GP4" i="13"/>
  <c r="GX14" i="13" l="1"/>
  <c r="GZ16" i="13" s="1"/>
  <c r="GW10" i="13"/>
  <c r="GW11" i="13"/>
  <c r="GX8" i="13"/>
  <c r="GW12" i="13"/>
  <c r="GO7" i="13"/>
  <c r="GP15" i="13"/>
  <c r="GR17" i="13" s="1"/>
  <c r="GP13" i="13"/>
  <c r="ER27" i="13"/>
  <c r="ER28" i="13" s="1"/>
  <c r="ER25" i="13"/>
  <c r="GP5" i="13"/>
  <c r="GP6" i="13"/>
  <c r="ES3" i="13"/>
  <c r="GQ4" i="13"/>
  <c r="GY14" i="13" l="1"/>
  <c r="HA16" i="13" s="1"/>
  <c r="GX11" i="13"/>
  <c r="GY8" i="13"/>
  <c r="GX12" i="13"/>
  <c r="GX10" i="13"/>
  <c r="GP7" i="13"/>
  <c r="GQ15" i="13"/>
  <c r="GS17" i="13" s="1"/>
  <c r="GQ13" i="13"/>
  <c r="ES27" i="13"/>
  <c r="ES28" i="13" s="1"/>
  <c r="ES25" i="13"/>
  <c r="GQ5" i="13"/>
  <c r="GQ6" i="13"/>
  <c r="ET3" i="13"/>
  <c r="GR4" i="13"/>
  <c r="GZ14" i="13" l="1"/>
  <c r="HB16" i="13" s="1"/>
  <c r="GY11" i="13"/>
  <c r="GZ8" i="13"/>
  <c r="GY10" i="13"/>
  <c r="GY12" i="13"/>
  <c r="GQ7" i="13"/>
  <c r="GR15" i="13"/>
  <c r="GT17" i="13" s="1"/>
  <c r="GR13" i="13"/>
  <c r="ET25" i="13"/>
  <c r="ET27" i="13"/>
  <c r="ET28" i="13" s="1"/>
  <c r="GR5" i="13"/>
  <c r="GR6" i="13"/>
  <c r="EU3" i="13"/>
  <c r="GS4" i="13"/>
  <c r="HA14" i="13" l="1"/>
  <c r="HC16" i="13" s="1"/>
  <c r="GZ11" i="13"/>
  <c r="HA8" i="13"/>
  <c r="GZ12" i="13"/>
  <c r="GZ10" i="13"/>
  <c r="GR7" i="13"/>
  <c r="GS13" i="13"/>
  <c r="GS15" i="13"/>
  <c r="GU17" i="13" s="1"/>
  <c r="EU27" i="13"/>
  <c r="EU28" i="13" s="1"/>
  <c r="EU25" i="13"/>
  <c r="GS5" i="13"/>
  <c r="GS6" i="13"/>
  <c r="EV3" i="13"/>
  <c r="GT4" i="13"/>
  <c r="HB14" i="13" l="1"/>
  <c r="HD16" i="13" s="1"/>
  <c r="HA11" i="13"/>
  <c r="HB8" i="13"/>
  <c r="HA10" i="13"/>
  <c r="HA12" i="13"/>
  <c r="GS7" i="13"/>
  <c r="GT13" i="13"/>
  <c r="GT15" i="13"/>
  <c r="GV17" i="13" s="1"/>
  <c r="EV25" i="13"/>
  <c r="EV27" i="13"/>
  <c r="EV28" i="13" s="1"/>
  <c r="GT5" i="13"/>
  <c r="GT6" i="13"/>
  <c r="EW3" i="13"/>
  <c r="GU4" i="13"/>
  <c r="HC14" i="13" l="1"/>
  <c r="HE16" i="13" s="1"/>
  <c r="HB11" i="13"/>
  <c r="HC8" i="13"/>
  <c r="HB12" i="13"/>
  <c r="HB10" i="13"/>
  <c r="GT7" i="13"/>
  <c r="GU15" i="13"/>
  <c r="GW17" i="13" s="1"/>
  <c r="GU13" i="13"/>
  <c r="EW27" i="13"/>
  <c r="EW28" i="13" s="1"/>
  <c r="EW25" i="13"/>
  <c r="GU5" i="13"/>
  <c r="GU6" i="13"/>
  <c r="EX3" i="13"/>
  <c r="GV4" i="13"/>
  <c r="HD14" i="13" l="1"/>
  <c r="HF16" i="13" s="1"/>
  <c r="HC11" i="13"/>
  <c r="HD8" i="13"/>
  <c r="HC10" i="13"/>
  <c r="HC12" i="13"/>
  <c r="GU7" i="13"/>
  <c r="GV15" i="13"/>
  <c r="GX17" i="13" s="1"/>
  <c r="GV13" i="13"/>
  <c r="EX25" i="13"/>
  <c r="EX27" i="13"/>
  <c r="EX28" i="13" s="1"/>
  <c r="GV5" i="13"/>
  <c r="GV6" i="13"/>
  <c r="EY3" i="13"/>
  <c r="GW4" i="13"/>
  <c r="HE14" i="13" l="1"/>
  <c r="HG16" i="13" s="1"/>
  <c r="HD11" i="13"/>
  <c r="HE8" i="13"/>
  <c r="HD12" i="13"/>
  <c r="HD10" i="13"/>
  <c r="GV7" i="13"/>
  <c r="GW15" i="13"/>
  <c r="GY17" i="13" s="1"/>
  <c r="GW13" i="13"/>
  <c r="EY27" i="13"/>
  <c r="EY28" i="13" s="1"/>
  <c r="EY25" i="13"/>
  <c r="GW5" i="13"/>
  <c r="GW6" i="13"/>
  <c r="EZ3" i="13"/>
  <c r="GX4" i="13"/>
  <c r="HF14" i="13" l="1"/>
  <c r="HH16" i="13" s="1"/>
  <c r="HE11" i="13"/>
  <c r="HF8" i="13"/>
  <c r="HE10" i="13"/>
  <c r="HE12" i="13"/>
  <c r="GW7" i="13"/>
  <c r="GX15" i="13"/>
  <c r="GZ17" i="13" s="1"/>
  <c r="GX13" i="13"/>
  <c r="EZ27" i="13"/>
  <c r="EZ28" i="13" s="1"/>
  <c r="EZ25" i="13"/>
  <c r="GX5" i="13"/>
  <c r="GX6" i="13"/>
  <c r="FA3" i="13"/>
  <c r="GY4" i="13"/>
  <c r="HG14" i="13" l="1"/>
  <c r="HI16" i="13" s="1"/>
  <c r="HF11" i="13"/>
  <c r="HG8" i="13"/>
  <c r="HF12" i="13"/>
  <c r="HF10" i="13"/>
  <c r="GX7" i="13"/>
  <c r="GY13" i="13"/>
  <c r="FA27" i="13"/>
  <c r="FA28" i="13" s="1"/>
  <c r="FA25" i="13"/>
  <c r="GY15" i="13"/>
  <c r="HA17" i="13" s="1"/>
  <c r="GY5" i="13"/>
  <c r="GY6" i="13"/>
  <c r="FB3" i="13"/>
  <c r="GZ4" i="13"/>
  <c r="HH14" i="13" l="1"/>
  <c r="HJ16" i="13" s="1"/>
  <c r="HG11" i="13"/>
  <c r="HH8" i="13"/>
  <c r="HG12" i="13"/>
  <c r="HG10" i="13"/>
  <c r="GY7" i="13"/>
  <c r="GZ13" i="13"/>
  <c r="GZ15" i="13"/>
  <c r="HB17" i="13" s="1"/>
  <c r="FB27" i="13"/>
  <c r="FB28" i="13" s="1"/>
  <c r="FB25" i="13"/>
  <c r="GZ5" i="13"/>
  <c r="GZ6" i="13"/>
  <c r="FC3" i="13"/>
  <c r="HA4" i="13"/>
  <c r="HI14" i="13" l="1"/>
  <c r="HK16" i="13" s="1"/>
  <c r="HH12" i="13"/>
  <c r="HH11" i="13"/>
  <c r="HI8" i="13"/>
  <c r="HH10" i="13"/>
  <c r="GZ7" i="13"/>
  <c r="HA13" i="13"/>
  <c r="HA15" i="13"/>
  <c r="HC17" i="13" s="1"/>
  <c r="FC27" i="13"/>
  <c r="FC28" i="13" s="1"/>
  <c r="FC25" i="13"/>
  <c r="HA5" i="13"/>
  <c r="HA6" i="13"/>
  <c r="FD3" i="13"/>
  <c r="HB4" i="13"/>
  <c r="HJ14" i="13" l="1"/>
  <c r="HL16" i="13" s="1"/>
  <c r="HI11" i="13"/>
  <c r="HJ8" i="13"/>
  <c r="HI12" i="13"/>
  <c r="HI10" i="13"/>
  <c r="HA7" i="13"/>
  <c r="HB13" i="13"/>
  <c r="HB15" i="13"/>
  <c r="HD17" i="13" s="1"/>
  <c r="FD25" i="13"/>
  <c r="FD27" i="13"/>
  <c r="FD28" i="13" s="1"/>
  <c r="HB5" i="13"/>
  <c r="HB6" i="13"/>
  <c r="FE3" i="13"/>
  <c r="HC4" i="13"/>
  <c r="HK14" i="13" l="1"/>
  <c r="HM16" i="13" s="1"/>
  <c r="HJ11" i="13"/>
  <c r="HK8" i="13"/>
  <c r="HJ10" i="13"/>
  <c r="HJ12" i="13"/>
  <c r="HB7" i="13"/>
  <c r="HC15" i="13"/>
  <c r="HE17" i="13" s="1"/>
  <c r="HC13" i="13"/>
  <c r="FE27" i="13"/>
  <c r="FE28" i="13" s="1"/>
  <c r="FE25" i="13"/>
  <c r="HC5" i="13"/>
  <c r="HC6" i="13"/>
  <c r="FF3" i="13"/>
  <c r="HD4" i="13"/>
  <c r="HL14" i="13" l="1"/>
  <c r="HN16" i="13" s="1"/>
  <c r="HK11" i="13"/>
  <c r="HL8" i="13"/>
  <c r="HK12" i="13"/>
  <c r="HK10" i="13"/>
  <c r="HC7" i="13"/>
  <c r="HD13" i="13"/>
  <c r="HD15" i="13"/>
  <c r="HF17" i="13" s="1"/>
  <c r="FF27" i="13"/>
  <c r="FF28" i="13" s="1"/>
  <c r="FF25" i="13"/>
  <c r="HD5" i="13"/>
  <c r="HD6" i="13"/>
  <c r="FG3" i="13"/>
  <c r="HE4" i="13"/>
  <c r="HM14" i="13" l="1"/>
  <c r="HO16" i="13" s="1"/>
  <c r="HL10" i="13"/>
  <c r="HL11" i="13"/>
  <c r="HM8" i="13"/>
  <c r="HL12" i="13"/>
  <c r="HD7" i="13"/>
  <c r="HE13" i="13"/>
  <c r="HE15" i="13"/>
  <c r="HG17" i="13" s="1"/>
  <c r="FG27" i="13"/>
  <c r="FG28" i="13" s="1"/>
  <c r="FG25" i="13"/>
  <c r="HE5" i="13"/>
  <c r="HE6" i="13"/>
  <c r="FH3" i="13"/>
  <c r="HF4" i="13"/>
  <c r="HN14" i="13" l="1"/>
  <c r="HP16" i="13" s="1"/>
  <c r="HM12" i="13"/>
  <c r="HM11" i="13"/>
  <c r="HN8" i="13"/>
  <c r="HM10" i="13"/>
  <c r="HE7" i="13"/>
  <c r="HF15" i="13"/>
  <c r="HH17" i="13" s="1"/>
  <c r="HF13" i="13"/>
  <c r="FH27" i="13"/>
  <c r="FH28" i="13" s="1"/>
  <c r="FH25" i="13"/>
  <c r="HF5" i="13"/>
  <c r="HF6" i="13"/>
  <c r="FI3" i="13"/>
  <c r="HG4" i="13"/>
  <c r="HO14" i="13" l="1"/>
  <c r="HQ16" i="13" s="1"/>
  <c r="HN10" i="13"/>
  <c r="HN11" i="13"/>
  <c r="HO8" i="13"/>
  <c r="HN12" i="13"/>
  <c r="HF7" i="13"/>
  <c r="HG13" i="13"/>
  <c r="FI27" i="13"/>
  <c r="FI28" i="13" s="1"/>
  <c r="FI25" i="13"/>
  <c r="HG15" i="13"/>
  <c r="HI17" i="13" s="1"/>
  <c r="HG5" i="13"/>
  <c r="HG6" i="13"/>
  <c r="FJ3" i="13"/>
  <c r="HH4" i="13"/>
  <c r="HP14" i="13" l="1"/>
  <c r="HR16" i="13" s="1"/>
  <c r="HO12" i="13"/>
  <c r="HO11" i="13"/>
  <c r="HP8" i="13"/>
  <c r="HO10" i="13"/>
  <c r="HG7" i="13"/>
  <c r="HH13" i="13"/>
  <c r="HH15" i="13"/>
  <c r="HJ17" i="13" s="1"/>
  <c r="FJ25" i="13"/>
  <c r="FJ27" i="13"/>
  <c r="FJ28" i="13" s="1"/>
  <c r="HH5" i="13"/>
  <c r="HH6" i="13"/>
  <c r="FK3" i="13"/>
  <c r="HI4" i="13"/>
  <c r="HQ14" i="13" l="1"/>
  <c r="HS16" i="13" s="1"/>
  <c r="HP11" i="13"/>
  <c r="HQ8" i="13"/>
  <c r="HP10" i="13"/>
  <c r="HP12" i="13"/>
  <c r="HH7" i="13"/>
  <c r="HI13" i="13"/>
  <c r="HI15" i="13"/>
  <c r="HK17" i="13" s="1"/>
  <c r="FK27" i="13"/>
  <c r="FK28" i="13" s="1"/>
  <c r="FK25" i="13"/>
  <c r="HI5" i="13"/>
  <c r="HI6" i="13"/>
  <c r="FL3" i="13"/>
  <c r="HJ4" i="13"/>
  <c r="HR14" i="13" l="1"/>
  <c r="HT16" i="13" s="1"/>
  <c r="HQ12" i="13"/>
  <c r="HQ11" i="13"/>
  <c r="HR8" i="13"/>
  <c r="HQ10" i="13"/>
  <c r="HI7" i="13"/>
  <c r="HJ13" i="13"/>
  <c r="FL27" i="13"/>
  <c r="FL28" i="13" s="1"/>
  <c r="FL25" i="13"/>
  <c r="HJ15" i="13"/>
  <c r="HL17" i="13" s="1"/>
  <c r="HJ5" i="13"/>
  <c r="HJ6" i="13"/>
  <c r="FM3" i="13"/>
  <c r="HK4" i="13"/>
  <c r="HS14" i="13" l="1"/>
  <c r="HU16" i="13" s="1"/>
  <c r="HR11" i="13"/>
  <c r="HS8" i="13"/>
  <c r="HR12" i="13"/>
  <c r="HR10" i="13"/>
  <c r="HJ7" i="13"/>
  <c r="HT8" i="13" s="1"/>
  <c r="HK13" i="13"/>
  <c r="HK15" i="13"/>
  <c r="HM17" i="13" s="1"/>
  <c r="FM27" i="13"/>
  <c r="FM28" i="13" s="1"/>
  <c r="FM25" i="13"/>
  <c r="HK5" i="13"/>
  <c r="HK6" i="13"/>
  <c r="FN3" i="13"/>
  <c r="HL4" i="13"/>
  <c r="HU14" i="13" l="1"/>
  <c r="HW16" i="13" s="1"/>
  <c r="HT14" i="13"/>
  <c r="HV16" i="13" s="1"/>
  <c r="HS10" i="13"/>
  <c r="HS11" i="13"/>
  <c r="HS12" i="13"/>
  <c r="HK7" i="13"/>
  <c r="HL13" i="13"/>
  <c r="HL15" i="13"/>
  <c r="HN17" i="13" s="1"/>
  <c r="FN25" i="13"/>
  <c r="FN27" i="13"/>
  <c r="FN28" i="13" s="1"/>
  <c r="HL5" i="13"/>
  <c r="HL6" i="13"/>
  <c r="FO3" i="13"/>
  <c r="HM4" i="13"/>
  <c r="HT11" i="13" l="1"/>
  <c r="HU8" i="13"/>
  <c r="HT12" i="13"/>
  <c r="HT10" i="13"/>
  <c r="HL7" i="13"/>
  <c r="HM15" i="13"/>
  <c r="HO17" i="13" s="1"/>
  <c r="HM13" i="13"/>
  <c r="FO27" i="13"/>
  <c r="FO28" i="13" s="1"/>
  <c r="FO25" i="13"/>
  <c r="HM5" i="13"/>
  <c r="HM6" i="13"/>
  <c r="FP3" i="13"/>
  <c r="HN4" i="13"/>
  <c r="HV14" i="13" l="1"/>
  <c r="HX16" i="13" s="1"/>
  <c r="HU10" i="13"/>
  <c r="HU11" i="13"/>
  <c r="HV8" i="13"/>
  <c r="HU12" i="13"/>
  <c r="HM7" i="13"/>
  <c r="HN13" i="13"/>
  <c r="FP27" i="13"/>
  <c r="FP28" i="13" s="1"/>
  <c r="FP25" i="13"/>
  <c r="HN15" i="13"/>
  <c r="HP17" i="13" s="1"/>
  <c r="HN5" i="13"/>
  <c r="HN6" i="13"/>
  <c r="FQ3" i="13"/>
  <c r="HO4" i="13"/>
  <c r="HW14" i="13" l="1"/>
  <c r="HY16" i="13" s="1"/>
  <c r="HV11" i="13"/>
  <c r="HW8" i="13"/>
  <c r="HV12" i="13"/>
  <c r="HV10" i="13"/>
  <c r="HN7" i="13"/>
  <c r="HO15" i="13"/>
  <c r="HQ17" i="13" s="1"/>
  <c r="HO13" i="13"/>
  <c r="FQ27" i="13"/>
  <c r="FQ28" i="13" s="1"/>
  <c r="FQ25" i="13"/>
  <c r="HO5" i="13"/>
  <c r="HO6" i="13"/>
  <c r="FR3" i="13"/>
  <c r="HP4" i="13"/>
  <c r="HX14" i="13" l="1"/>
  <c r="HZ16" i="13" s="1"/>
  <c r="HW11" i="13"/>
  <c r="HX8" i="13"/>
  <c r="HW10" i="13"/>
  <c r="HW12" i="13"/>
  <c r="HO7" i="13"/>
  <c r="HP13" i="13"/>
  <c r="HP15" i="13"/>
  <c r="HR17" i="13" s="1"/>
  <c r="FR27" i="13"/>
  <c r="FR28" i="13" s="1"/>
  <c r="FR25" i="13"/>
  <c r="HP5" i="13"/>
  <c r="HP6" i="13"/>
  <c r="FS3" i="13"/>
  <c r="HQ4" i="13"/>
  <c r="HY14" i="13" l="1"/>
  <c r="IA16" i="13" s="1"/>
  <c r="HX11" i="13"/>
  <c r="HY8" i="13"/>
  <c r="HX12" i="13"/>
  <c r="HX10" i="13"/>
  <c r="HP7" i="13"/>
  <c r="HQ15" i="13"/>
  <c r="HS17" i="13" s="1"/>
  <c r="HQ13" i="13"/>
  <c r="FS27" i="13"/>
  <c r="FS28" i="13" s="1"/>
  <c r="FS25" i="13"/>
  <c r="HQ5" i="13"/>
  <c r="HQ6" i="13"/>
  <c r="FT3" i="13"/>
  <c r="HR4" i="13"/>
  <c r="HZ14" i="13" l="1"/>
  <c r="IB16" i="13" s="1"/>
  <c r="HY10" i="13"/>
  <c r="HY11" i="13"/>
  <c r="HZ8" i="13"/>
  <c r="HY12" i="13"/>
  <c r="HQ7" i="13"/>
  <c r="HR15" i="13"/>
  <c r="HT17" i="13" s="1"/>
  <c r="HR13" i="13"/>
  <c r="FT25" i="13"/>
  <c r="FT27" i="13"/>
  <c r="FT28" i="13" s="1"/>
  <c r="HR5" i="13"/>
  <c r="HR6" i="13"/>
  <c r="FU3" i="13"/>
  <c r="HS4" i="13"/>
  <c r="IA14" i="13" l="1"/>
  <c r="IC16" i="13" s="1"/>
  <c r="HZ11" i="13"/>
  <c r="IA8" i="13"/>
  <c r="HZ12" i="13"/>
  <c r="HZ10" i="13"/>
  <c r="HR7" i="13"/>
  <c r="HS13" i="13"/>
  <c r="FU27" i="13"/>
  <c r="FU28" i="13" s="1"/>
  <c r="FU25" i="13"/>
  <c r="HS15" i="13"/>
  <c r="HU17" i="13" s="1"/>
  <c r="HS5" i="13"/>
  <c r="HS6" i="13"/>
  <c r="FV3" i="13"/>
  <c r="HT4" i="13"/>
  <c r="IB14" i="13" l="1"/>
  <c r="ID16" i="13" s="1"/>
  <c r="IA10" i="13"/>
  <c r="IA11" i="13"/>
  <c r="IB8" i="13"/>
  <c r="IA12" i="13"/>
  <c r="HS7" i="13"/>
  <c r="HT13" i="13"/>
  <c r="FV25" i="13"/>
  <c r="FV27" i="13"/>
  <c r="FV28" i="13" s="1"/>
  <c r="HT15" i="13"/>
  <c r="HV17" i="13" s="1"/>
  <c r="HT5" i="13"/>
  <c r="HT6" i="13"/>
  <c r="FW3" i="13"/>
  <c r="HU4" i="13"/>
  <c r="IC14" i="13" l="1"/>
  <c r="IE16" i="13" s="1"/>
  <c r="IB12" i="13"/>
  <c r="IB11" i="13"/>
  <c r="IB10" i="13"/>
  <c r="IC8" i="13"/>
  <c r="HT7" i="13"/>
  <c r="HU13" i="13"/>
  <c r="HU15" i="13"/>
  <c r="HW17" i="13" s="1"/>
  <c r="FW27" i="13"/>
  <c r="FW28" i="13" s="1"/>
  <c r="FW25" i="13"/>
  <c r="HU5" i="13"/>
  <c r="HU6" i="13"/>
  <c r="FX3" i="13"/>
  <c r="HV4" i="13"/>
  <c r="ID14" i="13" l="1"/>
  <c r="IF16" i="13" s="1"/>
  <c r="IC10" i="13"/>
  <c r="IC11" i="13"/>
  <c r="ID8" i="13"/>
  <c r="IC12" i="13"/>
  <c r="HU7" i="13"/>
  <c r="HV13" i="13"/>
  <c r="HV15" i="13"/>
  <c r="HX17" i="13" s="1"/>
  <c r="FX27" i="13"/>
  <c r="FX28" i="13" s="1"/>
  <c r="FX25" i="13"/>
  <c r="HV5" i="13"/>
  <c r="HV6" i="13"/>
  <c r="FY3" i="13"/>
  <c r="HW4" i="13"/>
  <c r="IE14" i="13" l="1"/>
  <c r="IG16" i="13" s="1"/>
  <c r="ID12" i="13"/>
  <c r="ID11" i="13"/>
  <c r="IE8" i="13"/>
  <c r="ID10" i="13"/>
  <c r="HV7" i="13"/>
  <c r="HW15" i="13"/>
  <c r="HY17" i="13" s="1"/>
  <c r="HW13" i="13"/>
  <c r="FY27" i="13"/>
  <c r="FY28" i="13" s="1"/>
  <c r="FY25" i="13"/>
  <c r="HW5" i="13"/>
  <c r="HW6" i="13"/>
  <c r="FZ3" i="13"/>
  <c r="HX4" i="13"/>
  <c r="IF14" i="13" l="1"/>
  <c r="IH16" i="13" s="1"/>
  <c r="IE10" i="13"/>
  <c r="IE11" i="13"/>
  <c r="IE12" i="13"/>
  <c r="IF8" i="13"/>
  <c r="HW7" i="13"/>
  <c r="HX13" i="13"/>
  <c r="HX15" i="13"/>
  <c r="HZ17" i="13" s="1"/>
  <c r="FZ25" i="13"/>
  <c r="FZ27" i="13"/>
  <c r="FZ28" i="13" s="1"/>
  <c r="HX5" i="13"/>
  <c r="HX6" i="13"/>
  <c r="GA3" i="13"/>
  <c r="HY4" i="13"/>
  <c r="IG14" i="13" l="1"/>
  <c r="II16" i="13" s="1"/>
  <c r="IF12" i="13"/>
  <c r="IG8" i="13"/>
  <c r="IF11" i="13"/>
  <c r="IF10" i="13"/>
  <c r="HX7" i="13"/>
  <c r="HY13" i="13"/>
  <c r="GA27" i="13"/>
  <c r="GA28" i="13" s="1"/>
  <c r="GA25" i="13"/>
  <c r="HY15" i="13"/>
  <c r="IA17" i="13" s="1"/>
  <c r="HY5" i="13"/>
  <c r="HY6" i="13"/>
  <c r="GB3" i="13"/>
  <c r="HZ4" i="13"/>
  <c r="IH14" i="13" l="1"/>
  <c r="IJ16" i="13" s="1"/>
  <c r="IG12" i="13"/>
  <c r="IH8" i="13"/>
  <c r="IG10" i="13"/>
  <c r="IG11" i="13"/>
  <c r="HY7" i="13"/>
  <c r="HZ15" i="13"/>
  <c r="IB17" i="13" s="1"/>
  <c r="HZ13" i="13"/>
  <c r="GB27" i="13"/>
  <c r="GB28" i="13" s="1"/>
  <c r="GB25" i="13"/>
  <c r="HZ5" i="13"/>
  <c r="HZ6" i="13"/>
  <c r="GC3" i="13"/>
  <c r="IA4" i="13"/>
  <c r="II14" i="13" l="1"/>
  <c r="IK16" i="13" s="1"/>
  <c r="IH12" i="13"/>
  <c r="II8" i="13"/>
  <c r="IH11" i="13"/>
  <c r="IH10" i="13"/>
  <c r="HZ7" i="13"/>
  <c r="IA13" i="13"/>
  <c r="GC27" i="13"/>
  <c r="GC28" i="13" s="1"/>
  <c r="GC25" i="13"/>
  <c r="IA15" i="13"/>
  <c r="IC17" i="13" s="1"/>
  <c r="IA5" i="13"/>
  <c r="IA6" i="13"/>
  <c r="GD3" i="13"/>
  <c r="IB4" i="13"/>
  <c r="IJ14" i="13" l="1"/>
  <c r="IL16" i="13" s="1"/>
  <c r="II12" i="13"/>
  <c r="IJ8" i="13"/>
  <c r="II10" i="13"/>
  <c r="II11" i="13"/>
  <c r="IA7" i="13"/>
  <c r="IB13" i="13"/>
  <c r="IB15" i="13"/>
  <c r="ID17" i="13" s="1"/>
  <c r="GD25" i="13"/>
  <c r="GD27" i="13"/>
  <c r="GD28" i="13" s="1"/>
  <c r="IB5" i="13"/>
  <c r="IB6" i="13"/>
  <c r="GE3" i="13"/>
  <c r="IC4" i="13"/>
  <c r="IK14" i="13" l="1"/>
  <c r="IM16" i="13" s="1"/>
  <c r="IJ11" i="13"/>
  <c r="IJ12" i="13"/>
  <c r="IK8" i="13"/>
  <c r="IJ10" i="13"/>
  <c r="IB7" i="13"/>
  <c r="IC13" i="13"/>
  <c r="IC15" i="13"/>
  <c r="IE17" i="13" s="1"/>
  <c r="GE27" i="13"/>
  <c r="GE28" i="13" s="1"/>
  <c r="GE25" i="13"/>
  <c r="IC5" i="13"/>
  <c r="IC6" i="13"/>
  <c r="GF3" i="13"/>
  <c r="ID4" i="13"/>
  <c r="IL14" i="13" l="1"/>
  <c r="IN16" i="13" s="1"/>
  <c r="IK12" i="13"/>
  <c r="IL8" i="13"/>
  <c r="IK10" i="13"/>
  <c r="IK11" i="13"/>
  <c r="IC7" i="13"/>
  <c r="IM8" i="13" s="1"/>
  <c r="ID15" i="13"/>
  <c r="IF17" i="13" s="1"/>
  <c r="ID13" i="13"/>
  <c r="GF27" i="13"/>
  <c r="GF28" i="13" s="1"/>
  <c r="GF25" i="13"/>
  <c r="ID5" i="13"/>
  <c r="ID6" i="13"/>
  <c r="GG3" i="13"/>
  <c r="IE4" i="13"/>
  <c r="IN14" i="13" l="1"/>
  <c r="IM14" i="13"/>
  <c r="IL12" i="13"/>
  <c r="IL11" i="13"/>
  <c r="IL10" i="13"/>
  <c r="ID7" i="13"/>
  <c r="IE13" i="13"/>
  <c r="GG27" i="13"/>
  <c r="GG28" i="13" s="1"/>
  <c r="GG25" i="13"/>
  <c r="IE15" i="13"/>
  <c r="IG17" i="13" s="1"/>
  <c r="IE5" i="13"/>
  <c r="IE6" i="13"/>
  <c r="GH3" i="13"/>
  <c r="IF4" i="13"/>
  <c r="IM12" i="13" l="1"/>
  <c r="IN8" i="13"/>
  <c r="IM10" i="13"/>
  <c r="IM11" i="13"/>
  <c r="IE7" i="13"/>
  <c r="IF13" i="13"/>
  <c r="GH27" i="13"/>
  <c r="GH28" i="13" s="1"/>
  <c r="GH25" i="13"/>
  <c r="IF15" i="13"/>
  <c r="IH17" i="13" s="1"/>
  <c r="IF5" i="13"/>
  <c r="IF6" i="13"/>
  <c r="GI3" i="13"/>
  <c r="IG4" i="13"/>
  <c r="IN12" i="13" l="1"/>
  <c r="IN11" i="13"/>
  <c r="IN10" i="13"/>
  <c r="IF7" i="13"/>
  <c r="IG13" i="13"/>
  <c r="IG15" i="13"/>
  <c r="II17" i="13" s="1"/>
  <c r="GI27" i="13"/>
  <c r="GI28" i="13" s="1"/>
  <c r="GI25" i="13"/>
  <c r="IG5" i="13"/>
  <c r="IG6" i="13"/>
  <c r="GJ3" i="13"/>
  <c r="IH4" i="13"/>
  <c r="IG7" i="13" l="1"/>
  <c r="IH15" i="13"/>
  <c r="IJ17" i="13" s="1"/>
  <c r="IH13" i="13"/>
  <c r="GJ25" i="13"/>
  <c r="GJ27" i="13"/>
  <c r="GJ28" i="13" s="1"/>
  <c r="IH5" i="13"/>
  <c r="IH6" i="13"/>
  <c r="GK3" i="13"/>
  <c r="II4" i="13"/>
  <c r="IH7" i="13" l="1"/>
  <c r="II13" i="13"/>
  <c r="II15" i="13"/>
  <c r="IK17" i="13" s="1"/>
  <c r="GK27" i="13"/>
  <c r="GK28" i="13" s="1"/>
  <c r="GK25" i="13"/>
  <c r="II5" i="13"/>
  <c r="II6" i="13"/>
  <c r="GL3" i="13"/>
  <c r="IJ4" i="13"/>
  <c r="II7" i="13" l="1"/>
  <c r="IJ13" i="13"/>
  <c r="IJ15" i="13"/>
  <c r="IL17" i="13" s="1"/>
  <c r="GL25" i="13"/>
  <c r="GL27" i="13"/>
  <c r="GL28" i="13" s="1"/>
  <c r="IJ5" i="13"/>
  <c r="IJ6" i="13"/>
  <c r="GM3" i="13"/>
  <c r="IK4" i="13"/>
  <c r="IJ7" i="13" l="1"/>
  <c r="IK15" i="13"/>
  <c r="IM17" i="13" s="1"/>
  <c r="IK13" i="13"/>
  <c r="GM27" i="13"/>
  <c r="GM28" i="13" s="1"/>
  <c r="GM25" i="13"/>
  <c r="IK5" i="13"/>
  <c r="IK6" i="13"/>
  <c r="GN3" i="13"/>
  <c r="IL4" i="13"/>
  <c r="IK7" i="13" l="1"/>
  <c r="IL13" i="13"/>
  <c r="IL15" i="13"/>
  <c r="IN17" i="13" s="1"/>
  <c r="GN27" i="13"/>
  <c r="GN28" i="13" s="1"/>
  <c r="GN25" i="13"/>
  <c r="IL5" i="13"/>
  <c r="IL6" i="13"/>
  <c r="GO3" i="13"/>
  <c r="IM4" i="13"/>
  <c r="IL7" i="13" l="1"/>
  <c r="IM15" i="13"/>
  <c r="IM13" i="13"/>
  <c r="GO27" i="13"/>
  <c r="GO28" i="13" s="1"/>
  <c r="GO25" i="13"/>
  <c r="IM5" i="13"/>
  <c r="IM6" i="13"/>
  <c r="GP3" i="13"/>
  <c r="IN4" i="13"/>
  <c r="IM7" i="13" l="1"/>
  <c r="IN15" i="13"/>
  <c r="IN13" i="13"/>
  <c r="GP27" i="13"/>
  <c r="GP28" i="13" s="1"/>
  <c r="GP25" i="13"/>
  <c r="IN5" i="13"/>
  <c r="IN7" i="13" s="1"/>
  <c r="IN6" i="13"/>
  <c r="GQ3" i="13"/>
  <c r="C5" i="13" l="1"/>
  <c r="GQ27" i="13"/>
  <c r="GQ28" i="13" s="1"/>
  <c r="GQ25" i="13"/>
  <c r="GR3" i="13"/>
  <c r="C11" i="13" l="1"/>
  <c r="C6" i="13"/>
  <c r="C7" i="13" s="1"/>
  <c r="GR27" i="13"/>
  <c r="GR28" i="13" s="1"/>
  <c r="GR25" i="13"/>
  <c r="GS3" i="13"/>
  <c r="C18" i="15" l="1"/>
  <c r="C27" i="13"/>
  <c r="G9" i="13"/>
  <c r="G20" i="13" s="1"/>
  <c r="G26" i="13" s="1"/>
  <c r="H15" i="13"/>
  <c r="C12" i="15"/>
  <c r="C38" i="15" s="1"/>
  <c r="C14" i="15"/>
  <c r="GS27" i="13"/>
  <c r="GS28" i="13" s="1"/>
  <c r="GS25" i="13"/>
  <c r="GT3" i="13"/>
  <c r="H9" i="13" l="1"/>
  <c r="H20" i="13" s="1"/>
  <c r="H26" i="13" s="1"/>
  <c r="G15" i="13"/>
  <c r="J17" i="13"/>
  <c r="AK21" i="13"/>
  <c r="AK22" i="13"/>
  <c r="AK23" i="13"/>
  <c r="H23" i="13"/>
  <c r="H21" i="13"/>
  <c r="H22" i="13"/>
  <c r="GT25" i="13"/>
  <c r="GT27" i="13"/>
  <c r="GT28" i="13" s="1"/>
  <c r="GU3" i="13"/>
  <c r="I9" i="13" l="1"/>
  <c r="J9" i="13" s="1"/>
  <c r="G17" i="13"/>
  <c r="H17" i="13"/>
  <c r="I17" i="13"/>
  <c r="I22" i="13"/>
  <c r="I21" i="13"/>
  <c r="I23" i="13"/>
  <c r="AL23" i="13"/>
  <c r="AL22" i="13"/>
  <c r="AL21" i="13"/>
  <c r="GU27" i="13"/>
  <c r="GU28" i="13" s="1"/>
  <c r="GU25" i="13"/>
  <c r="GV3" i="13"/>
  <c r="I20" i="13" l="1"/>
  <c r="I26" i="13" s="1"/>
  <c r="AM22" i="13"/>
  <c r="AM21" i="13"/>
  <c r="AM23" i="13"/>
  <c r="K9" i="13"/>
  <c r="J22" i="13"/>
  <c r="J23" i="13"/>
  <c r="J21" i="13"/>
  <c r="J20" i="13"/>
  <c r="J26" i="13" s="1"/>
  <c r="GV27" i="13"/>
  <c r="GV28" i="13" s="1"/>
  <c r="GV25" i="13"/>
  <c r="GW3" i="13"/>
  <c r="L9" i="13" l="1"/>
  <c r="K23" i="13"/>
  <c r="K22" i="13"/>
  <c r="K21" i="13"/>
  <c r="K20" i="13"/>
  <c r="K26" i="13" s="1"/>
  <c r="AN23" i="13"/>
  <c r="AN21" i="13"/>
  <c r="AN22" i="13"/>
  <c r="GW27" i="13"/>
  <c r="GW28" i="13" s="1"/>
  <c r="GW25" i="13"/>
  <c r="GX3" i="13"/>
  <c r="AO21" i="13" l="1"/>
  <c r="AO22" i="13"/>
  <c r="AO23" i="13"/>
  <c r="M9" i="13"/>
  <c r="L21" i="13"/>
  <c r="L23" i="13"/>
  <c r="L22" i="13"/>
  <c r="L20" i="13"/>
  <c r="L26" i="13" s="1"/>
  <c r="GX27" i="13"/>
  <c r="GX28" i="13" s="1"/>
  <c r="GX25" i="13"/>
  <c r="GY3" i="13"/>
  <c r="AP23" i="13" l="1"/>
  <c r="AP22" i="13"/>
  <c r="AP21" i="13"/>
  <c r="N9" i="13"/>
  <c r="M21" i="13"/>
  <c r="M23" i="13"/>
  <c r="M22" i="13"/>
  <c r="M20" i="13"/>
  <c r="M26" i="13" s="1"/>
  <c r="GY27" i="13"/>
  <c r="GY28" i="13" s="1"/>
  <c r="GY25" i="13"/>
  <c r="GZ3" i="13"/>
  <c r="N22" i="13" l="1"/>
  <c r="N21" i="13"/>
  <c r="N23" i="13"/>
  <c r="O9" i="13"/>
  <c r="N20" i="13"/>
  <c r="N26" i="13" s="1"/>
  <c r="AQ23" i="13"/>
  <c r="AQ22" i="13"/>
  <c r="AQ21" i="13"/>
  <c r="GZ25" i="13"/>
  <c r="GZ27" i="13"/>
  <c r="GZ28" i="13" s="1"/>
  <c r="HA3" i="13"/>
  <c r="P9" i="13" l="1"/>
  <c r="O22" i="13"/>
  <c r="O23" i="13"/>
  <c r="O21" i="13"/>
  <c r="O20" i="13"/>
  <c r="O26" i="13" s="1"/>
  <c r="AR23" i="13"/>
  <c r="AR22" i="13"/>
  <c r="AR21" i="13"/>
  <c r="HA27" i="13"/>
  <c r="HA28" i="13" s="1"/>
  <c r="HA25" i="13"/>
  <c r="HB3" i="13"/>
  <c r="AS22" i="13" l="1"/>
  <c r="AS21" i="13"/>
  <c r="AS23" i="13"/>
  <c r="P22" i="13"/>
  <c r="P21" i="13"/>
  <c r="P23" i="13"/>
  <c r="Q9" i="13"/>
  <c r="P20" i="13"/>
  <c r="P26" i="13" s="1"/>
  <c r="HB27" i="13"/>
  <c r="HB28" i="13" s="1"/>
  <c r="HB25" i="13"/>
  <c r="HC3" i="13"/>
  <c r="AT22" i="13" l="1"/>
  <c r="AT21" i="13"/>
  <c r="AT23" i="13"/>
  <c r="Q21" i="13"/>
  <c r="Q22" i="13"/>
  <c r="Q23" i="13"/>
  <c r="R9" i="13"/>
  <c r="S9" i="13" s="1"/>
  <c r="T9" i="13" s="1"/>
  <c r="Q20" i="13"/>
  <c r="Q26" i="13" s="1"/>
  <c r="HC27" i="13"/>
  <c r="HC28" i="13" s="1"/>
  <c r="HC25" i="13"/>
  <c r="HD3" i="13"/>
  <c r="U9" i="13" l="1"/>
  <c r="V9" i="13"/>
  <c r="AU22" i="13"/>
  <c r="AU21" i="13"/>
  <c r="AU23" i="13"/>
  <c r="R23" i="13"/>
  <c r="R22" i="13"/>
  <c r="R21" i="13"/>
  <c r="R20" i="13"/>
  <c r="R26" i="13" s="1"/>
  <c r="HD27" i="13"/>
  <c r="HD28" i="13" s="1"/>
  <c r="HD25" i="13"/>
  <c r="HE3" i="13"/>
  <c r="U20" i="13" l="1"/>
  <c r="V20" i="13"/>
  <c r="W9" i="13"/>
  <c r="T20" i="13"/>
  <c r="U23" i="13"/>
  <c r="U21" i="13"/>
  <c r="U22" i="13"/>
  <c r="AV23" i="13"/>
  <c r="AV21" i="13"/>
  <c r="AV22" i="13"/>
  <c r="S23" i="13"/>
  <c r="S21" i="13"/>
  <c r="S22" i="13"/>
  <c r="S20" i="13"/>
  <c r="HE27" i="13"/>
  <c r="HE28" i="13" s="1"/>
  <c r="HE25" i="13"/>
  <c r="HF3" i="13"/>
  <c r="U26" i="13" l="1"/>
  <c r="V26" i="13"/>
  <c r="W20" i="13"/>
  <c r="W26" i="13" s="1"/>
  <c r="X9" i="13"/>
  <c r="T22" i="13"/>
  <c r="AW22" i="13"/>
  <c r="AW23" i="13"/>
  <c r="AW21" i="13"/>
  <c r="T21" i="13"/>
  <c r="T23" i="13"/>
  <c r="S26" i="13"/>
  <c r="T26" i="13"/>
  <c r="HF25" i="13"/>
  <c r="HF27" i="13"/>
  <c r="HF28" i="13" s="1"/>
  <c r="HG3" i="13"/>
  <c r="Y9" i="13" l="1"/>
  <c r="X20" i="13"/>
  <c r="X26" i="13" s="1"/>
  <c r="AX23" i="13"/>
  <c r="AX21" i="13"/>
  <c r="AX22" i="13"/>
  <c r="HG27" i="13"/>
  <c r="HG28" i="13" s="1"/>
  <c r="HG25" i="13"/>
  <c r="HH3" i="13"/>
  <c r="Y20" i="13" l="1"/>
  <c r="Y26" i="13" s="1"/>
  <c r="Z9" i="13"/>
  <c r="AY23" i="13"/>
  <c r="AY22" i="13"/>
  <c r="AY21" i="13"/>
  <c r="HH25" i="13"/>
  <c r="HH27" i="13"/>
  <c r="HH28" i="13" s="1"/>
  <c r="HI3" i="13"/>
  <c r="AA9" i="13" l="1"/>
  <c r="Z20" i="13"/>
  <c r="Z26" i="13" s="1"/>
  <c r="AZ23" i="13"/>
  <c r="AZ22" i="13"/>
  <c r="AZ21" i="13"/>
  <c r="HI27" i="13"/>
  <c r="HI28" i="13" s="1"/>
  <c r="HI25" i="13"/>
  <c r="HJ3" i="13"/>
  <c r="AB9" i="13" l="1"/>
  <c r="AA20" i="13"/>
  <c r="AA26" i="13" s="1"/>
  <c r="BA22" i="13"/>
  <c r="BA21" i="13"/>
  <c r="BA23" i="13"/>
  <c r="HJ25" i="13"/>
  <c r="HJ27" i="13"/>
  <c r="HJ28" i="13" s="1"/>
  <c r="HK3" i="13"/>
  <c r="AC9" i="13" l="1"/>
  <c r="AB20" i="13"/>
  <c r="AB26" i="13" s="1"/>
  <c r="BB23" i="13"/>
  <c r="BB21" i="13"/>
  <c r="BB22" i="13"/>
  <c r="HK27" i="13"/>
  <c r="HK28" i="13" s="1"/>
  <c r="HK25" i="13"/>
  <c r="HL3" i="13"/>
  <c r="AD9" i="13" l="1"/>
  <c r="AC20" i="13"/>
  <c r="AC26" i="13" s="1"/>
  <c r="BC22" i="13"/>
  <c r="BC21" i="13"/>
  <c r="BC23" i="13"/>
  <c r="HL27" i="13"/>
  <c r="HL28" i="13" s="1"/>
  <c r="HL25" i="13"/>
  <c r="HM3" i="13"/>
  <c r="AE9" i="13" l="1"/>
  <c r="AD20" i="13"/>
  <c r="AD26" i="13" s="1"/>
  <c r="BD22" i="13"/>
  <c r="BD23" i="13"/>
  <c r="BD21" i="13"/>
  <c r="HM27" i="13"/>
  <c r="HM28" i="13" s="1"/>
  <c r="HM25" i="13"/>
  <c r="HN3" i="13"/>
  <c r="AF9" i="13" l="1"/>
  <c r="AE20" i="13"/>
  <c r="AE26" i="13" s="1"/>
  <c r="BE21" i="13"/>
  <c r="BE23" i="13"/>
  <c r="BE22" i="13"/>
  <c r="HN27" i="13"/>
  <c r="HN28" i="13" s="1"/>
  <c r="HN25" i="13"/>
  <c r="HO3" i="13"/>
  <c r="AG9" i="13" l="1"/>
  <c r="AF20" i="13"/>
  <c r="AF26" i="13" s="1"/>
  <c r="BF23" i="13"/>
  <c r="BF22" i="13"/>
  <c r="BF21" i="13"/>
  <c r="HO27" i="13"/>
  <c r="HO28" i="13" s="1"/>
  <c r="HO25" i="13"/>
  <c r="HP3" i="13"/>
  <c r="AH9" i="13" l="1"/>
  <c r="AG20" i="13"/>
  <c r="AG26" i="13" s="1"/>
  <c r="BG23" i="13"/>
  <c r="BG22" i="13"/>
  <c r="BG21" i="13"/>
  <c r="HP25" i="13"/>
  <c r="HP27" i="13"/>
  <c r="HP28" i="13" s="1"/>
  <c r="HQ3" i="13"/>
  <c r="AI9" i="13" l="1"/>
  <c r="AH20" i="13"/>
  <c r="AH26" i="13" s="1"/>
  <c r="BH23" i="13"/>
  <c r="BH22" i="13"/>
  <c r="BH21" i="13"/>
  <c r="HQ27" i="13"/>
  <c r="HQ28" i="13" s="1"/>
  <c r="HQ25" i="13"/>
  <c r="HR3" i="13"/>
  <c r="AJ9" i="13" l="1"/>
  <c r="AI20" i="13"/>
  <c r="AI26" i="13" s="1"/>
  <c r="BI23" i="13"/>
  <c r="BI22" i="13"/>
  <c r="BI21" i="13"/>
  <c r="HR27" i="13"/>
  <c r="HR28" i="13" s="1"/>
  <c r="HR25" i="13"/>
  <c r="HS3" i="13"/>
  <c r="AJ20" i="13" l="1"/>
  <c r="AJ26" i="13" s="1"/>
  <c r="AK9" i="13"/>
  <c r="BJ21" i="13"/>
  <c r="BJ23" i="13"/>
  <c r="BJ22" i="13"/>
  <c r="HS27" i="13"/>
  <c r="HS28" i="13" s="1"/>
  <c r="HS25" i="13"/>
  <c r="HT3" i="13"/>
  <c r="AL9" i="13" l="1"/>
  <c r="AK20" i="13"/>
  <c r="AK26" i="13" s="1"/>
  <c r="BK22" i="13"/>
  <c r="BK21" i="13"/>
  <c r="BK23" i="13"/>
  <c r="HT27" i="13"/>
  <c r="HT28" i="13" s="1"/>
  <c r="HT25" i="13"/>
  <c r="HU3" i="13"/>
  <c r="AM9" i="13" l="1"/>
  <c r="AL20" i="13"/>
  <c r="AL26" i="13" s="1"/>
  <c r="BL23" i="13"/>
  <c r="BL21" i="13"/>
  <c r="BL22" i="13"/>
  <c r="HU27" i="13"/>
  <c r="HU28" i="13" s="1"/>
  <c r="HU25" i="13"/>
  <c r="HV3" i="13"/>
  <c r="AM20" i="13" l="1"/>
  <c r="AM26" i="13" s="1"/>
  <c r="AN9" i="13"/>
  <c r="BM22" i="13"/>
  <c r="BM21" i="13"/>
  <c r="BM23" i="13"/>
  <c r="HV25" i="13"/>
  <c r="HV27" i="13"/>
  <c r="HV28" i="13" s="1"/>
  <c r="HW3" i="13"/>
  <c r="AN20" i="13" l="1"/>
  <c r="AN26" i="13" s="1"/>
  <c r="AO9" i="13"/>
  <c r="BN23" i="13"/>
  <c r="BN22" i="13"/>
  <c r="BN21" i="13"/>
  <c r="HW27" i="13"/>
  <c r="HW28" i="13" s="1"/>
  <c r="HW25" i="13"/>
  <c r="HX3" i="13"/>
  <c r="AO20" i="13" l="1"/>
  <c r="AO26" i="13" s="1"/>
  <c r="AP9" i="13"/>
  <c r="BO21" i="13"/>
  <c r="BO23" i="13"/>
  <c r="BO22" i="13"/>
  <c r="HX27" i="13"/>
  <c r="HX28" i="13" s="1"/>
  <c r="HX25" i="13"/>
  <c r="HY3" i="13"/>
  <c r="AQ9" i="13" l="1"/>
  <c r="AP20" i="13"/>
  <c r="AP26" i="13" s="1"/>
  <c r="BP23" i="13"/>
  <c r="BP22" i="13"/>
  <c r="BP21" i="13"/>
  <c r="HY27" i="13"/>
  <c r="HY28" i="13" s="1"/>
  <c r="HY25" i="13"/>
  <c r="HZ3" i="13"/>
  <c r="AQ20" i="13" l="1"/>
  <c r="AQ26" i="13" s="1"/>
  <c r="AR9" i="13"/>
  <c r="BQ22" i="13"/>
  <c r="BQ21" i="13"/>
  <c r="BQ23" i="13"/>
  <c r="HZ25" i="13"/>
  <c r="HZ27" i="13"/>
  <c r="HZ28" i="13" s="1"/>
  <c r="IA3" i="13"/>
  <c r="AR20" i="13" l="1"/>
  <c r="AR26" i="13" s="1"/>
  <c r="AS9" i="13"/>
  <c r="BR23" i="13"/>
  <c r="BR22" i="13"/>
  <c r="BR21" i="13"/>
  <c r="IA27" i="13"/>
  <c r="IA28" i="13" s="1"/>
  <c r="IA25" i="13"/>
  <c r="IB3" i="13"/>
  <c r="AT9" i="13" l="1"/>
  <c r="AS20" i="13"/>
  <c r="AS26" i="13" s="1"/>
  <c r="BS22" i="13"/>
  <c r="BS21" i="13"/>
  <c r="BS23" i="13"/>
  <c r="IB27" i="13"/>
  <c r="IB28" i="13" s="1"/>
  <c r="IB25" i="13"/>
  <c r="IC3" i="13"/>
  <c r="AT20" i="13" l="1"/>
  <c r="AT26" i="13" s="1"/>
  <c r="AU9" i="13"/>
  <c r="BT23" i="13"/>
  <c r="BT22" i="13"/>
  <c r="BT21" i="13"/>
  <c r="IC27" i="13"/>
  <c r="IC28" i="13" s="1"/>
  <c r="IC25" i="13"/>
  <c r="ID3" i="13"/>
  <c r="AV9" i="13" l="1"/>
  <c r="AU20" i="13"/>
  <c r="AU26" i="13" s="1"/>
  <c r="BU22" i="13"/>
  <c r="BU21" i="13"/>
  <c r="BU23" i="13"/>
  <c r="ID27" i="13"/>
  <c r="ID28" i="13" s="1"/>
  <c r="ID25" i="13"/>
  <c r="IE3" i="13"/>
  <c r="AV20" i="13" l="1"/>
  <c r="AV26" i="13" s="1"/>
  <c r="AW9" i="13"/>
  <c r="BV21" i="13"/>
  <c r="BV22" i="13"/>
  <c r="BV23" i="13"/>
  <c r="IE27" i="13"/>
  <c r="IE28" i="13" s="1"/>
  <c r="IE25" i="13"/>
  <c r="IF3" i="13"/>
  <c r="AX9" i="13" l="1"/>
  <c r="AW20" i="13"/>
  <c r="AW26" i="13" s="1"/>
  <c r="BW22" i="13"/>
  <c r="BW23" i="13"/>
  <c r="BW21" i="13"/>
  <c r="IF25" i="13"/>
  <c r="IF27" i="13"/>
  <c r="IF28" i="13" s="1"/>
  <c r="IG3" i="13"/>
  <c r="AX20" i="13" l="1"/>
  <c r="AX26" i="13" s="1"/>
  <c r="AY9" i="13"/>
  <c r="BX21" i="13"/>
  <c r="BX23" i="13"/>
  <c r="BX22" i="13"/>
  <c r="IG27" i="13"/>
  <c r="IG28" i="13" s="1"/>
  <c r="IG25" i="13"/>
  <c r="IH3" i="13"/>
  <c r="AY20" i="13" l="1"/>
  <c r="AY26" i="13" s="1"/>
  <c r="AZ9" i="13"/>
  <c r="BY21" i="13"/>
  <c r="BY23" i="13"/>
  <c r="BY22" i="13"/>
  <c r="IH25" i="13"/>
  <c r="IH27" i="13"/>
  <c r="IH28" i="13" s="1"/>
  <c r="II3" i="13"/>
  <c r="AZ20" i="13" l="1"/>
  <c r="AZ26" i="13" s="1"/>
  <c r="BA9" i="13"/>
  <c r="BZ23" i="13"/>
  <c r="BZ21" i="13"/>
  <c r="BZ22" i="13"/>
  <c r="II27" i="13"/>
  <c r="II28" i="13" s="1"/>
  <c r="II25" i="13"/>
  <c r="IJ3" i="13"/>
  <c r="BB9" i="13" l="1"/>
  <c r="BA20" i="13"/>
  <c r="BA26" i="13" s="1"/>
  <c r="CA22" i="13"/>
  <c r="CA23" i="13"/>
  <c r="CA21" i="13"/>
  <c r="IJ27" i="13"/>
  <c r="IJ28" i="13" s="1"/>
  <c r="IJ25" i="13"/>
  <c r="IK3" i="13"/>
  <c r="BC9" i="13" l="1"/>
  <c r="BB20" i="13"/>
  <c r="BB26" i="13" s="1"/>
  <c r="CB23" i="13"/>
  <c r="CB21" i="13"/>
  <c r="CB22" i="13"/>
  <c r="IK27" i="13"/>
  <c r="IK28" i="13" s="1"/>
  <c r="IK25" i="13"/>
  <c r="IL3" i="13"/>
  <c r="BC20" i="13" l="1"/>
  <c r="BC26" i="13" s="1"/>
  <c r="BD9" i="13"/>
  <c r="CC22" i="13"/>
  <c r="CC23" i="13"/>
  <c r="CC21" i="13"/>
  <c r="IL25" i="13"/>
  <c r="IL27" i="13"/>
  <c r="IL28" i="13" s="1"/>
  <c r="IM3" i="13"/>
  <c r="BD20" i="13" l="1"/>
  <c r="BD26" i="13" s="1"/>
  <c r="BE9" i="13"/>
  <c r="CD23" i="13"/>
  <c r="CD22" i="13"/>
  <c r="CD21" i="13"/>
  <c r="IM27" i="13"/>
  <c r="IM28" i="13" s="1"/>
  <c r="IM25" i="13"/>
  <c r="IN3" i="13"/>
  <c r="BF9" i="13" l="1"/>
  <c r="BE20" i="13"/>
  <c r="BE26" i="13" s="1"/>
  <c r="CE23" i="13"/>
  <c r="CE22" i="13"/>
  <c r="CE21" i="13"/>
  <c r="C30" i="13"/>
  <c r="IN27" i="13"/>
  <c r="IN28" i="13" s="1"/>
  <c r="IN25" i="13"/>
  <c r="BF20" i="13" l="1"/>
  <c r="BF26" i="13" s="1"/>
  <c r="BG9" i="13"/>
  <c r="CF22" i="13"/>
  <c r="CF21" i="13"/>
  <c r="CF23" i="13"/>
  <c r="B5" i="20"/>
  <c r="B6" i="20" s="1"/>
  <c r="B7" i="20" s="1"/>
  <c r="B8" i="20" s="1"/>
  <c r="B9" i="20" s="1"/>
  <c r="B10" i="20" s="1"/>
  <c r="B11" i="20" s="1"/>
  <c r="B12" i="20" s="1"/>
  <c r="B13" i="20" s="1"/>
  <c r="B14" i="20" s="1"/>
  <c r="B15" i="20" s="1"/>
  <c r="B16" i="20" s="1"/>
  <c r="B17" i="20" s="1"/>
  <c r="B18" i="20" s="1"/>
  <c r="B19" i="20" s="1"/>
  <c r="B20" i="20" s="1"/>
  <c r="B21" i="20" s="1"/>
  <c r="B22" i="20" s="1"/>
  <c r="B23" i="20" s="1"/>
  <c r="B24" i="20" s="1"/>
  <c r="B25" i="20" s="1"/>
  <c r="B26" i="20" s="1"/>
  <c r="B27" i="20" s="1"/>
  <c r="B28" i="20" s="1"/>
  <c r="B29" i="20" s="1"/>
  <c r="B30" i="20" s="1"/>
  <c r="B31" i="20" s="1"/>
  <c r="B32" i="20" s="1"/>
  <c r="B33" i="20" s="1"/>
  <c r="B34" i="20" s="1"/>
  <c r="B35" i="20" s="1"/>
  <c r="B36" i="20" s="1"/>
  <c r="B37" i="20" s="1"/>
  <c r="B38" i="20" s="1"/>
  <c r="B39" i="20" s="1"/>
  <c r="B40" i="20" s="1"/>
  <c r="B41" i="20" s="1"/>
  <c r="B42" i="20" s="1"/>
  <c r="B43" i="20" s="1"/>
  <c r="B44" i="20" s="1"/>
  <c r="B45" i="20" s="1"/>
  <c r="B46" i="20" s="1"/>
  <c r="B47" i="20" s="1"/>
  <c r="B48" i="20" s="1"/>
  <c r="B49" i="20" s="1"/>
  <c r="B50" i="20" s="1"/>
  <c r="B51" i="20" s="1"/>
  <c r="B52" i="20" s="1"/>
  <c r="B53" i="20" s="1"/>
  <c r="B54" i="20" s="1"/>
  <c r="B55" i="20" s="1"/>
  <c r="B56" i="20" s="1"/>
  <c r="B57" i="20" s="1"/>
  <c r="B58" i="20" s="1"/>
  <c r="B59" i="20" s="1"/>
  <c r="B60" i="20" s="1"/>
  <c r="B61" i="20" s="1"/>
  <c r="B62" i="20" s="1"/>
  <c r="B63" i="20" s="1"/>
  <c r="B64" i="20" s="1"/>
  <c r="B65" i="20" s="1"/>
  <c r="B66" i="20" s="1"/>
  <c r="D58" i="20"/>
  <c r="E58" i="20" s="1"/>
  <c r="M58" i="20"/>
  <c r="M5" i="20"/>
  <c r="D5" i="20"/>
  <c r="E5" i="20" s="1"/>
  <c r="M60" i="20"/>
  <c r="D60" i="20"/>
  <c r="E60" i="20" s="1"/>
  <c r="D14" i="20"/>
  <c r="E14" i="20" s="1"/>
  <c r="M14" i="20"/>
  <c r="D36" i="20"/>
  <c r="E36" i="20" s="1"/>
  <c r="M36" i="20"/>
  <c r="D52" i="20"/>
  <c r="E52" i="20" s="1"/>
  <c r="M52" i="20"/>
  <c r="M22" i="20"/>
  <c r="D22" i="20"/>
  <c r="E22" i="20" s="1"/>
  <c r="D27" i="20"/>
  <c r="E27" i="20" s="1"/>
  <c r="M27" i="20"/>
  <c r="D35" i="20"/>
  <c r="E35" i="20" s="1"/>
  <c r="M35" i="20"/>
  <c r="D62" i="20"/>
  <c r="M46" i="20"/>
  <c r="D46" i="20"/>
  <c r="E46" i="20" s="1"/>
  <c r="D32" i="20"/>
  <c r="E32" i="20" s="1"/>
  <c r="M32" i="20"/>
  <c r="D41" i="20"/>
  <c r="E41" i="20" s="1"/>
  <c r="M41" i="20"/>
  <c r="D18" i="20"/>
  <c r="E18" i="20" s="1"/>
  <c r="M18" i="20"/>
  <c r="D8" i="20"/>
  <c r="E8" i="20" s="1"/>
  <c r="M8" i="20"/>
  <c r="M13" i="20"/>
  <c r="D13" i="20"/>
  <c r="E13" i="20" s="1"/>
  <c r="D45" i="20"/>
  <c r="E45" i="20" s="1"/>
  <c r="M45" i="20"/>
  <c r="D23" i="20"/>
  <c r="E23" i="20" s="1"/>
  <c r="M23" i="20"/>
  <c r="D57" i="20"/>
  <c r="E57" i="20" s="1"/>
  <c r="M57" i="20"/>
  <c r="M31" i="20"/>
  <c r="D31" i="20"/>
  <c r="E31" i="20" s="1"/>
  <c r="D38" i="20"/>
  <c r="E38" i="20" s="1"/>
  <c r="M38" i="20"/>
  <c r="D59" i="20"/>
  <c r="E59" i="20" s="1"/>
  <c r="M59" i="20"/>
  <c r="D15" i="20"/>
  <c r="E15" i="20" s="1"/>
  <c r="M15" i="20"/>
  <c r="M34" i="20"/>
  <c r="D34" i="20"/>
  <c r="E34" i="20" s="1"/>
  <c r="D11" i="20"/>
  <c r="E11" i="20" s="1"/>
  <c r="M11" i="20"/>
  <c r="M49" i="20"/>
  <c r="D49" i="20"/>
  <c r="E49" i="20" s="1"/>
  <c r="M9" i="20"/>
  <c r="D9" i="20"/>
  <c r="E9" i="20" s="1"/>
  <c r="D48" i="20"/>
  <c r="E48" i="20" s="1"/>
  <c r="M48" i="20"/>
  <c r="M29" i="20"/>
  <c r="D29" i="20"/>
  <c r="E29" i="20" s="1"/>
  <c r="M61" i="20"/>
  <c r="D61" i="20"/>
  <c r="E61" i="20" s="1"/>
  <c r="D7" i="20"/>
  <c r="E7" i="20" s="1"/>
  <c r="M7" i="20"/>
  <c r="D54" i="20"/>
  <c r="E54" i="20" s="1"/>
  <c r="M54" i="20"/>
  <c r="M40" i="20"/>
  <c r="D40" i="20"/>
  <c r="E40" i="20" s="1"/>
  <c r="D17" i="20"/>
  <c r="E17" i="20" s="1"/>
  <c r="M17" i="20"/>
  <c r="BG20" i="13" l="1"/>
  <c r="BG26" i="13" s="1"/>
  <c r="BH9" i="13"/>
  <c r="CG22" i="13"/>
  <c r="CG21" i="13"/>
  <c r="CG23" i="13"/>
  <c r="J5" i="20"/>
  <c r="J32" i="20"/>
  <c r="J17" i="20"/>
  <c r="J59" i="20"/>
  <c r="J40" i="20"/>
  <c r="J35" i="20"/>
  <c r="J36" i="20"/>
  <c r="J58" i="20"/>
  <c r="J54" i="20"/>
  <c r="J22" i="20"/>
  <c r="J60" i="20"/>
  <c r="J8" i="20"/>
  <c r="J15" i="20"/>
  <c r="J57" i="20"/>
  <c r="J7" i="20"/>
  <c r="J23" i="20"/>
  <c r="J48" i="20"/>
  <c r="J18" i="20"/>
  <c r="J11" i="20"/>
  <c r="J38" i="20"/>
  <c r="J45" i="20"/>
  <c r="J9" i="20"/>
  <c r="J46" i="20"/>
  <c r="J61" i="20"/>
  <c r="J49" i="20"/>
  <c r="J52" i="20"/>
  <c r="J29" i="20"/>
  <c r="J41" i="20"/>
  <c r="J34" i="20"/>
  <c r="J31" i="20"/>
  <c r="J13" i="20"/>
  <c r="J27" i="20"/>
  <c r="J14" i="20"/>
  <c r="E62" i="20"/>
  <c r="J62" i="20" s="1"/>
  <c r="BH20" i="13" l="1"/>
  <c r="BH26" i="13" s="1"/>
  <c r="BI9" i="13"/>
  <c r="CH23" i="13"/>
  <c r="CH21" i="13"/>
  <c r="CH22" i="13"/>
  <c r="BJ9" i="13" l="1"/>
  <c r="BI20" i="13"/>
  <c r="BI26" i="13" s="1"/>
  <c r="CI23" i="13"/>
  <c r="CI22" i="13"/>
  <c r="CI21" i="13"/>
  <c r="BK9" i="13" l="1"/>
  <c r="BJ20" i="13"/>
  <c r="BJ26" i="13" s="1"/>
  <c r="CJ21" i="13"/>
  <c r="CJ23" i="13"/>
  <c r="CJ22" i="13"/>
  <c r="H43" i="20"/>
  <c r="BL9" i="13" l="1"/>
  <c r="BK20" i="13"/>
  <c r="BK26" i="13" s="1"/>
  <c r="CK21" i="13"/>
  <c r="CK23" i="13"/>
  <c r="CK22" i="13"/>
  <c r="H53" i="20"/>
  <c r="BM9" i="13" l="1"/>
  <c r="BL20" i="13"/>
  <c r="BL26" i="13" s="1"/>
  <c r="CL21" i="13"/>
  <c r="CL22" i="13"/>
  <c r="CL23" i="13"/>
  <c r="BN9" i="13" l="1"/>
  <c r="BM20" i="13"/>
  <c r="BM26" i="13" s="1"/>
  <c r="CM21" i="13"/>
  <c r="CM23" i="13"/>
  <c r="CM22" i="13"/>
  <c r="BN20" i="13" l="1"/>
  <c r="BN26" i="13" s="1"/>
  <c r="BO9" i="13"/>
  <c r="CN22" i="13"/>
  <c r="CN21" i="13"/>
  <c r="CN23" i="13"/>
  <c r="BO20" i="13" l="1"/>
  <c r="BO26" i="13" s="1"/>
  <c r="BP9" i="13"/>
  <c r="CO21" i="13"/>
  <c r="CO23" i="13"/>
  <c r="CO22" i="13"/>
  <c r="H39" i="20"/>
  <c r="H40" i="20"/>
  <c r="BQ9" i="13" l="1"/>
  <c r="BP20" i="13"/>
  <c r="BP26" i="13" s="1"/>
  <c r="CP22" i="13"/>
  <c r="CP21" i="13"/>
  <c r="CP23" i="13"/>
  <c r="BR9" i="13" l="1"/>
  <c r="BQ20" i="13"/>
  <c r="BQ26" i="13" s="1"/>
  <c r="CQ22" i="13"/>
  <c r="CQ23" i="13"/>
  <c r="CQ21" i="13"/>
  <c r="H52" i="20"/>
  <c r="BS9" i="13" l="1"/>
  <c r="BR20" i="13"/>
  <c r="BR26" i="13" s="1"/>
  <c r="CR23" i="13"/>
  <c r="CR21" i="13"/>
  <c r="CR22" i="13"/>
  <c r="BT9" i="13" l="1"/>
  <c r="BS20" i="13"/>
  <c r="BS26" i="13" s="1"/>
  <c r="CS22" i="13"/>
  <c r="CS23" i="13"/>
  <c r="CS21" i="13"/>
  <c r="BU9" i="13" l="1"/>
  <c r="BT20" i="13"/>
  <c r="BT26" i="13" s="1"/>
  <c r="CT23" i="13"/>
  <c r="CT21" i="13"/>
  <c r="CT22" i="13"/>
  <c r="H25" i="20"/>
  <c r="BU20" i="13" l="1"/>
  <c r="BU26" i="13" s="1"/>
  <c r="BV9" i="13"/>
  <c r="CU22" i="13"/>
  <c r="CU21" i="13"/>
  <c r="CU23" i="13"/>
  <c r="BV20" i="13" l="1"/>
  <c r="BV26" i="13" s="1"/>
  <c r="BW9" i="13"/>
  <c r="CV23" i="13"/>
  <c r="CV21" i="13"/>
  <c r="CV22" i="13"/>
  <c r="H36" i="20"/>
  <c r="BW20" i="13" l="1"/>
  <c r="BW26" i="13" s="1"/>
  <c r="BX9" i="13"/>
  <c r="CW21" i="13"/>
  <c r="CW23" i="13"/>
  <c r="CW22" i="13"/>
  <c r="H31" i="20"/>
  <c r="H8" i="20"/>
  <c r="BY9" i="13" l="1"/>
  <c r="BX20" i="13"/>
  <c r="BX26" i="13" s="1"/>
  <c r="CX22" i="13"/>
  <c r="CX21" i="13"/>
  <c r="CX23" i="13"/>
  <c r="H64" i="20"/>
  <c r="BZ9" i="13" l="1"/>
  <c r="BY20" i="13"/>
  <c r="BY26" i="13" s="1"/>
  <c r="CY21" i="13"/>
  <c r="CY23" i="13"/>
  <c r="CY22" i="13"/>
  <c r="H42" i="20"/>
  <c r="BZ20" i="13" l="1"/>
  <c r="BZ26" i="13" s="1"/>
  <c r="CA9" i="13"/>
  <c r="CZ22" i="13"/>
  <c r="CZ23" i="13"/>
  <c r="CZ21" i="13"/>
  <c r="CA20" i="13" l="1"/>
  <c r="CA26" i="13" s="1"/>
  <c r="CB9" i="13"/>
  <c r="DA22" i="13"/>
  <c r="DA23" i="13"/>
  <c r="DA21" i="13"/>
  <c r="H38" i="20"/>
  <c r="CC9" i="13" l="1"/>
  <c r="CB20" i="13"/>
  <c r="CB26" i="13" s="1"/>
  <c r="DB23" i="13"/>
  <c r="DB22" i="13"/>
  <c r="DB21" i="13"/>
  <c r="CD9" i="13" l="1"/>
  <c r="CC20" i="13"/>
  <c r="CC26" i="13" s="1"/>
  <c r="DC21" i="13"/>
  <c r="DC23" i="13"/>
  <c r="DC22" i="13"/>
  <c r="H63" i="20"/>
  <c r="CE9" i="13" l="1"/>
  <c r="CD20" i="13"/>
  <c r="CD26" i="13" s="1"/>
  <c r="DD23" i="13"/>
  <c r="DD21" i="13"/>
  <c r="DD22" i="13"/>
  <c r="H66" i="20"/>
  <c r="H59" i="20"/>
  <c r="CF9" i="13" l="1"/>
  <c r="CE20" i="13"/>
  <c r="CE26" i="13" s="1"/>
  <c r="DE22" i="13"/>
  <c r="DE21" i="13"/>
  <c r="DE23" i="13"/>
  <c r="CG9" i="13" l="1"/>
  <c r="CF20" i="13"/>
  <c r="CF26" i="13" s="1"/>
  <c r="DF22" i="13"/>
  <c r="DF23" i="13"/>
  <c r="DF21" i="13"/>
  <c r="CH9" i="13" l="1"/>
  <c r="CG20" i="13"/>
  <c r="CG26" i="13" s="1"/>
  <c r="DG21" i="13"/>
  <c r="DG22" i="13"/>
  <c r="DG23" i="13"/>
  <c r="CI9" i="13" l="1"/>
  <c r="CH20" i="13"/>
  <c r="CH26" i="13" s="1"/>
  <c r="DH22" i="13"/>
  <c r="DH23" i="13"/>
  <c r="DH21" i="13"/>
  <c r="CI20" i="13" l="1"/>
  <c r="CI26" i="13" s="1"/>
  <c r="CJ9" i="13"/>
  <c r="DI22" i="13"/>
  <c r="DI21" i="13"/>
  <c r="DI23" i="13"/>
  <c r="CK9" i="13" l="1"/>
  <c r="CJ20" i="13"/>
  <c r="CJ26" i="13" s="1"/>
  <c r="DJ23" i="13"/>
  <c r="DJ22" i="13"/>
  <c r="DJ21" i="13"/>
  <c r="CK20" i="13" l="1"/>
  <c r="CK26" i="13" s="1"/>
  <c r="CL9" i="13"/>
  <c r="DK23" i="13"/>
  <c r="DK22" i="13"/>
  <c r="DK21" i="13"/>
  <c r="CM9" i="13" l="1"/>
  <c r="CL20" i="13"/>
  <c r="CL26" i="13" s="1"/>
  <c r="DL22" i="13"/>
  <c r="DL21" i="13"/>
  <c r="DL23" i="13"/>
  <c r="CN9" i="13" l="1"/>
  <c r="CM20" i="13"/>
  <c r="CM26" i="13" s="1"/>
  <c r="DM22" i="13"/>
  <c r="DM23" i="13"/>
  <c r="DM21" i="13"/>
  <c r="CN20" i="13" l="1"/>
  <c r="CN26" i="13" s="1"/>
  <c r="CO9" i="13"/>
  <c r="DN21" i="13"/>
  <c r="DN23" i="13"/>
  <c r="DN22" i="13"/>
  <c r="CO20" i="13" l="1"/>
  <c r="CO26" i="13" s="1"/>
  <c r="CP9" i="13"/>
  <c r="DO23" i="13"/>
  <c r="DO22" i="13"/>
  <c r="DO21" i="13"/>
  <c r="CQ9" i="13" l="1"/>
  <c r="CP20" i="13"/>
  <c r="CP26" i="13" s="1"/>
  <c r="DP22" i="13"/>
  <c r="DP23" i="13"/>
  <c r="DP21" i="13"/>
  <c r="CQ20" i="13" l="1"/>
  <c r="CQ26" i="13" s="1"/>
  <c r="CR9" i="13"/>
  <c r="DQ23" i="13"/>
  <c r="DQ22" i="13"/>
  <c r="DQ21" i="13"/>
  <c r="CR20" i="13" l="1"/>
  <c r="CR26" i="13" s="1"/>
  <c r="CS9" i="13"/>
  <c r="DR21" i="13"/>
  <c r="DR23" i="13"/>
  <c r="DR22" i="13"/>
  <c r="CT9" i="13" l="1"/>
  <c r="CS20" i="13"/>
  <c r="CS26" i="13" s="1"/>
  <c r="DS22" i="13"/>
  <c r="DS21" i="13"/>
  <c r="DS23" i="13"/>
  <c r="CT20" i="13" l="1"/>
  <c r="CT26" i="13" s="1"/>
  <c r="CU9" i="13"/>
  <c r="DT21" i="13"/>
  <c r="DT23" i="13"/>
  <c r="DT22" i="13"/>
  <c r="CV9" i="13" l="1"/>
  <c r="CU20" i="13"/>
  <c r="CU26" i="13" s="1"/>
  <c r="DU23" i="13"/>
  <c r="DU22" i="13"/>
  <c r="DU21" i="13"/>
  <c r="CW9" i="13" l="1"/>
  <c r="CV20" i="13"/>
  <c r="CV26" i="13" s="1"/>
  <c r="DV22" i="13"/>
  <c r="DV23" i="13"/>
  <c r="DV21" i="13"/>
  <c r="CW20" i="13" l="1"/>
  <c r="CW26" i="13" s="1"/>
  <c r="CX9" i="13"/>
  <c r="DW22" i="13"/>
  <c r="DW23" i="13"/>
  <c r="DW21" i="13"/>
  <c r="CX20" i="13" l="1"/>
  <c r="CX26" i="13" s="1"/>
  <c r="CY9" i="13"/>
  <c r="DX23" i="13"/>
  <c r="DX22" i="13"/>
  <c r="DX21" i="13"/>
  <c r="CZ9" i="13" l="1"/>
  <c r="CY20" i="13"/>
  <c r="CY26" i="13" s="1"/>
  <c r="DY22" i="13"/>
  <c r="DY21" i="13"/>
  <c r="DY23" i="13"/>
  <c r="DA9" i="13" l="1"/>
  <c r="CZ20" i="13"/>
  <c r="CZ26" i="13" s="1"/>
  <c r="DZ21" i="13"/>
  <c r="DZ23" i="13"/>
  <c r="DZ22" i="13"/>
  <c r="DB9" i="13" l="1"/>
  <c r="DA20" i="13"/>
  <c r="DA26" i="13" s="1"/>
  <c r="EA22" i="13"/>
  <c r="EA21" i="13"/>
  <c r="EA23" i="13"/>
  <c r="DC9" i="13" l="1"/>
  <c r="DB20" i="13"/>
  <c r="DB26" i="13" s="1"/>
  <c r="EB23" i="13"/>
  <c r="EB21" i="13"/>
  <c r="EB22" i="13"/>
  <c r="DC20" i="13" l="1"/>
  <c r="DC26" i="13" s="1"/>
  <c r="DD9" i="13"/>
  <c r="EC23" i="13"/>
  <c r="EC21" i="13"/>
  <c r="EC22" i="13"/>
  <c r="DD20" i="13" l="1"/>
  <c r="DD26" i="13" s="1"/>
  <c r="DE9" i="13"/>
  <c r="ED23" i="13"/>
  <c r="ED21" i="13"/>
  <c r="ED22" i="13"/>
  <c r="DE20" i="13" l="1"/>
  <c r="DE26" i="13" s="1"/>
  <c r="DF9" i="13"/>
  <c r="EE21" i="13"/>
  <c r="EE22" i="13"/>
  <c r="EE23" i="13"/>
  <c r="DF20" i="13" l="1"/>
  <c r="DF26" i="13" s="1"/>
  <c r="DG9" i="13"/>
  <c r="EF22" i="13"/>
  <c r="EF23" i="13"/>
  <c r="EF21" i="13"/>
  <c r="DG20" i="13" l="1"/>
  <c r="DG26" i="13" s="1"/>
  <c r="DH9" i="13"/>
  <c r="EG21" i="13"/>
  <c r="EG22" i="13"/>
  <c r="EG23" i="13"/>
  <c r="DI9" i="13" l="1"/>
  <c r="DH20" i="13"/>
  <c r="DH26" i="13" s="1"/>
  <c r="EH22" i="13"/>
  <c r="EH21" i="13"/>
  <c r="EH23" i="13"/>
  <c r="DI20" i="13" l="1"/>
  <c r="DI26" i="13" s="1"/>
  <c r="DJ9" i="13"/>
  <c r="EI21" i="13"/>
  <c r="EI23" i="13"/>
  <c r="EI22" i="13"/>
  <c r="DK9" i="13" l="1"/>
  <c r="DJ20" i="13"/>
  <c r="DJ26" i="13" s="1"/>
  <c r="EJ22" i="13"/>
  <c r="EJ21" i="13"/>
  <c r="EJ23" i="13"/>
  <c r="DK20" i="13" l="1"/>
  <c r="DK26" i="13" s="1"/>
  <c r="DL9" i="13"/>
  <c r="EK23" i="13"/>
  <c r="EK21" i="13"/>
  <c r="EK22" i="13"/>
  <c r="DM9" i="13" l="1"/>
  <c r="DL20" i="13"/>
  <c r="DL26" i="13" s="1"/>
  <c r="EL23" i="13"/>
  <c r="EL21" i="13"/>
  <c r="EL22" i="13"/>
  <c r="DN9" i="13" l="1"/>
  <c r="DM20" i="13"/>
  <c r="DM26" i="13" s="1"/>
  <c r="EM23" i="13"/>
  <c r="EM22" i="13"/>
  <c r="EM21" i="13"/>
  <c r="DN20" i="13" l="1"/>
  <c r="DN26" i="13" s="1"/>
  <c r="DO9" i="13"/>
  <c r="EN23" i="13"/>
  <c r="EN21" i="13"/>
  <c r="EN22" i="13"/>
  <c r="DO20" i="13" l="1"/>
  <c r="DO26" i="13" s="1"/>
  <c r="DP9" i="13"/>
  <c r="EO23" i="13"/>
  <c r="EO21" i="13"/>
  <c r="EO22" i="13"/>
  <c r="DP20" i="13" l="1"/>
  <c r="DP26" i="13" s="1"/>
  <c r="DQ9" i="13"/>
  <c r="EP22" i="13"/>
  <c r="EP21" i="13"/>
  <c r="EP23" i="13"/>
  <c r="DQ20" i="13" l="1"/>
  <c r="DQ26" i="13" s="1"/>
  <c r="DR9" i="13"/>
  <c r="EQ21" i="13"/>
  <c r="EQ23" i="13"/>
  <c r="EQ22" i="13"/>
  <c r="DS9" i="13" l="1"/>
  <c r="DR20" i="13"/>
  <c r="DR26" i="13" s="1"/>
  <c r="ER21" i="13"/>
  <c r="ER23" i="13"/>
  <c r="ER22" i="13"/>
  <c r="DT9" i="13" l="1"/>
  <c r="DS20" i="13"/>
  <c r="DS26" i="13" s="1"/>
  <c r="ES23" i="13"/>
  <c r="ES22" i="13"/>
  <c r="ES21" i="13"/>
  <c r="DT20" i="13" l="1"/>
  <c r="DT26" i="13" s="1"/>
  <c r="DU9" i="13"/>
  <c r="ET22" i="13"/>
  <c r="ET23" i="13"/>
  <c r="ET21" i="13"/>
  <c r="DU20" i="13" l="1"/>
  <c r="DU26" i="13" s="1"/>
  <c r="DV9" i="13"/>
  <c r="EU21" i="13"/>
  <c r="EU23" i="13"/>
  <c r="EU22" i="13"/>
  <c r="DV20" i="13" l="1"/>
  <c r="DV26" i="13" s="1"/>
  <c r="DW9" i="13"/>
  <c r="EV23" i="13"/>
  <c r="EV21" i="13"/>
  <c r="EV22" i="13"/>
  <c r="DX9" i="13" l="1"/>
  <c r="DW20" i="13"/>
  <c r="DW26" i="13" s="1"/>
  <c r="EW22" i="13"/>
  <c r="EW23" i="13"/>
  <c r="EW21" i="13"/>
  <c r="DX20" i="13" l="1"/>
  <c r="DX26" i="13" s="1"/>
  <c r="DY9" i="13"/>
  <c r="EX21" i="13"/>
  <c r="EX22" i="13"/>
  <c r="EX23" i="13"/>
  <c r="DY20" i="13" l="1"/>
  <c r="DY26" i="13" s="1"/>
  <c r="DZ9" i="13"/>
  <c r="EY21" i="13"/>
  <c r="EY23" i="13"/>
  <c r="EY22" i="13"/>
  <c r="DZ20" i="13" l="1"/>
  <c r="DZ26" i="13" s="1"/>
  <c r="EA9" i="13"/>
  <c r="EZ22" i="13"/>
  <c r="EZ23" i="13"/>
  <c r="EZ21" i="13"/>
  <c r="EB9" i="13" l="1"/>
  <c r="EA20" i="13"/>
  <c r="EA26" i="13" s="1"/>
  <c r="FA22" i="13"/>
  <c r="FA23" i="13"/>
  <c r="FA21" i="13"/>
  <c r="EB20" i="13" l="1"/>
  <c r="EB26" i="13" s="1"/>
  <c r="EC9" i="13"/>
  <c r="FB23" i="13"/>
  <c r="FB21" i="13"/>
  <c r="FB22" i="13"/>
  <c r="ED9" i="13" l="1"/>
  <c r="EC20" i="13"/>
  <c r="EC26" i="13" s="1"/>
  <c r="FC23" i="13"/>
  <c r="FC22" i="13"/>
  <c r="FC21" i="13"/>
  <c r="ED20" i="13" l="1"/>
  <c r="ED26" i="13" s="1"/>
  <c r="EE9" i="13"/>
  <c r="FD21" i="13"/>
  <c r="FD23" i="13"/>
  <c r="FD22" i="13"/>
  <c r="EF9" i="13" l="1"/>
  <c r="EE20" i="13"/>
  <c r="EE26" i="13" s="1"/>
  <c r="FE21" i="13"/>
  <c r="FE22" i="13"/>
  <c r="FE23" i="13"/>
  <c r="EG9" i="13" l="1"/>
  <c r="EF20" i="13"/>
  <c r="EF26" i="13" s="1"/>
  <c r="FF21" i="13"/>
  <c r="FF23" i="13"/>
  <c r="FF22" i="13"/>
  <c r="EH9" i="13" l="1"/>
  <c r="EG20" i="13"/>
  <c r="EG26" i="13" s="1"/>
  <c r="FG23" i="13"/>
  <c r="FG22" i="13"/>
  <c r="FG21" i="13"/>
  <c r="EI9" i="13" l="1"/>
  <c r="EH20" i="13"/>
  <c r="EH26" i="13" s="1"/>
  <c r="FH23" i="13"/>
  <c r="FH22" i="13"/>
  <c r="FH21" i="13"/>
  <c r="EJ9" i="13" l="1"/>
  <c r="EI20" i="13"/>
  <c r="EI26" i="13" s="1"/>
  <c r="FI21" i="13"/>
  <c r="FI23" i="13"/>
  <c r="FI22" i="13"/>
  <c r="EJ20" i="13" l="1"/>
  <c r="EJ26" i="13" s="1"/>
  <c r="EK9" i="13"/>
  <c r="FJ21" i="13"/>
  <c r="FJ23" i="13"/>
  <c r="FJ22" i="13"/>
  <c r="EL9" i="13" l="1"/>
  <c r="EK20" i="13"/>
  <c r="EK26" i="13" s="1"/>
  <c r="FK21" i="13"/>
  <c r="FK23" i="13"/>
  <c r="FK22" i="13"/>
  <c r="EL20" i="13" l="1"/>
  <c r="EL26" i="13" s="1"/>
  <c r="EM9" i="13"/>
  <c r="FL22" i="13"/>
  <c r="FL23" i="13"/>
  <c r="FL21" i="13"/>
  <c r="EN9" i="13" l="1"/>
  <c r="EM20" i="13"/>
  <c r="EM26" i="13" s="1"/>
  <c r="FM22" i="13"/>
  <c r="FM23" i="13"/>
  <c r="FM21" i="13"/>
  <c r="EO9" i="13" l="1"/>
  <c r="EN20" i="13"/>
  <c r="EN26" i="13" s="1"/>
  <c r="FN23" i="13"/>
  <c r="FN21" i="13"/>
  <c r="FN22" i="13"/>
  <c r="EO20" i="13" l="1"/>
  <c r="EO26" i="13" s="1"/>
  <c r="EP9" i="13"/>
  <c r="FO23" i="13"/>
  <c r="FO22" i="13"/>
  <c r="FO21" i="13"/>
  <c r="EQ9" i="13" l="1"/>
  <c r="EP20" i="13"/>
  <c r="EP26" i="13" s="1"/>
  <c r="FP21" i="13"/>
  <c r="FP23" i="13"/>
  <c r="FP22" i="13"/>
  <c r="ER9" i="13" l="1"/>
  <c r="EQ20" i="13"/>
  <c r="EQ26" i="13" s="1"/>
  <c r="FQ21" i="13"/>
  <c r="FQ23" i="13"/>
  <c r="FQ22" i="13"/>
  <c r="ES9" i="13" l="1"/>
  <c r="ER20" i="13"/>
  <c r="ER26" i="13" s="1"/>
  <c r="FR23" i="13"/>
  <c r="FR22" i="13"/>
  <c r="FR21" i="13"/>
  <c r="ET9" i="13" l="1"/>
  <c r="ES20" i="13"/>
  <c r="ES26" i="13" s="1"/>
  <c r="FS21" i="13"/>
  <c r="FS23" i="13"/>
  <c r="FS22" i="13"/>
  <c r="EU9" i="13" l="1"/>
  <c r="ET20" i="13"/>
  <c r="ET26" i="13" s="1"/>
  <c r="FT23" i="13"/>
  <c r="FT22" i="13"/>
  <c r="FT21" i="13"/>
  <c r="EV9" i="13" l="1"/>
  <c r="EU20" i="13"/>
  <c r="EU26" i="13" s="1"/>
  <c r="FU22" i="13"/>
  <c r="FU23" i="13"/>
  <c r="FU21" i="13"/>
  <c r="EW9" i="13" l="1"/>
  <c r="EV20" i="13"/>
  <c r="EV26" i="13" s="1"/>
  <c r="FV22" i="13"/>
  <c r="FV23" i="13"/>
  <c r="FV21" i="13"/>
  <c r="EW20" i="13" l="1"/>
  <c r="EW26" i="13" s="1"/>
  <c r="EX9" i="13"/>
  <c r="FW22" i="13"/>
  <c r="FW23" i="13"/>
  <c r="FW21" i="13"/>
  <c r="EX20" i="13" l="1"/>
  <c r="EX26" i="13" s="1"/>
  <c r="EY9" i="13"/>
  <c r="FX23" i="13"/>
  <c r="FX22" i="13"/>
  <c r="FX21" i="13"/>
  <c r="EZ9" i="13" l="1"/>
  <c r="EY20" i="13"/>
  <c r="EY26" i="13" s="1"/>
  <c r="FY22" i="13"/>
  <c r="FY21" i="13"/>
  <c r="FY23" i="13"/>
  <c r="FA9" i="13" l="1"/>
  <c r="EZ20" i="13"/>
  <c r="EZ26" i="13" s="1"/>
  <c r="FZ22" i="13"/>
  <c r="FZ23" i="13"/>
  <c r="FZ21" i="13"/>
  <c r="FA20" i="13" l="1"/>
  <c r="FA26" i="13" s="1"/>
  <c r="FB9" i="13"/>
  <c r="GA23" i="13"/>
  <c r="GA22" i="13"/>
  <c r="GA21" i="13"/>
  <c r="FB20" i="13" l="1"/>
  <c r="FB26" i="13" s="1"/>
  <c r="FC9" i="13"/>
  <c r="GB23" i="13"/>
  <c r="GB22" i="13"/>
  <c r="GB21" i="13"/>
  <c r="FD9" i="13" l="1"/>
  <c r="FC20" i="13"/>
  <c r="FC26" i="13" s="1"/>
  <c r="GC23" i="13"/>
  <c r="GC22" i="13"/>
  <c r="GC21" i="13"/>
  <c r="FD20" i="13" l="1"/>
  <c r="FD26" i="13" s="1"/>
  <c r="FE9" i="13"/>
  <c r="GD23" i="13"/>
  <c r="GD22" i="13"/>
  <c r="GD21" i="13"/>
  <c r="FE20" i="13" l="1"/>
  <c r="FE26" i="13" s="1"/>
  <c r="FF9" i="13"/>
  <c r="GE23" i="13"/>
  <c r="GE21" i="13"/>
  <c r="GE22" i="13"/>
  <c r="FF20" i="13" l="1"/>
  <c r="FF26" i="13" s="1"/>
  <c r="FG9" i="13"/>
  <c r="GF21" i="13"/>
  <c r="GF23" i="13"/>
  <c r="GF22" i="13"/>
  <c r="FH9" i="13" l="1"/>
  <c r="FG20" i="13"/>
  <c r="FG26" i="13" s="1"/>
  <c r="GG21" i="13"/>
  <c r="GG23" i="13"/>
  <c r="GG22" i="13"/>
  <c r="FI9" i="13" l="1"/>
  <c r="FH20" i="13"/>
  <c r="FH26" i="13" s="1"/>
  <c r="GH22" i="13"/>
  <c r="GH21" i="13"/>
  <c r="GH23" i="13"/>
  <c r="FI20" i="13" l="1"/>
  <c r="FI26" i="13" s="1"/>
  <c r="FJ9" i="13"/>
  <c r="GI22" i="13"/>
  <c r="GI21" i="13"/>
  <c r="GI23" i="13"/>
  <c r="FJ20" i="13" l="1"/>
  <c r="FJ26" i="13" s="1"/>
  <c r="FK9" i="13"/>
  <c r="GJ23" i="13"/>
  <c r="GJ21" i="13"/>
  <c r="GJ22" i="13"/>
  <c r="FL9" i="13" l="1"/>
  <c r="FK20" i="13"/>
  <c r="FK26" i="13" s="1"/>
  <c r="GK23" i="13"/>
  <c r="GK22" i="13"/>
  <c r="GK21" i="13"/>
  <c r="FM9" i="13" l="1"/>
  <c r="FL20" i="13"/>
  <c r="FL26" i="13" s="1"/>
  <c r="GL21" i="13"/>
  <c r="GL23" i="13"/>
  <c r="GL22" i="13"/>
  <c r="FN9" i="13" l="1"/>
  <c r="FM20" i="13"/>
  <c r="FM26" i="13" s="1"/>
  <c r="GM21" i="13"/>
  <c r="GM23" i="13"/>
  <c r="GM22" i="13"/>
  <c r="FO9" i="13" l="1"/>
  <c r="FN20" i="13"/>
  <c r="FN26" i="13" s="1"/>
  <c r="GN22" i="13"/>
  <c r="GN21" i="13"/>
  <c r="GN23" i="13"/>
  <c r="FO20" i="13" l="1"/>
  <c r="FO26" i="13" s="1"/>
  <c r="FP9" i="13"/>
  <c r="GO23" i="13"/>
  <c r="GO21" i="13"/>
  <c r="GO22" i="13"/>
  <c r="FP20" i="13" l="1"/>
  <c r="FP26" i="13" s="1"/>
  <c r="FQ9" i="13"/>
  <c r="GP23" i="13"/>
  <c r="GP22" i="13"/>
  <c r="GP21" i="13"/>
  <c r="FR9" i="13" l="1"/>
  <c r="FQ20" i="13"/>
  <c r="FQ26" i="13" s="1"/>
  <c r="GQ21" i="13"/>
  <c r="GQ22" i="13"/>
  <c r="GQ23" i="13"/>
  <c r="FR20" i="13" l="1"/>
  <c r="FR26" i="13" s="1"/>
  <c r="FS9" i="13"/>
  <c r="GR22" i="13"/>
  <c r="GR23" i="13"/>
  <c r="GR21" i="13"/>
  <c r="FT9" i="13" l="1"/>
  <c r="FS20" i="13"/>
  <c r="FS26" i="13" s="1"/>
  <c r="GS21" i="13"/>
  <c r="GS22" i="13"/>
  <c r="GS23" i="13"/>
  <c r="FU9" i="13" l="1"/>
  <c r="FT20" i="13"/>
  <c r="FT26" i="13" s="1"/>
  <c r="GT21" i="13"/>
  <c r="GT23" i="13"/>
  <c r="GT22" i="13"/>
  <c r="FV9" i="13" l="1"/>
  <c r="FU20" i="13"/>
  <c r="FU26" i="13" s="1"/>
  <c r="GU21" i="13"/>
  <c r="GU23" i="13"/>
  <c r="GU22" i="13"/>
  <c r="FV20" i="13" l="1"/>
  <c r="FV26" i="13" s="1"/>
  <c r="FW9" i="13"/>
  <c r="GV21" i="13"/>
  <c r="GV23" i="13"/>
  <c r="GV22" i="13"/>
  <c r="FW20" i="13" l="1"/>
  <c r="FW26" i="13" s="1"/>
  <c r="FX9" i="13"/>
  <c r="GW21" i="13"/>
  <c r="GW23" i="13"/>
  <c r="GW22" i="13"/>
  <c r="FY9" i="13" l="1"/>
  <c r="FX20" i="13"/>
  <c r="FX26" i="13" s="1"/>
  <c r="GX23" i="13"/>
  <c r="GX21" i="13"/>
  <c r="GX22" i="13"/>
  <c r="FZ9" i="13" l="1"/>
  <c r="FY20" i="13"/>
  <c r="FY26" i="13" s="1"/>
  <c r="GY21" i="13"/>
  <c r="GY23" i="13"/>
  <c r="GY22" i="13"/>
  <c r="FZ20" i="13" l="1"/>
  <c r="FZ26" i="13" s="1"/>
  <c r="GA9" i="13"/>
  <c r="GZ21" i="13"/>
  <c r="GZ23" i="13"/>
  <c r="GZ22" i="13"/>
  <c r="GA20" i="13" l="1"/>
  <c r="GA26" i="13" s="1"/>
  <c r="GB9" i="13"/>
  <c r="HA23" i="13"/>
  <c r="HA21" i="13"/>
  <c r="HA22" i="13"/>
  <c r="GC9" i="13" l="1"/>
  <c r="GB20" i="13"/>
  <c r="GB26" i="13" s="1"/>
  <c r="HB22" i="13"/>
  <c r="HB21" i="13"/>
  <c r="HB23" i="13"/>
  <c r="GC20" i="13" l="1"/>
  <c r="GC26" i="13" s="1"/>
  <c r="GD9" i="13"/>
  <c r="HC23" i="13"/>
  <c r="HC22" i="13"/>
  <c r="HC21" i="13"/>
  <c r="GD20" i="13" l="1"/>
  <c r="GD26" i="13" s="1"/>
  <c r="GE9" i="13"/>
  <c r="HD22" i="13"/>
  <c r="HD21" i="13"/>
  <c r="HD23" i="13"/>
  <c r="GE20" i="13" l="1"/>
  <c r="GE26" i="13" s="1"/>
  <c r="GF9" i="13"/>
  <c r="HE22" i="13"/>
  <c r="HE21" i="13"/>
  <c r="HE23" i="13"/>
  <c r="GG9" i="13" l="1"/>
  <c r="GF20" i="13"/>
  <c r="GF26" i="13" s="1"/>
  <c r="HF21" i="13"/>
  <c r="HF23" i="13"/>
  <c r="HF22" i="13"/>
  <c r="GH9" i="13" l="1"/>
  <c r="GG20" i="13"/>
  <c r="GG26" i="13" s="1"/>
  <c r="HG22" i="13"/>
  <c r="HG21" i="13"/>
  <c r="HG23" i="13"/>
  <c r="GI9" i="13" l="1"/>
  <c r="GH20" i="13"/>
  <c r="GH26" i="13" s="1"/>
  <c r="HH22" i="13"/>
  <c r="HH23" i="13"/>
  <c r="HH21" i="13"/>
  <c r="GJ9" i="13" l="1"/>
  <c r="GI20" i="13"/>
  <c r="GI26" i="13" s="1"/>
  <c r="HI21" i="13"/>
  <c r="HI22" i="13"/>
  <c r="HI23" i="13"/>
  <c r="GK9" i="13" l="1"/>
  <c r="GJ20" i="13"/>
  <c r="GJ26" i="13" s="1"/>
  <c r="HJ21" i="13"/>
  <c r="HJ22" i="13"/>
  <c r="HJ23" i="13"/>
  <c r="GL9" i="13" l="1"/>
  <c r="GK20" i="13"/>
  <c r="GK26" i="13" s="1"/>
  <c r="HK21" i="13"/>
  <c r="HK23" i="13"/>
  <c r="HK22" i="13"/>
  <c r="GM9" i="13" l="1"/>
  <c r="GL20" i="13"/>
  <c r="GL26" i="13" s="1"/>
  <c r="HL23" i="13"/>
  <c r="HL22" i="13"/>
  <c r="HL21" i="13"/>
  <c r="GN9" i="13" l="1"/>
  <c r="GM20" i="13"/>
  <c r="GM26" i="13" s="1"/>
  <c r="HM23" i="13"/>
  <c r="HM22" i="13"/>
  <c r="HM21" i="13"/>
  <c r="GO9" i="13" l="1"/>
  <c r="GN20" i="13"/>
  <c r="GN26" i="13" s="1"/>
  <c r="HN22" i="13"/>
  <c r="HN23" i="13"/>
  <c r="HN21" i="13"/>
  <c r="GP9" i="13" l="1"/>
  <c r="GO20" i="13"/>
  <c r="GO26" i="13" s="1"/>
  <c r="HO22" i="13"/>
  <c r="HO21" i="13"/>
  <c r="HO23" i="13"/>
  <c r="GP20" i="13" l="1"/>
  <c r="GP26" i="13" s="1"/>
  <c r="GQ9" i="13"/>
  <c r="HP23" i="13"/>
  <c r="HP21" i="13"/>
  <c r="HP22" i="13"/>
  <c r="GQ20" i="13" l="1"/>
  <c r="GQ26" i="13" s="1"/>
  <c r="GR9" i="13"/>
  <c r="HQ21" i="13"/>
  <c r="HQ22" i="13"/>
  <c r="HQ23" i="13"/>
  <c r="GS9" i="13" l="1"/>
  <c r="GR20" i="13"/>
  <c r="GR26" i="13" s="1"/>
  <c r="HR21" i="13"/>
  <c r="HR22" i="13"/>
  <c r="HR23" i="13"/>
  <c r="GT9" i="13" l="1"/>
  <c r="GS20" i="13"/>
  <c r="GS26" i="13" s="1"/>
  <c r="HS21" i="13"/>
  <c r="HS23" i="13"/>
  <c r="HS22" i="13"/>
  <c r="GU9" i="13" l="1"/>
  <c r="GT20" i="13"/>
  <c r="GT26" i="13" s="1"/>
  <c r="HT21" i="13"/>
  <c r="HT23" i="13"/>
  <c r="HT22" i="13"/>
  <c r="GU20" i="13" l="1"/>
  <c r="GU26" i="13" s="1"/>
  <c r="GV9" i="13"/>
  <c r="HU22" i="13"/>
  <c r="HU21" i="13"/>
  <c r="HU23" i="13"/>
  <c r="GV20" i="13" l="1"/>
  <c r="GV26" i="13" s="1"/>
  <c r="GW9" i="13"/>
  <c r="HV22" i="13"/>
  <c r="HV23" i="13"/>
  <c r="HV21" i="13"/>
  <c r="GW20" i="13" l="1"/>
  <c r="GW26" i="13" s="1"/>
  <c r="GX9" i="13"/>
  <c r="HW23" i="13"/>
  <c r="HW22" i="13"/>
  <c r="HW21" i="13"/>
  <c r="GY9" i="13" l="1"/>
  <c r="GX20" i="13"/>
  <c r="GX26" i="13" s="1"/>
  <c r="HX22" i="13"/>
  <c r="HX23" i="13"/>
  <c r="HX21" i="13"/>
  <c r="GZ9" i="13" l="1"/>
  <c r="GY20" i="13"/>
  <c r="GY26" i="13" s="1"/>
  <c r="HY22" i="13"/>
  <c r="HY23" i="13"/>
  <c r="HY21" i="13"/>
  <c r="HA9" i="13" l="1"/>
  <c r="GZ20" i="13"/>
  <c r="GZ26" i="13" s="1"/>
  <c r="HZ21" i="13"/>
  <c r="HZ22" i="13"/>
  <c r="HZ23" i="13"/>
  <c r="HB9" i="13" l="1"/>
  <c r="HA20" i="13"/>
  <c r="HA26" i="13" s="1"/>
  <c r="IA22" i="13"/>
  <c r="IA21" i="13"/>
  <c r="IA23" i="13"/>
  <c r="HC9" i="13" l="1"/>
  <c r="HB20" i="13"/>
  <c r="HB26" i="13" s="1"/>
  <c r="IB21" i="13"/>
  <c r="IB22" i="13"/>
  <c r="IB23" i="13"/>
  <c r="HC20" i="13" l="1"/>
  <c r="HC26" i="13" s="1"/>
  <c r="HD9" i="13"/>
  <c r="IC22" i="13"/>
  <c r="IC23" i="13"/>
  <c r="IC21" i="13"/>
  <c r="HD20" i="13" l="1"/>
  <c r="HD26" i="13" s="1"/>
  <c r="HE9" i="13"/>
  <c r="ID23" i="13"/>
  <c r="ID21" i="13"/>
  <c r="ID22" i="13"/>
  <c r="HE20" i="13" l="1"/>
  <c r="HE26" i="13" s="1"/>
  <c r="HF9" i="13"/>
  <c r="IE22" i="13"/>
  <c r="IE23" i="13"/>
  <c r="IE21" i="13"/>
  <c r="HF20" i="13" l="1"/>
  <c r="HF26" i="13" s="1"/>
  <c r="HG9" i="13"/>
  <c r="IF23" i="13"/>
  <c r="IF21" i="13"/>
  <c r="IF22" i="13"/>
  <c r="HG20" i="13" l="1"/>
  <c r="HG26" i="13" s="1"/>
  <c r="HH9" i="13"/>
  <c r="IG23" i="13"/>
  <c r="IG21" i="13"/>
  <c r="IG22" i="13"/>
  <c r="HH20" i="13" l="1"/>
  <c r="HH26" i="13" s="1"/>
  <c r="HI9" i="13"/>
  <c r="IH22" i="13"/>
  <c r="IH21" i="13"/>
  <c r="IH23" i="13"/>
  <c r="HI20" i="13" l="1"/>
  <c r="HI26" i="13" s="1"/>
  <c r="HJ9" i="13"/>
  <c r="II22" i="13"/>
  <c r="II23" i="13"/>
  <c r="II21" i="13"/>
  <c r="HJ20" i="13" l="1"/>
  <c r="HJ26" i="13" s="1"/>
  <c r="HK9" i="13"/>
  <c r="IJ22" i="13"/>
  <c r="IJ23" i="13"/>
  <c r="IJ21" i="13"/>
  <c r="HK20" i="13" l="1"/>
  <c r="HK26" i="13" s="1"/>
  <c r="HL9" i="13"/>
  <c r="IK23" i="13"/>
  <c r="IK21" i="13"/>
  <c r="IK22" i="13"/>
  <c r="HM9" i="13" l="1"/>
  <c r="HL20" i="13"/>
  <c r="HL26" i="13" s="1"/>
  <c r="IL23" i="13"/>
  <c r="IL21" i="13"/>
  <c r="IL22" i="13"/>
  <c r="HM20" i="13" l="1"/>
  <c r="HM26" i="13" s="1"/>
  <c r="HN9" i="13"/>
  <c r="IM22" i="13"/>
  <c r="IM23" i="13"/>
  <c r="IM21" i="13"/>
  <c r="HN20" i="13" l="1"/>
  <c r="HN26" i="13" s="1"/>
  <c r="HO9" i="13"/>
  <c r="IN22" i="13"/>
  <c r="IN23" i="13"/>
  <c r="IN21" i="13"/>
  <c r="HO20" i="13" l="1"/>
  <c r="HO26" i="13" s="1"/>
  <c r="HP9" i="13"/>
  <c r="HP20" i="13" l="1"/>
  <c r="HP26" i="13" s="1"/>
  <c r="HQ9" i="13"/>
  <c r="HQ20" i="13" l="1"/>
  <c r="HQ26" i="13" s="1"/>
  <c r="HR9" i="13"/>
  <c r="HR20" i="13" l="1"/>
  <c r="HR26" i="13" s="1"/>
  <c r="HS9" i="13"/>
  <c r="HS20" i="13" l="1"/>
  <c r="HS26" i="13" s="1"/>
  <c r="HT9" i="13"/>
  <c r="HU9" i="13" l="1"/>
  <c r="HT20" i="13"/>
  <c r="HT26" i="13" s="1"/>
  <c r="HV9" i="13" l="1"/>
  <c r="HU20" i="13"/>
  <c r="HU26" i="13" s="1"/>
  <c r="HV20" i="13" l="1"/>
  <c r="HV26" i="13" s="1"/>
  <c r="HW9" i="13"/>
  <c r="HX9" i="13" l="1"/>
  <c r="HW20" i="13"/>
  <c r="HW26" i="13" s="1"/>
  <c r="HX20" i="13" l="1"/>
  <c r="HX26" i="13" s="1"/>
  <c r="HY9" i="13"/>
  <c r="HZ9" i="13" l="1"/>
  <c r="HY20" i="13"/>
  <c r="HY26" i="13" s="1"/>
  <c r="HZ20" i="13" l="1"/>
  <c r="HZ26" i="13" s="1"/>
  <c r="IA9" i="13"/>
  <c r="IB9" i="13" l="1"/>
  <c r="IA20" i="13"/>
  <c r="IA26" i="13" s="1"/>
  <c r="IC9" i="13" l="1"/>
  <c r="IB20" i="13"/>
  <c r="IB26" i="13" s="1"/>
  <c r="ID9" i="13" l="1"/>
  <c r="IC20" i="13"/>
  <c r="IC26" i="13" s="1"/>
  <c r="IE9" i="13" l="1"/>
  <c r="ID20" i="13"/>
  <c r="ID26" i="13" s="1"/>
  <c r="IF9" i="13" l="1"/>
  <c r="IE20" i="13"/>
  <c r="IE26" i="13" s="1"/>
  <c r="IG9" i="13" l="1"/>
  <c r="IF20" i="13"/>
  <c r="IF26" i="13" s="1"/>
  <c r="IH9" i="13" l="1"/>
  <c r="IG20" i="13"/>
  <c r="IG26" i="13" s="1"/>
  <c r="II9" i="13" l="1"/>
  <c r="IH20" i="13"/>
  <c r="IH26" i="13" s="1"/>
  <c r="II20" i="13" l="1"/>
  <c r="II26" i="13" s="1"/>
  <c r="IJ9" i="13"/>
  <c r="IJ20" i="13" l="1"/>
  <c r="IJ26" i="13" s="1"/>
  <c r="IK9" i="13"/>
  <c r="IL9" i="13" l="1"/>
  <c r="IK20" i="13"/>
  <c r="IK26" i="13" s="1"/>
  <c r="IL20" i="13" l="1"/>
  <c r="IL26" i="13" s="1"/>
  <c r="IM9" i="13"/>
  <c r="IM20" i="13" l="1"/>
  <c r="IM26" i="13" s="1"/>
  <c r="IN9" i="13"/>
  <c r="IN20" i="13" s="1"/>
  <c r="IN26" i="13" l="1"/>
  <c r="D31" i="13" s="1"/>
  <c r="D27" i="13" s="1"/>
  <c r="D30" i="13" l="1"/>
  <c r="C40" i="15"/>
  <c r="C42" i="15" s="1"/>
  <c r="A5" i="23"/>
  <c r="A6" i="23" l="1"/>
  <c r="E5" i="23"/>
  <c r="G5" i="23" s="1"/>
  <c r="H23" i="20" s="1"/>
  <c r="F5" i="23"/>
  <c r="A7" i="23" l="1"/>
  <c r="E6" i="23"/>
  <c r="F6" i="23"/>
  <c r="G6" i="23" l="1"/>
  <c r="H13" i="20" s="1"/>
  <c r="A8" i="23"/>
  <c r="E7" i="23"/>
  <c r="F7" i="23"/>
  <c r="G7" i="23" l="1"/>
  <c r="H60" i="20" s="1"/>
  <c r="A9" i="23"/>
  <c r="E8" i="23"/>
  <c r="G8" i="23" s="1"/>
  <c r="H18" i="20" s="1"/>
  <c r="F8" i="23"/>
  <c r="A10" i="23" l="1"/>
  <c r="E9" i="23"/>
  <c r="G9" i="23" s="1"/>
  <c r="H5" i="20" s="1"/>
  <c r="F9" i="23"/>
  <c r="A11" i="23" l="1"/>
  <c r="E10" i="23"/>
  <c r="F10" i="23"/>
  <c r="G10" i="23" l="1"/>
  <c r="A12" i="23"/>
  <c r="E11" i="23"/>
  <c r="G11" i="23" s="1"/>
  <c r="H17" i="20" s="1"/>
  <c r="F11" i="23"/>
  <c r="A13" i="23" l="1"/>
  <c r="E12" i="23"/>
  <c r="F12" i="23"/>
  <c r="H7" i="20"/>
  <c r="C13" i="13"/>
  <c r="C22" i="15" s="1"/>
  <c r="C24" i="15" s="1"/>
  <c r="A14" i="23" l="1"/>
  <c r="E13" i="23"/>
  <c r="F13" i="23"/>
  <c r="G12" i="23"/>
  <c r="G13" i="23" l="1"/>
  <c r="A15" i="23"/>
  <c r="E14" i="23"/>
  <c r="F14" i="23"/>
  <c r="G14" i="23" l="1"/>
  <c r="A16" i="23"/>
  <c r="E15" i="23"/>
  <c r="F15" i="23"/>
  <c r="G15" i="23" l="1"/>
  <c r="A17" i="23"/>
  <c r="E16" i="23"/>
  <c r="F16" i="23"/>
  <c r="G16" i="23" l="1"/>
  <c r="H56" i="20" s="1"/>
  <c r="A18" i="23"/>
  <c r="E17" i="23"/>
  <c r="G17" i="23" s="1"/>
  <c r="F17" i="23"/>
  <c r="A19" i="23" l="1"/>
  <c r="E18" i="23"/>
  <c r="G18" i="23" s="1"/>
  <c r="H14" i="20" s="1"/>
  <c r="F18" i="23"/>
  <c r="A20" i="23" l="1"/>
  <c r="E19" i="23"/>
  <c r="G19" i="23" s="1"/>
  <c r="H10" i="20" s="1"/>
  <c r="F19" i="23"/>
  <c r="A21" i="23" l="1"/>
  <c r="E20" i="23"/>
  <c r="G20" i="23" s="1"/>
  <c r="H21" i="20" s="1"/>
  <c r="F20" i="23"/>
  <c r="A22" i="23" l="1"/>
  <c r="E21" i="23"/>
  <c r="G21" i="23" s="1"/>
  <c r="F21" i="23"/>
  <c r="A23" i="23" l="1"/>
  <c r="E22" i="23"/>
  <c r="G22" i="23" s="1"/>
  <c r="F22" i="23"/>
  <c r="A24" i="23" l="1"/>
  <c r="E23" i="23"/>
  <c r="G23" i="23" s="1"/>
  <c r="F23" i="23"/>
  <c r="A25" i="23" l="1"/>
  <c r="E24" i="23"/>
  <c r="F24" i="23"/>
  <c r="G24" i="23" l="1"/>
  <c r="H15" i="20" s="1"/>
  <c r="A26" i="23"/>
  <c r="E25" i="23"/>
  <c r="F25" i="23"/>
  <c r="G25" i="23" l="1"/>
  <c r="A27" i="23"/>
  <c r="E26" i="23"/>
  <c r="F26" i="23"/>
  <c r="G26" i="23" l="1"/>
  <c r="H46" i="20" s="1"/>
  <c r="A28" i="23"/>
  <c r="E27" i="23"/>
  <c r="F27" i="23"/>
  <c r="G27" i="23" l="1"/>
  <c r="H16" i="20" s="1"/>
  <c r="A29" i="23"/>
  <c r="E28" i="23"/>
  <c r="F28" i="23"/>
  <c r="G28" i="23" l="1"/>
  <c r="H9" i="20" s="1"/>
  <c r="E29" i="23"/>
  <c r="A30" i="23"/>
  <c r="F29" i="23"/>
  <c r="E30" i="23" l="1"/>
  <c r="A31" i="23"/>
  <c r="F30" i="23"/>
  <c r="G29" i="23"/>
  <c r="H20" i="20" s="1"/>
  <c r="E31" i="23" l="1"/>
  <c r="A32" i="23"/>
  <c r="F31" i="23"/>
  <c r="G30" i="23"/>
  <c r="H11" i="20" s="1"/>
  <c r="A33" i="23" l="1"/>
  <c r="E32" i="23"/>
  <c r="F32" i="23"/>
  <c r="G31" i="23"/>
  <c r="H50" i="20" s="1"/>
  <c r="G32" i="23" l="1"/>
  <c r="H6" i="20" s="1"/>
  <c r="A34" i="23"/>
  <c r="E33" i="23"/>
  <c r="G33" i="23" s="1"/>
  <c r="H57" i="20" s="1"/>
  <c r="F33" i="23"/>
  <c r="A35" i="23" l="1"/>
  <c r="E34" i="23"/>
  <c r="G34" i="23" s="1"/>
  <c r="H19" i="20" s="1"/>
  <c r="F34" i="23"/>
  <c r="E35" i="23" l="1"/>
  <c r="G35" i="23" s="1"/>
  <c r="H48" i="20" s="1"/>
  <c r="A36" i="23"/>
  <c r="F35" i="23"/>
  <c r="E36" i="23" l="1"/>
  <c r="G36" i="23" s="1"/>
  <c r="H27" i="20" s="1"/>
  <c r="A37" i="23"/>
  <c r="F36" i="23"/>
  <c r="E37" i="23" l="1"/>
  <c r="G37" i="23" s="1"/>
  <c r="H32" i="20" s="1"/>
  <c r="A38" i="23"/>
  <c r="F37" i="23"/>
  <c r="E38" i="23" l="1"/>
  <c r="G38" i="23" s="1"/>
  <c r="H44" i="20" s="1"/>
  <c r="A39" i="23"/>
  <c r="F38" i="23"/>
  <c r="E39" i="23" l="1"/>
  <c r="G39" i="23" s="1"/>
  <c r="H47" i="20" s="1"/>
  <c r="A40" i="23"/>
  <c r="F39" i="23"/>
  <c r="A41" i="23" l="1"/>
  <c r="E40" i="23"/>
  <c r="F40" i="23"/>
  <c r="A42" i="23" l="1"/>
  <c r="E41" i="23"/>
  <c r="F41" i="23"/>
  <c r="G40" i="23"/>
  <c r="A43" i="23" l="1"/>
  <c r="E42" i="23"/>
  <c r="F42" i="23"/>
  <c r="G41" i="23"/>
  <c r="G42" i="23" l="1"/>
  <c r="H22" i="20" s="1"/>
  <c r="E43" i="23"/>
  <c r="A44" i="23"/>
  <c r="F43" i="23"/>
  <c r="E44" i="23" l="1"/>
  <c r="G44" i="23" s="1"/>
  <c r="H30" i="20" s="1"/>
  <c r="A45" i="23"/>
  <c r="F44" i="23"/>
  <c r="G43" i="23"/>
  <c r="E45" i="23" l="1"/>
  <c r="G45" i="23" s="1"/>
  <c r="H45" i="20" s="1"/>
  <c r="A46" i="23"/>
  <c r="F45" i="23"/>
  <c r="E46" i="23" l="1"/>
  <c r="G46" i="23" s="1"/>
  <c r="H51" i="20" s="1"/>
  <c r="A47" i="23"/>
  <c r="F46" i="23"/>
  <c r="E47" i="23" l="1"/>
  <c r="G47" i="23" s="1"/>
  <c r="H12" i="20" s="1"/>
  <c r="A48" i="23"/>
  <c r="F47" i="23"/>
  <c r="A49" i="23" l="1"/>
  <c r="E48" i="23"/>
  <c r="G48" i="23" s="1"/>
  <c r="H24" i="20" s="1"/>
  <c r="F48" i="23"/>
  <c r="A50" i="23" l="1"/>
  <c r="E49" i="23"/>
  <c r="F49" i="23"/>
  <c r="A51" i="23" l="1"/>
  <c r="E50" i="23"/>
  <c r="F50" i="23"/>
  <c r="G49" i="23"/>
  <c r="G50" i="23" l="1"/>
  <c r="H41" i="20" s="1"/>
  <c r="E51" i="23"/>
  <c r="A52" i="23"/>
  <c r="F51" i="23"/>
  <c r="E52" i="23" l="1"/>
  <c r="A53" i="23"/>
  <c r="F52" i="23"/>
  <c r="G51" i="23"/>
  <c r="H26" i="20" s="1"/>
  <c r="E53" i="23" l="1"/>
  <c r="A54" i="23"/>
  <c r="F53" i="23"/>
  <c r="G52" i="23"/>
  <c r="E54" i="23" l="1"/>
  <c r="A55" i="23"/>
  <c r="F54" i="23"/>
  <c r="G53" i="23"/>
  <c r="H28" i="20" s="1"/>
  <c r="E55" i="23" l="1"/>
  <c r="A56" i="23"/>
  <c r="F55" i="23"/>
  <c r="G54" i="23"/>
  <c r="H33" i="20" s="1"/>
  <c r="A57" i="23" l="1"/>
  <c r="E56" i="23"/>
  <c r="F56" i="23"/>
  <c r="G55" i="23"/>
  <c r="A58" i="23" l="1"/>
  <c r="E57" i="23"/>
  <c r="G57" i="23" s="1"/>
  <c r="H65" i="20" s="1"/>
  <c r="F57" i="23"/>
  <c r="G56" i="23"/>
  <c r="A59" i="23" l="1"/>
  <c r="E58" i="23"/>
  <c r="F58" i="23"/>
  <c r="E59" i="23" l="1"/>
  <c r="G59" i="23" s="1"/>
  <c r="A60" i="23"/>
  <c r="F59" i="23"/>
  <c r="G58" i="23"/>
  <c r="E60" i="23" l="1"/>
  <c r="G60" i="23" s="1"/>
  <c r="A61" i="23"/>
  <c r="F60" i="23"/>
  <c r="E61" i="23" l="1"/>
  <c r="G61" i="23" s="1"/>
  <c r="H37" i="20" s="1"/>
  <c r="A62" i="23"/>
  <c r="F61" i="23"/>
  <c r="E62" i="23" l="1"/>
  <c r="G62" i="23" s="1"/>
  <c r="H49" i="20" s="1"/>
  <c r="A63" i="23"/>
  <c r="F62" i="23"/>
  <c r="E63" i="23" l="1"/>
  <c r="G63" i="23" s="1"/>
  <c r="A64" i="23"/>
  <c r="F63" i="23"/>
  <c r="A65" i="23" l="1"/>
  <c r="E64" i="23"/>
  <c r="F64" i="23"/>
  <c r="A66" i="23" l="1"/>
  <c r="A67" i="23" s="1"/>
  <c r="A68" i="23" s="1"/>
  <c r="A69" i="23" s="1"/>
  <c r="A70" i="23" s="1"/>
  <c r="A71" i="23" s="1"/>
  <c r="A72" i="23" s="1"/>
  <c r="A73" i="23" s="1"/>
  <c r="A74" i="23" s="1"/>
  <c r="A75" i="23" s="1"/>
  <c r="A76" i="23" s="1"/>
  <c r="A77" i="23" s="1"/>
  <c r="A78" i="23" s="1"/>
  <c r="A79" i="23" s="1"/>
  <c r="A80" i="23" s="1"/>
  <c r="A81" i="23" s="1"/>
  <c r="A82" i="23" s="1"/>
  <c r="A83" i="23" s="1"/>
  <c r="A84" i="23" s="1"/>
  <c r="A85" i="23" s="1"/>
  <c r="A86" i="23" s="1"/>
  <c r="A87" i="23" s="1"/>
  <c r="A88" i="23" s="1"/>
  <c r="A89" i="23" s="1"/>
  <c r="A90" i="23" s="1"/>
  <c r="A91" i="23" s="1"/>
  <c r="A92" i="23" s="1"/>
  <c r="A93" i="23" s="1"/>
  <c r="A94" i="23" s="1"/>
  <c r="A95" i="23" s="1"/>
  <c r="A96" i="23" s="1"/>
  <c r="A97" i="23" s="1"/>
  <c r="A98" i="23" s="1"/>
  <c r="A99" i="23" s="1"/>
  <c r="A100" i="23" s="1"/>
  <c r="A101" i="23" s="1"/>
  <c r="A102" i="23" s="1"/>
  <c r="A103" i="23" s="1"/>
  <c r="A104" i="23" s="1"/>
  <c r="A105" i="23" s="1"/>
  <c r="A106" i="23" s="1"/>
  <c r="A107" i="23" s="1"/>
  <c r="A108" i="23" s="1"/>
  <c r="A109" i="23" s="1"/>
  <c r="A110" i="23" s="1"/>
  <c r="A111" i="23" s="1"/>
  <c r="A112" i="23" s="1"/>
  <c r="A113" i="23" s="1"/>
  <c r="A114" i="23" s="1"/>
  <c r="A115" i="23" s="1"/>
  <c r="A116" i="23" s="1"/>
  <c r="A117" i="23" s="1"/>
  <c r="A118" i="23" s="1"/>
  <c r="A119" i="23" s="1"/>
  <c r="A120" i="23" s="1"/>
  <c r="A121" i="23" s="1"/>
  <c r="A122" i="23" s="1"/>
  <c r="A123" i="23" s="1"/>
  <c r="A124" i="23" s="1"/>
  <c r="A125" i="23" s="1"/>
  <c r="A126" i="23" s="1"/>
  <c r="A127" i="23" s="1"/>
  <c r="A128" i="23" s="1"/>
  <c r="A129" i="23" s="1"/>
  <c r="A130" i="23" s="1"/>
  <c r="A131" i="23" s="1"/>
  <c r="A132" i="23" s="1"/>
  <c r="A133" i="23" s="1"/>
  <c r="A134" i="23" s="1"/>
  <c r="A135" i="23" s="1"/>
  <c r="A136" i="23" s="1"/>
  <c r="A137" i="23" s="1"/>
  <c r="A138" i="23" s="1"/>
  <c r="A139" i="23" s="1"/>
  <c r="A140" i="23" s="1"/>
  <c r="A141" i="23" s="1"/>
  <c r="A142" i="23" s="1"/>
  <c r="A143" i="23" s="1"/>
  <c r="A144" i="23" s="1"/>
  <c r="A145" i="23" s="1"/>
  <c r="A146" i="23" s="1"/>
  <c r="A147" i="23" s="1"/>
  <c r="A148" i="23" s="1"/>
  <c r="A149" i="23" s="1"/>
  <c r="A150" i="23" s="1"/>
  <c r="A151" i="23" s="1"/>
  <c r="A152" i="23" s="1"/>
  <c r="A153" i="23" s="1"/>
  <c r="A154" i="23" s="1"/>
  <c r="A155" i="23" s="1"/>
  <c r="A156" i="23" s="1"/>
  <c r="A157" i="23" s="1"/>
  <c r="A158" i="23" s="1"/>
  <c r="A159" i="23" s="1"/>
  <c r="A160" i="23" s="1"/>
  <c r="A161" i="23" s="1"/>
  <c r="A162" i="23" s="1"/>
  <c r="A163" i="23" s="1"/>
  <c r="A164" i="23" s="1"/>
  <c r="A165" i="23" s="1"/>
  <c r="A166" i="23" s="1"/>
  <c r="A167" i="23" s="1"/>
  <c r="A168" i="23" s="1"/>
  <c r="A169" i="23" s="1"/>
  <c r="A170" i="23" s="1"/>
  <c r="A171" i="23" s="1"/>
  <c r="A172" i="23" s="1"/>
  <c r="A173" i="23" s="1"/>
  <c r="A174" i="23" s="1"/>
  <c r="A175" i="23" s="1"/>
  <c r="A176" i="23" s="1"/>
  <c r="A177" i="23" s="1"/>
  <c r="A178" i="23" s="1"/>
  <c r="A179" i="23" s="1"/>
  <c r="A180" i="23" s="1"/>
  <c r="A181" i="23" s="1"/>
  <c r="A182" i="23" s="1"/>
  <c r="A183" i="23" s="1"/>
  <c r="A184" i="23" s="1"/>
  <c r="A185" i="23" s="1"/>
  <c r="A186" i="23" s="1"/>
  <c r="A187" i="23" s="1"/>
  <c r="A188" i="23" s="1"/>
  <c r="A189" i="23" s="1"/>
  <c r="A190" i="23" s="1"/>
  <c r="A191" i="23" s="1"/>
  <c r="A192" i="23" s="1"/>
  <c r="A193" i="23" s="1"/>
  <c r="A194" i="23" s="1"/>
  <c r="A195" i="23" s="1"/>
  <c r="A196" i="23" s="1"/>
  <c r="A197" i="23" s="1"/>
  <c r="A198" i="23" s="1"/>
  <c r="A199" i="23" s="1"/>
  <c r="A200" i="23" s="1"/>
  <c r="E65" i="23"/>
  <c r="F65" i="23"/>
  <c r="G64" i="23"/>
  <c r="H35" i="20" s="1"/>
  <c r="G65" i="23" l="1"/>
</calcChain>
</file>

<file path=xl/sharedStrings.xml><?xml version="1.0" encoding="utf-8"?>
<sst xmlns="http://schemas.openxmlformats.org/spreadsheetml/2006/main" count="2587" uniqueCount="621">
  <si>
    <t>Province/State</t>
  </si>
  <si>
    <t>Country/Region</t>
  </si>
  <si>
    <t>Lat</t>
  </si>
  <si>
    <t>Long</t>
  </si>
  <si>
    <t>Anhui</t>
  </si>
  <si>
    <t>Beijing</t>
  </si>
  <si>
    <t>Chongqing</t>
  </si>
  <si>
    <t>Fujian</t>
  </si>
  <si>
    <t>Gansu</t>
  </si>
  <si>
    <t>Guangdong</t>
  </si>
  <si>
    <t>Guangxi</t>
  </si>
  <si>
    <t>Guizhou</t>
  </si>
  <si>
    <t>Hainan</t>
  </si>
  <si>
    <t>Hebei</t>
  </si>
  <si>
    <t>Heilongjiang</t>
  </si>
  <si>
    <t>Henan</t>
  </si>
  <si>
    <t>Hubei</t>
  </si>
  <si>
    <t>Hunan</t>
  </si>
  <si>
    <t>Inner Mongolia</t>
  </si>
  <si>
    <t>Jiangsu</t>
  </si>
  <si>
    <t>Jiangxi</t>
  </si>
  <si>
    <t>Jilin</t>
  </si>
  <si>
    <t>Liaoning</t>
  </si>
  <si>
    <t>Ningxia</t>
  </si>
  <si>
    <t>Qinghai</t>
  </si>
  <si>
    <t>Shaanxi</t>
  </si>
  <si>
    <t>Shandong</t>
  </si>
  <si>
    <t>Shanghai</t>
  </si>
  <si>
    <t>Shanxi</t>
  </si>
  <si>
    <t>Sichuan</t>
  </si>
  <si>
    <t>Tianjin</t>
  </si>
  <si>
    <t>Tibet</t>
  </si>
  <si>
    <t>Xinjiang</t>
  </si>
  <si>
    <t>Yunnan</t>
  </si>
  <si>
    <t>Zhejiang</t>
  </si>
  <si>
    <t>Thailand</t>
  </si>
  <si>
    <t>Japan</t>
  </si>
  <si>
    <t>King County, WA</t>
  </si>
  <si>
    <t>US</t>
  </si>
  <si>
    <t>Cook County, IL</t>
  </si>
  <si>
    <t>Singapore</t>
  </si>
  <si>
    <t>France</t>
  </si>
  <si>
    <t>Nepal</t>
  </si>
  <si>
    <t>Malaysia</t>
  </si>
  <si>
    <t>British Columbia</t>
  </si>
  <si>
    <t>Canada</t>
  </si>
  <si>
    <t>Los Angeles, CA</t>
  </si>
  <si>
    <t>New South Wales</t>
  </si>
  <si>
    <t>Australia</t>
  </si>
  <si>
    <t>Victoria</t>
  </si>
  <si>
    <t>Queensland</t>
  </si>
  <si>
    <t>Cambodia</t>
  </si>
  <si>
    <t>Sri Lanka</t>
  </si>
  <si>
    <t>Germany</t>
  </si>
  <si>
    <t>Finland</t>
  </si>
  <si>
    <t>United Arab Emirates</t>
  </si>
  <si>
    <t>Philippines</t>
  </si>
  <si>
    <t>India</t>
  </si>
  <si>
    <t>Italy</t>
  </si>
  <si>
    <t>Sweden</t>
  </si>
  <si>
    <t>Spain</t>
  </si>
  <si>
    <t>South Australia</t>
  </si>
  <si>
    <t>San Benito, CA</t>
  </si>
  <si>
    <t>Belgium</t>
  </si>
  <si>
    <t>San Diego County, CA</t>
  </si>
  <si>
    <t>Egypt</t>
  </si>
  <si>
    <t>From Diamond Princess</t>
  </si>
  <si>
    <t>Lebanon</t>
  </si>
  <si>
    <t>Humboldt County, CA</t>
  </si>
  <si>
    <t>Sacramento County, CA</t>
  </si>
  <si>
    <t>Iraq</t>
  </si>
  <si>
    <t>Oman</t>
  </si>
  <si>
    <t>Afghanistan</t>
  </si>
  <si>
    <t>Bahrain</t>
  </si>
  <si>
    <t>Kuwait</t>
  </si>
  <si>
    <t>Algeria</t>
  </si>
  <si>
    <t>Croatia</t>
  </si>
  <si>
    <t>Switzerland</t>
  </si>
  <si>
    <t>Austria</t>
  </si>
  <si>
    <t>Israel</t>
  </si>
  <si>
    <t>Pakistan</t>
  </si>
  <si>
    <t>Brazil</t>
  </si>
  <si>
    <t>Georgia</t>
  </si>
  <si>
    <t>Greece</t>
  </si>
  <si>
    <t>North Macedonia</t>
  </si>
  <si>
    <t>Norway</t>
  </si>
  <si>
    <t>Romania</t>
  </si>
  <si>
    <t>Denmark</t>
  </si>
  <si>
    <t>Estonia</t>
  </si>
  <si>
    <t>Netherlands</t>
  </si>
  <si>
    <t>San Marino</t>
  </si>
  <si>
    <t>Belarus</t>
  </si>
  <si>
    <t>Iceland</t>
  </si>
  <si>
    <t>Lithuania</t>
  </si>
  <si>
    <t>Mexico</t>
  </si>
  <si>
    <t>New Zealand</t>
  </si>
  <si>
    <t>Nigeria</t>
  </si>
  <si>
    <t>Western Australia</t>
  </si>
  <si>
    <t>Ireland</t>
  </si>
  <si>
    <t>Luxembourg</t>
  </si>
  <si>
    <t>Monaco</t>
  </si>
  <si>
    <t>Qatar</t>
  </si>
  <si>
    <t>Snohomish County, WA</t>
  </si>
  <si>
    <t>Ecuador</t>
  </si>
  <si>
    <t>Azerbaijan</t>
  </si>
  <si>
    <t>Armenia</t>
  </si>
  <si>
    <t>Dominican Republic</t>
  </si>
  <si>
    <t>Indonesia</t>
  </si>
  <si>
    <t>Portugal</t>
  </si>
  <si>
    <t>Andorra</t>
  </si>
  <si>
    <t>Tasmania</t>
  </si>
  <si>
    <t>Latvia</t>
  </si>
  <si>
    <t>Morocco</t>
  </si>
  <si>
    <t>Saudi Arabia</t>
  </si>
  <si>
    <t>Senegal</t>
  </si>
  <si>
    <t>Grafton County, NH</t>
  </si>
  <si>
    <t>Hillsborough, FL</t>
  </si>
  <si>
    <t>Placer County, CA</t>
  </si>
  <si>
    <t>San Mateo, CA</t>
  </si>
  <si>
    <t>Sonoma County, CA</t>
  </si>
  <si>
    <t>Umatilla, OR</t>
  </si>
  <si>
    <t>Fulton County, GA</t>
  </si>
  <si>
    <t>Washington County, OR</t>
  </si>
  <si>
    <t>Argentina</t>
  </si>
  <si>
    <t>Chile</t>
  </si>
  <si>
    <t>Jordan</t>
  </si>
  <si>
    <t>Norfolk County, MA</t>
  </si>
  <si>
    <t>Maricopa County, AZ</t>
  </si>
  <si>
    <t>Wake County, NC</t>
  </si>
  <si>
    <t>Ukraine</t>
  </si>
  <si>
    <t>Saint Barthelemy</t>
  </si>
  <si>
    <t>Orange County, CA</t>
  </si>
  <si>
    <t>Hungary</t>
  </si>
  <si>
    <t>Northern Territory</t>
  </si>
  <si>
    <t>Faroe Islands</t>
  </si>
  <si>
    <t>Gibraltar</t>
  </si>
  <si>
    <t>Liechtenstein</t>
  </si>
  <si>
    <t>Poland</t>
  </si>
  <si>
    <t>Tunisia</t>
  </si>
  <si>
    <t>Contra Costa County, CA</t>
  </si>
  <si>
    <t>Bosnia and Herzegovina</t>
  </si>
  <si>
    <t>Slovenia</t>
  </si>
  <si>
    <t>Bergen County, NJ</t>
  </si>
  <si>
    <t>Harris County, TX</t>
  </si>
  <si>
    <t>San Francisco County, CA</t>
  </si>
  <si>
    <t>South Africa</t>
  </si>
  <si>
    <t>Clark County, NV</t>
  </si>
  <si>
    <t>Fort Bend County, TX</t>
  </si>
  <si>
    <t>Grant County, WA</t>
  </si>
  <si>
    <t>Santa Rosa County, FL</t>
  </si>
  <si>
    <t>Williamson County, TN</t>
  </si>
  <si>
    <t>New York County, NY</t>
  </si>
  <si>
    <t>Montgomery County, MD</t>
  </si>
  <si>
    <t>Suffolk County, MA</t>
  </si>
  <si>
    <t>Denver County, CO</t>
  </si>
  <si>
    <t>Summit County, CO</t>
  </si>
  <si>
    <t>Bhutan</t>
  </si>
  <si>
    <t>Cameroon</t>
  </si>
  <si>
    <t>Colombia</t>
  </si>
  <si>
    <t>Costa Rica</t>
  </si>
  <si>
    <t>Peru</t>
  </si>
  <si>
    <t>Serbia</t>
  </si>
  <si>
    <t>Slovakia</t>
  </si>
  <si>
    <t>Togo</t>
  </si>
  <si>
    <t>Chatham County, NC</t>
  </si>
  <si>
    <t>Delaware County, PA</t>
  </si>
  <si>
    <t>Douglas County, NE</t>
  </si>
  <si>
    <t>Fayette County, KY</t>
  </si>
  <si>
    <t>Marion County, IN</t>
  </si>
  <si>
    <t>Middlesex County, MA</t>
  </si>
  <si>
    <t>Nassau County, NY</t>
  </si>
  <si>
    <t>Ramsey County, MN</t>
  </si>
  <si>
    <t>Washoe County, NV</t>
  </si>
  <si>
    <t>Wayne County, PA</t>
  </si>
  <si>
    <t>Yolo County, CA</t>
  </si>
  <si>
    <t>Santa Clara County, CA</t>
  </si>
  <si>
    <t>French Guiana</t>
  </si>
  <si>
    <t>Malta</t>
  </si>
  <si>
    <t>Douglas County, CO</t>
  </si>
  <si>
    <t>Providence County, RI</t>
  </si>
  <si>
    <t>Martinique</t>
  </si>
  <si>
    <t>Alameda County, CA</t>
  </si>
  <si>
    <t>Broward County, FL</t>
  </si>
  <si>
    <t>Lee County, FL</t>
  </si>
  <si>
    <t>Pinal County, AZ</t>
  </si>
  <si>
    <t>Rockland County, NY</t>
  </si>
  <si>
    <t>Saratoga County, NY</t>
  </si>
  <si>
    <t>Charleston County, SC</t>
  </si>
  <si>
    <t>Clark County, WA</t>
  </si>
  <si>
    <t>Cobb County, GA</t>
  </si>
  <si>
    <t>Davis County, UT</t>
  </si>
  <si>
    <t>El Paso County, CO</t>
  </si>
  <si>
    <t>Honolulu County, HI</t>
  </si>
  <si>
    <t>Jefferson County, WA</t>
  </si>
  <si>
    <t>Kershaw County, SC</t>
  </si>
  <si>
    <t>Klamath County, OR</t>
  </si>
  <si>
    <t>Madera County, CA</t>
  </si>
  <si>
    <t>Pierce County, WA</t>
  </si>
  <si>
    <t>Tulsa County, OK</t>
  </si>
  <si>
    <t>Bulgaria</t>
  </si>
  <si>
    <t>Maldives</t>
  </si>
  <si>
    <t>Montgomery County, PA</t>
  </si>
  <si>
    <t>Bangladesh</t>
  </si>
  <si>
    <t>Fairfax County, VA</t>
  </si>
  <si>
    <t>Rockingham County, NH</t>
  </si>
  <si>
    <t>Washington, D.C.</t>
  </si>
  <si>
    <t>Paraguay</t>
  </si>
  <si>
    <t>Berkshire County, MA</t>
  </si>
  <si>
    <t>Davidson County, TN</t>
  </si>
  <si>
    <t>Douglas County, OR</t>
  </si>
  <si>
    <t>Fresno County, CA</t>
  </si>
  <si>
    <t>Harford County, MD</t>
  </si>
  <si>
    <t>Hendricks County, IN</t>
  </si>
  <si>
    <t>Hudson County, NJ</t>
  </si>
  <si>
    <t>Johnson County, KS</t>
  </si>
  <si>
    <t>Kittitas County, WA</t>
  </si>
  <si>
    <t>Manatee County, FL</t>
  </si>
  <si>
    <t>Marion County, OR</t>
  </si>
  <si>
    <t>Okaloosa County, FL</t>
  </si>
  <si>
    <t>Polk County, GA</t>
  </si>
  <si>
    <t>Riverside County, CA</t>
  </si>
  <si>
    <t>Shelby County, TN</t>
  </si>
  <si>
    <t>St. Louis County, MO</t>
  </si>
  <si>
    <t>Suffolk County, NY</t>
  </si>
  <si>
    <t>Ulster County, NY</t>
  </si>
  <si>
    <t>Volusia County, FL</t>
  </si>
  <si>
    <t>Ontario</t>
  </si>
  <si>
    <t>Alberta</t>
  </si>
  <si>
    <t>Quebec</t>
  </si>
  <si>
    <t>Johnson County, IA</t>
  </si>
  <si>
    <t>Albania</t>
  </si>
  <si>
    <t>Cyprus</t>
  </si>
  <si>
    <t>Harrison County, KY</t>
  </si>
  <si>
    <t>Brunei</t>
  </si>
  <si>
    <t>Bennington County, VT</t>
  </si>
  <si>
    <t>Carver County, MN</t>
  </si>
  <si>
    <t>Charlotte County, FL</t>
  </si>
  <si>
    <t>Cherokee County, GA</t>
  </si>
  <si>
    <t>Collin County, TX</t>
  </si>
  <si>
    <t>Jefferson County, KY</t>
  </si>
  <si>
    <t>Jefferson Parish, LA</t>
  </si>
  <si>
    <t>Shasta County, CA</t>
  </si>
  <si>
    <t>Spartanburg County, SC</t>
  </si>
  <si>
    <t>Washington</t>
  </si>
  <si>
    <t>New York</t>
  </si>
  <si>
    <t>California</t>
  </si>
  <si>
    <t>Hong Kong</t>
  </si>
  <si>
    <t>Massachusetts</t>
  </si>
  <si>
    <t>Diamond Princess</t>
  </si>
  <si>
    <t>Grand Princess</t>
  </si>
  <si>
    <t>Colorado</t>
  </si>
  <si>
    <t>Florida</t>
  </si>
  <si>
    <t>New Jersey</t>
  </si>
  <si>
    <t>Oregon</t>
  </si>
  <si>
    <t>Texas</t>
  </si>
  <si>
    <t>Illinois</t>
  </si>
  <si>
    <t>Pennsylvania</t>
  </si>
  <si>
    <t>Macau</t>
  </si>
  <si>
    <t>Iowa</t>
  </si>
  <si>
    <t>Maryland</t>
  </si>
  <si>
    <t>North Carolina</t>
  </si>
  <si>
    <t>South Carolina</t>
  </si>
  <si>
    <t>Tennessee</t>
  </si>
  <si>
    <t>Virginia</t>
  </si>
  <si>
    <t>Arizona</t>
  </si>
  <si>
    <t>Indiana</t>
  </si>
  <si>
    <t>Kentucky</t>
  </si>
  <si>
    <t>District of Columbia</t>
  </si>
  <si>
    <t>Nevada</t>
  </si>
  <si>
    <t>New Hampshire</t>
  </si>
  <si>
    <t>Minnesota</t>
  </si>
  <si>
    <t>Nebraska</t>
  </si>
  <si>
    <t>Ohio</t>
  </si>
  <si>
    <t>Rhode Island</t>
  </si>
  <si>
    <t>Wisconsin</t>
  </si>
  <si>
    <t>Connecticut</t>
  </si>
  <si>
    <t>Hawaii</t>
  </si>
  <si>
    <t>Oklahoma</t>
  </si>
  <si>
    <t>Utah</t>
  </si>
  <si>
    <t>Burkina Faso</t>
  </si>
  <si>
    <t>Channel Islands</t>
  </si>
  <si>
    <t>Holy See</t>
  </si>
  <si>
    <t>Mongolia</t>
  </si>
  <si>
    <t>Panama</t>
  </si>
  <si>
    <t>Kansas</t>
  </si>
  <si>
    <t>Louisiana</t>
  </si>
  <si>
    <t>Missouri</t>
  </si>
  <si>
    <t>Vermont</t>
  </si>
  <si>
    <t>Alaska</t>
  </si>
  <si>
    <t>Arkansas</t>
  </si>
  <si>
    <t>Delaware</t>
  </si>
  <si>
    <t>Idaho</t>
  </si>
  <si>
    <t>Maine</t>
  </si>
  <si>
    <t>Michigan</t>
  </si>
  <si>
    <t>Mississippi</t>
  </si>
  <si>
    <t>Montana</t>
  </si>
  <si>
    <t>New Mexico</t>
  </si>
  <si>
    <t>North Dakota</t>
  </si>
  <si>
    <t>South Dakota</t>
  </si>
  <si>
    <t>West Virginia</t>
  </si>
  <si>
    <t>Wyoming</t>
  </si>
  <si>
    <t>Kitsap, WA</t>
  </si>
  <si>
    <t>Solano, CA</t>
  </si>
  <si>
    <t>Santa Cruz, CA</t>
  </si>
  <si>
    <t>Napa, CA</t>
  </si>
  <si>
    <t>Ventura, CA</t>
  </si>
  <si>
    <t>Worcester, MA</t>
  </si>
  <si>
    <t>Gwinnett, GA</t>
  </si>
  <si>
    <t>DeKalb, GA</t>
  </si>
  <si>
    <t>Floyd, GA</t>
  </si>
  <si>
    <t>Fayette, GA</t>
  </si>
  <si>
    <t>Gregg, TX</t>
  </si>
  <si>
    <t>Monmouth, NJ</t>
  </si>
  <si>
    <t>Burlington, NJ</t>
  </si>
  <si>
    <t>Camden, NJ</t>
  </si>
  <si>
    <t>Passaic, NJ</t>
  </si>
  <si>
    <t>Union, NJ</t>
  </si>
  <si>
    <t>Eagle, CO</t>
  </si>
  <si>
    <t>Larimer, CO</t>
  </si>
  <si>
    <t>Arapahoe, CO</t>
  </si>
  <si>
    <t>Gunnison, CO</t>
  </si>
  <si>
    <t>Kane, IL</t>
  </si>
  <si>
    <t>Monroe, PA</t>
  </si>
  <si>
    <t>Philadelphia, PA</t>
  </si>
  <si>
    <t>Norfolk, VA</t>
  </si>
  <si>
    <t>Arlington, VA</t>
  </si>
  <si>
    <t>Spotsylvania, VA</t>
  </si>
  <si>
    <t>Loudoun, VA</t>
  </si>
  <si>
    <t>Pottawattamie, IA</t>
  </si>
  <si>
    <t>Pima, AZ</t>
  </si>
  <si>
    <t>Noble, IN</t>
  </si>
  <si>
    <t>Adams, IN</t>
  </si>
  <si>
    <t>Boone, IN</t>
  </si>
  <si>
    <t>Dane, WI</t>
  </si>
  <si>
    <t>Pierce, WI</t>
  </si>
  <si>
    <t>Cuyahoga, OH</t>
  </si>
  <si>
    <t>Weber, UT</t>
  </si>
  <si>
    <t>China</t>
  </si>
  <si>
    <t>Iran</t>
  </si>
  <si>
    <t>Korea, South</t>
  </si>
  <si>
    <t>Cruise Ship</t>
  </si>
  <si>
    <t>Czechia</t>
  </si>
  <si>
    <t>Taiwan*</t>
  </si>
  <si>
    <t>Vietnam</t>
  </si>
  <si>
    <t>Russia</t>
  </si>
  <si>
    <t>Moldova</t>
  </si>
  <si>
    <t>Bolivia</t>
  </si>
  <si>
    <t>St Martin</t>
  </si>
  <si>
    <t>Honduras</t>
  </si>
  <si>
    <t>United Kingdom</t>
  </si>
  <si>
    <t>New Brunswick</t>
  </si>
  <si>
    <t>Congo (Kinshasa)</t>
  </si>
  <si>
    <t>Cote d'Ivoire</t>
  </si>
  <si>
    <t>Jamaica</t>
  </si>
  <si>
    <t>Reunion</t>
  </si>
  <si>
    <t>Turkey</t>
  </si>
  <si>
    <t>Prince George's, MD</t>
  </si>
  <si>
    <t>Camden, NC</t>
  </si>
  <si>
    <t>Westchester County, NY</t>
  </si>
  <si>
    <t>Skagit, WA</t>
  </si>
  <si>
    <t>Thurston, WA</t>
  </si>
  <si>
    <t>Island, WA</t>
  </si>
  <si>
    <t>Whatcom, WA</t>
  </si>
  <si>
    <t>Marin, CA</t>
  </si>
  <si>
    <t>Calaveras, CA</t>
  </si>
  <si>
    <t>Stanislaus, CA</t>
  </si>
  <si>
    <t>San Joaquin, CA</t>
  </si>
  <si>
    <t>Essex, MA</t>
  </si>
  <si>
    <t>Charlton, GA</t>
  </si>
  <si>
    <t>Collier, FL</t>
  </si>
  <si>
    <t>Pinellas, FL</t>
  </si>
  <si>
    <t>Alachua, FL</t>
  </si>
  <si>
    <t>Nassau, FL</t>
  </si>
  <si>
    <t>Pasco, FL</t>
  </si>
  <si>
    <t>Dallas, TX</t>
  </si>
  <si>
    <t>Tarrant, TX</t>
  </si>
  <si>
    <t>Montgomery, TX</t>
  </si>
  <si>
    <t>Middlesex, NJ</t>
  </si>
  <si>
    <t>Jefferson, CO</t>
  </si>
  <si>
    <t>Multnomah, OR</t>
  </si>
  <si>
    <t>Polk, OR</t>
  </si>
  <si>
    <t>Deschutes, OR</t>
  </si>
  <si>
    <t>McHenry, IL</t>
  </si>
  <si>
    <t>Lake, IL</t>
  </si>
  <si>
    <t>Bucks, PA</t>
  </si>
  <si>
    <t>Hanover, VA</t>
  </si>
  <si>
    <t>Lancaster, SC</t>
  </si>
  <si>
    <t>Sullivan, TN</t>
  </si>
  <si>
    <t>Johnson, IN</t>
  </si>
  <si>
    <t>Howard, IN</t>
  </si>
  <si>
    <t>St. Joseph, IN</t>
  </si>
  <si>
    <t>Knox, NE</t>
  </si>
  <si>
    <t>Stark, OH</t>
  </si>
  <si>
    <t>Anoka, MN</t>
  </si>
  <si>
    <t>Olmsted, MN</t>
  </si>
  <si>
    <t>Summit, UT</t>
  </si>
  <si>
    <t>Fairfield, CT</t>
  </si>
  <si>
    <t>Litchfield, CT</t>
  </si>
  <si>
    <t>Orleans, LA</t>
  </si>
  <si>
    <t>Pennington, SD</t>
  </si>
  <si>
    <t>Beadle, SD</t>
  </si>
  <si>
    <t>Charles Mix, SD</t>
  </si>
  <si>
    <t>Davison, SD</t>
  </si>
  <si>
    <t>Minnehaha, SD</t>
  </si>
  <si>
    <t>Bon Homme, SD</t>
  </si>
  <si>
    <t>Socorro, NM</t>
  </si>
  <si>
    <t>Bernalillo, NM</t>
  </si>
  <si>
    <t>Oakland, MI</t>
  </si>
  <si>
    <t>Wayne, MI</t>
  </si>
  <si>
    <t>New Castle, DE</t>
  </si>
  <si>
    <t>Cuba</t>
  </si>
  <si>
    <t>Guyana</t>
  </si>
  <si>
    <t>Australian Capital Territory</t>
  </si>
  <si>
    <t>Kazakhstan</t>
  </si>
  <si>
    <t>French Polynesia</t>
  </si>
  <si>
    <t>Cayman Islands</t>
  </si>
  <si>
    <t>Guadeloupe</t>
  </si>
  <si>
    <t>Manitoba</t>
  </si>
  <si>
    <t>Saskatchewan</t>
  </si>
  <si>
    <t>Ethiopia</t>
  </si>
  <si>
    <t>Sudan</t>
  </si>
  <si>
    <t>Guinea</t>
  </si>
  <si>
    <t>Aruba</t>
  </si>
  <si>
    <t>Kenya</t>
  </si>
  <si>
    <t>Antigua and Barbuda</t>
  </si>
  <si>
    <t>Alabama</t>
  </si>
  <si>
    <t>yMin</t>
  </si>
  <si>
    <t>yMax</t>
  </si>
  <si>
    <t>xMin</t>
  </si>
  <si>
    <t>xMax</t>
  </si>
  <si>
    <t>50% Daily Increase</t>
  </si>
  <si>
    <t>40% Daily Increase</t>
  </si>
  <si>
    <t>30% Daily Increase</t>
  </si>
  <si>
    <t xml:space="preserve">Jackson County, OR </t>
  </si>
  <si>
    <t>Uruguay</t>
  </si>
  <si>
    <t>Ghana</t>
  </si>
  <si>
    <t>Puerto Rico</t>
  </si>
  <si>
    <t>Namibia</t>
  </si>
  <si>
    <t>Seychelles</t>
  </si>
  <si>
    <t>Trinidad and Tobago</t>
  </si>
  <si>
    <t>Venezuela</t>
  </si>
  <si>
    <t>Curacao</t>
  </si>
  <si>
    <t>Eswatini</t>
  </si>
  <si>
    <t>Gabon</t>
  </si>
  <si>
    <t>Guatemala</t>
  </si>
  <si>
    <t>Mauritania</t>
  </si>
  <si>
    <t>Rwanda</t>
  </si>
  <si>
    <t>Saint Lucia</t>
  </si>
  <si>
    <t>Saint Vincent and the Grenadines</t>
  </si>
  <si>
    <t>Suriname</t>
  </si>
  <si>
    <t>Currently</t>
  </si>
  <si>
    <t>Last x days</t>
  </si>
  <si>
    <t>Expected tomorrow</t>
  </si>
  <si>
    <t>40% daily increase</t>
  </si>
  <si>
    <t>Day</t>
  </si>
  <si>
    <t>xMax2</t>
  </si>
  <si>
    <t>Guam</t>
  </si>
  <si>
    <t>Kosovo</t>
  </si>
  <si>
    <t>Newfoundland and Labrador</t>
  </si>
  <si>
    <t>Prince Edward Island</t>
  </si>
  <si>
    <t>Central African Republic</t>
  </si>
  <si>
    <t>Congo (Brazzaville)</t>
  </si>
  <si>
    <t>Equatorial Guinea</t>
  </si>
  <si>
    <t>Mayotte</t>
  </si>
  <si>
    <t>Uzbekistan</t>
  </si>
  <si>
    <t>Critical care beds</t>
  </si>
  <si>
    <t>Critical care estimate</t>
  </si>
  <si>
    <t>Nova Scotia</t>
  </si>
  <si>
    <t>Benin</t>
  </si>
  <si>
    <t>Greenland</t>
  </si>
  <si>
    <t>Liberia</t>
  </si>
  <si>
    <t>Somalia</t>
  </si>
  <si>
    <t>Tanzania</t>
  </si>
  <si>
    <t>Virgin Islands</t>
  </si>
  <si>
    <t>Today</t>
  </si>
  <si>
    <t>Overload</t>
  </si>
  <si>
    <t>South Korea</t>
  </si>
  <si>
    <t>Country</t>
  </si>
  <si>
    <t>Population</t>
  </si>
  <si>
    <t>Czech Republic</t>
  </si>
  <si>
    <t>Zambia</t>
  </si>
  <si>
    <t>Kyrgyzstan</t>
  </si>
  <si>
    <t>Mauritius</t>
  </si>
  <si>
    <t>Djibouti</t>
  </si>
  <si>
    <t>Montenegro</t>
  </si>
  <si>
    <t>Barbados</t>
  </si>
  <si>
    <t>Montserrat</t>
  </si>
  <si>
    <t>100th Day</t>
  </si>
  <si>
    <t>Critical care overload date</t>
  </si>
  <si>
    <t>Days remaining</t>
  </si>
  <si>
    <t>Infected</t>
  </si>
  <si>
    <t>Total infected</t>
  </si>
  <si>
    <t>10% daily increase</t>
  </si>
  <si>
    <t>10% increase</t>
  </si>
  <si>
    <t>40% increase</t>
  </si>
  <si>
    <t>25% daily increase</t>
  </si>
  <si>
    <t>25% increase</t>
  </si>
  <si>
    <t>Fatality rate</t>
  </si>
  <si>
    <t xml:space="preserve"> </t>
  </si>
  <si>
    <t>Lockdown initiated</t>
  </si>
  <si>
    <t>Social distancing measures</t>
  </si>
  <si>
    <t>Social distancing</t>
  </si>
  <si>
    <t>Social distancing implemented</t>
  </si>
  <si>
    <t>Critically Ill (estimate)</t>
  </si>
  <si>
    <t>Schools shut</t>
  </si>
  <si>
    <t>Total cases</t>
  </si>
  <si>
    <t>Active cases</t>
  </si>
  <si>
    <t>Expected next total</t>
  </si>
  <si>
    <t>Recovered</t>
  </si>
  <si>
    <t>Dead</t>
  </si>
  <si>
    <t>Gambia, The</t>
  </si>
  <si>
    <t>#</t>
  </si>
  <si>
    <t/>
  </si>
  <si>
    <t>Critical care beds/100k</t>
  </si>
  <si>
    <t>Deaths</t>
  </si>
  <si>
    <t>Critical care beds per 100k</t>
  </si>
  <si>
    <t>Total Beds</t>
  </si>
  <si>
    <t>Mortality</t>
  </si>
  <si>
    <t>Currently in critical care (est.)</t>
  </si>
  <si>
    <t>Those requiring critical care *</t>
  </si>
  <si>
    <t>Bahamas, The</t>
  </si>
  <si>
    <t>New Caledonia</t>
  </si>
  <si>
    <t>Bermuda</t>
  </si>
  <si>
    <t>Chad</t>
  </si>
  <si>
    <t>El Salvador</t>
  </si>
  <si>
    <t>Fiji</t>
  </si>
  <si>
    <t>Nicaragua</t>
  </si>
  <si>
    <t>Rate of active increase</t>
  </si>
  <si>
    <t>Rate of total increase</t>
  </si>
  <si>
    <t>* day on day increase over last 5 days</t>
  </si>
  <si>
    <t>Madagascar</t>
  </si>
  <si>
    <t>Haiti</t>
  </si>
  <si>
    <t>Angola</t>
  </si>
  <si>
    <t>Cabo Verde</t>
  </si>
  <si>
    <t>Sint Maarten</t>
  </si>
  <si>
    <t>Niger</t>
  </si>
  <si>
    <t>Papua New Guinea</t>
  </si>
  <si>
    <t>Isle of Man</t>
  </si>
  <si>
    <t>Zimbabwe</t>
  </si>
  <si>
    <t>Critical care:fatality</t>
  </si>
  <si>
    <t>Days until healthcare overload (estimate)</t>
  </si>
  <si>
    <t>Highlight red</t>
  </si>
  <si>
    <t>Add x days to graph &lt;&lt;&lt;</t>
  </si>
  <si>
    <t>Choose country</t>
  </si>
  <si>
    <t>Change rates of increase</t>
  </si>
  <si>
    <t>High range</t>
  </si>
  <si>
    <t>Medium range</t>
  </si>
  <si>
    <t>Low Range</t>
  </si>
  <si>
    <t>Multiples of current fatality rate requiring critical care</t>
  </si>
  <si>
    <t>Currently estimated from study done by Imperial College. Can be overridden here.
https://www.imperial.ac.uk/media/imperial-college/medicine/sph/ide/gida-fellowships/Imperial-College-COVID19-NPI-modelling-16-03-2020.pdf</t>
  </si>
  <si>
    <t>This is currently based on data from data from Statista, but can be overriden here. If this is left blank then Statista data will be used. 
(https://www.statista.com/chart/21105/number-of-critical-care-beds-per-100000-inhabitants/)</t>
  </si>
  <si>
    <t>Add more days to the right hand side of the graph to see projections further into the future.</t>
  </si>
  <si>
    <t>Critically ill estimates</t>
  </si>
  <si>
    <t>Northwest Territories</t>
  </si>
  <si>
    <t>Cape Verde</t>
  </si>
  <si>
    <t>East Timor</t>
  </si>
  <si>
    <t>Eritrea</t>
  </si>
  <si>
    <t>Uganda</t>
  </si>
  <si>
    <t>Current Total</t>
  </si>
  <si>
    <t>TOTAL CASES NUMBERS BY COUNTRY</t>
  </si>
  <si>
    <t>Dominica</t>
  </si>
  <si>
    <t>Grenada</t>
  </si>
  <si>
    <t>Mozambique</t>
  </si>
  <si>
    <t>Syria</t>
  </si>
  <si>
    <t>Timor-Leste</t>
  </si>
  <si>
    <t>Total Deaths</t>
  </si>
  <si>
    <t>* measured as the % day on day increase over the last 5 days.</t>
  </si>
  <si>
    <t>Rate of increase in cases *</t>
  </si>
  <si>
    <t>Rate of inrease in deaths *</t>
  </si>
  <si>
    <t>Rate of increase - deaths</t>
  </si>
  <si>
    <t>Rate of increase - cases</t>
  </si>
  <si>
    <t>Populatation</t>
  </si>
  <si>
    <t>10th day</t>
  </si>
  <si>
    <t>Lag</t>
  </si>
  <si>
    <t>Lag period</t>
  </si>
  <si>
    <t>United States Virgin Islands</t>
  </si>
  <si>
    <t>Guernsey</t>
  </si>
  <si>
    <t>Jersey</t>
  </si>
  <si>
    <t>Republic of the Congo</t>
  </si>
  <si>
    <t>The Bahamas</t>
  </si>
  <si>
    <t>The Gambia</t>
  </si>
  <si>
    <t>Bahamas</t>
  </si>
  <si>
    <t>Gambia</t>
  </si>
  <si>
    <t>Belize</t>
  </si>
  <si>
    <t>Total deaths</t>
  </si>
  <si>
    <t xml:space="preserve">Current avg increase </t>
  </si>
  <si>
    <t>Rolling avg</t>
  </si>
  <si>
    <t>Rate of death increase</t>
  </si>
  <si>
    <t>Rate of increase - total</t>
  </si>
  <si>
    <t>Net New Cases</t>
  </si>
  <si>
    <t>Active cases (est)</t>
  </si>
  <si>
    <t>Recovered (est)</t>
  </si>
  <si>
    <t>Laos</t>
  </si>
  <si>
    <t>Libya</t>
  </si>
  <si>
    <t>Show top</t>
  </si>
  <si>
    <t>countries</t>
  </si>
  <si>
    <t>Cases</t>
  </si>
  <si>
    <t>West Bank and Gaza</t>
  </si>
  <si>
    <t>Guinea-Bissau</t>
  </si>
  <si>
    <t>Mali</t>
  </si>
  <si>
    <t>Saint Kitts and Nevis</t>
  </si>
  <si>
    <t>Yukon</t>
  </si>
  <si>
    <t>Rate of increase - active</t>
  </si>
  <si>
    <t>Current rate of increase (active cases)*</t>
  </si>
  <si>
    <t>Current rate of increase (deaths)*</t>
  </si>
  <si>
    <t>Expected next deaths</t>
  </si>
  <si>
    <t>World</t>
  </si>
  <si>
    <t>Continent</t>
  </si>
  <si>
    <t>Asia</t>
  </si>
  <si>
    <t>Europe</t>
  </si>
  <si>
    <t>Middle East</t>
  </si>
  <si>
    <t>North America</t>
  </si>
  <si>
    <t>South America</t>
  </si>
  <si>
    <t>Africa</t>
  </si>
  <si>
    <t>Australasia</t>
  </si>
  <si>
    <t>Top</t>
  </si>
  <si>
    <t>Burma</t>
  </si>
  <si>
    <t>Anguilla</t>
  </si>
  <si>
    <t>British Virgin Islands</t>
  </si>
  <si>
    <t>Turks and Caicos Islands</t>
  </si>
  <si>
    <t>MS Zaandam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</si>
</sst>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[$-809]dd\ mmmm\ yyyy;@"/>
    <numFmt numFmtId="165" formatCode="_-* #,##0_-;\-* #,##0_-;_-* &quot;-&quot;??_-;_-@_-"/>
    <numFmt numFmtId="166" formatCode="_-* #,##0.0_-;\-* #,##0.0_-;_-* &quot;-&quot;??_-;_-@_-"/>
    <numFmt numFmtId="167" formatCode="0.0%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7"/>
      <color rgb="FF24292E"/>
      <name val="Segoe UI"/>
      <family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rgb="FF24292E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theme="1"/>
      <name val="Verdana"/>
      <family val="2"/>
    </font>
    <font>
      <sz val="18"/>
      <color theme="0"/>
      <name val="Verdana"/>
      <family val="2"/>
    </font>
    <font>
      <sz val="11"/>
      <color rgb="FF24292E"/>
      <name val="Calibri"/>
      <family val="2"/>
      <scheme val="minor"/>
    </font>
    <font>
      <sz val="9"/>
      <color theme="1"/>
      <name val="Verdana"/>
      <family val="2"/>
    </font>
    <font>
      <sz val="9"/>
      <color theme="0"/>
      <name val="Verdana"/>
      <family val="2"/>
    </font>
    <font>
      <sz val="9"/>
      <color rgb="FF222222"/>
      <name val="Verdana"/>
      <family val="2"/>
    </font>
    <font>
      <sz val="14"/>
      <color theme="0"/>
      <name val="Verdana"/>
      <family val="2"/>
    </font>
    <font>
      <sz val="14"/>
      <color theme="1"/>
      <name val="Verdana"/>
      <family val="2"/>
    </font>
    <font>
      <sz val="14"/>
      <color rgb="FF00B050"/>
      <name val="Verdana"/>
      <family val="2"/>
    </font>
    <font>
      <sz val="14"/>
      <color rgb="FFFF0000"/>
      <name val="Verdana"/>
      <family val="2"/>
    </font>
    <font>
      <sz val="13"/>
      <color theme="1"/>
      <name val="Verdana"/>
      <family val="2"/>
    </font>
    <font>
      <sz val="13"/>
      <color theme="0"/>
      <name val="Verdana"/>
      <family val="2"/>
    </font>
    <font>
      <sz val="13"/>
      <name val="Verdana"/>
      <family val="2"/>
    </font>
    <font>
      <sz val="9"/>
      <color rgb="FFFF0000"/>
      <name val="Verdana"/>
      <family val="2"/>
    </font>
    <font>
      <sz val="8"/>
      <color theme="0"/>
      <name val="Verdana"/>
      <family val="2"/>
    </font>
    <font>
      <sz val="12"/>
      <color theme="1"/>
      <name val="Verdana"/>
      <family val="2"/>
    </font>
    <font>
      <sz val="16"/>
      <color theme="0"/>
      <name val="Verdana"/>
      <family val="2"/>
    </font>
    <font>
      <sz val="16"/>
      <color theme="1"/>
      <name val="Verdana"/>
      <family val="2"/>
    </font>
    <font>
      <sz val="14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6F8FA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30">
    <border>
      <left/>
      <right/>
      <top/>
      <bottom/>
      <diagonal/>
    </border>
    <border>
      <left style="medium">
        <color rgb="FFDFE2E5"/>
      </left>
      <right style="medium">
        <color rgb="FFDFE2E5"/>
      </right>
      <top/>
      <bottom style="medium">
        <color rgb="FFDFE2E5"/>
      </bottom>
      <diagonal/>
    </border>
    <border>
      <left style="medium">
        <color rgb="FFDFE2E5"/>
      </left>
      <right style="medium">
        <color rgb="FFDFE2E5"/>
      </right>
      <top style="medium">
        <color rgb="FFDFE2E5"/>
      </top>
      <bottom style="medium">
        <color rgb="FFDFE2E5"/>
      </bottom>
      <diagonal/>
    </border>
    <border>
      <left/>
      <right style="medium">
        <color rgb="FFDDDDDD"/>
      </right>
      <top style="medium">
        <color rgb="FFDDDDDD"/>
      </top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9">
    <xf numFmtId="0" fontId="0" fillId="0" borderId="0" xfId="0"/>
    <xf numFmtId="14" fontId="2" fillId="3" borderId="1" xfId="0" applyNumberFormat="1" applyFont="1" applyFill="1" applyBorder="1" applyAlignment="1">
      <alignment horizontal="left" vertical="center"/>
    </xf>
    <xf numFmtId="164" fontId="0" fillId="0" borderId="0" xfId="0" applyNumberFormat="1"/>
    <xf numFmtId="0" fontId="2" fillId="2" borderId="2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165" fontId="0" fillId="0" borderId="0" xfId="1" applyNumberFormat="1" applyFont="1"/>
    <xf numFmtId="165" fontId="5" fillId="0" borderId="0" xfId="1" applyNumberFormat="1" applyFont="1" applyFill="1" applyBorder="1" applyAlignment="1">
      <alignment horizontal="left" vertical="center"/>
    </xf>
    <xf numFmtId="165" fontId="5" fillId="0" borderId="0" xfId="1" applyNumberFormat="1" applyFont="1" applyFill="1" applyBorder="1" applyAlignment="1">
      <alignment horizontal="center" vertical="center"/>
    </xf>
    <xf numFmtId="43" fontId="5" fillId="0" borderId="0" xfId="1" applyFont="1" applyFill="1" applyBorder="1" applyAlignment="1">
      <alignment horizontal="left" vertical="center"/>
    </xf>
    <xf numFmtId="0" fontId="3" fillId="0" borderId="0" xfId="0" applyFont="1" applyFill="1" applyBorder="1"/>
    <xf numFmtId="165" fontId="3" fillId="0" borderId="0" xfId="1" applyNumberFormat="1" applyFont="1" applyFill="1" applyBorder="1"/>
    <xf numFmtId="0" fontId="4" fillId="0" borderId="0" xfId="1" applyNumberFormat="1" applyFont="1" applyFill="1" applyBorder="1" applyAlignment="1">
      <alignment horizontal="left"/>
    </xf>
    <xf numFmtId="43" fontId="3" fillId="0" borderId="0" xfId="1" applyFont="1" applyFill="1" applyBorder="1"/>
    <xf numFmtId="164" fontId="3" fillId="0" borderId="0" xfId="0" applyNumberFormat="1" applyFont="1" applyFill="1" applyBorder="1"/>
    <xf numFmtId="0" fontId="5" fillId="0" borderId="0" xfId="0" applyNumberFormat="1" applyFont="1" applyFill="1" applyBorder="1" applyAlignment="1">
      <alignment horizontal="left" vertical="center"/>
    </xf>
    <xf numFmtId="0" fontId="5" fillId="0" borderId="0" xfId="0" applyFont="1" applyFill="1" applyBorder="1" applyAlignment="1">
      <alignment horizontal="left" vertical="center"/>
    </xf>
    <xf numFmtId="14" fontId="0" fillId="0" borderId="0" xfId="0" applyNumberFormat="1"/>
    <xf numFmtId="0" fontId="0" fillId="0" borderId="0" xfId="0" applyFont="1"/>
    <xf numFmtId="0" fontId="0" fillId="0" borderId="0" xfId="0" applyFont="1" applyFill="1" applyAlignment="1"/>
    <xf numFmtId="0" fontId="0" fillId="0" borderId="0" xfId="0" applyFont="1" applyFill="1"/>
    <xf numFmtId="14" fontId="0" fillId="0" borderId="0" xfId="0" applyNumberFormat="1" applyFont="1" applyFill="1"/>
    <xf numFmtId="165" fontId="1" fillId="0" borderId="0" xfId="1" applyNumberFormat="1" applyFont="1" applyFill="1"/>
    <xf numFmtId="9" fontId="0" fillId="0" borderId="0" xfId="0" applyNumberFormat="1" applyFont="1" applyFill="1"/>
    <xf numFmtId="9" fontId="1" fillId="0" borderId="0" xfId="2" applyFont="1" applyFill="1"/>
    <xf numFmtId="165" fontId="0" fillId="0" borderId="0" xfId="0" applyNumberFormat="1" applyFont="1" applyFill="1"/>
    <xf numFmtId="10" fontId="0" fillId="0" borderId="0" xfId="0" applyNumberFormat="1" applyFont="1" applyFill="1"/>
    <xf numFmtId="0" fontId="1" fillId="0" borderId="0" xfId="1" applyNumberFormat="1" applyFont="1" applyFill="1"/>
    <xf numFmtId="43" fontId="1" fillId="0" borderId="0" xfId="1" applyFont="1" applyFill="1"/>
    <xf numFmtId="0" fontId="6" fillId="0" borderId="5" xfId="0" applyFont="1" applyFill="1" applyBorder="1" applyAlignment="1">
      <alignment vertical="top"/>
    </xf>
    <xf numFmtId="3" fontId="6" fillId="0" borderId="3" xfId="0" applyNumberFormat="1" applyFont="1" applyFill="1" applyBorder="1" applyAlignment="1">
      <alignment vertical="top"/>
    </xf>
    <xf numFmtId="10" fontId="6" fillId="0" borderId="3" xfId="0" applyNumberFormat="1" applyFont="1" applyFill="1" applyBorder="1" applyAlignment="1">
      <alignment vertical="top" wrapText="1"/>
    </xf>
    <xf numFmtId="3" fontId="6" fillId="0" borderId="3" xfId="0" applyNumberFormat="1" applyFont="1" applyFill="1" applyBorder="1" applyAlignment="1">
      <alignment vertical="top" wrapText="1"/>
    </xf>
    <xf numFmtId="0" fontId="6" fillId="0" borderId="3" xfId="0" applyFont="1" applyFill="1" applyBorder="1" applyAlignment="1">
      <alignment vertical="top" wrapText="1"/>
    </xf>
    <xf numFmtId="9" fontId="6" fillId="0" borderId="3" xfId="0" applyNumberFormat="1" applyFont="1" applyFill="1" applyBorder="1" applyAlignment="1">
      <alignment vertical="top" wrapText="1"/>
    </xf>
    <xf numFmtId="0" fontId="6" fillId="0" borderId="4" xfId="0" applyFont="1" applyFill="1" applyBorder="1" applyAlignment="1">
      <alignment vertical="top"/>
    </xf>
    <xf numFmtId="0" fontId="6" fillId="0" borderId="6" xfId="0" applyFont="1" applyFill="1" applyBorder="1" applyAlignment="1">
      <alignment vertical="top"/>
    </xf>
    <xf numFmtId="10" fontId="6" fillId="0" borderId="6" xfId="0" applyNumberFormat="1" applyFont="1" applyFill="1" applyBorder="1" applyAlignment="1">
      <alignment vertical="top" wrapText="1"/>
    </xf>
    <xf numFmtId="0" fontId="6" fillId="0" borderId="6" xfId="0" applyFont="1" applyFill="1" applyBorder="1" applyAlignment="1">
      <alignment vertical="top" wrapText="1"/>
    </xf>
    <xf numFmtId="3" fontId="6" fillId="0" borderId="6" xfId="0" applyNumberFormat="1" applyFont="1" applyFill="1" applyBorder="1" applyAlignment="1">
      <alignment vertical="top" wrapText="1"/>
    </xf>
    <xf numFmtId="0" fontId="7" fillId="0" borderId="0" xfId="0" applyFont="1"/>
    <xf numFmtId="165" fontId="0" fillId="0" borderId="0" xfId="1" applyNumberFormat="1" applyFont="1" applyFill="1"/>
    <xf numFmtId="165" fontId="0" fillId="0" borderId="0" xfId="1" applyNumberFormat="1" applyFont="1" applyFill="1" applyBorder="1"/>
    <xf numFmtId="9" fontId="0" fillId="0" borderId="0" xfId="2" applyFont="1" applyFill="1"/>
    <xf numFmtId="0" fontId="7" fillId="6" borderId="7" xfId="0" applyFont="1" applyFill="1" applyBorder="1"/>
    <xf numFmtId="0" fontId="7" fillId="6" borderId="8" xfId="0" applyFont="1" applyFill="1" applyBorder="1"/>
    <xf numFmtId="0" fontId="7" fillId="6" borderId="9" xfId="0" applyFont="1" applyFill="1" applyBorder="1"/>
    <xf numFmtId="0" fontId="7" fillId="6" borderId="10" xfId="0" applyFont="1" applyFill="1" applyBorder="1"/>
    <xf numFmtId="0" fontId="7" fillId="6" borderId="0" xfId="0" applyFont="1" applyFill="1" applyBorder="1"/>
    <xf numFmtId="0" fontId="7" fillId="6" borderId="11" xfId="0" applyFont="1" applyFill="1" applyBorder="1"/>
    <xf numFmtId="0" fontId="7" fillId="6" borderId="12" xfId="0" applyFont="1" applyFill="1" applyBorder="1"/>
    <xf numFmtId="0" fontId="7" fillId="6" borderId="13" xfId="0" applyFont="1" applyFill="1" applyBorder="1"/>
    <xf numFmtId="0" fontId="7" fillId="6" borderId="14" xfId="0" applyFont="1" applyFill="1" applyBorder="1"/>
    <xf numFmtId="0" fontId="0" fillId="0" borderId="0" xfId="0" applyFont="1" applyFill="1" applyBorder="1"/>
    <xf numFmtId="10" fontId="1" fillId="0" borderId="0" xfId="2" applyNumberFormat="1" applyFont="1" applyFill="1"/>
    <xf numFmtId="14" fontId="0" fillId="0" borderId="0" xfId="1" applyNumberFormat="1" applyFont="1" applyFill="1"/>
    <xf numFmtId="0" fontId="9" fillId="0" borderId="0" xfId="0" applyFont="1" applyFill="1" applyBorder="1" applyAlignment="1">
      <alignment horizontal="left" vertical="center"/>
    </xf>
    <xf numFmtId="14" fontId="0" fillId="0" borderId="0" xfId="0" applyNumberFormat="1" applyFont="1" applyFill="1" applyBorder="1"/>
    <xf numFmtId="0" fontId="10" fillId="6" borderId="0" xfId="0" applyFont="1" applyFill="1" applyAlignment="1">
      <alignment horizontal="center"/>
    </xf>
    <xf numFmtId="0" fontId="10" fillId="6" borderId="0" xfId="0" applyFont="1" applyFill="1"/>
    <xf numFmtId="0" fontId="10" fillId="6" borderId="0" xfId="0" applyFont="1" applyFill="1" applyAlignment="1">
      <alignment vertical="center"/>
    </xf>
    <xf numFmtId="165" fontId="10" fillId="6" borderId="11" xfId="1" applyNumberFormat="1" applyFont="1" applyFill="1" applyBorder="1" applyAlignment="1">
      <alignment vertical="center"/>
    </xf>
    <xf numFmtId="165" fontId="10" fillId="6" borderId="0" xfId="1" applyNumberFormat="1" applyFont="1" applyFill="1" applyBorder="1" applyAlignment="1">
      <alignment vertical="center"/>
    </xf>
    <xf numFmtId="0" fontId="10" fillId="6" borderId="0" xfId="0" applyFont="1" applyFill="1" applyBorder="1" applyAlignment="1">
      <alignment vertical="center"/>
    </xf>
    <xf numFmtId="0" fontId="11" fillId="4" borderId="20" xfId="0" applyFont="1" applyFill="1" applyBorder="1" applyAlignment="1">
      <alignment horizontal="center" vertical="center" wrapText="1"/>
    </xf>
    <xf numFmtId="0" fontId="11" fillId="4" borderId="15" xfId="0" applyFont="1" applyFill="1" applyBorder="1" applyAlignment="1">
      <alignment horizontal="center" vertical="center" wrapText="1"/>
    </xf>
    <xf numFmtId="0" fontId="11" fillId="4" borderId="16" xfId="0" applyFont="1" applyFill="1" applyBorder="1" applyAlignment="1">
      <alignment horizontal="center" vertical="center" wrapText="1"/>
    </xf>
    <xf numFmtId="0" fontId="10" fillId="6" borderId="10" xfId="0" applyNumberFormat="1" applyFont="1" applyFill="1" applyBorder="1" applyAlignment="1">
      <alignment horizontal="center" vertical="center"/>
    </xf>
    <xf numFmtId="166" fontId="10" fillId="6" borderId="0" xfId="1" applyNumberFormat="1" applyFont="1" applyFill="1" applyBorder="1" applyAlignment="1">
      <alignment vertical="center"/>
    </xf>
    <xf numFmtId="165" fontId="10" fillId="6" borderId="10" xfId="1" applyNumberFormat="1" applyFont="1" applyFill="1" applyBorder="1" applyAlignment="1">
      <alignment horizontal="center" vertical="center"/>
    </xf>
    <xf numFmtId="10" fontId="0" fillId="0" borderId="0" xfId="2" applyNumberFormat="1" applyFont="1" applyFill="1" applyBorder="1"/>
    <xf numFmtId="0" fontId="13" fillId="6" borderId="0" xfId="0" applyFont="1" applyFill="1" applyBorder="1" applyAlignment="1">
      <alignment shrinkToFit="1"/>
    </xf>
    <xf numFmtId="0" fontId="8" fillId="6" borderId="0" xfId="0" applyFont="1" applyFill="1" applyBorder="1" applyAlignment="1">
      <alignment vertical="center" wrapText="1"/>
    </xf>
    <xf numFmtId="0" fontId="21" fillId="4" borderId="20" xfId="0" applyFont="1" applyFill="1" applyBorder="1" applyAlignment="1">
      <alignment horizontal="center" vertical="center" wrapText="1"/>
    </xf>
    <xf numFmtId="0" fontId="20" fillId="6" borderId="0" xfId="0" applyFont="1" applyFill="1"/>
    <xf numFmtId="10" fontId="0" fillId="0" borderId="0" xfId="2" applyNumberFormat="1" applyFont="1" applyFill="1"/>
    <xf numFmtId="165" fontId="10" fillId="6" borderId="0" xfId="1" applyNumberFormat="1" applyFont="1" applyFill="1" applyBorder="1" applyAlignment="1">
      <alignment horizontal="center" vertical="center"/>
    </xf>
    <xf numFmtId="9" fontId="10" fillId="6" borderId="0" xfId="2" applyFont="1" applyFill="1" applyBorder="1" applyAlignment="1">
      <alignment horizontal="center" vertical="center"/>
    </xf>
    <xf numFmtId="9" fontId="12" fillId="6" borderId="11" xfId="2" applyFont="1" applyFill="1" applyBorder="1" applyAlignment="1">
      <alignment horizontal="center" vertical="center"/>
    </xf>
    <xf numFmtId="0" fontId="10" fillId="6" borderId="8" xfId="0" applyFont="1" applyFill="1" applyBorder="1" applyAlignment="1">
      <alignment vertical="center"/>
    </xf>
    <xf numFmtId="165" fontId="10" fillId="6" borderId="8" xfId="1" applyNumberFormat="1" applyFont="1" applyFill="1" applyBorder="1" applyAlignment="1">
      <alignment horizontal="center" vertical="center"/>
    </xf>
    <xf numFmtId="9" fontId="10" fillId="6" borderId="8" xfId="2" applyFont="1" applyFill="1" applyBorder="1" applyAlignment="1">
      <alignment horizontal="center" vertical="center"/>
    </xf>
    <xf numFmtId="0" fontId="10" fillId="6" borderId="0" xfId="0" applyFont="1" applyFill="1" applyBorder="1"/>
    <xf numFmtId="0" fontId="10" fillId="6" borderId="0" xfId="0" applyFont="1" applyFill="1" applyBorder="1" applyAlignment="1">
      <alignment horizontal="right" vertical="center"/>
    </xf>
    <xf numFmtId="0" fontId="10" fillId="6" borderId="7" xfId="0" applyNumberFormat="1" applyFont="1" applyFill="1" applyBorder="1" applyAlignment="1">
      <alignment horizontal="center" vertical="center"/>
    </xf>
    <xf numFmtId="9" fontId="12" fillId="6" borderId="9" xfId="2" applyFont="1" applyFill="1" applyBorder="1" applyAlignment="1">
      <alignment horizontal="center" vertical="center"/>
    </xf>
    <xf numFmtId="0" fontId="0" fillId="0" borderId="0" xfId="0" applyNumberFormat="1" applyFont="1" applyFill="1"/>
    <xf numFmtId="0" fontId="10" fillId="6" borderId="8" xfId="0" applyFont="1" applyFill="1" applyBorder="1" applyAlignment="1">
      <alignment horizontal="center"/>
    </xf>
    <xf numFmtId="0" fontId="10" fillId="6" borderId="8" xfId="0" applyFont="1" applyFill="1" applyBorder="1"/>
    <xf numFmtId="165" fontId="10" fillId="6" borderId="8" xfId="1" applyNumberFormat="1" applyFont="1" applyFill="1" applyBorder="1" applyAlignment="1">
      <alignment vertical="center"/>
    </xf>
    <xf numFmtId="0" fontId="10" fillId="6" borderId="10" xfId="0" applyFont="1" applyFill="1" applyBorder="1"/>
    <xf numFmtId="0" fontId="10" fillId="6" borderId="11" xfId="0" applyFont="1" applyFill="1" applyBorder="1"/>
    <xf numFmtId="0" fontId="10" fillId="6" borderId="0" xfId="0" applyFont="1" applyFill="1" applyBorder="1" applyAlignment="1">
      <alignment horizontal="center"/>
    </xf>
    <xf numFmtId="0" fontId="10" fillId="6" borderId="29" xfId="0" applyFont="1" applyFill="1" applyBorder="1"/>
    <xf numFmtId="0" fontId="0" fillId="0" borderId="0" xfId="0" applyFont="1" applyFill="1" applyAlignment="1">
      <alignment horizontal="right"/>
    </xf>
    <xf numFmtId="167" fontId="0" fillId="0" borderId="0" xfId="2" applyNumberFormat="1" applyFont="1" applyFill="1"/>
    <xf numFmtId="0" fontId="11" fillId="4" borderId="0" xfId="0" applyFont="1" applyFill="1" applyAlignment="1">
      <alignment vertical="center"/>
    </xf>
    <xf numFmtId="0" fontId="10" fillId="5" borderId="0" xfId="0" applyFont="1" applyFill="1" applyAlignment="1">
      <alignment horizontal="center" vertical="center"/>
    </xf>
    <xf numFmtId="0" fontId="2" fillId="2" borderId="0" xfId="0" applyFont="1" applyFill="1" applyBorder="1" applyAlignment="1">
      <alignment horizontal="left" vertical="center"/>
    </xf>
    <xf numFmtId="0" fontId="0" fillId="0" borderId="0" xfId="0" applyNumberFormat="1"/>
    <xf numFmtId="0" fontId="14" fillId="0" borderId="23" xfId="0" applyFont="1" applyBorder="1" applyAlignment="1">
      <alignment horizontal="left" vertical="top" wrapText="1"/>
    </xf>
    <xf numFmtId="0" fontId="14" fillId="0" borderId="0" xfId="0" applyFont="1" applyBorder="1" applyAlignment="1">
      <alignment horizontal="left" vertical="top" wrapText="1"/>
    </xf>
    <xf numFmtId="0" fontId="14" fillId="0" borderId="0" xfId="0" applyFont="1" applyBorder="1" applyAlignment="1">
      <alignment horizontal="left" vertical="center" wrapText="1"/>
    </xf>
    <xf numFmtId="0" fontId="24" fillId="5" borderId="17" xfId="0" applyFont="1" applyFill="1" applyBorder="1" applyAlignment="1">
      <alignment horizontal="left" vertical="center"/>
    </xf>
    <xf numFmtId="0" fontId="23" fillId="4" borderId="17" xfId="0" applyFont="1" applyFill="1" applyBorder="1" applyAlignment="1">
      <alignment horizontal="center" vertical="center" wrapText="1"/>
    </xf>
    <xf numFmtId="0" fontId="24" fillId="5" borderId="17" xfId="0" applyFont="1" applyFill="1" applyBorder="1" applyAlignment="1">
      <alignment horizontal="center" vertical="center"/>
    </xf>
    <xf numFmtId="0" fontId="24" fillId="5" borderId="21" xfId="0" applyFont="1" applyFill="1" applyBorder="1" applyAlignment="1">
      <alignment horizontal="center" vertical="center"/>
    </xf>
    <xf numFmtId="0" fontId="24" fillId="5" borderId="22" xfId="0" applyFont="1" applyFill="1" applyBorder="1" applyAlignment="1">
      <alignment horizontal="center" vertical="center"/>
    </xf>
    <xf numFmtId="0" fontId="24" fillId="5" borderId="23" xfId="0" applyFont="1" applyFill="1" applyBorder="1" applyAlignment="1">
      <alignment horizontal="center" vertical="center"/>
    </xf>
    <xf numFmtId="0" fontId="24" fillId="5" borderId="24" xfId="0" applyFont="1" applyFill="1" applyBorder="1" applyAlignment="1">
      <alignment horizontal="center" vertical="center"/>
    </xf>
    <xf numFmtId="0" fontId="24" fillId="5" borderId="25" xfId="0" applyFont="1" applyFill="1" applyBorder="1" applyAlignment="1">
      <alignment horizontal="center" vertical="center"/>
    </xf>
    <xf numFmtId="0" fontId="24" fillId="5" borderId="26" xfId="0" applyFont="1" applyFill="1" applyBorder="1" applyAlignment="1">
      <alignment horizontal="center" vertical="center"/>
    </xf>
    <xf numFmtId="0" fontId="23" fillId="4" borderId="21" xfId="0" applyFont="1" applyFill="1" applyBorder="1" applyAlignment="1">
      <alignment horizontal="center" vertical="center" wrapText="1"/>
    </xf>
    <xf numFmtId="0" fontId="23" fillId="4" borderId="27" xfId="0" applyFont="1" applyFill="1" applyBorder="1" applyAlignment="1">
      <alignment horizontal="center" vertical="center" wrapText="1"/>
    </xf>
    <xf numFmtId="0" fontId="23" fillId="4" borderId="22" xfId="0" applyFont="1" applyFill="1" applyBorder="1" applyAlignment="1">
      <alignment horizontal="center" vertical="center" wrapText="1"/>
    </xf>
    <xf numFmtId="0" fontId="23" fillId="4" borderId="23" xfId="0" applyFont="1" applyFill="1" applyBorder="1" applyAlignment="1">
      <alignment horizontal="center" vertical="center" wrapText="1"/>
    </xf>
    <xf numFmtId="0" fontId="23" fillId="4" borderId="0" xfId="0" applyFont="1" applyFill="1" applyBorder="1" applyAlignment="1">
      <alignment horizontal="center" vertical="center" wrapText="1"/>
    </xf>
    <xf numFmtId="0" fontId="23" fillId="4" borderId="24" xfId="0" applyFont="1" applyFill="1" applyBorder="1" applyAlignment="1">
      <alignment horizontal="center" vertical="center" wrapText="1"/>
    </xf>
    <xf numFmtId="0" fontId="23" fillId="4" borderId="25" xfId="0" applyFont="1" applyFill="1" applyBorder="1" applyAlignment="1">
      <alignment horizontal="center" vertical="center" wrapText="1"/>
    </xf>
    <xf numFmtId="0" fontId="23" fillId="4" borderId="28" xfId="0" applyFont="1" applyFill="1" applyBorder="1" applyAlignment="1">
      <alignment horizontal="center" vertical="center" wrapText="1"/>
    </xf>
    <xf numFmtId="0" fontId="23" fillId="4" borderId="26" xfId="0" applyFont="1" applyFill="1" applyBorder="1" applyAlignment="1">
      <alignment horizontal="center" vertical="center" wrapText="1"/>
    </xf>
    <xf numFmtId="0" fontId="24" fillId="5" borderId="27" xfId="0" applyFont="1" applyFill="1" applyBorder="1" applyAlignment="1">
      <alignment horizontal="center" vertical="center"/>
    </xf>
    <xf numFmtId="0" fontId="24" fillId="5" borderId="0" xfId="0" applyFont="1" applyFill="1" applyBorder="1" applyAlignment="1">
      <alignment horizontal="center" vertical="center"/>
    </xf>
    <xf numFmtId="0" fontId="24" fillId="5" borderId="28" xfId="0" applyFont="1" applyFill="1" applyBorder="1" applyAlignment="1">
      <alignment horizontal="center" vertical="center"/>
    </xf>
    <xf numFmtId="0" fontId="22" fillId="0" borderId="23" xfId="0" applyFont="1" applyBorder="1" applyAlignment="1">
      <alignment horizontal="left" vertical="center" wrapText="1"/>
    </xf>
    <xf numFmtId="0" fontId="22" fillId="0" borderId="0" xfId="0" applyFont="1" applyBorder="1" applyAlignment="1">
      <alignment horizontal="left" vertical="center" wrapText="1"/>
    </xf>
    <xf numFmtId="165" fontId="14" fillId="5" borderId="17" xfId="1" applyNumberFormat="1" applyFont="1" applyFill="1" applyBorder="1" applyAlignment="1">
      <alignment horizontal="left" vertical="center"/>
    </xf>
    <xf numFmtId="0" fontId="13" fillId="4" borderId="17" xfId="0" applyFont="1" applyFill="1" applyBorder="1" applyAlignment="1">
      <alignment horizontal="left" vertical="center"/>
    </xf>
    <xf numFmtId="0" fontId="13" fillId="4" borderId="18" xfId="0" applyFont="1" applyFill="1" applyBorder="1" applyAlignment="1">
      <alignment horizontal="left" vertical="center" wrapText="1" shrinkToFit="1"/>
    </xf>
    <xf numFmtId="0" fontId="13" fillId="4" borderId="19" xfId="0" applyFont="1" applyFill="1" applyBorder="1" applyAlignment="1">
      <alignment horizontal="left" vertical="center" wrapText="1" shrinkToFit="1"/>
    </xf>
    <xf numFmtId="165" fontId="14" fillId="5" borderId="18" xfId="1" applyNumberFormat="1" applyFont="1" applyFill="1" applyBorder="1" applyAlignment="1">
      <alignment horizontal="right" vertical="center" shrinkToFit="1"/>
    </xf>
    <xf numFmtId="165" fontId="14" fillId="5" borderId="19" xfId="1" applyNumberFormat="1" applyFont="1" applyFill="1" applyBorder="1" applyAlignment="1">
      <alignment horizontal="right" vertical="center" shrinkToFit="1"/>
    </xf>
    <xf numFmtId="0" fontId="18" fillId="4" borderId="18" xfId="0" applyFont="1" applyFill="1" applyBorder="1" applyAlignment="1">
      <alignment horizontal="left" vertical="center" wrapText="1" shrinkToFit="1"/>
    </xf>
    <xf numFmtId="0" fontId="18" fillId="4" borderId="19" xfId="0" applyFont="1" applyFill="1" applyBorder="1" applyAlignment="1">
      <alignment horizontal="left" vertical="center" wrapText="1" shrinkToFit="1"/>
    </xf>
    <xf numFmtId="167" fontId="14" fillId="5" borderId="18" xfId="2" applyNumberFormat="1" applyFont="1" applyFill="1" applyBorder="1" applyAlignment="1">
      <alignment horizontal="right" vertical="center" shrinkToFit="1"/>
    </xf>
    <xf numFmtId="167" fontId="14" fillId="5" borderId="19" xfId="2" applyNumberFormat="1" applyFont="1" applyFill="1" applyBorder="1" applyAlignment="1">
      <alignment horizontal="right" vertical="center" shrinkToFit="1"/>
    </xf>
    <xf numFmtId="0" fontId="13" fillId="4" borderId="17" xfId="0" applyFont="1" applyFill="1" applyBorder="1" applyAlignment="1">
      <alignment horizontal="right" vertical="center"/>
    </xf>
    <xf numFmtId="9" fontId="14" fillId="5" borderId="17" xfId="0" applyNumberFormat="1" applyFont="1" applyFill="1" applyBorder="1" applyAlignment="1">
      <alignment horizontal="center" vertical="center"/>
    </xf>
    <xf numFmtId="0" fontId="14" fillId="5" borderId="17" xfId="0" applyFont="1" applyFill="1" applyBorder="1" applyAlignment="1">
      <alignment horizontal="center" vertical="center"/>
    </xf>
    <xf numFmtId="0" fontId="13" fillId="4" borderId="17" xfId="0" applyFont="1" applyFill="1" applyBorder="1" applyAlignment="1">
      <alignment horizontal="left" vertical="center" wrapText="1"/>
    </xf>
    <xf numFmtId="0" fontId="8" fillId="4" borderId="23" xfId="0" applyFont="1" applyFill="1" applyBorder="1" applyAlignment="1">
      <alignment horizontal="left" vertical="center" wrapText="1"/>
    </xf>
    <xf numFmtId="0" fontId="8" fillId="4" borderId="24" xfId="0" applyFont="1" applyFill="1" applyBorder="1" applyAlignment="1">
      <alignment horizontal="left" vertical="center" wrapText="1"/>
    </xf>
    <xf numFmtId="0" fontId="8" fillId="4" borderId="25" xfId="0" applyFont="1" applyFill="1" applyBorder="1" applyAlignment="1">
      <alignment horizontal="left" vertical="center" wrapText="1"/>
    </xf>
    <xf numFmtId="0" fontId="8" fillId="4" borderId="26" xfId="0" applyFont="1" applyFill="1" applyBorder="1" applyAlignment="1">
      <alignment horizontal="left" vertical="center" wrapText="1"/>
    </xf>
    <xf numFmtId="0" fontId="19" fillId="6" borderId="27" xfId="0" applyFont="1" applyFill="1" applyBorder="1" applyAlignment="1">
      <alignment horizontal="left" vertical="center" wrapText="1"/>
    </xf>
    <xf numFmtId="0" fontId="19" fillId="6" borderId="0" xfId="0" applyFont="1" applyFill="1" applyBorder="1" applyAlignment="1">
      <alignment horizontal="left" vertical="center" wrapText="1"/>
    </xf>
    <xf numFmtId="0" fontId="14" fillId="5" borderId="17" xfId="1" applyNumberFormat="1" applyFont="1" applyFill="1" applyBorder="1" applyAlignment="1">
      <alignment horizontal="right" vertical="center"/>
    </xf>
    <xf numFmtId="14" fontId="14" fillId="5" borderId="17" xfId="1" applyNumberFormat="1" applyFont="1" applyFill="1" applyBorder="1" applyAlignment="1">
      <alignment horizontal="right" vertical="center"/>
    </xf>
    <xf numFmtId="0" fontId="17" fillId="6" borderId="27" xfId="0" applyFont="1" applyFill="1" applyBorder="1" applyAlignment="1">
      <alignment horizontal="center" vertical="center" wrapText="1"/>
    </xf>
    <xf numFmtId="0" fontId="17" fillId="6" borderId="0" xfId="0" applyFont="1" applyFill="1" applyBorder="1" applyAlignment="1">
      <alignment horizontal="left" vertical="center" wrapText="1"/>
    </xf>
    <xf numFmtId="0" fontId="17" fillId="6" borderId="27" xfId="0" applyFont="1" applyFill="1" applyBorder="1" applyAlignment="1">
      <alignment horizontal="left" vertical="center" wrapText="1"/>
    </xf>
    <xf numFmtId="0" fontId="17" fillId="6" borderId="13" xfId="0" applyFont="1" applyFill="1" applyBorder="1" applyAlignment="1">
      <alignment horizontal="left" vertical="center" wrapText="1"/>
    </xf>
    <xf numFmtId="0" fontId="8" fillId="4" borderId="21" xfId="0" applyFont="1" applyFill="1" applyBorder="1" applyAlignment="1">
      <alignment horizontal="left" vertical="center" wrapText="1"/>
    </xf>
    <xf numFmtId="0" fontId="8" fillId="4" borderId="22" xfId="0" applyFont="1" applyFill="1" applyBorder="1" applyAlignment="1">
      <alignment horizontal="left" vertical="center" wrapText="1"/>
    </xf>
    <xf numFmtId="0" fontId="14" fillId="5" borderId="18" xfId="0" applyFont="1" applyFill="1" applyBorder="1" applyAlignment="1">
      <alignment horizontal="center" vertical="center" shrinkToFit="1"/>
    </xf>
    <xf numFmtId="0" fontId="14" fillId="5" borderId="19" xfId="0" applyFont="1" applyFill="1" applyBorder="1" applyAlignment="1">
      <alignment horizontal="center" vertical="center" shrinkToFit="1"/>
    </xf>
    <xf numFmtId="0" fontId="13" fillId="4" borderId="18" xfId="0" applyFont="1" applyFill="1" applyBorder="1" applyAlignment="1">
      <alignment horizontal="left" vertical="center" shrinkToFit="1"/>
    </xf>
    <xf numFmtId="0" fontId="13" fillId="4" borderId="19" xfId="0" applyFont="1" applyFill="1" applyBorder="1" applyAlignment="1">
      <alignment horizontal="left" vertical="center" shrinkToFit="1"/>
    </xf>
    <xf numFmtId="165" fontId="16" fillId="5" borderId="18" xfId="1" applyNumberFormat="1" applyFont="1" applyFill="1" applyBorder="1" applyAlignment="1">
      <alignment horizontal="right" vertical="center" shrinkToFit="1"/>
    </xf>
    <xf numFmtId="165" fontId="16" fillId="5" borderId="19" xfId="1" applyNumberFormat="1" applyFont="1" applyFill="1" applyBorder="1" applyAlignment="1">
      <alignment horizontal="right" vertical="center" shrinkToFit="1"/>
    </xf>
    <xf numFmtId="165" fontId="15" fillId="5" borderId="18" xfId="1" applyNumberFormat="1" applyFont="1" applyFill="1" applyBorder="1" applyAlignment="1">
      <alignment horizontal="center" vertical="center" shrinkToFit="1"/>
    </xf>
    <xf numFmtId="165" fontId="15" fillId="5" borderId="19" xfId="1" applyNumberFormat="1" applyFont="1" applyFill="1" applyBorder="1" applyAlignment="1">
      <alignment horizontal="center" vertical="center" shrinkToFit="1"/>
    </xf>
    <xf numFmtId="165" fontId="14" fillId="5" borderId="18" xfId="1" applyNumberFormat="1" applyFont="1" applyFill="1" applyBorder="1" applyAlignment="1">
      <alignment horizontal="center" vertical="center" shrinkToFit="1"/>
    </xf>
    <xf numFmtId="165" fontId="14" fillId="5" borderId="19" xfId="1" applyNumberFormat="1" applyFont="1" applyFill="1" applyBorder="1" applyAlignment="1">
      <alignment horizontal="center" vertical="center" shrinkToFit="1"/>
    </xf>
    <xf numFmtId="165" fontId="14" fillId="5" borderId="18" xfId="1" applyNumberFormat="1" applyFont="1" applyFill="1" applyBorder="1" applyAlignment="1">
      <alignment horizontal="left" vertical="center" shrinkToFit="1"/>
    </xf>
    <xf numFmtId="165" fontId="14" fillId="5" borderId="19" xfId="1" applyNumberFormat="1" applyFont="1" applyFill="1" applyBorder="1" applyAlignment="1">
      <alignment horizontal="left" vertical="center" shrinkToFit="1"/>
    </xf>
    <xf numFmtId="167" fontId="25" fillId="5" borderId="18" xfId="2" applyNumberFormat="1" applyFont="1" applyFill="1" applyBorder="1" applyAlignment="1">
      <alignment horizontal="right" vertical="center" shrinkToFit="1"/>
    </xf>
    <xf numFmtId="167" fontId="25" fillId="5" borderId="19" xfId="2" applyNumberFormat="1" applyFont="1" applyFill="1" applyBorder="1" applyAlignment="1">
      <alignment horizontal="right" vertical="center" shrinkToFit="1"/>
    </xf>
    <xf numFmtId="10" fontId="14" fillId="5" borderId="17" xfId="0" applyNumberFormat="1" applyFont="1" applyFill="1" applyBorder="1" applyAlignment="1">
      <alignment horizontal="right" vertical="center"/>
    </xf>
    <xf numFmtId="0" fontId="22" fillId="6" borderId="13" xfId="0" applyFont="1" applyFill="1" applyBorder="1" applyAlignment="1">
      <alignment horizontal="center" vertical="center"/>
    </xf>
  </cellXfs>
  <cellStyles count="3">
    <cellStyle name="Comma" xfId="1" builtinId="3"/>
    <cellStyle name="Normal" xfId="0" builtinId="0"/>
    <cellStyle name="Percent" xfId="2" builtinId="5"/>
  </cellStyles>
  <dxfs count="3">
    <dxf>
      <font>
        <color rgb="FFFF0000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112415844209105"/>
          <c:y val="2.9505898344653236E-2"/>
          <c:w val="0.81503266218721415"/>
          <c:h val="0.75787739318394232"/>
        </c:manualLayout>
      </c:layout>
      <c:lineChart>
        <c:grouping val="standard"/>
        <c:varyColors val="0"/>
        <c:ser>
          <c:idx val="0"/>
          <c:order val="0"/>
          <c:tx>
            <c:strRef>
              <c:f>Projections_Data!$F$9</c:f>
              <c:strCache>
                <c:ptCount val="1"/>
                <c:pt idx="0">
                  <c:v>Current avg increase 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Projections_Data!$G$9:$IN$9</c:f>
              <c:numCache>
                <c:formatCode>_-* #,##0_-;\-* #,##0_-;_-* "-"??_-;_-@_-</c:formatCode>
                <c:ptCount val="242"/>
                <c:pt idx="0">
                  <c:v>554</c:v>
                </c:pt>
                <c:pt idx="1">
                  <c:v>652</c:v>
                </c:pt>
                <c:pt idx="2">
                  <c:v>928</c:v>
                </c:pt>
                <c:pt idx="3">
                  <c:v>1404</c:v>
                </c:pt>
                <c:pt idx="4">
                  <c:v>2066</c:v>
                </c:pt>
                <c:pt idx="5">
                  <c:v>2846</c:v>
                </c:pt>
                <c:pt idx="6">
                  <c:v>5443</c:v>
                </c:pt>
                <c:pt idx="7">
                  <c:v>6022</c:v>
                </c:pt>
                <c:pt idx="8">
                  <c:v>8049</c:v>
                </c:pt>
                <c:pt idx="9">
                  <c:v>9690</c:v>
                </c:pt>
                <c:pt idx="10">
                  <c:v>11746</c:v>
                </c:pt>
                <c:pt idx="11">
                  <c:v>15281</c:v>
                </c:pt>
                <c:pt idx="12">
                  <c:v>18664</c:v>
                </c:pt>
                <c:pt idx="13">
                  <c:v>22153</c:v>
                </c:pt>
                <c:pt idx="14">
                  <c:v>25147</c:v>
                </c:pt>
                <c:pt idx="15">
                  <c:v>27387</c:v>
                </c:pt>
                <c:pt idx="16">
                  <c:v>29934</c:v>
                </c:pt>
                <c:pt idx="17">
                  <c:v>28155</c:v>
                </c:pt>
                <c:pt idx="18">
                  <c:v>32519</c:v>
                </c:pt>
                <c:pt idx="19">
                  <c:v>31472</c:v>
                </c:pt>
                <c:pt idx="20">
                  <c:v>32154</c:v>
                </c:pt>
                <c:pt idx="21">
                  <c:v>35297</c:v>
                </c:pt>
                <c:pt idx="22">
                  <c:v>37719</c:v>
                </c:pt>
                <c:pt idx="23">
                  <c:v>42633</c:v>
                </c:pt>
                <c:pt idx="24">
                  <c:v>39707</c:v>
                </c:pt>
                <c:pt idx="25">
                  <c:v>38329</c:v>
                </c:pt>
                <c:pt idx="26">
                  <c:v>37659</c:v>
                </c:pt>
                <c:pt idx="27">
                  <c:v>35508</c:v>
                </c:pt>
                <c:pt idx="28">
                  <c:v>33992</c:v>
                </c:pt>
                <c:pt idx="29">
                  <c:v>31196</c:v>
                </c:pt>
                <c:pt idx="30">
                  <c:v>29851</c:v>
                </c:pt>
                <c:pt idx="31">
                  <c:v>29897</c:v>
                </c:pt>
                <c:pt idx="32">
                  <c:v>20821</c:v>
                </c:pt>
                <c:pt idx="33">
                  <c:v>7443</c:v>
                </c:pt>
                <c:pt idx="34">
                  <c:v>5054</c:v>
                </c:pt>
                <c:pt idx="35">
                  <c:v>8173</c:v>
                </c:pt>
                <c:pt idx="36">
                  <c:v>7003</c:v>
                </c:pt>
                <c:pt idx="37">
                  <c:v>6222</c:v>
                </c:pt>
                <c:pt idx="38">
                  <c:v>5978</c:v>
                </c:pt>
                <c:pt idx="39">
                  <c:v>8162</c:v>
                </c:pt>
                <c:pt idx="40">
                  <c:v>8410</c:v>
                </c:pt>
                <c:pt idx="41">
                  <c:v>8630</c:v>
                </c:pt>
                <c:pt idx="42">
                  <c:v>6824</c:v>
                </c:pt>
                <c:pt idx="43">
                  <c:v>8520</c:v>
                </c:pt>
                <c:pt idx="44">
                  <c:v>8857</c:v>
                </c:pt>
                <c:pt idx="45">
                  <c:v>8535</c:v>
                </c:pt>
                <c:pt idx="46">
                  <c:v>8185</c:v>
                </c:pt>
                <c:pt idx="47">
                  <c:v>7213</c:v>
                </c:pt>
                <c:pt idx="48">
                  <c:v>6597</c:v>
                </c:pt>
                <c:pt idx="49">
                  <c:v>5421</c:v>
                </c:pt>
                <c:pt idx="50">
                  <c:v>4483</c:v>
                </c:pt>
                <c:pt idx="51">
                  <c:v>4450</c:v>
                </c:pt>
                <c:pt idx="52">
                  <c:v>3656</c:v>
                </c:pt>
                <c:pt idx="53">
                  <c:v>3963</c:v>
                </c:pt>
                <c:pt idx="54">
                  <c:v>3730</c:v>
                </c:pt>
                <c:pt idx="55">
                  <c:v>3448</c:v>
                </c:pt>
                <c:pt idx="56">
                  <c:v>3607</c:v>
                </c:pt>
                <c:pt idx="57">
                  <c:v>4231</c:v>
                </c:pt>
                <c:pt idx="58">
                  <c:v>4858</c:v>
                </c:pt>
                <c:pt idx="59">
                  <c:v>5784</c:v>
                </c:pt>
                <c:pt idx="60">
                  <c:v>6226</c:v>
                </c:pt>
                <c:pt idx="61">
                  <c:v>7287</c:v>
                </c:pt>
                <c:pt idx="62">
                  <c:v>7620</c:v>
                </c:pt>
                <c:pt idx="63">
                  <c:v>8458</c:v>
                </c:pt>
                <c:pt idx="64">
                  <c:v>9113</c:v>
                </c:pt>
                <c:pt idx="65">
                  <c:v>10156</c:v>
                </c:pt>
                <c:pt idx="66">
                  <c:v>11175</c:v>
                </c:pt>
                <c:pt idx="67">
                  <c:v>12172.710242645455</c:v>
                </c:pt>
                <c:pt idx="68">
                  <c:v>13259.49661310117</c:v>
                </c:pt>
                <c:pt idx="69">
                  <c:v>14443.311877818285</c:v>
                </c:pt>
                <c:pt idx="70">
                  <c:v>15732.81883067932</c:v>
                </c:pt>
                <c:pt idx="71">
                  <c:v>17137.45368464389</c:v>
                </c:pt>
                <c:pt idx="72">
                  <c:v>18667.495123035951</c:v>
                </c:pt>
                <c:pt idx="73">
                  <c:v>20334.139515768573</c:v>
                </c:pt>
                <c:pt idx="74">
                  <c:v>22149.582850915238</c:v>
                </c:pt>
                <c:pt idx="75">
                  <c:v>24127.109981177633</c:v>
                </c:pt>
                <c:pt idx="76">
                  <c:v>26281.191838327908</c:v>
                </c:pt>
                <c:pt idx="77">
                  <c:v>28627.591327010672</c:v>
                </c:pt>
                <c:pt idx="78">
                  <c:v>31183.478672802776</c:v>
                </c:pt>
                <c:pt idx="79">
                  <c:v>33967.557068612303</c:v>
                </c:pt>
                <c:pt idx="80">
                  <c:v>37000.199538858258</c:v>
                </c:pt>
                <c:pt idx="81">
                  <c:v>40303.598022960679</c:v>
                </c:pt>
                <c:pt idx="82">
                  <c:v>43901.925769088019</c:v>
                </c:pt>
                <c:pt idx="83">
                  <c:v>47821.514226509011</c:v>
                </c:pt>
                <c:pt idx="84">
                  <c:v>52091.045730992533</c:v>
                </c:pt>
                <c:pt idx="85">
                  <c:v>56741.763393267618</c:v>
                </c:pt>
                <c:pt idx="86">
                  <c:v>61807.699726442384</c:v>
                </c:pt>
                <c:pt idx="87">
                  <c:v>67325.925685406706</c:v>
                </c:pt>
                <c:pt idx="88">
                  <c:v>73336.821940611801</c:v>
                </c:pt>
                <c:pt idx="89">
                  <c:v>79884.374371324491</c:v>
                </c:pt>
                <c:pt idx="90">
                  <c:v>87016.495940684181</c:v>
                </c:pt>
                <c:pt idx="91">
                  <c:v>94785.377307944786</c:v>
                </c:pt>
                <c:pt idx="92">
                  <c:v>103247.86874357348</c:v>
                </c:pt>
                <c:pt idx="93">
                  <c:v>112465.89614194277</c:v>
                </c:pt>
                <c:pt idx="94">
                  <c:v>122506.91417586815</c:v>
                </c:pt>
                <c:pt idx="95">
                  <c:v>133444.39990903606</c:v>
                </c:pt>
                <c:pt idx="96">
                  <c:v>145358.39047842502</c:v>
                </c:pt>
                <c:pt idx="97">
                  <c:v>158336.06878131381</c:v>
                </c:pt>
                <c:pt idx="98">
                  <c:v>172472.40145275291</c:v>
                </c:pt>
                <c:pt idx="99">
                  <c:v>187870.83380202096</c:v>
                </c:pt>
                <c:pt idx="100">
                  <c:v>204644.04679339621</c:v>
                </c:pt>
                <c:pt idx="101">
                  <c:v>222914.78161059416</c:v>
                </c:pt>
                <c:pt idx="102">
                  <c:v>242816.73783877891</c:v>
                </c:pt>
                <c:pt idx="103">
                  <c:v>264495.55183676601</c:v>
                </c:pt>
                <c:pt idx="104">
                  <c:v>288109.8624588424</c:v>
                </c:pt>
                <c:pt idx="105">
                  <c:v>313832.4719248254</c:v>
                </c:pt>
                <c:pt idx="106">
                  <c:v>341851.61033324961</c:v>
                </c:pt>
                <c:pt idx="107">
                  <c:v>372372.3130709969</c:v>
                </c:pt>
                <c:pt idx="108">
                  <c:v>405617.92119882809</c:v>
                </c:pt>
                <c:pt idx="109">
                  <c:v>441831.71579217288</c:v>
                </c:pt>
                <c:pt idx="110">
                  <c:v>481278.69819677836</c:v>
                </c:pt>
                <c:pt idx="111">
                  <c:v>524247.52922657668</c:v>
                </c:pt>
                <c:pt idx="112">
                  <c:v>571052.64149422129</c:v>
                </c:pt>
                <c:pt idx="113">
                  <c:v>622036.54033167346</c:v>
                </c:pt>
                <c:pt idx="114">
                  <c:v>677572.31013826432</c:v>
                </c:pt>
                <c:pt idx="115">
                  <c:v>738066.34449691209</c:v>
                </c:pt>
                <c:pt idx="116">
                  <c:v>803961.32003663993</c:v>
                </c:pt>
                <c:pt idx="117">
                  <c:v>875739.4358032007</c:v>
                </c:pt>
                <c:pt idx="118">
                  <c:v>953925.94184252108</c:v>
                </c:pt>
                <c:pt idx="119">
                  <c:v>1039092.9828180465</c:v>
                </c:pt>
                <c:pt idx="120">
                  <c:v>1131863.7847883895</c:v>
                </c:pt>
                <c:pt idx="121">
                  <c:v>1232917.2157828258</c:v>
                </c:pt>
                <c:pt idx="122">
                  <c:v>1342992.7535475185</c:v>
                </c:pt>
                <c:pt idx="123">
                  <c:v>1462895.8968148995</c:v>
                </c:pt>
                <c:pt idx="124">
                  <c:v>1593504.0596942045</c:v>
                </c:pt>
                <c:pt idx="125">
                  <c:v>1735772.9923164884</c:v>
                </c:pt>
                <c:pt idx="126">
                  <c:v>1890743.7747184134</c:v>
                </c:pt>
                <c:pt idx="127">
                  <c:v>2059550.4351438892</c:v>
                </c:pt>
                <c:pt idx="128">
                  <c:v>2243428.2485119393</c:v>
                </c:pt>
                <c:pt idx="129">
                  <c:v>2443722.7757764151</c:v>
                </c:pt>
                <c:pt idx="130">
                  <c:v>2661899.7103247922</c:v>
                </c:pt>
                <c:pt idx="131">
                  <c:v>2899555.6034689546</c:v>
                </c:pt>
                <c:pt idx="132">
                  <c:v>3158429.5475137867</c:v>
                </c:pt>
                <c:pt idx="133">
                  <c:v>3440415.9018966551</c:v>
                </c:pt>
                <c:pt idx="134">
                  <c:v>3747578.1555237328</c:v>
                </c:pt>
                <c:pt idx="135">
                  <c:v>4082164.0267434544</c:v>
                </c:pt>
                <c:pt idx="136">
                  <c:v>4446621.9114540368</c:v>
                </c:pt>
                <c:pt idx="137">
                  <c:v>4843618.7997072274</c:v>
                </c:pt>
                <c:pt idx="138">
                  <c:v>5276059.791916443</c:v>
                </c:pt>
                <c:pt idx="139">
                  <c:v>5747109.3574828757</c:v>
                </c:pt>
                <c:pt idx="140">
                  <c:v>6260214.4914036095</c:v>
                </c:pt>
                <c:pt idx="141">
                  <c:v>6819129.9383146511</c:v>
                </c:pt>
                <c:pt idx="142">
                  <c:v>7427945.6685506059</c:v>
                </c:pt>
                <c:pt idx="143">
                  <c:v>8091116.8072823174</c:v>
                </c:pt>
                <c:pt idx="144">
                  <c:v>8813496.2357446309</c:v>
                </c:pt>
                <c:pt idx="145">
                  <c:v>9600370.1031199843</c:v>
                </c:pt>
                <c:pt idx="146">
                  <c:v>10457496.508942803</c:v>
                </c:pt>
                <c:pt idx="147">
                  <c:v>11391147.639090573</c:v>
                </c:pt>
                <c:pt idx="148">
                  <c:v>12408155.663699724</c:v>
                </c:pt>
                <c:pt idx="149">
                  <c:v>13515962.732873095</c:v>
                </c:pt>
                <c:pt idx="150">
                  <c:v>14722675.436032088</c:v>
                </c:pt>
                <c:pt idx="151">
                  <c:v>16037124.123430196</c:v>
                </c:pt>
                <c:pt idx="152">
                  <c:v>17468927.523924407</c:v>
                </c:pt>
                <c:pt idx="153">
                  <c:v>19028563.131857336</c:v>
                </c:pt>
                <c:pt idx="154">
                  <c:v>20727443.878119506</c:v>
                </c:pt>
                <c:pt idx="155">
                  <c:v>22578001.646446902</c:v>
                </c:pt>
                <c:pt idx="156">
                  <c:v>24593778.246100236</c:v>
                </c:pt>
                <c:pt idx="157">
                  <c:v>26789524.506635822</c:v>
                </c:pt>
                <c:pt idx="158">
                  <c:v>29181308.219912957</c:v>
                </c:pt>
                <c:pt idx="159">
                  <c:v>31786631.719224025</c:v>
                </c:pt>
                <c:pt idx="160">
                  <c:v>34624559.955955006</c:v>
                </c:pt>
                <c:pt idx="161">
                  <c:v>37715860.011001803</c:v>
                </c:pt>
                <c:pt idx="162">
                  <c:v>41083153.061843738</c:v>
                </c:pt>
                <c:pt idx="163">
                  <c:v>44751079.917322263</c:v>
                </c:pt>
                <c:pt idx="164">
                  <c:v>48746481.331457183</c:v>
                </c:pt>
                <c:pt idx="165">
                  <c:v>53098594.415781148</c:v>
                </c:pt>
                <c:pt idx="166">
                  <c:v>57839266.587477043</c:v>
                </c:pt>
                <c:pt idx="167">
                  <c:v>63003188.61892464</c:v>
                </c:pt>
                <c:pt idx="168">
                  <c:v>68628148.494040936</c:v>
                </c:pt>
                <c:pt idx="169">
                  <c:v>74755307.929056406</c:v>
                </c:pt>
                <c:pt idx="170">
                  <c:v>81429503.581220567</c:v>
                </c:pt>
                <c:pt idx="171">
                  <c:v>88699575.149589121</c:v>
                </c:pt>
                <c:pt idx="172">
                  <c:v>96618722.768832549</c:v>
                </c:pt>
                <c:pt idx="173">
                  <c:v>105244896.31136373</c:v>
                </c:pt>
                <c:pt idx="174">
                  <c:v>114641219.44657683</c:v>
                </c:pt>
                <c:pt idx="175">
                  <c:v>124876451.56033209</c:v>
                </c:pt>
                <c:pt idx="176">
                  <c:v>136025490.91487011</c:v>
                </c:pt>
                <c:pt idx="177">
                  <c:v>148169922.73112446</c:v>
                </c:pt>
                <c:pt idx="178">
                  <c:v>161398616.20412925</c:v>
                </c:pt>
                <c:pt idx="179">
                  <c:v>175808374.8202959</c:v>
                </c:pt>
                <c:pt idx="180">
                  <c:v>191504644.73537961</c:v>
                </c:pt>
                <c:pt idx="181">
                  <c:v>208602286.39682633</c:v>
                </c:pt>
                <c:pt idx="182">
                  <c:v>227226415.05699405</c:v>
                </c:pt>
                <c:pt idx="183">
                  <c:v>247513316.32786387</c:v>
                </c:pt>
                <c:pt idx="184">
                  <c:v>269611443.4769873</c:v>
                </c:pt>
                <c:pt idx="185">
                  <c:v>293682503.76257265</c:v>
                </c:pt>
                <c:pt idx="186">
                  <c:v>319902641.75717497</c:v>
                </c:pt>
                <c:pt idx="187">
                  <c:v>348463728.31918597</c:v>
                </c:pt>
                <c:pt idx="188">
                  <c:v>379574764.6444186</c:v>
                </c:pt>
                <c:pt idx="189">
                  <c:v>413463411.67220151</c:v>
                </c:pt>
                <c:pt idx="190">
                  <c:v>450377656.03770393</c:v>
                </c:pt>
                <c:pt idx="191">
                  <c:v>490587624.76141477</c:v>
                </c:pt>
                <c:pt idx="192">
                  <c:v>534387561.95511216</c:v>
                </c:pt>
                <c:pt idx="193">
                  <c:v>582097982.00924623</c:v>
                </c:pt>
                <c:pt idx="194">
                  <c:v>634068015.01809406</c:v>
                </c:pt>
                <c:pt idx="195">
                  <c:v>690677961.6057831</c:v>
                </c:pt>
                <c:pt idx="196">
                  <c:v>752342075.84860849</c:v>
                </c:pt>
                <c:pt idx="197">
                  <c:v>819511596.65821028</c:v>
                </c:pt>
                <c:pt idx="198">
                  <c:v>892678049.80833352</c:v>
                </c:pt>
                <c:pt idx="199">
                  <c:v>972376844.76838219</c:v>
                </c:pt>
                <c:pt idx="200">
                  <c:v>1059191192.6642823</c:v>
                </c:pt>
                <c:pt idx="201">
                  <c:v>1153756374.0370796</c:v>
                </c:pt>
                <c:pt idx="202">
                  <c:v>1256764387.6294084</c:v>
                </c:pt>
                <c:pt idx="203">
                  <c:v>1368969014.218214</c:v>
                </c:pt>
                <c:pt idx="204">
                  <c:v>1491191332.549289</c:v>
                </c:pt>
                <c:pt idx="205">
                  <c:v>1624325727.7375262</c:v>
                </c:pt>
                <c:pt idx="206">
                  <c:v>1690144088</c:v>
                </c:pt>
                <c:pt idx="207">
                  <c:v>1690144088</c:v>
                </c:pt>
                <c:pt idx="208">
                  <c:v>1690144088</c:v>
                </c:pt>
                <c:pt idx="209">
                  <c:v>1690144088</c:v>
                </c:pt>
                <c:pt idx="210">
                  <c:v>1690144088</c:v>
                </c:pt>
                <c:pt idx="211">
                  <c:v>1690144088</c:v>
                </c:pt>
                <c:pt idx="212">
                  <c:v>1690144088</c:v>
                </c:pt>
                <c:pt idx="213">
                  <c:v>1690144088</c:v>
                </c:pt>
                <c:pt idx="214">
                  <c:v>1690144088</c:v>
                </c:pt>
                <c:pt idx="215">
                  <c:v>1690144088</c:v>
                </c:pt>
                <c:pt idx="216">
                  <c:v>1690144088</c:v>
                </c:pt>
                <c:pt idx="217">
                  <c:v>1690144088</c:v>
                </c:pt>
                <c:pt idx="218">
                  <c:v>1690144088</c:v>
                </c:pt>
                <c:pt idx="219">
                  <c:v>1690144088</c:v>
                </c:pt>
                <c:pt idx="220">
                  <c:v>1690144088</c:v>
                </c:pt>
                <c:pt idx="221">
                  <c:v>1690144088</c:v>
                </c:pt>
                <c:pt idx="222">
                  <c:v>1690144088</c:v>
                </c:pt>
                <c:pt idx="223">
                  <c:v>1690144088</c:v>
                </c:pt>
                <c:pt idx="224">
                  <c:v>1690144088</c:v>
                </c:pt>
                <c:pt idx="225">
                  <c:v>1690144088</c:v>
                </c:pt>
                <c:pt idx="226">
                  <c:v>1690144088</c:v>
                </c:pt>
                <c:pt idx="227">
                  <c:v>1690144088</c:v>
                </c:pt>
                <c:pt idx="228">
                  <c:v>1690144088</c:v>
                </c:pt>
                <c:pt idx="229">
                  <c:v>1690144088</c:v>
                </c:pt>
                <c:pt idx="230">
                  <c:v>1690144088</c:v>
                </c:pt>
                <c:pt idx="231">
                  <c:v>1690144088</c:v>
                </c:pt>
                <c:pt idx="232">
                  <c:v>1690144088</c:v>
                </c:pt>
                <c:pt idx="233">
                  <c:v>1690144088</c:v>
                </c:pt>
                <c:pt idx="234">
                  <c:v>1690144088</c:v>
                </c:pt>
                <c:pt idx="235">
                  <c:v>1690144088</c:v>
                </c:pt>
                <c:pt idx="236">
                  <c:v>1690144088</c:v>
                </c:pt>
                <c:pt idx="237">
                  <c:v>1690144088</c:v>
                </c:pt>
                <c:pt idx="238">
                  <c:v>1690144088</c:v>
                </c:pt>
                <c:pt idx="239">
                  <c:v>1690144088</c:v>
                </c:pt>
                <c:pt idx="240">
                  <c:v>1690144088</c:v>
                </c:pt>
                <c:pt idx="241">
                  <c:v>1690144088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B77-41EE-A5F2-80C01F3CAFDE}"/>
            </c:ext>
          </c:extLst>
        </c:ser>
        <c:ser>
          <c:idx val="2"/>
          <c:order val="1"/>
          <c:tx>
            <c:strRef>
              <c:f>Projections_Data!$F$10</c:f>
              <c:strCache>
                <c:ptCount val="1"/>
                <c:pt idx="0">
                  <c:v>10% daily increase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Projections_Data!$G$10:$IN$10</c:f>
              <c:numCache>
                <c:formatCode>_-* #,##0_-;\-* #,##0_-;_-* "-"??_-;_-@_-</c:formatCode>
                <c:ptCount val="242"/>
                <c:pt idx="0">
                  <c:v>554</c:v>
                </c:pt>
                <c:pt idx="1">
                  <c:v>652</c:v>
                </c:pt>
                <c:pt idx="2">
                  <c:v>928</c:v>
                </c:pt>
                <c:pt idx="3">
                  <c:v>1404</c:v>
                </c:pt>
                <c:pt idx="4">
                  <c:v>2066</c:v>
                </c:pt>
                <c:pt idx="5">
                  <c:v>2846</c:v>
                </c:pt>
                <c:pt idx="6">
                  <c:v>5443</c:v>
                </c:pt>
                <c:pt idx="7">
                  <c:v>6022</c:v>
                </c:pt>
                <c:pt idx="8">
                  <c:v>8049</c:v>
                </c:pt>
                <c:pt idx="9">
                  <c:v>9690</c:v>
                </c:pt>
                <c:pt idx="10">
                  <c:v>11746</c:v>
                </c:pt>
                <c:pt idx="11">
                  <c:v>15281</c:v>
                </c:pt>
                <c:pt idx="12">
                  <c:v>18664</c:v>
                </c:pt>
                <c:pt idx="13">
                  <c:v>22153</c:v>
                </c:pt>
                <c:pt idx="14">
                  <c:v>25147</c:v>
                </c:pt>
                <c:pt idx="15">
                  <c:v>27387</c:v>
                </c:pt>
                <c:pt idx="16">
                  <c:v>29934</c:v>
                </c:pt>
                <c:pt idx="17">
                  <c:v>28155</c:v>
                </c:pt>
                <c:pt idx="18">
                  <c:v>32519</c:v>
                </c:pt>
                <c:pt idx="19">
                  <c:v>31472</c:v>
                </c:pt>
                <c:pt idx="20">
                  <c:v>32154</c:v>
                </c:pt>
                <c:pt idx="21">
                  <c:v>35297</c:v>
                </c:pt>
                <c:pt idx="22">
                  <c:v>37719</c:v>
                </c:pt>
                <c:pt idx="23">
                  <c:v>42633</c:v>
                </c:pt>
                <c:pt idx="24">
                  <c:v>39707</c:v>
                </c:pt>
                <c:pt idx="25">
                  <c:v>38329</c:v>
                </c:pt>
                <c:pt idx="26">
                  <c:v>37659</c:v>
                </c:pt>
                <c:pt idx="27">
                  <c:v>35508</c:v>
                </c:pt>
                <c:pt idx="28">
                  <c:v>33992</c:v>
                </c:pt>
                <c:pt idx="29">
                  <c:v>31196</c:v>
                </c:pt>
                <c:pt idx="30">
                  <c:v>29851</c:v>
                </c:pt>
                <c:pt idx="31">
                  <c:v>29897</c:v>
                </c:pt>
                <c:pt idx="32">
                  <c:v>20821</c:v>
                </c:pt>
                <c:pt idx="33">
                  <c:v>7443</c:v>
                </c:pt>
                <c:pt idx="34">
                  <c:v>5054</c:v>
                </c:pt>
                <c:pt idx="35">
                  <c:v>8173</c:v>
                </c:pt>
                <c:pt idx="36">
                  <c:v>7003</c:v>
                </c:pt>
                <c:pt idx="37">
                  <c:v>6222</c:v>
                </c:pt>
                <c:pt idx="38">
                  <c:v>5978</c:v>
                </c:pt>
                <c:pt idx="39">
                  <c:v>8162</c:v>
                </c:pt>
                <c:pt idx="40">
                  <c:v>8410</c:v>
                </c:pt>
                <c:pt idx="41">
                  <c:v>8630</c:v>
                </c:pt>
                <c:pt idx="42">
                  <c:v>6824</c:v>
                </c:pt>
                <c:pt idx="43">
                  <c:v>8520</c:v>
                </c:pt>
                <c:pt idx="44">
                  <c:v>8857</c:v>
                </c:pt>
                <c:pt idx="45">
                  <c:v>8535</c:v>
                </c:pt>
                <c:pt idx="46">
                  <c:v>8185</c:v>
                </c:pt>
                <c:pt idx="47">
                  <c:v>7213</c:v>
                </c:pt>
                <c:pt idx="48">
                  <c:v>6597</c:v>
                </c:pt>
                <c:pt idx="49">
                  <c:v>5421</c:v>
                </c:pt>
                <c:pt idx="50">
                  <c:v>4483</c:v>
                </c:pt>
                <c:pt idx="51">
                  <c:v>4450</c:v>
                </c:pt>
                <c:pt idx="52">
                  <c:v>3656</c:v>
                </c:pt>
                <c:pt idx="53">
                  <c:v>3963</c:v>
                </c:pt>
                <c:pt idx="54">
                  <c:v>3730</c:v>
                </c:pt>
                <c:pt idx="55">
                  <c:v>3448</c:v>
                </c:pt>
                <c:pt idx="56">
                  <c:v>3607</c:v>
                </c:pt>
                <c:pt idx="57">
                  <c:v>4231</c:v>
                </c:pt>
                <c:pt idx="58">
                  <c:v>4858</c:v>
                </c:pt>
                <c:pt idx="59">
                  <c:v>5784</c:v>
                </c:pt>
                <c:pt idx="60">
                  <c:v>6226</c:v>
                </c:pt>
                <c:pt idx="61">
                  <c:v>7287</c:v>
                </c:pt>
                <c:pt idx="62">
                  <c:v>7620</c:v>
                </c:pt>
                <c:pt idx="63">
                  <c:v>8458</c:v>
                </c:pt>
                <c:pt idx="64">
                  <c:v>9113</c:v>
                </c:pt>
                <c:pt idx="65">
                  <c:v>10156</c:v>
                </c:pt>
                <c:pt idx="66">
                  <c:v>11175</c:v>
                </c:pt>
                <c:pt idx="67">
                  <c:v>12292.500000000002</c:v>
                </c:pt>
                <c:pt idx="68">
                  <c:v>13521.750000000004</c:v>
                </c:pt>
                <c:pt idx="69">
                  <c:v>14873.925000000005</c:v>
                </c:pt>
                <c:pt idx="70">
                  <c:v>16361.317500000006</c:v>
                </c:pt>
                <c:pt idx="71">
                  <c:v>17997.449250000009</c:v>
                </c:pt>
                <c:pt idx="72">
                  <c:v>19797.194175000011</c:v>
                </c:pt>
                <c:pt idx="73">
                  <c:v>21776.913592500016</c:v>
                </c:pt>
                <c:pt idx="74">
                  <c:v>23954.604951750018</c:v>
                </c:pt>
                <c:pt idx="75">
                  <c:v>26350.065446925022</c:v>
                </c:pt>
                <c:pt idx="76">
                  <c:v>28985.071991617526</c:v>
                </c:pt>
                <c:pt idx="77">
                  <c:v>31883.579190779281</c:v>
                </c:pt>
                <c:pt idx="78">
                  <c:v>35071.937109857208</c:v>
                </c:pt>
                <c:pt idx="79">
                  <c:v>38579.130820842933</c:v>
                </c:pt>
                <c:pt idx="80">
                  <c:v>42437.043902927231</c:v>
                </c:pt>
                <c:pt idx="81">
                  <c:v>46680.748293219956</c:v>
                </c:pt>
                <c:pt idx="82">
                  <c:v>51348.823122541959</c:v>
                </c:pt>
                <c:pt idx="83">
                  <c:v>56483.70543479616</c:v>
                </c:pt>
                <c:pt idx="84">
                  <c:v>62132.075978275781</c:v>
                </c:pt>
                <c:pt idx="85">
                  <c:v>68345.283576103364</c:v>
                </c:pt>
                <c:pt idx="86">
                  <c:v>75179.811933713703</c:v>
                </c:pt>
                <c:pt idx="87">
                  <c:v>82697.793127085082</c:v>
                </c:pt>
                <c:pt idx="88">
                  <c:v>90967.572439793599</c:v>
                </c:pt>
                <c:pt idx="89">
                  <c:v>100064.32968377297</c:v>
                </c:pt>
                <c:pt idx="90">
                  <c:v>110070.76265215028</c:v>
                </c:pt>
                <c:pt idx="91">
                  <c:v>121077.83891736533</c:v>
                </c:pt>
                <c:pt idx="92">
                  <c:v>133185.62280910186</c:v>
                </c:pt>
                <c:pt idx="93">
                  <c:v>146504.18509001206</c:v>
                </c:pt>
                <c:pt idx="94">
                  <c:v>161154.6035990133</c:v>
                </c:pt>
                <c:pt idx="95">
                  <c:v>177270.06395891463</c:v>
                </c:pt>
                <c:pt idx="96">
                  <c:v>194997.07035480611</c:v>
                </c:pt>
                <c:pt idx="97">
                  <c:v>214496.77739028673</c:v>
                </c:pt>
                <c:pt idx="98">
                  <c:v>235946.45512931544</c:v>
                </c:pt>
                <c:pt idx="99">
                  <c:v>259541.10064224701</c:v>
                </c:pt>
                <c:pt idx="100">
                  <c:v>285495.21070647176</c:v>
                </c:pt>
                <c:pt idx="101">
                  <c:v>314044.73177711898</c:v>
                </c:pt>
                <c:pt idx="102">
                  <c:v>345449.20495483093</c:v>
                </c:pt>
                <c:pt idx="103">
                  <c:v>379994.12545031408</c:v>
                </c:pt>
                <c:pt idx="104">
                  <c:v>417993.53799534554</c:v>
                </c:pt>
                <c:pt idx="105">
                  <c:v>459792.89179488015</c:v>
                </c:pt>
                <c:pt idx="106">
                  <c:v>505772.18097436824</c:v>
                </c:pt>
                <c:pt idx="107">
                  <c:v>556349.39907180506</c:v>
                </c:pt>
                <c:pt idx="108">
                  <c:v>611984.33897898567</c:v>
                </c:pt>
                <c:pt idx="109">
                  <c:v>673182.77287688432</c:v>
                </c:pt>
                <c:pt idx="110">
                  <c:v>740501.05016457278</c:v>
                </c:pt>
                <c:pt idx="111">
                  <c:v>814551.15518103016</c:v>
                </c:pt>
                <c:pt idx="112">
                  <c:v>896006.27069913328</c:v>
                </c:pt>
                <c:pt idx="113">
                  <c:v>985606.89776904671</c:v>
                </c:pt>
                <c:pt idx="114">
                  <c:v>1084167.5875459514</c:v>
                </c:pt>
                <c:pt idx="115">
                  <c:v>1192584.3463005465</c:v>
                </c:pt>
                <c:pt idx="116">
                  <c:v>1311842.7809306013</c:v>
                </c:pt>
                <c:pt idx="117">
                  <c:v>1443027.0590236615</c:v>
                </c:pt>
                <c:pt idx="118">
                  <c:v>1587329.7649260277</c:v>
                </c:pt>
                <c:pt idx="119">
                  <c:v>1746062.7414186306</c:v>
                </c:pt>
                <c:pt idx="120">
                  <c:v>1920669.0155604938</c:v>
                </c:pt>
                <c:pt idx="121">
                  <c:v>2112735.9171165433</c:v>
                </c:pt>
                <c:pt idx="122">
                  <c:v>2324009.5088281976</c:v>
                </c:pt>
                <c:pt idx="123">
                  <c:v>2556410.4597110176</c:v>
                </c:pt>
                <c:pt idx="124">
                  <c:v>2812051.5056821196</c:v>
                </c:pt>
                <c:pt idx="125">
                  <c:v>3093256.656250332</c:v>
                </c:pt>
                <c:pt idx="126">
                  <c:v>3402582.3218753655</c:v>
                </c:pt>
                <c:pt idx="127">
                  <c:v>3742840.5540629025</c:v>
                </c:pt>
                <c:pt idx="128">
                  <c:v>4117124.609469193</c:v>
                </c:pt>
                <c:pt idx="129">
                  <c:v>4528837.0704161124</c:v>
                </c:pt>
                <c:pt idx="130">
                  <c:v>4981720.7774577243</c:v>
                </c:pt>
                <c:pt idx="131">
                  <c:v>5479892.8552034972</c:v>
                </c:pt>
                <c:pt idx="132">
                  <c:v>6027882.1407238478</c:v>
                </c:pt>
                <c:pt idx="133">
                  <c:v>6630670.3547962327</c:v>
                </c:pt>
                <c:pt idx="134">
                  <c:v>7293737.3902758565</c:v>
                </c:pt>
                <c:pt idx="135">
                  <c:v>8023111.1293034423</c:v>
                </c:pt>
                <c:pt idx="136">
                  <c:v>8825422.2422337867</c:v>
                </c:pt>
                <c:pt idx="137">
                  <c:v>9707964.4664571658</c:v>
                </c:pt>
                <c:pt idx="138">
                  <c:v>10678760.913102884</c:v>
                </c:pt>
                <c:pt idx="139">
                  <c:v>11746637.004413173</c:v>
                </c:pt>
                <c:pt idx="140">
                  <c:v>12921300.70485449</c:v>
                </c:pt>
                <c:pt idx="141">
                  <c:v>14213430.775339941</c:v>
                </c:pt>
                <c:pt idx="142">
                  <c:v>15634773.852873936</c:v>
                </c:pt>
                <c:pt idx="143">
                  <c:v>17198251.238161333</c:v>
                </c:pt>
                <c:pt idx="144">
                  <c:v>18918076.361977469</c:v>
                </c:pt>
                <c:pt idx="145">
                  <c:v>20809883.998175219</c:v>
                </c:pt>
                <c:pt idx="146">
                  <c:v>22890872.397992741</c:v>
                </c:pt>
                <c:pt idx="147">
                  <c:v>25179959.637792017</c:v>
                </c:pt>
                <c:pt idx="148">
                  <c:v>27697955.601571221</c:v>
                </c:pt>
                <c:pt idx="149">
                  <c:v>30467751.161728345</c:v>
                </c:pt>
                <c:pt idx="150">
                  <c:v>33514526.277901184</c:v>
                </c:pt>
                <c:pt idx="151">
                  <c:v>36865978.905691303</c:v>
                </c:pt>
                <c:pt idx="152">
                  <c:v>40552576.796260439</c:v>
                </c:pt>
                <c:pt idx="153">
                  <c:v>44607834.475886486</c:v>
                </c:pt>
                <c:pt idx="154">
                  <c:v>49068617.923475139</c:v>
                </c:pt>
                <c:pt idx="155">
                  <c:v>53975479.715822659</c:v>
                </c:pt>
                <c:pt idx="156">
                  <c:v>59373027.687404931</c:v>
                </c:pt>
                <c:pt idx="157">
                  <c:v>65310330.456145428</c:v>
                </c:pt>
                <c:pt idx="158">
                  <c:v>71841363.501759976</c:v>
                </c:pt>
                <c:pt idx="159">
                  <c:v>79025499.851935983</c:v>
                </c:pt>
                <c:pt idx="160">
                  <c:v>86928049.837129593</c:v>
                </c:pt>
                <c:pt idx="161">
                  <c:v>95620854.820842564</c:v>
                </c:pt>
                <c:pt idx="162">
                  <c:v>105182940.30292682</c:v>
                </c:pt>
                <c:pt idx="163">
                  <c:v>115701234.33321951</c:v>
                </c:pt>
                <c:pt idx="164">
                  <c:v>127271357.76654148</c:v>
                </c:pt>
                <c:pt idx="165">
                  <c:v>139998493.54319564</c:v>
                </c:pt>
                <c:pt idx="166">
                  <c:v>153998342.89751521</c:v>
                </c:pt>
                <c:pt idx="167">
                  <c:v>169398177.18726674</c:v>
                </c:pt>
                <c:pt idx="168">
                  <c:v>186337994.90599343</c:v>
                </c:pt>
                <c:pt idx="169">
                  <c:v>204971794.3965928</c:v>
                </c:pt>
                <c:pt idx="170">
                  <c:v>225468973.83625209</c:v>
                </c:pt>
                <c:pt idx="171">
                  <c:v>248015871.21987733</c:v>
                </c:pt>
                <c:pt idx="172">
                  <c:v>272817458.34186506</c:v>
                </c:pt>
                <c:pt idx="173">
                  <c:v>300099204.17605162</c:v>
                </c:pt>
                <c:pt idx="174">
                  <c:v>330109124.59365678</c:v>
                </c:pt>
                <c:pt idx="175">
                  <c:v>363120037.0530225</c:v>
                </c:pt>
                <c:pt idx="176">
                  <c:v>399432040.7583248</c:v>
                </c:pt>
                <c:pt idx="177">
                  <c:v>439375244.83415729</c:v>
                </c:pt>
                <c:pt idx="178">
                  <c:v>483312769.31757307</c:v>
                </c:pt>
                <c:pt idx="179">
                  <c:v>531644046.2493304</c:v>
                </c:pt>
                <c:pt idx="180">
                  <c:v>584808450.87426353</c:v>
                </c:pt>
                <c:pt idx="181">
                  <c:v>643289295.96168995</c:v>
                </c:pt>
                <c:pt idx="182">
                  <c:v>707618225.55785894</c:v>
                </c:pt>
                <c:pt idx="183">
                  <c:v>778380048.11364496</c:v>
                </c:pt>
                <c:pt idx="184">
                  <c:v>856218052.92500949</c:v>
                </c:pt>
                <c:pt idx="185">
                  <c:v>941839858.21751046</c:v>
                </c:pt>
                <c:pt idx="186">
                  <c:v>1036023844.0392616</c:v>
                </c:pt>
                <c:pt idx="187">
                  <c:v>1139626228.4431877</c:v>
                </c:pt>
                <c:pt idx="188">
                  <c:v>1253588851.2875066</c:v>
                </c:pt>
                <c:pt idx="189">
                  <c:v>1378947736.4162574</c:v>
                </c:pt>
                <c:pt idx="190">
                  <c:v>1516842510.0578833</c:v>
                </c:pt>
                <c:pt idx="191">
                  <c:v>1668526761.0636718</c:v>
                </c:pt>
                <c:pt idx="192">
                  <c:v>1690144088</c:v>
                </c:pt>
                <c:pt idx="193">
                  <c:v>1690144088</c:v>
                </c:pt>
                <c:pt idx="194">
                  <c:v>1690144088</c:v>
                </c:pt>
                <c:pt idx="195">
                  <c:v>1690144088</c:v>
                </c:pt>
                <c:pt idx="196">
                  <c:v>1690144088</c:v>
                </c:pt>
                <c:pt idx="197">
                  <c:v>1690144088</c:v>
                </c:pt>
                <c:pt idx="198">
                  <c:v>1690144088</c:v>
                </c:pt>
                <c:pt idx="199">
                  <c:v>1690144088</c:v>
                </c:pt>
                <c:pt idx="200">
                  <c:v>1690144088</c:v>
                </c:pt>
                <c:pt idx="201">
                  <c:v>1690144088</c:v>
                </c:pt>
                <c:pt idx="202">
                  <c:v>1690144088</c:v>
                </c:pt>
                <c:pt idx="203">
                  <c:v>1690144088</c:v>
                </c:pt>
                <c:pt idx="204">
                  <c:v>1690144088</c:v>
                </c:pt>
                <c:pt idx="205">
                  <c:v>1690144088</c:v>
                </c:pt>
                <c:pt idx="206">
                  <c:v>1690144088</c:v>
                </c:pt>
                <c:pt idx="207">
                  <c:v>1690144088</c:v>
                </c:pt>
                <c:pt idx="208">
                  <c:v>1690144088</c:v>
                </c:pt>
                <c:pt idx="209">
                  <c:v>1690144088</c:v>
                </c:pt>
                <c:pt idx="210">
                  <c:v>1690144088</c:v>
                </c:pt>
                <c:pt idx="211">
                  <c:v>1690144088</c:v>
                </c:pt>
                <c:pt idx="212">
                  <c:v>1690144088</c:v>
                </c:pt>
                <c:pt idx="213">
                  <c:v>1690144088</c:v>
                </c:pt>
                <c:pt idx="214">
                  <c:v>1690144088</c:v>
                </c:pt>
                <c:pt idx="215">
                  <c:v>1690144088</c:v>
                </c:pt>
                <c:pt idx="216">
                  <c:v>1690144088</c:v>
                </c:pt>
                <c:pt idx="217">
                  <c:v>1690144088</c:v>
                </c:pt>
                <c:pt idx="218">
                  <c:v>1690144088</c:v>
                </c:pt>
                <c:pt idx="219">
                  <c:v>1690144088</c:v>
                </c:pt>
                <c:pt idx="220">
                  <c:v>1690144088</c:v>
                </c:pt>
                <c:pt idx="221">
                  <c:v>1690144088</c:v>
                </c:pt>
                <c:pt idx="222">
                  <c:v>1690144088</c:v>
                </c:pt>
                <c:pt idx="223">
                  <c:v>1690144088</c:v>
                </c:pt>
                <c:pt idx="224">
                  <c:v>1690144088</c:v>
                </c:pt>
                <c:pt idx="225">
                  <c:v>1690144088</c:v>
                </c:pt>
                <c:pt idx="226">
                  <c:v>1690144088</c:v>
                </c:pt>
                <c:pt idx="227">
                  <c:v>1690144088</c:v>
                </c:pt>
                <c:pt idx="228">
                  <c:v>1690144088</c:v>
                </c:pt>
                <c:pt idx="229">
                  <c:v>1690144088</c:v>
                </c:pt>
                <c:pt idx="230">
                  <c:v>1690144088</c:v>
                </c:pt>
                <c:pt idx="231">
                  <c:v>1690144088</c:v>
                </c:pt>
                <c:pt idx="232">
                  <c:v>1690144088</c:v>
                </c:pt>
                <c:pt idx="233">
                  <c:v>1690144088</c:v>
                </c:pt>
                <c:pt idx="234">
                  <c:v>1690144088</c:v>
                </c:pt>
                <c:pt idx="235">
                  <c:v>1690144088</c:v>
                </c:pt>
                <c:pt idx="236">
                  <c:v>1690144088</c:v>
                </c:pt>
                <c:pt idx="237">
                  <c:v>1690144088</c:v>
                </c:pt>
                <c:pt idx="238">
                  <c:v>1690144088</c:v>
                </c:pt>
                <c:pt idx="239">
                  <c:v>1690144088</c:v>
                </c:pt>
                <c:pt idx="240">
                  <c:v>1690144088</c:v>
                </c:pt>
                <c:pt idx="241">
                  <c:v>1690144088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B77-41EE-A5F2-80C01F3CAFDE}"/>
            </c:ext>
          </c:extLst>
        </c:ser>
        <c:ser>
          <c:idx val="3"/>
          <c:order val="2"/>
          <c:tx>
            <c:strRef>
              <c:f>Projections_Data!$F$11</c:f>
              <c:strCache>
                <c:ptCount val="1"/>
                <c:pt idx="0">
                  <c:v>25% daily increase</c:v>
                </c:pt>
              </c:strCache>
            </c:strRef>
          </c:tx>
          <c:spPr>
            <a:ln w="28575" cap="rnd">
              <a:solidFill>
                <a:srgbClr val="FFC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Projections_Data!$G$11:$IN$11</c:f>
              <c:numCache>
                <c:formatCode>_-* #,##0_-;\-* #,##0_-;_-* "-"??_-;_-@_-</c:formatCode>
                <c:ptCount val="242"/>
                <c:pt idx="0">
                  <c:v>554</c:v>
                </c:pt>
                <c:pt idx="1">
                  <c:v>652</c:v>
                </c:pt>
                <c:pt idx="2">
                  <c:v>928</c:v>
                </c:pt>
                <c:pt idx="3">
                  <c:v>1404</c:v>
                </c:pt>
                <c:pt idx="4">
                  <c:v>2066</c:v>
                </c:pt>
                <c:pt idx="5">
                  <c:v>2846</c:v>
                </c:pt>
                <c:pt idx="6">
                  <c:v>5443</c:v>
                </c:pt>
                <c:pt idx="7">
                  <c:v>6022</c:v>
                </c:pt>
                <c:pt idx="8">
                  <c:v>8049</c:v>
                </c:pt>
                <c:pt idx="9">
                  <c:v>9690</c:v>
                </c:pt>
                <c:pt idx="10">
                  <c:v>11746</c:v>
                </c:pt>
                <c:pt idx="11">
                  <c:v>15281</c:v>
                </c:pt>
                <c:pt idx="12">
                  <c:v>18664</c:v>
                </c:pt>
                <c:pt idx="13">
                  <c:v>22153</c:v>
                </c:pt>
                <c:pt idx="14">
                  <c:v>25147</c:v>
                </c:pt>
                <c:pt idx="15">
                  <c:v>27387</c:v>
                </c:pt>
                <c:pt idx="16">
                  <c:v>29934</c:v>
                </c:pt>
                <c:pt idx="17">
                  <c:v>28155</c:v>
                </c:pt>
                <c:pt idx="18">
                  <c:v>32519</c:v>
                </c:pt>
                <c:pt idx="19">
                  <c:v>31472</c:v>
                </c:pt>
                <c:pt idx="20">
                  <c:v>32154</c:v>
                </c:pt>
                <c:pt idx="21">
                  <c:v>35297</c:v>
                </c:pt>
                <c:pt idx="22">
                  <c:v>37719</c:v>
                </c:pt>
                <c:pt idx="23">
                  <c:v>42633</c:v>
                </c:pt>
                <c:pt idx="24">
                  <c:v>39707</c:v>
                </c:pt>
                <c:pt idx="25">
                  <c:v>38329</c:v>
                </c:pt>
                <c:pt idx="26">
                  <c:v>37659</c:v>
                </c:pt>
                <c:pt idx="27">
                  <c:v>35508</c:v>
                </c:pt>
                <c:pt idx="28">
                  <c:v>33992</c:v>
                </c:pt>
                <c:pt idx="29">
                  <c:v>31196</c:v>
                </c:pt>
                <c:pt idx="30">
                  <c:v>29851</c:v>
                </c:pt>
                <c:pt idx="31">
                  <c:v>29897</c:v>
                </c:pt>
                <c:pt idx="32">
                  <c:v>20821</c:v>
                </c:pt>
                <c:pt idx="33">
                  <c:v>7443</c:v>
                </c:pt>
                <c:pt idx="34">
                  <c:v>5054</c:v>
                </c:pt>
                <c:pt idx="35">
                  <c:v>8173</c:v>
                </c:pt>
                <c:pt idx="36">
                  <c:v>7003</c:v>
                </c:pt>
                <c:pt idx="37">
                  <c:v>6222</c:v>
                </c:pt>
                <c:pt idx="38">
                  <c:v>5978</c:v>
                </c:pt>
                <c:pt idx="39">
                  <c:v>8162</c:v>
                </c:pt>
                <c:pt idx="40">
                  <c:v>8410</c:v>
                </c:pt>
                <c:pt idx="41">
                  <c:v>8630</c:v>
                </c:pt>
                <c:pt idx="42">
                  <c:v>6824</c:v>
                </c:pt>
                <c:pt idx="43">
                  <c:v>8520</c:v>
                </c:pt>
                <c:pt idx="44">
                  <c:v>8857</c:v>
                </c:pt>
                <c:pt idx="45">
                  <c:v>8535</c:v>
                </c:pt>
                <c:pt idx="46">
                  <c:v>8185</c:v>
                </c:pt>
                <c:pt idx="47">
                  <c:v>7213</c:v>
                </c:pt>
                <c:pt idx="48">
                  <c:v>6597</c:v>
                </c:pt>
                <c:pt idx="49">
                  <c:v>5421</c:v>
                </c:pt>
                <c:pt idx="50">
                  <c:v>4483</c:v>
                </c:pt>
                <c:pt idx="51">
                  <c:v>4450</c:v>
                </c:pt>
                <c:pt idx="52">
                  <c:v>3656</c:v>
                </c:pt>
                <c:pt idx="53">
                  <c:v>3963</c:v>
                </c:pt>
                <c:pt idx="54">
                  <c:v>3730</c:v>
                </c:pt>
                <c:pt idx="55">
                  <c:v>3448</c:v>
                </c:pt>
                <c:pt idx="56">
                  <c:v>3607</c:v>
                </c:pt>
                <c:pt idx="57">
                  <c:v>4231</c:v>
                </c:pt>
                <c:pt idx="58">
                  <c:v>4858</c:v>
                </c:pt>
                <c:pt idx="59">
                  <c:v>5784</c:v>
                </c:pt>
                <c:pt idx="60">
                  <c:v>6226</c:v>
                </c:pt>
                <c:pt idx="61">
                  <c:v>7287</c:v>
                </c:pt>
                <c:pt idx="62">
                  <c:v>7620</c:v>
                </c:pt>
                <c:pt idx="63">
                  <c:v>8458</c:v>
                </c:pt>
                <c:pt idx="64">
                  <c:v>9113</c:v>
                </c:pt>
                <c:pt idx="65">
                  <c:v>10156</c:v>
                </c:pt>
                <c:pt idx="66">
                  <c:v>11175</c:v>
                </c:pt>
                <c:pt idx="67">
                  <c:v>13968.75</c:v>
                </c:pt>
                <c:pt idx="68">
                  <c:v>17460.9375</c:v>
                </c:pt>
                <c:pt idx="69">
                  <c:v>21826.171875</c:v>
                </c:pt>
                <c:pt idx="70">
                  <c:v>27282.71484375</c:v>
                </c:pt>
                <c:pt idx="71">
                  <c:v>34103.3935546875</c:v>
                </c:pt>
                <c:pt idx="72">
                  <c:v>42629.241943359375</c:v>
                </c:pt>
                <c:pt idx="73">
                  <c:v>53286.552429199219</c:v>
                </c:pt>
                <c:pt idx="74">
                  <c:v>66608.190536499023</c:v>
                </c:pt>
                <c:pt idx="75">
                  <c:v>83260.238170623779</c:v>
                </c:pt>
                <c:pt idx="76">
                  <c:v>104075.29771327972</c:v>
                </c:pt>
                <c:pt idx="77">
                  <c:v>130094.12214159966</c:v>
                </c:pt>
                <c:pt idx="78">
                  <c:v>162617.65267699957</c:v>
                </c:pt>
                <c:pt idx="79">
                  <c:v>203272.06584624946</c:v>
                </c:pt>
                <c:pt idx="80">
                  <c:v>254090.08230781183</c:v>
                </c:pt>
                <c:pt idx="81">
                  <c:v>317612.60288476478</c:v>
                </c:pt>
                <c:pt idx="82">
                  <c:v>397015.75360595598</c:v>
                </c:pt>
                <c:pt idx="83">
                  <c:v>496269.69200744497</c:v>
                </c:pt>
                <c:pt idx="84">
                  <c:v>620337.11500930623</c:v>
                </c:pt>
                <c:pt idx="85">
                  <c:v>775421.39376163273</c:v>
                </c:pt>
                <c:pt idx="86">
                  <c:v>969276.74220204097</c:v>
                </c:pt>
                <c:pt idx="87">
                  <c:v>1211595.9277525512</c:v>
                </c:pt>
                <c:pt idx="88">
                  <c:v>1514494.9096906888</c:v>
                </c:pt>
                <c:pt idx="89">
                  <c:v>1893118.6371133612</c:v>
                </c:pt>
                <c:pt idx="90">
                  <c:v>2366398.2963917013</c:v>
                </c:pt>
                <c:pt idx="91">
                  <c:v>2957997.8704896267</c:v>
                </c:pt>
                <c:pt idx="92">
                  <c:v>3697497.3381120334</c:v>
                </c:pt>
                <c:pt idx="93">
                  <c:v>4621871.6726400414</c:v>
                </c:pt>
                <c:pt idx="94">
                  <c:v>5777339.5908000516</c:v>
                </c:pt>
                <c:pt idx="95">
                  <c:v>7221674.4885000642</c:v>
                </c:pt>
                <c:pt idx="96">
                  <c:v>9027093.1106250808</c:v>
                </c:pt>
                <c:pt idx="97">
                  <c:v>11283866.388281351</c:v>
                </c:pt>
                <c:pt idx="98">
                  <c:v>14104832.985351689</c:v>
                </c:pt>
                <c:pt idx="99">
                  <c:v>17631041.23168961</c:v>
                </c:pt>
                <c:pt idx="100">
                  <c:v>22038801.53961201</c:v>
                </c:pt>
                <c:pt idx="101">
                  <c:v>27548501.924515013</c:v>
                </c:pt>
                <c:pt idx="102">
                  <c:v>34435627.405643769</c:v>
                </c:pt>
                <c:pt idx="103">
                  <c:v>43044534.257054709</c:v>
                </c:pt>
                <c:pt idx="104">
                  <c:v>53805667.821318388</c:v>
                </c:pt>
                <c:pt idx="105">
                  <c:v>67257084.776647985</c:v>
                </c:pt>
                <c:pt idx="106">
                  <c:v>84071355.970809981</c:v>
                </c:pt>
                <c:pt idx="107">
                  <c:v>105089194.96351248</c:v>
                </c:pt>
                <c:pt idx="108">
                  <c:v>131361493.7043906</c:v>
                </c:pt>
                <c:pt idx="109">
                  <c:v>164201867.13048825</c:v>
                </c:pt>
                <c:pt idx="110">
                  <c:v>205252333.91311032</c:v>
                </c:pt>
                <c:pt idx="111">
                  <c:v>256565417.39138788</c:v>
                </c:pt>
                <c:pt idx="112">
                  <c:v>320706771.73923486</c:v>
                </c:pt>
                <c:pt idx="113">
                  <c:v>400883464.6740436</c:v>
                </c:pt>
                <c:pt idx="114">
                  <c:v>501104330.84255451</c:v>
                </c:pt>
                <c:pt idx="115">
                  <c:v>626380413.55319309</c:v>
                </c:pt>
                <c:pt idx="116">
                  <c:v>782975516.94149137</c:v>
                </c:pt>
                <c:pt idx="117">
                  <c:v>978719396.17686415</c:v>
                </c:pt>
                <c:pt idx="118">
                  <c:v>1223399245.2210803</c:v>
                </c:pt>
                <c:pt idx="119">
                  <c:v>1529249056.5263505</c:v>
                </c:pt>
                <c:pt idx="120">
                  <c:v>1690144088</c:v>
                </c:pt>
                <c:pt idx="121">
                  <c:v>1690144088</c:v>
                </c:pt>
                <c:pt idx="122">
                  <c:v>1690144088</c:v>
                </c:pt>
                <c:pt idx="123">
                  <c:v>1690144088</c:v>
                </c:pt>
                <c:pt idx="124">
                  <c:v>1690144088</c:v>
                </c:pt>
                <c:pt idx="125">
                  <c:v>1690144088</c:v>
                </c:pt>
                <c:pt idx="126">
                  <c:v>1690144088</c:v>
                </c:pt>
                <c:pt idx="127">
                  <c:v>1690144088</c:v>
                </c:pt>
                <c:pt idx="128">
                  <c:v>1690144088</c:v>
                </c:pt>
                <c:pt idx="129">
                  <c:v>1690144088</c:v>
                </c:pt>
                <c:pt idx="130">
                  <c:v>1690144088</c:v>
                </c:pt>
                <c:pt idx="131">
                  <c:v>1690144088</c:v>
                </c:pt>
                <c:pt idx="132">
                  <c:v>1690144088</c:v>
                </c:pt>
                <c:pt idx="133">
                  <c:v>1690144088</c:v>
                </c:pt>
                <c:pt idx="134">
                  <c:v>1690144088</c:v>
                </c:pt>
                <c:pt idx="135">
                  <c:v>1690144088</c:v>
                </c:pt>
                <c:pt idx="136">
                  <c:v>1690144088</c:v>
                </c:pt>
                <c:pt idx="137">
                  <c:v>1690144088</c:v>
                </c:pt>
                <c:pt idx="138">
                  <c:v>1690144088</c:v>
                </c:pt>
                <c:pt idx="139">
                  <c:v>1690144088</c:v>
                </c:pt>
                <c:pt idx="140">
                  <c:v>1690144088</c:v>
                </c:pt>
                <c:pt idx="141">
                  <c:v>1690144088</c:v>
                </c:pt>
                <c:pt idx="142">
                  <c:v>1690144088</c:v>
                </c:pt>
                <c:pt idx="143">
                  <c:v>1690144088</c:v>
                </c:pt>
                <c:pt idx="144">
                  <c:v>1690144088</c:v>
                </c:pt>
                <c:pt idx="145">
                  <c:v>1690144088</c:v>
                </c:pt>
                <c:pt idx="146">
                  <c:v>1690144088</c:v>
                </c:pt>
                <c:pt idx="147">
                  <c:v>1690144088</c:v>
                </c:pt>
                <c:pt idx="148">
                  <c:v>1690144088</c:v>
                </c:pt>
                <c:pt idx="149">
                  <c:v>1690144088</c:v>
                </c:pt>
                <c:pt idx="150">
                  <c:v>1690144088</c:v>
                </c:pt>
                <c:pt idx="151">
                  <c:v>1690144088</c:v>
                </c:pt>
                <c:pt idx="152">
                  <c:v>1690144088</c:v>
                </c:pt>
                <c:pt idx="153">
                  <c:v>1690144088</c:v>
                </c:pt>
                <c:pt idx="154">
                  <c:v>1690144088</c:v>
                </c:pt>
                <c:pt idx="155">
                  <c:v>1690144088</c:v>
                </c:pt>
                <c:pt idx="156">
                  <c:v>1690144088</c:v>
                </c:pt>
                <c:pt idx="157">
                  <c:v>1690144088</c:v>
                </c:pt>
                <c:pt idx="158">
                  <c:v>1690144088</c:v>
                </c:pt>
                <c:pt idx="159">
                  <c:v>1690144088</c:v>
                </c:pt>
                <c:pt idx="160">
                  <c:v>1690144088</c:v>
                </c:pt>
                <c:pt idx="161">
                  <c:v>1690144088</c:v>
                </c:pt>
                <c:pt idx="162">
                  <c:v>1690144088</c:v>
                </c:pt>
                <c:pt idx="163">
                  <c:v>1690144088</c:v>
                </c:pt>
                <c:pt idx="164">
                  <c:v>1690144088</c:v>
                </c:pt>
                <c:pt idx="165">
                  <c:v>1690144088</c:v>
                </c:pt>
                <c:pt idx="166">
                  <c:v>1690144088</c:v>
                </c:pt>
                <c:pt idx="167">
                  <c:v>1690144088</c:v>
                </c:pt>
                <c:pt idx="168">
                  <c:v>1690144088</c:v>
                </c:pt>
                <c:pt idx="169">
                  <c:v>1690144088</c:v>
                </c:pt>
                <c:pt idx="170">
                  <c:v>1690144088</c:v>
                </c:pt>
                <c:pt idx="171">
                  <c:v>1690144088</c:v>
                </c:pt>
                <c:pt idx="172">
                  <c:v>1690144088</c:v>
                </c:pt>
                <c:pt idx="173">
                  <c:v>1690144088</c:v>
                </c:pt>
                <c:pt idx="174">
                  <c:v>1690144088</c:v>
                </c:pt>
                <c:pt idx="175">
                  <c:v>1690144088</c:v>
                </c:pt>
                <c:pt idx="176">
                  <c:v>1690144088</c:v>
                </c:pt>
                <c:pt idx="177">
                  <c:v>1690144088</c:v>
                </c:pt>
                <c:pt idx="178">
                  <c:v>1690144088</c:v>
                </c:pt>
                <c:pt idx="179">
                  <c:v>1690144088</c:v>
                </c:pt>
                <c:pt idx="180">
                  <c:v>1690144088</c:v>
                </c:pt>
                <c:pt idx="181">
                  <c:v>1690144088</c:v>
                </c:pt>
                <c:pt idx="182">
                  <c:v>1690144088</c:v>
                </c:pt>
                <c:pt idx="183">
                  <c:v>1690144088</c:v>
                </c:pt>
                <c:pt idx="184">
                  <c:v>1690144088</c:v>
                </c:pt>
                <c:pt idx="185">
                  <c:v>1690144088</c:v>
                </c:pt>
                <c:pt idx="186">
                  <c:v>1690144088</c:v>
                </c:pt>
                <c:pt idx="187">
                  <c:v>1690144088</c:v>
                </c:pt>
                <c:pt idx="188">
                  <c:v>1690144088</c:v>
                </c:pt>
                <c:pt idx="189">
                  <c:v>1690144088</c:v>
                </c:pt>
                <c:pt idx="190">
                  <c:v>1690144088</c:v>
                </c:pt>
                <c:pt idx="191">
                  <c:v>1690144088</c:v>
                </c:pt>
                <c:pt idx="192">
                  <c:v>1690144088</c:v>
                </c:pt>
                <c:pt idx="193">
                  <c:v>1690144088</c:v>
                </c:pt>
                <c:pt idx="194">
                  <c:v>1690144088</c:v>
                </c:pt>
                <c:pt idx="195">
                  <c:v>1690144088</c:v>
                </c:pt>
                <c:pt idx="196">
                  <c:v>1690144088</c:v>
                </c:pt>
                <c:pt idx="197">
                  <c:v>1690144088</c:v>
                </c:pt>
                <c:pt idx="198">
                  <c:v>1690144088</c:v>
                </c:pt>
                <c:pt idx="199">
                  <c:v>1690144088</c:v>
                </c:pt>
                <c:pt idx="200">
                  <c:v>1690144088</c:v>
                </c:pt>
                <c:pt idx="201">
                  <c:v>1690144088</c:v>
                </c:pt>
                <c:pt idx="202">
                  <c:v>1690144088</c:v>
                </c:pt>
                <c:pt idx="203">
                  <c:v>1690144088</c:v>
                </c:pt>
                <c:pt idx="204">
                  <c:v>1690144088</c:v>
                </c:pt>
                <c:pt idx="205">
                  <c:v>1690144088</c:v>
                </c:pt>
                <c:pt idx="206">
                  <c:v>1690144088</c:v>
                </c:pt>
                <c:pt idx="207">
                  <c:v>1690144088</c:v>
                </c:pt>
                <c:pt idx="208">
                  <c:v>1690144088</c:v>
                </c:pt>
                <c:pt idx="209">
                  <c:v>1690144088</c:v>
                </c:pt>
                <c:pt idx="210">
                  <c:v>1690144088</c:v>
                </c:pt>
                <c:pt idx="211">
                  <c:v>1690144088</c:v>
                </c:pt>
                <c:pt idx="212">
                  <c:v>1690144088</c:v>
                </c:pt>
                <c:pt idx="213">
                  <c:v>1690144088</c:v>
                </c:pt>
                <c:pt idx="214">
                  <c:v>1690144088</c:v>
                </c:pt>
                <c:pt idx="215">
                  <c:v>1690144088</c:v>
                </c:pt>
                <c:pt idx="216">
                  <c:v>1690144088</c:v>
                </c:pt>
                <c:pt idx="217">
                  <c:v>1690144088</c:v>
                </c:pt>
                <c:pt idx="218">
                  <c:v>1690144088</c:v>
                </c:pt>
                <c:pt idx="219">
                  <c:v>1690144088</c:v>
                </c:pt>
                <c:pt idx="220">
                  <c:v>1690144088</c:v>
                </c:pt>
                <c:pt idx="221">
                  <c:v>1690144088</c:v>
                </c:pt>
                <c:pt idx="222">
                  <c:v>1690144088</c:v>
                </c:pt>
                <c:pt idx="223">
                  <c:v>1690144088</c:v>
                </c:pt>
                <c:pt idx="224">
                  <c:v>1690144088</c:v>
                </c:pt>
                <c:pt idx="225">
                  <c:v>1690144088</c:v>
                </c:pt>
                <c:pt idx="226">
                  <c:v>1690144088</c:v>
                </c:pt>
                <c:pt idx="227">
                  <c:v>1690144088</c:v>
                </c:pt>
                <c:pt idx="228">
                  <c:v>1690144088</c:v>
                </c:pt>
                <c:pt idx="229">
                  <c:v>1690144088</c:v>
                </c:pt>
                <c:pt idx="230">
                  <c:v>1690144088</c:v>
                </c:pt>
                <c:pt idx="231">
                  <c:v>1690144088</c:v>
                </c:pt>
                <c:pt idx="232">
                  <c:v>1690144088</c:v>
                </c:pt>
                <c:pt idx="233">
                  <c:v>1690144088</c:v>
                </c:pt>
                <c:pt idx="234">
                  <c:v>1690144088</c:v>
                </c:pt>
                <c:pt idx="235">
                  <c:v>1690144088</c:v>
                </c:pt>
                <c:pt idx="236">
                  <c:v>1690144088</c:v>
                </c:pt>
                <c:pt idx="237">
                  <c:v>1690144088</c:v>
                </c:pt>
                <c:pt idx="238">
                  <c:v>1690144088</c:v>
                </c:pt>
                <c:pt idx="239">
                  <c:v>1690144088</c:v>
                </c:pt>
                <c:pt idx="240">
                  <c:v>1690144088</c:v>
                </c:pt>
                <c:pt idx="241">
                  <c:v>1690144088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B77-41EE-A5F2-80C01F3CAFDE}"/>
            </c:ext>
          </c:extLst>
        </c:ser>
        <c:ser>
          <c:idx val="4"/>
          <c:order val="3"/>
          <c:tx>
            <c:strRef>
              <c:f>Projections_Data!$F$12</c:f>
              <c:strCache>
                <c:ptCount val="1"/>
                <c:pt idx="0">
                  <c:v>40% daily increase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Projections_Data!$G$12:$IN$12</c:f>
              <c:numCache>
                <c:formatCode>_-* #,##0_-;\-* #,##0_-;_-* "-"??_-;_-@_-</c:formatCode>
                <c:ptCount val="242"/>
                <c:pt idx="0">
                  <c:v>554</c:v>
                </c:pt>
                <c:pt idx="1">
                  <c:v>652</c:v>
                </c:pt>
                <c:pt idx="2">
                  <c:v>928</c:v>
                </c:pt>
                <c:pt idx="3">
                  <c:v>1404</c:v>
                </c:pt>
                <c:pt idx="4">
                  <c:v>2066</c:v>
                </c:pt>
                <c:pt idx="5">
                  <c:v>2846</c:v>
                </c:pt>
                <c:pt idx="6">
                  <c:v>5443</c:v>
                </c:pt>
                <c:pt idx="7">
                  <c:v>6022</c:v>
                </c:pt>
                <c:pt idx="8">
                  <c:v>8049</c:v>
                </c:pt>
                <c:pt idx="9">
                  <c:v>9690</c:v>
                </c:pt>
                <c:pt idx="10">
                  <c:v>11746</c:v>
                </c:pt>
                <c:pt idx="11">
                  <c:v>15281</c:v>
                </c:pt>
                <c:pt idx="12">
                  <c:v>18664</c:v>
                </c:pt>
                <c:pt idx="13">
                  <c:v>22153</c:v>
                </c:pt>
                <c:pt idx="14">
                  <c:v>25147</c:v>
                </c:pt>
                <c:pt idx="15">
                  <c:v>27387</c:v>
                </c:pt>
                <c:pt idx="16">
                  <c:v>29934</c:v>
                </c:pt>
                <c:pt idx="17">
                  <c:v>28155</c:v>
                </c:pt>
                <c:pt idx="18">
                  <c:v>32519</c:v>
                </c:pt>
                <c:pt idx="19">
                  <c:v>31472</c:v>
                </c:pt>
                <c:pt idx="20">
                  <c:v>32154</c:v>
                </c:pt>
                <c:pt idx="21">
                  <c:v>35297</c:v>
                </c:pt>
                <c:pt idx="22">
                  <c:v>37719</c:v>
                </c:pt>
                <c:pt idx="23">
                  <c:v>42633</c:v>
                </c:pt>
                <c:pt idx="24">
                  <c:v>39707</c:v>
                </c:pt>
                <c:pt idx="25">
                  <c:v>38329</c:v>
                </c:pt>
                <c:pt idx="26">
                  <c:v>37659</c:v>
                </c:pt>
                <c:pt idx="27">
                  <c:v>35508</c:v>
                </c:pt>
                <c:pt idx="28">
                  <c:v>33992</c:v>
                </c:pt>
                <c:pt idx="29">
                  <c:v>31196</c:v>
                </c:pt>
                <c:pt idx="30">
                  <c:v>29851</c:v>
                </c:pt>
                <c:pt idx="31">
                  <c:v>29897</c:v>
                </c:pt>
                <c:pt idx="32">
                  <c:v>20821</c:v>
                </c:pt>
                <c:pt idx="33">
                  <c:v>7443</c:v>
                </c:pt>
                <c:pt idx="34">
                  <c:v>5054</c:v>
                </c:pt>
                <c:pt idx="35">
                  <c:v>8173</c:v>
                </c:pt>
                <c:pt idx="36">
                  <c:v>7003</c:v>
                </c:pt>
                <c:pt idx="37">
                  <c:v>6222</c:v>
                </c:pt>
                <c:pt idx="38">
                  <c:v>5978</c:v>
                </c:pt>
                <c:pt idx="39">
                  <c:v>8162</c:v>
                </c:pt>
                <c:pt idx="40">
                  <c:v>8410</c:v>
                </c:pt>
                <c:pt idx="41">
                  <c:v>8630</c:v>
                </c:pt>
                <c:pt idx="42">
                  <c:v>6824</c:v>
                </c:pt>
                <c:pt idx="43">
                  <c:v>8520</c:v>
                </c:pt>
                <c:pt idx="44">
                  <c:v>8857</c:v>
                </c:pt>
                <c:pt idx="45">
                  <c:v>8535</c:v>
                </c:pt>
                <c:pt idx="46">
                  <c:v>8185</c:v>
                </c:pt>
                <c:pt idx="47">
                  <c:v>7213</c:v>
                </c:pt>
                <c:pt idx="48">
                  <c:v>6597</c:v>
                </c:pt>
                <c:pt idx="49">
                  <c:v>5421</c:v>
                </c:pt>
                <c:pt idx="50">
                  <c:v>4483</c:v>
                </c:pt>
                <c:pt idx="51">
                  <c:v>4450</c:v>
                </c:pt>
                <c:pt idx="52">
                  <c:v>3656</c:v>
                </c:pt>
                <c:pt idx="53">
                  <c:v>3963</c:v>
                </c:pt>
                <c:pt idx="54">
                  <c:v>3730</c:v>
                </c:pt>
                <c:pt idx="55">
                  <c:v>3448</c:v>
                </c:pt>
                <c:pt idx="56">
                  <c:v>3607</c:v>
                </c:pt>
                <c:pt idx="57">
                  <c:v>4231</c:v>
                </c:pt>
                <c:pt idx="58">
                  <c:v>4858</c:v>
                </c:pt>
                <c:pt idx="59">
                  <c:v>5784</c:v>
                </c:pt>
                <c:pt idx="60">
                  <c:v>6226</c:v>
                </c:pt>
                <c:pt idx="61">
                  <c:v>7287</c:v>
                </c:pt>
                <c:pt idx="62">
                  <c:v>7620</c:v>
                </c:pt>
                <c:pt idx="63">
                  <c:v>8458</c:v>
                </c:pt>
                <c:pt idx="64">
                  <c:v>9113</c:v>
                </c:pt>
                <c:pt idx="65">
                  <c:v>10156</c:v>
                </c:pt>
                <c:pt idx="66">
                  <c:v>11175</c:v>
                </c:pt>
                <c:pt idx="67">
                  <c:v>15644.999999999998</c:v>
                </c:pt>
                <c:pt idx="68">
                  <c:v>21902.999999999996</c:v>
                </c:pt>
                <c:pt idx="69">
                  <c:v>30664.199999999993</c:v>
                </c:pt>
                <c:pt idx="70">
                  <c:v>42929.87999999999</c:v>
                </c:pt>
                <c:pt idx="71">
                  <c:v>60101.83199999998</c:v>
                </c:pt>
                <c:pt idx="72">
                  <c:v>84142.564799999964</c:v>
                </c:pt>
                <c:pt idx="73">
                  <c:v>117799.59071999993</c:v>
                </c:pt>
                <c:pt idx="74">
                  <c:v>164919.42700799991</c:v>
                </c:pt>
                <c:pt idx="75">
                  <c:v>230887.19781119985</c:v>
                </c:pt>
                <c:pt idx="76">
                  <c:v>323242.07693567977</c:v>
                </c:pt>
                <c:pt idx="77">
                  <c:v>452538.90770995163</c:v>
                </c:pt>
                <c:pt idx="78">
                  <c:v>633554.47079393221</c:v>
                </c:pt>
                <c:pt idx="79">
                  <c:v>886976.259111505</c:v>
                </c:pt>
                <c:pt idx="80">
                  <c:v>1241766.7627561069</c:v>
                </c:pt>
                <c:pt idx="81">
                  <c:v>1738473.4678585497</c:v>
                </c:pt>
                <c:pt idx="82">
                  <c:v>2433862.8550019693</c:v>
                </c:pt>
                <c:pt idx="83">
                  <c:v>3407407.9970027567</c:v>
                </c:pt>
                <c:pt idx="84">
                  <c:v>4770371.1958038593</c:v>
                </c:pt>
                <c:pt idx="85">
                  <c:v>6678519.6741254022</c:v>
                </c:pt>
                <c:pt idx="86">
                  <c:v>9349927.5437755622</c:v>
                </c:pt>
                <c:pt idx="87">
                  <c:v>13089898.561285786</c:v>
                </c:pt>
                <c:pt idx="88">
                  <c:v>18325857.985800099</c:v>
                </c:pt>
                <c:pt idx="89">
                  <c:v>25656201.180120137</c:v>
                </c:pt>
                <c:pt idx="90">
                  <c:v>35918681.652168192</c:v>
                </c:pt>
                <c:pt idx="91">
                  <c:v>50286154.313035466</c:v>
                </c:pt>
                <c:pt idx="92">
                  <c:v>70400616.038249642</c:v>
                </c:pt>
                <c:pt idx="93">
                  <c:v>98560862.453549489</c:v>
                </c:pt>
                <c:pt idx="94">
                  <c:v>137985207.43496928</c:v>
                </c:pt>
                <c:pt idx="95">
                  <c:v>193179290.40895697</c:v>
                </c:pt>
                <c:pt idx="96">
                  <c:v>270451006.57253975</c:v>
                </c:pt>
                <c:pt idx="97">
                  <c:v>378631409.20155561</c:v>
                </c:pt>
                <c:pt idx="98">
                  <c:v>530083972.88217783</c:v>
                </c:pt>
                <c:pt idx="99">
                  <c:v>742117562.03504896</c:v>
                </c:pt>
                <c:pt idx="100">
                  <c:v>1038964586.8490685</c:v>
                </c:pt>
                <c:pt idx="101">
                  <c:v>1454550421.5886958</c:v>
                </c:pt>
                <c:pt idx="102">
                  <c:v>1690144088</c:v>
                </c:pt>
                <c:pt idx="103">
                  <c:v>1690144088</c:v>
                </c:pt>
                <c:pt idx="104">
                  <c:v>1690144088</c:v>
                </c:pt>
                <c:pt idx="105">
                  <c:v>1690144088</c:v>
                </c:pt>
                <c:pt idx="106">
                  <c:v>1690144088</c:v>
                </c:pt>
                <c:pt idx="107">
                  <c:v>1690144088</c:v>
                </c:pt>
                <c:pt idx="108">
                  <c:v>1690144088</c:v>
                </c:pt>
                <c:pt idx="109">
                  <c:v>1690144088</c:v>
                </c:pt>
                <c:pt idx="110">
                  <c:v>1690144088</c:v>
                </c:pt>
                <c:pt idx="111">
                  <c:v>1690144088</c:v>
                </c:pt>
                <c:pt idx="112">
                  <c:v>1690144088</c:v>
                </c:pt>
                <c:pt idx="113">
                  <c:v>1690144088</c:v>
                </c:pt>
                <c:pt idx="114">
                  <c:v>1690144088</c:v>
                </c:pt>
                <c:pt idx="115">
                  <c:v>1690144088</c:v>
                </c:pt>
                <c:pt idx="116">
                  <c:v>1690144088</c:v>
                </c:pt>
                <c:pt idx="117">
                  <c:v>1690144088</c:v>
                </c:pt>
                <c:pt idx="118">
                  <c:v>1690144088</c:v>
                </c:pt>
                <c:pt idx="119">
                  <c:v>1690144088</c:v>
                </c:pt>
                <c:pt idx="120">
                  <c:v>1690144088</c:v>
                </c:pt>
                <c:pt idx="121">
                  <c:v>1690144088</c:v>
                </c:pt>
                <c:pt idx="122">
                  <c:v>1690144088</c:v>
                </c:pt>
                <c:pt idx="123">
                  <c:v>1690144088</c:v>
                </c:pt>
                <c:pt idx="124">
                  <c:v>1690144088</c:v>
                </c:pt>
                <c:pt idx="125">
                  <c:v>1690144088</c:v>
                </c:pt>
                <c:pt idx="126">
                  <c:v>1690144088</c:v>
                </c:pt>
                <c:pt idx="127">
                  <c:v>1690144088</c:v>
                </c:pt>
                <c:pt idx="128">
                  <c:v>1690144088</c:v>
                </c:pt>
                <c:pt idx="129">
                  <c:v>1690144088</c:v>
                </c:pt>
                <c:pt idx="130">
                  <c:v>1690144088</c:v>
                </c:pt>
                <c:pt idx="131">
                  <c:v>1690144088</c:v>
                </c:pt>
                <c:pt idx="132">
                  <c:v>1690144088</c:v>
                </c:pt>
                <c:pt idx="133">
                  <c:v>1690144088</c:v>
                </c:pt>
                <c:pt idx="134">
                  <c:v>1690144088</c:v>
                </c:pt>
                <c:pt idx="135">
                  <c:v>1690144088</c:v>
                </c:pt>
                <c:pt idx="136">
                  <c:v>1690144088</c:v>
                </c:pt>
                <c:pt idx="137">
                  <c:v>1690144088</c:v>
                </c:pt>
                <c:pt idx="138">
                  <c:v>1690144088</c:v>
                </c:pt>
                <c:pt idx="139">
                  <c:v>1690144088</c:v>
                </c:pt>
                <c:pt idx="140">
                  <c:v>1690144088</c:v>
                </c:pt>
                <c:pt idx="141">
                  <c:v>1690144088</c:v>
                </c:pt>
                <c:pt idx="142">
                  <c:v>1690144088</c:v>
                </c:pt>
                <c:pt idx="143">
                  <c:v>1690144088</c:v>
                </c:pt>
                <c:pt idx="144">
                  <c:v>1690144088</c:v>
                </c:pt>
                <c:pt idx="145">
                  <c:v>1690144088</c:v>
                </c:pt>
                <c:pt idx="146">
                  <c:v>1690144088</c:v>
                </c:pt>
                <c:pt idx="147">
                  <c:v>1690144088</c:v>
                </c:pt>
                <c:pt idx="148">
                  <c:v>1690144088</c:v>
                </c:pt>
                <c:pt idx="149">
                  <c:v>1690144088</c:v>
                </c:pt>
                <c:pt idx="150">
                  <c:v>1690144088</c:v>
                </c:pt>
                <c:pt idx="151">
                  <c:v>1690144088</c:v>
                </c:pt>
                <c:pt idx="152">
                  <c:v>1690144088</c:v>
                </c:pt>
                <c:pt idx="153">
                  <c:v>1690144088</c:v>
                </c:pt>
                <c:pt idx="154">
                  <c:v>1690144088</c:v>
                </c:pt>
                <c:pt idx="155">
                  <c:v>1690144088</c:v>
                </c:pt>
                <c:pt idx="156">
                  <c:v>1690144088</c:v>
                </c:pt>
                <c:pt idx="157">
                  <c:v>1690144088</c:v>
                </c:pt>
                <c:pt idx="158">
                  <c:v>1690144088</c:v>
                </c:pt>
                <c:pt idx="159">
                  <c:v>1690144088</c:v>
                </c:pt>
                <c:pt idx="160">
                  <c:v>1690144088</c:v>
                </c:pt>
                <c:pt idx="161">
                  <c:v>1690144088</c:v>
                </c:pt>
                <c:pt idx="162">
                  <c:v>1690144088</c:v>
                </c:pt>
                <c:pt idx="163">
                  <c:v>1690144088</c:v>
                </c:pt>
                <c:pt idx="164">
                  <c:v>1690144088</c:v>
                </c:pt>
                <c:pt idx="165">
                  <c:v>1690144088</c:v>
                </c:pt>
                <c:pt idx="166">
                  <c:v>1690144088</c:v>
                </c:pt>
                <c:pt idx="167">
                  <c:v>1690144088</c:v>
                </c:pt>
                <c:pt idx="168">
                  <c:v>1690144088</c:v>
                </c:pt>
                <c:pt idx="169">
                  <c:v>1690144088</c:v>
                </c:pt>
                <c:pt idx="170">
                  <c:v>1690144088</c:v>
                </c:pt>
                <c:pt idx="171">
                  <c:v>1690144088</c:v>
                </c:pt>
                <c:pt idx="172">
                  <c:v>1690144088</c:v>
                </c:pt>
                <c:pt idx="173">
                  <c:v>1690144088</c:v>
                </c:pt>
                <c:pt idx="174">
                  <c:v>1690144088</c:v>
                </c:pt>
                <c:pt idx="175">
                  <c:v>1690144088</c:v>
                </c:pt>
                <c:pt idx="176">
                  <c:v>1690144088</c:v>
                </c:pt>
                <c:pt idx="177">
                  <c:v>1690144088</c:v>
                </c:pt>
                <c:pt idx="178">
                  <c:v>1690144088</c:v>
                </c:pt>
                <c:pt idx="179">
                  <c:v>1690144088</c:v>
                </c:pt>
                <c:pt idx="180">
                  <c:v>1690144088</c:v>
                </c:pt>
                <c:pt idx="181">
                  <c:v>1690144088</c:v>
                </c:pt>
                <c:pt idx="182">
                  <c:v>1690144088</c:v>
                </c:pt>
                <c:pt idx="183">
                  <c:v>1690144088</c:v>
                </c:pt>
                <c:pt idx="184">
                  <c:v>1690144088</c:v>
                </c:pt>
                <c:pt idx="185">
                  <c:v>1690144088</c:v>
                </c:pt>
                <c:pt idx="186">
                  <c:v>1690144088</c:v>
                </c:pt>
                <c:pt idx="187">
                  <c:v>1690144088</c:v>
                </c:pt>
                <c:pt idx="188">
                  <c:v>1690144088</c:v>
                </c:pt>
                <c:pt idx="189">
                  <c:v>1690144088</c:v>
                </c:pt>
                <c:pt idx="190">
                  <c:v>1690144088</c:v>
                </c:pt>
                <c:pt idx="191">
                  <c:v>1690144088</c:v>
                </c:pt>
                <c:pt idx="192">
                  <c:v>1690144088</c:v>
                </c:pt>
                <c:pt idx="193">
                  <c:v>1690144088</c:v>
                </c:pt>
                <c:pt idx="194">
                  <c:v>1690144088</c:v>
                </c:pt>
                <c:pt idx="195">
                  <c:v>1690144088</c:v>
                </c:pt>
                <c:pt idx="196">
                  <c:v>1690144088</c:v>
                </c:pt>
                <c:pt idx="197">
                  <c:v>1690144088</c:v>
                </c:pt>
                <c:pt idx="198">
                  <c:v>1690144088</c:v>
                </c:pt>
                <c:pt idx="199">
                  <c:v>1690144088</c:v>
                </c:pt>
                <c:pt idx="200">
                  <c:v>1690144088</c:v>
                </c:pt>
                <c:pt idx="201">
                  <c:v>1690144088</c:v>
                </c:pt>
                <c:pt idx="202">
                  <c:v>1690144088</c:v>
                </c:pt>
                <c:pt idx="203">
                  <c:v>1690144088</c:v>
                </c:pt>
                <c:pt idx="204">
                  <c:v>1690144088</c:v>
                </c:pt>
                <c:pt idx="205">
                  <c:v>1690144088</c:v>
                </c:pt>
                <c:pt idx="206">
                  <c:v>1690144088</c:v>
                </c:pt>
                <c:pt idx="207">
                  <c:v>1690144088</c:v>
                </c:pt>
                <c:pt idx="208">
                  <c:v>1690144088</c:v>
                </c:pt>
                <c:pt idx="209">
                  <c:v>1690144088</c:v>
                </c:pt>
                <c:pt idx="210">
                  <c:v>1690144088</c:v>
                </c:pt>
                <c:pt idx="211">
                  <c:v>1690144088</c:v>
                </c:pt>
                <c:pt idx="212">
                  <c:v>1690144088</c:v>
                </c:pt>
                <c:pt idx="213">
                  <c:v>1690144088</c:v>
                </c:pt>
                <c:pt idx="214">
                  <c:v>1690144088</c:v>
                </c:pt>
                <c:pt idx="215">
                  <c:v>1690144088</c:v>
                </c:pt>
                <c:pt idx="216">
                  <c:v>1690144088</c:v>
                </c:pt>
                <c:pt idx="217">
                  <c:v>1690144088</c:v>
                </c:pt>
                <c:pt idx="218">
                  <c:v>1690144088</c:v>
                </c:pt>
                <c:pt idx="219">
                  <c:v>1690144088</c:v>
                </c:pt>
                <c:pt idx="220">
                  <c:v>1690144088</c:v>
                </c:pt>
                <c:pt idx="221">
                  <c:v>1690144088</c:v>
                </c:pt>
                <c:pt idx="222">
                  <c:v>1690144088</c:v>
                </c:pt>
                <c:pt idx="223">
                  <c:v>1690144088</c:v>
                </c:pt>
                <c:pt idx="224">
                  <c:v>1690144088</c:v>
                </c:pt>
                <c:pt idx="225">
                  <c:v>1690144088</c:v>
                </c:pt>
                <c:pt idx="226">
                  <c:v>1690144088</c:v>
                </c:pt>
                <c:pt idx="227">
                  <c:v>1690144088</c:v>
                </c:pt>
                <c:pt idx="228">
                  <c:v>1690144088</c:v>
                </c:pt>
                <c:pt idx="229">
                  <c:v>1690144088</c:v>
                </c:pt>
                <c:pt idx="230">
                  <c:v>1690144088</c:v>
                </c:pt>
                <c:pt idx="231">
                  <c:v>1690144088</c:v>
                </c:pt>
                <c:pt idx="232">
                  <c:v>1690144088</c:v>
                </c:pt>
                <c:pt idx="233">
                  <c:v>1690144088</c:v>
                </c:pt>
                <c:pt idx="234">
                  <c:v>1690144088</c:v>
                </c:pt>
                <c:pt idx="235">
                  <c:v>1690144088</c:v>
                </c:pt>
                <c:pt idx="236">
                  <c:v>1690144088</c:v>
                </c:pt>
                <c:pt idx="237">
                  <c:v>1690144088</c:v>
                </c:pt>
                <c:pt idx="238">
                  <c:v>1690144088</c:v>
                </c:pt>
                <c:pt idx="239">
                  <c:v>1690144088</c:v>
                </c:pt>
                <c:pt idx="240">
                  <c:v>1690144088</c:v>
                </c:pt>
                <c:pt idx="241">
                  <c:v>1690144088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B77-41EE-A5F2-80C01F3CAFDE}"/>
            </c:ext>
          </c:extLst>
        </c:ser>
        <c:ser>
          <c:idx val="9"/>
          <c:order val="6"/>
          <c:tx>
            <c:strRef>
              <c:f>Projections_Data!$F$27</c:f>
              <c:strCache>
                <c:ptCount val="1"/>
                <c:pt idx="0">
                  <c:v>Schools shut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00"/>
            <c:spPr>
              <a:noFill/>
              <a:ln w="38100" cap="flat" cmpd="sng" algn="ctr">
                <a:solidFill>
                  <a:srgbClr val="FF000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Projections_Data!$G$27:$IN$27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B77-41EE-A5F2-80C01F3CAFDE}"/>
            </c:ext>
          </c:extLst>
        </c:ser>
        <c:ser>
          <c:idx val="10"/>
          <c:order val="7"/>
          <c:tx>
            <c:strRef>
              <c:f>Projections_Data!$F$28</c:f>
              <c:strCache>
                <c:ptCount val="1"/>
                <c:pt idx="0">
                  <c:v>Social distancing implemented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"/>
            <c:spPr>
              <a:noFill/>
              <a:ln w="38100" cap="flat" cmpd="sng" algn="ctr">
                <a:solidFill>
                  <a:srgbClr val="FFC00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Projections_Data!$G$28:$IN$28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B77-41EE-A5F2-80C01F3CAFDE}"/>
            </c:ext>
          </c:extLst>
        </c:ser>
        <c:ser>
          <c:idx val="7"/>
          <c:order val="8"/>
          <c:tx>
            <c:strRef>
              <c:f>Projections_Data!$F$8</c:f>
              <c:strCache>
                <c:ptCount val="1"/>
                <c:pt idx="0">
                  <c:v>Active cases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Projections_Data!$G$8:$IN$8</c:f>
              <c:numCache>
                <c:formatCode>_-* #,##0_-;\-* #,##0_-;_-* "-"??_-;_-@_-</c:formatCode>
                <c:ptCount val="242"/>
                <c:pt idx="0">
                  <c:v>554</c:v>
                </c:pt>
                <c:pt idx="1">
                  <c:v>652</c:v>
                </c:pt>
                <c:pt idx="2">
                  <c:v>928</c:v>
                </c:pt>
                <c:pt idx="3">
                  <c:v>1404</c:v>
                </c:pt>
                <c:pt idx="4">
                  <c:v>2066</c:v>
                </c:pt>
                <c:pt idx="5">
                  <c:v>2846</c:v>
                </c:pt>
                <c:pt idx="6">
                  <c:v>5443</c:v>
                </c:pt>
                <c:pt idx="7">
                  <c:v>6022</c:v>
                </c:pt>
                <c:pt idx="8">
                  <c:v>8049</c:v>
                </c:pt>
                <c:pt idx="9">
                  <c:v>9690</c:v>
                </c:pt>
                <c:pt idx="10">
                  <c:v>11746</c:v>
                </c:pt>
                <c:pt idx="11">
                  <c:v>15281</c:v>
                </c:pt>
                <c:pt idx="12">
                  <c:v>18664</c:v>
                </c:pt>
                <c:pt idx="13">
                  <c:v>22153</c:v>
                </c:pt>
                <c:pt idx="14">
                  <c:v>25147</c:v>
                </c:pt>
                <c:pt idx="15">
                  <c:v>27387</c:v>
                </c:pt>
                <c:pt idx="16">
                  <c:v>29934</c:v>
                </c:pt>
                <c:pt idx="17">
                  <c:v>28155</c:v>
                </c:pt>
                <c:pt idx="18">
                  <c:v>32519</c:v>
                </c:pt>
                <c:pt idx="19">
                  <c:v>31472</c:v>
                </c:pt>
                <c:pt idx="20">
                  <c:v>32154</c:v>
                </c:pt>
                <c:pt idx="21">
                  <c:v>35297</c:v>
                </c:pt>
                <c:pt idx="22">
                  <c:v>37719</c:v>
                </c:pt>
                <c:pt idx="23">
                  <c:v>42633</c:v>
                </c:pt>
                <c:pt idx="24">
                  <c:v>39707</c:v>
                </c:pt>
                <c:pt idx="25">
                  <c:v>38329</c:v>
                </c:pt>
                <c:pt idx="26">
                  <c:v>37659</c:v>
                </c:pt>
                <c:pt idx="27">
                  <c:v>35508</c:v>
                </c:pt>
                <c:pt idx="28">
                  <c:v>33992</c:v>
                </c:pt>
                <c:pt idx="29">
                  <c:v>31196</c:v>
                </c:pt>
                <c:pt idx="30">
                  <c:v>29851</c:v>
                </c:pt>
                <c:pt idx="31">
                  <c:v>29897</c:v>
                </c:pt>
                <c:pt idx="32">
                  <c:v>20821</c:v>
                </c:pt>
                <c:pt idx="33">
                  <c:v>7443</c:v>
                </c:pt>
                <c:pt idx="34">
                  <c:v>5054</c:v>
                </c:pt>
                <c:pt idx="35">
                  <c:v>8173</c:v>
                </c:pt>
                <c:pt idx="36">
                  <c:v>7003</c:v>
                </c:pt>
                <c:pt idx="37">
                  <c:v>6222</c:v>
                </c:pt>
                <c:pt idx="38">
                  <c:v>5978</c:v>
                </c:pt>
                <c:pt idx="39">
                  <c:v>8162</c:v>
                </c:pt>
                <c:pt idx="40">
                  <c:v>8410</c:v>
                </c:pt>
                <c:pt idx="41">
                  <c:v>8630</c:v>
                </c:pt>
                <c:pt idx="42">
                  <c:v>6824</c:v>
                </c:pt>
                <c:pt idx="43">
                  <c:v>8520</c:v>
                </c:pt>
                <c:pt idx="44">
                  <c:v>8857</c:v>
                </c:pt>
                <c:pt idx="45">
                  <c:v>8535</c:v>
                </c:pt>
                <c:pt idx="46">
                  <c:v>8185</c:v>
                </c:pt>
                <c:pt idx="47">
                  <c:v>7213</c:v>
                </c:pt>
                <c:pt idx="48">
                  <c:v>6597</c:v>
                </c:pt>
                <c:pt idx="49">
                  <c:v>5421</c:v>
                </c:pt>
                <c:pt idx="50">
                  <c:v>4483</c:v>
                </c:pt>
                <c:pt idx="51">
                  <c:v>4450</c:v>
                </c:pt>
                <c:pt idx="52">
                  <c:v>3656</c:v>
                </c:pt>
                <c:pt idx="53">
                  <c:v>3963</c:v>
                </c:pt>
                <c:pt idx="54">
                  <c:v>3730</c:v>
                </c:pt>
                <c:pt idx="55">
                  <c:v>3448</c:v>
                </c:pt>
                <c:pt idx="56">
                  <c:v>3607</c:v>
                </c:pt>
                <c:pt idx="57">
                  <c:v>4231</c:v>
                </c:pt>
                <c:pt idx="58">
                  <c:v>4858</c:v>
                </c:pt>
                <c:pt idx="59">
                  <c:v>5784</c:v>
                </c:pt>
                <c:pt idx="60">
                  <c:v>6226</c:v>
                </c:pt>
                <c:pt idx="61">
                  <c:v>7287</c:v>
                </c:pt>
                <c:pt idx="62">
                  <c:v>7620</c:v>
                </c:pt>
                <c:pt idx="63">
                  <c:v>8458</c:v>
                </c:pt>
                <c:pt idx="64">
                  <c:v>9113</c:v>
                </c:pt>
                <c:pt idx="65">
                  <c:v>10156</c:v>
                </c:pt>
                <c:pt idx="66">
                  <c:v>11175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2B-4CE8-970A-B2E080C52B48}"/>
            </c:ext>
          </c:extLst>
        </c:ser>
        <c:ser>
          <c:idx val="1"/>
          <c:order val="9"/>
          <c:tx>
            <c:strRef>
              <c:f>Projections_Data!$F$6</c:f>
              <c:strCache>
                <c:ptCount val="1"/>
                <c:pt idx="0">
                  <c:v>Total deaths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Projections_Data!$G$6:$IN$6</c:f>
              <c:numCache>
                <c:formatCode>_-* #,##0_-;\-* #,##0_-;_-* "-"??_-;_-@_-</c:formatCode>
                <c:ptCount val="242"/>
                <c:pt idx="0">
                  <c:v>17</c:v>
                </c:pt>
                <c:pt idx="1">
                  <c:v>18</c:v>
                </c:pt>
                <c:pt idx="2">
                  <c:v>26</c:v>
                </c:pt>
                <c:pt idx="3">
                  <c:v>42</c:v>
                </c:pt>
                <c:pt idx="4">
                  <c:v>56</c:v>
                </c:pt>
                <c:pt idx="5">
                  <c:v>82</c:v>
                </c:pt>
                <c:pt idx="6">
                  <c:v>131</c:v>
                </c:pt>
                <c:pt idx="7">
                  <c:v>133</c:v>
                </c:pt>
                <c:pt idx="8">
                  <c:v>171</c:v>
                </c:pt>
                <c:pt idx="9">
                  <c:v>213</c:v>
                </c:pt>
                <c:pt idx="10">
                  <c:v>259</c:v>
                </c:pt>
                <c:pt idx="11">
                  <c:v>362</c:v>
                </c:pt>
                <c:pt idx="12">
                  <c:v>426</c:v>
                </c:pt>
                <c:pt idx="13">
                  <c:v>492</c:v>
                </c:pt>
                <c:pt idx="14">
                  <c:v>564</c:v>
                </c:pt>
                <c:pt idx="15">
                  <c:v>634</c:v>
                </c:pt>
                <c:pt idx="16">
                  <c:v>719</c:v>
                </c:pt>
                <c:pt idx="17">
                  <c:v>806</c:v>
                </c:pt>
                <c:pt idx="18">
                  <c:v>906</c:v>
                </c:pt>
                <c:pt idx="19">
                  <c:v>1013</c:v>
                </c:pt>
                <c:pt idx="20">
                  <c:v>1113</c:v>
                </c:pt>
                <c:pt idx="21">
                  <c:v>1118</c:v>
                </c:pt>
                <c:pt idx="22">
                  <c:v>1371</c:v>
                </c:pt>
                <c:pt idx="23">
                  <c:v>1523</c:v>
                </c:pt>
                <c:pt idx="24">
                  <c:v>1665</c:v>
                </c:pt>
                <c:pt idx="25">
                  <c:v>1769</c:v>
                </c:pt>
                <c:pt idx="26">
                  <c:v>1867</c:v>
                </c:pt>
                <c:pt idx="27">
                  <c:v>2006</c:v>
                </c:pt>
                <c:pt idx="28">
                  <c:v>2119</c:v>
                </c:pt>
                <c:pt idx="29">
                  <c:v>2242</c:v>
                </c:pt>
                <c:pt idx="30">
                  <c:v>2243</c:v>
                </c:pt>
                <c:pt idx="31">
                  <c:v>2448</c:v>
                </c:pt>
                <c:pt idx="32">
                  <c:v>2454</c:v>
                </c:pt>
                <c:pt idx="33">
                  <c:v>2606</c:v>
                </c:pt>
                <c:pt idx="34">
                  <c:v>2678</c:v>
                </c:pt>
                <c:pt idx="35">
                  <c:v>2733</c:v>
                </c:pt>
                <c:pt idx="36">
                  <c:v>2765</c:v>
                </c:pt>
                <c:pt idx="37">
                  <c:v>2809</c:v>
                </c:pt>
                <c:pt idx="38">
                  <c:v>2860</c:v>
                </c:pt>
                <c:pt idx="39">
                  <c:v>2898</c:v>
                </c:pt>
                <c:pt idx="40">
                  <c:v>2951</c:v>
                </c:pt>
                <c:pt idx="41">
                  <c:v>2984</c:v>
                </c:pt>
                <c:pt idx="42">
                  <c:v>3027</c:v>
                </c:pt>
                <c:pt idx="43">
                  <c:v>3059</c:v>
                </c:pt>
                <c:pt idx="44">
                  <c:v>3095</c:v>
                </c:pt>
                <c:pt idx="45">
                  <c:v>3125</c:v>
                </c:pt>
                <c:pt idx="46">
                  <c:v>3159</c:v>
                </c:pt>
                <c:pt idx="47">
                  <c:v>3189</c:v>
                </c:pt>
                <c:pt idx="48">
                  <c:v>3206</c:v>
                </c:pt>
                <c:pt idx="49">
                  <c:v>3241</c:v>
                </c:pt>
                <c:pt idx="50">
                  <c:v>3260</c:v>
                </c:pt>
                <c:pt idx="51">
                  <c:v>3279</c:v>
                </c:pt>
                <c:pt idx="52">
                  <c:v>3305</c:v>
                </c:pt>
                <c:pt idx="53">
                  <c:v>3321</c:v>
                </c:pt>
                <c:pt idx="54">
                  <c:v>3341</c:v>
                </c:pt>
                <c:pt idx="55">
                  <c:v>3365</c:v>
                </c:pt>
                <c:pt idx="56">
                  <c:v>3401</c:v>
                </c:pt>
                <c:pt idx="57">
                  <c:v>3424</c:v>
                </c:pt>
                <c:pt idx="58">
                  <c:v>3450</c:v>
                </c:pt>
                <c:pt idx="59">
                  <c:v>3473</c:v>
                </c:pt>
                <c:pt idx="60">
                  <c:v>3530</c:v>
                </c:pt>
                <c:pt idx="61">
                  <c:v>3549</c:v>
                </c:pt>
                <c:pt idx="62">
                  <c:v>3581</c:v>
                </c:pt>
                <c:pt idx="63">
                  <c:v>3610</c:v>
                </c:pt>
                <c:pt idx="64">
                  <c:v>3664</c:v>
                </c:pt>
                <c:pt idx="65">
                  <c:v>3704</c:v>
                </c:pt>
                <c:pt idx="66">
                  <c:v>3754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220-4808-8A8C-44C61EFFD6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636560"/>
        <c:axId val="103897856"/>
      </c:lineChart>
      <c:lineChart>
        <c:grouping val="standard"/>
        <c:varyColors val="0"/>
        <c:ser>
          <c:idx val="5"/>
          <c:order val="4"/>
          <c:tx>
            <c:strRef>
              <c:f>Projections_Data!$F$16</c:f>
              <c:strCache>
                <c:ptCount val="1"/>
                <c:pt idx="0">
                  <c:v>Rate of increase - cases</c:v>
                </c:pt>
              </c:strCache>
            </c:strRef>
          </c:tx>
          <c:spPr>
            <a:ln w="444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Projections_Data!$G$16:$IN$16</c:f>
              <c:numCache>
                <c:formatCode>0.0%</c:formatCode>
                <c:ptCount val="242"/>
                <c:pt idx="0">
                  <c:v>0.17689530685920585</c:v>
                </c:pt>
                <c:pt idx="1">
                  <c:v>0.17689530685920585</c:v>
                </c:pt>
                <c:pt idx="2">
                  <c:v>0.21601446382203005</c:v>
                </c:pt>
                <c:pt idx="3">
                  <c:v>0.27817832564725359</c:v>
                </c:pt>
                <c:pt idx="4">
                  <c:v>0.34909624349414276</c:v>
                </c:pt>
                <c:pt idx="5">
                  <c:v>0.38008498182885653</c:v>
                </c:pt>
                <c:pt idx="6">
                  <c:v>0.43518451950331255</c:v>
                </c:pt>
                <c:pt idx="7">
                  <c:v>0.4564944044736623</c:v>
                </c:pt>
                <c:pt idx="8">
                  <c:v>0.46675336135792483</c:v>
                </c:pt>
                <c:pt idx="9">
                  <c:v>0.41125590950771373</c:v>
                </c:pt>
                <c:pt idx="10">
                  <c:v>0.36932799547157763</c:v>
                </c:pt>
                <c:pt idx="11">
                  <c:v>0.30643390955398425</c:v>
                </c:pt>
                <c:pt idx="12">
                  <c:v>0.27032646560835832</c:v>
                </c:pt>
                <c:pt idx="13">
                  <c:v>0.23587538616123868</c:v>
                </c:pt>
                <c:pt idx="14">
                  <c:v>0.22948127206645882</c:v>
                </c:pt>
                <c:pt idx="15">
                  <c:v>0.20635387317280643</c:v>
                </c:pt>
                <c:pt idx="16">
                  <c:v>0.17951939044729745</c:v>
                </c:pt>
                <c:pt idx="17">
                  <c:v>0.13804257210792037</c:v>
                </c:pt>
                <c:pt idx="18">
                  <c:v>0.10314437907661526</c:v>
                </c:pt>
                <c:pt idx="19">
                  <c:v>7.0462918535254992E-2</c:v>
                </c:pt>
                <c:pt idx="20">
                  <c:v>5.2767395235037151E-2</c:v>
                </c:pt>
                <c:pt idx="21">
                  <c:v>3.7339321682784345E-2</c:v>
                </c:pt>
                <c:pt idx="22">
                  <c:v>4.2118702712429533E-2</c:v>
                </c:pt>
                <c:pt idx="23">
                  <c:v>4.9798740546584584E-2</c:v>
                </c:pt>
                <c:pt idx="24">
                  <c:v>5.4489884061011441E-2</c:v>
                </c:pt>
                <c:pt idx="25">
                  <c:v>4.6332026896534449E-2</c:v>
                </c:pt>
                <c:pt idx="26">
                  <c:v>3.2126934895509475E-2</c:v>
                </c:pt>
                <c:pt idx="27">
                  <c:v>1.2263017500309115E-2</c:v>
                </c:pt>
                <c:pt idx="28">
                  <c:v>-1.4419782713573767E-2</c:v>
                </c:pt>
                <c:pt idx="29">
                  <c:v>-3.4466843329293471E-2</c:v>
                </c:pt>
                <c:pt idx="30">
                  <c:v>-4.6720135995549174E-2</c:v>
                </c:pt>
                <c:pt idx="31">
                  <c:v>-4.6994652416940265E-2</c:v>
                </c:pt>
                <c:pt idx="32">
                  <c:v>-6.5046591607467688E-2</c:v>
                </c:pt>
                <c:pt idx="33">
                  <c:v>-0.13611366042419093</c:v>
                </c:pt>
                <c:pt idx="34">
                  <c:v>-0.22278386099966374</c:v>
                </c:pt>
                <c:pt idx="35">
                  <c:v>-0.26510988268699359</c:v>
                </c:pt>
                <c:pt idx="36">
                  <c:v>-0.26176963321221386</c:v>
                </c:pt>
                <c:pt idx="37">
                  <c:v>-0.23159808366380361</c:v>
                </c:pt>
                <c:pt idx="38">
                  <c:v>-0.16981628985031264</c:v>
                </c:pt>
                <c:pt idx="39">
                  <c:v>-5.2297677876295356E-2</c:v>
                </c:pt>
                <c:pt idx="40">
                  <c:v>2.1149951174373016E-2</c:v>
                </c:pt>
                <c:pt idx="41">
                  <c:v>4.9668917748538911E-2</c:v>
                </c:pt>
                <c:pt idx="42">
                  <c:v>2.2347425901761753E-2</c:v>
                </c:pt>
                <c:pt idx="43">
                  <c:v>4.4915417323512154E-2</c:v>
                </c:pt>
                <c:pt idx="44">
                  <c:v>3.6186007795819451E-2</c:v>
                </c:pt>
                <c:pt idx="45">
                  <c:v>3.0956877803989407E-2</c:v>
                </c:pt>
                <c:pt idx="46">
                  <c:v>2.966932587608162E-3</c:v>
                </c:pt>
                <c:pt idx="47">
                  <c:v>1.190753391645057E-3</c:v>
                </c:pt>
                <c:pt idx="48">
                  <c:v>-1.6418830247810916E-2</c:v>
                </c:pt>
                <c:pt idx="49">
                  <c:v>-4.4081136592155255E-2</c:v>
                </c:pt>
                <c:pt idx="50">
                  <c:v>-8.8074188939309406E-2</c:v>
                </c:pt>
                <c:pt idx="51">
                  <c:v>-0.10969806691495516</c:v>
                </c:pt>
                <c:pt idx="52">
                  <c:v>-0.12088254372728253</c:v>
                </c:pt>
                <c:pt idx="53">
                  <c:v>-0.11290622521656075</c:v>
                </c:pt>
                <c:pt idx="54">
                  <c:v>-9.8673542859177024E-2</c:v>
                </c:pt>
                <c:pt idx="55">
                  <c:v>-7.3364399757326074E-2</c:v>
                </c:pt>
                <c:pt idx="56">
                  <c:v>-5.4776018224010382E-2</c:v>
                </c:pt>
                <c:pt idx="57">
                  <c:v>-2.0878733412116213E-2</c:v>
                </c:pt>
                <c:pt idx="58">
                  <c:v>1.0024954555280038E-2</c:v>
                </c:pt>
                <c:pt idx="59">
                  <c:v>5.4303950852732395E-2</c:v>
                </c:pt>
                <c:pt idx="60">
                  <c:v>8.6240938520849797E-2</c:v>
                </c:pt>
                <c:pt idx="61">
                  <c:v>0.12272361956782933</c:v>
                </c:pt>
                <c:pt idx="62">
                  <c:v>0.1337798473947073</c:v>
                </c:pt>
                <c:pt idx="63">
                  <c:v>0.13105465078267517</c:v>
                </c:pt>
                <c:pt idx="64">
                  <c:v>0.11244432425834565</c:v>
                </c:pt>
                <c:pt idx="65">
                  <c:v>0.10509265312785294</c:v>
                </c:pt>
                <c:pt idx="66">
                  <c:v>9.5759497966783805E-2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B77-41EE-A5F2-80C01F3CAFDE}"/>
            </c:ext>
          </c:extLst>
        </c:ser>
        <c:ser>
          <c:idx val="6"/>
          <c:order val="5"/>
          <c:tx>
            <c:strRef>
              <c:f>Projections_Data!$F$17</c:f>
              <c:strCache>
                <c:ptCount val="1"/>
                <c:pt idx="0">
                  <c:v>Rate of increase - deaths</c:v>
                </c:pt>
              </c:strCache>
            </c:strRef>
          </c:tx>
          <c:spPr>
            <a:ln w="412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Projections_Data!$G$17:$IN$17</c:f>
              <c:numCache>
                <c:formatCode>0.0%</c:formatCode>
                <c:ptCount val="242"/>
                <c:pt idx="0">
                  <c:v>5.8823529411764719E-2</c:v>
                </c:pt>
                <c:pt idx="1">
                  <c:v>5.8823529411764719E-2</c:v>
                </c:pt>
                <c:pt idx="2">
                  <c:v>0.11811364787507135</c:v>
                </c:pt>
                <c:pt idx="3">
                  <c:v>0.21579427514044344</c:v>
                </c:pt>
                <c:pt idx="4">
                  <c:v>0.31192255951157549</c:v>
                </c:pt>
                <c:pt idx="5">
                  <c:v>0.35630790195103401</c:v>
                </c:pt>
                <c:pt idx="6">
                  <c:v>0.40145411210201321</c:v>
                </c:pt>
                <c:pt idx="7">
                  <c:v>0.41439787262929412</c:v>
                </c:pt>
                <c:pt idx="8">
                  <c:v>0.3991769466940735</c:v>
                </c:pt>
                <c:pt idx="9">
                  <c:v>0.33883764250940512</c:v>
                </c:pt>
                <c:pt idx="10">
                  <c:v>0.29636688813953627</c:v>
                </c:pt>
                <c:pt idx="11">
                  <c:v>0.2634468527779481</c:v>
                </c:pt>
                <c:pt idx="12">
                  <c:v>0.24873541035772853</c:v>
                </c:pt>
                <c:pt idx="13">
                  <c:v>0.24097985974082822</c:v>
                </c:pt>
                <c:pt idx="14">
                  <c:v>0.23750756152628197</c:v>
                </c:pt>
                <c:pt idx="15">
                  <c:v>0.21548148884235241</c:v>
                </c:pt>
                <c:pt idx="16">
                  <c:v>0.18606369043915497</c:v>
                </c:pt>
                <c:pt idx="17">
                  <c:v>0.1597328709448198</c:v>
                </c:pt>
                <c:pt idx="18">
                  <c:v>0.13766860119675992</c:v>
                </c:pt>
                <c:pt idx="19">
                  <c:v>0.13005222035729277</c:v>
                </c:pt>
                <c:pt idx="20">
                  <c:v>0.12442354803530405</c:v>
                </c:pt>
                <c:pt idx="21">
                  <c:v>0.11189716727172543</c:v>
                </c:pt>
                <c:pt idx="22">
                  <c:v>0.10784156373087495</c:v>
                </c:pt>
                <c:pt idx="23">
                  <c:v>0.10461997017158368</c:v>
                </c:pt>
                <c:pt idx="24">
                  <c:v>0.10868205610441269</c:v>
                </c:pt>
                <c:pt idx="25">
                  <c:v>0.10368519083288115</c:v>
                </c:pt>
                <c:pt idx="26">
                  <c:v>0.10319686310750102</c:v>
                </c:pt>
                <c:pt idx="27">
                  <c:v>9.4731750233106718E-2</c:v>
                </c:pt>
                <c:pt idx="28">
                  <c:v>8.5125727769874704E-2</c:v>
                </c:pt>
                <c:pt idx="29">
                  <c:v>6.956340666199412E-2</c:v>
                </c:pt>
                <c:pt idx="30">
                  <c:v>5.9407621159267121E-2</c:v>
                </c:pt>
                <c:pt idx="31">
                  <c:v>5.52076203713859E-2</c:v>
                </c:pt>
                <c:pt idx="32">
                  <c:v>4.8482318788280652E-2</c:v>
                </c:pt>
                <c:pt idx="33">
                  <c:v>4.6354683670078035E-2</c:v>
                </c:pt>
                <c:pt idx="34">
                  <c:v>3.9853602893510219E-2</c:v>
                </c:pt>
                <c:pt idx="35">
                  <c:v>3.9576700659078368E-2</c:v>
                </c:pt>
                <c:pt idx="36">
                  <c:v>3.3713547907699537E-2</c:v>
                </c:pt>
                <c:pt idx="37">
                  <c:v>3.0783797307543177E-2</c:v>
                </c:pt>
                <c:pt idx="38">
                  <c:v>2.3606059482200663E-2</c:v>
                </c:pt>
                <c:pt idx="39">
                  <c:v>2.0693596380006857E-2</c:v>
                </c:pt>
                <c:pt idx="40">
                  <c:v>1.6719261413184434E-2</c:v>
                </c:pt>
                <c:pt idx="41">
                  <c:v>1.5581427513524945E-2</c:v>
                </c:pt>
                <c:pt idx="42">
                  <c:v>1.5296609169855499E-2</c:v>
                </c:pt>
                <c:pt idx="43">
                  <c:v>1.4655594016158568E-2</c:v>
                </c:pt>
                <c:pt idx="44">
                  <c:v>1.3948492275984936E-2</c:v>
                </c:pt>
                <c:pt idx="45">
                  <c:v>1.2769474012869134E-2</c:v>
                </c:pt>
                <c:pt idx="46">
                  <c:v>1.2075868607784571E-2</c:v>
                </c:pt>
                <c:pt idx="47">
                  <c:v>1.1156309886529492E-2</c:v>
                </c:pt>
                <c:pt idx="48">
                  <c:v>1.0458797734568556E-2</c:v>
                </c:pt>
                <c:pt idx="49">
                  <c:v>9.7248154457411449E-3</c:v>
                </c:pt>
                <c:pt idx="50">
                  <c:v>9.0624269050439601E-3</c:v>
                </c:pt>
                <c:pt idx="51">
                  <c:v>8.4134499408270447E-3</c:v>
                </c:pt>
                <c:pt idx="52">
                  <c:v>7.716777165495718E-3</c:v>
                </c:pt>
                <c:pt idx="53">
                  <c:v>7.2430500297876082E-3</c:v>
                </c:pt>
                <c:pt idx="54">
                  <c:v>6.7802798214813276E-3</c:v>
                </c:pt>
                <c:pt idx="55">
                  <c:v>6.5099083322099904E-3</c:v>
                </c:pt>
                <c:pt idx="56">
                  <c:v>6.5964687074968609E-3</c:v>
                </c:pt>
                <c:pt idx="57">
                  <c:v>6.9309776599677519E-3</c:v>
                </c:pt>
                <c:pt idx="58">
                  <c:v>7.3611382042362283E-3</c:v>
                </c:pt>
                <c:pt idx="59">
                  <c:v>7.5100954883699318E-3</c:v>
                </c:pt>
                <c:pt idx="60">
                  <c:v>8.3501880441902241E-3</c:v>
                </c:pt>
                <c:pt idx="61">
                  <c:v>8.651817816421362E-3</c:v>
                </c:pt>
                <c:pt idx="62">
                  <c:v>9.0608236061506062E-3</c:v>
                </c:pt>
                <c:pt idx="63">
                  <c:v>8.8901491465408124E-3</c:v>
                </c:pt>
                <c:pt idx="64">
                  <c:v>9.6265482964086324E-3</c:v>
                </c:pt>
                <c:pt idx="65">
                  <c:v>9.8474461981163195E-3</c:v>
                </c:pt>
                <c:pt idx="66">
                  <c:v>1.0576307661574655E-2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B77-41EE-A5F2-80C01F3CAF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590160"/>
        <c:axId val="154531872"/>
      </c:lineChart>
      <c:dateAx>
        <c:axId val="92636560"/>
        <c:scaling>
          <c:orientation val="minMax"/>
          <c:max val="43923"/>
          <c:min val="4385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103897856"/>
        <c:crosses val="autoZero"/>
        <c:auto val="1"/>
        <c:lblOffset val="100"/>
        <c:baseTimeUnit val="days"/>
      </c:dateAx>
      <c:valAx>
        <c:axId val="103897856"/>
        <c:scaling>
          <c:orientation val="minMax"/>
          <c:max val="8526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Number of active</a:t>
                </a:r>
                <a:r>
                  <a:rPr lang="en-GB" sz="1400" baseline="0"/>
                  <a:t> cases</a:t>
                </a:r>
                <a:endParaRPr lang="en-GB" sz="1400"/>
              </a:p>
            </c:rich>
          </c:tx>
          <c:layout>
            <c:manualLayout>
              <c:xMode val="edge"/>
              <c:yMode val="edge"/>
              <c:x val="1.153275988592006E-3"/>
              <c:y val="0.238236602192852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92636560"/>
        <c:crosses val="autoZero"/>
        <c:crossBetween val="midCat"/>
      </c:valAx>
      <c:valAx>
        <c:axId val="15453187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Rate of</a:t>
                </a:r>
                <a:r>
                  <a:rPr lang="en-GB" sz="1400" baseline="0"/>
                  <a:t> increase</a:t>
                </a:r>
                <a:endParaRPr lang="en-GB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92590160"/>
        <c:crosses val="max"/>
        <c:crossBetween val="between"/>
      </c:valAx>
      <c:dateAx>
        <c:axId val="9259016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4531872"/>
        <c:crosses val="autoZero"/>
        <c:auto val="1"/>
        <c:lblOffset val="100"/>
        <c:baseTimeUnit val="days"/>
      </c:date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ayout>
        <c:manualLayout>
          <c:xMode val="edge"/>
          <c:yMode val="edge"/>
          <c:x val="0"/>
          <c:y val="0.88149463791901794"/>
          <c:w val="1"/>
          <c:h val="0.118505397593963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Projections_Data!$F$19</c:f>
              <c:strCache>
                <c:ptCount val="1"/>
                <c:pt idx="0">
                  <c:v>Critical care beds</c:v>
                </c:pt>
              </c:strCache>
            </c:strRef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Lbl>
              <c:idx val="3"/>
              <c:layout>
                <c:manualLayout>
                  <c:x val="-4.6447178468413092E-2"/>
                  <c:y val="-4.2722231862383116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baseline="0">
                        <a:solidFill>
                          <a:srgbClr val="FF0000"/>
                        </a:solidFill>
                        <a:latin typeface="Verdana" panose="020B0604030504040204" pitchFamily="34" charset="0"/>
                        <a:ea typeface="Verdana" panose="020B0604030504040204" pitchFamily="34" charset="0"/>
                        <a:cs typeface="+mn-cs"/>
                      </a:defRPr>
                    </a:pPr>
                    <a:fld id="{42F7F552-CE0C-45F2-9003-48558C90C855}" type="SERIESNAME">
                      <a:rPr lang="en-US" sz="1200" b="0">
                        <a:solidFill>
                          <a:srgbClr val="FF0000"/>
                        </a:solidFill>
                      </a:rPr>
                      <a:pPr>
                        <a:defRPr sz="1000" b="1">
                          <a:solidFill>
                            <a:srgbClr val="FF0000"/>
                          </a:solidFill>
                        </a:defRPr>
                      </a:pPr>
                      <a:t>[SERIES NAME]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rgbClr val="FF0000"/>
                      </a:solidFill>
                      <a:latin typeface="Verdana" panose="020B0604030504040204" pitchFamily="34" charset="0"/>
                      <a:ea typeface="Verdana" panose="020B0604030504040204" pitchFamily="34" charset="0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72FA-41DF-9367-019F80D7803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Projections_Data!$G$19:$IN$19</c:f>
              <c:numCache>
                <c:formatCode>_-* #,##0_-;\-* #,##0_-;_-* "-"??_-;_-@_-</c:formatCode>
                <c:ptCount val="24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FA-41DF-9367-019F80D7803E}"/>
            </c:ext>
          </c:extLst>
        </c:ser>
        <c:ser>
          <c:idx val="2"/>
          <c:order val="1"/>
          <c:tx>
            <c:strRef>
              <c:f>Projections_Data!$F$21</c:f>
              <c:strCache>
                <c:ptCount val="1"/>
                <c:pt idx="0">
                  <c:v>10% increase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Projections_Data!$G$21:$IN$21</c:f>
              <c:numCache>
                <c:formatCode>_-* #,##0_-;\-* #,##0_-;_-* "-"??_-;_-@_-</c:formatCode>
                <c:ptCount val="242"/>
                <c:pt idx="0">
                  <c:v>26.038</c:v>
                </c:pt>
                <c:pt idx="1">
                  <c:v>30.643999999999998</c:v>
                </c:pt>
                <c:pt idx="2">
                  <c:v>43.616</c:v>
                </c:pt>
                <c:pt idx="3">
                  <c:v>65.988</c:v>
                </c:pt>
                <c:pt idx="4">
                  <c:v>97.102000000000004</c:v>
                </c:pt>
                <c:pt idx="5">
                  <c:v>133.762</c:v>
                </c:pt>
                <c:pt idx="6">
                  <c:v>255.821</c:v>
                </c:pt>
                <c:pt idx="7">
                  <c:v>283.03399999999999</c:v>
                </c:pt>
                <c:pt idx="8">
                  <c:v>378.303</c:v>
                </c:pt>
                <c:pt idx="9">
                  <c:v>455.43</c:v>
                </c:pt>
                <c:pt idx="10">
                  <c:v>552.06200000000001</c:v>
                </c:pt>
                <c:pt idx="11">
                  <c:v>718.20699999999999</c:v>
                </c:pt>
                <c:pt idx="12">
                  <c:v>877.20799999999997</c:v>
                </c:pt>
                <c:pt idx="13">
                  <c:v>1041.191</c:v>
                </c:pt>
                <c:pt idx="14">
                  <c:v>1181.9090000000001</c:v>
                </c:pt>
                <c:pt idx="15">
                  <c:v>1287.1890000000001</c:v>
                </c:pt>
                <c:pt idx="16">
                  <c:v>1406.8979999999999</c:v>
                </c:pt>
                <c:pt idx="17">
                  <c:v>1323.2850000000001</c:v>
                </c:pt>
                <c:pt idx="18">
                  <c:v>1528.393</c:v>
                </c:pt>
                <c:pt idx="19">
                  <c:v>1479.184</c:v>
                </c:pt>
                <c:pt idx="20">
                  <c:v>1511.2380000000001</c:v>
                </c:pt>
                <c:pt idx="21">
                  <c:v>1658.9590000000001</c:v>
                </c:pt>
                <c:pt idx="22">
                  <c:v>1772.7929999999999</c:v>
                </c:pt>
                <c:pt idx="23">
                  <c:v>2003.751</c:v>
                </c:pt>
                <c:pt idx="24">
                  <c:v>1866.229</c:v>
                </c:pt>
                <c:pt idx="25">
                  <c:v>1801.463</c:v>
                </c:pt>
                <c:pt idx="26">
                  <c:v>1769.973</c:v>
                </c:pt>
                <c:pt idx="27">
                  <c:v>1668.876</c:v>
                </c:pt>
                <c:pt idx="28">
                  <c:v>1597.624</c:v>
                </c:pt>
                <c:pt idx="29">
                  <c:v>1466.212</c:v>
                </c:pt>
                <c:pt idx="30">
                  <c:v>1402.9970000000001</c:v>
                </c:pt>
                <c:pt idx="31">
                  <c:v>1405.1590000000001</c:v>
                </c:pt>
                <c:pt idx="32">
                  <c:v>978.58699999999999</c:v>
                </c:pt>
                <c:pt idx="33">
                  <c:v>349.82100000000003</c:v>
                </c:pt>
                <c:pt idx="34">
                  <c:v>237.53800000000001</c:v>
                </c:pt>
                <c:pt idx="35">
                  <c:v>384.13100000000003</c:v>
                </c:pt>
                <c:pt idx="36">
                  <c:v>329.14100000000002</c:v>
                </c:pt>
                <c:pt idx="37">
                  <c:v>292.43400000000003</c:v>
                </c:pt>
                <c:pt idx="38">
                  <c:v>280.96600000000001</c:v>
                </c:pt>
                <c:pt idx="39">
                  <c:v>383.61399999999998</c:v>
                </c:pt>
                <c:pt idx="40">
                  <c:v>395.27</c:v>
                </c:pt>
                <c:pt idx="41">
                  <c:v>405.61</c:v>
                </c:pt>
                <c:pt idx="42">
                  <c:v>320.72800000000001</c:v>
                </c:pt>
                <c:pt idx="43">
                  <c:v>400.44</c:v>
                </c:pt>
                <c:pt idx="44">
                  <c:v>416.279</c:v>
                </c:pt>
                <c:pt idx="45">
                  <c:v>401.14499999999998</c:v>
                </c:pt>
                <c:pt idx="46">
                  <c:v>384.69499999999999</c:v>
                </c:pt>
                <c:pt idx="47">
                  <c:v>339.01100000000002</c:v>
                </c:pt>
                <c:pt idx="48">
                  <c:v>310.05900000000003</c:v>
                </c:pt>
                <c:pt idx="49">
                  <c:v>254.78700000000001</c:v>
                </c:pt>
                <c:pt idx="50">
                  <c:v>210.70099999999999</c:v>
                </c:pt>
                <c:pt idx="51">
                  <c:v>209.15</c:v>
                </c:pt>
                <c:pt idx="52">
                  <c:v>171.83199999999999</c:v>
                </c:pt>
                <c:pt idx="53">
                  <c:v>186.261</c:v>
                </c:pt>
                <c:pt idx="54">
                  <c:v>175.31</c:v>
                </c:pt>
                <c:pt idx="55">
                  <c:v>162.05600000000001</c:v>
                </c:pt>
                <c:pt idx="56">
                  <c:v>169.529</c:v>
                </c:pt>
                <c:pt idx="57">
                  <c:v>198.857</c:v>
                </c:pt>
                <c:pt idx="58">
                  <c:v>228.32599999999999</c:v>
                </c:pt>
                <c:pt idx="59">
                  <c:v>271.84800000000001</c:v>
                </c:pt>
                <c:pt idx="60">
                  <c:v>292.62200000000001</c:v>
                </c:pt>
                <c:pt idx="61">
                  <c:v>342.48899999999998</c:v>
                </c:pt>
                <c:pt idx="62">
                  <c:v>358.14</c:v>
                </c:pt>
                <c:pt idx="63">
                  <c:v>397.52600000000001</c:v>
                </c:pt>
                <c:pt idx="64">
                  <c:v>428.31099999999998</c:v>
                </c:pt>
                <c:pt idx="65">
                  <c:v>477.33199999999999</c:v>
                </c:pt>
                <c:pt idx="66">
                  <c:v>525.22500000000002</c:v>
                </c:pt>
                <c:pt idx="67">
                  <c:v>577.74750000000006</c:v>
                </c:pt>
                <c:pt idx="68">
                  <c:v>635.52225000000021</c:v>
                </c:pt>
                <c:pt idx="69">
                  <c:v>699.07447500000023</c:v>
                </c:pt>
                <c:pt idx="70">
                  <c:v>768.98192250000034</c:v>
                </c:pt>
                <c:pt idx="71">
                  <c:v>845.88011475000042</c:v>
                </c:pt>
                <c:pt idx="72">
                  <c:v>930.46812622500056</c:v>
                </c:pt>
                <c:pt idx="73">
                  <c:v>1023.5149388475007</c:v>
                </c:pt>
                <c:pt idx="74">
                  <c:v>1125.8664327322508</c:v>
                </c:pt>
                <c:pt idx="75">
                  <c:v>1238.4530760054761</c:v>
                </c:pt>
                <c:pt idx="76">
                  <c:v>1362.2983836060237</c:v>
                </c:pt>
                <c:pt idx="77">
                  <c:v>1498.5282219666262</c:v>
                </c:pt>
                <c:pt idx="78">
                  <c:v>1648.3810441632888</c:v>
                </c:pt>
                <c:pt idx="79">
                  <c:v>1813.2191485796179</c:v>
                </c:pt>
                <c:pt idx="80">
                  <c:v>1994.5410634375799</c:v>
                </c:pt>
                <c:pt idx="81">
                  <c:v>2193.9951697813381</c:v>
                </c:pt>
                <c:pt idx="82">
                  <c:v>2413.3946867594723</c:v>
                </c:pt>
                <c:pt idx="83">
                  <c:v>2654.7341554354193</c:v>
                </c:pt>
                <c:pt idx="84">
                  <c:v>2920.2075709789619</c:v>
                </c:pt>
                <c:pt idx="85">
                  <c:v>3212.2283280768579</c:v>
                </c:pt>
                <c:pt idx="86">
                  <c:v>3533.4511608845442</c:v>
                </c:pt>
                <c:pt idx="87">
                  <c:v>3886.7962769729988</c:v>
                </c:pt>
                <c:pt idx="88">
                  <c:v>4275.4759046702993</c:v>
                </c:pt>
                <c:pt idx="89">
                  <c:v>4703.0234951373295</c:v>
                </c:pt>
                <c:pt idx="90">
                  <c:v>5173.3258446510636</c:v>
                </c:pt>
                <c:pt idx="91">
                  <c:v>5690.6584291161707</c:v>
                </c:pt>
                <c:pt idx="92">
                  <c:v>6259.7242720277873</c:v>
                </c:pt>
                <c:pt idx="93">
                  <c:v>6885.696699230567</c:v>
                </c:pt>
                <c:pt idx="94">
                  <c:v>7574.2663691536245</c:v>
                </c:pt>
                <c:pt idx="95">
                  <c:v>8331.6930060689883</c:v>
                </c:pt>
                <c:pt idx="96">
                  <c:v>9164.8623066758882</c:v>
                </c:pt>
                <c:pt idx="97">
                  <c:v>10081.348537343476</c:v>
                </c:pt>
                <c:pt idx="98">
                  <c:v>11089.483391077825</c:v>
                </c:pt>
                <c:pt idx="99">
                  <c:v>12198.43173018561</c:v>
                </c:pt>
                <c:pt idx="100">
                  <c:v>13418.274903204172</c:v>
                </c:pt>
                <c:pt idx="101">
                  <c:v>14760.102393524592</c:v>
                </c:pt>
                <c:pt idx="102">
                  <c:v>16236.112632877053</c:v>
                </c:pt>
                <c:pt idx="103">
                  <c:v>17859.723896164764</c:v>
                </c:pt>
                <c:pt idx="104">
                  <c:v>19645.69628578124</c:v>
                </c:pt>
                <c:pt idx="105">
                  <c:v>21610.265914359366</c:v>
                </c:pt>
                <c:pt idx="106">
                  <c:v>23771.292505795307</c:v>
                </c:pt>
                <c:pt idx="107">
                  <c:v>26148.421756374839</c:v>
                </c:pt>
                <c:pt idx="108">
                  <c:v>28763.263932012327</c:v>
                </c:pt>
                <c:pt idx="109">
                  <c:v>31639.590325213565</c:v>
                </c:pt>
                <c:pt idx="110">
                  <c:v>34803.549357734919</c:v>
                </c:pt>
                <c:pt idx="111">
                  <c:v>38283.904293508414</c:v>
                </c:pt>
                <c:pt idx="112">
                  <c:v>42112.294722859267</c:v>
                </c:pt>
                <c:pt idx="113">
                  <c:v>46323.524195145197</c:v>
                </c:pt>
                <c:pt idx="114">
                  <c:v>50955.876614659712</c:v>
                </c:pt>
                <c:pt idx="115">
                  <c:v>56051.464276125691</c:v>
                </c:pt>
                <c:pt idx="116">
                  <c:v>61656.610703738261</c:v>
                </c:pt>
                <c:pt idx="117">
                  <c:v>67822.271774112087</c:v>
                </c:pt>
                <c:pt idx="118">
                  <c:v>74604.498951523303</c:v>
                </c:pt>
                <c:pt idx="119">
                  <c:v>82064.948846675645</c:v>
                </c:pt>
                <c:pt idx="120">
                  <c:v>90271.443731343214</c:v>
                </c:pt>
                <c:pt idx="121">
                  <c:v>99298.588104477531</c:v>
                </c:pt>
                <c:pt idx="122">
                  <c:v>109228.44691492528</c:v>
                </c:pt>
                <c:pt idx="123">
                  <c:v>120151.29160641783</c:v>
                </c:pt>
                <c:pt idx="124">
                  <c:v>132166.42076705964</c:v>
                </c:pt>
                <c:pt idx="125">
                  <c:v>145383.0628437656</c:v>
                </c:pt>
                <c:pt idx="126">
                  <c:v>159921.36912814216</c:v>
                </c:pt>
                <c:pt idx="127">
                  <c:v>175913.50604095642</c:v>
                </c:pt>
                <c:pt idx="128">
                  <c:v>193504.85664505206</c:v>
                </c:pt>
                <c:pt idx="129">
                  <c:v>212855.34230955728</c:v>
                </c:pt>
                <c:pt idx="130">
                  <c:v>234140.87654051304</c:v>
                </c:pt>
                <c:pt idx="131">
                  <c:v>257554.96419456438</c:v>
                </c:pt>
                <c:pt idx="132">
                  <c:v>283310.46061402082</c:v>
                </c:pt>
                <c:pt idx="133">
                  <c:v>311641.50667542295</c:v>
                </c:pt>
                <c:pt idx="134">
                  <c:v>342805.65734296525</c:v>
                </c:pt>
                <c:pt idx="135">
                  <c:v>377086.22307726176</c:v>
                </c:pt>
                <c:pt idx="136">
                  <c:v>414794.845384988</c:v>
                </c:pt>
                <c:pt idx="137">
                  <c:v>456274.3299234868</c:v>
                </c:pt>
                <c:pt idx="138">
                  <c:v>501901.76291583554</c:v>
                </c:pt>
                <c:pt idx="139">
                  <c:v>552091.93920741917</c:v>
                </c:pt>
                <c:pt idx="140">
                  <c:v>607301.13312816108</c:v>
                </c:pt>
                <c:pt idx="141">
                  <c:v>668031.24644097721</c:v>
                </c:pt>
                <c:pt idx="142">
                  <c:v>734834.37108507496</c:v>
                </c:pt>
                <c:pt idx="143">
                  <c:v>808317.80819358269</c:v>
                </c:pt>
                <c:pt idx="144">
                  <c:v>889149.589012941</c:v>
                </c:pt>
                <c:pt idx="145">
                  <c:v>978064.54791423527</c:v>
                </c:pt>
                <c:pt idx="146">
                  <c:v>1075871.0027056588</c:v>
                </c:pt>
                <c:pt idx="147">
                  <c:v>1183458.1029762249</c:v>
                </c:pt>
                <c:pt idx="148">
                  <c:v>1301803.9132738474</c:v>
                </c:pt>
                <c:pt idx="149">
                  <c:v>1431984.3046012323</c:v>
                </c:pt>
                <c:pt idx="150">
                  <c:v>1575182.7350613556</c:v>
                </c:pt>
                <c:pt idx="151">
                  <c:v>1732701.0085674913</c:v>
                </c:pt>
                <c:pt idx="152">
                  <c:v>1905971.1094242407</c:v>
                </c:pt>
                <c:pt idx="153">
                  <c:v>2096568.2203666649</c:v>
                </c:pt>
                <c:pt idx="154">
                  <c:v>2306225.0424033315</c:v>
                </c:pt>
                <c:pt idx="155">
                  <c:v>2536847.5466436651</c:v>
                </c:pt>
                <c:pt idx="156">
                  <c:v>2790532.3013080317</c:v>
                </c:pt>
                <c:pt idx="157">
                  <c:v>3069585.531438835</c:v>
                </c:pt>
                <c:pt idx="158">
                  <c:v>3376544.084582719</c:v>
                </c:pt>
                <c:pt idx="159">
                  <c:v>3714198.493040991</c:v>
                </c:pt>
                <c:pt idx="160">
                  <c:v>4085618.342345091</c:v>
                </c:pt>
                <c:pt idx="161">
                  <c:v>4494180.1765796002</c:v>
                </c:pt>
                <c:pt idx="162">
                  <c:v>4943598.194237561</c:v>
                </c:pt>
                <c:pt idx="163">
                  <c:v>5437958.0136613175</c:v>
                </c:pt>
                <c:pt idx="164">
                  <c:v>5981753.8150274493</c:v>
                </c:pt>
                <c:pt idx="165">
                  <c:v>6579929.196530195</c:v>
                </c:pt>
                <c:pt idx="166">
                  <c:v>7237922.1161832148</c:v>
                </c:pt>
                <c:pt idx="167">
                  <c:v>7961714.3278015368</c:v>
                </c:pt>
                <c:pt idx="168">
                  <c:v>8757885.7605816908</c:v>
                </c:pt>
                <c:pt idx="169">
                  <c:v>9633674.3366398606</c:v>
                </c:pt>
                <c:pt idx="170">
                  <c:v>10597041.770303849</c:v>
                </c:pt>
                <c:pt idx="171">
                  <c:v>11656745.947334236</c:v>
                </c:pt>
                <c:pt idx="172">
                  <c:v>12822420.542067658</c:v>
                </c:pt>
                <c:pt idx="173">
                  <c:v>14104662.596274426</c:v>
                </c:pt>
                <c:pt idx="174">
                  <c:v>15515128.855901869</c:v>
                </c:pt>
                <c:pt idx="175">
                  <c:v>17066641.741492059</c:v>
                </c:pt>
                <c:pt idx="176">
                  <c:v>18773305.915641267</c:v>
                </c:pt>
                <c:pt idx="177">
                  <c:v>20650636.507205393</c:v>
                </c:pt>
                <c:pt idx="178">
                  <c:v>22715700.157925934</c:v>
                </c:pt>
                <c:pt idx="179">
                  <c:v>24987270.173718531</c:v>
                </c:pt>
                <c:pt idx="180">
                  <c:v>27485997.191090386</c:v>
                </c:pt>
                <c:pt idx="181">
                  <c:v>30234596.910199426</c:v>
                </c:pt>
                <c:pt idx="182">
                  <c:v>33258056.601219371</c:v>
                </c:pt>
                <c:pt idx="183">
                  <c:v>36583862.261341311</c:v>
                </c:pt>
                <c:pt idx="184">
                  <c:v>40242248.487475447</c:v>
                </c:pt>
                <c:pt idx="185">
                  <c:v>44266473.336222991</c:v>
                </c:pt>
                <c:pt idx="186">
                  <c:v>48693120.669845298</c:v>
                </c:pt>
                <c:pt idx="187">
                  <c:v>53562432.736829825</c:v>
                </c:pt>
                <c:pt idx="188">
                  <c:v>58918676.010512806</c:v>
                </c:pt>
                <c:pt idx="189">
                  <c:v>64810543.6115641</c:v>
                </c:pt>
                <c:pt idx="190">
                  <c:v>71291597.972720519</c:v>
                </c:pt>
                <c:pt idx="191">
                  <c:v>78420757.769992575</c:v>
                </c:pt>
                <c:pt idx="192">
                  <c:v>79436772.136000007</c:v>
                </c:pt>
                <c:pt idx="193">
                  <c:v>79436772.136000007</c:v>
                </c:pt>
                <c:pt idx="194">
                  <c:v>79436772.136000007</c:v>
                </c:pt>
                <c:pt idx="195">
                  <c:v>79436772.136000007</c:v>
                </c:pt>
                <c:pt idx="196">
                  <c:v>79436772.136000007</c:v>
                </c:pt>
                <c:pt idx="197">
                  <c:v>79436772.136000007</c:v>
                </c:pt>
                <c:pt idx="198">
                  <c:v>79436772.136000007</c:v>
                </c:pt>
                <c:pt idx="199">
                  <c:v>79436772.136000007</c:v>
                </c:pt>
                <c:pt idx="200">
                  <c:v>79436772.136000007</c:v>
                </c:pt>
                <c:pt idx="201">
                  <c:v>79436772.136000007</c:v>
                </c:pt>
                <c:pt idx="202">
                  <c:v>79436772.136000007</c:v>
                </c:pt>
                <c:pt idx="203">
                  <c:v>79436772.136000007</c:v>
                </c:pt>
                <c:pt idx="204">
                  <c:v>79436772.136000007</c:v>
                </c:pt>
                <c:pt idx="205">
                  <c:v>79436772.136000007</c:v>
                </c:pt>
                <c:pt idx="206">
                  <c:v>79436772.136000007</c:v>
                </c:pt>
                <c:pt idx="207">
                  <c:v>79436772.136000007</c:v>
                </c:pt>
                <c:pt idx="208">
                  <c:v>79436772.136000007</c:v>
                </c:pt>
                <c:pt idx="209">
                  <c:v>79436772.136000007</c:v>
                </c:pt>
                <c:pt idx="210">
                  <c:v>79436772.136000007</c:v>
                </c:pt>
                <c:pt idx="211">
                  <c:v>79436772.136000007</c:v>
                </c:pt>
                <c:pt idx="212">
                  <c:v>79436772.136000007</c:v>
                </c:pt>
                <c:pt idx="213">
                  <c:v>79436772.136000007</c:v>
                </c:pt>
                <c:pt idx="214">
                  <c:v>79436772.136000007</c:v>
                </c:pt>
                <c:pt idx="215">
                  <c:v>79436772.136000007</c:v>
                </c:pt>
                <c:pt idx="216">
                  <c:v>79436772.136000007</c:v>
                </c:pt>
                <c:pt idx="217">
                  <c:v>79436772.136000007</c:v>
                </c:pt>
                <c:pt idx="218">
                  <c:v>79436772.136000007</c:v>
                </c:pt>
                <c:pt idx="219">
                  <c:v>79436772.136000007</c:v>
                </c:pt>
                <c:pt idx="220">
                  <c:v>79436772.136000007</c:v>
                </c:pt>
                <c:pt idx="221">
                  <c:v>79436772.136000007</c:v>
                </c:pt>
                <c:pt idx="222">
                  <c:v>79436772.136000007</c:v>
                </c:pt>
                <c:pt idx="223">
                  <c:v>79436772.136000007</c:v>
                </c:pt>
                <c:pt idx="224">
                  <c:v>79436772.136000007</c:v>
                </c:pt>
                <c:pt idx="225">
                  <c:v>79436772.136000007</c:v>
                </c:pt>
                <c:pt idx="226">
                  <c:v>79436772.136000007</c:v>
                </c:pt>
                <c:pt idx="227">
                  <c:v>79436772.136000007</c:v>
                </c:pt>
                <c:pt idx="228">
                  <c:v>79436772.136000007</c:v>
                </c:pt>
                <c:pt idx="229">
                  <c:v>79436772.136000007</c:v>
                </c:pt>
                <c:pt idx="230">
                  <c:v>79436772.136000007</c:v>
                </c:pt>
                <c:pt idx="231">
                  <c:v>79436772.136000007</c:v>
                </c:pt>
                <c:pt idx="232">
                  <c:v>79436772.136000007</c:v>
                </c:pt>
                <c:pt idx="233">
                  <c:v>79436772.136000007</c:v>
                </c:pt>
                <c:pt idx="234">
                  <c:v>79436772.136000007</c:v>
                </c:pt>
                <c:pt idx="235">
                  <c:v>79436772.136000007</c:v>
                </c:pt>
                <c:pt idx="236">
                  <c:v>79436772.136000007</c:v>
                </c:pt>
                <c:pt idx="237">
                  <c:v>79436772.136000007</c:v>
                </c:pt>
                <c:pt idx="238">
                  <c:v>79436772.136000007</c:v>
                </c:pt>
                <c:pt idx="239">
                  <c:v>79436772.136000007</c:v>
                </c:pt>
                <c:pt idx="240">
                  <c:v>79436772.136000007</c:v>
                </c:pt>
                <c:pt idx="241">
                  <c:v>79436772.136000007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2FA-41DF-9367-019F80D7803E}"/>
            </c:ext>
          </c:extLst>
        </c:ser>
        <c:ser>
          <c:idx val="3"/>
          <c:order val="2"/>
          <c:tx>
            <c:strRef>
              <c:f>Projections_Data!$F$22</c:f>
              <c:strCache>
                <c:ptCount val="1"/>
                <c:pt idx="0">
                  <c:v>25% increase</c:v>
                </c:pt>
              </c:strCache>
            </c:strRef>
          </c:tx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Projections_Data!$G$22:$IN$22</c:f>
              <c:numCache>
                <c:formatCode>_-* #,##0_-;\-* #,##0_-;_-* "-"??_-;_-@_-</c:formatCode>
                <c:ptCount val="242"/>
                <c:pt idx="0">
                  <c:v>26.038</c:v>
                </c:pt>
                <c:pt idx="1">
                  <c:v>30.643999999999998</c:v>
                </c:pt>
                <c:pt idx="2">
                  <c:v>43.616</c:v>
                </c:pt>
                <c:pt idx="3">
                  <c:v>65.988</c:v>
                </c:pt>
                <c:pt idx="4">
                  <c:v>97.102000000000004</c:v>
                </c:pt>
                <c:pt idx="5">
                  <c:v>133.762</c:v>
                </c:pt>
                <c:pt idx="6">
                  <c:v>255.821</c:v>
                </c:pt>
                <c:pt idx="7">
                  <c:v>283.03399999999999</c:v>
                </c:pt>
                <c:pt idx="8">
                  <c:v>378.303</c:v>
                </c:pt>
                <c:pt idx="9">
                  <c:v>455.43</c:v>
                </c:pt>
                <c:pt idx="10">
                  <c:v>552.06200000000001</c:v>
                </c:pt>
                <c:pt idx="11">
                  <c:v>718.20699999999999</c:v>
                </c:pt>
                <c:pt idx="12">
                  <c:v>877.20799999999997</c:v>
                </c:pt>
                <c:pt idx="13">
                  <c:v>1041.191</c:v>
                </c:pt>
                <c:pt idx="14">
                  <c:v>1181.9090000000001</c:v>
                </c:pt>
                <c:pt idx="15">
                  <c:v>1287.1890000000001</c:v>
                </c:pt>
                <c:pt idx="16">
                  <c:v>1406.8979999999999</c:v>
                </c:pt>
                <c:pt idx="17">
                  <c:v>1323.2850000000001</c:v>
                </c:pt>
                <c:pt idx="18">
                  <c:v>1528.393</c:v>
                </c:pt>
                <c:pt idx="19">
                  <c:v>1479.184</c:v>
                </c:pt>
                <c:pt idx="20">
                  <c:v>1511.2380000000001</c:v>
                </c:pt>
                <c:pt idx="21">
                  <c:v>1658.9590000000001</c:v>
                </c:pt>
                <c:pt idx="22">
                  <c:v>1772.7929999999999</c:v>
                </c:pt>
                <c:pt idx="23">
                  <c:v>2003.751</c:v>
                </c:pt>
                <c:pt idx="24">
                  <c:v>1866.229</c:v>
                </c:pt>
                <c:pt idx="25">
                  <c:v>1801.463</c:v>
                </c:pt>
                <c:pt idx="26">
                  <c:v>1769.973</c:v>
                </c:pt>
                <c:pt idx="27">
                  <c:v>1668.876</c:v>
                </c:pt>
                <c:pt idx="28">
                  <c:v>1597.624</c:v>
                </c:pt>
                <c:pt idx="29">
                  <c:v>1466.212</c:v>
                </c:pt>
                <c:pt idx="30">
                  <c:v>1402.9970000000001</c:v>
                </c:pt>
                <c:pt idx="31">
                  <c:v>1405.1590000000001</c:v>
                </c:pt>
                <c:pt idx="32">
                  <c:v>978.58699999999999</c:v>
                </c:pt>
                <c:pt idx="33">
                  <c:v>349.82100000000003</c:v>
                </c:pt>
                <c:pt idx="34">
                  <c:v>237.53800000000001</c:v>
                </c:pt>
                <c:pt idx="35">
                  <c:v>384.13100000000003</c:v>
                </c:pt>
                <c:pt idx="36">
                  <c:v>329.14100000000002</c:v>
                </c:pt>
                <c:pt idx="37">
                  <c:v>292.43400000000003</c:v>
                </c:pt>
                <c:pt idx="38">
                  <c:v>280.96600000000001</c:v>
                </c:pt>
                <c:pt idx="39">
                  <c:v>383.61399999999998</c:v>
                </c:pt>
                <c:pt idx="40">
                  <c:v>395.27</c:v>
                </c:pt>
                <c:pt idx="41">
                  <c:v>405.61</c:v>
                </c:pt>
                <c:pt idx="42">
                  <c:v>320.72800000000001</c:v>
                </c:pt>
                <c:pt idx="43">
                  <c:v>400.44</c:v>
                </c:pt>
                <c:pt idx="44">
                  <c:v>416.279</c:v>
                </c:pt>
                <c:pt idx="45">
                  <c:v>401.14499999999998</c:v>
                </c:pt>
                <c:pt idx="46">
                  <c:v>384.69499999999999</c:v>
                </c:pt>
                <c:pt idx="47">
                  <c:v>339.01100000000002</c:v>
                </c:pt>
                <c:pt idx="48">
                  <c:v>310.05900000000003</c:v>
                </c:pt>
                <c:pt idx="49">
                  <c:v>254.78700000000001</c:v>
                </c:pt>
                <c:pt idx="50">
                  <c:v>210.70099999999999</c:v>
                </c:pt>
                <c:pt idx="51">
                  <c:v>209.15</c:v>
                </c:pt>
                <c:pt idx="52">
                  <c:v>171.83199999999999</c:v>
                </c:pt>
                <c:pt idx="53">
                  <c:v>186.261</c:v>
                </c:pt>
                <c:pt idx="54">
                  <c:v>175.31</c:v>
                </c:pt>
                <c:pt idx="55">
                  <c:v>162.05600000000001</c:v>
                </c:pt>
                <c:pt idx="56">
                  <c:v>169.529</c:v>
                </c:pt>
                <c:pt idx="57">
                  <c:v>198.857</c:v>
                </c:pt>
                <c:pt idx="58">
                  <c:v>228.32599999999999</c:v>
                </c:pt>
                <c:pt idx="59">
                  <c:v>271.84800000000001</c:v>
                </c:pt>
                <c:pt idx="60">
                  <c:v>292.62200000000001</c:v>
                </c:pt>
                <c:pt idx="61">
                  <c:v>342.48899999999998</c:v>
                </c:pt>
                <c:pt idx="62">
                  <c:v>358.14</c:v>
                </c:pt>
                <c:pt idx="63">
                  <c:v>397.52600000000001</c:v>
                </c:pt>
                <c:pt idx="64">
                  <c:v>428.31099999999998</c:v>
                </c:pt>
                <c:pt idx="65">
                  <c:v>477.33199999999999</c:v>
                </c:pt>
                <c:pt idx="66">
                  <c:v>525.22500000000002</c:v>
                </c:pt>
                <c:pt idx="67">
                  <c:v>656.53125</c:v>
                </c:pt>
                <c:pt idx="68">
                  <c:v>820.6640625</c:v>
                </c:pt>
                <c:pt idx="69">
                  <c:v>1025.830078125</c:v>
                </c:pt>
                <c:pt idx="70">
                  <c:v>1282.28759765625</c:v>
                </c:pt>
                <c:pt idx="71">
                  <c:v>1602.8594970703125</c:v>
                </c:pt>
                <c:pt idx="72">
                  <c:v>2003.5743713378906</c:v>
                </c:pt>
                <c:pt idx="73">
                  <c:v>2504.4679641723633</c:v>
                </c:pt>
                <c:pt idx="74">
                  <c:v>3130.5849552154541</c:v>
                </c:pt>
                <c:pt idx="75">
                  <c:v>3913.2311940193176</c:v>
                </c:pt>
                <c:pt idx="76">
                  <c:v>4891.538992524147</c:v>
                </c:pt>
                <c:pt idx="77">
                  <c:v>6114.4237406551838</c:v>
                </c:pt>
                <c:pt idx="78">
                  <c:v>7643.0296758189797</c:v>
                </c:pt>
                <c:pt idx="79">
                  <c:v>9553.7870947737247</c:v>
                </c:pt>
                <c:pt idx="80">
                  <c:v>11942.233868467156</c:v>
                </c:pt>
                <c:pt idx="81">
                  <c:v>14927.792335583945</c:v>
                </c:pt>
                <c:pt idx="82">
                  <c:v>18659.740419479931</c:v>
                </c:pt>
                <c:pt idx="83">
                  <c:v>23324.675524349914</c:v>
                </c:pt>
                <c:pt idx="84">
                  <c:v>29155.844405437394</c:v>
                </c:pt>
                <c:pt idx="85">
                  <c:v>36444.805506796736</c:v>
                </c:pt>
                <c:pt idx="86">
                  <c:v>45556.006883495924</c:v>
                </c:pt>
                <c:pt idx="87">
                  <c:v>56945.008604369905</c:v>
                </c:pt>
                <c:pt idx="88">
                  <c:v>71181.260755462368</c:v>
                </c:pt>
                <c:pt idx="89">
                  <c:v>88976.575944327968</c:v>
                </c:pt>
                <c:pt idx="90">
                  <c:v>111220.71993040996</c:v>
                </c:pt>
                <c:pt idx="91">
                  <c:v>139025.89991301246</c:v>
                </c:pt>
                <c:pt idx="92">
                  <c:v>173782.37489126559</c:v>
                </c:pt>
                <c:pt idx="93">
                  <c:v>217227.96861408194</c:v>
                </c:pt>
                <c:pt idx="94">
                  <c:v>271534.96076760243</c:v>
                </c:pt>
                <c:pt idx="95">
                  <c:v>339418.70095950301</c:v>
                </c:pt>
                <c:pt idx="96">
                  <c:v>424273.37619937881</c:v>
                </c:pt>
                <c:pt idx="97">
                  <c:v>530341.72024922352</c:v>
                </c:pt>
                <c:pt idx="98">
                  <c:v>662927.1503115294</c:v>
                </c:pt>
                <c:pt idx="99">
                  <c:v>828658.9378894117</c:v>
                </c:pt>
                <c:pt idx="100">
                  <c:v>1035823.6723617645</c:v>
                </c:pt>
                <c:pt idx="101">
                  <c:v>1294779.5904522056</c:v>
                </c:pt>
                <c:pt idx="102">
                  <c:v>1618474.4880652572</c:v>
                </c:pt>
                <c:pt idx="103">
                  <c:v>2023093.1100815714</c:v>
                </c:pt>
                <c:pt idx="104">
                  <c:v>2528866.3876019642</c:v>
                </c:pt>
                <c:pt idx="105">
                  <c:v>3161082.9845024552</c:v>
                </c:pt>
                <c:pt idx="106">
                  <c:v>3951353.730628069</c:v>
                </c:pt>
                <c:pt idx="107">
                  <c:v>4939192.1632850869</c:v>
                </c:pt>
                <c:pt idx="108">
                  <c:v>6173990.2041063579</c:v>
                </c:pt>
                <c:pt idx="109">
                  <c:v>7717487.755132948</c:v>
                </c:pt>
                <c:pt idx="110">
                  <c:v>9646859.6939161848</c:v>
                </c:pt>
                <c:pt idx="111">
                  <c:v>12058574.61739523</c:v>
                </c:pt>
                <c:pt idx="112">
                  <c:v>15073218.271744039</c:v>
                </c:pt>
                <c:pt idx="113">
                  <c:v>18841522.83968005</c:v>
                </c:pt>
                <c:pt idx="114">
                  <c:v>23551903.549600061</c:v>
                </c:pt>
                <c:pt idx="115">
                  <c:v>29439879.437000077</c:v>
                </c:pt>
                <c:pt idx="116">
                  <c:v>36799849.296250097</c:v>
                </c:pt>
                <c:pt idx="117">
                  <c:v>45999811.620312616</c:v>
                </c:pt>
                <c:pt idx="118">
                  <c:v>57499764.525390774</c:v>
                </c:pt>
                <c:pt idx="119">
                  <c:v>71874705.656738475</c:v>
                </c:pt>
                <c:pt idx="120">
                  <c:v>79436772.136000007</c:v>
                </c:pt>
                <c:pt idx="121">
                  <c:v>79436772.136000007</c:v>
                </c:pt>
                <c:pt idx="122">
                  <c:v>79436772.136000007</c:v>
                </c:pt>
                <c:pt idx="123">
                  <c:v>79436772.136000007</c:v>
                </c:pt>
                <c:pt idx="124">
                  <c:v>79436772.136000007</c:v>
                </c:pt>
                <c:pt idx="125">
                  <c:v>79436772.136000007</c:v>
                </c:pt>
                <c:pt idx="126">
                  <c:v>79436772.136000007</c:v>
                </c:pt>
                <c:pt idx="127">
                  <c:v>79436772.136000007</c:v>
                </c:pt>
                <c:pt idx="128">
                  <c:v>79436772.136000007</c:v>
                </c:pt>
                <c:pt idx="129">
                  <c:v>79436772.136000007</c:v>
                </c:pt>
                <c:pt idx="130">
                  <c:v>79436772.136000007</c:v>
                </c:pt>
                <c:pt idx="131">
                  <c:v>79436772.136000007</c:v>
                </c:pt>
                <c:pt idx="132">
                  <c:v>79436772.136000007</c:v>
                </c:pt>
                <c:pt idx="133">
                  <c:v>79436772.136000007</c:v>
                </c:pt>
                <c:pt idx="134">
                  <c:v>79436772.136000007</c:v>
                </c:pt>
                <c:pt idx="135">
                  <c:v>79436772.136000007</c:v>
                </c:pt>
                <c:pt idx="136">
                  <c:v>79436772.136000007</c:v>
                </c:pt>
                <c:pt idx="137">
                  <c:v>79436772.136000007</c:v>
                </c:pt>
                <c:pt idx="138">
                  <c:v>79436772.136000007</c:v>
                </c:pt>
                <c:pt idx="139">
                  <c:v>79436772.136000007</c:v>
                </c:pt>
                <c:pt idx="140">
                  <c:v>79436772.136000007</c:v>
                </c:pt>
                <c:pt idx="141">
                  <c:v>79436772.136000007</c:v>
                </c:pt>
                <c:pt idx="142">
                  <c:v>79436772.136000007</c:v>
                </c:pt>
                <c:pt idx="143">
                  <c:v>79436772.136000007</c:v>
                </c:pt>
                <c:pt idx="144">
                  <c:v>79436772.136000007</c:v>
                </c:pt>
                <c:pt idx="145">
                  <c:v>79436772.136000007</c:v>
                </c:pt>
                <c:pt idx="146">
                  <c:v>79436772.136000007</c:v>
                </c:pt>
                <c:pt idx="147">
                  <c:v>79436772.136000007</c:v>
                </c:pt>
                <c:pt idx="148">
                  <c:v>79436772.136000007</c:v>
                </c:pt>
                <c:pt idx="149">
                  <c:v>79436772.136000007</c:v>
                </c:pt>
                <c:pt idx="150">
                  <c:v>79436772.136000007</c:v>
                </c:pt>
                <c:pt idx="151">
                  <c:v>79436772.136000007</c:v>
                </c:pt>
                <c:pt idx="152">
                  <c:v>79436772.136000007</c:v>
                </c:pt>
                <c:pt idx="153">
                  <c:v>79436772.136000007</c:v>
                </c:pt>
                <c:pt idx="154">
                  <c:v>79436772.136000007</c:v>
                </c:pt>
                <c:pt idx="155">
                  <c:v>79436772.136000007</c:v>
                </c:pt>
                <c:pt idx="156">
                  <c:v>79436772.136000007</c:v>
                </c:pt>
                <c:pt idx="157">
                  <c:v>79436772.136000007</c:v>
                </c:pt>
                <c:pt idx="158">
                  <c:v>79436772.136000007</c:v>
                </c:pt>
                <c:pt idx="159">
                  <c:v>79436772.136000007</c:v>
                </c:pt>
                <c:pt idx="160">
                  <c:v>79436772.136000007</c:v>
                </c:pt>
                <c:pt idx="161">
                  <c:v>79436772.136000007</c:v>
                </c:pt>
                <c:pt idx="162">
                  <c:v>79436772.136000007</c:v>
                </c:pt>
                <c:pt idx="163">
                  <c:v>79436772.136000007</c:v>
                </c:pt>
                <c:pt idx="164">
                  <c:v>79436772.136000007</c:v>
                </c:pt>
                <c:pt idx="165">
                  <c:v>79436772.136000007</c:v>
                </c:pt>
                <c:pt idx="166">
                  <c:v>79436772.136000007</c:v>
                </c:pt>
                <c:pt idx="167">
                  <c:v>79436772.136000007</c:v>
                </c:pt>
                <c:pt idx="168">
                  <c:v>79436772.136000007</c:v>
                </c:pt>
                <c:pt idx="169">
                  <c:v>79436772.136000007</c:v>
                </c:pt>
                <c:pt idx="170">
                  <c:v>79436772.136000007</c:v>
                </c:pt>
                <c:pt idx="171">
                  <c:v>79436772.136000007</c:v>
                </c:pt>
                <c:pt idx="172">
                  <c:v>79436772.136000007</c:v>
                </c:pt>
                <c:pt idx="173">
                  <c:v>79436772.136000007</c:v>
                </c:pt>
                <c:pt idx="174">
                  <c:v>79436772.136000007</c:v>
                </c:pt>
                <c:pt idx="175">
                  <c:v>79436772.136000007</c:v>
                </c:pt>
                <c:pt idx="176">
                  <c:v>79436772.136000007</c:v>
                </c:pt>
                <c:pt idx="177">
                  <c:v>79436772.136000007</c:v>
                </c:pt>
                <c:pt idx="178">
                  <c:v>79436772.136000007</c:v>
                </c:pt>
                <c:pt idx="179">
                  <c:v>79436772.136000007</c:v>
                </c:pt>
                <c:pt idx="180">
                  <c:v>79436772.136000007</c:v>
                </c:pt>
                <c:pt idx="181">
                  <c:v>79436772.136000007</c:v>
                </c:pt>
                <c:pt idx="182">
                  <c:v>79436772.136000007</c:v>
                </c:pt>
                <c:pt idx="183">
                  <c:v>79436772.136000007</c:v>
                </c:pt>
                <c:pt idx="184">
                  <c:v>79436772.136000007</c:v>
                </c:pt>
                <c:pt idx="185">
                  <c:v>79436772.136000007</c:v>
                </c:pt>
                <c:pt idx="186">
                  <c:v>79436772.136000007</c:v>
                </c:pt>
                <c:pt idx="187">
                  <c:v>79436772.136000007</c:v>
                </c:pt>
                <c:pt idx="188">
                  <c:v>79436772.136000007</c:v>
                </c:pt>
                <c:pt idx="189">
                  <c:v>79436772.136000007</c:v>
                </c:pt>
                <c:pt idx="190">
                  <c:v>79436772.136000007</c:v>
                </c:pt>
                <c:pt idx="191">
                  <c:v>79436772.136000007</c:v>
                </c:pt>
                <c:pt idx="192">
                  <c:v>79436772.136000007</c:v>
                </c:pt>
                <c:pt idx="193">
                  <c:v>79436772.136000007</c:v>
                </c:pt>
                <c:pt idx="194">
                  <c:v>79436772.136000007</c:v>
                </c:pt>
                <c:pt idx="195">
                  <c:v>79436772.136000007</c:v>
                </c:pt>
                <c:pt idx="196">
                  <c:v>79436772.136000007</c:v>
                </c:pt>
                <c:pt idx="197">
                  <c:v>79436772.136000007</c:v>
                </c:pt>
                <c:pt idx="198">
                  <c:v>79436772.136000007</c:v>
                </c:pt>
                <c:pt idx="199">
                  <c:v>79436772.136000007</c:v>
                </c:pt>
                <c:pt idx="200">
                  <c:v>79436772.136000007</c:v>
                </c:pt>
                <c:pt idx="201">
                  <c:v>79436772.136000007</c:v>
                </c:pt>
                <c:pt idx="202">
                  <c:v>79436772.136000007</c:v>
                </c:pt>
                <c:pt idx="203">
                  <c:v>79436772.136000007</c:v>
                </c:pt>
                <c:pt idx="204">
                  <c:v>79436772.136000007</c:v>
                </c:pt>
                <c:pt idx="205">
                  <c:v>79436772.136000007</c:v>
                </c:pt>
                <c:pt idx="206">
                  <c:v>79436772.136000007</c:v>
                </c:pt>
                <c:pt idx="207">
                  <c:v>79436772.136000007</c:v>
                </c:pt>
                <c:pt idx="208">
                  <c:v>79436772.136000007</c:v>
                </c:pt>
                <c:pt idx="209">
                  <c:v>79436772.136000007</c:v>
                </c:pt>
                <c:pt idx="210">
                  <c:v>79436772.136000007</c:v>
                </c:pt>
                <c:pt idx="211">
                  <c:v>79436772.136000007</c:v>
                </c:pt>
                <c:pt idx="212">
                  <c:v>79436772.136000007</c:v>
                </c:pt>
                <c:pt idx="213">
                  <c:v>79436772.136000007</c:v>
                </c:pt>
                <c:pt idx="214">
                  <c:v>79436772.136000007</c:v>
                </c:pt>
                <c:pt idx="215">
                  <c:v>79436772.136000007</c:v>
                </c:pt>
                <c:pt idx="216">
                  <c:v>79436772.136000007</c:v>
                </c:pt>
                <c:pt idx="217">
                  <c:v>79436772.136000007</c:v>
                </c:pt>
                <c:pt idx="218">
                  <c:v>79436772.136000007</c:v>
                </c:pt>
                <c:pt idx="219">
                  <c:v>79436772.136000007</c:v>
                </c:pt>
                <c:pt idx="220">
                  <c:v>79436772.136000007</c:v>
                </c:pt>
                <c:pt idx="221">
                  <c:v>79436772.136000007</c:v>
                </c:pt>
                <c:pt idx="222">
                  <c:v>79436772.136000007</c:v>
                </c:pt>
                <c:pt idx="223">
                  <c:v>79436772.136000007</c:v>
                </c:pt>
                <c:pt idx="224">
                  <c:v>79436772.136000007</c:v>
                </c:pt>
                <c:pt idx="225">
                  <c:v>79436772.136000007</c:v>
                </c:pt>
                <c:pt idx="226">
                  <c:v>79436772.136000007</c:v>
                </c:pt>
                <c:pt idx="227">
                  <c:v>79436772.136000007</c:v>
                </c:pt>
                <c:pt idx="228">
                  <c:v>79436772.136000007</c:v>
                </c:pt>
                <c:pt idx="229">
                  <c:v>79436772.136000007</c:v>
                </c:pt>
                <c:pt idx="230">
                  <c:v>79436772.136000007</c:v>
                </c:pt>
                <c:pt idx="231">
                  <c:v>79436772.136000007</c:v>
                </c:pt>
                <c:pt idx="232">
                  <c:v>79436772.136000007</c:v>
                </c:pt>
                <c:pt idx="233">
                  <c:v>79436772.136000007</c:v>
                </c:pt>
                <c:pt idx="234">
                  <c:v>79436772.136000007</c:v>
                </c:pt>
                <c:pt idx="235">
                  <c:v>79436772.136000007</c:v>
                </c:pt>
                <c:pt idx="236">
                  <c:v>79436772.136000007</c:v>
                </c:pt>
                <c:pt idx="237">
                  <c:v>79436772.136000007</c:v>
                </c:pt>
                <c:pt idx="238">
                  <c:v>79436772.136000007</c:v>
                </c:pt>
                <c:pt idx="239">
                  <c:v>79436772.136000007</c:v>
                </c:pt>
                <c:pt idx="240">
                  <c:v>79436772.136000007</c:v>
                </c:pt>
                <c:pt idx="241">
                  <c:v>79436772.136000007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2FA-41DF-9367-019F80D7803E}"/>
            </c:ext>
          </c:extLst>
        </c:ser>
        <c:ser>
          <c:idx val="4"/>
          <c:order val="3"/>
          <c:tx>
            <c:strRef>
              <c:f>Projections_Data!$F$23</c:f>
              <c:strCache>
                <c:ptCount val="1"/>
                <c:pt idx="0">
                  <c:v>40% increase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Projections_Data!$G$23:$IN$23</c:f>
              <c:numCache>
                <c:formatCode>_-* #,##0_-;\-* #,##0_-;_-* "-"??_-;_-@_-</c:formatCode>
                <c:ptCount val="242"/>
                <c:pt idx="0">
                  <c:v>26.038</c:v>
                </c:pt>
                <c:pt idx="1">
                  <c:v>30.643999999999998</c:v>
                </c:pt>
                <c:pt idx="2">
                  <c:v>43.616</c:v>
                </c:pt>
                <c:pt idx="3">
                  <c:v>65.988</c:v>
                </c:pt>
                <c:pt idx="4">
                  <c:v>97.102000000000004</c:v>
                </c:pt>
                <c:pt idx="5">
                  <c:v>133.762</c:v>
                </c:pt>
                <c:pt idx="6">
                  <c:v>255.821</c:v>
                </c:pt>
                <c:pt idx="7">
                  <c:v>283.03399999999999</c:v>
                </c:pt>
                <c:pt idx="8">
                  <c:v>378.303</c:v>
                </c:pt>
                <c:pt idx="9">
                  <c:v>455.43</c:v>
                </c:pt>
                <c:pt idx="10">
                  <c:v>552.06200000000001</c:v>
                </c:pt>
                <c:pt idx="11">
                  <c:v>718.20699999999999</c:v>
                </c:pt>
                <c:pt idx="12">
                  <c:v>877.20799999999997</c:v>
                </c:pt>
                <c:pt idx="13">
                  <c:v>1041.191</c:v>
                </c:pt>
                <c:pt idx="14">
                  <c:v>1181.9090000000001</c:v>
                </c:pt>
                <c:pt idx="15">
                  <c:v>1287.1890000000001</c:v>
                </c:pt>
                <c:pt idx="16">
                  <c:v>1406.8979999999999</c:v>
                </c:pt>
                <c:pt idx="17">
                  <c:v>1323.2850000000001</c:v>
                </c:pt>
                <c:pt idx="18">
                  <c:v>1528.393</c:v>
                </c:pt>
                <c:pt idx="19">
                  <c:v>1479.184</c:v>
                </c:pt>
                <c:pt idx="20">
                  <c:v>1511.2380000000001</c:v>
                </c:pt>
                <c:pt idx="21">
                  <c:v>1658.9590000000001</c:v>
                </c:pt>
                <c:pt idx="22">
                  <c:v>1772.7929999999999</c:v>
                </c:pt>
                <c:pt idx="23">
                  <c:v>2003.751</c:v>
                </c:pt>
                <c:pt idx="24">
                  <c:v>1866.229</c:v>
                </c:pt>
                <c:pt idx="25">
                  <c:v>1801.463</c:v>
                </c:pt>
                <c:pt idx="26">
                  <c:v>1769.973</c:v>
                </c:pt>
                <c:pt idx="27">
                  <c:v>1668.876</c:v>
                </c:pt>
                <c:pt idx="28">
                  <c:v>1597.624</c:v>
                </c:pt>
                <c:pt idx="29">
                  <c:v>1466.212</c:v>
                </c:pt>
                <c:pt idx="30">
                  <c:v>1402.9970000000001</c:v>
                </c:pt>
                <c:pt idx="31">
                  <c:v>1405.1590000000001</c:v>
                </c:pt>
                <c:pt idx="32">
                  <c:v>978.58699999999999</c:v>
                </c:pt>
                <c:pt idx="33">
                  <c:v>349.82100000000003</c:v>
                </c:pt>
                <c:pt idx="34">
                  <c:v>237.53800000000001</c:v>
                </c:pt>
                <c:pt idx="35">
                  <c:v>384.13100000000003</c:v>
                </c:pt>
                <c:pt idx="36">
                  <c:v>329.14100000000002</c:v>
                </c:pt>
                <c:pt idx="37">
                  <c:v>292.43400000000003</c:v>
                </c:pt>
                <c:pt idx="38">
                  <c:v>280.96600000000001</c:v>
                </c:pt>
                <c:pt idx="39">
                  <c:v>383.61399999999998</c:v>
                </c:pt>
                <c:pt idx="40">
                  <c:v>395.27</c:v>
                </c:pt>
                <c:pt idx="41">
                  <c:v>405.61</c:v>
                </c:pt>
                <c:pt idx="42">
                  <c:v>320.72800000000001</c:v>
                </c:pt>
                <c:pt idx="43">
                  <c:v>400.44</c:v>
                </c:pt>
                <c:pt idx="44">
                  <c:v>416.279</c:v>
                </c:pt>
                <c:pt idx="45">
                  <c:v>401.14499999999998</c:v>
                </c:pt>
                <c:pt idx="46">
                  <c:v>384.69499999999999</c:v>
                </c:pt>
                <c:pt idx="47">
                  <c:v>339.01100000000002</c:v>
                </c:pt>
                <c:pt idx="48">
                  <c:v>310.05900000000003</c:v>
                </c:pt>
                <c:pt idx="49">
                  <c:v>254.78700000000001</c:v>
                </c:pt>
                <c:pt idx="50">
                  <c:v>210.70099999999999</c:v>
                </c:pt>
                <c:pt idx="51">
                  <c:v>209.15</c:v>
                </c:pt>
                <c:pt idx="52">
                  <c:v>171.83199999999999</c:v>
                </c:pt>
                <c:pt idx="53">
                  <c:v>186.261</c:v>
                </c:pt>
                <c:pt idx="54">
                  <c:v>175.31</c:v>
                </c:pt>
                <c:pt idx="55">
                  <c:v>162.05600000000001</c:v>
                </c:pt>
                <c:pt idx="56">
                  <c:v>169.529</c:v>
                </c:pt>
                <c:pt idx="57">
                  <c:v>198.857</c:v>
                </c:pt>
                <c:pt idx="58">
                  <c:v>228.32599999999999</c:v>
                </c:pt>
                <c:pt idx="59">
                  <c:v>271.84800000000001</c:v>
                </c:pt>
                <c:pt idx="60">
                  <c:v>292.62200000000001</c:v>
                </c:pt>
                <c:pt idx="61">
                  <c:v>342.48899999999998</c:v>
                </c:pt>
                <c:pt idx="62">
                  <c:v>358.14</c:v>
                </c:pt>
                <c:pt idx="63">
                  <c:v>397.52600000000001</c:v>
                </c:pt>
                <c:pt idx="64">
                  <c:v>428.31099999999998</c:v>
                </c:pt>
                <c:pt idx="65">
                  <c:v>477.33199999999999</c:v>
                </c:pt>
                <c:pt idx="66">
                  <c:v>525.22500000000002</c:v>
                </c:pt>
                <c:pt idx="67">
                  <c:v>735.31499999999994</c:v>
                </c:pt>
                <c:pt idx="68">
                  <c:v>1029.4409999999998</c:v>
                </c:pt>
                <c:pt idx="69">
                  <c:v>1441.2173999999998</c:v>
                </c:pt>
                <c:pt idx="70">
                  <c:v>2017.7043599999995</c:v>
                </c:pt>
                <c:pt idx="71">
                  <c:v>2824.7861039999989</c:v>
                </c:pt>
                <c:pt idx="72">
                  <c:v>3954.7005455999983</c:v>
                </c:pt>
                <c:pt idx="73">
                  <c:v>5536.5807638399965</c:v>
                </c:pt>
                <c:pt idx="74">
                  <c:v>7751.2130693759955</c:v>
                </c:pt>
                <c:pt idx="75">
                  <c:v>10851.698297126393</c:v>
                </c:pt>
                <c:pt idx="76">
                  <c:v>15192.37761597695</c:v>
                </c:pt>
                <c:pt idx="77">
                  <c:v>21269.328662367727</c:v>
                </c:pt>
                <c:pt idx="78">
                  <c:v>29777.060127314813</c:v>
                </c:pt>
                <c:pt idx="79">
                  <c:v>41687.884178240733</c:v>
                </c:pt>
                <c:pt idx="80">
                  <c:v>58363.037849537024</c:v>
                </c:pt>
                <c:pt idx="81">
                  <c:v>81708.252989351837</c:v>
                </c:pt>
                <c:pt idx="82">
                  <c:v>114391.55418509255</c:v>
                </c:pt>
                <c:pt idx="83">
                  <c:v>160148.17585912955</c:v>
                </c:pt>
                <c:pt idx="84">
                  <c:v>224207.4462027814</c:v>
                </c:pt>
                <c:pt idx="85">
                  <c:v>313890.42468389391</c:v>
                </c:pt>
                <c:pt idx="86">
                  <c:v>439446.59455745143</c:v>
                </c:pt>
                <c:pt idx="87">
                  <c:v>615225.23238043196</c:v>
                </c:pt>
                <c:pt idx="88">
                  <c:v>861315.32533260458</c:v>
                </c:pt>
                <c:pt idx="89">
                  <c:v>1205841.4554656465</c:v>
                </c:pt>
                <c:pt idx="90">
                  <c:v>1688178.0376519051</c:v>
                </c:pt>
                <c:pt idx="91">
                  <c:v>2363449.252712667</c:v>
                </c:pt>
                <c:pt idx="92">
                  <c:v>3308828.9537977329</c:v>
                </c:pt>
                <c:pt idx="93">
                  <c:v>4632360.5353168258</c:v>
                </c:pt>
                <c:pt idx="94">
                  <c:v>6485304.7494435562</c:v>
                </c:pt>
                <c:pt idx="95">
                  <c:v>9079426.649220977</c:v>
                </c:pt>
                <c:pt idx="96">
                  <c:v>12711197.308909368</c:v>
                </c:pt>
                <c:pt idx="97">
                  <c:v>17795676.232473113</c:v>
                </c:pt>
                <c:pt idx="98">
                  <c:v>24913946.725462358</c:v>
                </c:pt>
                <c:pt idx="99">
                  <c:v>34879525.415647298</c:v>
                </c:pt>
                <c:pt idx="100">
                  <c:v>48831335.581906222</c:v>
                </c:pt>
                <c:pt idx="101">
                  <c:v>68363869.8146687</c:v>
                </c:pt>
                <c:pt idx="102">
                  <c:v>79436772.136000007</c:v>
                </c:pt>
                <c:pt idx="103">
                  <c:v>79436772.136000007</c:v>
                </c:pt>
                <c:pt idx="104">
                  <c:v>79436772.136000007</c:v>
                </c:pt>
                <c:pt idx="105">
                  <c:v>79436772.136000007</c:v>
                </c:pt>
                <c:pt idx="106">
                  <c:v>79436772.136000007</c:v>
                </c:pt>
                <c:pt idx="107">
                  <c:v>79436772.136000007</c:v>
                </c:pt>
                <c:pt idx="108">
                  <c:v>79436772.136000007</c:v>
                </c:pt>
                <c:pt idx="109">
                  <c:v>79436772.136000007</c:v>
                </c:pt>
                <c:pt idx="110">
                  <c:v>79436772.136000007</c:v>
                </c:pt>
                <c:pt idx="111">
                  <c:v>79436772.136000007</c:v>
                </c:pt>
                <c:pt idx="112">
                  <c:v>79436772.136000007</c:v>
                </c:pt>
                <c:pt idx="113">
                  <c:v>79436772.136000007</c:v>
                </c:pt>
                <c:pt idx="114">
                  <c:v>79436772.136000007</c:v>
                </c:pt>
                <c:pt idx="115">
                  <c:v>79436772.136000007</c:v>
                </c:pt>
                <c:pt idx="116">
                  <c:v>79436772.136000007</c:v>
                </c:pt>
                <c:pt idx="117">
                  <c:v>79436772.136000007</c:v>
                </c:pt>
                <c:pt idx="118">
                  <c:v>79436772.136000007</c:v>
                </c:pt>
                <c:pt idx="119">
                  <c:v>79436772.136000007</c:v>
                </c:pt>
                <c:pt idx="120">
                  <c:v>79436772.136000007</c:v>
                </c:pt>
                <c:pt idx="121">
                  <c:v>79436772.136000007</c:v>
                </c:pt>
                <c:pt idx="122">
                  <c:v>79436772.136000007</c:v>
                </c:pt>
                <c:pt idx="123">
                  <c:v>79436772.136000007</c:v>
                </c:pt>
                <c:pt idx="124">
                  <c:v>79436772.136000007</c:v>
                </c:pt>
                <c:pt idx="125">
                  <c:v>79436772.136000007</c:v>
                </c:pt>
                <c:pt idx="126">
                  <c:v>79436772.136000007</c:v>
                </c:pt>
                <c:pt idx="127">
                  <c:v>79436772.136000007</c:v>
                </c:pt>
                <c:pt idx="128">
                  <c:v>79436772.136000007</c:v>
                </c:pt>
                <c:pt idx="129">
                  <c:v>79436772.136000007</c:v>
                </c:pt>
                <c:pt idx="130">
                  <c:v>79436772.136000007</c:v>
                </c:pt>
                <c:pt idx="131">
                  <c:v>79436772.136000007</c:v>
                </c:pt>
                <c:pt idx="132">
                  <c:v>79436772.136000007</c:v>
                </c:pt>
                <c:pt idx="133">
                  <c:v>79436772.136000007</c:v>
                </c:pt>
                <c:pt idx="134">
                  <c:v>79436772.136000007</c:v>
                </c:pt>
                <c:pt idx="135">
                  <c:v>79436772.136000007</c:v>
                </c:pt>
                <c:pt idx="136">
                  <c:v>79436772.136000007</c:v>
                </c:pt>
                <c:pt idx="137">
                  <c:v>79436772.136000007</c:v>
                </c:pt>
                <c:pt idx="138">
                  <c:v>79436772.136000007</c:v>
                </c:pt>
                <c:pt idx="139">
                  <c:v>79436772.136000007</c:v>
                </c:pt>
                <c:pt idx="140">
                  <c:v>79436772.136000007</c:v>
                </c:pt>
                <c:pt idx="141">
                  <c:v>79436772.136000007</c:v>
                </c:pt>
                <c:pt idx="142">
                  <c:v>79436772.136000007</c:v>
                </c:pt>
                <c:pt idx="143">
                  <c:v>79436772.136000007</c:v>
                </c:pt>
                <c:pt idx="144">
                  <c:v>79436772.136000007</c:v>
                </c:pt>
                <c:pt idx="145">
                  <c:v>79436772.136000007</c:v>
                </c:pt>
                <c:pt idx="146">
                  <c:v>79436772.136000007</c:v>
                </c:pt>
                <c:pt idx="147">
                  <c:v>79436772.136000007</c:v>
                </c:pt>
                <c:pt idx="148">
                  <c:v>79436772.136000007</c:v>
                </c:pt>
                <c:pt idx="149">
                  <c:v>79436772.136000007</c:v>
                </c:pt>
                <c:pt idx="150">
                  <c:v>79436772.136000007</c:v>
                </c:pt>
                <c:pt idx="151">
                  <c:v>79436772.136000007</c:v>
                </c:pt>
                <c:pt idx="152">
                  <c:v>79436772.136000007</c:v>
                </c:pt>
                <c:pt idx="153">
                  <c:v>79436772.136000007</c:v>
                </c:pt>
                <c:pt idx="154">
                  <c:v>79436772.136000007</c:v>
                </c:pt>
                <c:pt idx="155">
                  <c:v>79436772.136000007</c:v>
                </c:pt>
                <c:pt idx="156">
                  <c:v>79436772.136000007</c:v>
                </c:pt>
                <c:pt idx="157">
                  <c:v>79436772.136000007</c:v>
                </c:pt>
                <c:pt idx="158">
                  <c:v>79436772.136000007</c:v>
                </c:pt>
                <c:pt idx="159">
                  <c:v>79436772.136000007</c:v>
                </c:pt>
                <c:pt idx="160">
                  <c:v>79436772.136000007</c:v>
                </c:pt>
                <c:pt idx="161">
                  <c:v>79436772.136000007</c:v>
                </c:pt>
                <c:pt idx="162">
                  <c:v>79436772.136000007</c:v>
                </c:pt>
                <c:pt idx="163">
                  <c:v>79436772.136000007</c:v>
                </c:pt>
                <c:pt idx="164">
                  <c:v>79436772.136000007</c:v>
                </c:pt>
                <c:pt idx="165">
                  <c:v>79436772.136000007</c:v>
                </c:pt>
                <c:pt idx="166">
                  <c:v>79436772.136000007</c:v>
                </c:pt>
                <c:pt idx="167">
                  <c:v>79436772.136000007</c:v>
                </c:pt>
                <c:pt idx="168">
                  <c:v>79436772.136000007</c:v>
                </c:pt>
                <c:pt idx="169">
                  <c:v>79436772.136000007</c:v>
                </c:pt>
                <c:pt idx="170">
                  <c:v>79436772.136000007</c:v>
                </c:pt>
                <c:pt idx="171">
                  <c:v>79436772.136000007</c:v>
                </c:pt>
                <c:pt idx="172">
                  <c:v>79436772.136000007</c:v>
                </c:pt>
                <c:pt idx="173">
                  <c:v>79436772.136000007</c:v>
                </c:pt>
                <c:pt idx="174">
                  <c:v>79436772.136000007</c:v>
                </c:pt>
                <c:pt idx="175">
                  <c:v>79436772.136000007</c:v>
                </c:pt>
                <c:pt idx="176">
                  <c:v>79436772.136000007</c:v>
                </c:pt>
                <c:pt idx="177">
                  <c:v>79436772.136000007</c:v>
                </c:pt>
                <c:pt idx="178">
                  <c:v>79436772.136000007</c:v>
                </c:pt>
                <c:pt idx="179">
                  <c:v>79436772.136000007</c:v>
                </c:pt>
                <c:pt idx="180">
                  <c:v>79436772.136000007</c:v>
                </c:pt>
                <c:pt idx="181">
                  <c:v>79436772.136000007</c:v>
                </c:pt>
                <c:pt idx="182">
                  <c:v>79436772.136000007</c:v>
                </c:pt>
                <c:pt idx="183">
                  <c:v>79436772.136000007</c:v>
                </c:pt>
                <c:pt idx="184">
                  <c:v>79436772.136000007</c:v>
                </c:pt>
                <c:pt idx="185">
                  <c:v>79436772.136000007</c:v>
                </c:pt>
                <c:pt idx="186">
                  <c:v>79436772.136000007</c:v>
                </c:pt>
                <c:pt idx="187">
                  <c:v>79436772.136000007</c:v>
                </c:pt>
                <c:pt idx="188">
                  <c:v>79436772.136000007</c:v>
                </c:pt>
                <c:pt idx="189">
                  <c:v>79436772.136000007</c:v>
                </c:pt>
                <c:pt idx="190">
                  <c:v>79436772.136000007</c:v>
                </c:pt>
                <c:pt idx="191">
                  <c:v>79436772.136000007</c:v>
                </c:pt>
                <c:pt idx="192">
                  <c:v>79436772.136000007</c:v>
                </c:pt>
                <c:pt idx="193">
                  <c:v>79436772.136000007</c:v>
                </c:pt>
                <c:pt idx="194">
                  <c:v>79436772.136000007</c:v>
                </c:pt>
                <c:pt idx="195">
                  <c:v>79436772.136000007</c:v>
                </c:pt>
                <c:pt idx="196">
                  <c:v>79436772.136000007</c:v>
                </c:pt>
                <c:pt idx="197">
                  <c:v>79436772.136000007</c:v>
                </c:pt>
                <c:pt idx="198">
                  <c:v>79436772.136000007</c:v>
                </c:pt>
                <c:pt idx="199">
                  <c:v>79436772.136000007</c:v>
                </c:pt>
                <c:pt idx="200">
                  <c:v>79436772.136000007</c:v>
                </c:pt>
                <c:pt idx="201">
                  <c:v>79436772.136000007</c:v>
                </c:pt>
                <c:pt idx="202">
                  <c:v>79436772.136000007</c:v>
                </c:pt>
                <c:pt idx="203">
                  <c:v>79436772.136000007</c:v>
                </c:pt>
                <c:pt idx="204">
                  <c:v>79436772.136000007</c:v>
                </c:pt>
                <c:pt idx="205">
                  <c:v>79436772.136000007</c:v>
                </c:pt>
                <c:pt idx="206">
                  <c:v>79436772.136000007</c:v>
                </c:pt>
                <c:pt idx="207">
                  <c:v>79436772.136000007</c:v>
                </c:pt>
                <c:pt idx="208">
                  <c:v>79436772.136000007</c:v>
                </c:pt>
                <c:pt idx="209">
                  <c:v>79436772.136000007</c:v>
                </c:pt>
                <c:pt idx="210">
                  <c:v>79436772.136000007</c:v>
                </c:pt>
                <c:pt idx="211">
                  <c:v>79436772.136000007</c:v>
                </c:pt>
                <c:pt idx="212">
                  <c:v>79436772.136000007</c:v>
                </c:pt>
                <c:pt idx="213">
                  <c:v>79436772.136000007</c:v>
                </c:pt>
                <c:pt idx="214">
                  <c:v>79436772.136000007</c:v>
                </c:pt>
                <c:pt idx="215">
                  <c:v>79436772.136000007</c:v>
                </c:pt>
                <c:pt idx="216">
                  <c:v>79436772.136000007</c:v>
                </c:pt>
                <c:pt idx="217">
                  <c:v>79436772.136000007</c:v>
                </c:pt>
                <c:pt idx="218">
                  <c:v>79436772.136000007</c:v>
                </c:pt>
                <c:pt idx="219">
                  <c:v>79436772.136000007</c:v>
                </c:pt>
                <c:pt idx="220">
                  <c:v>79436772.136000007</c:v>
                </c:pt>
                <c:pt idx="221">
                  <c:v>79436772.136000007</c:v>
                </c:pt>
                <c:pt idx="222">
                  <c:v>79436772.136000007</c:v>
                </c:pt>
                <c:pt idx="223">
                  <c:v>79436772.136000007</c:v>
                </c:pt>
                <c:pt idx="224">
                  <c:v>79436772.136000007</c:v>
                </c:pt>
                <c:pt idx="225">
                  <c:v>79436772.136000007</c:v>
                </c:pt>
                <c:pt idx="226">
                  <c:v>79436772.136000007</c:v>
                </c:pt>
                <c:pt idx="227">
                  <c:v>79436772.136000007</c:v>
                </c:pt>
                <c:pt idx="228">
                  <c:v>79436772.136000007</c:v>
                </c:pt>
                <c:pt idx="229">
                  <c:v>79436772.136000007</c:v>
                </c:pt>
                <c:pt idx="230">
                  <c:v>79436772.136000007</c:v>
                </c:pt>
                <c:pt idx="231">
                  <c:v>79436772.136000007</c:v>
                </c:pt>
                <c:pt idx="232">
                  <c:v>79436772.136000007</c:v>
                </c:pt>
                <c:pt idx="233">
                  <c:v>79436772.136000007</c:v>
                </c:pt>
                <c:pt idx="234">
                  <c:v>79436772.136000007</c:v>
                </c:pt>
                <c:pt idx="235">
                  <c:v>79436772.136000007</c:v>
                </c:pt>
                <c:pt idx="236">
                  <c:v>79436772.136000007</c:v>
                </c:pt>
                <c:pt idx="237">
                  <c:v>79436772.136000007</c:v>
                </c:pt>
                <c:pt idx="238">
                  <c:v>79436772.136000007</c:v>
                </c:pt>
                <c:pt idx="239">
                  <c:v>79436772.136000007</c:v>
                </c:pt>
                <c:pt idx="240">
                  <c:v>79436772.136000007</c:v>
                </c:pt>
                <c:pt idx="241">
                  <c:v>79436772.136000007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2FA-41DF-9367-019F80D7803E}"/>
            </c:ext>
          </c:extLst>
        </c:ser>
        <c:ser>
          <c:idx val="1"/>
          <c:order val="4"/>
          <c:tx>
            <c:strRef>
              <c:f>Projections_Data!$F$20</c:f>
              <c:strCache>
                <c:ptCount val="1"/>
                <c:pt idx="0">
                  <c:v>Critically ill estimates</c:v>
                </c:pt>
              </c:strCache>
            </c:strRef>
          </c:tx>
          <c:spPr>
            <a:ln w="381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Projections_Data!$G$20:$IN$20</c:f>
              <c:numCache>
                <c:formatCode>_-* #,##0_-;\-* #,##0_-;_-* "-"??_-;_-@_-</c:formatCode>
                <c:ptCount val="242"/>
                <c:pt idx="0">
                  <c:v>26.038</c:v>
                </c:pt>
                <c:pt idx="1">
                  <c:v>30.643999999999998</c:v>
                </c:pt>
                <c:pt idx="2">
                  <c:v>43.616</c:v>
                </c:pt>
                <c:pt idx="3">
                  <c:v>65.988</c:v>
                </c:pt>
                <c:pt idx="4">
                  <c:v>97.102000000000004</c:v>
                </c:pt>
                <c:pt idx="5">
                  <c:v>133.762</c:v>
                </c:pt>
                <c:pt idx="6">
                  <c:v>255.821</c:v>
                </c:pt>
                <c:pt idx="7">
                  <c:v>283.03399999999999</c:v>
                </c:pt>
                <c:pt idx="8">
                  <c:v>378.303</c:v>
                </c:pt>
                <c:pt idx="9">
                  <c:v>455.43</c:v>
                </c:pt>
                <c:pt idx="10">
                  <c:v>552.06200000000001</c:v>
                </c:pt>
                <c:pt idx="11">
                  <c:v>718.20699999999999</c:v>
                </c:pt>
                <c:pt idx="12">
                  <c:v>877.20799999999997</c:v>
                </c:pt>
                <c:pt idx="13">
                  <c:v>1041.191</c:v>
                </c:pt>
                <c:pt idx="14">
                  <c:v>1181.9090000000001</c:v>
                </c:pt>
                <c:pt idx="15">
                  <c:v>1287.1890000000001</c:v>
                </c:pt>
                <c:pt idx="16">
                  <c:v>1406.8979999999999</c:v>
                </c:pt>
                <c:pt idx="17">
                  <c:v>1323.2850000000001</c:v>
                </c:pt>
                <c:pt idx="18">
                  <c:v>1528.393</c:v>
                </c:pt>
                <c:pt idx="19">
                  <c:v>1479.184</c:v>
                </c:pt>
                <c:pt idx="20">
                  <c:v>1511.2380000000001</c:v>
                </c:pt>
                <c:pt idx="21">
                  <c:v>1658.9590000000001</c:v>
                </c:pt>
                <c:pt idx="22">
                  <c:v>1772.7929999999999</c:v>
                </c:pt>
                <c:pt idx="23">
                  <c:v>2003.751</c:v>
                </c:pt>
                <c:pt idx="24">
                  <c:v>1866.229</c:v>
                </c:pt>
                <c:pt idx="25">
                  <c:v>1801.463</c:v>
                </c:pt>
                <c:pt idx="26">
                  <c:v>1769.973</c:v>
                </c:pt>
                <c:pt idx="27">
                  <c:v>1668.876</c:v>
                </c:pt>
                <c:pt idx="28">
                  <c:v>1597.624</c:v>
                </c:pt>
                <c:pt idx="29">
                  <c:v>1466.212</c:v>
                </c:pt>
                <c:pt idx="30">
                  <c:v>1402.9970000000001</c:v>
                </c:pt>
                <c:pt idx="31">
                  <c:v>1405.1590000000001</c:v>
                </c:pt>
                <c:pt idx="32">
                  <c:v>978.58699999999999</c:v>
                </c:pt>
                <c:pt idx="33">
                  <c:v>349.82100000000003</c:v>
                </c:pt>
                <c:pt idx="34">
                  <c:v>237.53800000000001</c:v>
                </c:pt>
                <c:pt idx="35">
                  <c:v>384.13100000000003</c:v>
                </c:pt>
                <c:pt idx="36">
                  <c:v>329.14100000000002</c:v>
                </c:pt>
                <c:pt idx="37">
                  <c:v>292.43400000000003</c:v>
                </c:pt>
                <c:pt idx="38">
                  <c:v>280.96600000000001</c:v>
                </c:pt>
                <c:pt idx="39">
                  <c:v>383.61399999999998</c:v>
                </c:pt>
                <c:pt idx="40">
                  <c:v>395.27</c:v>
                </c:pt>
                <c:pt idx="41">
                  <c:v>405.61</c:v>
                </c:pt>
                <c:pt idx="42">
                  <c:v>320.72800000000001</c:v>
                </c:pt>
                <c:pt idx="43">
                  <c:v>400.44</c:v>
                </c:pt>
                <c:pt idx="44">
                  <c:v>416.279</c:v>
                </c:pt>
                <c:pt idx="45">
                  <c:v>401.14499999999998</c:v>
                </c:pt>
                <c:pt idx="46">
                  <c:v>384.69499999999999</c:v>
                </c:pt>
                <c:pt idx="47">
                  <c:v>339.01100000000002</c:v>
                </c:pt>
                <c:pt idx="48">
                  <c:v>310.05900000000003</c:v>
                </c:pt>
                <c:pt idx="49">
                  <c:v>254.78700000000001</c:v>
                </c:pt>
                <c:pt idx="50">
                  <c:v>210.70099999999999</c:v>
                </c:pt>
                <c:pt idx="51">
                  <c:v>209.15</c:v>
                </c:pt>
                <c:pt idx="52">
                  <c:v>171.83199999999999</c:v>
                </c:pt>
                <c:pt idx="53">
                  <c:v>186.261</c:v>
                </c:pt>
                <c:pt idx="54">
                  <c:v>175.31</c:v>
                </c:pt>
                <c:pt idx="55">
                  <c:v>162.05600000000001</c:v>
                </c:pt>
                <c:pt idx="56">
                  <c:v>169.529</c:v>
                </c:pt>
                <c:pt idx="57">
                  <c:v>198.857</c:v>
                </c:pt>
                <c:pt idx="58">
                  <c:v>228.32599999999999</c:v>
                </c:pt>
                <c:pt idx="59">
                  <c:v>271.84800000000001</c:v>
                </c:pt>
                <c:pt idx="60">
                  <c:v>292.62200000000001</c:v>
                </c:pt>
                <c:pt idx="61">
                  <c:v>342.48899999999998</c:v>
                </c:pt>
                <c:pt idx="62">
                  <c:v>358.14</c:v>
                </c:pt>
                <c:pt idx="63">
                  <c:v>397.52600000000001</c:v>
                </c:pt>
                <c:pt idx="64">
                  <c:v>428.31099999999998</c:v>
                </c:pt>
                <c:pt idx="65">
                  <c:v>477.33199999999999</c:v>
                </c:pt>
                <c:pt idx="66">
                  <c:v>525.22500000000002</c:v>
                </c:pt>
                <c:pt idx="67">
                  <c:v>572.11738140433636</c:v>
                </c:pt>
                <c:pt idx="68">
                  <c:v>623.19634081575498</c:v>
                </c:pt>
                <c:pt idx="69">
                  <c:v>678.83565825745939</c:v>
                </c:pt>
                <c:pt idx="70">
                  <c:v>739.44248504192808</c:v>
                </c:pt>
                <c:pt idx="71">
                  <c:v>805.4603231782628</c:v>
                </c:pt>
                <c:pt idx="72">
                  <c:v>877.37227078268972</c:v>
                </c:pt>
                <c:pt idx="73">
                  <c:v>955.70455724112298</c:v>
                </c:pt>
                <c:pt idx="74">
                  <c:v>1041.0303939930161</c:v>
                </c:pt>
                <c:pt idx="75">
                  <c:v>1133.9741691153488</c:v>
                </c:pt>
                <c:pt idx="76">
                  <c:v>1235.2160164014117</c:v>
                </c:pt>
                <c:pt idx="77">
                  <c:v>1345.4967923695017</c:v>
                </c:pt>
                <c:pt idx="78">
                  <c:v>1465.6234976217304</c:v>
                </c:pt>
                <c:pt idx="79">
                  <c:v>1596.4751822247783</c:v>
                </c:pt>
                <c:pt idx="80">
                  <c:v>1739.009378326338</c:v>
                </c:pt>
                <c:pt idx="81">
                  <c:v>1894.269107079152</c:v>
                </c:pt>
                <c:pt idx="82">
                  <c:v>2063.3905111471367</c:v>
                </c:pt>
                <c:pt idx="83">
                  <c:v>2247.6111686459235</c:v>
                </c:pt>
                <c:pt idx="84">
                  <c:v>2448.2791493566492</c:v>
                </c:pt>
                <c:pt idx="85">
                  <c:v>2666.8628794835781</c:v>
                </c:pt>
                <c:pt idx="86">
                  <c:v>2904.961887142792</c:v>
                </c:pt>
                <c:pt idx="87">
                  <c:v>3164.318507214115</c:v>
                </c:pt>
                <c:pt idx="88">
                  <c:v>3446.8306312087548</c:v>
                </c:pt>
                <c:pt idx="89">
                  <c:v>3754.5655954522513</c:v>
                </c:pt>
                <c:pt idx="90">
                  <c:v>4089.7753092121566</c:v>
                </c:pt>
                <c:pt idx="91">
                  <c:v>4454.9127334734048</c:v>
                </c:pt>
                <c:pt idx="92">
                  <c:v>4852.649830947953</c:v>
                </c:pt>
                <c:pt idx="93">
                  <c:v>5285.8971186713097</c:v>
                </c:pt>
                <c:pt idx="94">
                  <c:v>5757.8249662658027</c:v>
                </c:pt>
                <c:pt idx="95">
                  <c:v>6271.8867957246948</c:v>
                </c:pt>
                <c:pt idx="96">
                  <c:v>6831.8443524859758</c:v>
                </c:pt>
                <c:pt idx="97">
                  <c:v>7441.795232721749</c:v>
                </c:pt>
                <c:pt idx="98">
                  <c:v>8106.2028682793871</c:v>
                </c:pt>
                <c:pt idx="99">
                  <c:v>8829.929188694985</c:v>
                </c:pt>
                <c:pt idx="100">
                  <c:v>9618.2701992896218</c:v>
                </c:pt>
                <c:pt idx="101">
                  <c:v>10476.994735697926</c:v>
                </c:pt>
                <c:pt idx="102">
                  <c:v>11412.386678422608</c:v>
                </c:pt>
                <c:pt idx="103">
                  <c:v>12431.290936328003</c:v>
                </c:pt>
                <c:pt idx="104">
                  <c:v>13541.163535565593</c:v>
                </c:pt>
                <c:pt idx="105">
                  <c:v>14750.126180466794</c:v>
                </c:pt>
                <c:pt idx="106">
                  <c:v>16067.025685662731</c:v>
                </c:pt>
                <c:pt idx="107">
                  <c:v>17501.498714336853</c:v>
                </c:pt>
                <c:pt idx="108">
                  <c:v>19064.04229634492</c:v>
                </c:pt>
                <c:pt idx="109">
                  <c:v>20766.090642232124</c:v>
                </c:pt>
                <c:pt idx="110">
                  <c:v>22620.098815248584</c:v>
                </c:pt>
                <c:pt idx="111">
                  <c:v>24639.633873649105</c:v>
                </c:pt>
                <c:pt idx="112">
                  <c:v>26839.474150228401</c:v>
                </c:pt>
                <c:pt idx="113">
                  <c:v>29235.717395588654</c:v>
                </c:pt>
                <c:pt idx="114">
                  <c:v>31845.898576498425</c:v>
                </c:pt>
                <c:pt idx="115">
                  <c:v>34689.118191354872</c:v>
                </c:pt>
                <c:pt idx="116">
                  <c:v>37786.182041722073</c:v>
                </c:pt>
                <c:pt idx="117">
                  <c:v>41159.753482750435</c:v>
                </c:pt>
                <c:pt idx="118">
                  <c:v>44834.519266598494</c:v>
                </c:pt>
                <c:pt idx="119">
                  <c:v>48837.370192448187</c:v>
                </c:pt>
                <c:pt idx="120">
                  <c:v>53197.597885054303</c:v>
                </c:pt>
                <c:pt idx="121">
                  <c:v>57947.109141792811</c:v>
                </c:pt>
                <c:pt idx="122">
                  <c:v>63120.659416733368</c:v>
                </c:pt>
                <c:pt idx="123">
                  <c:v>68756.107150300275</c:v>
                </c:pt>
                <c:pt idx="124">
                  <c:v>74894.690805627615</c:v>
                </c:pt>
                <c:pt idx="125">
                  <c:v>81581.330638874962</c:v>
                </c:pt>
                <c:pt idx="126">
                  <c:v>88864.957411765427</c:v>
                </c:pt>
                <c:pt idx="127">
                  <c:v>96798.870451762792</c:v>
                </c:pt>
                <c:pt idx="128">
                  <c:v>105441.12768006115</c:v>
                </c:pt>
                <c:pt idx="129">
                  <c:v>114854.97046149151</c:v>
                </c:pt>
                <c:pt idx="130">
                  <c:v>125109.28638526524</c:v>
                </c:pt>
                <c:pt idx="131">
                  <c:v>136279.11336304087</c:v>
                </c:pt>
                <c:pt idx="132">
                  <c:v>148446.18873314798</c:v>
                </c:pt>
                <c:pt idx="133">
                  <c:v>161699.5473891428</c:v>
                </c:pt>
                <c:pt idx="134">
                  <c:v>176136.17330961543</c:v>
                </c:pt>
                <c:pt idx="135">
                  <c:v>191861.70925694235</c:v>
                </c:pt>
                <c:pt idx="136">
                  <c:v>208991.22983833973</c:v>
                </c:pt>
                <c:pt idx="137">
                  <c:v>227650.08358623969</c:v>
                </c:pt>
                <c:pt idx="138">
                  <c:v>247974.81022007283</c:v>
                </c:pt>
                <c:pt idx="139">
                  <c:v>270114.13980169519</c:v>
                </c:pt>
                <c:pt idx="140">
                  <c:v>294230.08109596965</c:v>
                </c:pt>
                <c:pt idx="141">
                  <c:v>320499.10710078862</c:v>
                </c:pt>
                <c:pt idx="142">
                  <c:v>349113.44642187847</c:v>
                </c:pt>
                <c:pt idx="143">
                  <c:v>380282.48994226893</c:v>
                </c:pt>
                <c:pt idx="144">
                  <c:v>414234.32307999767</c:v>
                </c:pt>
                <c:pt idx="145">
                  <c:v>451217.39484663925</c:v>
                </c:pt>
                <c:pt idx="146">
                  <c:v>491502.33592031174</c:v>
                </c:pt>
                <c:pt idx="147">
                  <c:v>535383.93903725699</c:v>
                </c:pt>
                <c:pt idx="148">
                  <c:v>583183.31619388703</c:v>
                </c:pt>
                <c:pt idx="149">
                  <c:v>635250.24844503542</c:v>
                </c:pt>
                <c:pt idx="150">
                  <c:v>691965.74549350818</c:v>
                </c:pt>
                <c:pt idx="151">
                  <c:v>753744.83380121924</c:v>
                </c:pt>
                <c:pt idx="152">
                  <c:v>821039.59362444712</c:v>
                </c:pt>
                <c:pt idx="153">
                  <c:v>894342.46719729481</c:v>
                </c:pt>
                <c:pt idx="154">
                  <c:v>974189.86227161682</c:v>
                </c:pt>
                <c:pt idx="155">
                  <c:v>1061166.0773830044</c:v>
                </c:pt>
                <c:pt idx="156">
                  <c:v>1155907.577566711</c:v>
                </c:pt>
                <c:pt idx="157">
                  <c:v>1259107.6518118836</c:v>
                </c:pt>
                <c:pt idx="158">
                  <c:v>1371521.486335909</c:v>
                </c:pt>
                <c:pt idx="159">
                  <c:v>1493971.6908035292</c:v>
                </c:pt>
                <c:pt idx="160">
                  <c:v>1627354.3179298854</c:v>
                </c:pt>
                <c:pt idx="161">
                  <c:v>1772645.4205170847</c:v>
                </c:pt>
                <c:pt idx="162">
                  <c:v>1930908.1939066558</c:v>
                </c:pt>
                <c:pt idx="163">
                  <c:v>2103300.7561141462</c:v>
                </c:pt>
                <c:pt idx="164">
                  <c:v>2291084.6225784877</c:v>
                </c:pt>
                <c:pt idx="165">
                  <c:v>2495633.9375417139</c:v>
                </c:pt>
                <c:pt idx="166">
                  <c:v>2718445.5296114208</c:v>
                </c:pt>
                <c:pt idx="167">
                  <c:v>2961149.8650894579</c:v>
                </c:pt>
                <c:pt idx="168">
                  <c:v>3225522.9792199242</c:v>
                </c:pt>
                <c:pt idx="169">
                  <c:v>3513499.4726656512</c:v>
                </c:pt>
                <c:pt idx="170">
                  <c:v>3827186.6683173669</c:v>
                </c:pt>
                <c:pt idx="171">
                  <c:v>4168880.0320306886</c:v>
                </c:pt>
                <c:pt idx="172">
                  <c:v>4541079.97013513</c:v>
                </c:pt>
                <c:pt idx="173">
                  <c:v>4946510.1266340949</c:v>
                </c:pt>
                <c:pt idx="174">
                  <c:v>5388137.3139891112</c:v>
                </c:pt>
                <c:pt idx="175">
                  <c:v>5869193.2233356079</c:v>
                </c:pt>
                <c:pt idx="176">
                  <c:v>6393198.0729988953</c:v>
                </c:pt>
                <c:pt idx="177">
                  <c:v>6963986.3683628496</c:v>
                </c:pt>
                <c:pt idx="178">
                  <c:v>7585734.961594075</c:v>
                </c:pt>
                <c:pt idx="179">
                  <c:v>8262993.6165539073</c:v>
                </c:pt>
                <c:pt idx="180">
                  <c:v>9000718.3025628421</c:v>
                </c:pt>
                <c:pt idx="181">
                  <c:v>9804307.460650837</c:v>
                </c:pt>
                <c:pt idx="182">
                  <c:v>10679641.507678721</c:v>
                </c:pt>
                <c:pt idx="183">
                  <c:v>11633125.867409602</c:v>
                </c:pt>
                <c:pt idx="184">
                  <c:v>12671737.843418403</c:v>
                </c:pt>
                <c:pt idx="185">
                  <c:v>13803077.676840914</c:v>
                </c:pt>
                <c:pt idx="186">
                  <c:v>15035424.162587224</c:v>
                </c:pt>
                <c:pt idx="187">
                  <c:v>16377795.23100174</c:v>
                </c:pt>
                <c:pt idx="188">
                  <c:v>17840013.938287675</c:v>
                </c:pt>
                <c:pt idx="189">
                  <c:v>19432780.34859347</c:v>
                </c:pt>
                <c:pt idx="190">
                  <c:v>21167749.833772086</c:v>
                </c:pt>
                <c:pt idx="191">
                  <c:v>23057618.363786492</c:v>
                </c:pt>
                <c:pt idx="192">
                  <c:v>25116215.411890272</c:v>
                </c:pt>
                <c:pt idx="193">
                  <c:v>27358605.154434573</c:v>
                </c:pt>
                <c:pt idx="194">
                  <c:v>29801196.705850422</c:v>
                </c:pt>
                <c:pt idx="195">
                  <c:v>32461864.195471805</c:v>
                </c:pt>
                <c:pt idx="196">
                  <c:v>35360077.564884596</c:v>
                </c:pt>
                <c:pt idx="197">
                  <c:v>38517045.042935885</c:v>
                </c:pt>
                <c:pt idx="198">
                  <c:v>41955868.340991676</c:v>
                </c:pt>
                <c:pt idx="199">
                  <c:v>45701711.70411396</c:v>
                </c:pt>
                <c:pt idx="200">
                  <c:v>49781986.055221267</c:v>
                </c:pt>
                <c:pt idx="201">
                  <c:v>54226549.579742737</c:v>
                </c:pt>
                <c:pt idx="202">
                  <c:v>59067926.218582191</c:v>
                </c:pt>
                <c:pt idx="203">
                  <c:v>64341543.668256059</c:v>
                </c:pt>
                <c:pt idx="204">
                  <c:v>70085992.629816577</c:v>
                </c:pt>
                <c:pt idx="205">
                  <c:v>76343309.203663737</c:v>
                </c:pt>
                <c:pt idx="206">
                  <c:v>79436772.136000007</c:v>
                </c:pt>
                <c:pt idx="207">
                  <c:v>79436772.136000007</c:v>
                </c:pt>
                <c:pt idx="208">
                  <c:v>79436772.136000007</c:v>
                </c:pt>
                <c:pt idx="209">
                  <c:v>79436772.136000007</c:v>
                </c:pt>
                <c:pt idx="210">
                  <c:v>79436772.136000007</c:v>
                </c:pt>
                <c:pt idx="211">
                  <c:v>79436772.136000007</c:v>
                </c:pt>
                <c:pt idx="212">
                  <c:v>79436772.136000007</c:v>
                </c:pt>
                <c:pt idx="213">
                  <c:v>79436772.136000007</c:v>
                </c:pt>
                <c:pt idx="214">
                  <c:v>79436772.136000007</c:v>
                </c:pt>
                <c:pt idx="215">
                  <c:v>79436772.136000007</c:v>
                </c:pt>
                <c:pt idx="216">
                  <c:v>79436772.136000007</c:v>
                </c:pt>
                <c:pt idx="217">
                  <c:v>79436772.136000007</c:v>
                </c:pt>
                <c:pt idx="218">
                  <c:v>79436772.136000007</c:v>
                </c:pt>
                <c:pt idx="219">
                  <c:v>79436772.136000007</c:v>
                </c:pt>
                <c:pt idx="220">
                  <c:v>79436772.136000007</c:v>
                </c:pt>
                <c:pt idx="221">
                  <c:v>79436772.136000007</c:v>
                </c:pt>
                <c:pt idx="222">
                  <c:v>79436772.136000007</c:v>
                </c:pt>
                <c:pt idx="223">
                  <c:v>79436772.136000007</c:v>
                </c:pt>
                <c:pt idx="224">
                  <c:v>79436772.136000007</c:v>
                </c:pt>
                <c:pt idx="225">
                  <c:v>79436772.136000007</c:v>
                </c:pt>
                <c:pt idx="226">
                  <c:v>79436772.136000007</c:v>
                </c:pt>
                <c:pt idx="227">
                  <c:v>79436772.136000007</c:v>
                </c:pt>
                <c:pt idx="228">
                  <c:v>79436772.136000007</c:v>
                </c:pt>
                <c:pt idx="229">
                  <c:v>79436772.136000007</c:v>
                </c:pt>
                <c:pt idx="230">
                  <c:v>79436772.136000007</c:v>
                </c:pt>
                <c:pt idx="231">
                  <c:v>79436772.136000007</c:v>
                </c:pt>
                <c:pt idx="232">
                  <c:v>79436772.136000007</c:v>
                </c:pt>
                <c:pt idx="233">
                  <c:v>79436772.136000007</c:v>
                </c:pt>
                <c:pt idx="234">
                  <c:v>79436772.136000007</c:v>
                </c:pt>
                <c:pt idx="235">
                  <c:v>79436772.136000007</c:v>
                </c:pt>
                <c:pt idx="236">
                  <c:v>79436772.136000007</c:v>
                </c:pt>
                <c:pt idx="237">
                  <c:v>79436772.136000007</c:v>
                </c:pt>
                <c:pt idx="238">
                  <c:v>79436772.136000007</c:v>
                </c:pt>
                <c:pt idx="239">
                  <c:v>79436772.136000007</c:v>
                </c:pt>
                <c:pt idx="240">
                  <c:v>79436772.136000007</c:v>
                </c:pt>
                <c:pt idx="241">
                  <c:v>79436772.136000007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2FA-41DF-9367-019F80D7803E}"/>
            </c:ext>
          </c:extLst>
        </c:ser>
        <c:ser>
          <c:idx val="5"/>
          <c:order val="5"/>
          <c:tx>
            <c:strRef>
              <c:f>Projections_Data!$F$25</c:f>
              <c:strCache>
                <c:ptCount val="1"/>
                <c:pt idx="0">
                  <c:v>Today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"/>
            <c:spPr>
              <a:noFill/>
              <a:ln w="41275" cap="flat" cmpd="sng" algn="ctr">
                <a:solidFill>
                  <a:srgbClr val="00B05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Projections_Data!$G$25:$IN$25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1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2FA-41DF-9367-019F80D780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3320912"/>
        <c:axId val="257416288"/>
      </c:lineChart>
      <c:dateAx>
        <c:axId val="553320912"/>
        <c:scaling>
          <c:orientation val="minMax"/>
          <c:max val="43922"/>
          <c:min val="4389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257416288"/>
        <c:crosses val="autoZero"/>
        <c:auto val="0"/>
        <c:lblOffset val="100"/>
        <c:baseTimeUnit val="days"/>
      </c:dateAx>
      <c:valAx>
        <c:axId val="257416288"/>
        <c:scaling>
          <c:orientation val="minMax"/>
          <c:max val="20908.08604717211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53320912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800"/>
              <a:t>Number</a:t>
            </a:r>
            <a:r>
              <a:rPr lang="en-GB" sz="1800" baseline="0"/>
              <a:t> of cases: Country by day since 100th infection</a:t>
            </a:r>
            <a:endParaRPr lang="en-GB" sz="1800"/>
          </a:p>
        </c:rich>
      </c:tx>
      <c:layout>
        <c:manualLayout>
          <c:xMode val="edge"/>
          <c:yMode val="edge"/>
          <c:x val="0.14386729070242973"/>
          <c:y val="9.9337126654788586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1225589793856148E-2"/>
          <c:y val="7.4670365244226308E-2"/>
          <c:w val="0.74154846987902279"/>
          <c:h val="0.81719722257760619"/>
        </c:manualLayout>
      </c:layout>
      <c:lineChart>
        <c:grouping val="standard"/>
        <c:varyColors val="0"/>
        <c:ser>
          <c:idx val="1"/>
          <c:order val="0"/>
          <c:tx>
            <c:strRef>
              <c:f>Days_Since_100!$H$2</c:f>
              <c:strCache>
                <c:ptCount val="1"/>
                <c:pt idx="0">
                  <c:v>50% Daily Increase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Days_Since_100!$I$2:$KU$2</c:f>
              <c:numCache>
                <c:formatCode>_-* #,##0_-;\-* #,##0_-;_-* "-"??_-;_-@_-</c:formatCode>
                <c:ptCount val="299"/>
                <c:pt idx="0" formatCode="General">
                  <c:v>100</c:v>
                </c:pt>
                <c:pt idx="1">
                  <c:v>150</c:v>
                </c:pt>
                <c:pt idx="2">
                  <c:v>225</c:v>
                </c:pt>
                <c:pt idx="3">
                  <c:v>337.5</c:v>
                </c:pt>
                <c:pt idx="4">
                  <c:v>506.25</c:v>
                </c:pt>
                <c:pt idx="5">
                  <c:v>759.375</c:v>
                </c:pt>
                <c:pt idx="6">
                  <c:v>1139.0625</c:v>
                </c:pt>
                <c:pt idx="7">
                  <c:v>1708.59375</c:v>
                </c:pt>
                <c:pt idx="8">
                  <c:v>2562.890625</c:v>
                </c:pt>
                <c:pt idx="9">
                  <c:v>3844.3359375</c:v>
                </c:pt>
                <c:pt idx="10">
                  <c:v>5766.50390625</c:v>
                </c:pt>
                <c:pt idx="11">
                  <c:v>8649.755859375</c:v>
                </c:pt>
                <c:pt idx="12">
                  <c:v>12974.6337890625</c:v>
                </c:pt>
                <c:pt idx="13">
                  <c:v>19461.95068359375</c:v>
                </c:pt>
                <c:pt idx="14">
                  <c:v>29192.926025390625</c:v>
                </c:pt>
                <c:pt idx="15">
                  <c:v>43789.389038085938</c:v>
                </c:pt>
                <c:pt idx="16">
                  <c:v>65684.083557128906</c:v>
                </c:pt>
                <c:pt idx="17">
                  <c:v>98526.125335693359</c:v>
                </c:pt>
                <c:pt idx="18">
                  <c:v>147789.18800354004</c:v>
                </c:pt>
                <c:pt idx="19">
                  <c:v>221683.78200531006</c:v>
                </c:pt>
                <c:pt idx="20">
                  <c:v>332525.67300796509</c:v>
                </c:pt>
                <c:pt idx="21">
                  <c:v>498788.50951194763</c:v>
                </c:pt>
                <c:pt idx="22">
                  <c:v>748182.76426792145</c:v>
                </c:pt>
                <c:pt idx="23">
                  <c:v>1122274.1464018822</c:v>
                </c:pt>
                <c:pt idx="24">
                  <c:v>1683411.2196028233</c:v>
                </c:pt>
                <c:pt idx="25">
                  <c:v>2525116.8294042349</c:v>
                </c:pt>
                <c:pt idx="26">
                  <c:v>3787675.2441063523</c:v>
                </c:pt>
                <c:pt idx="27">
                  <c:v>5681512.8661595285</c:v>
                </c:pt>
                <c:pt idx="28">
                  <c:v>8522269.2992392927</c:v>
                </c:pt>
                <c:pt idx="29">
                  <c:v>12783403.948858939</c:v>
                </c:pt>
                <c:pt idx="30">
                  <c:v>19175105.923288409</c:v>
                </c:pt>
                <c:pt idx="31">
                  <c:v>28762658.884932615</c:v>
                </c:pt>
                <c:pt idx="32">
                  <c:v>43143988.327398926</c:v>
                </c:pt>
                <c:pt idx="33">
                  <c:v>64715982.491098389</c:v>
                </c:pt>
                <c:pt idx="34">
                  <c:v>97073973.736647576</c:v>
                </c:pt>
                <c:pt idx="35">
                  <c:v>145610960.60497135</c:v>
                </c:pt>
                <c:pt idx="36">
                  <c:v>218416440.90745702</c:v>
                </c:pt>
                <c:pt idx="37">
                  <c:v>327624661.36118555</c:v>
                </c:pt>
                <c:pt idx="38">
                  <c:v>491436992.04177833</c:v>
                </c:pt>
                <c:pt idx="39">
                  <c:v>737155488.06266749</c:v>
                </c:pt>
                <c:pt idx="40">
                  <c:v>1105733232.0940013</c:v>
                </c:pt>
                <c:pt idx="41">
                  <c:v>1658599848.1410019</c:v>
                </c:pt>
                <c:pt idx="42">
                  <c:v>2487899772.211503</c:v>
                </c:pt>
                <c:pt idx="43">
                  <c:v>3731849658.3172545</c:v>
                </c:pt>
                <c:pt idx="44">
                  <c:v>5597774487.4758816</c:v>
                </c:pt>
                <c:pt idx="45">
                  <c:v>8396661731.2138224</c:v>
                </c:pt>
                <c:pt idx="46">
                  <c:v>12594992596.820734</c:v>
                </c:pt>
                <c:pt idx="47">
                  <c:v>18892488895.231102</c:v>
                </c:pt>
                <c:pt idx="48">
                  <c:v>28338733342.846653</c:v>
                </c:pt>
                <c:pt idx="49">
                  <c:v>42508100014.269981</c:v>
                </c:pt>
                <c:pt idx="50">
                  <c:v>63762150021.404968</c:v>
                </c:pt>
                <c:pt idx="51">
                  <c:v>95643225032.107452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39-447C-95C3-9E180202C83B}"/>
            </c:ext>
          </c:extLst>
        </c:ser>
        <c:ser>
          <c:idx val="2"/>
          <c:order val="1"/>
          <c:tx>
            <c:strRef>
              <c:f>Days_Since_100!$H$3</c:f>
              <c:strCache>
                <c:ptCount val="1"/>
                <c:pt idx="0">
                  <c:v>40% Daily Increase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Days_Since_100!$I$3:$KU$3</c:f>
              <c:numCache>
                <c:formatCode>_-* #,##0_-;\-* #,##0_-;_-* "-"??_-;_-@_-</c:formatCode>
                <c:ptCount val="299"/>
                <c:pt idx="0" formatCode="General">
                  <c:v>100</c:v>
                </c:pt>
                <c:pt idx="1">
                  <c:v>140</c:v>
                </c:pt>
                <c:pt idx="2">
                  <c:v>196</c:v>
                </c:pt>
                <c:pt idx="3">
                  <c:v>274.39999999999998</c:v>
                </c:pt>
                <c:pt idx="4">
                  <c:v>384.15999999999997</c:v>
                </c:pt>
                <c:pt idx="5">
                  <c:v>537.82399999999996</c:v>
                </c:pt>
                <c:pt idx="6">
                  <c:v>752.95359999999994</c:v>
                </c:pt>
                <c:pt idx="7">
                  <c:v>1054.1350399999999</c:v>
                </c:pt>
                <c:pt idx="8">
                  <c:v>1475.7890559999998</c:v>
                </c:pt>
                <c:pt idx="9">
                  <c:v>2066.1046783999996</c:v>
                </c:pt>
                <c:pt idx="10">
                  <c:v>2892.5465497599994</c:v>
                </c:pt>
                <c:pt idx="11">
                  <c:v>4049.5651696639989</c:v>
                </c:pt>
                <c:pt idx="12">
                  <c:v>5669.3912375295977</c:v>
                </c:pt>
                <c:pt idx="13">
                  <c:v>7937.1477325414362</c:v>
                </c:pt>
                <c:pt idx="14">
                  <c:v>11112.00682555801</c:v>
                </c:pt>
                <c:pt idx="15">
                  <c:v>15556.809555781212</c:v>
                </c:pt>
                <c:pt idx="16">
                  <c:v>21779.533378093696</c:v>
                </c:pt>
                <c:pt idx="17">
                  <c:v>30491.346729331173</c:v>
                </c:pt>
                <c:pt idx="18">
                  <c:v>42687.885421063642</c:v>
                </c:pt>
                <c:pt idx="19">
                  <c:v>59763.039589489097</c:v>
                </c:pt>
                <c:pt idx="20">
                  <c:v>83668.255425284733</c:v>
                </c:pt>
                <c:pt idx="21">
                  <c:v>117135.55759539861</c:v>
                </c:pt>
                <c:pt idx="22">
                  <c:v>163989.78063355805</c:v>
                </c:pt>
                <c:pt idx="23">
                  <c:v>229585.69288698127</c:v>
                </c:pt>
                <c:pt idx="24">
                  <c:v>321419.97004177375</c:v>
                </c:pt>
                <c:pt idx="25">
                  <c:v>449987.9580584832</c:v>
                </c:pt>
                <c:pt idx="26">
                  <c:v>629983.14128187648</c:v>
                </c:pt>
                <c:pt idx="27">
                  <c:v>881976.397794627</c:v>
                </c:pt>
                <c:pt idx="28">
                  <c:v>1234766.9569124777</c:v>
                </c:pt>
                <c:pt idx="29">
                  <c:v>1728673.7396774688</c:v>
                </c:pt>
                <c:pt idx="30">
                  <c:v>2420143.2355484562</c:v>
                </c:pt>
                <c:pt idx="31">
                  <c:v>3388200.5297678383</c:v>
                </c:pt>
                <c:pt idx="32">
                  <c:v>4743480.7416749736</c:v>
                </c:pt>
                <c:pt idx="33">
                  <c:v>6640873.0383449625</c:v>
                </c:pt>
                <c:pt idx="34">
                  <c:v>9297222.2536829468</c:v>
                </c:pt>
                <c:pt idx="35">
                  <c:v>13016111.155156124</c:v>
                </c:pt>
                <c:pt idx="36">
                  <c:v>18222555.617218573</c:v>
                </c:pt>
                <c:pt idx="37">
                  <c:v>25511577.864105999</c:v>
                </c:pt>
                <c:pt idx="38">
                  <c:v>35716209.009748399</c:v>
                </c:pt>
                <c:pt idx="39">
                  <c:v>50002692.613647759</c:v>
                </c:pt>
                <c:pt idx="40">
                  <c:v>70003769.659106866</c:v>
                </c:pt>
                <c:pt idx="41">
                  <c:v>98005277.522749603</c:v>
                </c:pt>
                <c:pt idx="42">
                  <c:v>137207388.53184944</c:v>
                </c:pt>
                <c:pt idx="43">
                  <c:v>192090343.9445892</c:v>
                </c:pt>
                <c:pt idx="44">
                  <c:v>268926481.52242488</c:v>
                </c:pt>
                <c:pt idx="45">
                  <c:v>376497074.1313948</c:v>
                </c:pt>
                <c:pt idx="46">
                  <c:v>527095903.78395271</c:v>
                </c:pt>
                <c:pt idx="47">
                  <c:v>737934265.29753375</c:v>
                </c:pt>
                <c:pt idx="48">
                  <c:v>1033107971.4165472</c:v>
                </c:pt>
                <c:pt idx="49">
                  <c:v>1446351159.983166</c:v>
                </c:pt>
                <c:pt idx="50">
                  <c:v>2024891623.9764323</c:v>
                </c:pt>
                <c:pt idx="51">
                  <c:v>2834848273.5670052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39-447C-95C3-9E180202C83B}"/>
            </c:ext>
          </c:extLst>
        </c:ser>
        <c:ser>
          <c:idx val="3"/>
          <c:order val="2"/>
          <c:tx>
            <c:strRef>
              <c:f>Days_Since_100!$H$4</c:f>
              <c:strCache>
                <c:ptCount val="1"/>
                <c:pt idx="0">
                  <c:v>30% Daily Increase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Days_Since_100!$I$4:$KU$4</c:f>
              <c:numCache>
                <c:formatCode>_-* #,##0_-;\-* #,##0_-;_-* "-"??_-;_-@_-</c:formatCode>
                <c:ptCount val="299"/>
                <c:pt idx="0" formatCode="General">
                  <c:v>100</c:v>
                </c:pt>
                <c:pt idx="1">
                  <c:v>130</c:v>
                </c:pt>
                <c:pt idx="2">
                  <c:v>169</c:v>
                </c:pt>
                <c:pt idx="3">
                  <c:v>219.70000000000002</c:v>
                </c:pt>
                <c:pt idx="4">
                  <c:v>285.61</c:v>
                </c:pt>
                <c:pt idx="5">
                  <c:v>371.29300000000001</c:v>
                </c:pt>
                <c:pt idx="6">
                  <c:v>482.68090000000001</c:v>
                </c:pt>
                <c:pt idx="7">
                  <c:v>627.48517000000004</c:v>
                </c:pt>
                <c:pt idx="8">
                  <c:v>815.73072100000013</c:v>
                </c:pt>
                <c:pt idx="9">
                  <c:v>1060.4499373000001</c:v>
                </c:pt>
                <c:pt idx="10">
                  <c:v>1378.5849184900003</c:v>
                </c:pt>
                <c:pt idx="11">
                  <c:v>1792.1603940370005</c:v>
                </c:pt>
                <c:pt idx="12">
                  <c:v>2329.8085122481007</c:v>
                </c:pt>
                <c:pt idx="13">
                  <c:v>3028.7510659225309</c:v>
                </c:pt>
                <c:pt idx="14">
                  <c:v>3937.37638569929</c:v>
                </c:pt>
                <c:pt idx="15">
                  <c:v>5118.5893014090771</c:v>
                </c:pt>
                <c:pt idx="16">
                  <c:v>6654.1660918318003</c:v>
                </c:pt>
                <c:pt idx="17">
                  <c:v>8650.4159193813412</c:v>
                </c:pt>
                <c:pt idx="18">
                  <c:v>11245.540695195745</c:v>
                </c:pt>
                <c:pt idx="19">
                  <c:v>14619.202903754469</c:v>
                </c:pt>
                <c:pt idx="20">
                  <c:v>19004.963774880809</c:v>
                </c:pt>
                <c:pt idx="21">
                  <c:v>24706.452907345054</c:v>
                </c:pt>
                <c:pt idx="22">
                  <c:v>32118.388779548572</c:v>
                </c:pt>
                <c:pt idx="23">
                  <c:v>41753.905413413144</c:v>
                </c:pt>
                <c:pt idx="24">
                  <c:v>54280.077037437091</c:v>
                </c:pt>
                <c:pt idx="25">
                  <c:v>70564.100148668222</c:v>
                </c:pt>
                <c:pt idx="26">
                  <c:v>91733.330193268688</c:v>
                </c:pt>
                <c:pt idx="27">
                  <c:v>119253.32925124929</c:v>
                </c:pt>
                <c:pt idx="28">
                  <c:v>155029.32802662408</c:v>
                </c:pt>
                <c:pt idx="29">
                  <c:v>201538.1264346113</c:v>
                </c:pt>
                <c:pt idx="30">
                  <c:v>261999.5643649947</c:v>
                </c:pt>
                <c:pt idx="31">
                  <c:v>340599.43367449311</c:v>
                </c:pt>
                <c:pt idx="32">
                  <c:v>442779.26377684105</c:v>
                </c:pt>
                <c:pt idx="33">
                  <c:v>575613.04290989344</c:v>
                </c:pt>
                <c:pt idx="34">
                  <c:v>748296.95578286145</c:v>
                </c:pt>
                <c:pt idx="35">
                  <c:v>972786.04251771991</c:v>
                </c:pt>
                <c:pt idx="36">
                  <c:v>1264621.8552730358</c:v>
                </c:pt>
                <c:pt idx="37">
                  <c:v>1644008.4118549465</c:v>
                </c:pt>
                <c:pt idx="38">
                  <c:v>2137210.9354114304</c:v>
                </c:pt>
                <c:pt idx="39">
                  <c:v>2778374.2160348599</c:v>
                </c:pt>
                <c:pt idx="40">
                  <c:v>3611886.4808453182</c:v>
                </c:pt>
                <c:pt idx="41">
                  <c:v>4695452.4250989137</c:v>
                </c:pt>
                <c:pt idx="42">
                  <c:v>6104088.1526285885</c:v>
                </c:pt>
                <c:pt idx="43">
                  <c:v>7935314.5984171657</c:v>
                </c:pt>
                <c:pt idx="44">
                  <c:v>10315908.977942316</c:v>
                </c:pt>
                <c:pt idx="45">
                  <c:v>13410681.671325011</c:v>
                </c:pt>
                <c:pt idx="46">
                  <c:v>17433886.172722515</c:v>
                </c:pt>
                <c:pt idx="47">
                  <c:v>22664052.02453927</c:v>
                </c:pt>
                <c:pt idx="48">
                  <c:v>29463267.631901052</c:v>
                </c:pt>
                <c:pt idx="49">
                  <c:v>38302247.921471372</c:v>
                </c:pt>
                <c:pt idx="50">
                  <c:v>49792922.297912784</c:v>
                </c:pt>
                <c:pt idx="51">
                  <c:v>64730798.98728662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939-447C-95C3-9E180202C83B}"/>
            </c:ext>
          </c:extLst>
        </c:ser>
        <c:ser>
          <c:idx val="4"/>
          <c:order val="3"/>
          <c:tx>
            <c:strRef>
              <c:f>Days_Since_100!$H$5</c:f>
              <c:strCache>
                <c:ptCount val="1"/>
                <c:pt idx="0">
                  <c:v>US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Days_Since_100!$I$5:$KU$5</c:f>
              <c:numCache>
                <c:formatCode>General</c:formatCode>
                <c:ptCount val="299"/>
                <c:pt idx="0">
                  <c:v>118</c:v>
                </c:pt>
                <c:pt idx="1">
                  <c:v>149</c:v>
                </c:pt>
                <c:pt idx="2">
                  <c:v>217</c:v>
                </c:pt>
                <c:pt idx="3">
                  <c:v>262</c:v>
                </c:pt>
                <c:pt idx="4">
                  <c:v>402</c:v>
                </c:pt>
                <c:pt idx="5">
                  <c:v>518</c:v>
                </c:pt>
                <c:pt idx="6">
                  <c:v>583</c:v>
                </c:pt>
                <c:pt idx="7">
                  <c:v>959</c:v>
                </c:pt>
                <c:pt idx="8">
                  <c:v>1281</c:v>
                </c:pt>
                <c:pt idx="9">
                  <c:v>1663</c:v>
                </c:pt>
                <c:pt idx="10">
                  <c:v>2179</c:v>
                </c:pt>
                <c:pt idx="11">
                  <c:v>2727</c:v>
                </c:pt>
                <c:pt idx="12">
                  <c:v>3499</c:v>
                </c:pt>
                <c:pt idx="13">
                  <c:v>4632</c:v>
                </c:pt>
                <c:pt idx="14">
                  <c:v>6421</c:v>
                </c:pt>
                <c:pt idx="15">
                  <c:v>7783</c:v>
                </c:pt>
                <c:pt idx="16">
                  <c:v>13677</c:v>
                </c:pt>
                <c:pt idx="17">
                  <c:v>19100</c:v>
                </c:pt>
                <c:pt idx="18">
                  <c:v>25489</c:v>
                </c:pt>
                <c:pt idx="19">
                  <c:v>33276</c:v>
                </c:pt>
                <c:pt idx="20">
                  <c:v>43847</c:v>
                </c:pt>
                <c:pt idx="21">
                  <c:v>53740</c:v>
                </c:pt>
                <c:pt idx="22">
                  <c:v>65778</c:v>
                </c:pt>
                <c:pt idx="23">
                  <c:v>83836</c:v>
                </c:pt>
                <c:pt idx="24">
                  <c:v>101657</c:v>
                </c:pt>
                <c:pt idx="25">
                  <c:v>121478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939-447C-95C3-9E180202C83B}"/>
            </c:ext>
          </c:extLst>
        </c:ser>
        <c:ser>
          <c:idx val="5"/>
          <c:order val="4"/>
          <c:tx>
            <c:strRef>
              <c:f>Days_Since_100!$H$6</c:f>
              <c:strCache>
                <c:ptCount val="1"/>
                <c:pt idx="0">
                  <c:v>Italy</c:v>
                </c:pt>
              </c:strCache>
            </c:strRef>
          </c:tx>
          <c:spPr>
            <a:ln w="5080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Days_Since_100!$I$6:$KU$6</c:f>
              <c:numCache>
                <c:formatCode>General</c:formatCode>
                <c:ptCount val="299"/>
                <c:pt idx="0">
                  <c:v>155</c:v>
                </c:pt>
                <c:pt idx="1">
                  <c:v>229</c:v>
                </c:pt>
                <c:pt idx="2">
                  <c:v>322</c:v>
                </c:pt>
                <c:pt idx="3">
                  <c:v>453</c:v>
                </c:pt>
                <c:pt idx="4">
                  <c:v>655</c:v>
                </c:pt>
                <c:pt idx="5">
                  <c:v>888</c:v>
                </c:pt>
                <c:pt idx="6">
                  <c:v>1128</c:v>
                </c:pt>
                <c:pt idx="7">
                  <c:v>1694</c:v>
                </c:pt>
                <c:pt idx="8">
                  <c:v>2036</c:v>
                </c:pt>
                <c:pt idx="9">
                  <c:v>2502</c:v>
                </c:pt>
                <c:pt idx="10">
                  <c:v>3089</c:v>
                </c:pt>
                <c:pt idx="11">
                  <c:v>3858</c:v>
                </c:pt>
                <c:pt idx="12">
                  <c:v>4636</c:v>
                </c:pt>
                <c:pt idx="13">
                  <c:v>5883</c:v>
                </c:pt>
                <c:pt idx="14">
                  <c:v>7375</c:v>
                </c:pt>
                <c:pt idx="15">
                  <c:v>9172</c:v>
                </c:pt>
                <c:pt idx="16">
                  <c:v>10149</c:v>
                </c:pt>
                <c:pt idx="17">
                  <c:v>12462</c:v>
                </c:pt>
                <c:pt idx="18">
                  <c:v>15113</c:v>
                </c:pt>
                <c:pt idx="19">
                  <c:v>17660</c:v>
                </c:pt>
                <c:pt idx="20">
                  <c:v>21157</c:v>
                </c:pt>
                <c:pt idx="21">
                  <c:v>24747</c:v>
                </c:pt>
                <c:pt idx="22">
                  <c:v>27980</c:v>
                </c:pt>
                <c:pt idx="23">
                  <c:v>31506</c:v>
                </c:pt>
                <c:pt idx="24">
                  <c:v>35713</c:v>
                </c:pt>
                <c:pt idx="25">
                  <c:v>41035</c:v>
                </c:pt>
                <c:pt idx="26">
                  <c:v>47021</c:v>
                </c:pt>
                <c:pt idx="27">
                  <c:v>53578</c:v>
                </c:pt>
                <c:pt idx="28">
                  <c:v>59138</c:v>
                </c:pt>
                <c:pt idx="29">
                  <c:v>63927</c:v>
                </c:pt>
                <c:pt idx="30">
                  <c:v>69176</c:v>
                </c:pt>
                <c:pt idx="31">
                  <c:v>74386</c:v>
                </c:pt>
                <c:pt idx="32">
                  <c:v>80589</c:v>
                </c:pt>
                <c:pt idx="33">
                  <c:v>86498</c:v>
                </c:pt>
                <c:pt idx="34">
                  <c:v>92472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939-447C-95C3-9E180202C83B}"/>
            </c:ext>
          </c:extLst>
        </c:ser>
        <c:ser>
          <c:idx val="6"/>
          <c:order val="5"/>
          <c:tx>
            <c:strRef>
              <c:f>Days_Since_100!$H$7</c:f>
              <c:strCache>
                <c:ptCount val="1"/>
                <c:pt idx="0">
                  <c:v>China</c:v>
                </c:pt>
              </c:strCache>
            </c:strRef>
          </c:tx>
          <c:spPr>
            <a:ln w="50800" cap="rnd" cmpd="sng" algn="ctr">
              <a:solidFill>
                <a:srgbClr val="4472C4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Days_Since_100!$I$7:$KU$7</c:f>
              <c:numCache>
                <c:formatCode>General</c:formatCode>
                <c:ptCount val="299"/>
                <c:pt idx="0">
                  <c:v>548</c:v>
                </c:pt>
                <c:pt idx="1">
                  <c:v>643</c:v>
                </c:pt>
                <c:pt idx="2">
                  <c:v>920</c:v>
                </c:pt>
                <c:pt idx="3">
                  <c:v>1406</c:v>
                </c:pt>
                <c:pt idx="4">
                  <c:v>2075</c:v>
                </c:pt>
                <c:pt idx="5">
                  <c:v>2877</c:v>
                </c:pt>
                <c:pt idx="6">
                  <c:v>5509</c:v>
                </c:pt>
                <c:pt idx="7">
                  <c:v>6087</c:v>
                </c:pt>
                <c:pt idx="8">
                  <c:v>8141</c:v>
                </c:pt>
                <c:pt idx="9">
                  <c:v>9802</c:v>
                </c:pt>
                <c:pt idx="10">
                  <c:v>11891</c:v>
                </c:pt>
                <c:pt idx="11">
                  <c:v>16630</c:v>
                </c:pt>
                <c:pt idx="12">
                  <c:v>19716</c:v>
                </c:pt>
                <c:pt idx="13">
                  <c:v>23707</c:v>
                </c:pt>
                <c:pt idx="14">
                  <c:v>27440</c:v>
                </c:pt>
                <c:pt idx="15">
                  <c:v>30587</c:v>
                </c:pt>
                <c:pt idx="16">
                  <c:v>34110</c:v>
                </c:pt>
                <c:pt idx="17">
                  <c:v>36814</c:v>
                </c:pt>
                <c:pt idx="18">
                  <c:v>39829</c:v>
                </c:pt>
                <c:pt idx="19">
                  <c:v>42354</c:v>
                </c:pt>
                <c:pt idx="20">
                  <c:v>44386</c:v>
                </c:pt>
                <c:pt idx="21">
                  <c:v>50000</c:v>
                </c:pt>
                <c:pt idx="22">
                  <c:v>59895</c:v>
                </c:pt>
                <c:pt idx="23">
                  <c:v>66358</c:v>
                </c:pt>
                <c:pt idx="24">
                  <c:v>68413</c:v>
                </c:pt>
                <c:pt idx="25">
                  <c:v>70513</c:v>
                </c:pt>
                <c:pt idx="26">
                  <c:v>72434</c:v>
                </c:pt>
                <c:pt idx="27">
                  <c:v>74211</c:v>
                </c:pt>
                <c:pt idx="28">
                  <c:v>74619</c:v>
                </c:pt>
                <c:pt idx="29">
                  <c:v>75077</c:v>
                </c:pt>
                <c:pt idx="30">
                  <c:v>75550</c:v>
                </c:pt>
                <c:pt idx="31">
                  <c:v>77001</c:v>
                </c:pt>
                <c:pt idx="32">
                  <c:v>77022</c:v>
                </c:pt>
                <c:pt idx="33">
                  <c:v>77241</c:v>
                </c:pt>
                <c:pt idx="34">
                  <c:v>77754</c:v>
                </c:pt>
                <c:pt idx="35">
                  <c:v>78166</c:v>
                </c:pt>
                <c:pt idx="36">
                  <c:v>78600</c:v>
                </c:pt>
                <c:pt idx="37">
                  <c:v>78928</c:v>
                </c:pt>
                <c:pt idx="38">
                  <c:v>79356</c:v>
                </c:pt>
                <c:pt idx="39">
                  <c:v>79932</c:v>
                </c:pt>
                <c:pt idx="40">
                  <c:v>80136</c:v>
                </c:pt>
                <c:pt idx="41">
                  <c:v>80261</c:v>
                </c:pt>
                <c:pt idx="42">
                  <c:v>80386</c:v>
                </c:pt>
                <c:pt idx="43">
                  <c:v>80537</c:v>
                </c:pt>
                <c:pt idx="44">
                  <c:v>80690</c:v>
                </c:pt>
                <c:pt idx="45">
                  <c:v>80770</c:v>
                </c:pt>
                <c:pt idx="46">
                  <c:v>80823</c:v>
                </c:pt>
                <c:pt idx="47">
                  <c:v>80860</c:v>
                </c:pt>
                <c:pt idx="48">
                  <c:v>80887</c:v>
                </c:pt>
                <c:pt idx="49">
                  <c:v>80921</c:v>
                </c:pt>
                <c:pt idx="50">
                  <c:v>80932</c:v>
                </c:pt>
                <c:pt idx="51">
                  <c:v>80945</c:v>
                </c:pt>
                <c:pt idx="52">
                  <c:v>80977</c:v>
                </c:pt>
                <c:pt idx="53">
                  <c:v>81003</c:v>
                </c:pt>
                <c:pt idx="54">
                  <c:v>81033</c:v>
                </c:pt>
                <c:pt idx="55">
                  <c:v>81058</c:v>
                </c:pt>
                <c:pt idx="56">
                  <c:v>81102</c:v>
                </c:pt>
                <c:pt idx="57">
                  <c:v>81156</c:v>
                </c:pt>
                <c:pt idx="58">
                  <c:v>81250</c:v>
                </c:pt>
                <c:pt idx="59">
                  <c:v>81305</c:v>
                </c:pt>
                <c:pt idx="60">
                  <c:v>81435</c:v>
                </c:pt>
                <c:pt idx="61">
                  <c:v>81498</c:v>
                </c:pt>
                <c:pt idx="62">
                  <c:v>81591</c:v>
                </c:pt>
                <c:pt idx="63">
                  <c:v>81661</c:v>
                </c:pt>
                <c:pt idx="64">
                  <c:v>81782</c:v>
                </c:pt>
                <c:pt idx="65">
                  <c:v>81897</c:v>
                </c:pt>
                <c:pt idx="66">
                  <c:v>81999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939-447C-95C3-9E180202C83B}"/>
            </c:ext>
          </c:extLst>
        </c:ser>
        <c:ser>
          <c:idx val="7"/>
          <c:order val="6"/>
          <c:tx>
            <c:strRef>
              <c:f>Days_Since_100!$H$8</c:f>
              <c:strCache>
                <c:ptCount val="1"/>
                <c:pt idx="0">
                  <c:v>Spain</c:v>
                </c:pt>
              </c:strCache>
            </c:strRef>
          </c:tx>
          <c:spPr>
            <a:ln w="50800" cap="rnd" cmpd="sng" algn="ctr">
              <a:solidFill>
                <a:srgbClr val="A5A5A5">
                  <a:lumMod val="6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Days_Since_100!$I$8:$KU$8</c:f>
              <c:numCache>
                <c:formatCode>General</c:formatCode>
                <c:ptCount val="299"/>
                <c:pt idx="0">
                  <c:v>120</c:v>
                </c:pt>
                <c:pt idx="1">
                  <c:v>165</c:v>
                </c:pt>
                <c:pt idx="2">
                  <c:v>222</c:v>
                </c:pt>
                <c:pt idx="3">
                  <c:v>259</c:v>
                </c:pt>
                <c:pt idx="4">
                  <c:v>400</c:v>
                </c:pt>
                <c:pt idx="5">
                  <c:v>500</c:v>
                </c:pt>
                <c:pt idx="6">
                  <c:v>673</c:v>
                </c:pt>
                <c:pt idx="7">
                  <c:v>1073</c:v>
                </c:pt>
                <c:pt idx="8">
                  <c:v>1695</c:v>
                </c:pt>
                <c:pt idx="9">
                  <c:v>2277</c:v>
                </c:pt>
                <c:pt idx="10">
                  <c:v>3146</c:v>
                </c:pt>
                <c:pt idx="11">
                  <c:v>5232</c:v>
                </c:pt>
                <c:pt idx="12">
                  <c:v>6391</c:v>
                </c:pt>
                <c:pt idx="13">
                  <c:v>7798</c:v>
                </c:pt>
                <c:pt idx="14">
                  <c:v>9942</c:v>
                </c:pt>
                <c:pt idx="15">
                  <c:v>11748</c:v>
                </c:pt>
                <c:pt idx="16">
                  <c:v>13910</c:v>
                </c:pt>
                <c:pt idx="17">
                  <c:v>17963</c:v>
                </c:pt>
                <c:pt idx="18">
                  <c:v>20410</c:v>
                </c:pt>
                <c:pt idx="19">
                  <c:v>25374</c:v>
                </c:pt>
                <c:pt idx="20">
                  <c:v>28768</c:v>
                </c:pt>
                <c:pt idx="21">
                  <c:v>35136</c:v>
                </c:pt>
                <c:pt idx="22">
                  <c:v>39885</c:v>
                </c:pt>
                <c:pt idx="23">
                  <c:v>49515</c:v>
                </c:pt>
                <c:pt idx="24">
                  <c:v>57786</c:v>
                </c:pt>
                <c:pt idx="25">
                  <c:v>65719</c:v>
                </c:pt>
                <c:pt idx="26">
                  <c:v>73235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939-447C-95C3-9E180202C83B}"/>
            </c:ext>
          </c:extLst>
        </c:ser>
        <c:ser>
          <c:idx val="8"/>
          <c:order val="7"/>
          <c:tx>
            <c:strRef>
              <c:f>Days_Since_100!$H$9</c:f>
              <c:strCache>
                <c:ptCount val="1"/>
                <c:pt idx="0">
                  <c:v>Germany</c:v>
                </c:pt>
              </c:strCache>
            </c:strRef>
          </c:tx>
          <c:spPr>
            <a:ln w="50800" cap="rnd" cmpd="sng" algn="ctr">
              <a:solidFill>
                <a:srgbClr val="FFC000">
                  <a:lumMod val="6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Days_Since_100!$I$9:$KU$9</c:f>
              <c:numCache>
                <c:formatCode>General</c:formatCode>
                <c:ptCount val="299"/>
                <c:pt idx="0">
                  <c:v>130</c:v>
                </c:pt>
                <c:pt idx="1">
                  <c:v>159</c:v>
                </c:pt>
                <c:pt idx="2">
                  <c:v>196</c:v>
                </c:pt>
                <c:pt idx="3">
                  <c:v>262</c:v>
                </c:pt>
                <c:pt idx="4">
                  <c:v>482</c:v>
                </c:pt>
                <c:pt idx="5">
                  <c:v>670</c:v>
                </c:pt>
                <c:pt idx="6">
                  <c:v>799</c:v>
                </c:pt>
                <c:pt idx="7">
                  <c:v>1040</c:v>
                </c:pt>
                <c:pt idx="8">
                  <c:v>1176</c:v>
                </c:pt>
                <c:pt idx="9">
                  <c:v>1457</c:v>
                </c:pt>
                <c:pt idx="10">
                  <c:v>1908</c:v>
                </c:pt>
                <c:pt idx="11">
                  <c:v>2745</c:v>
                </c:pt>
                <c:pt idx="12">
                  <c:v>3675</c:v>
                </c:pt>
                <c:pt idx="13">
                  <c:v>4585</c:v>
                </c:pt>
                <c:pt idx="14">
                  <c:v>5795</c:v>
                </c:pt>
                <c:pt idx="15">
                  <c:v>7272</c:v>
                </c:pt>
                <c:pt idx="16">
                  <c:v>9257</c:v>
                </c:pt>
                <c:pt idx="17">
                  <c:v>12327</c:v>
                </c:pt>
                <c:pt idx="18">
                  <c:v>15320</c:v>
                </c:pt>
                <c:pt idx="19">
                  <c:v>19848</c:v>
                </c:pt>
                <c:pt idx="20">
                  <c:v>22213</c:v>
                </c:pt>
                <c:pt idx="21">
                  <c:v>24873</c:v>
                </c:pt>
                <c:pt idx="22">
                  <c:v>29056</c:v>
                </c:pt>
                <c:pt idx="23">
                  <c:v>32986</c:v>
                </c:pt>
                <c:pt idx="24">
                  <c:v>37323</c:v>
                </c:pt>
                <c:pt idx="25">
                  <c:v>43938</c:v>
                </c:pt>
                <c:pt idx="26">
                  <c:v>50871</c:v>
                </c:pt>
                <c:pt idx="27">
                  <c:v>57695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939-447C-95C3-9E180202C83B}"/>
            </c:ext>
          </c:extLst>
        </c:ser>
        <c:ser>
          <c:idx val="9"/>
          <c:order val="8"/>
          <c:tx>
            <c:strRef>
              <c:f>Days_Since_100!$H$10</c:f>
              <c:strCache>
                <c:ptCount val="1"/>
                <c:pt idx="0">
                  <c:v>France</c:v>
                </c:pt>
              </c:strCache>
            </c:strRef>
          </c:tx>
          <c:spPr>
            <a:ln w="50800" cap="rnd" cmpd="sng" algn="ctr">
              <a:solidFill>
                <a:srgbClr val="4472C4">
                  <a:lumMod val="6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Days_Since_100!$I$10:$KU$10</c:f>
              <c:numCache>
                <c:formatCode>General</c:formatCode>
                <c:ptCount val="299"/>
                <c:pt idx="0">
                  <c:v>100</c:v>
                </c:pt>
                <c:pt idx="1">
                  <c:v>130</c:v>
                </c:pt>
                <c:pt idx="2">
                  <c:v>191</c:v>
                </c:pt>
                <c:pt idx="3">
                  <c:v>204</c:v>
                </c:pt>
                <c:pt idx="4">
                  <c:v>288</c:v>
                </c:pt>
                <c:pt idx="5">
                  <c:v>380</c:v>
                </c:pt>
                <c:pt idx="6">
                  <c:v>656</c:v>
                </c:pt>
                <c:pt idx="7">
                  <c:v>959</c:v>
                </c:pt>
                <c:pt idx="8">
                  <c:v>1136</c:v>
                </c:pt>
                <c:pt idx="9">
                  <c:v>1219</c:v>
                </c:pt>
                <c:pt idx="10">
                  <c:v>1794</c:v>
                </c:pt>
                <c:pt idx="11">
                  <c:v>2293</c:v>
                </c:pt>
                <c:pt idx="12">
                  <c:v>2876</c:v>
                </c:pt>
                <c:pt idx="13">
                  <c:v>3681</c:v>
                </c:pt>
                <c:pt idx="14">
                  <c:v>4496</c:v>
                </c:pt>
                <c:pt idx="15">
                  <c:v>5432</c:v>
                </c:pt>
                <c:pt idx="16">
                  <c:v>6683</c:v>
                </c:pt>
                <c:pt idx="17">
                  <c:v>7715</c:v>
                </c:pt>
                <c:pt idx="18">
                  <c:v>9124</c:v>
                </c:pt>
                <c:pt idx="19">
                  <c:v>10970</c:v>
                </c:pt>
                <c:pt idx="20">
                  <c:v>12758</c:v>
                </c:pt>
                <c:pt idx="21">
                  <c:v>14463</c:v>
                </c:pt>
                <c:pt idx="22">
                  <c:v>16243</c:v>
                </c:pt>
                <c:pt idx="23">
                  <c:v>20123</c:v>
                </c:pt>
                <c:pt idx="24">
                  <c:v>22622</c:v>
                </c:pt>
                <c:pt idx="25">
                  <c:v>25600</c:v>
                </c:pt>
                <c:pt idx="26">
                  <c:v>29551</c:v>
                </c:pt>
                <c:pt idx="27">
                  <c:v>33402</c:v>
                </c:pt>
                <c:pt idx="28">
                  <c:v>38105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939-447C-95C3-9E180202C83B}"/>
            </c:ext>
          </c:extLst>
        </c:ser>
        <c:ser>
          <c:idx val="10"/>
          <c:order val="9"/>
          <c:tx>
            <c:strRef>
              <c:f>Days_Since_100!$H$11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Days_Since_100!$I$11:$KU$11</c:f>
              <c:numCache>
                <c:formatCode>General</c:formatCode>
                <c:ptCount val="299"/>
                <c:pt idx="0">
                  <c:v>116</c:v>
                </c:pt>
                <c:pt idx="1">
                  <c:v>164</c:v>
                </c:pt>
                <c:pt idx="2">
                  <c:v>207</c:v>
                </c:pt>
                <c:pt idx="3">
                  <c:v>274</c:v>
                </c:pt>
                <c:pt idx="4">
                  <c:v>322</c:v>
                </c:pt>
                <c:pt idx="5">
                  <c:v>384</c:v>
                </c:pt>
                <c:pt idx="6">
                  <c:v>459</c:v>
                </c:pt>
                <c:pt idx="7">
                  <c:v>590</c:v>
                </c:pt>
                <c:pt idx="8">
                  <c:v>802</c:v>
                </c:pt>
                <c:pt idx="9">
                  <c:v>1144</c:v>
                </c:pt>
                <c:pt idx="10">
                  <c:v>1355</c:v>
                </c:pt>
                <c:pt idx="11">
                  <c:v>1551</c:v>
                </c:pt>
                <c:pt idx="12">
                  <c:v>1960</c:v>
                </c:pt>
                <c:pt idx="13">
                  <c:v>2642</c:v>
                </c:pt>
                <c:pt idx="14">
                  <c:v>2716</c:v>
                </c:pt>
                <c:pt idx="15">
                  <c:v>4014</c:v>
                </c:pt>
                <c:pt idx="16">
                  <c:v>5067</c:v>
                </c:pt>
                <c:pt idx="17">
                  <c:v>5745</c:v>
                </c:pt>
                <c:pt idx="18">
                  <c:v>6726</c:v>
                </c:pt>
                <c:pt idx="19">
                  <c:v>8164</c:v>
                </c:pt>
                <c:pt idx="20">
                  <c:v>9640</c:v>
                </c:pt>
                <c:pt idx="21">
                  <c:v>11812</c:v>
                </c:pt>
                <c:pt idx="22">
                  <c:v>14745</c:v>
                </c:pt>
                <c:pt idx="23">
                  <c:v>17312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939-447C-95C3-9E180202C83B}"/>
            </c:ext>
          </c:extLst>
        </c:ser>
        <c:ser>
          <c:idx val="12"/>
          <c:order val="10"/>
          <c:tx>
            <c:strRef>
              <c:f>Days_Since_100!$H$12</c:f>
              <c:strCache>
                <c:ptCount val="1"/>
                <c:pt idx="0">
                  <c:v>World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Days_Since_100!$I$12:$KU$12</c:f>
              <c:numCache>
                <c:formatCode>General</c:formatCode>
                <c:ptCount val="299"/>
                <c:pt idx="0">
                  <c:v>555</c:v>
                </c:pt>
                <c:pt idx="1">
                  <c:v>654</c:v>
                </c:pt>
                <c:pt idx="2">
                  <c:v>941</c:v>
                </c:pt>
                <c:pt idx="3">
                  <c:v>1434</c:v>
                </c:pt>
                <c:pt idx="4">
                  <c:v>2118</c:v>
                </c:pt>
                <c:pt idx="5">
                  <c:v>2927</c:v>
                </c:pt>
                <c:pt idx="6">
                  <c:v>5578</c:v>
                </c:pt>
                <c:pt idx="7">
                  <c:v>6166</c:v>
                </c:pt>
                <c:pt idx="8">
                  <c:v>8234</c:v>
                </c:pt>
                <c:pt idx="9">
                  <c:v>9927</c:v>
                </c:pt>
                <c:pt idx="10">
                  <c:v>12038</c:v>
                </c:pt>
                <c:pt idx="11">
                  <c:v>16787</c:v>
                </c:pt>
                <c:pt idx="12">
                  <c:v>19881</c:v>
                </c:pt>
                <c:pt idx="13">
                  <c:v>23892</c:v>
                </c:pt>
                <c:pt idx="14">
                  <c:v>27635</c:v>
                </c:pt>
                <c:pt idx="15">
                  <c:v>30794</c:v>
                </c:pt>
                <c:pt idx="16">
                  <c:v>34330</c:v>
                </c:pt>
                <c:pt idx="17">
                  <c:v>37059</c:v>
                </c:pt>
                <c:pt idx="18">
                  <c:v>40086</c:v>
                </c:pt>
                <c:pt idx="19">
                  <c:v>42627</c:v>
                </c:pt>
                <c:pt idx="20">
                  <c:v>44667</c:v>
                </c:pt>
                <c:pt idx="21">
                  <c:v>50287</c:v>
                </c:pt>
                <c:pt idx="22">
                  <c:v>60193</c:v>
                </c:pt>
                <c:pt idx="23">
                  <c:v>66667</c:v>
                </c:pt>
                <c:pt idx="24">
                  <c:v>68745</c:v>
                </c:pt>
                <c:pt idx="25">
                  <c:v>70869</c:v>
                </c:pt>
                <c:pt idx="26">
                  <c:v>72804</c:v>
                </c:pt>
                <c:pt idx="27">
                  <c:v>74594</c:v>
                </c:pt>
                <c:pt idx="28">
                  <c:v>75018</c:v>
                </c:pt>
                <c:pt idx="29">
                  <c:v>75563</c:v>
                </c:pt>
                <c:pt idx="30">
                  <c:v>76185</c:v>
                </c:pt>
                <c:pt idx="31">
                  <c:v>77938</c:v>
                </c:pt>
                <c:pt idx="32">
                  <c:v>78267</c:v>
                </c:pt>
                <c:pt idx="33">
                  <c:v>78870</c:v>
                </c:pt>
                <c:pt idx="34">
                  <c:v>79715</c:v>
                </c:pt>
                <c:pt idx="35">
                  <c:v>80683</c:v>
                </c:pt>
                <c:pt idx="36">
                  <c:v>82041</c:v>
                </c:pt>
                <c:pt idx="37">
                  <c:v>83407</c:v>
                </c:pt>
                <c:pt idx="38">
                  <c:v>85306</c:v>
                </c:pt>
                <c:pt idx="39">
                  <c:v>87664</c:v>
                </c:pt>
                <c:pt idx="40">
                  <c:v>89601</c:v>
                </c:pt>
                <c:pt idx="41">
                  <c:v>92134</c:v>
                </c:pt>
                <c:pt idx="42">
                  <c:v>94414</c:v>
                </c:pt>
                <c:pt idx="43">
                  <c:v>97176</c:v>
                </c:pt>
                <c:pt idx="44">
                  <c:v>101088</c:v>
                </c:pt>
                <c:pt idx="45">
                  <c:v>105125</c:v>
                </c:pt>
                <c:pt idx="46">
                  <c:v>109099</c:v>
                </c:pt>
                <c:pt idx="47">
                  <c:v>112865</c:v>
                </c:pt>
                <c:pt idx="48">
                  <c:v>117888</c:v>
                </c:pt>
                <c:pt idx="49">
                  <c:v>125139</c:v>
                </c:pt>
                <c:pt idx="50">
                  <c:v>132517</c:v>
                </c:pt>
                <c:pt idx="51">
                  <c:v>144468</c:v>
                </c:pt>
                <c:pt idx="52">
                  <c:v>155337</c:v>
                </c:pt>
                <c:pt idx="53">
                  <c:v>167781</c:v>
                </c:pt>
                <c:pt idx="54">
                  <c:v>180762</c:v>
                </c:pt>
                <c:pt idx="55">
                  <c:v>196234</c:v>
                </c:pt>
                <c:pt idx="56">
                  <c:v>213897</c:v>
                </c:pt>
                <c:pt idx="57">
                  <c:v>241500</c:v>
                </c:pt>
                <c:pt idx="58">
                  <c:v>270949</c:v>
                </c:pt>
                <c:pt idx="59">
                  <c:v>303183</c:v>
                </c:pt>
                <c:pt idx="60">
                  <c:v>335631</c:v>
                </c:pt>
                <c:pt idx="61">
                  <c:v>376812</c:v>
                </c:pt>
                <c:pt idx="62">
                  <c:v>416496</c:v>
                </c:pt>
                <c:pt idx="63">
                  <c:v>465942</c:v>
                </c:pt>
                <c:pt idx="64">
                  <c:v>527572</c:v>
                </c:pt>
                <c:pt idx="65">
                  <c:v>591115</c:v>
                </c:pt>
                <c:pt idx="66">
                  <c:v>658374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4939-447C-95C3-9E180202C83B}"/>
            </c:ext>
          </c:extLst>
        </c:ser>
        <c:ser>
          <c:idx val="14"/>
          <c:order val="11"/>
          <c:tx>
            <c:strRef>
              <c:f>Days_Since_100!$H$13</c:f>
              <c:strCache>
                <c:ptCount val="1"/>
                <c:pt idx="0">
                  <c:v>Europe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Days_Since_100!$I$13:$KU$13</c:f>
              <c:numCache>
                <c:formatCode>General</c:formatCode>
                <c:ptCount val="299"/>
                <c:pt idx="0">
                  <c:v>104</c:v>
                </c:pt>
                <c:pt idx="1">
                  <c:v>197</c:v>
                </c:pt>
                <c:pt idx="2">
                  <c:v>275</c:v>
                </c:pt>
                <c:pt idx="3">
                  <c:v>379</c:v>
                </c:pt>
                <c:pt idx="4">
                  <c:v>540</c:v>
                </c:pt>
                <c:pt idx="5">
                  <c:v>804</c:v>
                </c:pt>
                <c:pt idx="6">
                  <c:v>1093</c:v>
                </c:pt>
                <c:pt idx="7">
                  <c:v>1465</c:v>
                </c:pt>
                <c:pt idx="8">
                  <c:v>2205</c:v>
                </c:pt>
                <c:pt idx="9">
                  <c:v>2731</c:v>
                </c:pt>
                <c:pt idx="10">
                  <c:v>3360</c:v>
                </c:pt>
                <c:pt idx="11">
                  <c:v>4342</c:v>
                </c:pt>
                <c:pt idx="12">
                  <c:v>5743</c:v>
                </c:pt>
                <c:pt idx="13">
                  <c:v>7509</c:v>
                </c:pt>
                <c:pt idx="14">
                  <c:v>9653</c:v>
                </c:pt>
                <c:pt idx="15">
                  <c:v>12202</c:v>
                </c:pt>
                <c:pt idx="16">
                  <c:v>14988</c:v>
                </c:pt>
                <c:pt idx="17">
                  <c:v>18391</c:v>
                </c:pt>
                <c:pt idx="18">
                  <c:v>23465</c:v>
                </c:pt>
                <c:pt idx="19">
                  <c:v>29097</c:v>
                </c:pt>
                <c:pt idx="20">
                  <c:v>38314</c:v>
                </c:pt>
                <c:pt idx="21">
                  <c:v>46524</c:v>
                </c:pt>
                <c:pt idx="22">
                  <c:v>56031</c:v>
                </c:pt>
                <c:pt idx="23">
                  <c:v>65711</c:v>
                </c:pt>
                <c:pt idx="24">
                  <c:v>76893</c:v>
                </c:pt>
                <c:pt idx="25">
                  <c:v>90579</c:v>
                </c:pt>
                <c:pt idx="26">
                  <c:v>109054</c:v>
                </c:pt>
                <c:pt idx="27">
                  <c:v>129704</c:v>
                </c:pt>
                <c:pt idx="28">
                  <c:v>151490</c:v>
                </c:pt>
                <c:pt idx="29">
                  <c:v>171175</c:v>
                </c:pt>
                <c:pt idx="30">
                  <c:v>196940</c:v>
                </c:pt>
                <c:pt idx="31">
                  <c:v>220914</c:v>
                </c:pt>
                <c:pt idx="32">
                  <c:v>251069</c:v>
                </c:pt>
                <c:pt idx="33">
                  <c:v>287075</c:v>
                </c:pt>
                <c:pt idx="34">
                  <c:v>324624</c:v>
                </c:pt>
                <c:pt idx="35">
                  <c:v>362825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4939-447C-95C3-9E180202C83B}"/>
            </c:ext>
          </c:extLst>
        </c:ser>
        <c:ser>
          <c:idx val="16"/>
          <c:order val="12"/>
          <c:tx>
            <c:strRef>
              <c:f>Days_Since_100!$H$14</c:f>
              <c:strCache>
                <c:ptCount val="1"/>
                <c:pt idx="0">
                  <c:v>North America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Days_Since_100!$I$14:$KU$14</c:f>
              <c:numCache>
                <c:formatCode>General</c:formatCode>
                <c:ptCount val="299"/>
                <c:pt idx="0">
                  <c:v>103</c:v>
                </c:pt>
                <c:pt idx="1">
                  <c:v>130</c:v>
                </c:pt>
                <c:pt idx="2">
                  <c:v>153</c:v>
                </c:pt>
                <c:pt idx="3">
                  <c:v>187</c:v>
                </c:pt>
                <c:pt idx="4">
                  <c:v>259</c:v>
                </c:pt>
                <c:pt idx="5">
                  <c:v>318</c:v>
                </c:pt>
                <c:pt idx="6">
                  <c:v>463</c:v>
                </c:pt>
                <c:pt idx="7">
                  <c:v>594</c:v>
                </c:pt>
                <c:pt idx="8">
                  <c:v>676</c:v>
                </c:pt>
                <c:pt idx="9">
                  <c:v>1055</c:v>
                </c:pt>
                <c:pt idx="10">
                  <c:v>1419</c:v>
                </c:pt>
                <c:pt idx="11">
                  <c:v>1830</c:v>
                </c:pt>
                <c:pt idx="12">
                  <c:v>2447</c:v>
                </c:pt>
                <c:pt idx="13">
                  <c:v>3026</c:v>
                </c:pt>
                <c:pt idx="14">
                  <c:v>3877</c:v>
                </c:pt>
                <c:pt idx="15">
                  <c:v>5205</c:v>
                </c:pt>
                <c:pt idx="16">
                  <c:v>7109</c:v>
                </c:pt>
                <c:pt idx="17">
                  <c:v>8690</c:v>
                </c:pt>
                <c:pt idx="18">
                  <c:v>14800</c:v>
                </c:pt>
                <c:pt idx="19">
                  <c:v>20466</c:v>
                </c:pt>
                <c:pt idx="20">
                  <c:v>27324</c:v>
                </c:pt>
                <c:pt idx="21">
                  <c:v>35498</c:v>
                </c:pt>
                <c:pt idx="22">
                  <c:v>46816</c:v>
                </c:pt>
                <c:pt idx="23">
                  <c:v>57491</c:v>
                </c:pt>
                <c:pt idx="24">
                  <c:v>70164</c:v>
                </c:pt>
                <c:pt idx="25">
                  <c:v>89242</c:v>
                </c:pt>
                <c:pt idx="26">
                  <c:v>107974</c:v>
                </c:pt>
                <c:pt idx="27">
                  <c:v>129008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4939-447C-95C3-9E180202C83B}"/>
            </c:ext>
          </c:extLst>
        </c:ser>
        <c:ser>
          <c:idx val="19"/>
          <c:order val="13"/>
          <c:tx>
            <c:strRef>
              <c:f>Days_Since_100!$H$15</c:f>
              <c:strCache>
                <c:ptCount val="1"/>
                <c:pt idx="0">
                  <c:v>Asia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Days_Since_100!$I$15:$KU$15</c:f>
              <c:numCache>
                <c:formatCode>General</c:formatCode>
                <c:ptCount val="299"/>
                <c:pt idx="0">
                  <c:v>554</c:v>
                </c:pt>
                <c:pt idx="1">
                  <c:v>653</c:v>
                </c:pt>
                <c:pt idx="2">
                  <c:v>937</c:v>
                </c:pt>
                <c:pt idx="3">
                  <c:v>1429</c:v>
                </c:pt>
                <c:pt idx="4">
                  <c:v>2105</c:v>
                </c:pt>
                <c:pt idx="5">
                  <c:v>2911</c:v>
                </c:pt>
                <c:pt idx="6">
                  <c:v>5557</c:v>
                </c:pt>
                <c:pt idx="7">
                  <c:v>6138</c:v>
                </c:pt>
                <c:pt idx="8">
                  <c:v>8203</c:v>
                </c:pt>
                <c:pt idx="9">
                  <c:v>9886</c:v>
                </c:pt>
                <c:pt idx="10">
                  <c:v>11988</c:v>
                </c:pt>
                <c:pt idx="11">
                  <c:v>16734</c:v>
                </c:pt>
                <c:pt idx="12">
                  <c:v>19823</c:v>
                </c:pt>
                <c:pt idx="13">
                  <c:v>23832</c:v>
                </c:pt>
                <c:pt idx="14">
                  <c:v>27574</c:v>
                </c:pt>
                <c:pt idx="15">
                  <c:v>30732</c:v>
                </c:pt>
                <c:pt idx="16">
                  <c:v>34262</c:v>
                </c:pt>
                <c:pt idx="17">
                  <c:v>36984</c:v>
                </c:pt>
                <c:pt idx="18">
                  <c:v>40009</c:v>
                </c:pt>
                <c:pt idx="19">
                  <c:v>42544</c:v>
                </c:pt>
                <c:pt idx="20">
                  <c:v>44581</c:v>
                </c:pt>
                <c:pt idx="21">
                  <c:v>50200</c:v>
                </c:pt>
                <c:pt idx="22">
                  <c:v>60105</c:v>
                </c:pt>
                <c:pt idx="23">
                  <c:v>66578</c:v>
                </c:pt>
                <c:pt idx="24">
                  <c:v>68655</c:v>
                </c:pt>
                <c:pt idx="25">
                  <c:v>70778</c:v>
                </c:pt>
                <c:pt idx="26">
                  <c:v>72712</c:v>
                </c:pt>
                <c:pt idx="27">
                  <c:v>74502</c:v>
                </c:pt>
                <c:pt idx="28">
                  <c:v>74924</c:v>
                </c:pt>
                <c:pt idx="29">
                  <c:v>75466</c:v>
                </c:pt>
                <c:pt idx="30">
                  <c:v>76053</c:v>
                </c:pt>
                <c:pt idx="31">
                  <c:v>77750</c:v>
                </c:pt>
                <c:pt idx="32">
                  <c:v>77971</c:v>
                </c:pt>
                <c:pt idx="33">
                  <c:v>78435</c:v>
                </c:pt>
                <c:pt idx="34">
                  <c:v>79108</c:v>
                </c:pt>
                <c:pt idx="35">
                  <c:v>79831</c:v>
                </c:pt>
                <c:pt idx="36">
                  <c:v>80796</c:v>
                </c:pt>
                <c:pt idx="37">
                  <c:v>81712</c:v>
                </c:pt>
                <c:pt idx="38">
                  <c:v>82985</c:v>
                </c:pt>
                <c:pt idx="39">
                  <c:v>84174</c:v>
                </c:pt>
                <c:pt idx="40">
                  <c:v>85004</c:v>
                </c:pt>
                <c:pt idx="41">
                  <c:v>86010</c:v>
                </c:pt>
                <c:pt idx="42">
                  <c:v>86645</c:v>
                </c:pt>
                <c:pt idx="43">
                  <c:v>87311</c:v>
                </c:pt>
                <c:pt idx="44">
                  <c:v>88093</c:v>
                </c:pt>
                <c:pt idx="45">
                  <c:v>88691</c:v>
                </c:pt>
                <c:pt idx="46">
                  <c:v>89110</c:v>
                </c:pt>
                <c:pt idx="47">
                  <c:v>89366</c:v>
                </c:pt>
                <c:pt idx="48">
                  <c:v>89578</c:v>
                </c:pt>
                <c:pt idx="49">
                  <c:v>90009</c:v>
                </c:pt>
                <c:pt idx="50">
                  <c:v>90170</c:v>
                </c:pt>
                <c:pt idx="51">
                  <c:v>90559</c:v>
                </c:pt>
                <c:pt idx="52">
                  <c:v>90960</c:v>
                </c:pt>
                <c:pt idx="53">
                  <c:v>91494</c:v>
                </c:pt>
                <c:pt idx="54">
                  <c:v>91957</c:v>
                </c:pt>
                <c:pt idx="55">
                  <c:v>92557</c:v>
                </c:pt>
                <c:pt idx="56">
                  <c:v>93142</c:v>
                </c:pt>
                <c:pt idx="57">
                  <c:v>93991</c:v>
                </c:pt>
                <c:pt idx="58">
                  <c:v>94711</c:v>
                </c:pt>
                <c:pt idx="59">
                  <c:v>95824</c:v>
                </c:pt>
                <c:pt idx="60">
                  <c:v>96920</c:v>
                </c:pt>
                <c:pt idx="61">
                  <c:v>97888</c:v>
                </c:pt>
                <c:pt idx="62">
                  <c:v>98851</c:v>
                </c:pt>
                <c:pt idx="63">
                  <c:v>100098</c:v>
                </c:pt>
                <c:pt idx="64">
                  <c:v>101468</c:v>
                </c:pt>
                <c:pt idx="65">
                  <c:v>102919</c:v>
                </c:pt>
                <c:pt idx="66">
                  <c:v>104697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4939-447C-95C3-9E180202C83B}"/>
            </c:ext>
          </c:extLst>
        </c:ser>
        <c:ser>
          <c:idx val="20"/>
          <c:order val="14"/>
          <c:tx>
            <c:strRef>
              <c:f>Days_Since_100!$H$16</c:f>
              <c:strCache>
                <c:ptCount val="1"/>
                <c:pt idx="0">
                  <c:v>Middle East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Days_Since_100!$I$16:$KU$16</c:f>
              <c:numCache>
                <c:formatCode>General</c:formatCode>
                <c:ptCount val="299"/>
                <c:pt idx="0">
                  <c:v>148</c:v>
                </c:pt>
                <c:pt idx="1">
                  <c:v>225</c:v>
                </c:pt>
                <c:pt idx="2">
                  <c:v>351</c:v>
                </c:pt>
                <c:pt idx="3">
                  <c:v>506</c:v>
                </c:pt>
                <c:pt idx="4">
                  <c:v>732</c:v>
                </c:pt>
                <c:pt idx="5">
                  <c:v>1140</c:v>
                </c:pt>
                <c:pt idx="6">
                  <c:v>1687</c:v>
                </c:pt>
                <c:pt idx="7">
                  <c:v>2547</c:v>
                </c:pt>
                <c:pt idx="8">
                  <c:v>3146</c:v>
                </c:pt>
                <c:pt idx="9">
                  <c:v>3757</c:v>
                </c:pt>
                <c:pt idx="10">
                  <c:v>5024</c:v>
                </c:pt>
                <c:pt idx="11">
                  <c:v>6164</c:v>
                </c:pt>
                <c:pt idx="12">
                  <c:v>6960</c:v>
                </c:pt>
                <c:pt idx="13">
                  <c:v>7572</c:v>
                </c:pt>
                <c:pt idx="14">
                  <c:v>8550</c:v>
                </c:pt>
                <c:pt idx="15">
                  <c:v>9861</c:v>
                </c:pt>
                <c:pt idx="16">
                  <c:v>11000</c:v>
                </c:pt>
                <c:pt idx="17">
                  <c:v>12461</c:v>
                </c:pt>
                <c:pt idx="18">
                  <c:v>13957</c:v>
                </c:pt>
                <c:pt idx="19">
                  <c:v>15351</c:v>
                </c:pt>
                <c:pt idx="20">
                  <c:v>16495</c:v>
                </c:pt>
                <c:pt idx="21">
                  <c:v>17839</c:v>
                </c:pt>
                <c:pt idx="22">
                  <c:v>19209</c:v>
                </c:pt>
                <c:pt idx="23">
                  <c:v>20622</c:v>
                </c:pt>
                <c:pt idx="24">
                  <c:v>22099</c:v>
                </c:pt>
                <c:pt idx="25">
                  <c:v>23391</c:v>
                </c:pt>
                <c:pt idx="26">
                  <c:v>24889</c:v>
                </c:pt>
                <c:pt idx="27">
                  <c:v>26713</c:v>
                </c:pt>
                <c:pt idx="28">
                  <c:v>29119</c:v>
                </c:pt>
                <c:pt idx="29">
                  <c:v>32804</c:v>
                </c:pt>
                <c:pt idx="30">
                  <c:v>35824</c:v>
                </c:pt>
                <c:pt idx="31">
                  <c:v>39454</c:v>
                </c:pt>
                <c:pt idx="32">
                  <c:v>43425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4939-447C-95C3-9E180202C83B}"/>
            </c:ext>
          </c:extLst>
        </c:ser>
        <c:ser>
          <c:idx val="23"/>
          <c:order val="15"/>
          <c:tx>
            <c:strRef>
              <c:f>Days_Since_100!$H$17</c:f>
              <c:strCache>
                <c:ptCount val="1"/>
                <c:pt idx="0">
                  <c:v>Iran</c:v>
                </c:pt>
              </c:strCache>
            </c:strRef>
          </c:tx>
          <c:spPr>
            <a:ln w="50800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Days_Since_100!$I$17:$KU$17</c:f>
              <c:numCache>
                <c:formatCode>General</c:formatCode>
                <c:ptCount val="299"/>
                <c:pt idx="0">
                  <c:v>139</c:v>
                </c:pt>
                <c:pt idx="1">
                  <c:v>245</c:v>
                </c:pt>
                <c:pt idx="2">
                  <c:v>388</c:v>
                </c:pt>
                <c:pt idx="3">
                  <c:v>593</c:v>
                </c:pt>
                <c:pt idx="4">
                  <c:v>978</c:v>
                </c:pt>
                <c:pt idx="5">
                  <c:v>1501</c:v>
                </c:pt>
                <c:pt idx="6">
                  <c:v>2336</c:v>
                </c:pt>
                <c:pt idx="7">
                  <c:v>2922</c:v>
                </c:pt>
                <c:pt idx="8">
                  <c:v>3513</c:v>
                </c:pt>
                <c:pt idx="9">
                  <c:v>4747</c:v>
                </c:pt>
                <c:pt idx="10">
                  <c:v>5823</c:v>
                </c:pt>
                <c:pt idx="11">
                  <c:v>6566</c:v>
                </c:pt>
                <c:pt idx="12">
                  <c:v>7161</c:v>
                </c:pt>
                <c:pt idx="13">
                  <c:v>8042</c:v>
                </c:pt>
                <c:pt idx="14">
                  <c:v>9000</c:v>
                </c:pt>
                <c:pt idx="15">
                  <c:v>10075</c:v>
                </c:pt>
                <c:pt idx="16">
                  <c:v>11364</c:v>
                </c:pt>
                <c:pt idx="17">
                  <c:v>12729</c:v>
                </c:pt>
                <c:pt idx="18">
                  <c:v>13938</c:v>
                </c:pt>
                <c:pt idx="19">
                  <c:v>14991</c:v>
                </c:pt>
                <c:pt idx="20">
                  <c:v>16169</c:v>
                </c:pt>
                <c:pt idx="21">
                  <c:v>17361</c:v>
                </c:pt>
                <c:pt idx="22">
                  <c:v>18407</c:v>
                </c:pt>
                <c:pt idx="23">
                  <c:v>19644</c:v>
                </c:pt>
                <c:pt idx="24">
                  <c:v>20610</c:v>
                </c:pt>
                <c:pt idx="25">
                  <c:v>21638</c:v>
                </c:pt>
                <c:pt idx="26">
                  <c:v>23049</c:v>
                </c:pt>
                <c:pt idx="27">
                  <c:v>24811</c:v>
                </c:pt>
                <c:pt idx="28">
                  <c:v>27017</c:v>
                </c:pt>
                <c:pt idx="29">
                  <c:v>29406</c:v>
                </c:pt>
                <c:pt idx="30">
                  <c:v>32332</c:v>
                </c:pt>
                <c:pt idx="31">
                  <c:v>35408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4939-447C-95C3-9E180202C83B}"/>
            </c:ext>
          </c:extLst>
        </c:ser>
        <c:ser>
          <c:idx val="26"/>
          <c:order val="16"/>
          <c:tx>
            <c:strRef>
              <c:f>Days_Since_100!$H$18</c:f>
              <c:strCache>
                <c:ptCount val="1"/>
                <c:pt idx="0">
                  <c:v>Switzerland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Days_Since_100!$I$18:$KU$18</c:f>
              <c:numCache>
                <c:formatCode>General</c:formatCode>
                <c:ptCount val="299"/>
                <c:pt idx="0">
                  <c:v>114</c:v>
                </c:pt>
                <c:pt idx="1">
                  <c:v>214</c:v>
                </c:pt>
                <c:pt idx="2">
                  <c:v>268</c:v>
                </c:pt>
                <c:pt idx="3">
                  <c:v>337</c:v>
                </c:pt>
                <c:pt idx="4">
                  <c:v>374</c:v>
                </c:pt>
                <c:pt idx="5">
                  <c:v>491</c:v>
                </c:pt>
                <c:pt idx="6">
                  <c:v>652</c:v>
                </c:pt>
                <c:pt idx="7">
                  <c:v>652</c:v>
                </c:pt>
                <c:pt idx="8">
                  <c:v>1139</c:v>
                </c:pt>
                <c:pt idx="9">
                  <c:v>1359</c:v>
                </c:pt>
                <c:pt idx="10">
                  <c:v>2200</c:v>
                </c:pt>
                <c:pt idx="11">
                  <c:v>2200</c:v>
                </c:pt>
                <c:pt idx="12">
                  <c:v>2700</c:v>
                </c:pt>
                <c:pt idx="13">
                  <c:v>3028</c:v>
                </c:pt>
                <c:pt idx="14">
                  <c:v>4075</c:v>
                </c:pt>
                <c:pt idx="15">
                  <c:v>5294</c:v>
                </c:pt>
                <c:pt idx="16">
                  <c:v>6575</c:v>
                </c:pt>
                <c:pt idx="17">
                  <c:v>7474</c:v>
                </c:pt>
                <c:pt idx="18">
                  <c:v>8795</c:v>
                </c:pt>
                <c:pt idx="19">
                  <c:v>9877</c:v>
                </c:pt>
                <c:pt idx="20">
                  <c:v>10897</c:v>
                </c:pt>
                <c:pt idx="21">
                  <c:v>11811</c:v>
                </c:pt>
                <c:pt idx="22">
                  <c:v>12928</c:v>
                </c:pt>
                <c:pt idx="23">
                  <c:v>14076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4939-447C-95C3-9E180202C83B}"/>
            </c:ext>
          </c:extLst>
        </c:ser>
        <c:ser>
          <c:idx val="27"/>
          <c:order val="17"/>
          <c:tx>
            <c:strRef>
              <c:f>Days_Since_100!$H$19</c:f>
              <c:strCache>
                <c:ptCount val="1"/>
                <c:pt idx="0">
                  <c:v>South America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Days_Since_100!$I$19:$KU$19</c:f>
              <c:numCache>
                <c:formatCode>General</c:formatCode>
                <c:ptCount val="299"/>
                <c:pt idx="0">
                  <c:v>134</c:v>
                </c:pt>
                <c:pt idx="1">
                  <c:v>153</c:v>
                </c:pt>
                <c:pt idx="2">
                  <c:v>305</c:v>
                </c:pt>
                <c:pt idx="3">
                  <c:v>371</c:v>
                </c:pt>
                <c:pt idx="4">
                  <c:v>427</c:v>
                </c:pt>
                <c:pt idx="5">
                  <c:v>635</c:v>
                </c:pt>
                <c:pt idx="6">
                  <c:v>919</c:v>
                </c:pt>
                <c:pt idx="7">
                  <c:v>1133</c:v>
                </c:pt>
                <c:pt idx="8">
                  <c:v>1604</c:v>
                </c:pt>
                <c:pt idx="9">
                  <c:v>2266</c:v>
                </c:pt>
                <c:pt idx="10">
                  <c:v>2969</c:v>
                </c:pt>
                <c:pt idx="11">
                  <c:v>4204</c:v>
                </c:pt>
                <c:pt idx="12">
                  <c:v>5055</c:v>
                </c:pt>
                <c:pt idx="13">
                  <c:v>5926</c:v>
                </c:pt>
                <c:pt idx="14">
                  <c:v>6804</c:v>
                </c:pt>
                <c:pt idx="15">
                  <c:v>7992</c:v>
                </c:pt>
                <c:pt idx="16">
                  <c:v>9251</c:v>
                </c:pt>
                <c:pt idx="17">
                  <c:v>10656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4939-447C-95C3-9E180202C83B}"/>
            </c:ext>
          </c:extLst>
        </c:ser>
        <c:ser>
          <c:idx val="29"/>
          <c:order val="18"/>
          <c:tx>
            <c:strRef>
              <c:f>Days_Since_100!$H$20</c:f>
              <c:strCache>
                <c:ptCount val="1"/>
                <c:pt idx="0">
                  <c:v>Netherlands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Days_Since_100!$I$20:$KU$20</c:f>
              <c:numCache>
                <c:formatCode>General</c:formatCode>
                <c:ptCount val="299"/>
                <c:pt idx="0">
                  <c:v>128</c:v>
                </c:pt>
                <c:pt idx="1">
                  <c:v>188</c:v>
                </c:pt>
                <c:pt idx="2">
                  <c:v>265</c:v>
                </c:pt>
                <c:pt idx="3">
                  <c:v>321</c:v>
                </c:pt>
                <c:pt idx="4">
                  <c:v>382</c:v>
                </c:pt>
                <c:pt idx="5">
                  <c:v>503</c:v>
                </c:pt>
                <c:pt idx="6">
                  <c:v>503</c:v>
                </c:pt>
                <c:pt idx="7">
                  <c:v>806</c:v>
                </c:pt>
                <c:pt idx="8">
                  <c:v>962</c:v>
                </c:pt>
                <c:pt idx="9">
                  <c:v>1138</c:v>
                </c:pt>
                <c:pt idx="10">
                  <c:v>1416</c:v>
                </c:pt>
                <c:pt idx="11">
                  <c:v>1711</c:v>
                </c:pt>
                <c:pt idx="12">
                  <c:v>2058</c:v>
                </c:pt>
                <c:pt idx="13">
                  <c:v>2467</c:v>
                </c:pt>
                <c:pt idx="14">
                  <c:v>3003</c:v>
                </c:pt>
                <c:pt idx="15">
                  <c:v>3640</c:v>
                </c:pt>
                <c:pt idx="16">
                  <c:v>4217</c:v>
                </c:pt>
                <c:pt idx="17">
                  <c:v>4764</c:v>
                </c:pt>
                <c:pt idx="18">
                  <c:v>5580</c:v>
                </c:pt>
                <c:pt idx="19">
                  <c:v>6438</c:v>
                </c:pt>
                <c:pt idx="20">
                  <c:v>7468</c:v>
                </c:pt>
                <c:pt idx="21">
                  <c:v>8647</c:v>
                </c:pt>
                <c:pt idx="22">
                  <c:v>9819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4939-447C-95C3-9E180202C83B}"/>
            </c:ext>
          </c:extLst>
        </c:ser>
        <c:ser>
          <c:idx val="30"/>
          <c:order val="19"/>
          <c:tx>
            <c:strRef>
              <c:f>Days_Since_100!$H$21</c:f>
              <c:strCache>
                <c:ptCount val="1"/>
                <c:pt idx="0">
                  <c:v>Korea, South</c:v>
                </c:pt>
              </c:strCache>
            </c:strRef>
          </c:tx>
          <c:spPr>
            <a:ln w="50800" cap="rnd" cmpd="sng" algn="ctr">
              <a:solidFill>
                <a:srgbClr val="ED7D31">
                  <a:lumMod val="6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Days_Since_100!$I$21:$KU$21</c:f>
              <c:numCache>
                <c:formatCode>General</c:formatCode>
                <c:ptCount val="299"/>
                <c:pt idx="0">
                  <c:v>104</c:v>
                </c:pt>
                <c:pt idx="1">
                  <c:v>204</c:v>
                </c:pt>
                <c:pt idx="2">
                  <c:v>433</c:v>
                </c:pt>
                <c:pt idx="3">
                  <c:v>602</c:v>
                </c:pt>
                <c:pt idx="4">
                  <c:v>833</c:v>
                </c:pt>
                <c:pt idx="5">
                  <c:v>977</c:v>
                </c:pt>
                <c:pt idx="6">
                  <c:v>1261</c:v>
                </c:pt>
                <c:pt idx="7">
                  <c:v>1766</c:v>
                </c:pt>
                <c:pt idx="8">
                  <c:v>2337</c:v>
                </c:pt>
                <c:pt idx="9">
                  <c:v>3150</c:v>
                </c:pt>
                <c:pt idx="10">
                  <c:v>3736</c:v>
                </c:pt>
                <c:pt idx="11">
                  <c:v>4335</c:v>
                </c:pt>
                <c:pt idx="12">
                  <c:v>5186</c:v>
                </c:pt>
                <c:pt idx="13">
                  <c:v>5621</c:v>
                </c:pt>
                <c:pt idx="14">
                  <c:v>6088</c:v>
                </c:pt>
                <c:pt idx="15">
                  <c:v>6593</c:v>
                </c:pt>
                <c:pt idx="16">
                  <c:v>7041</c:v>
                </c:pt>
                <c:pt idx="17">
                  <c:v>7314</c:v>
                </c:pt>
                <c:pt idx="18">
                  <c:v>7478</c:v>
                </c:pt>
                <c:pt idx="19">
                  <c:v>7513</c:v>
                </c:pt>
                <c:pt idx="20">
                  <c:v>7755</c:v>
                </c:pt>
                <c:pt idx="21">
                  <c:v>7869</c:v>
                </c:pt>
                <c:pt idx="22">
                  <c:v>7979</c:v>
                </c:pt>
                <c:pt idx="23">
                  <c:v>8086</c:v>
                </c:pt>
                <c:pt idx="24">
                  <c:v>8162</c:v>
                </c:pt>
                <c:pt idx="25">
                  <c:v>8236</c:v>
                </c:pt>
                <c:pt idx="26">
                  <c:v>8320</c:v>
                </c:pt>
                <c:pt idx="27">
                  <c:v>8413</c:v>
                </c:pt>
                <c:pt idx="28">
                  <c:v>8565</c:v>
                </c:pt>
                <c:pt idx="29">
                  <c:v>8652</c:v>
                </c:pt>
                <c:pt idx="30">
                  <c:v>8799</c:v>
                </c:pt>
                <c:pt idx="31">
                  <c:v>8961</c:v>
                </c:pt>
                <c:pt idx="32">
                  <c:v>8961</c:v>
                </c:pt>
                <c:pt idx="33">
                  <c:v>9037</c:v>
                </c:pt>
                <c:pt idx="34">
                  <c:v>9137</c:v>
                </c:pt>
                <c:pt idx="35">
                  <c:v>9241</c:v>
                </c:pt>
                <c:pt idx="36">
                  <c:v>9332</c:v>
                </c:pt>
                <c:pt idx="37">
                  <c:v>9478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4939-447C-95C3-9E180202C83B}"/>
            </c:ext>
          </c:extLst>
        </c:ser>
        <c:ser>
          <c:idx val="31"/>
          <c:order val="20"/>
          <c:tx>
            <c:strRef>
              <c:f>Days_Since_100!$H$22</c:f>
              <c:strCache>
                <c:ptCount val="1"/>
                <c:pt idx="0">
                  <c:v>Belgium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Days_Since_100!$I$22:$KU$22</c:f>
              <c:numCache>
                <c:formatCode>General</c:formatCode>
                <c:ptCount val="299"/>
                <c:pt idx="0">
                  <c:v>109</c:v>
                </c:pt>
                <c:pt idx="1">
                  <c:v>169</c:v>
                </c:pt>
                <c:pt idx="2">
                  <c:v>200</c:v>
                </c:pt>
                <c:pt idx="3">
                  <c:v>239</c:v>
                </c:pt>
                <c:pt idx="4">
                  <c:v>267</c:v>
                </c:pt>
                <c:pt idx="5">
                  <c:v>314</c:v>
                </c:pt>
                <c:pt idx="6">
                  <c:v>314</c:v>
                </c:pt>
                <c:pt idx="7">
                  <c:v>559</c:v>
                </c:pt>
                <c:pt idx="8">
                  <c:v>689</c:v>
                </c:pt>
                <c:pt idx="9">
                  <c:v>886</c:v>
                </c:pt>
                <c:pt idx="10">
                  <c:v>1058</c:v>
                </c:pt>
                <c:pt idx="11">
                  <c:v>1243</c:v>
                </c:pt>
                <c:pt idx="12">
                  <c:v>1486</c:v>
                </c:pt>
                <c:pt idx="13">
                  <c:v>1795</c:v>
                </c:pt>
                <c:pt idx="14">
                  <c:v>2257</c:v>
                </c:pt>
                <c:pt idx="15">
                  <c:v>2815</c:v>
                </c:pt>
                <c:pt idx="16">
                  <c:v>3401</c:v>
                </c:pt>
                <c:pt idx="17">
                  <c:v>3743</c:v>
                </c:pt>
                <c:pt idx="18">
                  <c:v>4269</c:v>
                </c:pt>
                <c:pt idx="19">
                  <c:v>4937</c:v>
                </c:pt>
                <c:pt idx="20">
                  <c:v>6235</c:v>
                </c:pt>
                <c:pt idx="21">
                  <c:v>7284</c:v>
                </c:pt>
                <c:pt idx="22">
                  <c:v>9134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4939-447C-95C3-9E180202C83B}"/>
            </c:ext>
          </c:extLst>
        </c:ser>
        <c:ser>
          <c:idx val="32"/>
          <c:order val="21"/>
          <c:tx>
            <c:strRef>
              <c:f>Days_Since_100!$H$23</c:f>
              <c:strCache>
                <c:ptCount val="1"/>
                <c:pt idx="0">
                  <c:v>Austria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Days_Since_100!$I$23:$KU$23</c:f>
              <c:numCache>
                <c:formatCode>General</c:formatCode>
                <c:ptCount val="299"/>
                <c:pt idx="0">
                  <c:v>104</c:v>
                </c:pt>
                <c:pt idx="1">
                  <c:v>131</c:v>
                </c:pt>
                <c:pt idx="2">
                  <c:v>182</c:v>
                </c:pt>
                <c:pt idx="3">
                  <c:v>246</c:v>
                </c:pt>
                <c:pt idx="4">
                  <c:v>302</c:v>
                </c:pt>
                <c:pt idx="5">
                  <c:v>504</c:v>
                </c:pt>
                <c:pt idx="6">
                  <c:v>655</c:v>
                </c:pt>
                <c:pt idx="7">
                  <c:v>860</c:v>
                </c:pt>
                <c:pt idx="8">
                  <c:v>1018</c:v>
                </c:pt>
                <c:pt idx="9">
                  <c:v>1332</c:v>
                </c:pt>
                <c:pt idx="10">
                  <c:v>1646</c:v>
                </c:pt>
                <c:pt idx="11">
                  <c:v>2013</c:v>
                </c:pt>
                <c:pt idx="12">
                  <c:v>2388</c:v>
                </c:pt>
                <c:pt idx="13">
                  <c:v>2814</c:v>
                </c:pt>
                <c:pt idx="14">
                  <c:v>3582</c:v>
                </c:pt>
                <c:pt idx="15">
                  <c:v>4474</c:v>
                </c:pt>
                <c:pt idx="16">
                  <c:v>5283</c:v>
                </c:pt>
                <c:pt idx="17">
                  <c:v>5588</c:v>
                </c:pt>
                <c:pt idx="18">
                  <c:v>6909</c:v>
                </c:pt>
                <c:pt idx="19">
                  <c:v>7657</c:v>
                </c:pt>
                <c:pt idx="20">
                  <c:v>8271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4939-447C-95C3-9E180202C83B}"/>
            </c:ext>
          </c:extLst>
        </c:ser>
        <c:ser>
          <c:idx val="0"/>
          <c:order val="22"/>
          <c:tx>
            <c:strRef>
              <c:f>Days_Since_100!$H$24</c:f>
              <c:strCache>
                <c:ptCount val="1"/>
                <c:pt idx="0">
                  <c:v>Turkey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Days_Since_100!$I$24:$KU$24</c:f>
              <c:numCache>
                <c:formatCode>General</c:formatCode>
                <c:ptCount val="299"/>
                <c:pt idx="0">
                  <c:v>192</c:v>
                </c:pt>
                <c:pt idx="1">
                  <c:v>359</c:v>
                </c:pt>
                <c:pt idx="2">
                  <c:v>670</c:v>
                </c:pt>
                <c:pt idx="3">
                  <c:v>1236</c:v>
                </c:pt>
                <c:pt idx="4">
                  <c:v>1529</c:v>
                </c:pt>
                <c:pt idx="5">
                  <c:v>1872</c:v>
                </c:pt>
                <c:pt idx="6">
                  <c:v>2433</c:v>
                </c:pt>
                <c:pt idx="7">
                  <c:v>3629</c:v>
                </c:pt>
                <c:pt idx="8">
                  <c:v>5698</c:v>
                </c:pt>
                <c:pt idx="9">
                  <c:v>7402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4939-447C-95C3-9E180202C83B}"/>
            </c:ext>
          </c:extLst>
        </c:ser>
        <c:ser>
          <c:idx val="15"/>
          <c:order val="23"/>
          <c:tx>
            <c:strRef>
              <c:f>Days_Since_100!$H$25</c:f>
              <c:strCache>
                <c:ptCount val="1"/>
                <c:pt idx="0">
                  <c:v>Canada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Days_Since_100!$I$25:$KU$25</c:f>
              <c:numCache>
                <c:formatCode>General</c:formatCode>
                <c:ptCount val="299"/>
                <c:pt idx="0">
                  <c:v>108</c:v>
                </c:pt>
                <c:pt idx="1">
                  <c:v>117</c:v>
                </c:pt>
                <c:pt idx="2">
                  <c:v>193</c:v>
                </c:pt>
                <c:pt idx="3">
                  <c:v>198</c:v>
                </c:pt>
                <c:pt idx="4">
                  <c:v>252</c:v>
                </c:pt>
                <c:pt idx="5">
                  <c:v>415</c:v>
                </c:pt>
                <c:pt idx="6">
                  <c:v>478</c:v>
                </c:pt>
                <c:pt idx="7">
                  <c:v>657</c:v>
                </c:pt>
                <c:pt idx="8">
                  <c:v>800</c:v>
                </c:pt>
                <c:pt idx="9">
                  <c:v>943</c:v>
                </c:pt>
                <c:pt idx="10">
                  <c:v>1277</c:v>
                </c:pt>
                <c:pt idx="11">
                  <c:v>1469</c:v>
                </c:pt>
                <c:pt idx="12">
                  <c:v>2088</c:v>
                </c:pt>
                <c:pt idx="13">
                  <c:v>2790</c:v>
                </c:pt>
                <c:pt idx="14">
                  <c:v>3251</c:v>
                </c:pt>
                <c:pt idx="15">
                  <c:v>4042</c:v>
                </c:pt>
                <c:pt idx="16">
                  <c:v>4682</c:v>
                </c:pt>
                <c:pt idx="17">
                  <c:v>5576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4939-447C-95C3-9E180202C83B}"/>
            </c:ext>
          </c:extLst>
        </c:ser>
        <c:ser>
          <c:idx val="33"/>
          <c:order val="24"/>
          <c:tx>
            <c:strRef>
              <c:f>Days_Since_100!$H$26</c:f>
              <c:strCache>
                <c:ptCount val="1"/>
                <c:pt idx="0">
                  <c:v>Portugal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Days_Since_100!$I$26:$KU$26</c:f>
              <c:numCache>
                <c:formatCode>General</c:formatCode>
                <c:ptCount val="299"/>
                <c:pt idx="0">
                  <c:v>112</c:v>
                </c:pt>
                <c:pt idx="1">
                  <c:v>169</c:v>
                </c:pt>
                <c:pt idx="2">
                  <c:v>245</c:v>
                </c:pt>
                <c:pt idx="3">
                  <c:v>331</c:v>
                </c:pt>
                <c:pt idx="4">
                  <c:v>448</c:v>
                </c:pt>
                <c:pt idx="5">
                  <c:v>448</c:v>
                </c:pt>
                <c:pt idx="6">
                  <c:v>785</c:v>
                </c:pt>
                <c:pt idx="7">
                  <c:v>1020</c:v>
                </c:pt>
                <c:pt idx="8">
                  <c:v>1280</c:v>
                </c:pt>
                <c:pt idx="9">
                  <c:v>1600</c:v>
                </c:pt>
                <c:pt idx="10">
                  <c:v>2060</c:v>
                </c:pt>
                <c:pt idx="11">
                  <c:v>2362</c:v>
                </c:pt>
                <c:pt idx="12">
                  <c:v>2995</c:v>
                </c:pt>
                <c:pt idx="13">
                  <c:v>3544</c:v>
                </c:pt>
                <c:pt idx="14">
                  <c:v>4268</c:v>
                </c:pt>
                <c:pt idx="15">
                  <c:v>5170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4939-447C-95C3-9E180202C83B}"/>
            </c:ext>
          </c:extLst>
        </c:ser>
        <c:ser>
          <c:idx val="17"/>
          <c:order val="25"/>
          <c:tx>
            <c:strRef>
              <c:f>Days_Since_100!$H$27</c:f>
              <c:strCache>
                <c:ptCount val="1"/>
                <c:pt idx="0">
                  <c:v>Norway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Days_Since_100!$I$27:$KU$27</c:f>
              <c:numCache>
                <c:formatCode>General</c:formatCode>
                <c:ptCount val="299"/>
                <c:pt idx="0">
                  <c:v>108</c:v>
                </c:pt>
                <c:pt idx="1">
                  <c:v>147</c:v>
                </c:pt>
                <c:pt idx="2">
                  <c:v>176</c:v>
                </c:pt>
                <c:pt idx="3">
                  <c:v>205</c:v>
                </c:pt>
                <c:pt idx="4">
                  <c:v>400</c:v>
                </c:pt>
                <c:pt idx="5">
                  <c:v>598</c:v>
                </c:pt>
                <c:pt idx="6">
                  <c:v>702</c:v>
                </c:pt>
                <c:pt idx="7">
                  <c:v>996</c:v>
                </c:pt>
                <c:pt idx="8">
                  <c:v>1090</c:v>
                </c:pt>
                <c:pt idx="9">
                  <c:v>1221</c:v>
                </c:pt>
                <c:pt idx="10">
                  <c:v>1333</c:v>
                </c:pt>
                <c:pt idx="11">
                  <c:v>1463</c:v>
                </c:pt>
                <c:pt idx="12">
                  <c:v>1550</c:v>
                </c:pt>
                <c:pt idx="13">
                  <c:v>1746</c:v>
                </c:pt>
                <c:pt idx="14">
                  <c:v>1914</c:v>
                </c:pt>
                <c:pt idx="15">
                  <c:v>2118</c:v>
                </c:pt>
                <c:pt idx="16">
                  <c:v>2385</c:v>
                </c:pt>
                <c:pt idx="17">
                  <c:v>2621</c:v>
                </c:pt>
                <c:pt idx="18">
                  <c:v>2863</c:v>
                </c:pt>
                <c:pt idx="19">
                  <c:v>3084</c:v>
                </c:pt>
                <c:pt idx="20">
                  <c:v>3369</c:v>
                </c:pt>
                <c:pt idx="21">
                  <c:v>3755</c:v>
                </c:pt>
                <c:pt idx="22">
                  <c:v>4015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4939-447C-95C3-9E180202C83B}"/>
            </c:ext>
          </c:extLst>
        </c:ser>
        <c:ser>
          <c:idx val="18"/>
          <c:order val="26"/>
          <c:tx>
            <c:strRef>
              <c:f>Days_Since_100!$H$28</c:f>
              <c:strCache>
                <c:ptCount val="1"/>
                <c:pt idx="0">
                  <c:v>Brazil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Days_Since_100!$I$28:$KU$28</c:f>
              <c:numCache>
                <c:formatCode>General</c:formatCode>
                <c:ptCount val="299"/>
                <c:pt idx="0">
                  <c:v>151</c:v>
                </c:pt>
                <c:pt idx="1">
                  <c:v>151</c:v>
                </c:pt>
                <c:pt idx="2">
                  <c:v>162</c:v>
                </c:pt>
                <c:pt idx="3">
                  <c:v>200</c:v>
                </c:pt>
                <c:pt idx="4">
                  <c:v>321</c:v>
                </c:pt>
                <c:pt idx="5">
                  <c:v>372</c:v>
                </c:pt>
                <c:pt idx="6">
                  <c:v>621</c:v>
                </c:pt>
                <c:pt idx="7">
                  <c:v>793</c:v>
                </c:pt>
                <c:pt idx="8">
                  <c:v>1021</c:v>
                </c:pt>
                <c:pt idx="9">
                  <c:v>1546</c:v>
                </c:pt>
                <c:pt idx="10">
                  <c:v>1924</c:v>
                </c:pt>
                <c:pt idx="11">
                  <c:v>2247</c:v>
                </c:pt>
                <c:pt idx="12">
                  <c:v>2554</c:v>
                </c:pt>
                <c:pt idx="13">
                  <c:v>2985</c:v>
                </c:pt>
                <c:pt idx="14">
                  <c:v>3417</c:v>
                </c:pt>
                <c:pt idx="15">
                  <c:v>3904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4939-447C-95C3-9E180202C83B}"/>
            </c:ext>
          </c:extLst>
        </c:ser>
        <c:ser>
          <c:idx val="34"/>
          <c:order val="27"/>
          <c:tx>
            <c:strRef>
              <c:f>Days_Since_100!$H$29</c:f>
              <c:strCache>
                <c:ptCount val="1"/>
                <c:pt idx="0">
                  <c:v>Africa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Days_Since_100!$I$29:$KU$29</c:f>
              <c:numCache>
                <c:formatCode>General</c:formatCode>
                <c:ptCount val="299"/>
                <c:pt idx="0">
                  <c:v>104</c:v>
                </c:pt>
                <c:pt idx="1">
                  <c:v>118</c:v>
                </c:pt>
                <c:pt idx="2">
                  <c:v>134</c:v>
                </c:pt>
                <c:pt idx="3">
                  <c:v>177</c:v>
                </c:pt>
                <c:pt idx="4">
                  <c:v>243</c:v>
                </c:pt>
                <c:pt idx="5">
                  <c:v>296</c:v>
                </c:pt>
                <c:pt idx="6">
                  <c:v>374</c:v>
                </c:pt>
                <c:pt idx="7">
                  <c:v>453</c:v>
                </c:pt>
                <c:pt idx="8">
                  <c:v>556</c:v>
                </c:pt>
                <c:pt idx="9">
                  <c:v>720</c:v>
                </c:pt>
                <c:pt idx="10">
                  <c:v>873</c:v>
                </c:pt>
                <c:pt idx="11">
                  <c:v>1062</c:v>
                </c:pt>
                <c:pt idx="12">
                  <c:v>1294</c:v>
                </c:pt>
                <c:pt idx="13">
                  <c:v>1616</c:v>
                </c:pt>
                <c:pt idx="14">
                  <c:v>1996</c:v>
                </c:pt>
                <c:pt idx="15">
                  <c:v>2434</c:v>
                </c:pt>
                <c:pt idx="16">
                  <c:v>2878</c:v>
                </c:pt>
                <c:pt idx="17">
                  <c:v>3382</c:v>
                </c:pt>
                <c:pt idx="18">
                  <c:v>3672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4939-447C-95C3-9E180202C83B}"/>
            </c:ext>
          </c:extLst>
        </c:ser>
        <c:ser>
          <c:idx val="35"/>
          <c:order val="28"/>
          <c:tx>
            <c:strRef>
              <c:f>Days_Since_100!$H$30</c:f>
              <c:strCache>
                <c:ptCount val="1"/>
                <c:pt idx="0">
                  <c:v>Australia</c:v>
                </c:pt>
              </c:strCache>
            </c:strRef>
          </c:tx>
          <c:spPr>
            <a:ln w="31750" cap="rnd" cmpd="sng" algn="ctr">
              <a:solidFill>
                <a:srgbClr val="5B9BD5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Days_Since_100!$I$30:$KU$30</c:f>
              <c:numCache>
                <c:formatCode>General</c:formatCode>
                <c:ptCount val="299"/>
                <c:pt idx="0">
                  <c:v>107</c:v>
                </c:pt>
                <c:pt idx="1">
                  <c:v>128</c:v>
                </c:pt>
                <c:pt idx="2">
                  <c:v>128</c:v>
                </c:pt>
                <c:pt idx="3">
                  <c:v>200</c:v>
                </c:pt>
                <c:pt idx="4">
                  <c:v>250</c:v>
                </c:pt>
                <c:pt idx="5">
                  <c:v>297</c:v>
                </c:pt>
                <c:pt idx="6">
                  <c:v>377</c:v>
                </c:pt>
                <c:pt idx="7">
                  <c:v>452</c:v>
                </c:pt>
                <c:pt idx="8">
                  <c:v>568</c:v>
                </c:pt>
                <c:pt idx="9">
                  <c:v>681</c:v>
                </c:pt>
                <c:pt idx="10">
                  <c:v>791</c:v>
                </c:pt>
                <c:pt idx="11">
                  <c:v>1071</c:v>
                </c:pt>
                <c:pt idx="12">
                  <c:v>1549</c:v>
                </c:pt>
                <c:pt idx="13">
                  <c:v>1682</c:v>
                </c:pt>
                <c:pt idx="14">
                  <c:v>2044</c:v>
                </c:pt>
                <c:pt idx="15">
                  <c:v>2364</c:v>
                </c:pt>
                <c:pt idx="16">
                  <c:v>2810</c:v>
                </c:pt>
                <c:pt idx="17">
                  <c:v>3143</c:v>
                </c:pt>
                <c:pt idx="18">
                  <c:v>3640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4939-447C-95C3-9E180202C83B}"/>
            </c:ext>
          </c:extLst>
        </c:ser>
        <c:ser>
          <c:idx val="36"/>
          <c:order val="29"/>
          <c:tx>
            <c:strRef>
              <c:f>Days_Since_100!$H$31</c:f>
              <c:strCache>
                <c:ptCount val="1"/>
                <c:pt idx="0">
                  <c:v>Israel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Days_Since_100!$I$31:$KU$31</c:f>
              <c:numCache>
                <c:formatCode>General</c:formatCode>
                <c:ptCount val="299"/>
                <c:pt idx="0">
                  <c:v>100</c:v>
                </c:pt>
                <c:pt idx="1">
                  <c:v>126</c:v>
                </c:pt>
                <c:pt idx="2">
                  <c:v>155</c:v>
                </c:pt>
                <c:pt idx="3">
                  <c:v>213</c:v>
                </c:pt>
                <c:pt idx="4">
                  <c:v>218</c:v>
                </c:pt>
                <c:pt idx="5">
                  <c:v>250</c:v>
                </c:pt>
                <c:pt idx="6">
                  <c:v>304</c:v>
                </c:pt>
                <c:pt idx="7">
                  <c:v>427</c:v>
                </c:pt>
                <c:pt idx="8">
                  <c:v>529</c:v>
                </c:pt>
                <c:pt idx="9">
                  <c:v>712</c:v>
                </c:pt>
                <c:pt idx="10">
                  <c:v>883</c:v>
                </c:pt>
                <c:pt idx="11">
                  <c:v>1071</c:v>
                </c:pt>
                <c:pt idx="12">
                  <c:v>1238</c:v>
                </c:pt>
                <c:pt idx="13">
                  <c:v>2369</c:v>
                </c:pt>
                <c:pt idx="14">
                  <c:v>2693</c:v>
                </c:pt>
                <c:pt idx="15">
                  <c:v>3035</c:v>
                </c:pt>
                <c:pt idx="16">
                  <c:v>3619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4939-447C-95C3-9E180202C83B}"/>
            </c:ext>
          </c:extLst>
        </c:ser>
        <c:ser>
          <c:idx val="21"/>
          <c:order val="30"/>
          <c:tx>
            <c:strRef>
              <c:f>Days_Since_100!$H$32</c:f>
              <c:strCache>
                <c:ptCount val="1"/>
                <c:pt idx="0">
                  <c:v>Sweden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Days_Since_100!$I$32:$KU$32</c:f>
              <c:numCache>
                <c:formatCode>General</c:formatCode>
                <c:ptCount val="299"/>
                <c:pt idx="0">
                  <c:v>101</c:v>
                </c:pt>
                <c:pt idx="1">
                  <c:v>161</c:v>
                </c:pt>
                <c:pt idx="2">
                  <c:v>203</c:v>
                </c:pt>
                <c:pt idx="3">
                  <c:v>248</c:v>
                </c:pt>
                <c:pt idx="4">
                  <c:v>355</c:v>
                </c:pt>
                <c:pt idx="5">
                  <c:v>500</c:v>
                </c:pt>
                <c:pt idx="6">
                  <c:v>599</c:v>
                </c:pt>
                <c:pt idx="7">
                  <c:v>814</c:v>
                </c:pt>
                <c:pt idx="8">
                  <c:v>961</c:v>
                </c:pt>
                <c:pt idx="9">
                  <c:v>1022</c:v>
                </c:pt>
                <c:pt idx="10">
                  <c:v>1103</c:v>
                </c:pt>
                <c:pt idx="11">
                  <c:v>1190</c:v>
                </c:pt>
                <c:pt idx="12">
                  <c:v>1279</c:v>
                </c:pt>
                <c:pt idx="13">
                  <c:v>1439</c:v>
                </c:pt>
                <c:pt idx="14">
                  <c:v>1639</c:v>
                </c:pt>
                <c:pt idx="15">
                  <c:v>1763</c:v>
                </c:pt>
                <c:pt idx="16">
                  <c:v>1934</c:v>
                </c:pt>
                <c:pt idx="17">
                  <c:v>2046</c:v>
                </c:pt>
                <c:pt idx="18">
                  <c:v>2286</c:v>
                </c:pt>
                <c:pt idx="19">
                  <c:v>2526</c:v>
                </c:pt>
                <c:pt idx="20">
                  <c:v>2840</c:v>
                </c:pt>
                <c:pt idx="21">
                  <c:v>3069</c:v>
                </c:pt>
                <c:pt idx="22">
                  <c:v>3447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4939-447C-95C3-9E180202C83B}"/>
            </c:ext>
          </c:extLst>
        </c:ser>
        <c:ser>
          <c:idx val="22"/>
          <c:order val="31"/>
          <c:tx>
            <c:strRef>
              <c:f>Days_Since_100!$H$33</c:f>
              <c:strCache>
                <c:ptCount val="1"/>
                <c:pt idx="0">
                  <c:v>Czechia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Days_Since_100!$I$33:$KU$33</c:f>
              <c:numCache>
                <c:formatCode>General</c:formatCode>
                <c:ptCount val="299"/>
                <c:pt idx="0">
                  <c:v>141</c:v>
                </c:pt>
                <c:pt idx="1">
                  <c:v>189</c:v>
                </c:pt>
                <c:pt idx="2">
                  <c:v>253</c:v>
                </c:pt>
                <c:pt idx="3">
                  <c:v>298</c:v>
                </c:pt>
                <c:pt idx="4">
                  <c:v>396</c:v>
                </c:pt>
                <c:pt idx="5">
                  <c:v>464</c:v>
                </c:pt>
                <c:pt idx="6">
                  <c:v>694</c:v>
                </c:pt>
                <c:pt idx="7">
                  <c:v>833</c:v>
                </c:pt>
                <c:pt idx="8">
                  <c:v>995</c:v>
                </c:pt>
                <c:pt idx="9">
                  <c:v>1120</c:v>
                </c:pt>
                <c:pt idx="10">
                  <c:v>1236</c:v>
                </c:pt>
                <c:pt idx="11">
                  <c:v>1394</c:v>
                </c:pt>
                <c:pt idx="12">
                  <c:v>1654</c:v>
                </c:pt>
                <c:pt idx="13">
                  <c:v>1925</c:v>
                </c:pt>
                <c:pt idx="14">
                  <c:v>2279</c:v>
                </c:pt>
                <c:pt idx="15">
                  <c:v>2631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4939-447C-95C3-9E180202C83B}"/>
            </c:ext>
          </c:extLst>
        </c:ser>
        <c:ser>
          <c:idx val="37"/>
          <c:order val="32"/>
          <c:tx>
            <c:strRef>
              <c:f>Days_Since_100!$H$34</c:f>
              <c:strCache>
                <c:ptCount val="1"/>
                <c:pt idx="0">
                  <c:v>Ireland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Days_Since_100!$I$34:$KU$34</c:f>
              <c:numCache>
                <c:formatCode>General</c:formatCode>
                <c:ptCount val="299"/>
                <c:pt idx="0">
                  <c:v>129</c:v>
                </c:pt>
                <c:pt idx="1">
                  <c:v>129</c:v>
                </c:pt>
                <c:pt idx="2">
                  <c:v>169</c:v>
                </c:pt>
                <c:pt idx="3">
                  <c:v>223</c:v>
                </c:pt>
                <c:pt idx="4">
                  <c:v>292</c:v>
                </c:pt>
                <c:pt idx="5">
                  <c:v>557</c:v>
                </c:pt>
                <c:pt idx="6">
                  <c:v>683</c:v>
                </c:pt>
                <c:pt idx="7">
                  <c:v>785</c:v>
                </c:pt>
                <c:pt idx="8">
                  <c:v>906</c:v>
                </c:pt>
                <c:pt idx="9">
                  <c:v>1125</c:v>
                </c:pt>
                <c:pt idx="10">
                  <c:v>1329</c:v>
                </c:pt>
                <c:pt idx="11">
                  <c:v>1564</c:v>
                </c:pt>
                <c:pt idx="12">
                  <c:v>1819</c:v>
                </c:pt>
                <c:pt idx="13">
                  <c:v>2121</c:v>
                </c:pt>
                <c:pt idx="14">
                  <c:v>2415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4939-447C-95C3-9E180202C83B}"/>
            </c:ext>
          </c:extLst>
        </c:ser>
        <c:ser>
          <c:idx val="38"/>
          <c:order val="33"/>
          <c:tx>
            <c:strRef>
              <c:f>Days_Since_100!$H$35</c:f>
              <c:strCache>
                <c:ptCount val="1"/>
                <c:pt idx="0">
                  <c:v>Denmark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Days_Since_100!$I$35:$KU$35</c:f>
              <c:numCache>
                <c:formatCode>General</c:formatCode>
                <c:ptCount val="299"/>
                <c:pt idx="0">
                  <c:v>264</c:v>
                </c:pt>
                <c:pt idx="1">
                  <c:v>444</c:v>
                </c:pt>
                <c:pt idx="2">
                  <c:v>617</c:v>
                </c:pt>
                <c:pt idx="3">
                  <c:v>804</c:v>
                </c:pt>
                <c:pt idx="4">
                  <c:v>836</c:v>
                </c:pt>
                <c:pt idx="5">
                  <c:v>875</c:v>
                </c:pt>
                <c:pt idx="6">
                  <c:v>933</c:v>
                </c:pt>
                <c:pt idx="7">
                  <c:v>1025</c:v>
                </c:pt>
                <c:pt idx="8">
                  <c:v>1116</c:v>
                </c:pt>
                <c:pt idx="9">
                  <c:v>1225</c:v>
                </c:pt>
                <c:pt idx="10">
                  <c:v>1337</c:v>
                </c:pt>
                <c:pt idx="11">
                  <c:v>1420</c:v>
                </c:pt>
                <c:pt idx="12">
                  <c:v>1514</c:v>
                </c:pt>
                <c:pt idx="13">
                  <c:v>1572</c:v>
                </c:pt>
                <c:pt idx="14">
                  <c:v>1718</c:v>
                </c:pt>
                <c:pt idx="15">
                  <c:v>1862</c:v>
                </c:pt>
                <c:pt idx="16">
                  <c:v>2023</c:v>
                </c:pt>
                <c:pt idx="17">
                  <c:v>2200</c:v>
                </c:pt>
                <c:pt idx="18">
                  <c:v>2366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4939-447C-95C3-9E180202C83B}"/>
            </c:ext>
          </c:extLst>
        </c:ser>
        <c:ser>
          <c:idx val="39"/>
          <c:order val="34"/>
          <c:tx>
            <c:strRef>
              <c:f>Days_Since_100!$H$36</c:f>
              <c:strCache>
                <c:ptCount val="1"/>
                <c:pt idx="0">
                  <c:v>Malaysia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Days_Since_100!$I$36:$KU$36</c:f>
              <c:numCache>
                <c:formatCode>General</c:formatCode>
                <c:ptCount val="299"/>
                <c:pt idx="0">
                  <c:v>117</c:v>
                </c:pt>
                <c:pt idx="1">
                  <c:v>129</c:v>
                </c:pt>
                <c:pt idx="2">
                  <c:v>149</c:v>
                </c:pt>
                <c:pt idx="3">
                  <c:v>149</c:v>
                </c:pt>
                <c:pt idx="4">
                  <c:v>197</c:v>
                </c:pt>
                <c:pt idx="5">
                  <c:v>238</c:v>
                </c:pt>
                <c:pt idx="6">
                  <c:v>428</c:v>
                </c:pt>
                <c:pt idx="7">
                  <c:v>566</c:v>
                </c:pt>
                <c:pt idx="8">
                  <c:v>673</c:v>
                </c:pt>
                <c:pt idx="9">
                  <c:v>790</c:v>
                </c:pt>
                <c:pt idx="10">
                  <c:v>900</c:v>
                </c:pt>
                <c:pt idx="11">
                  <c:v>1030</c:v>
                </c:pt>
                <c:pt idx="12">
                  <c:v>1183</c:v>
                </c:pt>
                <c:pt idx="13">
                  <c:v>1306</c:v>
                </c:pt>
                <c:pt idx="14">
                  <c:v>1518</c:v>
                </c:pt>
                <c:pt idx="15">
                  <c:v>1624</c:v>
                </c:pt>
                <c:pt idx="16">
                  <c:v>1796</c:v>
                </c:pt>
                <c:pt idx="17">
                  <c:v>2031</c:v>
                </c:pt>
                <c:pt idx="18">
                  <c:v>2161</c:v>
                </c:pt>
                <c:pt idx="19">
                  <c:v>2320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4939-447C-95C3-9E180202C83B}"/>
            </c:ext>
          </c:extLst>
        </c:ser>
        <c:ser>
          <c:idx val="40"/>
          <c:order val="35"/>
          <c:tx>
            <c:strRef>
              <c:f>Days_Since_100!$H$37</c:f>
              <c:strCache>
                <c:ptCount val="1"/>
                <c:pt idx="0">
                  <c:v>Chile</c:v>
                </c:pt>
              </c:strCache>
            </c:strRef>
          </c:tx>
          <c:spPr>
            <a:ln w="31750" cap="rnd" cmpd="sng" algn="ctr">
              <a:solidFill>
                <a:srgbClr val="ED7D31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Days_Since_100!$I$37:$KU$37</c:f>
              <c:numCache>
                <c:formatCode>General</c:formatCode>
                <c:ptCount val="299"/>
                <c:pt idx="0">
                  <c:v>155</c:v>
                </c:pt>
                <c:pt idx="1">
                  <c:v>201</c:v>
                </c:pt>
                <c:pt idx="2">
                  <c:v>238</c:v>
                </c:pt>
                <c:pt idx="3">
                  <c:v>238</c:v>
                </c:pt>
                <c:pt idx="4">
                  <c:v>434</c:v>
                </c:pt>
                <c:pt idx="5">
                  <c:v>537</c:v>
                </c:pt>
                <c:pt idx="6">
                  <c:v>632</c:v>
                </c:pt>
                <c:pt idx="7">
                  <c:v>746</c:v>
                </c:pt>
                <c:pt idx="8">
                  <c:v>922</c:v>
                </c:pt>
                <c:pt idx="9">
                  <c:v>1142</c:v>
                </c:pt>
                <c:pt idx="10">
                  <c:v>1306</c:v>
                </c:pt>
                <c:pt idx="11">
                  <c:v>1610</c:v>
                </c:pt>
                <c:pt idx="12">
                  <c:v>1909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4939-447C-95C3-9E180202C83B}"/>
            </c:ext>
          </c:extLst>
        </c:ser>
        <c:ser>
          <c:idx val="41"/>
          <c:order val="36"/>
          <c:tx>
            <c:strRef>
              <c:f>Days_Since_100!$H$38</c:f>
              <c:strCache>
                <c:ptCount val="1"/>
                <c:pt idx="0">
                  <c:v>Luxembourg</c:v>
                </c:pt>
              </c:strCache>
            </c:strRef>
          </c:tx>
          <c:spPr>
            <a:ln w="31750" cap="rnd" cmpd="sng" algn="ctr">
              <a:solidFill>
                <a:srgbClr val="4472C4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Days_Since_100!$I$38:$KU$38</c:f>
              <c:numCache>
                <c:formatCode>General</c:formatCode>
                <c:ptCount val="299"/>
                <c:pt idx="0">
                  <c:v>140</c:v>
                </c:pt>
                <c:pt idx="1">
                  <c:v>203</c:v>
                </c:pt>
                <c:pt idx="2">
                  <c:v>335</c:v>
                </c:pt>
                <c:pt idx="3">
                  <c:v>484</c:v>
                </c:pt>
                <c:pt idx="4">
                  <c:v>670</c:v>
                </c:pt>
                <c:pt idx="5">
                  <c:v>798</c:v>
                </c:pt>
                <c:pt idx="6">
                  <c:v>875</c:v>
                </c:pt>
                <c:pt idx="7">
                  <c:v>1099</c:v>
                </c:pt>
                <c:pt idx="8">
                  <c:v>1333</c:v>
                </c:pt>
                <c:pt idx="9">
                  <c:v>1453</c:v>
                </c:pt>
                <c:pt idx="10">
                  <c:v>1605</c:v>
                </c:pt>
                <c:pt idx="11">
                  <c:v>1831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4939-447C-95C3-9E180202C83B}"/>
            </c:ext>
          </c:extLst>
        </c:ser>
        <c:ser>
          <c:idx val="42"/>
          <c:order val="37"/>
          <c:tx>
            <c:strRef>
              <c:f>Days_Since_100!$H$39</c:f>
              <c:strCache>
                <c:ptCount val="1"/>
                <c:pt idx="0">
                  <c:v>Ecuador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Days_Since_100!$I$39:$KU$39</c:f>
              <c:numCache>
                <c:formatCode>General</c:formatCode>
                <c:ptCount val="299"/>
                <c:pt idx="0">
                  <c:v>111</c:v>
                </c:pt>
                <c:pt idx="1">
                  <c:v>199</c:v>
                </c:pt>
                <c:pt idx="2">
                  <c:v>367</c:v>
                </c:pt>
                <c:pt idx="3">
                  <c:v>506</c:v>
                </c:pt>
                <c:pt idx="4">
                  <c:v>789</c:v>
                </c:pt>
                <c:pt idx="5">
                  <c:v>981</c:v>
                </c:pt>
                <c:pt idx="6">
                  <c:v>1082</c:v>
                </c:pt>
                <c:pt idx="7">
                  <c:v>1173</c:v>
                </c:pt>
                <c:pt idx="8">
                  <c:v>1403</c:v>
                </c:pt>
                <c:pt idx="9">
                  <c:v>1595</c:v>
                </c:pt>
                <c:pt idx="10">
                  <c:v>1823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4939-447C-95C3-9E180202C83B}"/>
            </c:ext>
          </c:extLst>
        </c:ser>
        <c:ser>
          <c:idx val="43"/>
          <c:order val="38"/>
          <c:tx>
            <c:strRef>
              <c:f>Days_Since_100!$H$40</c:f>
              <c:strCache>
                <c:ptCount val="1"/>
                <c:pt idx="0">
                  <c:v>Japan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Days_Since_100!$I$40:$KU$40</c:f>
              <c:numCache>
                <c:formatCode>General</c:formatCode>
                <c:ptCount val="299"/>
                <c:pt idx="0">
                  <c:v>105</c:v>
                </c:pt>
                <c:pt idx="1">
                  <c:v>122</c:v>
                </c:pt>
                <c:pt idx="2">
                  <c:v>147</c:v>
                </c:pt>
                <c:pt idx="3">
                  <c:v>159</c:v>
                </c:pt>
                <c:pt idx="4">
                  <c:v>170</c:v>
                </c:pt>
                <c:pt idx="5">
                  <c:v>189</c:v>
                </c:pt>
                <c:pt idx="6">
                  <c:v>214</c:v>
                </c:pt>
                <c:pt idx="7">
                  <c:v>228</c:v>
                </c:pt>
                <c:pt idx="8">
                  <c:v>241</c:v>
                </c:pt>
                <c:pt idx="9">
                  <c:v>256</c:v>
                </c:pt>
                <c:pt idx="10">
                  <c:v>274</c:v>
                </c:pt>
                <c:pt idx="11">
                  <c:v>293</c:v>
                </c:pt>
                <c:pt idx="12">
                  <c:v>331</c:v>
                </c:pt>
                <c:pt idx="13">
                  <c:v>360</c:v>
                </c:pt>
                <c:pt idx="14">
                  <c:v>420</c:v>
                </c:pt>
                <c:pt idx="15">
                  <c:v>461</c:v>
                </c:pt>
                <c:pt idx="16">
                  <c:v>502</c:v>
                </c:pt>
                <c:pt idx="17">
                  <c:v>511</c:v>
                </c:pt>
                <c:pt idx="18">
                  <c:v>581</c:v>
                </c:pt>
                <c:pt idx="19">
                  <c:v>639</c:v>
                </c:pt>
                <c:pt idx="20">
                  <c:v>639</c:v>
                </c:pt>
                <c:pt idx="21">
                  <c:v>701</c:v>
                </c:pt>
                <c:pt idx="22">
                  <c:v>773</c:v>
                </c:pt>
                <c:pt idx="23">
                  <c:v>839</c:v>
                </c:pt>
                <c:pt idx="24">
                  <c:v>839</c:v>
                </c:pt>
                <c:pt idx="25">
                  <c:v>878</c:v>
                </c:pt>
                <c:pt idx="26">
                  <c:v>889</c:v>
                </c:pt>
                <c:pt idx="27">
                  <c:v>924</c:v>
                </c:pt>
                <c:pt idx="28">
                  <c:v>963</c:v>
                </c:pt>
                <c:pt idx="29">
                  <c:v>1007</c:v>
                </c:pt>
                <c:pt idx="30">
                  <c:v>1101</c:v>
                </c:pt>
                <c:pt idx="31">
                  <c:v>1128</c:v>
                </c:pt>
                <c:pt idx="32">
                  <c:v>1193</c:v>
                </c:pt>
                <c:pt idx="33">
                  <c:v>1307</c:v>
                </c:pt>
                <c:pt idx="34">
                  <c:v>1387</c:v>
                </c:pt>
                <c:pt idx="35">
                  <c:v>1468</c:v>
                </c:pt>
                <c:pt idx="36">
                  <c:v>1693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4939-447C-95C3-9E180202C83B}"/>
            </c:ext>
          </c:extLst>
        </c:ser>
        <c:ser>
          <c:idx val="44"/>
          <c:order val="39"/>
          <c:tx>
            <c:strRef>
              <c:f>Days_Since_100!$H$41</c:f>
              <c:strCache>
                <c:ptCount val="1"/>
                <c:pt idx="0">
                  <c:v>Poland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Days_Since_100!$I$41:$KU$41</c:f>
              <c:numCache>
                <c:formatCode>General</c:formatCode>
                <c:ptCount val="299"/>
                <c:pt idx="0">
                  <c:v>103</c:v>
                </c:pt>
                <c:pt idx="1">
                  <c:v>119</c:v>
                </c:pt>
                <c:pt idx="2">
                  <c:v>177</c:v>
                </c:pt>
                <c:pt idx="3">
                  <c:v>238</c:v>
                </c:pt>
                <c:pt idx="4">
                  <c:v>251</c:v>
                </c:pt>
                <c:pt idx="5">
                  <c:v>355</c:v>
                </c:pt>
                <c:pt idx="6">
                  <c:v>425</c:v>
                </c:pt>
                <c:pt idx="7">
                  <c:v>536</c:v>
                </c:pt>
                <c:pt idx="8">
                  <c:v>634</c:v>
                </c:pt>
                <c:pt idx="9">
                  <c:v>749</c:v>
                </c:pt>
                <c:pt idx="10">
                  <c:v>901</c:v>
                </c:pt>
                <c:pt idx="11">
                  <c:v>1051</c:v>
                </c:pt>
                <c:pt idx="12">
                  <c:v>1221</c:v>
                </c:pt>
                <c:pt idx="13">
                  <c:v>1389</c:v>
                </c:pt>
                <c:pt idx="14">
                  <c:v>1638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4939-447C-95C3-9E180202C83B}"/>
            </c:ext>
          </c:extLst>
        </c:ser>
        <c:ser>
          <c:idx val="45"/>
          <c:order val="40"/>
          <c:tx>
            <c:strRef>
              <c:f>Days_Since_100!$H$42</c:f>
              <c:strCache>
                <c:ptCount val="1"/>
                <c:pt idx="0">
                  <c:v>Pakistan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Days_Since_100!$I$42:$KU$42</c:f>
              <c:numCache>
                <c:formatCode>General</c:formatCode>
                <c:ptCount val="299"/>
                <c:pt idx="0">
                  <c:v>136</c:v>
                </c:pt>
                <c:pt idx="1">
                  <c:v>236</c:v>
                </c:pt>
                <c:pt idx="2">
                  <c:v>299</c:v>
                </c:pt>
                <c:pt idx="3">
                  <c:v>454</c:v>
                </c:pt>
                <c:pt idx="4">
                  <c:v>501</c:v>
                </c:pt>
                <c:pt idx="5">
                  <c:v>730</c:v>
                </c:pt>
                <c:pt idx="6">
                  <c:v>776</c:v>
                </c:pt>
                <c:pt idx="7">
                  <c:v>875</c:v>
                </c:pt>
                <c:pt idx="8">
                  <c:v>972</c:v>
                </c:pt>
                <c:pt idx="9">
                  <c:v>1063</c:v>
                </c:pt>
                <c:pt idx="10">
                  <c:v>1201</c:v>
                </c:pt>
                <c:pt idx="11">
                  <c:v>1373</c:v>
                </c:pt>
                <c:pt idx="12">
                  <c:v>1495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4939-447C-95C3-9E180202C83B}"/>
            </c:ext>
          </c:extLst>
        </c:ser>
        <c:ser>
          <c:idx val="46"/>
          <c:order val="41"/>
          <c:tx>
            <c:strRef>
              <c:f>Days_Since_100!$H$43</c:f>
              <c:strCache>
                <c:ptCount val="1"/>
                <c:pt idx="0">
                  <c:v>Romania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Days_Since_100!$I$43:$KU$43</c:f>
              <c:numCache>
                <c:formatCode>General</c:formatCode>
                <c:ptCount val="299"/>
                <c:pt idx="0">
                  <c:v>123</c:v>
                </c:pt>
                <c:pt idx="1">
                  <c:v>131</c:v>
                </c:pt>
                <c:pt idx="2">
                  <c:v>158</c:v>
                </c:pt>
                <c:pt idx="3">
                  <c:v>184</c:v>
                </c:pt>
                <c:pt idx="4">
                  <c:v>260</c:v>
                </c:pt>
                <c:pt idx="5">
                  <c:v>277</c:v>
                </c:pt>
                <c:pt idx="6">
                  <c:v>308</c:v>
                </c:pt>
                <c:pt idx="7">
                  <c:v>367</c:v>
                </c:pt>
                <c:pt idx="8">
                  <c:v>433</c:v>
                </c:pt>
                <c:pt idx="9">
                  <c:v>576</c:v>
                </c:pt>
                <c:pt idx="10">
                  <c:v>794</c:v>
                </c:pt>
                <c:pt idx="11">
                  <c:v>906</c:v>
                </c:pt>
                <c:pt idx="12">
                  <c:v>1029</c:v>
                </c:pt>
                <c:pt idx="13">
                  <c:v>1292</c:v>
                </c:pt>
                <c:pt idx="14">
                  <c:v>1452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4939-447C-95C3-9E180202C83B}"/>
            </c:ext>
          </c:extLst>
        </c:ser>
        <c:ser>
          <c:idx val="47"/>
          <c:order val="42"/>
          <c:tx>
            <c:strRef>
              <c:f>Days_Since_100!$H$44</c:f>
              <c:strCache>
                <c:ptCount val="1"/>
                <c:pt idx="0">
                  <c:v>Russia</c:v>
                </c:pt>
              </c:strCache>
            </c:strRef>
          </c:tx>
          <c:spPr>
            <a:ln w="31750" cap="rnd" cmpd="sng" algn="ctr">
              <a:solidFill>
                <a:srgbClr val="5B9BD5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Days_Since_100!$I$44:$KU$44</c:f>
              <c:numCache>
                <c:formatCode>General</c:formatCode>
                <c:ptCount val="299"/>
                <c:pt idx="0">
                  <c:v>114</c:v>
                </c:pt>
                <c:pt idx="1">
                  <c:v>147</c:v>
                </c:pt>
                <c:pt idx="2">
                  <c:v>199</c:v>
                </c:pt>
                <c:pt idx="3">
                  <c:v>253</c:v>
                </c:pt>
                <c:pt idx="4">
                  <c:v>306</c:v>
                </c:pt>
                <c:pt idx="5">
                  <c:v>367</c:v>
                </c:pt>
                <c:pt idx="6">
                  <c:v>438</c:v>
                </c:pt>
                <c:pt idx="7">
                  <c:v>495</c:v>
                </c:pt>
                <c:pt idx="8">
                  <c:v>658</c:v>
                </c:pt>
                <c:pt idx="9">
                  <c:v>840</c:v>
                </c:pt>
                <c:pt idx="10">
                  <c:v>1036</c:v>
                </c:pt>
                <c:pt idx="11">
                  <c:v>1264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4939-447C-95C3-9E180202C83B}"/>
            </c:ext>
          </c:extLst>
        </c:ser>
        <c:ser>
          <c:idx val="48"/>
          <c:order val="43"/>
          <c:tx>
            <c:strRef>
              <c:f>Days_Since_100!$H$45</c:f>
              <c:strCache>
                <c:ptCount val="1"/>
                <c:pt idx="0">
                  <c:v>Thailand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Days_Since_100!$I$45:$KU$45</c:f>
              <c:numCache>
                <c:formatCode>General</c:formatCode>
                <c:ptCount val="299"/>
                <c:pt idx="0">
                  <c:v>114</c:v>
                </c:pt>
                <c:pt idx="1">
                  <c:v>147</c:v>
                </c:pt>
                <c:pt idx="2">
                  <c:v>177</c:v>
                </c:pt>
                <c:pt idx="3">
                  <c:v>212</c:v>
                </c:pt>
                <c:pt idx="4">
                  <c:v>272</c:v>
                </c:pt>
                <c:pt idx="5">
                  <c:v>322</c:v>
                </c:pt>
                <c:pt idx="6">
                  <c:v>411</c:v>
                </c:pt>
                <c:pt idx="7">
                  <c:v>599</c:v>
                </c:pt>
                <c:pt idx="8">
                  <c:v>721</c:v>
                </c:pt>
                <c:pt idx="9">
                  <c:v>827</c:v>
                </c:pt>
                <c:pt idx="10">
                  <c:v>934</c:v>
                </c:pt>
                <c:pt idx="11">
                  <c:v>1045</c:v>
                </c:pt>
                <c:pt idx="12">
                  <c:v>1136</c:v>
                </c:pt>
                <c:pt idx="13">
                  <c:v>1245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4939-447C-95C3-9E180202C83B}"/>
            </c:ext>
          </c:extLst>
        </c:ser>
        <c:ser>
          <c:idx val="49"/>
          <c:order val="44"/>
          <c:tx>
            <c:strRef>
              <c:f>Days_Since_100!$H$46</c:f>
              <c:strCache>
                <c:ptCount val="1"/>
                <c:pt idx="0">
                  <c:v>Saudi Arabia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Days_Since_100!$I$46:$KU$46</c:f>
              <c:numCache>
                <c:formatCode>General</c:formatCode>
                <c:ptCount val="299"/>
                <c:pt idx="0">
                  <c:v>103</c:v>
                </c:pt>
                <c:pt idx="1">
                  <c:v>103</c:v>
                </c:pt>
                <c:pt idx="2">
                  <c:v>118</c:v>
                </c:pt>
                <c:pt idx="3">
                  <c:v>171</c:v>
                </c:pt>
                <c:pt idx="4">
                  <c:v>171</c:v>
                </c:pt>
                <c:pt idx="5">
                  <c:v>274</c:v>
                </c:pt>
                <c:pt idx="6">
                  <c:v>344</c:v>
                </c:pt>
                <c:pt idx="7">
                  <c:v>392</c:v>
                </c:pt>
                <c:pt idx="8">
                  <c:v>511</c:v>
                </c:pt>
                <c:pt idx="9">
                  <c:v>562</c:v>
                </c:pt>
                <c:pt idx="10">
                  <c:v>767</c:v>
                </c:pt>
                <c:pt idx="11">
                  <c:v>900</c:v>
                </c:pt>
                <c:pt idx="12">
                  <c:v>1012</c:v>
                </c:pt>
                <c:pt idx="13">
                  <c:v>1104</c:v>
                </c:pt>
                <c:pt idx="14">
                  <c:v>1203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4939-447C-95C3-9E180202C83B}"/>
            </c:ext>
          </c:extLst>
        </c:ser>
        <c:ser>
          <c:idx val="50"/>
          <c:order val="45"/>
          <c:tx>
            <c:strRef>
              <c:f>Days_Since_100!$H$47</c:f>
              <c:strCache>
                <c:ptCount val="1"/>
                <c:pt idx="0">
                  <c:v>South Africa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Days_Since_100!$I$47:$KU$47</c:f>
              <c:numCache>
                <c:formatCode>General</c:formatCode>
                <c:ptCount val="299"/>
                <c:pt idx="0">
                  <c:v>116</c:v>
                </c:pt>
                <c:pt idx="1">
                  <c:v>150</c:v>
                </c:pt>
                <c:pt idx="2">
                  <c:v>202</c:v>
                </c:pt>
                <c:pt idx="3">
                  <c:v>240</c:v>
                </c:pt>
                <c:pt idx="4">
                  <c:v>274</c:v>
                </c:pt>
                <c:pt idx="5">
                  <c:v>402</c:v>
                </c:pt>
                <c:pt idx="6">
                  <c:v>554</c:v>
                </c:pt>
                <c:pt idx="7">
                  <c:v>709</c:v>
                </c:pt>
                <c:pt idx="8">
                  <c:v>927</c:v>
                </c:pt>
                <c:pt idx="9">
                  <c:v>1170</c:v>
                </c:pt>
                <c:pt idx="10">
                  <c:v>1187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4939-447C-95C3-9E180202C83B}"/>
            </c:ext>
          </c:extLst>
        </c:ser>
        <c:ser>
          <c:idx val="51"/>
          <c:order val="46"/>
          <c:tx>
            <c:strRef>
              <c:f>Days_Since_100!$H$48</c:f>
              <c:strCache>
                <c:ptCount val="1"/>
                <c:pt idx="0">
                  <c:v>Finland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Days_Since_100!$I$48:$KU$48</c:f>
              <c:numCache>
                <c:formatCode>General</c:formatCode>
                <c:ptCount val="299"/>
                <c:pt idx="0">
                  <c:v>155</c:v>
                </c:pt>
                <c:pt idx="1">
                  <c:v>225</c:v>
                </c:pt>
                <c:pt idx="2">
                  <c:v>244</c:v>
                </c:pt>
                <c:pt idx="3">
                  <c:v>277</c:v>
                </c:pt>
                <c:pt idx="4">
                  <c:v>321</c:v>
                </c:pt>
                <c:pt idx="5">
                  <c:v>336</c:v>
                </c:pt>
                <c:pt idx="6">
                  <c:v>400</c:v>
                </c:pt>
                <c:pt idx="7">
                  <c:v>450</c:v>
                </c:pt>
                <c:pt idx="8">
                  <c:v>523</c:v>
                </c:pt>
                <c:pt idx="9">
                  <c:v>626</c:v>
                </c:pt>
                <c:pt idx="10">
                  <c:v>700</c:v>
                </c:pt>
                <c:pt idx="11">
                  <c:v>792</c:v>
                </c:pt>
                <c:pt idx="12">
                  <c:v>880</c:v>
                </c:pt>
                <c:pt idx="13">
                  <c:v>958</c:v>
                </c:pt>
                <c:pt idx="14">
                  <c:v>1041</c:v>
                </c:pt>
                <c:pt idx="15">
                  <c:v>1167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4939-447C-95C3-9E180202C83B}"/>
            </c:ext>
          </c:extLst>
        </c:ser>
        <c:ser>
          <c:idx val="52"/>
          <c:order val="47"/>
          <c:tx>
            <c:strRef>
              <c:f>Days_Since_100!$H$49</c:f>
              <c:strCache>
                <c:ptCount val="1"/>
                <c:pt idx="0">
                  <c:v>Indonesia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Days_Since_100!$I$49:$KU$49</c:f>
              <c:numCache>
                <c:formatCode>General</c:formatCode>
                <c:ptCount val="299"/>
                <c:pt idx="0">
                  <c:v>117</c:v>
                </c:pt>
                <c:pt idx="1">
                  <c:v>134</c:v>
                </c:pt>
                <c:pt idx="2">
                  <c:v>172</c:v>
                </c:pt>
                <c:pt idx="3">
                  <c:v>227</c:v>
                </c:pt>
                <c:pt idx="4">
                  <c:v>311</c:v>
                </c:pt>
                <c:pt idx="5">
                  <c:v>369</c:v>
                </c:pt>
                <c:pt idx="6">
                  <c:v>450</c:v>
                </c:pt>
                <c:pt idx="7">
                  <c:v>514</c:v>
                </c:pt>
                <c:pt idx="8">
                  <c:v>579</c:v>
                </c:pt>
                <c:pt idx="9">
                  <c:v>686</c:v>
                </c:pt>
                <c:pt idx="10">
                  <c:v>790</c:v>
                </c:pt>
                <c:pt idx="11">
                  <c:v>893</c:v>
                </c:pt>
                <c:pt idx="12">
                  <c:v>1046</c:v>
                </c:pt>
                <c:pt idx="13">
                  <c:v>1155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4939-447C-95C3-9E180202C83B}"/>
            </c:ext>
          </c:extLst>
        </c:ser>
        <c:ser>
          <c:idx val="24"/>
          <c:order val="48"/>
          <c:tx>
            <c:strRef>
              <c:f>Days_Since_100!$H$50</c:f>
              <c:strCache>
                <c:ptCount val="1"/>
                <c:pt idx="0">
                  <c:v>Philippines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Days_Since_100!$I$50:$KU$50</c:f>
              <c:numCache>
                <c:formatCode>General</c:formatCode>
                <c:ptCount val="299"/>
                <c:pt idx="0">
                  <c:v>111</c:v>
                </c:pt>
                <c:pt idx="1">
                  <c:v>140</c:v>
                </c:pt>
                <c:pt idx="2">
                  <c:v>142</c:v>
                </c:pt>
                <c:pt idx="3">
                  <c:v>187</c:v>
                </c:pt>
                <c:pt idx="4">
                  <c:v>202</c:v>
                </c:pt>
                <c:pt idx="5">
                  <c:v>217</c:v>
                </c:pt>
                <c:pt idx="6">
                  <c:v>230</c:v>
                </c:pt>
                <c:pt idx="7">
                  <c:v>307</c:v>
                </c:pt>
                <c:pt idx="8">
                  <c:v>380</c:v>
                </c:pt>
                <c:pt idx="9">
                  <c:v>462</c:v>
                </c:pt>
                <c:pt idx="10">
                  <c:v>552</c:v>
                </c:pt>
                <c:pt idx="11">
                  <c:v>636</c:v>
                </c:pt>
                <c:pt idx="12">
                  <c:v>707</c:v>
                </c:pt>
                <c:pt idx="13">
                  <c:v>803</c:v>
                </c:pt>
                <c:pt idx="14">
                  <c:v>1075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F3-40E0-88DB-2AA2E7BEADD9}"/>
            </c:ext>
          </c:extLst>
        </c:ser>
        <c:ser>
          <c:idx val="25"/>
          <c:order val="49"/>
          <c:tx>
            <c:strRef>
              <c:f>Days_Since_100!$H$51</c:f>
              <c:strCache>
                <c:ptCount val="1"/>
                <c:pt idx="0">
                  <c:v>Greece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Days_Since_100!$I$51:$KU$51</c:f>
              <c:numCache>
                <c:formatCode>General</c:formatCode>
                <c:ptCount val="299"/>
                <c:pt idx="0">
                  <c:v>190</c:v>
                </c:pt>
                <c:pt idx="1">
                  <c:v>228</c:v>
                </c:pt>
                <c:pt idx="2">
                  <c:v>331</c:v>
                </c:pt>
                <c:pt idx="3">
                  <c:v>331</c:v>
                </c:pt>
                <c:pt idx="4">
                  <c:v>387</c:v>
                </c:pt>
                <c:pt idx="5">
                  <c:v>418</c:v>
                </c:pt>
                <c:pt idx="6">
                  <c:v>418</c:v>
                </c:pt>
                <c:pt idx="7">
                  <c:v>495</c:v>
                </c:pt>
                <c:pt idx="8">
                  <c:v>530</c:v>
                </c:pt>
                <c:pt idx="9">
                  <c:v>624</c:v>
                </c:pt>
                <c:pt idx="10">
                  <c:v>695</c:v>
                </c:pt>
                <c:pt idx="11">
                  <c:v>743</c:v>
                </c:pt>
                <c:pt idx="12">
                  <c:v>821</c:v>
                </c:pt>
                <c:pt idx="13">
                  <c:v>892</c:v>
                </c:pt>
                <c:pt idx="14">
                  <c:v>966</c:v>
                </c:pt>
                <c:pt idx="15">
                  <c:v>1061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F3-40E0-88DB-2AA2E7BEADD9}"/>
            </c:ext>
          </c:extLst>
        </c:ser>
        <c:ser>
          <c:idx val="28"/>
          <c:order val="50"/>
          <c:tx>
            <c:strRef>
              <c:f>Days_Since_100!$H$52</c:f>
              <c:strCache>
                <c:ptCount val="1"/>
                <c:pt idx="0">
                  <c:v>India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Days_Since_100!$I$52:$KU$52</c:f>
              <c:numCache>
                <c:formatCode>General</c:formatCode>
                <c:ptCount val="299"/>
                <c:pt idx="0">
                  <c:v>102</c:v>
                </c:pt>
                <c:pt idx="1">
                  <c:v>113</c:v>
                </c:pt>
                <c:pt idx="2">
                  <c:v>119</c:v>
                </c:pt>
                <c:pt idx="3">
                  <c:v>142</c:v>
                </c:pt>
                <c:pt idx="4">
                  <c:v>156</c:v>
                </c:pt>
                <c:pt idx="5">
                  <c:v>194</c:v>
                </c:pt>
                <c:pt idx="6">
                  <c:v>244</c:v>
                </c:pt>
                <c:pt idx="7">
                  <c:v>330</c:v>
                </c:pt>
                <c:pt idx="8">
                  <c:v>396</c:v>
                </c:pt>
                <c:pt idx="9">
                  <c:v>499</c:v>
                </c:pt>
                <c:pt idx="10">
                  <c:v>536</c:v>
                </c:pt>
                <c:pt idx="11">
                  <c:v>657</c:v>
                </c:pt>
                <c:pt idx="12">
                  <c:v>727</c:v>
                </c:pt>
                <c:pt idx="13">
                  <c:v>887</c:v>
                </c:pt>
                <c:pt idx="14">
                  <c:v>987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DF3-40E0-88DB-2AA2E7BEADD9}"/>
            </c:ext>
          </c:extLst>
        </c:ser>
        <c:ser>
          <c:idx val="53"/>
          <c:order val="51"/>
          <c:tx>
            <c:strRef>
              <c:f>Days_Since_100!$H$53</c:f>
              <c:strCache>
                <c:ptCount val="1"/>
                <c:pt idx="0">
                  <c:v>Iceland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Days_Since_100!$I$53:$KU$53</c:f>
              <c:numCache>
                <c:formatCode>General</c:formatCode>
                <c:ptCount val="299"/>
                <c:pt idx="0">
                  <c:v>103</c:v>
                </c:pt>
                <c:pt idx="1">
                  <c:v>134</c:v>
                </c:pt>
                <c:pt idx="2">
                  <c:v>156</c:v>
                </c:pt>
                <c:pt idx="3">
                  <c:v>171</c:v>
                </c:pt>
                <c:pt idx="4">
                  <c:v>180</c:v>
                </c:pt>
                <c:pt idx="5">
                  <c:v>220</c:v>
                </c:pt>
                <c:pt idx="6">
                  <c:v>250</c:v>
                </c:pt>
                <c:pt idx="7">
                  <c:v>330</c:v>
                </c:pt>
                <c:pt idx="8">
                  <c:v>409</c:v>
                </c:pt>
                <c:pt idx="9">
                  <c:v>473</c:v>
                </c:pt>
                <c:pt idx="10">
                  <c:v>568</c:v>
                </c:pt>
                <c:pt idx="11">
                  <c:v>588</c:v>
                </c:pt>
                <c:pt idx="12">
                  <c:v>648</c:v>
                </c:pt>
                <c:pt idx="13">
                  <c:v>737</c:v>
                </c:pt>
                <c:pt idx="14">
                  <c:v>802</c:v>
                </c:pt>
                <c:pt idx="15">
                  <c:v>890</c:v>
                </c:pt>
                <c:pt idx="16">
                  <c:v>963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DF3-40E0-88DB-2AA2E7BEADD9}"/>
            </c:ext>
          </c:extLst>
        </c:ser>
        <c:ser>
          <c:idx val="54"/>
          <c:order val="52"/>
          <c:tx>
            <c:strRef>
              <c:f>Days_Since_100!$H$54</c:f>
              <c:strCache>
                <c:ptCount val="1"/>
                <c:pt idx="0">
                  <c:v>Singapore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Days_Since_100!$I$54:$KU$54</c:f>
              <c:numCache>
                <c:formatCode>General</c:formatCode>
                <c:ptCount val="299"/>
                <c:pt idx="0">
                  <c:v>102</c:v>
                </c:pt>
                <c:pt idx="1">
                  <c:v>106</c:v>
                </c:pt>
                <c:pt idx="2">
                  <c:v>108</c:v>
                </c:pt>
                <c:pt idx="3">
                  <c:v>110</c:v>
                </c:pt>
                <c:pt idx="4">
                  <c:v>110</c:v>
                </c:pt>
                <c:pt idx="5">
                  <c:v>117</c:v>
                </c:pt>
                <c:pt idx="6">
                  <c:v>130</c:v>
                </c:pt>
                <c:pt idx="7">
                  <c:v>138</c:v>
                </c:pt>
                <c:pt idx="8">
                  <c:v>150</c:v>
                </c:pt>
                <c:pt idx="9">
                  <c:v>150</c:v>
                </c:pt>
                <c:pt idx="10">
                  <c:v>160</c:v>
                </c:pt>
                <c:pt idx="11">
                  <c:v>178</c:v>
                </c:pt>
                <c:pt idx="12">
                  <c:v>178</c:v>
                </c:pt>
                <c:pt idx="13">
                  <c:v>200</c:v>
                </c:pt>
                <c:pt idx="14">
                  <c:v>212</c:v>
                </c:pt>
                <c:pt idx="15">
                  <c:v>226</c:v>
                </c:pt>
                <c:pt idx="16">
                  <c:v>243</c:v>
                </c:pt>
                <c:pt idx="17">
                  <c:v>266</c:v>
                </c:pt>
                <c:pt idx="18">
                  <c:v>313</c:v>
                </c:pt>
                <c:pt idx="19">
                  <c:v>345</c:v>
                </c:pt>
                <c:pt idx="20">
                  <c:v>385</c:v>
                </c:pt>
                <c:pt idx="21">
                  <c:v>432</c:v>
                </c:pt>
                <c:pt idx="22">
                  <c:v>455</c:v>
                </c:pt>
                <c:pt idx="23">
                  <c:v>509</c:v>
                </c:pt>
                <c:pt idx="24">
                  <c:v>558</c:v>
                </c:pt>
                <c:pt idx="25">
                  <c:v>631</c:v>
                </c:pt>
                <c:pt idx="26">
                  <c:v>683</c:v>
                </c:pt>
                <c:pt idx="27">
                  <c:v>732</c:v>
                </c:pt>
                <c:pt idx="28">
                  <c:v>802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DF3-40E0-88DB-2AA2E7BEADD9}"/>
            </c:ext>
          </c:extLst>
        </c:ser>
        <c:ser>
          <c:idx val="55"/>
          <c:order val="53"/>
          <c:tx>
            <c:strRef>
              <c:f>Days_Since_100!$H$55</c:f>
              <c:strCache>
                <c:ptCount val="1"/>
                <c:pt idx="0">
                  <c:v>Panama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Days_Since_100!$I$55:$KU$55</c:f>
              <c:numCache>
                <c:formatCode>General</c:formatCode>
                <c:ptCount val="299"/>
                <c:pt idx="0">
                  <c:v>109</c:v>
                </c:pt>
                <c:pt idx="1">
                  <c:v>137</c:v>
                </c:pt>
                <c:pt idx="2">
                  <c:v>200</c:v>
                </c:pt>
                <c:pt idx="3">
                  <c:v>313</c:v>
                </c:pt>
                <c:pt idx="4">
                  <c:v>345</c:v>
                </c:pt>
                <c:pt idx="5">
                  <c:v>345</c:v>
                </c:pt>
                <c:pt idx="6">
                  <c:v>443</c:v>
                </c:pt>
                <c:pt idx="7">
                  <c:v>558</c:v>
                </c:pt>
                <c:pt idx="8">
                  <c:v>674</c:v>
                </c:pt>
                <c:pt idx="9">
                  <c:v>786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DF3-40E0-88DB-2AA2E7BEADD9}"/>
            </c:ext>
          </c:extLst>
        </c:ser>
        <c:ser>
          <c:idx val="56"/>
          <c:order val="54"/>
          <c:tx>
            <c:strRef>
              <c:f>Days_Since_100!$H$56</c:f>
              <c:strCache>
                <c:ptCount val="1"/>
                <c:pt idx="0">
                  <c:v>Dominican Republic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Days_Since_100!$I$56:$KU$56</c:f>
              <c:numCache>
                <c:formatCode>General</c:formatCode>
                <c:ptCount val="299"/>
                <c:pt idx="0">
                  <c:v>112</c:v>
                </c:pt>
                <c:pt idx="1">
                  <c:v>202</c:v>
                </c:pt>
                <c:pt idx="2">
                  <c:v>245</c:v>
                </c:pt>
                <c:pt idx="3">
                  <c:v>312</c:v>
                </c:pt>
                <c:pt idx="4">
                  <c:v>392</c:v>
                </c:pt>
                <c:pt idx="5">
                  <c:v>488</c:v>
                </c:pt>
                <c:pt idx="6">
                  <c:v>581</c:v>
                </c:pt>
                <c:pt idx="7">
                  <c:v>719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DF3-40E0-88DB-2AA2E7BEADD9}"/>
            </c:ext>
          </c:extLst>
        </c:ser>
        <c:ser>
          <c:idx val="57"/>
          <c:order val="55"/>
          <c:tx>
            <c:strRef>
              <c:f>Days_Since_100!$H$57</c:f>
              <c:strCache>
                <c:ptCount val="1"/>
                <c:pt idx="0">
                  <c:v>Mexico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Days_Since_100!$I$57:$KU$57</c:f>
              <c:numCache>
                <c:formatCode>General</c:formatCode>
                <c:ptCount val="299"/>
                <c:pt idx="0">
                  <c:v>118</c:v>
                </c:pt>
                <c:pt idx="1">
                  <c:v>164</c:v>
                </c:pt>
                <c:pt idx="2">
                  <c:v>203</c:v>
                </c:pt>
                <c:pt idx="3">
                  <c:v>251</c:v>
                </c:pt>
                <c:pt idx="4">
                  <c:v>316</c:v>
                </c:pt>
                <c:pt idx="5">
                  <c:v>367</c:v>
                </c:pt>
                <c:pt idx="6">
                  <c:v>405</c:v>
                </c:pt>
                <c:pt idx="7">
                  <c:v>475</c:v>
                </c:pt>
                <c:pt idx="8">
                  <c:v>585</c:v>
                </c:pt>
                <c:pt idx="9">
                  <c:v>717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DF3-40E0-88DB-2AA2E7BEADD9}"/>
            </c:ext>
          </c:extLst>
        </c:ser>
        <c:ser>
          <c:idx val="58"/>
          <c:order val="56"/>
          <c:tx>
            <c:strRef>
              <c:f>Days_Since_100!$H$58</c:f>
              <c:strCache>
                <c:ptCount val="1"/>
                <c:pt idx="0">
                  <c:v>Argentina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Days_Since_100!$I$58:$KU$58</c:f>
              <c:numCache>
                <c:formatCode>General</c:formatCode>
                <c:ptCount val="299"/>
                <c:pt idx="0">
                  <c:v>128</c:v>
                </c:pt>
                <c:pt idx="1">
                  <c:v>158</c:v>
                </c:pt>
                <c:pt idx="2">
                  <c:v>266</c:v>
                </c:pt>
                <c:pt idx="3">
                  <c:v>301</c:v>
                </c:pt>
                <c:pt idx="4">
                  <c:v>387</c:v>
                </c:pt>
                <c:pt idx="5">
                  <c:v>387</c:v>
                </c:pt>
                <c:pt idx="6">
                  <c:v>502</c:v>
                </c:pt>
                <c:pt idx="7">
                  <c:v>589</c:v>
                </c:pt>
                <c:pt idx="8">
                  <c:v>690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DF3-40E0-88DB-2AA2E7BEADD9}"/>
            </c:ext>
          </c:extLst>
        </c:ser>
        <c:ser>
          <c:idx val="59"/>
          <c:order val="57"/>
          <c:tx>
            <c:strRef>
              <c:f>Days_Since_100!$H$59</c:f>
              <c:strCache>
                <c:ptCount val="1"/>
                <c:pt idx="0">
                  <c:v>Slovenia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Days_Since_100!$I$59:$KU$59</c:f>
              <c:numCache>
                <c:formatCode>General</c:formatCode>
                <c:ptCount val="299"/>
                <c:pt idx="0">
                  <c:v>141</c:v>
                </c:pt>
                <c:pt idx="1">
                  <c:v>181</c:v>
                </c:pt>
                <c:pt idx="2">
                  <c:v>219</c:v>
                </c:pt>
                <c:pt idx="3">
                  <c:v>253</c:v>
                </c:pt>
                <c:pt idx="4">
                  <c:v>275</c:v>
                </c:pt>
                <c:pt idx="5">
                  <c:v>275</c:v>
                </c:pt>
                <c:pt idx="6">
                  <c:v>286</c:v>
                </c:pt>
                <c:pt idx="7">
                  <c:v>341</c:v>
                </c:pt>
                <c:pt idx="8">
                  <c:v>383</c:v>
                </c:pt>
                <c:pt idx="9">
                  <c:v>414</c:v>
                </c:pt>
                <c:pt idx="10">
                  <c:v>442</c:v>
                </c:pt>
                <c:pt idx="11">
                  <c:v>480</c:v>
                </c:pt>
                <c:pt idx="12">
                  <c:v>528</c:v>
                </c:pt>
                <c:pt idx="13">
                  <c:v>562</c:v>
                </c:pt>
                <c:pt idx="14">
                  <c:v>632</c:v>
                </c:pt>
                <c:pt idx="15">
                  <c:v>684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DF3-40E0-88DB-2AA2E7BEADD9}"/>
            </c:ext>
          </c:extLst>
        </c:ser>
        <c:ser>
          <c:idx val="60"/>
          <c:order val="58"/>
          <c:tx>
            <c:strRef>
              <c:f>Days_Since_100!$H$60</c:f>
              <c:strCache>
                <c:ptCount val="1"/>
                <c:pt idx="0">
                  <c:v>Peru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Days_Since_100!$I$60:$KU$60</c:f>
              <c:numCache>
                <c:formatCode>General</c:formatCode>
                <c:ptCount val="299"/>
                <c:pt idx="0">
                  <c:v>117</c:v>
                </c:pt>
                <c:pt idx="1">
                  <c:v>145</c:v>
                </c:pt>
                <c:pt idx="2">
                  <c:v>234</c:v>
                </c:pt>
                <c:pt idx="3">
                  <c:v>234</c:v>
                </c:pt>
                <c:pt idx="4">
                  <c:v>318</c:v>
                </c:pt>
                <c:pt idx="5">
                  <c:v>363</c:v>
                </c:pt>
                <c:pt idx="6">
                  <c:v>395</c:v>
                </c:pt>
                <c:pt idx="7">
                  <c:v>416</c:v>
                </c:pt>
                <c:pt idx="8">
                  <c:v>480</c:v>
                </c:pt>
                <c:pt idx="9">
                  <c:v>580</c:v>
                </c:pt>
                <c:pt idx="10">
                  <c:v>635</c:v>
                </c:pt>
                <c:pt idx="11">
                  <c:v>671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DF3-40E0-88DB-2AA2E7BEADD9}"/>
            </c:ext>
          </c:extLst>
        </c:ser>
        <c:ser>
          <c:idx val="61"/>
          <c:order val="59"/>
          <c:tx>
            <c:strRef>
              <c:f>Days_Since_100!$H$61</c:f>
              <c:strCache>
                <c:ptCount val="1"/>
                <c:pt idx="0">
                  <c:v>Serbia</c:v>
                </c:pt>
              </c:strCache>
            </c:strRef>
          </c:tx>
          <c:spPr>
            <a:ln w="31750" cap="rnd" cmpd="sng" algn="ctr">
              <a:solidFill>
                <a:srgbClr val="FFC000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Days_Since_100!$I$61:$KU$61</c:f>
              <c:numCache>
                <c:formatCode>General</c:formatCode>
                <c:ptCount val="299"/>
                <c:pt idx="0">
                  <c:v>103</c:v>
                </c:pt>
                <c:pt idx="1">
                  <c:v>135</c:v>
                </c:pt>
                <c:pt idx="2">
                  <c:v>171</c:v>
                </c:pt>
                <c:pt idx="3">
                  <c:v>222</c:v>
                </c:pt>
                <c:pt idx="4">
                  <c:v>249</c:v>
                </c:pt>
                <c:pt idx="5">
                  <c:v>303</c:v>
                </c:pt>
                <c:pt idx="6">
                  <c:v>384</c:v>
                </c:pt>
                <c:pt idx="7">
                  <c:v>384</c:v>
                </c:pt>
                <c:pt idx="8">
                  <c:v>457</c:v>
                </c:pt>
                <c:pt idx="9">
                  <c:v>659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12-4EB5-B872-D6B0C983AD14}"/>
            </c:ext>
          </c:extLst>
        </c:ser>
        <c:ser>
          <c:idx val="62"/>
          <c:order val="60"/>
          <c:tx>
            <c:strRef>
              <c:f>Days_Since_100!$H$62</c:f>
              <c:strCache>
                <c:ptCount val="1"/>
                <c:pt idx="0">
                  <c:v>Croatia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Days_Since_100!$I$62:$KU$62</c:f>
              <c:numCache>
                <c:formatCode>General</c:formatCode>
                <c:ptCount val="299"/>
                <c:pt idx="0">
                  <c:v>105</c:v>
                </c:pt>
                <c:pt idx="1">
                  <c:v>128</c:v>
                </c:pt>
                <c:pt idx="2">
                  <c:v>206</c:v>
                </c:pt>
                <c:pt idx="3">
                  <c:v>254</c:v>
                </c:pt>
                <c:pt idx="4">
                  <c:v>315</c:v>
                </c:pt>
                <c:pt idx="5">
                  <c:v>382</c:v>
                </c:pt>
                <c:pt idx="6">
                  <c:v>442</c:v>
                </c:pt>
                <c:pt idx="7">
                  <c:v>495</c:v>
                </c:pt>
                <c:pt idx="8">
                  <c:v>586</c:v>
                </c:pt>
                <c:pt idx="9">
                  <c:v>657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12-4EB5-B872-D6B0C983AD14}"/>
            </c:ext>
          </c:extLst>
        </c:ser>
        <c:ser>
          <c:idx val="63"/>
          <c:order val="61"/>
          <c:tx>
            <c:strRef>
              <c:f>Days_Since_100!$H$63</c:f>
              <c:strCache>
                <c:ptCount val="1"/>
                <c:pt idx="0">
                  <c:v>Estonia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Days_Since_100!$I$63:$KU$63</c:f>
              <c:numCache>
                <c:formatCode>General</c:formatCode>
                <c:ptCount val="299"/>
                <c:pt idx="0">
                  <c:v>115</c:v>
                </c:pt>
                <c:pt idx="1">
                  <c:v>171</c:v>
                </c:pt>
                <c:pt idx="2">
                  <c:v>205</c:v>
                </c:pt>
                <c:pt idx="3">
                  <c:v>225</c:v>
                </c:pt>
                <c:pt idx="4">
                  <c:v>258</c:v>
                </c:pt>
                <c:pt idx="5">
                  <c:v>267</c:v>
                </c:pt>
                <c:pt idx="6">
                  <c:v>283</c:v>
                </c:pt>
                <c:pt idx="7">
                  <c:v>306</c:v>
                </c:pt>
                <c:pt idx="8">
                  <c:v>326</c:v>
                </c:pt>
                <c:pt idx="9">
                  <c:v>352</c:v>
                </c:pt>
                <c:pt idx="10">
                  <c:v>369</c:v>
                </c:pt>
                <c:pt idx="11">
                  <c:v>404</c:v>
                </c:pt>
                <c:pt idx="12">
                  <c:v>538</c:v>
                </c:pt>
                <c:pt idx="13">
                  <c:v>575</c:v>
                </c:pt>
                <c:pt idx="14">
                  <c:v>645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12-4EB5-B872-D6B0C983AD14}"/>
            </c:ext>
          </c:extLst>
        </c:ser>
        <c:ser>
          <c:idx val="64"/>
          <c:order val="62"/>
          <c:tx>
            <c:strRef>
              <c:f>Days_Since_100!$H$64</c:f>
              <c:strCache>
                <c:ptCount val="1"/>
                <c:pt idx="0">
                  <c:v>Colombia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Days_Since_100!$I$64:$KU$64</c:f>
              <c:numCache>
                <c:formatCode>General</c:formatCode>
                <c:ptCount val="299"/>
                <c:pt idx="0">
                  <c:v>102</c:v>
                </c:pt>
                <c:pt idx="1">
                  <c:v>128</c:v>
                </c:pt>
                <c:pt idx="2">
                  <c:v>196</c:v>
                </c:pt>
                <c:pt idx="3">
                  <c:v>231</c:v>
                </c:pt>
                <c:pt idx="4">
                  <c:v>277</c:v>
                </c:pt>
                <c:pt idx="5">
                  <c:v>378</c:v>
                </c:pt>
                <c:pt idx="6">
                  <c:v>470</c:v>
                </c:pt>
                <c:pt idx="7">
                  <c:v>491</c:v>
                </c:pt>
                <c:pt idx="8">
                  <c:v>539</c:v>
                </c:pt>
                <c:pt idx="9">
                  <c:v>608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212-4EB5-B872-D6B0C983AD14}"/>
            </c:ext>
          </c:extLst>
        </c:ser>
        <c:ser>
          <c:idx val="65"/>
          <c:order val="63"/>
          <c:tx>
            <c:strRef>
              <c:f>Days_Since_100!$H$65</c:f>
              <c:strCache>
                <c:ptCount val="1"/>
                <c:pt idx="0">
                  <c:v>Qatar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Days_Since_100!$I$65:$KU$65</c:f>
              <c:numCache>
                <c:formatCode>General</c:formatCode>
                <c:ptCount val="299"/>
                <c:pt idx="0">
                  <c:v>262</c:v>
                </c:pt>
                <c:pt idx="1">
                  <c:v>262</c:v>
                </c:pt>
                <c:pt idx="2">
                  <c:v>320</c:v>
                </c:pt>
                <c:pt idx="3">
                  <c:v>337</c:v>
                </c:pt>
                <c:pt idx="4">
                  <c:v>401</c:v>
                </c:pt>
                <c:pt idx="5">
                  <c:v>439</c:v>
                </c:pt>
                <c:pt idx="6">
                  <c:v>439</c:v>
                </c:pt>
                <c:pt idx="7">
                  <c:v>452</c:v>
                </c:pt>
                <c:pt idx="8">
                  <c:v>460</c:v>
                </c:pt>
                <c:pt idx="9">
                  <c:v>470</c:v>
                </c:pt>
                <c:pt idx="10">
                  <c:v>481</c:v>
                </c:pt>
                <c:pt idx="11">
                  <c:v>494</c:v>
                </c:pt>
                <c:pt idx="12">
                  <c:v>501</c:v>
                </c:pt>
                <c:pt idx="13">
                  <c:v>526</c:v>
                </c:pt>
                <c:pt idx="14">
                  <c:v>537</c:v>
                </c:pt>
                <c:pt idx="15">
                  <c:v>549</c:v>
                </c:pt>
                <c:pt idx="16">
                  <c:v>562</c:v>
                </c:pt>
                <c:pt idx="17">
                  <c:v>590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212-4EB5-B872-D6B0C983AD14}"/>
            </c:ext>
          </c:extLst>
        </c:ser>
        <c:ser>
          <c:idx val="66"/>
          <c:order val="64"/>
          <c:tx>
            <c:strRef>
              <c:f>Days_Since_100!$H$66</c:f>
              <c:strCache>
                <c:ptCount val="1"/>
                <c:pt idx="0">
                  <c:v>Egypt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Days_Since_100!$I$66:$KU$66</c:f>
              <c:numCache>
                <c:formatCode>General</c:formatCode>
                <c:ptCount val="299"/>
                <c:pt idx="0">
                  <c:v>109</c:v>
                </c:pt>
                <c:pt idx="1">
                  <c:v>110</c:v>
                </c:pt>
                <c:pt idx="2">
                  <c:v>150</c:v>
                </c:pt>
                <c:pt idx="3">
                  <c:v>196</c:v>
                </c:pt>
                <c:pt idx="4">
                  <c:v>196</c:v>
                </c:pt>
                <c:pt idx="5">
                  <c:v>256</c:v>
                </c:pt>
                <c:pt idx="6">
                  <c:v>285</c:v>
                </c:pt>
                <c:pt idx="7">
                  <c:v>294</c:v>
                </c:pt>
                <c:pt idx="8">
                  <c:v>327</c:v>
                </c:pt>
                <c:pt idx="9">
                  <c:v>366</c:v>
                </c:pt>
                <c:pt idx="10">
                  <c:v>402</c:v>
                </c:pt>
                <c:pt idx="11">
                  <c:v>456</c:v>
                </c:pt>
                <c:pt idx="12">
                  <c:v>495</c:v>
                </c:pt>
                <c:pt idx="13">
                  <c:v>536</c:v>
                </c:pt>
                <c:pt idx="14">
                  <c:v>576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7C-4BAF-8CC8-7B18947C5EC7}"/>
            </c:ext>
          </c:extLst>
        </c:ser>
        <c:ser>
          <c:idx val="67"/>
          <c:order val="65"/>
          <c:tx>
            <c:strRef>
              <c:f>Days_Since_100!$H$67</c:f>
              <c:strCache>
                <c:ptCount val="1"/>
                <c:pt idx="0">
                  <c:v>Iraq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Days_Since_100!$I$67:$KU$67</c:f>
              <c:numCache>
                <c:formatCode>General</c:formatCode>
                <c:ptCount val="299"/>
                <c:pt idx="0">
                  <c:v>101</c:v>
                </c:pt>
                <c:pt idx="1">
                  <c:v>110</c:v>
                </c:pt>
                <c:pt idx="2">
                  <c:v>116</c:v>
                </c:pt>
                <c:pt idx="3">
                  <c:v>124</c:v>
                </c:pt>
                <c:pt idx="4">
                  <c:v>154</c:v>
                </c:pt>
                <c:pt idx="5">
                  <c:v>164</c:v>
                </c:pt>
                <c:pt idx="6">
                  <c:v>192</c:v>
                </c:pt>
                <c:pt idx="7">
                  <c:v>208</c:v>
                </c:pt>
                <c:pt idx="8">
                  <c:v>214</c:v>
                </c:pt>
                <c:pt idx="9">
                  <c:v>233</c:v>
                </c:pt>
                <c:pt idx="10">
                  <c:v>266</c:v>
                </c:pt>
                <c:pt idx="11">
                  <c:v>316</c:v>
                </c:pt>
                <c:pt idx="12">
                  <c:v>346</c:v>
                </c:pt>
                <c:pt idx="13">
                  <c:v>382</c:v>
                </c:pt>
                <c:pt idx="14">
                  <c:v>458</c:v>
                </c:pt>
                <c:pt idx="15">
                  <c:v>506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C7C-4BAF-8CC8-7B18947C5EC7}"/>
            </c:ext>
          </c:extLst>
        </c:ser>
        <c:ser>
          <c:idx val="68"/>
          <c:order val="66"/>
          <c:tx>
            <c:strRef>
              <c:f>Days_Since_100!$H$68</c:f>
              <c:strCache>
                <c:ptCount val="1"/>
                <c:pt idx="0">
                  <c:v>Bahrain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Days_Since_100!$I$68:$KU$68</c:f>
              <c:numCache>
                <c:formatCode>General</c:formatCode>
                <c:ptCount val="299"/>
                <c:pt idx="0">
                  <c:v>110</c:v>
                </c:pt>
                <c:pt idx="1">
                  <c:v>195</c:v>
                </c:pt>
                <c:pt idx="2">
                  <c:v>195</c:v>
                </c:pt>
                <c:pt idx="3">
                  <c:v>195</c:v>
                </c:pt>
                <c:pt idx="4">
                  <c:v>210</c:v>
                </c:pt>
                <c:pt idx="5">
                  <c:v>214</c:v>
                </c:pt>
                <c:pt idx="6">
                  <c:v>214</c:v>
                </c:pt>
                <c:pt idx="7">
                  <c:v>228</c:v>
                </c:pt>
                <c:pt idx="8">
                  <c:v>256</c:v>
                </c:pt>
                <c:pt idx="9">
                  <c:v>278</c:v>
                </c:pt>
                <c:pt idx="10">
                  <c:v>285</c:v>
                </c:pt>
                <c:pt idx="11">
                  <c:v>305</c:v>
                </c:pt>
                <c:pt idx="12">
                  <c:v>334</c:v>
                </c:pt>
                <c:pt idx="13">
                  <c:v>377</c:v>
                </c:pt>
                <c:pt idx="14">
                  <c:v>392</c:v>
                </c:pt>
                <c:pt idx="15">
                  <c:v>419</c:v>
                </c:pt>
                <c:pt idx="16">
                  <c:v>458</c:v>
                </c:pt>
                <c:pt idx="17">
                  <c:v>466</c:v>
                </c:pt>
                <c:pt idx="18">
                  <c:v>476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C7C-4BAF-8CC8-7B18947C5EC7}"/>
            </c:ext>
          </c:extLst>
        </c:ser>
        <c:ser>
          <c:idx val="69"/>
          <c:order val="67"/>
          <c:tx>
            <c:strRef>
              <c:f>Days_Since_100!$H$69</c:f>
              <c:strCache>
                <c:ptCount val="1"/>
                <c:pt idx="0">
                  <c:v>United Arab Emirates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Days_Since_100!$I$69:$KU$69</c:f>
              <c:numCache>
                <c:formatCode>General</c:formatCode>
                <c:ptCount val="299"/>
                <c:pt idx="0">
                  <c:v>113</c:v>
                </c:pt>
                <c:pt idx="1">
                  <c:v>140</c:v>
                </c:pt>
                <c:pt idx="2">
                  <c:v>140</c:v>
                </c:pt>
                <c:pt idx="3">
                  <c:v>153</c:v>
                </c:pt>
                <c:pt idx="4">
                  <c:v>153</c:v>
                </c:pt>
                <c:pt idx="5">
                  <c:v>198</c:v>
                </c:pt>
                <c:pt idx="6">
                  <c:v>248</c:v>
                </c:pt>
                <c:pt idx="7">
                  <c:v>333</c:v>
                </c:pt>
                <c:pt idx="8">
                  <c:v>333</c:v>
                </c:pt>
                <c:pt idx="9">
                  <c:v>405</c:v>
                </c:pt>
                <c:pt idx="10">
                  <c:v>468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8B-45D3-932C-4D581A3C1FCE}"/>
            </c:ext>
          </c:extLst>
        </c:ser>
        <c:ser>
          <c:idx val="70"/>
          <c:order val="68"/>
          <c:tx>
            <c:strRef>
              <c:f>Days_Since_100!$H$70</c:f>
              <c:strCache>
                <c:ptCount val="1"/>
                <c:pt idx="0">
                  <c:v>Algeria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Days_Since_100!$I$70:$KU$70</c:f>
              <c:numCache>
                <c:formatCode>General</c:formatCode>
                <c:ptCount val="299"/>
                <c:pt idx="0">
                  <c:v>139</c:v>
                </c:pt>
                <c:pt idx="1">
                  <c:v>201</c:v>
                </c:pt>
                <c:pt idx="2">
                  <c:v>230</c:v>
                </c:pt>
                <c:pt idx="3">
                  <c:v>264</c:v>
                </c:pt>
                <c:pt idx="4">
                  <c:v>302</c:v>
                </c:pt>
                <c:pt idx="5">
                  <c:v>367</c:v>
                </c:pt>
                <c:pt idx="6">
                  <c:v>409</c:v>
                </c:pt>
                <c:pt idx="7">
                  <c:v>454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18B-45D3-932C-4D581A3C1FCE}"/>
            </c:ext>
          </c:extLst>
        </c:ser>
        <c:ser>
          <c:idx val="71"/>
          <c:order val="69"/>
          <c:tx>
            <c:strRef>
              <c:f>Days_Since_100!$H$71</c:f>
              <c:strCache>
                <c:ptCount val="1"/>
                <c:pt idx="0">
                  <c:v>New Zealand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Days_Since_100!$I$71:$KU$71</c:f>
              <c:numCache>
                <c:formatCode>General</c:formatCode>
                <c:ptCount val="299"/>
                <c:pt idx="0">
                  <c:v>102</c:v>
                </c:pt>
                <c:pt idx="1">
                  <c:v>102</c:v>
                </c:pt>
                <c:pt idx="2">
                  <c:v>155</c:v>
                </c:pt>
                <c:pt idx="3">
                  <c:v>205</c:v>
                </c:pt>
                <c:pt idx="4">
                  <c:v>283</c:v>
                </c:pt>
                <c:pt idx="5">
                  <c:v>368</c:v>
                </c:pt>
                <c:pt idx="6">
                  <c:v>451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18B-45D3-932C-4D581A3C1FCE}"/>
            </c:ext>
          </c:extLst>
        </c:ser>
        <c:ser>
          <c:idx val="72"/>
          <c:order val="70"/>
          <c:tx>
            <c:strRef>
              <c:f>Days_Since_100!$H$72</c:f>
              <c:strCache>
                <c:ptCount val="1"/>
                <c:pt idx="0">
                  <c:v>Lebanon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Days_Since_100!$I$72:$KU$72</c:f>
              <c:numCache>
                <c:formatCode>General</c:formatCode>
                <c:ptCount val="299"/>
                <c:pt idx="0">
                  <c:v>110</c:v>
                </c:pt>
                <c:pt idx="1">
                  <c:v>110</c:v>
                </c:pt>
                <c:pt idx="2">
                  <c:v>120</c:v>
                </c:pt>
                <c:pt idx="3">
                  <c:v>133</c:v>
                </c:pt>
                <c:pt idx="4">
                  <c:v>157</c:v>
                </c:pt>
                <c:pt idx="5">
                  <c:v>163</c:v>
                </c:pt>
                <c:pt idx="6">
                  <c:v>187</c:v>
                </c:pt>
                <c:pt idx="7">
                  <c:v>248</c:v>
                </c:pt>
                <c:pt idx="8">
                  <c:v>267</c:v>
                </c:pt>
                <c:pt idx="9">
                  <c:v>318</c:v>
                </c:pt>
                <c:pt idx="10">
                  <c:v>333</c:v>
                </c:pt>
                <c:pt idx="11">
                  <c:v>368</c:v>
                </c:pt>
                <c:pt idx="12">
                  <c:v>391</c:v>
                </c:pt>
                <c:pt idx="13">
                  <c:v>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18B-45D3-932C-4D581A3C1FCE}"/>
            </c:ext>
          </c:extLst>
        </c:ser>
        <c:ser>
          <c:idx val="73"/>
          <c:order val="71"/>
          <c:tx>
            <c:strRef>
              <c:f>Days_Since_100!$H$73</c:f>
              <c:strCache>
                <c:ptCount val="1"/>
                <c:pt idx="0">
                  <c:v>Armenia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Days_Since_100!$I$73:$KU$73</c:f>
              <c:numCache>
                <c:formatCode>General</c:formatCode>
                <c:ptCount val="299"/>
                <c:pt idx="0">
                  <c:v>115</c:v>
                </c:pt>
                <c:pt idx="1">
                  <c:v>136</c:v>
                </c:pt>
                <c:pt idx="2">
                  <c:v>160</c:v>
                </c:pt>
                <c:pt idx="3">
                  <c:v>194</c:v>
                </c:pt>
                <c:pt idx="4">
                  <c:v>235</c:v>
                </c:pt>
                <c:pt idx="5">
                  <c:v>249</c:v>
                </c:pt>
                <c:pt idx="6">
                  <c:v>265</c:v>
                </c:pt>
                <c:pt idx="7">
                  <c:v>290</c:v>
                </c:pt>
                <c:pt idx="8">
                  <c:v>329</c:v>
                </c:pt>
                <c:pt idx="9">
                  <c:v>407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18B-45D3-932C-4D581A3C1FCE}"/>
            </c:ext>
          </c:extLst>
        </c:ser>
        <c:ser>
          <c:idx val="74"/>
          <c:order val="72"/>
          <c:tx>
            <c:strRef>
              <c:f>Days_Since_100!$H$74</c:f>
              <c:strCache>
                <c:ptCount val="1"/>
                <c:pt idx="0">
                  <c:v>Morocco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Days_Since_100!$I$74:$KU$74</c:f>
              <c:numCache>
                <c:formatCode>General</c:formatCode>
                <c:ptCount val="299"/>
                <c:pt idx="0">
                  <c:v>115</c:v>
                </c:pt>
                <c:pt idx="1">
                  <c:v>143</c:v>
                </c:pt>
                <c:pt idx="2">
                  <c:v>170</c:v>
                </c:pt>
                <c:pt idx="3">
                  <c:v>225</c:v>
                </c:pt>
                <c:pt idx="4">
                  <c:v>275</c:v>
                </c:pt>
                <c:pt idx="5">
                  <c:v>345</c:v>
                </c:pt>
                <c:pt idx="6">
                  <c:v>402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18B-45D3-932C-4D581A3C1FCE}"/>
            </c:ext>
          </c:extLst>
        </c:ser>
        <c:ser>
          <c:idx val="75"/>
          <c:order val="73"/>
          <c:tx>
            <c:strRef>
              <c:f>Days_Since_100!$H$75</c:f>
              <c:strCache>
                <c:ptCount val="1"/>
                <c:pt idx="0">
                  <c:v>Lithuania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Days_Since_100!$I$75:$KU$75</c:f>
              <c:numCache>
                <c:formatCode>General</c:formatCode>
                <c:ptCount val="299"/>
                <c:pt idx="0">
                  <c:v>143</c:v>
                </c:pt>
                <c:pt idx="1">
                  <c:v>179</c:v>
                </c:pt>
                <c:pt idx="2">
                  <c:v>209</c:v>
                </c:pt>
                <c:pt idx="3">
                  <c:v>274</c:v>
                </c:pt>
                <c:pt idx="4">
                  <c:v>299</c:v>
                </c:pt>
                <c:pt idx="5">
                  <c:v>358</c:v>
                </c:pt>
                <c:pt idx="6">
                  <c:v>394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18B-45D3-932C-4D581A3C1FCE}"/>
            </c:ext>
          </c:extLst>
        </c:ser>
        <c:ser>
          <c:idx val="76"/>
          <c:order val="74"/>
          <c:tx>
            <c:strRef>
              <c:f>Days_Since_100!$H$76</c:f>
              <c:strCache>
                <c:ptCount val="1"/>
                <c:pt idx="0">
                  <c:v>Ukraine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Days_Since_100!$I$76:$KU$76</c:f>
              <c:numCache>
                <c:formatCode>General</c:formatCode>
                <c:ptCount val="299"/>
                <c:pt idx="0">
                  <c:v>145</c:v>
                </c:pt>
                <c:pt idx="1">
                  <c:v>196</c:v>
                </c:pt>
                <c:pt idx="2">
                  <c:v>310</c:v>
                </c:pt>
                <c:pt idx="3">
                  <c:v>356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18B-45D3-932C-4D581A3C1FCE}"/>
            </c:ext>
          </c:extLst>
        </c:ser>
        <c:ser>
          <c:idx val="77"/>
          <c:order val="75"/>
          <c:tx>
            <c:strRef>
              <c:f>Days_Since_100!$H$77</c:f>
              <c:strCache>
                <c:ptCount val="1"/>
                <c:pt idx="0">
                  <c:v>Hungary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Days_Since_100!$I$77:$KU$77</c:f>
              <c:numCache>
                <c:formatCode>General</c:formatCode>
                <c:ptCount val="299"/>
                <c:pt idx="0">
                  <c:v>103</c:v>
                </c:pt>
                <c:pt idx="1">
                  <c:v>131</c:v>
                </c:pt>
                <c:pt idx="2">
                  <c:v>167</c:v>
                </c:pt>
                <c:pt idx="3">
                  <c:v>187</c:v>
                </c:pt>
                <c:pt idx="4">
                  <c:v>226</c:v>
                </c:pt>
                <c:pt idx="5">
                  <c:v>261</c:v>
                </c:pt>
                <c:pt idx="6">
                  <c:v>300</c:v>
                </c:pt>
                <c:pt idx="7">
                  <c:v>343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18B-45D3-932C-4D581A3C1FCE}"/>
            </c:ext>
          </c:extLst>
        </c:ser>
        <c:ser>
          <c:idx val="78"/>
          <c:order val="76"/>
          <c:tx>
            <c:strRef>
              <c:f>Days_Since_100!$H$78</c:f>
              <c:strCache>
                <c:ptCount val="1"/>
                <c:pt idx="0">
                  <c:v>Bulgaria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Days_Since_100!$I$78:$KU$78</c:f>
              <c:numCache>
                <c:formatCode>General</c:formatCode>
                <c:ptCount val="299"/>
                <c:pt idx="0">
                  <c:v>127</c:v>
                </c:pt>
                <c:pt idx="1">
                  <c:v>163</c:v>
                </c:pt>
                <c:pt idx="2">
                  <c:v>187</c:v>
                </c:pt>
                <c:pt idx="3">
                  <c:v>201</c:v>
                </c:pt>
                <c:pt idx="4">
                  <c:v>218</c:v>
                </c:pt>
                <c:pt idx="5">
                  <c:v>242</c:v>
                </c:pt>
                <c:pt idx="6">
                  <c:v>264</c:v>
                </c:pt>
                <c:pt idx="7">
                  <c:v>293</c:v>
                </c:pt>
                <c:pt idx="8">
                  <c:v>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18B-45D3-932C-4D581A3C1FCE}"/>
            </c:ext>
          </c:extLst>
        </c:ser>
        <c:ser>
          <c:idx val="79"/>
          <c:order val="77"/>
          <c:tx>
            <c:strRef>
              <c:f>Days_Since_100!$H$79</c:f>
              <c:strCache>
                <c:ptCount val="1"/>
                <c:pt idx="0">
                  <c:v>Andorra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Days_Since_100!$I$79:$KU$79</c:f>
              <c:numCache>
                <c:formatCode>General</c:formatCode>
                <c:ptCount val="299"/>
                <c:pt idx="0">
                  <c:v>113</c:v>
                </c:pt>
                <c:pt idx="1">
                  <c:v>133</c:v>
                </c:pt>
                <c:pt idx="2">
                  <c:v>164</c:v>
                </c:pt>
                <c:pt idx="3">
                  <c:v>188</c:v>
                </c:pt>
                <c:pt idx="4">
                  <c:v>224</c:v>
                </c:pt>
                <c:pt idx="5">
                  <c:v>267</c:v>
                </c:pt>
                <c:pt idx="6">
                  <c:v>308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18B-45D3-932C-4D581A3C1FCE}"/>
            </c:ext>
          </c:extLst>
        </c:ser>
        <c:ser>
          <c:idx val="80"/>
          <c:order val="78"/>
          <c:tx>
            <c:strRef>
              <c:f>Days_Since_100!$H$80</c:f>
              <c:strCache>
                <c:ptCount val="1"/>
                <c:pt idx="0">
                  <c:v>Latvia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Days_Since_100!$I$80:$KU$80</c:f>
              <c:numCache>
                <c:formatCode>General</c:formatCode>
                <c:ptCount val="299"/>
                <c:pt idx="0">
                  <c:v>111</c:v>
                </c:pt>
                <c:pt idx="1">
                  <c:v>124</c:v>
                </c:pt>
                <c:pt idx="2">
                  <c:v>139</c:v>
                </c:pt>
                <c:pt idx="3">
                  <c:v>180</c:v>
                </c:pt>
                <c:pt idx="4">
                  <c:v>197</c:v>
                </c:pt>
                <c:pt idx="5">
                  <c:v>221</c:v>
                </c:pt>
                <c:pt idx="6">
                  <c:v>244</c:v>
                </c:pt>
                <c:pt idx="7">
                  <c:v>280</c:v>
                </c:pt>
                <c:pt idx="8">
                  <c:v>305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18B-45D3-932C-4D581A3C1FCE}"/>
            </c:ext>
          </c:extLst>
        </c:ser>
        <c:ser>
          <c:idx val="81"/>
          <c:order val="79"/>
          <c:tx>
            <c:strRef>
              <c:f>Days_Since_100!$H$81</c:f>
              <c:strCache>
                <c:ptCount val="1"/>
                <c:pt idx="0">
                  <c:v>Costa Rica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Days_Since_100!$I$81:$KU$81</c:f>
              <c:numCache>
                <c:formatCode>General</c:formatCode>
                <c:ptCount val="299"/>
                <c:pt idx="0">
                  <c:v>117</c:v>
                </c:pt>
                <c:pt idx="1">
                  <c:v>134</c:v>
                </c:pt>
                <c:pt idx="2">
                  <c:v>158</c:v>
                </c:pt>
                <c:pt idx="3">
                  <c:v>177</c:v>
                </c:pt>
                <c:pt idx="4">
                  <c:v>201</c:v>
                </c:pt>
                <c:pt idx="5">
                  <c:v>231</c:v>
                </c:pt>
                <c:pt idx="6">
                  <c:v>263</c:v>
                </c:pt>
                <c:pt idx="7">
                  <c:v>295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E18B-45D3-932C-4D581A3C1FCE}"/>
            </c:ext>
          </c:extLst>
        </c:ser>
        <c:ser>
          <c:idx val="82"/>
          <c:order val="80"/>
          <c:tx>
            <c:strRef>
              <c:f>Days_Since_100!$H$82</c:f>
              <c:strCache>
                <c:ptCount val="1"/>
                <c:pt idx="0">
                  <c:v>Slovakia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Days_Since_100!$I$82:$KU$82</c:f>
              <c:numCache>
                <c:formatCode>General</c:formatCode>
                <c:ptCount val="299"/>
                <c:pt idx="0">
                  <c:v>105</c:v>
                </c:pt>
                <c:pt idx="1">
                  <c:v>123</c:v>
                </c:pt>
                <c:pt idx="2">
                  <c:v>137</c:v>
                </c:pt>
                <c:pt idx="3">
                  <c:v>178</c:v>
                </c:pt>
                <c:pt idx="4">
                  <c:v>185</c:v>
                </c:pt>
                <c:pt idx="5">
                  <c:v>186</c:v>
                </c:pt>
                <c:pt idx="6">
                  <c:v>204</c:v>
                </c:pt>
                <c:pt idx="7">
                  <c:v>216</c:v>
                </c:pt>
                <c:pt idx="8">
                  <c:v>226</c:v>
                </c:pt>
                <c:pt idx="9">
                  <c:v>269</c:v>
                </c:pt>
                <c:pt idx="10">
                  <c:v>292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18B-45D3-932C-4D581A3C1FCE}"/>
            </c:ext>
          </c:extLst>
        </c:ser>
        <c:ser>
          <c:idx val="83"/>
          <c:order val="81"/>
          <c:tx>
            <c:strRef>
              <c:f>Days_Since_100!$H$83</c:f>
              <c:strCache>
                <c:ptCount val="1"/>
                <c:pt idx="0">
                  <c:v>Taiwan*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Days_Since_100!$I$83:$KU$83</c:f>
              <c:numCache>
                <c:formatCode>General</c:formatCode>
                <c:ptCount val="299"/>
                <c:pt idx="0">
                  <c:v>100</c:v>
                </c:pt>
                <c:pt idx="1">
                  <c:v>108</c:v>
                </c:pt>
                <c:pt idx="2">
                  <c:v>135</c:v>
                </c:pt>
                <c:pt idx="3">
                  <c:v>153</c:v>
                </c:pt>
                <c:pt idx="4">
                  <c:v>169</c:v>
                </c:pt>
                <c:pt idx="5">
                  <c:v>195</c:v>
                </c:pt>
                <c:pt idx="6">
                  <c:v>215</c:v>
                </c:pt>
                <c:pt idx="7">
                  <c:v>235</c:v>
                </c:pt>
                <c:pt idx="8">
                  <c:v>252</c:v>
                </c:pt>
                <c:pt idx="9">
                  <c:v>267</c:v>
                </c:pt>
                <c:pt idx="10">
                  <c:v>283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18B-45D3-932C-4D581A3C1FCE}"/>
            </c:ext>
          </c:extLst>
        </c:ser>
        <c:ser>
          <c:idx val="84"/>
          <c:order val="82"/>
          <c:tx>
            <c:strRef>
              <c:f>Days_Since_100!$H$84</c:f>
              <c:strCache>
                <c:ptCount val="1"/>
                <c:pt idx="0">
                  <c:v>Tunisia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Days_Since_100!$I$84:$KU$84</c:f>
              <c:numCache>
                <c:formatCode>General</c:formatCode>
                <c:ptCount val="299"/>
                <c:pt idx="0">
                  <c:v>114</c:v>
                </c:pt>
                <c:pt idx="1">
                  <c:v>173</c:v>
                </c:pt>
                <c:pt idx="2">
                  <c:v>197</c:v>
                </c:pt>
                <c:pt idx="3">
                  <c:v>227</c:v>
                </c:pt>
                <c:pt idx="4">
                  <c:v>278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E18B-45D3-932C-4D581A3C1FCE}"/>
            </c:ext>
          </c:extLst>
        </c:ser>
        <c:ser>
          <c:idx val="85"/>
          <c:order val="83"/>
          <c:tx>
            <c:strRef>
              <c:f>Days_Since_100!$H$85</c:f>
              <c:strCache>
                <c:ptCount val="1"/>
                <c:pt idx="0">
                  <c:v>Bosnia and Herzegovina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Days_Since_100!$I$85:$KU$85</c:f>
              <c:numCache>
                <c:formatCode>General</c:formatCode>
                <c:ptCount val="299"/>
                <c:pt idx="0">
                  <c:v>126</c:v>
                </c:pt>
                <c:pt idx="1">
                  <c:v>136</c:v>
                </c:pt>
                <c:pt idx="2">
                  <c:v>166</c:v>
                </c:pt>
                <c:pt idx="3">
                  <c:v>176</c:v>
                </c:pt>
                <c:pt idx="4">
                  <c:v>191</c:v>
                </c:pt>
                <c:pt idx="5">
                  <c:v>237</c:v>
                </c:pt>
                <c:pt idx="6">
                  <c:v>258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E18B-45D3-932C-4D581A3C1FCE}"/>
            </c:ext>
          </c:extLst>
        </c:ser>
        <c:ser>
          <c:idx val="86"/>
          <c:order val="84"/>
          <c:tx>
            <c:strRef>
              <c:f>Days_Since_100!$H$86</c:f>
              <c:strCache>
                <c:ptCount val="1"/>
                <c:pt idx="0">
                  <c:v>Jordan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Days_Since_100!$I$86:$KU$86</c:f>
              <c:numCache>
                <c:formatCode>General</c:formatCode>
                <c:ptCount val="299"/>
                <c:pt idx="0">
                  <c:v>112</c:v>
                </c:pt>
                <c:pt idx="1">
                  <c:v>127</c:v>
                </c:pt>
                <c:pt idx="2">
                  <c:v>154</c:v>
                </c:pt>
                <c:pt idx="3">
                  <c:v>172</c:v>
                </c:pt>
                <c:pt idx="4">
                  <c:v>212</c:v>
                </c:pt>
                <c:pt idx="5">
                  <c:v>235</c:v>
                </c:pt>
                <c:pt idx="6">
                  <c:v>246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E18B-45D3-932C-4D581A3C1FCE}"/>
            </c:ext>
          </c:extLst>
        </c:ser>
        <c:ser>
          <c:idx val="87"/>
          <c:order val="85"/>
          <c:tx>
            <c:strRef>
              <c:f>Days_Since_100!$H$87</c:f>
              <c:strCache>
                <c:ptCount val="1"/>
                <c:pt idx="0">
                  <c:v>North Macedonia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Days_Since_100!$I$87:$KU$87</c:f>
              <c:numCache>
                <c:formatCode>General</c:formatCode>
                <c:ptCount val="299"/>
                <c:pt idx="0">
                  <c:v>115</c:v>
                </c:pt>
                <c:pt idx="1">
                  <c:v>136</c:v>
                </c:pt>
                <c:pt idx="2">
                  <c:v>148</c:v>
                </c:pt>
                <c:pt idx="3">
                  <c:v>177</c:v>
                </c:pt>
                <c:pt idx="4">
                  <c:v>201</c:v>
                </c:pt>
                <c:pt idx="5">
                  <c:v>219</c:v>
                </c:pt>
                <c:pt idx="6">
                  <c:v>241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E18B-45D3-932C-4D581A3C1FCE}"/>
            </c:ext>
          </c:extLst>
        </c:ser>
        <c:ser>
          <c:idx val="88"/>
          <c:order val="86"/>
          <c:tx>
            <c:strRef>
              <c:f>Days_Since_100!$H$88</c:f>
              <c:strCache>
                <c:ptCount val="1"/>
                <c:pt idx="0">
                  <c:v>Kuwait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Days_Since_100!$I$88:$KU$88</c:f>
              <c:numCache>
                <c:formatCode>General</c:formatCode>
                <c:ptCount val="299"/>
                <c:pt idx="0">
                  <c:v>104</c:v>
                </c:pt>
                <c:pt idx="1">
                  <c:v>112</c:v>
                </c:pt>
                <c:pt idx="2">
                  <c:v>123</c:v>
                </c:pt>
                <c:pt idx="3">
                  <c:v>130</c:v>
                </c:pt>
                <c:pt idx="4">
                  <c:v>142</c:v>
                </c:pt>
                <c:pt idx="5">
                  <c:v>148</c:v>
                </c:pt>
                <c:pt idx="6">
                  <c:v>159</c:v>
                </c:pt>
                <c:pt idx="7">
                  <c:v>176</c:v>
                </c:pt>
                <c:pt idx="8">
                  <c:v>188</c:v>
                </c:pt>
                <c:pt idx="9">
                  <c:v>189</c:v>
                </c:pt>
                <c:pt idx="10">
                  <c:v>191</c:v>
                </c:pt>
                <c:pt idx="11">
                  <c:v>195</c:v>
                </c:pt>
                <c:pt idx="12">
                  <c:v>208</c:v>
                </c:pt>
                <c:pt idx="13">
                  <c:v>225</c:v>
                </c:pt>
                <c:pt idx="14">
                  <c:v>235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3C-47EA-B81B-0882F100EFAE}"/>
            </c:ext>
          </c:extLst>
        </c:ser>
        <c:ser>
          <c:idx val="89"/>
          <c:order val="87"/>
          <c:tx>
            <c:strRef>
              <c:f>Days_Since_100!$H$89</c:f>
              <c:strCache>
                <c:ptCount val="1"/>
                <c:pt idx="0">
                  <c:v>Moldova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Days_Since_100!$I$89:$KU$89</c:f>
              <c:numCache>
                <c:formatCode>General</c:formatCode>
                <c:ptCount val="299"/>
                <c:pt idx="0">
                  <c:v>109</c:v>
                </c:pt>
                <c:pt idx="1">
                  <c:v>125</c:v>
                </c:pt>
                <c:pt idx="2">
                  <c:v>149</c:v>
                </c:pt>
                <c:pt idx="3">
                  <c:v>177</c:v>
                </c:pt>
                <c:pt idx="4">
                  <c:v>199</c:v>
                </c:pt>
                <c:pt idx="5">
                  <c:v>231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33-4FF3-A082-A52D1F741C41}"/>
            </c:ext>
          </c:extLst>
        </c:ser>
        <c:ser>
          <c:idx val="90"/>
          <c:order val="88"/>
          <c:tx>
            <c:strRef>
              <c:f>Days_Since_100!$H$90</c:f>
              <c:strCache>
                <c:ptCount val="1"/>
                <c:pt idx="0">
                  <c:v>Kazakhstan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Days_Since_100!$I$90:$KU$90</c:f>
              <c:numCache>
                <c:formatCode>General</c:formatCode>
                <c:ptCount val="299"/>
                <c:pt idx="0">
                  <c:v>111</c:v>
                </c:pt>
                <c:pt idx="1">
                  <c:v>150</c:v>
                </c:pt>
                <c:pt idx="2">
                  <c:v>228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333-4FF3-A082-A52D1F741C41}"/>
            </c:ext>
          </c:extLst>
        </c:ser>
        <c:ser>
          <c:idx val="91"/>
          <c:order val="89"/>
          <c:tx>
            <c:strRef>
              <c:f>Days_Since_100!$H$91</c:f>
              <c:strCache>
                <c:ptCount val="1"/>
                <c:pt idx="0">
                  <c:v>San Marino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Days_Since_100!$I$91:$KU$91</c:f>
              <c:numCache>
                <c:formatCode>General</c:formatCode>
                <c:ptCount val="299"/>
                <c:pt idx="0">
                  <c:v>101</c:v>
                </c:pt>
                <c:pt idx="1">
                  <c:v>109</c:v>
                </c:pt>
                <c:pt idx="2">
                  <c:v>109</c:v>
                </c:pt>
                <c:pt idx="3">
                  <c:v>119</c:v>
                </c:pt>
                <c:pt idx="4">
                  <c:v>119</c:v>
                </c:pt>
                <c:pt idx="5">
                  <c:v>144</c:v>
                </c:pt>
                <c:pt idx="6">
                  <c:v>144</c:v>
                </c:pt>
                <c:pt idx="7">
                  <c:v>175</c:v>
                </c:pt>
                <c:pt idx="8">
                  <c:v>187</c:v>
                </c:pt>
                <c:pt idx="9">
                  <c:v>187</c:v>
                </c:pt>
                <c:pt idx="10">
                  <c:v>208</c:v>
                </c:pt>
                <c:pt idx="11">
                  <c:v>208</c:v>
                </c:pt>
                <c:pt idx="12">
                  <c:v>223</c:v>
                </c:pt>
                <c:pt idx="13">
                  <c:v>224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333-4FF3-A082-A52D1F741C41}"/>
            </c:ext>
          </c:extLst>
        </c:ser>
        <c:ser>
          <c:idx val="92"/>
          <c:order val="90"/>
          <c:tx>
            <c:strRef>
              <c:f>Days_Since_100!$H$92</c:f>
              <c:strCache>
                <c:ptCount val="1"/>
                <c:pt idx="0">
                  <c:v>Burkina Faso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Days_Since_100!$I$92:$KU$92</c:f>
              <c:numCache>
                <c:formatCode>General</c:formatCode>
                <c:ptCount val="299"/>
                <c:pt idx="0">
                  <c:v>114</c:v>
                </c:pt>
                <c:pt idx="1">
                  <c:v>146</c:v>
                </c:pt>
                <c:pt idx="2">
                  <c:v>152</c:v>
                </c:pt>
                <c:pt idx="3">
                  <c:v>180</c:v>
                </c:pt>
                <c:pt idx="4">
                  <c:v>207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333-4FF3-A082-A52D1F741C41}"/>
            </c:ext>
          </c:extLst>
        </c:ser>
        <c:ser>
          <c:idx val="93"/>
          <c:order val="91"/>
          <c:tx>
            <c:strRef>
              <c:f>Days_Since_100!$H$93</c:f>
              <c:strCache>
                <c:ptCount val="1"/>
                <c:pt idx="0">
                  <c:v>Albania</c:v>
                </c:pt>
              </c:strCache>
            </c:strRef>
          </c:tx>
          <c:spPr>
            <a:ln w="31750" cap="rnd" cmpd="sng" algn="ctr">
              <a:solidFill>
                <a:srgbClr val="70AD47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Days_Since_100!$I$93:$KU$93</c:f>
              <c:numCache>
                <c:formatCode>General</c:formatCode>
                <c:ptCount val="299"/>
                <c:pt idx="0">
                  <c:v>104</c:v>
                </c:pt>
                <c:pt idx="1">
                  <c:v>123</c:v>
                </c:pt>
                <c:pt idx="2">
                  <c:v>146</c:v>
                </c:pt>
                <c:pt idx="3">
                  <c:v>174</c:v>
                </c:pt>
                <c:pt idx="4">
                  <c:v>186</c:v>
                </c:pt>
                <c:pt idx="5">
                  <c:v>197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333-4FF3-A082-A52D1F741C41}"/>
            </c:ext>
          </c:extLst>
        </c:ser>
        <c:ser>
          <c:idx val="94"/>
          <c:order val="92"/>
          <c:tx>
            <c:strRef>
              <c:f>Days_Since_100!$H$94</c:f>
              <c:strCache>
                <c:ptCount val="1"/>
                <c:pt idx="0">
                  <c:v>Azerbaijan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Days_Since_100!$I$94:$KU$94</c:f>
              <c:numCache>
                <c:formatCode>General</c:formatCode>
                <c:ptCount val="299"/>
                <c:pt idx="0">
                  <c:v>122</c:v>
                </c:pt>
                <c:pt idx="1">
                  <c:v>165</c:v>
                </c:pt>
                <c:pt idx="2">
                  <c:v>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333-4FF3-A082-A52D1F741C41}"/>
            </c:ext>
          </c:extLst>
        </c:ser>
        <c:ser>
          <c:idx val="95"/>
          <c:order val="93"/>
          <c:tx>
            <c:strRef>
              <c:f>Days_Since_100!$H$95</c:f>
              <c:strCache>
                <c:ptCount val="1"/>
                <c:pt idx="0">
                  <c:v>Cyprus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Days_Since_100!$I$95:$KU$95</c:f>
              <c:numCache>
                <c:formatCode>General</c:formatCode>
                <c:ptCount val="299"/>
                <c:pt idx="0">
                  <c:v>116</c:v>
                </c:pt>
                <c:pt idx="1">
                  <c:v>124</c:v>
                </c:pt>
                <c:pt idx="2">
                  <c:v>132</c:v>
                </c:pt>
                <c:pt idx="3">
                  <c:v>146</c:v>
                </c:pt>
                <c:pt idx="4">
                  <c:v>162</c:v>
                </c:pt>
                <c:pt idx="5">
                  <c:v>179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333-4FF3-A082-A52D1F741C41}"/>
            </c:ext>
          </c:extLst>
        </c:ser>
        <c:ser>
          <c:idx val="96"/>
          <c:order val="94"/>
          <c:tx>
            <c:strRef>
              <c:f>Days_Since_100!$H$96</c:f>
              <c:strCache>
                <c:ptCount val="1"/>
                <c:pt idx="0">
                  <c:v>Vietnam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Days_Since_100!$I$96:$KU$96</c:f>
              <c:numCache>
                <c:formatCode>General</c:formatCode>
                <c:ptCount val="299"/>
                <c:pt idx="0">
                  <c:v>113</c:v>
                </c:pt>
                <c:pt idx="1">
                  <c:v>123</c:v>
                </c:pt>
                <c:pt idx="2">
                  <c:v>134</c:v>
                </c:pt>
                <c:pt idx="3">
                  <c:v>141</c:v>
                </c:pt>
                <c:pt idx="4">
                  <c:v>153</c:v>
                </c:pt>
                <c:pt idx="5">
                  <c:v>163</c:v>
                </c:pt>
                <c:pt idx="6">
                  <c:v>174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333-4FF3-A082-A52D1F741C41}"/>
            </c:ext>
          </c:extLst>
        </c:ser>
        <c:ser>
          <c:idx val="97"/>
          <c:order val="95"/>
          <c:tx>
            <c:strRef>
              <c:f>Days_Since_100!$H$97</c:f>
              <c:strCache>
                <c:ptCount val="1"/>
                <c:pt idx="0">
                  <c:v>Oman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Days_Since_100!$I$97:$KU$97</c:f>
              <c:numCache>
                <c:formatCode>General</c:formatCode>
                <c:ptCount val="299"/>
                <c:pt idx="0">
                  <c:v>109</c:v>
                </c:pt>
                <c:pt idx="1">
                  <c:v>131</c:v>
                </c:pt>
                <c:pt idx="2">
                  <c:v>152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333-4FF3-A082-A52D1F741C41}"/>
            </c:ext>
          </c:extLst>
        </c:ser>
        <c:ser>
          <c:idx val="98"/>
          <c:order val="96"/>
          <c:tx>
            <c:strRef>
              <c:f>Days_Since_100!$H$98</c:f>
              <c:strCache>
                <c:ptCount val="1"/>
                <c:pt idx="0">
                  <c:v>Malta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Days_Since_100!$I$98:$KU$98</c:f>
              <c:numCache>
                <c:formatCode>General</c:formatCode>
                <c:ptCount val="299"/>
                <c:pt idx="0">
                  <c:v>107</c:v>
                </c:pt>
                <c:pt idx="1">
                  <c:v>110</c:v>
                </c:pt>
                <c:pt idx="2">
                  <c:v>129</c:v>
                </c:pt>
                <c:pt idx="3">
                  <c:v>134</c:v>
                </c:pt>
                <c:pt idx="4">
                  <c:v>139</c:v>
                </c:pt>
                <c:pt idx="5">
                  <c:v>149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333-4FF3-A082-A52D1F741C41}"/>
            </c:ext>
          </c:extLst>
        </c:ser>
        <c:ser>
          <c:idx val="99"/>
          <c:order val="97"/>
          <c:tx>
            <c:strRef>
              <c:f>Days_Since_100!$H$99</c:f>
              <c:strCache>
                <c:ptCount val="1"/>
                <c:pt idx="0">
                  <c:v>Senegal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Days_Since_100!$I$99:$KU$99</c:f>
              <c:numCache>
                <c:formatCode>General</c:formatCode>
                <c:ptCount val="299"/>
                <c:pt idx="0">
                  <c:v>105</c:v>
                </c:pt>
                <c:pt idx="1">
                  <c:v>119</c:v>
                </c:pt>
                <c:pt idx="2">
                  <c:v>130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333-4FF3-A082-A52D1F741C41}"/>
            </c:ext>
          </c:extLst>
        </c:ser>
        <c:ser>
          <c:idx val="11"/>
          <c:order val="98"/>
          <c:tx>
            <c:strRef>
              <c:f>Days_Since_100!$H$100</c:f>
              <c:strCache>
                <c:ptCount val="1"/>
                <c:pt idx="0">
                  <c:v>Brunei</c:v>
                </c:pt>
              </c:strCache>
            </c:strRef>
          </c:tx>
          <c:spPr>
            <a:ln w="31750" cap="rnd" cmpd="sng" algn="ctr">
              <a:solidFill>
                <a:srgbClr val="A5A5A5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Days_Since_100!$I$100:$KU$100</c:f>
              <c:numCache>
                <c:formatCode>General</c:formatCode>
                <c:ptCount val="299"/>
                <c:pt idx="0">
                  <c:v>104</c:v>
                </c:pt>
                <c:pt idx="1">
                  <c:v>109</c:v>
                </c:pt>
                <c:pt idx="2">
                  <c:v>114</c:v>
                </c:pt>
                <c:pt idx="3">
                  <c:v>115</c:v>
                </c:pt>
                <c:pt idx="4">
                  <c:v>120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41-45FC-9D2D-BEB13ED155B7}"/>
            </c:ext>
          </c:extLst>
        </c:ser>
        <c:ser>
          <c:idx val="13"/>
          <c:order val="99"/>
          <c:tx>
            <c:strRef>
              <c:f>Days_Since_100!$H$101</c:f>
              <c:strCache>
                <c:ptCount val="1"/>
                <c:pt idx="0">
                  <c:v>Cuba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Days_Since_100!$I$101:$KU$101</c:f>
              <c:numCache>
                <c:formatCode>General</c:formatCode>
                <c:ptCount val="299"/>
                <c:pt idx="0">
                  <c:v>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041-45FC-9D2D-BEB13ED155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0379656"/>
        <c:axId val="510372440"/>
      </c:lineChart>
      <c:dateAx>
        <c:axId val="510379656"/>
        <c:scaling>
          <c:orientation val="minMax"/>
          <c:max val="35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100"/>
                  <a:t>Days</a:t>
                </a:r>
              </a:p>
            </c:rich>
          </c:tx>
          <c:layout>
            <c:manualLayout>
              <c:xMode val="edge"/>
              <c:yMode val="edge"/>
              <c:x val="0.3446590360859193"/>
              <c:y val="0.9456179222058099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10372440"/>
        <c:crosses val="autoZero"/>
        <c:auto val="0"/>
        <c:lblOffset val="100"/>
        <c:baseTimeUnit val="days"/>
      </c:dateAx>
      <c:valAx>
        <c:axId val="510372440"/>
        <c:scaling>
          <c:orientation val="minMax"/>
          <c:max val="1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10379656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352132024111191"/>
          <c:y val="7.8034561373258995E-2"/>
          <c:w val="0.1764786797588882"/>
          <c:h val="0.8101873054220913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800"/>
              <a:t>Number of deaths: Country by day since 10th death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5958256090610979E-2"/>
          <c:y val="0.10352072390202779"/>
          <c:w val="0.75514259891099"/>
          <c:h val="0.7787010280141945"/>
        </c:manualLayout>
      </c:layout>
      <c:lineChart>
        <c:grouping val="standard"/>
        <c:varyColors val="0"/>
        <c:ser>
          <c:idx val="0"/>
          <c:order val="0"/>
          <c:tx>
            <c:strRef>
              <c:f>Deaths_since_10!$H$2</c:f>
              <c:strCache>
                <c:ptCount val="1"/>
                <c:pt idx="0">
                  <c:v>50% Daily Increase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Deaths_since_10!$I$2:$KU$2</c:f>
              <c:numCache>
                <c:formatCode>_-* #,##0_-;\-* #,##0_-;_-* "-"??_-;_-@_-</c:formatCode>
                <c:ptCount val="299"/>
                <c:pt idx="0" formatCode="General">
                  <c:v>10</c:v>
                </c:pt>
                <c:pt idx="1">
                  <c:v>15</c:v>
                </c:pt>
                <c:pt idx="2">
                  <c:v>22.5</c:v>
                </c:pt>
                <c:pt idx="3">
                  <c:v>33.75</c:v>
                </c:pt>
                <c:pt idx="4">
                  <c:v>50.625</c:v>
                </c:pt>
                <c:pt idx="5">
                  <c:v>75.9375</c:v>
                </c:pt>
                <c:pt idx="6">
                  <c:v>113.90625</c:v>
                </c:pt>
                <c:pt idx="7">
                  <c:v>170.859375</c:v>
                </c:pt>
                <c:pt idx="8">
                  <c:v>256.2890625</c:v>
                </c:pt>
                <c:pt idx="9">
                  <c:v>384.43359375</c:v>
                </c:pt>
                <c:pt idx="10">
                  <c:v>576.650390625</c:v>
                </c:pt>
                <c:pt idx="11">
                  <c:v>864.9755859375</c:v>
                </c:pt>
                <c:pt idx="12">
                  <c:v>1297.46337890625</c:v>
                </c:pt>
                <c:pt idx="13">
                  <c:v>1946.195068359375</c:v>
                </c:pt>
                <c:pt idx="14">
                  <c:v>2919.2926025390625</c:v>
                </c:pt>
                <c:pt idx="15">
                  <c:v>4378.9389038085938</c:v>
                </c:pt>
                <c:pt idx="16">
                  <c:v>6568.4083557128906</c:v>
                </c:pt>
                <c:pt idx="17">
                  <c:v>9852.6125335693359</c:v>
                </c:pt>
                <c:pt idx="18">
                  <c:v>14778.918800354004</c:v>
                </c:pt>
                <c:pt idx="19">
                  <c:v>22168.378200531006</c:v>
                </c:pt>
                <c:pt idx="20">
                  <c:v>33252.567300796509</c:v>
                </c:pt>
                <c:pt idx="21">
                  <c:v>49878.850951194763</c:v>
                </c:pt>
                <c:pt idx="22">
                  <c:v>74818.276426792145</c:v>
                </c:pt>
                <c:pt idx="23">
                  <c:v>112227.41464018822</c:v>
                </c:pt>
                <c:pt idx="24">
                  <c:v>168341.12196028233</c:v>
                </c:pt>
                <c:pt idx="25">
                  <c:v>252511.68294042349</c:v>
                </c:pt>
                <c:pt idx="26">
                  <c:v>378767.52441063523</c:v>
                </c:pt>
                <c:pt idx="27">
                  <c:v>568151.28661595285</c:v>
                </c:pt>
                <c:pt idx="28">
                  <c:v>852226.92992392927</c:v>
                </c:pt>
                <c:pt idx="29">
                  <c:v>1278340.3948858939</c:v>
                </c:pt>
                <c:pt idx="30">
                  <c:v>1917510.5923288409</c:v>
                </c:pt>
                <c:pt idx="31">
                  <c:v>2876265.8884932613</c:v>
                </c:pt>
                <c:pt idx="32">
                  <c:v>4314398.8327398915</c:v>
                </c:pt>
                <c:pt idx="33">
                  <c:v>6471598.2491098372</c:v>
                </c:pt>
                <c:pt idx="34">
                  <c:v>9707397.3736647554</c:v>
                </c:pt>
                <c:pt idx="35">
                  <c:v>14561096.060497133</c:v>
                </c:pt>
                <c:pt idx="36">
                  <c:v>21841644.090745699</c:v>
                </c:pt>
                <c:pt idx="37">
                  <c:v>32762466.136118546</c:v>
                </c:pt>
                <c:pt idx="38">
                  <c:v>49143699.204177819</c:v>
                </c:pt>
                <c:pt idx="39">
                  <c:v>73715548.806266725</c:v>
                </c:pt>
                <c:pt idx="40">
                  <c:v>110573323.20940009</c:v>
                </c:pt>
                <c:pt idx="41">
                  <c:v>165859984.81410015</c:v>
                </c:pt>
                <c:pt idx="42">
                  <c:v>248789977.22115022</c:v>
                </c:pt>
                <c:pt idx="43">
                  <c:v>373184965.83172536</c:v>
                </c:pt>
                <c:pt idx="44">
                  <c:v>559777448.74758804</c:v>
                </c:pt>
                <c:pt idx="45">
                  <c:v>839666173.121382</c:v>
                </c:pt>
                <c:pt idx="46">
                  <c:v>1259499259.6820731</c:v>
                </c:pt>
                <c:pt idx="47">
                  <c:v>1889248889.5231097</c:v>
                </c:pt>
                <c:pt idx="48">
                  <c:v>2833873334.2846646</c:v>
                </c:pt>
                <c:pt idx="49">
                  <c:v>4250810001.4269972</c:v>
                </c:pt>
                <c:pt idx="50">
                  <c:v>6376215002.1404953</c:v>
                </c:pt>
                <c:pt idx="51">
                  <c:v>9564322503.210743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A4-4F6C-8D83-87B5EFF491BA}"/>
            </c:ext>
          </c:extLst>
        </c:ser>
        <c:ser>
          <c:idx val="1"/>
          <c:order val="1"/>
          <c:tx>
            <c:strRef>
              <c:f>Deaths_since_10!$H$3</c:f>
              <c:strCache>
                <c:ptCount val="1"/>
                <c:pt idx="0">
                  <c:v>40% Daily Increase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Deaths_since_10!$I$3:$KU$3</c:f>
              <c:numCache>
                <c:formatCode>_-* #,##0_-;\-* #,##0_-;_-* "-"??_-;_-@_-</c:formatCode>
                <c:ptCount val="299"/>
                <c:pt idx="0" formatCode="General">
                  <c:v>10</c:v>
                </c:pt>
                <c:pt idx="1">
                  <c:v>14</c:v>
                </c:pt>
                <c:pt idx="2">
                  <c:v>19.599999999999998</c:v>
                </c:pt>
                <c:pt idx="3">
                  <c:v>27.439999999999994</c:v>
                </c:pt>
                <c:pt idx="4">
                  <c:v>38.41599999999999</c:v>
                </c:pt>
                <c:pt idx="5">
                  <c:v>53.782399999999981</c:v>
                </c:pt>
                <c:pt idx="6">
                  <c:v>75.295359999999974</c:v>
                </c:pt>
                <c:pt idx="7">
                  <c:v>105.41350399999996</c:v>
                </c:pt>
                <c:pt idx="8">
                  <c:v>147.57890559999993</c:v>
                </c:pt>
                <c:pt idx="9">
                  <c:v>206.6104678399999</c:v>
                </c:pt>
                <c:pt idx="10">
                  <c:v>289.25465497599981</c:v>
                </c:pt>
                <c:pt idx="11">
                  <c:v>404.9565169663997</c:v>
                </c:pt>
                <c:pt idx="12">
                  <c:v>566.93912375295952</c:v>
                </c:pt>
                <c:pt idx="13">
                  <c:v>793.71477325414332</c:v>
                </c:pt>
                <c:pt idx="14">
                  <c:v>1111.2006825558005</c:v>
                </c:pt>
                <c:pt idx="15">
                  <c:v>1555.6809555781206</c:v>
                </c:pt>
                <c:pt idx="16">
                  <c:v>2177.9533378093688</c:v>
                </c:pt>
                <c:pt idx="17">
                  <c:v>3049.1346729331162</c:v>
                </c:pt>
                <c:pt idx="18">
                  <c:v>4268.7885421063629</c:v>
                </c:pt>
                <c:pt idx="19">
                  <c:v>5976.3039589489081</c:v>
                </c:pt>
                <c:pt idx="20">
                  <c:v>8366.8255425284715</c:v>
                </c:pt>
                <c:pt idx="21">
                  <c:v>11713.555759539859</c:v>
                </c:pt>
                <c:pt idx="22">
                  <c:v>16398.9780633558</c:v>
                </c:pt>
                <c:pt idx="23">
                  <c:v>22958.56928869812</c:v>
                </c:pt>
                <c:pt idx="24">
                  <c:v>32141.997004177367</c:v>
                </c:pt>
                <c:pt idx="25">
                  <c:v>44998.795805848313</c:v>
                </c:pt>
                <c:pt idx="26">
                  <c:v>62998.314128187631</c:v>
                </c:pt>
                <c:pt idx="27">
                  <c:v>88197.639779462683</c:v>
                </c:pt>
                <c:pt idx="28">
                  <c:v>123476.69569124775</c:v>
                </c:pt>
                <c:pt idx="29">
                  <c:v>172867.37396774683</c:v>
                </c:pt>
                <c:pt idx="30">
                  <c:v>242014.32355484553</c:v>
                </c:pt>
                <c:pt idx="31">
                  <c:v>338820.05297678371</c:v>
                </c:pt>
                <c:pt idx="32">
                  <c:v>474348.07416749717</c:v>
                </c:pt>
                <c:pt idx="33">
                  <c:v>664087.30383449595</c:v>
                </c:pt>
                <c:pt idx="34">
                  <c:v>929722.22536829428</c:v>
                </c:pt>
                <c:pt idx="35">
                  <c:v>1301611.1155156118</c:v>
                </c:pt>
                <c:pt idx="36">
                  <c:v>1822255.5617218565</c:v>
                </c:pt>
                <c:pt idx="37">
                  <c:v>2551157.786410599</c:v>
                </c:pt>
                <c:pt idx="38">
                  <c:v>3571620.9009748385</c:v>
                </c:pt>
                <c:pt idx="39">
                  <c:v>5000269.2613647738</c:v>
                </c:pt>
                <c:pt idx="40">
                  <c:v>7000376.9659106834</c:v>
                </c:pt>
                <c:pt idx="41">
                  <c:v>9800527.7522749566</c:v>
                </c:pt>
                <c:pt idx="42">
                  <c:v>13720738.853184938</c:v>
                </c:pt>
                <c:pt idx="43">
                  <c:v>19209034.394458912</c:v>
                </c:pt>
                <c:pt idx="44">
                  <c:v>26892648.152242474</c:v>
                </c:pt>
                <c:pt idx="45">
                  <c:v>37649707.413139462</c:v>
                </c:pt>
                <c:pt idx="46">
                  <c:v>52709590.378395244</c:v>
                </c:pt>
                <c:pt idx="47">
                  <c:v>73793426.529753342</c:v>
                </c:pt>
                <c:pt idx="48">
                  <c:v>103310797.14165467</c:v>
                </c:pt>
                <c:pt idx="49">
                  <c:v>144635115.99831653</c:v>
                </c:pt>
                <c:pt idx="50">
                  <c:v>202489162.39764312</c:v>
                </c:pt>
                <c:pt idx="51">
                  <c:v>283484827.35670036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A4-4F6C-8D83-87B5EFF491BA}"/>
            </c:ext>
          </c:extLst>
        </c:ser>
        <c:ser>
          <c:idx val="2"/>
          <c:order val="2"/>
          <c:tx>
            <c:strRef>
              <c:f>Deaths_since_10!$H$4</c:f>
              <c:strCache>
                <c:ptCount val="1"/>
                <c:pt idx="0">
                  <c:v>30% Daily Increase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Deaths_since_10!$I$4:$KU$4</c:f>
              <c:numCache>
                <c:formatCode>_-* #,##0_-;\-* #,##0_-;_-* "-"??_-;_-@_-</c:formatCode>
                <c:ptCount val="299"/>
                <c:pt idx="0" formatCode="General">
                  <c:v>10</c:v>
                </c:pt>
                <c:pt idx="1">
                  <c:v>13</c:v>
                </c:pt>
                <c:pt idx="2">
                  <c:v>16.900000000000002</c:v>
                </c:pt>
                <c:pt idx="3">
                  <c:v>21.970000000000002</c:v>
                </c:pt>
                <c:pt idx="4">
                  <c:v>28.561000000000003</c:v>
                </c:pt>
                <c:pt idx="5">
                  <c:v>37.129300000000008</c:v>
                </c:pt>
                <c:pt idx="6">
                  <c:v>48.268090000000015</c:v>
                </c:pt>
                <c:pt idx="7">
                  <c:v>62.748517000000021</c:v>
                </c:pt>
                <c:pt idx="8">
                  <c:v>81.573072100000033</c:v>
                </c:pt>
                <c:pt idx="9">
                  <c:v>106.04499373000004</c:v>
                </c:pt>
                <c:pt idx="10">
                  <c:v>137.85849184900007</c:v>
                </c:pt>
                <c:pt idx="11">
                  <c:v>179.21603940370011</c:v>
                </c:pt>
                <c:pt idx="12">
                  <c:v>232.98085122481015</c:v>
                </c:pt>
                <c:pt idx="13">
                  <c:v>302.87510659225319</c:v>
                </c:pt>
                <c:pt idx="14">
                  <c:v>393.73763856992917</c:v>
                </c:pt>
                <c:pt idx="15">
                  <c:v>511.85893014090794</c:v>
                </c:pt>
                <c:pt idx="16">
                  <c:v>665.4166091831803</c:v>
                </c:pt>
                <c:pt idx="17">
                  <c:v>865.04159193813439</c:v>
                </c:pt>
                <c:pt idx="18">
                  <c:v>1124.5540695195748</c:v>
                </c:pt>
                <c:pt idx="19">
                  <c:v>1461.9202903754474</c:v>
                </c:pt>
                <c:pt idx="20">
                  <c:v>1900.4963774880816</c:v>
                </c:pt>
                <c:pt idx="21">
                  <c:v>2470.645290734506</c:v>
                </c:pt>
                <c:pt idx="22">
                  <c:v>3211.8388779548582</c:v>
                </c:pt>
                <c:pt idx="23">
                  <c:v>4175.3905413413158</c:v>
                </c:pt>
                <c:pt idx="24">
                  <c:v>5428.0077037437104</c:v>
                </c:pt>
                <c:pt idx="25">
                  <c:v>7056.410014866824</c:v>
                </c:pt>
                <c:pt idx="26">
                  <c:v>9173.3330193268721</c:v>
                </c:pt>
                <c:pt idx="27">
                  <c:v>11925.332925124934</c:v>
                </c:pt>
                <c:pt idx="28">
                  <c:v>15502.932802662415</c:v>
                </c:pt>
                <c:pt idx="29">
                  <c:v>20153.81264346114</c:v>
                </c:pt>
                <c:pt idx="30">
                  <c:v>26199.956436499484</c:v>
                </c:pt>
                <c:pt idx="31">
                  <c:v>34059.943367449334</c:v>
                </c:pt>
                <c:pt idx="32">
                  <c:v>44277.926377684133</c:v>
                </c:pt>
                <c:pt idx="33">
                  <c:v>57561.304290989377</c:v>
                </c:pt>
                <c:pt idx="34">
                  <c:v>74829.695578286191</c:v>
                </c:pt>
                <c:pt idx="35">
                  <c:v>97278.604251772049</c:v>
                </c:pt>
                <c:pt idx="36">
                  <c:v>126462.18552730366</c:v>
                </c:pt>
                <c:pt idx="37">
                  <c:v>164400.84118549476</c:v>
                </c:pt>
                <c:pt idx="38">
                  <c:v>213721.0935411432</c:v>
                </c:pt>
                <c:pt idx="39">
                  <c:v>277837.42160348617</c:v>
                </c:pt>
                <c:pt idx="40">
                  <c:v>361188.64808453206</c:v>
                </c:pt>
                <c:pt idx="41">
                  <c:v>469545.24250989169</c:v>
                </c:pt>
                <c:pt idx="42">
                  <c:v>610408.81526285922</c:v>
                </c:pt>
                <c:pt idx="43">
                  <c:v>793531.45984171703</c:v>
                </c:pt>
                <c:pt idx="44">
                  <c:v>1031590.8977942322</c:v>
                </c:pt>
                <c:pt idx="45">
                  <c:v>1341068.167132502</c:v>
                </c:pt>
                <c:pt idx="46">
                  <c:v>1743388.6172722527</c:v>
                </c:pt>
                <c:pt idx="47">
                  <c:v>2266405.2024539285</c:v>
                </c:pt>
                <c:pt idx="48">
                  <c:v>2946326.7631901074</c:v>
                </c:pt>
                <c:pt idx="49">
                  <c:v>3830224.7921471396</c:v>
                </c:pt>
                <c:pt idx="50">
                  <c:v>4979292.2297912817</c:v>
                </c:pt>
                <c:pt idx="51">
                  <c:v>6473079.8987286668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4A4-4F6C-8D83-87B5EFF491BA}"/>
            </c:ext>
          </c:extLst>
        </c:ser>
        <c:ser>
          <c:idx val="3"/>
          <c:order val="3"/>
          <c:tx>
            <c:strRef>
              <c:f>Deaths_since_10!$H$5</c:f>
              <c:strCache>
                <c:ptCount val="1"/>
                <c:pt idx="0">
                  <c:v>Italy</c:v>
                </c:pt>
              </c:strCache>
            </c:strRef>
          </c:tx>
          <c:spPr>
            <a:ln w="50800" cap="rnd" cmpd="sng" algn="ctr">
              <a:solidFill>
                <a:srgbClr val="4472C4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Deaths_since_10!$I$5:$KU$5</c:f>
              <c:numCache>
                <c:formatCode>General</c:formatCode>
                <c:ptCount val="299"/>
                <c:pt idx="0">
                  <c:v>10</c:v>
                </c:pt>
                <c:pt idx="1">
                  <c:v>12</c:v>
                </c:pt>
                <c:pt idx="2">
                  <c:v>17</c:v>
                </c:pt>
                <c:pt idx="3">
                  <c:v>21</c:v>
                </c:pt>
                <c:pt idx="4">
                  <c:v>29</c:v>
                </c:pt>
                <c:pt idx="5">
                  <c:v>34</c:v>
                </c:pt>
                <c:pt idx="6">
                  <c:v>52</c:v>
                </c:pt>
                <c:pt idx="7">
                  <c:v>79</c:v>
                </c:pt>
                <c:pt idx="8">
                  <c:v>107</c:v>
                </c:pt>
                <c:pt idx="9">
                  <c:v>148</c:v>
                </c:pt>
                <c:pt idx="10">
                  <c:v>197</c:v>
                </c:pt>
                <c:pt idx="11">
                  <c:v>233</c:v>
                </c:pt>
                <c:pt idx="12">
                  <c:v>366</c:v>
                </c:pt>
                <c:pt idx="13">
                  <c:v>463</c:v>
                </c:pt>
                <c:pt idx="14">
                  <c:v>631</c:v>
                </c:pt>
                <c:pt idx="15">
                  <c:v>827</c:v>
                </c:pt>
                <c:pt idx="16">
                  <c:v>1016</c:v>
                </c:pt>
                <c:pt idx="17">
                  <c:v>1266</c:v>
                </c:pt>
                <c:pt idx="18">
                  <c:v>1441</c:v>
                </c:pt>
                <c:pt idx="19">
                  <c:v>1809</c:v>
                </c:pt>
                <c:pt idx="20">
                  <c:v>2158</c:v>
                </c:pt>
                <c:pt idx="21">
                  <c:v>2503</c:v>
                </c:pt>
                <c:pt idx="22">
                  <c:v>2978</c:v>
                </c:pt>
                <c:pt idx="23">
                  <c:v>3405</c:v>
                </c:pt>
                <c:pt idx="24">
                  <c:v>4032</c:v>
                </c:pt>
                <c:pt idx="25">
                  <c:v>4825</c:v>
                </c:pt>
                <c:pt idx="26">
                  <c:v>5476</c:v>
                </c:pt>
                <c:pt idx="27">
                  <c:v>6077</c:v>
                </c:pt>
                <c:pt idx="28">
                  <c:v>6820</c:v>
                </c:pt>
                <c:pt idx="29">
                  <c:v>7503</c:v>
                </c:pt>
                <c:pt idx="30">
                  <c:v>8215</c:v>
                </c:pt>
                <c:pt idx="31">
                  <c:v>9134</c:v>
                </c:pt>
                <c:pt idx="32">
                  <c:v>10023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4A4-4F6C-8D83-87B5EFF491BA}"/>
            </c:ext>
          </c:extLst>
        </c:ser>
        <c:ser>
          <c:idx val="4"/>
          <c:order val="4"/>
          <c:tx>
            <c:strRef>
              <c:f>Deaths_since_10!$H$6</c:f>
              <c:strCache>
                <c:ptCount val="1"/>
                <c:pt idx="0">
                  <c:v>Spain</c:v>
                </c:pt>
              </c:strCache>
            </c:strRef>
          </c:tx>
          <c:spPr>
            <a:ln w="50800" cap="rnd" cmpd="sng" algn="ctr">
              <a:solidFill>
                <a:srgbClr val="ED7D31">
                  <a:lumMod val="6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Deaths_since_10!$I$6:$KU$6</c:f>
              <c:numCache>
                <c:formatCode>General</c:formatCode>
                <c:ptCount val="299"/>
                <c:pt idx="0">
                  <c:v>10</c:v>
                </c:pt>
                <c:pt idx="1">
                  <c:v>17</c:v>
                </c:pt>
                <c:pt idx="2">
                  <c:v>28</c:v>
                </c:pt>
                <c:pt idx="3">
                  <c:v>35</c:v>
                </c:pt>
                <c:pt idx="4">
                  <c:v>54</c:v>
                </c:pt>
                <c:pt idx="5">
                  <c:v>86</c:v>
                </c:pt>
                <c:pt idx="6">
                  <c:v>133</c:v>
                </c:pt>
                <c:pt idx="7">
                  <c:v>195</c:v>
                </c:pt>
                <c:pt idx="8">
                  <c:v>289</c:v>
                </c:pt>
                <c:pt idx="9">
                  <c:v>342</c:v>
                </c:pt>
                <c:pt idx="10">
                  <c:v>533</c:v>
                </c:pt>
                <c:pt idx="11">
                  <c:v>623</c:v>
                </c:pt>
                <c:pt idx="12">
                  <c:v>830</c:v>
                </c:pt>
                <c:pt idx="13">
                  <c:v>1043</c:v>
                </c:pt>
                <c:pt idx="14">
                  <c:v>1375</c:v>
                </c:pt>
                <c:pt idx="15">
                  <c:v>1772</c:v>
                </c:pt>
                <c:pt idx="16">
                  <c:v>2311</c:v>
                </c:pt>
                <c:pt idx="17">
                  <c:v>2808</c:v>
                </c:pt>
                <c:pt idx="18">
                  <c:v>3647</c:v>
                </c:pt>
                <c:pt idx="19">
                  <c:v>4365</c:v>
                </c:pt>
                <c:pt idx="20">
                  <c:v>5138</c:v>
                </c:pt>
                <c:pt idx="21">
                  <c:v>5982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4A4-4F6C-8D83-87B5EFF491BA}"/>
            </c:ext>
          </c:extLst>
        </c:ser>
        <c:ser>
          <c:idx val="5"/>
          <c:order val="5"/>
          <c:tx>
            <c:strRef>
              <c:f>Deaths_since_10!$H$7</c:f>
              <c:strCache>
                <c:ptCount val="1"/>
                <c:pt idx="0">
                  <c:v>China</c:v>
                </c:pt>
              </c:strCache>
            </c:strRef>
          </c:tx>
          <c:spPr>
            <a:ln w="50800" cap="rnd" cmpd="sng" algn="ctr">
              <a:solidFill>
                <a:sysClr val="windowText" lastClr="000000">
                  <a:lumMod val="50000"/>
                  <a:lumOff val="5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Deaths_since_10!$I$7:$KU$7</c:f>
              <c:numCache>
                <c:formatCode>General</c:formatCode>
                <c:ptCount val="299"/>
                <c:pt idx="0">
                  <c:v>17</c:v>
                </c:pt>
                <c:pt idx="1">
                  <c:v>18</c:v>
                </c:pt>
                <c:pt idx="2">
                  <c:v>26</c:v>
                </c:pt>
                <c:pt idx="3">
                  <c:v>42</c:v>
                </c:pt>
                <c:pt idx="4">
                  <c:v>56</c:v>
                </c:pt>
                <c:pt idx="5">
                  <c:v>82</c:v>
                </c:pt>
                <c:pt idx="6">
                  <c:v>131</c:v>
                </c:pt>
                <c:pt idx="7">
                  <c:v>133</c:v>
                </c:pt>
                <c:pt idx="8">
                  <c:v>171</c:v>
                </c:pt>
                <c:pt idx="9">
                  <c:v>213</c:v>
                </c:pt>
                <c:pt idx="10">
                  <c:v>259</c:v>
                </c:pt>
                <c:pt idx="11">
                  <c:v>361</c:v>
                </c:pt>
                <c:pt idx="12">
                  <c:v>425</c:v>
                </c:pt>
                <c:pt idx="13">
                  <c:v>491</c:v>
                </c:pt>
                <c:pt idx="14">
                  <c:v>563</c:v>
                </c:pt>
                <c:pt idx="15">
                  <c:v>633</c:v>
                </c:pt>
                <c:pt idx="16">
                  <c:v>718</c:v>
                </c:pt>
                <c:pt idx="17">
                  <c:v>805</c:v>
                </c:pt>
                <c:pt idx="18">
                  <c:v>905</c:v>
                </c:pt>
                <c:pt idx="19">
                  <c:v>1012</c:v>
                </c:pt>
                <c:pt idx="20">
                  <c:v>1112</c:v>
                </c:pt>
                <c:pt idx="21">
                  <c:v>1117</c:v>
                </c:pt>
                <c:pt idx="22">
                  <c:v>1369</c:v>
                </c:pt>
                <c:pt idx="23">
                  <c:v>1521</c:v>
                </c:pt>
                <c:pt idx="24">
                  <c:v>1663</c:v>
                </c:pt>
                <c:pt idx="25">
                  <c:v>1766</c:v>
                </c:pt>
                <c:pt idx="26">
                  <c:v>1864</c:v>
                </c:pt>
                <c:pt idx="27">
                  <c:v>2003</c:v>
                </c:pt>
                <c:pt idx="28">
                  <c:v>2116</c:v>
                </c:pt>
                <c:pt idx="29">
                  <c:v>2238</c:v>
                </c:pt>
                <c:pt idx="30">
                  <c:v>2238</c:v>
                </c:pt>
                <c:pt idx="31">
                  <c:v>2443</c:v>
                </c:pt>
                <c:pt idx="32">
                  <c:v>2445</c:v>
                </c:pt>
                <c:pt idx="33">
                  <c:v>2595</c:v>
                </c:pt>
                <c:pt idx="34">
                  <c:v>2665</c:v>
                </c:pt>
                <c:pt idx="35">
                  <c:v>2717</c:v>
                </c:pt>
                <c:pt idx="36">
                  <c:v>2746</c:v>
                </c:pt>
                <c:pt idx="37">
                  <c:v>2790</c:v>
                </c:pt>
                <c:pt idx="38">
                  <c:v>2837</c:v>
                </c:pt>
                <c:pt idx="39">
                  <c:v>2872</c:v>
                </c:pt>
                <c:pt idx="40">
                  <c:v>2914</c:v>
                </c:pt>
                <c:pt idx="41">
                  <c:v>2947</c:v>
                </c:pt>
                <c:pt idx="42">
                  <c:v>2983</c:v>
                </c:pt>
                <c:pt idx="43">
                  <c:v>3015</c:v>
                </c:pt>
                <c:pt idx="44">
                  <c:v>3044</c:v>
                </c:pt>
                <c:pt idx="45">
                  <c:v>3072</c:v>
                </c:pt>
                <c:pt idx="46">
                  <c:v>3100</c:v>
                </c:pt>
                <c:pt idx="47">
                  <c:v>3123</c:v>
                </c:pt>
                <c:pt idx="48">
                  <c:v>3139</c:v>
                </c:pt>
                <c:pt idx="49">
                  <c:v>3161</c:v>
                </c:pt>
                <c:pt idx="50">
                  <c:v>3172</c:v>
                </c:pt>
                <c:pt idx="51">
                  <c:v>3180</c:v>
                </c:pt>
                <c:pt idx="52">
                  <c:v>3193</c:v>
                </c:pt>
                <c:pt idx="53">
                  <c:v>3203</c:v>
                </c:pt>
                <c:pt idx="54">
                  <c:v>3217</c:v>
                </c:pt>
                <c:pt idx="55">
                  <c:v>3230</c:v>
                </c:pt>
                <c:pt idx="56">
                  <c:v>3241</c:v>
                </c:pt>
                <c:pt idx="57">
                  <c:v>3249</c:v>
                </c:pt>
                <c:pt idx="58">
                  <c:v>3253</c:v>
                </c:pt>
                <c:pt idx="59">
                  <c:v>3259</c:v>
                </c:pt>
                <c:pt idx="60">
                  <c:v>3274</c:v>
                </c:pt>
                <c:pt idx="61">
                  <c:v>3274</c:v>
                </c:pt>
                <c:pt idx="62">
                  <c:v>3281</c:v>
                </c:pt>
                <c:pt idx="63">
                  <c:v>3285</c:v>
                </c:pt>
                <c:pt idx="64">
                  <c:v>3291</c:v>
                </c:pt>
                <c:pt idx="65">
                  <c:v>3296</c:v>
                </c:pt>
                <c:pt idx="66">
                  <c:v>3299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4A4-4F6C-8D83-87B5EFF491BA}"/>
            </c:ext>
          </c:extLst>
        </c:ser>
        <c:ser>
          <c:idx val="6"/>
          <c:order val="6"/>
          <c:tx>
            <c:strRef>
              <c:f>Deaths_since_10!$H$8</c:f>
              <c:strCache>
                <c:ptCount val="1"/>
                <c:pt idx="0">
                  <c:v>France</c:v>
                </c:pt>
              </c:strCache>
            </c:strRef>
          </c:tx>
          <c:spPr>
            <a:ln w="50800" cap="rnd" cmpd="sng" algn="ctr">
              <a:solidFill>
                <a:srgbClr val="FFC000">
                  <a:lumMod val="6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Deaths_since_10!$I$8:$KU$8</c:f>
              <c:numCache>
                <c:formatCode>General</c:formatCode>
                <c:ptCount val="299"/>
                <c:pt idx="0">
                  <c:v>9</c:v>
                </c:pt>
                <c:pt idx="1">
                  <c:v>11</c:v>
                </c:pt>
                <c:pt idx="2">
                  <c:v>19</c:v>
                </c:pt>
                <c:pt idx="3">
                  <c:v>19</c:v>
                </c:pt>
                <c:pt idx="4">
                  <c:v>33</c:v>
                </c:pt>
                <c:pt idx="5">
                  <c:v>48</c:v>
                </c:pt>
                <c:pt idx="6">
                  <c:v>61</c:v>
                </c:pt>
                <c:pt idx="7">
                  <c:v>79</c:v>
                </c:pt>
                <c:pt idx="8">
                  <c:v>91</c:v>
                </c:pt>
                <c:pt idx="9">
                  <c:v>127</c:v>
                </c:pt>
                <c:pt idx="10">
                  <c:v>149</c:v>
                </c:pt>
                <c:pt idx="11">
                  <c:v>175</c:v>
                </c:pt>
                <c:pt idx="12">
                  <c:v>264</c:v>
                </c:pt>
                <c:pt idx="13">
                  <c:v>372</c:v>
                </c:pt>
                <c:pt idx="14">
                  <c:v>451</c:v>
                </c:pt>
                <c:pt idx="15">
                  <c:v>563</c:v>
                </c:pt>
                <c:pt idx="16">
                  <c:v>676</c:v>
                </c:pt>
                <c:pt idx="17">
                  <c:v>862</c:v>
                </c:pt>
                <c:pt idx="18">
                  <c:v>1102</c:v>
                </c:pt>
                <c:pt idx="19">
                  <c:v>1333</c:v>
                </c:pt>
                <c:pt idx="20">
                  <c:v>1698</c:v>
                </c:pt>
                <c:pt idx="21">
                  <c:v>1997</c:v>
                </c:pt>
                <c:pt idx="22">
                  <c:v>2317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4A4-4F6C-8D83-87B5EFF491BA}"/>
            </c:ext>
          </c:extLst>
        </c:ser>
        <c:ser>
          <c:idx val="7"/>
          <c:order val="7"/>
          <c:tx>
            <c:strRef>
              <c:f>Deaths_since_10!$H$9</c:f>
              <c:strCache>
                <c:ptCount val="1"/>
                <c:pt idx="0">
                  <c:v>US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Deaths_since_10!$I$9:$KU$9</c:f>
              <c:numCache>
                <c:formatCode>General</c:formatCode>
                <c:ptCount val="299"/>
                <c:pt idx="0">
                  <c:v>11</c:v>
                </c:pt>
                <c:pt idx="1">
                  <c:v>12</c:v>
                </c:pt>
                <c:pt idx="2">
                  <c:v>14</c:v>
                </c:pt>
                <c:pt idx="3">
                  <c:v>17</c:v>
                </c:pt>
                <c:pt idx="4">
                  <c:v>21</c:v>
                </c:pt>
                <c:pt idx="5">
                  <c:v>22</c:v>
                </c:pt>
                <c:pt idx="6">
                  <c:v>28</c:v>
                </c:pt>
                <c:pt idx="7">
                  <c:v>36</c:v>
                </c:pt>
                <c:pt idx="8">
                  <c:v>40</c:v>
                </c:pt>
                <c:pt idx="9">
                  <c:v>47</c:v>
                </c:pt>
                <c:pt idx="10">
                  <c:v>54</c:v>
                </c:pt>
                <c:pt idx="11">
                  <c:v>63</c:v>
                </c:pt>
                <c:pt idx="12">
                  <c:v>85</c:v>
                </c:pt>
                <c:pt idx="13">
                  <c:v>108</c:v>
                </c:pt>
                <c:pt idx="14">
                  <c:v>118</c:v>
                </c:pt>
                <c:pt idx="15">
                  <c:v>200</c:v>
                </c:pt>
                <c:pt idx="16">
                  <c:v>244</c:v>
                </c:pt>
                <c:pt idx="17">
                  <c:v>307</c:v>
                </c:pt>
                <c:pt idx="18">
                  <c:v>417</c:v>
                </c:pt>
                <c:pt idx="19">
                  <c:v>557</c:v>
                </c:pt>
                <c:pt idx="20">
                  <c:v>706</c:v>
                </c:pt>
                <c:pt idx="21">
                  <c:v>942</c:v>
                </c:pt>
                <c:pt idx="22">
                  <c:v>1209</c:v>
                </c:pt>
                <c:pt idx="23">
                  <c:v>1581</c:v>
                </c:pt>
                <c:pt idx="24">
                  <c:v>2026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4A4-4F6C-8D83-87B5EFF491BA}"/>
            </c:ext>
          </c:extLst>
        </c:ser>
        <c:ser>
          <c:idx val="8"/>
          <c:order val="8"/>
          <c:tx>
            <c:strRef>
              <c:f>Deaths_since_10!$H$10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Deaths_since_10!$I$10:$KU$10</c:f>
              <c:numCache>
                <c:formatCode>General</c:formatCode>
                <c:ptCount val="299"/>
                <c:pt idx="0">
                  <c:v>8</c:v>
                </c:pt>
                <c:pt idx="1">
                  <c:v>10</c:v>
                </c:pt>
                <c:pt idx="2">
                  <c:v>11</c:v>
                </c:pt>
                <c:pt idx="3">
                  <c:v>21</c:v>
                </c:pt>
                <c:pt idx="4">
                  <c:v>35</c:v>
                </c:pt>
                <c:pt idx="5">
                  <c:v>56</c:v>
                </c:pt>
                <c:pt idx="6">
                  <c:v>71</c:v>
                </c:pt>
                <c:pt idx="7">
                  <c:v>104</c:v>
                </c:pt>
                <c:pt idx="8">
                  <c:v>138</c:v>
                </c:pt>
                <c:pt idx="9">
                  <c:v>178</c:v>
                </c:pt>
                <c:pt idx="10">
                  <c:v>234</c:v>
                </c:pt>
                <c:pt idx="11">
                  <c:v>282</c:v>
                </c:pt>
                <c:pt idx="12">
                  <c:v>336</c:v>
                </c:pt>
                <c:pt idx="13">
                  <c:v>423</c:v>
                </c:pt>
                <c:pt idx="14">
                  <c:v>466</c:v>
                </c:pt>
                <c:pt idx="15">
                  <c:v>580</c:v>
                </c:pt>
                <c:pt idx="16">
                  <c:v>761</c:v>
                </c:pt>
                <c:pt idx="17">
                  <c:v>1021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4A4-4F6C-8D83-87B5EFF491BA}"/>
            </c:ext>
          </c:extLst>
        </c:ser>
        <c:ser>
          <c:idx val="9"/>
          <c:order val="9"/>
          <c:tx>
            <c:strRef>
              <c:f>Deaths_since_10!$H$11</c:f>
              <c:strCache>
                <c:ptCount val="1"/>
                <c:pt idx="0">
                  <c:v>Germany</c:v>
                </c:pt>
              </c:strCache>
            </c:strRef>
          </c:tx>
          <c:spPr>
            <a:ln w="50800" cap="rnd" cmpd="sng" algn="ctr">
              <a:solidFill>
                <a:srgbClr val="A5A5A5">
                  <a:lumMod val="6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Deaths_since_10!$I$11:$KU$11</c:f>
              <c:numCache>
                <c:formatCode>General</c:formatCode>
                <c:ptCount val="299"/>
                <c:pt idx="0">
                  <c:v>9</c:v>
                </c:pt>
                <c:pt idx="1">
                  <c:v>11</c:v>
                </c:pt>
                <c:pt idx="2">
                  <c:v>17</c:v>
                </c:pt>
                <c:pt idx="3">
                  <c:v>24</c:v>
                </c:pt>
                <c:pt idx="4">
                  <c:v>28</c:v>
                </c:pt>
                <c:pt idx="5">
                  <c:v>44</c:v>
                </c:pt>
                <c:pt idx="6">
                  <c:v>67</c:v>
                </c:pt>
                <c:pt idx="7">
                  <c:v>84</c:v>
                </c:pt>
                <c:pt idx="8">
                  <c:v>94</c:v>
                </c:pt>
                <c:pt idx="9">
                  <c:v>123</c:v>
                </c:pt>
                <c:pt idx="10">
                  <c:v>157</c:v>
                </c:pt>
                <c:pt idx="11">
                  <c:v>206</c:v>
                </c:pt>
                <c:pt idx="12">
                  <c:v>267</c:v>
                </c:pt>
                <c:pt idx="13">
                  <c:v>342</c:v>
                </c:pt>
                <c:pt idx="14">
                  <c:v>433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4A4-4F6C-8D83-87B5EFF491BA}"/>
            </c:ext>
          </c:extLst>
        </c:ser>
        <c:ser>
          <c:idx val="10"/>
          <c:order val="10"/>
          <c:tx>
            <c:strRef>
              <c:f>Deaths_since_10!$H$12</c:f>
              <c:strCache>
                <c:ptCount val="1"/>
                <c:pt idx="0">
                  <c:v>World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Deaths_since_10!$I$12:$KU$12</c:f>
              <c:numCache>
                <c:formatCode>General</c:formatCode>
                <c:ptCount val="299"/>
                <c:pt idx="0">
                  <c:v>17</c:v>
                </c:pt>
                <c:pt idx="1">
                  <c:v>18</c:v>
                </c:pt>
                <c:pt idx="2">
                  <c:v>26</c:v>
                </c:pt>
                <c:pt idx="3">
                  <c:v>42</c:v>
                </c:pt>
                <c:pt idx="4">
                  <c:v>56</c:v>
                </c:pt>
                <c:pt idx="5">
                  <c:v>82</c:v>
                </c:pt>
                <c:pt idx="6">
                  <c:v>131</c:v>
                </c:pt>
                <c:pt idx="7">
                  <c:v>133</c:v>
                </c:pt>
                <c:pt idx="8">
                  <c:v>171</c:v>
                </c:pt>
                <c:pt idx="9">
                  <c:v>213</c:v>
                </c:pt>
                <c:pt idx="10">
                  <c:v>259</c:v>
                </c:pt>
                <c:pt idx="11">
                  <c:v>362</c:v>
                </c:pt>
                <c:pt idx="12">
                  <c:v>426</c:v>
                </c:pt>
                <c:pt idx="13">
                  <c:v>492</c:v>
                </c:pt>
                <c:pt idx="14">
                  <c:v>564</c:v>
                </c:pt>
                <c:pt idx="15">
                  <c:v>634</c:v>
                </c:pt>
                <c:pt idx="16">
                  <c:v>719</c:v>
                </c:pt>
                <c:pt idx="17">
                  <c:v>806</c:v>
                </c:pt>
                <c:pt idx="18">
                  <c:v>906</c:v>
                </c:pt>
                <c:pt idx="19">
                  <c:v>1013</c:v>
                </c:pt>
                <c:pt idx="20">
                  <c:v>1113</c:v>
                </c:pt>
                <c:pt idx="21">
                  <c:v>1118</c:v>
                </c:pt>
                <c:pt idx="22">
                  <c:v>1371</c:v>
                </c:pt>
                <c:pt idx="23">
                  <c:v>1523</c:v>
                </c:pt>
                <c:pt idx="24">
                  <c:v>1666</c:v>
                </c:pt>
                <c:pt idx="25">
                  <c:v>1770</c:v>
                </c:pt>
                <c:pt idx="26">
                  <c:v>1868</c:v>
                </c:pt>
                <c:pt idx="27">
                  <c:v>2007</c:v>
                </c:pt>
                <c:pt idx="28">
                  <c:v>2122</c:v>
                </c:pt>
                <c:pt idx="29">
                  <c:v>2245</c:v>
                </c:pt>
                <c:pt idx="30">
                  <c:v>2249</c:v>
                </c:pt>
                <c:pt idx="31">
                  <c:v>2456</c:v>
                </c:pt>
                <c:pt idx="32">
                  <c:v>2466</c:v>
                </c:pt>
                <c:pt idx="33">
                  <c:v>2626</c:v>
                </c:pt>
                <c:pt idx="34">
                  <c:v>2705</c:v>
                </c:pt>
                <c:pt idx="35">
                  <c:v>2766</c:v>
                </c:pt>
                <c:pt idx="36">
                  <c:v>2810</c:v>
                </c:pt>
                <c:pt idx="37">
                  <c:v>2866</c:v>
                </c:pt>
                <c:pt idx="38">
                  <c:v>2935</c:v>
                </c:pt>
                <c:pt idx="39">
                  <c:v>2990</c:v>
                </c:pt>
                <c:pt idx="40">
                  <c:v>3079</c:v>
                </c:pt>
                <c:pt idx="41">
                  <c:v>3154</c:v>
                </c:pt>
                <c:pt idx="42">
                  <c:v>3248</c:v>
                </c:pt>
                <c:pt idx="43">
                  <c:v>3342</c:v>
                </c:pt>
                <c:pt idx="44">
                  <c:v>3454</c:v>
                </c:pt>
                <c:pt idx="45">
                  <c:v>3552</c:v>
                </c:pt>
                <c:pt idx="46">
                  <c:v>3796</c:v>
                </c:pt>
                <c:pt idx="47">
                  <c:v>3982</c:v>
                </c:pt>
                <c:pt idx="48">
                  <c:v>4256</c:v>
                </c:pt>
                <c:pt idx="49">
                  <c:v>4608</c:v>
                </c:pt>
                <c:pt idx="50">
                  <c:v>4948</c:v>
                </c:pt>
                <c:pt idx="51">
                  <c:v>5400</c:v>
                </c:pt>
                <c:pt idx="52">
                  <c:v>5812</c:v>
                </c:pt>
                <c:pt idx="53">
                  <c:v>6483</c:v>
                </c:pt>
                <c:pt idx="54">
                  <c:v>7118</c:v>
                </c:pt>
                <c:pt idx="55">
                  <c:v>7938</c:v>
                </c:pt>
                <c:pt idx="56">
                  <c:v>8872</c:v>
                </c:pt>
                <c:pt idx="57">
                  <c:v>9987</c:v>
                </c:pt>
                <c:pt idx="58">
                  <c:v>11290</c:v>
                </c:pt>
                <c:pt idx="59">
                  <c:v>12961</c:v>
                </c:pt>
                <c:pt idx="60">
                  <c:v>14638</c:v>
                </c:pt>
                <c:pt idx="61">
                  <c:v>16488</c:v>
                </c:pt>
                <c:pt idx="62">
                  <c:v>18605</c:v>
                </c:pt>
                <c:pt idx="63">
                  <c:v>21157</c:v>
                </c:pt>
                <c:pt idx="64">
                  <c:v>23944</c:v>
                </c:pt>
                <c:pt idx="65">
                  <c:v>27168</c:v>
                </c:pt>
                <c:pt idx="66">
                  <c:v>30618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F4A4-4F6C-8D83-87B5EFF491BA}"/>
            </c:ext>
          </c:extLst>
        </c:ser>
        <c:ser>
          <c:idx val="11"/>
          <c:order val="11"/>
          <c:tx>
            <c:strRef>
              <c:f>Deaths_since_10!$H$13</c:f>
              <c:strCache>
                <c:ptCount val="1"/>
                <c:pt idx="0">
                  <c:v>Europe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Deaths_since_10!$I$13:$KU$13</c:f>
              <c:numCache>
                <c:formatCode>General</c:formatCode>
                <c:ptCount val="299"/>
                <c:pt idx="0">
                  <c:v>8</c:v>
                </c:pt>
                <c:pt idx="1">
                  <c:v>11</c:v>
                </c:pt>
                <c:pt idx="2">
                  <c:v>14</c:v>
                </c:pt>
                <c:pt idx="3">
                  <c:v>19</c:v>
                </c:pt>
                <c:pt idx="4">
                  <c:v>23</c:v>
                </c:pt>
                <c:pt idx="5">
                  <c:v>31</c:v>
                </c:pt>
                <c:pt idx="6">
                  <c:v>36</c:v>
                </c:pt>
                <c:pt idx="7">
                  <c:v>55</c:v>
                </c:pt>
                <c:pt idx="8">
                  <c:v>85</c:v>
                </c:pt>
                <c:pt idx="9">
                  <c:v>114</c:v>
                </c:pt>
                <c:pt idx="10">
                  <c:v>160</c:v>
                </c:pt>
                <c:pt idx="11">
                  <c:v>216</c:v>
                </c:pt>
                <c:pt idx="12">
                  <c:v>259</c:v>
                </c:pt>
                <c:pt idx="13">
                  <c:v>411</c:v>
                </c:pt>
                <c:pt idx="14">
                  <c:v>522</c:v>
                </c:pt>
                <c:pt idx="15">
                  <c:v>716</c:v>
                </c:pt>
                <c:pt idx="16">
                  <c:v>959</c:v>
                </c:pt>
                <c:pt idx="17">
                  <c:v>1198</c:v>
                </c:pt>
                <c:pt idx="18">
                  <c:v>1534</c:v>
                </c:pt>
                <c:pt idx="19">
                  <c:v>1812</c:v>
                </c:pt>
                <c:pt idx="20">
                  <c:v>2344</c:v>
                </c:pt>
                <c:pt idx="21">
                  <c:v>2804</c:v>
                </c:pt>
                <c:pt idx="22">
                  <c:v>3433</c:v>
                </c:pt>
                <c:pt idx="23">
                  <c:v>4160</c:v>
                </c:pt>
                <c:pt idx="24">
                  <c:v>5006</c:v>
                </c:pt>
                <c:pt idx="25">
                  <c:v>6065</c:v>
                </c:pt>
                <c:pt idx="26">
                  <c:v>7499</c:v>
                </c:pt>
                <c:pt idx="27">
                  <c:v>8839</c:v>
                </c:pt>
                <c:pt idx="28">
                  <c:v>10371</c:v>
                </c:pt>
                <c:pt idx="29">
                  <c:v>12139</c:v>
                </c:pt>
                <c:pt idx="30">
                  <c:v>14236</c:v>
                </c:pt>
                <c:pt idx="31">
                  <c:v>16470</c:v>
                </c:pt>
                <c:pt idx="32">
                  <c:v>19050</c:v>
                </c:pt>
                <c:pt idx="33">
                  <c:v>21776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4A4-4F6C-8D83-87B5EFF491BA}"/>
            </c:ext>
          </c:extLst>
        </c:ser>
        <c:ser>
          <c:idx val="12"/>
          <c:order val="12"/>
          <c:tx>
            <c:strRef>
              <c:f>Deaths_since_10!$H$14</c:f>
              <c:strCache>
                <c:ptCount val="1"/>
                <c:pt idx="0">
                  <c:v>Asia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Deaths_since_10!$I$14:$KU$14</c:f>
              <c:numCache>
                <c:formatCode>General</c:formatCode>
                <c:ptCount val="299"/>
                <c:pt idx="0">
                  <c:v>17</c:v>
                </c:pt>
                <c:pt idx="1">
                  <c:v>18</c:v>
                </c:pt>
                <c:pt idx="2">
                  <c:v>26</c:v>
                </c:pt>
                <c:pt idx="3">
                  <c:v>42</c:v>
                </c:pt>
                <c:pt idx="4">
                  <c:v>56</c:v>
                </c:pt>
                <c:pt idx="5">
                  <c:v>82</c:v>
                </c:pt>
                <c:pt idx="6">
                  <c:v>131</c:v>
                </c:pt>
                <c:pt idx="7">
                  <c:v>133</c:v>
                </c:pt>
                <c:pt idx="8">
                  <c:v>171</c:v>
                </c:pt>
                <c:pt idx="9">
                  <c:v>213</c:v>
                </c:pt>
                <c:pt idx="10">
                  <c:v>259</c:v>
                </c:pt>
                <c:pt idx="11">
                  <c:v>362</c:v>
                </c:pt>
                <c:pt idx="12">
                  <c:v>426</c:v>
                </c:pt>
                <c:pt idx="13">
                  <c:v>492</c:v>
                </c:pt>
                <c:pt idx="14">
                  <c:v>564</c:v>
                </c:pt>
                <c:pt idx="15">
                  <c:v>634</c:v>
                </c:pt>
                <c:pt idx="16">
                  <c:v>719</c:v>
                </c:pt>
                <c:pt idx="17">
                  <c:v>806</c:v>
                </c:pt>
                <c:pt idx="18">
                  <c:v>906</c:v>
                </c:pt>
                <c:pt idx="19">
                  <c:v>1013</c:v>
                </c:pt>
                <c:pt idx="20">
                  <c:v>1113</c:v>
                </c:pt>
                <c:pt idx="21">
                  <c:v>1118</c:v>
                </c:pt>
                <c:pt idx="22">
                  <c:v>1371</c:v>
                </c:pt>
                <c:pt idx="23">
                  <c:v>1523</c:v>
                </c:pt>
                <c:pt idx="24">
                  <c:v>1665</c:v>
                </c:pt>
                <c:pt idx="25">
                  <c:v>1769</c:v>
                </c:pt>
                <c:pt idx="26">
                  <c:v>1867</c:v>
                </c:pt>
                <c:pt idx="27">
                  <c:v>2006</c:v>
                </c:pt>
                <c:pt idx="28">
                  <c:v>2119</c:v>
                </c:pt>
                <c:pt idx="29">
                  <c:v>2242</c:v>
                </c:pt>
                <c:pt idx="30">
                  <c:v>2243</c:v>
                </c:pt>
                <c:pt idx="31">
                  <c:v>2448</c:v>
                </c:pt>
                <c:pt idx="32">
                  <c:v>2454</c:v>
                </c:pt>
                <c:pt idx="33">
                  <c:v>2606</c:v>
                </c:pt>
                <c:pt idx="34">
                  <c:v>2678</c:v>
                </c:pt>
                <c:pt idx="35">
                  <c:v>2733</c:v>
                </c:pt>
                <c:pt idx="36">
                  <c:v>2765</c:v>
                </c:pt>
                <c:pt idx="37">
                  <c:v>2809</c:v>
                </c:pt>
                <c:pt idx="38">
                  <c:v>2860</c:v>
                </c:pt>
                <c:pt idx="39">
                  <c:v>2898</c:v>
                </c:pt>
                <c:pt idx="40">
                  <c:v>2951</c:v>
                </c:pt>
                <c:pt idx="41">
                  <c:v>2984</c:v>
                </c:pt>
                <c:pt idx="42">
                  <c:v>3027</c:v>
                </c:pt>
                <c:pt idx="43">
                  <c:v>3059</c:v>
                </c:pt>
                <c:pt idx="44">
                  <c:v>3095</c:v>
                </c:pt>
                <c:pt idx="45">
                  <c:v>3125</c:v>
                </c:pt>
                <c:pt idx="46">
                  <c:v>3159</c:v>
                </c:pt>
                <c:pt idx="47">
                  <c:v>3189</c:v>
                </c:pt>
                <c:pt idx="48">
                  <c:v>3206</c:v>
                </c:pt>
                <c:pt idx="49">
                  <c:v>3241</c:v>
                </c:pt>
                <c:pt idx="50">
                  <c:v>3260</c:v>
                </c:pt>
                <c:pt idx="51">
                  <c:v>3279</c:v>
                </c:pt>
                <c:pt idx="52">
                  <c:v>3305</c:v>
                </c:pt>
                <c:pt idx="53">
                  <c:v>3321</c:v>
                </c:pt>
                <c:pt idx="54">
                  <c:v>3341</c:v>
                </c:pt>
                <c:pt idx="55">
                  <c:v>3365</c:v>
                </c:pt>
                <c:pt idx="56">
                  <c:v>3401</c:v>
                </c:pt>
                <c:pt idx="57">
                  <c:v>3424</c:v>
                </c:pt>
                <c:pt idx="58">
                  <c:v>3450</c:v>
                </c:pt>
                <c:pt idx="59">
                  <c:v>3473</c:v>
                </c:pt>
                <c:pt idx="60">
                  <c:v>3530</c:v>
                </c:pt>
                <c:pt idx="61">
                  <c:v>3549</c:v>
                </c:pt>
                <c:pt idx="62">
                  <c:v>3581</c:v>
                </c:pt>
                <c:pt idx="63">
                  <c:v>3610</c:v>
                </c:pt>
                <c:pt idx="64">
                  <c:v>3664</c:v>
                </c:pt>
                <c:pt idx="65">
                  <c:v>3704</c:v>
                </c:pt>
                <c:pt idx="66">
                  <c:v>3754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F4A4-4F6C-8D83-87B5EFF491BA}"/>
            </c:ext>
          </c:extLst>
        </c:ser>
        <c:ser>
          <c:idx val="13"/>
          <c:order val="13"/>
          <c:tx>
            <c:strRef>
              <c:f>Deaths_since_10!$H$15</c:f>
              <c:strCache>
                <c:ptCount val="1"/>
                <c:pt idx="0">
                  <c:v>Middle East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Deaths_since_10!$I$15:$KU$15</c:f>
              <c:numCache>
                <c:formatCode>General</c:formatCode>
                <c:ptCount val="299"/>
                <c:pt idx="0">
                  <c:v>8</c:v>
                </c:pt>
                <c:pt idx="1">
                  <c:v>12</c:v>
                </c:pt>
                <c:pt idx="2">
                  <c:v>16</c:v>
                </c:pt>
                <c:pt idx="3">
                  <c:v>19</c:v>
                </c:pt>
                <c:pt idx="4">
                  <c:v>26</c:v>
                </c:pt>
                <c:pt idx="5">
                  <c:v>34</c:v>
                </c:pt>
                <c:pt idx="6">
                  <c:v>43</c:v>
                </c:pt>
                <c:pt idx="7">
                  <c:v>54</c:v>
                </c:pt>
                <c:pt idx="8">
                  <c:v>66</c:v>
                </c:pt>
                <c:pt idx="9">
                  <c:v>77</c:v>
                </c:pt>
                <c:pt idx="10">
                  <c:v>94</c:v>
                </c:pt>
                <c:pt idx="11">
                  <c:v>109</c:v>
                </c:pt>
                <c:pt idx="12">
                  <c:v>127</c:v>
                </c:pt>
                <c:pt idx="13">
                  <c:v>149</c:v>
                </c:pt>
                <c:pt idx="14">
                  <c:v>200</c:v>
                </c:pt>
                <c:pt idx="15">
                  <c:v>243</c:v>
                </c:pt>
                <c:pt idx="16">
                  <c:v>299</c:v>
                </c:pt>
                <c:pt idx="17">
                  <c:v>364</c:v>
                </c:pt>
                <c:pt idx="18">
                  <c:v>440</c:v>
                </c:pt>
                <c:pt idx="19">
                  <c:v>526</c:v>
                </c:pt>
                <c:pt idx="20">
                  <c:v>624</c:v>
                </c:pt>
                <c:pt idx="21">
                  <c:v>737</c:v>
                </c:pt>
                <c:pt idx="22">
                  <c:v>867</c:v>
                </c:pt>
                <c:pt idx="23">
                  <c:v>1003</c:v>
                </c:pt>
                <c:pt idx="24">
                  <c:v>1151</c:v>
                </c:pt>
                <c:pt idx="25">
                  <c:v>1302</c:v>
                </c:pt>
                <c:pt idx="26">
                  <c:v>1457</c:v>
                </c:pt>
                <c:pt idx="27">
                  <c:v>1581</c:v>
                </c:pt>
                <c:pt idx="28">
                  <c:v>1715</c:v>
                </c:pt>
                <c:pt idx="29">
                  <c:v>1845</c:v>
                </c:pt>
                <c:pt idx="30">
                  <c:v>1975</c:v>
                </c:pt>
                <c:pt idx="31">
                  <c:v>2127</c:v>
                </c:pt>
                <c:pt idx="32">
                  <c:v>2297</c:v>
                </c:pt>
                <c:pt idx="33">
                  <c:v>2452</c:v>
                </c:pt>
                <c:pt idx="34">
                  <c:v>2595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F4A4-4F6C-8D83-87B5EFF491BA}"/>
            </c:ext>
          </c:extLst>
        </c:ser>
        <c:ser>
          <c:idx val="14"/>
          <c:order val="14"/>
          <c:tx>
            <c:strRef>
              <c:f>Deaths_since_10!$H$16</c:f>
              <c:strCache>
                <c:ptCount val="1"/>
                <c:pt idx="0">
                  <c:v>Iran</c:v>
                </c:pt>
              </c:strCache>
            </c:strRef>
          </c:tx>
          <c:spPr>
            <a:ln w="50800" cap="rnd" cmpd="sng" algn="ctr">
              <a:solidFill>
                <a:srgbClr val="70AD47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Deaths_since_10!$I$16:$KU$16</c:f>
              <c:numCache>
                <c:formatCode>General</c:formatCode>
                <c:ptCount val="299"/>
                <c:pt idx="0">
                  <c:v>8</c:v>
                </c:pt>
                <c:pt idx="1">
                  <c:v>12</c:v>
                </c:pt>
                <c:pt idx="2">
                  <c:v>16</c:v>
                </c:pt>
                <c:pt idx="3">
                  <c:v>19</c:v>
                </c:pt>
                <c:pt idx="4">
                  <c:v>26</c:v>
                </c:pt>
                <c:pt idx="5">
                  <c:v>34</c:v>
                </c:pt>
                <c:pt idx="6">
                  <c:v>43</c:v>
                </c:pt>
                <c:pt idx="7">
                  <c:v>54</c:v>
                </c:pt>
                <c:pt idx="8">
                  <c:v>66</c:v>
                </c:pt>
                <c:pt idx="9">
                  <c:v>77</c:v>
                </c:pt>
                <c:pt idx="10">
                  <c:v>92</c:v>
                </c:pt>
                <c:pt idx="11">
                  <c:v>107</c:v>
                </c:pt>
                <c:pt idx="12">
                  <c:v>124</c:v>
                </c:pt>
                <c:pt idx="13">
                  <c:v>145</c:v>
                </c:pt>
                <c:pt idx="14">
                  <c:v>194</c:v>
                </c:pt>
                <c:pt idx="15">
                  <c:v>237</c:v>
                </c:pt>
                <c:pt idx="16">
                  <c:v>291</c:v>
                </c:pt>
                <c:pt idx="17">
                  <c:v>354</c:v>
                </c:pt>
                <c:pt idx="18">
                  <c:v>429</c:v>
                </c:pt>
                <c:pt idx="19">
                  <c:v>514</c:v>
                </c:pt>
                <c:pt idx="20">
                  <c:v>611</c:v>
                </c:pt>
                <c:pt idx="21">
                  <c:v>724</c:v>
                </c:pt>
                <c:pt idx="22">
                  <c:v>853</c:v>
                </c:pt>
                <c:pt idx="23">
                  <c:v>988</c:v>
                </c:pt>
                <c:pt idx="24">
                  <c:v>1135</c:v>
                </c:pt>
                <c:pt idx="25">
                  <c:v>1284</c:v>
                </c:pt>
                <c:pt idx="26">
                  <c:v>1433</c:v>
                </c:pt>
                <c:pt idx="27">
                  <c:v>1556</c:v>
                </c:pt>
                <c:pt idx="28">
                  <c:v>1685</c:v>
                </c:pt>
                <c:pt idx="29">
                  <c:v>1812</c:v>
                </c:pt>
                <c:pt idx="30">
                  <c:v>1934</c:v>
                </c:pt>
                <c:pt idx="31">
                  <c:v>2077</c:v>
                </c:pt>
                <c:pt idx="32">
                  <c:v>2234</c:v>
                </c:pt>
                <c:pt idx="33">
                  <c:v>2378</c:v>
                </c:pt>
                <c:pt idx="34">
                  <c:v>2517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F4A4-4F6C-8D83-87B5EFF491BA}"/>
            </c:ext>
          </c:extLst>
        </c:ser>
        <c:ser>
          <c:idx val="15"/>
          <c:order val="15"/>
          <c:tx>
            <c:strRef>
              <c:f>Deaths_since_10!$H$17</c:f>
              <c:strCache>
                <c:ptCount val="1"/>
                <c:pt idx="0">
                  <c:v>North America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Deaths_since_10!$I$17:$KU$17</c:f>
              <c:numCache>
                <c:formatCode>General</c:formatCode>
                <c:ptCount val="299"/>
                <c:pt idx="0">
                  <c:v>11</c:v>
                </c:pt>
                <c:pt idx="1">
                  <c:v>12</c:v>
                </c:pt>
                <c:pt idx="2">
                  <c:v>14</c:v>
                </c:pt>
                <c:pt idx="3">
                  <c:v>17</c:v>
                </c:pt>
                <c:pt idx="4">
                  <c:v>21</c:v>
                </c:pt>
                <c:pt idx="5">
                  <c:v>23</c:v>
                </c:pt>
                <c:pt idx="6">
                  <c:v>29</c:v>
                </c:pt>
                <c:pt idx="7">
                  <c:v>38</c:v>
                </c:pt>
                <c:pt idx="8">
                  <c:v>42</c:v>
                </c:pt>
                <c:pt idx="9">
                  <c:v>49</c:v>
                </c:pt>
                <c:pt idx="10">
                  <c:v>56</c:v>
                </c:pt>
                <c:pt idx="11">
                  <c:v>65</c:v>
                </c:pt>
                <c:pt idx="12">
                  <c:v>90</c:v>
                </c:pt>
                <c:pt idx="13">
                  <c:v>114</c:v>
                </c:pt>
                <c:pt idx="14">
                  <c:v>128</c:v>
                </c:pt>
                <c:pt idx="15">
                  <c:v>214</c:v>
                </c:pt>
                <c:pt idx="16">
                  <c:v>261</c:v>
                </c:pt>
                <c:pt idx="17">
                  <c:v>333</c:v>
                </c:pt>
                <c:pt idx="18">
                  <c:v>447</c:v>
                </c:pt>
                <c:pt idx="19">
                  <c:v>595</c:v>
                </c:pt>
                <c:pt idx="20">
                  <c:v>746</c:v>
                </c:pt>
                <c:pt idx="21">
                  <c:v>989</c:v>
                </c:pt>
                <c:pt idx="22">
                  <c:v>1266</c:v>
                </c:pt>
                <c:pt idx="23">
                  <c:v>1657</c:v>
                </c:pt>
                <c:pt idx="24">
                  <c:v>2119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F4A4-4F6C-8D83-87B5EFF491BA}"/>
            </c:ext>
          </c:extLst>
        </c:ser>
        <c:ser>
          <c:idx val="16"/>
          <c:order val="16"/>
          <c:tx>
            <c:strRef>
              <c:f>Deaths_since_10!$H$18</c:f>
              <c:strCache>
                <c:ptCount val="1"/>
                <c:pt idx="0">
                  <c:v>Netherlands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Deaths_since_10!$I$18:$KU$18</c:f>
              <c:numCache>
                <c:formatCode>General</c:formatCode>
                <c:ptCount val="299"/>
                <c:pt idx="0">
                  <c:v>10</c:v>
                </c:pt>
                <c:pt idx="1">
                  <c:v>12</c:v>
                </c:pt>
                <c:pt idx="2">
                  <c:v>20</c:v>
                </c:pt>
                <c:pt idx="3">
                  <c:v>24</c:v>
                </c:pt>
                <c:pt idx="4">
                  <c:v>43</c:v>
                </c:pt>
                <c:pt idx="5">
                  <c:v>58</c:v>
                </c:pt>
                <c:pt idx="6">
                  <c:v>77</c:v>
                </c:pt>
                <c:pt idx="7">
                  <c:v>107</c:v>
                </c:pt>
                <c:pt idx="8">
                  <c:v>137</c:v>
                </c:pt>
                <c:pt idx="9">
                  <c:v>180</c:v>
                </c:pt>
                <c:pt idx="10">
                  <c:v>214</c:v>
                </c:pt>
                <c:pt idx="11">
                  <c:v>277</c:v>
                </c:pt>
                <c:pt idx="12">
                  <c:v>357</c:v>
                </c:pt>
                <c:pt idx="13">
                  <c:v>435</c:v>
                </c:pt>
                <c:pt idx="14">
                  <c:v>547</c:v>
                </c:pt>
                <c:pt idx="15">
                  <c:v>640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F4A4-4F6C-8D83-87B5EFF491BA}"/>
            </c:ext>
          </c:extLst>
        </c:ser>
        <c:ser>
          <c:idx val="17"/>
          <c:order val="17"/>
          <c:tx>
            <c:strRef>
              <c:f>Deaths_since_10!$H$19</c:f>
              <c:strCache>
                <c:ptCount val="1"/>
                <c:pt idx="0">
                  <c:v>Belgium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Deaths_since_10!$I$19:$KU$19</c:f>
              <c:numCache>
                <c:formatCode>General</c:formatCode>
                <c:ptCount val="299"/>
                <c:pt idx="0">
                  <c:v>10</c:v>
                </c:pt>
                <c:pt idx="1">
                  <c:v>14</c:v>
                </c:pt>
                <c:pt idx="2">
                  <c:v>21</c:v>
                </c:pt>
                <c:pt idx="3">
                  <c:v>37</c:v>
                </c:pt>
                <c:pt idx="4">
                  <c:v>67</c:v>
                </c:pt>
                <c:pt idx="5">
                  <c:v>75</c:v>
                </c:pt>
                <c:pt idx="6">
                  <c:v>88</c:v>
                </c:pt>
                <c:pt idx="7">
                  <c:v>122</c:v>
                </c:pt>
                <c:pt idx="8">
                  <c:v>178</c:v>
                </c:pt>
                <c:pt idx="9">
                  <c:v>220</c:v>
                </c:pt>
                <c:pt idx="10">
                  <c:v>289</c:v>
                </c:pt>
                <c:pt idx="11">
                  <c:v>353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F4A4-4F6C-8D83-87B5EFF491BA}"/>
            </c:ext>
          </c:extLst>
        </c:ser>
        <c:ser>
          <c:idx val="18"/>
          <c:order val="18"/>
          <c:tx>
            <c:strRef>
              <c:f>Deaths_since_10!$H$20</c:f>
              <c:strCache>
                <c:ptCount val="1"/>
                <c:pt idx="0">
                  <c:v>Switzerland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Deaths_since_10!$I$20:$KU$20</c:f>
              <c:numCache>
                <c:formatCode>General</c:formatCode>
                <c:ptCount val="299"/>
                <c:pt idx="0">
                  <c:v>11</c:v>
                </c:pt>
                <c:pt idx="1">
                  <c:v>13</c:v>
                </c:pt>
                <c:pt idx="2">
                  <c:v>14</c:v>
                </c:pt>
                <c:pt idx="3">
                  <c:v>14</c:v>
                </c:pt>
                <c:pt idx="4">
                  <c:v>27</c:v>
                </c:pt>
                <c:pt idx="5">
                  <c:v>28</c:v>
                </c:pt>
                <c:pt idx="6">
                  <c:v>41</c:v>
                </c:pt>
                <c:pt idx="7">
                  <c:v>54</c:v>
                </c:pt>
                <c:pt idx="8">
                  <c:v>75</c:v>
                </c:pt>
                <c:pt idx="9">
                  <c:v>98</c:v>
                </c:pt>
                <c:pt idx="10">
                  <c:v>120</c:v>
                </c:pt>
                <c:pt idx="11">
                  <c:v>122</c:v>
                </c:pt>
                <c:pt idx="12">
                  <c:v>153</c:v>
                </c:pt>
                <c:pt idx="13">
                  <c:v>191</c:v>
                </c:pt>
                <c:pt idx="14">
                  <c:v>231</c:v>
                </c:pt>
                <c:pt idx="15">
                  <c:v>264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F4A4-4F6C-8D83-87B5EFF491BA}"/>
            </c:ext>
          </c:extLst>
        </c:ser>
        <c:ser>
          <c:idx val="19"/>
          <c:order val="19"/>
          <c:tx>
            <c:strRef>
              <c:f>Deaths_since_10!$H$21</c:f>
              <c:strCache>
                <c:ptCount val="1"/>
                <c:pt idx="0">
                  <c:v>South America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Deaths_since_10!$I$21:$KU$21</c:f>
              <c:numCache>
                <c:formatCode>General</c:formatCode>
                <c:ptCount val="299"/>
                <c:pt idx="0">
                  <c:v>9</c:v>
                </c:pt>
                <c:pt idx="1">
                  <c:v>15</c:v>
                </c:pt>
                <c:pt idx="2">
                  <c:v>25</c:v>
                </c:pt>
                <c:pt idx="3">
                  <c:v>35</c:v>
                </c:pt>
                <c:pt idx="4">
                  <c:v>56</c:v>
                </c:pt>
                <c:pt idx="5">
                  <c:v>71</c:v>
                </c:pt>
                <c:pt idx="6">
                  <c:v>100</c:v>
                </c:pt>
                <c:pt idx="7">
                  <c:v>125</c:v>
                </c:pt>
                <c:pt idx="8">
                  <c:v>154</c:v>
                </c:pt>
                <c:pt idx="9">
                  <c:v>188</c:v>
                </c:pt>
                <c:pt idx="10">
                  <c:v>238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F4A4-4F6C-8D83-87B5EFF491BA}"/>
            </c:ext>
          </c:extLst>
        </c:ser>
        <c:ser>
          <c:idx val="20"/>
          <c:order val="20"/>
          <c:tx>
            <c:strRef>
              <c:f>Deaths_since_10!$H$22</c:f>
              <c:strCache>
                <c:ptCount val="1"/>
                <c:pt idx="0">
                  <c:v>Korea, South</c:v>
                </c:pt>
              </c:strCache>
            </c:strRef>
          </c:tx>
          <c:spPr>
            <a:ln w="50800" cap="rnd" cmpd="sng" algn="ctr">
              <a:solidFill>
                <a:srgbClr val="5B9BD5">
                  <a:lumMod val="6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Deaths_since_10!$I$22:$KU$22</c:f>
              <c:numCache>
                <c:formatCode>General</c:formatCode>
                <c:ptCount val="299"/>
                <c:pt idx="0">
                  <c:v>8</c:v>
                </c:pt>
                <c:pt idx="1">
                  <c:v>10</c:v>
                </c:pt>
                <c:pt idx="2">
                  <c:v>12</c:v>
                </c:pt>
                <c:pt idx="3">
                  <c:v>13</c:v>
                </c:pt>
                <c:pt idx="4">
                  <c:v>13</c:v>
                </c:pt>
                <c:pt idx="5">
                  <c:v>16</c:v>
                </c:pt>
                <c:pt idx="6">
                  <c:v>17</c:v>
                </c:pt>
                <c:pt idx="7">
                  <c:v>28</c:v>
                </c:pt>
                <c:pt idx="8">
                  <c:v>28</c:v>
                </c:pt>
                <c:pt idx="9">
                  <c:v>35</c:v>
                </c:pt>
                <c:pt idx="10">
                  <c:v>35</c:v>
                </c:pt>
                <c:pt idx="11">
                  <c:v>42</c:v>
                </c:pt>
                <c:pt idx="12">
                  <c:v>44</c:v>
                </c:pt>
                <c:pt idx="13">
                  <c:v>50</c:v>
                </c:pt>
                <c:pt idx="14">
                  <c:v>53</c:v>
                </c:pt>
                <c:pt idx="15">
                  <c:v>54</c:v>
                </c:pt>
                <c:pt idx="16">
                  <c:v>60</c:v>
                </c:pt>
                <c:pt idx="17">
                  <c:v>66</c:v>
                </c:pt>
                <c:pt idx="18">
                  <c:v>66</c:v>
                </c:pt>
                <c:pt idx="19">
                  <c:v>72</c:v>
                </c:pt>
                <c:pt idx="20">
                  <c:v>75</c:v>
                </c:pt>
                <c:pt idx="21">
                  <c:v>75</c:v>
                </c:pt>
                <c:pt idx="22">
                  <c:v>81</c:v>
                </c:pt>
                <c:pt idx="23">
                  <c:v>84</c:v>
                </c:pt>
                <c:pt idx="24">
                  <c:v>91</c:v>
                </c:pt>
                <c:pt idx="25">
                  <c:v>94</c:v>
                </c:pt>
                <c:pt idx="26">
                  <c:v>102</c:v>
                </c:pt>
                <c:pt idx="27">
                  <c:v>111</c:v>
                </c:pt>
                <c:pt idx="28">
                  <c:v>111</c:v>
                </c:pt>
                <c:pt idx="29">
                  <c:v>120</c:v>
                </c:pt>
                <c:pt idx="30">
                  <c:v>126</c:v>
                </c:pt>
                <c:pt idx="31">
                  <c:v>131</c:v>
                </c:pt>
                <c:pt idx="32">
                  <c:v>139</c:v>
                </c:pt>
                <c:pt idx="33">
                  <c:v>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F4A4-4F6C-8D83-87B5EFF491BA}"/>
            </c:ext>
          </c:extLst>
        </c:ser>
        <c:ser>
          <c:idx val="21"/>
          <c:order val="21"/>
          <c:tx>
            <c:strRef>
              <c:f>Deaths_since_10!$H$23</c:f>
              <c:strCache>
                <c:ptCount val="1"/>
                <c:pt idx="0">
                  <c:v>Africa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Deaths_since_10!$I$23:$KU$23</c:f>
              <c:numCache>
                <c:formatCode>General</c:formatCode>
                <c:ptCount val="299"/>
                <c:pt idx="0">
                  <c:v>8</c:v>
                </c:pt>
                <c:pt idx="1">
                  <c:v>8</c:v>
                </c:pt>
                <c:pt idx="2">
                  <c:v>11</c:v>
                </c:pt>
                <c:pt idx="3">
                  <c:v>17</c:v>
                </c:pt>
                <c:pt idx="4">
                  <c:v>20</c:v>
                </c:pt>
                <c:pt idx="5">
                  <c:v>25</c:v>
                </c:pt>
                <c:pt idx="6">
                  <c:v>33</c:v>
                </c:pt>
                <c:pt idx="7">
                  <c:v>44</c:v>
                </c:pt>
                <c:pt idx="8">
                  <c:v>50</c:v>
                </c:pt>
                <c:pt idx="9">
                  <c:v>56</c:v>
                </c:pt>
                <c:pt idx="10">
                  <c:v>62</c:v>
                </c:pt>
                <c:pt idx="11">
                  <c:v>80</c:v>
                </c:pt>
                <c:pt idx="12">
                  <c:v>104</c:v>
                </c:pt>
                <c:pt idx="13">
                  <c:v>122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F4A4-4F6C-8D83-87B5EFF491BA}"/>
            </c:ext>
          </c:extLst>
        </c:ser>
        <c:ser>
          <c:idx val="22"/>
          <c:order val="22"/>
          <c:tx>
            <c:strRef>
              <c:f>Deaths_since_10!$H$24</c:f>
              <c:strCache>
                <c:ptCount val="1"/>
                <c:pt idx="0">
                  <c:v>Brazil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Deaths_since_10!$I$24:$KU$24</c:f>
              <c:numCache>
                <c:formatCode>General</c:formatCode>
                <c:ptCount val="299"/>
                <c:pt idx="0">
                  <c:v>11</c:v>
                </c:pt>
                <c:pt idx="1">
                  <c:v>15</c:v>
                </c:pt>
                <c:pt idx="2">
                  <c:v>25</c:v>
                </c:pt>
                <c:pt idx="3">
                  <c:v>34</c:v>
                </c:pt>
                <c:pt idx="4">
                  <c:v>46</c:v>
                </c:pt>
                <c:pt idx="5">
                  <c:v>59</c:v>
                </c:pt>
                <c:pt idx="6">
                  <c:v>77</c:v>
                </c:pt>
                <c:pt idx="7">
                  <c:v>92</c:v>
                </c:pt>
                <c:pt idx="8">
                  <c:v>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F4A4-4F6C-8D83-87B5EFF491BA}"/>
            </c:ext>
          </c:extLst>
        </c:ser>
        <c:ser>
          <c:idx val="23"/>
          <c:order val="23"/>
          <c:tx>
            <c:strRef>
              <c:f>Deaths_since_10!$H$25</c:f>
              <c:strCache>
                <c:ptCount val="1"/>
                <c:pt idx="0">
                  <c:v>Turkey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Deaths_since_10!$I$25:$KU$25</c:f>
              <c:numCache>
                <c:formatCode>General</c:formatCode>
                <c:ptCount val="299"/>
                <c:pt idx="0">
                  <c:v>9</c:v>
                </c:pt>
                <c:pt idx="1">
                  <c:v>30</c:v>
                </c:pt>
                <c:pt idx="2">
                  <c:v>37</c:v>
                </c:pt>
                <c:pt idx="3">
                  <c:v>44</c:v>
                </c:pt>
                <c:pt idx="4">
                  <c:v>59</c:v>
                </c:pt>
                <c:pt idx="5">
                  <c:v>75</c:v>
                </c:pt>
                <c:pt idx="6">
                  <c:v>92</c:v>
                </c:pt>
                <c:pt idx="7">
                  <c:v>108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F4A4-4F6C-8D83-87B5EFF491BA}"/>
            </c:ext>
          </c:extLst>
        </c:ser>
        <c:ser>
          <c:idx val="24"/>
          <c:order val="24"/>
          <c:tx>
            <c:strRef>
              <c:f>Deaths_since_10!$H$26</c:f>
              <c:strCache>
                <c:ptCount val="1"/>
                <c:pt idx="0">
                  <c:v>Sweden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Deaths_since_10!$I$26:$KU$26</c:f>
              <c:numCache>
                <c:formatCode>General</c:formatCode>
                <c:ptCount val="299"/>
                <c:pt idx="0">
                  <c:v>10</c:v>
                </c:pt>
                <c:pt idx="1">
                  <c:v>11</c:v>
                </c:pt>
                <c:pt idx="2">
                  <c:v>16</c:v>
                </c:pt>
                <c:pt idx="3">
                  <c:v>20</c:v>
                </c:pt>
                <c:pt idx="4">
                  <c:v>21</c:v>
                </c:pt>
                <c:pt idx="5">
                  <c:v>25</c:v>
                </c:pt>
                <c:pt idx="6">
                  <c:v>36</c:v>
                </c:pt>
                <c:pt idx="7">
                  <c:v>62</c:v>
                </c:pt>
                <c:pt idx="8">
                  <c:v>77</c:v>
                </c:pt>
                <c:pt idx="9">
                  <c:v>105</c:v>
                </c:pt>
                <c:pt idx="10">
                  <c:v>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F4A4-4F6C-8D83-87B5EFF491BA}"/>
            </c:ext>
          </c:extLst>
        </c:ser>
        <c:ser>
          <c:idx val="25"/>
          <c:order val="25"/>
          <c:tx>
            <c:strRef>
              <c:f>Deaths_since_10!$H$27</c:f>
              <c:strCache>
                <c:ptCount val="1"/>
                <c:pt idx="0">
                  <c:v>Indonesia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Deaths_since_10!$I$27:$KU$27</c:f>
              <c:numCache>
                <c:formatCode>General</c:formatCode>
                <c:ptCount val="299"/>
                <c:pt idx="0">
                  <c:v>19</c:v>
                </c:pt>
                <c:pt idx="1">
                  <c:v>25</c:v>
                </c:pt>
                <c:pt idx="2">
                  <c:v>32</c:v>
                </c:pt>
                <c:pt idx="3">
                  <c:v>38</c:v>
                </c:pt>
                <c:pt idx="4">
                  <c:v>48</c:v>
                </c:pt>
                <c:pt idx="5">
                  <c:v>49</c:v>
                </c:pt>
                <c:pt idx="6">
                  <c:v>55</c:v>
                </c:pt>
                <c:pt idx="7">
                  <c:v>58</c:v>
                </c:pt>
                <c:pt idx="8">
                  <c:v>78</c:v>
                </c:pt>
                <c:pt idx="9">
                  <c:v>87</c:v>
                </c:pt>
                <c:pt idx="10">
                  <c:v>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F4A4-4F6C-8D83-87B5EFF491BA}"/>
            </c:ext>
          </c:extLst>
        </c:ser>
        <c:ser>
          <c:idx val="26"/>
          <c:order val="26"/>
          <c:tx>
            <c:strRef>
              <c:f>Deaths_since_10!$H$28</c:f>
              <c:strCache>
                <c:ptCount val="1"/>
                <c:pt idx="0">
                  <c:v>Portugal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Deaths_since_10!$I$28:$KU$28</c:f>
              <c:numCache>
                <c:formatCode>General</c:formatCode>
                <c:ptCount val="299"/>
                <c:pt idx="0">
                  <c:v>12</c:v>
                </c:pt>
                <c:pt idx="1">
                  <c:v>14</c:v>
                </c:pt>
                <c:pt idx="2">
                  <c:v>23</c:v>
                </c:pt>
                <c:pt idx="3">
                  <c:v>33</c:v>
                </c:pt>
                <c:pt idx="4">
                  <c:v>43</c:v>
                </c:pt>
                <c:pt idx="5">
                  <c:v>60</c:v>
                </c:pt>
                <c:pt idx="6">
                  <c:v>76</c:v>
                </c:pt>
                <c:pt idx="7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F4A4-4F6C-8D83-87B5EFF491BA}"/>
            </c:ext>
          </c:extLst>
        </c:ser>
        <c:ser>
          <c:idx val="27"/>
          <c:order val="27"/>
          <c:tx>
            <c:strRef>
              <c:f>Deaths_since_10!$H$29</c:f>
              <c:strCache>
                <c:ptCount val="1"/>
                <c:pt idx="0">
                  <c:v>Austria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Deaths_since_10!$I$29:$KU$29</c:f>
              <c:numCache>
                <c:formatCode>General</c:formatCode>
                <c:ptCount val="299"/>
                <c:pt idx="0">
                  <c:v>8</c:v>
                </c:pt>
                <c:pt idx="1">
                  <c:v>16</c:v>
                </c:pt>
                <c:pt idx="2">
                  <c:v>21</c:v>
                </c:pt>
                <c:pt idx="3">
                  <c:v>28</c:v>
                </c:pt>
                <c:pt idx="4">
                  <c:v>30</c:v>
                </c:pt>
                <c:pt idx="5">
                  <c:v>49</c:v>
                </c:pt>
                <c:pt idx="6">
                  <c:v>58</c:v>
                </c:pt>
                <c:pt idx="7">
                  <c:v>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F4A4-4F6C-8D83-87B5EFF491BA}"/>
            </c:ext>
          </c:extLst>
        </c:ser>
        <c:ser>
          <c:idx val="28"/>
          <c:order val="28"/>
          <c:tx>
            <c:strRef>
              <c:f>Deaths_since_10!$H$30</c:f>
              <c:strCache>
                <c:ptCount val="1"/>
                <c:pt idx="0">
                  <c:v>Philippines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Deaths_since_10!$I$30:$KU$30</c:f>
              <c:numCache>
                <c:formatCode>General</c:formatCode>
                <c:ptCount val="299"/>
                <c:pt idx="0">
                  <c:v>8</c:v>
                </c:pt>
                <c:pt idx="1">
                  <c:v>11</c:v>
                </c:pt>
                <c:pt idx="2">
                  <c:v>12</c:v>
                </c:pt>
                <c:pt idx="3">
                  <c:v>12</c:v>
                </c:pt>
                <c:pt idx="4">
                  <c:v>19</c:v>
                </c:pt>
                <c:pt idx="5">
                  <c:v>17</c:v>
                </c:pt>
                <c:pt idx="6">
                  <c:v>18</c:v>
                </c:pt>
                <c:pt idx="7">
                  <c:v>19</c:v>
                </c:pt>
                <c:pt idx="8">
                  <c:v>25</c:v>
                </c:pt>
                <c:pt idx="9">
                  <c:v>33</c:v>
                </c:pt>
                <c:pt idx="10">
                  <c:v>35</c:v>
                </c:pt>
                <c:pt idx="11">
                  <c:v>38</c:v>
                </c:pt>
                <c:pt idx="12">
                  <c:v>45</c:v>
                </c:pt>
                <c:pt idx="13">
                  <c:v>54</c:v>
                </c:pt>
                <c:pt idx="14">
                  <c:v>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F4A4-4F6C-8D83-87B5EFF491BA}"/>
            </c:ext>
          </c:extLst>
        </c:ser>
        <c:ser>
          <c:idx val="29"/>
          <c:order val="29"/>
          <c:tx>
            <c:strRef>
              <c:f>Deaths_since_10!$H$31</c:f>
              <c:strCache>
                <c:ptCount val="1"/>
                <c:pt idx="0">
                  <c:v>Denmark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Deaths_since_10!$I$31:$KU$31</c:f>
              <c:numCache>
                <c:formatCode>General</c:formatCode>
                <c:ptCount val="299"/>
                <c:pt idx="0">
                  <c:v>9</c:v>
                </c:pt>
                <c:pt idx="1">
                  <c:v>13</c:v>
                </c:pt>
                <c:pt idx="2">
                  <c:v>13</c:v>
                </c:pt>
                <c:pt idx="3">
                  <c:v>24</c:v>
                </c:pt>
                <c:pt idx="4">
                  <c:v>32</c:v>
                </c:pt>
                <c:pt idx="5">
                  <c:v>34</c:v>
                </c:pt>
                <c:pt idx="6">
                  <c:v>41</c:v>
                </c:pt>
                <c:pt idx="7">
                  <c:v>52</c:v>
                </c:pt>
                <c:pt idx="8">
                  <c:v>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F4A4-4F6C-8D83-87B5EFF491BA}"/>
            </c:ext>
          </c:extLst>
        </c:ser>
        <c:ser>
          <c:idx val="30"/>
          <c:order val="30"/>
          <c:tx>
            <c:strRef>
              <c:f>Deaths_since_10!$H$32</c:f>
              <c:strCache>
                <c:ptCount val="1"/>
                <c:pt idx="0">
                  <c:v>Canada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Deaths_since_10!$I$32:$KU$32</c:f>
              <c:numCache>
                <c:formatCode>General</c:formatCode>
                <c:ptCount val="299"/>
                <c:pt idx="0">
                  <c:v>8</c:v>
                </c:pt>
                <c:pt idx="1">
                  <c:v>9</c:v>
                </c:pt>
                <c:pt idx="2">
                  <c:v>12</c:v>
                </c:pt>
                <c:pt idx="3">
                  <c:v>19</c:v>
                </c:pt>
                <c:pt idx="4">
                  <c:v>21</c:v>
                </c:pt>
                <c:pt idx="5">
                  <c:v>25</c:v>
                </c:pt>
                <c:pt idx="6">
                  <c:v>26</c:v>
                </c:pt>
                <c:pt idx="7">
                  <c:v>30</c:v>
                </c:pt>
                <c:pt idx="8">
                  <c:v>38</c:v>
                </c:pt>
                <c:pt idx="9">
                  <c:v>54</c:v>
                </c:pt>
                <c:pt idx="10">
                  <c:v>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F4A4-4F6C-8D83-87B5EFF491BA}"/>
            </c:ext>
          </c:extLst>
        </c:ser>
        <c:ser>
          <c:idx val="31"/>
          <c:order val="31"/>
          <c:tx>
            <c:strRef>
              <c:f>Deaths_since_10!$H$33</c:f>
              <c:strCache>
                <c:ptCount val="1"/>
                <c:pt idx="0">
                  <c:v>Japan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Deaths_since_10!$I$33:$KU$33</c:f>
              <c:numCache>
                <c:formatCode>General</c:formatCode>
                <c:ptCount val="299"/>
                <c:pt idx="0">
                  <c:v>10</c:v>
                </c:pt>
                <c:pt idx="1">
                  <c:v>10</c:v>
                </c:pt>
                <c:pt idx="2">
                  <c:v>15</c:v>
                </c:pt>
                <c:pt idx="3">
                  <c:v>16</c:v>
                </c:pt>
                <c:pt idx="4">
                  <c:v>19</c:v>
                </c:pt>
                <c:pt idx="5">
                  <c:v>22</c:v>
                </c:pt>
                <c:pt idx="6">
                  <c:v>22</c:v>
                </c:pt>
                <c:pt idx="7">
                  <c:v>27</c:v>
                </c:pt>
                <c:pt idx="8">
                  <c:v>29</c:v>
                </c:pt>
                <c:pt idx="9">
                  <c:v>29</c:v>
                </c:pt>
                <c:pt idx="10">
                  <c:v>29</c:v>
                </c:pt>
                <c:pt idx="11">
                  <c:v>33</c:v>
                </c:pt>
                <c:pt idx="12">
                  <c:v>35</c:v>
                </c:pt>
                <c:pt idx="13">
                  <c:v>41</c:v>
                </c:pt>
                <c:pt idx="14">
                  <c:v>42</c:v>
                </c:pt>
                <c:pt idx="15">
                  <c:v>43</c:v>
                </c:pt>
                <c:pt idx="16">
                  <c:v>45</c:v>
                </c:pt>
                <c:pt idx="17">
                  <c:v>47</c:v>
                </c:pt>
                <c:pt idx="18">
                  <c:v>49</c:v>
                </c:pt>
                <c:pt idx="19">
                  <c:v>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F4A4-4F6C-8D83-87B5EFF491BA}"/>
            </c:ext>
          </c:extLst>
        </c:ser>
        <c:ser>
          <c:idx val="32"/>
          <c:order val="32"/>
          <c:tx>
            <c:strRef>
              <c:f>Deaths_since_10!$H$34</c:f>
              <c:strCache>
                <c:ptCount val="1"/>
                <c:pt idx="0">
                  <c:v>Ecuador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Deaths_since_10!$I$34:$KU$34</c:f>
              <c:numCache>
                <c:formatCode>General</c:formatCode>
                <c:ptCount val="299"/>
                <c:pt idx="0">
                  <c:v>14</c:v>
                </c:pt>
                <c:pt idx="1">
                  <c:v>18</c:v>
                </c:pt>
                <c:pt idx="2">
                  <c:v>27</c:v>
                </c:pt>
                <c:pt idx="3">
                  <c:v>28</c:v>
                </c:pt>
                <c:pt idx="4">
                  <c:v>34</c:v>
                </c:pt>
                <c:pt idx="5">
                  <c:v>36</c:v>
                </c:pt>
                <c:pt idx="6">
                  <c:v>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22-4174-AD52-3F7DF2399C3A}"/>
            </c:ext>
          </c:extLst>
        </c:ser>
        <c:ser>
          <c:idx val="33"/>
          <c:order val="33"/>
          <c:tx>
            <c:strRef>
              <c:f>Deaths_since_10!$H$35</c:f>
              <c:strCache>
                <c:ptCount val="1"/>
                <c:pt idx="0">
                  <c:v>Iraq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Deaths_since_10!$I$35:$KU$35</c:f>
              <c:numCache>
                <c:formatCode>General</c:formatCode>
                <c:ptCount val="299"/>
                <c:pt idx="0">
                  <c:v>8</c:v>
                </c:pt>
                <c:pt idx="1">
                  <c:v>9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17</c:v>
                </c:pt>
                <c:pt idx="9">
                  <c:v>17</c:v>
                </c:pt>
                <c:pt idx="10">
                  <c:v>20</c:v>
                </c:pt>
                <c:pt idx="11">
                  <c:v>23</c:v>
                </c:pt>
                <c:pt idx="12">
                  <c:v>27</c:v>
                </c:pt>
                <c:pt idx="13">
                  <c:v>29</c:v>
                </c:pt>
                <c:pt idx="14">
                  <c:v>36</c:v>
                </c:pt>
                <c:pt idx="15">
                  <c:v>40</c:v>
                </c:pt>
                <c:pt idx="16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22-4174-AD52-3F7DF2399C3A}"/>
            </c:ext>
          </c:extLst>
        </c:ser>
        <c:ser>
          <c:idx val="34"/>
          <c:order val="34"/>
          <c:tx>
            <c:strRef>
              <c:f>Deaths_since_10!$H$36</c:f>
              <c:strCache>
                <c:ptCount val="1"/>
                <c:pt idx="0">
                  <c:v>Romania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Deaths_since_10!$I$36:$KU$36</c:f>
              <c:numCache>
                <c:formatCode>General</c:formatCode>
                <c:ptCount val="299"/>
                <c:pt idx="0">
                  <c:v>11</c:v>
                </c:pt>
                <c:pt idx="1">
                  <c:v>17</c:v>
                </c:pt>
                <c:pt idx="2">
                  <c:v>23</c:v>
                </c:pt>
                <c:pt idx="3">
                  <c:v>26</c:v>
                </c:pt>
                <c:pt idx="4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22-4174-AD52-3F7DF2399C3A}"/>
            </c:ext>
          </c:extLst>
        </c:ser>
        <c:ser>
          <c:idx val="35"/>
          <c:order val="35"/>
          <c:tx>
            <c:strRef>
              <c:f>Deaths_since_10!$H$37</c:f>
              <c:strCache>
                <c:ptCount val="1"/>
                <c:pt idx="0">
                  <c:v>Ireland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Deaths_since_10!$I$37:$KU$37</c:f>
              <c:numCache>
                <c:formatCode>General</c:formatCode>
                <c:ptCount val="299"/>
                <c:pt idx="0">
                  <c:v>9</c:v>
                </c:pt>
                <c:pt idx="1">
                  <c:v>19</c:v>
                </c:pt>
                <c:pt idx="2">
                  <c:v>22</c:v>
                </c:pt>
                <c:pt idx="3">
                  <c:v>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322-4174-AD52-3F7DF2399C3A}"/>
            </c:ext>
          </c:extLst>
        </c:ser>
        <c:ser>
          <c:idx val="36"/>
          <c:order val="36"/>
          <c:tx>
            <c:strRef>
              <c:f>Deaths_since_10!$H$38</c:f>
              <c:strCache>
                <c:ptCount val="1"/>
                <c:pt idx="0">
                  <c:v>Egypt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Deaths_since_10!$I$38:$KU$38</c:f>
              <c:numCache>
                <c:formatCode>General</c:formatCode>
                <c:ptCount val="299"/>
                <c:pt idx="0">
                  <c:v>8</c:v>
                </c:pt>
                <c:pt idx="1">
                  <c:v>10</c:v>
                </c:pt>
                <c:pt idx="2">
                  <c:v>14</c:v>
                </c:pt>
                <c:pt idx="3">
                  <c:v>19</c:v>
                </c:pt>
                <c:pt idx="4">
                  <c:v>20</c:v>
                </c:pt>
                <c:pt idx="5">
                  <c:v>21</c:v>
                </c:pt>
                <c:pt idx="6">
                  <c:v>24</c:v>
                </c:pt>
                <c:pt idx="7">
                  <c:v>30</c:v>
                </c:pt>
                <c:pt idx="8">
                  <c:v>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322-4174-AD52-3F7DF2399C3A}"/>
            </c:ext>
          </c:extLst>
        </c:ser>
        <c:ser>
          <c:idx val="37"/>
          <c:order val="37"/>
          <c:tx>
            <c:strRef>
              <c:f>Deaths_since_10!$H$39</c:f>
              <c:strCache>
                <c:ptCount val="1"/>
                <c:pt idx="0">
                  <c:v>Greece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Deaths_since_10!$I$39:$KU$39</c:f>
              <c:numCache>
                <c:formatCode>General</c:formatCode>
                <c:ptCount val="299"/>
                <c:pt idx="0">
                  <c:v>13</c:v>
                </c:pt>
                <c:pt idx="1">
                  <c:v>15</c:v>
                </c:pt>
                <c:pt idx="2">
                  <c:v>17</c:v>
                </c:pt>
                <c:pt idx="3">
                  <c:v>20</c:v>
                </c:pt>
                <c:pt idx="4">
                  <c:v>22</c:v>
                </c:pt>
                <c:pt idx="5">
                  <c:v>26</c:v>
                </c:pt>
                <c:pt idx="6">
                  <c:v>28</c:v>
                </c:pt>
                <c:pt idx="7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322-4174-AD52-3F7DF2399C3A}"/>
            </c:ext>
          </c:extLst>
        </c:ser>
        <c:ser>
          <c:idx val="38"/>
          <c:order val="38"/>
          <c:tx>
            <c:strRef>
              <c:f>Deaths_since_10!$H$40</c:f>
              <c:strCache>
                <c:ptCount val="1"/>
                <c:pt idx="0">
                  <c:v>Algeria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Deaths_since_10!$I$40:$KU$40</c:f>
              <c:numCache>
                <c:formatCode>General</c:formatCode>
                <c:ptCount val="299"/>
                <c:pt idx="0">
                  <c:v>9</c:v>
                </c:pt>
                <c:pt idx="1">
                  <c:v>11</c:v>
                </c:pt>
                <c:pt idx="2">
                  <c:v>15</c:v>
                </c:pt>
                <c:pt idx="3">
                  <c:v>17</c:v>
                </c:pt>
                <c:pt idx="4">
                  <c:v>17</c:v>
                </c:pt>
                <c:pt idx="5">
                  <c:v>19</c:v>
                </c:pt>
                <c:pt idx="6">
                  <c:v>21</c:v>
                </c:pt>
                <c:pt idx="7">
                  <c:v>25</c:v>
                </c:pt>
                <c:pt idx="8">
                  <c:v>26</c:v>
                </c:pt>
                <c:pt idx="9">
                  <c:v>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322-4174-AD52-3F7DF2399C3A}"/>
            </c:ext>
          </c:extLst>
        </c:ser>
        <c:ser>
          <c:idx val="39"/>
          <c:order val="39"/>
          <c:tx>
            <c:strRef>
              <c:f>Deaths_since_10!$H$41</c:f>
              <c:strCache>
                <c:ptCount val="1"/>
                <c:pt idx="0">
                  <c:v>Dominican Republic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Deaths_since_10!$I$41:$KU$41</c:f>
              <c:numCache>
                <c:formatCode>General</c:formatCode>
                <c:ptCount val="299"/>
                <c:pt idx="0">
                  <c:v>10</c:v>
                </c:pt>
                <c:pt idx="1">
                  <c:v>10</c:v>
                </c:pt>
                <c:pt idx="2">
                  <c:v>20</c:v>
                </c:pt>
                <c:pt idx="3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8A-4A6B-AEFC-45FA8BEDA010}"/>
            </c:ext>
          </c:extLst>
        </c:ser>
        <c:ser>
          <c:idx val="40"/>
          <c:order val="40"/>
          <c:tx>
            <c:strRef>
              <c:f>Deaths_since_10!$H$42</c:f>
              <c:strCache>
                <c:ptCount val="1"/>
                <c:pt idx="0">
                  <c:v>Malaysia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Deaths_since_10!$I$42:$KU$42</c:f>
              <c:numCache>
                <c:formatCode>General</c:formatCode>
                <c:ptCount val="299"/>
                <c:pt idx="0">
                  <c:v>10</c:v>
                </c:pt>
                <c:pt idx="1">
                  <c:v>14</c:v>
                </c:pt>
                <c:pt idx="2">
                  <c:v>16</c:v>
                </c:pt>
                <c:pt idx="3">
                  <c:v>20</c:v>
                </c:pt>
                <c:pt idx="4">
                  <c:v>23</c:v>
                </c:pt>
                <c:pt idx="5">
                  <c:v>26</c:v>
                </c:pt>
                <c:pt idx="6">
                  <c:v>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A8A-4A6B-AEFC-45FA8BEDA010}"/>
            </c:ext>
          </c:extLst>
        </c:ser>
        <c:ser>
          <c:idx val="41"/>
          <c:order val="41"/>
          <c:tx>
            <c:strRef>
              <c:f>Deaths_since_10!$H$43</c:f>
              <c:strCache>
                <c:ptCount val="1"/>
                <c:pt idx="0">
                  <c:v>Morocco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Deaths_since_10!$I$43:$KU$43</c:f>
              <c:numCache>
                <c:formatCode>General</c:formatCode>
                <c:ptCount val="299"/>
                <c:pt idx="0">
                  <c:v>11</c:v>
                </c:pt>
                <c:pt idx="1">
                  <c:v>23</c:v>
                </c:pt>
                <c:pt idx="2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A8A-4A6B-AEFC-45FA8BEDA010}"/>
            </c:ext>
          </c:extLst>
        </c:ser>
        <c:ser>
          <c:idx val="42"/>
          <c:order val="42"/>
          <c:tx>
            <c:strRef>
              <c:f>Deaths_since_10!$H$44</c:f>
              <c:strCache>
                <c:ptCount val="1"/>
                <c:pt idx="0">
                  <c:v>India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Deaths_since_10!$I$44:$KU$44</c:f>
              <c:numCache>
                <c:formatCode>General</c:formatCode>
                <c:ptCount val="299"/>
                <c:pt idx="0">
                  <c:v>10</c:v>
                </c:pt>
                <c:pt idx="1">
                  <c:v>10</c:v>
                </c:pt>
                <c:pt idx="2">
                  <c:v>12</c:v>
                </c:pt>
                <c:pt idx="3">
                  <c:v>20</c:v>
                </c:pt>
                <c:pt idx="4">
                  <c:v>20</c:v>
                </c:pt>
                <c:pt idx="5">
                  <c:v>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A8A-4A6B-AEFC-45FA8BEDA010}"/>
            </c:ext>
          </c:extLst>
        </c:ser>
        <c:ser>
          <c:idx val="43"/>
          <c:order val="43"/>
          <c:tx>
            <c:strRef>
              <c:f>Deaths_since_10!$H$45</c:f>
              <c:strCache>
                <c:ptCount val="1"/>
                <c:pt idx="0">
                  <c:v>Norway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Deaths_since_10!$I$45:$KU$45</c:f>
              <c:numCache>
                <c:formatCode>General</c:formatCode>
                <c:ptCount val="299"/>
                <c:pt idx="0">
                  <c:v>10</c:v>
                </c:pt>
                <c:pt idx="1">
                  <c:v>12</c:v>
                </c:pt>
                <c:pt idx="2">
                  <c:v>14</c:v>
                </c:pt>
                <c:pt idx="3">
                  <c:v>14</c:v>
                </c:pt>
                <c:pt idx="4">
                  <c:v>19</c:v>
                </c:pt>
                <c:pt idx="5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A8A-4A6B-AEFC-45FA8BEDA010}"/>
            </c:ext>
          </c:extLst>
        </c:ser>
        <c:ser>
          <c:idx val="44"/>
          <c:order val="44"/>
          <c:tx>
            <c:strRef>
              <c:f>Deaths_since_10!$H$46</c:f>
              <c:strCache>
                <c:ptCount val="1"/>
                <c:pt idx="0">
                  <c:v>San Marino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Deaths_since_10!$I$46:$KU$46</c:f>
              <c:numCache>
                <c:formatCode>General</c:formatCode>
                <c:ptCount val="299"/>
                <c:pt idx="0">
                  <c:v>11</c:v>
                </c:pt>
                <c:pt idx="1">
                  <c:v>11</c:v>
                </c:pt>
                <c:pt idx="2">
                  <c:v>14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21</c:v>
                </c:pt>
                <c:pt idx="7">
                  <c:v>21</c:v>
                </c:pt>
                <c:pt idx="8">
                  <c:v>21</c:v>
                </c:pt>
                <c:pt idx="9">
                  <c:v>21</c:v>
                </c:pt>
                <c:pt idx="10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A8A-4A6B-AEFC-45FA8BEDA010}"/>
            </c:ext>
          </c:extLst>
        </c:ser>
        <c:ser>
          <c:idx val="45"/>
          <c:order val="45"/>
          <c:tx>
            <c:strRef>
              <c:f>Deaths_since_10!$H$47</c:f>
              <c:strCache>
                <c:ptCount val="1"/>
                <c:pt idx="0">
                  <c:v>Poland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Deaths_since_10!$I$47:$KU$47</c:f>
              <c:numCache>
                <c:formatCode>General</c:formatCode>
                <c:ptCount val="299"/>
                <c:pt idx="0">
                  <c:v>8</c:v>
                </c:pt>
                <c:pt idx="1">
                  <c:v>10</c:v>
                </c:pt>
                <c:pt idx="2">
                  <c:v>14</c:v>
                </c:pt>
                <c:pt idx="3">
                  <c:v>16</c:v>
                </c:pt>
                <c:pt idx="4">
                  <c:v>16</c:v>
                </c:pt>
                <c:pt idx="5">
                  <c:v>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A8A-4A6B-AEFC-45FA8BEDA010}"/>
            </c:ext>
          </c:extLst>
        </c:ser>
        <c:ser>
          <c:idx val="46"/>
          <c:order val="46"/>
          <c:tx>
            <c:strRef>
              <c:f>Deaths_since_10!$H$48</c:f>
              <c:strCache>
                <c:ptCount val="1"/>
                <c:pt idx="0">
                  <c:v>Luxembourg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Deaths_since_10!$I$48:$KU$48</c:f>
              <c:numCache>
                <c:formatCode>General</c:formatCode>
                <c:ptCount val="299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9</c:v>
                </c:pt>
                <c:pt idx="6">
                  <c:v>15</c:v>
                </c:pt>
                <c:pt idx="7">
                  <c:v>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A8A-4A6B-AEFC-45FA8BEDA010}"/>
            </c:ext>
          </c:extLst>
        </c:ser>
        <c:ser>
          <c:idx val="47"/>
          <c:order val="47"/>
          <c:tx>
            <c:strRef>
              <c:f>Deaths_since_10!$H$49</c:f>
              <c:strCache>
                <c:ptCount val="1"/>
                <c:pt idx="0">
                  <c:v>Argentina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Deaths_since_10!$I$49:$KU$49</c:f>
              <c:numCache>
                <c:formatCode>General</c:formatCode>
                <c:ptCount val="299"/>
                <c:pt idx="0">
                  <c:v>8</c:v>
                </c:pt>
                <c:pt idx="1">
                  <c:v>9</c:v>
                </c:pt>
                <c:pt idx="2">
                  <c:v>13</c:v>
                </c:pt>
                <c:pt idx="3">
                  <c:v>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A8A-4A6B-AEFC-45FA8BEDA010}"/>
            </c:ext>
          </c:extLst>
        </c:ser>
        <c:ser>
          <c:idx val="48"/>
          <c:order val="48"/>
          <c:tx>
            <c:strRef>
              <c:f>Deaths_since_10!$H$50</c:f>
              <c:strCache>
                <c:ptCount val="1"/>
                <c:pt idx="0">
                  <c:v>Peru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Deaths_since_10!$I$50:$KU$50</c:f>
              <c:numCache>
                <c:formatCode>General</c:formatCode>
                <c:ptCount val="299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A8A-4A6B-AEFC-45FA8BEDA010}"/>
            </c:ext>
          </c:extLst>
        </c:ser>
        <c:ser>
          <c:idx val="49"/>
          <c:order val="49"/>
          <c:tx>
            <c:strRef>
              <c:f>Deaths_since_10!$H$51</c:f>
              <c:strCache>
                <c:ptCount val="1"/>
                <c:pt idx="0">
                  <c:v>Australia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Deaths_since_10!$I$51:$KU$51</c:f>
              <c:numCache>
                <c:formatCode>General</c:formatCode>
                <c:ptCount val="299"/>
                <c:pt idx="0">
                  <c:v>8</c:v>
                </c:pt>
                <c:pt idx="1">
                  <c:v>8</c:v>
                </c:pt>
                <c:pt idx="2">
                  <c:v>13</c:v>
                </c:pt>
                <c:pt idx="3">
                  <c:v>13</c:v>
                </c:pt>
                <c:pt idx="4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9A8A-4A6B-AEFC-45FA8BEDA010}"/>
            </c:ext>
          </c:extLst>
        </c:ser>
        <c:ser>
          <c:idx val="50"/>
          <c:order val="50"/>
          <c:tx>
            <c:strRef>
              <c:f>Deaths_since_10!$H$52</c:f>
              <c:strCache>
                <c:ptCount val="1"/>
                <c:pt idx="0">
                  <c:v>Panama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Deaths_since_10!$I$52:$KU$52</c:f>
              <c:numCache>
                <c:formatCode>General</c:formatCode>
                <c:ptCount val="299"/>
                <c:pt idx="0">
                  <c:v>8</c:v>
                </c:pt>
                <c:pt idx="1">
                  <c:v>8</c:v>
                </c:pt>
                <c:pt idx="2">
                  <c:v>9</c:v>
                </c:pt>
                <c:pt idx="3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A8A-4A6B-AEFC-45FA8BEDA010}"/>
            </c:ext>
          </c:extLst>
        </c:ser>
        <c:ser>
          <c:idx val="51"/>
          <c:order val="51"/>
          <c:tx>
            <c:strRef>
              <c:f>Deaths_since_10!$H$53</c:f>
              <c:strCache>
                <c:ptCount val="1"/>
                <c:pt idx="0">
                  <c:v>Israel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Deaths_since_10!$I$53:$KU$53</c:f>
              <c:numCache>
                <c:formatCode>General</c:formatCode>
                <c:ptCount val="299"/>
                <c:pt idx="0">
                  <c:v>8</c:v>
                </c:pt>
                <c:pt idx="1">
                  <c:v>12</c:v>
                </c:pt>
                <c:pt idx="2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9A8A-4A6B-AEFC-45FA8BEDA010}"/>
            </c:ext>
          </c:extLst>
        </c:ser>
        <c:ser>
          <c:idx val="52"/>
          <c:order val="52"/>
          <c:tx>
            <c:strRef>
              <c:f>Deaths_since_10!$H$54</c:f>
              <c:strCache>
                <c:ptCount val="1"/>
                <c:pt idx="0">
                  <c:v>Pakistan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Deaths_since_10!$I$54:$KU$54</c:f>
              <c:numCache>
                <c:formatCode>General</c:formatCode>
                <c:ptCount val="299"/>
                <c:pt idx="0">
                  <c:v>8</c:v>
                </c:pt>
                <c:pt idx="1">
                  <c:v>9</c:v>
                </c:pt>
                <c:pt idx="2">
                  <c:v>11</c:v>
                </c:pt>
                <c:pt idx="3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A8A-4A6B-AEFC-45FA8BEDA010}"/>
            </c:ext>
          </c:extLst>
        </c:ser>
        <c:ser>
          <c:idx val="53"/>
          <c:order val="53"/>
          <c:tx>
            <c:strRef>
              <c:f>Deaths_since_10!$H$55</c:f>
              <c:strCache>
                <c:ptCount val="1"/>
                <c:pt idx="0">
                  <c:v>Mexico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Deaths_since_10!$I$55:$KU$55</c:f>
              <c:numCache>
                <c:formatCode>General</c:formatCode>
                <c:ptCount val="299"/>
                <c:pt idx="0">
                  <c:v>8</c:v>
                </c:pt>
                <c:pt idx="1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9A8A-4A6B-AEFC-45FA8BEDA010}"/>
            </c:ext>
          </c:extLst>
        </c:ser>
        <c:ser>
          <c:idx val="54"/>
          <c:order val="54"/>
          <c:tx>
            <c:strRef>
              <c:f>Deaths_since_10!$H$56</c:f>
              <c:strCache>
                <c:ptCount val="1"/>
                <c:pt idx="0">
                  <c:v>Czechia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Deaths_since_10!$I$56:$KU$56</c:f>
              <c:numCache>
                <c:formatCode>General</c:formatCode>
                <c:ptCount val="299"/>
                <c:pt idx="0">
                  <c:v>9</c:v>
                </c:pt>
                <c:pt idx="1">
                  <c:v>9</c:v>
                </c:pt>
                <c:pt idx="2">
                  <c:v>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A8A-4A6B-AEFC-45FA8BEDA0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3950271"/>
        <c:axId val="955972655"/>
      </c:lineChart>
      <c:dateAx>
        <c:axId val="623950271"/>
        <c:scaling>
          <c:orientation val="minMax"/>
          <c:max val="30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100"/>
                  <a:t>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955972655"/>
        <c:crosses val="autoZero"/>
        <c:auto val="0"/>
        <c:lblOffset val="100"/>
        <c:baseTimeUnit val="days"/>
      </c:dateAx>
      <c:valAx>
        <c:axId val="955972655"/>
        <c:scaling>
          <c:orientation val="minMax"/>
          <c:max val="5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623950271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3197765338162144"/>
          <c:y val="0.10493380998229521"/>
          <c:w val="0.16802234661837859"/>
          <c:h val="0.809130007778782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800"/>
              <a:t>Number</a:t>
            </a:r>
            <a:r>
              <a:rPr lang="en-GB" sz="1800" baseline="0"/>
              <a:t> of cases by continent</a:t>
            </a:r>
            <a:endParaRPr lang="en-GB" sz="18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65407376407576"/>
          <c:y val="0.11593664709392842"/>
          <c:w val="0.73680298543050571"/>
          <c:h val="0.77835724342872403"/>
        </c:manualLayout>
      </c:layout>
      <c:lineChart>
        <c:grouping val="standard"/>
        <c:varyColors val="0"/>
        <c:ser>
          <c:idx val="7"/>
          <c:order val="0"/>
          <c:tx>
            <c:strRef>
              <c:f>CumulativeConfirmed!$B$127</c:f>
              <c:strCache>
                <c:ptCount val="1"/>
                <c:pt idx="0">
                  <c:v>World</c:v>
                </c:pt>
              </c:strCache>
            </c:strRef>
          </c:tx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CumulativeConfirmed!$C$127:$BQ$127</c:f>
              <c:numCache>
                <c:formatCode>General</c:formatCode>
                <c:ptCount val="67"/>
                <c:pt idx="0">
                  <c:v>555</c:v>
                </c:pt>
                <c:pt idx="1">
                  <c:v>654</c:v>
                </c:pt>
                <c:pt idx="2">
                  <c:v>941</c:v>
                </c:pt>
                <c:pt idx="3">
                  <c:v>1434</c:v>
                </c:pt>
                <c:pt idx="4">
                  <c:v>2118</c:v>
                </c:pt>
                <c:pt idx="5">
                  <c:v>2927</c:v>
                </c:pt>
                <c:pt idx="6">
                  <c:v>5578</c:v>
                </c:pt>
                <c:pt idx="7">
                  <c:v>6166</c:v>
                </c:pt>
                <c:pt idx="8">
                  <c:v>8234</c:v>
                </c:pt>
                <c:pt idx="9">
                  <c:v>9927</c:v>
                </c:pt>
                <c:pt idx="10">
                  <c:v>12038</c:v>
                </c:pt>
                <c:pt idx="11">
                  <c:v>16787</c:v>
                </c:pt>
                <c:pt idx="12">
                  <c:v>19881</c:v>
                </c:pt>
                <c:pt idx="13">
                  <c:v>23892</c:v>
                </c:pt>
                <c:pt idx="14">
                  <c:v>27635</c:v>
                </c:pt>
                <c:pt idx="15">
                  <c:v>30794</c:v>
                </c:pt>
                <c:pt idx="16">
                  <c:v>34330</c:v>
                </c:pt>
                <c:pt idx="17">
                  <c:v>37059</c:v>
                </c:pt>
                <c:pt idx="18">
                  <c:v>40086</c:v>
                </c:pt>
                <c:pt idx="19">
                  <c:v>42627</c:v>
                </c:pt>
                <c:pt idx="20">
                  <c:v>44667</c:v>
                </c:pt>
                <c:pt idx="21">
                  <c:v>50287</c:v>
                </c:pt>
                <c:pt idx="22">
                  <c:v>60193</c:v>
                </c:pt>
                <c:pt idx="23">
                  <c:v>66667</c:v>
                </c:pt>
                <c:pt idx="24">
                  <c:v>68745</c:v>
                </c:pt>
                <c:pt idx="25">
                  <c:v>70869</c:v>
                </c:pt>
                <c:pt idx="26">
                  <c:v>72804</c:v>
                </c:pt>
                <c:pt idx="27">
                  <c:v>74594</c:v>
                </c:pt>
                <c:pt idx="28">
                  <c:v>75018</c:v>
                </c:pt>
                <c:pt idx="29">
                  <c:v>75563</c:v>
                </c:pt>
                <c:pt idx="30">
                  <c:v>76185</c:v>
                </c:pt>
                <c:pt idx="31">
                  <c:v>77938</c:v>
                </c:pt>
                <c:pt idx="32">
                  <c:v>78267</c:v>
                </c:pt>
                <c:pt idx="33">
                  <c:v>78870</c:v>
                </c:pt>
                <c:pt idx="34">
                  <c:v>79715</c:v>
                </c:pt>
                <c:pt idx="35">
                  <c:v>80683</c:v>
                </c:pt>
                <c:pt idx="36">
                  <c:v>82041</c:v>
                </c:pt>
                <c:pt idx="37">
                  <c:v>83407</c:v>
                </c:pt>
                <c:pt idx="38">
                  <c:v>85306</c:v>
                </c:pt>
                <c:pt idx="39">
                  <c:v>87664</c:v>
                </c:pt>
                <c:pt idx="40">
                  <c:v>89601</c:v>
                </c:pt>
                <c:pt idx="41">
                  <c:v>92134</c:v>
                </c:pt>
                <c:pt idx="42">
                  <c:v>94414</c:v>
                </c:pt>
                <c:pt idx="43">
                  <c:v>97176</c:v>
                </c:pt>
                <c:pt idx="44">
                  <c:v>101088</c:v>
                </c:pt>
                <c:pt idx="45">
                  <c:v>105125</c:v>
                </c:pt>
                <c:pt idx="46">
                  <c:v>109099</c:v>
                </c:pt>
                <c:pt idx="47">
                  <c:v>112865</c:v>
                </c:pt>
                <c:pt idx="48">
                  <c:v>117888</c:v>
                </c:pt>
                <c:pt idx="49">
                  <c:v>125139</c:v>
                </c:pt>
                <c:pt idx="50">
                  <c:v>132517</c:v>
                </c:pt>
                <c:pt idx="51">
                  <c:v>144468</c:v>
                </c:pt>
                <c:pt idx="52">
                  <c:v>155337</c:v>
                </c:pt>
                <c:pt idx="53">
                  <c:v>167781</c:v>
                </c:pt>
                <c:pt idx="54">
                  <c:v>180762</c:v>
                </c:pt>
                <c:pt idx="55">
                  <c:v>196234</c:v>
                </c:pt>
                <c:pt idx="56">
                  <c:v>213897</c:v>
                </c:pt>
                <c:pt idx="57">
                  <c:v>241500</c:v>
                </c:pt>
                <c:pt idx="58">
                  <c:v>270949</c:v>
                </c:pt>
                <c:pt idx="59">
                  <c:v>303183</c:v>
                </c:pt>
                <c:pt idx="60">
                  <c:v>335631</c:v>
                </c:pt>
                <c:pt idx="61">
                  <c:v>376812</c:v>
                </c:pt>
                <c:pt idx="62">
                  <c:v>416496</c:v>
                </c:pt>
                <c:pt idx="63">
                  <c:v>465942</c:v>
                </c:pt>
                <c:pt idx="64">
                  <c:v>527572</c:v>
                </c:pt>
                <c:pt idx="65">
                  <c:v>591115</c:v>
                </c:pt>
                <c:pt idx="66">
                  <c:v>658374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9537-457A-B9F5-6C785DCF197D}"/>
            </c:ext>
          </c:extLst>
        </c:ser>
        <c:ser>
          <c:idx val="8"/>
          <c:order val="1"/>
          <c:tx>
            <c:strRef>
              <c:f>CumulativeConfirmed!$B$128</c:f>
              <c:strCache>
                <c:ptCount val="1"/>
                <c:pt idx="0">
                  <c:v>Asia</c:v>
                </c:pt>
              </c:strCache>
            </c:strRef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CumulativeConfirmed!$C$128:$BQ$128</c:f>
              <c:numCache>
                <c:formatCode>General</c:formatCode>
                <c:ptCount val="67"/>
                <c:pt idx="0">
                  <c:v>554</c:v>
                </c:pt>
                <c:pt idx="1">
                  <c:v>653</c:v>
                </c:pt>
                <c:pt idx="2">
                  <c:v>937</c:v>
                </c:pt>
                <c:pt idx="3">
                  <c:v>1429</c:v>
                </c:pt>
                <c:pt idx="4">
                  <c:v>2105</c:v>
                </c:pt>
                <c:pt idx="5">
                  <c:v>2911</c:v>
                </c:pt>
                <c:pt idx="6">
                  <c:v>5557</c:v>
                </c:pt>
                <c:pt idx="7">
                  <c:v>6138</c:v>
                </c:pt>
                <c:pt idx="8">
                  <c:v>8203</c:v>
                </c:pt>
                <c:pt idx="9">
                  <c:v>9886</c:v>
                </c:pt>
                <c:pt idx="10">
                  <c:v>11988</c:v>
                </c:pt>
                <c:pt idx="11">
                  <c:v>16734</c:v>
                </c:pt>
                <c:pt idx="12">
                  <c:v>19823</c:v>
                </c:pt>
                <c:pt idx="13">
                  <c:v>23832</c:v>
                </c:pt>
                <c:pt idx="14">
                  <c:v>27574</c:v>
                </c:pt>
                <c:pt idx="15">
                  <c:v>30732</c:v>
                </c:pt>
                <c:pt idx="16">
                  <c:v>34262</c:v>
                </c:pt>
                <c:pt idx="17">
                  <c:v>36984</c:v>
                </c:pt>
                <c:pt idx="18">
                  <c:v>40009</c:v>
                </c:pt>
                <c:pt idx="19">
                  <c:v>42544</c:v>
                </c:pt>
                <c:pt idx="20">
                  <c:v>44581</c:v>
                </c:pt>
                <c:pt idx="21">
                  <c:v>50200</c:v>
                </c:pt>
                <c:pt idx="22">
                  <c:v>60105</c:v>
                </c:pt>
                <c:pt idx="23">
                  <c:v>66578</c:v>
                </c:pt>
                <c:pt idx="24">
                  <c:v>68655</c:v>
                </c:pt>
                <c:pt idx="25">
                  <c:v>70778</c:v>
                </c:pt>
                <c:pt idx="26">
                  <c:v>72712</c:v>
                </c:pt>
                <c:pt idx="27">
                  <c:v>74502</c:v>
                </c:pt>
                <c:pt idx="28">
                  <c:v>74924</c:v>
                </c:pt>
                <c:pt idx="29">
                  <c:v>75466</c:v>
                </c:pt>
                <c:pt idx="30">
                  <c:v>76053</c:v>
                </c:pt>
                <c:pt idx="31">
                  <c:v>77750</c:v>
                </c:pt>
                <c:pt idx="32">
                  <c:v>77971</c:v>
                </c:pt>
                <c:pt idx="33">
                  <c:v>78435</c:v>
                </c:pt>
                <c:pt idx="34">
                  <c:v>79108</c:v>
                </c:pt>
                <c:pt idx="35">
                  <c:v>79831</c:v>
                </c:pt>
                <c:pt idx="36">
                  <c:v>80796</c:v>
                </c:pt>
                <c:pt idx="37">
                  <c:v>81712</c:v>
                </c:pt>
                <c:pt idx="38">
                  <c:v>82985</c:v>
                </c:pt>
                <c:pt idx="39">
                  <c:v>84174</c:v>
                </c:pt>
                <c:pt idx="40">
                  <c:v>85004</c:v>
                </c:pt>
                <c:pt idx="41">
                  <c:v>86010</c:v>
                </c:pt>
                <c:pt idx="42">
                  <c:v>86645</c:v>
                </c:pt>
                <c:pt idx="43">
                  <c:v>87311</c:v>
                </c:pt>
                <c:pt idx="44">
                  <c:v>88093</c:v>
                </c:pt>
                <c:pt idx="45">
                  <c:v>88691</c:v>
                </c:pt>
                <c:pt idx="46">
                  <c:v>89110</c:v>
                </c:pt>
                <c:pt idx="47">
                  <c:v>89366</c:v>
                </c:pt>
                <c:pt idx="48">
                  <c:v>89578</c:v>
                </c:pt>
                <c:pt idx="49">
                  <c:v>90009</c:v>
                </c:pt>
                <c:pt idx="50">
                  <c:v>90170</c:v>
                </c:pt>
                <c:pt idx="51">
                  <c:v>90559</c:v>
                </c:pt>
                <c:pt idx="52">
                  <c:v>90960</c:v>
                </c:pt>
                <c:pt idx="53">
                  <c:v>91494</c:v>
                </c:pt>
                <c:pt idx="54">
                  <c:v>91957</c:v>
                </c:pt>
                <c:pt idx="55">
                  <c:v>92557</c:v>
                </c:pt>
                <c:pt idx="56">
                  <c:v>93142</c:v>
                </c:pt>
                <c:pt idx="57">
                  <c:v>93991</c:v>
                </c:pt>
                <c:pt idx="58">
                  <c:v>94711</c:v>
                </c:pt>
                <c:pt idx="59">
                  <c:v>95824</c:v>
                </c:pt>
                <c:pt idx="60">
                  <c:v>96920</c:v>
                </c:pt>
                <c:pt idx="61">
                  <c:v>97888</c:v>
                </c:pt>
                <c:pt idx="62">
                  <c:v>98851</c:v>
                </c:pt>
                <c:pt idx="63">
                  <c:v>100098</c:v>
                </c:pt>
                <c:pt idx="64">
                  <c:v>101468</c:v>
                </c:pt>
                <c:pt idx="65">
                  <c:v>102919</c:v>
                </c:pt>
                <c:pt idx="66">
                  <c:v>104697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9537-457A-B9F5-6C785DCF197D}"/>
            </c:ext>
          </c:extLst>
        </c:ser>
        <c:ser>
          <c:idx val="9"/>
          <c:order val="2"/>
          <c:tx>
            <c:strRef>
              <c:f>CumulativeConfirmed!$B$129</c:f>
              <c:strCache>
                <c:ptCount val="1"/>
                <c:pt idx="0">
                  <c:v>Europe</c:v>
                </c:pt>
              </c:strCache>
            </c:strRef>
          </c:tx>
          <c:spPr>
            <a:ln w="38100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val>
            <c:numRef>
              <c:f>CumulativeConfirmed!$C$129:$BQ$129</c:f>
              <c:numCache>
                <c:formatCode>General</c:formatCode>
                <c:ptCount val="67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  <c:pt idx="5">
                  <c:v>4</c:v>
                </c:pt>
                <c:pt idx="6">
                  <c:v>8</c:v>
                </c:pt>
                <c:pt idx="7">
                  <c:v>10</c:v>
                </c:pt>
                <c:pt idx="8">
                  <c:v>10</c:v>
                </c:pt>
                <c:pt idx="9">
                  <c:v>16</c:v>
                </c:pt>
                <c:pt idx="10">
                  <c:v>21</c:v>
                </c:pt>
                <c:pt idx="11">
                  <c:v>23</c:v>
                </c:pt>
                <c:pt idx="12">
                  <c:v>25</c:v>
                </c:pt>
                <c:pt idx="13">
                  <c:v>26</c:v>
                </c:pt>
                <c:pt idx="14">
                  <c:v>26</c:v>
                </c:pt>
                <c:pt idx="15">
                  <c:v>26</c:v>
                </c:pt>
                <c:pt idx="16">
                  <c:v>29</c:v>
                </c:pt>
                <c:pt idx="17">
                  <c:v>34</c:v>
                </c:pt>
                <c:pt idx="18">
                  <c:v>36</c:v>
                </c:pt>
                <c:pt idx="19">
                  <c:v>41</c:v>
                </c:pt>
                <c:pt idx="20">
                  <c:v>43</c:v>
                </c:pt>
                <c:pt idx="21">
                  <c:v>44</c:v>
                </c:pt>
                <c:pt idx="22">
                  <c:v>44</c:v>
                </c:pt>
                <c:pt idx="23">
                  <c:v>44</c:v>
                </c:pt>
                <c:pt idx="24">
                  <c:v>45</c:v>
                </c:pt>
                <c:pt idx="25">
                  <c:v>45</c:v>
                </c:pt>
                <c:pt idx="26">
                  <c:v>45</c:v>
                </c:pt>
                <c:pt idx="27">
                  <c:v>45</c:v>
                </c:pt>
                <c:pt idx="28">
                  <c:v>45</c:v>
                </c:pt>
                <c:pt idx="29">
                  <c:v>45</c:v>
                </c:pt>
                <c:pt idx="30">
                  <c:v>62</c:v>
                </c:pt>
                <c:pt idx="31">
                  <c:v>104</c:v>
                </c:pt>
                <c:pt idx="32">
                  <c:v>197</c:v>
                </c:pt>
                <c:pt idx="33">
                  <c:v>275</c:v>
                </c:pt>
                <c:pt idx="34">
                  <c:v>379</c:v>
                </c:pt>
                <c:pt idx="35">
                  <c:v>540</c:v>
                </c:pt>
                <c:pt idx="36">
                  <c:v>804</c:v>
                </c:pt>
                <c:pt idx="37">
                  <c:v>1093</c:v>
                </c:pt>
                <c:pt idx="38">
                  <c:v>1465</c:v>
                </c:pt>
                <c:pt idx="39">
                  <c:v>2205</c:v>
                </c:pt>
                <c:pt idx="40">
                  <c:v>2731</c:v>
                </c:pt>
                <c:pt idx="41">
                  <c:v>3360</c:v>
                </c:pt>
                <c:pt idx="42">
                  <c:v>4342</c:v>
                </c:pt>
                <c:pt idx="43">
                  <c:v>5743</c:v>
                </c:pt>
                <c:pt idx="44">
                  <c:v>7509</c:v>
                </c:pt>
                <c:pt idx="45">
                  <c:v>9653</c:v>
                </c:pt>
                <c:pt idx="46">
                  <c:v>12202</c:v>
                </c:pt>
                <c:pt idx="47">
                  <c:v>14988</c:v>
                </c:pt>
                <c:pt idx="48">
                  <c:v>18391</c:v>
                </c:pt>
                <c:pt idx="49">
                  <c:v>23465</c:v>
                </c:pt>
                <c:pt idx="50">
                  <c:v>29097</c:v>
                </c:pt>
                <c:pt idx="51">
                  <c:v>38314</c:v>
                </c:pt>
                <c:pt idx="52">
                  <c:v>46524</c:v>
                </c:pt>
                <c:pt idx="53">
                  <c:v>56031</c:v>
                </c:pt>
                <c:pt idx="54">
                  <c:v>65711</c:v>
                </c:pt>
                <c:pt idx="55">
                  <c:v>76893</c:v>
                </c:pt>
                <c:pt idx="56">
                  <c:v>90579</c:v>
                </c:pt>
                <c:pt idx="57">
                  <c:v>109054</c:v>
                </c:pt>
                <c:pt idx="58">
                  <c:v>129704</c:v>
                </c:pt>
                <c:pt idx="59">
                  <c:v>151490</c:v>
                </c:pt>
                <c:pt idx="60">
                  <c:v>171175</c:v>
                </c:pt>
                <c:pt idx="61">
                  <c:v>196940</c:v>
                </c:pt>
                <c:pt idx="62">
                  <c:v>220914</c:v>
                </c:pt>
                <c:pt idx="63">
                  <c:v>251069</c:v>
                </c:pt>
                <c:pt idx="64">
                  <c:v>287075</c:v>
                </c:pt>
                <c:pt idx="65">
                  <c:v>324624</c:v>
                </c:pt>
                <c:pt idx="66">
                  <c:v>362825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9537-457A-B9F5-6C785DCF197D}"/>
            </c:ext>
          </c:extLst>
        </c:ser>
        <c:ser>
          <c:idx val="10"/>
          <c:order val="3"/>
          <c:tx>
            <c:strRef>
              <c:f>CumulativeConfirmed!$B$130</c:f>
              <c:strCache>
                <c:ptCount val="1"/>
                <c:pt idx="0">
                  <c:v>North America</c:v>
                </c:pt>
              </c:strCache>
            </c:strRef>
          </c:tx>
          <c:spPr>
            <a:ln w="3810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CumulativeConfirmed!$C$130:$BQ$130</c:f>
              <c:numCache>
                <c:formatCode>General</c:formatCode>
                <c:ptCount val="67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6</c:v>
                </c:pt>
                <c:pt idx="5">
                  <c:v>6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11</c:v>
                </c:pt>
                <c:pt idx="10">
                  <c:v>12</c:v>
                </c:pt>
                <c:pt idx="11">
                  <c:v>12</c:v>
                </c:pt>
                <c:pt idx="12">
                  <c:v>15</c:v>
                </c:pt>
                <c:pt idx="13">
                  <c:v>15</c:v>
                </c:pt>
                <c:pt idx="14">
                  <c:v>16</c:v>
                </c:pt>
                <c:pt idx="15">
                  <c:v>16</c:v>
                </c:pt>
                <c:pt idx="16">
                  <c:v>18</c:v>
                </c:pt>
                <c:pt idx="17">
                  <c:v>18</c:v>
                </c:pt>
                <c:pt idx="18">
                  <c:v>18</c:v>
                </c:pt>
                <c:pt idx="19">
                  <c:v>18</c:v>
                </c:pt>
                <c:pt idx="20">
                  <c:v>19</c:v>
                </c:pt>
                <c:pt idx="21">
                  <c:v>19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24</c:v>
                </c:pt>
                <c:pt idx="31">
                  <c:v>24</c:v>
                </c:pt>
                <c:pt idx="32">
                  <c:v>24</c:v>
                </c:pt>
                <c:pt idx="33">
                  <c:v>61</c:v>
                </c:pt>
                <c:pt idx="34">
                  <c:v>62</c:v>
                </c:pt>
                <c:pt idx="35">
                  <c:v>68</c:v>
                </c:pt>
                <c:pt idx="36">
                  <c:v>71</c:v>
                </c:pt>
                <c:pt idx="37">
                  <c:v>75</c:v>
                </c:pt>
                <c:pt idx="38">
                  <c:v>92</c:v>
                </c:pt>
                <c:pt idx="39">
                  <c:v>103</c:v>
                </c:pt>
                <c:pt idx="40">
                  <c:v>130</c:v>
                </c:pt>
                <c:pt idx="41">
                  <c:v>153</c:v>
                </c:pt>
                <c:pt idx="42">
                  <c:v>187</c:v>
                </c:pt>
                <c:pt idx="43">
                  <c:v>259</c:v>
                </c:pt>
                <c:pt idx="44">
                  <c:v>318</c:v>
                </c:pt>
                <c:pt idx="45">
                  <c:v>463</c:v>
                </c:pt>
                <c:pt idx="46">
                  <c:v>594</c:v>
                </c:pt>
                <c:pt idx="47">
                  <c:v>676</c:v>
                </c:pt>
                <c:pt idx="48">
                  <c:v>1055</c:v>
                </c:pt>
                <c:pt idx="49">
                  <c:v>1419</c:v>
                </c:pt>
                <c:pt idx="50">
                  <c:v>1830</c:v>
                </c:pt>
                <c:pt idx="51">
                  <c:v>2447</c:v>
                </c:pt>
                <c:pt idx="52">
                  <c:v>3026</c:v>
                </c:pt>
                <c:pt idx="53">
                  <c:v>3877</c:v>
                </c:pt>
                <c:pt idx="54">
                  <c:v>5205</c:v>
                </c:pt>
                <c:pt idx="55">
                  <c:v>7109</c:v>
                </c:pt>
                <c:pt idx="56">
                  <c:v>8690</c:v>
                </c:pt>
                <c:pt idx="57">
                  <c:v>14800</c:v>
                </c:pt>
                <c:pt idx="58">
                  <c:v>20466</c:v>
                </c:pt>
                <c:pt idx="59">
                  <c:v>27324</c:v>
                </c:pt>
                <c:pt idx="60">
                  <c:v>35498</c:v>
                </c:pt>
                <c:pt idx="61">
                  <c:v>46816</c:v>
                </c:pt>
                <c:pt idx="62">
                  <c:v>57491</c:v>
                </c:pt>
                <c:pt idx="63">
                  <c:v>70164</c:v>
                </c:pt>
                <c:pt idx="64">
                  <c:v>89242</c:v>
                </c:pt>
                <c:pt idx="65">
                  <c:v>107974</c:v>
                </c:pt>
                <c:pt idx="66">
                  <c:v>129008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9537-457A-B9F5-6C785DCF197D}"/>
            </c:ext>
          </c:extLst>
        </c:ser>
        <c:ser>
          <c:idx val="11"/>
          <c:order val="4"/>
          <c:tx>
            <c:strRef>
              <c:f>CumulativeConfirmed!$B$131</c:f>
              <c:strCache>
                <c:ptCount val="1"/>
                <c:pt idx="0">
                  <c:v>South America</c:v>
                </c:pt>
              </c:strCache>
            </c:strRef>
          </c:tx>
          <c:spPr>
            <a:ln w="3810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CumulativeConfirmed!$C$131:$BQ$131</c:f>
              <c:numCache>
                <c:formatCode>General</c:formatCode>
                <c:ptCount val="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3</c:v>
                </c:pt>
                <c:pt idx="39">
                  <c:v>10</c:v>
                </c:pt>
                <c:pt idx="40">
                  <c:v>10</c:v>
                </c:pt>
                <c:pt idx="41">
                  <c:v>13</c:v>
                </c:pt>
                <c:pt idx="42">
                  <c:v>18</c:v>
                </c:pt>
                <c:pt idx="43">
                  <c:v>24</c:v>
                </c:pt>
                <c:pt idx="44">
                  <c:v>37</c:v>
                </c:pt>
                <c:pt idx="45">
                  <c:v>43</c:v>
                </c:pt>
                <c:pt idx="46">
                  <c:v>69</c:v>
                </c:pt>
                <c:pt idx="47">
                  <c:v>76</c:v>
                </c:pt>
                <c:pt idx="48">
                  <c:v>98</c:v>
                </c:pt>
                <c:pt idx="49">
                  <c:v>134</c:v>
                </c:pt>
                <c:pt idx="50">
                  <c:v>153</c:v>
                </c:pt>
                <c:pt idx="51">
                  <c:v>305</c:v>
                </c:pt>
                <c:pt idx="52">
                  <c:v>371</c:v>
                </c:pt>
                <c:pt idx="53">
                  <c:v>427</c:v>
                </c:pt>
                <c:pt idx="54">
                  <c:v>635</c:v>
                </c:pt>
                <c:pt idx="55">
                  <c:v>919</c:v>
                </c:pt>
                <c:pt idx="56">
                  <c:v>1133</c:v>
                </c:pt>
                <c:pt idx="57">
                  <c:v>1604</c:v>
                </c:pt>
                <c:pt idx="58">
                  <c:v>2266</c:v>
                </c:pt>
                <c:pt idx="59">
                  <c:v>2969</c:v>
                </c:pt>
                <c:pt idx="60">
                  <c:v>4204</c:v>
                </c:pt>
                <c:pt idx="61">
                  <c:v>5055</c:v>
                </c:pt>
                <c:pt idx="62">
                  <c:v>5926</c:v>
                </c:pt>
                <c:pt idx="63">
                  <c:v>6804</c:v>
                </c:pt>
                <c:pt idx="64">
                  <c:v>7992</c:v>
                </c:pt>
                <c:pt idx="65">
                  <c:v>9251</c:v>
                </c:pt>
                <c:pt idx="66">
                  <c:v>10656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9537-457A-B9F5-6C785DCF197D}"/>
            </c:ext>
          </c:extLst>
        </c:ser>
        <c:ser>
          <c:idx val="12"/>
          <c:order val="5"/>
          <c:tx>
            <c:strRef>
              <c:f>CumulativeConfirmed!$B$132</c:f>
              <c:strCache>
                <c:ptCount val="1"/>
                <c:pt idx="0">
                  <c:v>Africa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CumulativeConfirmed!$C$132:$BQ$132</c:f>
              <c:numCache>
                <c:formatCode>General</c:formatCode>
                <c:ptCount val="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3</c:v>
                </c:pt>
                <c:pt idx="38">
                  <c:v>3</c:v>
                </c:pt>
                <c:pt idx="39">
                  <c:v>4</c:v>
                </c:pt>
                <c:pt idx="40">
                  <c:v>8</c:v>
                </c:pt>
                <c:pt idx="41">
                  <c:v>11</c:v>
                </c:pt>
                <c:pt idx="42">
                  <c:v>21</c:v>
                </c:pt>
                <c:pt idx="43">
                  <c:v>24</c:v>
                </c:pt>
                <c:pt idx="44">
                  <c:v>43</c:v>
                </c:pt>
                <c:pt idx="45">
                  <c:v>43</c:v>
                </c:pt>
                <c:pt idx="46">
                  <c:v>83</c:v>
                </c:pt>
                <c:pt idx="47">
                  <c:v>91</c:v>
                </c:pt>
                <c:pt idx="48">
                  <c:v>104</c:v>
                </c:pt>
                <c:pt idx="49">
                  <c:v>118</c:v>
                </c:pt>
                <c:pt idx="50">
                  <c:v>134</c:v>
                </c:pt>
                <c:pt idx="51">
                  <c:v>177</c:v>
                </c:pt>
                <c:pt idx="52">
                  <c:v>243</c:v>
                </c:pt>
                <c:pt idx="53">
                  <c:v>296</c:v>
                </c:pt>
                <c:pt idx="54">
                  <c:v>374</c:v>
                </c:pt>
                <c:pt idx="55">
                  <c:v>453</c:v>
                </c:pt>
                <c:pt idx="56">
                  <c:v>556</c:v>
                </c:pt>
                <c:pt idx="57">
                  <c:v>720</c:v>
                </c:pt>
                <c:pt idx="58">
                  <c:v>873</c:v>
                </c:pt>
                <c:pt idx="59">
                  <c:v>1062</c:v>
                </c:pt>
                <c:pt idx="60">
                  <c:v>1294</c:v>
                </c:pt>
                <c:pt idx="61">
                  <c:v>1616</c:v>
                </c:pt>
                <c:pt idx="62">
                  <c:v>1996</c:v>
                </c:pt>
                <c:pt idx="63">
                  <c:v>2434</c:v>
                </c:pt>
                <c:pt idx="64">
                  <c:v>2878</c:v>
                </c:pt>
                <c:pt idx="65">
                  <c:v>3382</c:v>
                </c:pt>
                <c:pt idx="66">
                  <c:v>3672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9537-457A-B9F5-6C785DCF197D}"/>
            </c:ext>
          </c:extLst>
        </c:ser>
        <c:ser>
          <c:idx val="13"/>
          <c:order val="6"/>
          <c:tx>
            <c:strRef>
              <c:f>CumulativeConfirmed!$B$133</c:f>
              <c:strCache>
                <c:ptCount val="1"/>
                <c:pt idx="0">
                  <c:v>Middle East</c:v>
                </c:pt>
              </c:strCache>
            </c:strRef>
          </c:tx>
          <c:spPr>
            <a:ln w="3810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CumulativeConfirmed!$C$133:$BQ$133</c:f>
              <c:numCache>
                <c:formatCode>General</c:formatCode>
                <c:ptCount val="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7</c:v>
                </c:pt>
                <c:pt idx="18">
                  <c:v>7</c:v>
                </c:pt>
                <c:pt idx="19">
                  <c:v>8</c:v>
                </c:pt>
                <c:pt idx="20">
                  <c:v>8</c:v>
                </c:pt>
                <c:pt idx="21">
                  <c:v>8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11</c:v>
                </c:pt>
                <c:pt idx="29">
                  <c:v>14</c:v>
                </c:pt>
                <c:pt idx="30">
                  <c:v>29</c:v>
                </c:pt>
                <c:pt idx="31">
                  <c:v>43</c:v>
                </c:pt>
                <c:pt idx="32">
                  <c:v>58</c:v>
                </c:pt>
                <c:pt idx="33">
                  <c:v>82</c:v>
                </c:pt>
                <c:pt idx="34">
                  <c:v>148</c:v>
                </c:pt>
                <c:pt idx="35">
                  <c:v>225</c:v>
                </c:pt>
                <c:pt idx="36">
                  <c:v>351</c:v>
                </c:pt>
                <c:pt idx="37">
                  <c:v>506</c:v>
                </c:pt>
                <c:pt idx="38">
                  <c:v>732</c:v>
                </c:pt>
                <c:pt idx="39">
                  <c:v>1140</c:v>
                </c:pt>
                <c:pt idx="40">
                  <c:v>1687</c:v>
                </c:pt>
                <c:pt idx="41">
                  <c:v>2547</c:v>
                </c:pt>
                <c:pt idx="42">
                  <c:v>3146</c:v>
                </c:pt>
                <c:pt idx="43">
                  <c:v>3757</c:v>
                </c:pt>
                <c:pt idx="44">
                  <c:v>5024</c:v>
                </c:pt>
                <c:pt idx="45">
                  <c:v>6164</c:v>
                </c:pt>
                <c:pt idx="46">
                  <c:v>6960</c:v>
                </c:pt>
                <c:pt idx="47">
                  <c:v>7572</c:v>
                </c:pt>
                <c:pt idx="48">
                  <c:v>8550</c:v>
                </c:pt>
                <c:pt idx="49">
                  <c:v>9861</c:v>
                </c:pt>
                <c:pt idx="50">
                  <c:v>11000</c:v>
                </c:pt>
                <c:pt idx="51">
                  <c:v>12461</c:v>
                </c:pt>
                <c:pt idx="52">
                  <c:v>13957</c:v>
                </c:pt>
                <c:pt idx="53">
                  <c:v>15351</c:v>
                </c:pt>
                <c:pt idx="54">
                  <c:v>16495</c:v>
                </c:pt>
                <c:pt idx="55">
                  <c:v>17839</c:v>
                </c:pt>
                <c:pt idx="56">
                  <c:v>19209</c:v>
                </c:pt>
                <c:pt idx="57">
                  <c:v>20622</c:v>
                </c:pt>
                <c:pt idx="58">
                  <c:v>22099</c:v>
                </c:pt>
                <c:pt idx="59">
                  <c:v>23391</c:v>
                </c:pt>
                <c:pt idx="60">
                  <c:v>24889</c:v>
                </c:pt>
                <c:pt idx="61">
                  <c:v>26713</c:v>
                </c:pt>
                <c:pt idx="62">
                  <c:v>29119</c:v>
                </c:pt>
                <c:pt idx="63">
                  <c:v>32804</c:v>
                </c:pt>
                <c:pt idx="64">
                  <c:v>35824</c:v>
                </c:pt>
                <c:pt idx="65">
                  <c:v>39454</c:v>
                </c:pt>
                <c:pt idx="66">
                  <c:v>43425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537-457A-B9F5-6C785DCF19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248288"/>
        <c:axId val="173379392"/>
      </c:lineChart>
      <c:dateAx>
        <c:axId val="56248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173379392"/>
        <c:crosses val="autoZero"/>
        <c:auto val="0"/>
        <c:lblOffset val="100"/>
        <c:baseTimeUnit val="days"/>
        <c:majorUnit val="7"/>
      </c:dateAx>
      <c:valAx>
        <c:axId val="173379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6248288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6167685684258022"/>
          <c:y val="0.25052392990357153"/>
          <c:w val="0.13667918362782"/>
          <c:h val="0.5389023504626866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800"/>
              <a:t>Distribution of cases globally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8769536579518703E-2"/>
          <c:y val="0.12192020313729374"/>
          <c:w val="0.78375941652129921"/>
          <c:h val="0.76307962262974394"/>
        </c:manualLayout>
      </c:layout>
      <c:areaChart>
        <c:grouping val="percentStacked"/>
        <c:varyColors val="0"/>
        <c:ser>
          <c:idx val="3"/>
          <c:order val="0"/>
          <c:tx>
            <c:strRef>
              <c:f>CumulativeConfirmed!$B$128</c:f>
              <c:strCache>
                <c:ptCount val="1"/>
                <c:pt idx="0">
                  <c:v>Asia</c:v>
                </c:pt>
              </c:strCache>
            </c:strRef>
          </c:tx>
          <c:spPr>
            <a:solidFill>
              <a:srgbClr val="FF0000">
                <a:alpha val="36000"/>
              </a:srgbClr>
            </a:solidFill>
            <a:ln>
              <a:solidFill>
                <a:schemeClr val="accent2">
                  <a:lumMod val="40000"/>
                  <a:lumOff val="60000"/>
                </a:schemeClr>
              </a:solidFill>
            </a:ln>
            <a:effectLst/>
          </c:spPr>
          <c:val>
            <c:numRef>
              <c:f>CumulativeConfirmed!$C$128:$BQ$128</c:f>
              <c:numCache>
                <c:formatCode>General</c:formatCode>
                <c:ptCount val="67"/>
                <c:pt idx="0">
                  <c:v>554</c:v>
                </c:pt>
                <c:pt idx="1">
                  <c:v>653</c:v>
                </c:pt>
                <c:pt idx="2">
                  <c:v>937</c:v>
                </c:pt>
                <c:pt idx="3">
                  <c:v>1429</c:v>
                </c:pt>
                <c:pt idx="4">
                  <c:v>2105</c:v>
                </c:pt>
                <c:pt idx="5">
                  <c:v>2911</c:v>
                </c:pt>
                <c:pt idx="6">
                  <c:v>5557</c:v>
                </c:pt>
                <c:pt idx="7">
                  <c:v>6138</c:v>
                </c:pt>
                <c:pt idx="8">
                  <c:v>8203</c:v>
                </c:pt>
                <c:pt idx="9">
                  <c:v>9886</c:v>
                </c:pt>
                <c:pt idx="10">
                  <c:v>11988</c:v>
                </c:pt>
                <c:pt idx="11">
                  <c:v>16734</c:v>
                </c:pt>
                <c:pt idx="12">
                  <c:v>19823</c:v>
                </c:pt>
                <c:pt idx="13">
                  <c:v>23832</c:v>
                </c:pt>
                <c:pt idx="14">
                  <c:v>27574</c:v>
                </c:pt>
                <c:pt idx="15">
                  <c:v>30732</c:v>
                </c:pt>
                <c:pt idx="16">
                  <c:v>34262</c:v>
                </c:pt>
                <c:pt idx="17">
                  <c:v>36984</c:v>
                </c:pt>
                <c:pt idx="18">
                  <c:v>40009</c:v>
                </c:pt>
                <c:pt idx="19">
                  <c:v>42544</c:v>
                </c:pt>
                <c:pt idx="20">
                  <c:v>44581</c:v>
                </c:pt>
                <c:pt idx="21">
                  <c:v>50200</c:v>
                </c:pt>
                <c:pt idx="22">
                  <c:v>60105</c:v>
                </c:pt>
                <c:pt idx="23">
                  <c:v>66578</c:v>
                </c:pt>
                <c:pt idx="24">
                  <c:v>68655</c:v>
                </c:pt>
                <c:pt idx="25">
                  <c:v>70778</c:v>
                </c:pt>
                <c:pt idx="26">
                  <c:v>72712</c:v>
                </c:pt>
                <c:pt idx="27">
                  <c:v>74502</c:v>
                </c:pt>
                <c:pt idx="28">
                  <c:v>74924</c:v>
                </c:pt>
                <c:pt idx="29">
                  <c:v>75466</c:v>
                </c:pt>
                <c:pt idx="30">
                  <c:v>76053</c:v>
                </c:pt>
                <c:pt idx="31">
                  <c:v>77750</c:v>
                </c:pt>
                <c:pt idx="32">
                  <c:v>77971</c:v>
                </c:pt>
                <c:pt idx="33">
                  <c:v>78435</c:v>
                </c:pt>
                <c:pt idx="34">
                  <c:v>79108</c:v>
                </c:pt>
                <c:pt idx="35">
                  <c:v>79831</c:v>
                </c:pt>
                <c:pt idx="36">
                  <c:v>80796</c:v>
                </c:pt>
                <c:pt idx="37">
                  <c:v>81712</c:v>
                </c:pt>
                <c:pt idx="38">
                  <c:v>82985</c:v>
                </c:pt>
                <c:pt idx="39">
                  <c:v>84174</c:v>
                </c:pt>
                <c:pt idx="40">
                  <c:v>85004</c:v>
                </c:pt>
                <c:pt idx="41">
                  <c:v>86010</c:v>
                </c:pt>
                <c:pt idx="42">
                  <c:v>86645</c:v>
                </c:pt>
                <c:pt idx="43">
                  <c:v>87311</c:v>
                </c:pt>
                <c:pt idx="44">
                  <c:v>88093</c:v>
                </c:pt>
                <c:pt idx="45">
                  <c:v>88691</c:v>
                </c:pt>
                <c:pt idx="46">
                  <c:v>89110</c:v>
                </c:pt>
                <c:pt idx="47">
                  <c:v>89366</c:v>
                </c:pt>
                <c:pt idx="48">
                  <c:v>89578</c:v>
                </c:pt>
                <c:pt idx="49">
                  <c:v>90009</c:v>
                </c:pt>
                <c:pt idx="50">
                  <c:v>90170</c:v>
                </c:pt>
                <c:pt idx="51">
                  <c:v>90559</c:v>
                </c:pt>
                <c:pt idx="52">
                  <c:v>90960</c:v>
                </c:pt>
                <c:pt idx="53">
                  <c:v>91494</c:v>
                </c:pt>
                <c:pt idx="54">
                  <c:v>91957</c:v>
                </c:pt>
                <c:pt idx="55">
                  <c:v>92557</c:v>
                </c:pt>
                <c:pt idx="56">
                  <c:v>93142</c:v>
                </c:pt>
                <c:pt idx="57">
                  <c:v>93991</c:v>
                </c:pt>
                <c:pt idx="58">
                  <c:v>94711</c:v>
                </c:pt>
                <c:pt idx="59">
                  <c:v>95824</c:v>
                </c:pt>
                <c:pt idx="60">
                  <c:v>96920</c:v>
                </c:pt>
                <c:pt idx="61">
                  <c:v>97888</c:v>
                </c:pt>
                <c:pt idx="62">
                  <c:v>98851</c:v>
                </c:pt>
                <c:pt idx="63">
                  <c:v>100098</c:v>
                </c:pt>
                <c:pt idx="64">
                  <c:v>101468</c:v>
                </c:pt>
                <c:pt idx="65">
                  <c:v>102919</c:v>
                </c:pt>
                <c:pt idx="66">
                  <c:v>104697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96D-47B5-ADE8-BE9B8864125A}"/>
            </c:ext>
          </c:extLst>
        </c:ser>
        <c:ser>
          <c:idx val="4"/>
          <c:order val="1"/>
          <c:tx>
            <c:strRef>
              <c:f>CumulativeConfirmed!$B$129</c:f>
              <c:strCache>
                <c:ptCount val="1"/>
                <c:pt idx="0">
                  <c:v>Europe</c:v>
                </c:pt>
              </c:strCache>
            </c:strRef>
          </c:tx>
          <c:spPr>
            <a:solidFill>
              <a:srgbClr val="002060">
                <a:alpha val="62000"/>
              </a:srgbClr>
            </a:solidFill>
            <a:ln>
              <a:noFill/>
            </a:ln>
            <a:effectLst/>
          </c:spPr>
          <c:val>
            <c:numRef>
              <c:f>CumulativeConfirmed!$C$129:$BQ$129</c:f>
              <c:numCache>
                <c:formatCode>General</c:formatCode>
                <c:ptCount val="67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  <c:pt idx="5">
                  <c:v>4</c:v>
                </c:pt>
                <c:pt idx="6">
                  <c:v>8</c:v>
                </c:pt>
                <c:pt idx="7">
                  <c:v>10</c:v>
                </c:pt>
                <c:pt idx="8">
                  <c:v>10</c:v>
                </c:pt>
                <c:pt idx="9">
                  <c:v>16</c:v>
                </c:pt>
                <c:pt idx="10">
                  <c:v>21</c:v>
                </c:pt>
                <c:pt idx="11">
                  <c:v>23</c:v>
                </c:pt>
                <c:pt idx="12">
                  <c:v>25</c:v>
                </c:pt>
                <c:pt idx="13">
                  <c:v>26</c:v>
                </c:pt>
                <c:pt idx="14">
                  <c:v>26</c:v>
                </c:pt>
                <c:pt idx="15">
                  <c:v>26</c:v>
                </c:pt>
                <c:pt idx="16">
                  <c:v>29</c:v>
                </c:pt>
                <c:pt idx="17">
                  <c:v>34</c:v>
                </c:pt>
                <c:pt idx="18">
                  <c:v>36</c:v>
                </c:pt>
                <c:pt idx="19">
                  <c:v>41</c:v>
                </c:pt>
                <c:pt idx="20">
                  <c:v>43</c:v>
                </c:pt>
                <c:pt idx="21">
                  <c:v>44</c:v>
                </c:pt>
                <c:pt idx="22">
                  <c:v>44</c:v>
                </c:pt>
                <c:pt idx="23">
                  <c:v>44</c:v>
                </c:pt>
                <c:pt idx="24">
                  <c:v>45</c:v>
                </c:pt>
                <c:pt idx="25">
                  <c:v>45</c:v>
                </c:pt>
                <c:pt idx="26">
                  <c:v>45</c:v>
                </c:pt>
                <c:pt idx="27">
                  <c:v>45</c:v>
                </c:pt>
                <c:pt idx="28">
                  <c:v>45</c:v>
                </c:pt>
                <c:pt idx="29">
                  <c:v>45</c:v>
                </c:pt>
                <c:pt idx="30">
                  <c:v>62</c:v>
                </c:pt>
                <c:pt idx="31">
                  <c:v>104</c:v>
                </c:pt>
                <c:pt idx="32">
                  <c:v>197</c:v>
                </c:pt>
                <c:pt idx="33">
                  <c:v>275</c:v>
                </c:pt>
                <c:pt idx="34">
                  <c:v>379</c:v>
                </c:pt>
                <c:pt idx="35">
                  <c:v>540</c:v>
                </c:pt>
                <c:pt idx="36">
                  <c:v>804</c:v>
                </c:pt>
                <c:pt idx="37">
                  <c:v>1093</c:v>
                </c:pt>
                <c:pt idx="38">
                  <c:v>1465</c:v>
                </c:pt>
                <c:pt idx="39">
                  <c:v>2205</c:v>
                </c:pt>
                <c:pt idx="40">
                  <c:v>2731</c:v>
                </c:pt>
                <c:pt idx="41">
                  <c:v>3360</c:v>
                </c:pt>
                <c:pt idx="42">
                  <c:v>4342</c:v>
                </c:pt>
                <c:pt idx="43">
                  <c:v>5743</c:v>
                </c:pt>
                <c:pt idx="44">
                  <c:v>7509</c:v>
                </c:pt>
                <c:pt idx="45">
                  <c:v>9653</c:v>
                </c:pt>
                <c:pt idx="46">
                  <c:v>12202</c:v>
                </c:pt>
                <c:pt idx="47">
                  <c:v>14988</c:v>
                </c:pt>
                <c:pt idx="48">
                  <c:v>18391</c:v>
                </c:pt>
                <c:pt idx="49">
                  <c:v>23465</c:v>
                </c:pt>
                <c:pt idx="50">
                  <c:v>29097</c:v>
                </c:pt>
                <c:pt idx="51">
                  <c:v>38314</c:v>
                </c:pt>
                <c:pt idx="52">
                  <c:v>46524</c:v>
                </c:pt>
                <c:pt idx="53">
                  <c:v>56031</c:v>
                </c:pt>
                <c:pt idx="54">
                  <c:v>65711</c:v>
                </c:pt>
                <c:pt idx="55">
                  <c:v>76893</c:v>
                </c:pt>
                <c:pt idx="56">
                  <c:v>90579</c:v>
                </c:pt>
                <c:pt idx="57">
                  <c:v>109054</c:v>
                </c:pt>
                <c:pt idx="58">
                  <c:v>129704</c:v>
                </c:pt>
                <c:pt idx="59">
                  <c:v>151490</c:v>
                </c:pt>
                <c:pt idx="60">
                  <c:v>171175</c:v>
                </c:pt>
                <c:pt idx="61">
                  <c:v>196940</c:v>
                </c:pt>
                <c:pt idx="62">
                  <c:v>220914</c:v>
                </c:pt>
                <c:pt idx="63">
                  <c:v>251069</c:v>
                </c:pt>
                <c:pt idx="64">
                  <c:v>287075</c:v>
                </c:pt>
                <c:pt idx="65">
                  <c:v>324624</c:v>
                </c:pt>
                <c:pt idx="66">
                  <c:v>362825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96D-47B5-ADE8-BE9B8864125A}"/>
            </c:ext>
          </c:extLst>
        </c:ser>
        <c:ser>
          <c:idx val="5"/>
          <c:order val="2"/>
          <c:tx>
            <c:strRef>
              <c:f>CumulativeConfirmed!$B$130</c:f>
              <c:strCache>
                <c:ptCount val="1"/>
                <c:pt idx="0">
                  <c:v>North America</c:v>
                </c:pt>
              </c:strCache>
            </c:strRef>
          </c:tx>
          <c:spPr>
            <a:solidFill>
              <a:srgbClr val="FFC000">
                <a:alpha val="49000"/>
              </a:srgbClr>
            </a:solidFill>
            <a:ln>
              <a:noFill/>
            </a:ln>
            <a:effectLst/>
          </c:spPr>
          <c:val>
            <c:numRef>
              <c:f>CumulativeConfirmed!$C$130:$BQ$130</c:f>
              <c:numCache>
                <c:formatCode>General</c:formatCode>
                <c:ptCount val="67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6</c:v>
                </c:pt>
                <c:pt idx="5">
                  <c:v>6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11</c:v>
                </c:pt>
                <c:pt idx="10">
                  <c:v>12</c:v>
                </c:pt>
                <c:pt idx="11">
                  <c:v>12</c:v>
                </c:pt>
                <c:pt idx="12">
                  <c:v>15</c:v>
                </c:pt>
                <c:pt idx="13">
                  <c:v>15</c:v>
                </c:pt>
                <c:pt idx="14">
                  <c:v>16</c:v>
                </c:pt>
                <c:pt idx="15">
                  <c:v>16</c:v>
                </c:pt>
                <c:pt idx="16">
                  <c:v>18</c:v>
                </c:pt>
                <c:pt idx="17">
                  <c:v>18</c:v>
                </c:pt>
                <c:pt idx="18">
                  <c:v>18</c:v>
                </c:pt>
                <c:pt idx="19">
                  <c:v>18</c:v>
                </c:pt>
                <c:pt idx="20">
                  <c:v>19</c:v>
                </c:pt>
                <c:pt idx="21">
                  <c:v>19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24</c:v>
                </c:pt>
                <c:pt idx="31">
                  <c:v>24</c:v>
                </c:pt>
                <c:pt idx="32">
                  <c:v>24</c:v>
                </c:pt>
                <c:pt idx="33">
                  <c:v>61</c:v>
                </c:pt>
                <c:pt idx="34">
                  <c:v>62</c:v>
                </c:pt>
                <c:pt idx="35">
                  <c:v>68</c:v>
                </c:pt>
                <c:pt idx="36">
                  <c:v>71</c:v>
                </c:pt>
                <c:pt idx="37">
                  <c:v>75</c:v>
                </c:pt>
                <c:pt idx="38">
                  <c:v>92</c:v>
                </c:pt>
                <c:pt idx="39">
                  <c:v>103</c:v>
                </c:pt>
                <c:pt idx="40">
                  <c:v>130</c:v>
                </c:pt>
                <c:pt idx="41">
                  <c:v>153</c:v>
                </c:pt>
                <c:pt idx="42">
                  <c:v>187</c:v>
                </c:pt>
                <c:pt idx="43">
                  <c:v>259</c:v>
                </c:pt>
                <c:pt idx="44">
                  <c:v>318</c:v>
                </c:pt>
                <c:pt idx="45">
                  <c:v>463</c:v>
                </c:pt>
                <c:pt idx="46">
                  <c:v>594</c:v>
                </c:pt>
                <c:pt idx="47">
                  <c:v>676</c:v>
                </c:pt>
                <c:pt idx="48">
                  <c:v>1055</c:v>
                </c:pt>
                <c:pt idx="49">
                  <c:v>1419</c:v>
                </c:pt>
                <c:pt idx="50">
                  <c:v>1830</c:v>
                </c:pt>
                <c:pt idx="51">
                  <c:v>2447</c:v>
                </c:pt>
                <c:pt idx="52">
                  <c:v>3026</c:v>
                </c:pt>
                <c:pt idx="53">
                  <c:v>3877</c:v>
                </c:pt>
                <c:pt idx="54">
                  <c:v>5205</c:v>
                </c:pt>
                <c:pt idx="55">
                  <c:v>7109</c:v>
                </c:pt>
                <c:pt idx="56">
                  <c:v>8690</c:v>
                </c:pt>
                <c:pt idx="57">
                  <c:v>14800</c:v>
                </c:pt>
                <c:pt idx="58">
                  <c:v>20466</c:v>
                </c:pt>
                <c:pt idx="59">
                  <c:v>27324</c:v>
                </c:pt>
                <c:pt idx="60">
                  <c:v>35498</c:v>
                </c:pt>
                <c:pt idx="61">
                  <c:v>46816</c:v>
                </c:pt>
                <c:pt idx="62">
                  <c:v>57491</c:v>
                </c:pt>
                <c:pt idx="63">
                  <c:v>70164</c:v>
                </c:pt>
                <c:pt idx="64">
                  <c:v>89242</c:v>
                </c:pt>
                <c:pt idx="65">
                  <c:v>107974</c:v>
                </c:pt>
                <c:pt idx="66">
                  <c:v>129008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96D-47B5-ADE8-BE9B8864125A}"/>
            </c:ext>
          </c:extLst>
        </c:ser>
        <c:ser>
          <c:idx val="6"/>
          <c:order val="3"/>
          <c:tx>
            <c:strRef>
              <c:f>CumulativeConfirmed!$B$131</c:f>
              <c:strCache>
                <c:ptCount val="1"/>
                <c:pt idx="0">
                  <c:v>South America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val>
            <c:numRef>
              <c:f>CumulativeConfirmed!$C$131:$BQ$131</c:f>
              <c:numCache>
                <c:formatCode>General</c:formatCode>
                <c:ptCount val="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3</c:v>
                </c:pt>
                <c:pt idx="39">
                  <c:v>10</c:v>
                </c:pt>
                <c:pt idx="40">
                  <c:v>10</c:v>
                </c:pt>
                <c:pt idx="41">
                  <c:v>13</c:v>
                </c:pt>
                <c:pt idx="42">
                  <c:v>18</c:v>
                </c:pt>
                <c:pt idx="43">
                  <c:v>24</c:v>
                </c:pt>
                <c:pt idx="44">
                  <c:v>37</c:v>
                </c:pt>
                <c:pt idx="45">
                  <c:v>43</c:v>
                </c:pt>
                <c:pt idx="46">
                  <c:v>69</c:v>
                </c:pt>
                <c:pt idx="47">
                  <c:v>76</c:v>
                </c:pt>
                <c:pt idx="48">
                  <c:v>98</c:v>
                </c:pt>
                <c:pt idx="49">
                  <c:v>134</c:v>
                </c:pt>
                <c:pt idx="50">
                  <c:v>153</c:v>
                </c:pt>
                <c:pt idx="51">
                  <c:v>305</c:v>
                </c:pt>
                <c:pt idx="52">
                  <c:v>371</c:v>
                </c:pt>
                <c:pt idx="53">
                  <c:v>427</c:v>
                </c:pt>
                <c:pt idx="54">
                  <c:v>635</c:v>
                </c:pt>
                <c:pt idx="55">
                  <c:v>919</c:v>
                </c:pt>
                <c:pt idx="56">
                  <c:v>1133</c:v>
                </c:pt>
                <c:pt idx="57">
                  <c:v>1604</c:v>
                </c:pt>
                <c:pt idx="58">
                  <c:v>2266</c:v>
                </c:pt>
                <c:pt idx="59">
                  <c:v>2969</c:v>
                </c:pt>
                <c:pt idx="60">
                  <c:v>4204</c:v>
                </c:pt>
                <c:pt idx="61">
                  <c:v>5055</c:v>
                </c:pt>
                <c:pt idx="62">
                  <c:v>5926</c:v>
                </c:pt>
                <c:pt idx="63">
                  <c:v>6804</c:v>
                </c:pt>
                <c:pt idx="64">
                  <c:v>7992</c:v>
                </c:pt>
                <c:pt idx="65">
                  <c:v>9251</c:v>
                </c:pt>
                <c:pt idx="66">
                  <c:v>10656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96D-47B5-ADE8-BE9B8864125A}"/>
            </c:ext>
          </c:extLst>
        </c:ser>
        <c:ser>
          <c:idx val="7"/>
          <c:order val="4"/>
          <c:tx>
            <c:strRef>
              <c:f>CumulativeConfirmed!$B$132</c:f>
              <c:strCache>
                <c:ptCount val="1"/>
                <c:pt idx="0">
                  <c:v>Africa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val>
            <c:numRef>
              <c:f>CumulativeConfirmed!$C$132:$BQ$132</c:f>
              <c:numCache>
                <c:formatCode>General</c:formatCode>
                <c:ptCount val="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3</c:v>
                </c:pt>
                <c:pt idx="38">
                  <c:v>3</c:v>
                </c:pt>
                <c:pt idx="39">
                  <c:v>4</c:v>
                </c:pt>
                <c:pt idx="40">
                  <c:v>8</c:v>
                </c:pt>
                <c:pt idx="41">
                  <c:v>11</c:v>
                </c:pt>
                <c:pt idx="42">
                  <c:v>21</c:v>
                </c:pt>
                <c:pt idx="43">
                  <c:v>24</c:v>
                </c:pt>
                <c:pt idx="44">
                  <c:v>43</c:v>
                </c:pt>
                <c:pt idx="45">
                  <c:v>43</c:v>
                </c:pt>
                <c:pt idx="46">
                  <c:v>83</c:v>
                </c:pt>
                <c:pt idx="47">
                  <c:v>91</c:v>
                </c:pt>
                <c:pt idx="48">
                  <c:v>104</c:v>
                </c:pt>
                <c:pt idx="49">
                  <c:v>118</c:v>
                </c:pt>
                <c:pt idx="50">
                  <c:v>134</c:v>
                </c:pt>
                <c:pt idx="51">
                  <c:v>177</c:v>
                </c:pt>
                <c:pt idx="52">
                  <c:v>243</c:v>
                </c:pt>
                <c:pt idx="53">
                  <c:v>296</c:v>
                </c:pt>
                <c:pt idx="54">
                  <c:v>374</c:v>
                </c:pt>
                <c:pt idx="55">
                  <c:v>453</c:v>
                </c:pt>
                <c:pt idx="56">
                  <c:v>556</c:v>
                </c:pt>
                <c:pt idx="57">
                  <c:v>720</c:v>
                </c:pt>
                <c:pt idx="58">
                  <c:v>873</c:v>
                </c:pt>
                <c:pt idx="59">
                  <c:v>1062</c:v>
                </c:pt>
                <c:pt idx="60">
                  <c:v>1294</c:v>
                </c:pt>
                <c:pt idx="61">
                  <c:v>1616</c:v>
                </c:pt>
                <c:pt idx="62">
                  <c:v>1996</c:v>
                </c:pt>
                <c:pt idx="63">
                  <c:v>2434</c:v>
                </c:pt>
                <c:pt idx="64">
                  <c:v>2878</c:v>
                </c:pt>
                <c:pt idx="65">
                  <c:v>3382</c:v>
                </c:pt>
                <c:pt idx="66">
                  <c:v>3672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96D-47B5-ADE8-BE9B8864125A}"/>
            </c:ext>
          </c:extLst>
        </c:ser>
        <c:ser>
          <c:idx val="0"/>
          <c:order val="5"/>
          <c:tx>
            <c:strRef>
              <c:f>CumulativeConfirmed!$B$133</c:f>
              <c:strCache>
                <c:ptCount val="1"/>
                <c:pt idx="0">
                  <c:v>Middle East</c:v>
                </c:pt>
              </c:strCache>
            </c:strRef>
          </c:tx>
          <c:spPr>
            <a:solidFill>
              <a:schemeClr val="bg2">
                <a:lumMod val="90000"/>
                <a:alpha val="66000"/>
              </a:schemeClr>
            </a:solidFill>
            <a:ln>
              <a:noFill/>
            </a:ln>
            <a:effectLst/>
          </c:spPr>
          <c:val>
            <c:numRef>
              <c:f>CumulativeConfirmed!$C$133:$BQ$133</c:f>
              <c:numCache>
                <c:formatCode>General</c:formatCode>
                <c:ptCount val="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7</c:v>
                </c:pt>
                <c:pt idx="18">
                  <c:v>7</c:v>
                </c:pt>
                <c:pt idx="19">
                  <c:v>8</c:v>
                </c:pt>
                <c:pt idx="20">
                  <c:v>8</c:v>
                </c:pt>
                <c:pt idx="21">
                  <c:v>8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11</c:v>
                </c:pt>
                <c:pt idx="29">
                  <c:v>14</c:v>
                </c:pt>
                <c:pt idx="30">
                  <c:v>29</c:v>
                </c:pt>
                <c:pt idx="31">
                  <c:v>43</c:v>
                </c:pt>
                <c:pt idx="32">
                  <c:v>58</c:v>
                </c:pt>
                <c:pt idx="33">
                  <c:v>82</c:v>
                </c:pt>
                <c:pt idx="34">
                  <c:v>148</c:v>
                </c:pt>
                <c:pt idx="35">
                  <c:v>225</c:v>
                </c:pt>
                <c:pt idx="36">
                  <c:v>351</c:v>
                </c:pt>
                <c:pt idx="37">
                  <c:v>506</c:v>
                </c:pt>
                <c:pt idx="38">
                  <c:v>732</c:v>
                </c:pt>
                <c:pt idx="39">
                  <c:v>1140</c:v>
                </c:pt>
                <c:pt idx="40">
                  <c:v>1687</c:v>
                </c:pt>
                <c:pt idx="41">
                  <c:v>2547</c:v>
                </c:pt>
                <c:pt idx="42">
                  <c:v>3146</c:v>
                </c:pt>
                <c:pt idx="43">
                  <c:v>3757</c:v>
                </c:pt>
                <c:pt idx="44">
                  <c:v>5024</c:v>
                </c:pt>
                <c:pt idx="45">
                  <c:v>6164</c:v>
                </c:pt>
                <c:pt idx="46">
                  <c:v>6960</c:v>
                </c:pt>
                <c:pt idx="47">
                  <c:v>7572</c:v>
                </c:pt>
                <c:pt idx="48">
                  <c:v>8550</c:v>
                </c:pt>
                <c:pt idx="49">
                  <c:v>9861</c:v>
                </c:pt>
                <c:pt idx="50">
                  <c:v>11000</c:v>
                </c:pt>
                <c:pt idx="51">
                  <c:v>12461</c:v>
                </c:pt>
                <c:pt idx="52">
                  <c:v>13957</c:v>
                </c:pt>
                <c:pt idx="53">
                  <c:v>15351</c:v>
                </c:pt>
                <c:pt idx="54">
                  <c:v>16495</c:v>
                </c:pt>
                <c:pt idx="55">
                  <c:v>17839</c:v>
                </c:pt>
                <c:pt idx="56">
                  <c:v>19209</c:v>
                </c:pt>
                <c:pt idx="57">
                  <c:v>20622</c:v>
                </c:pt>
                <c:pt idx="58">
                  <c:v>22099</c:v>
                </c:pt>
                <c:pt idx="59">
                  <c:v>23391</c:v>
                </c:pt>
                <c:pt idx="60">
                  <c:v>24889</c:v>
                </c:pt>
                <c:pt idx="61">
                  <c:v>26713</c:v>
                </c:pt>
                <c:pt idx="62">
                  <c:v>29119</c:v>
                </c:pt>
                <c:pt idx="63">
                  <c:v>32804</c:v>
                </c:pt>
                <c:pt idx="64">
                  <c:v>35824</c:v>
                </c:pt>
                <c:pt idx="65">
                  <c:v>39454</c:v>
                </c:pt>
                <c:pt idx="66">
                  <c:v>43425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EE-4D7A-995F-BA8AC3953E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4354592"/>
        <c:axId val="324183712"/>
      </c:areaChart>
      <c:catAx>
        <c:axId val="314354592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324183712"/>
        <c:crosses val="autoZero"/>
        <c:auto val="1"/>
        <c:lblAlgn val="ctr"/>
        <c:lblOffset val="100"/>
        <c:noMultiLvlLbl val="1"/>
      </c:catAx>
      <c:valAx>
        <c:axId val="324183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314354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6239270900159637"/>
          <c:y val="0.20982898576241596"/>
          <c:w val="0.13760725758240963"/>
          <c:h val="0.31095515267046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25459</xdr:colOff>
      <xdr:row>16</xdr:row>
      <xdr:rowOff>36817</xdr:rowOff>
    </xdr:from>
    <xdr:ext cx="1632857" cy="489857"/>
    <xdr:sp macro="[0]!Sheet6.Format" textlink="">
      <xdr:nvSpPr>
        <xdr:cNvPr id="4" name="TextBox 3">
          <a:extLst>
            <a:ext uri="{FF2B5EF4-FFF2-40B4-BE49-F238E27FC236}">
              <a16:creationId xmlns:a16="http://schemas.microsoft.com/office/drawing/2014/main" id="{B7041792-716E-4748-B038-FF511BA5A4E6}"/>
            </a:ext>
          </a:extLst>
        </xdr:cNvPr>
        <xdr:cNvSpPr txBox="1"/>
      </xdr:nvSpPr>
      <xdr:spPr>
        <a:xfrm>
          <a:off x="20124589" y="2935730"/>
          <a:ext cx="1632857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Format graphs</a:t>
          </a:r>
        </a:p>
      </xdr:txBody>
    </xdr:sp>
    <xdr:clientData/>
  </xdr:oneCellAnchor>
  <xdr:oneCellAnchor>
    <xdr:from>
      <xdr:col>33</xdr:col>
      <xdr:colOff>313396</xdr:colOff>
      <xdr:row>16</xdr:row>
      <xdr:rowOff>45860</xdr:rowOff>
    </xdr:from>
    <xdr:ext cx="1447801" cy="478971"/>
    <xdr:sp macro="[0]!Sheet6.Scrape" textlink="">
      <xdr:nvSpPr>
        <xdr:cNvPr id="6" name="TextBox 5">
          <a:extLst>
            <a:ext uri="{FF2B5EF4-FFF2-40B4-BE49-F238E27FC236}">
              <a16:creationId xmlns:a16="http://schemas.microsoft.com/office/drawing/2014/main" id="{583CA897-6FDD-4803-9706-5C97A873A3E6}"/>
            </a:ext>
          </a:extLst>
        </xdr:cNvPr>
        <xdr:cNvSpPr txBox="1"/>
      </xdr:nvSpPr>
      <xdr:spPr>
        <a:xfrm>
          <a:off x="22234700" y="2944773"/>
          <a:ext cx="1447801" cy="478971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Pull new data</a:t>
          </a:r>
        </a:p>
      </xdr:txBody>
    </xdr:sp>
    <xdr:clientData/>
  </xdr:oneCellAnchor>
  <xdr:oneCellAnchor>
    <xdr:from>
      <xdr:col>33</xdr:col>
      <xdr:colOff>313396</xdr:colOff>
      <xdr:row>18</xdr:row>
      <xdr:rowOff>178097</xdr:rowOff>
    </xdr:from>
    <xdr:ext cx="1447802" cy="489857"/>
    <xdr:sp macro="[0]!Sheet6.FormatDataWrapper" textlink="">
      <xdr:nvSpPr>
        <xdr:cNvPr id="7" name="TextBox 6">
          <a:extLst>
            <a:ext uri="{FF2B5EF4-FFF2-40B4-BE49-F238E27FC236}">
              <a16:creationId xmlns:a16="http://schemas.microsoft.com/office/drawing/2014/main" id="{02724321-1992-4DD3-9F3A-BCDFDE8EF30A}"/>
            </a:ext>
          </a:extLst>
        </xdr:cNvPr>
        <xdr:cNvSpPr txBox="1"/>
      </xdr:nvSpPr>
      <xdr:spPr>
        <a:xfrm>
          <a:off x="22234700" y="3463532"/>
          <a:ext cx="1447802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Format Data</a:t>
          </a:r>
        </a:p>
      </xdr:txBody>
    </xdr:sp>
    <xdr:clientData/>
  </xdr:oneCellAnchor>
  <xdr:oneCellAnchor>
    <xdr:from>
      <xdr:col>30</xdr:col>
      <xdr:colOff>25459</xdr:colOff>
      <xdr:row>19</xdr:row>
      <xdr:rowOff>18321</xdr:rowOff>
    </xdr:from>
    <xdr:ext cx="1632857" cy="489857"/>
    <xdr:sp macro="[0]!Sheet6.GenerateImage" textlink="">
      <xdr:nvSpPr>
        <xdr:cNvPr id="8" name="TextBox 7">
          <a:extLst>
            <a:ext uri="{FF2B5EF4-FFF2-40B4-BE49-F238E27FC236}">
              <a16:creationId xmlns:a16="http://schemas.microsoft.com/office/drawing/2014/main" id="{C1EFAADE-6FC8-4617-A2A8-F839D119A0A0}"/>
            </a:ext>
          </a:extLst>
        </xdr:cNvPr>
        <xdr:cNvSpPr txBox="1"/>
      </xdr:nvSpPr>
      <xdr:spPr>
        <a:xfrm>
          <a:off x="20124589" y="3497017"/>
          <a:ext cx="1632857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Generate image</a:t>
          </a:r>
        </a:p>
      </xdr:txBody>
    </xdr:sp>
    <xdr:clientData/>
  </xdr:oneCellAnchor>
  <xdr:twoCellAnchor>
    <xdr:from>
      <xdr:col>3</xdr:col>
      <xdr:colOff>185876</xdr:colOff>
      <xdr:row>1</xdr:row>
      <xdr:rowOff>2511</xdr:rowOff>
    </xdr:from>
    <xdr:to>
      <xdr:col>20</xdr:col>
      <xdr:colOff>398863</xdr:colOff>
      <xdr:row>27</xdr:row>
      <xdr:rowOff>151849</xdr:rowOff>
    </xdr:to>
    <xdr:graphicFrame macro="">
      <xdr:nvGraphicFramePr>
        <xdr:cNvPr id="10" name="Chart 1">
          <a:extLst>
            <a:ext uri="{FF2B5EF4-FFF2-40B4-BE49-F238E27FC236}">
              <a16:creationId xmlns:a16="http://schemas.microsoft.com/office/drawing/2014/main" id="{202D732A-948E-42DF-B7CC-266CE69541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134471</xdr:colOff>
      <xdr:row>29</xdr:row>
      <xdr:rowOff>41413</xdr:rowOff>
    </xdr:from>
    <xdr:to>
      <xdr:col>20</xdr:col>
      <xdr:colOff>343647</xdr:colOff>
      <xdr:row>52</xdr:row>
      <xdr:rowOff>2509</xdr:rowOff>
    </xdr:to>
    <xdr:graphicFrame macro="">
      <xdr:nvGraphicFramePr>
        <xdr:cNvPr id="11" name="Chart 2">
          <a:extLst>
            <a:ext uri="{FF2B5EF4-FFF2-40B4-BE49-F238E27FC236}">
              <a16:creationId xmlns:a16="http://schemas.microsoft.com/office/drawing/2014/main" id="{3C2A0E50-BF99-468D-97AE-3DE6365D0D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0.27695</cdr:x>
      <cdr:y>0.70406</cdr:y>
    </cdr:from>
    <cdr:to>
      <cdr:x>0.38829</cdr:x>
      <cdr:y>0.76407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7EAFD663-AFC4-44D1-BE89-C85C160EBF1D}"/>
            </a:ext>
          </a:extLst>
        </cdr:cNvPr>
        <cdr:cNvSpPr txBox="1"/>
      </cdr:nvSpPr>
      <cdr:spPr>
        <a:xfrm xmlns:a="http://schemas.openxmlformats.org/drawingml/2006/main">
          <a:off x="2907918" y="4597226"/>
          <a:ext cx="1169031" cy="3918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 baseline="0"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Active cases</a:t>
          </a:r>
          <a:endParaRPr lang="en-GB" sz="1200" b="0">
            <a:effectLst/>
            <a:latin typeface="Verdana" panose="020B0604030504040204" pitchFamily="34" charset="0"/>
            <a:ea typeface="Verdana" panose="020B0604030504040204" pitchFamily="34" charset="0"/>
          </a:endParaRPr>
        </a:p>
        <a:p xmlns:a="http://schemas.openxmlformats.org/drawingml/2006/main">
          <a:endParaRPr lang="en-GB" sz="1100"/>
        </a:p>
      </cdr:txBody>
    </cdr:sp>
  </cdr:relSizeAnchor>
  <cdr:relSizeAnchor xmlns:cdr="http://schemas.openxmlformats.org/drawingml/2006/chartDrawing">
    <cdr:from>
      <cdr:x>0.17765</cdr:x>
      <cdr:y>0.20619</cdr:y>
    </cdr:from>
    <cdr:to>
      <cdr:x>0.41591</cdr:x>
      <cdr:y>0.27402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4B15FBC8-790F-4C8A-8FEE-EADCDA667162}"/>
            </a:ext>
          </a:extLst>
        </cdr:cNvPr>
        <cdr:cNvSpPr txBox="1"/>
      </cdr:nvSpPr>
      <cdr:spPr>
        <a:xfrm xmlns:a="http://schemas.openxmlformats.org/drawingml/2006/main">
          <a:off x="1865243" y="1346327"/>
          <a:ext cx="2501621" cy="44290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>
              <a:solidFill>
                <a:srgbClr val="00B0F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Rate</a:t>
          </a:r>
          <a:r>
            <a:rPr lang="en-GB" sz="1200" b="0" baseline="0">
              <a:solidFill>
                <a:srgbClr val="00B0F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 of increase - active cases</a:t>
          </a:r>
          <a:endParaRPr lang="en-GB" sz="1200" b="0">
            <a:solidFill>
              <a:srgbClr val="00B0F0"/>
            </a:solidFill>
            <a:effectLst/>
            <a:latin typeface="Verdana" panose="020B0604030504040204" pitchFamily="34" charset="0"/>
            <a:ea typeface="Verdana" panose="020B0604030504040204" pitchFamily="34" charset="0"/>
          </a:endParaRPr>
        </a:p>
      </cdr:txBody>
    </cdr:sp>
  </cdr:relSizeAnchor>
  <cdr:relSizeAnchor xmlns:cdr="http://schemas.openxmlformats.org/drawingml/2006/chartDrawing">
    <cdr:from>
      <cdr:x>0.52626</cdr:x>
      <cdr:y>0.37805</cdr:y>
    </cdr:from>
    <cdr:to>
      <cdr:x>0.72517</cdr:x>
      <cdr:y>0.44588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78B9D7BB-12FB-4307-A1EB-64071B568563}"/>
            </a:ext>
          </a:extLst>
        </cdr:cNvPr>
        <cdr:cNvSpPr txBox="1"/>
      </cdr:nvSpPr>
      <cdr:spPr>
        <a:xfrm xmlns:a="http://schemas.openxmlformats.org/drawingml/2006/main">
          <a:off x="5522525" y="2475333"/>
          <a:ext cx="2087350" cy="44413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>
              <a:solidFill>
                <a:srgbClr val="C0000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Rate</a:t>
          </a:r>
          <a:r>
            <a:rPr lang="en-GB" sz="1200" b="0" baseline="0">
              <a:solidFill>
                <a:srgbClr val="C0000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 of increase - deaths</a:t>
          </a:r>
          <a:endParaRPr lang="en-GB" sz="1200" b="0">
            <a:solidFill>
              <a:srgbClr val="C00000"/>
            </a:solidFill>
            <a:effectLst/>
            <a:latin typeface="Verdana" panose="020B0604030504040204" pitchFamily="34" charset="0"/>
            <a:ea typeface="Verdana" panose="020B0604030504040204" pitchFamily="34" charset="0"/>
          </a:endParaRPr>
        </a:p>
        <a:p xmlns:a="http://schemas.openxmlformats.org/drawingml/2006/main">
          <a:endParaRPr lang="en-GB" sz="1100"/>
        </a:p>
      </cdr:txBody>
    </cdr:sp>
  </cdr:relSizeAnchor>
  <cdr:relSizeAnchor xmlns:cdr="http://schemas.openxmlformats.org/drawingml/2006/chartDrawing">
    <cdr:from>
      <cdr:x>0.6485</cdr:x>
      <cdr:y>0.71631</cdr:y>
    </cdr:from>
    <cdr:to>
      <cdr:x>0.75984</cdr:x>
      <cdr:y>0.77632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10F4E358-3531-4862-BC9A-7D931A6102A5}"/>
            </a:ext>
          </a:extLst>
        </cdr:cNvPr>
        <cdr:cNvSpPr txBox="1"/>
      </cdr:nvSpPr>
      <cdr:spPr>
        <a:xfrm xmlns:a="http://schemas.openxmlformats.org/drawingml/2006/main">
          <a:off x="6809015" y="4677228"/>
          <a:ext cx="1169031" cy="3918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 baseline="0">
              <a:solidFill>
                <a:schemeClr val="accent5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Deaths</a:t>
          </a:r>
          <a:endParaRPr lang="en-GB" sz="1200" b="0">
            <a:solidFill>
              <a:schemeClr val="accent5"/>
            </a:solidFill>
            <a:effectLst/>
            <a:latin typeface="Verdana" panose="020B0604030504040204" pitchFamily="34" charset="0"/>
            <a:ea typeface="Verdana" panose="020B0604030504040204" pitchFamily="34" charset="0"/>
          </a:endParaRPr>
        </a:p>
        <a:p xmlns:a="http://schemas.openxmlformats.org/drawingml/2006/main">
          <a:endParaRPr lang="en-GB" sz="11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600074</xdr:colOff>
      <xdr:row>14</xdr:row>
      <xdr:rowOff>95250</xdr:rowOff>
    </xdr:from>
    <xdr:ext cx="800101" cy="264560"/>
    <xdr:sp macro="[0]!Sheet12.HideRows" textlink="">
      <xdr:nvSpPr>
        <xdr:cNvPr id="2" name="TextBox 1">
          <a:extLst>
            <a:ext uri="{FF2B5EF4-FFF2-40B4-BE49-F238E27FC236}">
              <a16:creationId xmlns:a16="http://schemas.microsoft.com/office/drawing/2014/main" id="{8EF504A5-180C-47B5-BF85-E46FC2965BE7}"/>
            </a:ext>
          </a:extLst>
        </xdr:cNvPr>
        <xdr:cNvSpPr txBox="1"/>
      </xdr:nvSpPr>
      <xdr:spPr>
        <a:xfrm>
          <a:off x="10848974" y="2914650"/>
          <a:ext cx="800101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GB" sz="1100">
              <a:solidFill>
                <a:schemeClr val="bg1"/>
              </a:solidFill>
            </a:rPr>
            <a:t>Hide rows</a:t>
          </a:r>
        </a:p>
      </xdr:txBody>
    </xdr:sp>
    <xdr:clientData/>
  </xdr:oneCellAnchor>
  <xdr:oneCellAnchor>
    <xdr:from>
      <xdr:col>15</xdr:col>
      <xdr:colOff>592454</xdr:colOff>
      <xdr:row>16</xdr:row>
      <xdr:rowOff>87630</xdr:rowOff>
    </xdr:from>
    <xdr:ext cx="800101" cy="264560"/>
    <xdr:sp macro="[0]!Sheet12.Generate_Countryrate_Image" textlink="">
      <xdr:nvSpPr>
        <xdr:cNvPr id="3" name="TextBox 2">
          <a:extLst>
            <a:ext uri="{FF2B5EF4-FFF2-40B4-BE49-F238E27FC236}">
              <a16:creationId xmlns:a16="http://schemas.microsoft.com/office/drawing/2014/main" id="{7F011971-0A47-414E-BC3D-07220F09B88C}"/>
            </a:ext>
          </a:extLst>
        </xdr:cNvPr>
        <xdr:cNvSpPr txBox="1"/>
      </xdr:nvSpPr>
      <xdr:spPr>
        <a:xfrm>
          <a:off x="10826114" y="3303270"/>
          <a:ext cx="800101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GB" sz="1100">
              <a:solidFill>
                <a:schemeClr val="bg1"/>
              </a:solidFill>
            </a:rPr>
            <a:t>Image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16</xdr:col>
      <xdr:colOff>0</xdr:colOff>
      <xdr:row>29</xdr:row>
      <xdr:rowOff>10886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4417CDC-B63C-47FC-917B-2E76CA0F39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20</xdr:col>
      <xdr:colOff>137160</xdr:colOff>
      <xdr:row>3</xdr:row>
      <xdr:rowOff>160020</xdr:rowOff>
    </xdr:from>
    <xdr:ext cx="1005840" cy="264560"/>
    <xdr:sp macro="[0]!Sheet1.MinMax" textlink="">
      <xdr:nvSpPr>
        <xdr:cNvPr id="3" name="TextBox 2">
          <a:extLst>
            <a:ext uri="{FF2B5EF4-FFF2-40B4-BE49-F238E27FC236}">
              <a16:creationId xmlns:a16="http://schemas.microsoft.com/office/drawing/2014/main" id="{8762C083-5A6A-4573-AC77-8D4457207601}"/>
            </a:ext>
          </a:extLst>
        </xdr:cNvPr>
        <xdr:cNvSpPr txBox="1"/>
      </xdr:nvSpPr>
      <xdr:spPr>
        <a:xfrm>
          <a:off x="12496800" y="708660"/>
          <a:ext cx="1005840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GB" sz="1100">
              <a:solidFill>
                <a:schemeClr val="bg1"/>
              </a:solidFill>
            </a:rPr>
            <a:t>Format Graph</a:t>
          </a:r>
        </a:p>
      </xdr:txBody>
    </xdr:sp>
    <xdr:clientData/>
  </xdr:oneCellAnchor>
  <xdr:twoCellAnchor>
    <xdr:from>
      <xdr:col>0</xdr:col>
      <xdr:colOff>609599</xdr:colOff>
      <xdr:row>30</xdr:row>
      <xdr:rowOff>0</xdr:rowOff>
    </xdr:from>
    <xdr:to>
      <xdr:col>16</xdr:col>
      <xdr:colOff>21772</xdr:colOff>
      <xdr:row>56</xdr:row>
      <xdr:rowOff>21771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8B3444-BEDA-4067-9454-1B0CD4527E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20</xdr:col>
      <xdr:colOff>123825</xdr:colOff>
      <xdr:row>6</xdr:row>
      <xdr:rowOff>32385</xdr:rowOff>
    </xdr:from>
    <xdr:ext cx="1005840" cy="264560"/>
    <xdr:sp macro="[0]!Sheet1.Generate_by_day_Image" textlink="">
      <xdr:nvSpPr>
        <xdr:cNvPr id="9" name="TextBox 8">
          <a:extLst>
            <a:ext uri="{FF2B5EF4-FFF2-40B4-BE49-F238E27FC236}">
              <a16:creationId xmlns:a16="http://schemas.microsoft.com/office/drawing/2014/main" id="{2DA85C45-F4D3-45C0-AF74-F5B1B946D86F}"/>
            </a:ext>
          </a:extLst>
        </xdr:cNvPr>
        <xdr:cNvSpPr txBox="1"/>
      </xdr:nvSpPr>
      <xdr:spPr>
        <a:xfrm>
          <a:off x="12582525" y="1118235"/>
          <a:ext cx="1005840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GB" sz="1100">
              <a:solidFill>
                <a:schemeClr val="bg1"/>
              </a:solidFill>
            </a:rPr>
            <a:t>Image</a:t>
          </a:r>
        </a:p>
      </xdr:txBody>
    </xdr:sp>
    <xdr:clientData/>
  </xdr:oneCellAnchor>
  <xdr:twoCellAnchor>
    <xdr:from>
      <xdr:col>17</xdr:col>
      <xdr:colOff>0</xdr:colOff>
      <xdr:row>30</xdr:row>
      <xdr:rowOff>-1</xdr:rowOff>
    </xdr:from>
    <xdr:to>
      <xdr:col>29</xdr:col>
      <xdr:colOff>261937</xdr:colOff>
      <xdr:row>56</xdr:row>
      <xdr:rowOff>83343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C93DC105-6903-4CC4-9D4E-763149946E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11905</xdr:colOff>
      <xdr:row>57</xdr:row>
      <xdr:rowOff>15714</xdr:rowOff>
    </xdr:from>
    <xdr:to>
      <xdr:col>29</xdr:col>
      <xdr:colOff>273843</xdr:colOff>
      <xdr:row>81</xdr:row>
      <xdr:rowOff>91440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D0088B8-FC36-42C5-9378-8071A996C3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BC837-D548-4E4F-805A-BED26374101D}">
  <sheetPr codeName="Sheet6">
    <tabColor rgb="FF002060"/>
  </sheetPr>
  <dimension ref="A1:AQ53"/>
  <sheetViews>
    <sheetView showGridLines="0" tabSelected="1" zoomScale="63" zoomScaleNormal="63" workbookViewId="0">
      <selection activeCell="Z6" sqref="Z6"/>
    </sheetView>
  </sheetViews>
  <sheetFormatPr defaultRowHeight="13.8" x14ac:dyDescent="0.25"/>
  <cols>
    <col min="1" max="1" width="1.5546875" style="39" customWidth="1"/>
    <col min="2" max="2" width="32.44140625" style="39" bestFit="1" customWidth="1"/>
    <col min="3" max="3" width="18.33203125" style="39" customWidth="1"/>
    <col min="4" max="20" width="8.88671875" style="39"/>
    <col min="21" max="21" width="6.6640625" style="39" customWidth="1"/>
    <col min="22" max="16384" width="8.88671875" style="39"/>
  </cols>
  <sheetData>
    <row r="1" spans="1:32" ht="7.2" customHeight="1" x14ac:dyDescent="0.25">
      <c r="A1" s="43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/>
    </row>
    <row r="2" spans="1:32" x14ac:dyDescent="0.25">
      <c r="A2" s="46"/>
      <c r="B2" s="151" t="str">
        <f>C7&amp;" Covid-19 Active Case Projections"</f>
        <v>Asia Covid-19 Active Case Projections</v>
      </c>
      <c r="C2" s="152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8"/>
    </row>
    <row r="3" spans="1:32" x14ac:dyDescent="0.25">
      <c r="A3" s="46"/>
      <c r="B3" s="139"/>
      <c r="C3" s="140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8"/>
      <c r="W3" s="111" t="s">
        <v>543</v>
      </c>
      <c r="X3" s="112"/>
      <c r="Y3" s="113"/>
      <c r="Z3" s="105" t="s">
        <v>608</v>
      </c>
      <c r="AA3" s="120"/>
      <c r="AB3" s="120"/>
      <c r="AC3" s="106"/>
    </row>
    <row r="4" spans="1:32" x14ac:dyDescent="0.25">
      <c r="A4" s="46"/>
      <c r="B4" s="139"/>
      <c r="C4" s="140"/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8"/>
      <c r="W4" s="114"/>
      <c r="X4" s="115"/>
      <c r="Y4" s="116"/>
      <c r="Z4" s="107"/>
      <c r="AA4" s="121"/>
      <c r="AB4" s="121"/>
      <c r="AC4" s="108"/>
    </row>
    <row r="5" spans="1:32" x14ac:dyDescent="0.25">
      <c r="A5" s="46"/>
      <c r="B5" s="141"/>
      <c r="C5" s="142"/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8"/>
      <c r="W5" s="117"/>
      <c r="X5" s="118"/>
      <c r="Y5" s="119"/>
      <c r="Z5" s="109"/>
      <c r="AA5" s="122"/>
      <c r="AB5" s="122"/>
      <c r="AC5" s="110"/>
    </row>
    <row r="6" spans="1:32" x14ac:dyDescent="0.25">
      <c r="A6" s="46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8"/>
    </row>
    <row r="7" spans="1:32" x14ac:dyDescent="0.25">
      <c r="A7" s="46"/>
      <c r="B7" s="155" t="s">
        <v>477</v>
      </c>
      <c r="C7" s="153" t="str">
        <f>Z3</f>
        <v>Asia</v>
      </c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8"/>
    </row>
    <row r="8" spans="1:32" ht="13.8" customHeight="1" x14ac:dyDescent="0.25">
      <c r="A8" s="46"/>
      <c r="B8" s="156"/>
      <c r="C8" s="154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8"/>
      <c r="W8" s="111" t="s">
        <v>542</v>
      </c>
      <c r="X8" s="112"/>
      <c r="Y8" s="113"/>
      <c r="Z8" s="105">
        <v>4</v>
      </c>
      <c r="AA8" s="106"/>
      <c r="AB8" s="123" t="s">
        <v>551</v>
      </c>
      <c r="AC8" s="124"/>
      <c r="AD8" s="124"/>
      <c r="AE8" s="124"/>
      <c r="AF8" s="124"/>
    </row>
    <row r="9" spans="1:32" ht="17.399999999999999" x14ac:dyDescent="0.3">
      <c r="A9" s="46"/>
      <c r="B9" s="70"/>
      <c r="C9" s="70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8"/>
      <c r="W9" s="114"/>
      <c r="X9" s="115"/>
      <c r="Y9" s="116"/>
      <c r="Z9" s="107"/>
      <c r="AA9" s="108"/>
      <c r="AB9" s="123"/>
      <c r="AC9" s="124"/>
      <c r="AD9" s="124"/>
      <c r="AE9" s="124"/>
      <c r="AF9" s="124"/>
    </row>
    <row r="10" spans="1:32" ht="18.600000000000001" customHeight="1" x14ac:dyDescent="0.25">
      <c r="A10" s="46"/>
      <c r="B10" s="155" t="s">
        <v>505</v>
      </c>
      <c r="C10" s="163">
        <f>Projections_Data!C4</f>
        <v>104697</v>
      </c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8"/>
      <c r="W10" s="117"/>
      <c r="X10" s="118"/>
      <c r="Y10" s="119"/>
      <c r="Z10" s="109"/>
      <c r="AA10" s="110"/>
      <c r="AB10" s="123"/>
      <c r="AC10" s="124"/>
      <c r="AD10" s="124"/>
      <c r="AE10" s="124"/>
      <c r="AF10" s="124"/>
    </row>
    <row r="11" spans="1:32" ht="18.600000000000001" customHeight="1" x14ac:dyDescent="0.25">
      <c r="A11" s="46"/>
      <c r="B11" s="156"/>
      <c r="C11" s="164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8"/>
    </row>
    <row r="12" spans="1:32" ht="18.600000000000001" customHeight="1" x14ac:dyDescent="0.25">
      <c r="A12" s="46"/>
      <c r="B12" s="155" t="s">
        <v>590</v>
      </c>
      <c r="C12" s="161">
        <f ca="1">Projections_Data!C6</f>
        <v>11175</v>
      </c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8"/>
    </row>
    <row r="13" spans="1:32" ht="18.600000000000001" customHeight="1" x14ac:dyDescent="0.25">
      <c r="A13" s="46"/>
      <c r="B13" s="156"/>
      <c r="C13" s="162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8"/>
      <c r="W13" s="103" t="s">
        <v>544</v>
      </c>
      <c r="X13" s="103"/>
      <c r="Y13" s="103"/>
      <c r="Z13" s="103"/>
      <c r="AA13" s="103"/>
    </row>
    <row r="14" spans="1:32" ht="18.600000000000001" customHeight="1" x14ac:dyDescent="0.25">
      <c r="A14" s="46"/>
      <c r="B14" s="155" t="s">
        <v>591</v>
      </c>
      <c r="C14" s="159">
        <f ca="1">Projections_Data!C7</f>
        <v>89768</v>
      </c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8"/>
      <c r="W14" s="103"/>
      <c r="X14" s="103"/>
      <c r="Y14" s="103"/>
      <c r="Z14" s="103"/>
      <c r="AA14" s="103"/>
    </row>
    <row r="15" spans="1:32" ht="18.600000000000001" customHeight="1" x14ac:dyDescent="0.25">
      <c r="A15" s="46"/>
      <c r="B15" s="156"/>
      <c r="C15" s="160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8"/>
      <c r="W15" s="135" t="s">
        <v>545</v>
      </c>
      <c r="X15" s="135"/>
      <c r="Y15" s="135"/>
      <c r="Z15" s="136">
        <v>0.4</v>
      </c>
      <c r="AA15" s="137"/>
    </row>
    <row r="16" spans="1:32" ht="18.600000000000001" customHeight="1" x14ac:dyDescent="0.25">
      <c r="A16" s="46"/>
      <c r="B16" s="155" t="s">
        <v>514</v>
      </c>
      <c r="C16" s="157">
        <f>Projections_Data!C8</f>
        <v>3754</v>
      </c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8"/>
      <c r="W16" s="135"/>
      <c r="X16" s="135"/>
      <c r="Y16" s="135"/>
      <c r="Z16" s="137"/>
      <c r="AA16" s="137"/>
    </row>
    <row r="17" spans="1:42" ht="18.600000000000001" customHeight="1" x14ac:dyDescent="0.25">
      <c r="A17" s="46"/>
      <c r="B17" s="156"/>
      <c r="C17" s="158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8"/>
      <c r="W17" s="135" t="s">
        <v>546</v>
      </c>
      <c r="X17" s="135"/>
      <c r="Y17" s="135"/>
      <c r="Z17" s="136">
        <v>0.25</v>
      </c>
      <c r="AA17" s="137"/>
    </row>
    <row r="18" spans="1:42" ht="18.600000000000001" customHeight="1" x14ac:dyDescent="0.25">
      <c r="A18" s="46"/>
      <c r="B18" s="131" t="s">
        <v>603</v>
      </c>
      <c r="C18" s="133">
        <f ca="1">Projections_Data!C11</f>
        <v>8.9280558625991491E-2</v>
      </c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8"/>
      <c r="W18" s="135"/>
      <c r="X18" s="135"/>
      <c r="Y18" s="135"/>
      <c r="Z18" s="137"/>
      <c r="AA18" s="137"/>
    </row>
    <row r="19" spans="1:42" ht="18.600000000000001" customHeight="1" x14ac:dyDescent="0.25">
      <c r="A19" s="46"/>
      <c r="B19" s="132"/>
      <c r="C19" s="134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8"/>
      <c r="W19" s="135" t="s">
        <v>547</v>
      </c>
      <c r="X19" s="135"/>
      <c r="Y19" s="135"/>
      <c r="Z19" s="136">
        <v>0.1</v>
      </c>
      <c r="AA19" s="137"/>
    </row>
    <row r="20" spans="1:42" ht="18.600000000000001" customHeight="1" x14ac:dyDescent="0.25">
      <c r="A20" s="46"/>
      <c r="B20" s="127" t="s">
        <v>507</v>
      </c>
      <c r="C20" s="129">
        <f>Projections_Data!C14</f>
        <v>106114.61286386824</v>
      </c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8"/>
      <c r="W20" s="135"/>
      <c r="X20" s="135"/>
      <c r="Y20" s="135"/>
      <c r="Z20" s="137"/>
      <c r="AA20" s="137"/>
    </row>
    <row r="21" spans="1:42" ht="18.600000000000001" customHeight="1" x14ac:dyDescent="0.25">
      <c r="A21" s="46"/>
      <c r="B21" s="128"/>
      <c r="C21" s="130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8"/>
    </row>
    <row r="22" spans="1:42" ht="18.600000000000001" customHeight="1" x14ac:dyDescent="0.25">
      <c r="A22" s="46"/>
      <c r="B22" s="131" t="s">
        <v>604</v>
      </c>
      <c r="C22" s="165">
        <f>Projections_Data!C13</f>
        <v>1.1294519753858978E-2</v>
      </c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8" t="s">
        <v>498</v>
      </c>
    </row>
    <row r="23" spans="1:42" ht="18.600000000000001" customHeight="1" x14ac:dyDescent="0.25">
      <c r="A23" s="46"/>
      <c r="B23" s="132"/>
      <c r="C23" s="166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8"/>
    </row>
    <row r="24" spans="1:42" ht="18.600000000000001" customHeight="1" x14ac:dyDescent="0.25">
      <c r="A24" s="46"/>
      <c r="B24" s="155" t="s">
        <v>605</v>
      </c>
      <c r="C24" s="157">
        <f>C16*(1+C22)</f>
        <v>3796.3996271559868</v>
      </c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8"/>
    </row>
    <row r="25" spans="1:42" ht="18.600000000000001" customHeight="1" x14ac:dyDescent="0.25">
      <c r="A25" s="46"/>
      <c r="B25" s="156"/>
      <c r="C25" s="158"/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8"/>
      <c r="AE25" s="39" t="s">
        <v>615</v>
      </c>
    </row>
    <row r="26" spans="1:42" ht="18.600000000000001" customHeight="1" x14ac:dyDescent="0.25">
      <c r="A26" s="46"/>
      <c r="B26" s="147" t="s">
        <v>529</v>
      </c>
      <c r="C26" s="147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8"/>
    </row>
    <row r="27" spans="1:42" ht="69.599999999999994" customHeight="1" x14ac:dyDescent="0.25">
      <c r="A27" s="46"/>
      <c r="B27" s="148" t="str">
        <f>"Source: Analysis of John Hopkins University and WHO data.
Data updated: "&amp;TEXT(Projections_Data!C2,"DD/MM/YYYY")&amp;"."</f>
        <v>Source: Analysis of John Hopkins University and WHO data.
Data updated: 28/03/2020.</v>
      </c>
      <c r="C27" s="148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8"/>
    </row>
    <row r="28" spans="1:42" ht="15.6" customHeight="1" thickBot="1" x14ac:dyDescent="0.3">
      <c r="A28" s="49"/>
      <c r="B28" s="50"/>
      <c r="C28" s="50"/>
      <c r="D28" s="50"/>
      <c r="E28" s="50"/>
      <c r="F28" s="50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1"/>
    </row>
    <row r="29" spans="1:42" ht="15.6" customHeight="1" x14ac:dyDescent="0.25">
      <c r="A29" s="46"/>
      <c r="B29" s="139" t="str">
        <f>Projections_Data!B35</f>
        <v xml:space="preserve">Asia critically ill projections </v>
      </c>
      <c r="C29" s="140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8"/>
    </row>
    <row r="30" spans="1:42" ht="15.6" customHeight="1" x14ac:dyDescent="0.25">
      <c r="A30" s="46"/>
      <c r="B30" s="139"/>
      <c r="C30" s="140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8"/>
    </row>
    <row r="31" spans="1:42" ht="15.6" customHeight="1" x14ac:dyDescent="0.25">
      <c r="A31" s="46"/>
      <c r="B31" s="139"/>
      <c r="C31" s="140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8"/>
    </row>
    <row r="32" spans="1:42" ht="15.6" customHeight="1" x14ac:dyDescent="0.25">
      <c r="A32" s="46"/>
      <c r="B32" s="141"/>
      <c r="C32" s="142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8"/>
      <c r="W32" s="103" t="s">
        <v>548</v>
      </c>
      <c r="X32" s="103"/>
      <c r="Y32" s="103"/>
      <c r="Z32" s="104"/>
      <c r="AA32" s="104"/>
      <c r="AB32" s="99" t="s">
        <v>549</v>
      </c>
      <c r="AC32" s="100"/>
      <c r="AD32" s="100"/>
      <c r="AE32" s="100"/>
      <c r="AF32" s="100"/>
      <c r="AG32" s="100"/>
      <c r="AH32" s="100"/>
      <c r="AI32" s="100"/>
      <c r="AJ32" s="100"/>
      <c r="AK32" s="100"/>
      <c r="AL32" s="100"/>
      <c r="AM32" s="100"/>
      <c r="AN32" s="100"/>
      <c r="AO32" s="100"/>
      <c r="AP32" s="100"/>
    </row>
    <row r="33" spans="1:43" ht="15.6" customHeight="1" x14ac:dyDescent="0.25">
      <c r="A33" s="46"/>
      <c r="B33" s="71"/>
      <c r="C33" s="71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8"/>
      <c r="W33" s="103"/>
      <c r="X33" s="103"/>
      <c r="Y33" s="103"/>
      <c r="Z33" s="104"/>
      <c r="AA33" s="104"/>
      <c r="AB33" s="99"/>
      <c r="AC33" s="100"/>
      <c r="AD33" s="100"/>
      <c r="AE33" s="100"/>
      <c r="AF33" s="100"/>
      <c r="AG33" s="100"/>
      <c r="AH33" s="100"/>
      <c r="AI33" s="100"/>
      <c r="AJ33" s="100"/>
      <c r="AK33" s="100"/>
      <c r="AL33" s="100"/>
      <c r="AM33" s="100"/>
      <c r="AN33" s="100"/>
      <c r="AO33" s="100"/>
      <c r="AP33" s="100"/>
    </row>
    <row r="34" spans="1:43" ht="15.6" customHeight="1" x14ac:dyDescent="0.25">
      <c r="A34" s="46"/>
      <c r="B34" s="126" t="s">
        <v>465</v>
      </c>
      <c r="C34" s="125" t="e">
        <f>Projections_Data!C16</f>
        <v>#N/A</v>
      </c>
      <c r="D34" s="47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8"/>
      <c r="W34" s="103"/>
      <c r="X34" s="103"/>
      <c r="Y34" s="103"/>
      <c r="Z34" s="104"/>
      <c r="AA34" s="104"/>
      <c r="AB34" s="99"/>
      <c r="AC34" s="100"/>
      <c r="AD34" s="100"/>
      <c r="AE34" s="100"/>
      <c r="AF34" s="100"/>
      <c r="AG34" s="100"/>
      <c r="AH34" s="100"/>
      <c r="AI34" s="100"/>
      <c r="AJ34" s="100"/>
      <c r="AK34" s="100"/>
      <c r="AL34" s="100"/>
      <c r="AM34" s="100"/>
      <c r="AN34" s="100"/>
      <c r="AO34" s="100"/>
      <c r="AP34" s="100"/>
    </row>
    <row r="35" spans="1:43" ht="18" customHeight="1" x14ac:dyDescent="0.25">
      <c r="A35" s="46"/>
      <c r="B35" s="126"/>
      <c r="C35" s="125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8"/>
      <c r="W35" s="103"/>
      <c r="X35" s="103"/>
      <c r="Y35" s="103"/>
      <c r="Z35" s="104"/>
      <c r="AA35" s="104"/>
      <c r="AB35" s="99"/>
      <c r="AC35" s="100"/>
      <c r="AD35" s="100"/>
      <c r="AE35" s="100"/>
      <c r="AF35" s="100"/>
      <c r="AG35" s="100"/>
      <c r="AH35" s="100"/>
      <c r="AI35" s="100"/>
      <c r="AJ35" s="100"/>
      <c r="AK35" s="100"/>
      <c r="AL35" s="100"/>
      <c r="AM35" s="100"/>
      <c r="AN35" s="100"/>
      <c r="AO35" s="100"/>
      <c r="AP35" s="100"/>
    </row>
    <row r="36" spans="1:43" ht="18" customHeight="1" x14ac:dyDescent="0.25">
      <c r="A36" s="46"/>
      <c r="B36" s="138" t="s">
        <v>519</v>
      </c>
      <c r="C36" s="167">
        <f>Projections_Data!C15</f>
        <v>4.7E-2</v>
      </c>
      <c r="D36" s="47"/>
      <c r="E36" s="47"/>
      <c r="F36" s="47"/>
      <c r="G36" s="47"/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8"/>
      <c r="W36" s="103"/>
      <c r="X36" s="103"/>
      <c r="Y36" s="103"/>
      <c r="Z36" s="104"/>
      <c r="AA36" s="104"/>
      <c r="AB36" s="99"/>
      <c r="AC36" s="100"/>
      <c r="AD36" s="100"/>
      <c r="AE36" s="100"/>
      <c r="AF36" s="100"/>
      <c r="AG36" s="100"/>
      <c r="AH36" s="100"/>
      <c r="AI36" s="100"/>
      <c r="AJ36" s="100"/>
      <c r="AK36" s="100"/>
      <c r="AL36" s="100"/>
      <c r="AM36" s="100"/>
      <c r="AN36" s="100"/>
      <c r="AO36" s="100"/>
      <c r="AP36" s="100"/>
    </row>
    <row r="37" spans="1:43" ht="20.399999999999999" customHeight="1" x14ac:dyDescent="0.25">
      <c r="A37" s="46"/>
      <c r="B37" s="138"/>
      <c r="C37" s="167"/>
      <c r="D37" s="47"/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8"/>
    </row>
    <row r="38" spans="1:43" ht="20.399999999999999" customHeight="1" x14ac:dyDescent="0.25">
      <c r="A38" s="46"/>
      <c r="B38" s="138" t="s">
        <v>518</v>
      </c>
      <c r="C38" s="125">
        <f ca="1">Projections!C12*Projections!C36</f>
        <v>525.22500000000002</v>
      </c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8"/>
    </row>
    <row r="39" spans="1:43" ht="20.399999999999999" customHeight="1" x14ac:dyDescent="0.25">
      <c r="A39" s="46"/>
      <c r="B39" s="138"/>
      <c r="C39" s="125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8"/>
      <c r="W39" s="103" t="s">
        <v>465</v>
      </c>
      <c r="X39" s="103"/>
      <c r="Y39" s="103"/>
      <c r="Z39" s="102"/>
      <c r="AA39" s="102"/>
      <c r="AB39" s="101" t="s">
        <v>550</v>
      </c>
      <c r="AC39" s="101"/>
      <c r="AD39" s="101"/>
      <c r="AE39" s="101"/>
      <c r="AF39" s="101"/>
      <c r="AG39" s="101"/>
      <c r="AH39" s="101"/>
      <c r="AI39" s="101"/>
      <c r="AJ39" s="101"/>
      <c r="AK39" s="101"/>
      <c r="AL39" s="101"/>
      <c r="AM39" s="101"/>
      <c r="AN39" s="101"/>
      <c r="AO39" s="101"/>
      <c r="AP39" s="101"/>
      <c r="AQ39" s="101"/>
    </row>
    <row r="40" spans="1:43" ht="20.399999999999999" customHeight="1" x14ac:dyDescent="0.25">
      <c r="A40" s="46"/>
      <c r="B40" s="138" t="s">
        <v>488</v>
      </c>
      <c r="C40" s="146" t="str">
        <f ca="1">Projections_Data!D31</f>
        <v>N/A</v>
      </c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8"/>
      <c r="W40" s="103"/>
      <c r="X40" s="103"/>
      <c r="Y40" s="103"/>
      <c r="Z40" s="102"/>
      <c r="AA40" s="102"/>
      <c r="AB40" s="101"/>
      <c r="AC40" s="101"/>
      <c r="AD40" s="101"/>
      <c r="AE40" s="101"/>
      <c r="AF40" s="101"/>
      <c r="AG40" s="101"/>
      <c r="AH40" s="101"/>
      <c r="AI40" s="101"/>
      <c r="AJ40" s="101"/>
      <c r="AK40" s="101"/>
      <c r="AL40" s="101"/>
      <c r="AM40" s="101"/>
      <c r="AN40" s="101"/>
      <c r="AO40" s="101"/>
      <c r="AP40" s="101"/>
      <c r="AQ40" s="101"/>
    </row>
    <row r="41" spans="1:43" ht="20.399999999999999" customHeight="1" x14ac:dyDescent="0.25">
      <c r="A41" s="46"/>
      <c r="B41" s="138"/>
      <c r="C41" s="146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8"/>
      <c r="W41" s="103"/>
      <c r="X41" s="103"/>
      <c r="Y41" s="103"/>
      <c r="Z41" s="102"/>
      <c r="AA41" s="102"/>
      <c r="AB41" s="101"/>
      <c r="AC41" s="101"/>
      <c r="AD41" s="101"/>
      <c r="AE41" s="101"/>
      <c r="AF41" s="101"/>
      <c r="AG41" s="101"/>
      <c r="AH41" s="101"/>
      <c r="AI41" s="101"/>
      <c r="AJ41" s="101"/>
      <c r="AK41" s="101"/>
      <c r="AL41" s="101"/>
      <c r="AM41" s="101"/>
      <c r="AN41" s="101"/>
      <c r="AO41" s="101"/>
      <c r="AP41" s="101"/>
      <c r="AQ41" s="101"/>
    </row>
    <row r="42" spans="1:43" ht="20.399999999999999" customHeight="1" x14ac:dyDescent="0.25">
      <c r="A42" s="46"/>
      <c r="B42" s="126" t="s">
        <v>489</v>
      </c>
      <c r="C42" s="145" t="str">
        <f ca="1">IFERROR(C40-TODAY(),"N/A")</f>
        <v>N/A</v>
      </c>
      <c r="D42" s="47"/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8"/>
      <c r="W42" s="103"/>
      <c r="X42" s="103"/>
      <c r="Y42" s="103"/>
      <c r="Z42" s="102"/>
      <c r="AA42" s="102"/>
      <c r="AB42" s="101"/>
      <c r="AC42" s="101"/>
      <c r="AD42" s="101"/>
      <c r="AE42" s="101"/>
      <c r="AF42" s="101"/>
      <c r="AG42" s="101"/>
      <c r="AH42" s="101"/>
      <c r="AI42" s="101"/>
      <c r="AJ42" s="101"/>
      <c r="AK42" s="101"/>
      <c r="AL42" s="101"/>
      <c r="AM42" s="101"/>
      <c r="AN42" s="101"/>
      <c r="AO42" s="101"/>
      <c r="AP42" s="101"/>
      <c r="AQ42" s="101"/>
    </row>
    <row r="43" spans="1:43" ht="18" customHeight="1" x14ac:dyDescent="0.25">
      <c r="A43" s="46"/>
      <c r="B43" s="126"/>
      <c r="C43" s="145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8"/>
    </row>
    <row r="44" spans="1:43" ht="18" customHeight="1" x14ac:dyDescent="0.25">
      <c r="A44" s="46"/>
      <c r="B44" s="143" t="str">
        <f>"*Assumptions: Number requiring critical care = "&amp;Projections_Data!$C$32&amp;"x current country fatality rate. 
Based on study from Imperial College"</f>
        <v>*Assumptions: Number requiring critical care = 2.5x current country fatality rate. 
Based on study from Imperial College</v>
      </c>
      <c r="C44" s="143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8"/>
    </row>
    <row r="45" spans="1:43" ht="15.6" customHeight="1" x14ac:dyDescent="0.25">
      <c r="A45" s="46"/>
      <c r="B45" s="144"/>
      <c r="C45" s="144"/>
      <c r="D45" s="47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8"/>
      <c r="W45" s="111" t="s">
        <v>542</v>
      </c>
      <c r="X45" s="112"/>
      <c r="Y45" s="113"/>
      <c r="Z45" s="105"/>
      <c r="AA45" s="106"/>
    </row>
    <row r="46" spans="1:43" ht="15.6" customHeight="1" x14ac:dyDescent="0.25">
      <c r="A46" s="46"/>
      <c r="B46" s="144"/>
      <c r="C46" s="144"/>
      <c r="D46" s="47"/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8"/>
      <c r="W46" s="114"/>
      <c r="X46" s="115"/>
      <c r="Y46" s="116"/>
      <c r="Z46" s="107"/>
      <c r="AA46" s="108"/>
    </row>
    <row r="47" spans="1:43" ht="13.8" customHeight="1" x14ac:dyDescent="0.25">
      <c r="A47" s="46"/>
      <c r="B47" s="144"/>
      <c r="C47" s="144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8"/>
      <c r="W47" s="117"/>
      <c r="X47" s="118"/>
      <c r="Y47" s="119"/>
      <c r="Z47" s="109"/>
      <c r="AA47" s="110"/>
    </row>
    <row r="48" spans="1:43" ht="14.4" customHeight="1" x14ac:dyDescent="0.25">
      <c r="A48" s="46"/>
      <c r="B48" s="144"/>
      <c r="C48" s="144"/>
      <c r="D48" s="47"/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48"/>
    </row>
    <row r="49" spans="1:21" ht="13.8" customHeight="1" x14ac:dyDescent="0.25">
      <c r="A49" s="46"/>
      <c r="B49" s="149" t="str">
        <f>"Source: Analysis of John Hopkins University and WHO data.
Data updated: "&amp;TEXT(Projections_Data!C2,"DD/MM/YYYY")&amp;"."</f>
        <v>Source: Analysis of John Hopkins University and WHO data.
Data updated: 28/03/2020.</v>
      </c>
      <c r="C49" s="149"/>
      <c r="D49" s="47"/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8"/>
    </row>
    <row r="50" spans="1:21" ht="13.8" customHeight="1" x14ac:dyDescent="0.25">
      <c r="A50" s="46"/>
      <c r="B50" s="148"/>
      <c r="C50" s="148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8"/>
    </row>
    <row r="51" spans="1:21" ht="13.8" customHeight="1" x14ac:dyDescent="0.25">
      <c r="A51" s="46"/>
      <c r="B51" s="148"/>
      <c r="C51" s="148"/>
      <c r="D51" s="47"/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8"/>
    </row>
    <row r="52" spans="1:21" ht="13.8" customHeight="1" x14ac:dyDescent="0.25">
      <c r="A52" s="46"/>
      <c r="B52" s="148"/>
      <c r="C52" s="148"/>
      <c r="D52" s="47"/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8"/>
    </row>
    <row r="53" spans="1:21" ht="8.4" customHeight="1" thickBot="1" x14ac:dyDescent="0.3">
      <c r="A53" s="49"/>
      <c r="B53" s="150"/>
      <c r="C53" s="150"/>
      <c r="D53" s="50"/>
      <c r="E53" s="50"/>
      <c r="F53" s="50"/>
      <c r="G53" s="50"/>
      <c r="H53" s="50"/>
      <c r="I53" s="50"/>
      <c r="J53" s="50"/>
      <c r="K53" s="50"/>
      <c r="L53" s="50"/>
      <c r="M53" s="50"/>
      <c r="N53" s="50"/>
      <c r="O53" s="50"/>
      <c r="P53" s="50"/>
      <c r="Q53" s="50"/>
      <c r="R53" s="50"/>
      <c r="S53" s="50"/>
      <c r="T53" s="50"/>
      <c r="U53" s="51"/>
    </row>
  </sheetData>
  <mergeCells count="54">
    <mergeCell ref="B49:C53"/>
    <mergeCell ref="B2:C5"/>
    <mergeCell ref="C7:C8"/>
    <mergeCell ref="B7:B8"/>
    <mergeCell ref="C16:C17"/>
    <mergeCell ref="B16:B17"/>
    <mergeCell ref="C14:C15"/>
    <mergeCell ref="B14:B15"/>
    <mergeCell ref="C12:C13"/>
    <mergeCell ref="B12:B13"/>
    <mergeCell ref="C10:C11"/>
    <mergeCell ref="B10:B11"/>
    <mergeCell ref="C22:C23"/>
    <mergeCell ref="C24:C25"/>
    <mergeCell ref="B24:B25"/>
    <mergeCell ref="C36:C37"/>
    <mergeCell ref="B36:B37"/>
    <mergeCell ref="B22:B23"/>
    <mergeCell ref="B29:C32"/>
    <mergeCell ref="B44:C48"/>
    <mergeCell ref="B40:B41"/>
    <mergeCell ref="C42:C43"/>
    <mergeCell ref="B42:B43"/>
    <mergeCell ref="C40:C41"/>
    <mergeCell ref="C38:C39"/>
    <mergeCell ref="B38:B39"/>
    <mergeCell ref="B26:C26"/>
    <mergeCell ref="B27:C27"/>
    <mergeCell ref="C34:C35"/>
    <mergeCell ref="B34:B35"/>
    <mergeCell ref="B20:B21"/>
    <mergeCell ref="C20:C21"/>
    <mergeCell ref="B18:B19"/>
    <mergeCell ref="C18:C19"/>
    <mergeCell ref="Z8:AA10"/>
    <mergeCell ref="W8:Y10"/>
    <mergeCell ref="W45:Y47"/>
    <mergeCell ref="Z45:AA47"/>
    <mergeCell ref="W3:Y5"/>
    <mergeCell ref="Z3:AC5"/>
    <mergeCell ref="AB8:AF10"/>
    <mergeCell ref="W13:AA14"/>
    <mergeCell ref="W15:Y16"/>
    <mergeCell ref="Z15:AA16"/>
    <mergeCell ref="W17:Y18"/>
    <mergeCell ref="Z17:AA18"/>
    <mergeCell ref="W19:Y20"/>
    <mergeCell ref="Z19:AA20"/>
    <mergeCell ref="AB32:AP36"/>
    <mergeCell ref="AB39:AQ42"/>
    <mergeCell ref="Z39:AA42"/>
    <mergeCell ref="W39:Y42"/>
    <mergeCell ref="W32:Y36"/>
    <mergeCell ref="Z32:AA36"/>
  </mergeCells>
  <pageMargins left="0.7" right="0.7" top="0.75" bottom="0.75" header="0.3" footer="0.3"/>
  <pageSetup orientation="portrait" horizontalDpi="360" verticalDpi="36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71211C2-481E-4A47-AC6C-3ABEC023FB05}">
          <x14:formula1>
            <xm:f>Days_Since_100!$C$5:$C$168</xm:f>
          </x14:formula1>
          <xm:sqref>Z3:AC5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412E0-2ADF-4773-BA96-2F19E27523C5}">
  <sheetPr codeName="Sheet12">
    <tabColor rgb="FF002060"/>
  </sheetPr>
  <dimension ref="A1:R81"/>
  <sheetViews>
    <sheetView zoomScale="118" zoomScaleNormal="118" workbookViewId="0">
      <selection activeCell="N2" sqref="N2"/>
    </sheetView>
  </sheetViews>
  <sheetFormatPr defaultColWidth="9" defaultRowHeight="13.2" customHeight="1" x14ac:dyDescent="0.2"/>
  <cols>
    <col min="1" max="1" width="2.21875" style="58" customWidth="1"/>
    <col min="2" max="2" width="3.88671875" style="57" customWidth="1"/>
    <col min="3" max="3" width="14" style="58" bestFit="1" customWidth="1"/>
    <col min="4" max="6" width="10.6640625" style="58" customWidth="1"/>
    <col min="7" max="8" width="13" style="57" customWidth="1"/>
    <col min="9" max="9" width="3" style="58" customWidth="1"/>
    <col min="10" max="10" width="16" style="58" customWidth="1"/>
    <col min="11" max="11" width="14" style="58" bestFit="1" customWidth="1"/>
    <col min="12" max="12" width="17.6640625" style="58" bestFit="1" customWidth="1"/>
    <col min="13" max="13" width="11.44140625" style="58" bestFit="1" customWidth="1"/>
    <col min="14" max="14" width="9" style="58"/>
    <col min="15" max="15" width="0" style="58" hidden="1" customWidth="1"/>
    <col min="16" max="16384" width="9" style="58"/>
  </cols>
  <sheetData>
    <row r="1" spans="2:18" ht="8.4" customHeight="1" x14ac:dyDescent="0.2"/>
    <row r="2" spans="2:18" ht="30.6" customHeight="1" thickBot="1" x14ac:dyDescent="0.25">
      <c r="B2" s="168" t="s">
        <v>559</v>
      </c>
      <c r="C2" s="168"/>
      <c r="D2" s="168"/>
      <c r="E2" s="168"/>
      <c r="F2" s="168"/>
      <c r="G2" s="168"/>
      <c r="H2" s="168"/>
    </row>
    <row r="3" spans="2:18" ht="34.799999999999997" thickBot="1" x14ac:dyDescent="0.25">
      <c r="B3" s="63" t="s">
        <v>511</v>
      </c>
      <c r="C3" s="64" t="s">
        <v>477</v>
      </c>
      <c r="D3" s="64" t="s">
        <v>558</v>
      </c>
      <c r="E3" s="64" t="s">
        <v>503</v>
      </c>
      <c r="F3" s="64" t="s">
        <v>565</v>
      </c>
      <c r="G3" s="64" t="s">
        <v>567</v>
      </c>
      <c r="H3" s="65" t="s">
        <v>568</v>
      </c>
      <c r="J3" s="72" t="s">
        <v>540</v>
      </c>
      <c r="K3" s="64" t="s">
        <v>515</v>
      </c>
      <c r="L3" s="64" t="s">
        <v>478</v>
      </c>
      <c r="M3" s="65" t="s">
        <v>516</v>
      </c>
      <c r="Q3" s="73" t="s">
        <v>541</v>
      </c>
    </row>
    <row r="4" spans="2:18" s="59" customFormat="1" ht="13.8" customHeight="1" x14ac:dyDescent="0.3">
      <c r="B4" s="83">
        <v>1</v>
      </c>
      <c r="C4" s="78" t="s">
        <v>145</v>
      </c>
      <c r="D4" s="79">
        <f>VLOOKUP(C4,Country_Data!B:F,5,FALSE)</f>
        <v>1187</v>
      </c>
      <c r="E4" s="75">
        <f>D4*Projections_Data!$C$15</f>
        <v>55.789000000000001</v>
      </c>
      <c r="F4" s="79">
        <f>VLOOKUP(C4,Country_Data!C:G,5,FALSE)</f>
        <v>1</v>
      </c>
      <c r="G4" s="80">
        <f>IFERROR(VLOOKUP(C4,Days_Since_100!C:G,5,FALSE)-1,0)</f>
        <v>0.24178077863635861</v>
      </c>
      <c r="H4" s="84">
        <f>IFERROR(VLOOKUP(C4,Deaths_since_10!C:G,5,FALSE)-1,0)</f>
        <v>0</v>
      </c>
      <c r="J4" s="68" t="str">
        <f>IFERROR(LOG((M4/E4),1+G4),"")</f>
        <v/>
      </c>
      <c r="K4" s="67"/>
      <c r="L4" s="61">
        <f>VLOOKUP(C4,Country_Data!C:J,8,FALSE)</f>
        <v>59308690</v>
      </c>
      <c r="M4" s="60">
        <f>(L4/100000)*K4</f>
        <v>0</v>
      </c>
      <c r="O4" s="59">
        <f t="array" ref="O4">IF(OR(C4=$Q$4:$Q$22),1,0)</f>
        <v>0</v>
      </c>
      <c r="Q4" s="59" t="s">
        <v>41</v>
      </c>
    </row>
    <row r="5" spans="2:18" s="59" customFormat="1" ht="13.8" customHeight="1" x14ac:dyDescent="0.3">
      <c r="B5" s="66">
        <f t="shared" ref="B5:B36" si="0">B4+1</f>
        <v>2</v>
      </c>
      <c r="C5" s="62" t="s">
        <v>38</v>
      </c>
      <c r="D5" s="75">
        <f>VLOOKUP(C5,Country_Data!B:F,5,FALSE)</f>
        <v>121478</v>
      </c>
      <c r="E5" s="75">
        <f>D5*Projections_Data!$C$15</f>
        <v>5709.4660000000003</v>
      </c>
      <c r="F5" s="75">
        <f>VLOOKUP(C5,Country_Data!C:G,5,FALSE)</f>
        <v>2026</v>
      </c>
      <c r="G5" s="76">
        <f>IFERROR(VLOOKUP(C5,Days_Since_100!C:G,5,FALSE)-1,0)</f>
        <v>0.22605950840203026</v>
      </c>
      <c r="H5" s="77">
        <f>IFERROR(VLOOKUP(C5,Deaths_since_10!C:G,5,FALSE)-1,0)</f>
        <v>0.29466333577236004</v>
      </c>
      <c r="J5" s="68" t="str">
        <f>IFERROR(LOG((M5/E5),1+G5),"")</f>
        <v/>
      </c>
      <c r="K5" s="67"/>
      <c r="L5" s="61">
        <f>VLOOKUP(C5,Country_Data!C:J,8,FALSE)</f>
        <v>331002651</v>
      </c>
      <c r="M5" s="60">
        <f>(L5/100000)*K5</f>
        <v>0</v>
      </c>
      <c r="O5" s="59">
        <f t="array" ref="O5">IF(OR(C5=$Q$4:$Q$22),1,0)</f>
        <v>1</v>
      </c>
      <c r="Q5" s="59" t="s">
        <v>38</v>
      </c>
    </row>
    <row r="6" spans="2:18" s="59" customFormat="1" ht="13.8" customHeight="1" x14ac:dyDescent="0.3">
      <c r="B6" s="66">
        <f t="shared" si="0"/>
        <v>3</v>
      </c>
      <c r="C6" s="62" t="s">
        <v>45</v>
      </c>
      <c r="D6" s="75">
        <f>VLOOKUP(C6,Country_Data!B:F,5,FALSE)</f>
        <v>5576</v>
      </c>
      <c r="E6" s="75">
        <f>D6*Projections_Data!$C$15</f>
        <v>262.072</v>
      </c>
      <c r="F6" s="75">
        <f>VLOOKUP(C6,Country_Data!C:G,5,FALSE)</f>
        <v>61</v>
      </c>
      <c r="G6" s="76">
        <f>IFERROR(VLOOKUP(C6,Days_Since_100!C:G,5,FALSE)-1,0)</f>
        <v>0.21707811769923935</v>
      </c>
      <c r="H6" s="77">
        <f>IFERROR(VLOOKUP(C6,Deaths_since_10!C:G,5,FALSE)-1,0)</f>
        <v>0.19530287823712555</v>
      </c>
      <c r="J6" s="68">
        <f>IFERROR(LOG((M6/E6),1+G6),"")</f>
        <v>11.688621881191747</v>
      </c>
      <c r="K6" s="67">
        <v>6.9</v>
      </c>
      <c r="L6" s="61">
        <f>VLOOKUP(C6,Country_Data!C:J,8,FALSE)</f>
        <v>37742154</v>
      </c>
      <c r="M6" s="60">
        <f>(L6/100000)*K6</f>
        <v>2604.2086260000001</v>
      </c>
      <c r="O6" s="59">
        <f t="array" ref="O6">IF(OR(C6=$Q$4:$Q$22),1,0)</f>
        <v>0</v>
      </c>
      <c r="Q6" s="59" t="s">
        <v>349</v>
      </c>
    </row>
    <row r="7" spans="2:18" s="59" customFormat="1" ht="13.8" customHeight="1" x14ac:dyDescent="0.3">
      <c r="B7" s="66">
        <f t="shared" si="0"/>
        <v>4</v>
      </c>
      <c r="C7" s="62" t="s">
        <v>349</v>
      </c>
      <c r="D7" s="75">
        <f>VLOOKUP(C7,Country_Data!B:F,5,FALSE)</f>
        <v>17312</v>
      </c>
      <c r="E7" s="75">
        <f>D7*Projections_Data!$C$15</f>
        <v>813.66399999999999</v>
      </c>
      <c r="F7" s="75">
        <f>VLOOKUP(C7,Country_Data!C:G,5,FALSE)</f>
        <v>1021</v>
      </c>
      <c r="G7" s="76">
        <f>IFERROR(VLOOKUP(C7,Days_Since_100!C:G,5,FALSE)-1,0)</f>
        <v>0.20814226047075834</v>
      </c>
      <c r="H7" s="77">
        <f>IFERROR(VLOOKUP(C7,Deaths_since_10!C:G,5,FALSE)-1,0)</f>
        <v>0.24892768561407141</v>
      </c>
      <c r="J7" s="68">
        <f>IFERROR(LOG((M7/E7),1+G7),"")</f>
        <v>15.341222571185469</v>
      </c>
      <c r="K7" s="67">
        <v>21.8</v>
      </c>
      <c r="L7" s="61">
        <f>VLOOKUP(C7,Country_Data!C:J,8,FALSE)</f>
        <v>67886011</v>
      </c>
      <c r="M7" s="60">
        <f>(L7/100000)*K7</f>
        <v>14799.150398</v>
      </c>
      <c r="O7" s="59">
        <f t="array" ref="O7">IF(OR(C7=$Q$4:$Q$22),1,0)</f>
        <v>1</v>
      </c>
      <c r="Q7" s="59" t="s">
        <v>58</v>
      </c>
    </row>
    <row r="8" spans="2:18" s="59" customFormat="1" ht="13.8" customHeight="1" x14ac:dyDescent="0.3">
      <c r="B8" s="66">
        <f t="shared" si="0"/>
        <v>5</v>
      </c>
      <c r="C8" s="62" t="s">
        <v>124</v>
      </c>
      <c r="D8" s="75">
        <f>VLOOKUP(C8,Country_Data!B:F,5,FALSE)</f>
        <v>1909</v>
      </c>
      <c r="E8" s="75">
        <f>D8*Projections_Data!$C$15</f>
        <v>89.722999999999999</v>
      </c>
      <c r="F8" s="75">
        <f>VLOOKUP(C8,Country_Data!C:G,5,FALSE)</f>
        <v>6</v>
      </c>
      <c r="G8" s="76">
        <f>IFERROR(VLOOKUP(C8,Days_Since_100!C:G,5,FALSE)-1,0)</f>
        <v>0.20673919860519452</v>
      </c>
      <c r="H8" s="77">
        <f>IFERROR(VLOOKUP(C8,Deaths_since_10!C:G,5,FALSE)-1,0)</f>
        <v>0</v>
      </c>
      <c r="J8" s="68">
        <f>IFERROR(LOG((M8/E8),1+G8),"")</f>
        <v>21.980216604007346</v>
      </c>
      <c r="K8" s="67">
        <v>29.2</v>
      </c>
      <c r="L8" s="61">
        <f>VLOOKUP(C8,Country_Data!C:J,8,FALSE)</f>
        <v>19116201</v>
      </c>
      <c r="M8" s="60">
        <f>(L8/100000)*K8</f>
        <v>5581.9306919999999</v>
      </c>
      <c r="O8" s="59">
        <f t="array" ref="O8">IF(OR(C8=$Q$4:$Q$22),1,0)</f>
        <v>0</v>
      </c>
      <c r="Q8" s="59" t="s">
        <v>60</v>
      </c>
    </row>
    <row r="9" spans="2:18" s="59" customFormat="1" ht="13.8" customHeight="1" x14ac:dyDescent="0.3">
      <c r="B9" s="66">
        <f t="shared" si="0"/>
        <v>6</v>
      </c>
      <c r="C9" s="62" t="s">
        <v>108</v>
      </c>
      <c r="D9" s="75">
        <f>VLOOKUP(C9,Country_Data!B:F,5,FALSE)</f>
        <v>5170</v>
      </c>
      <c r="E9" s="75">
        <f>D9*Projections_Data!$C$15</f>
        <v>242.99</v>
      </c>
      <c r="F9" s="75">
        <f>VLOOKUP(C9,Country_Data!C:G,5,FALSE)</f>
        <v>100</v>
      </c>
      <c r="G9" s="76">
        <f>IFERROR(VLOOKUP(C9,Days_Since_100!C:G,5,FALSE)-1,0)</f>
        <v>0.20205590034677967</v>
      </c>
      <c r="H9" s="77">
        <f>IFERROR(VLOOKUP(C9,Deaths_since_10!C:G,5,FALSE)-1,0)</f>
        <v>0.3416969508526897</v>
      </c>
      <c r="J9" s="68">
        <f>IFERROR(LOG((M9/E9),1+G9),"")</f>
        <v>8.5997184651950143</v>
      </c>
      <c r="K9" s="67">
        <v>11.6</v>
      </c>
      <c r="L9" s="61">
        <f>VLOOKUP(C9,Country_Data!C:J,8,FALSE)</f>
        <v>10196709</v>
      </c>
      <c r="M9" s="60">
        <f>(L9/100000)*K9</f>
        <v>1182.818244</v>
      </c>
      <c r="O9" s="59">
        <f t="array" ref="O9">IF(OR(C9=$Q$4:$Q$22),1,0)</f>
        <v>0</v>
      </c>
      <c r="Q9" s="59" t="s">
        <v>53</v>
      </c>
    </row>
    <row r="10" spans="2:18" s="59" customFormat="1" ht="13.8" customHeight="1" x14ac:dyDescent="0.3">
      <c r="B10" s="66">
        <f t="shared" si="0"/>
        <v>7</v>
      </c>
      <c r="C10" s="62" t="s">
        <v>63</v>
      </c>
      <c r="D10" s="75">
        <f>VLOOKUP(C10,Country_Data!B:F,5,FALSE)</f>
        <v>9134</v>
      </c>
      <c r="E10" s="75">
        <f>D10*Projections_Data!$C$15</f>
        <v>429.298</v>
      </c>
      <c r="F10" s="75">
        <f>VLOOKUP(C10,Country_Data!C:G,5,FALSE)</f>
        <v>353</v>
      </c>
      <c r="G10" s="76">
        <f>IFERROR(VLOOKUP(C10,Days_Since_100!C:G,5,FALSE)-1,0)</f>
        <v>0.19533114665621087</v>
      </c>
      <c r="H10" s="77">
        <f>IFERROR(VLOOKUP(C10,Deaths_since_10!C:G,5,FALSE)-1,0)</f>
        <v>0.32025678067105257</v>
      </c>
      <c r="J10" s="68">
        <f>IFERROR(LOG((M10/E10),1+G10),"")</f>
        <v>-2.6708792302425897</v>
      </c>
      <c r="K10" s="67">
        <v>2.2999999999999998</v>
      </c>
      <c r="L10" s="61">
        <f>VLOOKUP(C10,Country_Data!C:J,8,FALSE)</f>
        <v>11589623</v>
      </c>
      <c r="M10" s="60">
        <f>(L10/100000)*K10</f>
        <v>266.561329</v>
      </c>
      <c r="O10" s="59">
        <f t="array" ref="O10">IF(OR(C10=$Q$4:$Q$22),1,0)</f>
        <v>0</v>
      </c>
    </row>
    <row r="11" spans="2:18" s="59" customFormat="1" ht="13.8" customHeight="1" x14ac:dyDescent="0.3">
      <c r="B11" s="66">
        <f t="shared" si="0"/>
        <v>8</v>
      </c>
      <c r="C11" s="62" t="s">
        <v>56</v>
      </c>
      <c r="D11" s="75">
        <f>VLOOKUP(C11,Country_Data!B:F,5,FALSE)</f>
        <v>1075</v>
      </c>
      <c r="E11" s="75">
        <f>D11*Projections_Data!$C$15</f>
        <v>50.524999999999999</v>
      </c>
      <c r="F11" s="75">
        <f>VLOOKUP(C11,Country_Data!C:G,5,FALSE)</f>
        <v>68</v>
      </c>
      <c r="G11" s="76">
        <f>IFERROR(VLOOKUP(C11,Days_Since_100!C:G,5,FALSE)-1,0)</f>
        <v>0.18400434935407062</v>
      </c>
      <c r="H11" s="77">
        <f>IFERROR(VLOOKUP(C11,Deaths_since_10!C:G,5,FALSE)-1,0)</f>
        <v>0.15557728012426564</v>
      </c>
      <c r="J11" s="68">
        <f>IFERROR(LOG((M11/E11),1+G11),"")</f>
        <v>33.170141415471285</v>
      </c>
      <c r="K11" s="67">
        <v>12.5</v>
      </c>
      <c r="L11" s="61">
        <f>VLOOKUP(C11,Country_Data!C:J,8,FALSE)</f>
        <v>109581078</v>
      </c>
      <c r="M11" s="60">
        <f>(L11/100000)*K11</f>
        <v>13697.634750000001</v>
      </c>
      <c r="O11" s="59">
        <f t="array" ref="O11">IF(OR(C11=$Q$4:$Q$22),1,0)</f>
        <v>0</v>
      </c>
    </row>
    <row r="12" spans="2:18" s="59" customFormat="1" ht="13.8" customHeight="1" x14ac:dyDescent="0.3">
      <c r="B12" s="66">
        <f t="shared" si="0"/>
        <v>9</v>
      </c>
      <c r="C12" s="62" t="s">
        <v>137</v>
      </c>
      <c r="D12" s="75">
        <f>VLOOKUP(C12,Country_Data!B:F,5,FALSE)</f>
        <v>1638</v>
      </c>
      <c r="E12" s="75">
        <f>D12*Projections_Data!$C$15</f>
        <v>76.986000000000004</v>
      </c>
      <c r="F12" s="75">
        <f>VLOOKUP(C12,Country_Data!C:G,5,FALSE)</f>
        <v>18</v>
      </c>
      <c r="G12" s="76">
        <f>IFERROR(VLOOKUP(C12,Days_Since_100!C:G,5,FALSE)-1,0)</f>
        <v>0.16940895695973013</v>
      </c>
      <c r="H12" s="77">
        <f>IFERROR(VLOOKUP(C12,Deaths_since_10!C:G,5,FALSE)-1,0)</f>
        <v>0.17607902252467356</v>
      </c>
      <c r="J12" s="68" t="str">
        <f>IFERROR(LOG((M12/E12),1+G12),"")</f>
        <v/>
      </c>
      <c r="K12" s="67"/>
      <c r="L12" s="61">
        <f>VLOOKUP(C12,Country_Data!C:J,8,FALSE)</f>
        <v>37846611</v>
      </c>
      <c r="M12" s="60">
        <f>(L12/100000)*K12</f>
        <v>0</v>
      </c>
      <c r="O12" s="59">
        <f t="array" ref="O12">IF(OR(C12=$Q$4:$Q$22),1,0)</f>
        <v>0</v>
      </c>
    </row>
    <row r="13" spans="2:18" s="59" customFormat="1" ht="13.8" customHeight="1" x14ac:dyDescent="0.3">
      <c r="B13" s="66">
        <f t="shared" si="0"/>
        <v>10</v>
      </c>
      <c r="C13" s="62" t="s">
        <v>60</v>
      </c>
      <c r="D13" s="75">
        <f>VLOOKUP(C13,Country_Data!B:F,5,FALSE)</f>
        <v>73235</v>
      </c>
      <c r="E13" s="75">
        <f>D13*Projections_Data!$C$15</f>
        <v>3442.0450000000001</v>
      </c>
      <c r="F13" s="75">
        <f>VLOOKUP(C13,Country_Data!C:G,5,FALSE)</f>
        <v>5982</v>
      </c>
      <c r="G13" s="76">
        <f>IFERROR(VLOOKUP(C13,Days_Since_100!C:G,5,FALSE)-1,0)</f>
        <v>0.15822590316290008</v>
      </c>
      <c r="H13" s="77">
        <f>IFERROR(VLOOKUP(C13,Deaths_since_10!C:G,5,FALSE)-1,0)</f>
        <v>0.20950952450548455</v>
      </c>
      <c r="J13" s="68">
        <f>IFERROR(LOG((M13/E13),1+G13),"")</f>
        <v>-0.74375567300252199</v>
      </c>
      <c r="K13" s="67">
        <v>6.6</v>
      </c>
      <c r="L13" s="61">
        <f>VLOOKUP(C13,Country_Data!C:J,8,FALSE)</f>
        <v>46754778</v>
      </c>
      <c r="M13" s="60">
        <f>(L13/100000)*K13</f>
        <v>3085.8153479999996</v>
      </c>
      <c r="O13" s="59">
        <f t="array" ref="O13">IF(OR(C13=$Q$4:$Q$22),1,0)</f>
        <v>1</v>
      </c>
    </row>
    <row r="14" spans="2:18" s="59" customFormat="1" ht="13.8" customHeight="1" x14ac:dyDescent="0.3">
      <c r="B14" s="66">
        <f t="shared" si="0"/>
        <v>11</v>
      </c>
      <c r="C14" s="62" t="s">
        <v>89</v>
      </c>
      <c r="D14" s="75">
        <f>VLOOKUP(C14,Country_Data!B:F,5,FALSE)</f>
        <v>9819</v>
      </c>
      <c r="E14" s="75">
        <f>D14*Projections_Data!$C$15</f>
        <v>461.49299999999999</v>
      </c>
      <c r="F14" s="75">
        <f>VLOOKUP(C14,Country_Data!C:G,5,FALSE)</f>
        <v>640</v>
      </c>
      <c r="G14" s="76">
        <f>IFERROR(VLOOKUP(C14,Days_Since_100!C:G,5,FALSE)-1,0)</f>
        <v>0.15563078204497782</v>
      </c>
      <c r="H14" s="77">
        <f>IFERROR(VLOOKUP(C14,Deaths_since_10!C:G,5,FALSE)-1,0)</f>
        <v>0.24495381428207552</v>
      </c>
      <c r="J14" s="68" t="str">
        <f>IFERROR(LOG((M14/E14),1+G14),"")</f>
        <v/>
      </c>
      <c r="K14" s="67"/>
      <c r="L14" s="61">
        <f>VLOOKUP(C14,Country_Data!C:J,8,FALSE)</f>
        <v>17134872</v>
      </c>
      <c r="M14" s="60">
        <f>(L14/100000)*K14</f>
        <v>0</v>
      </c>
      <c r="O14" s="59">
        <f t="array" ref="O14">IF(OR(C14=$Q$4:$Q$22),1,0)</f>
        <v>0</v>
      </c>
      <c r="P14" s="95" t="s">
        <v>594</v>
      </c>
      <c r="Q14" s="96">
        <v>20</v>
      </c>
      <c r="R14" s="95" t="s">
        <v>595</v>
      </c>
    </row>
    <row r="15" spans="2:18" s="59" customFormat="1" ht="13.8" customHeight="1" x14ac:dyDescent="0.3">
      <c r="B15" s="66">
        <f t="shared" si="0"/>
        <v>12</v>
      </c>
      <c r="C15" s="62" t="s">
        <v>81</v>
      </c>
      <c r="D15" s="75">
        <f>VLOOKUP(C15,Country_Data!B:F,5,FALSE)</f>
        <v>3904</v>
      </c>
      <c r="E15" s="75">
        <f>D15*Projections_Data!$C$15</f>
        <v>183.488</v>
      </c>
      <c r="F15" s="75">
        <f>VLOOKUP(C15,Country_Data!C:G,5,FALSE)</f>
        <v>111</v>
      </c>
      <c r="G15" s="76">
        <f>IFERROR(VLOOKUP(C15,Days_Since_100!C:G,5,FALSE)-1,0)</f>
        <v>0.15202246535695507</v>
      </c>
      <c r="H15" s="77">
        <f>IFERROR(VLOOKUP(C15,Deaths_since_10!C:G,5,FALSE)-1,0)</f>
        <v>0.26697723728277278</v>
      </c>
      <c r="J15" s="68">
        <f>IFERROR(LOG((M15/E15),1+G15),"")</f>
        <v>27.450308228354654</v>
      </c>
      <c r="K15" s="67">
        <v>4.2</v>
      </c>
      <c r="L15" s="61">
        <f>VLOOKUP(C15,Country_Data!C:J,8,FALSE)</f>
        <v>212559417</v>
      </c>
      <c r="M15" s="60">
        <f>(L15/100000)*K15</f>
        <v>8927.4955140000002</v>
      </c>
      <c r="O15" s="59">
        <f t="array" ref="O15">IF(OR(C15=$Q$4:$Q$22),1,0)</f>
        <v>0</v>
      </c>
    </row>
    <row r="16" spans="2:18" s="59" customFormat="1" ht="13.8" customHeight="1" x14ac:dyDescent="0.3">
      <c r="B16" s="66">
        <f t="shared" si="0"/>
        <v>13</v>
      </c>
      <c r="C16" s="62" t="s">
        <v>107</v>
      </c>
      <c r="D16" s="75">
        <f>VLOOKUP(C16,Country_Data!B:F,5,FALSE)</f>
        <v>1155</v>
      </c>
      <c r="E16" s="75">
        <f>D16*Projections_Data!$C$15</f>
        <v>54.284999999999997</v>
      </c>
      <c r="F16" s="75">
        <f>VLOOKUP(C16,Country_Data!C:G,5,FALSE)</f>
        <v>102</v>
      </c>
      <c r="G16" s="76">
        <f>IFERROR(VLOOKUP(C16,Days_Since_100!C:G,5,FALSE)-1,0)</f>
        <v>0.14810255677441808</v>
      </c>
      <c r="H16" s="77">
        <f>IFERROR(VLOOKUP(C16,Deaths_since_10!C:G,5,FALSE)-1,0)</f>
        <v>0.15792603381994685</v>
      </c>
      <c r="J16" s="68" t="str">
        <f>IFERROR(LOG((M16/E16),1+G16),"")</f>
        <v/>
      </c>
      <c r="K16" s="67"/>
      <c r="L16" s="61">
        <f>VLOOKUP(C16,Country_Data!C:J,8,FALSE)</f>
        <v>273523615</v>
      </c>
      <c r="M16" s="60">
        <f>(L16/100000)*K16</f>
        <v>0</v>
      </c>
      <c r="O16" s="59">
        <f t="array" ref="O16">IF(OR(C16=$Q$4:$Q$22),1,0)</f>
        <v>0</v>
      </c>
    </row>
    <row r="17" spans="2:15" s="59" customFormat="1" ht="13.8" customHeight="1" x14ac:dyDescent="0.3">
      <c r="B17" s="66">
        <f t="shared" si="0"/>
        <v>14</v>
      </c>
      <c r="C17" s="62" t="s">
        <v>53</v>
      </c>
      <c r="D17" s="75">
        <f>VLOOKUP(C17,Country_Data!B:F,5,FALSE)</f>
        <v>57695</v>
      </c>
      <c r="E17" s="75">
        <f>D17*Projections_Data!$C$15</f>
        <v>2711.665</v>
      </c>
      <c r="F17" s="75">
        <f>VLOOKUP(C17,Country_Data!C:G,5,FALSE)</f>
        <v>433</v>
      </c>
      <c r="G17" s="76">
        <f>IFERROR(VLOOKUP(C17,Days_Since_100!C:G,5,FALSE)-1,0)</f>
        <v>0.14704503703433636</v>
      </c>
      <c r="H17" s="77">
        <f>IFERROR(VLOOKUP(C17,Deaths_since_10!C:G,5,FALSE)-1,0)</f>
        <v>0.28622384612131402</v>
      </c>
      <c r="J17" s="68" t="str">
        <f>IFERROR(LOG((M17/E17),1+G17),"")</f>
        <v/>
      </c>
      <c r="K17" s="67"/>
      <c r="L17" s="61">
        <f>VLOOKUP(C17,Country_Data!C:J,8,FALSE)</f>
        <v>83783942</v>
      </c>
      <c r="M17" s="60">
        <f>(L17/100000)*K17</f>
        <v>0</v>
      </c>
      <c r="O17" s="59">
        <f t="array" ref="O17">IF(OR(C17=$Q$4:$Q$22),1,0)</f>
        <v>1</v>
      </c>
    </row>
    <row r="18" spans="2:15" s="59" customFormat="1" ht="13.8" customHeight="1" x14ac:dyDescent="0.3">
      <c r="B18" s="66">
        <f t="shared" si="0"/>
        <v>15</v>
      </c>
      <c r="C18" s="62" t="s">
        <v>41</v>
      </c>
      <c r="D18" s="75">
        <f>VLOOKUP(C18,Country_Data!B:F,5,FALSE)</f>
        <v>38105</v>
      </c>
      <c r="E18" s="75">
        <f>D18*Projections_Data!$C$15</f>
        <v>1790.9349999999999</v>
      </c>
      <c r="F18" s="75">
        <f>VLOOKUP(C18,Country_Data!C:G,5,FALSE)</f>
        <v>2317</v>
      </c>
      <c r="G18" s="76">
        <f>IFERROR(VLOOKUP(C18,Days_Since_100!C:G,5,FALSE)-1,0)</f>
        <v>0.13620801294909257</v>
      </c>
      <c r="H18" s="77">
        <f>IFERROR(VLOOKUP(C18,Deaths_since_10!C:G,5,FALSE)-1,0)</f>
        <v>0.21866335900257905</v>
      </c>
      <c r="J18" s="68">
        <f>IFERROR(LOG((M18/E18),1+G18),"")</f>
        <v>6.6327334831180158</v>
      </c>
      <c r="K18" s="67">
        <v>6.4</v>
      </c>
      <c r="L18" s="61">
        <f>VLOOKUP(C18,Country_Data!C:J,8,FALSE)</f>
        <v>65273511</v>
      </c>
      <c r="M18" s="60">
        <f>(L18/100000)*K18</f>
        <v>4177.5047039999999</v>
      </c>
      <c r="O18" s="59">
        <f t="array" ref="O18">IF(OR(C18=$Q$4:$Q$22),1,0)</f>
        <v>1</v>
      </c>
    </row>
    <row r="19" spans="2:15" s="59" customFormat="1" ht="13.8" customHeight="1" x14ac:dyDescent="0.3">
      <c r="B19" s="66">
        <f t="shared" si="0"/>
        <v>16</v>
      </c>
      <c r="C19" s="62" t="s">
        <v>103</v>
      </c>
      <c r="D19" s="75">
        <f>VLOOKUP(C19,Country_Data!B:F,5,FALSE)</f>
        <v>1823</v>
      </c>
      <c r="E19" s="75">
        <f>D19*Projections_Data!$C$15</f>
        <v>85.680999999999997</v>
      </c>
      <c r="F19" s="75">
        <f>VLOOKUP(C19,Country_Data!C:G,5,FALSE)</f>
        <v>48</v>
      </c>
      <c r="G19" s="76">
        <f>IFERROR(VLOOKUP(C19,Days_Since_100!C:G,5,FALSE)-1,0)</f>
        <v>0.13194032620248741</v>
      </c>
      <c r="H19" s="77">
        <f>IFERROR(VLOOKUP(C19,Deaths_since_10!C:G,5,FALSE)-1,0)</f>
        <v>0.21672868378641152</v>
      </c>
      <c r="J19" s="68" t="str">
        <f>IFERROR(LOG((M19/E19),1+G19),"")</f>
        <v/>
      </c>
      <c r="K19" s="67"/>
      <c r="L19" s="61">
        <f>VLOOKUP(C19,Country_Data!C:J,8,FALSE)</f>
        <v>17643054</v>
      </c>
      <c r="M19" s="60"/>
      <c r="O19" s="59">
        <f t="array" ref="O19">IF(OR(C19=$Q$4:$Q$22),1,0)</f>
        <v>0</v>
      </c>
    </row>
    <row r="20" spans="2:15" s="59" customFormat="1" ht="13.8" customHeight="1" x14ac:dyDescent="0.2">
      <c r="B20" s="66">
        <f t="shared" si="0"/>
        <v>17</v>
      </c>
      <c r="C20" s="62" t="s">
        <v>78</v>
      </c>
      <c r="D20" s="75">
        <f>VLOOKUP(C20,Country_Data!B:F,5,FALSE)</f>
        <v>8271</v>
      </c>
      <c r="E20" s="75">
        <f>D20*Projections_Data!$C$15</f>
        <v>388.73700000000002</v>
      </c>
      <c r="F20" s="75">
        <f>VLOOKUP(C20,Country_Data!C:G,5,FALSE)</f>
        <v>68</v>
      </c>
      <c r="G20" s="76">
        <f>IFERROR(VLOOKUP(C20,Days_Since_100!C:G,5,FALSE)-1,0)</f>
        <v>0.13076513197024586</v>
      </c>
      <c r="H20" s="77">
        <f>IFERROR(VLOOKUP(C20,Deaths_since_10!C:G,5,FALSE)-1,0)</f>
        <v>0.26490504167272544</v>
      </c>
      <c r="I20" s="58"/>
      <c r="J20" s="68" t="str">
        <f>IFERROR(LOG((M20/E20),1+G20),"")</f>
        <v/>
      </c>
      <c r="K20" s="67">
        <v>12.2</v>
      </c>
      <c r="L20" s="61">
        <f>VLOOKUP(C20,Country_Data!C:J,8,FALSE)</f>
        <v>9006398</v>
      </c>
      <c r="M20" s="60"/>
      <c r="O20" s="59">
        <f t="array" ref="O20">IF(OR(C20=$Q$4:$Q$22),1,0)</f>
        <v>0</v>
      </c>
    </row>
    <row r="21" spans="2:15" s="59" customFormat="1" ht="13.8" customHeight="1" x14ac:dyDescent="0.3">
      <c r="B21" s="66">
        <f t="shared" si="0"/>
        <v>18</v>
      </c>
      <c r="C21" s="62" t="s">
        <v>77</v>
      </c>
      <c r="D21" s="75">
        <f>VLOOKUP(C21,Country_Data!B:F,5,FALSE)</f>
        <v>14076</v>
      </c>
      <c r="E21" s="75">
        <f>D21*Projections_Data!$C$15</f>
        <v>661.572</v>
      </c>
      <c r="F21" s="75">
        <f>VLOOKUP(C21,Country_Data!C:G,5,FALSE)</f>
        <v>264</v>
      </c>
      <c r="G21" s="76">
        <f>IFERROR(VLOOKUP(C21,Days_Since_100!C:G,5,FALSE)-1,0)</f>
        <v>9.8622989904026293E-2</v>
      </c>
      <c r="H21" s="77">
        <f>IFERROR(VLOOKUP(C21,Deaths_since_10!C:G,5,FALSE)-1,0)</f>
        <v>0.17080491296489231</v>
      </c>
      <c r="J21" s="68" t="str">
        <f>IFERROR(LOG((M21/E21),1+G21),"")</f>
        <v/>
      </c>
      <c r="K21" s="67"/>
      <c r="L21" s="61">
        <f>VLOOKUP(C21,Country_Data!C:J,8,FALSE)</f>
        <v>8654622</v>
      </c>
      <c r="M21" s="60">
        <f>(L21/100000)*K21</f>
        <v>0</v>
      </c>
      <c r="O21" s="59">
        <f t="array" ref="O21">IF(OR(C21=$Q$4:$Q$22),1,0)</f>
        <v>0</v>
      </c>
    </row>
    <row r="22" spans="2:15" s="59" customFormat="1" ht="13.8" customHeight="1" x14ac:dyDescent="0.3">
      <c r="B22" s="66">
        <f t="shared" si="0"/>
        <v>19</v>
      </c>
      <c r="C22" s="62" t="s">
        <v>43</v>
      </c>
      <c r="D22" s="75">
        <f>VLOOKUP(C22,Country_Data!B:F,5,FALSE)</f>
        <v>2320</v>
      </c>
      <c r="E22" s="75">
        <f>D22*Projections_Data!$C$15</f>
        <v>109.04</v>
      </c>
      <c r="F22" s="75">
        <f>VLOOKUP(C22,Country_Data!C:G,5,FALSE)</f>
        <v>27</v>
      </c>
      <c r="G22" s="76">
        <f>IFERROR(VLOOKUP(C22,Days_Since_100!C:G,5,FALSE)-1,0)</f>
        <v>8.8537118100235901E-2</v>
      </c>
      <c r="H22" s="77">
        <f>IFERROR(VLOOKUP(C22,Deaths_since_10!C:G,5,FALSE)-1,0)</f>
        <v>0.14037357635025294</v>
      </c>
      <c r="J22" s="68">
        <f>IFERROR(LOG((M22/E22),1+G22),"")</f>
        <v>48.934806396583276</v>
      </c>
      <c r="K22" s="67">
        <v>21.4</v>
      </c>
      <c r="L22" s="61">
        <f>VLOOKUP(C22,Country_Data!C:J,8,FALSE)</f>
        <v>32365999</v>
      </c>
      <c r="M22" s="60">
        <f>(L22/100000)*K22</f>
        <v>6926.323785999999</v>
      </c>
      <c r="O22" s="59">
        <f t="array" ref="O22">IF(OR(C22=$Q$4:$Q$22),1,0)</f>
        <v>0</v>
      </c>
    </row>
    <row r="23" spans="2:15" s="59" customFormat="1" ht="13.8" customHeight="1" thickBot="1" x14ac:dyDescent="0.35">
      <c r="B23" s="66">
        <f t="shared" si="0"/>
        <v>20</v>
      </c>
      <c r="C23" s="62" t="s">
        <v>58</v>
      </c>
      <c r="D23" s="75">
        <f>VLOOKUP(C23,Country_Data!B:F,5,FALSE)</f>
        <v>92472</v>
      </c>
      <c r="E23" s="75">
        <f>D23*Projections_Data!$C$15</f>
        <v>4346.1840000000002</v>
      </c>
      <c r="F23" s="75">
        <f>VLOOKUP(C23,Country_Data!C:G,5,FALSE)</f>
        <v>10023</v>
      </c>
      <c r="G23" s="76">
        <f>IFERROR(VLOOKUP(C23,Days_Since_100!C:G,5,FALSE)-1,0)</f>
        <v>7.6626797535477076E-2</v>
      </c>
      <c r="H23" s="77">
        <f>IFERROR(VLOOKUP(C23,Deaths_since_10!C:G,5,FALSE)-1,0)</f>
        <v>0.10525299086988382</v>
      </c>
      <c r="J23" s="68">
        <f>IFERROR(LOG((M23/E23),1+G23),"")</f>
        <v>-2.4473770656298437</v>
      </c>
      <c r="K23" s="67">
        <v>6</v>
      </c>
      <c r="L23" s="61">
        <f>VLOOKUP(C23,Country_Data!C:J,8,FALSE)</f>
        <v>60461826</v>
      </c>
      <c r="M23" s="60">
        <f>(L23/100000)*K23</f>
        <v>3627.7095599999998</v>
      </c>
      <c r="O23" s="59">
        <f t="array" ref="O23">IF(OR(C23=$Q$4:$Q$22),1,0)</f>
        <v>1</v>
      </c>
    </row>
    <row r="24" spans="2:15" s="59" customFormat="1" ht="13.8" hidden="1" customHeight="1" x14ac:dyDescent="0.3">
      <c r="B24" s="66">
        <f t="shared" si="0"/>
        <v>21</v>
      </c>
      <c r="C24" s="62" t="s">
        <v>99</v>
      </c>
      <c r="D24" s="75">
        <f>VLOOKUP(C24,Country_Data!B:F,5,FALSE)</f>
        <v>1831</v>
      </c>
      <c r="E24" s="75">
        <f>D24*Projections_Data!$C$15</f>
        <v>86.057000000000002</v>
      </c>
      <c r="F24" s="75">
        <f>VLOOKUP(C24,Country_Data!C:G,5,FALSE)</f>
        <v>18</v>
      </c>
      <c r="G24" s="76">
        <f>IFERROR(VLOOKUP(C24,Days_Since_100!C:G,5,FALSE)-1,0)</f>
        <v>0.15914044141566341</v>
      </c>
      <c r="H24" s="77">
        <f>IFERROR(VLOOKUP(C24,Deaths_since_10!C:G,5,FALSE)-1,0)</f>
        <v>0.17607902252467356</v>
      </c>
      <c r="J24" s="68">
        <f t="shared" ref="J24:J43" si="1">IFERROR(LOG((M24/E24),1+G24),"")</f>
        <v>3.9950155303188235</v>
      </c>
      <c r="K24" s="67">
        <v>24.8</v>
      </c>
      <c r="L24" s="61">
        <f>VLOOKUP(C24,Country_Data!C:J,8,FALSE)</f>
        <v>625978</v>
      </c>
      <c r="M24" s="60">
        <f t="shared" ref="M24:M27" si="2">(L24/100000)*K24</f>
        <v>155.24254400000001</v>
      </c>
      <c r="O24" s="59">
        <f t="array" ref="O24">IF(OR(C24=$Q$4:$Q$22),1,0)</f>
        <v>0</v>
      </c>
    </row>
    <row r="25" spans="2:15" s="59" customFormat="1" ht="13.8" hidden="1" customHeight="1" x14ac:dyDescent="0.3">
      <c r="B25" s="66">
        <f t="shared" si="0"/>
        <v>22</v>
      </c>
      <c r="C25" s="62" t="s">
        <v>35</v>
      </c>
      <c r="D25" s="75">
        <f>VLOOKUP(C25,Country_Data!B:F,5,FALSE)</f>
        <v>1245</v>
      </c>
      <c r="E25" s="75">
        <f>D25*Projections_Data!$C$15</f>
        <v>58.515000000000001</v>
      </c>
      <c r="F25" s="75">
        <f>VLOOKUP(C25,Country_Data!C:G,5,FALSE)</f>
        <v>6</v>
      </c>
      <c r="G25" s="76">
        <f>IFERROR(VLOOKUP(C25,Days_Since_100!C:G,5,FALSE)-1,0)</f>
        <v>0.11544154869820877</v>
      </c>
      <c r="H25" s="77">
        <f>IFERROR(VLOOKUP(C25,Deaths_since_10!C:G,5,FALSE)-1,0)</f>
        <v>0</v>
      </c>
      <c r="J25" s="68" t="str">
        <f t="shared" si="1"/>
        <v/>
      </c>
      <c r="K25" s="67"/>
      <c r="L25" s="61">
        <f>VLOOKUP(C25,Country_Data!C:J,8,FALSE)</f>
        <v>69799978</v>
      </c>
      <c r="M25" s="60">
        <f t="shared" si="2"/>
        <v>0</v>
      </c>
      <c r="O25" s="59">
        <f t="array" ref="O25">IF(OR(C25=$Q$4:$Q$22),1,0)</f>
        <v>0</v>
      </c>
    </row>
    <row r="26" spans="2:15" s="59" customFormat="1" ht="13.8" hidden="1" customHeight="1" x14ac:dyDescent="0.3">
      <c r="B26" s="66">
        <f t="shared" si="0"/>
        <v>23</v>
      </c>
      <c r="C26" s="62" t="s">
        <v>48</v>
      </c>
      <c r="D26" s="75">
        <f>VLOOKUP(C26,Country_Data!B:F,5,FALSE)</f>
        <v>3640</v>
      </c>
      <c r="E26" s="75">
        <f>D26*Projections_Data!$C$15</f>
        <v>171.08</v>
      </c>
      <c r="F26" s="75">
        <f>VLOOKUP(C26,Country_Data!C:G,5,FALSE)</f>
        <v>14</v>
      </c>
      <c r="G26" s="76">
        <f>IFERROR(VLOOKUP(C26,Days_Since_100!C:G,5,FALSE)-1,0)</f>
        <v>0.16695760449469521</v>
      </c>
      <c r="H26" s="77">
        <f>IFERROR(VLOOKUP(C26,Deaths_since_10!C:G,5,FALSE)-1,0)</f>
        <v>0.15016331689560292</v>
      </c>
      <c r="J26" s="68" t="str">
        <f t="shared" si="1"/>
        <v/>
      </c>
      <c r="K26" s="67"/>
      <c r="L26" s="61">
        <f>VLOOKUP(C26,Country_Data!C:J,8,FALSE)</f>
        <v>25499884</v>
      </c>
      <c r="M26" s="60">
        <f t="shared" si="2"/>
        <v>0</v>
      </c>
      <c r="O26" s="59">
        <f t="array" ref="O26">IF(OR(C26=$Q$4:$Q$22),1,0)</f>
        <v>0</v>
      </c>
    </row>
    <row r="27" spans="2:15" s="59" customFormat="1" ht="13.8" hidden="1" customHeight="1" x14ac:dyDescent="0.3">
      <c r="B27" s="66">
        <f t="shared" si="0"/>
        <v>24</v>
      </c>
      <c r="C27" s="62" t="s">
        <v>86</v>
      </c>
      <c r="D27" s="75">
        <f>VLOOKUP(C27,Country_Data!B:F,5,FALSE)</f>
        <v>1452</v>
      </c>
      <c r="E27" s="75">
        <f>D27*Projections_Data!$C$15</f>
        <v>68.244</v>
      </c>
      <c r="F27" s="75">
        <f>VLOOKUP(C27,Country_Data!C:G,5,FALSE)</f>
        <v>37</v>
      </c>
      <c r="G27" s="76">
        <f>IFERROR(VLOOKUP(C27,Days_Since_100!C:G,5,FALSE)-1,0)</f>
        <v>0.20311966829571038</v>
      </c>
      <c r="H27" s="77">
        <f>IFERROR(VLOOKUP(C27,Deaths_since_10!C:G,5,FALSE)-1,0)</f>
        <v>0.35426065041315291</v>
      </c>
      <c r="J27" s="68" t="str">
        <f t="shared" si="1"/>
        <v/>
      </c>
      <c r="K27" s="67"/>
      <c r="L27" s="61">
        <f>VLOOKUP(C27,Country_Data!C:J,8,FALSE)</f>
        <v>19237691</v>
      </c>
      <c r="M27" s="60">
        <f t="shared" si="2"/>
        <v>0</v>
      </c>
      <c r="O27" s="59">
        <f t="array" ref="O27">IF(OR(C27=$Q$4:$Q$22),1,0)</f>
        <v>0</v>
      </c>
    </row>
    <row r="28" spans="2:15" s="59" customFormat="1" ht="13.8" hidden="1" customHeight="1" x14ac:dyDescent="0.3">
      <c r="B28" s="66">
        <f t="shared" si="0"/>
        <v>25</v>
      </c>
      <c r="C28" s="62" t="s">
        <v>79</v>
      </c>
      <c r="D28" s="75">
        <f>VLOOKUP(C28,Country_Data!B:F,5,FALSE)</f>
        <v>3619</v>
      </c>
      <c r="E28" s="75">
        <f>D28*Projections_Data!$C$15</f>
        <v>170.09299999999999</v>
      </c>
      <c r="F28" s="75">
        <f>VLOOKUP(C28,Country_Data!C:G,5,FALSE)</f>
        <v>12</v>
      </c>
      <c r="G28" s="76">
        <f>IFERROR(VLOOKUP(C28,Days_Since_100!C:G,5,FALSE)-1,0)</f>
        <v>0.27573309599233808</v>
      </c>
      <c r="H28" s="77">
        <f>IFERROR(VLOOKUP(C28,Deaths_since_10!C:G,5,FALSE)-1,0)</f>
        <v>0.22474487139158894</v>
      </c>
      <c r="J28" s="68" t="str">
        <f t="shared" si="1"/>
        <v/>
      </c>
      <c r="K28" s="67">
        <v>9.1999999999999993</v>
      </c>
      <c r="L28" s="61">
        <f>VLOOKUP(C28,Country_Data!C:J,8,FALSE)</f>
        <v>8655535</v>
      </c>
      <c r="M28" s="60"/>
      <c r="O28" s="59">
        <f t="array" ref="O28">IF(OR(C28=$Q$4:$Q$22),1,0)</f>
        <v>0</v>
      </c>
    </row>
    <row r="29" spans="2:15" s="59" customFormat="1" ht="13.8" hidden="1" customHeight="1" x14ac:dyDescent="0.3">
      <c r="B29" s="66">
        <f t="shared" si="0"/>
        <v>26</v>
      </c>
      <c r="C29" s="62" t="s">
        <v>113</v>
      </c>
      <c r="D29" s="75">
        <f>VLOOKUP(C29,Country_Data!B:F,5,FALSE)</f>
        <v>1203</v>
      </c>
      <c r="E29" s="75">
        <f>D29*Projections_Data!$C$15</f>
        <v>56.540999999999997</v>
      </c>
      <c r="F29" s="75">
        <f>VLOOKUP(C29,Country_Data!C:G,5,FALSE)</f>
        <v>4</v>
      </c>
      <c r="G29" s="76">
        <f>IFERROR(VLOOKUP(C29,Days_Since_100!C:G,5,FALSE)-1,0)</f>
        <v>0.16440982795807879</v>
      </c>
      <c r="H29" s="77">
        <f>IFERROR(VLOOKUP(C29,Deaths_since_10!C:G,5,FALSE)-1,0)</f>
        <v>0</v>
      </c>
      <c r="J29" s="68">
        <f t="shared" si="1"/>
        <v>26.868427420514859</v>
      </c>
      <c r="K29" s="67">
        <v>9.6999999999999993</v>
      </c>
      <c r="L29" s="61">
        <f>VLOOKUP(C29,Country_Data!C:J,8,FALSE)</f>
        <v>34813871</v>
      </c>
      <c r="M29" s="60">
        <f t="shared" ref="M29:M36" si="3">(L29/100000)*K29</f>
        <v>3376.945487</v>
      </c>
      <c r="O29" s="59">
        <f t="array" ref="O29">IF(OR(C29=$Q$4:$Q$22),1,0)</f>
        <v>0</v>
      </c>
    </row>
    <row r="30" spans="2:15" s="59" customFormat="1" ht="13.8" hidden="1" customHeight="1" x14ac:dyDescent="0.3">
      <c r="B30" s="66">
        <f t="shared" si="0"/>
        <v>27</v>
      </c>
      <c r="C30" s="62" t="s">
        <v>57</v>
      </c>
      <c r="D30" s="75">
        <f>VLOOKUP(C30,Country_Data!B:F,5,FALSE)</f>
        <v>987</v>
      </c>
      <c r="E30" s="75">
        <f>D30*Projections_Data!$C$15</f>
        <v>46.389000000000003</v>
      </c>
      <c r="F30" s="75">
        <f>VLOOKUP(C30,Country_Data!C:G,5,FALSE)</f>
        <v>24</v>
      </c>
      <c r="G30" s="76">
        <f>IFERROR(VLOOKUP(C30,Days_Since_100!C:G,5,FALSE)-1,0)</f>
        <v>0.14615491579842876</v>
      </c>
      <c r="H30" s="77">
        <f>IFERROR(VLOOKUP(C30,Deaths_since_10!C:G,5,FALSE)-1,0)</f>
        <v>0.19135789816709159</v>
      </c>
      <c r="J30" s="68" t="str">
        <f t="shared" si="1"/>
        <v/>
      </c>
      <c r="K30" s="67"/>
      <c r="L30" s="61">
        <f>VLOOKUP(C30,Country_Data!C:J,8,FALSE)</f>
        <v>1380004385</v>
      </c>
      <c r="M30" s="60">
        <f t="shared" si="3"/>
        <v>0</v>
      </c>
      <c r="O30" s="59">
        <f t="array" ref="O30">IF(OR(C30=$Q$4:$Q$22),1,0)</f>
        <v>0</v>
      </c>
    </row>
    <row r="31" spans="2:15" s="59" customFormat="1" ht="13.8" hidden="1" customHeight="1" x14ac:dyDescent="0.3">
      <c r="B31" s="66">
        <f t="shared" si="0"/>
        <v>28</v>
      </c>
      <c r="C31" s="62" t="s">
        <v>344</v>
      </c>
      <c r="D31" s="75">
        <f>VLOOKUP(C31,Country_Data!B:F,5,FALSE)</f>
        <v>1264</v>
      </c>
      <c r="E31" s="75">
        <f>D31*Projections_Data!$C$15</f>
        <v>59.408000000000001</v>
      </c>
      <c r="F31" s="75">
        <f>VLOOKUP(C31,Country_Data!C:G,5,FALSE)</f>
        <v>4</v>
      </c>
      <c r="G31" s="76">
        <f>IFERROR(VLOOKUP(C31,Days_Since_100!C:G,5,FALSE)-1,0)</f>
        <v>0.23610280712995957</v>
      </c>
      <c r="H31" s="77">
        <f>IFERROR(VLOOKUP(C31,Deaths_since_10!C:G,5,FALSE)-1,0)</f>
        <v>0</v>
      </c>
      <c r="J31" s="68">
        <f t="shared" si="1"/>
        <v>23.933909453105144</v>
      </c>
      <c r="K31" s="67">
        <v>6.5</v>
      </c>
      <c r="L31" s="61">
        <f>VLOOKUP(C31,Country_Data!C:J,8,FALSE)</f>
        <v>145934462</v>
      </c>
      <c r="M31" s="60">
        <f t="shared" si="3"/>
        <v>9485.7400300000008</v>
      </c>
      <c r="O31" s="59">
        <f t="array" ref="O31">IF(OR(C31=$Q$4:$Q$22),1,0)</f>
        <v>0</v>
      </c>
    </row>
    <row r="32" spans="2:15" s="59" customFormat="1" ht="13.8" hidden="1" customHeight="1" x14ac:dyDescent="0.3">
      <c r="B32" s="66">
        <f t="shared" si="0"/>
        <v>29</v>
      </c>
      <c r="C32" s="62" t="s">
        <v>98</v>
      </c>
      <c r="D32" s="75">
        <f>VLOOKUP(C32,Country_Data!B:F,5,FALSE)</f>
        <v>2415</v>
      </c>
      <c r="E32" s="75">
        <f>D32*Projections_Data!$C$15</f>
        <v>113.505</v>
      </c>
      <c r="F32" s="75">
        <f>VLOOKUP(C32,Country_Data!C:G,5,FALSE)</f>
        <v>36</v>
      </c>
      <c r="G32" s="76">
        <f>IFERROR(VLOOKUP(C32,Days_Since_100!C:G,5,FALSE)-1,0)</f>
        <v>0.16507242246282638</v>
      </c>
      <c r="H32" s="77">
        <f>IFERROR(VLOOKUP(C32,Deaths_since_10!C:G,5,FALSE)-1,0)</f>
        <v>0.58740105196819936</v>
      </c>
      <c r="J32" s="68" t="str">
        <f t="shared" si="1"/>
        <v/>
      </c>
      <c r="K32" s="67"/>
      <c r="L32" s="61">
        <f>VLOOKUP(C32,Country_Data!C:J,8,FALSE)</f>
        <v>4937786</v>
      </c>
      <c r="M32" s="60">
        <f t="shared" si="3"/>
        <v>0</v>
      </c>
      <c r="O32" s="59">
        <f t="array" ref="O32">IF(OR(C32=$Q$4:$Q$22),1,0)</f>
        <v>0</v>
      </c>
    </row>
    <row r="33" spans="2:15" s="59" customFormat="1" ht="13.8" hidden="1" customHeight="1" x14ac:dyDescent="0.3">
      <c r="B33" s="66">
        <f t="shared" si="0"/>
        <v>30</v>
      </c>
      <c r="C33" s="62" t="s">
        <v>80</v>
      </c>
      <c r="D33" s="75">
        <f>VLOOKUP(C33,Country_Data!B:F,5,FALSE)</f>
        <v>1495</v>
      </c>
      <c r="E33" s="75">
        <f>D33*Projections_Data!$C$15</f>
        <v>70.265000000000001</v>
      </c>
      <c r="F33" s="75">
        <f>VLOOKUP(C33,Country_Data!C:G,5,FALSE)</f>
        <v>12</v>
      </c>
      <c r="G33" s="76">
        <f>IFERROR(VLOOKUP(C33,Days_Since_100!C:G,5,FALSE)-1,0)</f>
        <v>0.11308063709977656</v>
      </c>
      <c r="H33" s="77">
        <f>IFERROR(VLOOKUP(C33,Deaths_since_10!C:G,5,FALSE)-1,0)</f>
        <v>0.14471424255333187</v>
      </c>
      <c r="J33" s="68" t="str">
        <f t="shared" si="1"/>
        <v/>
      </c>
      <c r="K33" s="67"/>
      <c r="L33" s="61">
        <f>VLOOKUP(C33,Country_Data!C:J,8,FALSE)</f>
        <v>220892340</v>
      </c>
      <c r="M33" s="60">
        <f t="shared" si="3"/>
        <v>0</v>
      </c>
      <c r="O33" s="59">
        <f t="array" ref="O33">IF(OR(C33=$Q$4:$Q$22),1,0)</f>
        <v>0</v>
      </c>
    </row>
    <row r="34" spans="2:15" s="59" customFormat="1" ht="13.8" hidden="1" customHeight="1" x14ac:dyDescent="0.3">
      <c r="B34" s="66">
        <f t="shared" si="0"/>
        <v>31</v>
      </c>
      <c r="C34" s="62" t="s">
        <v>111</v>
      </c>
      <c r="D34" s="75">
        <f>VLOOKUP(C34,Country_Data!B:F,5,FALSE)</f>
        <v>305</v>
      </c>
      <c r="E34" s="75">
        <f>D34*Projections_Data!$C$15</f>
        <v>14.335000000000001</v>
      </c>
      <c r="F34" s="75">
        <f>VLOOKUP(C34,Country_Data!C:G,5,FALSE)</f>
        <v>0</v>
      </c>
      <c r="G34" s="76">
        <f>IFERROR(VLOOKUP(C34,Days_Since_100!C:G,5,FALSE)-1,0)</f>
        <v>0.11123386176399142</v>
      </c>
      <c r="H34" s="77">
        <f>IFERROR(VLOOKUP(C34,Deaths_since_10!C:G,5,FALSE)-1,0)</f>
        <v>0</v>
      </c>
      <c r="J34" s="68">
        <f t="shared" si="1"/>
        <v>25.337199852801685</v>
      </c>
      <c r="K34" s="67">
        <v>11</v>
      </c>
      <c r="L34" s="61">
        <f>VLOOKUP(C34,Country_Data!C:J,8,FALSE)</f>
        <v>1886198</v>
      </c>
      <c r="M34" s="60">
        <f t="shared" si="3"/>
        <v>207.48177999999999</v>
      </c>
      <c r="O34" s="59">
        <f t="array" ref="O34">IF(OR(C34=$Q$4:$Q$22),1,0)</f>
        <v>0</v>
      </c>
    </row>
    <row r="35" spans="2:15" s="59" customFormat="1" ht="13.8" hidden="1" customHeight="1" x14ac:dyDescent="0.3">
      <c r="B35" s="66">
        <f t="shared" si="0"/>
        <v>32</v>
      </c>
      <c r="C35" s="62" t="s">
        <v>67</v>
      </c>
      <c r="D35" s="75">
        <f>VLOOKUP(C35,Country_Data!B:F,5,FALSE)</f>
        <v>412</v>
      </c>
      <c r="E35" s="75">
        <f>D35*Projections_Data!$C$15</f>
        <v>19.364000000000001</v>
      </c>
      <c r="F35" s="75">
        <f>VLOOKUP(C35,Country_Data!C:G,5,FALSE)</f>
        <v>8</v>
      </c>
      <c r="G35" s="76">
        <f>IFERROR(VLOOKUP(C35,Days_Since_100!C:G,5,FALSE)-1,0)</f>
        <v>9.0629375357648145E-2</v>
      </c>
      <c r="H35" s="77">
        <f>IFERROR(VLOOKUP(C35,Deaths_since_10!C:G,5,FALSE)-1,0)</f>
        <v>0</v>
      </c>
      <c r="J35" s="68">
        <f t="shared" si="1"/>
        <v>35.365315180010526</v>
      </c>
      <c r="K35" s="67">
        <v>6.1</v>
      </c>
      <c r="L35" s="61">
        <f>VLOOKUP(C35,Country_Data!C:J,8,FALSE)</f>
        <v>6825445</v>
      </c>
      <c r="M35" s="60">
        <f t="shared" si="3"/>
        <v>416.35214500000001</v>
      </c>
      <c r="O35" s="59">
        <f t="array" ref="O35">IF(OR(C35=$Q$4:$Q$22),1,0)</f>
        <v>0</v>
      </c>
    </row>
    <row r="36" spans="2:15" s="59" customFormat="1" ht="13.8" hidden="1" customHeight="1" x14ac:dyDescent="0.3">
      <c r="B36" s="66">
        <f t="shared" si="0"/>
        <v>33</v>
      </c>
      <c r="C36" s="62" t="s">
        <v>342</v>
      </c>
      <c r="D36" s="75">
        <f>VLOOKUP(C36,Country_Data!B:F,5,FALSE)</f>
        <v>283</v>
      </c>
      <c r="E36" s="75">
        <f>D36*Projections_Data!$C$15</f>
        <v>13.301</v>
      </c>
      <c r="F36" s="75">
        <f>VLOOKUP(C36,Country_Data!C:G,5,FALSE)</f>
        <v>2</v>
      </c>
      <c r="G36" s="76">
        <f>IFERROR(VLOOKUP(C36,Days_Since_100!C:G,5,FALSE)-1,0)</f>
        <v>7.7333996782508851E-2</v>
      </c>
      <c r="H36" s="77">
        <f>IFERROR(VLOOKUP(C36,Deaths_since_10!C:G,5,FALSE)-1,0)</f>
        <v>0</v>
      </c>
      <c r="J36" s="68" t="str">
        <f t="shared" si="1"/>
        <v/>
      </c>
      <c r="K36" s="67"/>
      <c r="L36" s="61">
        <f>VLOOKUP(C36,Country_Data!C:J,8,FALSE)</f>
        <v>23816775</v>
      </c>
      <c r="M36" s="60">
        <f t="shared" si="3"/>
        <v>0</v>
      </c>
      <c r="O36" s="59">
        <f t="array" ref="O36">IF(OR(C36=$Q$4:$Q$22),1,0)</f>
        <v>0</v>
      </c>
    </row>
    <row r="37" spans="2:15" s="59" customFormat="1" ht="13.8" hidden="1" customHeight="1" x14ac:dyDescent="0.2">
      <c r="B37" s="66">
        <f t="shared" ref="B37:B59" si="4">B36+1</f>
        <v>34</v>
      </c>
      <c r="C37" s="62" t="s">
        <v>54</v>
      </c>
      <c r="D37" s="75">
        <f>VLOOKUP(C37,Country_Data!B:F,5,FALSE)</f>
        <v>1167</v>
      </c>
      <c r="E37" s="75">
        <f>D37*Projections_Data!$C$15</f>
        <v>54.848999999999997</v>
      </c>
      <c r="F37" s="75">
        <f>VLOOKUP(C37,Country_Data!C:G,5,FALSE)</f>
        <v>9</v>
      </c>
      <c r="G37" s="76">
        <f>IFERROR(VLOOKUP(C37,Days_Since_100!C:G,5,FALSE)-1,0)</f>
        <v>0.10762962552177191</v>
      </c>
      <c r="H37" s="77">
        <f>IFERROR(VLOOKUP(C37,Deaths_since_10!C:G,5,FALSE)-1,0)</f>
        <v>0</v>
      </c>
      <c r="I37" s="58"/>
      <c r="J37" s="68" t="str">
        <f t="shared" si="1"/>
        <v/>
      </c>
      <c r="K37" s="67">
        <v>9.6999999999999993</v>
      </c>
      <c r="L37" s="61">
        <f>VLOOKUP(C37,Country_Data!C:J,8,FALSE)</f>
        <v>5540720</v>
      </c>
      <c r="M37" s="60"/>
      <c r="O37" s="59">
        <f t="array" ref="O37">IF(OR(C37=$Q$4:$Q$22),1,0)</f>
        <v>0</v>
      </c>
    </row>
    <row r="38" spans="2:15" s="59" customFormat="1" ht="13.8" hidden="1" customHeight="1" x14ac:dyDescent="0.3">
      <c r="B38" s="66">
        <f t="shared" si="4"/>
        <v>35</v>
      </c>
      <c r="C38" s="62" t="s">
        <v>199</v>
      </c>
      <c r="D38" s="75">
        <f>VLOOKUP(C38,Country_Data!B:F,5,FALSE)</f>
        <v>331</v>
      </c>
      <c r="E38" s="75">
        <f>D38*Projections_Data!$C$15</f>
        <v>15.557</v>
      </c>
      <c r="F38" s="75">
        <f>VLOOKUP(C38,Country_Data!C:G,5,FALSE)</f>
        <v>7</v>
      </c>
      <c r="G38" s="76">
        <f>IFERROR(VLOOKUP(C38,Days_Since_100!C:G,5,FALSE)-1,0)</f>
        <v>0.10490868490899907</v>
      </c>
      <c r="H38" s="77">
        <f>IFERROR(VLOOKUP(C38,Deaths_since_10!C:G,5,FALSE)-1,0)</f>
        <v>0</v>
      </c>
      <c r="J38" s="68" t="str">
        <f t="shared" si="1"/>
        <v/>
      </c>
      <c r="K38" s="67"/>
      <c r="L38" s="61">
        <f>VLOOKUP(C38,Country_Data!C:J,8,FALSE)</f>
        <v>6948445</v>
      </c>
      <c r="M38" s="60">
        <f>(L38/100000)*K38</f>
        <v>0</v>
      </c>
      <c r="O38" s="59">
        <f t="array" ref="O38">IF(OR(C38=$Q$4:$Q$22),1,0)</f>
        <v>0</v>
      </c>
    </row>
    <row r="39" spans="2:15" s="59" customFormat="1" ht="13.8" hidden="1" customHeight="1" x14ac:dyDescent="0.3">
      <c r="B39" s="66">
        <f t="shared" si="4"/>
        <v>36</v>
      </c>
      <c r="C39" s="62" t="s">
        <v>92</v>
      </c>
      <c r="D39" s="75">
        <f>VLOOKUP(C39,Country_Data!B:F,5,FALSE)</f>
        <v>963</v>
      </c>
      <c r="E39" s="75">
        <f>D39*Projections_Data!$C$15</f>
        <v>45.261000000000003</v>
      </c>
      <c r="F39" s="75">
        <f>VLOOKUP(C39,Country_Data!C:G,5,FALSE)</f>
        <v>5</v>
      </c>
      <c r="G39" s="76">
        <f>IFERROR(VLOOKUP(C39,Days_Since_100!C:G,5,FALSE)-1,0)</f>
        <v>0.10369682243373024</v>
      </c>
      <c r="H39" s="77">
        <f>IFERROR(VLOOKUP(C39,Deaths_since_10!C:G,5,FALSE)-1,0)</f>
        <v>0</v>
      </c>
      <c r="J39" s="68" t="str">
        <f t="shared" si="1"/>
        <v/>
      </c>
      <c r="K39" s="67"/>
      <c r="L39" s="61">
        <f>VLOOKUP(C39,Country_Data!C:J,8,FALSE)</f>
        <v>341243</v>
      </c>
      <c r="M39" s="60"/>
      <c r="O39" s="59">
        <f t="array" ref="O39">IF(OR(C39=$Q$4:$Q$22),1,0)</f>
        <v>0</v>
      </c>
    </row>
    <row r="40" spans="2:15" s="59" customFormat="1" ht="13.8" hidden="1" customHeight="1" x14ac:dyDescent="0.3">
      <c r="B40" s="66">
        <f t="shared" si="4"/>
        <v>37</v>
      </c>
      <c r="C40" s="62" t="s">
        <v>92</v>
      </c>
      <c r="D40" s="75">
        <f>VLOOKUP(C40,Country_Data!B:F,5,FALSE)</f>
        <v>963</v>
      </c>
      <c r="E40" s="75">
        <f>D40*Projections_Data!$C$15</f>
        <v>45.261000000000003</v>
      </c>
      <c r="F40" s="75">
        <f>VLOOKUP(C40,Country_Data!C:G,5,FALSE)</f>
        <v>5</v>
      </c>
      <c r="G40" s="76">
        <f>IFERROR(VLOOKUP(C40,Days_Since_100!C:G,5,FALSE)-1,0)</f>
        <v>0.10369682243373024</v>
      </c>
      <c r="H40" s="77">
        <f>IFERROR(VLOOKUP(C40,Deaths_since_10!C:G,5,FALSE)-1,0)</f>
        <v>0</v>
      </c>
      <c r="J40" s="68">
        <f t="shared" si="1"/>
        <v>1.8375055409276353</v>
      </c>
      <c r="K40" s="67">
        <v>15.9</v>
      </c>
      <c r="L40" s="61">
        <f>VLOOKUP(C40,Country_Data!C:J,8,FALSE)</f>
        <v>341243</v>
      </c>
      <c r="M40" s="60">
        <f>(L40/100000)*K40</f>
        <v>54.257637000000003</v>
      </c>
      <c r="O40" s="59">
        <f t="array" ref="O40">IF(OR(C40=$Q$4:$Q$22),1,0)</f>
        <v>0</v>
      </c>
    </row>
    <row r="41" spans="2:15" s="59" customFormat="1" ht="13.8" hidden="1" customHeight="1" x14ac:dyDescent="0.3">
      <c r="B41" s="66">
        <f t="shared" si="4"/>
        <v>38</v>
      </c>
      <c r="C41" s="62" t="s">
        <v>160</v>
      </c>
      <c r="D41" s="75">
        <f>VLOOKUP(C41,Country_Data!B:F,5,FALSE)</f>
        <v>671</v>
      </c>
      <c r="E41" s="75">
        <f>D41*Projections_Data!$C$15</f>
        <v>31.536999999999999</v>
      </c>
      <c r="F41" s="75">
        <f>VLOOKUP(C41,Country_Data!C:G,5,FALSE)</f>
        <v>16</v>
      </c>
      <c r="G41" s="76">
        <f>IFERROR(VLOOKUP(C41,Days_Since_100!C:G,5,FALSE)-1,0)</f>
        <v>0.11179594291231743</v>
      </c>
      <c r="H41" s="77">
        <f>IFERROR(VLOOKUP(C41,Deaths_since_10!C:G,5,FALSE)-1,0)</f>
        <v>0.21141372855475971</v>
      </c>
      <c r="J41" s="68">
        <f t="shared" si="1"/>
        <v>54.018164557509728</v>
      </c>
      <c r="K41" s="67">
        <v>29.3</v>
      </c>
      <c r="L41" s="61">
        <f>VLOOKUP(C41,Country_Data!C:J,8,FALSE)</f>
        <v>32971854</v>
      </c>
      <c r="M41" s="60">
        <f>(L41/100000)*K41</f>
        <v>9660.7532220000012</v>
      </c>
      <c r="O41" s="59">
        <f t="array" ref="O41">IF(OR(C41=$Q$4:$Q$22),1,0)</f>
        <v>0</v>
      </c>
    </row>
    <row r="42" spans="2:15" s="59" customFormat="1" ht="13.8" hidden="1" customHeight="1" x14ac:dyDescent="0.2">
      <c r="B42" s="66">
        <f t="shared" si="4"/>
        <v>39</v>
      </c>
      <c r="C42" s="62" t="s">
        <v>162</v>
      </c>
      <c r="D42" s="75">
        <f>VLOOKUP(C42,Country_Data!B:F,5,FALSE)</f>
        <v>292</v>
      </c>
      <c r="E42" s="75">
        <f>D42*Projections_Data!$C$15</f>
        <v>13.724</v>
      </c>
      <c r="F42" s="75">
        <f>VLOOKUP(C42,Country_Data!C:G,5,FALSE)</f>
        <v>1</v>
      </c>
      <c r="G42" s="76">
        <f>IFERROR(VLOOKUP(C42,Days_Since_100!C:G,5,FALSE)-1,0)</f>
        <v>9.4394700736364578E-2</v>
      </c>
      <c r="H42" s="77">
        <f>IFERROR(VLOOKUP(C42,Deaths_since_10!C:G,5,FALSE)-1,0)</f>
        <v>0</v>
      </c>
      <c r="I42" s="58"/>
      <c r="J42" s="68" t="str">
        <f t="shared" si="1"/>
        <v/>
      </c>
      <c r="K42" s="67">
        <v>9.1</v>
      </c>
      <c r="L42" s="61">
        <f>VLOOKUP(C42,Country_Data!C:J,8,FALSE)</f>
        <v>5459642</v>
      </c>
      <c r="M42" s="60"/>
      <c r="O42" s="59">
        <f t="array" ref="O42">IF(OR(C42=$Q$4:$Q$22),1,0)</f>
        <v>0</v>
      </c>
    </row>
    <row r="43" spans="2:15" s="59" customFormat="1" ht="13.8" hidden="1" customHeight="1" x14ac:dyDescent="0.3">
      <c r="B43" s="66">
        <f t="shared" si="4"/>
        <v>40</v>
      </c>
      <c r="C43" s="62" t="s">
        <v>40</v>
      </c>
      <c r="D43" s="75">
        <f>VLOOKUP(C43,Country_Data!B:F,5,FALSE)</f>
        <v>802</v>
      </c>
      <c r="E43" s="75">
        <f>D43*Projections_Data!$C$15</f>
        <v>37.694000000000003</v>
      </c>
      <c r="F43" s="75">
        <f>VLOOKUP(C43,Country_Data!C:G,5,FALSE)</f>
        <v>2</v>
      </c>
      <c r="G43" s="76">
        <f>IFERROR(VLOOKUP(C43,Days_Since_100!C:G,5,FALSE)-1,0)</f>
        <v>9.5194659019527839E-2</v>
      </c>
      <c r="H43" s="77">
        <f>IFERROR(VLOOKUP(C43,Deaths_since_10!C:G,5,FALSE)-1,0)</f>
        <v>0</v>
      </c>
      <c r="J43" s="68" t="str">
        <f t="shared" si="1"/>
        <v/>
      </c>
      <c r="K43" s="67"/>
      <c r="L43" s="61">
        <f>VLOOKUP(C43,Country_Data!C:J,8,FALSE)</f>
        <v>5850342</v>
      </c>
      <c r="M43" s="60">
        <f>(L43/100000)*K43</f>
        <v>0</v>
      </c>
      <c r="O43" s="59">
        <f t="array" ref="O43">IF(OR(C43=$Q$4:$Q$22),1,0)</f>
        <v>0</v>
      </c>
    </row>
    <row r="44" spans="2:15" s="59" customFormat="1" ht="13.8" hidden="1" customHeight="1" x14ac:dyDescent="0.3">
      <c r="B44" s="66">
        <f t="shared" si="4"/>
        <v>41</v>
      </c>
      <c r="C44" s="62" t="s">
        <v>65</v>
      </c>
      <c r="D44" s="75">
        <f>VLOOKUP(C44,Country_Data!B:F,5,FALSE)</f>
        <v>576</v>
      </c>
      <c r="E44" s="75">
        <f>D44*Projections_Data!$C$15</f>
        <v>27.071999999999999</v>
      </c>
      <c r="F44" s="75">
        <f>VLOOKUP(C44,Country_Data!C:G,5,FALSE)</f>
        <v>36</v>
      </c>
      <c r="G44" s="76">
        <f>IFERROR(VLOOKUP(C44,Days_Since_100!C:G,5,FALSE)-1,0)</f>
        <v>9.4934851836638412E-2</v>
      </c>
      <c r="H44" s="77">
        <f>IFERROR(VLOOKUP(C44,Deaths_since_10!C:G,5,FALSE)-1,0)</f>
        <v>0.13634388693076627</v>
      </c>
      <c r="J44" s="68">
        <f t="shared" ref="J44:J66" si="5">IFERROR(LOG((M44/E44),1+G44),"")</f>
        <v>44.266236940233526</v>
      </c>
      <c r="K44" s="67"/>
      <c r="L44" s="61">
        <f>VLOOKUP(C44,Country_Data!C:J,8,FALSE)</f>
        <v>102334404</v>
      </c>
      <c r="M44" s="60">
        <v>1500</v>
      </c>
      <c r="O44" s="59">
        <f t="array" ref="O44">IF(OR(C44=$Q$4:$Q$22),1,0)</f>
        <v>0</v>
      </c>
    </row>
    <row r="45" spans="2:15" s="59" customFormat="1" ht="13.8" hidden="1" customHeight="1" x14ac:dyDescent="0.3">
      <c r="B45" s="66">
        <f t="shared" si="4"/>
        <v>42</v>
      </c>
      <c r="C45" s="62" t="s">
        <v>85</v>
      </c>
      <c r="D45" s="75">
        <f>VLOOKUP(C45,Country_Data!B:F,5,FALSE)</f>
        <v>4015</v>
      </c>
      <c r="E45" s="75">
        <f>D45*Projections_Data!$C$15</f>
        <v>188.70500000000001</v>
      </c>
      <c r="F45" s="75">
        <f>VLOOKUP(C45,Country_Data!C:G,5,FALSE)</f>
        <v>23</v>
      </c>
      <c r="G45" s="76">
        <f>IFERROR(VLOOKUP(C45,Days_Since_100!C:G,5,FALSE)-1,0)</f>
        <v>8.9039684602529423E-2</v>
      </c>
      <c r="H45" s="77">
        <f>IFERROR(VLOOKUP(C45,Deaths_since_10!C:G,5,FALSE)-1,0)</f>
        <v>0.18126018804310839</v>
      </c>
      <c r="J45" s="68">
        <f t="shared" si="5"/>
        <v>9.7561862792475651</v>
      </c>
      <c r="K45" s="67">
        <v>8</v>
      </c>
      <c r="L45" s="61">
        <f>VLOOKUP(C45,Country_Data!C:J,8,FALSE)</f>
        <v>5421241</v>
      </c>
      <c r="M45" s="60">
        <f>(L45/100000)*K45</f>
        <v>433.69927999999999</v>
      </c>
      <c r="O45" s="59">
        <f t="array" ref="O45">IF(OR(C45=$Q$4:$Q$22),1,0)</f>
        <v>0</v>
      </c>
    </row>
    <row r="46" spans="2:15" s="59" customFormat="1" ht="13.8" hidden="1" customHeight="1" x14ac:dyDescent="0.3">
      <c r="B46" s="66">
        <f t="shared" si="4"/>
        <v>43</v>
      </c>
      <c r="C46" s="62" t="s">
        <v>59</v>
      </c>
      <c r="D46" s="75">
        <f>VLOOKUP(C46,Country_Data!B:F,5,FALSE)</f>
        <v>3447</v>
      </c>
      <c r="E46" s="75">
        <f>D46*Projections_Data!$C$15</f>
        <v>162.00900000000001</v>
      </c>
      <c r="F46" s="75">
        <f>VLOOKUP(C46,Country_Data!C:G,5,FALSE)</f>
        <v>105</v>
      </c>
      <c r="G46" s="76">
        <f>IFERROR(VLOOKUP(C46,Days_Since_100!C:G,5,FALSE)-1,0)</f>
        <v>0.10995949537030403</v>
      </c>
      <c r="H46" s="77">
        <f>IFERROR(VLOOKUP(C46,Deaths_since_10!C:G,5,FALSE)-1,0)</f>
        <v>0.33244673837449668</v>
      </c>
      <c r="J46" s="68">
        <f t="shared" si="5"/>
        <v>21.168930042691919</v>
      </c>
      <c r="K46" s="67">
        <v>14.6</v>
      </c>
      <c r="L46" s="61">
        <f>VLOOKUP(C46,Country_Data!C:J,8,FALSE)</f>
        <v>10099265</v>
      </c>
      <c r="M46" s="60">
        <f>(L46/100000)*K46</f>
        <v>1474.49269</v>
      </c>
      <c r="O46" s="59">
        <f t="array" ref="O46">IF(OR(C46=$Q$4:$Q$22),1,0)</f>
        <v>0</v>
      </c>
    </row>
    <row r="47" spans="2:15" s="59" customFormat="1" ht="13.8" hidden="1" customHeight="1" x14ac:dyDescent="0.3">
      <c r="B47" s="66">
        <f t="shared" si="4"/>
        <v>44</v>
      </c>
      <c r="C47" s="62" t="s">
        <v>83</v>
      </c>
      <c r="D47" s="75">
        <f>VLOOKUP(C47,Country_Data!B:F,5,FALSE)</f>
        <v>1061</v>
      </c>
      <c r="E47" s="75">
        <f>D47*Projections_Data!$C$15</f>
        <v>49.866999999999997</v>
      </c>
      <c r="F47" s="75">
        <f>VLOOKUP(C47,Country_Data!C:G,5,FALSE)</f>
        <v>32</v>
      </c>
      <c r="G47" s="76">
        <f>IFERROR(VLOOKUP(C47,Days_Since_100!C:G,5,FALSE)-1,0)</f>
        <v>8.829370190636654E-2</v>
      </c>
      <c r="H47" s="77">
        <f>IFERROR(VLOOKUP(C47,Deaths_since_10!C:G,5,FALSE)-1,0)</f>
        <v>0.13485457134316015</v>
      </c>
      <c r="J47" s="68" t="str">
        <f t="shared" si="5"/>
        <v/>
      </c>
      <c r="K47" s="67"/>
      <c r="L47" s="61">
        <f>VLOOKUP(C47,Country_Data!C:J,8,FALSE)</f>
        <v>10423054</v>
      </c>
      <c r="M47" s="60"/>
      <c r="O47" s="59">
        <f t="array" ref="O47">IF(OR(C47=$Q$4:$Q$22),1,0)</f>
        <v>0</v>
      </c>
    </row>
    <row r="48" spans="2:15" s="59" customFormat="1" ht="13.8" hidden="1" customHeight="1" x14ac:dyDescent="0.3">
      <c r="B48" s="66">
        <f t="shared" si="4"/>
        <v>45</v>
      </c>
      <c r="C48" s="62" t="s">
        <v>70</v>
      </c>
      <c r="D48" s="75">
        <f>VLOOKUP(C48,Country_Data!B:F,5,FALSE)</f>
        <v>506</v>
      </c>
      <c r="E48" s="75">
        <f>D48*Projections_Data!$C$15</f>
        <v>23.782</v>
      </c>
      <c r="F48" s="75">
        <f>VLOOKUP(C48,Country_Data!C:G,5,FALSE)</f>
        <v>42</v>
      </c>
      <c r="G48" s="76">
        <f>IFERROR(VLOOKUP(C48,Days_Since_100!C:G,5,FALSE)-1,0)</f>
        <v>0.13724431903326972</v>
      </c>
      <c r="H48" s="77">
        <f>IFERROR(VLOOKUP(C48,Deaths_since_10!C:G,5,FALSE)-1,0)</f>
        <v>0.12798751017068111</v>
      </c>
      <c r="J48" s="68">
        <f t="shared" si="5"/>
        <v>35.658262425667736</v>
      </c>
      <c r="K48" s="67">
        <v>5.8</v>
      </c>
      <c r="L48" s="61">
        <f>VLOOKUP(C48,Country_Data!C:J,8,FALSE)</f>
        <v>40222493</v>
      </c>
      <c r="M48" s="60">
        <f t="shared" ref="M48:M61" si="6">(L48/100000)*K48</f>
        <v>2332.9045939999996</v>
      </c>
      <c r="O48" s="59">
        <f t="array" ref="O48">IF(OR(C48=$Q$4:$Q$22),1,0)</f>
        <v>0</v>
      </c>
    </row>
    <row r="49" spans="2:15" s="59" customFormat="1" ht="13.8" hidden="1" customHeight="1" x14ac:dyDescent="0.3">
      <c r="B49" s="66">
        <f t="shared" si="4"/>
        <v>46</v>
      </c>
      <c r="C49" s="62" t="s">
        <v>141</v>
      </c>
      <c r="D49" s="75">
        <f>VLOOKUP(C49,Country_Data!B:F,5,FALSE)</f>
        <v>684</v>
      </c>
      <c r="E49" s="75">
        <f>D49*Projections_Data!$C$15</f>
        <v>32.148000000000003</v>
      </c>
      <c r="F49" s="75">
        <f>VLOOKUP(C49,Country_Data!C:G,5,FALSE)</f>
        <v>9</v>
      </c>
      <c r="G49" s="76">
        <f>IFERROR(VLOOKUP(C49,Days_Since_100!C:G,5,FALSE)-1,0)</f>
        <v>9.1256306283545641E-2</v>
      </c>
      <c r="H49" s="77">
        <f>IFERROR(VLOOKUP(C49,Deaths_since_10!C:G,5,FALSE)-1,0)</f>
        <v>0</v>
      </c>
      <c r="J49" s="68" t="str">
        <f t="shared" si="5"/>
        <v/>
      </c>
      <c r="K49" s="67"/>
      <c r="L49" s="61">
        <f>VLOOKUP(C49,Country_Data!C:J,8,FALSE)</f>
        <v>2078938</v>
      </c>
      <c r="M49" s="60">
        <f t="shared" si="6"/>
        <v>0</v>
      </c>
      <c r="O49" s="59">
        <f t="array" ref="O49">IF(OR(C49=$Q$4:$Q$22),1,0)</f>
        <v>0</v>
      </c>
    </row>
    <row r="50" spans="2:15" s="59" customFormat="1" ht="13.8" hidden="1" customHeight="1" x14ac:dyDescent="0.3">
      <c r="B50" s="66">
        <f t="shared" si="4"/>
        <v>47</v>
      </c>
      <c r="C50" s="62" t="s">
        <v>87</v>
      </c>
      <c r="D50" s="75">
        <f>VLOOKUP(C50,Country_Data!B:F,5,FALSE)</f>
        <v>2366</v>
      </c>
      <c r="E50" s="75">
        <f>D50*Projections_Data!$C$15</f>
        <v>111.202</v>
      </c>
      <c r="F50" s="75">
        <f>VLOOKUP(C50,Country_Data!C:G,5,FALSE)</f>
        <v>65</v>
      </c>
      <c r="G50" s="76">
        <f>IFERROR(VLOOKUP(C50,Days_Since_100!C:G,5,FALSE)-1,0)</f>
        <v>8.5206633313082536E-2</v>
      </c>
      <c r="H50" s="77">
        <f>IFERROR(VLOOKUP(C50,Deaths_since_10!C:G,5,FALSE)-1,0)</f>
        <v>0.22050741707263222</v>
      </c>
      <c r="J50" s="68" t="str">
        <f t="shared" si="5"/>
        <v/>
      </c>
      <c r="K50" s="67"/>
      <c r="L50" s="61">
        <f>VLOOKUP(C50,Country_Data!C:J,8,FALSE)</f>
        <v>5792202</v>
      </c>
      <c r="M50" s="60">
        <f t="shared" si="6"/>
        <v>0</v>
      </c>
      <c r="O50" s="59">
        <f t="array" ref="O50">IF(OR(C50=$Q$4:$Q$22),1,0)</f>
        <v>0</v>
      </c>
    </row>
    <row r="51" spans="2:15" s="59" customFormat="1" ht="13.8" hidden="1" customHeight="1" x14ac:dyDescent="0.3">
      <c r="B51" s="66">
        <f t="shared" si="4"/>
        <v>48</v>
      </c>
      <c r="C51" s="62" t="s">
        <v>90</v>
      </c>
      <c r="D51" s="75">
        <f>VLOOKUP(C51,Country_Data!B:F,5,FALSE)</f>
        <v>224</v>
      </c>
      <c r="E51" s="75">
        <f>D51*Projections_Data!$C$15</f>
        <v>10.528</v>
      </c>
      <c r="F51" s="75">
        <f>VLOOKUP(C51,Country_Data!C:G,5,FALSE)</f>
        <v>22</v>
      </c>
      <c r="G51" s="76">
        <f>IFERROR(VLOOKUP(C51,Days_Since_100!C:G,5,FALSE)-1,0)</f>
        <v>3.676727950668246E-2</v>
      </c>
      <c r="H51" s="77">
        <f>IFERROR(VLOOKUP(C51,Deaths_since_10!C:G,5,FALSE)-1,0)</f>
        <v>1.9244876491456564E-2</v>
      </c>
      <c r="J51" s="68" t="str">
        <f t="shared" si="5"/>
        <v/>
      </c>
      <c r="K51" s="67"/>
      <c r="L51" s="61">
        <f>VLOOKUP(C51,Country_Data!C:J,8,FALSE)</f>
        <v>33931</v>
      </c>
      <c r="M51" s="60">
        <f t="shared" si="6"/>
        <v>0</v>
      </c>
      <c r="O51" s="59">
        <f t="array" ref="O51">IF(OR(C51=$Q$4:$Q$22),1,0)</f>
        <v>0</v>
      </c>
    </row>
    <row r="52" spans="2:15" s="59" customFormat="1" ht="13.8" hidden="1" customHeight="1" x14ac:dyDescent="0.3">
      <c r="B52" s="66">
        <f t="shared" si="4"/>
        <v>49</v>
      </c>
      <c r="C52" s="62" t="s">
        <v>55</v>
      </c>
      <c r="D52" s="75">
        <f>VLOOKUP(C52,Country_Data!B:F,5,FALSE)</f>
        <v>468</v>
      </c>
      <c r="E52" s="75">
        <f>D52*Projections_Data!$C$15</f>
        <v>21.995999999999999</v>
      </c>
      <c r="F52" s="75">
        <f>VLOOKUP(C52,Country_Data!C:G,5,FALSE)</f>
        <v>2</v>
      </c>
      <c r="G52" s="76">
        <f>IFERROR(VLOOKUP(C52,Days_Since_100!C:G,5,FALSE)-1,0)</f>
        <v>0.18772564182493778</v>
      </c>
      <c r="H52" s="77">
        <f>IFERROR(VLOOKUP(C52,Deaths_since_10!C:G,5,FALSE)-1,0)</f>
        <v>0</v>
      </c>
      <c r="J52" s="68">
        <f t="shared" si="5"/>
        <v>19.794186141943108</v>
      </c>
      <c r="K52" s="67">
        <v>6.7</v>
      </c>
      <c r="L52" s="61">
        <f>VLOOKUP(C52,Country_Data!C:J,8,FALSE)</f>
        <v>9890402</v>
      </c>
      <c r="M52" s="60">
        <f t="shared" si="6"/>
        <v>662.65693400000009</v>
      </c>
      <c r="O52" s="59">
        <f t="array" ref="O52">IF(OR(C52=$Q$4:$Q$22),1,0)</f>
        <v>0</v>
      </c>
    </row>
    <row r="53" spans="2:15" s="59" customFormat="1" ht="13.8" hidden="1" customHeight="1" x14ac:dyDescent="0.3">
      <c r="B53" s="66">
        <f t="shared" si="4"/>
        <v>50</v>
      </c>
      <c r="C53" s="62" t="s">
        <v>73</v>
      </c>
      <c r="D53" s="75">
        <f>VLOOKUP(C53,Country_Data!B:F,5,FALSE)</f>
        <v>476</v>
      </c>
      <c r="E53" s="75">
        <f>D53*Projections_Data!$C$15</f>
        <v>22.372</v>
      </c>
      <c r="F53" s="75">
        <f>VLOOKUP(C53,Country_Data!C:G,5,FALSE)</f>
        <v>4</v>
      </c>
      <c r="G53" s="76">
        <f>IFERROR(VLOOKUP(C53,Days_Since_100!C:G,5,FALSE)-1,0)</f>
        <v>4.7739025435345583E-2</v>
      </c>
      <c r="H53" s="77">
        <f>IFERROR(VLOOKUP(C53,Deaths_since_10!C:G,5,FALSE)-1,0)</f>
        <v>0</v>
      </c>
      <c r="J53" s="68" t="str">
        <f t="shared" si="5"/>
        <v/>
      </c>
      <c r="K53" s="67"/>
      <c r="L53" s="61">
        <f>VLOOKUP(C53,Country_Data!C:J,8,FALSE)</f>
        <v>1701575</v>
      </c>
      <c r="M53" s="60">
        <f t="shared" si="6"/>
        <v>0</v>
      </c>
      <c r="O53" s="59">
        <f t="array" ref="O53">IF(OR(C53=$Q$4:$Q$22),1,0)</f>
        <v>0</v>
      </c>
    </row>
    <row r="54" spans="2:15" s="59" customFormat="1" ht="13.8" hidden="1" customHeight="1" x14ac:dyDescent="0.3">
      <c r="B54" s="66">
        <f t="shared" si="4"/>
        <v>51</v>
      </c>
      <c r="C54" s="62" t="s">
        <v>88</v>
      </c>
      <c r="D54" s="75">
        <f>VLOOKUP(C54,Country_Data!B:F,5,FALSE)</f>
        <v>645</v>
      </c>
      <c r="E54" s="75">
        <f>D54*Projections_Data!$C$15</f>
        <v>30.315000000000001</v>
      </c>
      <c r="F54" s="75">
        <f>VLOOKUP(C54,Country_Data!C:G,5,FALSE)</f>
        <v>1</v>
      </c>
      <c r="G54" s="76">
        <f>IFERROR(VLOOKUP(C54,Days_Since_100!C:G,5,FALSE)-1,0)</f>
        <v>0.12876467665654223</v>
      </c>
      <c r="H54" s="77">
        <f>IFERROR(VLOOKUP(C54,Deaths_since_10!C:G,5,FALSE)-1,0)</f>
        <v>0</v>
      </c>
      <c r="J54" s="68" t="str">
        <f t="shared" si="5"/>
        <v/>
      </c>
      <c r="K54" s="67"/>
      <c r="L54" s="61">
        <f>VLOOKUP(C54,Country_Data!C:J,8,FALSE)</f>
        <v>1326535</v>
      </c>
      <c r="M54" s="60">
        <f t="shared" si="6"/>
        <v>0</v>
      </c>
      <c r="O54" s="59">
        <f t="array" ref="O54">IF(OR(C54=$Q$4:$Q$22),1,0)</f>
        <v>0</v>
      </c>
    </row>
    <row r="55" spans="2:15" s="59" customFormat="1" ht="13.8" hidden="1" customHeight="1" x14ac:dyDescent="0.3">
      <c r="B55" s="66">
        <f t="shared" si="4"/>
        <v>52</v>
      </c>
      <c r="C55" s="62" t="s">
        <v>74</v>
      </c>
      <c r="D55" s="75">
        <f>VLOOKUP(C55,Country_Data!B:F,5,FALSE)</f>
        <v>235</v>
      </c>
      <c r="E55" s="75">
        <f>D55*Projections_Data!$C$15</f>
        <v>11.045</v>
      </c>
      <c r="F55" s="75">
        <f>VLOOKUP(C55,Country_Data!C:G,5,FALSE)</f>
        <v>0</v>
      </c>
      <c r="G55" s="76">
        <f>IFERROR(VLOOKUP(C55,Days_Since_100!C:G,5,FALSE)-1,0)</f>
        <v>4.4530706455976565E-2</v>
      </c>
      <c r="H55" s="77">
        <f>IFERROR(VLOOKUP(C55,Deaths_since_10!C:G,5,FALSE)-1,0)</f>
        <v>0</v>
      </c>
      <c r="J55" s="68" t="str">
        <f t="shared" si="5"/>
        <v/>
      </c>
      <c r="K55" s="67"/>
      <c r="L55" s="61">
        <f>VLOOKUP(C55,Country_Data!C:J,8,FALSE)</f>
        <v>4270571</v>
      </c>
      <c r="M55" s="60">
        <f t="shared" si="6"/>
        <v>0</v>
      </c>
      <c r="O55" s="59">
        <f t="array" ref="O55">IF(OR(C55=$Q$4:$Q$22),1,0)</f>
        <v>0</v>
      </c>
    </row>
    <row r="56" spans="2:15" s="59" customFormat="1" ht="13.8" hidden="1" customHeight="1" x14ac:dyDescent="0.3">
      <c r="B56" s="66">
        <f t="shared" si="4"/>
        <v>53</v>
      </c>
      <c r="C56" s="62" t="s">
        <v>338</v>
      </c>
      <c r="D56" s="75">
        <f>VLOOKUP(C56,Country_Data!B:F,5,FALSE)</f>
        <v>35408</v>
      </c>
      <c r="E56" s="75">
        <f>D56*Projections_Data!$C$15</f>
        <v>1664.1759999999999</v>
      </c>
      <c r="F56" s="75">
        <f>VLOOKUP(C56,Country_Data!C:G,5,FALSE)</f>
        <v>2517</v>
      </c>
      <c r="G56" s="76">
        <f>IFERROR(VLOOKUP(C56,Days_Since_100!C:G,5,FALSE)-1,0)</f>
        <v>8.9657121966231879E-2</v>
      </c>
      <c r="H56" s="77">
        <f>IFERROR(VLOOKUP(C56,Deaths_since_10!C:G,5,FALSE)-1,0)</f>
        <v>6.7935453278515245E-2</v>
      </c>
      <c r="J56" s="68" t="str">
        <f t="shared" si="5"/>
        <v/>
      </c>
      <c r="K56" s="67"/>
      <c r="L56" s="61">
        <f>VLOOKUP(C56,Country_Data!C:J,8,FALSE)</f>
        <v>83992949</v>
      </c>
      <c r="M56" s="60">
        <f t="shared" si="6"/>
        <v>0</v>
      </c>
      <c r="O56" s="59">
        <f t="array" ref="O56">IF(OR(C56=$Q$4:$Q$22),1,0)</f>
        <v>0</v>
      </c>
    </row>
    <row r="57" spans="2:15" s="59" customFormat="1" ht="13.8" hidden="1" customHeight="1" x14ac:dyDescent="0.3">
      <c r="B57" s="66">
        <f t="shared" si="4"/>
        <v>54</v>
      </c>
      <c r="C57" s="62" t="s">
        <v>36</v>
      </c>
      <c r="D57" s="75">
        <f>VLOOKUP(C57,Country_Data!B:F,5,FALSE)</f>
        <v>1693</v>
      </c>
      <c r="E57" s="75">
        <f>D57*Projections_Data!$C$15</f>
        <v>79.570999999999998</v>
      </c>
      <c r="F57" s="75">
        <f>VLOOKUP(C57,Country_Data!C:G,5,FALSE)</f>
        <v>52</v>
      </c>
      <c r="G57" s="76">
        <f>IFERROR(VLOOKUP(C57,Days_Since_100!C:G,5,FALSE)-1,0)</f>
        <v>8.459992905653646E-2</v>
      </c>
      <c r="H57" s="77">
        <f>IFERROR(VLOOKUP(C57,Deaths_since_10!C:G,5,FALSE)-1,0)</f>
        <v>4.3640227150435917E-2</v>
      </c>
      <c r="J57" s="68">
        <f t="shared" si="5"/>
        <v>58.53708026208065</v>
      </c>
      <c r="K57" s="67">
        <v>7.3</v>
      </c>
      <c r="L57" s="61">
        <f>VLOOKUP(C57,Country_Data!C:J,8,FALSE)</f>
        <v>126476461</v>
      </c>
      <c r="M57" s="60">
        <f t="shared" si="6"/>
        <v>9232.781653</v>
      </c>
      <c r="O57" s="59">
        <f t="array" ref="O57">IF(OR(C57=$Q$4:$Q$22),1,0)</f>
        <v>0</v>
      </c>
    </row>
    <row r="58" spans="2:15" s="59" customFormat="1" ht="13.8" hidden="1" customHeight="1" x14ac:dyDescent="0.3">
      <c r="B58" s="66">
        <f t="shared" si="4"/>
        <v>55</v>
      </c>
      <c r="C58" s="62" t="s">
        <v>101</v>
      </c>
      <c r="D58" s="75">
        <f>VLOOKUP(C58,Country_Data!B:F,5,FALSE)</f>
        <v>590</v>
      </c>
      <c r="E58" s="75">
        <f>D58*Projections_Data!$C$15</f>
        <v>27.73</v>
      </c>
      <c r="F58" s="75">
        <f>VLOOKUP(C58,Country_Data!C:G,5,FALSE)</f>
        <v>1</v>
      </c>
      <c r="G58" s="76">
        <f>IFERROR(VLOOKUP(C58,Days_Since_100!C:G,5,FALSE)-1,0)</f>
        <v>3.3243917020227887E-2</v>
      </c>
      <c r="H58" s="77">
        <f>IFERROR(VLOOKUP(C58,Deaths_since_10!C:G,5,FALSE)-1,0)</f>
        <v>0</v>
      </c>
      <c r="J58" s="68" t="str">
        <f t="shared" si="5"/>
        <v/>
      </c>
      <c r="K58" s="67"/>
      <c r="L58" s="61">
        <f>VLOOKUP(C58,Country_Data!C:J,8,FALSE)</f>
        <v>2881053</v>
      </c>
      <c r="M58" s="60">
        <f t="shared" si="6"/>
        <v>0</v>
      </c>
      <c r="O58" s="59">
        <f t="array" ref="O58">IF(OR(C58=$Q$4:$Q$22),1,0)</f>
        <v>0</v>
      </c>
    </row>
    <row r="59" spans="2:15" s="59" customFormat="1" ht="13.8" hidden="1" customHeight="1" x14ac:dyDescent="0.3">
      <c r="B59" s="66">
        <f t="shared" si="4"/>
        <v>56</v>
      </c>
      <c r="C59" s="62" t="s">
        <v>340</v>
      </c>
      <c r="D59" s="75">
        <f>VLOOKUP(C59,Country_Data!B:F,5,FALSE)</f>
        <v>0</v>
      </c>
      <c r="E59" s="75">
        <f>D59*Projections_Data!$C$15</f>
        <v>0</v>
      </c>
      <c r="F59" s="75">
        <f>VLOOKUP(C59,Country_Data!C:G,5,FALSE)</f>
        <v>0</v>
      </c>
      <c r="G59" s="76">
        <f>IFERROR(VLOOKUP(C59,Days_Since_100!C:G,5,FALSE)-1,0)</f>
        <v>0</v>
      </c>
      <c r="H59" s="77">
        <f>IFERROR(VLOOKUP(C59,Deaths_since_10!C:G,5,FALSE)-1,0)</f>
        <v>0</v>
      </c>
      <c r="J59" s="68" t="str">
        <f t="shared" si="5"/>
        <v/>
      </c>
      <c r="K59" s="67"/>
      <c r="L59" s="61">
        <f>VLOOKUP(C59,Country_Data!C:J,8,FALSE)</f>
        <v>0</v>
      </c>
      <c r="M59" s="60">
        <f t="shared" si="6"/>
        <v>0</v>
      </c>
      <c r="O59" s="59">
        <f t="array" ref="O59">IF(OR(C59=$Q$4:$Q$22),1,0)</f>
        <v>0</v>
      </c>
    </row>
    <row r="60" spans="2:15" ht="13.2" hidden="1" customHeight="1" x14ac:dyDescent="0.2">
      <c r="B60" s="66">
        <f t="shared" ref="B60:B66" si="7">B59+1</f>
        <v>57</v>
      </c>
      <c r="C60" s="62" t="s">
        <v>337</v>
      </c>
      <c r="D60" s="75">
        <f>VLOOKUP(C60,Country_Data!B:F,5,FALSE)</f>
        <v>81999</v>
      </c>
      <c r="E60" s="75">
        <f>D60*Projections_Data!$C$15</f>
        <v>3853.953</v>
      </c>
      <c r="F60" s="75">
        <f>VLOOKUP(C60,Country_Data!C:G,5,FALSE)</f>
        <v>3299</v>
      </c>
      <c r="G60" s="76">
        <f>IFERROR(VLOOKUP(C60,Days_Since_100!C:G,5,FALSE)-1,0)</f>
        <v>1.2264658948095697E-3</v>
      </c>
      <c r="H60" s="77">
        <f>IFERROR(VLOOKUP(C60,Deaths_since_10!C:G,5,FALSE)-1,0)</f>
        <v>1.5225405492218513E-3</v>
      </c>
      <c r="I60" s="59"/>
      <c r="J60" s="68">
        <f t="shared" si="5"/>
        <v>2120.0639946383853</v>
      </c>
      <c r="K60" s="67">
        <v>3.6</v>
      </c>
      <c r="L60" s="61">
        <f>VLOOKUP(C60,Country_Data!C:J,8,FALSE)</f>
        <v>1439323776</v>
      </c>
      <c r="M60" s="60">
        <f t="shared" si="6"/>
        <v>51815.655936000003</v>
      </c>
      <c r="O60" s="59">
        <f t="array" ref="O60">IF(OR(C60=$Q$4:$Q$22),1,0)</f>
        <v>0</v>
      </c>
    </row>
    <row r="61" spans="2:15" ht="13.2" hidden="1" customHeight="1" x14ac:dyDescent="0.2">
      <c r="B61" s="66">
        <f t="shared" si="7"/>
        <v>58</v>
      </c>
      <c r="C61" s="62" t="s">
        <v>479</v>
      </c>
      <c r="D61" s="75">
        <f>VLOOKUP(C61,Country_Data!B:F,5,FALSE)</f>
        <v>2631</v>
      </c>
      <c r="E61" s="75">
        <f>D61*Projections_Data!$C$15</f>
        <v>123.657</v>
      </c>
      <c r="F61" s="75" t="e">
        <f>VLOOKUP(C61,Country_Data!C:G,5,FALSE)</f>
        <v>#N/A</v>
      </c>
      <c r="G61" s="76">
        <f>IFERROR(VLOOKUP(C61,Days_Since_100!C:G,5,FALSE)-1,0)</f>
        <v>0</v>
      </c>
      <c r="H61" s="77">
        <f>IFERROR(VLOOKUP(C61,Deaths_since_10!C:G,5,FALSE)-1,0)</f>
        <v>0</v>
      </c>
      <c r="I61" s="59"/>
      <c r="J61" s="68" t="str">
        <f t="shared" si="5"/>
        <v/>
      </c>
      <c r="K61" s="67">
        <v>11.6</v>
      </c>
      <c r="L61" s="61" t="e">
        <f>VLOOKUP(C61,Country_Data!C:J,8,FALSE)</f>
        <v>#N/A</v>
      </c>
      <c r="M61" s="60" t="e">
        <f t="shared" si="6"/>
        <v>#N/A</v>
      </c>
      <c r="O61" s="59">
        <f t="array" ref="O61">IF(OR(C61=$Q$4:$Q$22),1,0)</f>
        <v>0</v>
      </c>
    </row>
    <row r="62" spans="2:15" ht="13.2" hidden="1" customHeight="1" x14ac:dyDescent="0.2">
      <c r="B62" s="66">
        <f t="shared" si="7"/>
        <v>59</v>
      </c>
      <c r="C62" s="62" t="s">
        <v>476</v>
      </c>
      <c r="D62" s="75">
        <f>VLOOKUP(C62,Country_Data!B:F,5,FALSE)</f>
        <v>9478</v>
      </c>
      <c r="E62" s="75">
        <f>D62*Projections_Data!$C$15</f>
        <v>445.46600000000001</v>
      </c>
      <c r="F62" s="75" t="e">
        <f>VLOOKUP(C62,Country_Data!C:G,5,FALSE)</f>
        <v>#N/A</v>
      </c>
      <c r="G62" s="76">
        <f>IFERROR(VLOOKUP(C62,Days_Since_100!C:G,5,FALSE)-1,0)</f>
        <v>0</v>
      </c>
      <c r="H62" s="77">
        <f>IFERROR(VLOOKUP(C62,Deaths_since_10!C:G,5,FALSE)-1,0)</f>
        <v>0</v>
      </c>
      <c r="I62" s="59"/>
      <c r="J62" s="68" t="str">
        <f t="shared" si="5"/>
        <v/>
      </c>
      <c r="K62" s="67">
        <v>10.6</v>
      </c>
      <c r="L62" s="61" t="e">
        <f>VLOOKUP(C62,Country_Data!C:J,8,FALSE)</f>
        <v>#N/A</v>
      </c>
      <c r="M62" s="60">
        <v>1500</v>
      </c>
      <c r="O62" s="59">
        <f t="array" ref="O62">IF(OR(C62=$Q$4:$Q$22),1,0)</f>
        <v>0</v>
      </c>
    </row>
    <row r="63" spans="2:15" ht="13.2" hidden="1" customHeight="1" x14ac:dyDescent="0.2">
      <c r="B63" s="66">
        <f t="shared" si="7"/>
        <v>60</v>
      </c>
      <c r="C63" s="62" t="s">
        <v>231</v>
      </c>
      <c r="D63" s="75">
        <f>VLOOKUP(C63,Country_Data!B:F,5,FALSE)</f>
        <v>179</v>
      </c>
      <c r="E63" s="75">
        <f>D63*Projections_Data!$C$15</f>
        <v>8.4130000000000003</v>
      </c>
      <c r="F63" s="75">
        <f>VLOOKUP(C63,Country_Data!C:G,5,FALSE)</f>
        <v>5</v>
      </c>
      <c r="G63" s="76">
        <f>IFERROR(VLOOKUP(C63,Days_Since_100!C:G,5,FALSE)-1,0)</f>
        <v>9.0633939386135509E-2</v>
      </c>
      <c r="H63" s="77">
        <f>IFERROR(VLOOKUP(C63,Deaths_since_10!C:G,5,FALSE)-1,0)</f>
        <v>0</v>
      </c>
      <c r="J63" s="68" t="str">
        <f t="shared" si="5"/>
        <v/>
      </c>
      <c r="K63" s="67">
        <v>11.4</v>
      </c>
      <c r="L63" s="61">
        <f>VLOOKUP(C63,Country_Data!C:J,8,FALSE)</f>
        <v>1207359</v>
      </c>
      <c r="M63" s="60"/>
      <c r="O63" s="59">
        <f t="array" ref="O63">IF(OR(C63=$Q$4:$Q$22),1,0)</f>
        <v>0</v>
      </c>
    </row>
    <row r="64" spans="2:15" ht="13.2" hidden="1" customHeight="1" x14ac:dyDescent="0.2">
      <c r="B64" s="66">
        <f t="shared" si="7"/>
        <v>61</v>
      </c>
      <c r="C64" s="62" t="s">
        <v>76</v>
      </c>
      <c r="D64" s="75"/>
      <c r="E64" s="75"/>
      <c r="F64" s="75">
        <f>VLOOKUP(C64,Country_Data!C:G,5,FALSE)</f>
        <v>5</v>
      </c>
      <c r="G64" s="75"/>
      <c r="H64" s="77">
        <f>IFERROR(VLOOKUP(C64,Deaths_since_10!C:G,5,FALSE)-1,0)</f>
        <v>0</v>
      </c>
      <c r="J64" s="68" t="str">
        <f t="shared" si="5"/>
        <v/>
      </c>
      <c r="K64" s="67">
        <v>14.7</v>
      </c>
      <c r="L64" s="61">
        <f>VLOOKUP(C64,Country_Data!C:J,8,FALSE)</f>
        <v>4105267</v>
      </c>
      <c r="M64" s="60"/>
      <c r="O64" s="59">
        <f t="array" ref="O64">IF(OR(C64=$Q$4:$Q$22),1,0)</f>
        <v>0</v>
      </c>
    </row>
    <row r="65" spans="1:15" ht="13.2" hidden="1" customHeight="1" x14ac:dyDescent="0.2">
      <c r="B65" s="66">
        <f t="shared" si="7"/>
        <v>62</v>
      </c>
      <c r="C65" s="62" t="s">
        <v>132</v>
      </c>
      <c r="D65" s="75"/>
      <c r="E65" s="75"/>
      <c r="F65" s="75">
        <f>VLOOKUP(C65,Country_Data!C:G,5,FALSE)</f>
        <v>11</v>
      </c>
      <c r="G65" s="75"/>
      <c r="H65" s="77">
        <f>IFERROR(VLOOKUP(C65,Deaths_since_10!C:G,5,FALSE)-1,0)</f>
        <v>5.1447381843301443E-2</v>
      </c>
      <c r="J65" s="68" t="str">
        <f t="shared" si="5"/>
        <v/>
      </c>
      <c r="K65" s="67">
        <v>13.8</v>
      </c>
      <c r="L65" s="61">
        <f>VLOOKUP(C65,Country_Data!C:J,8,FALSE)</f>
        <v>9660351</v>
      </c>
      <c r="M65" s="60"/>
      <c r="O65" s="59">
        <f t="array" ref="O65">IF(OR(C65=$Q$4:$Q$22),1,0)</f>
        <v>0</v>
      </c>
    </row>
    <row r="66" spans="1:15" ht="13.2" hidden="1" customHeight="1" thickBot="1" x14ac:dyDescent="0.25">
      <c r="A66" s="90"/>
      <c r="B66" s="66">
        <f t="shared" si="7"/>
        <v>63</v>
      </c>
      <c r="C66" s="62" t="s">
        <v>93</v>
      </c>
      <c r="D66" s="75"/>
      <c r="E66" s="75"/>
      <c r="F66" s="75">
        <f>VLOOKUP(C66,Country_Data!C:G,5,FALSE)</f>
        <v>7</v>
      </c>
      <c r="G66" s="75"/>
      <c r="H66" s="77">
        <f>IFERROR(VLOOKUP(C66,Deaths_since_10!C:G,5,FALSE)-1,0)</f>
        <v>0</v>
      </c>
      <c r="I66" s="92"/>
      <c r="J66" s="68" t="str">
        <f t="shared" si="5"/>
        <v/>
      </c>
      <c r="K66" s="67">
        <v>15.5</v>
      </c>
      <c r="L66" s="61">
        <f>VLOOKUP(C66,Country_Data!C:J,8,FALSE)</f>
        <v>2722289</v>
      </c>
      <c r="M66" s="60"/>
      <c r="N66" s="81"/>
      <c r="O66" s="59">
        <f t="array" ref="O66">IF(OR(C66=$Q$4:$Q$22),1,0)</f>
        <v>0</v>
      </c>
    </row>
    <row r="67" spans="1:15" ht="2.4" customHeight="1" x14ac:dyDescent="0.2">
      <c r="A67" s="89"/>
      <c r="B67" s="78"/>
      <c r="C67" s="78"/>
      <c r="D67" s="78"/>
      <c r="E67" s="78"/>
      <c r="F67" s="78"/>
      <c r="G67" s="78"/>
      <c r="H67" s="86"/>
      <c r="I67" s="81"/>
      <c r="J67" s="87"/>
      <c r="K67" s="87"/>
      <c r="L67" s="88"/>
      <c r="M67" s="81"/>
      <c r="N67" s="81"/>
    </row>
    <row r="68" spans="1:15" ht="13.2" customHeight="1" x14ac:dyDescent="0.2">
      <c r="A68" s="89"/>
      <c r="B68" s="62"/>
      <c r="C68" s="62"/>
      <c r="D68" s="62"/>
      <c r="E68" s="62"/>
      <c r="F68" s="62"/>
      <c r="G68" s="62"/>
      <c r="H68" s="82" t="s">
        <v>566</v>
      </c>
      <c r="I68" s="81"/>
      <c r="J68" s="81"/>
      <c r="K68" s="81"/>
      <c r="L68" s="81"/>
      <c r="M68" s="81"/>
      <c r="N68" s="81"/>
    </row>
    <row r="69" spans="1:15" ht="13.2" customHeight="1" x14ac:dyDescent="0.2">
      <c r="A69" s="89"/>
      <c r="B69" s="91"/>
      <c r="C69" s="81"/>
      <c r="D69" s="81"/>
      <c r="E69" s="81"/>
      <c r="F69" s="81"/>
      <c r="G69" s="91"/>
      <c r="H69" s="91"/>
      <c r="I69" s="81"/>
      <c r="J69" s="81"/>
      <c r="K69" s="81"/>
      <c r="L69" s="81"/>
      <c r="M69" s="81"/>
      <c r="N69" s="81"/>
    </row>
    <row r="70" spans="1:15" ht="13.2" customHeight="1" x14ac:dyDescent="0.2">
      <c r="A70" s="89"/>
      <c r="B70" s="91"/>
      <c r="C70" s="81"/>
      <c r="D70" s="81"/>
      <c r="E70" s="81"/>
      <c r="F70" s="81"/>
      <c r="G70" s="91"/>
      <c r="H70" s="91"/>
      <c r="I70" s="81"/>
      <c r="J70" s="81"/>
      <c r="K70" s="81"/>
      <c r="L70" s="81"/>
      <c r="M70" s="81"/>
    </row>
    <row r="71" spans="1:15" ht="13.2" customHeight="1" x14ac:dyDescent="0.2">
      <c r="A71" s="89"/>
      <c r="B71" s="91"/>
      <c r="C71" s="81"/>
      <c r="D71" s="81"/>
      <c r="E71" s="81"/>
      <c r="F71" s="81"/>
      <c r="G71" s="91"/>
      <c r="H71" s="91"/>
      <c r="I71" s="81"/>
      <c r="J71" s="81"/>
      <c r="K71" s="81"/>
      <c r="L71" s="81"/>
      <c r="M71" s="81"/>
    </row>
    <row r="72" spans="1:15" ht="13.2" customHeight="1" x14ac:dyDescent="0.2">
      <c r="A72" s="89"/>
      <c r="B72" s="91"/>
      <c r="C72" s="81"/>
      <c r="D72" s="81"/>
      <c r="E72" s="81"/>
      <c r="F72" s="81"/>
      <c r="G72" s="91"/>
      <c r="H72" s="91"/>
      <c r="I72" s="81"/>
      <c r="J72" s="81"/>
      <c r="K72" s="81"/>
      <c r="L72" s="81"/>
      <c r="M72" s="81"/>
    </row>
    <row r="73" spans="1:15" ht="13.2" customHeight="1" x14ac:dyDescent="0.2">
      <c r="A73" s="89"/>
      <c r="B73" s="91"/>
      <c r="C73" s="81"/>
      <c r="D73" s="81"/>
      <c r="E73" s="81"/>
      <c r="F73" s="81"/>
      <c r="G73" s="91"/>
      <c r="H73" s="91"/>
      <c r="I73" s="81"/>
      <c r="J73" s="81"/>
      <c r="K73" s="81"/>
      <c r="L73" s="81"/>
      <c r="M73" s="81"/>
    </row>
    <row r="74" spans="1:15" ht="13.2" customHeight="1" x14ac:dyDescent="0.2">
      <c r="A74" s="89"/>
      <c r="B74" s="91"/>
      <c r="C74" s="81"/>
      <c r="D74" s="81"/>
      <c r="E74" s="81"/>
      <c r="F74" s="81"/>
      <c r="G74" s="91"/>
      <c r="H74" s="91"/>
      <c r="I74" s="81"/>
      <c r="J74" s="81"/>
      <c r="K74" s="81"/>
      <c r="L74" s="81"/>
      <c r="M74" s="81"/>
    </row>
    <row r="75" spans="1:15" ht="13.2" customHeight="1" x14ac:dyDescent="0.2">
      <c r="A75" s="89"/>
      <c r="B75" s="91"/>
      <c r="C75" s="81"/>
      <c r="D75" s="81"/>
      <c r="E75" s="81"/>
      <c r="F75" s="81"/>
      <c r="G75" s="91"/>
      <c r="H75" s="91"/>
      <c r="I75" s="81"/>
      <c r="J75" s="81"/>
      <c r="K75" s="81"/>
      <c r="L75" s="81"/>
      <c r="M75" s="81"/>
    </row>
    <row r="76" spans="1:15" ht="13.2" customHeight="1" x14ac:dyDescent="0.2">
      <c r="A76" s="89"/>
      <c r="B76" s="91"/>
      <c r="C76" s="81"/>
      <c r="D76" s="81"/>
      <c r="E76" s="81"/>
      <c r="F76" s="81"/>
      <c r="G76" s="91"/>
      <c r="H76" s="91"/>
      <c r="I76" s="81"/>
      <c r="J76" s="81"/>
      <c r="K76" s="81"/>
      <c r="L76" s="81"/>
      <c r="M76" s="81"/>
    </row>
    <row r="77" spans="1:15" ht="13.2" customHeight="1" x14ac:dyDescent="0.2">
      <c r="A77" s="89"/>
      <c r="B77" s="91"/>
      <c r="C77" s="81"/>
      <c r="D77" s="81"/>
      <c r="E77" s="81"/>
      <c r="F77" s="81"/>
      <c r="G77" s="91"/>
      <c r="H77" s="91"/>
      <c r="I77" s="81"/>
      <c r="J77" s="81"/>
      <c r="K77" s="81"/>
      <c r="L77" s="81"/>
      <c r="M77" s="81"/>
    </row>
    <row r="78" spans="1:15" ht="13.2" customHeight="1" x14ac:dyDescent="0.2">
      <c r="A78" s="89"/>
      <c r="B78" s="91"/>
      <c r="C78" s="81"/>
      <c r="D78" s="81"/>
      <c r="E78" s="81"/>
      <c r="F78" s="81"/>
      <c r="G78" s="91"/>
      <c r="H78" s="91"/>
      <c r="I78" s="81"/>
      <c r="J78" s="81"/>
      <c r="K78" s="81"/>
      <c r="L78" s="81"/>
      <c r="M78" s="81"/>
    </row>
    <row r="79" spans="1:15" ht="13.2" customHeight="1" x14ac:dyDescent="0.2">
      <c r="A79" s="81"/>
      <c r="B79" s="91"/>
      <c r="C79" s="81"/>
      <c r="D79" s="81"/>
      <c r="E79" s="81"/>
      <c r="F79" s="81"/>
      <c r="G79" s="91"/>
      <c r="H79" s="91"/>
      <c r="I79" s="81"/>
      <c r="J79" s="81"/>
      <c r="K79" s="81"/>
      <c r="L79" s="81"/>
      <c r="M79" s="81"/>
    </row>
    <row r="80" spans="1:15" ht="13.2" customHeight="1" x14ac:dyDescent="0.2">
      <c r="A80" s="81"/>
      <c r="B80" s="91"/>
      <c r="C80" s="81"/>
      <c r="D80" s="81"/>
      <c r="E80" s="81"/>
      <c r="F80" s="81"/>
      <c r="G80" s="91"/>
      <c r="H80" s="91"/>
      <c r="I80" s="81"/>
      <c r="J80" s="81"/>
      <c r="K80" s="81"/>
      <c r="L80" s="81"/>
      <c r="M80" s="81"/>
    </row>
    <row r="81" spans="1:13" ht="13.2" customHeight="1" x14ac:dyDescent="0.2">
      <c r="A81" s="81"/>
      <c r="B81" s="91"/>
      <c r="C81" s="81"/>
      <c r="D81" s="81"/>
      <c r="E81" s="81"/>
      <c r="F81" s="81"/>
      <c r="G81" s="91"/>
      <c r="H81" s="91"/>
      <c r="I81" s="81"/>
      <c r="J81" s="81"/>
      <c r="K81" s="81"/>
      <c r="L81" s="81"/>
      <c r="M81" s="81"/>
    </row>
  </sheetData>
  <autoFilter ref="C3:M3" xr:uid="{4E6F1926-8E17-40DF-935A-A5A587FE43B5}">
    <sortState xmlns:xlrd2="http://schemas.microsoft.com/office/spreadsheetml/2017/richdata2" ref="C4:M23">
      <sortCondition descending="1" ref="G3"/>
    </sortState>
  </autoFilter>
  <mergeCells count="1">
    <mergeCell ref="B2:H2"/>
  </mergeCells>
  <conditionalFormatting sqref="B4:H66">
    <cfRule type="expression" dxfId="2" priority="3">
      <formula>ISEVEN(ROW())</formula>
    </cfRule>
  </conditionalFormatting>
  <conditionalFormatting sqref="M38:M66 L38:L67 J4:M37 J38:K66">
    <cfRule type="expression" dxfId="1" priority="2">
      <formula>ISEVEN(ROW())</formula>
    </cfRule>
  </conditionalFormatting>
  <conditionalFormatting sqref="B4:H66">
    <cfRule type="expression" dxfId="0" priority="1">
      <formula>$O4=1</formula>
    </cfRule>
  </conditionalFormatting>
  <pageMargins left="0.7" right="0.7" top="0.75" bottom="0.75" header="0.3" footer="0.3"/>
  <pageSetup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C33E9-1348-4EED-8A5A-08C25592D56E}">
  <sheetPr codeName="Sheet1">
    <tabColor rgb="FF002060"/>
  </sheetPr>
  <dimension ref="L3:X29"/>
  <sheetViews>
    <sheetView topLeftCell="G49" zoomScale="80" zoomScaleNormal="80" workbookViewId="0">
      <selection activeCell="AF48" sqref="AF48"/>
    </sheetView>
  </sheetViews>
  <sheetFormatPr defaultRowHeight="14.4" x14ac:dyDescent="0.3"/>
  <cols>
    <col min="16" max="16" width="10.33203125" customWidth="1"/>
    <col min="19" max="19" width="11.33203125" bestFit="1" customWidth="1"/>
    <col min="24" max="24" width="11.21875" bestFit="1" customWidth="1"/>
  </cols>
  <sheetData>
    <row r="3" spans="12:24" x14ac:dyDescent="0.3">
      <c r="S3" t="s">
        <v>596</v>
      </c>
      <c r="T3" t="s">
        <v>514</v>
      </c>
    </row>
    <row r="4" spans="12:24" x14ac:dyDescent="0.3">
      <c r="R4" t="s">
        <v>426</v>
      </c>
      <c r="S4" s="5">
        <v>0</v>
      </c>
      <c r="T4">
        <v>0</v>
      </c>
    </row>
    <row r="5" spans="12:24" x14ac:dyDescent="0.3">
      <c r="R5" t="s">
        <v>427</v>
      </c>
      <c r="S5" s="5">
        <v>100000</v>
      </c>
      <c r="T5">
        <v>5000</v>
      </c>
    </row>
    <row r="6" spans="12:24" x14ac:dyDescent="0.3">
      <c r="L6" s="5"/>
    </row>
    <row r="7" spans="12:24" x14ac:dyDescent="0.3">
      <c r="R7" t="s">
        <v>428</v>
      </c>
      <c r="S7" s="5">
        <v>1</v>
      </c>
      <c r="T7">
        <v>1</v>
      </c>
    </row>
    <row r="8" spans="12:24" x14ac:dyDescent="0.3">
      <c r="R8" t="s">
        <v>429</v>
      </c>
      <c r="S8" s="5">
        <v>35</v>
      </c>
      <c r="T8">
        <v>30</v>
      </c>
    </row>
    <row r="10" spans="12:24" x14ac:dyDescent="0.3">
      <c r="R10">
        <v>1</v>
      </c>
      <c r="S10" t="s">
        <v>349</v>
      </c>
    </row>
    <row r="11" spans="12:24" x14ac:dyDescent="0.3">
      <c r="R11">
        <v>2</v>
      </c>
      <c r="S11" t="s">
        <v>38</v>
      </c>
    </row>
    <row r="12" spans="12:24" x14ac:dyDescent="0.3">
      <c r="R12">
        <v>3</v>
      </c>
      <c r="S12" s="17" t="s">
        <v>58</v>
      </c>
    </row>
    <row r="13" spans="12:24" x14ac:dyDescent="0.3">
      <c r="R13">
        <v>4</v>
      </c>
      <c r="S13" s="17" t="s">
        <v>337</v>
      </c>
    </row>
    <row r="14" spans="12:24" x14ac:dyDescent="0.3">
      <c r="R14">
        <v>5</v>
      </c>
      <c r="S14" s="17" t="s">
        <v>41</v>
      </c>
      <c r="X14" s="16">
        <v>43917</v>
      </c>
    </row>
    <row r="15" spans="12:24" x14ac:dyDescent="0.3">
      <c r="R15">
        <v>6</v>
      </c>
      <c r="S15" s="17" t="s">
        <v>53</v>
      </c>
      <c r="X15" s="98">
        <f ca="1">TODAY()-X14</f>
        <v>2</v>
      </c>
    </row>
    <row r="16" spans="12:24" x14ac:dyDescent="0.3">
      <c r="R16">
        <v>7</v>
      </c>
      <c r="S16" s="17" t="s">
        <v>60</v>
      </c>
    </row>
    <row r="17" spans="18:19" x14ac:dyDescent="0.3">
      <c r="R17">
        <v>8</v>
      </c>
      <c r="S17" s="17"/>
    </row>
    <row r="18" spans="18:19" x14ac:dyDescent="0.3">
      <c r="R18">
        <v>9</v>
      </c>
      <c r="S18" s="17"/>
    </row>
    <row r="19" spans="18:19" x14ac:dyDescent="0.3">
      <c r="R19">
        <v>10</v>
      </c>
      <c r="S19" s="17"/>
    </row>
    <row r="20" spans="18:19" x14ac:dyDescent="0.3">
      <c r="R20">
        <v>11</v>
      </c>
    </row>
    <row r="21" spans="18:19" x14ac:dyDescent="0.3">
      <c r="R21">
        <f>R20+1</f>
        <v>12</v>
      </c>
    </row>
    <row r="22" spans="18:19" x14ac:dyDescent="0.3">
      <c r="R22">
        <f t="shared" ref="R22:R29" si="0">R21+1</f>
        <v>13</v>
      </c>
    </row>
    <row r="23" spans="18:19" x14ac:dyDescent="0.3">
      <c r="R23">
        <f t="shared" si="0"/>
        <v>14</v>
      </c>
    </row>
    <row r="24" spans="18:19" x14ac:dyDescent="0.3">
      <c r="R24">
        <f t="shared" si="0"/>
        <v>15</v>
      </c>
    </row>
    <row r="25" spans="18:19" x14ac:dyDescent="0.3">
      <c r="R25">
        <f t="shared" si="0"/>
        <v>16</v>
      </c>
    </row>
    <row r="26" spans="18:19" x14ac:dyDescent="0.3">
      <c r="R26">
        <f t="shared" si="0"/>
        <v>17</v>
      </c>
    </row>
    <row r="27" spans="18:19" x14ac:dyDescent="0.3">
      <c r="R27">
        <f t="shared" si="0"/>
        <v>18</v>
      </c>
    </row>
    <row r="28" spans="18:19" x14ac:dyDescent="0.3">
      <c r="R28">
        <f t="shared" si="0"/>
        <v>19</v>
      </c>
    </row>
    <row r="29" spans="18:19" x14ac:dyDescent="0.3">
      <c r="R29">
        <f t="shared" si="0"/>
        <v>20</v>
      </c>
    </row>
  </sheetData>
  <pageMargins left="0.7" right="0.7" top="0.75" bottom="0.75" header="0.3" footer="0.3"/>
  <pageSetup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A9F03-B3AF-43D0-AB57-0C590522302C}">
  <sheetPr codeName="Sheet5">
    <tabColor rgb="FFFFC000"/>
  </sheetPr>
  <dimension ref="B2:IN241"/>
  <sheetViews>
    <sheetView workbookViewId="0">
      <pane xSplit="6" ySplit="3" topLeftCell="Y4" activePane="bottomRight" state="frozen"/>
      <selection pane="topRight" activeCell="G1" sqref="G1"/>
      <selection pane="bottomLeft" activeCell="A4" sqref="A4"/>
      <selection pane="bottomRight" activeCell="AB7" sqref="AB7"/>
    </sheetView>
  </sheetViews>
  <sheetFormatPr defaultColWidth="8.77734375" defaultRowHeight="14.4" x14ac:dyDescent="0.3"/>
  <cols>
    <col min="1" max="1" width="8.88671875" style="19" customWidth="1"/>
    <col min="2" max="2" width="18.44140625" style="19" customWidth="1"/>
    <col min="3" max="3" width="13.88671875" style="19" bestFit="1" customWidth="1"/>
    <col min="4" max="4" width="10.5546875" style="19" bestFit="1" customWidth="1"/>
    <col min="5" max="5" width="4.44140625" style="19" bestFit="1" customWidth="1"/>
    <col min="6" max="6" width="22.33203125" style="19" bestFit="1" customWidth="1"/>
    <col min="7" max="7" width="11.21875" style="19" bestFit="1" customWidth="1"/>
    <col min="8" max="8" width="14.21875" style="19" bestFit="1" customWidth="1"/>
    <col min="9" max="9" width="10.77734375" style="19" bestFit="1" customWidth="1"/>
    <col min="10" max="10" width="12.33203125" style="19" bestFit="1" customWidth="1"/>
    <col min="11" max="11" width="14.6640625" style="19" bestFit="1" customWidth="1"/>
    <col min="12" max="12" width="11.33203125" style="19" bestFit="1" customWidth="1"/>
    <col min="13" max="13" width="10.77734375" style="19" bestFit="1" customWidth="1"/>
    <col min="14" max="14" width="13.77734375" style="19" customWidth="1"/>
    <col min="15" max="18" width="10.77734375" style="19" bestFit="1" customWidth="1"/>
    <col min="19" max="19" width="13.44140625" style="19" customWidth="1"/>
    <col min="20" max="20" width="12.5546875" style="19" bestFit="1" customWidth="1"/>
    <col min="21" max="39" width="10.77734375" style="19" bestFit="1" customWidth="1"/>
    <col min="40" max="44" width="11.33203125" style="19" bestFit="1" customWidth="1"/>
    <col min="45" max="46" width="11.44140625" style="19" bestFit="1" customWidth="1"/>
    <col min="47" max="75" width="12.88671875" style="19" bestFit="1" customWidth="1"/>
    <col min="76" max="82" width="13" style="19" bestFit="1" customWidth="1"/>
    <col min="83" max="89" width="14" style="19" bestFit="1" customWidth="1"/>
    <col min="90" max="248" width="15" style="19" bestFit="1" customWidth="1"/>
    <col min="249" max="16384" width="8.77734375" style="19"/>
  </cols>
  <sheetData>
    <row r="2" spans="2:248" x14ac:dyDescent="0.3">
      <c r="B2" s="19" t="str">
        <f>country</f>
        <v>Asia</v>
      </c>
      <c r="C2" s="20">
        <f>MAX(ConfirmedRaw!1:1)</f>
        <v>43918</v>
      </c>
    </row>
    <row r="3" spans="2:248" x14ac:dyDescent="0.3">
      <c r="G3" s="20">
        <f ca="1">VLOOKUP(B2,Country_Data!B:E,4,FALSE)</f>
        <v>43852</v>
      </c>
      <c r="H3" s="20">
        <f t="shared" ref="H3:BS3" ca="1" si="0">G3+1</f>
        <v>43853</v>
      </c>
      <c r="I3" s="20">
        <f t="shared" ca="1" si="0"/>
        <v>43854</v>
      </c>
      <c r="J3" s="20">
        <f t="shared" ca="1" si="0"/>
        <v>43855</v>
      </c>
      <c r="K3" s="20">
        <f t="shared" ca="1" si="0"/>
        <v>43856</v>
      </c>
      <c r="L3" s="20">
        <f t="shared" ca="1" si="0"/>
        <v>43857</v>
      </c>
      <c r="M3" s="20">
        <f t="shared" ca="1" si="0"/>
        <v>43858</v>
      </c>
      <c r="N3" s="20">
        <f t="shared" ca="1" si="0"/>
        <v>43859</v>
      </c>
      <c r="O3" s="20">
        <f t="shared" ca="1" si="0"/>
        <v>43860</v>
      </c>
      <c r="P3" s="20">
        <f t="shared" ca="1" si="0"/>
        <v>43861</v>
      </c>
      <c r="Q3" s="20">
        <f t="shared" ca="1" si="0"/>
        <v>43862</v>
      </c>
      <c r="R3" s="20">
        <f t="shared" ca="1" si="0"/>
        <v>43863</v>
      </c>
      <c r="S3" s="20">
        <f t="shared" ca="1" si="0"/>
        <v>43864</v>
      </c>
      <c r="T3" s="20">
        <f t="shared" ca="1" si="0"/>
        <v>43865</v>
      </c>
      <c r="U3" s="20">
        <f t="shared" ca="1" si="0"/>
        <v>43866</v>
      </c>
      <c r="V3" s="20">
        <f t="shared" ca="1" si="0"/>
        <v>43867</v>
      </c>
      <c r="W3" s="20">
        <f t="shared" ca="1" si="0"/>
        <v>43868</v>
      </c>
      <c r="X3" s="20">
        <f t="shared" ca="1" si="0"/>
        <v>43869</v>
      </c>
      <c r="Y3" s="20">
        <f t="shared" ca="1" si="0"/>
        <v>43870</v>
      </c>
      <c r="Z3" s="20">
        <f t="shared" ca="1" si="0"/>
        <v>43871</v>
      </c>
      <c r="AA3" s="20">
        <f t="shared" ca="1" si="0"/>
        <v>43872</v>
      </c>
      <c r="AB3" s="20">
        <f t="shared" ca="1" si="0"/>
        <v>43873</v>
      </c>
      <c r="AC3" s="20">
        <f t="shared" ca="1" si="0"/>
        <v>43874</v>
      </c>
      <c r="AD3" s="20">
        <f t="shared" ca="1" si="0"/>
        <v>43875</v>
      </c>
      <c r="AE3" s="20">
        <f t="shared" ca="1" si="0"/>
        <v>43876</v>
      </c>
      <c r="AF3" s="20">
        <f t="shared" ca="1" si="0"/>
        <v>43877</v>
      </c>
      <c r="AG3" s="20">
        <f t="shared" ca="1" si="0"/>
        <v>43878</v>
      </c>
      <c r="AH3" s="20">
        <f t="shared" ca="1" si="0"/>
        <v>43879</v>
      </c>
      <c r="AI3" s="20">
        <f t="shared" ca="1" si="0"/>
        <v>43880</v>
      </c>
      <c r="AJ3" s="20">
        <f t="shared" ca="1" si="0"/>
        <v>43881</v>
      </c>
      <c r="AK3" s="20">
        <f t="shared" ca="1" si="0"/>
        <v>43882</v>
      </c>
      <c r="AL3" s="20">
        <f t="shared" ca="1" si="0"/>
        <v>43883</v>
      </c>
      <c r="AM3" s="20">
        <f t="shared" ca="1" si="0"/>
        <v>43884</v>
      </c>
      <c r="AN3" s="20">
        <f t="shared" ca="1" si="0"/>
        <v>43885</v>
      </c>
      <c r="AO3" s="20">
        <f t="shared" ca="1" si="0"/>
        <v>43886</v>
      </c>
      <c r="AP3" s="20">
        <f t="shared" ca="1" si="0"/>
        <v>43887</v>
      </c>
      <c r="AQ3" s="20">
        <f t="shared" ca="1" si="0"/>
        <v>43888</v>
      </c>
      <c r="AR3" s="20">
        <f t="shared" ca="1" si="0"/>
        <v>43889</v>
      </c>
      <c r="AS3" s="20">
        <f t="shared" ca="1" si="0"/>
        <v>43890</v>
      </c>
      <c r="AT3" s="20">
        <f t="shared" ca="1" si="0"/>
        <v>43891</v>
      </c>
      <c r="AU3" s="20">
        <f t="shared" ca="1" si="0"/>
        <v>43892</v>
      </c>
      <c r="AV3" s="20">
        <f t="shared" ca="1" si="0"/>
        <v>43893</v>
      </c>
      <c r="AW3" s="20">
        <f t="shared" ca="1" si="0"/>
        <v>43894</v>
      </c>
      <c r="AX3" s="20">
        <f t="shared" ca="1" si="0"/>
        <v>43895</v>
      </c>
      <c r="AY3" s="20">
        <f t="shared" ca="1" si="0"/>
        <v>43896</v>
      </c>
      <c r="AZ3" s="20">
        <f t="shared" ca="1" si="0"/>
        <v>43897</v>
      </c>
      <c r="BA3" s="20">
        <f t="shared" ca="1" si="0"/>
        <v>43898</v>
      </c>
      <c r="BB3" s="20">
        <f t="shared" ca="1" si="0"/>
        <v>43899</v>
      </c>
      <c r="BC3" s="20">
        <f t="shared" ca="1" si="0"/>
        <v>43900</v>
      </c>
      <c r="BD3" s="20">
        <f t="shared" ca="1" si="0"/>
        <v>43901</v>
      </c>
      <c r="BE3" s="20">
        <f t="shared" ca="1" si="0"/>
        <v>43902</v>
      </c>
      <c r="BF3" s="20">
        <f t="shared" ca="1" si="0"/>
        <v>43903</v>
      </c>
      <c r="BG3" s="20">
        <f t="shared" ca="1" si="0"/>
        <v>43904</v>
      </c>
      <c r="BH3" s="20">
        <f t="shared" ca="1" si="0"/>
        <v>43905</v>
      </c>
      <c r="BI3" s="20">
        <f t="shared" ca="1" si="0"/>
        <v>43906</v>
      </c>
      <c r="BJ3" s="20">
        <f t="shared" ca="1" si="0"/>
        <v>43907</v>
      </c>
      <c r="BK3" s="20">
        <f t="shared" ca="1" si="0"/>
        <v>43908</v>
      </c>
      <c r="BL3" s="20">
        <f t="shared" ca="1" si="0"/>
        <v>43909</v>
      </c>
      <c r="BM3" s="20">
        <f t="shared" ca="1" si="0"/>
        <v>43910</v>
      </c>
      <c r="BN3" s="20">
        <f t="shared" ca="1" si="0"/>
        <v>43911</v>
      </c>
      <c r="BO3" s="20">
        <f t="shared" ca="1" si="0"/>
        <v>43912</v>
      </c>
      <c r="BP3" s="20">
        <f t="shared" ca="1" si="0"/>
        <v>43913</v>
      </c>
      <c r="BQ3" s="20">
        <f t="shared" ca="1" si="0"/>
        <v>43914</v>
      </c>
      <c r="BR3" s="20">
        <f t="shared" ca="1" si="0"/>
        <v>43915</v>
      </c>
      <c r="BS3" s="20">
        <f t="shared" ca="1" si="0"/>
        <v>43916</v>
      </c>
      <c r="BT3" s="20">
        <f t="shared" ref="BT3:EE3" ca="1" si="1">BS3+1</f>
        <v>43917</v>
      </c>
      <c r="BU3" s="20">
        <f t="shared" ca="1" si="1"/>
        <v>43918</v>
      </c>
      <c r="BV3" s="20">
        <f t="shared" ca="1" si="1"/>
        <v>43919</v>
      </c>
      <c r="BW3" s="20">
        <f t="shared" ca="1" si="1"/>
        <v>43920</v>
      </c>
      <c r="BX3" s="20">
        <f t="shared" ca="1" si="1"/>
        <v>43921</v>
      </c>
      <c r="BY3" s="20">
        <f t="shared" ca="1" si="1"/>
        <v>43922</v>
      </c>
      <c r="BZ3" s="20">
        <f t="shared" ca="1" si="1"/>
        <v>43923</v>
      </c>
      <c r="CA3" s="20">
        <f t="shared" ca="1" si="1"/>
        <v>43924</v>
      </c>
      <c r="CB3" s="20">
        <f t="shared" ca="1" si="1"/>
        <v>43925</v>
      </c>
      <c r="CC3" s="20">
        <f t="shared" ca="1" si="1"/>
        <v>43926</v>
      </c>
      <c r="CD3" s="20">
        <f t="shared" ca="1" si="1"/>
        <v>43927</v>
      </c>
      <c r="CE3" s="20">
        <f t="shared" ca="1" si="1"/>
        <v>43928</v>
      </c>
      <c r="CF3" s="20">
        <f t="shared" ca="1" si="1"/>
        <v>43929</v>
      </c>
      <c r="CG3" s="20">
        <f t="shared" ca="1" si="1"/>
        <v>43930</v>
      </c>
      <c r="CH3" s="20">
        <f t="shared" ca="1" si="1"/>
        <v>43931</v>
      </c>
      <c r="CI3" s="20">
        <f t="shared" ca="1" si="1"/>
        <v>43932</v>
      </c>
      <c r="CJ3" s="20">
        <f t="shared" ca="1" si="1"/>
        <v>43933</v>
      </c>
      <c r="CK3" s="20">
        <f t="shared" ca="1" si="1"/>
        <v>43934</v>
      </c>
      <c r="CL3" s="20">
        <f t="shared" ca="1" si="1"/>
        <v>43935</v>
      </c>
      <c r="CM3" s="20">
        <f t="shared" ca="1" si="1"/>
        <v>43936</v>
      </c>
      <c r="CN3" s="20">
        <f t="shared" ca="1" si="1"/>
        <v>43937</v>
      </c>
      <c r="CO3" s="20">
        <f t="shared" ca="1" si="1"/>
        <v>43938</v>
      </c>
      <c r="CP3" s="20">
        <f t="shared" ca="1" si="1"/>
        <v>43939</v>
      </c>
      <c r="CQ3" s="20">
        <f t="shared" ca="1" si="1"/>
        <v>43940</v>
      </c>
      <c r="CR3" s="20">
        <f t="shared" ca="1" si="1"/>
        <v>43941</v>
      </c>
      <c r="CS3" s="20">
        <f t="shared" ca="1" si="1"/>
        <v>43942</v>
      </c>
      <c r="CT3" s="20">
        <f t="shared" ca="1" si="1"/>
        <v>43943</v>
      </c>
      <c r="CU3" s="20">
        <f t="shared" ca="1" si="1"/>
        <v>43944</v>
      </c>
      <c r="CV3" s="20">
        <f t="shared" ca="1" si="1"/>
        <v>43945</v>
      </c>
      <c r="CW3" s="20">
        <f t="shared" ca="1" si="1"/>
        <v>43946</v>
      </c>
      <c r="CX3" s="20">
        <f t="shared" ca="1" si="1"/>
        <v>43947</v>
      </c>
      <c r="CY3" s="20">
        <f t="shared" ca="1" si="1"/>
        <v>43948</v>
      </c>
      <c r="CZ3" s="20">
        <f t="shared" ca="1" si="1"/>
        <v>43949</v>
      </c>
      <c r="DA3" s="20">
        <f t="shared" ca="1" si="1"/>
        <v>43950</v>
      </c>
      <c r="DB3" s="20">
        <f t="shared" ca="1" si="1"/>
        <v>43951</v>
      </c>
      <c r="DC3" s="20">
        <f t="shared" ca="1" si="1"/>
        <v>43952</v>
      </c>
      <c r="DD3" s="20">
        <f t="shared" ca="1" si="1"/>
        <v>43953</v>
      </c>
      <c r="DE3" s="20">
        <f t="shared" ca="1" si="1"/>
        <v>43954</v>
      </c>
      <c r="DF3" s="20">
        <f t="shared" ca="1" si="1"/>
        <v>43955</v>
      </c>
      <c r="DG3" s="20">
        <f t="shared" ca="1" si="1"/>
        <v>43956</v>
      </c>
      <c r="DH3" s="20">
        <f t="shared" ca="1" si="1"/>
        <v>43957</v>
      </c>
      <c r="DI3" s="20">
        <f t="shared" ca="1" si="1"/>
        <v>43958</v>
      </c>
      <c r="DJ3" s="20">
        <f t="shared" ca="1" si="1"/>
        <v>43959</v>
      </c>
      <c r="DK3" s="20">
        <f t="shared" ca="1" si="1"/>
        <v>43960</v>
      </c>
      <c r="DL3" s="20">
        <f t="shared" ca="1" si="1"/>
        <v>43961</v>
      </c>
      <c r="DM3" s="20">
        <f t="shared" ca="1" si="1"/>
        <v>43962</v>
      </c>
      <c r="DN3" s="20">
        <f t="shared" ca="1" si="1"/>
        <v>43963</v>
      </c>
      <c r="DO3" s="20">
        <f t="shared" ca="1" si="1"/>
        <v>43964</v>
      </c>
      <c r="DP3" s="20">
        <f t="shared" ca="1" si="1"/>
        <v>43965</v>
      </c>
      <c r="DQ3" s="20">
        <f t="shared" ca="1" si="1"/>
        <v>43966</v>
      </c>
      <c r="DR3" s="20">
        <f t="shared" ca="1" si="1"/>
        <v>43967</v>
      </c>
      <c r="DS3" s="20">
        <f t="shared" ca="1" si="1"/>
        <v>43968</v>
      </c>
      <c r="DT3" s="20">
        <f t="shared" ca="1" si="1"/>
        <v>43969</v>
      </c>
      <c r="DU3" s="20">
        <f t="shared" ca="1" si="1"/>
        <v>43970</v>
      </c>
      <c r="DV3" s="20">
        <f t="shared" ca="1" si="1"/>
        <v>43971</v>
      </c>
      <c r="DW3" s="20">
        <f t="shared" ca="1" si="1"/>
        <v>43972</v>
      </c>
      <c r="DX3" s="20">
        <f t="shared" ca="1" si="1"/>
        <v>43973</v>
      </c>
      <c r="DY3" s="20">
        <f t="shared" ca="1" si="1"/>
        <v>43974</v>
      </c>
      <c r="DZ3" s="20">
        <f t="shared" ca="1" si="1"/>
        <v>43975</v>
      </c>
      <c r="EA3" s="20">
        <f t="shared" ca="1" si="1"/>
        <v>43976</v>
      </c>
      <c r="EB3" s="20">
        <f t="shared" ca="1" si="1"/>
        <v>43977</v>
      </c>
      <c r="EC3" s="20">
        <f t="shared" ca="1" si="1"/>
        <v>43978</v>
      </c>
      <c r="ED3" s="20">
        <f t="shared" ca="1" si="1"/>
        <v>43979</v>
      </c>
      <c r="EE3" s="20">
        <f t="shared" ca="1" si="1"/>
        <v>43980</v>
      </c>
      <c r="EF3" s="20">
        <f t="shared" ref="EF3:GQ3" ca="1" si="2">EE3+1</f>
        <v>43981</v>
      </c>
      <c r="EG3" s="20">
        <f t="shared" ca="1" si="2"/>
        <v>43982</v>
      </c>
      <c r="EH3" s="20">
        <f t="shared" ca="1" si="2"/>
        <v>43983</v>
      </c>
      <c r="EI3" s="20">
        <f t="shared" ca="1" si="2"/>
        <v>43984</v>
      </c>
      <c r="EJ3" s="20">
        <f t="shared" ca="1" si="2"/>
        <v>43985</v>
      </c>
      <c r="EK3" s="20">
        <f t="shared" ca="1" si="2"/>
        <v>43986</v>
      </c>
      <c r="EL3" s="20">
        <f t="shared" ca="1" si="2"/>
        <v>43987</v>
      </c>
      <c r="EM3" s="20">
        <f t="shared" ca="1" si="2"/>
        <v>43988</v>
      </c>
      <c r="EN3" s="20">
        <f t="shared" ca="1" si="2"/>
        <v>43989</v>
      </c>
      <c r="EO3" s="20">
        <f t="shared" ca="1" si="2"/>
        <v>43990</v>
      </c>
      <c r="EP3" s="20">
        <f t="shared" ca="1" si="2"/>
        <v>43991</v>
      </c>
      <c r="EQ3" s="20">
        <f t="shared" ca="1" si="2"/>
        <v>43992</v>
      </c>
      <c r="ER3" s="20">
        <f t="shared" ca="1" si="2"/>
        <v>43993</v>
      </c>
      <c r="ES3" s="20">
        <f t="shared" ca="1" si="2"/>
        <v>43994</v>
      </c>
      <c r="ET3" s="20">
        <f t="shared" ca="1" si="2"/>
        <v>43995</v>
      </c>
      <c r="EU3" s="20">
        <f t="shared" ca="1" si="2"/>
        <v>43996</v>
      </c>
      <c r="EV3" s="20">
        <f t="shared" ca="1" si="2"/>
        <v>43997</v>
      </c>
      <c r="EW3" s="20">
        <f t="shared" ca="1" si="2"/>
        <v>43998</v>
      </c>
      <c r="EX3" s="20">
        <f t="shared" ca="1" si="2"/>
        <v>43999</v>
      </c>
      <c r="EY3" s="20">
        <f t="shared" ca="1" si="2"/>
        <v>44000</v>
      </c>
      <c r="EZ3" s="20">
        <f t="shared" ca="1" si="2"/>
        <v>44001</v>
      </c>
      <c r="FA3" s="20">
        <f t="shared" ca="1" si="2"/>
        <v>44002</v>
      </c>
      <c r="FB3" s="20">
        <f t="shared" ca="1" si="2"/>
        <v>44003</v>
      </c>
      <c r="FC3" s="20">
        <f t="shared" ca="1" si="2"/>
        <v>44004</v>
      </c>
      <c r="FD3" s="20">
        <f t="shared" ca="1" si="2"/>
        <v>44005</v>
      </c>
      <c r="FE3" s="20">
        <f t="shared" ca="1" si="2"/>
        <v>44006</v>
      </c>
      <c r="FF3" s="20">
        <f t="shared" ca="1" si="2"/>
        <v>44007</v>
      </c>
      <c r="FG3" s="20">
        <f t="shared" ca="1" si="2"/>
        <v>44008</v>
      </c>
      <c r="FH3" s="20">
        <f t="shared" ca="1" si="2"/>
        <v>44009</v>
      </c>
      <c r="FI3" s="20">
        <f t="shared" ca="1" si="2"/>
        <v>44010</v>
      </c>
      <c r="FJ3" s="20">
        <f t="shared" ca="1" si="2"/>
        <v>44011</v>
      </c>
      <c r="FK3" s="20">
        <f t="shared" ca="1" si="2"/>
        <v>44012</v>
      </c>
      <c r="FL3" s="20">
        <f t="shared" ca="1" si="2"/>
        <v>44013</v>
      </c>
      <c r="FM3" s="20">
        <f t="shared" ca="1" si="2"/>
        <v>44014</v>
      </c>
      <c r="FN3" s="20">
        <f t="shared" ca="1" si="2"/>
        <v>44015</v>
      </c>
      <c r="FO3" s="20">
        <f t="shared" ca="1" si="2"/>
        <v>44016</v>
      </c>
      <c r="FP3" s="20">
        <f t="shared" ca="1" si="2"/>
        <v>44017</v>
      </c>
      <c r="FQ3" s="20">
        <f t="shared" ca="1" si="2"/>
        <v>44018</v>
      </c>
      <c r="FR3" s="20">
        <f t="shared" ca="1" si="2"/>
        <v>44019</v>
      </c>
      <c r="FS3" s="20">
        <f t="shared" ca="1" si="2"/>
        <v>44020</v>
      </c>
      <c r="FT3" s="20">
        <f t="shared" ca="1" si="2"/>
        <v>44021</v>
      </c>
      <c r="FU3" s="20">
        <f t="shared" ca="1" si="2"/>
        <v>44022</v>
      </c>
      <c r="FV3" s="20">
        <f t="shared" ca="1" si="2"/>
        <v>44023</v>
      </c>
      <c r="FW3" s="20">
        <f t="shared" ca="1" si="2"/>
        <v>44024</v>
      </c>
      <c r="FX3" s="20">
        <f t="shared" ca="1" si="2"/>
        <v>44025</v>
      </c>
      <c r="FY3" s="20">
        <f t="shared" ca="1" si="2"/>
        <v>44026</v>
      </c>
      <c r="FZ3" s="20">
        <f t="shared" ca="1" si="2"/>
        <v>44027</v>
      </c>
      <c r="GA3" s="20">
        <f t="shared" ca="1" si="2"/>
        <v>44028</v>
      </c>
      <c r="GB3" s="20">
        <f t="shared" ca="1" si="2"/>
        <v>44029</v>
      </c>
      <c r="GC3" s="20">
        <f t="shared" ca="1" si="2"/>
        <v>44030</v>
      </c>
      <c r="GD3" s="20">
        <f t="shared" ca="1" si="2"/>
        <v>44031</v>
      </c>
      <c r="GE3" s="20">
        <f t="shared" ca="1" si="2"/>
        <v>44032</v>
      </c>
      <c r="GF3" s="20">
        <f t="shared" ca="1" si="2"/>
        <v>44033</v>
      </c>
      <c r="GG3" s="20">
        <f t="shared" ca="1" si="2"/>
        <v>44034</v>
      </c>
      <c r="GH3" s="20">
        <f t="shared" ca="1" si="2"/>
        <v>44035</v>
      </c>
      <c r="GI3" s="20">
        <f t="shared" ca="1" si="2"/>
        <v>44036</v>
      </c>
      <c r="GJ3" s="20">
        <f t="shared" ca="1" si="2"/>
        <v>44037</v>
      </c>
      <c r="GK3" s="20">
        <f t="shared" ca="1" si="2"/>
        <v>44038</v>
      </c>
      <c r="GL3" s="20">
        <f t="shared" ca="1" si="2"/>
        <v>44039</v>
      </c>
      <c r="GM3" s="20">
        <f t="shared" ca="1" si="2"/>
        <v>44040</v>
      </c>
      <c r="GN3" s="20">
        <f t="shared" ca="1" si="2"/>
        <v>44041</v>
      </c>
      <c r="GO3" s="20">
        <f t="shared" ca="1" si="2"/>
        <v>44042</v>
      </c>
      <c r="GP3" s="20">
        <f t="shared" ca="1" si="2"/>
        <v>44043</v>
      </c>
      <c r="GQ3" s="20">
        <f t="shared" ca="1" si="2"/>
        <v>44044</v>
      </c>
      <c r="GR3" s="20">
        <f t="shared" ref="GR3:IN3" ca="1" si="3">GQ3+1</f>
        <v>44045</v>
      </c>
      <c r="GS3" s="20">
        <f t="shared" ca="1" si="3"/>
        <v>44046</v>
      </c>
      <c r="GT3" s="20">
        <f t="shared" ca="1" si="3"/>
        <v>44047</v>
      </c>
      <c r="GU3" s="20">
        <f t="shared" ca="1" si="3"/>
        <v>44048</v>
      </c>
      <c r="GV3" s="20">
        <f t="shared" ca="1" si="3"/>
        <v>44049</v>
      </c>
      <c r="GW3" s="20">
        <f t="shared" ca="1" si="3"/>
        <v>44050</v>
      </c>
      <c r="GX3" s="20">
        <f t="shared" ca="1" si="3"/>
        <v>44051</v>
      </c>
      <c r="GY3" s="20">
        <f t="shared" ca="1" si="3"/>
        <v>44052</v>
      </c>
      <c r="GZ3" s="20">
        <f t="shared" ca="1" si="3"/>
        <v>44053</v>
      </c>
      <c r="HA3" s="20">
        <f t="shared" ca="1" si="3"/>
        <v>44054</v>
      </c>
      <c r="HB3" s="20">
        <f t="shared" ca="1" si="3"/>
        <v>44055</v>
      </c>
      <c r="HC3" s="20">
        <f t="shared" ca="1" si="3"/>
        <v>44056</v>
      </c>
      <c r="HD3" s="20">
        <f t="shared" ca="1" si="3"/>
        <v>44057</v>
      </c>
      <c r="HE3" s="20">
        <f t="shared" ca="1" si="3"/>
        <v>44058</v>
      </c>
      <c r="HF3" s="20">
        <f t="shared" ca="1" si="3"/>
        <v>44059</v>
      </c>
      <c r="HG3" s="20">
        <f t="shared" ca="1" si="3"/>
        <v>44060</v>
      </c>
      <c r="HH3" s="20">
        <f t="shared" ca="1" si="3"/>
        <v>44061</v>
      </c>
      <c r="HI3" s="20">
        <f t="shared" ca="1" si="3"/>
        <v>44062</v>
      </c>
      <c r="HJ3" s="20">
        <f t="shared" ca="1" si="3"/>
        <v>44063</v>
      </c>
      <c r="HK3" s="20">
        <f t="shared" ca="1" si="3"/>
        <v>44064</v>
      </c>
      <c r="HL3" s="20">
        <f t="shared" ca="1" si="3"/>
        <v>44065</v>
      </c>
      <c r="HM3" s="20">
        <f t="shared" ca="1" si="3"/>
        <v>44066</v>
      </c>
      <c r="HN3" s="20">
        <f t="shared" ca="1" si="3"/>
        <v>44067</v>
      </c>
      <c r="HO3" s="20">
        <f t="shared" ca="1" si="3"/>
        <v>44068</v>
      </c>
      <c r="HP3" s="20">
        <f t="shared" ca="1" si="3"/>
        <v>44069</v>
      </c>
      <c r="HQ3" s="20">
        <f t="shared" ca="1" si="3"/>
        <v>44070</v>
      </c>
      <c r="HR3" s="20">
        <f t="shared" ca="1" si="3"/>
        <v>44071</v>
      </c>
      <c r="HS3" s="20">
        <f t="shared" ca="1" si="3"/>
        <v>44072</v>
      </c>
      <c r="HT3" s="20">
        <f t="shared" ca="1" si="3"/>
        <v>44073</v>
      </c>
      <c r="HU3" s="20">
        <f t="shared" ca="1" si="3"/>
        <v>44074</v>
      </c>
      <c r="HV3" s="20">
        <f t="shared" ca="1" si="3"/>
        <v>44075</v>
      </c>
      <c r="HW3" s="20">
        <f t="shared" ca="1" si="3"/>
        <v>44076</v>
      </c>
      <c r="HX3" s="20">
        <f t="shared" ca="1" si="3"/>
        <v>44077</v>
      </c>
      <c r="HY3" s="20">
        <f t="shared" ca="1" si="3"/>
        <v>44078</v>
      </c>
      <c r="HZ3" s="20">
        <f t="shared" ca="1" si="3"/>
        <v>44079</v>
      </c>
      <c r="IA3" s="20">
        <f t="shared" ca="1" si="3"/>
        <v>44080</v>
      </c>
      <c r="IB3" s="20">
        <f t="shared" ca="1" si="3"/>
        <v>44081</v>
      </c>
      <c r="IC3" s="20">
        <f t="shared" ca="1" si="3"/>
        <v>44082</v>
      </c>
      <c r="ID3" s="20">
        <f t="shared" ca="1" si="3"/>
        <v>44083</v>
      </c>
      <c r="IE3" s="20">
        <f t="shared" ca="1" si="3"/>
        <v>44084</v>
      </c>
      <c r="IF3" s="20">
        <f t="shared" ca="1" si="3"/>
        <v>44085</v>
      </c>
      <c r="IG3" s="20">
        <f t="shared" ca="1" si="3"/>
        <v>44086</v>
      </c>
      <c r="IH3" s="20">
        <f t="shared" ca="1" si="3"/>
        <v>44087</v>
      </c>
      <c r="II3" s="20">
        <f t="shared" ca="1" si="3"/>
        <v>44088</v>
      </c>
      <c r="IJ3" s="20">
        <f t="shared" ca="1" si="3"/>
        <v>44089</v>
      </c>
      <c r="IK3" s="20">
        <f t="shared" ca="1" si="3"/>
        <v>44090</v>
      </c>
      <c r="IL3" s="20">
        <f t="shared" ca="1" si="3"/>
        <v>44091</v>
      </c>
      <c r="IM3" s="20">
        <f t="shared" ca="1" si="3"/>
        <v>44092</v>
      </c>
      <c r="IN3" s="20">
        <f t="shared" ca="1" si="3"/>
        <v>44093</v>
      </c>
    </row>
    <row r="4" spans="2:248" x14ac:dyDescent="0.3">
      <c r="B4" s="19" t="s">
        <v>450</v>
      </c>
      <c r="C4" s="21">
        <f>VLOOKUP(B2,Days_Since_100!C:D,2,FALSE)</f>
        <v>104697</v>
      </c>
      <c r="G4" s="19">
        <v>0</v>
      </c>
      <c r="H4" s="19">
        <f>G4+1</f>
        <v>1</v>
      </c>
      <c r="I4" s="19">
        <f t="shared" ref="I4:BL4" si="4">H4+1</f>
        <v>2</v>
      </c>
      <c r="J4" s="19">
        <f t="shared" si="4"/>
        <v>3</v>
      </c>
      <c r="K4" s="19">
        <f t="shared" si="4"/>
        <v>4</v>
      </c>
      <c r="L4" s="19">
        <f t="shared" si="4"/>
        <v>5</v>
      </c>
      <c r="M4" s="19">
        <f t="shared" si="4"/>
        <v>6</v>
      </c>
      <c r="N4" s="19">
        <f t="shared" si="4"/>
        <v>7</v>
      </c>
      <c r="O4" s="19">
        <f t="shared" si="4"/>
        <v>8</v>
      </c>
      <c r="P4" s="19">
        <f t="shared" si="4"/>
        <v>9</v>
      </c>
      <c r="Q4" s="19">
        <f t="shared" si="4"/>
        <v>10</v>
      </c>
      <c r="R4" s="19">
        <f t="shared" si="4"/>
        <v>11</v>
      </c>
      <c r="S4" s="19">
        <f t="shared" si="4"/>
        <v>12</v>
      </c>
      <c r="T4" s="19">
        <f t="shared" si="4"/>
        <v>13</v>
      </c>
      <c r="U4" s="19">
        <f t="shared" si="4"/>
        <v>14</v>
      </c>
      <c r="V4" s="19">
        <f t="shared" si="4"/>
        <v>15</v>
      </c>
      <c r="W4" s="19">
        <f t="shared" si="4"/>
        <v>16</v>
      </c>
      <c r="X4" s="19">
        <f t="shared" si="4"/>
        <v>17</v>
      </c>
      <c r="Y4" s="19">
        <f t="shared" si="4"/>
        <v>18</v>
      </c>
      <c r="Z4" s="19">
        <f t="shared" si="4"/>
        <v>19</v>
      </c>
      <c r="AA4" s="19">
        <f t="shared" si="4"/>
        <v>20</v>
      </c>
      <c r="AB4" s="19">
        <f t="shared" si="4"/>
        <v>21</v>
      </c>
      <c r="AC4" s="19">
        <f t="shared" si="4"/>
        <v>22</v>
      </c>
      <c r="AD4" s="19">
        <f t="shared" si="4"/>
        <v>23</v>
      </c>
      <c r="AE4" s="19">
        <f t="shared" si="4"/>
        <v>24</v>
      </c>
      <c r="AF4" s="19">
        <f t="shared" si="4"/>
        <v>25</v>
      </c>
      <c r="AG4" s="19">
        <f t="shared" si="4"/>
        <v>26</v>
      </c>
      <c r="AH4" s="19">
        <f t="shared" si="4"/>
        <v>27</v>
      </c>
      <c r="AI4" s="19">
        <f t="shared" si="4"/>
        <v>28</v>
      </c>
      <c r="AJ4" s="19">
        <f t="shared" si="4"/>
        <v>29</v>
      </c>
      <c r="AK4" s="19">
        <f t="shared" si="4"/>
        <v>30</v>
      </c>
      <c r="AL4" s="19">
        <f t="shared" si="4"/>
        <v>31</v>
      </c>
      <c r="AM4" s="19">
        <f t="shared" si="4"/>
        <v>32</v>
      </c>
      <c r="AN4" s="19">
        <f t="shared" si="4"/>
        <v>33</v>
      </c>
      <c r="AO4" s="19">
        <f t="shared" si="4"/>
        <v>34</v>
      </c>
      <c r="AP4" s="19">
        <f t="shared" si="4"/>
        <v>35</v>
      </c>
      <c r="AQ4" s="19">
        <f t="shared" si="4"/>
        <v>36</v>
      </c>
      <c r="AR4" s="19">
        <f t="shared" si="4"/>
        <v>37</v>
      </c>
      <c r="AS4" s="19">
        <f t="shared" si="4"/>
        <v>38</v>
      </c>
      <c r="AT4" s="19">
        <f t="shared" si="4"/>
        <v>39</v>
      </c>
      <c r="AU4" s="19">
        <f t="shared" si="4"/>
        <v>40</v>
      </c>
      <c r="AV4" s="19">
        <f t="shared" si="4"/>
        <v>41</v>
      </c>
      <c r="AW4" s="19">
        <f t="shared" si="4"/>
        <v>42</v>
      </c>
      <c r="AX4" s="19">
        <f t="shared" si="4"/>
        <v>43</v>
      </c>
      <c r="AY4" s="19">
        <f t="shared" si="4"/>
        <v>44</v>
      </c>
      <c r="AZ4" s="19">
        <f t="shared" si="4"/>
        <v>45</v>
      </c>
      <c r="BA4" s="19">
        <f t="shared" si="4"/>
        <v>46</v>
      </c>
      <c r="BB4" s="19">
        <f t="shared" si="4"/>
        <v>47</v>
      </c>
      <c r="BC4" s="19">
        <f t="shared" si="4"/>
        <v>48</v>
      </c>
      <c r="BD4" s="19">
        <f t="shared" si="4"/>
        <v>49</v>
      </c>
      <c r="BE4" s="19">
        <f t="shared" si="4"/>
        <v>50</v>
      </c>
      <c r="BF4" s="19">
        <f t="shared" si="4"/>
        <v>51</v>
      </c>
      <c r="BG4" s="19">
        <f t="shared" si="4"/>
        <v>52</v>
      </c>
      <c r="BH4" s="19">
        <f t="shared" si="4"/>
        <v>53</v>
      </c>
      <c r="BI4" s="19">
        <f t="shared" si="4"/>
        <v>54</v>
      </c>
      <c r="BJ4" s="19">
        <f t="shared" si="4"/>
        <v>55</v>
      </c>
      <c r="BK4" s="19">
        <f t="shared" si="4"/>
        <v>56</v>
      </c>
      <c r="BL4" s="19">
        <f t="shared" si="4"/>
        <v>57</v>
      </c>
      <c r="BM4" s="19">
        <f t="shared" ref="BM4:BO4" si="5">BL4+1</f>
        <v>58</v>
      </c>
      <c r="BN4" s="19">
        <f t="shared" si="5"/>
        <v>59</v>
      </c>
      <c r="BO4" s="19">
        <f t="shared" si="5"/>
        <v>60</v>
      </c>
      <c r="BP4" s="19">
        <f t="shared" ref="BP4:CN4" si="6">BO4+1</f>
        <v>61</v>
      </c>
      <c r="BQ4" s="19">
        <f t="shared" si="6"/>
        <v>62</v>
      </c>
      <c r="BR4" s="19">
        <f t="shared" si="6"/>
        <v>63</v>
      </c>
      <c r="BS4" s="19">
        <f t="shared" si="6"/>
        <v>64</v>
      </c>
      <c r="BT4" s="19">
        <f t="shared" si="6"/>
        <v>65</v>
      </c>
      <c r="BU4" s="19">
        <f t="shared" si="6"/>
        <v>66</v>
      </c>
      <c r="BV4" s="19">
        <f t="shared" si="6"/>
        <v>67</v>
      </c>
      <c r="BW4" s="19">
        <f t="shared" si="6"/>
        <v>68</v>
      </c>
      <c r="BX4" s="19">
        <f t="shared" si="6"/>
        <v>69</v>
      </c>
      <c r="BY4" s="19">
        <f t="shared" si="6"/>
        <v>70</v>
      </c>
      <c r="BZ4" s="19">
        <f t="shared" si="6"/>
        <v>71</v>
      </c>
      <c r="CA4" s="19">
        <f t="shared" si="6"/>
        <v>72</v>
      </c>
      <c r="CB4" s="19">
        <f t="shared" si="6"/>
        <v>73</v>
      </c>
      <c r="CC4" s="19">
        <f t="shared" si="6"/>
        <v>74</v>
      </c>
      <c r="CD4" s="19">
        <f t="shared" si="6"/>
        <v>75</v>
      </c>
      <c r="CE4" s="19">
        <f t="shared" si="6"/>
        <v>76</v>
      </c>
      <c r="CF4" s="19">
        <f t="shared" si="6"/>
        <v>77</v>
      </c>
      <c r="CG4" s="19">
        <f t="shared" si="6"/>
        <v>78</v>
      </c>
      <c r="CH4" s="19">
        <f t="shared" si="6"/>
        <v>79</v>
      </c>
      <c r="CI4" s="19">
        <f t="shared" si="6"/>
        <v>80</v>
      </c>
      <c r="CJ4" s="19">
        <f t="shared" si="6"/>
        <v>81</v>
      </c>
      <c r="CK4" s="19">
        <f t="shared" si="6"/>
        <v>82</v>
      </c>
      <c r="CL4" s="19">
        <f t="shared" si="6"/>
        <v>83</v>
      </c>
      <c r="CM4" s="19">
        <f t="shared" si="6"/>
        <v>84</v>
      </c>
      <c r="CN4" s="19">
        <f t="shared" si="6"/>
        <v>85</v>
      </c>
      <c r="CO4" s="19">
        <f t="shared" ref="CO4:DC4" si="7">CN4+1</f>
        <v>86</v>
      </c>
      <c r="CP4" s="19">
        <f t="shared" si="7"/>
        <v>87</v>
      </c>
      <c r="CQ4" s="19">
        <f t="shared" si="7"/>
        <v>88</v>
      </c>
      <c r="CR4" s="19">
        <f t="shared" si="7"/>
        <v>89</v>
      </c>
      <c r="CS4" s="19">
        <f t="shared" si="7"/>
        <v>90</v>
      </c>
      <c r="CT4" s="19">
        <f t="shared" si="7"/>
        <v>91</v>
      </c>
      <c r="CU4" s="19">
        <f t="shared" si="7"/>
        <v>92</v>
      </c>
      <c r="CV4" s="19">
        <f t="shared" si="7"/>
        <v>93</v>
      </c>
      <c r="CW4" s="19">
        <f t="shared" si="7"/>
        <v>94</v>
      </c>
      <c r="CX4" s="19">
        <f t="shared" si="7"/>
        <v>95</v>
      </c>
      <c r="CY4" s="19">
        <f t="shared" si="7"/>
        <v>96</v>
      </c>
      <c r="CZ4" s="19">
        <f t="shared" si="7"/>
        <v>97</v>
      </c>
      <c r="DA4" s="19">
        <f t="shared" si="7"/>
        <v>98</v>
      </c>
      <c r="DB4" s="19">
        <f t="shared" si="7"/>
        <v>99</v>
      </c>
      <c r="DC4" s="19">
        <f t="shared" si="7"/>
        <v>100</v>
      </c>
      <c r="DD4" s="19">
        <f t="shared" ref="DD4:FJ4" si="8">DC4+1</f>
        <v>101</v>
      </c>
      <c r="DE4" s="19">
        <f t="shared" si="8"/>
        <v>102</v>
      </c>
      <c r="DF4" s="19">
        <f t="shared" si="8"/>
        <v>103</v>
      </c>
      <c r="DG4" s="19">
        <f t="shared" si="8"/>
        <v>104</v>
      </c>
      <c r="DH4" s="19">
        <f t="shared" si="8"/>
        <v>105</v>
      </c>
      <c r="DI4" s="19">
        <f t="shared" si="8"/>
        <v>106</v>
      </c>
      <c r="DJ4" s="19">
        <f t="shared" si="8"/>
        <v>107</v>
      </c>
      <c r="DK4" s="19">
        <f t="shared" si="8"/>
        <v>108</v>
      </c>
      <c r="DL4" s="19">
        <f t="shared" si="8"/>
        <v>109</v>
      </c>
      <c r="DM4" s="19">
        <f t="shared" si="8"/>
        <v>110</v>
      </c>
      <c r="DN4" s="19">
        <f t="shared" si="8"/>
        <v>111</v>
      </c>
      <c r="DO4" s="19">
        <f t="shared" si="8"/>
        <v>112</v>
      </c>
      <c r="DP4" s="19">
        <f t="shared" si="8"/>
        <v>113</v>
      </c>
      <c r="DQ4" s="19">
        <f t="shared" si="8"/>
        <v>114</v>
      </c>
      <c r="DR4" s="19">
        <f t="shared" si="8"/>
        <v>115</v>
      </c>
      <c r="DS4" s="19">
        <f t="shared" si="8"/>
        <v>116</v>
      </c>
      <c r="DT4" s="19">
        <f t="shared" si="8"/>
        <v>117</v>
      </c>
      <c r="DU4" s="19">
        <f t="shared" si="8"/>
        <v>118</v>
      </c>
      <c r="DV4" s="19">
        <f t="shared" si="8"/>
        <v>119</v>
      </c>
      <c r="DW4" s="19">
        <f t="shared" si="8"/>
        <v>120</v>
      </c>
      <c r="DX4" s="19">
        <f t="shared" si="8"/>
        <v>121</v>
      </c>
      <c r="DY4" s="19">
        <f t="shared" si="8"/>
        <v>122</v>
      </c>
      <c r="DZ4" s="19">
        <f t="shared" si="8"/>
        <v>123</v>
      </c>
      <c r="EA4" s="19">
        <f t="shared" si="8"/>
        <v>124</v>
      </c>
      <c r="EB4" s="19">
        <f t="shared" si="8"/>
        <v>125</v>
      </c>
      <c r="EC4" s="19">
        <f t="shared" si="8"/>
        <v>126</v>
      </c>
      <c r="ED4" s="19">
        <f t="shared" si="8"/>
        <v>127</v>
      </c>
      <c r="EE4" s="19">
        <f t="shared" si="8"/>
        <v>128</v>
      </c>
      <c r="EF4" s="19">
        <f t="shared" si="8"/>
        <v>129</v>
      </c>
      <c r="EG4" s="19">
        <f t="shared" si="8"/>
        <v>130</v>
      </c>
      <c r="EH4" s="19">
        <f t="shared" si="8"/>
        <v>131</v>
      </c>
      <c r="EI4" s="19">
        <f t="shared" si="8"/>
        <v>132</v>
      </c>
      <c r="EJ4" s="19">
        <f t="shared" si="8"/>
        <v>133</v>
      </c>
      <c r="EK4" s="19">
        <f t="shared" si="8"/>
        <v>134</v>
      </c>
      <c r="EL4" s="19">
        <f t="shared" si="8"/>
        <v>135</v>
      </c>
      <c r="EM4" s="19">
        <f t="shared" si="8"/>
        <v>136</v>
      </c>
      <c r="EN4" s="19">
        <f t="shared" si="8"/>
        <v>137</v>
      </c>
      <c r="EO4" s="19">
        <f t="shared" si="8"/>
        <v>138</v>
      </c>
      <c r="EP4" s="19">
        <f t="shared" si="8"/>
        <v>139</v>
      </c>
      <c r="EQ4" s="19">
        <f t="shared" si="8"/>
        <v>140</v>
      </c>
      <c r="ER4" s="19">
        <f t="shared" si="8"/>
        <v>141</v>
      </c>
      <c r="ES4" s="19">
        <f t="shared" si="8"/>
        <v>142</v>
      </c>
      <c r="ET4" s="19">
        <f t="shared" si="8"/>
        <v>143</v>
      </c>
      <c r="EU4" s="19">
        <f t="shared" si="8"/>
        <v>144</v>
      </c>
      <c r="EV4" s="19">
        <f t="shared" si="8"/>
        <v>145</v>
      </c>
      <c r="EW4" s="19">
        <f t="shared" si="8"/>
        <v>146</v>
      </c>
      <c r="EX4" s="19">
        <f t="shared" si="8"/>
        <v>147</v>
      </c>
      <c r="EY4" s="19">
        <f t="shared" si="8"/>
        <v>148</v>
      </c>
      <c r="EZ4" s="19">
        <f t="shared" si="8"/>
        <v>149</v>
      </c>
      <c r="FA4" s="19">
        <f t="shared" si="8"/>
        <v>150</v>
      </c>
      <c r="FB4" s="19">
        <f t="shared" si="8"/>
        <v>151</v>
      </c>
      <c r="FC4" s="19">
        <f t="shared" si="8"/>
        <v>152</v>
      </c>
      <c r="FD4" s="19">
        <f t="shared" si="8"/>
        <v>153</v>
      </c>
      <c r="FE4" s="19">
        <f t="shared" si="8"/>
        <v>154</v>
      </c>
      <c r="FF4" s="19">
        <f t="shared" si="8"/>
        <v>155</v>
      </c>
      <c r="FG4" s="19">
        <f t="shared" si="8"/>
        <v>156</v>
      </c>
      <c r="FH4" s="19">
        <f t="shared" si="8"/>
        <v>157</v>
      </c>
      <c r="FI4" s="19">
        <f t="shared" si="8"/>
        <v>158</v>
      </c>
      <c r="FJ4" s="19">
        <f t="shared" si="8"/>
        <v>159</v>
      </c>
      <c r="FK4" s="19">
        <f t="shared" ref="FK4:HV4" si="9">FJ4+1</f>
        <v>160</v>
      </c>
      <c r="FL4" s="19">
        <f t="shared" si="9"/>
        <v>161</v>
      </c>
      <c r="FM4" s="19">
        <f t="shared" si="9"/>
        <v>162</v>
      </c>
      <c r="FN4" s="19">
        <f t="shared" si="9"/>
        <v>163</v>
      </c>
      <c r="FO4" s="19">
        <f t="shared" si="9"/>
        <v>164</v>
      </c>
      <c r="FP4" s="19">
        <f t="shared" si="9"/>
        <v>165</v>
      </c>
      <c r="FQ4" s="19">
        <f t="shared" si="9"/>
        <v>166</v>
      </c>
      <c r="FR4" s="19">
        <f t="shared" si="9"/>
        <v>167</v>
      </c>
      <c r="FS4" s="19">
        <f t="shared" si="9"/>
        <v>168</v>
      </c>
      <c r="FT4" s="19">
        <f t="shared" si="9"/>
        <v>169</v>
      </c>
      <c r="FU4" s="19">
        <f t="shared" si="9"/>
        <v>170</v>
      </c>
      <c r="FV4" s="19">
        <f t="shared" si="9"/>
        <v>171</v>
      </c>
      <c r="FW4" s="19">
        <f t="shared" si="9"/>
        <v>172</v>
      </c>
      <c r="FX4" s="19">
        <f t="shared" si="9"/>
        <v>173</v>
      </c>
      <c r="FY4" s="19">
        <f t="shared" si="9"/>
        <v>174</v>
      </c>
      <c r="FZ4" s="19">
        <f t="shared" si="9"/>
        <v>175</v>
      </c>
      <c r="GA4" s="19">
        <f t="shared" si="9"/>
        <v>176</v>
      </c>
      <c r="GB4" s="19">
        <f t="shared" si="9"/>
        <v>177</v>
      </c>
      <c r="GC4" s="19">
        <f t="shared" si="9"/>
        <v>178</v>
      </c>
      <c r="GD4" s="19">
        <f t="shared" si="9"/>
        <v>179</v>
      </c>
      <c r="GE4" s="19">
        <f t="shared" si="9"/>
        <v>180</v>
      </c>
      <c r="GF4" s="19">
        <f t="shared" si="9"/>
        <v>181</v>
      </c>
      <c r="GG4" s="19">
        <f t="shared" si="9"/>
        <v>182</v>
      </c>
      <c r="GH4" s="19">
        <f t="shared" si="9"/>
        <v>183</v>
      </c>
      <c r="GI4" s="19">
        <f t="shared" si="9"/>
        <v>184</v>
      </c>
      <c r="GJ4" s="19">
        <f t="shared" si="9"/>
        <v>185</v>
      </c>
      <c r="GK4" s="19">
        <f t="shared" si="9"/>
        <v>186</v>
      </c>
      <c r="GL4" s="19">
        <f t="shared" si="9"/>
        <v>187</v>
      </c>
      <c r="GM4" s="19">
        <f t="shared" si="9"/>
        <v>188</v>
      </c>
      <c r="GN4" s="19">
        <f t="shared" si="9"/>
        <v>189</v>
      </c>
      <c r="GO4" s="19">
        <f t="shared" si="9"/>
        <v>190</v>
      </c>
      <c r="GP4" s="19">
        <f t="shared" si="9"/>
        <v>191</v>
      </c>
      <c r="GQ4" s="19">
        <f t="shared" si="9"/>
        <v>192</v>
      </c>
      <c r="GR4" s="19">
        <f t="shared" si="9"/>
        <v>193</v>
      </c>
      <c r="GS4" s="19">
        <f t="shared" si="9"/>
        <v>194</v>
      </c>
      <c r="GT4" s="19">
        <f t="shared" si="9"/>
        <v>195</v>
      </c>
      <c r="GU4" s="19">
        <f t="shared" si="9"/>
        <v>196</v>
      </c>
      <c r="GV4" s="19">
        <f t="shared" si="9"/>
        <v>197</v>
      </c>
      <c r="GW4" s="19">
        <f t="shared" si="9"/>
        <v>198</v>
      </c>
      <c r="GX4" s="19">
        <f t="shared" si="9"/>
        <v>199</v>
      </c>
      <c r="GY4" s="19">
        <f t="shared" si="9"/>
        <v>200</v>
      </c>
      <c r="GZ4" s="19">
        <f t="shared" si="9"/>
        <v>201</v>
      </c>
      <c r="HA4" s="19">
        <f t="shared" si="9"/>
        <v>202</v>
      </c>
      <c r="HB4" s="19">
        <f t="shared" si="9"/>
        <v>203</v>
      </c>
      <c r="HC4" s="19">
        <f t="shared" si="9"/>
        <v>204</v>
      </c>
      <c r="HD4" s="19">
        <f t="shared" si="9"/>
        <v>205</v>
      </c>
      <c r="HE4" s="19">
        <f t="shared" si="9"/>
        <v>206</v>
      </c>
      <c r="HF4" s="19">
        <f t="shared" si="9"/>
        <v>207</v>
      </c>
      <c r="HG4" s="19">
        <f t="shared" si="9"/>
        <v>208</v>
      </c>
      <c r="HH4" s="19">
        <f t="shared" si="9"/>
        <v>209</v>
      </c>
      <c r="HI4" s="19">
        <f t="shared" si="9"/>
        <v>210</v>
      </c>
      <c r="HJ4" s="19">
        <f t="shared" si="9"/>
        <v>211</v>
      </c>
      <c r="HK4" s="19">
        <f t="shared" si="9"/>
        <v>212</v>
      </c>
      <c r="HL4" s="19">
        <f t="shared" si="9"/>
        <v>213</v>
      </c>
      <c r="HM4" s="19">
        <f t="shared" si="9"/>
        <v>214</v>
      </c>
      <c r="HN4" s="19">
        <f t="shared" si="9"/>
        <v>215</v>
      </c>
      <c r="HO4" s="19">
        <f t="shared" si="9"/>
        <v>216</v>
      </c>
      <c r="HP4" s="19">
        <f t="shared" si="9"/>
        <v>217</v>
      </c>
      <c r="HQ4" s="19">
        <f t="shared" si="9"/>
        <v>218</v>
      </c>
      <c r="HR4" s="19">
        <f t="shared" si="9"/>
        <v>219</v>
      </c>
      <c r="HS4" s="19">
        <f t="shared" si="9"/>
        <v>220</v>
      </c>
      <c r="HT4" s="19">
        <f t="shared" si="9"/>
        <v>221</v>
      </c>
      <c r="HU4" s="19">
        <f t="shared" si="9"/>
        <v>222</v>
      </c>
      <c r="HV4" s="19">
        <f t="shared" si="9"/>
        <v>223</v>
      </c>
      <c r="HW4" s="19">
        <f t="shared" ref="HW4:IN4" si="10">HV4+1</f>
        <v>224</v>
      </c>
      <c r="HX4" s="19">
        <f t="shared" si="10"/>
        <v>225</v>
      </c>
      <c r="HY4" s="19">
        <f t="shared" si="10"/>
        <v>226</v>
      </c>
      <c r="HZ4" s="19">
        <f t="shared" si="10"/>
        <v>227</v>
      </c>
      <c r="IA4" s="19">
        <f t="shared" si="10"/>
        <v>228</v>
      </c>
      <c r="IB4" s="19">
        <f t="shared" si="10"/>
        <v>229</v>
      </c>
      <c r="IC4" s="19">
        <f t="shared" si="10"/>
        <v>230</v>
      </c>
      <c r="ID4" s="19">
        <f t="shared" si="10"/>
        <v>231</v>
      </c>
      <c r="IE4" s="19">
        <f t="shared" si="10"/>
        <v>232</v>
      </c>
      <c r="IF4" s="19">
        <f t="shared" si="10"/>
        <v>233</v>
      </c>
      <c r="IG4" s="19">
        <f t="shared" si="10"/>
        <v>234</v>
      </c>
      <c r="IH4" s="19">
        <f t="shared" si="10"/>
        <v>235</v>
      </c>
      <c r="II4" s="19">
        <f t="shared" si="10"/>
        <v>236</v>
      </c>
      <c r="IJ4" s="19">
        <f t="shared" si="10"/>
        <v>237</v>
      </c>
      <c r="IK4" s="19">
        <f t="shared" si="10"/>
        <v>238</v>
      </c>
      <c r="IL4" s="19">
        <f t="shared" si="10"/>
        <v>239</v>
      </c>
      <c r="IM4" s="19">
        <f t="shared" si="10"/>
        <v>240</v>
      </c>
      <c r="IN4" s="19">
        <f t="shared" si="10"/>
        <v>241</v>
      </c>
    </row>
    <row r="5" spans="2:248" x14ac:dyDescent="0.3">
      <c r="B5" s="19" t="s">
        <v>454</v>
      </c>
      <c r="C5" s="21">
        <f>COUNTIF(G5:IN5,"&gt;"&amp;0)</f>
        <v>67</v>
      </c>
      <c r="F5" s="19" t="s">
        <v>505</v>
      </c>
      <c r="G5" s="40">
        <f>IF(VLOOKUP($B$2,Days_Since_100!$H:$KU,Projections_Data!G$4+2,FALSE)=0,#N/A,VLOOKUP($B$2,Days_Since_100!$H:$KU,Projections_Data!G$4+2,FALSE))</f>
        <v>554</v>
      </c>
      <c r="H5" s="40">
        <f>IF(VLOOKUP($B$2,Days_Since_100!$H:$KU,Projections_Data!H$4+2,FALSE)=0,#N/A,VLOOKUP($B$2,Days_Since_100!$H:$KU,Projections_Data!H$4+2,FALSE))</f>
        <v>653</v>
      </c>
      <c r="I5" s="40">
        <f>IF(VLOOKUP($B$2,Days_Since_100!$H:$KU,Projections_Data!I$4+2,FALSE)=0,#N/A,VLOOKUP($B$2,Days_Since_100!$H:$KU,Projections_Data!I$4+2,FALSE))</f>
        <v>937</v>
      </c>
      <c r="J5" s="40">
        <f>IF(VLOOKUP($B$2,Days_Since_100!$H:$KU,Projections_Data!J$4+2,FALSE)=0,#N/A,VLOOKUP($B$2,Days_Since_100!$H:$KU,Projections_Data!J$4+2,FALSE))</f>
        <v>1429</v>
      </c>
      <c r="K5" s="40">
        <f>IF(VLOOKUP($B$2,Days_Since_100!$H:$KU,Projections_Data!K$4+2,FALSE)=0,#N/A,VLOOKUP($B$2,Days_Since_100!$H:$KU,Projections_Data!K$4+2,FALSE))</f>
        <v>2105</v>
      </c>
      <c r="L5" s="40">
        <f>IF(VLOOKUP($B$2,Days_Since_100!$H:$KU,Projections_Data!L$4+2,FALSE)=0,#N/A,VLOOKUP($B$2,Days_Since_100!$H:$KU,Projections_Data!L$4+2,FALSE))</f>
        <v>2911</v>
      </c>
      <c r="M5" s="40">
        <f>IF(VLOOKUP($B$2,Days_Since_100!$H:$KU,Projections_Data!M$4+2,FALSE)=0,#N/A,VLOOKUP($B$2,Days_Since_100!$H:$KU,Projections_Data!M$4+2,FALSE))</f>
        <v>5557</v>
      </c>
      <c r="N5" s="40">
        <f>IF(VLOOKUP($B$2,Days_Since_100!$H:$KU,Projections_Data!N$4+2,FALSE)=0,#N/A,VLOOKUP($B$2,Days_Since_100!$H:$KU,Projections_Data!N$4+2,FALSE))</f>
        <v>6138</v>
      </c>
      <c r="O5" s="40">
        <f>IF(VLOOKUP($B$2,Days_Since_100!$H:$KU,Projections_Data!O$4+2,FALSE)=0,#N/A,VLOOKUP($B$2,Days_Since_100!$H:$KU,Projections_Data!O$4+2,FALSE))</f>
        <v>8203</v>
      </c>
      <c r="P5" s="40">
        <f>IF(VLOOKUP($B$2,Days_Since_100!$H:$KU,Projections_Data!P$4+2,FALSE)=0,#N/A,VLOOKUP($B$2,Days_Since_100!$H:$KU,Projections_Data!P$4+2,FALSE))</f>
        <v>9886</v>
      </c>
      <c r="Q5" s="40">
        <f>IF(VLOOKUP($B$2,Days_Since_100!$H:$KU,Projections_Data!Q$4+2,FALSE)=0,#N/A,VLOOKUP($B$2,Days_Since_100!$H:$KU,Projections_Data!Q$4+2,FALSE))</f>
        <v>11988</v>
      </c>
      <c r="R5" s="40">
        <f>IF(VLOOKUP($B$2,Days_Since_100!$H:$KU,Projections_Data!R$4+2,FALSE)=0,#N/A,VLOOKUP($B$2,Days_Since_100!$H:$KU,Projections_Data!R$4+2,FALSE))</f>
        <v>16734</v>
      </c>
      <c r="S5" s="40">
        <f>IF(VLOOKUP($B$2,Days_Since_100!$H:$KU,Projections_Data!S$4+2,FALSE)=0,#N/A,VLOOKUP($B$2,Days_Since_100!$H:$KU,Projections_Data!S$4+2,FALSE))</f>
        <v>19823</v>
      </c>
      <c r="T5" s="40">
        <f>IF(VLOOKUP($B$2,Days_Since_100!$H:$KU,Projections_Data!T$4+2,FALSE)=0,#N/A,VLOOKUP($B$2,Days_Since_100!$H:$KU,Projections_Data!T$4+2,FALSE))</f>
        <v>23832</v>
      </c>
      <c r="U5" s="40">
        <f>IF(VLOOKUP($B$2,Days_Since_100!$H:$KU,Projections_Data!U$4+2,FALSE)=0,#N/A,VLOOKUP($B$2,Days_Since_100!$H:$KU,Projections_Data!U$4+2,FALSE))</f>
        <v>27574</v>
      </c>
      <c r="V5" s="40">
        <f>IF(VLOOKUP($B$2,Days_Since_100!$H:$KU,Projections_Data!V$4+2,FALSE)=0,#N/A,VLOOKUP($B$2,Days_Since_100!$H:$KU,Projections_Data!V$4+2,FALSE))</f>
        <v>30732</v>
      </c>
      <c r="W5" s="40">
        <f>IF(VLOOKUP($B$2,Days_Since_100!$H:$KU,Projections_Data!W$4+2,FALSE)=0,#N/A,VLOOKUP($B$2,Days_Since_100!$H:$KU,Projections_Data!W$4+2,FALSE))</f>
        <v>34262</v>
      </c>
      <c r="X5" s="40">
        <f>IF(VLOOKUP($B$2,Days_Since_100!$H:$KU,Projections_Data!X$4+2,FALSE)=0,#N/A,VLOOKUP($B$2,Days_Since_100!$H:$KU,Projections_Data!X$4+2,FALSE))</f>
        <v>36984</v>
      </c>
      <c r="Y5" s="40">
        <f>IF(VLOOKUP($B$2,Days_Since_100!$H:$KU,Projections_Data!Y$4+2,FALSE)=0,#N/A,VLOOKUP($B$2,Days_Since_100!$H:$KU,Projections_Data!Y$4+2,FALSE))</f>
        <v>40009</v>
      </c>
      <c r="Z5" s="40">
        <f>IF(VLOOKUP($B$2,Days_Since_100!$H:$KU,Projections_Data!Z$4+2,FALSE)=0,#N/A,VLOOKUP($B$2,Days_Since_100!$H:$KU,Projections_Data!Z$4+2,FALSE))</f>
        <v>42544</v>
      </c>
      <c r="AA5" s="40">
        <f>IF(VLOOKUP($B$2,Days_Since_100!$H:$KU,Projections_Data!AA$4+2,FALSE)=0,#N/A,VLOOKUP($B$2,Days_Since_100!$H:$KU,Projections_Data!AA$4+2,FALSE))</f>
        <v>44581</v>
      </c>
      <c r="AB5" s="40">
        <f>IF(VLOOKUP($B$2,Days_Since_100!$H:$KU,Projections_Data!AB$4+2,FALSE)=0,#N/A,VLOOKUP($B$2,Days_Since_100!$H:$KU,Projections_Data!AB$4+2,FALSE))</f>
        <v>50200</v>
      </c>
      <c r="AC5" s="40">
        <f>IF(VLOOKUP($B$2,Days_Since_100!$H:$KU,Projections_Data!AC$4+2,FALSE)=0,#N/A,VLOOKUP($B$2,Days_Since_100!$H:$KU,Projections_Data!AC$4+2,FALSE))</f>
        <v>60105</v>
      </c>
      <c r="AD5" s="40">
        <f>IF(VLOOKUP($B$2,Days_Since_100!$H:$KU,Projections_Data!AD$4+2,FALSE)=0,#N/A,VLOOKUP($B$2,Days_Since_100!$H:$KU,Projections_Data!AD$4+2,FALSE))</f>
        <v>66578</v>
      </c>
      <c r="AE5" s="40">
        <f>IF(VLOOKUP($B$2,Days_Since_100!$H:$KU,Projections_Data!AE$4+2,FALSE)=0,#N/A,VLOOKUP($B$2,Days_Since_100!$H:$KU,Projections_Data!AE$4+2,FALSE))</f>
        <v>68655</v>
      </c>
      <c r="AF5" s="40">
        <f>IF(VLOOKUP($B$2,Days_Since_100!$H:$KU,Projections_Data!AF$4+2,FALSE)=0,#N/A,VLOOKUP($B$2,Days_Since_100!$H:$KU,Projections_Data!AF$4+2,FALSE))</f>
        <v>70778</v>
      </c>
      <c r="AG5" s="40">
        <f>IF(VLOOKUP($B$2,Days_Since_100!$H:$KU,Projections_Data!AG$4+2,FALSE)=0,#N/A,VLOOKUP($B$2,Days_Since_100!$H:$KU,Projections_Data!AG$4+2,FALSE))</f>
        <v>72712</v>
      </c>
      <c r="AH5" s="40">
        <f>IF(VLOOKUP($B$2,Days_Since_100!$H:$KU,Projections_Data!AH$4+2,FALSE)=0,#N/A,VLOOKUP($B$2,Days_Since_100!$H:$KU,Projections_Data!AH$4+2,FALSE))</f>
        <v>74502</v>
      </c>
      <c r="AI5" s="40">
        <f>IF(VLOOKUP($B$2,Days_Since_100!$H:$KU,Projections_Data!AI$4+2,FALSE)=0,#N/A,VLOOKUP($B$2,Days_Since_100!$H:$KU,Projections_Data!AI$4+2,FALSE))</f>
        <v>74924</v>
      </c>
      <c r="AJ5" s="40">
        <f>IF(VLOOKUP($B$2,Days_Since_100!$H:$KU,Projections_Data!AJ$4+2,FALSE)=0,#N/A,VLOOKUP($B$2,Days_Since_100!$H:$KU,Projections_Data!AJ$4+2,FALSE))</f>
        <v>75466</v>
      </c>
      <c r="AK5" s="40">
        <f>IF(VLOOKUP($B$2,Days_Since_100!$H:$KU,Projections_Data!AK$4+2,FALSE)=0,#N/A,VLOOKUP($B$2,Days_Since_100!$H:$KU,Projections_Data!AK$4+2,FALSE))</f>
        <v>76053</v>
      </c>
      <c r="AL5" s="40">
        <f>IF(VLOOKUP($B$2,Days_Since_100!$H:$KU,Projections_Data!AL$4+2,FALSE)=0,#N/A,VLOOKUP($B$2,Days_Since_100!$H:$KU,Projections_Data!AL$4+2,FALSE))</f>
        <v>77750</v>
      </c>
      <c r="AM5" s="40">
        <f>IF(VLOOKUP($B$2,Days_Since_100!$H:$KU,Projections_Data!AM$4+2,FALSE)=0,#N/A,VLOOKUP($B$2,Days_Since_100!$H:$KU,Projections_Data!AM$4+2,FALSE))</f>
        <v>77971</v>
      </c>
      <c r="AN5" s="40">
        <f>IF(VLOOKUP($B$2,Days_Since_100!$H:$KU,Projections_Data!AN$4+2,FALSE)=0,#N/A,VLOOKUP($B$2,Days_Since_100!$H:$KU,Projections_Data!AN$4+2,FALSE))</f>
        <v>78435</v>
      </c>
      <c r="AO5" s="40">
        <f>IF(VLOOKUP($B$2,Days_Since_100!$H:$KU,Projections_Data!AO$4+2,FALSE)=0,#N/A,VLOOKUP($B$2,Days_Since_100!$H:$KU,Projections_Data!AO$4+2,FALSE))</f>
        <v>79108</v>
      </c>
      <c r="AP5" s="40">
        <f>IF(VLOOKUP($B$2,Days_Since_100!$H:$KU,Projections_Data!AP$4+2,FALSE)=0,#N/A,VLOOKUP($B$2,Days_Since_100!$H:$KU,Projections_Data!AP$4+2,FALSE))</f>
        <v>79831</v>
      </c>
      <c r="AQ5" s="40">
        <f>IF(VLOOKUP($B$2,Days_Since_100!$H:$KU,Projections_Data!AQ$4+2,FALSE)=0,#N/A,VLOOKUP($B$2,Days_Since_100!$H:$KU,Projections_Data!AQ$4+2,FALSE))</f>
        <v>80796</v>
      </c>
      <c r="AR5" s="40">
        <f>IF(VLOOKUP($B$2,Days_Since_100!$H:$KU,Projections_Data!AR$4+2,FALSE)=0,#N/A,VLOOKUP($B$2,Days_Since_100!$H:$KU,Projections_Data!AR$4+2,FALSE))</f>
        <v>81712</v>
      </c>
      <c r="AS5" s="40">
        <f>IF(VLOOKUP($B$2,Days_Since_100!$H:$KU,Projections_Data!AS$4+2,FALSE)=0,#N/A,VLOOKUP($B$2,Days_Since_100!$H:$KU,Projections_Data!AS$4+2,FALSE))</f>
        <v>82985</v>
      </c>
      <c r="AT5" s="40">
        <f>IF(VLOOKUP($B$2,Days_Since_100!$H:$KU,Projections_Data!AT$4+2,FALSE)=0,#N/A,VLOOKUP($B$2,Days_Since_100!$H:$KU,Projections_Data!AT$4+2,FALSE))</f>
        <v>84174</v>
      </c>
      <c r="AU5" s="40">
        <f>IF(VLOOKUP($B$2,Days_Since_100!$H:$KU,Projections_Data!AU$4+2,FALSE)=0,#N/A,VLOOKUP($B$2,Days_Since_100!$H:$KU,Projections_Data!AU$4+2,FALSE))</f>
        <v>85004</v>
      </c>
      <c r="AV5" s="40">
        <f>IF(VLOOKUP($B$2,Days_Since_100!$H:$KU,Projections_Data!AV$4+2,FALSE)=0,#N/A,VLOOKUP($B$2,Days_Since_100!$H:$KU,Projections_Data!AV$4+2,FALSE))</f>
        <v>86010</v>
      </c>
      <c r="AW5" s="40">
        <f>IF(VLOOKUP($B$2,Days_Since_100!$H:$KU,Projections_Data!AW$4+2,FALSE)=0,#N/A,VLOOKUP($B$2,Days_Since_100!$H:$KU,Projections_Data!AW$4+2,FALSE))</f>
        <v>86645</v>
      </c>
      <c r="AX5" s="40">
        <f>IF(VLOOKUP($B$2,Days_Since_100!$H:$KU,Projections_Data!AX$4+2,FALSE)=0,#N/A,VLOOKUP($B$2,Days_Since_100!$H:$KU,Projections_Data!AX$4+2,FALSE))</f>
        <v>87311</v>
      </c>
      <c r="AY5" s="40">
        <f>IF(VLOOKUP($B$2,Days_Since_100!$H:$KU,Projections_Data!AY$4+2,FALSE)=0,#N/A,VLOOKUP($B$2,Days_Since_100!$H:$KU,Projections_Data!AY$4+2,FALSE))</f>
        <v>88093</v>
      </c>
      <c r="AZ5" s="40">
        <f>IF(VLOOKUP($B$2,Days_Since_100!$H:$KU,Projections_Data!AZ$4+2,FALSE)=0,#N/A,VLOOKUP($B$2,Days_Since_100!$H:$KU,Projections_Data!AZ$4+2,FALSE))</f>
        <v>88691</v>
      </c>
      <c r="BA5" s="40">
        <f>IF(VLOOKUP($B$2,Days_Since_100!$H:$KU,Projections_Data!BA$4+2,FALSE)=0,#N/A,VLOOKUP($B$2,Days_Since_100!$H:$KU,Projections_Data!BA$4+2,FALSE))</f>
        <v>89110</v>
      </c>
      <c r="BB5" s="40">
        <f>IF(VLOOKUP($B$2,Days_Since_100!$H:$KU,Projections_Data!BB$4+2,FALSE)=0,#N/A,VLOOKUP($B$2,Days_Since_100!$H:$KU,Projections_Data!BB$4+2,FALSE))</f>
        <v>89366</v>
      </c>
      <c r="BC5" s="40">
        <f>IF(VLOOKUP($B$2,Days_Since_100!$H:$KU,Projections_Data!BC$4+2,FALSE)=0,#N/A,VLOOKUP($B$2,Days_Since_100!$H:$KU,Projections_Data!BC$4+2,FALSE))</f>
        <v>89578</v>
      </c>
      <c r="BD5" s="40">
        <f>IF(VLOOKUP($B$2,Days_Since_100!$H:$KU,Projections_Data!BD$4+2,FALSE)=0,#N/A,VLOOKUP($B$2,Days_Since_100!$H:$KU,Projections_Data!BD$4+2,FALSE))</f>
        <v>90009</v>
      </c>
      <c r="BE5" s="40">
        <f>IF(VLOOKUP($B$2,Days_Since_100!$H:$KU,Projections_Data!BE$4+2,FALSE)=0,#N/A,VLOOKUP($B$2,Days_Since_100!$H:$KU,Projections_Data!BE$4+2,FALSE))</f>
        <v>90170</v>
      </c>
      <c r="BF5" s="40">
        <f>IF(VLOOKUP($B$2,Days_Since_100!$H:$KU,Projections_Data!BF$4+2,FALSE)=0,#N/A,VLOOKUP($B$2,Days_Since_100!$H:$KU,Projections_Data!BF$4+2,FALSE))</f>
        <v>90559</v>
      </c>
      <c r="BG5" s="40">
        <f>IF(VLOOKUP($B$2,Days_Since_100!$H:$KU,Projections_Data!BG$4+2,FALSE)=0,#N/A,VLOOKUP($B$2,Days_Since_100!$H:$KU,Projections_Data!BG$4+2,FALSE))</f>
        <v>90960</v>
      </c>
      <c r="BH5" s="40">
        <f>IF(VLOOKUP($B$2,Days_Since_100!$H:$KU,Projections_Data!BH$4+2,FALSE)=0,#N/A,VLOOKUP($B$2,Days_Since_100!$H:$KU,Projections_Data!BH$4+2,FALSE))</f>
        <v>91494</v>
      </c>
      <c r="BI5" s="40">
        <f>IF(VLOOKUP($B$2,Days_Since_100!$H:$KU,Projections_Data!BI$4+2,FALSE)=0,#N/A,VLOOKUP($B$2,Days_Since_100!$H:$KU,Projections_Data!BI$4+2,FALSE))</f>
        <v>91957</v>
      </c>
      <c r="BJ5" s="40">
        <f>IF(VLOOKUP($B$2,Days_Since_100!$H:$KU,Projections_Data!BJ$4+2,FALSE)=0,#N/A,VLOOKUP($B$2,Days_Since_100!$H:$KU,Projections_Data!BJ$4+2,FALSE))</f>
        <v>92557</v>
      </c>
      <c r="BK5" s="40">
        <f>IF(VLOOKUP($B$2,Days_Since_100!$H:$KU,Projections_Data!BK$4+2,FALSE)=0,#N/A,VLOOKUP($B$2,Days_Since_100!$H:$KU,Projections_Data!BK$4+2,FALSE))</f>
        <v>93142</v>
      </c>
      <c r="BL5" s="40">
        <f>IF(VLOOKUP($B$2,Days_Since_100!$H:$KU,Projections_Data!BL$4+2,FALSE)=0,#N/A,VLOOKUP($B$2,Days_Since_100!$H:$KU,Projections_Data!BL$4+2,FALSE))</f>
        <v>93991</v>
      </c>
      <c r="BM5" s="40">
        <f>IF(VLOOKUP($B$2,Days_Since_100!$H:$KU,Projections_Data!BM$4+2,FALSE)=0,#N/A,VLOOKUP($B$2,Days_Since_100!$H:$KU,Projections_Data!BM$4+2,FALSE))</f>
        <v>94711</v>
      </c>
      <c r="BN5" s="40">
        <f>IF(VLOOKUP($B$2,Days_Since_100!$H:$KU,Projections_Data!BN$4+2,FALSE)=0,#N/A,VLOOKUP($B$2,Days_Since_100!$H:$KU,Projections_Data!BN$4+2,FALSE))</f>
        <v>95824</v>
      </c>
      <c r="BO5" s="40">
        <f>IF(VLOOKUP($B$2,Days_Since_100!$H:$KU,Projections_Data!BO$4+2,FALSE)=0,#N/A,VLOOKUP($B$2,Days_Since_100!$H:$KU,Projections_Data!BO$4+2,FALSE))</f>
        <v>96920</v>
      </c>
      <c r="BP5" s="40">
        <f>IF(VLOOKUP($B$2,Days_Since_100!$H:$KU,Projections_Data!BP$4+2,FALSE)=0,#N/A,VLOOKUP($B$2,Days_Since_100!$H:$KU,Projections_Data!BP$4+2,FALSE))</f>
        <v>97888</v>
      </c>
      <c r="BQ5" s="40">
        <f>IF(VLOOKUP($B$2,Days_Since_100!$H:$KU,Projections_Data!BQ$4+2,FALSE)=0,#N/A,VLOOKUP($B$2,Days_Since_100!$H:$KU,Projections_Data!BQ$4+2,FALSE))</f>
        <v>98851</v>
      </c>
      <c r="BR5" s="40">
        <f>IF(VLOOKUP($B$2,Days_Since_100!$H:$KU,Projections_Data!BR$4+2,FALSE)=0,#N/A,VLOOKUP($B$2,Days_Since_100!$H:$KU,Projections_Data!BR$4+2,FALSE))</f>
        <v>100098</v>
      </c>
      <c r="BS5" s="40">
        <f>IF(VLOOKUP($B$2,Days_Since_100!$H:$KU,Projections_Data!BS$4+2,FALSE)=0,#N/A,VLOOKUP($B$2,Days_Since_100!$H:$KU,Projections_Data!BS$4+2,FALSE))</f>
        <v>101468</v>
      </c>
      <c r="BT5" s="40">
        <f>IF(VLOOKUP($B$2,Days_Since_100!$H:$KU,Projections_Data!BT$4+2,FALSE)=0,#N/A,VLOOKUP($B$2,Days_Since_100!$H:$KU,Projections_Data!BT$4+2,FALSE))</f>
        <v>102919</v>
      </c>
      <c r="BU5" s="40">
        <f>IF(VLOOKUP($B$2,Days_Since_100!$H:$KU,Projections_Data!BU$4+2,FALSE)=0,#N/A,VLOOKUP($B$2,Days_Since_100!$H:$KU,Projections_Data!BU$4+2,FALSE))</f>
        <v>104697</v>
      </c>
      <c r="BV5" s="40" t="e">
        <f>IF(VLOOKUP($B$2,Days_Since_100!$H:$KU,Projections_Data!BV$4+2,FALSE)=0,#N/A,VLOOKUP($B$2,Days_Since_100!$H:$KU,Projections_Data!BV$4+2,FALSE))</f>
        <v>#N/A</v>
      </c>
      <c r="BW5" s="40" t="e">
        <f>IF(VLOOKUP($B$2,Days_Since_100!$H:$KU,Projections_Data!BW$4+2,FALSE)=0,#N/A,VLOOKUP($B$2,Days_Since_100!$H:$KU,Projections_Data!BW$4+2,FALSE))</f>
        <v>#N/A</v>
      </c>
      <c r="BX5" s="40" t="e">
        <f>IF(VLOOKUP($B$2,Days_Since_100!$H:$KU,Projections_Data!BX$4+2,FALSE)=0,#N/A,VLOOKUP($B$2,Days_Since_100!$H:$KU,Projections_Data!BX$4+2,FALSE))</f>
        <v>#N/A</v>
      </c>
      <c r="BY5" s="40" t="e">
        <f>IF(VLOOKUP($B$2,Days_Since_100!$H:$KU,Projections_Data!BY$4+2,FALSE)=0,#N/A,VLOOKUP($B$2,Days_Since_100!$H:$KU,Projections_Data!BY$4+2,FALSE))</f>
        <v>#N/A</v>
      </c>
      <c r="BZ5" s="40" t="e">
        <f>IF(VLOOKUP($B$2,Days_Since_100!$H:$KU,Projections_Data!BZ$4+2,FALSE)=0,#N/A,VLOOKUP($B$2,Days_Since_100!$H:$KU,Projections_Data!BZ$4+2,FALSE))</f>
        <v>#N/A</v>
      </c>
      <c r="CA5" s="40" t="e">
        <f>IF(VLOOKUP($B$2,Days_Since_100!$H:$KU,Projections_Data!CA$4+2,FALSE)=0,#N/A,VLOOKUP($B$2,Days_Since_100!$H:$KU,Projections_Data!CA$4+2,FALSE))</f>
        <v>#N/A</v>
      </c>
      <c r="CB5" s="40" t="e">
        <f>IF(VLOOKUP($B$2,Days_Since_100!$H:$KU,Projections_Data!CB$4+2,FALSE)=0,#N/A,VLOOKUP($B$2,Days_Since_100!$H:$KU,Projections_Data!CB$4+2,FALSE))</f>
        <v>#N/A</v>
      </c>
      <c r="CC5" s="40" t="e">
        <f>IF(VLOOKUP($B$2,Days_Since_100!$H:$KU,Projections_Data!CC$4+2,FALSE)=0,#N/A,VLOOKUP($B$2,Days_Since_100!$H:$KU,Projections_Data!CC$4+2,FALSE))</f>
        <v>#N/A</v>
      </c>
      <c r="CD5" s="40" t="e">
        <f>IF(VLOOKUP($B$2,Days_Since_100!$H:$KU,Projections_Data!CD$4+2,FALSE)=0,#N/A,VLOOKUP($B$2,Days_Since_100!$H:$KU,Projections_Data!CD$4+2,FALSE))</f>
        <v>#N/A</v>
      </c>
      <c r="CE5" s="40" t="e">
        <f>IF(VLOOKUP($B$2,Days_Since_100!$H:$KU,Projections_Data!CE$4+2,FALSE)=0,#N/A,VLOOKUP($B$2,Days_Since_100!$H:$KU,Projections_Data!CE$4+2,FALSE))</f>
        <v>#N/A</v>
      </c>
      <c r="CF5" s="40" t="e">
        <f>IF(VLOOKUP($B$2,Days_Since_100!$H:$KU,Projections_Data!CF$4+2,FALSE)=0,#N/A,VLOOKUP($B$2,Days_Since_100!$H:$KU,Projections_Data!CF$4+2,FALSE))</f>
        <v>#N/A</v>
      </c>
      <c r="CG5" s="40" t="e">
        <f>IF(VLOOKUP($B$2,Days_Since_100!$H:$KU,Projections_Data!CG$4+2,FALSE)=0,#N/A,VLOOKUP($B$2,Days_Since_100!$H:$KU,Projections_Data!CG$4+2,FALSE))</f>
        <v>#N/A</v>
      </c>
      <c r="CH5" s="40" t="e">
        <f>IF(VLOOKUP($B$2,Days_Since_100!$H:$KU,Projections_Data!CH$4+2,FALSE)=0,#N/A,VLOOKUP($B$2,Days_Since_100!$H:$KU,Projections_Data!CH$4+2,FALSE))</f>
        <v>#N/A</v>
      </c>
      <c r="CI5" s="40" t="e">
        <f>IF(VLOOKUP($B$2,Days_Since_100!$H:$KU,Projections_Data!CI$4+2,FALSE)=0,#N/A,VLOOKUP($B$2,Days_Since_100!$H:$KU,Projections_Data!CI$4+2,FALSE))</f>
        <v>#N/A</v>
      </c>
      <c r="CJ5" s="40" t="e">
        <f>IF(VLOOKUP($B$2,Days_Since_100!$H:$KU,Projections_Data!CJ$4+2,FALSE)=0,#N/A,VLOOKUP($B$2,Days_Since_100!$H:$KU,Projections_Data!CJ$4+2,FALSE))</f>
        <v>#N/A</v>
      </c>
      <c r="CK5" s="40" t="e">
        <f>IF(VLOOKUP($B$2,Days_Since_100!$H:$KU,Projections_Data!CK$4+2,FALSE)=0,#N/A,VLOOKUP($B$2,Days_Since_100!$H:$KU,Projections_Data!CK$4+2,FALSE))</f>
        <v>#N/A</v>
      </c>
      <c r="CL5" s="40" t="e">
        <f>IF(VLOOKUP($B$2,Days_Since_100!$H:$KU,Projections_Data!CL$4+2,FALSE)=0,#N/A,VLOOKUP($B$2,Days_Since_100!$H:$KU,Projections_Data!CL$4+2,FALSE))</f>
        <v>#N/A</v>
      </c>
      <c r="CM5" s="40" t="e">
        <f>IF(VLOOKUP($B$2,Days_Since_100!$H:$KU,Projections_Data!CM$4+2,FALSE)=0,#N/A,VLOOKUP($B$2,Days_Since_100!$H:$KU,Projections_Data!CM$4+2,FALSE))</f>
        <v>#N/A</v>
      </c>
      <c r="CN5" s="40" t="e">
        <f>IF(VLOOKUP($B$2,Days_Since_100!$H:$KU,Projections_Data!CN$4+2,FALSE)=0,#N/A,VLOOKUP($B$2,Days_Since_100!$H:$KU,Projections_Data!CN$4+2,FALSE))</f>
        <v>#N/A</v>
      </c>
      <c r="CO5" s="40" t="e">
        <f>IF(VLOOKUP($B$2,Days_Since_100!$H:$KU,Projections_Data!CO$4+2,FALSE)=0,#N/A,VLOOKUP($B$2,Days_Since_100!$H:$KU,Projections_Data!CO$4+2,FALSE))</f>
        <v>#N/A</v>
      </c>
      <c r="CP5" s="40" t="e">
        <f>IF(VLOOKUP($B$2,Days_Since_100!$H:$KU,Projections_Data!CP$4+2,FALSE)=0,#N/A,VLOOKUP($B$2,Days_Since_100!$H:$KU,Projections_Data!CP$4+2,FALSE))</f>
        <v>#N/A</v>
      </c>
      <c r="CQ5" s="40" t="e">
        <f>IF(VLOOKUP($B$2,Days_Since_100!$H:$KU,Projections_Data!CQ$4+2,FALSE)=0,#N/A,VLOOKUP($B$2,Days_Since_100!$H:$KU,Projections_Data!CQ$4+2,FALSE))</f>
        <v>#N/A</v>
      </c>
      <c r="CR5" s="40" t="e">
        <f>IF(VLOOKUP($B$2,Days_Since_100!$H:$KU,Projections_Data!CR$4+2,FALSE)=0,#N/A,VLOOKUP($B$2,Days_Since_100!$H:$KU,Projections_Data!CR$4+2,FALSE))</f>
        <v>#N/A</v>
      </c>
      <c r="CS5" s="40" t="e">
        <f>IF(VLOOKUP($B$2,Days_Since_100!$H:$KU,Projections_Data!CS$4+2,FALSE)=0,#N/A,VLOOKUP($B$2,Days_Since_100!$H:$KU,Projections_Data!CS$4+2,FALSE))</f>
        <v>#N/A</v>
      </c>
      <c r="CT5" s="40" t="e">
        <f>IF(VLOOKUP($B$2,Days_Since_100!$H:$KU,Projections_Data!CT$4+2,FALSE)=0,#N/A,VLOOKUP($B$2,Days_Since_100!$H:$KU,Projections_Data!CT$4+2,FALSE))</f>
        <v>#N/A</v>
      </c>
      <c r="CU5" s="40" t="e">
        <f>IF(VLOOKUP($B$2,Days_Since_100!$H:$KU,Projections_Data!CU$4+2,FALSE)=0,#N/A,VLOOKUP($B$2,Days_Since_100!$H:$KU,Projections_Data!CU$4+2,FALSE))</f>
        <v>#N/A</v>
      </c>
      <c r="CV5" s="40" t="e">
        <f>IF(VLOOKUP($B$2,Days_Since_100!$H:$KU,Projections_Data!CV$4+2,FALSE)=0,#N/A,VLOOKUP($B$2,Days_Since_100!$H:$KU,Projections_Data!CV$4+2,FALSE))</f>
        <v>#N/A</v>
      </c>
      <c r="CW5" s="40" t="e">
        <f>IF(VLOOKUP($B$2,Days_Since_100!$H:$KU,Projections_Data!CW$4+2,FALSE)=0,#N/A,VLOOKUP($B$2,Days_Since_100!$H:$KU,Projections_Data!CW$4+2,FALSE))</f>
        <v>#N/A</v>
      </c>
      <c r="CX5" s="40" t="e">
        <f>IF(VLOOKUP($B$2,Days_Since_100!$H:$KU,Projections_Data!CX$4+2,FALSE)=0,#N/A,VLOOKUP($B$2,Days_Since_100!$H:$KU,Projections_Data!CX$4+2,FALSE))</f>
        <v>#N/A</v>
      </c>
      <c r="CY5" s="40" t="e">
        <f>IF(VLOOKUP($B$2,Days_Since_100!$H:$KU,Projections_Data!CY$4+2,FALSE)=0,#N/A,VLOOKUP($B$2,Days_Since_100!$H:$KU,Projections_Data!CY$4+2,FALSE))</f>
        <v>#N/A</v>
      </c>
      <c r="CZ5" s="40" t="e">
        <f>IF(VLOOKUP($B$2,Days_Since_100!$H:$KU,Projections_Data!CZ$4+2,FALSE)=0,#N/A,VLOOKUP($B$2,Days_Since_100!$H:$KU,Projections_Data!CZ$4+2,FALSE))</f>
        <v>#N/A</v>
      </c>
      <c r="DA5" s="40" t="e">
        <f>IF(VLOOKUP($B$2,Days_Since_100!$H:$KU,Projections_Data!DA$4+2,FALSE)=0,#N/A,VLOOKUP($B$2,Days_Since_100!$H:$KU,Projections_Data!DA$4+2,FALSE))</f>
        <v>#N/A</v>
      </c>
      <c r="DB5" s="40" t="e">
        <f>IF(VLOOKUP($B$2,Days_Since_100!$H:$KU,Projections_Data!DB$4+2,FALSE)=0,#N/A,VLOOKUP($B$2,Days_Since_100!$H:$KU,Projections_Data!DB$4+2,FALSE))</f>
        <v>#N/A</v>
      </c>
      <c r="DC5" s="40" t="e">
        <f>IF(VLOOKUP($B$2,Days_Since_100!$H:$KU,Projections_Data!DC$4+2,FALSE)=0,#N/A,VLOOKUP($B$2,Days_Since_100!$H:$KU,Projections_Data!DC$4+2,FALSE))</f>
        <v>#N/A</v>
      </c>
      <c r="DD5" s="40" t="e">
        <f>IF(VLOOKUP($B$2,Days_Since_100!$H:$KU,Projections_Data!DD$4+2,FALSE)=0,#N/A,VLOOKUP($B$2,Days_Since_100!$H:$KU,Projections_Data!DD$4+2,FALSE))</f>
        <v>#N/A</v>
      </c>
      <c r="DE5" s="40" t="e">
        <f>IF(VLOOKUP($B$2,Days_Since_100!$H:$KU,Projections_Data!DE$4+2,FALSE)=0,#N/A,VLOOKUP($B$2,Days_Since_100!$H:$KU,Projections_Data!DE$4+2,FALSE))</f>
        <v>#N/A</v>
      </c>
      <c r="DF5" s="40" t="e">
        <f>IF(VLOOKUP($B$2,Days_Since_100!$H:$KU,Projections_Data!DF$4+2,FALSE)=0,#N/A,VLOOKUP($B$2,Days_Since_100!$H:$KU,Projections_Data!DF$4+2,FALSE))</f>
        <v>#N/A</v>
      </c>
      <c r="DG5" s="40" t="e">
        <f>IF(VLOOKUP($B$2,Days_Since_100!$H:$KU,Projections_Data!DG$4+2,FALSE)=0,#N/A,VLOOKUP($B$2,Days_Since_100!$H:$KU,Projections_Data!DG$4+2,FALSE))</f>
        <v>#N/A</v>
      </c>
      <c r="DH5" s="40" t="e">
        <f>IF(VLOOKUP($B$2,Days_Since_100!$H:$KU,Projections_Data!DH$4+2,FALSE)=0,#N/A,VLOOKUP($B$2,Days_Since_100!$H:$KU,Projections_Data!DH$4+2,FALSE))</f>
        <v>#N/A</v>
      </c>
      <c r="DI5" s="40" t="e">
        <f>IF(VLOOKUP($B$2,Days_Since_100!$H:$KU,Projections_Data!DI$4+2,FALSE)=0,#N/A,VLOOKUP($B$2,Days_Since_100!$H:$KU,Projections_Data!DI$4+2,FALSE))</f>
        <v>#N/A</v>
      </c>
      <c r="DJ5" s="40" t="e">
        <f>IF(VLOOKUP($B$2,Days_Since_100!$H:$KU,Projections_Data!DJ$4+2,FALSE)=0,#N/A,VLOOKUP($B$2,Days_Since_100!$H:$KU,Projections_Data!DJ$4+2,FALSE))</f>
        <v>#N/A</v>
      </c>
      <c r="DK5" s="40" t="e">
        <f>IF(VLOOKUP($B$2,Days_Since_100!$H:$KU,Projections_Data!DK$4+2,FALSE)=0,#N/A,VLOOKUP($B$2,Days_Since_100!$H:$KU,Projections_Data!DK$4+2,FALSE))</f>
        <v>#N/A</v>
      </c>
      <c r="DL5" s="40" t="e">
        <f>IF(VLOOKUP($B$2,Days_Since_100!$H:$KU,Projections_Data!DL$4+2,FALSE)=0,#N/A,VLOOKUP($B$2,Days_Since_100!$H:$KU,Projections_Data!DL$4+2,FALSE))</f>
        <v>#N/A</v>
      </c>
      <c r="DM5" s="40" t="e">
        <f>IF(VLOOKUP($B$2,Days_Since_100!$H:$KU,Projections_Data!DM$4+2,FALSE)=0,#N/A,VLOOKUP($B$2,Days_Since_100!$H:$KU,Projections_Data!DM$4+2,FALSE))</f>
        <v>#N/A</v>
      </c>
      <c r="DN5" s="40" t="e">
        <f>IF(VLOOKUP($B$2,Days_Since_100!$H:$KU,Projections_Data!DN$4+2,FALSE)=0,#N/A,VLOOKUP($B$2,Days_Since_100!$H:$KU,Projections_Data!DN$4+2,FALSE))</f>
        <v>#N/A</v>
      </c>
      <c r="DO5" s="40" t="e">
        <f>IF(VLOOKUP($B$2,Days_Since_100!$H:$KU,Projections_Data!DO$4+2,FALSE)=0,#N/A,VLOOKUP($B$2,Days_Since_100!$H:$KU,Projections_Data!DO$4+2,FALSE))</f>
        <v>#N/A</v>
      </c>
      <c r="DP5" s="40" t="e">
        <f>IF(VLOOKUP($B$2,Days_Since_100!$H:$KU,Projections_Data!DP$4+2,FALSE)=0,#N/A,VLOOKUP($B$2,Days_Since_100!$H:$KU,Projections_Data!DP$4+2,FALSE))</f>
        <v>#N/A</v>
      </c>
      <c r="DQ5" s="40" t="e">
        <f>IF(VLOOKUP($B$2,Days_Since_100!$H:$KU,Projections_Data!DQ$4+2,FALSE)=0,#N/A,VLOOKUP($B$2,Days_Since_100!$H:$KU,Projections_Data!DQ$4+2,FALSE))</f>
        <v>#N/A</v>
      </c>
      <c r="DR5" s="40" t="e">
        <f>IF(VLOOKUP($B$2,Days_Since_100!$H:$KU,Projections_Data!DR$4+2,FALSE)=0,#N/A,VLOOKUP($B$2,Days_Since_100!$H:$KU,Projections_Data!DR$4+2,FALSE))</f>
        <v>#N/A</v>
      </c>
      <c r="DS5" s="40" t="e">
        <f>IF(VLOOKUP($B$2,Days_Since_100!$H:$KU,Projections_Data!DS$4+2,FALSE)=0,#N/A,VLOOKUP($B$2,Days_Since_100!$H:$KU,Projections_Data!DS$4+2,FALSE))</f>
        <v>#N/A</v>
      </c>
      <c r="DT5" s="40" t="e">
        <f>IF(VLOOKUP($B$2,Days_Since_100!$H:$KU,Projections_Data!DT$4+2,FALSE)=0,#N/A,VLOOKUP($B$2,Days_Since_100!$H:$KU,Projections_Data!DT$4+2,FALSE))</f>
        <v>#N/A</v>
      </c>
      <c r="DU5" s="40" t="e">
        <f>IF(VLOOKUP($B$2,Days_Since_100!$H:$KU,Projections_Data!DU$4+2,FALSE)=0,#N/A,VLOOKUP($B$2,Days_Since_100!$H:$KU,Projections_Data!DU$4+2,FALSE))</f>
        <v>#N/A</v>
      </c>
      <c r="DV5" s="40" t="e">
        <f>IF(VLOOKUP($B$2,Days_Since_100!$H:$KU,Projections_Data!DV$4+2,FALSE)=0,#N/A,VLOOKUP($B$2,Days_Since_100!$H:$KU,Projections_Data!DV$4+2,FALSE))</f>
        <v>#N/A</v>
      </c>
      <c r="DW5" s="40" t="e">
        <f>IF(VLOOKUP($B$2,Days_Since_100!$H:$KU,Projections_Data!DW$4+2,FALSE)=0,#N/A,VLOOKUP($B$2,Days_Since_100!$H:$KU,Projections_Data!DW$4+2,FALSE))</f>
        <v>#N/A</v>
      </c>
      <c r="DX5" s="40" t="e">
        <f>IF(VLOOKUP($B$2,Days_Since_100!$H:$KU,Projections_Data!DX$4+2,FALSE)=0,#N/A,VLOOKUP($B$2,Days_Since_100!$H:$KU,Projections_Data!DX$4+2,FALSE))</f>
        <v>#N/A</v>
      </c>
      <c r="DY5" s="40" t="e">
        <f>IF(VLOOKUP($B$2,Days_Since_100!$H:$KU,Projections_Data!DY$4+2,FALSE)=0,#N/A,VLOOKUP($B$2,Days_Since_100!$H:$KU,Projections_Data!DY$4+2,FALSE))</f>
        <v>#N/A</v>
      </c>
      <c r="DZ5" s="40" t="e">
        <f>IF(VLOOKUP($B$2,Days_Since_100!$H:$KU,Projections_Data!DZ$4+2,FALSE)=0,#N/A,VLOOKUP($B$2,Days_Since_100!$H:$KU,Projections_Data!DZ$4+2,FALSE))</f>
        <v>#N/A</v>
      </c>
      <c r="EA5" s="40" t="e">
        <f>IF(VLOOKUP($B$2,Days_Since_100!$H:$KU,Projections_Data!EA$4+2,FALSE)=0,#N/A,VLOOKUP($B$2,Days_Since_100!$H:$KU,Projections_Data!EA$4+2,FALSE))</f>
        <v>#N/A</v>
      </c>
      <c r="EB5" s="40" t="e">
        <f>IF(VLOOKUP($B$2,Days_Since_100!$H:$KU,Projections_Data!EB$4+2,FALSE)=0,#N/A,VLOOKUP($B$2,Days_Since_100!$H:$KU,Projections_Data!EB$4+2,FALSE))</f>
        <v>#N/A</v>
      </c>
      <c r="EC5" s="40" t="e">
        <f>IF(VLOOKUP($B$2,Days_Since_100!$H:$KU,Projections_Data!EC$4+2,FALSE)=0,#N/A,VLOOKUP($B$2,Days_Since_100!$H:$KU,Projections_Data!EC$4+2,FALSE))</f>
        <v>#N/A</v>
      </c>
      <c r="ED5" s="40" t="e">
        <f>IF(VLOOKUP($B$2,Days_Since_100!$H:$KU,Projections_Data!ED$4+2,FALSE)=0,#N/A,VLOOKUP($B$2,Days_Since_100!$H:$KU,Projections_Data!ED$4+2,FALSE))</f>
        <v>#N/A</v>
      </c>
      <c r="EE5" s="40" t="e">
        <f>IF(VLOOKUP($B$2,Days_Since_100!$H:$KU,Projections_Data!EE$4+2,FALSE)=0,#N/A,VLOOKUP($B$2,Days_Since_100!$H:$KU,Projections_Data!EE$4+2,FALSE))</f>
        <v>#N/A</v>
      </c>
      <c r="EF5" s="40" t="e">
        <f>IF(VLOOKUP($B$2,Days_Since_100!$H:$KU,Projections_Data!EF$4+2,FALSE)=0,#N/A,VLOOKUP($B$2,Days_Since_100!$H:$KU,Projections_Data!EF$4+2,FALSE))</f>
        <v>#N/A</v>
      </c>
      <c r="EG5" s="40" t="e">
        <f>IF(VLOOKUP($B$2,Days_Since_100!$H:$KU,Projections_Data!EG$4+2,FALSE)=0,#N/A,VLOOKUP($B$2,Days_Since_100!$H:$KU,Projections_Data!EG$4+2,FALSE))</f>
        <v>#N/A</v>
      </c>
      <c r="EH5" s="40" t="e">
        <f>IF(VLOOKUP($B$2,Days_Since_100!$H:$KU,Projections_Data!EH$4+2,FALSE)=0,#N/A,VLOOKUP($B$2,Days_Since_100!$H:$KU,Projections_Data!EH$4+2,FALSE))</f>
        <v>#N/A</v>
      </c>
      <c r="EI5" s="40" t="e">
        <f>IF(VLOOKUP($B$2,Days_Since_100!$H:$KU,Projections_Data!EI$4+2,FALSE)=0,#N/A,VLOOKUP($B$2,Days_Since_100!$H:$KU,Projections_Data!EI$4+2,FALSE))</f>
        <v>#N/A</v>
      </c>
      <c r="EJ5" s="40" t="e">
        <f>IF(VLOOKUP($B$2,Days_Since_100!$H:$KU,Projections_Data!EJ$4+2,FALSE)=0,#N/A,VLOOKUP($B$2,Days_Since_100!$H:$KU,Projections_Data!EJ$4+2,FALSE))</f>
        <v>#N/A</v>
      </c>
      <c r="EK5" s="40" t="e">
        <f>IF(VLOOKUP($B$2,Days_Since_100!$H:$KU,Projections_Data!EK$4+2,FALSE)=0,#N/A,VLOOKUP($B$2,Days_Since_100!$H:$KU,Projections_Data!EK$4+2,FALSE))</f>
        <v>#N/A</v>
      </c>
      <c r="EL5" s="40" t="e">
        <f>IF(VLOOKUP($B$2,Days_Since_100!$H:$KU,Projections_Data!EL$4+2,FALSE)=0,#N/A,VLOOKUP($B$2,Days_Since_100!$H:$KU,Projections_Data!EL$4+2,FALSE))</f>
        <v>#N/A</v>
      </c>
      <c r="EM5" s="40" t="e">
        <f>IF(VLOOKUP($B$2,Days_Since_100!$H:$KU,Projections_Data!EM$4+2,FALSE)=0,#N/A,VLOOKUP($B$2,Days_Since_100!$H:$KU,Projections_Data!EM$4+2,FALSE))</f>
        <v>#N/A</v>
      </c>
      <c r="EN5" s="40" t="e">
        <f>IF(VLOOKUP($B$2,Days_Since_100!$H:$KU,Projections_Data!EN$4+2,FALSE)=0,#N/A,VLOOKUP($B$2,Days_Since_100!$H:$KU,Projections_Data!EN$4+2,FALSE))</f>
        <v>#N/A</v>
      </c>
      <c r="EO5" s="40" t="e">
        <f>IF(VLOOKUP($B$2,Days_Since_100!$H:$KU,Projections_Data!EO$4+2,FALSE)=0,#N/A,VLOOKUP($B$2,Days_Since_100!$H:$KU,Projections_Data!EO$4+2,FALSE))</f>
        <v>#N/A</v>
      </c>
      <c r="EP5" s="40" t="e">
        <f>IF(VLOOKUP($B$2,Days_Since_100!$H:$KU,Projections_Data!EP$4+2,FALSE)=0,#N/A,VLOOKUP($B$2,Days_Since_100!$H:$KU,Projections_Data!EP$4+2,FALSE))</f>
        <v>#N/A</v>
      </c>
      <c r="EQ5" s="40" t="e">
        <f>IF(VLOOKUP($B$2,Days_Since_100!$H:$KU,Projections_Data!EQ$4+2,FALSE)=0,#N/A,VLOOKUP($B$2,Days_Since_100!$H:$KU,Projections_Data!EQ$4+2,FALSE))</f>
        <v>#N/A</v>
      </c>
      <c r="ER5" s="40" t="e">
        <f>IF(VLOOKUP($B$2,Days_Since_100!$H:$KU,Projections_Data!ER$4+2,FALSE)=0,#N/A,VLOOKUP($B$2,Days_Since_100!$H:$KU,Projections_Data!ER$4+2,FALSE))</f>
        <v>#N/A</v>
      </c>
      <c r="ES5" s="40" t="e">
        <f>IF(VLOOKUP($B$2,Days_Since_100!$H:$KU,Projections_Data!ES$4+2,FALSE)=0,#N/A,VLOOKUP($B$2,Days_Since_100!$H:$KU,Projections_Data!ES$4+2,FALSE))</f>
        <v>#N/A</v>
      </c>
      <c r="ET5" s="40" t="e">
        <f>IF(VLOOKUP($B$2,Days_Since_100!$H:$KU,Projections_Data!ET$4+2,FALSE)=0,#N/A,VLOOKUP($B$2,Days_Since_100!$H:$KU,Projections_Data!ET$4+2,FALSE))</f>
        <v>#N/A</v>
      </c>
      <c r="EU5" s="40" t="e">
        <f>IF(VLOOKUP($B$2,Days_Since_100!$H:$KU,Projections_Data!EU$4+2,FALSE)=0,#N/A,VLOOKUP($B$2,Days_Since_100!$H:$KU,Projections_Data!EU$4+2,FALSE))</f>
        <v>#N/A</v>
      </c>
      <c r="EV5" s="40" t="e">
        <f>IF(VLOOKUP($B$2,Days_Since_100!$H:$KU,Projections_Data!EV$4+2,FALSE)=0,#N/A,VLOOKUP($B$2,Days_Since_100!$H:$KU,Projections_Data!EV$4+2,FALSE))</f>
        <v>#N/A</v>
      </c>
      <c r="EW5" s="40" t="e">
        <f>IF(VLOOKUP($B$2,Days_Since_100!$H:$KU,Projections_Data!EW$4+2,FALSE)=0,#N/A,VLOOKUP($B$2,Days_Since_100!$H:$KU,Projections_Data!EW$4+2,FALSE))</f>
        <v>#N/A</v>
      </c>
      <c r="EX5" s="40" t="e">
        <f>IF(VLOOKUP($B$2,Days_Since_100!$H:$KU,Projections_Data!EX$4+2,FALSE)=0,#N/A,VLOOKUP($B$2,Days_Since_100!$H:$KU,Projections_Data!EX$4+2,FALSE))</f>
        <v>#N/A</v>
      </c>
      <c r="EY5" s="40" t="e">
        <f>IF(VLOOKUP($B$2,Days_Since_100!$H:$KU,Projections_Data!EY$4+2,FALSE)=0,#N/A,VLOOKUP($B$2,Days_Since_100!$H:$KU,Projections_Data!EY$4+2,FALSE))</f>
        <v>#N/A</v>
      </c>
      <c r="EZ5" s="40" t="e">
        <f>IF(VLOOKUP($B$2,Days_Since_100!$H:$KU,Projections_Data!EZ$4+2,FALSE)=0,#N/A,VLOOKUP($B$2,Days_Since_100!$H:$KU,Projections_Data!EZ$4+2,FALSE))</f>
        <v>#N/A</v>
      </c>
      <c r="FA5" s="40" t="e">
        <f>IF(VLOOKUP($B$2,Days_Since_100!$H:$KU,Projections_Data!FA$4+2,FALSE)=0,#N/A,VLOOKUP($B$2,Days_Since_100!$H:$KU,Projections_Data!FA$4+2,FALSE))</f>
        <v>#N/A</v>
      </c>
      <c r="FB5" s="40" t="e">
        <f>IF(VLOOKUP($B$2,Days_Since_100!$H:$KU,Projections_Data!FB$4+2,FALSE)=0,#N/A,VLOOKUP($B$2,Days_Since_100!$H:$KU,Projections_Data!FB$4+2,FALSE))</f>
        <v>#N/A</v>
      </c>
      <c r="FC5" s="40" t="e">
        <f>IF(VLOOKUP($B$2,Days_Since_100!$H:$KU,Projections_Data!FC$4+2,FALSE)=0,#N/A,VLOOKUP($B$2,Days_Since_100!$H:$KU,Projections_Data!FC$4+2,FALSE))</f>
        <v>#N/A</v>
      </c>
      <c r="FD5" s="40" t="e">
        <f>IF(VLOOKUP($B$2,Days_Since_100!$H:$KU,Projections_Data!FD$4+2,FALSE)=0,#N/A,VLOOKUP($B$2,Days_Since_100!$H:$KU,Projections_Data!FD$4+2,FALSE))</f>
        <v>#N/A</v>
      </c>
      <c r="FE5" s="40" t="e">
        <f>IF(VLOOKUP($B$2,Days_Since_100!$H:$KU,Projections_Data!FE$4+2,FALSE)=0,#N/A,VLOOKUP($B$2,Days_Since_100!$H:$KU,Projections_Data!FE$4+2,FALSE))</f>
        <v>#N/A</v>
      </c>
      <c r="FF5" s="40" t="e">
        <f>IF(VLOOKUP($B$2,Days_Since_100!$H:$KU,Projections_Data!FF$4+2,FALSE)=0,#N/A,VLOOKUP($B$2,Days_Since_100!$H:$KU,Projections_Data!FF$4+2,FALSE))</f>
        <v>#N/A</v>
      </c>
      <c r="FG5" s="40" t="e">
        <f>IF(VLOOKUP($B$2,Days_Since_100!$H:$KU,Projections_Data!FG$4+2,FALSE)=0,#N/A,VLOOKUP($B$2,Days_Since_100!$H:$KU,Projections_Data!FG$4+2,FALSE))</f>
        <v>#N/A</v>
      </c>
      <c r="FH5" s="40" t="e">
        <f>IF(VLOOKUP($B$2,Days_Since_100!$H:$KU,Projections_Data!FH$4+2,FALSE)=0,#N/A,VLOOKUP($B$2,Days_Since_100!$H:$KU,Projections_Data!FH$4+2,FALSE))</f>
        <v>#N/A</v>
      </c>
      <c r="FI5" s="40" t="e">
        <f>IF(VLOOKUP($B$2,Days_Since_100!$H:$KU,Projections_Data!FI$4+2,FALSE)=0,#N/A,VLOOKUP($B$2,Days_Since_100!$H:$KU,Projections_Data!FI$4+2,FALSE))</f>
        <v>#N/A</v>
      </c>
      <c r="FJ5" s="40" t="e">
        <f>IF(VLOOKUP($B$2,Days_Since_100!$H:$KU,Projections_Data!FJ$4+2,FALSE)=0,#N/A,VLOOKUP($B$2,Days_Since_100!$H:$KU,Projections_Data!FJ$4+2,FALSE))</f>
        <v>#N/A</v>
      </c>
      <c r="FK5" s="40" t="e">
        <f>IF(VLOOKUP($B$2,Days_Since_100!$H:$KU,Projections_Data!FK$4+2,FALSE)=0,#N/A,VLOOKUP($B$2,Days_Since_100!$H:$KU,Projections_Data!FK$4+2,FALSE))</f>
        <v>#N/A</v>
      </c>
      <c r="FL5" s="40" t="e">
        <f>IF(VLOOKUP($B$2,Days_Since_100!$H:$KU,Projections_Data!FL$4+2,FALSE)=0,#N/A,VLOOKUP($B$2,Days_Since_100!$H:$KU,Projections_Data!FL$4+2,FALSE))</f>
        <v>#N/A</v>
      </c>
      <c r="FM5" s="40" t="e">
        <f>IF(VLOOKUP($B$2,Days_Since_100!$H:$KU,Projections_Data!FM$4+2,FALSE)=0,#N/A,VLOOKUP($B$2,Days_Since_100!$H:$KU,Projections_Data!FM$4+2,FALSE))</f>
        <v>#N/A</v>
      </c>
      <c r="FN5" s="40" t="e">
        <f>IF(VLOOKUP($B$2,Days_Since_100!$H:$KU,Projections_Data!FN$4+2,FALSE)=0,#N/A,VLOOKUP($B$2,Days_Since_100!$H:$KU,Projections_Data!FN$4+2,FALSE))</f>
        <v>#N/A</v>
      </c>
      <c r="FO5" s="40" t="e">
        <f>IF(VLOOKUP($B$2,Days_Since_100!$H:$KU,Projections_Data!FO$4+2,FALSE)=0,#N/A,VLOOKUP($B$2,Days_Since_100!$H:$KU,Projections_Data!FO$4+2,FALSE))</f>
        <v>#N/A</v>
      </c>
      <c r="FP5" s="40" t="e">
        <f>IF(VLOOKUP($B$2,Days_Since_100!$H:$KU,Projections_Data!FP$4+2,FALSE)=0,#N/A,VLOOKUP($B$2,Days_Since_100!$H:$KU,Projections_Data!FP$4+2,FALSE))</f>
        <v>#N/A</v>
      </c>
      <c r="FQ5" s="40" t="e">
        <f>IF(VLOOKUP($B$2,Days_Since_100!$H:$KU,Projections_Data!FQ$4+2,FALSE)=0,#N/A,VLOOKUP($B$2,Days_Since_100!$H:$KU,Projections_Data!FQ$4+2,FALSE))</f>
        <v>#N/A</v>
      </c>
      <c r="FR5" s="40" t="e">
        <f>IF(VLOOKUP($B$2,Days_Since_100!$H:$KU,Projections_Data!FR$4+2,FALSE)=0,#N/A,VLOOKUP($B$2,Days_Since_100!$H:$KU,Projections_Data!FR$4+2,FALSE))</f>
        <v>#N/A</v>
      </c>
      <c r="FS5" s="40" t="e">
        <f>IF(VLOOKUP($B$2,Days_Since_100!$H:$KU,Projections_Data!FS$4+2,FALSE)=0,#N/A,VLOOKUP($B$2,Days_Since_100!$H:$KU,Projections_Data!FS$4+2,FALSE))</f>
        <v>#N/A</v>
      </c>
      <c r="FT5" s="40" t="e">
        <f>IF(VLOOKUP($B$2,Days_Since_100!$H:$KU,Projections_Data!FT$4+2,FALSE)=0,#N/A,VLOOKUP($B$2,Days_Since_100!$H:$KU,Projections_Data!FT$4+2,FALSE))</f>
        <v>#N/A</v>
      </c>
      <c r="FU5" s="40" t="e">
        <f>IF(VLOOKUP($B$2,Days_Since_100!$H:$KU,Projections_Data!FU$4+2,FALSE)=0,#N/A,VLOOKUP($B$2,Days_Since_100!$H:$KU,Projections_Data!FU$4+2,FALSE))</f>
        <v>#N/A</v>
      </c>
      <c r="FV5" s="40" t="e">
        <f>IF(VLOOKUP($B$2,Days_Since_100!$H:$KU,Projections_Data!FV$4+2,FALSE)=0,#N/A,VLOOKUP($B$2,Days_Since_100!$H:$KU,Projections_Data!FV$4+2,FALSE))</f>
        <v>#N/A</v>
      </c>
      <c r="FW5" s="40" t="e">
        <f>IF(VLOOKUP($B$2,Days_Since_100!$H:$KU,Projections_Data!FW$4+2,FALSE)=0,#N/A,VLOOKUP($B$2,Days_Since_100!$H:$KU,Projections_Data!FW$4+2,FALSE))</f>
        <v>#N/A</v>
      </c>
      <c r="FX5" s="40" t="e">
        <f>IF(VLOOKUP($B$2,Days_Since_100!$H:$KU,Projections_Data!FX$4+2,FALSE)=0,#N/A,VLOOKUP($B$2,Days_Since_100!$H:$KU,Projections_Data!FX$4+2,FALSE))</f>
        <v>#N/A</v>
      </c>
      <c r="FY5" s="40" t="e">
        <f>IF(VLOOKUP($B$2,Days_Since_100!$H:$KU,Projections_Data!FY$4+2,FALSE)=0,#N/A,VLOOKUP($B$2,Days_Since_100!$H:$KU,Projections_Data!FY$4+2,FALSE))</f>
        <v>#N/A</v>
      </c>
      <c r="FZ5" s="40" t="e">
        <f>IF(VLOOKUP($B$2,Days_Since_100!$H:$KU,Projections_Data!FZ$4+2,FALSE)=0,#N/A,VLOOKUP($B$2,Days_Since_100!$H:$KU,Projections_Data!FZ$4+2,FALSE))</f>
        <v>#N/A</v>
      </c>
      <c r="GA5" s="40" t="e">
        <f>IF(VLOOKUP($B$2,Days_Since_100!$H:$KU,Projections_Data!GA$4+2,FALSE)=0,#N/A,VLOOKUP($B$2,Days_Since_100!$H:$KU,Projections_Data!GA$4+2,FALSE))</f>
        <v>#N/A</v>
      </c>
      <c r="GB5" s="40" t="e">
        <f>IF(VLOOKUP($B$2,Days_Since_100!$H:$KU,Projections_Data!GB$4+2,FALSE)=0,#N/A,VLOOKUP($B$2,Days_Since_100!$H:$KU,Projections_Data!GB$4+2,FALSE))</f>
        <v>#N/A</v>
      </c>
      <c r="GC5" s="40" t="e">
        <f>IF(VLOOKUP($B$2,Days_Since_100!$H:$KU,Projections_Data!GC$4+2,FALSE)=0,#N/A,VLOOKUP($B$2,Days_Since_100!$H:$KU,Projections_Data!GC$4+2,FALSE))</f>
        <v>#N/A</v>
      </c>
      <c r="GD5" s="40" t="e">
        <f>IF(VLOOKUP($B$2,Days_Since_100!$H:$KU,Projections_Data!GD$4+2,FALSE)=0,#N/A,VLOOKUP($B$2,Days_Since_100!$H:$KU,Projections_Data!GD$4+2,FALSE))</f>
        <v>#N/A</v>
      </c>
      <c r="GE5" s="40" t="e">
        <f>IF(VLOOKUP($B$2,Days_Since_100!$H:$KU,Projections_Data!GE$4+2,FALSE)=0,#N/A,VLOOKUP($B$2,Days_Since_100!$H:$KU,Projections_Data!GE$4+2,FALSE))</f>
        <v>#N/A</v>
      </c>
      <c r="GF5" s="40" t="e">
        <f>IF(VLOOKUP($B$2,Days_Since_100!$H:$KU,Projections_Data!GF$4+2,FALSE)=0,#N/A,VLOOKUP($B$2,Days_Since_100!$H:$KU,Projections_Data!GF$4+2,FALSE))</f>
        <v>#N/A</v>
      </c>
      <c r="GG5" s="40" t="e">
        <f>IF(VLOOKUP($B$2,Days_Since_100!$H:$KU,Projections_Data!GG$4+2,FALSE)=0,#N/A,VLOOKUP($B$2,Days_Since_100!$H:$KU,Projections_Data!GG$4+2,FALSE))</f>
        <v>#N/A</v>
      </c>
      <c r="GH5" s="40" t="e">
        <f>IF(VLOOKUP($B$2,Days_Since_100!$H:$KU,Projections_Data!GH$4+2,FALSE)=0,#N/A,VLOOKUP($B$2,Days_Since_100!$H:$KU,Projections_Data!GH$4+2,FALSE))</f>
        <v>#N/A</v>
      </c>
      <c r="GI5" s="40" t="e">
        <f>IF(VLOOKUP($B$2,Days_Since_100!$H:$KU,Projections_Data!GI$4+2,FALSE)=0,#N/A,VLOOKUP($B$2,Days_Since_100!$H:$KU,Projections_Data!GI$4+2,FALSE))</f>
        <v>#N/A</v>
      </c>
      <c r="GJ5" s="40" t="e">
        <f>IF(VLOOKUP($B$2,Days_Since_100!$H:$KU,Projections_Data!GJ$4+2,FALSE)=0,#N/A,VLOOKUP($B$2,Days_Since_100!$H:$KU,Projections_Data!GJ$4+2,FALSE))</f>
        <v>#N/A</v>
      </c>
      <c r="GK5" s="40" t="e">
        <f>IF(VLOOKUP($B$2,Days_Since_100!$H:$KU,Projections_Data!GK$4+2,FALSE)=0,#N/A,VLOOKUP($B$2,Days_Since_100!$H:$KU,Projections_Data!GK$4+2,FALSE))</f>
        <v>#N/A</v>
      </c>
      <c r="GL5" s="40" t="e">
        <f>IF(VLOOKUP($B$2,Days_Since_100!$H:$KU,Projections_Data!GL$4+2,FALSE)=0,#N/A,VLOOKUP($B$2,Days_Since_100!$H:$KU,Projections_Data!GL$4+2,FALSE))</f>
        <v>#N/A</v>
      </c>
      <c r="GM5" s="40" t="e">
        <f>IF(VLOOKUP($B$2,Days_Since_100!$H:$KU,Projections_Data!GM$4+2,FALSE)=0,#N/A,VLOOKUP($B$2,Days_Since_100!$H:$KU,Projections_Data!GM$4+2,FALSE))</f>
        <v>#N/A</v>
      </c>
      <c r="GN5" s="40" t="e">
        <f>IF(VLOOKUP($B$2,Days_Since_100!$H:$KU,Projections_Data!GN$4+2,FALSE)=0,#N/A,VLOOKUP($B$2,Days_Since_100!$H:$KU,Projections_Data!GN$4+2,FALSE))</f>
        <v>#N/A</v>
      </c>
      <c r="GO5" s="40" t="e">
        <f>IF(VLOOKUP($B$2,Days_Since_100!$H:$KU,Projections_Data!GO$4+2,FALSE)=0,#N/A,VLOOKUP($B$2,Days_Since_100!$H:$KU,Projections_Data!GO$4+2,FALSE))</f>
        <v>#N/A</v>
      </c>
      <c r="GP5" s="40" t="e">
        <f>IF(VLOOKUP($B$2,Days_Since_100!$H:$KU,Projections_Data!GP$4+2,FALSE)=0,#N/A,VLOOKUP($B$2,Days_Since_100!$H:$KU,Projections_Data!GP$4+2,FALSE))</f>
        <v>#N/A</v>
      </c>
      <c r="GQ5" s="40" t="e">
        <f>IF(VLOOKUP($B$2,Days_Since_100!$H:$KU,Projections_Data!GQ$4+2,FALSE)=0,#N/A,VLOOKUP($B$2,Days_Since_100!$H:$KU,Projections_Data!GQ$4+2,FALSE))</f>
        <v>#N/A</v>
      </c>
      <c r="GR5" s="40" t="e">
        <f>IF(VLOOKUP($B$2,Days_Since_100!$H:$KU,Projections_Data!GR$4+2,FALSE)=0,#N/A,VLOOKUP($B$2,Days_Since_100!$H:$KU,Projections_Data!GR$4+2,FALSE))</f>
        <v>#N/A</v>
      </c>
      <c r="GS5" s="40" t="e">
        <f>IF(VLOOKUP($B$2,Days_Since_100!$H:$KU,Projections_Data!GS$4+2,FALSE)=0,#N/A,VLOOKUP($B$2,Days_Since_100!$H:$KU,Projections_Data!GS$4+2,FALSE))</f>
        <v>#N/A</v>
      </c>
      <c r="GT5" s="40" t="e">
        <f>IF(VLOOKUP($B$2,Days_Since_100!$H:$KU,Projections_Data!GT$4+2,FALSE)=0,#N/A,VLOOKUP($B$2,Days_Since_100!$H:$KU,Projections_Data!GT$4+2,FALSE))</f>
        <v>#N/A</v>
      </c>
      <c r="GU5" s="40" t="e">
        <f>IF(VLOOKUP($B$2,Days_Since_100!$H:$KU,Projections_Data!GU$4+2,FALSE)=0,#N/A,VLOOKUP($B$2,Days_Since_100!$H:$KU,Projections_Data!GU$4+2,FALSE))</f>
        <v>#N/A</v>
      </c>
      <c r="GV5" s="40" t="e">
        <f>IF(VLOOKUP($B$2,Days_Since_100!$H:$KU,Projections_Data!GV$4+2,FALSE)=0,#N/A,VLOOKUP($B$2,Days_Since_100!$H:$KU,Projections_Data!GV$4+2,FALSE))</f>
        <v>#N/A</v>
      </c>
      <c r="GW5" s="40" t="e">
        <f>IF(VLOOKUP($B$2,Days_Since_100!$H:$KU,Projections_Data!GW$4+2,FALSE)=0,#N/A,VLOOKUP($B$2,Days_Since_100!$H:$KU,Projections_Data!GW$4+2,FALSE))</f>
        <v>#N/A</v>
      </c>
      <c r="GX5" s="40" t="e">
        <f>IF(VLOOKUP($B$2,Days_Since_100!$H:$KU,Projections_Data!GX$4+2,FALSE)=0,#N/A,VLOOKUP($B$2,Days_Since_100!$H:$KU,Projections_Data!GX$4+2,FALSE))</f>
        <v>#N/A</v>
      </c>
      <c r="GY5" s="40" t="e">
        <f>IF(VLOOKUP($B$2,Days_Since_100!$H:$KU,Projections_Data!GY$4+2,FALSE)=0,#N/A,VLOOKUP($B$2,Days_Since_100!$H:$KU,Projections_Data!GY$4+2,FALSE))</f>
        <v>#N/A</v>
      </c>
      <c r="GZ5" s="40" t="e">
        <f>IF(VLOOKUP($B$2,Days_Since_100!$H:$KU,Projections_Data!GZ$4+2,FALSE)=0,#N/A,VLOOKUP($B$2,Days_Since_100!$H:$KU,Projections_Data!GZ$4+2,FALSE))</f>
        <v>#N/A</v>
      </c>
      <c r="HA5" s="40" t="e">
        <f>IF(VLOOKUP($B$2,Days_Since_100!$H:$KU,Projections_Data!HA$4+2,FALSE)=0,#N/A,VLOOKUP($B$2,Days_Since_100!$H:$KU,Projections_Data!HA$4+2,FALSE))</f>
        <v>#N/A</v>
      </c>
      <c r="HB5" s="40" t="e">
        <f>IF(VLOOKUP($B$2,Days_Since_100!$H:$KU,Projections_Data!HB$4+2,FALSE)=0,#N/A,VLOOKUP($B$2,Days_Since_100!$H:$KU,Projections_Data!HB$4+2,FALSE))</f>
        <v>#N/A</v>
      </c>
      <c r="HC5" s="40" t="e">
        <f>IF(VLOOKUP($B$2,Days_Since_100!$H:$KU,Projections_Data!HC$4+2,FALSE)=0,#N/A,VLOOKUP($B$2,Days_Since_100!$H:$KU,Projections_Data!HC$4+2,FALSE))</f>
        <v>#N/A</v>
      </c>
      <c r="HD5" s="40" t="e">
        <f>IF(VLOOKUP($B$2,Days_Since_100!$H:$KU,Projections_Data!HD$4+2,FALSE)=0,#N/A,VLOOKUP($B$2,Days_Since_100!$H:$KU,Projections_Data!HD$4+2,FALSE))</f>
        <v>#N/A</v>
      </c>
      <c r="HE5" s="40" t="e">
        <f>IF(VLOOKUP($B$2,Days_Since_100!$H:$KU,Projections_Data!HE$4+2,FALSE)=0,#N/A,VLOOKUP($B$2,Days_Since_100!$H:$KU,Projections_Data!HE$4+2,FALSE))</f>
        <v>#N/A</v>
      </c>
      <c r="HF5" s="40" t="e">
        <f>IF(VLOOKUP($B$2,Days_Since_100!$H:$KU,Projections_Data!HF$4+2,FALSE)=0,#N/A,VLOOKUP($B$2,Days_Since_100!$H:$KU,Projections_Data!HF$4+2,FALSE))</f>
        <v>#N/A</v>
      </c>
      <c r="HG5" s="40" t="e">
        <f>IF(VLOOKUP($B$2,Days_Since_100!$H:$KU,Projections_Data!HG$4+2,FALSE)=0,#N/A,VLOOKUP($B$2,Days_Since_100!$H:$KU,Projections_Data!HG$4+2,FALSE))</f>
        <v>#N/A</v>
      </c>
      <c r="HH5" s="40" t="e">
        <f>IF(VLOOKUP($B$2,Days_Since_100!$H:$KU,Projections_Data!HH$4+2,FALSE)=0,#N/A,VLOOKUP($B$2,Days_Since_100!$H:$KU,Projections_Data!HH$4+2,FALSE))</f>
        <v>#N/A</v>
      </c>
      <c r="HI5" s="40" t="e">
        <f>IF(VLOOKUP($B$2,Days_Since_100!$H:$KU,Projections_Data!HI$4+2,FALSE)=0,#N/A,VLOOKUP($B$2,Days_Since_100!$H:$KU,Projections_Data!HI$4+2,FALSE))</f>
        <v>#N/A</v>
      </c>
      <c r="HJ5" s="40" t="e">
        <f>IF(VLOOKUP($B$2,Days_Since_100!$H:$KU,Projections_Data!HJ$4+2,FALSE)=0,#N/A,VLOOKUP($B$2,Days_Since_100!$H:$KU,Projections_Data!HJ$4+2,FALSE))</f>
        <v>#N/A</v>
      </c>
      <c r="HK5" s="40" t="e">
        <f>IF(VLOOKUP($B$2,Days_Since_100!$H:$KU,Projections_Data!HK$4+2,FALSE)=0,#N/A,VLOOKUP($B$2,Days_Since_100!$H:$KU,Projections_Data!HK$4+2,FALSE))</f>
        <v>#N/A</v>
      </c>
      <c r="HL5" s="40" t="e">
        <f>IF(VLOOKUP($B$2,Days_Since_100!$H:$KU,Projections_Data!HL$4+2,FALSE)=0,#N/A,VLOOKUP($B$2,Days_Since_100!$H:$KU,Projections_Data!HL$4+2,FALSE))</f>
        <v>#N/A</v>
      </c>
      <c r="HM5" s="40" t="e">
        <f>IF(VLOOKUP($B$2,Days_Since_100!$H:$KU,Projections_Data!HM$4+2,FALSE)=0,#N/A,VLOOKUP($B$2,Days_Since_100!$H:$KU,Projections_Data!HM$4+2,FALSE))</f>
        <v>#N/A</v>
      </c>
      <c r="HN5" s="40" t="e">
        <f>IF(VLOOKUP($B$2,Days_Since_100!$H:$KU,Projections_Data!HN$4+2,FALSE)=0,#N/A,VLOOKUP($B$2,Days_Since_100!$H:$KU,Projections_Data!HN$4+2,FALSE))</f>
        <v>#N/A</v>
      </c>
      <c r="HO5" s="40" t="e">
        <f>IF(VLOOKUP($B$2,Days_Since_100!$H:$KU,Projections_Data!HO$4+2,FALSE)=0,#N/A,VLOOKUP($B$2,Days_Since_100!$H:$KU,Projections_Data!HO$4+2,FALSE))</f>
        <v>#N/A</v>
      </c>
      <c r="HP5" s="40" t="e">
        <f>IF(VLOOKUP($B$2,Days_Since_100!$H:$KU,Projections_Data!HP$4+2,FALSE)=0,#N/A,VLOOKUP($B$2,Days_Since_100!$H:$KU,Projections_Data!HP$4+2,FALSE))</f>
        <v>#N/A</v>
      </c>
      <c r="HQ5" s="40" t="e">
        <f>IF(VLOOKUP($B$2,Days_Since_100!$H:$KU,Projections_Data!HQ$4+2,FALSE)=0,#N/A,VLOOKUP($B$2,Days_Since_100!$H:$KU,Projections_Data!HQ$4+2,FALSE))</f>
        <v>#N/A</v>
      </c>
      <c r="HR5" s="40" t="e">
        <f>IF(VLOOKUP($B$2,Days_Since_100!$H:$KU,Projections_Data!HR$4+2,FALSE)=0,#N/A,VLOOKUP($B$2,Days_Since_100!$H:$KU,Projections_Data!HR$4+2,FALSE))</f>
        <v>#N/A</v>
      </c>
      <c r="HS5" s="40" t="e">
        <f>IF(VLOOKUP($B$2,Days_Since_100!$H:$KU,Projections_Data!HS$4+2,FALSE)=0,#N/A,VLOOKUP($B$2,Days_Since_100!$H:$KU,Projections_Data!HS$4+2,FALSE))</f>
        <v>#N/A</v>
      </c>
      <c r="HT5" s="40" t="e">
        <f>IF(VLOOKUP($B$2,Days_Since_100!$H:$KU,Projections_Data!HT$4+2,FALSE)=0,#N/A,VLOOKUP($B$2,Days_Since_100!$H:$KU,Projections_Data!HT$4+2,FALSE))</f>
        <v>#N/A</v>
      </c>
      <c r="HU5" s="40" t="e">
        <f>IF(VLOOKUP($B$2,Days_Since_100!$H:$KU,Projections_Data!HU$4+2,FALSE)=0,#N/A,VLOOKUP($B$2,Days_Since_100!$H:$KU,Projections_Data!HU$4+2,FALSE))</f>
        <v>#N/A</v>
      </c>
      <c r="HV5" s="40" t="e">
        <f>IF(VLOOKUP($B$2,Days_Since_100!$H:$KU,Projections_Data!HV$4+2,FALSE)=0,#N/A,VLOOKUP($B$2,Days_Since_100!$H:$KU,Projections_Data!HV$4+2,FALSE))</f>
        <v>#N/A</v>
      </c>
      <c r="HW5" s="40" t="e">
        <f>IF(VLOOKUP($B$2,Days_Since_100!$H:$KU,Projections_Data!HW$4+2,FALSE)=0,#N/A,VLOOKUP($B$2,Days_Since_100!$H:$KU,Projections_Data!HW$4+2,FALSE))</f>
        <v>#N/A</v>
      </c>
      <c r="HX5" s="40" t="e">
        <f>IF(VLOOKUP($B$2,Days_Since_100!$H:$KU,Projections_Data!HX$4+2,FALSE)=0,#N/A,VLOOKUP($B$2,Days_Since_100!$H:$KU,Projections_Data!HX$4+2,FALSE))</f>
        <v>#N/A</v>
      </c>
      <c r="HY5" s="40" t="e">
        <f>IF(VLOOKUP($B$2,Days_Since_100!$H:$KU,Projections_Data!HY$4+2,FALSE)=0,#N/A,VLOOKUP($B$2,Days_Since_100!$H:$KU,Projections_Data!HY$4+2,FALSE))</f>
        <v>#N/A</v>
      </c>
      <c r="HZ5" s="40" t="e">
        <f>IF(VLOOKUP($B$2,Days_Since_100!$H:$KU,Projections_Data!HZ$4+2,FALSE)=0,#N/A,VLOOKUP($B$2,Days_Since_100!$H:$KU,Projections_Data!HZ$4+2,FALSE))</f>
        <v>#N/A</v>
      </c>
      <c r="IA5" s="40" t="e">
        <f>IF(VLOOKUP($B$2,Days_Since_100!$H:$KU,Projections_Data!IA$4+2,FALSE)=0,#N/A,VLOOKUP($B$2,Days_Since_100!$H:$KU,Projections_Data!IA$4+2,FALSE))</f>
        <v>#N/A</v>
      </c>
      <c r="IB5" s="40" t="e">
        <f>IF(VLOOKUP($B$2,Days_Since_100!$H:$KU,Projections_Data!IB$4+2,FALSE)=0,#N/A,VLOOKUP($B$2,Days_Since_100!$H:$KU,Projections_Data!IB$4+2,FALSE))</f>
        <v>#N/A</v>
      </c>
      <c r="IC5" s="40" t="e">
        <f>IF(VLOOKUP($B$2,Days_Since_100!$H:$KU,Projections_Data!IC$4+2,FALSE)=0,#N/A,VLOOKUP($B$2,Days_Since_100!$H:$KU,Projections_Data!IC$4+2,FALSE))</f>
        <v>#N/A</v>
      </c>
      <c r="ID5" s="40" t="e">
        <f>IF(VLOOKUP($B$2,Days_Since_100!$H:$KU,Projections_Data!ID$4+2,FALSE)=0,#N/A,VLOOKUP($B$2,Days_Since_100!$H:$KU,Projections_Data!ID$4+2,FALSE))</f>
        <v>#N/A</v>
      </c>
      <c r="IE5" s="40" t="e">
        <f>IF(VLOOKUP($B$2,Days_Since_100!$H:$KU,Projections_Data!IE$4+2,FALSE)=0,#N/A,VLOOKUP($B$2,Days_Since_100!$H:$KU,Projections_Data!IE$4+2,FALSE))</f>
        <v>#N/A</v>
      </c>
      <c r="IF5" s="40" t="e">
        <f>IF(VLOOKUP($B$2,Days_Since_100!$H:$KU,Projections_Data!IF$4+2,FALSE)=0,#N/A,VLOOKUP($B$2,Days_Since_100!$H:$KU,Projections_Data!IF$4+2,FALSE))</f>
        <v>#N/A</v>
      </c>
      <c r="IG5" s="40" t="e">
        <f>IF(VLOOKUP($B$2,Days_Since_100!$H:$KU,Projections_Data!IG$4+2,FALSE)=0,#N/A,VLOOKUP($B$2,Days_Since_100!$H:$KU,Projections_Data!IG$4+2,FALSE))</f>
        <v>#N/A</v>
      </c>
      <c r="IH5" s="40" t="e">
        <f>IF(VLOOKUP($B$2,Days_Since_100!$H:$KU,Projections_Data!IH$4+2,FALSE)=0,#N/A,VLOOKUP($B$2,Days_Since_100!$H:$KU,Projections_Data!IH$4+2,FALSE))</f>
        <v>#N/A</v>
      </c>
      <c r="II5" s="40" t="e">
        <f>IF(VLOOKUP($B$2,Days_Since_100!$H:$KU,Projections_Data!II$4+2,FALSE)=0,#N/A,VLOOKUP($B$2,Days_Since_100!$H:$KU,Projections_Data!II$4+2,FALSE))</f>
        <v>#N/A</v>
      </c>
      <c r="IJ5" s="40" t="e">
        <f>IF(VLOOKUP($B$2,Days_Since_100!$H:$KU,Projections_Data!IJ$4+2,FALSE)=0,#N/A,VLOOKUP($B$2,Days_Since_100!$H:$KU,Projections_Data!IJ$4+2,FALSE))</f>
        <v>#N/A</v>
      </c>
      <c r="IK5" s="40" t="e">
        <f>IF(VLOOKUP($B$2,Days_Since_100!$H:$KU,Projections_Data!IK$4+2,FALSE)=0,#N/A,VLOOKUP($B$2,Days_Since_100!$H:$KU,Projections_Data!IK$4+2,FALSE))</f>
        <v>#N/A</v>
      </c>
      <c r="IL5" s="40" t="e">
        <f>IF(VLOOKUP($B$2,Days_Since_100!$H:$KU,Projections_Data!IL$4+2,FALSE)=0,#N/A,VLOOKUP($B$2,Days_Since_100!$H:$KU,Projections_Data!IL$4+2,FALSE))</f>
        <v>#N/A</v>
      </c>
      <c r="IM5" s="40" t="e">
        <f>IF(VLOOKUP($B$2,Days_Since_100!$H:$KU,Projections_Data!IM$4+2,FALSE)=0,#N/A,VLOOKUP($B$2,Days_Since_100!$H:$KU,Projections_Data!IM$4+2,FALSE))</f>
        <v>#N/A</v>
      </c>
      <c r="IN5" s="40" t="e">
        <f>IF(VLOOKUP($B$2,Days_Since_100!$H:$KU,Projections_Data!IN$4+2,FALSE)=0,#N/A,VLOOKUP($B$2,Days_Since_100!$H:$KU,Projections_Data!IN$4+2,FALSE))</f>
        <v>#N/A</v>
      </c>
    </row>
    <row r="6" spans="2:248" x14ac:dyDescent="0.3">
      <c r="B6" s="19" t="s">
        <v>506</v>
      </c>
      <c r="C6" s="21">
        <f ca="1">HLOOKUP(C5-1,G4:IN8,5,FALSE)</f>
        <v>11175</v>
      </c>
      <c r="D6" s="42">
        <v>0.02</v>
      </c>
      <c r="F6" s="19" t="s">
        <v>584</v>
      </c>
      <c r="G6" s="40">
        <f ca="1">IF(Projections_Data!G$4+2-$C$9&lt;2,#N/A,IF(VLOOKUP($B$2,Deaths_since_10!$H:$KU,Projections_Data!G$4+2-$C$9,FALSE)=0,#N/A,VLOOKUP($B$2,Deaths_since_10!$H:$KU,Projections_Data!G$4+2-$C$9,FALSE)))</f>
        <v>17</v>
      </c>
      <c r="H6" s="40">
        <f ca="1">IF(Projections_Data!H$4+2-$C$9&lt;2,#N/A,IF(VLOOKUP($B$2,Deaths_since_10!$H:$KU,Projections_Data!H$4+2-$C$9,FALSE)=0,#N/A,VLOOKUP($B$2,Deaths_since_10!$H:$KU,Projections_Data!H$4+2-$C$9,FALSE)))</f>
        <v>18</v>
      </c>
      <c r="I6" s="40">
        <f ca="1">IF(Projections_Data!I$4+2-$C$9&lt;2,#N/A,IF(VLOOKUP($B$2,Deaths_since_10!$H:$KU,Projections_Data!I$4+2-$C$9,FALSE)=0,#N/A,VLOOKUP($B$2,Deaths_since_10!$H:$KU,Projections_Data!I$4+2-$C$9,FALSE)))</f>
        <v>26</v>
      </c>
      <c r="J6" s="40">
        <f ca="1">IF(Projections_Data!J$4+2-$C$9&lt;2,#N/A,IF(VLOOKUP($B$2,Deaths_since_10!$H:$KU,Projections_Data!J$4+2-$C$9,FALSE)=0,#N/A,VLOOKUP($B$2,Deaths_since_10!$H:$KU,Projections_Data!J$4+2-$C$9,FALSE)))</f>
        <v>42</v>
      </c>
      <c r="K6" s="40">
        <f ca="1">IF(Projections_Data!K$4+2-$C$9&lt;2,#N/A,IF(VLOOKUP($B$2,Deaths_since_10!$H:$KU,Projections_Data!K$4+2-$C$9,FALSE)=0,#N/A,VLOOKUP($B$2,Deaths_since_10!$H:$KU,Projections_Data!K$4+2-$C$9,FALSE)))</f>
        <v>56</v>
      </c>
      <c r="L6" s="40">
        <f ca="1">IF(Projections_Data!L$4+2-$C$9&lt;2,#N/A,IF(VLOOKUP($B$2,Deaths_since_10!$H:$KU,Projections_Data!L$4+2-$C$9,FALSE)=0,#N/A,VLOOKUP($B$2,Deaths_since_10!$H:$KU,Projections_Data!L$4+2-$C$9,FALSE)))</f>
        <v>82</v>
      </c>
      <c r="M6" s="40">
        <f ca="1">IF(Projections_Data!M$4+2-$C$9&lt;2,#N/A,IF(VLOOKUP($B$2,Deaths_since_10!$H:$KU,Projections_Data!M$4+2-$C$9,FALSE)=0,#N/A,VLOOKUP($B$2,Deaths_since_10!$H:$KU,Projections_Data!M$4+2-$C$9,FALSE)))</f>
        <v>131</v>
      </c>
      <c r="N6" s="40">
        <f ca="1">IF(Projections_Data!N$4+2-$C$9&lt;2,#N/A,IF(VLOOKUP($B$2,Deaths_since_10!$H:$KU,Projections_Data!N$4+2-$C$9,FALSE)=0,#N/A,VLOOKUP($B$2,Deaths_since_10!$H:$KU,Projections_Data!N$4+2-$C$9,FALSE)))</f>
        <v>133</v>
      </c>
      <c r="O6" s="40">
        <f ca="1">IF(Projections_Data!O$4+2-$C$9&lt;2,#N/A,IF(VLOOKUP($B$2,Deaths_since_10!$H:$KU,Projections_Data!O$4+2-$C$9,FALSE)=0,#N/A,VLOOKUP($B$2,Deaths_since_10!$H:$KU,Projections_Data!O$4+2-$C$9,FALSE)))</f>
        <v>171</v>
      </c>
      <c r="P6" s="40">
        <f ca="1">IF(Projections_Data!P$4+2-$C$9&lt;2,#N/A,IF(VLOOKUP($B$2,Deaths_since_10!$H:$KU,Projections_Data!P$4+2-$C$9,FALSE)=0,#N/A,VLOOKUP($B$2,Deaths_since_10!$H:$KU,Projections_Data!P$4+2-$C$9,FALSE)))</f>
        <v>213</v>
      </c>
      <c r="Q6" s="40">
        <f ca="1">IF(Projections_Data!Q$4+2-$C$9&lt;2,#N/A,IF(VLOOKUP($B$2,Deaths_since_10!$H:$KU,Projections_Data!Q$4+2-$C$9,FALSE)=0,#N/A,VLOOKUP($B$2,Deaths_since_10!$H:$KU,Projections_Data!Q$4+2-$C$9,FALSE)))</f>
        <v>259</v>
      </c>
      <c r="R6" s="40">
        <f ca="1">IF(Projections_Data!R$4+2-$C$9&lt;2,#N/A,IF(VLOOKUP($B$2,Deaths_since_10!$H:$KU,Projections_Data!R$4+2-$C$9,FALSE)=0,#N/A,VLOOKUP($B$2,Deaths_since_10!$H:$KU,Projections_Data!R$4+2-$C$9,FALSE)))</f>
        <v>362</v>
      </c>
      <c r="S6" s="40">
        <f ca="1">IF(Projections_Data!S$4+2-$C$9&lt;2,#N/A,IF(VLOOKUP($B$2,Deaths_since_10!$H:$KU,Projections_Data!S$4+2-$C$9,FALSE)=0,#N/A,VLOOKUP($B$2,Deaths_since_10!$H:$KU,Projections_Data!S$4+2-$C$9,FALSE)))</f>
        <v>426</v>
      </c>
      <c r="T6" s="40">
        <f ca="1">IF(Projections_Data!T$4+2-$C$9&lt;2,#N/A,IF(VLOOKUP($B$2,Deaths_since_10!$H:$KU,Projections_Data!T$4+2-$C$9,FALSE)=0,#N/A,VLOOKUP($B$2,Deaths_since_10!$H:$KU,Projections_Data!T$4+2-$C$9,FALSE)))</f>
        <v>492</v>
      </c>
      <c r="U6" s="40">
        <f ca="1">IF(Projections_Data!U$4+2-$C$9&lt;2,#N/A,IF(VLOOKUP($B$2,Deaths_since_10!$H:$KU,Projections_Data!U$4+2-$C$9,FALSE)=0,#N/A,VLOOKUP($B$2,Deaths_since_10!$H:$KU,Projections_Data!U$4+2-$C$9,FALSE)))</f>
        <v>564</v>
      </c>
      <c r="V6" s="40">
        <f ca="1">IF(Projections_Data!V$4+2-$C$9&lt;2,#N/A,IF(VLOOKUP($B$2,Deaths_since_10!$H:$KU,Projections_Data!V$4+2-$C$9,FALSE)=0,#N/A,VLOOKUP($B$2,Deaths_since_10!$H:$KU,Projections_Data!V$4+2-$C$9,FALSE)))</f>
        <v>634</v>
      </c>
      <c r="W6" s="40">
        <f ca="1">IF(Projections_Data!W$4+2-$C$9&lt;2,#N/A,IF(VLOOKUP($B$2,Deaths_since_10!$H:$KU,Projections_Data!W$4+2-$C$9,FALSE)=0,#N/A,VLOOKUP($B$2,Deaths_since_10!$H:$KU,Projections_Data!W$4+2-$C$9,FALSE)))</f>
        <v>719</v>
      </c>
      <c r="X6" s="40">
        <f ca="1">IF(Projections_Data!X$4+2-$C$9&lt;2,#N/A,IF(VLOOKUP($B$2,Deaths_since_10!$H:$KU,Projections_Data!X$4+2-$C$9,FALSE)=0,#N/A,VLOOKUP($B$2,Deaths_since_10!$H:$KU,Projections_Data!X$4+2-$C$9,FALSE)))</f>
        <v>806</v>
      </c>
      <c r="Y6" s="40">
        <f ca="1">IF(Projections_Data!Y$4+2-$C$9&lt;2,#N/A,IF(VLOOKUP($B$2,Deaths_since_10!$H:$KU,Projections_Data!Y$4+2-$C$9,FALSE)=0,#N/A,VLOOKUP($B$2,Deaths_since_10!$H:$KU,Projections_Data!Y$4+2-$C$9,FALSE)))</f>
        <v>906</v>
      </c>
      <c r="Z6" s="40">
        <f ca="1">IF(Projections_Data!Z$4+2-$C$9&lt;2,#N/A,IF(VLOOKUP($B$2,Deaths_since_10!$H:$KU,Projections_Data!Z$4+2-$C$9,FALSE)=0,#N/A,VLOOKUP($B$2,Deaths_since_10!$H:$KU,Projections_Data!Z$4+2-$C$9,FALSE)))</f>
        <v>1013</v>
      </c>
      <c r="AA6" s="40">
        <f ca="1">IF(Projections_Data!AA$4+2-$C$9&lt;2,#N/A,IF(VLOOKUP($B$2,Deaths_since_10!$H:$KU,Projections_Data!AA$4+2-$C$9,FALSE)=0,#N/A,VLOOKUP($B$2,Deaths_since_10!$H:$KU,Projections_Data!AA$4+2-$C$9,FALSE)))</f>
        <v>1113</v>
      </c>
      <c r="AB6" s="40">
        <f ca="1">IF(Projections_Data!AB$4+2-$C$9&lt;2,#N/A,IF(VLOOKUP($B$2,Deaths_since_10!$H:$KU,Projections_Data!AB$4+2-$C$9,FALSE)=0,#N/A,VLOOKUP($B$2,Deaths_since_10!$H:$KU,Projections_Data!AB$4+2-$C$9,FALSE)))</f>
        <v>1118</v>
      </c>
      <c r="AC6" s="40">
        <f ca="1">IF(Projections_Data!AC$4+2-$C$9&lt;2,#N/A,IF(VLOOKUP($B$2,Deaths_since_10!$H:$KU,Projections_Data!AC$4+2-$C$9,FALSE)=0,#N/A,VLOOKUP($B$2,Deaths_since_10!$H:$KU,Projections_Data!AC$4+2-$C$9,FALSE)))</f>
        <v>1371</v>
      </c>
      <c r="AD6" s="40">
        <f ca="1">IF(Projections_Data!AD$4+2-$C$9&lt;2,#N/A,IF(VLOOKUP($B$2,Deaths_since_10!$H:$KU,Projections_Data!AD$4+2-$C$9,FALSE)=0,#N/A,VLOOKUP($B$2,Deaths_since_10!$H:$KU,Projections_Data!AD$4+2-$C$9,FALSE)))</f>
        <v>1523</v>
      </c>
      <c r="AE6" s="40">
        <f ca="1">IF(Projections_Data!AE$4+2-$C$9&lt;2,#N/A,IF(VLOOKUP($B$2,Deaths_since_10!$H:$KU,Projections_Data!AE$4+2-$C$9,FALSE)=0,#N/A,VLOOKUP($B$2,Deaths_since_10!$H:$KU,Projections_Data!AE$4+2-$C$9,FALSE)))</f>
        <v>1665</v>
      </c>
      <c r="AF6" s="40">
        <f ca="1">IF(Projections_Data!AF$4+2-$C$9&lt;2,#N/A,IF(VLOOKUP($B$2,Deaths_since_10!$H:$KU,Projections_Data!AF$4+2-$C$9,FALSE)=0,#N/A,VLOOKUP($B$2,Deaths_since_10!$H:$KU,Projections_Data!AF$4+2-$C$9,FALSE)))</f>
        <v>1769</v>
      </c>
      <c r="AG6" s="40">
        <f ca="1">IF(Projections_Data!AG$4+2-$C$9&lt;2,#N/A,IF(VLOOKUP($B$2,Deaths_since_10!$H:$KU,Projections_Data!AG$4+2-$C$9,FALSE)=0,#N/A,VLOOKUP($B$2,Deaths_since_10!$H:$KU,Projections_Data!AG$4+2-$C$9,FALSE)))</f>
        <v>1867</v>
      </c>
      <c r="AH6" s="40">
        <f ca="1">IF(Projections_Data!AH$4+2-$C$9&lt;2,#N/A,IF(VLOOKUP($B$2,Deaths_since_10!$H:$KU,Projections_Data!AH$4+2-$C$9,FALSE)=0,#N/A,VLOOKUP($B$2,Deaths_since_10!$H:$KU,Projections_Data!AH$4+2-$C$9,FALSE)))</f>
        <v>2006</v>
      </c>
      <c r="AI6" s="40">
        <f ca="1">IF(Projections_Data!AI$4+2-$C$9&lt;2,#N/A,IF(VLOOKUP($B$2,Deaths_since_10!$H:$KU,Projections_Data!AI$4+2-$C$9,FALSE)=0,#N/A,VLOOKUP($B$2,Deaths_since_10!$H:$KU,Projections_Data!AI$4+2-$C$9,FALSE)))</f>
        <v>2119</v>
      </c>
      <c r="AJ6" s="40">
        <f ca="1">IF(Projections_Data!AJ$4+2-$C$9&lt;2,#N/A,IF(VLOOKUP($B$2,Deaths_since_10!$H:$KU,Projections_Data!AJ$4+2-$C$9,FALSE)=0,#N/A,VLOOKUP($B$2,Deaths_since_10!$H:$KU,Projections_Data!AJ$4+2-$C$9,FALSE)))</f>
        <v>2242</v>
      </c>
      <c r="AK6" s="40">
        <f ca="1">IF(Projections_Data!AK$4+2-$C$9&lt;2,#N/A,IF(VLOOKUP($B$2,Deaths_since_10!$H:$KU,Projections_Data!AK$4+2-$C$9,FALSE)=0,#N/A,VLOOKUP($B$2,Deaths_since_10!$H:$KU,Projections_Data!AK$4+2-$C$9,FALSE)))</f>
        <v>2243</v>
      </c>
      <c r="AL6" s="40">
        <f ca="1">IF(Projections_Data!AL$4+2-$C$9&lt;2,#N/A,IF(VLOOKUP($B$2,Deaths_since_10!$H:$KU,Projections_Data!AL$4+2-$C$9,FALSE)=0,#N/A,VLOOKUP($B$2,Deaths_since_10!$H:$KU,Projections_Data!AL$4+2-$C$9,FALSE)))</f>
        <v>2448</v>
      </c>
      <c r="AM6" s="40">
        <f ca="1">IF(Projections_Data!AM$4+2-$C$9&lt;2,#N/A,IF(VLOOKUP($B$2,Deaths_since_10!$H:$KU,Projections_Data!AM$4+2-$C$9,FALSE)=0,#N/A,VLOOKUP($B$2,Deaths_since_10!$H:$KU,Projections_Data!AM$4+2-$C$9,FALSE)))</f>
        <v>2454</v>
      </c>
      <c r="AN6" s="40">
        <f ca="1">IF(Projections_Data!AN$4+2-$C$9&lt;2,#N/A,IF(VLOOKUP($B$2,Deaths_since_10!$H:$KU,Projections_Data!AN$4+2-$C$9,FALSE)=0,#N/A,VLOOKUP($B$2,Deaths_since_10!$H:$KU,Projections_Data!AN$4+2-$C$9,FALSE)))</f>
        <v>2606</v>
      </c>
      <c r="AO6" s="40">
        <f ca="1">IF(Projections_Data!AO$4+2-$C$9&lt;2,#N/A,IF(VLOOKUP($B$2,Deaths_since_10!$H:$KU,Projections_Data!AO$4+2-$C$9,FALSE)=0,#N/A,VLOOKUP($B$2,Deaths_since_10!$H:$KU,Projections_Data!AO$4+2-$C$9,FALSE)))</f>
        <v>2678</v>
      </c>
      <c r="AP6" s="40">
        <f ca="1">IF(Projections_Data!AP$4+2-$C$9&lt;2,#N/A,IF(VLOOKUP($B$2,Deaths_since_10!$H:$KU,Projections_Data!AP$4+2-$C$9,FALSE)=0,#N/A,VLOOKUP($B$2,Deaths_since_10!$H:$KU,Projections_Data!AP$4+2-$C$9,FALSE)))</f>
        <v>2733</v>
      </c>
      <c r="AQ6" s="40">
        <f ca="1">IF(Projections_Data!AQ$4+2-$C$9&lt;2,#N/A,IF(VLOOKUP($B$2,Deaths_since_10!$H:$KU,Projections_Data!AQ$4+2-$C$9,FALSE)=0,#N/A,VLOOKUP($B$2,Deaths_since_10!$H:$KU,Projections_Data!AQ$4+2-$C$9,FALSE)))</f>
        <v>2765</v>
      </c>
      <c r="AR6" s="40">
        <f ca="1">IF(Projections_Data!AR$4+2-$C$9&lt;2,#N/A,IF(VLOOKUP($B$2,Deaths_since_10!$H:$KU,Projections_Data!AR$4+2-$C$9,FALSE)=0,#N/A,VLOOKUP($B$2,Deaths_since_10!$H:$KU,Projections_Data!AR$4+2-$C$9,FALSE)))</f>
        <v>2809</v>
      </c>
      <c r="AS6" s="40">
        <f ca="1">IF(Projections_Data!AS$4+2-$C$9&lt;2,#N/A,IF(VLOOKUP($B$2,Deaths_since_10!$H:$KU,Projections_Data!AS$4+2-$C$9,FALSE)=0,#N/A,VLOOKUP($B$2,Deaths_since_10!$H:$KU,Projections_Data!AS$4+2-$C$9,FALSE)))</f>
        <v>2860</v>
      </c>
      <c r="AT6" s="40">
        <f ca="1">IF(Projections_Data!AT$4+2-$C$9&lt;2,#N/A,IF(VLOOKUP($B$2,Deaths_since_10!$H:$KU,Projections_Data!AT$4+2-$C$9,FALSE)=0,#N/A,VLOOKUP($B$2,Deaths_since_10!$H:$KU,Projections_Data!AT$4+2-$C$9,FALSE)))</f>
        <v>2898</v>
      </c>
      <c r="AU6" s="40">
        <f ca="1">IF(Projections_Data!AU$4+2-$C$9&lt;2,#N/A,IF(VLOOKUP($B$2,Deaths_since_10!$H:$KU,Projections_Data!AU$4+2-$C$9,FALSE)=0,#N/A,VLOOKUP($B$2,Deaths_since_10!$H:$KU,Projections_Data!AU$4+2-$C$9,FALSE)))</f>
        <v>2951</v>
      </c>
      <c r="AV6" s="40">
        <f ca="1">IF(Projections_Data!AV$4+2-$C$9&lt;2,#N/A,IF(VLOOKUP($B$2,Deaths_since_10!$H:$KU,Projections_Data!AV$4+2-$C$9,FALSE)=0,#N/A,VLOOKUP($B$2,Deaths_since_10!$H:$KU,Projections_Data!AV$4+2-$C$9,FALSE)))</f>
        <v>2984</v>
      </c>
      <c r="AW6" s="40">
        <f ca="1">IF(Projections_Data!AW$4+2-$C$9&lt;2,#N/A,IF(VLOOKUP($B$2,Deaths_since_10!$H:$KU,Projections_Data!AW$4+2-$C$9,FALSE)=0,#N/A,VLOOKUP($B$2,Deaths_since_10!$H:$KU,Projections_Data!AW$4+2-$C$9,FALSE)))</f>
        <v>3027</v>
      </c>
      <c r="AX6" s="40">
        <f ca="1">IF(Projections_Data!AX$4+2-$C$9&lt;2,#N/A,IF(VLOOKUP($B$2,Deaths_since_10!$H:$KU,Projections_Data!AX$4+2-$C$9,FALSE)=0,#N/A,VLOOKUP($B$2,Deaths_since_10!$H:$KU,Projections_Data!AX$4+2-$C$9,FALSE)))</f>
        <v>3059</v>
      </c>
      <c r="AY6" s="40">
        <f ca="1">IF(Projections_Data!AY$4+2-$C$9&lt;2,#N/A,IF(VLOOKUP($B$2,Deaths_since_10!$H:$KU,Projections_Data!AY$4+2-$C$9,FALSE)=0,#N/A,VLOOKUP($B$2,Deaths_since_10!$H:$KU,Projections_Data!AY$4+2-$C$9,FALSE)))</f>
        <v>3095</v>
      </c>
      <c r="AZ6" s="40">
        <f ca="1">IF(Projections_Data!AZ$4+2-$C$9&lt;2,#N/A,IF(VLOOKUP($B$2,Deaths_since_10!$H:$KU,Projections_Data!AZ$4+2-$C$9,FALSE)=0,#N/A,VLOOKUP($B$2,Deaths_since_10!$H:$KU,Projections_Data!AZ$4+2-$C$9,FALSE)))</f>
        <v>3125</v>
      </c>
      <c r="BA6" s="40">
        <f ca="1">IF(Projections_Data!BA$4+2-$C$9&lt;2,#N/A,IF(VLOOKUP($B$2,Deaths_since_10!$H:$KU,Projections_Data!BA$4+2-$C$9,FALSE)=0,#N/A,VLOOKUP($B$2,Deaths_since_10!$H:$KU,Projections_Data!BA$4+2-$C$9,FALSE)))</f>
        <v>3159</v>
      </c>
      <c r="BB6" s="40">
        <f ca="1">IF(Projections_Data!BB$4+2-$C$9&lt;2,#N/A,IF(VLOOKUP($B$2,Deaths_since_10!$H:$KU,Projections_Data!BB$4+2-$C$9,FALSE)=0,#N/A,VLOOKUP($B$2,Deaths_since_10!$H:$KU,Projections_Data!BB$4+2-$C$9,FALSE)))</f>
        <v>3189</v>
      </c>
      <c r="BC6" s="40">
        <f ca="1">IF(Projections_Data!BC$4+2-$C$9&lt;2,#N/A,IF(VLOOKUP($B$2,Deaths_since_10!$H:$KU,Projections_Data!BC$4+2-$C$9,FALSE)=0,#N/A,VLOOKUP($B$2,Deaths_since_10!$H:$KU,Projections_Data!BC$4+2-$C$9,FALSE)))</f>
        <v>3206</v>
      </c>
      <c r="BD6" s="40">
        <f ca="1">IF(Projections_Data!BD$4+2-$C$9&lt;2,#N/A,IF(VLOOKUP($B$2,Deaths_since_10!$H:$KU,Projections_Data!BD$4+2-$C$9,FALSE)=0,#N/A,VLOOKUP($B$2,Deaths_since_10!$H:$KU,Projections_Data!BD$4+2-$C$9,FALSE)))</f>
        <v>3241</v>
      </c>
      <c r="BE6" s="40">
        <f ca="1">IF(Projections_Data!BE$4+2-$C$9&lt;2,#N/A,IF(VLOOKUP($B$2,Deaths_since_10!$H:$KU,Projections_Data!BE$4+2-$C$9,FALSE)=0,#N/A,VLOOKUP($B$2,Deaths_since_10!$H:$KU,Projections_Data!BE$4+2-$C$9,FALSE)))</f>
        <v>3260</v>
      </c>
      <c r="BF6" s="40">
        <f ca="1">IF(Projections_Data!BF$4+2-$C$9&lt;2,#N/A,IF(VLOOKUP($B$2,Deaths_since_10!$H:$KU,Projections_Data!BF$4+2-$C$9,FALSE)=0,#N/A,VLOOKUP($B$2,Deaths_since_10!$H:$KU,Projections_Data!BF$4+2-$C$9,FALSE)))</f>
        <v>3279</v>
      </c>
      <c r="BG6" s="40">
        <f ca="1">IF(Projections_Data!BG$4+2-$C$9&lt;2,#N/A,IF(VLOOKUP($B$2,Deaths_since_10!$H:$KU,Projections_Data!BG$4+2-$C$9,FALSE)=0,#N/A,VLOOKUP($B$2,Deaths_since_10!$H:$KU,Projections_Data!BG$4+2-$C$9,FALSE)))</f>
        <v>3305</v>
      </c>
      <c r="BH6" s="40">
        <f ca="1">IF(Projections_Data!BH$4+2-$C$9&lt;2,#N/A,IF(VLOOKUP($B$2,Deaths_since_10!$H:$KU,Projections_Data!BH$4+2-$C$9,FALSE)=0,#N/A,VLOOKUP($B$2,Deaths_since_10!$H:$KU,Projections_Data!BH$4+2-$C$9,FALSE)))</f>
        <v>3321</v>
      </c>
      <c r="BI6" s="40">
        <f ca="1">IF(Projections_Data!BI$4+2-$C$9&lt;2,#N/A,IF(VLOOKUP($B$2,Deaths_since_10!$H:$KU,Projections_Data!BI$4+2-$C$9,FALSE)=0,#N/A,VLOOKUP($B$2,Deaths_since_10!$H:$KU,Projections_Data!BI$4+2-$C$9,FALSE)))</f>
        <v>3341</v>
      </c>
      <c r="BJ6" s="40">
        <f ca="1">IF(Projections_Data!BJ$4+2-$C$9&lt;2,#N/A,IF(VLOOKUP($B$2,Deaths_since_10!$H:$KU,Projections_Data!BJ$4+2-$C$9,FALSE)=0,#N/A,VLOOKUP($B$2,Deaths_since_10!$H:$KU,Projections_Data!BJ$4+2-$C$9,FALSE)))</f>
        <v>3365</v>
      </c>
      <c r="BK6" s="40">
        <f ca="1">IF(Projections_Data!BK$4+2-$C$9&lt;2,#N/A,IF(VLOOKUP($B$2,Deaths_since_10!$H:$KU,Projections_Data!BK$4+2-$C$9,FALSE)=0,#N/A,VLOOKUP($B$2,Deaths_since_10!$H:$KU,Projections_Data!BK$4+2-$C$9,FALSE)))</f>
        <v>3401</v>
      </c>
      <c r="BL6" s="40">
        <f ca="1">IF(Projections_Data!BL$4+2-$C$9&lt;2,#N/A,IF(VLOOKUP($B$2,Deaths_since_10!$H:$KU,Projections_Data!BL$4+2-$C$9,FALSE)=0,#N/A,VLOOKUP($B$2,Deaths_since_10!$H:$KU,Projections_Data!BL$4+2-$C$9,FALSE)))</f>
        <v>3424</v>
      </c>
      <c r="BM6" s="40">
        <f ca="1">IF(Projections_Data!BM$4+2-$C$9&lt;2,#N/A,IF(VLOOKUP($B$2,Deaths_since_10!$H:$KU,Projections_Data!BM$4+2-$C$9,FALSE)=0,#N/A,VLOOKUP($B$2,Deaths_since_10!$H:$KU,Projections_Data!BM$4+2-$C$9,FALSE)))</f>
        <v>3450</v>
      </c>
      <c r="BN6" s="40">
        <f ca="1">IF(Projections_Data!BN$4+2-$C$9&lt;2,#N/A,IF(VLOOKUP($B$2,Deaths_since_10!$H:$KU,Projections_Data!BN$4+2-$C$9,FALSE)=0,#N/A,VLOOKUP($B$2,Deaths_since_10!$H:$KU,Projections_Data!BN$4+2-$C$9,FALSE)))</f>
        <v>3473</v>
      </c>
      <c r="BO6" s="40">
        <f ca="1">IF(Projections_Data!BO$4+2-$C$9&lt;2,#N/A,IF(VLOOKUP($B$2,Deaths_since_10!$H:$KU,Projections_Data!BO$4+2-$C$9,FALSE)=0,#N/A,VLOOKUP($B$2,Deaths_since_10!$H:$KU,Projections_Data!BO$4+2-$C$9,FALSE)))</f>
        <v>3530</v>
      </c>
      <c r="BP6" s="40">
        <f ca="1">IF(Projections_Data!BP$4+2-$C$9&lt;2,#N/A,IF(VLOOKUP($B$2,Deaths_since_10!$H:$KU,Projections_Data!BP$4+2-$C$9,FALSE)=0,#N/A,VLOOKUP($B$2,Deaths_since_10!$H:$KU,Projections_Data!BP$4+2-$C$9,FALSE)))</f>
        <v>3549</v>
      </c>
      <c r="BQ6" s="40">
        <f ca="1">IF(Projections_Data!BQ$4+2-$C$9&lt;2,#N/A,IF(VLOOKUP($B$2,Deaths_since_10!$H:$KU,Projections_Data!BQ$4+2-$C$9,FALSE)=0,#N/A,VLOOKUP($B$2,Deaths_since_10!$H:$KU,Projections_Data!BQ$4+2-$C$9,FALSE)))</f>
        <v>3581</v>
      </c>
      <c r="BR6" s="40">
        <f ca="1">IF(Projections_Data!BR$4+2-$C$9&lt;2,#N/A,IF(VLOOKUP($B$2,Deaths_since_10!$H:$KU,Projections_Data!BR$4+2-$C$9,FALSE)=0,#N/A,VLOOKUP($B$2,Deaths_since_10!$H:$KU,Projections_Data!BR$4+2-$C$9,FALSE)))</f>
        <v>3610</v>
      </c>
      <c r="BS6" s="40">
        <f ca="1">IF(Projections_Data!BS$4+2-$C$9&lt;2,#N/A,IF(VLOOKUP($B$2,Deaths_since_10!$H:$KU,Projections_Data!BS$4+2-$C$9,FALSE)=0,#N/A,VLOOKUP($B$2,Deaths_since_10!$H:$KU,Projections_Data!BS$4+2-$C$9,FALSE)))</f>
        <v>3664</v>
      </c>
      <c r="BT6" s="40">
        <f ca="1">IF(Projections_Data!BT$4+2-$C$9&lt;2,#N/A,IF(VLOOKUP($B$2,Deaths_since_10!$H:$KU,Projections_Data!BT$4+2-$C$9,FALSE)=0,#N/A,VLOOKUP($B$2,Deaths_since_10!$H:$KU,Projections_Data!BT$4+2-$C$9,FALSE)))</f>
        <v>3704</v>
      </c>
      <c r="BU6" s="40">
        <f ca="1">IF(Projections_Data!BU$4+2-$C$9&lt;2,#N/A,IF(VLOOKUP($B$2,Deaths_since_10!$H:$KU,Projections_Data!BU$4+2-$C$9,FALSE)=0,#N/A,VLOOKUP($B$2,Deaths_since_10!$H:$KU,Projections_Data!BU$4+2-$C$9,FALSE)))</f>
        <v>3754</v>
      </c>
      <c r="BV6" s="40" t="e">
        <f ca="1">IF(Projections_Data!BV$4+2-$C$9&lt;2,#N/A,IF(VLOOKUP($B$2,Deaths_since_10!$H:$KU,Projections_Data!BV$4+2-$C$9,FALSE)=0,#N/A,VLOOKUP($B$2,Deaths_since_10!$H:$KU,Projections_Data!BV$4+2-$C$9,FALSE)))</f>
        <v>#N/A</v>
      </c>
      <c r="BW6" s="40" t="e">
        <f ca="1">IF(Projections_Data!BW$4+2-$C$9&lt;2,#N/A,IF(VLOOKUP($B$2,Deaths_since_10!$H:$KU,Projections_Data!BW$4+2-$C$9,FALSE)=0,#N/A,VLOOKUP($B$2,Deaths_since_10!$H:$KU,Projections_Data!BW$4+2-$C$9,FALSE)))</f>
        <v>#N/A</v>
      </c>
      <c r="BX6" s="40" t="e">
        <f ca="1">IF(Projections_Data!BX$4+2-$C$9&lt;2,#N/A,IF(VLOOKUP($B$2,Deaths_since_10!$H:$KU,Projections_Data!BX$4+2-$C$9,FALSE)=0,#N/A,VLOOKUP($B$2,Deaths_since_10!$H:$KU,Projections_Data!BX$4+2-$C$9,FALSE)))</f>
        <v>#N/A</v>
      </c>
      <c r="BY6" s="40" t="e">
        <f ca="1">IF(Projections_Data!BY$4+2-$C$9&lt;2,#N/A,IF(VLOOKUP($B$2,Deaths_since_10!$H:$KU,Projections_Data!BY$4+2-$C$9,FALSE)=0,#N/A,VLOOKUP($B$2,Deaths_since_10!$H:$KU,Projections_Data!BY$4+2-$C$9,FALSE)))</f>
        <v>#N/A</v>
      </c>
      <c r="BZ6" s="40" t="e">
        <f ca="1">IF(Projections_Data!BZ$4+2-$C$9&lt;2,#N/A,IF(VLOOKUP($B$2,Deaths_since_10!$H:$KU,Projections_Data!BZ$4+2-$C$9,FALSE)=0,#N/A,VLOOKUP($B$2,Deaths_since_10!$H:$KU,Projections_Data!BZ$4+2-$C$9,FALSE)))</f>
        <v>#N/A</v>
      </c>
      <c r="CA6" s="40" t="e">
        <f ca="1">IF(Projections_Data!CA$4+2-$C$9&lt;2,#N/A,IF(VLOOKUP($B$2,Deaths_since_10!$H:$KU,Projections_Data!CA$4+2-$C$9,FALSE)=0,#N/A,VLOOKUP($B$2,Deaths_since_10!$H:$KU,Projections_Data!CA$4+2-$C$9,FALSE)))</f>
        <v>#N/A</v>
      </c>
      <c r="CB6" s="40" t="e">
        <f ca="1">IF(Projections_Data!CB$4+2-$C$9&lt;2,#N/A,IF(VLOOKUP($B$2,Deaths_since_10!$H:$KU,Projections_Data!CB$4+2-$C$9,FALSE)=0,#N/A,VLOOKUP($B$2,Deaths_since_10!$H:$KU,Projections_Data!CB$4+2-$C$9,FALSE)))</f>
        <v>#N/A</v>
      </c>
      <c r="CC6" s="40" t="e">
        <f ca="1">IF(Projections_Data!CC$4+2-$C$9&lt;2,#N/A,IF(VLOOKUP($B$2,Deaths_since_10!$H:$KU,Projections_Data!CC$4+2-$C$9,FALSE)=0,#N/A,VLOOKUP($B$2,Deaths_since_10!$H:$KU,Projections_Data!CC$4+2-$C$9,FALSE)))</f>
        <v>#N/A</v>
      </c>
      <c r="CD6" s="40" t="e">
        <f ca="1">IF(Projections_Data!CD$4+2-$C$9&lt;2,#N/A,IF(VLOOKUP($B$2,Deaths_since_10!$H:$KU,Projections_Data!CD$4+2-$C$9,FALSE)=0,#N/A,VLOOKUP($B$2,Deaths_since_10!$H:$KU,Projections_Data!CD$4+2-$C$9,FALSE)))</f>
        <v>#N/A</v>
      </c>
      <c r="CE6" s="40" t="e">
        <f ca="1">IF(Projections_Data!CE$4+2-$C$9&lt;2,#N/A,IF(VLOOKUP($B$2,Deaths_since_10!$H:$KU,Projections_Data!CE$4+2-$C$9,FALSE)=0,#N/A,VLOOKUP($B$2,Deaths_since_10!$H:$KU,Projections_Data!CE$4+2-$C$9,FALSE)))</f>
        <v>#N/A</v>
      </c>
      <c r="CF6" s="40" t="e">
        <f ca="1">IF(Projections_Data!CF$4+2-$C$9&lt;2,#N/A,IF(VLOOKUP($B$2,Deaths_since_10!$H:$KU,Projections_Data!CF$4+2-$C$9,FALSE)=0,#N/A,VLOOKUP($B$2,Deaths_since_10!$H:$KU,Projections_Data!CF$4+2-$C$9,FALSE)))</f>
        <v>#N/A</v>
      </c>
      <c r="CG6" s="40" t="e">
        <f ca="1">IF(Projections_Data!CG$4+2-$C$9&lt;2,#N/A,IF(VLOOKUP($B$2,Deaths_since_10!$H:$KU,Projections_Data!CG$4+2-$C$9,FALSE)=0,#N/A,VLOOKUP($B$2,Deaths_since_10!$H:$KU,Projections_Data!CG$4+2-$C$9,FALSE)))</f>
        <v>#N/A</v>
      </c>
      <c r="CH6" s="40" t="e">
        <f ca="1">IF(Projections_Data!CH$4+2-$C$9&lt;2,#N/A,IF(VLOOKUP($B$2,Deaths_since_10!$H:$KU,Projections_Data!CH$4+2-$C$9,FALSE)=0,#N/A,VLOOKUP($B$2,Deaths_since_10!$H:$KU,Projections_Data!CH$4+2-$C$9,FALSE)))</f>
        <v>#N/A</v>
      </c>
      <c r="CI6" s="40" t="e">
        <f ca="1">IF(Projections_Data!CI$4+2-$C$9&lt;2,#N/A,IF(VLOOKUP($B$2,Deaths_since_10!$H:$KU,Projections_Data!CI$4+2-$C$9,FALSE)=0,#N/A,VLOOKUP($B$2,Deaths_since_10!$H:$KU,Projections_Data!CI$4+2-$C$9,FALSE)))</f>
        <v>#N/A</v>
      </c>
      <c r="CJ6" s="40" t="e">
        <f ca="1">IF(Projections_Data!CJ$4+2-$C$9&lt;2,#N/A,IF(VLOOKUP($B$2,Deaths_since_10!$H:$KU,Projections_Data!CJ$4+2-$C$9,FALSE)=0,#N/A,VLOOKUP($B$2,Deaths_since_10!$H:$KU,Projections_Data!CJ$4+2-$C$9,FALSE)))</f>
        <v>#N/A</v>
      </c>
      <c r="CK6" s="40" t="e">
        <f ca="1">IF(Projections_Data!CK$4+2-$C$9&lt;2,#N/A,IF(VLOOKUP($B$2,Deaths_since_10!$H:$KU,Projections_Data!CK$4+2-$C$9,FALSE)=0,#N/A,VLOOKUP($B$2,Deaths_since_10!$H:$KU,Projections_Data!CK$4+2-$C$9,FALSE)))</f>
        <v>#N/A</v>
      </c>
      <c r="CL6" s="40" t="e">
        <f ca="1">IF(Projections_Data!CL$4+2-$C$9&lt;2,#N/A,IF(VLOOKUP($B$2,Deaths_since_10!$H:$KU,Projections_Data!CL$4+2-$C$9,FALSE)=0,#N/A,VLOOKUP($B$2,Deaths_since_10!$H:$KU,Projections_Data!CL$4+2-$C$9,FALSE)))</f>
        <v>#N/A</v>
      </c>
      <c r="CM6" s="40" t="e">
        <f ca="1">IF(Projections_Data!CM$4+2-$C$9&lt;2,#N/A,IF(VLOOKUP($B$2,Deaths_since_10!$H:$KU,Projections_Data!CM$4+2-$C$9,FALSE)=0,#N/A,VLOOKUP($B$2,Deaths_since_10!$H:$KU,Projections_Data!CM$4+2-$C$9,FALSE)))</f>
        <v>#N/A</v>
      </c>
      <c r="CN6" s="40" t="e">
        <f ca="1">IF(Projections_Data!CN$4+2-$C$9&lt;2,#N/A,IF(VLOOKUP($B$2,Deaths_since_10!$H:$KU,Projections_Data!CN$4+2-$C$9,FALSE)=0,#N/A,VLOOKUP($B$2,Deaths_since_10!$H:$KU,Projections_Data!CN$4+2-$C$9,FALSE)))</f>
        <v>#N/A</v>
      </c>
      <c r="CO6" s="40" t="e">
        <f ca="1">IF(Projections_Data!CO$4+2-$C$9&lt;2,#N/A,IF(VLOOKUP($B$2,Deaths_since_10!$H:$KU,Projections_Data!CO$4+2-$C$9,FALSE)=0,#N/A,VLOOKUP($B$2,Deaths_since_10!$H:$KU,Projections_Data!CO$4+2-$C$9,FALSE)))</f>
        <v>#N/A</v>
      </c>
      <c r="CP6" s="40" t="e">
        <f ca="1">IF(Projections_Data!CP$4+2-$C$9&lt;2,#N/A,IF(VLOOKUP($B$2,Deaths_since_10!$H:$KU,Projections_Data!CP$4+2-$C$9,FALSE)=0,#N/A,VLOOKUP($B$2,Deaths_since_10!$H:$KU,Projections_Data!CP$4+2-$C$9,FALSE)))</f>
        <v>#N/A</v>
      </c>
      <c r="CQ6" s="40" t="e">
        <f ca="1">IF(Projections_Data!CQ$4+2-$C$9&lt;2,#N/A,IF(VLOOKUP($B$2,Deaths_since_10!$H:$KU,Projections_Data!CQ$4+2-$C$9,FALSE)=0,#N/A,VLOOKUP($B$2,Deaths_since_10!$H:$KU,Projections_Data!CQ$4+2-$C$9,FALSE)))</f>
        <v>#N/A</v>
      </c>
      <c r="CR6" s="40" t="e">
        <f ca="1">IF(Projections_Data!CR$4+2-$C$9&lt;2,#N/A,IF(VLOOKUP($B$2,Deaths_since_10!$H:$KU,Projections_Data!CR$4+2-$C$9,FALSE)=0,#N/A,VLOOKUP($B$2,Deaths_since_10!$H:$KU,Projections_Data!CR$4+2-$C$9,FALSE)))</f>
        <v>#N/A</v>
      </c>
      <c r="CS6" s="40" t="e">
        <f ca="1">IF(Projections_Data!CS$4+2-$C$9&lt;2,#N/A,IF(VLOOKUP($B$2,Deaths_since_10!$H:$KU,Projections_Data!CS$4+2-$C$9,FALSE)=0,#N/A,VLOOKUP($B$2,Deaths_since_10!$H:$KU,Projections_Data!CS$4+2-$C$9,FALSE)))</f>
        <v>#N/A</v>
      </c>
      <c r="CT6" s="40" t="e">
        <f ca="1">IF(Projections_Data!CT$4+2-$C$9&lt;2,#N/A,IF(VLOOKUP($B$2,Deaths_since_10!$H:$KU,Projections_Data!CT$4+2-$C$9,FALSE)=0,#N/A,VLOOKUP($B$2,Deaths_since_10!$H:$KU,Projections_Data!CT$4+2-$C$9,FALSE)))</f>
        <v>#N/A</v>
      </c>
      <c r="CU6" s="40" t="e">
        <f ca="1">IF(Projections_Data!CU$4+2-$C$9&lt;2,#N/A,IF(VLOOKUP($B$2,Deaths_since_10!$H:$KU,Projections_Data!CU$4+2-$C$9,FALSE)=0,#N/A,VLOOKUP($B$2,Deaths_since_10!$H:$KU,Projections_Data!CU$4+2-$C$9,FALSE)))</f>
        <v>#N/A</v>
      </c>
      <c r="CV6" s="40" t="e">
        <f ca="1">IF(Projections_Data!CV$4+2-$C$9&lt;2,#N/A,IF(VLOOKUP($B$2,Deaths_since_10!$H:$KU,Projections_Data!CV$4+2-$C$9,FALSE)=0,#N/A,VLOOKUP($B$2,Deaths_since_10!$H:$KU,Projections_Data!CV$4+2-$C$9,FALSE)))</f>
        <v>#N/A</v>
      </c>
      <c r="CW6" s="40" t="e">
        <f ca="1">IF(Projections_Data!CW$4+2-$C$9&lt;2,#N/A,IF(VLOOKUP($B$2,Deaths_since_10!$H:$KU,Projections_Data!CW$4+2-$C$9,FALSE)=0,#N/A,VLOOKUP($B$2,Deaths_since_10!$H:$KU,Projections_Data!CW$4+2-$C$9,FALSE)))</f>
        <v>#N/A</v>
      </c>
      <c r="CX6" s="40" t="e">
        <f ca="1">IF(Projections_Data!CX$4+2-$C$9&lt;2,#N/A,IF(VLOOKUP($B$2,Deaths_since_10!$H:$KU,Projections_Data!CX$4+2-$C$9,FALSE)=0,#N/A,VLOOKUP($B$2,Deaths_since_10!$H:$KU,Projections_Data!CX$4+2-$C$9,FALSE)))</f>
        <v>#N/A</v>
      </c>
      <c r="CY6" s="40" t="e">
        <f ca="1">IF(Projections_Data!CY$4+2-$C$9&lt;2,#N/A,IF(VLOOKUP($B$2,Deaths_since_10!$H:$KU,Projections_Data!CY$4+2-$C$9,FALSE)=0,#N/A,VLOOKUP($B$2,Deaths_since_10!$H:$KU,Projections_Data!CY$4+2-$C$9,FALSE)))</f>
        <v>#N/A</v>
      </c>
      <c r="CZ6" s="40" t="e">
        <f ca="1">IF(Projections_Data!CZ$4+2-$C$9&lt;2,#N/A,IF(VLOOKUP($B$2,Deaths_since_10!$H:$KU,Projections_Data!CZ$4+2-$C$9,FALSE)=0,#N/A,VLOOKUP($B$2,Deaths_since_10!$H:$KU,Projections_Data!CZ$4+2-$C$9,FALSE)))</f>
        <v>#N/A</v>
      </c>
      <c r="DA6" s="40" t="e">
        <f ca="1">IF(Projections_Data!DA$4+2-$C$9&lt;2,#N/A,IF(VLOOKUP($B$2,Deaths_since_10!$H:$KU,Projections_Data!DA$4+2-$C$9,FALSE)=0,#N/A,VLOOKUP($B$2,Deaths_since_10!$H:$KU,Projections_Data!DA$4+2-$C$9,FALSE)))</f>
        <v>#N/A</v>
      </c>
      <c r="DB6" s="40" t="e">
        <f ca="1">IF(Projections_Data!DB$4+2-$C$9&lt;2,#N/A,IF(VLOOKUP($B$2,Deaths_since_10!$H:$KU,Projections_Data!DB$4+2-$C$9,FALSE)=0,#N/A,VLOOKUP($B$2,Deaths_since_10!$H:$KU,Projections_Data!DB$4+2-$C$9,FALSE)))</f>
        <v>#N/A</v>
      </c>
      <c r="DC6" s="40" t="e">
        <f ca="1">IF(Projections_Data!DC$4+2-$C$9&lt;2,#N/A,IF(VLOOKUP($B$2,Deaths_since_10!$H:$KU,Projections_Data!DC$4+2-$C$9,FALSE)=0,#N/A,VLOOKUP($B$2,Deaths_since_10!$H:$KU,Projections_Data!DC$4+2-$C$9,FALSE)))</f>
        <v>#N/A</v>
      </c>
      <c r="DD6" s="40" t="e">
        <f ca="1">IF(Projections_Data!DD$4+2-$C$9&lt;2,#N/A,IF(VLOOKUP($B$2,Deaths_since_10!$H:$KU,Projections_Data!DD$4+2-$C$9,FALSE)=0,#N/A,VLOOKUP($B$2,Deaths_since_10!$H:$KU,Projections_Data!DD$4+2-$C$9,FALSE)))</f>
        <v>#N/A</v>
      </c>
      <c r="DE6" s="40" t="e">
        <f ca="1">IF(Projections_Data!DE$4+2-$C$9&lt;2,#N/A,IF(VLOOKUP($B$2,Deaths_since_10!$H:$KU,Projections_Data!DE$4+2-$C$9,FALSE)=0,#N/A,VLOOKUP($B$2,Deaths_since_10!$H:$KU,Projections_Data!DE$4+2-$C$9,FALSE)))</f>
        <v>#N/A</v>
      </c>
      <c r="DF6" s="40" t="e">
        <f ca="1">IF(Projections_Data!DF$4+2-$C$9&lt;2,#N/A,IF(VLOOKUP($B$2,Deaths_since_10!$H:$KU,Projections_Data!DF$4+2-$C$9,FALSE)=0,#N/A,VLOOKUP($B$2,Deaths_since_10!$H:$KU,Projections_Data!DF$4+2-$C$9,FALSE)))</f>
        <v>#N/A</v>
      </c>
      <c r="DG6" s="40" t="e">
        <f ca="1">IF(Projections_Data!DG$4+2-$C$9&lt;2,#N/A,IF(VLOOKUP($B$2,Deaths_since_10!$H:$KU,Projections_Data!DG$4+2-$C$9,FALSE)=0,#N/A,VLOOKUP($B$2,Deaths_since_10!$H:$KU,Projections_Data!DG$4+2-$C$9,FALSE)))</f>
        <v>#N/A</v>
      </c>
      <c r="DH6" s="40" t="e">
        <f ca="1">IF(Projections_Data!DH$4+2-$C$9&lt;2,#N/A,IF(VLOOKUP($B$2,Deaths_since_10!$H:$KU,Projections_Data!DH$4+2-$C$9,FALSE)=0,#N/A,VLOOKUP($B$2,Deaths_since_10!$H:$KU,Projections_Data!DH$4+2-$C$9,FALSE)))</f>
        <v>#N/A</v>
      </c>
      <c r="DI6" s="40" t="e">
        <f ca="1">IF(Projections_Data!DI$4+2-$C$9&lt;2,#N/A,IF(VLOOKUP($B$2,Deaths_since_10!$H:$KU,Projections_Data!DI$4+2-$C$9,FALSE)=0,#N/A,VLOOKUP($B$2,Deaths_since_10!$H:$KU,Projections_Data!DI$4+2-$C$9,FALSE)))</f>
        <v>#N/A</v>
      </c>
      <c r="DJ6" s="40" t="e">
        <f ca="1">IF(Projections_Data!DJ$4+2-$C$9&lt;2,#N/A,IF(VLOOKUP($B$2,Deaths_since_10!$H:$KU,Projections_Data!DJ$4+2-$C$9,FALSE)=0,#N/A,VLOOKUP($B$2,Deaths_since_10!$H:$KU,Projections_Data!DJ$4+2-$C$9,FALSE)))</f>
        <v>#N/A</v>
      </c>
      <c r="DK6" s="40" t="e">
        <f ca="1">IF(Projections_Data!DK$4+2-$C$9&lt;2,#N/A,IF(VLOOKUP($B$2,Deaths_since_10!$H:$KU,Projections_Data!DK$4+2-$C$9,FALSE)=0,#N/A,VLOOKUP($B$2,Deaths_since_10!$H:$KU,Projections_Data!DK$4+2-$C$9,FALSE)))</f>
        <v>#N/A</v>
      </c>
      <c r="DL6" s="40" t="e">
        <f ca="1">IF(Projections_Data!DL$4+2-$C$9&lt;2,#N/A,IF(VLOOKUP($B$2,Deaths_since_10!$H:$KU,Projections_Data!DL$4+2-$C$9,FALSE)=0,#N/A,VLOOKUP($B$2,Deaths_since_10!$H:$KU,Projections_Data!DL$4+2-$C$9,FALSE)))</f>
        <v>#N/A</v>
      </c>
      <c r="DM6" s="40" t="e">
        <f ca="1">IF(Projections_Data!DM$4+2-$C$9&lt;2,#N/A,IF(VLOOKUP($B$2,Deaths_since_10!$H:$KU,Projections_Data!DM$4+2-$C$9,FALSE)=0,#N/A,VLOOKUP($B$2,Deaths_since_10!$H:$KU,Projections_Data!DM$4+2-$C$9,FALSE)))</f>
        <v>#N/A</v>
      </c>
      <c r="DN6" s="40" t="e">
        <f ca="1">IF(Projections_Data!DN$4+2-$C$9&lt;2,#N/A,IF(VLOOKUP($B$2,Deaths_since_10!$H:$KU,Projections_Data!DN$4+2-$C$9,FALSE)=0,#N/A,VLOOKUP($B$2,Deaths_since_10!$H:$KU,Projections_Data!DN$4+2-$C$9,FALSE)))</f>
        <v>#N/A</v>
      </c>
      <c r="DO6" s="40" t="e">
        <f ca="1">IF(Projections_Data!DO$4+2-$C$9&lt;2,#N/A,IF(VLOOKUP($B$2,Deaths_since_10!$H:$KU,Projections_Data!DO$4+2-$C$9,FALSE)=0,#N/A,VLOOKUP($B$2,Deaths_since_10!$H:$KU,Projections_Data!DO$4+2-$C$9,FALSE)))</f>
        <v>#N/A</v>
      </c>
      <c r="DP6" s="40" t="e">
        <f ca="1">IF(Projections_Data!DP$4+2-$C$9&lt;2,#N/A,IF(VLOOKUP($B$2,Deaths_since_10!$H:$KU,Projections_Data!DP$4+2-$C$9,FALSE)=0,#N/A,VLOOKUP($B$2,Deaths_since_10!$H:$KU,Projections_Data!DP$4+2-$C$9,FALSE)))</f>
        <v>#N/A</v>
      </c>
      <c r="DQ6" s="40" t="e">
        <f ca="1">IF(Projections_Data!DQ$4+2-$C$9&lt;2,#N/A,IF(VLOOKUP($B$2,Deaths_since_10!$H:$KU,Projections_Data!DQ$4+2-$C$9,FALSE)=0,#N/A,VLOOKUP($B$2,Deaths_since_10!$H:$KU,Projections_Data!DQ$4+2-$C$9,FALSE)))</f>
        <v>#N/A</v>
      </c>
      <c r="DR6" s="40" t="e">
        <f ca="1">IF(Projections_Data!DR$4+2-$C$9&lt;2,#N/A,IF(VLOOKUP($B$2,Deaths_since_10!$H:$KU,Projections_Data!DR$4+2-$C$9,FALSE)=0,#N/A,VLOOKUP($B$2,Deaths_since_10!$H:$KU,Projections_Data!DR$4+2-$C$9,FALSE)))</f>
        <v>#N/A</v>
      </c>
      <c r="DS6" s="40" t="e">
        <f ca="1">IF(Projections_Data!DS$4+2-$C$9&lt;2,#N/A,IF(VLOOKUP($B$2,Deaths_since_10!$H:$KU,Projections_Data!DS$4+2-$C$9,FALSE)=0,#N/A,VLOOKUP($B$2,Deaths_since_10!$H:$KU,Projections_Data!DS$4+2-$C$9,FALSE)))</f>
        <v>#N/A</v>
      </c>
      <c r="DT6" s="40" t="e">
        <f ca="1">IF(Projections_Data!DT$4+2-$C$9&lt;2,#N/A,IF(VLOOKUP($B$2,Deaths_since_10!$H:$KU,Projections_Data!DT$4+2-$C$9,FALSE)=0,#N/A,VLOOKUP($B$2,Deaths_since_10!$H:$KU,Projections_Data!DT$4+2-$C$9,FALSE)))</f>
        <v>#N/A</v>
      </c>
      <c r="DU6" s="40" t="e">
        <f ca="1">IF(Projections_Data!DU$4+2-$C$9&lt;2,#N/A,IF(VLOOKUP($B$2,Deaths_since_10!$H:$KU,Projections_Data!DU$4+2-$C$9,FALSE)=0,#N/A,VLOOKUP($B$2,Deaths_since_10!$H:$KU,Projections_Data!DU$4+2-$C$9,FALSE)))</f>
        <v>#N/A</v>
      </c>
      <c r="DV6" s="40" t="e">
        <f ca="1">IF(Projections_Data!DV$4+2-$C$9&lt;2,#N/A,IF(VLOOKUP($B$2,Deaths_since_10!$H:$KU,Projections_Data!DV$4+2-$C$9,FALSE)=0,#N/A,VLOOKUP($B$2,Deaths_since_10!$H:$KU,Projections_Data!DV$4+2-$C$9,FALSE)))</f>
        <v>#N/A</v>
      </c>
      <c r="DW6" s="40" t="e">
        <f ca="1">IF(Projections_Data!DW$4+2-$C$9&lt;2,#N/A,IF(VLOOKUP($B$2,Deaths_since_10!$H:$KU,Projections_Data!DW$4+2-$C$9,FALSE)=0,#N/A,VLOOKUP($B$2,Deaths_since_10!$H:$KU,Projections_Data!DW$4+2-$C$9,FALSE)))</f>
        <v>#N/A</v>
      </c>
      <c r="DX6" s="40" t="e">
        <f ca="1">IF(Projections_Data!DX$4+2-$C$9&lt;2,#N/A,IF(VLOOKUP($B$2,Deaths_since_10!$H:$KU,Projections_Data!DX$4+2-$C$9,FALSE)=0,#N/A,VLOOKUP($B$2,Deaths_since_10!$H:$KU,Projections_Data!DX$4+2-$C$9,FALSE)))</f>
        <v>#N/A</v>
      </c>
      <c r="DY6" s="40" t="e">
        <f ca="1">IF(Projections_Data!DY$4+2-$C$9&lt;2,#N/A,IF(VLOOKUP($B$2,Deaths_since_10!$H:$KU,Projections_Data!DY$4+2-$C$9,FALSE)=0,#N/A,VLOOKUP($B$2,Deaths_since_10!$H:$KU,Projections_Data!DY$4+2-$C$9,FALSE)))</f>
        <v>#N/A</v>
      </c>
      <c r="DZ6" s="40" t="e">
        <f ca="1">IF(Projections_Data!DZ$4+2-$C$9&lt;2,#N/A,IF(VLOOKUP($B$2,Deaths_since_10!$H:$KU,Projections_Data!DZ$4+2-$C$9,FALSE)=0,#N/A,VLOOKUP($B$2,Deaths_since_10!$H:$KU,Projections_Data!DZ$4+2-$C$9,FALSE)))</f>
        <v>#N/A</v>
      </c>
      <c r="EA6" s="40" t="e">
        <f ca="1">IF(Projections_Data!EA$4+2-$C$9&lt;2,#N/A,IF(VLOOKUP($B$2,Deaths_since_10!$H:$KU,Projections_Data!EA$4+2-$C$9,FALSE)=0,#N/A,VLOOKUP($B$2,Deaths_since_10!$H:$KU,Projections_Data!EA$4+2-$C$9,FALSE)))</f>
        <v>#N/A</v>
      </c>
      <c r="EB6" s="40" t="e">
        <f ca="1">IF(Projections_Data!EB$4+2-$C$9&lt;2,#N/A,IF(VLOOKUP($B$2,Deaths_since_10!$H:$KU,Projections_Data!EB$4+2-$C$9,FALSE)=0,#N/A,VLOOKUP($B$2,Deaths_since_10!$H:$KU,Projections_Data!EB$4+2-$C$9,FALSE)))</f>
        <v>#N/A</v>
      </c>
      <c r="EC6" s="40" t="e">
        <f ca="1">IF(Projections_Data!EC$4+2-$C$9&lt;2,#N/A,IF(VLOOKUP($B$2,Deaths_since_10!$H:$KU,Projections_Data!EC$4+2-$C$9,FALSE)=0,#N/A,VLOOKUP($B$2,Deaths_since_10!$H:$KU,Projections_Data!EC$4+2-$C$9,FALSE)))</f>
        <v>#N/A</v>
      </c>
      <c r="ED6" s="40" t="e">
        <f ca="1">IF(Projections_Data!ED$4+2-$C$9&lt;2,#N/A,IF(VLOOKUP($B$2,Deaths_since_10!$H:$KU,Projections_Data!ED$4+2-$C$9,FALSE)=0,#N/A,VLOOKUP($B$2,Deaths_since_10!$H:$KU,Projections_Data!ED$4+2-$C$9,FALSE)))</f>
        <v>#N/A</v>
      </c>
      <c r="EE6" s="40" t="e">
        <f ca="1">IF(Projections_Data!EE$4+2-$C$9&lt;2,#N/A,IF(VLOOKUP($B$2,Deaths_since_10!$H:$KU,Projections_Data!EE$4+2-$C$9,FALSE)=0,#N/A,VLOOKUP($B$2,Deaths_since_10!$H:$KU,Projections_Data!EE$4+2-$C$9,FALSE)))</f>
        <v>#N/A</v>
      </c>
      <c r="EF6" s="40" t="e">
        <f ca="1">IF(Projections_Data!EF$4+2-$C$9&lt;2,#N/A,IF(VLOOKUP($B$2,Deaths_since_10!$H:$KU,Projections_Data!EF$4+2-$C$9,FALSE)=0,#N/A,VLOOKUP($B$2,Deaths_since_10!$H:$KU,Projections_Data!EF$4+2-$C$9,FALSE)))</f>
        <v>#N/A</v>
      </c>
      <c r="EG6" s="40" t="e">
        <f ca="1">IF(Projections_Data!EG$4+2-$C$9&lt;2,#N/A,IF(VLOOKUP($B$2,Deaths_since_10!$H:$KU,Projections_Data!EG$4+2-$C$9,FALSE)=0,#N/A,VLOOKUP($B$2,Deaths_since_10!$H:$KU,Projections_Data!EG$4+2-$C$9,FALSE)))</f>
        <v>#N/A</v>
      </c>
      <c r="EH6" s="40" t="e">
        <f ca="1">IF(Projections_Data!EH$4+2-$C$9&lt;2,#N/A,IF(VLOOKUP($B$2,Deaths_since_10!$H:$KU,Projections_Data!EH$4+2-$C$9,FALSE)=0,#N/A,VLOOKUP($B$2,Deaths_since_10!$H:$KU,Projections_Data!EH$4+2-$C$9,FALSE)))</f>
        <v>#N/A</v>
      </c>
      <c r="EI6" s="40" t="e">
        <f ca="1">IF(Projections_Data!EI$4+2-$C$9&lt;2,#N/A,IF(VLOOKUP($B$2,Deaths_since_10!$H:$KU,Projections_Data!EI$4+2-$C$9,FALSE)=0,#N/A,VLOOKUP($B$2,Deaths_since_10!$H:$KU,Projections_Data!EI$4+2-$C$9,FALSE)))</f>
        <v>#N/A</v>
      </c>
      <c r="EJ6" s="40" t="e">
        <f ca="1">IF(Projections_Data!EJ$4+2-$C$9&lt;2,#N/A,IF(VLOOKUP($B$2,Deaths_since_10!$H:$KU,Projections_Data!EJ$4+2-$C$9,FALSE)=0,#N/A,VLOOKUP($B$2,Deaths_since_10!$H:$KU,Projections_Data!EJ$4+2-$C$9,FALSE)))</f>
        <v>#N/A</v>
      </c>
      <c r="EK6" s="40" t="e">
        <f ca="1">IF(Projections_Data!EK$4+2-$C$9&lt;2,#N/A,IF(VLOOKUP($B$2,Deaths_since_10!$H:$KU,Projections_Data!EK$4+2-$C$9,FALSE)=0,#N/A,VLOOKUP($B$2,Deaths_since_10!$H:$KU,Projections_Data!EK$4+2-$C$9,FALSE)))</f>
        <v>#N/A</v>
      </c>
      <c r="EL6" s="40" t="e">
        <f ca="1">IF(Projections_Data!EL$4+2-$C$9&lt;2,#N/A,IF(VLOOKUP($B$2,Deaths_since_10!$H:$KU,Projections_Data!EL$4+2-$C$9,FALSE)=0,#N/A,VLOOKUP($B$2,Deaths_since_10!$H:$KU,Projections_Data!EL$4+2-$C$9,FALSE)))</f>
        <v>#N/A</v>
      </c>
      <c r="EM6" s="40" t="e">
        <f ca="1">IF(Projections_Data!EM$4+2-$C$9&lt;2,#N/A,IF(VLOOKUP($B$2,Deaths_since_10!$H:$KU,Projections_Data!EM$4+2-$C$9,FALSE)=0,#N/A,VLOOKUP($B$2,Deaths_since_10!$H:$KU,Projections_Data!EM$4+2-$C$9,FALSE)))</f>
        <v>#N/A</v>
      </c>
      <c r="EN6" s="40" t="e">
        <f ca="1">IF(Projections_Data!EN$4+2-$C$9&lt;2,#N/A,IF(VLOOKUP($B$2,Deaths_since_10!$H:$KU,Projections_Data!EN$4+2-$C$9,FALSE)=0,#N/A,VLOOKUP($B$2,Deaths_since_10!$H:$KU,Projections_Data!EN$4+2-$C$9,FALSE)))</f>
        <v>#N/A</v>
      </c>
      <c r="EO6" s="40" t="e">
        <f ca="1">IF(Projections_Data!EO$4+2-$C$9&lt;2,#N/A,IF(VLOOKUP($B$2,Deaths_since_10!$H:$KU,Projections_Data!EO$4+2-$C$9,FALSE)=0,#N/A,VLOOKUP($B$2,Deaths_since_10!$H:$KU,Projections_Data!EO$4+2-$C$9,FALSE)))</f>
        <v>#N/A</v>
      </c>
      <c r="EP6" s="40" t="e">
        <f ca="1">IF(Projections_Data!EP$4+2-$C$9&lt;2,#N/A,IF(VLOOKUP($B$2,Deaths_since_10!$H:$KU,Projections_Data!EP$4+2-$C$9,FALSE)=0,#N/A,VLOOKUP($B$2,Deaths_since_10!$H:$KU,Projections_Data!EP$4+2-$C$9,FALSE)))</f>
        <v>#N/A</v>
      </c>
      <c r="EQ6" s="40" t="e">
        <f ca="1">IF(Projections_Data!EQ$4+2-$C$9&lt;2,#N/A,IF(VLOOKUP($B$2,Deaths_since_10!$H:$KU,Projections_Data!EQ$4+2-$C$9,FALSE)=0,#N/A,VLOOKUP($B$2,Deaths_since_10!$H:$KU,Projections_Data!EQ$4+2-$C$9,FALSE)))</f>
        <v>#N/A</v>
      </c>
      <c r="ER6" s="40" t="e">
        <f ca="1">IF(Projections_Data!ER$4+2-$C$9&lt;2,#N/A,IF(VLOOKUP($B$2,Deaths_since_10!$H:$KU,Projections_Data!ER$4+2-$C$9,FALSE)=0,#N/A,VLOOKUP($B$2,Deaths_since_10!$H:$KU,Projections_Data!ER$4+2-$C$9,FALSE)))</f>
        <v>#N/A</v>
      </c>
      <c r="ES6" s="40" t="e">
        <f ca="1">IF(Projections_Data!ES$4+2-$C$9&lt;2,#N/A,IF(VLOOKUP($B$2,Deaths_since_10!$H:$KU,Projections_Data!ES$4+2-$C$9,FALSE)=0,#N/A,VLOOKUP($B$2,Deaths_since_10!$H:$KU,Projections_Data!ES$4+2-$C$9,FALSE)))</f>
        <v>#N/A</v>
      </c>
      <c r="ET6" s="40" t="e">
        <f ca="1">IF(Projections_Data!ET$4+2-$C$9&lt;2,#N/A,IF(VLOOKUP($B$2,Deaths_since_10!$H:$KU,Projections_Data!ET$4+2-$C$9,FALSE)=0,#N/A,VLOOKUP($B$2,Deaths_since_10!$H:$KU,Projections_Data!ET$4+2-$C$9,FALSE)))</f>
        <v>#N/A</v>
      </c>
      <c r="EU6" s="40" t="e">
        <f ca="1">IF(Projections_Data!EU$4+2-$C$9&lt;2,#N/A,IF(VLOOKUP($B$2,Deaths_since_10!$H:$KU,Projections_Data!EU$4+2-$C$9,FALSE)=0,#N/A,VLOOKUP($B$2,Deaths_since_10!$H:$KU,Projections_Data!EU$4+2-$C$9,FALSE)))</f>
        <v>#N/A</v>
      </c>
      <c r="EV6" s="40" t="e">
        <f ca="1">IF(Projections_Data!EV$4+2-$C$9&lt;2,#N/A,IF(VLOOKUP($B$2,Deaths_since_10!$H:$KU,Projections_Data!EV$4+2-$C$9,FALSE)=0,#N/A,VLOOKUP($B$2,Deaths_since_10!$H:$KU,Projections_Data!EV$4+2-$C$9,FALSE)))</f>
        <v>#N/A</v>
      </c>
      <c r="EW6" s="40" t="e">
        <f ca="1">IF(Projections_Data!EW$4+2-$C$9&lt;2,#N/A,IF(VLOOKUP($B$2,Deaths_since_10!$H:$KU,Projections_Data!EW$4+2-$C$9,FALSE)=0,#N/A,VLOOKUP($B$2,Deaths_since_10!$H:$KU,Projections_Data!EW$4+2-$C$9,FALSE)))</f>
        <v>#N/A</v>
      </c>
      <c r="EX6" s="40" t="e">
        <f ca="1">IF(Projections_Data!EX$4+2-$C$9&lt;2,#N/A,IF(VLOOKUP($B$2,Deaths_since_10!$H:$KU,Projections_Data!EX$4+2-$C$9,FALSE)=0,#N/A,VLOOKUP($B$2,Deaths_since_10!$H:$KU,Projections_Data!EX$4+2-$C$9,FALSE)))</f>
        <v>#N/A</v>
      </c>
      <c r="EY6" s="40" t="e">
        <f ca="1">IF(Projections_Data!EY$4+2-$C$9&lt;2,#N/A,IF(VLOOKUP($B$2,Deaths_since_10!$H:$KU,Projections_Data!EY$4+2-$C$9,FALSE)=0,#N/A,VLOOKUP($B$2,Deaths_since_10!$H:$KU,Projections_Data!EY$4+2-$C$9,FALSE)))</f>
        <v>#N/A</v>
      </c>
      <c r="EZ6" s="40" t="e">
        <f ca="1">IF(Projections_Data!EZ$4+2-$C$9&lt;2,#N/A,IF(VLOOKUP($B$2,Deaths_since_10!$H:$KU,Projections_Data!EZ$4+2-$C$9,FALSE)=0,#N/A,VLOOKUP($B$2,Deaths_since_10!$H:$KU,Projections_Data!EZ$4+2-$C$9,FALSE)))</f>
        <v>#N/A</v>
      </c>
      <c r="FA6" s="40" t="e">
        <f ca="1">IF(Projections_Data!FA$4+2-$C$9&lt;2,#N/A,IF(VLOOKUP($B$2,Deaths_since_10!$H:$KU,Projections_Data!FA$4+2-$C$9,FALSE)=0,#N/A,VLOOKUP($B$2,Deaths_since_10!$H:$KU,Projections_Data!FA$4+2-$C$9,FALSE)))</f>
        <v>#N/A</v>
      </c>
      <c r="FB6" s="40" t="e">
        <f ca="1">IF(Projections_Data!FB$4+2-$C$9&lt;2,#N/A,IF(VLOOKUP($B$2,Deaths_since_10!$H:$KU,Projections_Data!FB$4+2-$C$9,FALSE)=0,#N/A,VLOOKUP($B$2,Deaths_since_10!$H:$KU,Projections_Data!FB$4+2-$C$9,FALSE)))</f>
        <v>#N/A</v>
      </c>
      <c r="FC6" s="40" t="e">
        <f ca="1">IF(Projections_Data!FC$4+2-$C$9&lt;2,#N/A,IF(VLOOKUP($B$2,Deaths_since_10!$H:$KU,Projections_Data!FC$4+2-$C$9,FALSE)=0,#N/A,VLOOKUP($B$2,Deaths_since_10!$H:$KU,Projections_Data!FC$4+2-$C$9,FALSE)))</f>
        <v>#N/A</v>
      </c>
      <c r="FD6" s="40" t="e">
        <f ca="1">IF(Projections_Data!FD$4+2-$C$9&lt;2,#N/A,IF(VLOOKUP($B$2,Deaths_since_10!$H:$KU,Projections_Data!FD$4+2-$C$9,FALSE)=0,#N/A,VLOOKUP($B$2,Deaths_since_10!$H:$KU,Projections_Data!FD$4+2-$C$9,FALSE)))</f>
        <v>#N/A</v>
      </c>
      <c r="FE6" s="40" t="e">
        <f ca="1">IF(Projections_Data!FE$4+2-$C$9&lt;2,#N/A,IF(VLOOKUP($B$2,Deaths_since_10!$H:$KU,Projections_Data!FE$4+2-$C$9,FALSE)=0,#N/A,VLOOKUP($B$2,Deaths_since_10!$H:$KU,Projections_Data!FE$4+2-$C$9,FALSE)))</f>
        <v>#N/A</v>
      </c>
      <c r="FF6" s="40" t="e">
        <f ca="1">IF(Projections_Data!FF$4+2-$C$9&lt;2,#N/A,IF(VLOOKUP($B$2,Deaths_since_10!$H:$KU,Projections_Data!FF$4+2-$C$9,FALSE)=0,#N/A,VLOOKUP($B$2,Deaths_since_10!$H:$KU,Projections_Data!FF$4+2-$C$9,FALSE)))</f>
        <v>#N/A</v>
      </c>
      <c r="FG6" s="40" t="e">
        <f ca="1">IF(Projections_Data!FG$4+2-$C$9&lt;2,#N/A,IF(VLOOKUP($B$2,Deaths_since_10!$H:$KU,Projections_Data!FG$4+2-$C$9,FALSE)=0,#N/A,VLOOKUP($B$2,Deaths_since_10!$H:$KU,Projections_Data!FG$4+2-$C$9,FALSE)))</f>
        <v>#N/A</v>
      </c>
      <c r="FH6" s="40" t="e">
        <f ca="1">IF(Projections_Data!FH$4+2-$C$9&lt;2,#N/A,IF(VLOOKUP($B$2,Deaths_since_10!$H:$KU,Projections_Data!FH$4+2-$C$9,FALSE)=0,#N/A,VLOOKUP($B$2,Deaths_since_10!$H:$KU,Projections_Data!FH$4+2-$C$9,FALSE)))</f>
        <v>#N/A</v>
      </c>
      <c r="FI6" s="40" t="e">
        <f ca="1">IF(Projections_Data!FI$4+2-$C$9&lt;2,#N/A,IF(VLOOKUP($B$2,Deaths_since_10!$H:$KU,Projections_Data!FI$4+2-$C$9,FALSE)=0,#N/A,VLOOKUP($B$2,Deaths_since_10!$H:$KU,Projections_Data!FI$4+2-$C$9,FALSE)))</f>
        <v>#N/A</v>
      </c>
      <c r="FJ6" s="40" t="e">
        <f ca="1">IF(Projections_Data!FJ$4+2-$C$9&lt;2,#N/A,IF(VLOOKUP($B$2,Deaths_since_10!$H:$KU,Projections_Data!FJ$4+2-$C$9,FALSE)=0,#N/A,VLOOKUP($B$2,Deaths_since_10!$H:$KU,Projections_Data!FJ$4+2-$C$9,FALSE)))</f>
        <v>#N/A</v>
      </c>
      <c r="FK6" s="40" t="e">
        <f ca="1">IF(Projections_Data!FK$4+2-$C$9&lt;2,#N/A,IF(VLOOKUP($B$2,Deaths_since_10!$H:$KU,Projections_Data!FK$4+2-$C$9,FALSE)=0,#N/A,VLOOKUP($B$2,Deaths_since_10!$H:$KU,Projections_Data!FK$4+2-$C$9,FALSE)))</f>
        <v>#N/A</v>
      </c>
      <c r="FL6" s="40" t="e">
        <f ca="1">IF(Projections_Data!FL$4+2-$C$9&lt;2,#N/A,IF(VLOOKUP($B$2,Deaths_since_10!$H:$KU,Projections_Data!FL$4+2-$C$9,FALSE)=0,#N/A,VLOOKUP($B$2,Deaths_since_10!$H:$KU,Projections_Data!FL$4+2-$C$9,FALSE)))</f>
        <v>#N/A</v>
      </c>
      <c r="FM6" s="40" t="e">
        <f ca="1">IF(Projections_Data!FM$4+2-$C$9&lt;2,#N/A,IF(VLOOKUP($B$2,Deaths_since_10!$H:$KU,Projections_Data!FM$4+2-$C$9,FALSE)=0,#N/A,VLOOKUP($B$2,Deaths_since_10!$H:$KU,Projections_Data!FM$4+2-$C$9,FALSE)))</f>
        <v>#N/A</v>
      </c>
      <c r="FN6" s="40" t="e">
        <f ca="1">IF(Projections_Data!FN$4+2-$C$9&lt;2,#N/A,IF(VLOOKUP($B$2,Deaths_since_10!$H:$KU,Projections_Data!FN$4+2-$C$9,FALSE)=0,#N/A,VLOOKUP($B$2,Deaths_since_10!$H:$KU,Projections_Data!FN$4+2-$C$9,FALSE)))</f>
        <v>#N/A</v>
      </c>
      <c r="FO6" s="40" t="e">
        <f ca="1">IF(Projections_Data!FO$4+2-$C$9&lt;2,#N/A,IF(VLOOKUP($B$2,Deaths_since_10!$H:$KU,Projections_Data!FO$4+2-$C$9,FALSE)=0,#N/A,VLOOKUP($B$2,Deaths_since_10!$H:$KU,Projections_Data!FO$4+2-$C$9,FALSE)))</f>
        <v>#N/A</v>
      </c>
      <c r="FP6" s="40" t="e">
        <f ca="1">IF(Projections_Data!FP$4+2-$C$9&lt;2,#N/A,IF(VLOOKUP($B$2,Deaths_since_10!$H:$KU,Projections_Data!FP$4+2-$C$9,FALSE)=0,#N/A,VLOOKUP($B$2,Deaths_since_10!$H:$KU,Projections_Data!FP$4+2-$C$9,FALSE)))</f>
        <v>#N/A</v>
      </c>
      <c r="FQ6" s="40" t="e">
        <f ca="1">IF(Projections_Data!FQ$4+2-$C$9&lt;2,#N/A,IF(VLOOKUP($B$2,Deaths_since_10!$H:$KU,Projections_Data!FQ$4+2-$C$9,FALSE)=0,#N/A,VLOOKUP($B$2,Deaths_since_10!$H:$KU,Projections_Data!FQ$4+2-$C$9,FALSE)))</f>
        <v>#N/A</v>
      </c>
      <c r="FR6" s="40" t="e">
        <f ca="1">IF(Projections_Data!FR$4+2-$C$9&lt;2,#N/A,IF(VLOOKUP($B$2,Deaths_since_10!$H:$KU,Projections_Data!FR$4+2-$C$9,FALSE)=0,#N/A,VLOOKUP($B$2,Deaths_since_10!$H:$KU,Projections_Data!FR$4+2-$C$9,FALSE)))</f>
        <v>#N/A</v>
      </c>
      <c r="FS6" s="40" t="e">
        <f ca="1">IF(Projections_Data!FS$4+2-$C$9&lt;2,#N/A,IF(VLOOKUP($B$2,Deaths_since_10!$H:$KU,Projections_Data!FS$4+2-$C$9,FALSE)=0,#N/A,VLOOKUP($B$2,Deaths_since_10!$H:$KU,Projections_Data!FS$4+2-$C$9,FALSE)))</f>
        <v>#N/A</v>
      </c>
      <c r="FT6" s="40" t="e">
        <f ca="1">IF(Projections_Data!FT$4+2-$C$9&lt;2,#N/A,IF(VLOOKUP($B$2,Deaths_since_10!$H:$KU,Projections_Data!FT$4+2-$C$9,FALSE)=0,#N/A,VLOOKUP($B$2,Deaths_since_10!$H:$KU,Projections_Data!FT$4+2-$C$9,FALSE)))</f>
        <v>#N/A</v>
      </c>
      <c r="FU6" s="40" t="e">
        <f ca="1">IF(Projections_Data!FU$4+2-$C$9&lt;2,#N/A,IF(VLOOKUP($B$2,Deaths_since_10!$H:$KU,Projections_Data!FU$4+2-$C$9,FALSE)=0,#N/A,VLOOKUP($B$2,Deaths_since_10!$H:$KU,Projections_Data!FU$4+2-$C$9,FALSE)))</f>
        <v>#N/A</v>
      </c>
      <c r="FV6" s="40" t="e">
        <f ca="1">IF(Projections_Data!FV$4+2-$C$9&lt;2,#N/A,IF(VLOOKUP($B$2,Deaths_since_10!$H:$KU,Projections_Data!FV$4+2-$C$9,FALSE)=0,#N/A,VLOOKUP($B$2,Deaths_since_10!$H:$KU,Projections_Data!FV$4+2-$C$9,FALSE)))</f>
        <v>#N/A</v>
      </c>
      <c r="FW6" s="40" t="e">
        <f ca="1">IF(Projections_Data!FW$4+2-$C$9&lt;2,#N/A,IF(VLOOKUP($B$2,Deaths_since_10!$H:$KU,Projections_Data!FW$4+2-$C$9,FALSE)=0,#N/A,VLOOKUP($B$2,Deaths_since_10!$H:$KU,Projections_Data!FW$4+2-$C$9,FALSE)))</f>
        <v>#N/A</v>
      </c>
      <c r="FX6" s="40" t="e">
        <f ca="1">IF(Projections_Data!FX$4+2-$C$9&lt;2,#N/A,IF(VLOOKUP($B$2,Deaths_since_10!$H:$KU,Projections_Data!FX$4+2-$C$9,FALSE)=0,#N/A,VLOOKUP($B$2,Deaths_since_10!$H:$KU,Projections_Data!FX$4+2-$C$9,FALSE)))</f>
        <v>#N/A</v>
      </c>
      <c r="FY6" s="40" t="e">
        <f ca="1">IF(Projections_Data!FY$4+2-$C$9&lt;2,#N/A,IF(VLOOKUP($B$2,Deaths_since_10!$H:$KU,Projections_Data!FY$4+2-$C$9,FALSE)=0,#N/A,VLOOKUP($B$2,Deaths_since_10!$H:$KU,Projections_Data!FY$4+2-$C$9,FALSE)))</f>
        <v>#N/A</v>
      </c>
      <c r="FZ6" s="40" t="e">
        <f ca="1">IF(Projections_Data!FZ$4+2-$C$9&lt;2,#N/A,IF(VLOOKUP($B$2,Deaths_since_10!$H:$KU,Projections_Data!FZ$4+2-$C$9,FALSE)=0,#N/A,VLOOKUP($B$2,Deaths_since_10!$H:$KU,Projections_Data!FZ$4+2-$C$9,FALSE)))</f>
        <v>#N/A</v>
      </c>
      <c r="GA6" s="40" t="e">
        <f ca="1">IF(Projections_Data!GA$4+2-$C$9&lt;2,#N/A,IF(VLOOKUP($B$2,Deaths_since_10!$H:$KU,Projections_Data!GA$4+2-$C$9,FALSE)=0,#N/A,VLOOKUP($B$2,Deaths_since_10!$H:$KU,Projections_Data!GA$4+2-$C$9,FALSE)))</f>
        <v>#N/A</v>
      </c>
      <c r="GB6" s="40" t="e">
        <f ca="1">IF(Projections_Data!GB$4+2-$C$9&lt;2,#N/A,IF(VLOOKUP($B$2,Deaths_since_10!$H:$KU,Projections_Data!GB$4+2-$C$9,FALSE)=0,#N/A,VLOOKUP($B$2,Deaths_since_10!$H:$KU,Projections_Data!GB$4+2-$C$9,FALSE)))</f>
        <v>#N/A</v>
      </c>
      <c r="GC6" s="40" t="e">
        <f ca="1">IF(Projections_Data!GC$4+2-$C$9&lt;2,#N/A,IF(VLOOKUP($B$2,Deaths_since_10!$H:$KU,Projections_Data!GC$4+2-$C$9,FALSE)=0,#N/A,VLOOKUP($B$2,Deaths_since_10!$H:$KU,Projections_Data!GC$4+2-$C$9,FALSE)))</f>
        <v>#N/A</v>
      </c>
      <c r="GD6" s="40" t="e">
        <f ca="1">IF(Projections_Data!GD$4+2-$C$9&lt;2,#N/A,IF(VLOOKUP($B$2,Deaths_since_10!$H:$KU,Projections_Data!GD$4+2-$C$9,FALSE)=0,#N/A,VLOOKUP($B$2,Deaths_since_10!$H:$KU,Projections_Data!GD$4+2-$C$9,FALSE)))</f>
        <v>#N/A</v>
      </c>
      <c r="GE6" s="40" t="e">
        <f ca="1">IF(Projections_Data!GE$4+2-$C$9&lt;2,#N/A,IF(VLOOKUP($B$2,Deaths_since_10!$H:$KU,Projections_Data!GE$4+2-$C$9,FALSE)=0,#N/A,VLOOKUP($B$2,Deaths_since_10!$H:$KU,Projections_Data!GE$4+2-$C$9,FALSE)))</f>
        <v>#N/A</v>
      </c>
      <c r="GF6" s="40" t="e">
        <f ca="1">IF(Projections_Data!GF$4+2-$C$9&lt;2,#N/A,IF(VLOOKUP($B$2,Deaths_since_10!$H:$KU,Projections_Data!GF$4+2-$C$9,FALSE)=0,#N/A,VLOOKUP($B$2,Deaths_since_10!$H:$KU,Projections_Data!GF$4+2-$C$9,FALSE)))</f>
        <v>#N/A</v>
      </c>
      <c r="GG6" s="40" t="e">
        <f ca="1">IF(Projections_Data!GG$4+2-$C$9&lt;2,#N/A,IF(VLOOKUP($B$2,Deaths_since_10!$H:$KU,Projections_Data!GG$4+2-$C$9,FALSE)=0,#N/A,VLOOKUP($B$2,Deaths_since_10!$H:$KU,Projections_Data!GG$4+2-$C$9,FALSE)))</f>
        <v>#N/A</v>
      </c>
      <c r="GH6" s="40" t="e">
        <f ca="1">IF(Projections_Data!GH$4+2-$C$9&lt;2,#N/A,IF(VLOOKUP($B$2,Deaths_since_10!$H:$KU,Projections_Data!GH$4+2-$C$9,FALSE)=0,#N/A,VLOOKUP($B$2,Deaths_since_10!$H:$KU,Projections_Data!GH$4+2-$C$9,FALSE)))</f>
        <v>#N/A</v>
      </c>
      <c r="GI6" s="40" t="e">
        <f ca="1">IF(Projections_Data!GI$4+2-$C$9&lt;2,#N/A,IF(VLOOKUP($B$2,Deaths_since_10!$H:$KU,Projections_Data!GI$4+2-$C$9,FALSE)=0,#N/A,VLOOKUP($B$2,Deaths_since_10!$H:$KU,Projections_Data!GI$4+2-$C$9,FALSE)))</f>
        <v>#N/A</v>
      </c>
      <c r="GJ6" s="40" t="e">
        <f ca="1">IF(Projections_Data!GJ$4+2-$C$9&lt;2,#N/A,IF(VLOOKUP($B$2,Deaths_since_10!$H:$KU,Projections_Data!GJ$4+2-$C$9,FALSE)=0,#N/A,VLOOKUP($B$2,Deaths_since_10!$H:$KU,Projections_Data!GJ$4+2-$C$9,FALSE)))</f>
        <v>#N/A</v>
      </c>
      <c r="GK6" s="40" t="e">
        <f ca="1">IF(Projections_Data!GK$4+2-$C$9&lt;2,#N/A,IF(VLOOKUP($B$2,Deaths_since_10!$H:$KU,Projections_Data!GK$4+2-$C$9,FALSE)=0,#N/A,VLOOKUP($B$2,Deaths_since_10!$H:$KU,Projections_Data!GK$4+2-$C$9,FALSE)))</f>
        <v>#N/A</v>
      </c>
      <c r="GL6" s="40" t="e">
        <f ca="1">IF(Projections_Data!GL$4+2-$C$9&lt;2,#N/A,IF(VLOOKUP($B$2,Deaths_since_10!$H:$KU,Projections_Data!GL$4+2-$C$9,FALSE)=0,#N/A,VLOOKUP($B$2,Deaths_since_10!$H:$KU,Projections_Data!GL$4+2-$C$9,FALSE)))</f>
        <v>#N/A</v>
      </c>
      <c r="GM6" s="40" t="e">
        <f ca="1">IF(Projections_Data!GM$4+2-$C$9&lt;2,#N/A,IF(VLOOKUP($B$2,Deaths_since_10!$H:$KU,Projections_Data!GM$4+2-$C$9,FALSE)=0,#N/A,VLOOKUP($B$2,Deaths_since_10!$H:$KU,Projections_Data!GM$4+2-$C$9,FALSE)))</f>
        <v>#N/A</v>
      </c>
      <c r="GN6" s="40" t="e">
        <f ca="1">IF(Projections_Data!GN$4+2-$C$9&lt;2,#N/A,IF(VLOOKUP($B$2,Deaths_since_10!$H:$KU,Projections_Data!GN$4+2-$C$9,FALSE)=0,#N/A,VLOOKUP($B$2,Deaths_since_10!$H:$KU,Projections_Data!GN$4+2-$C$9,FALSE)))</f>
        <v>#N/A</v>
      </c>
      <c r="GO6" s="40" t="e">
        <f ca="1">IF(Projections_Data!GO$4+2-$C$9&lt;2,#N/A,IF(VLOOKUP($B$2,Deaths_since_10!$H:$KU,Projections_Data!GO$4+2-$C$9,FALSE)=0,#N/A,VLOOKUP($B$2,Deaths_since_10!$H:$KU,Projections_Data!GO$4+2-$C$9,FALSE)))</f>
        <v>#N/A</v>
      </c>
      <c r="GP6" s="40" t="e">
        <f ca="1">IF(Projections_Data!GP$4+2-$C$9&lt;2,#N/A,IF(VLOOKUP($B$2,Deaths_since_10!$H:$KU,Projections_Data!GP$4+2-$C$9,FALSE)=0,#N/A,VLOOKUP($B$2,Deaths_since_10!$H:$KU,Projections_Data!GP$4+2-$C$9,FALSE)))</f>
        <v>#N/A</v>
      </c>
      <c r="GQ6" s="40" t="e">
        <f ca="1">IF(Projections_Data!GQ$4+2-$C$9&lt;2,#N/A,IF(VLOOKUP($B$2,Deaths_since_10!$H:$KU,Projections_Data!GQ$4+2-$C$9,FALSE)=0,#N/A,VLOOKUP($B$2,Deaths_since_10!$H:$KU,Projections_Data!GQ$4+2-$C$9,FALSE)))</f>
        <v>#N/A</v>
      </c>
      <c r="GR6" s="40" t="e">
        <f ca="1">IF(Projections_Data!GR$4+2-$C$9&lt;2,#N/A,IF(VLOOKUP($B$2,Deaths_since_10!$H:$KU,Projections_Data!GR$4+2-$C$9,FALSE)=0,#N/A,VLOOKUP($B$2,Deaths_since_10!$H:$KU,Projections_Data!GR$4+2-$C$9,FALSE)))</f>
        <v>#N/A</v>
      </c>
      <c r="GS6" s="40" t="e">
        <f ca="1">IF(Projections_Data!GS$4+2-$C$9&lt;2,#N/A,IF(VLOOKUP($B$2,Deaths_since_10!$H:$KU,Projections_Data!GS$4+2-$C$9,FALSE)=0,#N/A,VLOOKUP($B$2,Deaths_since_10!$H:$KU,Projections_Data!GS$4+2-$C$9,FALSE)))</f>
        <v>#N/A</v>
      </c>
      <c r="GT6" s="40" t="e">
        <f ca="1">IF(Projections_Data!GT$4+2-$C$9&lt;2,#N/A,IF(VLOOKUP($B$2,Deaths_since_10!$H:$KU,Projections_Data!GT$4+2-$C$9,FALSE)=0,#N/A,VLOOKUP($B$2,Deaths_since_10!$H:$KU,Projections_Data!GT$4+2-$C$9,FALSE)))</f>
        <v>#N/A</v>
      </c>
      <c r="GU6" s="40" t="e">
        <f ca="1">IF(Projections_Data!GU$4+2-$C$9&lt;2,#N/A,IF(VLOOKUP($B$2,Deaths_since_10!$H:$KU,Projections_Data!GU$4+2-$C$9,FALSE)=0,#N/A,VLOOKUP($B$2,Deaths_since_10!$H:$KU,Projections_Data!GU$4+2-$C$9,FALSE)))</f>
        <v>#N/A</v>
      </c>
      <c r="GV6" s="40" t="e">
        <f ca="1">IF(Projections_Data!GV$4+2-$C$9&lt;2,#N/A,IF(VLOOKUP($B$2,Deaths_since_10!$H:$KU,Projections_Data!GV$4+2-$C$9,FALSE)=0,#N/A,VLOOKUP($B$2,Deaths_since_10!$H:$KU,Projections_Data!GV$4+2-$C$9,FALSE)))</f>
        <v>#N/A</v>
      </c>
      <c r="GW6" s="40" t="e">
        <f ca="1">IF(Projections_Data!GW$4+2-$C$9&lt;2,#N/A,IF(VLOOKUP($B$2,Deaths_since_10!$H:$KU,Projections_Data!GW$4+2-$C$9,FALSE)=0,#N/A,VLOOKUP($B$2,Deaths_since_10!$H:$KU,Projections_Data!GW$4+2-$C$9,FALSE)))</f>
        <v>#N/A</v>
      </c>
      <c r="GX6" s="40" t="e">
        <f ca="1">IF(Projections_Data!GX$4+2-$C$9&lt;2,#N/A,IF(VLOOKUP($B$2,Deaths_since_10!$H:$KU,Projections_Data!GX$4+2-$C$9,FALSE)=0,#N/A,VLOOKUP($B$2,Deaths_since_10!$H:$KU,Projections_Data!GX$4+2-$C$9,FALSE)))</f>
        <v>#N/A</v>
      </c>
      <c r="GY6" s="40" t="e">
        <f ca="1">IF(Projections_Data!GY$4+2-$C$9&lt;2,#N/A,IF(VLOOKUP($B$2,Deaths_since_10!$H:$KU,Projections_Data!GY$4+2-$C$9,FALSE)=0,#N/A,VLOOKUP($B$2,Deaths_since_10!$H:$KU,Projections_Data!GY$4+2-$C$9,FALSE)))</f>
        <v>#N/A</v>
      </c>
      <c r="GZ6" s="40" t="e">
        <f ca="1">IF(Projections_Data!GZ$4+2-$C$9&lt;2,#N/A,IF(VLOOKUP($B$2,Deaths_since_10!$H:$KU,Projections_Data!GZ$4+2-$C$9,FALSE)=0,#N/A,VLOOKUP($B$2,Deaths_since_10!$H:$KU,Projections_Data!GZ$4+2-$C$9,FALSE)))</f>
        <v>#N/A</v>
      </c>
      <c r="HA6" s="40" t="e">
        <f ca="1">IF(Projections_Data!HA$4+2-$C$9&lt;2,#N/A,IF(VLOOKUP($B$2,Deaths_since_10!$H:$KU,Projections_Data!HA$4+2-$C$9,FALSE)=0,#N/A,VLOOKUP($B$2,Deaths_since_10!$H:$KU,Projections_Data!HA$4+2-$C$9,FALSE)))</f>
        <v>#N/A</v>
      </c>
      <c r="HB6" s="40" t="e">
        <f ca="1">IF(Projections_Data!HB$4+2-$C$9&lt;2,#N/A,IF(VLOOKUP($B$2,Deaths_since_10!$H:$KU,Projections_Data!HB$4+2-$C$9,FALSE)=0,#N/A,VLOOKUP($B$2,Deaths_since_10!$H:$KU,Projections_Data!HB$4+2-$C$9,FALSE)))</f>
        <v>#N/A</v>
      </c>
      <c r="HC6" s="40" t="e">
        <f ca="1">IF(Projections_Data!HC$4+2-$C$9&lt;2,#N/A,IF(VLOOKUP($B$2,Deaths_since_10!$H:$KU,Projections_Data!HC$4+2-$C$9,FALSE)=0,#N/A,VLOOKUP($B$2,Deaths_since_10!$H:$KU,Projections_Data!HC$4+2-$C$9,FALSE)))</f>
        <v>#N/A</v>
      </c>
      <c r="HD6" s="40" t="e">
        <f ca="1">IF(Projections_Data!HD$4+2-$C$9&lt;2,#N/A,IF(VLOOKUP($B$2,Deaths_since_10!$H:$KU,Projections_Data!HD$4+2-$C$9,FALSE)=0,#N/A,VLOOKUP($B$2,Deaths_since_10!$H:$KU,Projections_Data!HD$4+2-$C$9,FALSE)))</f>
        <v>#N/A</v>
      </c>
      <c r="HE6" s="40" t="e">
        <f ca="1">IF(Projections_Data!HE$4+2-$C$9&lt;2,#N/A,IF(VLOOKUP($B$2,Deaths_since_10!$H:$KU,Projections_Data!HE$4+2-$C$9,FALSE)=0,#N/A,VLOOKUP($B$2,Deaths_since_10!$H:$KU,Projections_Data!HE$4+2-$C$9,FALSE)))</f>
        <v>#N/A</v>
      </c>
      <c r="HF6" s="40" t="e">
        <f ca="1">IF(Projections_Data!HF$4+2-$C$9&lt;2,#N/A,IF(VLOOKUP($B$2,Deaths_since_10!$H:$KU,Projections_Data!HF$4+2-$C$9,FALSE)=0,#N/A,VLOOKUP($B$2,Deaths_since_10!$H:$KU,Projections_Data!HF$4+2-$C$9,FALSE)))</f>
        <v>#N/A</v>
      </c>
      <c r="HG6" s="40" t="e">
        <f ca="1">IF(Projections_Data!HG$4+2-$C$9&lt;2,#N/A,IF(VLOOKUP($B$2,Deaths_since_10!$H:$KU,Projections_Data!HG$4+2-$C$9,FALSE)=0,#N/A,VLOOKUP($B$2,Deaths_since_10!$H:$KU,Projections_Data!HG$4+2-$C$9,FALSE)))</f>
        <v>#N/A</v>
      </c>
      <c r="HH6" s="40" t="e">
        <f ca="1">IF(Projections_Data!HH$4+2-$C$9&lt;2,#N/A,IF(VLOOKUP($B$2,Deaths_since_10!$H:$KU,Projections_Data!HH$4+2-$C$9,FALSE)=0,#N/A,VLOOKUP($B$2,Deaths_since_10!$H:$KU,Projections_Data!HH$4+2-$C$9,FALSE)))</f>
        <v>#N/A</v>
      </c>
      <c r="HI6" s="40" t="e">
        <f ca="1">IF(Projections_Data!HI$4+2-$C$9&lt;2,#N/A,IF(VLOOKUP($B$2,Deaths_since_10!$H:$KU,Projections_Data!HI$4+2-$C$9,FALSE)=0,#N/A,VLOOKUP($B$2,Deaths_since_10!$H:$KU,Projections_Data!HI$4+2-$C$9,FALSE)))</f>
        <v>#N/A</v>
      </c>
      <c r="HJ6" s="40" t="e">
        <f ca="1">IF(Projections_Data!HJ$4+2-$C$9&lt;2,#N/A,IF(VLOOKUP($B$2,Deaths_since_10!$H:$KU,Projections_Data!HJ$4+2-$C$9,FALSE)=0,#N/A,VLOOKUP($B$2,Deaths_since_10!$H:$KU,Projections_Data!HJ$4+2-$C$9,FALSE)))</f>
        <v>#N/A</v>
      </c>
      <c r="HK6" s="40" t="e">
        <f ca="1">IF(Projections_Data!HK$4+2-$C$9&lt;2,#N/A,IF(VLOOKUP($B$2,Deaths_since_10!$H:$KU,Projections_Data!HK$4+2-$C$9,FALSE)=0,#N/A,VLOOKUP($B$2,Deaths_since_10!$H:$KU,Projections_Data!HK$4+2-$C$9,FALSE)))</f>
        <v>#N/A</v>
      </c>
      <c r="HL6" s="40" t="e">
        <f ca="1">IF(Projections_Data!HL$4+2-$C$9&lt;2,#N/A,IF(VLOOKUP($B$2,Deaths_since_10!$H:$KU,Projections_Data!HL$4+2-$C$9,FALSE)=0,#N/A,VLOOKUP($B$2,Deaths_since_10!$H:$KU,Projections_Data!HL$4+2-$C$9,FALSE)))</f>
        <v>#N/A</v>
      </c>
      <c r="HM6" s="40" t="e">
        <f ca="1">IF(Projections_Data!HM$4+2-$C$9&lt;2,#N/A,IF(VLOOKUP($B$2,Deaths_since_10!$H:$KU,Projections_Data!HM$4+2-$C$9,FALSE)=0,#N/A,VLOOKUP($B$2,Deaths_since_10!$H:$KU,Projections_Data!HM$4+2-$C$9,FALSE)))</f>
        <v>#N/A</v>
      </c>
      <c r="HN6" s="40" t="e">
        <f ca="1">IF(Projections_Data!HN$4+2-$C$9&lt;2,#N/A,IF(VLOOKUP($B$2,Deaths_since_10!$H:$KU,Projections_Data!HN$4+2-$C$9,FALSE)=0,#N/A,VLOOKUP($B$2,Deaths_since_10!$H:$KU,Projections_Data!HN$4+2-$C$9,FALSE)))</f>
        <v>#N/A</v>
      </c>
      <c r="HO6" s="40" t="e">
        <f ca="1">IF(Projections_Data!HO$4+2-$C$9&lt;2,#N/A,IF(VLOOKUP($B$2,Deaths_since_10!$H:$KU,Projections_Data!HO$4+2-$C$9,FALSE)=0,#N/A,VLOOKUP($B$2,Deaths_since_10!$H:$KU,Projections_Data!HO$4+2-$C$9,FALSE)))</f>
        <v>#N/A</v>
      </c>
      <c r="HP6" s="40" t="e">
        <f ca="1">IF(Projections_Data!HP$4+2-$C$9&lt;2,#N/A,IF(VLOOKUP($B$2,Deaths_since_10!$H:$KU,Projections_Data!HP$4+2-$C$9,FALSE)=0,#N/A,VLOOKUP($B$2,Deaths_since_10!$H:$KU,Projections_Data!HP$4+2-$C$9,FALSE)))</f>
        <v>#N/A</v>
      </c>
      <c r="HQ6" s="40" t="e">
        <f ca="1">IF(Projections_Data!HQ$4+2-$C$9&lt;2,#N/A,IF(VLOOKUP($B$2,Deaths_since_10!$H:$KU,Projections_Data!HQ$4+2-$C$9,FALSE)=0,#N/A,VLOOKUP($B$2,Deaths_since_10!$H:$KU,Projections_Data!HQ$4+2-$C$9,FALSE)))</f>
        <v>#N/A</v>
      </c>
      <c r="HR6" s="40" t="e">
        <f ca="1">IF(Projections_Data!HR$4+2-$C$9&lt;2,#N/A,IF(VLOOKUP($B$2,Deaths_since_10!$H:$KU,Projections_Data!HR$4+2-$C$9,FALSE)=0,#N/A,VLOOKUP($B$2,Deaths_since_10!$H:$KU,Projections_Data!HR$4+2-$C$9,FALSE)))</f>
        <v>#N/A</v>
      </c>
      <c r="HS6" s="40" t="e">
        <f ca="1">IF(Projections_Data!HS$4+2-$C$9&lt;2,#N/A,IF(VLOOKUP($B$2,Deaths_since_10!$H:$KU,Projections_Data!HS$4+2-$C$9,FALSE)=0,#N/A,VLOOKUP($B$2,Deaths_since_10!$H:$KU,Projections_Data!HS$4+2-$C$9,FALSE)))</f>
        <v>#N/A</v>
      </c>
      <c r="HT6" s="40" t="e">
        <f ca="1">IF(Projections_Data!HT$4+2-$C$9&lt;2,#N/A,IF(VLOOKUP($B$2,Deaths_since_10!$H:$KU,Projections_Data!HT$4+2-$C$9,FALSE)=0,#N/A,VLOOKUP($B$2,Deaths_since_10!$H:$KU,Projections_Data!HT$4+2-$C$9,FALSE)))</f>
        <v>#N/A</v>
      </c>
      <c r="HU6" s="40" t="e">
        <f ca="1">IF(Projections_Data!HU$4+2-$C$9&lt;2,#N/A,IF(VLOOKUP($B$2,Deaths_since_10!$H:$KU,Projections_Data!HU$4+2-$C$9,FALSE)=0,#N/A,VLOOKUP($B$2,Deaths_since_10!$H:$KU,Projections_Data!HU$4+2-$C$9,FALSE)))</f>
        <v>#N/A</v>
      </c>
      <c r="HV6" s="40" t="e">
        <f ca="1">IF(Projections_Data!HV$4+2-$C$9&lt;2,#N/A,IF(VLOOKUP($B$2,Deaths_since_10!$H:$KU,Projections_Data!HV$4+2-$C$9,FALSE)=0,#N/A,VLOOKUP($B$2,Deaths_since_10!$H:$KU,Projections_Data!HV$4+2-$C$9,FALSE)))</f>
        <v>#N/A</v>
      </c>
      <c r="HW6" s="40" t="e">
        <f ca="1">IF(Projections_Data!HW$4+2-$C$9&lt;2,#N/A,IF(VLOOKUP($B$2,Deaths_since_10!$H:$KU,Projections_Data!HW$4+2-$C$9,FALSE)=0,#N/A,VLOOKUP($B$2,Deaths_since_10!$H:$KU,Projections_Data!HW$4+2-$C$9,FALSE)))</f>
        <v>#N/A</v>
      </c>
      <c r="HX6" s="40" t="e">
        <f ca="1">IF(Projections_Data!HX$4+2-$C$9&lt;2,#N/A,IF(VLOOKUP($B$2,Deaths_since_10!$H:$KU,Projections_Data!HX$4+2-$C$9,FALSE)=0,#N/A,VLOOKUP($B$2,Deaths_since_10!$H:$KU,Projections_Data!HX$4+2-$C$9,FALSE)))</f>
        <v>#N/A</v>
      </c>
      <c r="HY6" s="40" t="e">
        <f ca="1">IF(Projections_Data!HY$4+2-$C$9&lt;2,#N/A,IF(VLOOKUP($B$2,Deaths_since_10!$H:$KU,Projections_Data!HY$4+2-$C$9,FALSE)=0,#N/A,VLOOKUP($B$2,Deaths_since_10!$H:$KU,Projections_Data!HY$4+2-$C$9,FALSE)))</f>
        <v>#N/A</v>
      </c>
      <c r="HZ6" s="40" t="e">
        <f ca="1">IF(Projections_Data!HZ$4+2-$C$9&lt;2,#N/A,IF(VLOOKUP($B$2,Deaths_since_10!$H:$KU,Projections_Data!HZ$4+2-$C$9,FALSE)=0,#N/A,VLOOKUP($B$2,Deaths_since_10!$H:$KU,Projections_Data!HZ$4+2-$C$9,FALSE)))</f>
        <v>#N/A</v>
      </c>
      <c r="IA6" s="40" t="e">
        <f ca="1">IF(Projections_Data!IA$4+2-$C$9&lt;2,#N/A,IF(VLOOKUP($B$2,Deaths_since_10!$H:$KU,Projections_Data!IA$4+2-$C$9,FALSE)=0,#N/A,VLOOKUP($B$2,Deaths_since_10!$H:$KU,Projections_Data!IA$4+2-$C$9,FALSE)))</f>
        <v>#N/A</v>
      </c>
      <c r="IB6" s="40" t="e">
        <f ca="1">IF(Projections_Data!IB$4+2-$C$9&lt;2,#N/A,IF(VLOOKUP($B$2,Deaths_since_10!$H:$KU,Projections_Data!IB$4+2-$C$9,FALSE)=0,#N/A,VLOOKUP($B$2,Deaths_since_10!$H:$KU,Projections_Data!IB$4+2-$C$9,FALSE)))</f>
        <v>#N/A</v>
      </c>
      <c r="IC6" s="40" t="e">
        <f ca="1">IF(Projections_Data!IC$4+2-$C$9&lt;2,#N/A,IF(VLOOKUP($B$2,Deaths_since_10!$H:$KU,Projections_Data!IC$4+2-$C$9,FALSE)=0,#N/A,VLOOKUP($B$2,Deaths_since_10!$H:$KU,Projections_Data!IC$4+2-$C$9,FALSE)))</f>
        <v>#N/A</v>
      </c>
      <c r="ID6" s="40" t="e">
        <f ca="1">IF(Projections_Data!ID$4+2-$C$9&lt;2,#N/A,IF(VLOOKUP($B$2,Deaths_since_10!$H:$KU,Projections_Data!ID$4+2-$C$9,FALSE)=0,#N/A,VLOOKUP($B$2,Deaths_since_10!$H:$KU,Projections_Data!ID$4+2-$C$9,FALSE)))</f>
        <v>#N/A</v>
      </c>
      <c r="IE6" s="40" t="e">
        <f ca="1">IF(Projections_Data!IE$4+2-$C$9&lt;2,#N/A,IF(VLOOKUP($B$2,Deaths_since_10!$H:$KU,Projections_Data!IE$4+2-$C$9,FALSE)=0,#N/A,VLOOKUP($B$2,Deaths_since_10!$H:$KU,Projections_Data!IE$4+2-$C$9,FALSE)))</f>
        <v>#N/A</v>
      </c>
      <c r="IF6" s="40" t="e">
        <f ca="1">IF(Projections_Data!IF$4+2-$C$9&lt;2,#N/A,IF(VLOOKUP($B$2,Deaths_since_10!$H:$KU,Projections_Data!IF$4+2-$C$9,FALSE)=0,#N/A,VLOOKUP($B$2,Deaths_since_10!$H:$KU,Projections_Data!IF$4+2-$C$9,FALSE)))</f>
        <v>#N/A</v>
      </c>
      <c r="IG6" s="40" t="e">
        <f ca="1">IF(Projections_Data!IG$4+2-$C$9&lt;2,#N/A,IF(VLOOKUP($B$2,Deaths_since_10!$H:$KU,Projections_Data!IG$4+2-$C$9,FALSE)=0,#N/A,VLOOKUP($B$2,Deaths_since_10!$H:$KU,Projections_Data!IG$4+2-$C$9,FALSE)))</f>
        <v>#N/A</v>
      </c>
      <c r="IH6" s="40" t="e">
        <f ca="1">IF(Projections_Data!IH$4+2-$C$9&lt;2,#N/A,IF(VLOOKUP($B$2,Deaths_since_10!$H:$KU,Projections_Data!IH$4+2-$C$9,FALSE)=0,#N/A,VLOOKUP($B$2,Deaths_since_10!$H:$KU,Projections_Data!IH$4+2-$C$9,FALSE)))</f>
        <v>#N/A</v>
      </c>
      <c r="II6" s="40" t="e">
        <f ca="1">IF(Projections_Data!II$4+2-$C$9&lt;2,#N/A,IF(VLOOKUP($B$2,Deaths_since_10!$H:$KU,Projections_Data!II$4+2-$C$9,FALSE)=0,#N/A,VLOOKUP($B$2,Deaths_since_10!$H:$KU,Projections_Data!II$4+2-$C$9,FALSE)))</f>
        <v>#N/A</v>
      </c>
      <c r="IJ6" s="40" t="e">
        <f ca="1">IF(Projections_Data!IJ$4+2-$C$9&lt;2,#N/A,IF(VLOOKUP($B$2,Deaths_since_10!$H:$KU,Projections_Data!IJ$4+2-$C$9,FALSE)=0,#N/A,VLOOKUP($B$2,Deaths_since_10!$H:$KU,Projections_Data!IJ$4+2-$C$9,FALSE)))</f>
        <v>#N/A</v>
      </c>
      <c r="IK6" s="40" t="e">
        <f ca="1">IF(Projections_Data!IK$4+2-$C$9&lt;2,#N/A,IF(VLOOKUP($B$2,Deaths_since_10!$H:$KU,Projections_Data!IK$4+2-$C$9,FALSE)=0,#N/A,VLOOKUP($B$2,Deaths_since_10!$H:$KU,Projections_Data!IK$4+2-$C$9,FALSE)))</f>
        <v>#N/A</v>
      </c>
      <c r="IL6" s="40" t="e">
        <f ca="1">IF(Projections_Data!IL$4+2-$C$9&lt;2,#N/A,IF(VLOOKUP($B$2,Deaths_since_10!$H:$KU,Projections_Data!IL$4+2-$C$9,FALSE)=0,#N/A,VLOOKUP($B$2,Deaths_since_10!$H:$KU,Projections_Data!IL$4+2-$C$9,FALSE)))</f>
        <v>#N/A</v>
      </c>
      <c r="IM6" s="40" t="e">
        <f ca="1">IF(Projections_Data!IM$4+2-$C$9&lt;2,#N/A,IF(VLOOKUP($B$2,Deaths_since_10!$H:$KU,Projections_Data!IM$4+2-$C$9,FALSE)=0,#N/A,VLOOKUP($B$2,Deaths_since_10!$H:$KU,Projections_Data!IM$4+2-$C$9,FALSE)))</f>
        <v>#N/A</v>
      </c>
      <c r="IN6" s="40" t="e">
        <f ca="1">IF(Projections_Data!IN$4+2-$C$9&lt;2,#N/A,IF(VLOOKUP($B$2,Deaths_since_10!$H:$KU,Projections_Data!IN$4+2-$C$9,FALSE)=0,#N/A,VLOOKUP($B$2,Deaths_since_10!$H:$KU,Projections_Data!IN$4+2-$C$9,FALSE)))</f>
        <v>#N/A</v>
      </c>
    </row>
    <row r="7" spans="2:248" x14ac:dyDescent="0.3">
      <c r="B7" s="19" t="s">
        <v>508</v>
      </c>
      <c r="C7" s="21">
        <f ca="1">C4-C6-C8</f>
        <v>89768</v>
      </c>
      <c r="F7" s="19" t="s">
        <v>589</v>
      </c>
      <c r="G7" s="40">
        <f ca="1">IFERROR((G5-F5)-(G6-F6),G5)</f>
        <v>554</v>
      </c>
      <c r="H7" s="40">
        <f ca="1">IFERROR((H5-G5)-(H6-G6),H5-G5)</f>
        <v>98</v>
      </c>
      <c r="I7" s="40">
        <f t="shared" ref="I7:O7" ca="1" si="11">IFERROR((I5-H5)-(I6-H6),I5-H5)</f>
        <v>276</v>
      </c>
      <c r="J7" s="40">
        <f t="shared" ca="1" si="11"/>
        <v>476</v>
      </c>
      <c r="K7" s="40">
        <f t="shared" ca="1" si="11"/>
        <v>662</v>
      </c>
      <c r="L7" s="40">
        <f t="shared" ca="1" si="11"/>
        <v>780</v>
      </c>
      <c r="M7" s="40">
        <f t="shared" ca="1" si="11"/>
        <v>2597</v>
      </c>
      <c r="N7" s="40">
        <f t="shared" ca="1" si="11"/>
        <v>579</v>
      </c>
      <c r="O7" s="40">
        <f t="shared" ca="1" si="11"/>
        <v>2027</v>
      </c>
      <c r="P7" s="40">
        <f t="shared" ref="P7" ca="1" si="12">IFERROR((P5-O5)-(P6-O6),P5-O5)</f>
        <v>1641</v>
      </c>
      <c r="Q7" s="40">
        <f ca="1">IFERROR((Q5-P5)-(Q6-P6),Q5-P5)</f>
        <v>2056</v>
      </c>
      <c r="R7" s="40">
        <f t="shared" ref="R7:T7" ca="1" si="13">IFERROR((R5-Q5)-(R6-Q6),R5-Q5)</f>
        <v>4643</v>
      </c>
      <c r="S7" s="40">
        <f t="shared" ca="1" si="13"/>
        <v>3025</v>
      </c>
      <c r="T7" s="40">
        <f t="shared" ca="1" si="13"/>
        <v>3943</v>
      </c>
      <c r="U7" s="40">
        <f t="shared" ref="U7" ca="1" si="14">(U5-T5)-(U6-T6)</f>
        <v>3670</v>
      </c>
      <c r="V7" s="40">
        <f t="shared" ref="V7" ca="1" si="15">(V5-U5)-(V6-U6)</f>
        <v>3088</v>
      </c>
      <c r="W7" s="40">
        <f t="shared" ref="W7" ca="1" si="16">(W5-V5)-(W6-V6)</f>
        <v>3445</v>
      </c>
      <c r="X7" s="40">
        <f t="shared" ref="X7" ca="1" si="17">(X5-W5)-(X6-W6)</f>
        <v>2635</v>
      </c>
      <c r="Y7" s="40">
        <f ca="1">(Y5-X5)-(Y6-X6)</f>
        <v>2925</v>
      </c>
      <c r="Z7" s="40">
        <f t="shared" ref="Z7" ca="1" si="18">(Z5-Y5)-(Z6-Y6)</f>
        <v>2428</v>
      </c>
      <c r="AA7" s="40">
        <f t="shared" ref="AA7" ca="1" si="19">(AA5-Z5)-(AA6-Z6)</f>
        <v>1937</v>
      </c>
      <c r="AB7" s="40">
        <f t="shared" ref="AB7" ca="1" si="20">(AB5-AA5)-(AB6-AA6)</f>
        <v>5614</v>
      </c>
      <c r="AC7" s="40">
        <f t="shared" ref="AC7" ca="1" si="21">(AC5-AB5)-(AC6-AB6)</f>
        <v>9652</v>
      </c>
      <c r="AD7" s="40">
        <f t="shared" ref="AD7" ca="1" si="22">(AD5-AC5)-(AD6-AC6)</f>
        <v>6321</v>
      </c>
      <c r="AE7" s="40">
        <f t="shared" ref="AE7" ca="1" si="23">(AE5-AD5)-(AE6-AD6)</f>
        <v>1935</v>
      </c>
      <c r="AF7" s="40">
        <f t="shared" ref="AF7" ca="1" si="24">(AF5-AE5)-(AF6-AE6)</f>
        <v>2019</v>
      </c>
      <c r="AG7" s="40">
        <f t="shared" ref="AG7" ca="1" si="25">(AG5-AF5)-(AG6-AF6)</f>
        <v>1836</v>
      </c>
      <c r="AH7" s="40">
        <f t="shared" ref="AH7" ca="1" si="26">(AH5-AG5)-(AH6-AG6)</f>
        <v>1651</v>
      </c>
      <c r="AI7" s="40">
        <f t="shared" ref="AI7" ca="1" si="27">(AI5-AH5)-(AI6-AH6)</f>
        <v>309</v>
      </c>
      <c r="AJ7" s="40">
        <f t="shared" ref="AJ7" ca="1" si="28">(AJ5-AI5)-(AJ6-AI6)</f>
        <v>419</v>
      </c>
      <c r="AK7" s="40">
        <f t="shared" ref="AK7" ca="1" si="29">(AK5-AJ5)-(AK6-AJ6)</f>
        <v>586</v>
      </c>
      <c r="AL7" s="40">
        <f t="shared" ref="AL7" ca="1" si="30">(AL5-AK5)-(AL6-AK6)</f>
        <v>1492</v>
      </c>
      <c r="AM7" s="40">
        <f t="shared" ref="AM7" ca="1" si="31">(AM5-AL5)-(AM6-AL6)</f>
        <v>215</v>
      </c>
      <c r="AN7" s="40">
        <f t="shared" ref="AN7" ca="1" si="32">(AN5-AM5)-(AN6-AM6)</f>
        <v>312</v>
      </c>
      <c r="AO7" s="40">
        <f t="shared" ref="AO7" ca="1" si="33">(AO5-AN5)-(AO6-AN6)</f>
        <v>601</v>
      </c>
      <c r="AP7" s="40">
        <f t="shared" ref="AP7" ca="1" si="34">(AP5-AO5)-(AP6-AO6)</f>
        <v>668</v>
      </c>
      <c r="AQ7" s="40">
        <f t="shared" ref="AQ7" ca="1" si="35">(AQ5-AP5)-(AQ6-AP6)</f>
        <v>933</v>
      </c>
      <c r="AR7" s="40">
        <f t="shared" ref="AR7" ca="1" si="36">(AR5-AQ5)-(AR6-AQ6)</f>
        <v>872</v>
      </c>
      <c r="AS7" s="40">
        <f t="shared" ref="AS7" ca="1" si="37">(AS5-AR5)-(AS6-AR6)</f>
        <v>1222</v>
      </c>
      <c r="AT7" s="40">
        <f t="shared" ref="AT7" ca="1" si="38">(AT5-AS5)-(AT6-AS6)</f>
        <v>1151</v>
      </c>
      <c r="AU7" s="40">
        <f t="shared" ref="AU7" ca="1" si="39">(AU5-AT5)-(AU6-AT6)</f>
        <v>777</v>
      </c>
      <c r="AV7" s="40">
        <f t="shared" ref="AV7" ca="1" si="40">(AV5-AU5)-(AV6-AU6)</f>
        <v>973</v>
      </c>
      <c r="AW7" s="40">
        <f t="shared" ref="AW7" ca="1" si="41">(AW5-AV5)-(AW6-AV6)</f>
        <v>592</v>
      </c>
      <c r="AX7" s="40">
        <f t="shared" ref="AX7" ca="1" si="42">(AX5-AW5)-(AX6-AW6)</f>
        <v>634</v>
      </c>
      <c r="AY7" s="40">
        <f t="shared" ref="AY7" ca="1" si="43">(AY5-AX5)-(AY6-AX6)</f>
        <v>746</v>
      </c>
      <c r="AZ7" s="40">
        <f t="shared" ref="AZ7" ca="1" si="44">(AZ5-AY5)-(AZ6-AY6)</f>
        <v>568</v>
      </c>
      <c r="BA7" s="40">
        <f t="shared" ref="BA7" ca="1" si="45">(BA5-AZ5)-(BA6-AZ6)</f>
        <v>385</v>
      </c>
      <c r="BB7" s="40">
        <f t="shared" ref="BB7" ca="1" si="46">(BB5-BA5)-(BB6-BA6)</f>
        <v>226</v>
      </c>
      <c r="BC7" s="40">
        <f t="shared" ref="BC7" ca="1" si="47">(BC5-BB5)-(BC6-BB6)</f>
        <v>195</v>
      </c>
      <c r="BD7" s="40">
        <f t="shared" ref="BD7" ca="1" si="48">(BD5-BC5)-(BD6-BC6)</f>
        <v>396</v>
      </c>
      <c r="BE7" s="40">
        <f t="shared" ref="BE7" ca="1" si="49">(BE5-BD5)-(BE6-BD6)</f>
        <v>142</v>
      </c>
      <c r="BF7" s="40">
        <f t="shared" ref="BF7" ca="1" si="50">(BF5-BE5)-(BF6-BE6)</f>
        <v>370</v>
      </c>
      <c r="BG7" s="40">
        <f t="shared" ref="BG7" ca="1" si="51">(BG5-BF5)-(BG6-BF6)</f>
        <v>375</v>
      </c>
      <c r="BH7" s="40">
        <f t="shared" ref="BH7" ca="1" si="52">(BH5-BG5)-(BH6-BG6)</f>
        <v>518</v>
      </c>
      <c r="BI7" s="40">
        <f t="shared" ref="BI7" ca="1" si="53">(BI5-BH5)-(BI6-BH6)</f>
        <v>443</v>
      </c>
      <c r="BJ7" s="40">
        <f t="shared" ref="BJ7" ca="1" si="54">(BJ5-BI5)-(BJ6-BI6)</f>
        <v>576</v>
      </c>
      <c r="BK7" s="40">
        <f t="shared" ref="BK7" ca="1" si="55">(BK5-BJ5)-(BK6-BJ6)</f>
        <v>549</v>
      </c>
      <c r="BL7" s="40">
        <f t="shared" ref="BL7" ca="1" si="56">(BL5-BK5)-(BL6-BK6)</f>
        <v>826</v>
      </c>
      <c r="BM7" s="40">
        <f t="shared" ref="BM7" ca="1" si="57">(BM5-BL5)-(BM6-BL6)</f>
        <v>694</v>
      </c>
      <c r="BN7" s="40">
        <f t="shared" ref="BN7" ca="1" si="58">(BN5-BM5)-(BN6-BM6)</f>
        <v>1090</v>
      </c>
      <c r="BO7" s="40">
        <f t="shared" ref="BO7" ca="1" si="59">(BO5-BN5)-(BO6-BN6)</f>
        <v>1039</v>
      </c>
      <c r="BP7" s="40">
        <f t="shared" ref="BP7" ca="1" si="60">(BP5-BO5)-(BP6-BO6)</f>
        <v>949</v>
      </c>
      <c r="BQ7" s="40">
        <f t="shared" ref="BQ7" ca="1" si="61">(BQ5-BP5)-(BQ6-BP6)</f>
        <v>931</v>
      </c>
      <c r="BR7" s="40">
        <f t="shared" ref="BR7" ca="1" si="62">(BR5-BQ5)-(BR6-BQ6)</f>
        <v>1218</v>
      </c>
      <c r="BS7" s="40">
        <f t="shared" ref="BS7" ca="1" si="63">(BS5-BR5)-(BS6-BR6)</f>
        <v>1316</v>
      </c>
      <c r="BT7" s="40">
        <f t="shared" ref="BT7" ca="1" si="64">(BT5-BS5)-(BT6-BS6)</f>
        <v>1411</v>
      </c>
      <c r="BU7" s="40">
        <f t="shared" ref="BU7" ca="1" si="65">(BU5-BT5)-(BU6-BT6)</f>
        <v>1728</v>
      </c>
      <c r="BV7" s="40" t="e">
        <f t="shared" ref="BV7:EF7" si="66">BV5-BU5</f>
        <v>#N/A</v>
      </c>
      <c r="BW7" s="40" t="e">
        <f t="shared" si="66"/>
        <v>#N/A</v>
      </c>
      <c r="BX7" s="40" t="e">
        <f t="shared" si="66"/>
        <v>#N/A</v>
      </c>
      <c r="BY7" s="40" t="e">
        <f t="shared" si="66"/>
        <v>#N/A</v>
      </c>
      <c r="BZ7" s="40" t="e">
        <f t="shared" si="66"/>
        <v>#N/A</v>
      </c>
      <c r="CA7" s="40" t="e">
        <f t="shared" si="66"/>
        <v>#N/A</v>
      </c>
      <c r="CB7" s="40" t="e">
        <f t="shared" si="66"/>
        <v>#N/A</v>
      </c>
      <c r="CC7" s="40" t="e">
        <f t="shared" si="66"/>
        <v>#N/A</v>
      </c>
      <c r="CD7" s="40" t="e">
        <f t="shared" si="66"/>
        <v>#N/A</v>
      </c>
      <c r="CE7" s="40" t="e">
        <f t="shared" si="66"/>
        <v>#N/A</v>
      </c>
      <c r="CF7" s="40" t="e">
        <f t="shared" si="66"/>
        <v>#N/A</v>
      </c>
      <c r="CG7" s="40" t="e">
        <f t="shared" si="66"/>
        <v>#N/A</v>
      </c>
      <c r="CH7" s="40" t="e">
        <f t="shared" si="66"/>
        <v>#N/A</v>
      </c>
      <c r="CI7" s="40" t="e">
        <f t="shared" si="66"/>
        <v>#N/A</v>
      </c>
      <c r="CJ7" s="40" t="e">
        <f t="shared" si="66"/>
        <v>#N/A</v>
      </c>
      <c r="CK7" s="40" t="e">
        <f t="shared" si="66"/>
        <v>#N/A</v>
      </c>
      <c r="CL7" s="40" t="e">
        <f t="shared" si="66"/>
        <v>#N/A</v>
      </c>
      <c r="CM7" s="40" t="e">
        <f t="shared" si="66"/>
        <v>#N/A</v>
      </c>
      <c r="CN7" s="40" t="e">
        <f t="shared" si="66"/>
        <v>#N/A</v>
      </c>
      <c r="CO7" s="40" t="e">
        <f t="shared" si="66"/>
        <v>#N/A</v>
      </c>
      <c r="CP7" s="40" t="e">
        <f t="shared" si="66"/>
        <v>#N/A</v>
      </c>
      <c r="CQ7" s="40" t="e">
        <f t="shared" si="66"/>
        <v>#N/A</v>
      </c>
      <c r="CR7" s="40" t="e">
        <f t="shared" si="66"/>
        <v>#N/A</v>
      </c>
      <c r="CS7" s="40" t="e">
        <f t="shared" si="66"/>
        <v>#N/A</v>
      </c>
      <c r="CT7" s="40" t="e">
        <f t="shared" si="66"/>
        <v>#N/A</v>
      </c>
      <c r="CU7" s="40" t="e">
        <f t="shared" si="66"/>
        <v>#N/A</v>
      </c>
      <c r="CV7" s="40" t="e">
        <f t="shared" si="66"/>
        <v>#N/A</v>
      </c>
      <c r="CW7" s="40" t="e">
        <f t="shared" si="66"/>
        <v>#N/A</v>
      </c>
      <c r="CX7" s="40" t="e">
        <f t="shared" si="66"/>
        <v>#N/A</v>
      </c>
      <c r="CY7" s="40" t="e">
        <f t="shared" si="66"/>
        <v>#N/A</v>
      </c>
      <c r="CZ7" s="40" t="e">
        <f t="shared" si="66"/>
        <v>#N/A</v>
      </c>
      <c r="DA7" s="40" t="e">
        <f t="shared" si="66"/>
        <v>#N/A</v>
      </c>
      <c r="DB7" s="40" t="e">
        <f t="shared" si="66"/>
        <v>#N/A</v>
      </c>
      <c r="DC7" s="40" t="e">
        <f t="shared" si="66"/>
        <v>#N/A</v>
      </c>
      <c r="DD7" s="40" t="e">
        <f t="shared" si="66"/>
        <v>#N/A</v>
      </c>
      <c r="DE7" s="40" t="e">
        <f t="shared" si="66"/>
        <v>#N/A</v>
      </c>
      <c r="DF7" s="40" t="e">
        <f t="shared" si="66"/>
        <v>#N/A</v>
      </c>
      <c r="DG7" s="40" t="e">
        <f t="shared" si="66"/>
        <v>#N/A</v>
      </c>
      <c r="DH7" s="40" t="e">
        <f t="shared" si="66"/>
        <v>#N/A</v>
      </c>
      <c r="DI7" s="40" t="e">
        <f t="shared" si="66"/>
        <v>#N/A</v>
      </c>
      <c r="DJ7" s="40" t="e">
        <f t="shared" si="66"/>
        <v>#N/A</v>
      </c>
      <c r="DK7" s="40" t="e">
        <f t="shared" si="66"/>
        <v>#N/A</v>
      </c>
      <c r="DL7" s="40" t="e">
        <f t="shared" si="66"/>
        <v>#N/A</v>
      </c>
      <c r="DM7" s="40" t="e">
        <f t="shared" si="66"/>
        <v>#N/A</v>
      </c>
      <c r="DN7" s="40" t="e">
        <f t="shared" si="66"/>
        <v>#N/A</v>
      </c>
      <c r="DO7" s="40" t="e">
        <f t="shared" si="66"/>
        <v>#N/A</v>
      </c>
      <c r="DP7" s="40" t="e">
        <f t="shared" si="66"/>
        <v>#N/A</v>
      </c>
      <c r="DQ7" s="40" t="e">
        <f t="shared" si="66"/>
        <v>#N/A</v>
      </c>
      <c r="DR7" s="40" t="e">
        <f t="shared" si="66"/>
        <v>#N/A</v>
      </c>
      <c r="DS7" s="40" t="e">
        <f t="shared" si="66"/>
        <v>#N/A</v>
      </c>
      <c r="DT7" s="40" t="e">
        <f t="shared" si="66"/>
        <v>#N/A</v>
      </c>
      <c r="DU7" s="40" t="e">
        <f t="shared" si="66"/>
        <v>#N/A</v>
      </c>
      <c r="DV7" s="40" t="e">
        <f t="shared" si="66"/>
        <v>#N/A</v>
      </c>
      <c r="DW7" s="40" t="e">
        <f t="shared" si="66"/>
        <v>#N/A</v>
      </c>
      <c r="DX7" s="40" t="e">
        <f t="shared" si="66"/>
        <v>#N/A</v>
      </c>
      <c r="DY7" s="40" t="e">
        <f t="shared" si="66"/>
        <v>#N/A</v>
      </c>
      <c r="DZ7" s="40" t="e">
        <f t="shared" si="66"/>
        <v>#N/A</v>
      </c>
      <c r="EA7" s="40" t="e">
        <f t="shared" si="66"/>
        <v>#N/A</v>
      </c>
      <c r="EB7" s="40" t="e">
        <f t="shared" si="66"/>
        <v>#N/A</v>
      </c>
      <c r="EC7" s="40" t="e">
        <f t="shared" si="66"/>
        <v>#N/A</v>
      </c>
      <c r="ED7" s="40" t="e">
        <f t="shared" si="66"/>
        <v>#N/A</v>
      </c>
      <c r="EE7" s="40" t="e">
        <f t="shared" si="66"/>
        <v>#N/A</v>
      </c>
      <c r="EF7" s="40" t="e">
        <f t="shared" si="66"/>
        <v>#N/A</v>
      </c>
      <c r="EG7" s="40" t="e">
        <f t="shared" ref="EG7:GR7" si="67">EG5-EF5</f>
        <v>#N/A</v>
      </c>
      <c r="EH7" s="40" t="e">
        <f t="shared" si="67"/>
        <v>#N/A</v>
      </c>
      <c r="EI7" s="40" t="e">
        <f t="shared" si="67"/>
        <v>#N/A</v>
      </c>
      <c r="EJ7" s="40" t="e">
        <f t="shared" si="67"/>
        <v>#N/A</v>
      </c>
      <c r="EK7" s="40" t="e">
        <f t="shared" si="67"/>
        <v>#N/A</v>
      </c>
      <c r="EL7" s="40" t="e">
        <f t="shared" si="67"/>
        <v>#N/A</v>
      </c>
      <c r="EM7" s="40" t="e">
        <f t="shared" si="67"/>
        <v>#N/A</v>
      </c>
      <c r="EN7" s="40" t="e">
        <f t="shared" si="67"/>
        <v>#N/A</v>
      </c>
      <c r="EO7" s="40" t="e">
        <f t="shared" si="67"/>
        <v>#N/A</v>
      </c>
      <c r="EP7" s="40" t="e">
        <f t="shared" si="67"/>
        <v>#N/A</v>
      </c>
      <c r="EQ7" s="40" t="e">
        <f t="shared" si="67"/>
        <v>#N/A</v>
      </c>
      <c r="ER7" s="40" t="e">
        <f t="shared" si="67"/>
        <v>#N/A</v>
      </c>
      <c r="ES7" s="40" t="e">
        <f t="shared" si="67"/>
        <v>#N/A</v>
      </c>
      <c r="ET7" s="40" t="e">
        <f t="shared" si="67"/>
        <v>#N/A</v>
      </c>
      <c r="EU7" s="40" t="e">
        <f t="shared" si="67"/>
        <v>#N/A</v>
      </c>
      <c r="EV7" s="40" t="e">
        <f t="shared" si="67"/>
        <v>#N/A</v>
      </c>
      <c r="EW7" s="40" t="e">
        <f t="shared" si="67"/>
        <v>#N/A</v>
      </c>
      <c r="EX7" s="40" t="e">
        <f t="shared" si="67"/>
        <v>#N/A</v>
      </c>
      <c r="EY7" s="40" t="e">
        <f t="shared" si="67"/>
        <v>#N/A</v>
      </c>
      <c r="EZ7" s="40" t="e">
        <f t="shared" si="67"/>
        <v>#N/A</v>
      </c>
      <c r="FA7" s="40" t="e">
        <f t="shared" si="67"/>
        <v>#N/A</v>
      </c>
      <c r="FB7" s="40" t="e">
        <f t="shared" si="67"/>
        <v>#N/A</v>
      </c>
      <c r="FC7" s="40" t="e">
        <f t="shared" si="67"/>
        <v>#N/A</v>
      </c>
      <c r="FD7" s="40" t="e">
        <f t="shared" si="67"/>
        <v>#N/A</v>
      </c>
      <c r="FE7" s="40" t="e">
        <f t="shared" si="67"/>
        <v>#N/A</v>
      </c>
      <c r="FF7" s="40" t="e">
        <f t="shared" si="67"/>
        <v>#N/A</v>
      </c>
      <c r="FG7" s="40" t="e">
        <f t="shared" si="67"/>
        <v>#N/A</v>
      </c>
      <c r="FH7" s="40" t="e">
        <f t="shared" si="67"/>
        <v>#N/A</v>
      </c>
      <c r="FI7" s="40" t="e">
        <f t="shared" si="67"/>
        <v>#N/A</v>
      </c>
      <c r="FJ7" s="40" t="e">
        <f t="shared" si="67"/>
        <v>#N/A</v>
      </c>
      <c r="FK7" s="40" t="e">
        <f t="shared" si="67"/>
        <v>#N/A</v>
      </c>
      <c r="FL7" s="40" t="e">
        <f t="shared" si="67"/>
        <v>#N/A</v>
      </c>
      <c r="FM7" s="40" t="e">
        <f t="shared" si="67"/>
        <v>#N/A</v>
      </c>
      <c r="FN7" s="40" t="e">
        <f t="shared" si="67"/>
        <v>#N/A</v>
      </c>
      <c r="FO7" s="40" t="e">
        <f t="shared" si="67"/>
        <v>#N/A</v>
      </c>
      <c r="FP7" s="40" t="e">
        <f t="shared" si="67"/>
        <v>#N/A</v>
      </c>
      <c r="FQ7" s="40" t="e">
        <f t="shared" si="67"/>
        <v>#N/A</v>
      </c>
      <c r="FR7" s="40" t="e">
        <f t="shared" si="67"/>
        <v>#N/A</v>
      </c>
      <c r="FS7" s="40" t="e">
        <f t="shared" si="67"/>
        <v>#N/A</v>
      </c>
      <c r="FT7" s="40" t="e">
        <f t="shared" si="67"/>
        <v>#N/A</v>
      </c>
      <c r="FU7" s="40" t="e">
        <f t="shared" si="67"/>
        <v>#N/A</v>
      </c>
      <c r="FV7" s="40" t="e">
        <f t="shared" si="67"/>
        <v>#N/A</v>
      </c>
      <c r="FW7" s="40" t="e">
        <f t="shared" si="67"/>
        <v>#N/A</v>
      </c>
      <c r="FX7" s="40" t="e">
        <f t="shared" si="67"/>
        <v>#N/A</v>
      </c>
      <c r="FY7" s="40" t="e">
        <f t="shared" si="67"/>
        <v>#N/A</v>
      </c>
      <c r="FZ7" s="40" t="e">
        <f t="shared" si="67"/>
        <v>#N/A</v>
      </c>
      <c r="GA7" s="40" t="e">
        <f t="shared" si="67"/>
        <v>#N/A</v>
      </c>
      <c r="GB7" s="40" t="e">
        <f t="shared" si="67"/>
        <v>#N/A</v>
      </c>
      <c r="GC7" s="40" t="e">
        <f t="shared" si="67"/>
        <v>#N/A</v>
      </c>
      <c r="GD7" s="40" t="e">
        <f t="shared" si="67"/>
        <v>#N/A</v>
      </c>
      <c r="GE7" s="40" t="e">
        <f t="shared" si="67"/>
        <v>#N/A</v>
      </c>
      <c r="GF7" s="40" t="e">
        <f t="shared" si="67"/>
        <v>#N/A</v>
      </c>
      <c r="GG7" s="40" t="e">
        <f t="shared" si="67"/>
        <v>#N/A</v>
      </c>
      <c r="GH7" s="40" t="e">
        <f t="shared" si="67"/>
        <v>#N/A</v>
      </c>
      <c r="GI7" s="40" t="e">
        <f t="shared" si="67"/>
        <v>#N/A</v>
      </c>
      <c r="GJ7" s="40" t="e">
        <f t="shared" si="67"/>
        <v>#N/A</v>
      </c>
      <c r="GK7" s="40" t="e">
        <f t="shared" si="67"/>
        <v>#N/A</v>
      </c>
      <c r="GL7" s="40" t="e">
        <f t="shared" si="67"/>
        <v>#N/A</v>
      </c>
      <c r="GM7" s="40" t="e">
        <f t="shared" si="67"/>
        <v>#N/A</v>
      </c>
      <c r="GN7" s="40" t="e">
        <f t="shared" si="67"/>
        <v>#N/A</v>
      </c>
      <c r="GO7" s="40" t="e">
        <f t="shared" si="67"/>
        <v>#N/A</v>
      </c>
      <c r="GP7" s="40" t="e">
        <f t="shared" si="67"/>
        <v>#N/A</v>
      </c>
      <c r="GQ7" s="40" t="e">
        <f t="shared" si="67"/>
        <v>#N/A</v>
      </c>
      <c r="GR7" s="40" t="e">
        <f t="shared" si="67"/>
        <v>#N/A</v>
      </c>
      <c r="GS7" s="40" t="e">
        <f t="shared" ref="GS7:IN7" si="68">GS5-GR5</f>
        <v>#N/A</v>
      </c>
      <c r="GT7" s="40" t="e">
        <f t="shared" si="68"/>
        <v>#N/A</v>
      </c>
      <c r="GU7" s="40" t="e">
        <f t="shared" si="68"/>
        <v>#N/A</v>
      </c>
      <c r="GV7" s="40" t="e">
        <f t="shared" si="68"/>
        <v>#N/A</v>
      </c>
      <c r="GW7" s="40" t="e">
        <f t="shared" si="68"/>
        <v>#N/A</v>
      </c>
      <c r="GX7" s="40" t="e">
        <f t="shared" si="68"/>
        <v>#N/A</v>
      </c>
      <c r="GY7" s="40" t="e">
        <f t="shared" si="68"/>
        <v>#N/A</v>
      </c>
      <c r="GZ7" s="40" t="e">
        <f t="shared" si="68"/>
        <v>#N/A</v>
      </c>
      <c r="HA7" s="40" t="e">
        <f t="shared" si="68"/>
        <v>#N/A</v>
      </c>
      <c r="HB7" s="40" t="e">
        <f t="shared" si="68"/>
        <v>#N/A</v>
      </c>
      <c r="HC7" s="40" t="e">
        <f t="shared" si="68"/>
        <v>#N/A</v>
      </c>
      <c r="HD7" s="40" t="e">
        <f t="shared" si="68"/>
        <v>#N/A</v>
      </c>
      <c r="HE7" s="40" t="e">
        <f t="shared" si="68"/>
        <v>#N/A</v>
      </c>
      <c r="HF7" s="40" t="e">
        <f t="shared" si="68"/>
        <v>#N/A</v>
      </c>
      <c r="HG7" s="40" t="e">
        <f t="shared" si="68"/>
        <v>#N/A</v>
      </c>
      <c r="HH7" s="40" t="e">
        <f t="shared" si="68"/>
        <v>#N/A</v>
      </c>
      <c r="HI7" s="40" t="e">
        <f t="shared" si="68"/>
        <v>#N/A</v>
      </c>
      <c r="HJ7" s="40" t="e">
        <f t="shared" si="68"/>
        <v>#N/A</v>
      </c>
      <c r="HK7" s="40" t="e">
        <f t="shared" si="68"/>
        <v>#N/A</v>
      </c>
      <c r="HL7" s="40" t="e">
        <f t="shared" si="68"/>
        <v>#N/A</v>
      </c>
      <c r="HM7" s="40" t="e">
        <f t="shared" si="68"/>
        <v>#N/A</v>
      </c>
      <c r="HN7" s="40" t="e">
        <f t="shared" si="68"/>
        <v>#N/A</v>
      </c>
      <c r="HO7" s="40" t="e">
        <f t="shared" si="68"/>
        <v>#N/A</v>
      </c>
      <c r="HP7" s="40" t="e">
        <f t="shared" si="68"/>
        <v>#N/A</v>
      </c>
      <c r="HQ7" s="40" t="e">
        <f t="shared" si="68"/>
        <v>#N/A</v>
      </c>
      <c r="HR7" s="40" t="e">
        <f t="shared" si="68"/>
        <v>#N/A</v>
      </c>
      <c r="HS7" s="40" t="e">
        <f t="shared" si="68"/>
        <v>#N/A</v>
      </c>
      <c r="HT7" s="40" t="e">
        <f t="shared" si="68"/>
        <v>#N/A</v>
      </c>
      <c r="HU7" s="40" t="e">
        <f t="shared" si="68"/>
        <v>#N/A</v>
      </c>
      <c r="HV7" s="40" t="e">
        <f t="shared" si="68"/>
        <v>#N/A</v>
      </c>
      <c r="HW7" s="40" t="e">
        <f t="shared" si="68"/>
        <v>#N/A</v>
      </c>
      <c r="HX7" s="40" t="e">
        <f t="shared" si="68"/>
        <v>#N/A</v>
      </c>
      <c r="HY7" s="40" t="e">
        <f t="shared" si="68"/>
        <v>#N/A</v>
      </c>
      <c r="HZ7" s="40" t="e">
        <f t="shared" si="68"/>
        <v>#N/A</v>
      </c>
      <c r="IA7" s="40" t="e">
        <f t="shared" si="68"/>
        <v>#N/A</v>
      </c>
      <c r="IB7" s="40" t="e">
        <f t="shared" si="68"/>
        <v>#N/A</v>
      </c>
      <c r="IC7" s="40" t="e">
        <f t="shared" si="68"/>
        <v>#N/A</v>
      </c>
      <c r="ID7" s="40" t="e">
        <f t="shared" si="68"/>
        <v>#N/A</v>
      </c>
      <c r="IE7" s="40" t="e">
        <f t="shared" si="68"/>
        <v>#N/A</v>
      </c>
      <c r="IF7" s="40" t="e">
        <f t="shared" si="68"/>
        <v>#N/A</v>
      </c>
      <c r="IG7" s="40" t="e">
        <f t="shared" si="68"/>
        <v>#N/A</v>
      </c>
      <c r="IH7" s="40" t="e">
        <f t="shared" si="68"/>
        <v>#N/A</v>
      </c>
      <c r="II7" s="40" t="e">
        <f t="shared" si="68"/>
        <v>#N/A</v>
      </c>
      <c r="IJ7" s="40" t="e">
        <f t="shared" si="68"/>
        <v>#N/A</v>
      </c>
      <c r="IK7" s="40" t="e">
        <f t="shared" si="68"/>
        <v>#N/A</v>
      </c>
      <c r="IL7" s="40" t="e">
        <f t="shared" si="68"/>
        <v>#N/A</v>
      </c>
      <c r="IM7" s="40" t="e">
        <f t="shared" si="68"/>
        <v>#N/A</v>
      </c>
      <c r="IN7" s="40" t="e">
        <f t="shared" si="68"/>
        <v>#N/A</v>
      </c>
    </row>
    <row r="8" spans="2:248" x14ac:dyDescent="0.3">
      <c r="B8" s="19" t="s">
        <v>509</v>
      </c>
      <c r="C8" s="21">
        <f>VLOOKUP(B2,Country_Data!C:G,5,FALSE)</f>
        <v>3754</v>
      </c>
      <c r="F8" s="19" t="s">
        <v>506</v>
      </c>
      <c r="G8" s="40">
        <f>G5</f>
        <v>554</v>
      </c>
      <c r="H8" s="40">
        <f ca="1">SUM($G$7:H7)</f>
        <v>652</v>
      </c>
      <c r="I8" s="40">
        <f ca="1">SUM($G$7:I7)</f>
        <v>928</v>
      </c>
      <c r="J8" s="40">
        <f ca="1">SUM($G$7:J7)</f>
        <v>1404</v>
      </c>
      <c r="K8" s="40">
        <f ca="1">SUM($G$7:K7)</f>
        <v>2066</v>
      </c>
      <c r="L8" s="40">
        <f ca="1">SUM($G$7:L7)</f>
        <v>2846</v>
      </c>
      <c r="M8" s="40">
        <f ca="1">SUM($G$7:M7)</f>
        <v>5443</v>
      </c>
      <c r="N8" s="40">
        <f ca="1">SUM($G$7:N7)</f>
        <v>6022</v>
      </c>
      <c r="O8" s="40">
        <f ca="1">SUM($G$7:O7)</f>
        <v>8049</v>
      </c>
      <c r="P8" s="40">
        <f ca="1">SUM($G$7:P7)</f>
        <v>9690</v>
      </c>
      <c r="Q8" s="40">
        <f ca="1">SUM($G$7:Q7)</f>
        <v>11746</v>
      </c>
      <c r="R8" s="40">
        <f ca="1">SUM(H7:R7)-G7</f>
        <v>15281</v>
      </c>
      <c r="S8" s="40">
        <f t="shared" ref="S8:CD8" ca="1" si="69">SUM(I7:S7)-H7</f>
        <v>18664</v>
      </c>
      <c r="T8" s="40">
        <f t="shared" ca="1" si="69"/>
        <v>22153</v>
      </c>
      <c r="U8" s="40">
        <f t="shared" ca="1" si="69"/>
        <v>25147</v>
      </c>
      <c r="V8" s="40">
        <f t="shared" ca="1" si="69"/>
        <v>27387</v>
      </c>
      <c r="W8" s="40">
        <f t="shared" ca="1" si="69"/>
        <v>29934</v>
      </c>
      <c r="X8" s="40">
        <f t="shared" ca="1" si="69"/>
        <v>28155</v>
      </c>
      <c r="Y8" s="40">
        <f t="shared" ca="1" si="69"/>
        <v>32519</v>
      </c>
      <c r="Z8" s="40">
        <f t="shared" ca="1" si="69"/>
        <v>31472</v>
      </c>
      <c r="AA8" s="40">
        <f t="shared" ca="1" si="69"/>
        <v>32154</v>
      </c>
      <c r="AB8" s="40">
        <f t="shared" ca="1" si="69"/>
        <v>35297</v>
      </c>
      <c r="AC8" s="40">
        <f t="shared" ca="1" si="69"/>
        <v>37719</v>
      </c>
      <c r="AD8" s="40">
        <f t="shared" ca="1" si="69"/>
        <v>42633</v>
      </c>
      <c r="AE8" s="40">
        <f t="shared" ca="1" si="69"/>
        <v>39707</v>
      </c>
      <c r="AF8" s="40">
        <f t="shared" ca="1" si="69"/>
        <v>38329</v>
      </c>
      <c r="AG8" s="40">
        <f t="shared" ca="1" si="69"/>
        <v>37659</v>
      </c>
      <c r="AH8" s="40">
        <f t="shared" ca="1" si="69"/>
        <v>35508</v>
      </c>
      <c r="AI8" s="40">
        <f t="shared" ca="1" si="69"/>
        <v>33992</v>
      </c>
      <c r="AJ8" s="40">
        <f t="shared" ca="1" si="69"/>
        <v>31196</v>
      </c>
      <c r="AK8" s="40">
        <f ca="1">SUM(AA7:AK7)-Z7</f>
        <v>29851</v>
      </c>
      <c r="AL8" s="40">
        <f ca="1">SUM(AB7:AL7)-AA7</f>
        <v>29897</v>
      </c>
      <c r="AM8" s="40">
        <f ca="1">SUM(AC7:AM7)-AB7</f>
        <v>20821</v>
      </c>
      <c r="AN8" s="40">
        <f ca="1">SUM(AD7:AN7)-AC7</f>
        <v>7443</v>
      </c>
      <c r="AO8" s="40">
        <f t="shared" ca="1" si="69"/>
        <v>5054</v>
      </c>
      <c r="AP8" s="40">
        <f t="shared" ca="1" si="69"/>
        <v>8173</v>
      </c>
      <c r="AQ8" s="40">
        <f t="shared" ca="1" si="69"/>
        <v>7003</v>
      </c>
      <c r="AR8" s="40">
        <f t="shared" ca="1" si="69"/>
        <v>6222</v>
      </c>
      <c r="AS8" s="40">
        <f t="shared" ca="1" si="69"/>
        <v>5978</v>
      </c>
      <c r="AT8" s="40">
        <f t="shared" ca="1" si="69"/>
        <v>8162</v>
      </c>
      <c r="AU8" s="40">
        <f t="shared" ca="1" si="69"/>
        <v>8410</v>
      </c>
      <c r="AV8" s="40">
        <f t="shared" ca="1" si="69"/>
        <v>8630</v>
      </c>
      <c r="AW8" s="40">
        <f t="shared" ca="1" si="69"/>
        <v>6824</v>
      </c>
      <c r="AX8" s="40">
        <f t="shared" ca="1" si="69"/>
        <v>8520</v>
      </c>
      <c r="AY8" s="40">
        <f t="shared" ca="1" si="69"/>
        <v>8857</v>
      </c>
      <c r="AZ8" s="40">
        <f t="shared" ca="1" si="69"/>
        <v>8535</v>
      </c>
      <c r="BA8" s="40">
        <f t="shared" ca="1" si="69"/>
        <v>8185</v>
      </c>
      <c r="BB8" s="40">
        <f t="shared" ca="1" si="69"/>
        <v>7213</v>
      </c>
      <c r="BC8" s="40">
        <f t="shared" ca="1" si="69"/>
        <v>6597</v>
      </c>
      <c r="BD8" s="40">
        <f t="shared" ca="1" si="69"/>
        <v>5421</v>
      </c>
      <c r="BE8" s="40">
        <f t="shared" ca="1" si="69"/>
        <v>4483</v>
      </c>
      <c r="BF8" s="40">
        <f t="shared" ca="1" si="69"/>
        <v>4450</v>
      </c>
      <c r="BG8" s="40">
        <f t="shared" ca="1" si="69"/>
        <v>3656</v>
      </c>
      <c r="BH8" s="40">
        <f t="shared" ca="1" si="69"/>
        <v>3963</v>
      </c>
      <c r="BI8" s="40">
        <f t="shared" ca="1" si="69"/>
        <v>3730</v>
      </c>
      <c r="BJ8" s="40">
        <f t="shared" ca="1" si="69"/>
        <v>3448</v>
      </c>
      <c r="BK8" s="40">
        <f t="shared" ca="1" si="69"/>
        <v>3607</v>
      </c>
      <c r="BL8" s="40">
        <f t="shared" ca="1" si="69"/>
        <v>4231</v>
      </c>
      <c r="BM8" s="40">
        <f t="shared" ca="1" si="69"/>
        <v>4858</v>
      </c>
      <c r="BN8" s="40">
        <f t="shared" ca="1" si="69"/>
        <v>5784</v>
      </c>
      <c r="BO8" s="40">
        <f t="shared" ca="1" si="69"/>
        <v>6226</v>
      </c>
      <c r="BP8" s="40">
        <f t="shared" ca="1" si="69"/>
        <v>7287</v>
      </c>
      <c r="BQ8" s="40">
        <f t="shared" ca="1" si="69"/>
        <v>7620</v>
      </c>
      <c r="BR8" s="40">
        <f t="shared" ca="1" si="69"/>
        <v>8458</v>
      </c>
      <c r="BS8" s="40">
        <f t="shared" ca="1" si="69"/>
        <v>9113</v>
      </c>
      <c r="BT8" s="40">
        <f t="shared" ca="1" si="69"/>
        <v>10156</v>
      </c>
      <c r="BU8" s="40">
        <f t="shared" ca="1" si="69"/>
        <v>11175</v>
      </c>
      <c r="BV8" s="40" t="e">
        <f t="shared" ca="1" si="69"/>
        <v>#N/A</v>
      </c>
      <c r="BW8" s="40" t="e">
        <f t="shared" ca="1" si="69"/>
        <v>#N/A</v>
      </c>
      <c r="BX8" s="40" t="e">
        <f t="shared" ca="1" si="69"/>
        <v>#N/A</v>
      </c>
      <c r="BY8" s="40" t="e">
        <f t="shared" ca="1" si="69"/>
        <v>#N/A</v>
      </c>
      <c r="BZ8" s="40" t="e">
        <f t="shared" ca="1" si="69"/>
        <v>#N/A</v>
      </c>
      <c r="CA8" s="40" t="e">
        <f t="shared" ca="1" si="69"/>
        <v>#N/A</v>
      </c>
      <c r="CB8" s="40" t="e">
        <f t="shared" ca="1" si="69"/>
        <v>#N/A</v>
      </c>
      <c r="CC8" s="40" t="e">
        <f t="shared" ca="1" si="69"/>
        <v>#N/A</v>
      </c>
      <c r="CD8" s="40" t="e">
        <f t="shared" ca="1" si="69"/>
        <v>#N/A</v>
      </c>
      <c r="CE8" s="40" t="e">
        <f t="shared" ref="CE8:EP8" ca="1" si="70">SUM(BU7:CE7)-BT7</f>
        <v>#N/A</v>
      </c>
      <c r="CF8" s="40" t="e">
        <f t="shared" ca="1" si="70"/>
        <v>#N/A</v>
      </c>
      <c r="CG8" s="40" t="e">
        <f t="shared" si="70"/>
        <v>#N/A</v>
      </c>
      <c r="CH8" s="40" t="e">
        <f t="shared" si="70"/>
        <v>#N/A</v>
      </c>
      <c r="CI8" s="40" t="e">
        <f t="shared" si="70"/>
        <v>#N/A</v>
      </c>
      <c r="CJ8" s="40" t="e">
        <f t="shared" si="70"/>
        <v>#N/A</v>
      </c>
      <c r="CK8" s="40" t="e">
        <f t="shared" si="70"/>
        <v>#N/A</v>
      </c>
      <c r="CL8" s="40" t="e">
        <f t="shared" si="70"/>
        <v>#N/A</v>
      </c>
      <c r="CM8" s="40" t="e">
        <f t="shared" si="70"/>
        <v>#N/A</v>
      </c>
      <c r="CN8" s="40" t="e">
        <f t="shared" si="70"/>
        <v>#N/A</v>
      </c>
      <c r="CO8" s="40" t="e">
        <f t="shared" si="70"/>
        <v>#N/A</v>
      </c>
      <c r="CP8" s="40" t="e">
        <f t="shared" si="70"/>
        <v>#N/A</v>
      </c>
      <c r="CQ8" s="40" t="e">
        <f t="shared" si="70"/>
        <v>#N/A</v>
      </c>
      <c r="CR8" s="40" t="e">
        <f t="shared" si="70"/>
        <v>#N/A</v>
      </c>
      <c r="CS8" s="40" t="e">
        <f t="shared" si="70"/>
        <v>#N/A</v>
      </c>
      <c r="CT8" s="40" t="e">
        <f t="shared" si="70"/>
        <v>#N/A</v>
      </c>
      <c r="CU8" s="40" t="e">
        <f t="shared" si="70"/>
        <v>#N/A</v>
      </c>
      <c r="CV8" s="40" t="e">
        <f t="shared" si="70"/>
        <v>#N/A</v>
      </c>
      <c r="CW8" s="40" t="e">
        <f t="shared" si="70"/>
        <v>#N/A</v>
      </c>
      <c r="CX8" s="40" t="e">
        <f t="shared" si="70"/>
        <v>#N/A</v>
      </c>
      <c r="CY8" s="40" t="e">
        <f t="shared" si="70"/>
        <v>#N/A</v>
      </c>
      <c r="CZ8" s="40" t="e">
        <f t="shared" si="70"/>
        <v>#N/A</v>
      </c>
      <c r="DA8" s="40" t="e">
        <f t="shared" si="70"/>
        <v>#N/A</v>
      </c>
      <c r="DB8" s="40" t="e">
        <f t="shared" si="70"/>
        <v>#N/A</v>
      </c>
      <c r="DC8" s="40" t="e">
        <f t="shared" si="70"/>
        <v>#N/A</v>
      </c>
      <c r="DD8" s="40" t="e">
        <f t="shared" si="70"/>
        <v>#N/A</v>
      </c>
      <c r="DE8" s="40" t="e">
        <f t="shared" si="70"/>
        <v>#N/A</v>
      </c>
      <c r="DF8" s="40" t="e">
        <f t="shared" si="70"/>
        <v>#N/A</v>
      </c>
      <c r="DG8" s="40" t="e">
        <f t="shared" si="70"/>
        <v>#N/A</v>
      </c>
      <c r="DH8" s="40" t="e">
        <f t="shared" si="70"/>
        <v>#N/A</v>
      </c>
      <c r="DI8" s="40" t="e">
        <f t="shared" si="70"/>
        <v>#N/A</v>
      </c>
      <c r="DJ8" s="40" t="e">
        <f t="shared" si="70"/>
        <v>#N/A</v>
      </c>
      <c r="DK8" s="40" t="e">
        <f t="shared" si="70"/>
        <v>#N/A</v>
      </c>
      <c r="DL8" s="40" t="e">
        <f t="shared" si="70"/>
        <v>#N/A</v>
      </c>
      <c r="DM8" s="40" t="e">
        <f t="shared" si="70"/>
        <v>#N/A</v>
      </c>
      <c r="DN8" s="40" t="e">
        <f t="shared" si="70"/>
        <v>#N/A</v>
      </c>
      <c r="DO8" s="40" t="e">
        <f t="shared" si="70"/>
        <v>#N/A</v>
      </c>
      <c r="DP8" s="40" t="e">
        <f t="shared" si="70"/>
        <v>#N/A</v>
      </c>
      <c r="DQ8" s="40" t="e">
        <f t="shared" si="70"/>
        <v>#N/A</v>
      </c>
      <c r="DR8" s="40" t="e">
        <f t="shared" si="70"/>
        <v>#N/A</v>
      </c>
      <c r="DS8" s="40" t="e">
        <f t="shared" si="70"/>
        <v>#N/A</v>
      </c>
      <c r="DT8" s="40" t="e">
        <f t="shared" si="70"/>
        <v>#N/A</v>
      </c>
      <c r="DU8" s="40" t="e">
        <f t="shared" si="70"/>
        <v>#N/A</v>
      </c>
      <c r="DV8" s="40" t="e">
        <f t="shared" si="70"/>
        <v>#N/A</v>
      </c>
      <c r="DW8" s="40" t="e">
        <f t="shared" si="70"/>
        <v>#N/A</v>
      </c>
      <c r="DX8" s="40" t="e">
        <f t="shared" si="70"/>
        <v>#N/A</v>
      </c>
      <c r="DY8" s="40" t="e">
        <f t="shared" si="70"/>
        <v>#N/A</v>
      </c>
      <c r="DZ8" s="40" t="e">
        <f t="shared" si="70"/>
        <v>#N/A</v>
      </c>
      <c r="EA8" s="40" t="e">
        <f t="shared" si="70"/>
        <v>#N/A</v>
      </c>
      <c r="EB8" s="40" t="e">
        <f t="shared" si="70"/>
        <v>#N/A</v>
      </c>
      <c r="EC8" s="40" t="e">
        <f t="shared" si="70"/>
        <v>#N/A</v>
      </c>
      <c r="ED8" s="40" t="e">
        <f t="shared" si="70"/>
        <v>#N/A</v>
      </c>
      <c r="EE8" s="40" t="e">
        <f t="shared" si="70"/>
        <v>#N/A</v>
      </c>
      <c r="EF8" s="40" t="e">
        <f t="shared" si="70"/>
        <v>#N/A</v>
      </c>
      <c r="EG8" s="40" t="e">
        <f t="shared" si="70"/>
        <v>#N/A</v>
      </c>
      <c r="EH8" s="40" t="e">
        <f t="shared" si="70"/>
        <v>#N/A</v>
      </c>
      <c r="EI8" s="40" t="e">
        <f t="shared" si="70"/>
        <v>#N/A</v>
      </c>
      <c r="EJ8" s="40" t="e">
        <f t="shared" si="70"/>
        <v>#N/A</v>
      </c>
      <c r="EK8" s="40" t="e">
        <f t="shared" si="70"/>
        <v>#N/A</v>
      </c>
      <c r="EL8" s="40" t="e">
        <f t="shared" si="70"/>
        <v>#N/A</v>
      </c>
      <c r="EM8" s="40" t="e">
        <f t="shared" si="70"/>
        <v>#N/A</v>
      </c>
      <c r="EN8" s="40" t="e">
        <f t="shared" si="70"/>
        <v>#N/A</v>
      </c>
      <c r="EO8" s="40" t="e">
        <f t="shared" si="70"/>
        <v>#N/A</v>
      </c>
      <c r="EP8" s="40" t="e">
        <f t="shared" si="70"/>
        <v>#N/A</v>
      </c>
      <c r="EQ8" s="40" t="e">
        <f t="shared" ref="EQ8:HB8" si="71">SUM(EG7:EQ7)-EF7</f>
        <v>#N/A</v>
      </c>
      <c r="ER8" s="40" t="e">
        <f t="shared" si="71"/>
        <v>#N/A</v>
      </c>
      <c r="ES8" s="40" t="e">
        <f t="shared" si="71"/>
        <v>#N/A</v>
      </c>
      <c r="ET8" s="40" t="e">
        <f t="shared" si="71"/>
        <v>#N/A</v>
      </c>
      <c r="EU8" s="40" t="e">
        <f t="shared" si="71"/>
        <v>#N/A</v>
      </c>
      <c r="EV8" s="40" t="e">
        <f t="shared" si="71"/>
        <v>#N/A</v>
      </c>
      <c r="EW8" s="40" t="e">
        <f t="shared" si="71"/>
        <v>#N/A</v>
      </c>
      <c r="EX8" s="40" t="e">
        <f t="shared" si="71"/>
        <v>#N/A</v>
      </c>
      <c r="EY8" s="40" t="e">
        <f t="shared" si="71"/>
        <v>#N/A</v>
      </c>
      <c r="EZ8" s="40" t="e">
        <f t="shared" si="71"/>
        <v>#N/A</v>
      </c>
      <c r="FA8" s="40" t="e">
        <f t="shared" si="71"/>
        <v>#N/A</v>
      </c>
      <c r="FB8" s="40" t="e">
        <f t="shared" si="71"/>
        <v>#N/A</v>
      </c>
      <c r="FC8" s="40" t="e">
        <f t="shared" si="71"/>
        <v>#N/A</v>
      </c>
      <c r="FD8" s="40" t="e">
        <f t="shared" si="71"/>
        <v>#N/A</v>
      </c>
      <c r="FE8" s="40" t="e">
        <f t="shared" si="71"/>
        <v>#N/A</v>
      </c>
      <c r="FF8" s="40" t="e">
        <f t="shared" si="71"/>
        <v>#N/A</v>
      </c>
      <c r="FG8" s="40" t="e">
        <f t="shared" si="71"/>
        <v>#N/A</v>
      </c>
      <c r="FH8" s="40" t="e">
        <f t="shared" si="71"/>
        <v>#N/A</v>
      </c>
      <c r="FI8" s="40" t="e">
        <f t="shared" si="71"/>
        <v>#N/A</v>
      </c>
      <c r="FJ8" s="40" t="e">
        <f t="shared" si="71"/>
        <v>#N/A</v>
      </c>
      <c r="FK8" s="40" t="e">
        <f t="shared" si="71"/>
        <v>#N/A</v>
      </c>
      <c r="FL8" s="40" t="e">
        <f t="shared" si="71"/>
        <v>#N/A</v>
      </c>
      <c r="FM8" s="40" t="e">
        <f t="shared" si="71"/>
        <v>#N/A</v>
      </c>
      <c r="FN8" s="40" t="e">
        <f t="shared" si="71"/>
        <v>#N/A</v>
      </c>
      <c r="FO8" s="40" t="e">
        <f t="shared" si="71"/>
        <v>#N/A</v>
      </c>
      <c r="FP8" s="40" t="e">
        <f t="shared" si="71"/>
        <v>#N/A</v>
      </c>
      <c r="FQ8" s="40" t="e">
        <f t="shared" si="71"/>
        <v>#N/A</v>
      </c>
      <c r="FR8" s="40" t="e">
        <f t="shared" si="71"/>
        <v>#N/A</v>
      </c>
      <c r="FS8" s="40" t="e">
        <f t="shared" si="71"/>
        <v>#N/A</v>
      </c>
      <c r="FT8" s="40" t="e">
        <f t="shared" si="71"/>
        <v>#N/A</v>
      </c>
      <c r="FU8" s="40" t="e">
        <f t="shared" si="71"/>
        <v>#N/A</v>
      </c>
      <c r="FV8" s="40" t="e">
        <f t="shared" si="71"/>
        <v>#N/A</v>
      </c>
      <c r="FW8" s="40" t="e">
        <f t="shared" si="71"/>
        <v>#N/A</v>
      </c>
      <c r="FX8" s="40" t="e">
        <f t="shared" si="71"/>
        <v>#N/A</v>
      </c>
      <c r="FY8" s="40" t="e">
        <f t="shared" si="71"/>
        <v>#N/A</v>
      </c>
      <c r="FZ8" s="40" t="e">
        <f t="shared" si="71"/>
        <v>#N/A</v>
      </c>
      <c r="GA8" s="40" t="e">
        <f t="shared" si="71"/>
        <v>#N/A</v>
      </c>
      <c r="GB8" s="40" t="e">
        <f t="shared" si="71"/>
        <v>#N/A</v>
      </c>
      <c r="GC8" s="40" t="e">
        <f t="shared" si="71"/>
        <v>#N/A</v>
      </c>
      <c r="GD8" s="40" t="e">
        <f t="shared" si="71"/>
        <v>#N/A</v>
      </c>
      <c r="GE8" s="40" t="e">
        <f t="shared" si="71"/>
        <v>#N/A</v>
      </c>
      <c r="GF8" s="40" t="e">
        <f t="shared" si="71"/>
        <v>#N/A</v>
      </c>
      <c r="GG8" s="40" t="e">
        <f t="shared" si="71"/>
        <v>#N/A</v>
      </c>
      <c r="GH8" s="40" t="e">
        <f t="shared" si="71"/>
        <v>#N/A</v>
      </c>
      <c r="GI8" s="40" t="e">
        <f t="shared" si="71"/>
        <v>#N/A</v>
      </c>
      <c r="GJ8" s="40" t="e">
        <f t="shared" si="71"/>
        <v>#N/A</v>
      </c>
      <c r="GK8" s="40" t="e">
        <f t="shared" si="71"/>
        <v>#N/A</v>
      </c>
      <c r="GL8" s="40" t="e">
        <f t="shared" si="71"/>
        <v>#N/A</v>
      </c>
      <c r="GM8" s="40" t="e">
        <f t="shared" si="71"/>
        <v>#N/A</v>
      </c>
      <c r="GN8" s="40" t="e">
        <f t="shared" si="71"/>
        <v>#N/A</v>
      </c>
      <c r="GO8" s="40" t="e">
        <f t="shared" si="71"/>
        <v>#N/A</v>
      </c>
      <c r="GP8" s="40" t="e">
        <f t="shared" si="71"/>
        <v>#N/A</v>
      </c>
      <c r="GQ8" s="40" t="e">
        <f t="shared" si="71"/>
        <v>#N/A</v>
      </c>
      <c r="GR8" s="40" t="e">
        <f t="shared" si="71"/>
        <v>#N/A</v>
      </c>
      <c r="GS8" s="40" t="e">
        <f t="shared" si="71"/>
        <v>#N/A</v>
      </c>
      <c r="GT8" s="40" t="e">
        <f t="shared" si="71"/>
        <v>#N/A</v>
      </c>
      <c r="GU8" s="40" t="e">
        <f t="shared" si="71"/>
        <v>#N/A</v>
      </c>
      <c r="GV8" s="40" t="e">
        <f t="shared" si="71"/>
        <v>#N/A</v>
      </c>
      <c r="GW8" s="40" t="e">
        <f t="shared" si="71"/>
        <v>#N/A</v>
      </c>
      <c r="GX8" s="40" t="e">
        <f t="shared" si="71"/>
        <v>#N/A</v>
      </c>
      <c r="GY8" s="40" t="e">
        <f t="shared" si="71"/>
        <v>#N/A</v>
      </c>
      <c r="GZ8" s="40" t="e">
        <f t="shared" si="71"/>
        <v>#N/A</v>
      </c>
      <c r="HA8" s="40" t="e">
        <f t="shared" si="71"/>
        <v>#N/A</v>
      </c>
      <c r="HB8" s="40" t="e">
        <f t="shared" si="71"/>
        <v>#N/A</v>
      </c>
      <c r="HC8" s="40" t="e">
        <f t="shared" ref="HC8:IN8" si="72">SUM(GS7:HC7)-GR7</f>
        <v>#N/A</v>
      </c>
      <c r="HD8" s="40" t="e">
        <f t="shared" si="72"/>
        <v>#N/A</v>
      </c>
      <c r="HE8" s="40" t="e">
        <f t="shared" si="72"/>
        <v>#N/A</v>
      </c>
      <c r="HF8" s="40" t="e">
        <f t="shared" si="72"/>
        <v>#N/A</v>
      </c>
      <c r="HG8" s="40" t="e">
        <f t="shared" si="72"/>
        <v>#N/A</v>
      </c>
      <c r="HH8" s="40" t="e">
        <f t="shared" si="72"/>
        <v>#N/A</v>
      </c>
      <c r="HI8" s="40" t="e">
        <f t="shared" si="72"/>
        <v>#N/A</v>
      </c>
      <c r="HJ8" s="40" t="e">
        <f t="shared" si="72"/>
        <v>#N/A</v>
      </c>
      <c r="HK8" s="40" t="e">
        <f t="shared" si="72"/>
        <v>#N/A</v>
      </c>
      <c r="HL8" s="40" t="e">
        <f t="shared" si="72"/>
        <v>#N/A</v>
      </c>
      <c r="HM8" s="40" t="e">
        <f t="shared" si="72"/>
        <v>#N/A</v>
      </c>
      <c r="HN8" s="40" t="e">
        <f t="shared" si="72"/>
        <v>#N/A</v>
      </c>
      <c r="HO8" s="40" t="e">
        <f t="shared" si="72"/>
        <v>#N/A</v>
      </c>
      <c r="HP8" s="40" t="e">
        <f t="shared" si="72"/>
        <v>#N/A</v>
      </c>
      <c r="HQ8" s="40" t="e">
        <f t="shared" si="72"/>
        <v>#N/A</v>
      </c>
      <c r="HR8" s="40" t="e">
        <f t="shared" si="72"/>
        <v>#N/A</v>
      </c>
      <c r="HS8" s="40" t="e">
        <f t="shared" si="72"/>
        <v>#N/A</v>
      </c>
      <c r="HT8" s="40" t="e">
        <f t="shared" si="72"/>
        <v>#N/A</v>
      </c>
      <c r="HU8" s="40" t="e">
        <f t="shared" si="72"/>
        <v>#N/A</v>
      </c>
      <c r="HV8" s="40" t="e">
        <f t="shared" si="72"/>
        <v>#N/A</v>
      </c>
      <c r="HW8" s="40" t="e">
        <f t="shared" si="72"/>
        <v>#N/A</v>
      </c>
      <c r="HX8" s="40" t="e">
        <f t="shared" si="72"/>
        <v>#N/A</v>
      </c>
      <c r="HY8" s="40" t="e">
        <f t="shared" si="72"/>
        <v>#N/A</v>
      </c>
      <c r="HZ8" s="40" t="e">
        <f t="shared" si="72"/>
        <v>#N/A</v>
      </c>
      <c r="IA8" s="40" t="e">
        <f t="shared" si="72"/>
        <v>#N/A</v>
      </c>
      <c r="IB8" s="40" t="e">
        <f t="shared" si="72"/>
        <v>#N/A</v>
      </c>
      <c r="IC8" s="40" t="e">
        <f t="shared" si="72"/>
        <v>#N/A</v>
      </c>
      <c r="ID8" s="40" t="e">
        <f t="shared" si="72"/>
        <v>#N/A</v>
      </c>
      <c r="IE8" s="40" t="e">
        <f t="shared" si="72"/>
        <v>#N/A</v>
      </c>
      <c r="IF8" s="40" t="e">
        <f t="shared" si="72"/>
        <v>#N/A</v>
      </c>
      <c r="IG8" s="40" t="e">
        <f t="shared" si="72"/>
        <v>#N/A</v>
      </c>
      <c r="IH8" s="40" t="e">
        <f t="shared" si="72"/>
        <v>#N/A</v>
      </c>
      <c r="II8" s="40" t="e">
        <f t="shared" si="72"/>
        <v>#N/A</v>
      </c>
      <c r="IJ8" s="40" t="e">
        <f t="shared" si="72"/>
        <v>#N/A</v>
      </c>
      <c r="IK8" s="40" t="e">
        <f t="shared" si="72"/>
        <v>#N/A</v>
      </c>
      <c r="IL8" s="40" t="e">
        <f t="shared" si="72"/>
        <v>#N/A</v>
      </c>
      <c r="IM8" s="40" t="e">
        <f t="shared" si="72"/>
        <v>#N/A</v>
      </c>
      <c r="IN8" s="40" t="e">
        <f t="shared" si="72"/>
        <v>#N/A</v>
      </c>
    </row>
    <row r="9" spans="2:248" x14ac:dyDescent="0.3">
      <c r="B9" s="19" t="s">
        <v>574</v>
      </c>
      <c r="C9" s="85">
        <f ca="1">VLOOKUP(B2,Country_Data!C:P,14,FALSE)</f>
        <v>0</v>
      </c>
      <c r="F9" s="19" t="s">
        <v>585</v>
      </c>
      <c r="G9" s="40">
        <f t="shared" ref="G9:BP9" si="73">IF(IF(AND(ISNA(G$8),ISNA(F$8)),F9*(1+$C$11),IF(AND(F$8&gt;0,ISNA(G$8)),F9*(1+$C$11),G$8))&gt;$C$21,$C$21,IF(AND(ISNA(G$8),ISNA(F$8)),F9*(1+$C$11),IF(AND(F$8&gt;0,ISNA(G$8)),F9*(1+$C$11),G$8)))</f>
        <v>554</v>
      </c>
      <c r="H9" s="40">
        <f t="shared" ca="1" si="73"/>
        <v>652</v>
      </c>
      <c r="I9" s="40">
        <f t="shared" ca="1" si="73"/>
        <v>928</v>
      </c>
      <c r="J9" s="40">
        <f t="shared" ca="1" si="73"/>
        <v>1404</v>
      </c>
      <c r="K9" s="40">
        <f t="shared" ca="1" si="73"/>
        <v>2066</v>
      </c>
      <c r="L9" s="40">
        <f t="shared" ca="1" si="73"/>
        <v>2846</v>
      </c>
      <c r="M9" s="40">
        <f t="shared" ca="1" si="73"/>
        <v>5443</v>
      </c>
      <c r="N9" s="40">
        <f t="shared" ca="1" si="73"/>
        <v>6022</v>
      </c>
      <c r="O9" s="40">
        <f t="shared" ca="1" si="73"/>
        <v>8049</v>
      </c>
      <c r="P9" s="40">
        <f t="shared" ca="1" si="73"/>
        <v>9690</v>
      </c>
      <c r="Q9" s="40">
        <f t="shared" ca="1" si="73"/>
        <v>11746</v>
      </c>
      <c r="R9" s="40">
        <f t="shared" ca="1" si="73"/>
        <v>15281</v>
      </c>
      <c r="S9" s="40">
        <f t="shared" ref="S9" ca="1" si="74">IF(IF(AND(ISNA(R8),ISNA(R$8)),R9*(1+$C$11),IF(AND(R$8&gt;0,ISNA(S$8)),R9*(1+$C$11),S$8))&gt;$C$21,$C$21,IF(AND(ISNA(S$8),ISNA(R$8)),R9*(1+$C$11),IF(AND(R$8&gt;0,ISNA(S$8)),R9*(1+$C$11),S$8)))</f>
        <v>18664</v>
      </c>
      <c r="T9" s="40">
        <f ca="1">IF(IF(AND(ISNA(S8),ISNA(S$8)),S9*(1+$C$11),IF(AND(S$8&gt;0,ISNA(T$8)),S9*(1+$C$11),T$8))&gt;$C$21,$C$21,IF(AND(ISNA(T$8),ISNA(S$8)),S9*(1+$C$11),IF(AND(S$8&gt;0,ISNA(T$8)),S9*(1+$C$11),T$8)))</f>
        <v>22153</v>
      </c>
      <c r="U9" s="40">
        <f ca="1">IF(IF(AND(ISNA(T8),ISNA(T$8)),T9*(1+$C$11),IF(AND(T$8&gt;0,ISNA(U$8)),T9*(1+$C$11),U$8))&gt;$C$21,$C$21,IF(AND(ISNA(U$8),ISNA(T$8)),T9*(1+$C$11),IF(AND(T$8&gt;0,ISNA(U$8)),T9*(1+$C$11),U$8)))</f>
        <v>25147</v>
      </c>
      <c r="V9" s="40">
        <f t="shared" ca="1" si="73"/>
        <v>27387</v>
      </c>
      <c r="W9" s="40">
        <f t="shared" ca="1" si="73"/>
        <v>29934</v>
      </c>
      <c r="X9" s="40">
        <f t="shared" ca="1" si="73"/>
        <v>28155</v>
      </c>
      <c r="Y9" s="40">
        <f ca="1">IF(IF(AND(ISNA(Y$8),ISNA(X$8)),X9*(1+$C$11),IF(AND(X$8&gt;0,ISNA(Y$8)),X9*(1+$C$11),Y$8))&gt;$C$21,$C$21,IF(AND(ISNA(Y$8),ISNA(X$8)),X9*(1+$C$11),IF(AND(X$8&gt;0,ISNA(Y$8)),X9*(1+$C$11),Y$8)))</f>
        <v>32519</v>
      </c>
      <c r="Z9" s="40">
        <f t="shared" ca="1" si="73"/>
        <v>31472</v>
      </c>
      <c r="AA9" s="40">
        <f t="shared" ca="1" si="73"/>
        <v>32154</v>
      </c>
      <c r="AB9" s="40">
        <f t="shared" ca="1" si="73"/>
        <v>35297</v>
      </c>
      <c r="AC9" s="40">
        <f t="shared" ca="1" si="73"/>
        <v>37719</v>
      </c>
      <c r="AD9" s="40">
        <f t="shared" ca="1" si="73"/>
        <v>42633</v>
      </c>
      <c r="AE9" s="40">
        <f t="shared" ca="1" si="73"/>
        <v>39707</v>
      </c>
      <c r="AF9" s="40">
        <f t="shared" ca="1" si="73"/>
        <v>38329</v>
      </c>
      <c r="AG9" s="40">
        <f t="shared" ca="1" si="73"/>
        <v>37659</v>
      </c>
      <c r="AH9" s="40">
        <f t="shared" ca="1" si="73"/>
        <v>35508</v>
      </c>
      <c r="AI9" s="40">
        <f t="shared" ca="1" si="73"/>
        <v>33992</v>
      </c>
      <c r="AJ9" s="40">
        <f t="shared" ca="1" si="73"/>
        <v>31196</v>
      </c>
      <c r="AK9" s="40">
        <f ca="1">IF(IF(AND(ISNA(AK$8),ISNA(AJ$8)),AJ9*(1+$C$11),IF(AND(AJ$8&gt;0,ISNA(AK$8)),AJ9*(1+$C$11),AK$8))&gt;$C$21,$C$21,IF(AND(ISNA(AK$8),ISNA(AJ$8)),AJ9*(1+$C$11),IF(AND(AJ$8&gt;0,ISNA(AK$8)),AJ9*(1+$C$11),AK$8)))</f>
        <v>29851</v>
      </c>
      <c r="AL9" s="40">
        <f t="shared" ca="1" si="73"/>
        <v>29897</v>
      </c>
      <c r="AM9" s="40">
        <f t="shared" ca="1" si="73"/>
        <v>20821</v>
      </c>
      <c r="AN9" s="40">
        <f t="shared" ca="1" si="73"/>
        <v>7443</v>
      </c>
      <c r="AO9" s="40">
        <f t="shared" ca="1" si="73"/>
        <v>5054</v>
      </c>
      <c r="AP9" s="40">
        <f t="shared" ca="1" si="73"/>
        <v>8173</v>
      </c>
      <c r="AQ9" s="40">
        <f t="shared" ca="1" si="73"/>
        <v>7003</v>
      </c>
      <c r="AR9" s="40">
        <f t="shared" ca="1" si="73"/>
        <v>6222</v>
      </c>
      <c r="AS9" s="40">
        <f t="shared" ca="1" si="73"/>
        <v>5978</v>
      </c>
      <c r="AT9" s="40">
        <f t="shared" ca="1" si="73"/>
        <v>8162</v>
      </c>
      <c r="AU9" s="40">
        <f t="shared" ca="1" si="73"/>
        <v>8410</v>
      </c>
      <c r="AV9" s="40">
        <f t="shared" ca="1" si="73"/>
        <v>8630</v>
      </c>
      <c r="AW9" s="40">
        <f t="shared" ca="1" si="73"/>
        <v>6824</v>
      </c>
      <c r="AX9" s="40">
        <f t="shared" ca="1" si="73"/>
        <v>8520</v>
      </c>
      <c r="AY9" s="40">
        <f t="shared" ca="1" si="73"/>
        <v>8857</v>
      </c>
      <c r="AZ9" s="40">
        <f t="shared" ca="1" si="73"/>
        <v>8535</v>
      </c>
      <c r="BA9" s="40">
        <f t="shared" ca="1" si="73"/>
        <v>8185</v>
      </c>
      <c r="BB9" s="40">
        <f t="shared" ca="1" si="73"/>
        <v>7213</v>
      </c>
      <c r="BC9" s="40">
        <f t="shared" ca="1" si="73"/>
        <v>6597</v>
      </c>
      <c r="BD9" s="40">
        <f t="shared" ca="1" si="73"/>
        <v>5421</v>
      </c>
      <c r="BE9" s="40">
        <f t="shared" ca="1" si="73"/>
        <v>4483</v>
      </c>
      <c r="BF9" s="40">
        <f t="shared" ca="1" si="73"/>
        <v>4450</v>
      </c>
      <c r="BG9" s="40">
        <f t="shared" ca="1" si="73"/>
        <v>3656</v>
      </c>
      <c r="BH9" s="40">
        <f t="shared" ca="1" si="73"/>
        <v>3963</v>
      </c>
      <c r="BI9" s="40">
        <f t="shared" ca="1" si="73"/>
        <v>3730</v>
      </c>
      <c r="BJ9" s="40">
        <f t="shared" ca="1" si="73"/>
        <v>3448</v>
      </c>
      <c r="BK9" s="40">
        <f t="shared" ca="1" si="73"/>
        <v>3607</v>
      </c>
      <c r="BL9" s="40">
        <f t="shared" ca="1" si="73"/>
        <v>4231</v>
      </c>
      <c r="BM9" s="40">
        <f t="shared" ca="1" si="73"/>
        <v>4858</v>
      </c>
      <c r="BN9" s="40">
        <f t="shared" ca="1" si="73"/>
        <v>5784</v>
      </c>
      <c r="BO9" s="40">
        <f t="shared" ca="1" si="73"/>
        <v>6226</v>
      </c>
      <c r="BP9" s="40">
        <f t="shared" ca="1" si="73"/>
        <v>7287</v>
      </c>
      <c r="BQ9" s="40">
        <f ca="1">IF(IF(AND(ISNA(BQ$8),ISNA(BP$8)),BP9*(1+$C$11),IF(AND(BP$8&gt;0,ISNA(BQ$8)),BP9*(1+$C$11),BQ$8))&gt;$C$21,$C$21,IF(AND(ISNA(BQ$8),ISNA(BP$8)),BP9*(1+$C$11),IF(AND(BP$8&gt;0,ISNA(BQ$8)),BP9*(1+$C$11),BQ$8)))</f>
        <v>7620</v>
      </c>
      <c r="BR9" s="40">
        <f t="shared" ref="BR9:EC9" ca="1" si="75">IF(IF(AND(ISNA(BR$8),ISNA(BQ$8)),BQ9*(1+$C$11),IF(AND(BQ$8&gt;0,ISNA(BR$8)),BQ9*(1+$C$11),BR$8))&gt;$C$21,$C$21,IF(AND(ISNA(BR$8),ISNA(BQ$8)),BQ9*(1+$C$11),IF(AND(BQ$8&gt;0,ISNA(BR$8)),BQ9*(1+$C$11),BR$8)))</f>
        <v>8458</v>
      </c>
      <c r="BS9" s="40">
        <f t="shared" ca="1" si="75"/>
        <v>9113</v>
      </c>
      <c r="BT9" s="40">
        <f t="shared" ca="1" si="75"/>
        <v>10156</v>
      </c>
      <c r="BU9" s="40">
        <f t="shared" ca="1" si="75"/>
        <v>11175</v>
      </c>
      <c r="BV9" s="40">
        <f t="shared" ca="1" si="75"/>
        <v>12172.710242645455</v>
      </c>
      <c r="BW9" s="40">
        <f t="shared" ca="1" si="75"/>
        <v>13259.49661310117</v>
      </c>
      <c r="BX9" s="40">
        <f t="shared" ca="1" si="75"/>
        <v>14443.311877818285</v>
      </c>
      <c r="BY9" s="40">
        <f t="shared" ca="1" si="75"/>
        <v>15732.81883067932</v>
      </c>
      <c r="BZ9" s="40">
        <f t="shared" ca="1" si="75"/>
        <v>17137.45368464389</v>
      </c>
      <c r="CA9" s="40">
        <f t="shared" ca="1" si="75"/>
        <v>18667.495123035951</v>
      </c>
      <c r="CB9" s="40">
        <f t="shared" ca="1" si="75"/>
        <v>20334.139515768573</v>
      </c>
      <c r="CC9" s="40">
        <f t="shared" ca="1" si="75"/>
        <v>22149.582850915238</v>
      </c>
      <c r="CD9" s="40">
        <f t="shared" ca="1" si="75"/>
        <v>24127.109981177633</v>
      </c>
      <c r="CE9" s="40">
        <f t="shared" ca="1" si="75"/>
        <v>26281.191838327908</v>
      </c>
      <c r="CF9" s="40">
        <f t="shared" ca="1" si="75"/>
        <v>28627.591327010672</v>
      </c>
      <c r="CG9" s="40">
        <f t="shared" ca="1" si="75"/>
        <v>31183.478672802776</v>
      </c>
      <c r="CH9" s="40">
        <f t="shared" ca="1" si="75"/>
        <v>33967.557068612303</v>
      </c>
      <c r="CI9" s="40">
        <f t="shared" ca="1" si="75"/>
        <v>37000.199538858258</v>
      </c>
      <c r="CJ9" s="40">
        <f t="shared" ca="1" si="75"/>
        <v>40303.598022960679</v>
      </c>
      <c r="CK9" s="40">
        <f t="shared" ca="1" si="75"/>
        <v>43901.925769088019</v>
      </c>
      <c r="CL9" s="40">
        <f t="shared" ca="1" si="75"/>
        <v>47821.514226509011</v>
      </c>
      <c r="CM9" s="40">
        <f t="shared" ca="1" si="75"/>
        <v>52091.045730992533</v>
      </c>
      <c r="CN9" s="40">
        <f t="shared" ca="1" si="75"/>
        <v>56741.763393267618</v>
      </c>
      <c r="CO9" s="40">
        <f t="shared" ca="1" si="75"/>
        <v>61807.699726442384</v>
      </c>
      <c r="CP9" s="40">
        <f t="shared" ca="1" si="75"/>
        <v>67325.925685406706</v>
      </c>
      <c r="CQ9" s="40">
        <f t="shared" ca="1" si="75"/>
        <v>73336.821940611801</v>
      </c>
      <c r="CR9" s="40">
        <f t="shared" ca="1" si="75"/>
        <v>79884.374371324491</v>
      </c>
      <c r="CS9" s="40">
        <f t="shared" ca="1" si="75"/>
        <v>87016.495940684181</v>
      </c>
      <c r="CT9" s="40">
        <f t="shared" ca="1" si="75"/>
        <v>94785.377307944786</v>
      </c>
      <c r="CU9" s="40">
        <f t="shared" ca="1" si="75"/>
        <v>103247.86874357348</v>
      </c>
      <c r="CV9" s="40">
        <f t="shared" ca="1" si="75"/>
        <v>112465.89614194277</v>
      </c>
      <c r="CW9" s="40">
        <f t="shared" ca="1" si="75"/>
        <v>122506.91417586815</v>
      </c>
      <c r="CX9" s="40">
        <f t="shared" ca="1" si="75"/>
        <v>133444.39990903606</v>
      </c>
      <c r="CY9" s="40">
        <f t="shared" ca="1" si="75"/>
        <v>145358.39047842502</v>
      </c>
      <c r="CZ9" s="40">
        <f t="shared" ca="1" si="75"/>
        <v>158336.06878131381</v>
      </c>
      <c r="DA9" s="40">
        <f t="shared" ca="1" si="75"/>
        <v>172472.40145275291</v>
      </c>
      <c r="DB9" s="40">
        <f t="shared" ca="1" si="75"/>
        <v>187870.83380202096</v>
      </c>
      <c r="DC9" s="40">
        <f t="shared" ca="1" si="75"/>
        <v>204644.04679339621</v>
      </c>
      <c r="DD9" s="40">
        <f t="shared" ca="1" si="75"/>
        <v>222914.78161059416</v>
      </c>
      <c r="DE9" s="40">
        <f t="shared" ca="1" si="75"/>
        <v>242816.73783877891</v>
      </c>
      <c r="DF9" s="40">
        <f t="shared" ca="1" si="75"/>
        <v>264495.55183676601</v>
      </c>
      <c r="DG9" s="40">
        <f t="shared" ca="1" si="75"/>
        <v>288109.8624588424</v>
      </c>
      <c r="DH9" s="40">
        <f t="shared" ca="1" si="75"/>
        <v>313832.4719248254</v>
      </c>
      <c r="DI9" s="40">
        <f t="shared" ca="1" si="75"/>
        <v>341851.61033324961</v>
      </c>
      <c r="DJ9" s="40">
        <f t="shared" ca="1" si="75"/>
        <v>372372.3130709969</v>
      </c>
      <c r="DK9" s="40">
        <f t="shared" ca="1" si="75"/>
        <v>405617.92119882809</v>
      </c>
      <c r="DL9" s="40">
        <f t="shared" ca="1" si="75"/>
        <v>441831.71579217288</v>
      </c>
      <c r="DM9" s="40">
        <f t="shared" ca="1" si="75"/>
        <v>481278.69819677836</v>
      </c>
      <c r="DN9" s="40">
        <f t="shared" ca="1" si="75"/>
        <v>524247.52922657668</v>
      </c>
      <c r="DO9" s="40">
        <f t="shared" ca="1" si="75"/>
        <v>571052.64149422129</v>
      </c>
      <c r="DP9" s="40">
        <f t="shared" ca="1" si="75"/>
        <v>622036.54033167346</v>
      </c>
      <c r="DQ9" s="40">
        <f t="shared" ca="1" si="75"/>
        <v>677572.31013826432</v>
      </c>
      <c r="DR9" s="40">
        <f t="shared" ca="1" si="75"/>
        <v>738066.34449691209</v>
      </c>
      <c r="DS9" s="40">
        <f t="shared" ca="1" si="75"/>
        <v>803961.32003663993</v>
      </c>
      <c r="DT9" s="40">
        <f t="shared" ca="1" si="75"/>
        <v>875739.4358032007</v>
      </c>
      <c r="DU9" s="40">
        <f t="shared" ca="1" si="75"/>
        <v>953925.94184252108</v>
      </c>
      <c r="DV9" s="40">
        <f t="shared" ca="1" si="75"/>
        <v>1039092.9828180465</v>
      </c>
      <c r="DW9" s="40">
        <f t="shared" ca="1" si="75"/>
        <v>1131863.7847883895</v>
      </c>
      <c r="DX9" s="40">
        <f t="shared" ca="1" si="75"/>
        <v>1232917.2157828258</v>
      </c>
      <c r="DY9" s="40">
        <f t="shared" ca="1" si="75"/>
        <v>1342992.7535475185</v>
      </c>
      <c r="DZ9" s="40">
        <f t="shared" ca="1" si="75"/>
        <v>1462895.8968148995</v>
      </c>
      <c r="EA9" s="40">
        <f t="shared" ca="1" si="75"/>
        <v>1593504.0596942045</v>
      </c>
      <c r="EB9" s="40">
        <f t="shared" ca="1" si="75"/>
        <v>1735772.9923164884</v>
      </c>
      <c r="EC9" s="40">
        <f t="shared" ca="1" si="75"/>
        <v>1890743.7747184134</v>
      </c>
      <c r="ED9" s="40">
        <f t="shared" ref="ED9:GO9" ca="1" si="76">IF(IF(AND(ISNA(ED$8),ISNA(EC$8)),EC9*(1+$C$11),IF(AND(EC$8&gt;0,ISNA(ED$8)),EC9*(1+$C$11),ED$8))&gt;$C$21,$C$21,IF(AND(ISNA(ED$8),ISNA(EC$8)),EC9*(1+$C$11),IF(AND(EC$8&gt;0,ISNA(ED$8)),EC9*(1+$C$11),ED$8)))</f>
        <v>2059550.4351438892</v>
      </c>
      <c r="EE9" s="40">
        <f t="shared" ca="1" si="76"/>
        <v>2243428.2485119393</v>
      </c>
      <c r="EF9" s="40">
        <f t="shared" ca="1" si="76"/>
        <v>2443722.7757764151</v>
      </c>
      <c r="EG9" s="40">
        <f t="shared" ca="1" si="76"/>
        <v>2661899.7103247922</v>
      </c>
      <c r="EH9" s="40">
        <f t="shared" ca="1" si="76"/>
        <v>2899555.6034689546</v>
      </c>
      <c r="EI9" s="40">
        <f t="shared" ca="1" si="76"/>
        <v>3158429.5475137867</v>
      </c>
      <c r="EJ9" s="40">
        <f t="shared" ca="1" si="76"/>
        <v>3440415.9018966551</v>
      </c>
      <c r="EK9" s="40">
        <f t="shared" ca="1" si="76"/>
        <v>3747578.1555237328</v>
      </c>
      <c r="EL9" s="40">
        <f t="shared" ca="1" si="76"/>
        <v>4082164.0267434544</v>
      </c>
      <c r="EM9" s="40">
        <f t="shared" ca="1" si="76"/>
        <v>4446621.9114540368</v>
      </c>
      <c r="EN9" s="40">
        <f t="shared" ca="1" si="76"/>
        <v>4843618.7997072274</v>
      </c>
      <c r="EO9" s="40">
        <f t="shared" ca="1" si="76"/>
        <v>5276059.791916443</v>
      </c>
      <c r="EP9" s="40">
        <f t="shared" ca="1" si="76"/>
        <v>5747109.3574828757</v>
      </c>
      <c r="EQ9" s="40">
        <f t="shared" ca="1" si="76"/>
        <v>6260214.4914036095</v>
      </c>
      <c r="ER9" s="40">
        <f t="shared" ca="1" si="76"/>
        <v>6819129.9383146511</v>
      </c>
      <c r="ES9" s="40">
        <f t="shared" ca="1" si="76"/>
        <v>7427945.6685506059</v>
      </c>
      <c r="ET9" s="40">
        <f t="shared" ca="1" si="76"/>
        <v>8091116.8072823174</v>
      </c>
      <c r="EU9" s="40">
        <f t="shared" ca="1" si="76"/>
        <v>8813496.2357446309</v>
      </c>
      <c r="EV9" s="40">
        <f t="shared" ca="1" si="76"/>
        <v>9600370.1031199843</v>
      </c>
      <c r="EW9" s="40">
        <f t="shared" ca="1" si="76"/>
        <v>10457496.508942803</v>
      </c>
      <c r="EX9" s="40">
        <f t="shared" ca="1" si="76"/>
        <v>11391147.639090573</v>
      </c>
      <c r="EY9" s="40">
        <f t="shared" ca="1" si="76"/>
        <v>12408155.663699724</v>
      </c>
      <c r="EZ9" s="40">
        <f t="shared" ca="1" si="76"/>
        <v>13515962.732873095</v>
      </c>
      <c r="FA9" s="40">
        <f t="shared" ca="1" si="76"/>
        <v>14722675.436032088</v>
      </c>
      <c r="FB9" s="40">
        <f t="shared" ca="1" si="76"/>
        <v>16037124.123430196</v>
      </c>
      <c r="FC9" s="40">
        <f t="shared" ca="1" si="76"/>
        <v>17468927.523924407</v>
      </c>
      <c r="FD9" s="40">
        <f t="shared" ca="1" si="76"/>
        <v>19028563.131857336</v>
      </c>
      <c r="FE9" s="40">
        <f t="shared" ca="1" si="76"/>
        <v>20727443.878119506</v>
      </c>
      <c r="FF9" s="40">
        <f t="shared" ca="1" si="76"/>
        <v>22578001.646446902</v>
      </c>
      <c r="FG9" s="40">
        <f t="shared" ca="1" si="76"/>
        <v>24593778.246100236</v>
      </c>
      <c r="FH9" s="40">
        <f t="shared" ca="1" si="76"/>
        <v>26789524.506635822</v>
      </c>
      <c r="FI9" s="40">
        <f t="shared" ca="1" si="76"/>
        <v>29181308.219912957</v>
      </c>
      <c r="FJ9" s="40">
        <f t="shared" ca="1" si="76"/>
        <v>31786631.719224025</v>
      </c>
      <c r="FK9" s="40">
        <f t="shared" ca="1" si="76"/>
        <v>34624559.955955006</v>
      </c>
      <c r="FL9" s="40">
        <f t="shared" ca="1" si="76"/>
        <v>37715860.011001803</v>
      </c>
      <c r="FM9" s="40">
        <f t="shared" ca="1" si="76"/>
        <v>41083153.061843738</v>
      </c>
      <c r="FN9" s="40">
        <f t="shared" ca="1" si="76"/>
        <v>44751079.917322263</v>
      </c>
      <c r="FO9" s="40">
        <f t="shared" ca="1" si="76"/>
        <v>48746481.331457183</v>
      </c>
      <c r="FP9" s="40">
        <f t="shared" ca="1" si="76"/>
        <v>53098594.415781148</v>
      </c>
      <c r="FQ9" s="40">
        <f t="shared" ca="1" si="76"/>
        <v>57839266.587477043</v>
      </c>
      <c r="FR9" s="40">
        <f t="shared" ca="1" si="76"/>
        <v>63003188.61892464</v>
      </c>
      <c r="FS9" s="40">
        <f t="shared" ca="1" si="76"/>
        <v>68628148.494040936</v>
      </c>
      <c r="FT9" s="40">
        <f t="shared" ca="1" si="76"/>
        <v>74755307.929056406</v>
      </c>
      <c r="FU9" s="40">
        <f t="shared" ca="1" si="76"/>
        <v>81429503.581220567</v>
      </c>
      <c r="FV9" s="40">
        <f t="shared" ca="1" si="76"/>
        <v>88699575.149589121</v>
      </c>
      <c r="FW9" s="40">
        <f t="shared" ca="1" si="76"/>
        <v>96618722.768832549</v>
      </c>
      <c r="FX9" s="40">
        <f t="shared" ca="1" si="76"/>
        <v>105244896.31136373</v>
      </c>
      <c r="FY9" s="40">
        <f t="shared" ca="1" si="76"/>
        <v>114641219.44657683</v>
      </c>
      <c r="FZ9" s="40">
        <f t="shared" ca="1" si="76"/>
        <v>124876451.56033209</v>
      </c>
      <c r="GA9" s="40">
        <f t="shared" ca="1" si="76"/>
        <v>136025490.91487011</v>
      </c>
      <c r="GB9" s="40">
        <f t="shared" ca="1" si="76"/>
        <v>148169922.73112446</v>
      </c>
      <c r="GC9" s="40">
        <f t="shared" ca="1" si="76"/>
        <v>161398616.20412925</v>
      </c>
      <c r="GD9" s="40">
        <f t="shared" ca="1" si="76"/>
        <v>175808374.8202959</v>
      </c>
      <c r="GE9" s="40">
        <f t="shared" ca="1" si="76"/>
        <v>191504644.73537961</v>
      </c>
      <c r="GF9" s="40">
        <f t="shared" ca="1" si="76"/>
        <v>208602286.39682633</v>
      </c>
      <c r="GG9" s="40">
        <f t="shared" ca="1" si="76"/>
        <v>227226415.05699405</v>
      </c>
      <c r="GH9" s="40">
        <f t="shared" ca="1" si="76"/>
        <v>247513316.32786387</v>
      </c>
      <c r="GI9" s="40">
        <f t="shared" ca="1" si="76"/>
        <v>269611443.4769873</v>
      </c>
      <c r="GJ9" s="40">
        <f t="shared" ca="1" si="76"/>
        <v>293682503.76257265</v>
      </c>
      <c r="GK9" s="40">
        <f t="shared" ca="1" si="76"/>
        <v>319902641.75717497</v>
      </c>
      <c r="GL9" s="40">
        <f t="shared" ca="1" si="76"/>
        <v>348463728.31918597</v>
      </c>
      <c r="GM9" s="40">
        <f t="shared" ca="1" si="76"/>
        <v>379574764.6444186</v>
      </c>
      <c r="GN9" s="40">
        <f t="shared" ca="1" si="76"/>
        <v>413463411.67220151</v>
      </c>
      <c r="GO9" s="40">
        <f t="shared" ca="1" si="76"/>
        <v>450377656.03770393</v>
      </c>
      <c r="GP9" s="40">
        <f t="shared" ref="GP9:IN9" ca="1" si="77">IF(IF(AND(ISNA(GP$8),ISNA(GO$8)),GO9*(1+$C$11),IF(AND(GO$8&gt;0,ISNA(GP$8)),GO9*(1+$C$11),GP$8))&gt;$C$21,$C$21,IF(AND(ISNA(GP$8),ISNA(GO$8)),GO9*(1+$C$11),IF(AND(GO$8&gt;0,ISNA(GP$8)),GO9*(1+$C$11),GP$8)))</f>
        <v>490587624.76141477</v>
      </c>
      <c r="GQ9" s="40">
        <f t="shared" ca="1" si="77"/>
        <v>534387561.95511216</v>
      </c>
      <c r="GR9" s="40">
        <f t="shared" ca="1" si="77"/>
        <v>582097982.00924623</v>
      </c>
      <c r="GS9" s="40">
        <f t="shared" ca="1" si="77"/>
        <v>634068015.01809406</v>
      </c>
      <c r="GT9" s="40">
        <f t="shared" ca="1" si="77"/>
        <v>690677961.6057831</v>
      </c>
      <c r="GU9" s="40">
        <f t="shared" ca="1" si="77"/>
        <v>752342075.84860849</v>
      </c>
      <c r="GV9" s="40">
        <f t="shared" ca="1" si="77"/>
        <v>819511596.65821028</v>
      </c>
      <c r="GW9" s="40">
        <f t="shared" ca="1" si="77"/>
        <v>892678049.80833352</v>
      </c>
      <c r="GX9" s="40">
        <f t="shared" ca="1" si="77"/>
        <v>972376844.76838219</v>
      </c>
      <c r="GY9" s="40">
        <f t="shared" ca="1" si="77"/>
        <v>1059191192.6642823</v>
      </c>
      <c r="GZ9" s="40">
        <f t="shared" ca="1" si="77"/>
        <v>1153756374.0370796</v>
      </c>
      <c r="HA9" s="40">
        <f t="shared" ca="1" si="77"/>
        <v>1256764387.6294084</v>
      </c>
      <c r="HB9" s="40">
        <f t="shared" ca="1" si="77"/>
        <v>1368969014.218214</v>
      </c>
      <c r="HC9" s="40">
        <f t="shared" ca="1" si="77"/>
        <v>1491191332.549289</v>
      </c>
      <c r="HD9" s="40">
        <f t="shared" ca="1" si="77"/>
        <v>1624325727.7375262</v>
      </c>
      <c r="HE9" s="40">
        <f t="shared" ca="1" si="77"/>
        <v>1690144088</v>
      </c>
      <c r="HF9" s="40">
        <f t="shared" ca="1" si="77"/>
        <v>1690144088</v>
      </c>
      <c r="HG9" s="40">
        <f t="shared" ca="1" si="77"/>
        <v>1690144088</v>
      </c>
      <c r="HH9" s="40">
        <f t="shared" ca="1" si="77"/>
        <v>1690144088</v>
      </c>
      <c r="HI9" s="40">
        <f t="shared" ca="1" si="77"/>
        <v>1690144088</v>
      </c>
      <c r="HJ9" s="40">
        <f t="shared" ca="1" si="77"/>
        <v>1690144088</v>
      </c>
      <c r="HK9" s="40">
        <f t="shared" ca="1" si="77"/>
        <v>1690144088</v>
      </c>
      <c r="HL9" s="40">
        <f t="shared" ca="1" si="77"/>
        <v>1690144088</v>
      </c>
      <c r="HM9" s="40">
        <f t="shared" ca="1" si="77"/>
        <v>1690144088</v>
      </c>
      <c r="HN9" s="40">
        <f t="shared" ca="1" si="77"/>
        <v>1690144088</v>
      </c>
      <c r="HO9" s="40">
        <f t="shared" ca="1" si="77"/>
        <v>1690144088</v>
      </c>
      <c r="HP9" s="40">
        <f t="shared" ca="1" si="77"/>
        <v>1690144088</v>
      </c>
      <c r="HQ9" s="40">
        <f t="shared" ca="1" si="77"/>
        <v>1690144088</v>
      </c>
      <c r="HR9" s="40">
        <f t="shared" ca="1" si="77"/>
        <v>1690144088</v>
      </c>
      <c r="HS9" s="40">
        <f t="shared" ca="1" si="77"/>
        <v>1690144088</v>
      </c>
      <c r="HT9" s="40">
        <f t="shared" ca="1" si="77"/>
        <v>1690144088</v>
      </c>
      <c r="HU9" s="40">
        <f t="shared" ca="1" si="77"/>
        <v>1690144088</v>
      </c>
      <c r="HV9" s="40">
        <f t="shared" ca="1" si="77"/>
        <v>1690144088</v>
      </c>
      <c r="HW9" s="40">
        <f t="shared" ca="1" si="77"/>
        <v>1690144088</v>
      </c>
      <c r="HX9" s="40">
        <f t="shared" ca="1" si="77"/>
        <v>1690144088</v>
      </c>
      <c r="HY9" s="40">
        <f t="shared" ca="1" si="77"/>
        <v>1690144088</v>
      </c>
      <c r="HZ9" s="40">
        <f t="shared" ca="1" si="77"/>
        <v>1690144088</v>
      </c>
      <c r="IA9" s="40">
        <f t="shared" ca="1" si="77"/>
        <v>1690144088</v>
      </c>
      <c r="IB9" s="40">
        <f t="shared" ca="1" si="77"/>
        <v>1690144088</v>
      </c>
      <c r="IC9" s="40">
        <f t="shared" ca="1" si="77"/>
        <v>1690144088</v>
      </c>
      <c r="ID9" s="40">
        <f t="shared" ca="1" si="77"/>
        <v>1690144088</v>
      </c>
      <c r="IE9" s="40">
        <f t="shared" ca="1" si="77"/>
        <v>1690144088</v>
      </c>
      <c r="IF9" s="40">
        <f t="shared" ca="1" si="77"/>
        <v>1690144088</v>
      </c>
      <c r="IG9" s="40">
        <f t="shared" ca="1" si="77"/>
        <v>1690144088</v>
      </c>
      <c r="IH9" s="40">
        <f t="shared" ca="1" si="77"/>
        <v>1690144088</v>
      </c>
      <c r="II9" s="40">
        <f t="shared" ca="1" si="77"/>
        <v>1690144088</v>
      </c>
      <c r="IJ9" s="40">
        <f t="shared" ca="1" si="77"/>
        <v>1690144088</v>
      </c>
      <c r="IK9" s="40">
        <f t="shared" ca="1" si="77"/>
        <v>1690144088</v>
      </c>
      <c r="IL9" s="40">
        <f t="shared" ca="1" si="77"/>
        <v>1690144088</v>
      </c>
      <c r="IM9" s="40">
        <f t="shared" ca="1" si="77"/>
        <v>1690144088</v>
      </c>
      <c r="IN9" s="40">
        <f t="shared" ca="1" si="77"/>
        <v>1690144088</v>
      </c>
    </row>
    <row r="10" spans="2:248" x14ac:dyDescent="0.3">
      <c r="B10" s="19" t="s">
        <v>451</v>
      </c>
      <c r="C10" s="19">
        <v>5</v>
      </c>
      <c r="E10" s="19">
        <v>0.1</v>
      </c>
      <c r="F10" s="19" t="s">
        <v>492</v>
      </c>
      <c r="G10" s="40">
        <f>IF(IF(AND(ISNA(G$8),ISNA(F$8)),F10*(1+$E$10),IF(AND(F$8&gt;0,ISNA(G$8)),F10*(1+$E$10),G$8))&gt;$C$21,$C$21,IF(AND(ISNA(G$8),ISNA(F$8)),F10*(1+$E$10),IF(AND(F$8&gt;0,ISNA(G$8)),F10*(1+$E$10),G$8)))</f>
        <v>554</v>
      </c>
      <c r="H10" s="40">
        <f t="shared" ref="H10" ca="1" si="78">IF(IF(AND(ISNA(H$8),ISNA(G$8)),G10*(1+$E$10),IF(AND(G$8&gt;0,ISNA(H$8)),G10*(1+$E$10),H$8))&gt;$C$21,$C$21,IF(AND(ISNA(H$8),ISNA(G$8)),G10*(1+$E$10),IF(AND(G$8&gt;0,ISNA(H$8)),G10*(1+$E$10),H$8)))</f>
        <v>652</v>
      </c>
      <c r="I10" s="40">
        <f t="shared" ref="I10:BT10" ca="1" si="79">IF(IF(AND(ISNA(I$8),ISNA(H$8)),H10*(1+$E$10),IF(AND(H$8&gt;0,ISNA(I$8)),H10*(1+$E$10),I$8))&gt;$C$21,$C$21,IF(AND(ISNA(I$8),ISNA(H$8)),H10*(1+$E$10),IF(AND(H$8&gt;0,ISNA(I$8)),H10*(1+$E$10),I$8)))</f>
        <v>928</v>
      </c>
      <c r="J10" s="40">
        <f t="shared" ca="1" si="79"/>
        <v>1404</v>
      </c>
      <c r="K10" s="40">
        <f t="shared" ca="1" si="79"/>
        <v>2066</v>
      </c>
      <c r="L10" s="40">
        <f t="shared" ca="1" si="79"/>
        <v>2846</v>
      </c>
      <c r="M10" s="40">
        <f t="shared" ca="1" si="79"/>
        <v>5443</v>
      </c>
      <c r="N10" s="40">
        <f t="shared" ca="1" si="79"/>
        <v>6022</v>
      </c>
      <c r="O10" s="40">
        <f t="shared" ca="1" si="79"/>
        <v>8049</v>
      </c>
      <c r="P10" s="40">
        <f t="shared" ca="1" si="79"/>
        <v>9690</v>
      </c>
      <c r="Q10" s="40">
        <f t="shared" ca="1" si="79"/>
        <v>11746</v>
      </c>
      <c r="R10" s="40">
        <f t="shared" ca="1" si="79"/>
        <v>15281</v>
      </c>
      <c r="S10" s="40">
        <f t="shared" ca="1" si="79"/>
        <v>18664</v>
      </c>
      <c r="T10" s="40">
        <f t="shared" ca="1" si="79"/>
        <v>22153</v>
      </c>
      <c r="U10" s="40">
        <f t="shared" ca="1" si="79"/>
        <v>25147</v>
      </c>
      <c r="V10" s="40">
        <f t="shared" ca="1" si="79"/>
        <v>27387</v>
      </c>
      <c r="W10" s="40">
        <f t="shared" ca="1" si="79"/>
        <v>29934</v>
      </c>
      <c r="X10" s="40">
        <f t="shared" ca="1" si="79"/>
        <v>28155</v>
      </c>
      <c r="Y10" s="40">
        <f t="shared" ca="1" si="79"/>
        <v>32519</v>
      </c>
      <c r="Z10" s="40">
        <f t="shared" ca="1" si="79"/>
        <v>31472</v>
      </c>
      <c r="AA10" s="40">
        <f t="shared" ca="1" si="79"/>
        <v>32154</v>
      </c>
      <c r="AB10" s="40">
        <f t="shared" ca="1" si="79"/>
        <v>35297</v>
      </c>
      <c r="AC10" s="40">
        <f t="shared" ca="1" si="79"/>
        <v>37719</v>
      </c>
      <c r="AD10" s="40">
        <f t="shared" ca="1" si="79"/>
        <v>42633</v>
      </c>
      <c r="AE10" s="40">
        <f t="shared" ca="1" si="79"/>
        <v>39707</v>
      </c>
      <c r="AF10" s="40">
        <f t="shared" ca="1" si="79"/>
        <v>38329</v>
      </c>
      <c r="AG10" s="40">
        <f t="shared" ca="1" si="79"/>
        <v>37659</v>
      </c>
      <c r="AH10" s="40">
        <f t="shared" ca="1" si="79"/>
        <v>35508</v>
      </c>
      <c r="AI10" s="40">
        <f t="shared" ca="1" si="79"/>
        <v>33992</v>
      </c>
      <c r="AJ10" s="40">
        <f t="shared" ca="1" si="79"/>
        <v>31196</v>
      </c>
      <c r="AK10" s="40">
        <f t="shared" ca="1" si="79"/>
        <v>29851</v>
      </c>
      <c r="AL10" s="40">
        <f t="shared" ca="1" si="79"/>
        <v>29897</v>
      </c>
      <c r="AM10" s="40">
        <f t="shared" ca="1" si="79"/>
        <v>20821</v>
      </c>
      <c r="AN10" s="40">
        <f t="shared" ca="1" si="79"/>
        <v>7443</v>
      </c>
      <c r="AO10" s="40">
        <f t="shared" ca="1" si="79"/>
        <v>5054</v>
      </c>
      <c r="AP10" s="40">
        <f t="shared" ca="1" si="79"/>
        <v>8173</v>
      </c>
      <c r="AQ10" s="40">
        <f t="shared" ca="1" si="79"/>
        <v>7003</v>
      </c>
      <c r="AR10" s="40">
        <f t="shared" ca="1" si="79"/>
        <v>6222</v>
      </c>
      <c r="AS10" s="40">
        <f t="shared" ca="1" si="79"/>
        <v>5978</v>
      </c>
      <c r="AT10" s="40">
        <f t="shared" ca="1" si="79"/>
        <v>8162</v>
      </c>
      <c r="AU10" s="40">
        <f t="shared" ca="1" si="79"/>
        <v>8410</v>
      </c>
      <c r="AV10" s="40">
        <f t="shared" ca="1" si="79"/>
        <v>8630</v>
      </c>
      <c r="AW10" s="40">
        <f t="shared" ca="1" si="79"/>
        <v>6824</v>
      </c>
      <c r="AX10" s="40">
        <f t="shared" ca="1" si="79"/>
        <v>8520</v>
      </c>
      <c r="AY10" s="40">
        <f t="shared" ca="1" si="79"/>
        <v>8857</v>
      </c>
      <c r="AZ10" s="40">
        <f t="shared" ca="1" si="79"/>
        <v>8535</v>
      </c>
      <c r="BA10" s="40">
        <f t="shared" ca="1" si="79"/>
        <v>8185</v>
      </c>
      <c r="BB10" s="40">
        <f t="shared" ca="1" si="79"/>
        <v>7213</v>
      </c>
      <c r="BC10" s="40">
        <f t="shared" ca="1" si="79"/>
        <v>6597</v>
      </c>
      <c r="BD10" s="40">
        <f t="shared" ca="1" si="79"/>
        <v>5421</v>
      </c>
      <c r="BE10" s="40">
        <f t="shared" ca="1" si="79"/>
        <v>4483</v>
      </c>
      <c r="BF10" s="40">
        <f t="shared" ca="1" si="79"/>
        <v>4450</v>
      </c>
      <c r="BG10" s="40">
        <f t="shared" ca="1" si="79"/>
        <v>3656</v>
      </c>
      <c r="BH10" s="40">
        <f t="shared" ca="1" si="79"/>
        <v>3963</v>
      </c>
      <c r="BI10" s="40">
        <f t="shared" ca="1" si="79"/>
        <v>3730</v>
      </c>
      <c r="BJ10" s="40">
        <f t="shared" ca="1" si="79"/>
        <v>3448</v>
      </c>
      <c r="BK10" s="40">
        <f t="shared" ca="1" si="79"/>
        <v>3607</v>
      </c>
      <c r="BL10" s="40">
        <f t="shared" ca="1" si="79"/>
        <v>4231</v>
      </c>
      <c r="BM10" s="40">
        <f t="shared" ca="1" si="79"/>
        <v>4858</v>
      </c>
      <c r="BN10" s="40">
        <f t="shared" ca="1" si="79"/>
        <v>5784</v>
      </c>
      <c r="BO10" s="40">
        <f t="shared" ca="1" si="79"/>
        <v>6226</v>
      </c>
      <c r="BP10" s="40">
        <f t="shared" ca="1" si="79"/>
        <v>7287</v>
      </c>
      <c r="BQ10" s="40">
        <f t="shared" ca="1" si="79"/>
        <v>7620</v>
      </c>
      <c r="BR10" s="40">
        <f t="shared" ca="1" si="79"/>
        <v>8458</v>
      </c>
      <c r="BS10" s="40">
        <f t="shared" ca="1" si="79"/>
        <v>9113</v>
      </c>
      <c r="BT10" s="40">
        <f t="shared" ca="1" si="79"/>
        <v>10156</v>
      </c>
      <c r="BU10" s="40">
        <f t="shared" ref="BU10:EF10" ca="1" si="80">IF(IF(AND(ISNA(BU$8),ISNA(BT$8)),BT10*(1+$E$10),IF(AND(BT$8&gt;0,ISNA(BU$8)),BT10*(1+$E$10),BU$8))&gt;$C$21,$C$21,IF(AND(ISNA(BU$8),ISNA(BT$8)),BT10*(1+$E$10),IF(AND(BT$8&gt;0,ISNA(BU$8)),BT10*(1+$E$10),BU$8)))</f>
        <v>11175</v>
      </c>
      <c r="BV10" s="40">
        <f t="shared" ca="1" si="80"/>
        <v>12292.500000000002</v>
      </c>
      <c r="BW10" s="40">
        <f t="shared" ca="1" si="80"/>
        <v>13521.750000000004</v>
      </c>
      <c r="BX10" s="40">
        <f t="shared" ca="1" si="80"/>
        <v>14873.925000000005</v>
      </c>
      <c r="BY10" s="40">
        <f t="shared" ca="1" si="80"/>
        <v>16361.317500000006</v>
      </c>
      <c r="BZ10" s="40">
        <f t="shared" ca="1" si="80"/>
        <v>17997.449250000009</v>
      </c>
      <c r="CA10" s="40">
        <f t="shared" ca="1" si="80"/>
        <v>19797.194175000011</v>
      </c>
      <c r="CB10" s="40">
        <f t="shared" ca="1" si="80"/>
        <v>21776.913592500016</v>
      </c>
      <c r="CC10" s="40">
        <f t="shared" ca="1" si="80"/>
        <v>23954.604951750018</v>
      </c>
      <c r="CD10" s="40">
        <f t="shared" ca="1" si="80"/>
        <v>26350.065446925022</v>
      </c>
      <c r="CE10" s="40">
        <f t="shared" ca="1" si="80"/>
        <v>28985.071991617526</v>
      </c>
      <c r="CF10" s="40">
        <f t="shared" ca="1" si="80"/>
        <v>31883.579190779281</v>
      </c>
      <c r="CG10" s="40">
        <f t="shared" ca="1" si="80"/>
        <v>35071.937109857208</v>
      </c>
      <c r="CH10" s="40">
        <f t="shared" ca="1" si="80"/>
        <v>38579.130820842933</v>
      </c>
      <c r="CI10" s="40">
        <f t="shared" ca="1" si="80"/>
        <v>42437.043902927231</v>
      </c>
      <c r="CJ10" s="40">
        <f t="shared" ca="1" si="80"/>
        <v>46680.748293219956</v>
      </c>
      <c r="CK10" s="40">
        <f t="shared" ca="1" si="80"/>
        <v>51348.823122541959</v>
      </c>
      <c r="CL10" s="40">
        <f t="shared" ca="1" si="80"/>
        <v>56483.70543479616</v>
      </c>
      <c r="CM10" s="40">
        <f t="shared" ca="1" si="80"/>
        <v>62132.075978275781</v>
      </c>
      <c r="CN10" s="40">
        <f t="shared" ca="1" si="80"/>
        <v>68345.283576103364</v>
      </c>
      <c r="CO10" s="40">
        <f t="shared" ca="1" si="80"/>
        <v>75179.811933713703</v>
      </c>
      <c r="CP10" s="40">
        <f t="shared" ca="1" si="80"/>
        <v>82697.793127085082</v>
      </c>
      <c r="CQ10" s="40">
        <f t="shared" ca="1" si="80"/>
        <v>90967.572439793599</v>
      </c>
      <c r="CR10" s="40">
        <f t="shared" ca="1" si="80"/>
        <v>100064.32968377297</v>
      </c>
      <c r="CS10" s="40">
        <f t="shared" ca="1" si="80"/>
        <v>110070.76265215028</v>
      </c>
      <c r="CT10" s="40">
        <f t="shared" ca="1" si="80"/>
        <v>121077.83891736533</v>
      </c>
      <c r="CU10" s="40">
        <f t="shared" ca="1" si="80"/>
        <v>133185.62280910186</v>
      </c>
      <c r="CV10" s="40">
        <f t="shared" ca="1" si="80"/>
        <v>146504.18509001206</v>
      </c>
      <c r="CW10" s="40">
        <f t="shared" ca="1" si="80"/>
        <v>161154.6035990133</v>
      </c>
      <c r="CX10" s="40">
        <f t="shared" ca="1" si="80"/>
        <v>177270.06395891463</v>
      </c>
      <c r="CY10" s="40">
        <f t="shared" ca="1" si="80"/>
        <v>194997.07035480611</v>
      </c>
      <c r="CZ10" s="40">
        <f t="shared" ca="1" si="80"/>
        <v>214496.77739028673</v>
      </c>
      <c r="DA10" s="40">
        <f t="shared" ca="1" si="80"/>
        <v>235946.45512931544</v>
      </c>
      <c r="DB10" s="40">
        <f t="shared" ca="1" si="80"/>
        <v>259541.10064224701</v>
      </c>
      <c r="DC10" s="40">
        <f t="shared" ca="1" si="80"/>
        <v>285495.21070647176</v>
      </c>
      <c r="DD10" s="40">
        <f t="shared" ca="1" si="80"/>
        <v>314044.73177711898</v>
      </c>
      <c r="DE10" s="40">
        <f t="shared" ca="1" si="80"/>
        <v>345449.20495483093</v>
      </c>
      <c r="DF10" s="40">
        <f t="shared" ca="1" si="80"/>
        <v>379994.12545031408</v>
      </c>
      <c r="DG10" s="40">
        <f t="shared" ca="1" si="80"/>
        <v>417993.53799534554</v>
      </c>
      <c r="DH10" s="40">
        <f t="shared" ca="1" si="80"/>
        <v>459792.89179488015</v>
      </c>
      <c r="DI10" s="40">
        <f t="shared" ca="1" si="80"/>
        <v>505772.18097436824</v>
      </c>
      <c r="DJ10" s="40">
        <f t="shared" ca="1" si="80"/>
        <v>556349.39907180506</v>
      </c>
      <c r="DK10" s="40">
        <f t="shared" ca="1" si="80"/>
        <v>611984.33897898567</v>
      </c>
      <c r="DL10" s="40">
        <f t="shared" ca="1" si="80"/>
        <v>673182.77287688432</v>
      </c>
      <c r="DM10" s="40">
        <f t="shared" ca="1" si="80"/>
        <v>740501.05016457278</v>
      </c>
      <c r="DN10" s="40">
        <f t="shared" ca="1" si="80"/>
        <v>814551.15518103016</v>
      </c>
      <c r="DO10" s="40">
        <f t="shared" ca="1" si="80"/>
        <v>896006.27069913328</v>
      </c>
      <c r="DP10" s="40">
        <f t="shared" ca="1" si="80"/>
        <v>985606.89776904671</v>
      </c>
      <c r="DQ10" s="40">
        <f t="shared" ca="1" si="80"/>
        <v>1084167.5875459514</v>
      </c>
      <c r="DR10" s="40">
        <f t="shared" ca="1" si="80"/>
        <v>1192584.3463005465</v>
      </c>
      <c r="DS10" s="40">
        <f t="shared" ca="1" si="80"/>
        <v>1311842.7809306013</v>
      </c>
      <c r="DT10" s="40">
        <f t="shared" ca="1" si="80"/>
        <v>1443027.0590236615</v>
      </c>
      <c r="DU10" s="40">
        <f t="shared" ca="1" si="80"/>
        <v>1587329.7649260277</v>
      </c>
      <c r="DV10" s="40">
        <f t="shared" ca="1" si="80"/>
        <v>1746062.7414186306</v>
      </c>
      <c r="DW10" s="40">
        <f t="shared" ca="1" si="80"/>
        <v>1920669.0155604938</v>
      </c>
      <c r="DX10" s="40">
        <f t="shared" ca="1" si="80"/>
        <v>2112735.9171165433</v>
      </c>
      <c r="DY10" s="40">
        <f t="shared" ca="1" si="80"/>
        <v>2324009.5088281976</v>
      </c>
      <c r="DZ10" s="40">
        <f t="shared" ca="1" si="80"/>
        <v>2556410.4597110176</v>
      </c>
      <c r="EA10" s="40">
        <f t="shared" ca="1" si="80"/>
        <v>2812051.5056821196</v>
      </c>
      <c r="EB10" s="40">
        <f t="shared" ca="1" si="80"/>
        <v>3093256.656250332</v>
      </c>
      <c r="EC10" s="40">
        <f t="shared" ca="1" si="80"/>
        <v>3402582.3218753655</v>
      </c>
      <c r="ED10" s="40">
        <f t="shared" ca="1" si="80"/>
        <v>3742840.5540629025</v>
      </c>
      <c r="EE10" s="40">
        <f t="shared" ca="1" si="80"/>
        <v>4117124.609469193</v>
      </c>
      <c r="EF10" s="40">
        <f t="shared" ca="1" si="80"/>
        <v>4528837.0704161124</v>
      </c>
      <c r="EG10" s="40">
        <f t="shared" ref="EG10:GR10" ca="1" si="81">IF(IF(AND(ISNA(EG$8),ISNA(EF$8)),EF10*(1+$E$10),IF(AND(EF$8&gt;0,ISNA(EG$8)),EF10*(1+$E$10),EG$8))&gt;$C$21,$C$21,IF(AND(ISNA(EG$8),ISNA(EF$8)),EF10*(1+$E$10),IF(AND(EF$8&gt;0,ISNA(EG$8)),EF10*(1+$E$10),EG$8)))</f>
        <v>4981720.7774577243</v>
      </c>
      <c r="EH10" s="40">
        <f t="shared" ca="1" si="81"/>
        <v>5479892.8552034972</v>
      </c>
      <c r="EI10" s="40">
        <f t="shared" ca="1" si="81"/>
        <v>6027882.1407238478</v>
      </c>
      <c r="EJ10" s="40">
        <f t="shared" ca="1" si="81"/>
        <v>6630670.3547962327</v>
      </c>
      <c r="EK10" s="40">
        <f t="shared" ca="1" si="81"/>
        <v>7293737.3902758565</v>
      </c>
      <c r="EL10" s="40">
        <f t="shared" ca="1" si="81"/>
        <v>8023111.1293034423</v>
      </c>
      <c r="EM10" s="40">
        <f t="shared" ca="1" si="81"/>
        <v>8825422.2422337867</v>
      </c>
      <c r="EN10" s="40">
        <f t="shared" ca="1" si="81"/>
        <v>9707964.4664571658</v>
      </c>
      <c r="EO10" s="40">
        <f t="shared" ca="1" si="81"/>
        <v>10678760.913102884</v>
      </c>
      <c r="EP10" s="40">
        <f t="shared" ca="1" si="81"/>
        <v>11746637.004413173</v>
      </c>
      <c r="EQ10" s="40">
        <f t="shared" ca="1" si="81"/>
        <v>12921300.70485449</v>
      </c>
      <c r="ER10" s="40">
        <f t="shared" ca="1" si="81"/>
        <v>14213430.775339941</v>
      </c>
      <c r="ES10" s="40">
        <f t="shared" ca="1" si="81"/>
        <v>15634773.852873936</v>
      </c>
      <c r="ET10" s="40">
        <f t="shared" ca="1" si="81"/>
        <v>17198251.238161333</v>
      </c>
      <c r="EU10" s="40">
        <f t="shared" ca="1" si="81"/>
        <v>18918076.361977469</v>
      </c>
      <c r="EV10" s="40">
        <f t="shared" ca="1" si="81"/>
        <v>20809883.998175219</v>
      </c>
      <c r="EW10" s="40">
        <f t="shared" ca="1" si="81"/>
        <v>22890872.397992741</v>
      </c>
      <c r="EX10" s="40">
        <f t="shared" ca="1" si="81"/>
        <v>25179959.637792017</v>
      </c>
      <c r="EY10" s="40">
        <f t="shared" ca="1" si="81"/>
        <v>27697955.601571221</v>
      </c>
      <c r="EZ10" s="40">
        <f t="shared" ca="1" si="81"/>
        <v>30467751.161728345</v>
      </c>
      <c r="FA10" s="40">
        <f t="shared" ca="1" si="81"/>
        <v>33514526.277901184</v>
      </c>
      <c r="FB10" s="40">
        <f t="shared" ca="1" si="81"/>
        <v>36865978.905691303</v>
      </c>
      <c r="FC10" s="40">
        <f t="shared" ca="1" si="81"/>
        <v>40552576.796260439</v>
      </c>
      <c r="FD10" s="40">
        <f t="shared" ca="1" si="81"/>
        <v>44607834.475886486</v>
      </c>
      <c r="FE10" s="40">
        <f t="shared" ca="1" si="81"/>
        <v>49068617.923475139</v>
      </c>
      <c r="FF10" s="40">
        <f t="shared" ca="1" si="81"/>
        <v>53975479.715822659</v>
      </c>
      <c r="FG10" s="40">
        <f t="shared" ca="1" si="81"/>
        <v>59373027.687404931</v>
      </c>
      <c r="FH10" s="40">
        <f t="shared" ca="1" si="81"/>
        <v>65310330.456145428</v>
      </c>
      <c r="FI10" s="40">
        <f t="shared" ca="1" si="81"/>
        <v>71841363.501759976</v>
      </c>
      <c r="FJ10" s="40">
        <f t="shared" ca="1" si="81"/>
        <v>79025499.851935983</v>
      </c>
      <c r="FK10" s="40">
        <f t="shared" ca="1" si="81"/>
        <v>86928049.837129593</v>
      </c>
      <c r="FL10" s="40">
        <f t="shared" ca="1" si="81"/>
        <v>95620854.820842564</v>
      </c>
      <c r="FM10" s="40">
        <f t="shared" ca="1" si="81"/>
        <v>105182940.30292682</v>
      </c>
      <c r="FN10" s="40">
        <f t="shared" ca="1" si="81"/>
        <v>115701234.33321951</v>
      </c>
      <c r="FO10" s="40">
        <f t="shared" ca="1" si="81"/>
        <v>127271357.76654148</v>
      </c>
      <c r="FP10" s="40">
        <f t="shared" ca="1" si="81"/>
        <v>139998493.54319564</v>
      </c>
      <c r="FQ10" s="40">
        <f t="shared" ca="1" si="81"/>
        <v>153998342.89751521</v>
      </c>
      <c r="FR10" s="40">
        <f t="shared" ca="1" si="81"/>
        <v>169398177.18726674</v>
      </c>
      <c r="FS10" s="40">
        <f t="shared" ca="1" si="81"/>
        <v>186337994.90599343</v>
      </c>
      <c r="FT10" s="40">
        <f t="shared" ca="1" si="81"/>
        <v>204971794.3965928</v>
      </c>
      <c r="FU10" s="40">
        <f t="shared" ca="1" si="81"/>
        <v>225468973.83625209</v>
      </c>
      <c r="FV10" s="40">
        <f t="shared" ca="1" si="81"/>
        <v>248015871.21987733</v>
      </c>
      <c r="FW10" s="40">
        <f t="shared" ca="1" si="81"/>
        <v>272817458.34186506</v>
      </c>
      <c r="FX10" s="40">
        <f t="shared" ca="1" si="81"/>
        <v>300099204.17605162</v>
      </c>
      <c r="FY10" s="40">
        <f t="shared" ca="1" si="81"/>
        <v>330109124.59365678</v>
      </c>
      <c r="FZ10" s="40">
        <f t="shared" ca="1" si="81"/>
        <v>363120037.0530225</v>
      </c>
      <c r="GA10" s="40">
        <f t="shared" ca="1" si="81"/>
        <v>399432040.7583248</v>
      </c>
      <c r="GB10" s="40">
        <f t="shared" ca="1" si="81"/>
        <v>439375244.83415729</v>
      </c>
      <c r="GC10" s="40">
        <f t="shared" ca="1" si="81"/>
        <v>483312769.31757307</v>
      </c>
      <c r="GD10" s="40">
        <f t="shared" ca="1" si="81"/>
        <v>531644046.2493304</v>
      </c>
      <c r="GE10" s="40">
        <f t="shared" ca="1" si="81"/>
        <v>584808450.87426353</v>
      </c>
      <c r="GF10" s="40">
        <f t="shared" ca="1" si="81"/>
        <v>643289295.96168995</v>
      </c>
      <c r="GG10" s="40">
        <f t="shared" ca="1" si="81"/>
        <v>707618225.55785894</v>
      </c>
      <c r="GH10" s="40">
        <f t="shared" ca="1" si="81"/>
        <v>778380048.11364496</v>
      </c>
      <c r="GI10" s="40">
        <f t="shared" ca="1" si="81"/>
        <v>856218052.92500949</v>
      </c>
      <c r="GJ10" s="40">
        <f t="shared" ca="1" si="81"/>
        <v>941839858.21751046</v>
      </c>
      <c r="GK10" s="40">
        <f t="shared" ca="1" si="81"/>
        <v>1036023844.0392616</v>
      </c>
      <c r="GL10" s="40">
        <f t="shared" ca="1" si="81"/>
        <v>1139626228.4431877</v>
      </c>
      <c r="GM10" s="40">
        <f t="shared" ca="1" si="81"/>
        <v>1253588851.2875066</v>
      </c>
      <c r="GN10" s="40">
        <f t="shared" ca="1" si="81"/>
        <v>1378947736.4162574</v>
      </c>
      <c r="GO10" s="40">
        <f t="shared" ca="1" si="81"/>
        <v>1516842510.0578833</v>
      </c>
      <c r="GP10" s="40">
        <f t="shared" ca="1" si="81"/>
        <v>1668526761.0636718</v>
      </c>
      <c r="GQ10" s="40">
        <f t="shared" ca="1" si="81"/>
        <v>1690144088</v>
      </c>
      <c r="GR10" s="40">
        <f t="shared" ca="1" si="81"/>
        <v>1690144088</v>
      </c>
      <c r="GS10" s="40">
        <f t="shared" ref="GS10:IN10" ca="1" si="82">IF(IF(AND(ISNA(GS$8),ISNA(GR$8)),GR10*(1+$E$10),IF(AND(GR$8&gt;0,ISNA(GS$8)),GR10*(1+$E$10),GS$8))&gt;$C$21,$C$21,IF(AND(ISNA(GS$8),ISNA(GR$8)),GR10*(1+$E$10),IF(AND(GR$8&gt;0,ISNA(GS$8)),GR10*(1+$E$10),GS$8)))</f>
        <v>1690144088</v>
      </c>
      <c r="GT10" s="40">
        <f t="shared" ca="1" si="82"/>
        <v>1690144088</v>
      </c>
      <c r="GU10" s="40">
        <f t="shared" ca="1" si="82"/>
        <v>1690144088</v>
      </c>
      <c r="GV10" s="40">
        <f t="shared" ca="1" si="82"/>
        <v>1690144088</v>
      </c>
      <c r="GW10" s="40">
        <f t="shared" ca="1" si="82"/>
        <v>1690144088</v>
      </c>
      <c r="GX10" s="40">
        <f t="shared" ca="1" si="82"/>
        <v>1690144088</v>
      </c>
      <c r="GY10" s="40">
        <f t="shared" ca="1" si="82"/>
        <v>1690144088</v>
      </c>
      <c r="GZ10" s="40">
        <f t="shared" ca="1" si="82"/>
        <v>1690144088</v>
      </c>
      <c r="HA10" s="40">
        <f t="shared" ca="1" si="82"/>
        <v>1690144088</v>
      </c>
      <c r="HB10" s="40">
        <f t="shared" ca="1" si="82"/>
        <v>1690144088</v>
      </c>
      <c r="HC10" s="40">
        <f t="shared" ca="1" si="82"/>
        <v>1690144088</v>
      </c>
      <c r="HD10" s="40">
        <f t="shared" ca="1" si="82"/>
        <v>1690144088</v>
      </c>
      <c r="HE10" s="40">
        <f t="shared" ca="1" si="82"/>
        <v>1690144088</v>
      </c>
      <c r="HF10" s="40">
        <f t="shared" ca="1" si="82"/>
        <v>1690144088</v>
      </c>
      <c r="HG10" s="40">
        <f t="shared" ca="1" si="82"/>
        <v>1690144088</v>
      </c>
      <c r="HH10" s="40">
        <f t="shared" ca="1" si="82"/>
        <v>1690144088</v>
      </c>
      <c r="HI10" s="40">
        <f t="shared" ca="1" si="82"/>
        <v>1690144088</v>
      </c>
      <c r="HJ10" s="40">
        <f t="shared" ca="1" si="82"/>
        <v>1690144088</v>
      </c>
      <c r="HK10" s="40">
        <f t="shared" ca="1" si="82"/>
        <v>1690144088</v>
      </c>
      <c r="HL10" s="40">
        <f t="shared" ca="1" si="82"/>
        <v>1690144088</v>
      </c>
      <c r="HM10" s="40">
        <f t="shared" ca="1" si="82"/>
        <v>1690144088</v>
      </c>
      <c r="HN10" s="40">
        <f t="shared" ca="1" si="82"/>
        <v>1690144088</v>
      </c>
      <c r="HO10" s="40">
        <f t="shared" ca="1" si="82"/>
        <v>1690144088</v>
      </c>
      <c r="HP10" s="40">
        <f t="shared" ca="1" si="82"/>
        <v>1690144088</v>
      </c>
      <c r="HQ10" s="40">
        <f t="shared" ca="1" si="82"/>
        <v>1690144088</v>
      </c>
      <c r="HR10" s="40">
        <f t="shared" ca="1" si="82"/>
        <v>1690144088</v>
      </c>
      <c r="HS10" s="40">
        <f t="shared" ca="1" si="82"/>
        <v>1690144088</v>
      </c>
      <c r="HT10" s="40">
        <f t="shared" ca="1" si="82"/>
        <v>1690144088</v>
      </c>
      <c r="HU10" s="40">
        <f t="shared" ca="1" si="82"/>
        <v>1690144088</v>
      </c>
      <c r="HV10" s="40">
        <f t="shared" ca="1" si="82"/>
        <v>1690144088</v>
      </c>
      <c r="HW10" s="40">
        <f t="shared" ca="1" si="82"/>
        <v>1690144088</v>
      </c>
      <c r="HX10" s="40">
        <f t="shared" ca="1" si="82"/>
        <v>1690144088</v>
      </c>
      <c r="HY10" s="40">
        <f t="shared" ca="1" si="82"/>
        <v>1690144088</v>
      </c>
      <c r="HZ10" s="40">
        <f t="shared" ca="1" si="82"/>
        <v>1690144088</v>
      </c>
      <c r="IA10" s="40">
        <f t="shared" ca="1" si="82"/>
        <v>1690144088</v>
      </c>
      <c r="IB10" s="40">
        <f t="shared" ca="1" si="82"/>
        <v>1690144088</v>
      </c>
      <c r="IC10" s="40">
        <f t="shared" ca="1" si="82"/>
        <v>1690144088</v>
      </c>
      <c r="ID10" s="40">
        <f t="shared" ca="1" si="82"/>
        <v>1690144088</v>
      </c>
      <c r="IE10" s="40">
        <f t="shared" ca="1" si="82"/>
        <v>1690144088</v>
      </c>
      <c r="IF10" s="40">
        <f t="shared" ca="1" si="82"/>
        <v>1690144088</v>
      </c>
      <c r="IG10" s="40">
        <f t="shared" ca="1" si="82"/>
        <v>1690144088</v>
      </c>
      <c r="IH10" s="40">
        <f t="shared" ca="1" si="82"/>
        <v>1690144088</v>
      </c>
      <c r="II10" s="40">
        <f t="shared" ca="1" si="82"/>
        <v>1690144088</v>
      </c>
      <c r="IJ10" s="40">
        <f t="shared" ca="1" si="82"/>
        <v>1690144088</v>
      </c>
      <c r="IK10" s="40">
        <f t="shared" ca="1" si="82"/>
        <v>1690144088</v>
      </c>
      <c r="IL10" s="40">
        <f t="shared" ca="1" si="82"/>
        <v>1690144088</v>
      </c>
      <c r="IM10" s="40">
        <f t="shared" ca="1" si="82"/>
        <v>1690144088</v>
      </c>
      <c r="IN10" s="40">
        <f t="shared" ca="1" si="82"/>
        <v>1690144088</v>
      </c>
    </row>
    <row r="11" spans="2:248" x14ac:dyDescent="0.3">
      <c r="B11" s="19" t="s">
        <v>527</v>
      </c>
      <c r="C11" s="53">
        <f ca="1">(HLOOKUP(C5-1,G4:IN8,5,FALSE)/HLOOKUP(C5-1-C10,G4:IN8,5,FALSE))^(1/C10)-1</f>
        <v>8.9280558625991491E-2</v>
      </c>
      <c r="E11" s="19">
        <v>0.25</v>
      </c>
      <c r="F11" s="19" t="s">
        <v>495</v>
      </c>
      <c r="G11" s="40">
        <f t="shared" ref="G11" si="83">IF(IF(AND(ISNA(G$8),ISNA(F$8)),F11*(1+$E$11),IF(AND(F$8&gt;0,ISNA(G$8)),F11*(1+$E$11),G$8))&gt;$C$21,$C$21,IF(AND(ISNA(G$8),ISNA(F$8)),F11*(1+$E$11),IF(AND(F$8&gt;0,ISNA(G$8)),F11*(1+$E$11),G$8)))</f>
        <v>554</v>
      </c>
      <c r="H11" s="40">
        <f t="shared" ref="H11" ca="1" si="84">IF(IF(AND(ISNA(H$8),ISNA(G$8)),G11*(1+$E$11),IF(AND(G$8&gt;0,ISNA(H$8)),G11*(1+$E$11),H$8))&gt;$C$21,$C$21,IF(AND(ISNA(H$8),ISNA(G$8)),G11*(1+$E$11),IF(AND(G$8&gt;0,ISNA(H$8)),G11*(1+$E$11),H$8)))</f>
        <v>652</v>
      </c>
      <c r="I11" s="40">
        <f t="shared" ref="I11:BT11" ca="1" si="85">IF(IF(AND(ISNA(I$8),ISNA(H$8)),H11*(1+$E$11),IF(AND(H$8&gt;0,ISNA(I$8)),H11*(1+$E$11),I$8))&gt;$C$21,$C$21,IF(AND(ISNA(I$8),ISNA(H$8)),H11*(1+$E$11),IF(AND(H$8&gt;0,ISNA(I$8)),H11*(1+$E$11),I$8)))</f>
        <v>928</v>
      </c>
      <c r="J11" s="40">
        <f t="shared" ca="1" si="85"/>
        <v>1404</v>
      </c>
      <c r="K11" s="40">
        <f t="shared" ca="1" si="85"/>
        <v>2066</v>
      </c>
      <c r="L11" s="40">
        <f t="shared" ca="1" si="85"/>
        <v>2846</v>
      </c>
      <c r="M11" s="40">
        <f t="shared" ca="1" si="85"/>
        <v>5443</v>
      </c>
      <c r="N11" s="40">
        <f t="shared" ca="1" si="85"/>
        <v>6022</v>
      </c>
      <c r="O11" s="40">
        <f t="shared" ca="1" si="85"/>
        <v>8049</v>
      </c>
      <c r="P11" s="40">
        <f t="shared" ca="1" si="85"/>
        <v>9690</v>
      </c>
      <c r="Q11" s="40">
        <f t="shared" ca="1" si="85"/>
        <v>11746</v>
      </c>
      <c r="R11" s="40">
        <f t="shared" ca="1" si="85"/>
        <v>15281</v>
      </c>
      <c r="S11" s="40">
        <f t="shared" ca="1" si="85"/>
        <v>18664</v>
      </c>
      <c r="T11" s="40">
        <f t="shared" ca="1" si="85"/>
        <v>22153</v>
      </c>
      <c r="U11" s="40">
        <f t="shared" ca="1" si="85"/>
        <v>25147</v>
      </c>
      <c r="V11" s="40">
        <f t="shared" ca="1" si="85"/>
        <v>27387</v>
      </c>
      <c r="W11" s="40">
        <f t="shared" ca="1" si="85"/>
        <v>29934</v>
      </c>
      <c r="X11" s="40">
        <f t="shared" ca="1" si="85"/>
        <v>28155</v>
      </c>
      <c r="Y11" s="40">
        <f t="shared" ca="1" si="85"/>
        <v>32519</v>
      </c>
      <c r="Z11" s="40">
        <f t="shared" ca="1" si="85"/>
        <v>31472</v>
      </c>
      <c r="AA11" s="40">
        <f t="shared" ca="1" si="85"/>
        <v>32154</v>
      </c>
      <c r="AB11" s="40">
        <f t="shared" ca="1" si="85"/>
        <v>35297</v>
      </c>
      <c r="AC11" s="40">
        <f t="shared" ca="1" si="85"/>
        <v>37719</v>
      </c>
      <c r="AD11" s="40">
        <f t="shared" ca="1" si="85"/>
        <v>42633</v>
      </c>
      <c r="AE11" s="40">
        <f t="shared" ca="1" si="85"/>
        <v>39707</v>
      </c>
      <c r="AF11" s="40">
        <f t="shared" ca="1" si="85"/>
        <v>38329</v>
      </c>
      <c r="AG11" s="40">
        <f t="shared" ca="1" si="85"/>
        <v>37659</v>
      </c>
      <c r="AH11" s="40">
        <f t="shared" ca="1" si="85"/>
        <v>35508</v>
      </c>
      <c r="AI11" s="40">
        <f t="shared" ca="1" si="85"/>
        <v>33992</v>
      </c>
      <c r="AJ11" s="40">
        <f t="shared" ca="1" si="85"/>
        <v>31196</v>
      </c>
      <c r="AK11" s="40">
        <f t="shared" ca="1" si="85"/>
        <v>29851</v>
      </c>
      <c r="AL11" s="40">
        <f t="shared" ca="1" si="85"/>
        <v>29897</v>
      </c>
      <c r="AM11" s="40">
        <f t="shared" ca="1" si="85"/>
        <v>20821</v>
      </c>
      <c r="AN11" s="40">
        <f t="shared" ca="1" si="85"/>
        <v>7443</v>
      </c>
      <c r="AO11" s="40">
        <f t="shared" ca="1" si="85"/>
        <v>5054</v>
      </c>
      <c r="AP11" s="40">
        <f t="shared" ca="1" si="85"/>
        <v>8173</v>
      </c>
      <c r="AQ11" s="40">
        <f t="shared" ca="1" si="85"/>
        <v>7003</v>
      </c>
      <c r="AR11" s="40">
        <f t="shared" ca="1" si="85"/>
        <v>6222</v>
      </c>
      <c r="AS11" s="40">
        <f t="shared" ca="1" si="85"/>
        <v>5978</v>
      </c>
      <c r="AT11" s="40">
        <f t="shared" ca="1" si="85"/>
        <v>8162</v>
      </c>
      <c r="AU11" s="40">
        <f t="shared" ca="1" si="85"/>
        <v>8410</v>
      </c>
      <c r="AV11" s="40">
        <f t="shared" ca="1" si="85"/>
        <v>8630</v>
      </c>
      <c r="AW11" s="40">
        <f t="shared" ca="1" si="85"/>
        <v>6824</v>
      </c>
      <c r="AX11" s="40">
        <f t="shared" ca="1" si="85"/>
        <v>8520</v>
      </c>
      <c r="AY11" s="40">
        <f t="shared" ca="1" si="85"/>
        <v>8857</v>
      </c>
      <c r="AZ11" s="40">
        <f t="shared" ca="1" si="85"/>
        <v>8535</v>
      </c>
      <c r="BA11" s="40">
        <f t="shared" ca="1" si="85"/>
        <v>8185</v>
      </c>
      <c r="BB11" s="40">
        <f t="shared" ca="1" si="85"/>
        <v>7213</v>
      </c>
      <c r="BC11" s="40">
        <f t="shared" ca="1" si="85"/>
        <v>6597</v>
      </c>
      <c r="BD11" s="40">
        <f t="shared" ca="1" si="85"/>
        <v>5421</v>
      </c>
      <c r="BE11" s="40">
        <f t="shared" ca="1" si="85"/>
        <v>4483</v>
      </c>
      <c r="BF11" s="40">
        <f t="shared" ca="1" si="85"/>
        <v>4450</v>
      </c>
      <c r="BG11" s="40">
        <f t="shared" ca="1" si="85"/>
        <v>3656</v>
      </c>
      <c r="BH11" s="40">
        <f t="shared" ca="1" si="85"/>
        <v>3963</v>
      </c>
      <c r="BI11" s="40">
        <f t="shared" ca="1" si="85"/>
        <v>3730</v>
      </c>
      <c r="BJ11" s="40">
        <f t="shared" ca="1" si="85"/>
        <v>3448</v>
      </c>
      <c r="BK11" s="40">
        <f t="shared" ca="1" si="85"/>
        <v>3607</v>
      </c>
      <c r="BL11" s="40">
        <f t="shared" ca="1" si="85"/>
        <v>4231</v>
      </c>
      <c r="BM11" s="40">
        <f t="shared" ca="1" si="85"/>
        <v>4858</v>
      </c>
      <c r="BN11" s="40">
        <f t="shared" ca="1" si="85"/>
        <v>5784</v>
      </c>
      <c r="BO11" s="40">
        <f t="shared" ca="1" si="85"/>
        <v>6226</v>
      </c>
      <c r="BP11" s="40">
        <f t="shared" ca="1" si="85"/>
        <v>7287</v>
      </c>
      <c r="BQ11" s="40">
        <f t="shared" ca="1" si="85"/>
        <v>7620</v>
      </c>
      <c r="BR11" s="40">
        <f t="shared" ca="1" si="85"/>
        <v>8458</v>
      </c>
      <c r="BS11" s="40">
        <f t="shared" ca="1" si="85"/>
        <v>9113</v>
      </c>
      <c r="BT11" s="40">
        <f t="shared" ca="1" si="85"/>
        <v>10156</v>
      </c>
      <c r="BU11" s="40">
        <f t="shared" ref="BU11:EF11" ca="1" si="86">IF(IF(AND(ISNA(BU$8),ISNA(BT$8)),BT11*(1+$E$11),IF(AND(BT$8&gt;0,ISNA(BU$8)),BT11*(1+$E$11),BU$8))&gt;$C$21,$C$21,IF(AND(ISNA(BU$8),ISNA(BT$8)),BT11*(1+$E$11),IF(AND(BT$8&gt;0,ISNA(BU$8)),BT11*(1+$E$11),BU$8)))</f>
        <v>11175</v>
      </c>
      <c r="BV11" s="40">
        <f t="shared" ca="1" si="86"/>
        <v>13968.75</v>
      </c>
      <c r="BW11" s="40">
        <f t="shared" ca="1" si="86"/>
        <v>17460.9375</v>
      </c>
      <c r="BX11" s="40">
        <f t="shared" ca="1" si="86"/>
        <v>21826.171875</v>
      </c>
      <c r="BY11" s="40">
        <f t="shared" ca="1" si="86"/>
        <v>27282.71484375</v>
      </c>
      <c r="BZ11" s="40">
        <f t="shared" ca="1" si="86"/>
        <v>34103.3935546875</v>
      </c>
      <c r="CA11" s="40">
        <f t="shared" ca="1" si="86"/>
        <v>42629.241943359375</v>
      </c>
      <c r="CB11" s="40">
        <f t="shared" ca="1" si="86"/>
        <v>53286.552429199219</v>
      </c>
      <c r="CC11" s="40">
        <f t="shared" ca="1" si="86"/>
        <v>66608.190536499023</v>
      </c>
      <c r="CD11" s="40">
        <f t="shared" ca="1" si="86"/>
        <v>83260.238170623779</v>
      </c>
      <c r="CE11" s="40">
        <f t="shared" ca="1" si="86"/>
        <v>104075.29771327972</v>
      </c>
      <c r="CF11" s="40">
        <f t="shared" ca="1" si="86"/>
        <v>130094.12214159966</v>
      </c>
      <c r="CG11" s="40">
        <f t="shared" ca="1" si="86"/>
        <v>162617.65267699957</v>
      </c>
      <c r="CH11" s="40">
        <f t="shared" ca="1" si="86"/>
        <v>203272.06584624946</v>
      </c>
      <c r="CI11" s="40">
        <f t="shared" ca="1" si="86"/>
        <v>254090.08230781183</v>
      </c>
      <c r="CJ11" s="40">
        <f t="shared" ca="1" si="86"/>
        <v>317612.60288476478</v>
      </c>
      <c r="CK11" s="40">
        <f t="shared" ca="1" si="86"/>
        <v>397015.75360595598</v>
      </c>
      <c r="CL11" s="40">
        <f t="shared" ca="1" si="86"/>
        <v>496269.69200744497</v>
      </c>
      <c r="CM11" s="40">
        <f t="shared" ca="1" si="86"/>
        <v>620337.11500930623</v>
      </c>
      <c r="CN11" s="40">
        <f t="shared" ca="1" si="86"/>
        <v>775421.39376163273</v>
      </c>
      <c r="CO11" s="40">
        <f t="shared" ca="1" si="86"/>
        <v>969276.74220204097</v>
      </c>
      <c r="CP11" s="40">
        <f t="shared" ca="1" si="86"/>
        <v>1211595.9277525512</v>
      </c>
      <c r="CQ11" s="40">
        <f t="shared" ca="1" si="86"/>
        <v>1514494.9096906888</v>
      </c>
      <c r="CR11" s="40">
        <f t="shared" ca="1" si="86"/>
        <v>1893118.6371133612</v>
      </c>
      <c r="CS11" s="40">
        <f t="shared" ca="1" si="86"/>
        <v>2366398.2963917013</v>
      </c>
      <c r="CT11" s="40">
        <f t="shared" ca="1" si="86"/>
        <v>2957997.8704896267</v>
      </c>
      <c r="CU11" s="40">
        <f t="shared" ca="1" si="86"/>
        <v>3697497.3381120334</v>
      </c>
      <c r="CV11" s="40">
        <f t="shared" ca="1" si="86"/>
        <v>4621871.6726400414</v>
      </c>
      <c r="CW11" s="40">
        <f t="shared" ca="1" si="86"/>
        <v>5777339.5908000516</v>
      </c>
      <c r="CX11" s="40">
        <f t="shared" ca="1" si="86"/>
        <v>7221674.4885000642</v>
      </c>
      <c r="CY11" s="40">
        <f t="shared" ca="1" si="86"/>
        <v>9027093.1106250808</v>
      </c>
      <c r="CZ11" s="40">
        <f t="shared" ca="1" si="86"/>
        <v>11283866.388281351</v>
      </c>
      <c r="DA11" s="40">
        <f t="shared" ca="1" si="86"/>
        <v>14104832.985351689</v>
      </c>
      <c r="DB11" s="40">
        <f t="shared" ca="1" si="86"/>
        <v>17631041.23168961</v>
      </c>
      <c r="DC11" s="40">
        <f t="shared" ca="1" si="86"/>
        <v>22038801.53961201</v>
      </c>
      <c r="DD11" s="40">
        <f t="shared" ca="1" si="86"/>
        <v>27548501.924515013</v>
      </c>
      <c r="DE11" s="40">
        <f t="shared" ca="1" si="86"/>
        <v>34435627.405643769</v>
      </c>
      <c r="DF11" s="40">
        <f t="shared" ca="1" si="86"/>
        <v>43044534.257054709</v>
      </c>
      <c r="DG11" s="40">
        <f t="shared" ca="1" si="86"/>
        <v>53805667.821318388</v>
      </c>
      <c r="DH11" s="40">
        <f t="shared" ca="1" si="86"/>
        <v>67257084.776647985</v>
      </c>
      <c r="DI11" s="40">
        <f t="shared" ca="1" si="86"/>
        <v>84071355.970809981</v>
      </c>
      <c r="DJ11" s="40">
        <f t="shared" ca="1" si="86"/>
        <v>105089194.96351248</v>
      </c>
      <c r="DK11" s="40">
        <f t="shared" ca="1" si="86"/>
        <v>131361493.7043906</v>
      </c>
      <c r="DL11" s="40">
        <f t="shared" ca="1" si="86"/>
        <v>164201867.13048825</v>
      </c>
      <c r="DM11" s="40">
        <f t="shared" ca="1" si="86"/>
        <v>205252333.91311032</v>
      </c>
      <c r="DN11" s="40">
        <f t="shared" ca="1" si="86"/>
        <v>256565417.39138788</v>
      </c>
      <c r="DO11" s="40">
        <f t="shared" ca="1" si="86"/>
        <v>320706771.73923486</v>
      </c>
      <c r="DP11" s="40">
        <f t="shared" ca="1" si="86"/>
        <v>400883464.6740436</v>
      </c>
      <c r="DQ11" s="40">
        <f t="shared" ca="1" si="86"/>
        <v>501104330.84255451</v>
      </c>
      <c r="DR11" s="40">
        <f t="shared" ca="1" si="86"/>
        <v>626380413.55319309</v>
      </c>
      <c r="DS11" s="40">
        <f t="shared" ca="1" si="86"/>
        <v>782975516.94149137</v>
      </c>
      <c r="DT11" s="40">
        <f t="shared" ca="1" si="86"/>
        <v>978719396.17686415</v>
      </c>
      <c r="DU11" s="40">
        <f t="shared" ca="1" si="86"/>
        <v>1223399245.2210803</v>
      </c>
      <c r="DV11" s="40">
        <f t="shared" ca="1" si="86"/>
        <v>1529249056.5263505</v>
      </c>
      <c r="DW11" s="40">
        <f t="shared" ca="1" si="86"/>
        <v>1690144088</v>
      </c>
      <c r="DX11" s="40">
        <f t="shared" ca="1" si="86"/>
        <v>1690144088</v>
      </c>
      <c r="DY11" s="40">
        <f t="shared" ca="1" si="86"/>
        <v>1690144088</v>
      </c>
      <c r="DZ11" s="40">
        <f t="shared" ca="1" si="86"/>
        <v>1690144088</v>
      </c>
      <c r="EA11" s="40">
        <f t="shared" ca="1" si="86"/>
        <v>1690144088</v>
      </c>
      <c r="EB11" s="40">
        <f t="shared" ca="1" si="86"/>
        <v>1690144088</v>
      </c>
      <c r="EC11" s="40">
        <f t="shared" ca="1" si="86"/>
        <v>1690144088</v>
      </c>
      <c r="ED11" s="40">
        <f t="shared" ca="1" si="86"/>
        <v>1690144088</v>
      </c>
      <c r="EE11" s="40">
        <f t="shared" ca="1" si="86"/>
        <v>1690144088</v>
      </c>
      <c r="EF11" s="40">
        <f t="shared" ca="1" si="86"/>
        <v>1690144088</v>
      </c>
      <c r="EG11" s="40">
        <f t="shared" ref="EG11:GR11" ca="1" si="87">IF(IF(AND(ISNA(EG$8),ISNA(EF$8)),EF11*(1+$E$11),IF(AND(EF$8&gt;0,ISNA(EG$8)),EF11*(1+$E$11),EG$8))&gt;$C$21,$C$21,IF(AND(ISNA(EG$8),ISNA(EF$8)),EF11*(1+$E$11),IF(AND(EF$8&gt;0,ISNA(EG$8)),EF11*(1+$E$11),EG$8)))</f>
        <v>1690144088</v>
      </c>
      <c r="EH11" s="40">
        <f t="shared" ca="1" si="87"/>
        <v>1690144088</v>
      </c>
      <c r="EI11" s="40">
        <f t="shared" ca="1" si="87"/>
        <v>1690144088</v>
      </c>
      <c r="EJ11" s="40">
        <f t="shared" ca="1" si="87"/>
        <v>1690144088</v>
      </c>
      <c r="EK11" s="40">
        <f t="shared" ca="1" si="87"/>
        <v>1690144088</v>
      </c>
      <c r="EL11" s="40">
        <f t="shared" ca="1" si="87"/>
        <v>1690144088</v>
      </c>
      <c r="EM11" s="40">
        <f t="shared" ca="1" si="87"/>
        <v>1690144088</v>
      </c>
      <c r="EN11" s="40">
        <f t="shared" ca="1" si="87"/>
        <v>1690144088</v>
      </c>
      <c r="EO11" s="40">
        <f t="shared" ca="1" si="87"/>
        <v>1690144088</v>
      </c>
      <c r="EP11" s="40">
        <f t="shared" ca="1" si="87"/>
        <v>1690144088</v>
      </c>
      <c r="EQ11" s="40">
        <f t="shared" ca="1" si="87"/>
        <v>1690144088</v>
      </c>
      <c r="ER11" s="40">
        <f t="shared" ca="1" si="87"/>
        <v>1690144088</v>
      </c>
      <c r="ES11" s="40">
        <f t="shared" ca="1" si="87"/>
        <v>1690144088</v>
      </c>
      <c r="ET11" s="40">
        <f t="shared" ca="1" si="87"/>
        <v>1690144088</v>
      </c>
      <c r="EU11" s="40">
        <f t="shared" ca="1" si="87"/>
        <v>1690144088</v>
      </c>
      <c r="EV11" s="40">
        <f t="shared" ca="1" si="87"/>
        <v>1690144088</v>
      </c>
      <c r="EW11" s="40">
        <f t="shared" ca="1" si="87"/>
        <v>1690144088</v>
      </c>
      <c r="EX11" s="40">
        <f t="shared" ca="1" si="87"/>
        <v>1690144088</v>
      </c>
      <c r="EY11" s="40">
        <f t="shared" ca="1" si="87"/>
        <v>1690144088</v>
      </c>
      <c r="EZ11" s="40">
        <f t="shared" ca="1" si="87"/>
        <v>1690144088</v>
      </c>
      <c r="FA11" s="40">
        <f t="shared" ca="1" si="87"/>
        <v>1690144088</v>
      </c>
      <c r="FB11" s="40">
        <f t="shared" ca="1" si="87"/>
        <v>1690144088</v>
      </c>
      <c r="FC11" s="40">
        <f t="shared" ca="1" si="87"/>
        <v>1690144088</v>
      </c>
      <c r="FD11" s="40">
        <f t="shared" ca="1" si="87"/>
        <v>1690144088</v>
      </c>
      <c r="FE11" s="40">
        <f t="shared" ca="1" si="87"/>
        <v>1690144088</v>
      </c>
      <c r="FF11" s="40">
        <f t="shared" ca="1" si="87"/>
        <v>1690144088</v>
      </c>
      <c r="FG11" s="40">
        <f t="shared" ca="1" si="87"/>
        <v>1690144088</v>
      </c>
      <c r="FH11" s="40">
        <f t="shared" ca="1" si="87"/>
        <v>1690144088</v>
      </c>
      <c r="FI11" s="40">
        <f t="shared" ca="1" si="87"/>
        <v>1690144088</v>
      </c>
      <c r="FJ11" s="40">
        <f t="shared" ca="1" si="87"/>
        <v>1690144088</v>
      </c>
      <c r="FK11" s="40">
        <f t="shared" ca="1" si="87"/>
        <v>1690144088</v>
      </c>
      <c r="FL11" s="40">
        <f t="shared" ca="1" si="87"/>
        <v>1690144088</v>
      </c>
      <c r="FM11" s="40">
        <f t="shared" ca="1" si="87"/>
        <v>1690144088</v>
      </c>
      <c r="FN11" s="40">
        <f t="shared" ca="1" si="87"/>
        <v>1690144088</v>
      </c>
      <c r="FO11" s="40">
        <f t="shared" ca="1" si="87"/>
        <v>1690144088</v>
      </c>
      <c r="FP11" s="40">
        <f t="shared" ca="1" si="87"/>
        <v>1690144088</v>
      </c>
      <c r="FQ11" s="40">
        <f t="shared" ca="1" si="87"/>
        <v>1690144088</v>
      </c>
      <c r="FR11" s="40">
        <f t="shared" ca="1" si="87"/>
        <v>1690144088</v>
      </c>
      <c r="FS11" s="40">
        <f t="shared" ca="1" si="87"/>
        <v>1690144088</v>
      </c>
      <c r="FT11" s="40">
        <f t="shared" ca="1" si="87"/>
        <v>1690144088</v>
      </c>
      <c r="FU11" s="40">
        <f t="shared" ca="1" si="87"/>
        <v>1690144088</v>
      </c>
      <c r="FV11" s="40">
        <f t="shared" ca="1" si="87"/>
        <v>1690144088</v>
      </c>
      <c r="FW11" s="40">
        <f t="shared" ca="1" si="87"/>
        <v>1690144088</v>
      </c>
      <c r="FX11" s="40">
        <f t="shared" ca="1" si="87"/>
        <v>1690144088</v>
      </c>
      <c r="FY11" s="40">
        <f t="shared" ca="1" si="87"/>
        <v>1690144088</v>
      </c>
      <c r="FZ11" s="40">
        <f t="shared" ca="1" si="87"/>
        <v>1690144088</v>
      </c>
      <c r="GA11" s="40">
        <f t="shared" ca="1" si="87"/>
        <v>1690144088</v>
      </c>
      <c r="GB11" s="40">
        <f t="shared" ca="1" si="87"/>
        <v>1690144088</v>
      </c>
      <c r="GC11" s="40">
        <f t="shared" ca="1" si="87"/>
        <v>1690144088</v>
      </c>
      <c r="GD11" s="40">
        <f t="shared" ca="1" si="87"/>
        <v>1690144088</v>
      </c>
      <c r="GE11" s="40">
        <f t="shared" ca="1" si="87"/>
        <v>1690144088</v>
      </c>
      <c r="GF11" s="40">
        <f t="shared" ca="1" si="87"/>
        <v>1690144088</v>
      </c>
      <c r="GG11" s="40">
        <f t="shared" ca="1" si="87"/>
        <v>1690144088</v>
      </c>
      <c r="GH11" s="40">
        <f t="shared" ca="1" si="87"/>
        <v>1690144088</v>
      </c>
      <c r="GI11" s="40">
        <f t="shared" ca="1" si="87"/>
        <v>1690144088</v>
      </c>
      <c r="GJ11" s="40">
        <f t="shared" ca="1" si="87"/>
        <v>1690144088</v>
      </c>
      <c r="GK11" s="40">
        <f t="shared" ca="1" si="87"/>
        <v>1690144088</v>
      </c>
      <c r="GL11" s="40">
        <f t="shared" ca="1" si="87"/>
        <v>1690144088</v>
      </c>
      <c r="GM11" s="40">
        <f t="shared" ca="1" si="87"/>
        <v>1690144088</v>
      </c>
      <c r="GN11" s="40">
        <f t="shared" ca="1" si="87"/>
        <v>1690144088</v>
      </c>
      <c r="GO11" s="40">
        <f t="shared" ca="1" si="87"/>
        <v>1690144088</v>
      </c>
      <c r="GP11" s="40">
        <f t="shared" ca="1" si="87"/>
        <v>1690144088</v>
      </c>
      <c r="GQ11" s="40">
        <f t="shared" ca="1" si="87"/>
        <v>1690144088</v>
      </c>
      <c r="GR11" s="40">
        <f t="shared" ca="1" si="87"/>
        <v>1690144088</v>
      </c>
      <c r="GS11" s="40">
        <f t="shared" ref="GS11:IN11" ca="1" si="88">IF(IF(AND(ISNA(GS$8),ISNA(GR$8)),GR11*(1+$E$11),IF(AND(GR$8&gt;0,ISNA(GS$8)),GR11*(1+$E$11),GS$8))&gt;$C$21,$C$21,IF(AND(ISNA(GS$8),ISNA(GR$8)),GR11*(1+$E$11),IF(AND(GR$8&gt;0,ISNA(GS$8)),GR11*(1+$E$11),GS$8)))</f>
        <v>1690144088</v>
      </c>
      <c r="GT11" s="40">
        <f t="shared" ca="1" si="88"/>
        <v>1690144088</v>
      </c>
      <c r="GU11" s="40">
        <f t="shared" ca="1" si="88"/>
        <v>1690144088</v>
      </c>
      <c r="GV11" s="40">
        <f t="shared" ca="1" si="88"/>
        <v>1690144088</v>
      </c>
      <c r="GW11" s="40">
        <f t="shared" ca="1" si="88"/>
        <v>1690144088</v>
      </c>
      <c r="GX11" s="40">
        <f t="shared" ca="1" si="88"/>
        <v>1690144088</v>
      </c>
      <c r="GY11" s="40">
        <f t="shared" ca="1" si="88"/>
        <v>1690144088</v>
      </c>
      <c r="GZ11" s="40">
        <f t="shared" ca="1" si="88"/>
        <v>1690144088</v>
      </c>
      <c r="HA11" s="40">
        <f t="shared" ca="1" si="88"/>
        <v>1690144088</v>
      </c>
      <c r="HB11" s="40">
        <f t="shared" ca="1" si="88"/>
        <v>1690144088</v>
      </c>
      <c r="HC11" s="40">
        <f t="shared" ca="1" si="88"/>
        <v>1690144088</v>
      </c>
      <c r="HD11" s="40">
        <f t="shared" ca="1" si="88"/>
        <v>1690144088</v>
      </c>
      <c r="HE11" s="40">
        <f t="shared" ca="1" si="88"/>
        <v>1690144088</v>
      </c>
      <c r="HF11" s="40">
        <f t="shared" ca="1" si="88"/>
        <v>1690144088</v>
      </c>
      <c r="HG11" s="40">
        <f t="shared" ca="1" si="88"/>
        <v>1690144088</v>
      </c>
      <c r="HH11" s="40">
        <f t="shared" ca="1" si="88"/>
        <v>1690144088</v>
      </c>
      <c r="HI11" s="40">
        <f t="shared" ca="1" si="88"/>
        <v>1690144088</v>
      </c>
      <c r="HJ11" s="40">
        <f t="shared" ca="1" si="88"/>
        <v>1690144088</v>
      </c>
      <c r="HK11" s="40">
        <f t="shared" ca="1" si="88"/>
        <v>1690144088</v>
      </c>
      <c r="HL11" s="40">
        <f t="shared" ca="1" si="88"/>
        <v>1690144088</v>
      </c>
      <c r="HM11" s="40">
        <f t="shared" ca="1" si="88"/>
        <v>1690144088</v>
      </c>
      <c r="HN11" s="40">
        <f t="shared" ca="1" si="88"/>
        <v>1690144088</v>
      </c>
      <c r="HO11" s="40">
        <f t="shared" ca="1" si="88"/>
        <v>1690144088</v>
      </c>
      <c r="HP11" s="40">
        <f t="shared" ca="1" si="88"/>
        <v>1690144088</v>
      </c>
      <c r="HQ11" s="40">
        <f t="shared" ca="1" si="88"/>
        <v>1690144088</v>
      </c>
      <c r="HR11" s="40">
        <f t="shared" ca="1" si="88"/>
        <v>1690144088</v>
      </c>
      <c r="HS11" s="40">
        <f t="shared" ca="1" si="88"/>
        <v>1690144088</v>
      </c>
      <c r="HT11" s="40">
        <f t="shared" ca="1" si="88"/>
        <v>1690144088</v>
      </c>
      <c r="HU11" s="40">
        <f t="shared" ca="1" si="88"/>
        <v>1690144088</v>
      </c>
      <c r="HV11" s="40">
        <f t="shared" ca="1" si="88"/>
        <v>1690144088</v>
      </c>
      <c r="HW11" s="40">
        <f t="shared" ca="1" si="88"/>
        <v>1690144088</v>
      </c>
      <c r="HX11" s="40">
        <f t="shared" ca="1" si="88"/>
        <v>1690144088</v>
      </c>
      <c r="HY11" s="40">
        <f t="shared" ca="1" si="88"/>
        <v>1690144088</v>
      </c>
      <c r="HZ11" s="40">
        <f t="shared" ca="1" si="88"/>
        <v>1690144088</v>
      </c>
      <c r="IA11" s="40">
        <f t="shared" ca="1" si="88"/>
        <v>1690144088</v>
      </c>
      <c r="IB11" s="40">
        <f t="shared" ca="1" si="88"/>
        <v>1690144088</v>
      </c>
      <c r="IC11" s="40">
        <f t="shared" ca="1" si="88"/>
        <v>1690144088</v>
      </c>
      <c r="ID11" s="40">
        <f t="shared" ca="1" si="88"/>
        <v>1690144088</v>
      </c>
      <c r="IE11" s="40">
        <f t="shared" ca="1" si="88"/>
        <v>1690144088</v>
      </c>
      <c r="IF11" s="40">
        <f t="shared" ca="1" si="88"/>
        <v>1690144088</v>
      </c>
      <c r="IG11" s="40">
        <f t="shared" ca="1" si="88"/>
        <v>1690144088</v>
      </c>
      <c r="IH11" s="40">
        <f t="shared" ca="1" si="88"/>
        <v>1690144088</v>
      </c>
      <c r="II11" s="40">
        <f t="shared" ca="1" si="88"/>
        <v>1690144088</v>
      </c>
      <c r="IJ11" s="40">
        <f t="shared" ca="1" si="88"/>
        <v>1690144088</v>
      </c>
      <c r="IK11" s="40">
        <f t="shared" ca="1" si="88"/>
        <v>1690144088</v>
      </c>
      <c r="IL11" s="40">
        <f t="shared" ca="1" si="88"/>
        <v>1690144088</v>
      </c>
      <c r="IM11" s="40">
        <f t="shared" ca="1" si="88"/>
        <v>1690144088</v>
      </c>
      <c r="IN11" s="40">
        <f t="shared" ca="1" si="88"/>
        <v>1690144088</v>
      </c>
    </row>
    <row r="12" spans="2:248" x14ac:dyDescent="0.3">
      <c r="B12" s="19" t="s">
        <v>528</v>
      </c>
      <c r="C12" s="74">
        <f>VLOOKUP(B2,Days_Since_100!C:G,5,FALSE)-1</f>
        <v>1.3540147892186383E-2</v>
      </c>
      <c r="E12" s="19">
        <v>0.4</v>
      </c>
      <c r="F12" s="19" t="s">
        <v>453</v>
      </c>
      <c r="G12" s="40">
        <f t="shared" ref="G12" si="89">IF(IF(AND(ISNA(G$8),ISNA(F$8)),F12*(1+$E$12),IF(AND(F$8&gt;0,ISNA(G$8)),F12*(1+$E$12),G$8))&gt;$C$21,$C$21,IF(AND(ISNA(G$8),ISNA(F$8)),F12*(1+$E$12),IF(AND(F$8&gt;0,ISNA(G$8)),F12*(1+$E$12),G$8)))</f>
        <v>554</v>
      </c>
      <c r="H12" s="40">
        <f t="shared" ref="H12" ca="1" si="90">IF(IF(AND(ISNA(H$8),ISNA(G$8)),G12*(1+$E$12),IF(AND(G$8&gt;0,ISNA(H$8)),G12*(1+$E$12),H$8))&gt;$C$21,$C$21,IF(AND(ISNA(H$8),ISNA(G$8)),G12*(1+$E$12),IF(AND(G$8&gt;0,ISNA(H$8)),G12*(1+$E$12),H$8)))</f>
        <v>652</v>
      </c>
      <c r="I12" s="40">
        <f t="shared" ref="I12:BT12" ca="1" si="91">IF(IF(AND(ISNA(I$8),ISNA(H$8)),H12*(1+$E$12),IF(AND(H$8&gt;0,ISNA(I$8)),H12*(1+$E$12),I$8))&gt;$C$21,$C$21,IF(AND(ISNA(I$8),ISNA(H$8)),H12*(1+$E$12),IF(AND(H$8&gt;0,ISNA(I$8)),H12*(1+$E$12),I$8)))</f>
        <v>928</v>
      </c>
      <c r="J12" s="40">
        <f t="shared" ca="1" si="91"/>
        <v>1404</v>
      </c>
      <c r="K12" s="40">
        <f t="shared" ca="1" si="91"/>
        <v>2066</v>
      </c>
      <c r="L12" s="40">
        <f t="shared" ca="1" si="91"/>
        <v>2846</v>
      </c>
      <c r="M12" s="40">
        <f t="shared" ca="1" si="91"/>
        <v>5443</v>
      </c>
      <c r="N12" s="40">
        <f t="shared" ca="1" si="91"/>
        <v>6022</v>
      </c>
      <c r="O12" s="40">
        <f t="shared" ca="1" si="91"/>
        <v>8049</v>
      </c>
      <c r="P12" s="40">
        <f t="shared" ca="1" si="91"/>
        <v>9690</v>
      </c>
      <c r="Q12" s="40">
        <f t="shared" ca="1" si="91"/>
        <v>11746</v>
      </c>
      <c r="R12" s="40">
        <f t="shared" ca="1" si="91"/>
        <v>15281</v>
      </c>
      <c r="S12" s="40">
        <f t="shared" ca="1" si="91"/>
        <v>18664</v>
      </c>
      <c r="T12" s="40">
        <f t="shared" ca="1" si="91"/>
        <v>22153</v>
      </c>
      <c r="U12" s="40">
        <f t="shared" ca="1" si="91"/>
        <v>25147</v>
      </c>
      <c r="V12" s="40">
        <f t="shared" ca="1" si="91"/>
        <v>27387</v>
      </c>
      <c r="W12" s="40">
        <f t="shared" ca="1" si="91"/>
        <v>29934</v>
      </c>
      <c r="X12" s="40">
        <f t="shared" ca="1" si="91"/>
        <v>28155</v>
      </c>
      <c r="Y12" s="40">
        <f t="shared" ca="1" si="91"/>
        <v>32519</v>
      </c>
      <c r="Z12" s="40">
        <f t="shared" ca="1" si="91"/>
        <v>31472</v>
      </c>
      <c r="AA12" s="40">
        <f t="shared" ca="1" si="91"/>
        <v>32154</v>
      </c>
      <c r="AB12" s="40">
        <f t="shared" ca="1" si="91"/>
        <v>35297</v>
      </c>
      <c r="AC12" s="40">
        <f t="shared" ca="1" si="91"/>
        <v>37719</v>
      </c>
      <c r="AD12" s="40">
        <f t="shared" ca="1" si="91"/>
        <v>42633</v>
      </c>
      <c r="AE12" s="40">
        <f t="shared" ca="1" si="91"/>
        <v>39707</v>
      </c>
      <c r="AF12" s="40">
        <f t="shared" ca="1" si="91"/>
        <v>38329</v>
      </c>
      <c r="AG12" s="40">
        <f t="shared" ca="1" si="91"/>
        <v>37659</v>
      </c>
      <c r="AH12" s="40">
        <f t="shared" ca="1" si="91"/>
        <v>35508</v>
      </c>
      <c r="AI12" s="40">
        <f t="shared" ca="1" si="91"/>
        <v>33992</v>
      </c>
      <c r="AJ12" s="40">
        <f t="shared" ca="1" si="91"/>
        <v>31196</v>
      </c>
      <c r="AK12" s="40">
        <f t="shared" ca="1" si="91"/>
        <v>29851</v>
      </c>
      <c r="AL12" s="40">
        <f t="shared" ca="1" si="91"/>
        <v>29897</v>
      </c>
      <c r="AM12" s="40">
        <f t="shared" ca="1" si="91"/>
        <v>20821</v>
      </c>
      <c r="AN12" s="40">
        <f t="shared" ca="1" si="91"/>
        <v>7443</v>
      </c>
      <c r="AO12" s="40">
        <f t="shared" ca="1" si="91"/>
        <v>5054</v>
      </c>
      <c r="AP12" s="40">
        <f t="shared" ca="1" si="91"/>
        <v>8173</v>
      </c>
      <c r="AQ12" s="40">
        <f t="shared" ca="1" si="91"/>
        <v>7003</v>
      </c>
      <c r="AR12" s="40">
        <f t="shared" ca="1" si="91"/>
        <v>6222</v>
      </c>
      <c r="AS12" s="40">
        <f t="shared" ca="1" si="91"/>
        <v>5978</v>
      </c>
      <c r="AT12" s="40">
        <f t="shared" ca="1" si="91"/>
        <v>8162</v>
      </c>
      <c r="AU12" s="40">
        <f t="shared" ca="1" si="91"/>
        <v>8410</v>
      </c>
      <c r="AV12" s="40">
        <f t="shared" ca="1" si="91"/>
        <v>8630</v>
      </c>
      <c r="AW12" s="40">
        <f t="shared" ca="1" si="91"/>
        <v>6824</v>
      </c>
      <c r="AX12" s="40">
        <f t="shared" ca="1" si="91"/>
        <v>8520</v>
      </c>
      <c r="AY12" s="40">
        <f t="shared" ca="1" si="91"/>
        <v>8857</v>
      </c>
      <c r="AZ12" s="40">
        <f t="shared" ca="1" si="91"/>
        <v>8535</v>
      </c>
      <c r="BA12" s="40">
        <f t="shared" ca="1" si="91"/>
        <v>8185</v>
      </c>
      <c r="BB12" s="40">
        <f t="shared" ca="1" si="91"/>
        <v>7213</v>
      </c>
      <c r="BC12" s="40">
        <f t="shared" ca="1" si="91"/>
        <v>6597</v>
      </c>
      <c r="BD12" s="40">
        <f t="shared" ca="1" si="91"/>
        <v>5421</v>
      </c>
      <c r="BE12" s="40">
        <f t="shared" ca="1" si="91"/>
        <v>4483</v>
      </c>
      <c r="BF12" s="40">
        <f t="shared" ca="1" si="91"/>
        <v>4450</v>
      </c>
      <c r="BG12" s="40">
        <f t="shared" ca="1" si="91"/>
        <v>3656</v>
      </c>
      <c r="BH12" s="40">
        <f t="shared" ca="1" si="91"/>
        <v>3963</v>
      </c>
      <c r="BI12" s="40">
        <f t="shared" ca="1" si="91"/>
        <v>3730</v>
      </c>
      <c r="BJ12" s="40">
        <f t="shared" ca="1" si="91"/>
        <v>3448</v>
      </c>
      <c r="BK12" s="40">
        <f t="shared" ca="1" si="91"/>
        <v>3607</v>
      </c>
      <c r="BL12" s="40">
        <f t="shared" ca="1" si="91"/>
        <v>4231</v>
      </c>
      <c r="BM12" s="40">
        <f t="shared" ca="1" si="91"/>
        <v>4858</v>
      </c>
      <c r="BN12" s="40">
        <f t="shared" ca="1" si="91"/>
        <v>5784</v>
      </c>
      <c r="BO12" s="40">
        <f t="shared" ca="1" si="91"/>
        <v>6226</v>
      </c>
      <c r="BP12" s="40">
        <f t="shared" ca="1" si="91"/>
        <v>7287</v>
      </c>
      <c r="BQ12" s="40">
        <f t="shared" ca="1" si="91"/>
        <v>7620</v>
      </c>
      <c r="BR12" s="40">
        <f t="shared" ca="1" si="91"/>
        <v>8458</v>
      </c>
      <c r="BS12" s="40">
        <f t="shared" ca="1" si="91"/>
        <v>9113</v>
      </c>
      <c r="BT12" s="40">
        <f t="shared" ca="1" si="91"/>
        <v>10156</v>
      </c>
      <c r="BU12" s="40">
        <f t="shared" ref="BU12:EF12" ca="1" si="92">IF(IF(AND(ISNA(BU$8),ISNA(BT$8)),BT12*(1+$E$12),IF(AND(BT$8&gt;0,ISNA(BU$8)),BT12*(1+$E$12),BU$8))&gt;$C$21,$C$21,IF(AND(ISNA(BU$8),ISNA(BT$8)),BT12*(1+$E$12),IF(AND(BT$8&gt;0,ISNA(BU$8)),BT12*(1+$E$12),BU$8)))</f>
        <v>11175</v>
      </c>
      <c r="BV12" s="40">
        <f t="shared" ca="1" si="92"/>
        <v>15644.999999999998</v>
      </c>
      <c r="BW12" s="40">
        <f t="shared" ca="1" si="92"/>
        <v>21902.999999999996</v>
      </c>
      <c r="BX12" s="40">
        <f t="shared" ca="1" si="92"/>
        <v>30664.199999999993</v>
      </c>
      <c r="BY12" s="40">
        <f t="shared" ca="1" si="92"/>
        <v>42929.87999999999</v>
      </c>
      <c r="BZ12" s="40">
        <f t="shared" ca="1" si="92"/>
        <v>60101.83199999998</v>
      </c>
      <c r="CA12" s="40">
        <f t="shared" ca="1" si="92"/>
        <v>84142.564799999964</v>
      </c>
      <c r="CB12" s="40">
        <f t="shared" ca="1" si="92"/>
        <v>117799.59071999993</v>
      </c>
      <c r="CC12" s="40">
        <f t="shared" ca="1" si="92"/>
        <v>164919.42700799991</v>
      </c>
      <c r="CD12" s="40">
        <f t="shared" ca="1" si="92"/>
        <v>230887.19781119985</v>
      </c>
      <c r="CE12" s="40">
        <f t="shared" ca="1" si="92"/>
        <v>323242.07693567977</v>
      </c>
      <c r="CF12" s="40">
        <f t="shared" ca="1" si="92"/>
        <v>452538.90770995163</v>
      </c>
      <c r="CG12" s="40">
        <f t="shared" ca="1" si="92"/>
        <v>633554.47079393221</v>
      </c>
      <c r="CH12" s="40">
        <f t="shared" ca="1" si="92"/>
        <v>886976.259111505</v>
      </c>
      <c r="CI12" s="40">
        <f t="shared" ca="1" si="92"/>
        <v>1241766.7627561069</v>
      </c>
      <c r="CJ12" s="40">
        <f t="shared" ca="1" si="92"/>
        <v>1738473.4678585497</v>
      </c>
      <c r="CK12" s="40">
        <f t="shared" ca="1" si="92"/>
        <v>2433862.8550019693</v>
      </c>
      <c r="CL12" s="40">
        <f t="shared" ca="1" si="92"/>
        <v>3407407.9970027567</v>
      </c>
      <c r="CM12" s="40">
        <f t="shared" ca="1" si="92"/>
        <v>4770371.1958038593</v>
      </c>
      <c r="CN12" s="40">
        <f t="shared" ca="1" si="92"/>
        <v>6678519.6741254022</v>
      </c>
      <c r="CO12" s="40">
        <f t="shared" ca="1" si="92"/>
        <v>9349927.5437755622</v>
      </c>
      <c r="CP12" s="40">
        <f t="shared" ca="1" si="92"/>
        <v>13089898.561285786</v>
      </c>
      <c r="CQ12" s="40">
        <f t="shared" ca="1" si="92"/>
        <v>18325857.985800099</v>
      </c>
      <c r="CR12" s="40">
        <f t="shared" ca="1" si="92"/>
        <v>25656201.180120137</v>
      </c>
      <c r="CS12" s="40">
        <f t="shared" ca="1" si="92"/>
        <v>35918681.652168192</v>
      </c>
      <c r="CT12" s="40">
        <f t="shared" ca="1" si="92"/>
        <v>50286154.313035466</v>
      </c>
      <c r="CU12" s="40">
        <f t="shared" ca="1" si="92"/>
        <v>70400616.038249642</v>
      </c>
      <c r="CV12" s="40">
        <f t="shared" ca="1" si="92"/>
        <v>98560862.453549489</v>
      </c>
      <c r="CW12" s="40">
        <f t="shared" ca="1" si="92"/>
        <v>137985207.43496928</v>
      </c>
      <c r="CX12" s="40">
        <f t="shared" ca="1" si="92"/>
        <v>193179290.40895697</v>
      </c>
      <c r="CY12" s="40">
        <f t="shared" ca="1" si="92"/>
        <v>270451006.57253975</v>
      </c>
      <c r="CZ12" s="40">
        <f t="shared" ca="1" si="92"/>
        <v>378631409.20155561</v>
      </c>
      <c r="DA12" s="40">
        <f t="shared" ca="1" si="92"/>
        <v>530083972.88217783</v>
      </c>
      <c r="DB12" s="40">
        <f t="shared" ca="1" si="92"/>
        <v>742117562.03504896</v>
      </c>
      <c r="DC12" s="40">
        <f t="shared" ca="1" si="92"/>
        <v>1038964586.8490685</v>
      </c>
      <c r="DD12" s="40">
        <f t="shared" ca="1" si="92"/>
        <v>1454550421.5886958</v>
      </c>
      <c r="DE12" s="40">
        <f t="shared" ca="1" si="92"/>
        <v>1690144088</v>
      </c>
      <c r="DF12" s="40">
        <f t="shared" ca="1" si="92"/>
        <v>1690144088</v>
      </c>
      <c r="DG12" s="40">
        <f t="shared" ca="1" si="92"/>
        <v>1690144088</v>
      </c>
      <c r="DH12" s="40">
        <f t="shared" ca="1" si="92"/>
        <v>1690144088</v>
      </c>
      <c r="DI12" s="40">
        <f t="shared" ca="1" si="92"/>
        <v>1690144088</v>
      </c>
      <c r="DJ12" s="40">
        <f t="shared" ca="1" si="92"/>
        <v>1690144088</v>
      </c>
      <c r="DK12" s="40">
        <f t="shared" ca="1" si="92"/>
        <v>1690144088</v>
      </c>
      <c r="DL12" s="40">
        <f t="shared" ca="1" si="92"/>
        <v>1690144088</v>
      </c>
      <c r="DM12" s="40">
        <f t="shared" ca="1" si="92"/>
        <v>1690144088</v>
      </c>
      <c r="DN12" s="40">
        <f t="shared" ca="1" si="92"/>
        <v>1690144088</v>
      </c>
      <c r="DO12" s="40">
        <f t="shared" ca="1" si="92"/>
        <v>1690144088</v>
      </c>
      <c r="DP12" s="40">
        <f t="shared" ca="1" si="92"/>
        <v>1690144088</v>
      </c>
      <c r="DQ12" s="40">
        <f t="shared" ca="1" si="92"/>
        <v>1690144088</v>
      </c>
      <c r="DR12" s="40">
        <f t="shared" ca="1" si="92"/>
        <v>1690144088</v>
      </c>
      <c r="DS12" s="40">
        <f t="shared" ca="1" si="92"/>
        <v>1690144088</v>
      </c>
      <c r="DT12" s="40">
        <f t="shared" ca="1" si="92"/>
        <v>1690144088</v>
      </c>
      <c r="DU12" s="40">
        <f t="shared" ca="1" si="92"/>
        <v>1690144088</v>
      </c>
      <c r="DV12" s="40">
        <f t="shared" ca="1" si="92"/>
        <v>1690144088</v>
      </c>
      <c r="DW12" s="40">
        <f t="shared" ca="1" si="92"/>
        <v>1690144088</v>
      </c>
      <c r="DX12" s="40">
        <f t="shared" ca="1" si="92"/>
        <v>1690144088</v>
      </c>
      <c r="DY12" s="40">
        <f t="shared" ca="1" si="92"/>
        <v>1690144088</v>
      </c>
      <c r="DZ12" s="40">
        <f t="shared" ca="1" si="92"/>
        <v>1690144088</v>
      </c>
      <c r="EA12" s="40">
        <f t="shared" ca="1" si="92"/>
        <v>1690144088</v>
      </c>
      <c r="EB12" s="40">
        <f t="shared" ca="1" si="92"/>
        <v>1690144088</v>
      </c>
      <c r="EC12" s="40">
        <f t="shared" ca="1" si="92"/>
        <v>1690144088</v>
      </c>
      <c r="ED12" s="40">
        <f t="shared" ca="1" si="92"/>
        <v>1690144088</v>
      </c>
      <c r="EE12" s="40">
        <f t="shared" ca="1" si="92"/>
        <v>1690144088</v>
      </c>
      <c r="EF12" s="40">
        <f t="shared" ca="1" si="92"/>
        <v>1690144088</v>
      </c>
      <c r="EG12" s="40">
        <f t="shared" ref="EG12:GR12" ca="1" si="93">IF(IF(AND(ISNA(EG$8),ISNA(EF$8)),EF12*(1+$E$12),IF(AND(EF$8&gt;0,ISNA(EG$8)),EF12*(1+$E$12),EG$8))&gt;$C$21,$C$21,IF(AND(ISNA(EG$8),ISNA(EF$8)),EF12*(1+$E$12),IF(AND(EF$8&gt;0,ISNA(EG$8)),EF12*(1+$E$12),EG$8)))</f>
        <v>1690144088</v>
      </c>
      <c r="EH12" s="40">
        <f t="shared" ca="1" si="93"/>
        <v>1690144088</v>
      </c>
      <c r="EI12" s="40">
        <f t="shared" ca="1" si="93"/>
        <v>1690144088</v>
      </c>
      <c r="EJ12" s="40">
        <f t="shared" ca="1" si="93"/>
        <v>1690144088</v>
      </c>
      <c r="EK12" s="40">
        <f t="shared" ca="1" si="93"/>
        <v>1690144088</v>
      </c>
      <c r="EL12" s="40">
        <f t="shared" ca="1" si="93"/>
        <v>1690144088</v>
      </c>
      <c r="EM12" s="40">
        <f t="shared" ca="1" si="93"/>
        <v>1690144088</v>
      </c>
      <c r="EN12" s="40">
        <f t="shared" ca="1" si="93"/>
        <v>1690144088</v>
      </c>
      <c r="EO12" s="40">
        <f t="shared" ca="1" si="93"/>
        <v>1690144088</v>
      </c>
      <c r="EP12" s="40">
        <f t="shared" ca="1" si="93"/>
        <v>1690144088</v>
      </c>
      <c r="EQ12" s="40">
        <f t="shared" ca="1" si="93"/>
        <v>1690144088</v>
      </c>
      <c r="ER12" s="40">
        <f t="shared" ca="1" si="93"/>
        <v>1690144088</v>
      </c>
      <c r="ES12" s="40">
        <f t="shared" ca="1" si="93"/>
        <v>1690144088</v>
      </c>
      <c r="ET12" s="40">
        <f t="shared" ca="1" si="93"/>
        <v>1690144088</v>
      </c>
      <c r="EU12" s="40">
        <f t="shared" ca="1" si="93"/>
        <v>1690144088</v>
      </c>
      <c r="EV12" s="40">
        <f t="shared" ca="1" si="93"/>
        <v>1690144088</v>
      </c>
      <c r="EW12" s="40">
        <f t="shared" ca="1" si="93"/>
        <v>1690144088</v>
      </c>
      <c r="EX12" s="40">
        <f t="shared" ca="1" si="93"/>
        <v>1690144088</v>
      </c>
      <c r="EY12" s="40">
        <f t="shared" ca="1" si="93"/>
        <v>1690144088</v>
      </c>
      <c r="EZ12" s="40">
        <f t="shared" ca="1" si="93"/>
        <v>1690144088</v>
      </c>
      <c r="FA12" s="40">
        <f t="shared" ca="1" si="93"/>
        <v>1690144088</v>
      </c>
      <c r="FB12" s="40">
        <f t="shared" ca="1" si="93"/>
        <v>1690144088</v>
      </c>
      <c r="FC12" s="40">
        <f t="shared" ca="1" si="93"/>
        <v>1690144088</v>
      </c>
      <c r="FD12" s="40">
        <f t="shared" ca="1" si="93"/>
        <v>1690144088</v>
      </c>
      <c r="FE12" s="40">
        <f t="shared" ca="1" si="93"/>
        <v>1690144088</v>
      </c>
      <c r="FF12" s="40">
        <f t="shared" ca="1" si="93"/>
        <v>1690144088</v>
      </c>
      <c r="FG12" s="40">
        <f t="shared" ca="1" si="93"/>
        <v>1690144088</v>
      </c>
      <c r="FH12" s="40">
        <f t="shared" ca="1" si="93"/>
        <v>1690144088</v>
      </c>
      <c r="FI12" s="40">
        <f t="shared" ca="1" si="93"/>
        <v>1690144088</v>
      </c>
      <c r="FJ12" s="40">
        <f t="shared" ca="1" si="93"/>
        <v>1690144088</v>
      </c>
      <c r="FK12" s="40">
        <f t="shared" ca="1" si="93"/>
        <v>1690144088</v>
      </c>
      <c r="FL12" s="40">
        <f t="shared" ca="1" si="93"/>
        <v>1690144088</v>
      </c>
      <c r="FM12" s="40">
        <f t="shared" ca="1" si="93"/>
        <v>1690144088</v>
      </c>
      <c r="FN12" s="40">
        <f t="shared" ca="1" si="93"/>
        <v>1690144088</v>
      </c>
      <c r="FO12" s="40">
        <f t="shared" ca="1" si="93"/>
        <v>1690144088</v>
      </c>
      <c r="FP12" s="40">
        <f t="shared" ca="1" si="93"/>
        <v>1690144088</v>
      </c>
      <c r="FQ12" s="40">
        <f t="shared" ca="1" si="93"/>
        <v>1690144088</v>
      </c>
      <c r="FR12" s="40">
        <f t="shared" ca="1" si="93"/>
        <v>1690144088</v>
      </c>
      <c r="FS12" s="40">
        <f t="shared" ca="1" si="93"/>
        <v>1690144088</v>
      </c>
      <c r="FT12" s="40">
        <f t="shared" ca="1" si="93"/>
        <v>1690144088</v>
      </c>
      <c r="FU12" s="40">
        <f t="shared" ca="1" si="93"/>
        <v>1690144088</v>
      </c>
      <c r="FV12" s="40">
        <f t="shared" ca="1" si="93"/>
        <v>1690144088</v>
      </c>
      <c r="FW12" s="40">
        <f t="shared" ca="1" si="93"/>
        <v>1690144088</v>
      </c>
      <c r="FX12" s="40">
        <f t="shared" ca="1" si="93"/>
        <v>1690144088</v>
      </c>
      <c r="FY12" s="40">
        <f t="shared" ca="1" si="93"/>
        <v>1690144088</v>
      </c>
      <c r="FZ12" s="40">
        <f t="shared" ca="1" si="93"/>
        <v>1690144088</v>
      </c>
      <c r="GA12" s="40">
        <f t="shared" ca="1" si="93"/>
        <v>1690144088</v>
      </c>
      <c r="GB12" s="40">
        <f t="shared" ca="1" si="93"/>
        <v>1690144088</v>
      </c>
      <c r="GC12" s="40">
        <f t="shared" ca="1" si="93"/>
        <v>1690144088</v>
      </c>
      <c r="GD12" s="40">
        <f t="shared" ca="1" si="93"/>
        <v>1690144088</v>
      </c>
      <c r="GE12" s="40">
        <f t="shared" ca="1" si="93"/>
        <v>1690144088</v>
      </c>
      <c r="GF12" s="40">
        <f t="shared" ca="1" si="93"/>
        <v>1690144088</v>
      </c>
      <c r="GG12" s="40">
        <f t="shared" ca="1" si="93"/>
        <v>1690144088</v>
      </c>
      <c r="GH12" s="40">
        <f t="shared" ca="1" si="93"/>
        <v>1690144088</v>
      </c>
      <c r="GI12" s="40">
        <f t="shared" ca="1" si="93"/>
        <v>1690144088</v>
      </c>
      <c r="GJ12" s="40">
        <f t="shared" ca="1" si="93"/>
        <v>1690144088</v>
      </c>
      <c r="GK12" s="40">
        <f t="shared" ca="1" si="93"/>
        <v>1690144088</v>
      </c>
      <c r="GL12" s="40">
        <f t="shared" ca="1" si="93"/>
        <v>1690144088</v>
      </c>
      <c r="GM12" s="40">
        <f t="shared" ca="1" si="93"/>
        <v>1690144088</v>
      </c>
      <c r="GN12" s="40">
        <f t="shared" ca="1" si="93"/>
        <v>1690144088</v>
      </c>
      <c r="GO12" s="40">
        <f t="shared" ca="1" si="93"/>
        <v>1690144088</v>
      </c>
      <c r="GP12" s="40">
        <f t="shared" ca="1" si="93"/>
        <v>1690144088</v>
      </c>
      <c r="GQ12" s="40">
        <f t="shared" ca="1" si="93"/>
        <v>1690144088</v>
      </c>
      <c r="GR12" s="40">
        <f t="shared" ca="1" si="93"/>
        <v>1690144088</v>
      </c>
      <c r="GS12" s="40">
        <f t="shared" ref="GS12:IN12" ca="1" si="94">IF(IF(AND(ISNA(GS$8),ISNA(GR$8)),GR12*(1+$E$12),IF(AND(GR$8&gt;0,ISNA(GS$8)),GR12*(1+$E$12),GS$8))&gt;$C$21,$C$21,IF(AND(ISNA(GS$8),ISNA(GR$8)),GR12*(1+$E$12),IF(AND(GR$8&gt;0,ISNA(GS$8)),GR12*(1+$E$12),GS$8)))</f>
        <v>1690144088</v>
      </c>
      <c r="GT12" s="40">
        <f t="shared" ca="1" si="94"/>
        <v>1690144088</v>
      </c>
      <c r="GU12" s="40">
        <f t="shared" ca="1" si="94"/>
        <v>1690144088</v>
      </c>
      <c r="GV12" s="40">
        <f t="shared" ca="1" si="94"/>
        <v>1690144088</v>
      </c>
      <c r="GW12" s="40">
        <f t="shared" ca="1" si="94"/>
        <v>1690144088</v>
      </c>
      <c r="GX12" s="40">
        <f t="shared" ca="1" si="94"/>
        <v>1690144088</v>
      </c>
      <c r="GY12" s="40">
        <f t="shared" ca="1" si="94"/>
        <v>1690144088</v>
      </c>
      <c r="GZ12" s="40">
        <f t="shared" ca="1" si="94"/>
        <v>1690144088</v>
      </c>
      <c r="HA12" s="40">
        <f t="shared" ca="1" si="94"/>
        <v>1690144088</v>
      </c>
      <c r="HB12" s="40">
        <f t="shared" ca="1" si="94"/>
        <v>1690144088</v>
      </c>
      <c r="HC12" s="40">
        <f t="shared" ca="1" si="94"/>
        <v>1690144088</v>
      </c>
      <c r="HD12" s="40">
        <f t="shared" ca="1" si="94"/>
        <v>1690144088</v>
      </c>
      <c r="HE12" s="40">
        <f t="shared" ca="1" si="94"/>
        <v>1690144088</v>
      </c>
      <c r="HF12" s="40">
        <f t="shared" ca="1" si="94"/>
        <v>1690144088</v>
      </c>
      <c r="HG12" s="40">
        <f t="shared" ca="1" si="94"/>
        <v>1690144088</v>
      </c>
      <c r="HH12" s="40">
        <f t="shared" ca="1" si="94"/>
        <v>1690144088</v>
      </c>
      <c r="HI12" s="40">
        <f t="shared" ca="1" si="94"/>
        <v>1690144088</v>
      </c>
      <c r="HJ12" s="40">
        <f t="shared" ca="1" si="94"/>
        <v>1690144088</v>
      </c>
      <c r="HK12" s="40">
        <f t="shared" ca="1" si="94"/>
        <v>1690144088</v>
      </c>
      <c r="HL12" s="40">
        <f t="shared" ca="1" si="94"/>
        <v>1690144088</v>
      </c>
      <c r="HM12" s="40">
        <f t="shared" ca="1" si="94"/>
        <v>1690144088</v>
      </c>
      <c r="HN12" s="40">
        <f t="shared" ca="1" si="94"/>
        <v>1690144088</v>
      </c>
      <c r="HO12" s="40">
        <f t="shared" ca="1" si="94"/>
        <v>1690144088</v>
      </c>
      <c r="HP12" s="40">
        <f t="shared" ca="1" si="94"/>
        <v>1690144088</v>
      </c>
      <c r="HQ12" s="40">
        <f t="shared" ca="1" si="94"/>
        <v>1690144088</v>
      </c>
      <c r="HR12" s="40">
        <f t="shared" ca="1" si="94"/>
        <v>1690144088</v>
      </c>
      <c r="HS12" s="40">
        <f t="shared" ca="1" si="94"/>
        <v>1690144088</v>
      </c>
      <c r="HT12" s="40">
        <f t="shared" ca="1" si="94"/>
        <v>1690144088</v>
      </c>
      <c r="HU12" s="40">
        <f t="shared" ca="1" si="94"/>
        <v>1690144088</v>
      </c>
      <c r="HV12" s="40">
        <f t="shared" ca="1" si="94"/>
        <v>1690144088</v>
      </c>
      <c r="HW12" s="40">
        <f t="shared" ca="1" si="94"/>
        <v>1690144088</v>
      </c>
      <c r="HX12" s="40">
        <f t="shared" ca="1" si="94"/>
        <v>1690144088</v>
      </c>
      <c r="HY12" s="40">
        <f t="shared" ca="1" si="94"/>
        <v>1690144088</v>
      </c>
      <c r="HZ12" s="40">
        <f t="shared" ca="1" si="94"/>
        <v>1690144088</v>
      </c>
      <c r="IA12" s="40">
        <f t="shared" ca="1" si="94"/>
        <v>1690144088</v>
      </c>
      <c r="IB12" s="40">
        <f t="shared" ca="1" si="94"/>
        <v>1690144088</v>
      </c>
      <c r="IC12" s="40">
        <f t="shared" ca="1" si="94"/>
        <v>1690144088</v>
      </c>
      <c r="ID12" s="40">
        <f t="shared" ca="1" si="94"/>
        <v>1690144088</v>
      </c>
      <c r="IE12" s="40">
        <f t="shared" ca="1" si="94"/>
        <v>1690144088</v>
      </c>
      <c r="IF12" s="40">
        <f t="shared" ca="1" si="94"/>
        <v>1690144088</v>
      </c>
      <c r="IG12" s="40">
        <f t="shared" ca="1" si="94"/>
        <v>1690144088</v>
      </c>
      <c r="IH12" s="40">
        <f t="shared" ca="1" si="94"/>
        <v>1690144088</v>
      </c>
      <c r="II12" s="40">
        <f t="shared" ca="1" si="94"/>
        <v>1690144088</v>
      </c>
      <c r="IJ12" s="40">
        <f t="shared" ca="1" si="94"/>
        <v>1690144088</v>
      </c>
      <c r="IK12" s="40">
        <f t="shared" ca="1" si="94"/>
        <v>1690144088</v>
      </c>
      <c r="IL12" s="40">
        <f t="shared" ca="1" si="94"/>
        <v>1690144088</v>
      </c>
      <c r="IM12" s="40">
        <f t="shared" ca="1" si="94"/>
        <v>1690144088</v>
      </c>
      <c r="IN12" s="40">
        <f t="shared" ca="1" si="94"/>
        <v>1690144088</v>
      </c>
    </row>
    <row r="13" spans="2:248" x14ac:dyDescent="0.3">
      <c r="B13" s="19" t="s">
        <v>587</v>
      </c>
      <c r="C13" s="74">
        <f>VLOOKUP(B2,Deaths_since_10!C:G,5,FALSE)-1</f>
        <v>1.1294519753858978E-2</v>
      </c>
      <c r="F13" s="19" t="s">
        <v>588</v>
      </c>
      <c r="G13" s="74"/>
      <c r="H13" s="53">
        <f ca="1">IF(ISNA(G5),NA(),IF(H4&lt;$C$10,(H5/OFFSET(H5,0,-H4))^(1/(H4)),(H5/OFFSET(H5,0,-$C$10))^(1/$C$10))-1)</f>
        <v>0.17870036101083042</v>
      </c>
      <c r="I13" s="53">
        <f ca="1">IF(ISNA(H5),NA(),IF(I4&lt;$C$10,(I5/OFFSET(I5,0,-I4))^(1/(I4)),(I5/OFFSET(I5,0,-$C$10))^(1/$C$10))-1)</f>
        <v>0.30051364470819841</v>
      </c>
      <c r="J13" s="53">
        <f t="shared" ref="J13:BT13" ca="1" si="95">IF(ISNA(I5),NA(),IF(J4&lt;$C$10,(J5/OFFSET(J5,0,-J4))^(1/(J4)),(J5/OFFSET(J5,0,-$C$10))^(1/$C$10))-1)</f>
        <v>0.37143160819863152</v>
      </c>
      <c r="K13" s="53">
        <f t="shared" ca="1" si="95"/>
        <v>0.3961612619745043</v>
      </c>
      <c r="L13" s="53">
        <f t="shared" ca="1" si="95"/>
        <v>0.39349844410210277</v>
      </c>
      <c r="M13" s="53">
        <f t="shared" ca="1" si="95"/>
        <v>0.53456554560784975</v>
      </c>
      <c r="N13" s="53">
        <f t="shared" ca="1" si="95"/>
        <v>0.45632216226123745</v>
      </c>
      <c r="O13" s="53">
        <f t="shared" ca="1" si="95"/>
        <v>0.41836529591647764</v>
      </c>
      <c r="P13" s="53">
        <f t="shared" ca="1" si="95"/>
        <v>0.36255393153529747</v>
      </c>
      <c r="Q13" s="53">
        <f t="shared" ca="1" si="95"/>
        <v>0.32721385211720166</v>
      </c>
      <c r="R13" s="53">
        <f t="shared" ca="1" si="95"/>
        <v>0.24667104740716628</v>
      </c>
      <c r="S13" s="53">
        <f t="shared" ca="1" si="95"/>
        <v>0.26423700828501073</v>
      </c>
      <c r="T13" s="53">
        <f t="shared" ca="1" si="95"/>
        <v>0.23776316925807683</v>
      </c>
      <c r="U13" s="53">
        <f t="shared" ca="1" si="95"/>
        <v>0.22771011232205973</v>
      </c>
      <c r="V13" s="53">
        <f t="shared" ca="1" si="95"/>
        <v>0.20717106743102365</v>
      </c>
      <c r="W13" s="53">
        <f t="shared" ca="1" si="95"/>
        <v>0.1540977363998175</v>
      </c>
      <c r="X13" s="53">
        <f t="shared" ca="1" si="95"/>
        <v>0.1328408466024591</v>
      </c>
      <c r="Y13" s="53">
        <f t="shared" ca="1" si="95"/>
        <v>0.10917338830339518</v>
      </c>
      <c r="Z13" s="53">
        <f t="shared" ca="1" si="95"/>
        <v>9.060556582632584E-2</v>
      </c>
      <c r="AA13" s="53">
        <f t="shared" ca="1" si="95"/>
        <v>7.7238325843682842E-2</v>
      </c>
      <c r="AB13" s="53">
        <f t="shared" ca="1" si="95"/>
        <v>7.9389530384006202E-2</v>
      </c>
      <c r="AC13" s="53">
        <f ca="1">IF(ISNA(AB5),NA(),IF(AC4&lt;$C$10,(AC5/OFFSET(AC5,0,-AC4))^(1/(AC4)),(AC5/OFFSET(AC5,0,-$C$10))^(1/$C$10))-1)</f>
        <v>0.10199428998342941</v>
      </c>
      <c r="AD13" s="53">
        <f t="shared" ca="1" si="95"/>
        <v>0.10722175324661398</v>
      </c>
      <c r="AE13" s="53">
        <f t="shared" ca="1" si="95"/>
        <v>0.1004410188196907</v>
      </c>
      <c r="AF13" s="53">
        <f t="shared" ca="1" si="95"/>
        <v>9.6856204176452243E-2</v>
      </c>
      <c r="AG13" s="53">
        <f t="shared" ca="1" si="95"/>
        <v>7.6912640587530001E-2</v>
      </c>
      <c r="AH13" s="53">
        <f t="shared" ca="1" si="95"/>
        <v>4.3882137091776574E-2</v>
      </c>
      <c r="AI13" s="53">
        <f t="shared" ca="1" si="95"/>
        <v>2.3901176624687714E-2</v>
      </c>
      <c r="AJ13" s="53">
        <f t="shared" ca="1" si="95"/>
        <v>1.9097724691267581E-2</v>
      </c>
      <c r="AK13" s="53">
        <f t="shared" ca="1" si="95"/>
        <v>1.4480287704142114E-2</v>
      </c>
      <c r="AL13" s="53">
        <f t="shared" ca="1" si="95"/>
        <v>1.3488584748915677E-2</v>
      </c>
      <c r="AM13" s="53">
        <f t="shared" ca="1" si="95"/>
        <v>9.1437493850745621E-3</v>
      </c>
      <c r="AN13" s="53">
        <f t="shared" ca="1" si="95"/>
        <v>9.2012717846965408E-3</v>
      </c>
      <c r="AO13" s="53">
        <f t="shared" ca="1" si="95"/>
        <v>9.4709247808097974E-3</v>
      </c>
      <c r="AP13" s="53">
        <f t="shared" ca="1" si="95"/>
        <v>9.7434482043337045E-3</v>
      </c>
      <c r="AQ13" s="53">
        <f t="shared" ca="1" si="95"/>
        <v>7.7153930919344749E-3</v>
      </c>
      <c r="AR13" s="53">
        <f t="shared" ca="1" si="95"/>
        <v>9.4168435138610729E-3</v>
      </c>
      <c r="AS13" s="53">
        <f t="shared" ca="1" si="95"/>
        <v>1.1341757971960353E-2</v>
      </c>
      <c r="AT13" s="53">
        <f t="shared" ca="1" si="95"/>
        <v>1.2491794229457343E-2</v>
      </c>
      <c r="AU13" s="53">
        <f t="shared" ca="1" si="95"/>
        <v>1.2636456532567175E-2</v>
      </c>
      <c r="AV13" s="53">
        <f t="shared" ca="1" si="95"/>
        <v>1.2585764249084086E-2</v>
      </c>
      <c r="AW13" s="53">
        <f t="shared" ca="1" si="95"/>
        <v>1.1792680019432122E-2</v>
      </c>
      <c r="AX13" s="53">
        <f t="shared" ca="1" si="95"/>
        <v>1.0215139650940674E-2</v>
      </c>
      <c r="AY13" s="53">
        <f t="shared" ca="1" si="95"/>
        <v>9.1429415928598878E-3</v>
      </c>
      <c r="AZ13" s="53">
        <f t="shared" ca="1" si="95"/>
        <v>8.5281803617700547E-3</v>
      </c>
      <c r="BA13" s="53">
        <f t="shared" ca="1" si="95"/>
        <v>7.1067324258651254E-3</v>
      </c>
      <c r="BB13" s="53">
        <f t="shared" ca="1" si="95"/>
        <v>6.2033587364918041E-3</v>
      </c>
      <c r="BC13" s="53">
        <f t="shared" ca="1" si="95"/>
        <v>5.1398231878283518E-3</v>
      </c>
      <c r="BD13" s="53">
        <f t="shared" ca="1" si="95"/>
        <v>4.3125907116390305E-3</v>
      </c>
      <c r="BE13" s="53">
        <f t="shared" ca="1" si="95"/>
        <v>3.3131481744410607E-3</v>
      </c>
      <c r="BF13" s="53">
        <f t="shared" ca="1" si="95"/>
        <v>3.2312112180428176E-3</v>
      </c>
      <c r="BG13" s="53">
        <f t="shared" ca="1" si="95"/>
        <v>3.5421692661761206E-3</v>
      </c>
      <c r="BH13" s="53">
        <f t="shared" ca="1" si="95"/>
        <v>4.2416990959976975E-3</v>
      </c>
      <c r="BI13" s="53">
        <f t="shared" ca="1" si="95"/>
        <v>4.2914643031610744E-3</v>
      </c>
      <c r="BJ13" s="53">
        <f t="shared" ca="1" si="95"/>
        <v>5.2392558375133902E-3</v>
      </c>
      <c r="BK13" s="53">
        <f t="shared" ca="1" si="95"/>
        <v>5.6405761580358149E-3</v>
      </c>
      <c r="BL13" s="53">
        <f t="shared" ca="1" si="95"/>
        <v>6.5773732477256708E-3</v>
      </c>
      <c r="BM13" s="53">
        <f ca="1">IF(ISNA(BL5),NA(),IF(BM4&lt;$C$10,(BM5/OFFSET(BM5,0,-BM4))^(1/(BM4)),(BM5/OFFSET(BM5,0,-$C$10))^(1/$C$10))-1)</f>
        <v>6.9352891751124357E-3</v>
      </c>
      <c r="BN13" s="53">
        <f t="shared" ca="1" si="95"/>
        <v>8.2724489728778217E-3</v>
      </c>
      <c r="BO13" s="53">
        <f t="shared" ca="1" si="95"/>
        <v>9.25480832923542E-3</v>
      </c>
      <c r="BP13" s="53">
        <f t="shared" ca="1" si="95"/>
        <v>9.9893149287044736E-3</v>
      </c>
      <c r="BQ13" s="53">
        <f t="shared" ca="1" si="95"/>
        <v>1.0133930562810978E-2</v>
      </c>
      <c r="BR13" s="53">
        <f ca="1">IF(ISNA(BQ5),NA(),IF(BR4&lt;$C$10,(BR5/OFFSET(BR5,0,-BR4))^(1/(BR4)),(BR5/OFFSET(BR5,0,-$C$10))^(1/$C$10))-1)</f>
        <v>1.112534268898191E-2</v>
      </c>
      <c r="BS13" s="53">
        <f t="shared" ca="1" si="95"/>
        <v>1.1511817259085788E-2</v>
      </c>
      <c r="BT13" s="53">
        <f t="shared" ca="1" si="95"/>
        <v>1.2083700072492265E-2</v>
      </c>
      <c r="BU13" s="53">
        <f t="shared" ref="BU13:EF13" ca="1" si="96">IF(ISNA(BT5),NA(),IF(BU4&lt;$C$10,(BU5/OFFSET(BU5,0,-BU4))^(1/(BU4)),(BU5/OFFSET(BU5,0,-$C$10))^(1/$C$10))-1)</f>
        <v>1.3540147892186383E-2</v>
      </c>
      <c r="BV13" s="53" t="e">
        <f t="shared" ca="1" si="96"/>
        <v>#N/A</v>
      </c>
      <c r="BW13" s="53" t="e">
        <f t="shared" ca="1" si="96"/>
        <v>#N/A</v>
      </c>
      <c r="BX13" s="53" t="e">
        <f t="shared" ca="1" si="96"/>
        <v>#N/A</v>
      </c>
      <c r="BY13" s="53" t="e">
        <f t="shared" ca="1" si="96"/>
        <v>#N/A</v>
      </c>
      <c r="BZ13" s="53" t="e">
        <f t="shared" ca="1" si="96"/>
        <v>#N/A</v>
      </c>
      <c r="CA13" s="53" t="e">
        <f t="shared" ca="1" si="96"/>
        <v>#N/A</v>
      </c>
      <c r="CB13" s="53" t="e">
        <f t="shared" ca="1" si="96"/>
        <v>#N/A</v>
      </c>
      <c r="CC13" s="53" t="e">
        <f t="shared" ca="1" si="96"/>
        <v>#N/A</v>
      </c>
      <c r="CD13" s="53" t="e">
        <f t="shared" ca="1" si="96"/>
        <v>#N/A</v>
      </c>
      <c r="CE13" s="53" t="e">
        <f t="shared" ca="1" si="96"/>
        <v>#N/A</v>
      </c>
      <c r="CF13" s="53" t="e">
        <f t="shared" ca="1" si="96"/>
        <v>#N/A</v>
      </c>
      <c r="CG13" s="53" t="e">
        <f t="shared" ca="1" si="96"/>
        <v>#N/A</v>
      </c>
      <c r="CH13" s="53" t="e">
        <f t="shared" ca="1" si="96"/>
        <v>#N/A</v>
      </c>
      <c r="CI13" s="53" t="e">
        <f t="shared" ca="1" si="96"/>
        <v>#N/A</v>
      </c>
      <c r="CJ13" s="53" t="e">
        <f t="shared" ca="1" si="96"/>
        <v>#N/A</v>
      </c>
      <c r="CK13" s="53" t="e">
        <f t="shared" ca="1" si="96"/>
        <v>#N/A</v>
      </c>
      <c r="CL13" s="53" t="e">
        <f t="shared" ca="1" si="96"/>
        <v>#N/A</v>
      </c>
      <c r="CM13" s="53" t="e">
        <f t="shared" ca="1" si="96"/>
        <v>#N/A</v>
      </c>
      <c r="CN13" s="53" t="e">
        <f t="shared" ca="1" si="96"/>
        <v>#N/A</v>
      </c>
      <c r="CO13" s="53" t="e">
        <f t="shared" ca="1" si="96"/>
        <v>#N/A</v>
      </c>
      <c r="CP13" s="53" t="e">
        <f t="shared" ca="1" si="96"/>
        <v>#N/A</v>
      </c>
      <c r="CQ13" s="53" t="e">
        <f t="shared" ca="1" si="96"/>
        <v>#N/A</v>
      </c>
      <c r="CR13" s="53" t="e">
        <f t="shared" ca="1" si="96"/>
        <v>#N/A</v>
      </c>
      <c r="CS13" s="53" t="e">
        <f t="shared" ca="1" si="96"/>
        <v>#N/A</v>
      </c>
      <c r="CT13" s="53" t="e">
        <f t="shared" ca="1" si="96"/>
        <v>#N/A</v>
      </c>
      <c r="CU13" s="53" t="e">
        <f t="shared" ca="1" si="96"/>
        <v>#N/A</v>
      </c>
      <c r="CV13" s="53" t="e">
        <f t="shared" ca="1" si="96"/>
        <v>#N/A</v>
      </c>
      <c r="CW13" s="53" t="e">
        <f t="shared" ca="1" si="96"/>
        <v>#N/A</v>
      </c>
      <c r="CX13" s="53" t="e">
        <f t="shared" ca="1" si="96"/>
        <v>#N/A</v>
      </c>
      <c r="CY13" s="53" t="e">
        <f t="shared" ca="1" si="96"/>
        <v>#N/A</v>
      </c>
      <c r="CZ13" s="53" t="e">
        <f t="shared" ca="1" si="96"/>
        <v>#N/A</v>
      </c>
      <c r="DA13" s="53" t="e">
        <f t="shared" ca="1" si="96"/>
        <v>#N/A</v>
      </c>
      <c r="DB13" s="53" t="e">
        <f t="shared" ca="1" si="96"/>
        <v>#N/A</v>
      </c>
      <c r="DC13" s="53" t="e">
        <f t="shared" ca="1" si="96"/>
        <v>#N/A</v>
      </c>
      <c r="DD13" s="53" t="e">
        <f t="shared" ca="1" si="96"/>
        <v>#N/A</v>
      </c>
      <c r="DE13" s="53" t="e">
        <f t="shared" ca="1" si="96"/>
        <v>#N/A</v>
      </c>
      <c r="DF13" s="53" t="e">
        <f t="shared" ca="1" si="96"/>
        <v>#N/A</v>
      </c>
      <c r="DG13" s="53" t="e">
        <f t="shared" ca="1" si="96"/>
        <v>#N/A</v>
      </c>
      <c r="DH13" s="53" t="e">
        <f t="shared" ca="1" si="96"/>
        <v>#N/A</v>
      </c>
      <c r="DI13" s="53" t="e">
        <f t="shared" ca="1" si="96"/>
        <v>#N/A</v>
      </c>
      <c r="DJ13" s="53" t="e">
        <f t="shared" ca="1" si="96"/>
        <v>#N/A</v>
      </c>
      <c r="DK13" s="53" t="e">
        <f t="shared" ca="1" si="96"/>
        <v>#N/A</v>
      </c>
      <c r="DL13" s="53" t="e">
        <f t="shared" ca="1" si="96"/>
        <v>#N/A</v>
      </c>
      <c r="DM13" s="53" t="e">
        <f t="shared" ca="1" si="96"/>
        <v>#N/A</v>
      </c>
      <c r="DN13" s="53" t="e">
        <f t="shared" ca="1" si="96"/>
        <v>#N/A</v>
      </c>
      <c r="DO13" s="53" t="e">
        <f t="shared" ca="1" si="96"/>
        <v>#N/A</v>
      </c>
      <c r="DP13" s="53" t="e">
        <f t="shared" ca="1" si="96"/>
        <v>#N/A</v>
      </c>
      <c r="DQ13" s="53" t="e">
        <f t="shared" ca="1" si="96"/>
        <v>#N/A</v>
      </c>
      <c r="DR13" s="53" t="e">
        <f t="shared" ca="1" si="96"/>
        <v>#N/A</v>
      </c>
      <c r="DS13" s="53" t="e">
        <f t="shared" ca="1" si="96"/>
        <v>#N/A</v>
      </c>
      <c r="DT13" s="53" t="e">
        <f t="shared" ca="1" si="96"/>
        <v>#N/A</v>
      </c>
      <c r="DU13" s="53" t="e">
        <f t="shared" ca="1" si="96"/>
        <v>#N/A</v>
      </c>
      <c r="DV13" s="53" t="e">
        <f t="shared" ca="1" si="96"/>
        <v>#N/A</v>
      </c>
      <c r="DW13" s="53" t="e">
        <f t="shared" ca="1" si="96"/>
        <v>#N/A</v>
      </c>
      <c r="DX13" s="53" t="e">
        <f t="shared" ca="1" si="96"/>
        <v>#N/A</v>
      </c>
      <c r="DY13" s="53" t="e">
        <f t="shared" ca="1" si="96"/>
        <v>#N/A</v>
      </c>
      <c r="DZ13" s="53" t="e">
        <f t="shared" ca="1" si="96"/>
        <v>#N/A</v>
      </c>
      <c r="EA13" s="53" t="e">
        <f t="shared" ca="1" si="96"/>
        <v>#N/A</v>
      </c>
      <c r="EB13" s="53" t="e">
        <f t="shared" ca="1" si="96"/>
        <v>#N/A</v>
      </c>
      <c r="EC13" s="53" t="e">
        <f t="shared" ca="1" si="96"/>
        <v>#N/A</v>
      </c>
      <c r="ED13" s="53" t="e">
        <f t="shared" ca="1" si="96"/>
        <v>#N/A</v>
      </c>
      <c r="EE13" s="53" t="e">
        <f t="shared" ca="1" si="96"/>
        <v>#N/A</v>
      </c>
      <c r="EF13" s="53" t="e">
        <f t="shared" ca="1" si="96"/>
        <v>#N/A</v>
      </c>
      <c r="EG13" s="53" t="e">
        <f t="shared" ref="EG13:GR13" ca="1" si="97">IF(ISNA(EF5),NA(),IF(EG4&lt;$C$10,(EG5/OFFSET(EG5,0,-EG4))^(1/(EG4)),(EG5/OFFSET(EG5,0,-$C$10))^(1/$C$10))-1)</f>
        <v>#N/A</v>
      </c>
      <c r="EH13" s="53" t="e">
        <f t="shared" ca="1" si="97"/>
        <v>#N/A</v>
      </c>
      <c r="EI13" s="53" t="e">
        <f t="shared" ca="1" si="97"/>
        <v>#N/A</v>
      </c>
      <c r="EJ13" s="53" t="e">
        <f t="shared" ca="1" si="97"/>
        <v>#N/A</v>
      </c>
      <c r="EK13" s="53" t="e">
        <f t="shared" ca="1" si="97"/>
        <v>#N/A</v>
      </c>
      <c r="EL13" s="53" t="e">
        <f t="shared" ca="1" si="97"/>
        <v>#N/A</v>
      </c>
      <c r="EM13" s="53" t="e">
        <f t="shared" ca="1" si="97"/>
        <v>#N/A</v>
      </c>
      <c r="EN13" s="53" t="e">
        <f t="shared" ca="1" si="97"/>
        <v>#N/A</v>
      </c>
      <c r="EO13" s="53" t="e">
        <f t="shared" ca="1" si="97"/>
        <v>#N/A</v>
      </c>
      <c r="EP13" s="53" t="e">
        <f t="shared" ca="1" si="97"/>
        <v>#N/A</v>
      </c>
      <c r="EQ13" s="53" t="e">
        <f t="shared" ca="1" si="97"/>
        <v>#N/A</v>
      </c>
      <c r="ER13" s="53" t="e">
        <f t="shared" ca="1" si="97"/>
        <v>#N/A</v>
      </c>
      <c r="ES13" s="53" t="e">
        <f t="shared" ca="1" si="97"/>
        <v>#N/A</v>
      </c>
      <c r="ET13" s="53" t="e">
        <f t="shared" ca="1" si="97"/>
        <v>#N/A</v>
      </c>
      <c r="EU13" s="53" t="e">
        <f t="shared" ca="1" si="97"/>
        <v>#N/A</v>
      </c>
      <c r="EV13" s="53" t="e">
        <f t="shared" ca="1" si="97"/>
        <v>#N/A</v>
      </c>
      <c r="EW13" s="53" t="e">
        <f t="shared" ca="1" si="97"/>
        <v>#N/A</v>
      </c>
      <c r="EX13" s="53" t="e">
        <f t="shared" ca="1" si="97"/>
        <v>#N/A</v>
      </c>
      <c r="EY13" s="53" t="e">
        <f t="shared" ca="1" si="97"/>
        <v>#N/A</v>
      </c>
      <c r="EZ13" s="53" t="e">
        <f t="shared" ca="1" si="97"/>
        <v>#N/A</v>
      </c>
      <c r="FA13" s="53" t="e">
        <f t="shared" ca="1" si="97"/>
        <v>#N/A</v>
      </c>
      <c r="FB13" s="53" t="e">
        <f t="shared" ca="1" si="97"/>
        <v>#N/A</v>
      </c>
      <c r="FC13" s="53" t="e">
        <f t="shared" ca="1" si="97"/>
        <v>#N/A</v>
      </c>
      <c r="FD13" s="53" t="e">
        <f t="shared" ca="1" si="97"/>
        <v>#N/A</v>
      </c>
      <c r="FE13" s="53" t="e">
        <f t="shared" ca="1" si="97"/>
        <v>#N/A</v>
      </c>
      <c r="FF13" s="53" t="e">
        <f t="shared" ca="1" si="97"/>
        <v>#N/A</v>
      </c>
      <c r="FG13" s="53" t="e">
        <f t="shared" ca="1" si="97"/>
        <v>#N/A</v>
      </c>
      <c r="FH13" s="53" t="e">
        <f t="shared" ca="1" si="97"/>
        <v>#N/A</v>
      </c>
      <c r="FI13" s="53" t="e">
        <f t="shared" ca="1" si="97"/>
        <v>#N/A</v>
      </c>
      <c r="FJ13" s="53" t="e">
        <f t="shared" ca="1" si="97"/>
        <v>#N/A</v>
      </c>
      <c r="FK13" s="53" t="e">
        <f t="shared" ca="1" si="97"/>
        <v>#N/A</v>
      </c>
      <c r="FL13" s="53" t="e">
        <f t="shared" ca="1" si="97"/>
        <v>#N/A</v>
      </c>
      <c r="FM13" s="53" t="e">
        <f t="shared" ca="1" si="97"/>
        <v>#N/A</v>
      </c>
      <c r="FN13" s="53" t="e">
        <f t="shared" ca="1" si="97"/>
        <v>#N/A</v>
      </c>
      <c r="FO13" s="53" t="e">
        <f t="shared" ca="1" si="97"/>
        <v>#N/A</v>
      </c>
      <c r="FP13" s="53" t="e">
        <f t="shared" ca="1" si="97"/>
        <v>#N/A</v>
      </c>
      <c r="FQ13" s="53" t="e">
        <f t="shared" ca="1" si="97"/>
        <v>#N/A</v>
      </c>
      <c r="FR13" s="53" t="e">
        <f t="shared" ca="1" si="97"/>
        <v>#N/A</v>
      </c>
      <c r="FS13" s="53" t="e">
        <f t="shared" ca="1" si="97"/>
        <v>#N/A</v>
      </c>
      <c r="FT13" s="53" t="e">
        <f t="shared" ca="1" si="97"/>
        <v>#N/A</v>
      </c>
      <c r="FU13" s="53" t="e">
        <f t="shared" ca="1" si="97"/>
        <v>#N/A</v>
      </c>
      <c r="FV13" s="53" t="e">
        <f t="shared" ca="1" si="97"/>
        <v>#N/A</v>
      </c>
      <c r="FW13" s="53" t="e">
        <f t="shared" ca="1" si="97"/>
        <v>#N/A</v>
      </c>
      <c r="FX13" s="53" t="e">
        <f t="shared" ca="1" si="97"/>
        <v>#N/A</v>
      </c>
      <c r="FY13" s="53" t="e">
        <f t="shared" ca="1" si="97"/>
        <v>#N/A</v>
      </c>
      <c r="FZ13" s="53" t="e">
        <f t="shared" ca="1" si="97"/>
        <v>#N/A</v>
      </c>
      <c r="GA13" s="53" t="e">
        <f t="shared" ca="1" si="97"/>
        <v>#N/A</v>
      </c>
      <c r="GB13" s="53" t="e">
        <f t="shared" ca="1" si="97"/>
        <v>#N/A</v>
      </c>
      <c r="GC13" s="53" t="e">
        <f t="shared" ca="1" si="97"/>
        <v>#N/A</v>
      </c>
      <c r="GD13" s="53" t="e">
        <f t="shared" ca="1" si="97"/>
        <v>#N/A</v>
      </c>
      <c r="GE13" s="53" t="e">
        <f t="shared" ca="1" si="97"/>
        <v>#N/A</v>
      </c>
      <c r="GF13" s="53" t="e">
        <f t="shared" ca="1" si="97"/>
        <v>#N/A</v>
      </c>
      <c r="GG13" s="53" t="e">
        <f t="shared" ca="1" si="97"/>
        <v>#N/A</v>
      </c>
      <c r="GH13" s="53" t="e">
        <f t="shared" ca="1" si="97"/>
        <v>#N/A</v>
      </c>
      <c r="GI13" s="53" t="e">
        <f t="shared" ca="1" si="97"/>
        <v>#N/A</v>
      </c>
      <c r="GJ13" s="53" t="e">
        <f t="shared" ca="1" si="97"/>
        <v>#N/A</v>
      </c>
      <c r="GK13" s="53" t="e">
        <f t="shared" ca="1" si="97"/>
        <v>#N/A</v>
      </c>
      <c r="GL13" s="53" t="e">
        <f t="shared" ca="1" si="97"/>
        <v>#N/A</v>
      </c>
      <c r="GM13" s="53" t="e">
        <f t="shared" ca="1" si="97"/>
        <v>#N/A</v>
      </c>
      <c r="GN13" s="53" t="e">
        <f t="shared" ca="1" si="97"/>
        <v>#N/A</v>
      </c>
      <c r="GO13" s="53" t="e">
        <f t="shared" ca="1" si="97"/>
        <v>#N/A</v>
      </c>
      <c r="GP13" s="53" t="e">
        <f t="shared" ca="1" si="97"/>
        <v>#N/A</v>
      </c>
      <c r="GQ13" s="53" t="e">
        <f t="shared" ca="1" si="97"/>
        <v>#N/A</v>
      </c>
      <c r="GR13" s="53" t="e">
        <f t="shared" ca="1" si="97"/>
        <v>#N/A</v>
      </c>
      <c r="GS13" s="53" t="e">
        <f t="shared" ref="GS13:IN13" ca="1" si="98">IF(ISNA(GR5),NA(),IF(GS4&lt;$C$10,(GS5/OFFSET(GS5,0,-GS4))^(1/(GS4)),(GS5/OFFSET(GS5,0,-$C$10))^(1/$C$10))-1)</f>
        <v>#N/A</v>
      </c>
      <c r="GT13" s="53" t="e">
        <f t="shared" ca="1" si="98"/>
        <v>#N/A</v>
      </c>
      <c r="GU13" s="53" t="e">
        <f t="shared" ca="1" si="98"/>
        <v>#N/A</v>
      </c>
      <c r="GV13" s="53" t="e">
        <f t="shared" ca="1" si="98"/>
        <v>#N/A</v>
      </c>
      <c r="GW13" s="53" t="e">
        <f t="shared" ca="1" si="98"/>
        <v>#N/A</v>
      </c>
      <c r="GX13" s="53" t="e">
        <f t="shared" ca="1" si="98"/>
        <v>#N/A</v>
      </c>
      <c r="GY13" s="53" t="e">
        <f t="shared" ca="1" si="98"/>
        <v>#N/A</v>
      </c>
      <c r="GZ13" s="53" t="e">
        <f t="shared" ca="1" si="98"/>
        <v>#N/A</v>
      </c>
      <c r="HA13" s="53" t="e">
        <f t="shared" ca="1" si="98"/>
        <v>#N/A</v>
      </c>
      <c r="HB13" s="53" t="e">
        <f t="shared" ca="1" si="98"/>
        <v>#N/A</v>
      </c>
      <c r="HC13" s="53" t="e">
        <f t="shared" ca="1" si="98"/>
        <v>#N/A</v>
      </c>
      <c r="HD13" s="53" t="e">
        <f t="shared" ca="1" si="98"/>
        <v>#N/A</v>
      </c>
      <c r="HE13" s="53" t="e">
        <f t="shared" ca="1" si="98"/>
        <v>#N/A</v>
      </c>
      <c r="HF13" s="53" t="e">
        <f t="shared" ca="1" si="98"/>
        <v>#N/A</v>
      </c>
      <c r="HG13" s="53" t="e">
        <f t="shared" ca="1" si="98"/>
        <v>#N/A</v>
      </c>
      <c r="HH13" s="53" t="e">
        <f t="shared" ca="1" si="98"/>
        <v>#N/A</v>
      </c>
      <c r="HI13" s="53" t="e">
        <f t="shared" ca="1" si="98"/>
        <v>#N/A</v>
      </c>
      <c r="HJ13" s="53" t="e">
        <f t="shared" ca="1" si="98"/>
        <v>#N/A</v>
      </c>
      <c r="HK13" s="53" t="e">
        <f t="shared" ca="1" si="98"/>
        <v>#N/A</v>
      </c>
      <c r="HL13" s="53" t="e">
        <f t="shared" ca="1" si="98"/>
        <v>#N/A</v>
      </c>
      <c r="HM13" s="53" t="e">
        <f t="shared" ca="1" si="98"/>
        <v>#N/A</v>
      </c>
      <c r="HN13" s="53" t="e">
        <f t="shared" ca="1" si="98"/>
        <v>#N/A</v>
      </c>
      <c r="HO13" s="53" t="e">
        <f t="shared" ca="1" si="98"/>
        <v>#N/A</v>
      </c>
      <c r="HP13" s="53" t="e">
        <f t="shared" ca="1" si="98"/>
        <v>#N/A</v>
      </c>
      <c r="HQ13" s="53" t="e">
        <f t="shared" ca="1" si="98"/>
        <v>#N/A</v>
      </c>
      <c r="HR13" s="53" t="e">
        <f t="shared" ca="1" si="98"/>
        <v>#N/A</v>
      </c>
      <c r="HS13" s="53" t="e">
        <f t="shared" ca="1" si="98"/>
        <v>#N/A</v>
      </c>
      <c r="HT13" s="53" t="e">
        <f t="shared" ca="1" si="98"/>
        <v>#N/A</v>
      </c>
      <c r="HU13" s="53" t="e">
        <f t="shared" ca="1" si="98"/>
        <v>#N/A</v>
      </c>
      <c r="HV13" s="53" t="e">
        <f t="shared" ca="1" si="98"/>
        <v>#N/A</v>
      </c>
      <c r="HW13" s="53" t="e">
        <f t="shared" ca="1" si="98"/>
        <v>#N/A</v>
      </c>
      <c r="HX13" s="53" t="e">
        <f t="shared" ca="1" si="98"/>
        <v>#N/A</v>
      </c>
      <c r="HY13" s="53" t="e">
        <f t="shared" ca="1" si="98"/>
        <v>#N/A</v>
      </c>
      <c r="HZ13" s="53" t="e">
        <f t="shared" ca="1" si="98"/>
        <v>#N/A</v>
      </c>
      <c r="IA13" s="53" t="e">
        <f t="shared" ca="1" si="98"/>
        <v>#N/A</v>
      </c>
      <c r="IB13" s="53" t="e">
        <f t="shared" ca="1" si="98"/>
        <v>#N/A</v>
      </c>
      <c r="IC13" s="53" t="e">
        <f t="shared" ca="1" si="98"/>
        <v>#N/A</v>
      </c>
      <c r="ID13" s="53" t="e">
        <f t="shared" ca="1" si="98"/>
        <v>#N/A</v>
      </c>
      <c r="IE13" s="53" t="e">
        <f t="shared" ca="1" si="98"/>
        <v>#N/A</v>
      </c>
      <c r="IF13" s="53" t="e">
        <f t="shared" ca="1" si="98"/>
        <v>#N/A</v>
      </c>
      <c r="IG13" s="53" t="e">
        <f t="shared" ca="1" si="98"/>
        <v>#N/A</v>
      </c>
      <c r="IH13" s="53" t="e">
        <f t="shared" ca="1" si="98"/>
        <v>#N/A</v>
      </c>
      <c r="II13" s="53" t="e">
        <f t="shared" ca="1" si="98"/>
        <v>#N/A</v>
      </c>
      <c r="IJ13" s="53" t="e">
        <f t="shared" ca="1" si="98"/>
        <v>#N/A</v>
      </c>
      <c r="IK13" s="53" t="e">
        <f t="shared" ca="1" si="98"/>
        <v>#N/A</v>
      </c>
      <c r="IL13" s="53" t="e">
        <f t="shared" ca="1" si="98"/>
        <v>#N/A</v>
      </c>
      <c r="IM13" s="53" t="e">
        <f t="shared" ca="1" si="98"/>
        <v>#N/A</v>
      </c>
      <c r="IN13" s="53" t="e">
        <f t="shared" ca="1" si="98"/>
        <v>#N/A</v>
      </c>
    </row>
    <row r="14" spans="2:248" x14ac:dyDescent="0.3">
      <c r="B14" s="19" t="s">
        <v>452</v>
      </c>
      <c r="C14" s="21">
        <f>C4*(1+C12)</f>
        <v>106114.61286386824</v>
      </c>
      <c r="F14" s="19" t="s">
        <v>602</v>
      </c>
      <c r="G14" s="53">
        <f ca="1">H14</f>
        <v>0.17689530685920585</v>
      </c>
      <c r="H14" s="53">
        <f ca="1">IF(ISNA(G8),NA(),IF(H4&lt;$C$10,(H8/OFFSET(H8,0,-H4))^(1/(H4)),(H8/OFFSET(H8,0,-$C$10))^(1/$C$10))-1)</f>
        <v>0.17689530685920585</v>
      </c>
      <c r="I14" s="53">
        <f t="shared" ref="I14:BT14" ca="1" si="99">IF(ISNA(H8),NA(),IF(I4&lt;$C$10,(I8/OFFSET(I8,0,-I4))^(1/(I4)),(I8/OFFSET(I8,0,-$C$10))^(1/$C$10))-1)</f>
        <v>0.29425277774767844</v>
      </c>
      <c r="J14" s="53">
        <f t="shared" ca="1" si="99"/>
        <v>0.36338689233487642</v>
      </c>
      <c r="K14" s="53">
        <f t="shared" ca="1" si="99"/>
        <v>0.38964906039987346</v>
      </c>
      <c r="L14" s="53">
        <f t="shared" ca="1" si="99"/>
        <v>0.3872189927518197</v>
      </c>
      <c r="M14" s="53">
        <f t="shared" ca="1" si="99"/>
        <v>0.52868550535824443</v>
      </c>
      <c r="N14" s="53">
        <f t="shared" ca="1" si="99"/>
        <v>0.45357871531092275</v>
      </c>
      <c r="O14" s="53">
        <f t="shared" ca="1" si="99"/>
        <v>0.41799586340460726</v>
      </c>
      <c r="P14" s="53">
        <f t="shared" ca="1" si="99"/>
        <v>0.36219314980761119</v>
      </c>
      <c r="Q14" s="53">
        <f t="shared" ca="1" si="99"/>
        <v>0.32779497320251449</v>
      </c>
      <c r="R14" s="53">
        <f t="shared" ca="1" si="99"/>
        <v>0.22931360565182701</v>
      </c>
      <c r="S14" s="53">
        <f t="shared" ca="1" si="99"/>
        <v>0.25387081797073341</v>
      </c>
      <c r="T14" s="53">
        <f t="shared" ca="1" si="99"/>
        <v>0.2244417348611556</v>
      </c>
      <c r="U14" s="53">
        <f t="shared" ca="1" si="99"/>
        <v>0.21013126336748744</v>
      </c>
      <c r="V14" s="53">
        <f t="shared" ca="1" si="99"/>
        <v>0.18448862128977628</v>
      </c>
      <c r="W14" s="53">
        <f t="shared" ca="1" si="99"/>
        <v>0.1439382866846286</v>
      </c>
      <c r="X14" s="53">
        <f t="shared" ca="1" si="99"/>
        <v>8.5700808349356228E-2</v>
      </c>
      <c r="Y14" s="53">
        <f t="shared" ca="1" si="99"/>
        <v>7.9794042195860948E-2</v>
      </c>
      <c r="Z14" s="53">
        <f t="shared" ca="1" si="99"/>
        <v>4.5893905060547802E-2</v>
      </c>
      <c r="AA14" s="53">
        <f t="shared" ca="1" si="99"/>
        <v>3.2614238448702704E-2</v>
      </c>
      <c r="AB14" s="53">
        <f t="shared" ca="1" si="99"/>
        <v>3.3509821539102536E-2</v>
      </c>
      <c r="AC14" s="53">
        <f t="shared" ca="1" si="99"/>
        <v>6.0232048149483353E-2</v>
      </c>
      <c r="AD14" s="53">
        <f t="shared" ca="1" si="99"/>
        <v>5.5654351951167857E-2</v>
      </c>
      <c r="AE14" s="53">
        <f t="shared" ca="1" si="99"/>
        <v>4.7583252082383121E-2</v>
      </c>
      <c r="AF14" s="53">
        <f t="shared" ca="1" si="99"/>
        <v>3.5758476656052363E-2</v>
      </c>
      <c r="AG14" s="53">
        <f t="shared" ca="1" si="99"/>
        <v>1.3039075948092949E-2</v>
      </c>
      <c r="AH14" s="53">
        <f t="shared" ca="1" si="99"/>
        <v>-1.2008500103217967E-2</v>
      </c>
      <c r="AI14" s="53">
        <f t="shared" ca="1" si="99"/>
        <v>-4.428992398559628E-2</v>
      </c>
      <c r="AJ14" s="53">
        <f t="shared" ca="1" si="99"/>
        <v>-4.710210589906616E-2</v>
      </c>
      <c r="AK14" s="53">
        <f t="shared" ca="1" si="99"/>
        <v>-4.8768378101985088E-2</v>
      </c>
      <c r="AL14" s="53">
        <f t="shared" ca="1" si="99"/>
        <v>-4.5113473249769553E-2</v>
      </c>
      <c r="AM14" s="53">
        <f t="shared" ca="1" si="99"/>
        <v>-0.10125792347064844</v>
      </c>
      <c r="AN14" s="53">
        <f t="shared" ca="1" si="99"/>
        <v>-0.2619695845521548</v>
      </c>
      <c r="AO14" s="53">
        <f t="shared" ca="1" si="99"/>
        <v>-0.30512407497618799</v>
      </c>
      <c r="AP14" s="53">
        <f t="shared" ca="1" si="99"/>
        <v>-0.22823598853263805</v>
      </c>
      <c r="AQ14" s="53">
        <f t="shared" ca="1" si="99"/>
        <v>-0.2519488361278156</v>
      </c>
      <c r="AR14" s="53">
        <f t="shared" ca="1" si="99"/>
        <v>-0.21460942633095714</v>
      </c>
      <c r="AS14" s="53">
        <f t="shared" ca="1" si="99"/>
        <v>-4.2890607092165189E-2</v>
      </c>
      <c r="AT14" s="53">
        <f t="shared" ca="1" si="99"/>
        <v>0.10060699979423626</v>
      </c>
      <c r="AU14" s="53">
        <f t="shared" ca="1" si="99"/>
        <v>5.7334608210479754E-3</v>
      </c>
      <c r="AV14" s="53">
        <f t="shared" ca="1" si="99"/>
        <v>4.2666292630332503E-2</v>
      </c>
      <c r="AW14" s="53">
        <f t="shared" ca="1" si="99"/>
        <v>1.864252425390478E-2</v>
      </c>
      <c r="AX14" s="53">
        <f t="shared" ca="1" si="99"/>
        <v>7.3437435086299185E-2</v>
      </c>
      <c r="AY14" s="53">
        <f t="shared" ca="1" si="99"/>
        <v>1.6478064047254382E-2</v>
      </c>
      <c r="AZ14" s="53">
        <f t="shared" ca="1" si="99"/>
        <v>2.9551342784146506E-3</v>
      </c>
      <c r="BA14" s="53">
        <f t="shared" ca="1" si="99"/>
        <v>-1.0532400562844546E-2</v>
      </c>
      <c r="BB14" s="53">
        <f t="shared" ca="1" si="99"/>
        <v>1.1149526459365067E-2</v>
      </c>
      <c r="BC14" s="53">
        <f t="shared" ca="1" si="99"/>
        <v>-4.9873616639953267E-2</v>
      </c>
      <c r="BD14" s="53">
        <f t="shared" ca="1" si="99"/>
        <v>-9.3519319595877559E-2</v>
      </c>
      <c r="BE14" s="53">
        <f t="shared" ca="1" si="99"/>
        <v>-0.12082963058209739</v>
      </c>
      <c r="BF14" s="53">
        <f t="shared" ca="1" si="99"/>
        <v>-0.11474525056689056</v>
      </c>
      <c r="BG14" s="53">
        <f t="shared" ca="1" si="99"/>
        <v>-0.12707275003285967</v>
      </c>
      <c r="BH14" s="53">
        <f t="shared" ca="1" si="99"/>
        <v>-9.690067504993205E-2</v>
      </c>
      <c r="BI14" s="53">
        <f t="shared" ca="1" si="99"/>
        <v>-7.2047203494739365E-2</v>
      </c>
      <c r="BJ14" s="53">
        <f t="shared" ca="1" si="99"/>
        <v>-5.114532072730682E-2</v>
      </c>
      <c r="BK14" s="53">
        <f t="shared" ca="1" si="99"/>
        <v>-4.1135530449984969E-2</v>
      </c>
      <c r="BL14" s="53">
        <f t="shared" ca="1" si="99"/>
        <v>2.9644650940943151E-2</v>
      </c>
      <c r="BM14" s="53">
        <f t="shared" ca="1" si="99"/>
        <v>4.1565743174881931E-2</v>
      </c>
      <c r="BN14" s="53">
        <f t="shared" ca="1" si="99"/>
        <v>9.1701458442372097E-2</v>
      </c>
      <c r="BO14" s="53">
        <f t="shared" ca="1" si="99"/>
        <v>0.12545561394529536</v>
      </c>
      <c r="BP14" s="53">
        <f t="shared" ca="1" si="99"/>
        <v>0.15101378631582052</v>
      </c>
      <c r="BQ14" s="53">
        <f t="shared" ca="1" si="99"/>
        <v>0.12487014192300605</v>
      </c>
      <c r="BR14" s="53">
        <f t="shared" ca="1" si="99"/>
        <v>0.11728002410919891</v>
      </c>
      <c r="BS14" s="53">
        <f t="shared" ca="1" si="99"/>
        <v>9.5182806742831971E-2</v>
      </c>
      <c r="BT14" s="53">
        <f t="shared" ca="1" si="99"/>
        <v>0.10281512853152797</v>
      </c>
      <c r="BU14" s="53">
        <f t="shared" ref="BU14:EF14" ca="1" si="100">IF(ISNA(BT8),NA(),IF(BU4&lt;$C$10,(BU8/OFFSET(BU8,0,-BU4))^(1/(BU4)),(BU8/OFFSET(BU8,0,-$C$10))^(1/$C$10))-1)</f>
        <v>8.9280558625991491E-2</v>
      </c>
      <c r="BV14" s="53" t="e">
        <f t="shared" ca="1" si="100"/>
        <v>#N/A</v>
      </c>
      <c r="BW14" s="53" t="e">
        <f t="shared" ca="1" si="100"/>
        <v>#N/A</v>
      </c>
      <c r="BX14" s="53" t="e">
        <f t="shared" ca="1" si="100"/>
        <v>#N/A</v>
      </c>
      <c r="BY14" s="53" t="e">
        <f t="shared" ca="1" si="100"/>
        <v>#N/A</v>
      </c>
      <c r="BZ14" s="53" t="e">
        <f t="shared" ca="1" si="100"/>
        <v>#N/A</v>
      </c>
      <c r="CA14" s="53" t="e">
        <f t="shared" ca="1" si="100"/>
        <v>#N/A</v>
      </c>
      <c r="CB14" s="53" t="e">
        <f t="shared" ca="1" si="100"/>
        <v>#N/A</v>
      </c>
      <c r="CC14" s="53" t="e">
        <f t="shared" ca="1" si="100"/>
        <v>#N/A</v>
      </c>
      <c r="CD14" s="53" t="e">
        <f t="shared" ca="1" si="100"/>
        <v>#N/A</v>
      </c>
      <c r="CE14" s="53" t="e">
        <f t="shared" ca="1" si="100"/>
        <v>#N/A</v>
      </c>
      <c r="CF14" s="53" t="e">
        <f t="shared" ca="1" si="100"/>
        <v>#N/A</v>
      </c>
      <c r="CG14" s="53" t="e">
        <f t="shared" ca="1" si="100"/>
        <v>#N/A</v>
      </c>
      <c r="CH14" s="53" t="e">
        <f t="shared" ca="1" si="100"/>
        <v>#N/A</v>
      </c>
      <c r="CI14" s="53" t="e">
        <f t="shared" ca="1" si="100"/>
        <v>#N/A</v>
      </c>
      <c r="CJ14" s="53" t="e">
        <f t="shared" ca="1" si="100"/>
        <v>#N/A</v>
      </c>
      <c r="CK14" s="53" t="e">
        <f t="shared" ca="1" si="100"/>
        <v>#N/A</v>
      </c>
      <c r="CL14" s="53" t="e">
        <f t="shared" ca="1" si="100"/>
        <v>#N/A</v>
      </c>
      <c r="CM14" s="53" t="e">
        <f t="shared" ca="1" si="100"/>
        <v>#N/A</v>
      </c>
      <c r="CN14" s="53" t="e">
        <f t="shared" ca="1" si="100"/>
        <v>#N/A</v>
      </c>
      <c r="CO14" s="53" t="e">
        <f t="shared" ca="1" si="100"/>
        <v>#N/A</v>
      </c>
      <c r="CP14" s="53" t="e">
        <f t="shared" ca="1" si="100"/>
        <v>#N/A</v>
      </c>
      <c r="CQ14" s="53" t="e">
        <f t="shared" ca="1" si="100"/>
        <v>#N/A</v>
      </c>
      <c r="CR14" s="53" t="e">
        <f t="shared" ca="1" si="100"/>
        <v>#N/A</v>
      </c>
      <c r="CS14" s="53" t="e">
        <f t="shared" ca="1" si="100"/>
        <v>#N/A</v>
      </c>
      <c r="CT14" s="53" t="e">
        <f t="shared" ca="1" si="100"/>
        <v>#N/A</v>
      </c>
      <c r="CU14" s="53" t="e">
        <f t="shared" ca="1" si="100"/>
        <v>#N/A</v>
      </c>
      <c r="CV14" s="53" t="e">
        <f t="shared" ca="1" si="100"/>
        <v>#N/A</v>
      </c>
      <c r="CW14" s="53" t="e">
        <f t="shared" ca="1" si="100"/>
        <v>#N/A</v>
      </c>
      <c r="CX14" s="53" t="e">
        <f t="shared" ca="1" si="100"/>
        <v>#N/A</v>
      </c>
      <c r="CY14" s="53" t="e">
        <f t="shared" ca="1" si="100"/>
        <v>#N/A</v>
      </c>
      <c r="CZ14" s="53" t="e">
        <f t="shared" ca="1" si="100"/>
        <v>#N/A</v>
      </c>
      <c r="DA14" s="53" t="e">
        <f t="shared" ca="1" si="100"/>
        <v>#N/A</v>
      </c>
      <c r="DB14" s="53" t="e">
        <f t="shared" ca="1" si="100"/>
        <v>#N/A</v>
      </c>
      <c r="DC14" s="53" t="e">
        <f t="shared" ca="1" si="100"/>
        <v>#N/A</v>
      </c>
      <c r="DD14" s="53" t="e">
        <f t="shared" ca="1" si="100"/>
        <v>#N/A</v>
      </c>
      <c r="DE14" s="53" t="e">
        <f t="shared" ca="1" si="100"/>
        <v>#N/A</v>
      </c>
      <c r="DF14" s="53" t="e">
        <f t="shared" ca="1" si="100"/>
        <v>#N/A</v>
      </c>
      <c r="DG14" s="53" t="e">
        <f t="shared" ca="1" si="100"/>
        <v>#N/A</v>
      </c>
      <c r="DH14" s="53" t="e">
        <f t="shared" ca="1" si="100"/>
        <v>#N/A</v>
      </c>
      <c r="DI14" s="53" t="e">
        <f t="shared" ca="1" si="100"/>
        <v>#N/A</v>
      </c>
      <c r="DJ14" s="53" t="e">
        <f t="shared" ca="1" si="100"/>
        <v>#N/A</v>
      </c>
      <c r="DK14" s="53" t="e">
        <f t="shared" ca="1" si="100"/>
        <v>#N/A</v>
      </c>
      <c r="DL14" s="53" t="e">
        <f t="shared" ca="1" si="100"/>
        <v>#N/A</v>
      </c>
      <c r="DM14" s="53" t="e">
        <f t="shared" ca="1" si="100"/>
        <v>#N/A</v>
      </c>
      <c r="DN14" s="53" t="e">
        <f t="shared" ca="1" si="100"/>
        <v>#N/A</v>
      </c>
      <c r="DO14" s="53" t="e">
        <f t="shared" ca="1" si="100"/>
        <v>#N/A</v>
      </c>
      <c r="DP14" s="53" t="e">
        <f t="shared" ca="1" si="100"/>
        <v>#N/A</v>
      </c>
      <c r="DQ14" s="53" t="e">
        <f t="shared" ca="1" si="100"/>
        <v>#N/A</v>
      </c>
      <c r="DR14" s="53" t="e">
        <f t="shared" ca="1" si="100"/>
        <v>#N/A</v>
      </c>
      <c r="DS14" s="53" t="e">
        <f t="shared" ca="1" si="100"/>
        <v>#N/A</v>
      </c>
      <c r="DT14" s="53" t="e">
        <f t="shared" ca="1" si="100"/>
        <v>#N/A</v>
      </c>
      <c r="DU14" s="53" t="e">
        <f t="shared" ca="1" si="100"/>
        <v>#N/A</v>
      </c>
      <c r="DV14" s="53" t="e">
        <f t="shared" ca="1" si="100"/>
        <v>#N/A</v>
      </c>
      <c r="DW14" s="53" t="e">
        <f t="shared" ca="1" si="100"/>
        <v>#N/A</v>
      </c>
      <c r="DX14" s="53" t="e">
        <f t="shared" ca="1" si="100"/>
        <v>#N/A</v>
      </c>
      <c r="DY14" s="53" t="e">
        <f t="shared" ca="1" si="100"/>
        <v>#N/A</v>
      </c>
      <c r="DZ14" s="53" t="e">
        <f t="shared" ca="1" si="100"/>
        <v>#N/A</v>
      </c>
      <c r="EA14" s="53" t="e">
        <f t="shared" ca="1" si="100"/>
        <v>#N/A</v>
      </c>
      <c r="EB14" s="53" t="e">
        <f t="shared" ca="1" si="100"/>
        <v>#N/A</v>
      </c>
      <c r="EC14" s="53" t="e">
        <f t="shared" ca="1" si="100"/>
        <v>#N/A</v>
      </c>
      <c r="ED14" s="53" t="e">
        <f t="shared" ca="1" si="100"/>
        <v>#N/A</v>
      </c>
      <c r="EE14" s="53" t="e">
        <f t="shared" ca="1" si="100"/>
        <v>#N/A</v>
      </c>
      <c r="EF14" s="53" t="e">
        <f t="shared" ca="1" si="100"/>
        <v>#N/A</v>
      </c>
      <c r="EG14" s="53" t="e">
        <f t="shared" ref="EG14:GR14" ca="1" si="101">IF(ISNA(EF8),NA(),IF(EG4&lt;$C$10,(EG8/OFFSET(EG8,0,-EG4))^(1/(EG4)),(EG8/OFFSET(EG8,0,-$C$10))^(1/$C$10))-1)</f>
        <v>#N/A</v>
      </c>
      <c r="EH14" s="53" t="e">
        <f t="shared" ca="1" si="101"/>
        <v>#N/A</v>
      </c>
      <c r="EI14" s="53" t="e">
        <f t="shared" ca="1" si="101"/>
        <v>#N/A</v>
      </c>
      <c r="EJ14" s="53" t="e">
        <f t="shared" ca="1" si="101"/>
        <v>#N/A</v>
      </c>
      <c r="EK14" s="53" t="e">
        <f t="shared" ca="1" si="101"/>
        <v>#N/A</v>
      </c>
      <c r="EL14" s="53" t="e">
        <f t="shared" ca="1" si="101"/>
        <v>#N/A</v>
      </c>
      <c r="EM14" s="53" t="e">
        <f t="shared" ca="1" si="101"/>
        <v>#N/A</v>
      </c>
      <c r="EN14" s="53" t="e">
        <f t="shared" ca="1" si="101"/>
        <v>#N/A</v>
      </c>
      <c r="EO14" s="53" t="e">
        <f t="shared" ca="1" si="101"/>
        <v>#N/A</v>
      </c>
      <c r="EP14" s="53" t="e">
        <f t="shared" ca="1" si="101"/>
        <v>#N/A</v>
      </c>
      <c r="EQ14" s="53" t="e">
        <f t="shared" ca="1" si="101"/>
        <v>#N/A</v>
      </c>
      <c r="ER14" s="53" t="e">
        <f t="shared" ca="1" si="101"/>
        <v>#N/A</v>
      </c>
      <c r="ES14" s="53" t="e">
        <f t="shared" ca="1" si="101"/>
        <v>#N/A</v>
      </c>
      <c r="ET14" s="53" t="e">
        <f t="shared" ca="1" si="101"/>
        <v>#N/A</v>
      </c>
      <c r="EU14" s="53" t="e">
        <f t="shared" ca="1" si="101"/>
        <v>#N/A</v>
      </c>
      <c r="EV14" s="53" t="e">
        <f t="shared" ca="1" si="101"/>
        <v>#N/A</v>
      </c>
      <c r="EW14" s="53" t="e">
        <f t="shared" ca="1" si="101"/>
        <v>#N/A</v>
      </c>
      <c r="EX14" s="53" t="e">
        <f t="shared" ca="1" si="101"/>
        <v>#N/A</v>
      </c>
      <c r="EY14" s="53" t="e">
        <f t="shared" ca="1" si="101"/>
        <v>#N/A</v>
      </c>
      <c r="EZ14" s="53" t="e">
        <f t="shared" ca="1" si="101"/>
        <v>#N/A</v>
      </c>
      <c r="FA14" s="53" t="e">
        <f t="shared" ca="1" si="101"/>
        <v>#N/A</v>
      </c>
      <c r="FB14" s="53" t="e">
        <f t="shared" ca="1" si="101"/>
        <v>#N/A</v>
      </c>
      <c r="FC14" s="53" t="e">
        <f t="shared" ca="1" si="101"/>
        <v>#N/A</v>
      </c>
      <c r="FD14" s="53" t="e">
        <f t="shared" ca="1" si="101"/>
        <v>#N/A</v>
      </c>
      <c r="FE14" s="53" t="e">
        <f t="shared" ca="1" si="101"/>
        <v>#N/A</v>
      </c>
      <c r="FF14" s="53" t="e">
        <f t="shared" ca="1" si="101"/>
        <v>#N/A</v>
      </c>
      <c r="FG14" s="53" t="e">
        <f t="shared" ca="1" si="101"/>
        <v>#N/A</v>
      </c>
      <c r="FH14" s="53" t="e">
        <f t="shared" ca="1" si="101"/>
        <v>#N/A</v>
      </c>
      <c r="FI14" s="53" t="e">
        <f t="shared" ca="1" si="101"/>
        <v>#N/A</v>
      </c>
      <c r="FJ14" s="53" t="e">
        <f t="shared" ca="1" si="101"/>
        <v>#N/A</v>
      </c>
      <c r="FK14" s="53" t="e">
        <f t="shared" ca="1" si="101"/>
        <v>#N/A</v>
      </c>
      <c r="FL14" s="53" t="e">
        <f t="shared" ca="1" si="101"/>
        <v>#N/A</v>
      </c>
      <c r="FM14" s="53" t="e">
        <f t="shared" ca="1" si="101"/>
        <v>#N/A</v>
      </c>
      <c r="FN14" s="53" t="e">
        <f t="shared" ca="1" si="101"/>
        <v>#N/A</v>
      </c>
      <c r="FO14" s="53" t="e">
        <f t="shared" ca="1" si="101"/>
        <v>#N/A</v>
      </c>
      <c r="FP14" s="53" t="e">
        <f t="shared" ca="1" si="101"/>
        <v>#N/A</v>
      </c>
      <c r="FQ14" s="53" t="e">
        <f t="shared" ca="1" si="101"/>
        <v>#N/A</v>
      </c>
      <c r="FR14" s="53" t="e">
        <f t="shared" ca="1" si="101"/>
        <v>#N/A</v>
      </c>
      <c r="FS14" s="53" t="e">
        <f t="shared" ca="1" si="101"/>
        <v>#N/A</v>
      </c>
      <c r="FT14" s="53" t="e">
        <f t="shared" ca="1" si="101"/>
        <v>#N/A</v>
      </c>
      <c r="FU14" s="53" t="e">
        <f t="shared" ca="1" si="101"/>
        <v>#N/A</v>
      </c>
      <c r="FV14" s="53" t="e">
        <f t="shared" ca="1" si="101"/>
        <v>#N/A</v>
      </c>
      <c r="FW14" s="53" t="e">
        <f t="shared" ca="1" si="101"/>
        <v>#N/A</v>
      </c>
      <c r="FX14" s="53" t="e">
        <f t="shared" ca="1" si="101"/>
        <v>#N/A</v>
      </c>
      <c r="FY14" s="53" t="e">
        <f t="shared" ca="1" si="101"/>
        <v>#N/A</v>
      </c>
      <c r="FZ14" s="53" t="e">
        <f t="shared" ca="1" si="101"/>
        <v>#N/A</v>
      </c>
      <c r="GA14" s="53" t="e">
        <f t="shared" ca="1" si="101"/>
        <v>#N/A</v>
      </c>
      <c r="GB14" s="53" t="e">
        <f t="shared" ca="1" si="101"/>
        <v>#N/A</v>
      </c>
      <c r="GC14" s="53" t="e">
        <f t="shared" ca="1" si="101"/>
        <v>#N/A</v>
      </c>
      <c r="GD14" s="53" t="e">
        <f t="shared" ca="1" si="101"/>
        <v>#N/A</v>
      </c>
      <c r="GE14" s="53" t="e">
        <f t="shared" ca="1" si="101"/>
        <v>#N/A</v>
      </c>
      <c r="GF14" s="53" t="e">
        <f t="shared" ca="1" si="101"/>
        <v>#N/A</v>
      </c>
      <c r="GG14" s="53" t="e">
        <f t="shared" ca="1" si="101"/>
        <v>#N/A</v>
      </c>
      <c r="GH14" s="53" t="e">
        <f t="shared" ca="1" si="101"/>
        <v>#N/A</v>
      </c>
      <c r="GI14" s="53" t="e">
        <f t="shared" ca="1" si="101"/>
        <v>#N/A</v>
      </c>
      <c r="GJ14" s="53" t="e">
        <f t="shared" ca="1" si="101"/>
        <v>#N/A</v>
      </c>
      <c r="GK14" s="53" t="e">
        <f t="shared" ca="1" si="101"/>
        <v>#N/A</v>
      </c>
      <c r="GL14" s="53" t="e">
        <f t="shared" ca="1" si="101"/>
        <v>#N/A</v>
      </c>
      <c r="GM14" s="53" t="e">
        <f t="shared" ca="1" si="101"/>
        <v>#N/A</v>
      </c>
      <c r="GN14" s="53" t="e">
        <f t="shared" ca="1" si="101"/>
        <v>#N/A</v>
      </c>
      <c r="GO14" s="53" t="e">
        <f t="shared" ca="1" si="101"/>
        <v>#N/A</v>
      </c>
      <c r="GP14" s="53" t="e">
        <f t="shared" ca="1" si="101"/>
        <v>#N/A</v>
      </c>
      <c r="GQ14" s="53" t="e">
        <f t="shared" ca="1" si="101"/>
        <v>#N/A</v>
      </c>
      <c r="GR14" s="53" t="e">
        <f t="shared" ca="1" si="101"/>
        <v>#N/A</v>
      </c>
      <c r="GS14" s="53" t="e">
        <f t="shared" ref="GS14:IN14" ca="1" si="102">IF(ISNA(GR8),NA(),IF(GS4&lt;$C$10,(GS8/OFFSET(GS8,0,-GS4))^(1/(GS4)),(GS8/OFFSET(GS8,0,-$C$10))^(1/$C$10))-1)</f>
        <v>#N/A</v>
      </c>
      <c r="GT14" s="53" t="e">
        <f t="shared" ca="1" si="102"/>
        <v>#N/A</v>
      </c>
      <c r="GU14" s="53" t="e">
        <f t="shared" ca="1" si="102"/>
        <v>#N/A</v>
      </c>
      <c r="GV14" s="53" t="e">
        <f t="shared" ca="1" si="102"/>
        <v>#N/A</v>
      </c>
      <c r="GW14" s="53" t="e">
        <f t="shared" ca="1" si="102"/>
        <v>#N/A</v>
      </c>
      <c r="GX14" s="53" t="e">
        <f t="shared" ca="1" si="102"/>
        <v>#N/A</v>
      </c>
      <c r="GY14" s="53" t="e">
        <f t="shared" ca="1" si="102"/>
        <v>#N/A</v>
      </c>
      <c r="GZ14" s="53" t="e">
        <f t="shared" ca="1" si="102"/>
        <v>#N/A</v>
      </c>
      <c r="HA14" s="53" t="e">
        <f t="shared" ca="1" si="102"/>
        <v>#N/A</v>
      </c>
      <c r="HB14" s="53" t="e">
        <f t="shared" ca="1" si="102"/>
        <v>#N/A</v>
      </c>
      <c r="HC14" s="53" t="e">
        <f t="shared" ca="1" si="102"/>
        <v>#N/A</v>
      </c>
      <c r="HD14" s="53" t="e">
        <f t="shared" ca="1" si="102"/>
        <v>#N/A</v>
      </c>
      <c r="HE14" s="53" t="e">
        <f t="shared" ca="1" si="102"/>
        <v>#N/A</v>
      </c>
      <c r="HF14" s="53" t="e">
        <f t="shared" ca="1" si="102"/>
        <v>#N/A</v>
      </c>
      <c r="HG14" s="53" t="e">
        <f t="shared" ca="1" si="102"/>
        <v>#N/A</v>
      </c>
      <c r="HH14" s="53" t="e">
        <f t="shared" ca="1" si="102"/>
        <v>#N/A</v>
      </c>
      <c r="HI14" s="53" t="e">
        <f t="shared" ca="1" si="102"/>
        <v>#N/A</v>
      </c>
      <c r="HJ14" s="53" t="e">
        <f t="shared" ca="1" si="102"/>
        <v>#N/A</v>
      </c>
      <c r="HK14" s="53" t="e">
        <f t="shared" ca="1" si="102"/>
        <v>#N/A</v>
      </c>
      <c r="HL14" s="53" t="e">
        <f t="shared" ca="1" si="102"/>
        <v>#N/A</v>
      </c>
      <c r="HM14" s="53" t="e">
        <f t="shared" ca="1" si="102"/>
        <v>#N/A</v>
      </c>
      <c r="HN14" s="53" t="e">
        <f t="shared" ca="1" si="102"/>
        <v>#N/A</v>
      </c>
      <c r="HO14" s="53" t="e">
        <f t="shared" ca="1" si="102"/>
        <v>#N/A</v>
      </c>
      <c r="HP14" s="53" t="e">
        <f t="shared" ca="1" si="102"/>
        <v>#N/A</v>
      </c>
      <c r="HQ14" s="53" t="e">
        <f t="shared" ca="1" si="102"/>
        <v>#N/A</v>
      </c>
      <c r="HR14" s="53" t="e">
        <f t="shared" ca="1" si="102"/>
        <v>#N/A</v>
      </c>
      <c r="HS14" s="53" t="e">
        <f t="shared" ca="1" si="102"/>
        <v>#N/A</v>
      </c>
      <c r="HT14" s="53" t="e">
        <f t="shared" ca="1" si="102"/>
        <v>#N/A</v>
      </c>
      <c r="HU14" s="53" t="e">
        <f t="shared" ca="1" si="102"/>
        <v>#N/A</v>
      </c>
      <c r="HV14" s="53" t="e">
        <f t="shared" ca="1" si="102"/>
        <v>#N/A</v>
      </c>
      <c r="HW14" s="53" t="e">
        <f t="shared" ca="1" si="102"/>
        <v>#N/A</v>
      </c>
      <c r="HX14" s="53" t="e">
        <f t="shared" ca="1" si="102"/>
        <v>#N/A</v>
      </c>
      <c r="HY14" s="53" t="e">
        <f t="shared" ca="1" si="102"/>
        <v>#N/A</v>
      </c>
      <c r="HZ14" s="53" t="e">
        <f t="shared" ca="1" si="102"/>
        <v>#N/A</v>
      </c>
      <c r="IA14" s="53" t="e">
        <f t="shared" ca="1" si="102"/>
        <v>#N/A</v>
      </c>
      <c r="IB14" s="53" t="e">
        <f t="shared" ca="1" si="102"/>
        <v>#N/A</v>
      </c>
      <c r="IC14" s="53" t="e">
        <f t="shared" ca="1" si="102"/>
        <v>#N/A</v>
      </c>
      <c r="ID14" s="53" t="e">
        <f t="shared" ca="1" si="102"/>
        <v>#N/A</v>
      </c>
      <c r="IE14" s="53" t="e">
        <f t="shared" ca="1" si="102"/>
        <v>#N/A</v>
      </c>
      <c r="IF14" s="53" t="e">
        <f t="shared" ca="1" si="102"/>
        <v>#N/A</v>
      </c>
      <c r="IG14" s="53" t="e">
        <f t="shared" ca="1" si="102"/>
        <v>#N/A</v>
      </c>
      <c r="IH14" s="53" t="e">
        <f t="shared" ca="1" si="102"/>
        <v>#N/A</v>
      </c>
      <c r="II14" s="53" t="e">
        <f t="shared" ca="1" si="102"/>
        <v>#N/A</v>
      </c>
      <c r="IJ14" s="53" t="e">
        <f t="shared" ca="1" si="102"/>
        <v>#N/A</v>
      </c>
      <c r="IK14" s="53" t="e">
        <f t="shared" ca="1" si="102"/>
        <v>#N/A</v>
      </c>
      <c r="IL14" s="53" t="e">
        <f t="shared" ca="1" si="102"/>
        <v>#N/A</v>
      </c>
      <c r="IM14" s="53" t="e">
        <f t="shared" ca="1" si="102"/>
        <v>#N/A</v>
      </c>
      <c r="IN14" s="53" t="e">
        <f t="shared" ca="1" si="102"/>
        <v>#N/A</v>
      </c>
    </row>
    <row r="15" spans="2:248" x14ac:dyDescent="0.3">
      <c r="B15" s="19" t="s">
        <v>466</v>
      </c>
      <c r="C15" s="25">
        <f>IFERROR(IF(VLOOKUP(B2,Country_Data!C:M,11,FALSE)=0,0.047,VLOOKUP(B2,Country_Data!C:M,11,FALSE)*$C$32),0.047)</f>
        <v>4.7E-2</v>
      </c>
      <c r="E15" s="93"/>
      <c r="F15" s="19" t="s">
        <v>569</v>
      </c>
      <c r="G15" s="53">
        <f ca="1">H15</f>
        <v>5.8823529411764719E-2</v>
      </c>
      <c r="H15" s="53">
        <f t="shared" ref="H15:BS15" ca="1" si="103">IF(ISNA(G6),NA(),IF(H4-$C$9&lt;$C$10,(H6/OFFSET(H6,0,-H4+$C$9))^(1/(H4-$C$9)),(H6/OFFSET(H6,0,-$C$10))^(1/$C$10))-1)</f>
        <v>5.8823529411764719E-2</v>
      </c>
      <c r="I15" s="53">
        <f t="shared" ca="1" si="103"/>
        <v>0.23669388480168463</v>
      </c>
      <c r="J15" s="53">
        <f t="shared" ca="1" si="103"/>
        <v>0.35186541120788095</v>
      </c>
      <c r="K15" s="53">
        <f t="shared" ca="1" si="103"/>
        <v>0.34720838252516084</v>
      </c>
      <c r="L15" s="53">
        <f t="shared" ca="1" si="103"/>
        <v>0.36984991212006024</v>
      </c>
      <c r="M15" s="53">
        <f t="shared" ca="1" si="103"/>
        <v>0.48730404166081853</v>
      </c>
      <c r="N15" s="53">
        <f t="shared" ca="1" si="103"/>
        <v>0.38603966410700363</v>
      </c>
      <c r="O15" s="53">
        <f t="shared" ca="1" si="103"/>
        <v>0.32418713431439827</v>
      </c>
      <c r="P15" s="53">
        <f t="shared" ca="1" si="103"/>
        <v>0.30628612910681352</v>
      </c>
      <c r="Q15" s="53">
        <f t="shared" ca="1" si="103"/>
        <v>0.25862740099739701</v>
      </c>
      <c r="R15" s="53">
        <f t="shared" ca="1" si="103"/>
        <v>0.22542702822963379</v>
      </c>
      <c r="S15" s="53">
        <f t="shared" ca="1" si="103"/>
        <v>0.26215180184615483</v>
      </c>
      <c r="T15" s="53">
        <f t="shared" ca="1" si="103"/>
        <v>0.23536074914669602</v>
      </c>
      <c r="U15" s="53">
        <f t="shared" ca="1" si="103"/>
        <v>0.21501013358599508</v>
      </c>
      <c r="V15" s="53">
        <f t="shared" ca="1" si="103"/>
        <v>0.19607358379436612</v>
      </c>
      <c r="W15" s="53">
        <f t="shared" ca="1" si="103"/>
        <v>0.14710735393710372</v>
      </c>
      <c r="X15" s="53">
        <f t="shared" ca="1" si="103"/>
        <v>0.13601767510298957</v>
      </c>
      <c r="Y15" s="53">
        <f t="shared" ca="1" si="103"/>
        <v>0.12988077455018643</v>
      </c>
      <c r="Z15" s="53">
        <f t="shared" ca="1" si="103"/>
        <v>0.1242582114187023</v>
      </c>
      <c r="AA15" s="53">
        <f t="shared" ca="1" si="103"/>
        <v>0.11913165813702342</v>
      </c>
      <c r="AB15" s="53">
        <f t="shared" ca="1" si="103"/>
        <v>9.2301632259450539E-2</v>
      </c>
      <c r="AC15" s="53">
        <f t="shared" ca="1" si="103"/>
        <v>0.11209140079615088</v>
      </c>
      <c r="AD15" s="53">
        <f t="shared" ca="1" si="103"/>
        <v>0.10946687745914963</v>
      </c>
      <c r="AE15" s="53">
        <f t="shared" ca="1" si="103"/>
        <v>0.10448789005793757</v>
      </c>
      <c r="AF15" s="53">
        <f t="shared" ca="1" si="103"/>
        <v>9.7100804981556266E-2</v>
      </c>
      <c r="AG15" s="53">
        <f t="shared" ca="1" si="103"/>
        <v>0.10800189428300921</v>
      </c>
      <c r="AH15" s="53">
        <f t="shared" ca="1" si="103"/>
        <v>7.9092551434754688E-2</v>
      </c>
      <c r="AI15" s="53">
        <f t="shared" ca="1" si="103"/>
        <v>6.828273759186021E-2</v>
      </c>
      <c r="AJ15" s="53">
        <f t="shared" ca="1" si="103"/>
        <v>6.1314930959367464E-2</v>
      </c>
      <c r="AK15" s="53">
        <f t="shared" ca="1" si="103"/>
        <v>4.8625194926573689E-2</v>
      </c>
      <c r="AL15" s="53">
        <f t="shared" ca="1" si="103"/>
        <v>5.568273522821654E-2</v>
      </c>
      <c r="AM15" s="53">
        <f t="shared" ca="1" si="103"/>
        <v>4.1139026210051721E-2</v>
      </c>
      <c r="AN15" s="53">
        <f t="shared" ca="1" si="103"/>
        <v>4.2242289571965852E-2</v>
      </c>
      <c r="AO15" s="53">
        <f t="shared" ca="1" si="103"/>
        <v>3.6179492898513077E-2</v>
      </c>
      <c r="AP15" s="53">
        <f t="shared" ca="1" si="103"/>
        <v>4.0308319506756174E-2</v>
      </c>
      <c r="AQ15" s="53">
        <f t="shared" ca="1" si="103"/>
        <v>2.465283131782936E-2</v>
      </c>
      <c r="AR15" s="53">
        <f t="shared" ca="1" si="103"/>
        <v>2.7390241098043999E-2</v>
      </c>
      <c r="AS15" s="53">
        <f t="shared" ca="1" si="103"/>
        <v>1.8775106030728628E-2</v>
      </c>
      <c r="AT15" s="53">
        <f t="shared" ca="1" si="103"/>
        <v>1.5915442011247949E-2</v>
      </c>
      <c r="AU15" s="53">
        <f t="shared" ca="1" si="103"/>
        <v>1.5467236197576728E-2</v>
      </c>
      <c r="AV15" s="53">
        <f t="shared" ca="1" si="103"/>
        <v>1.5361604331750156E-2</v>
      </c>
      <c r="AW15" s="53">
        <f t="shared" ca="1" si="103"/>
        <v>1.506098698023961E-2</v>
      </c>
      <c r="AX15" s="53">
        <f t="shared" ca="1" si="103"/>
        <v>1.3544190736485939E-2</v>
      </c>
      <c r="AY15" s="53">
        <f t="shared" ca="1" si="103"/>
        <v>1.3240299111229259E-2</v>
      </c>
      <c r="AZ15" s="53">
        <f t="shared" ca="1" si="103"/>
        <v>1.1523932190892205E-2</v>
      </c>
      <c r="BA15" s="53">
        <f t="shared" ca="1" si="103"/>
        <v>1.146337452123225E-2</v>
      </c>
      <c r="BB15" s="53">
        <f t="shared" ca="1" si="103"/>
        <v>1.048162294746402E-2</v>
      </c>
      <c r="BC15" s="53">
        <f t="shared" ca="1" si="103"/>
        <v>9.4313957350093958E-3</v>
      </c>
      <c r="BD15" s="53">
        <f t="shared" ca="1" si="103"/>
        <v>9.2614276547500207E-3</v>
      </c>
      <c r="BE15" s="53">
        <f t="shared" ca="1" si="103"/>
        <v>8.494457325372462E-3</v>
      </c>
      <c r="BF15" s="53">
        <f t="shared" ca="1" si="103"/>
        <v>7.4844648423586513E-3</v>
      </c>
      <c r="BG15" s="53">
        <f t="shared" ca="1" si="103"/>
        <v>7.1714093287560399E-3</v>
      </c>
      <c r="BH15" s="53">
        <f t="shared" ca="1" si="103"/>
        <v>7.0732759182481342E-3</v>
      </c>
      <c r="BI15" s="53">
        <f t="shared" ca="1" si="103"/>
        <v>6.0961542174398087E-3</v>
      </c>
      <c r="BJ15" s="53">
        <f t="shared" ca="1" si="103"/>
        <v>6.3602948609420284E-3</v>
      </c>
      <c r="BK15" s="53">
        <f t="shared" ca="1" si="103"/>
        <v>7.3329570441087455E-3</v>
      </c>
      <c r="BL15" s="53">
        <f t="shared" ca="1" si="103"/>
        <v>7.0996810748524819E-3</v>
      </c>
      <c r="BM15" s="53">
        <f t="shared" ca="1" si="103"/>
        <v>7.6507764937474576E-3</v>
      </c>
      <c r="BN15" s="53">
        <f t="shared" ca="1" si="103"/>
        <v>7.779828896509855E-3</v>
      </c>
      <c r="BO15" s="53">
        <f t="shared" ca="1" si="103"/>
        <v>9.6199587423133615E-3</v>
      </c>
      <c r="BP15" s="53">
        <f t="shared" ca="1" si="103"/>
        <v>8.5556658104408712E-3</v>
      </c>
      <c r="BQ15" s="53">
        <f t="shared" ca="1" si="103"/>
        <v>9.0068462656975878E-3</v>
      </c>
      <c r="BR15" s="53">
        <f t="shared" ca="1" si="103"/>
        <v>9.1079353634839766E-3</v>
      </c>
      <c r="BS15" s="53">
        <f t="shared" ca="1" si="103"/>
        <v>1.0764863260044333E-2</v>
      </c>
      <c r="BT15" s="53">
        <f t="shared" ref="BT15:EE15" ca="1" si="104">IF(ISNA(BS6),NA(),IF(BT4-$C$9&lt;$C$10,(BT6/OFFSET(BT6,0,-BT4+$C$9))^(1/(BT4-$C$9)),(BT6/OFFSET(BT6,0,-$C$10))^(1/$C$10))-1)</f>
        <v>9.6695399708206509E-3</v>
      </c>
      <c r="BU15" s="53">
        <f t="shared" ca="1" si="104"/>
        <v>1.1294519753858978E-2</v>
      </c>
      <c r="BV15" s="53" t="e">
        <f t="shared" ca="1" si="104"/>
        <v>#N/A</v>
      </c>
      <c r="BW15" s="53" t="e">
        <f t="shared" ca="1" si="104"/>
        <v>#N/A</v>
      </c>
      <c r="BX15" s="53" t="e">
        <f t="shared" ca="1" si="104"/>
        <v>#N/A</v>
      </c>
      <c r="BY15" s="53" t="e">
        <f t="shared" ca="1" si="104"/>
        <v>#N/A</v>
      </c>
      <c r="BZ15" s="53" t="e">
        <f t="shared" ca="1" si="104"/>
        <v>#N/A</v>
      </c>
      <c r="CA15" s="53" t="e">
        <f t="shared" ca="1" si="104"/>
        <v>#N/A</v>
      </c>
      <c r="CB15" s="53" t="e">
        <f t="shared" ca="1" si="104"/>
        <v>#N/A</v>
      </c>
      <c r="CC15" s="53" t="e">
        <f t="shared" ca="1" si="104"/>
        <v>#N/A</v>
      </c>
      <c r="CD15" s="53" t="e">
        <f t="shared" ca="1" si="104"/>
        <v>#N/A</v>
      </c>
      <c r="CE15" s="53" t="e">
        <f t="shared" ca="1" si="104"/>
        <v>#N/A</v>
      </c>
      <c r="CF15" s="53" t="e">
        <f t="shared" ca="1" si="104"/>
        <v>#N/A</v>
      </c>
      <c r="CG15" s="53" t="e">
        <f t="shared" ca="1" si="104"/>
        <v>#N/A</v>
      </c>
      <c r="CH15" s="53" t="e">
        <f t="shared" ca="1" si="104"/>
        <v>#N/A</v>
      </c>
      <c r="CI15" s="53" t="e">
        <f t="shared" ca="1" si="104"/>
        <v>#N/A</v>
      </c>
      <c r="CJ15" s="53" t="e">
        <f t="shared" ca="1" si="104"/>
        <v>#N/A</v>
      </c>
      <c r="CK15" s="53" t="e">
        <f t="shared" ca="1" si="104"/>
        <v>#N/A</v>
      </c>
      <c r="CL15" s="53" t="e">
        <f t="shared" ca="1" si="104"/>
        <v>#N/A</v>
      </c>
      <c r="CM15" s="53" t="e">
        <f t="shared" ca="1" si="104"/>
        <v>#N/A</v>
      </c>
      <c r="CN15" s="53" t="e">
        <f t="shared" ca="1" si="104"/>
        <v>#N/A</v>
      </c>
      <c r="CO15" s="53" t="e">
        <f t="shared" ca="1" si="104"/>
        <v>#N/A</v>
      </c>
      <c r="CP15" s="53" t="e">
        <f t="shared" ca="1" si="104"/>
        <v>#N/A</v>
      </c>
      <c r="CQ15" s="53" t="e">
        <f t="shared" ca="1" si="104"/>
        <v>#N/A</v>
      </c>
      <c r="CR15" s="53" t="e">
        <f t="shared" ca="1" si="104"/>
        <v>#N/A</v>
      </c>
      <c r="CS15" s="53" t="e">
        <f t="shared" ca="1" si="104"/>
        <v>#N/A</v>
      </c>
      <c r="CT15" s="53" t="e">
        <f t="shared" ca="1" si="104"/>
        <v>#N/A</v>
      </c>
      <c r="CU15" s="53" t="e">
        <f t="shared" ca="1" si="104"/>
        <v>#N/A</v>
      </c>
      <c r="CV15" s="53" t="e">
        <f t="shared" ca="1" si="104"/>
        <v>#N/A</v>
      </c>
      <c r="CW15" s="53" t="e">
        <f t="shared" ca="1" si="104"/>
        <v>#N/A</v>
      </c>
      <c r="CX15" s="53" t="e">
        <f t="shared" ca="1" si="104"/>
        <v>#N/A</v>
      </c>
      <c r="CY15" s="53" t="e">
        <f t="shared" ca="1" si="104"/>
        <v>#N/A</v>
      </c>
      <c r="CZ15" s="53" t="e">
        <f t="shared" ca="1" si="104"/>
        <v>#N/A</v>
      </c>
      <c r="DA15" s="53" t="e">
        <f t="shared" ca="1" si="104"/>
        <v>#N/A</v>
      </c>
      <c r="DB15" s="53" t="e">
        <f t="shared" ca="1" si="104"/>
        <v>#N/A</v>
      </c>
      <c r="DC15" s="53" t="e">
        <f t="shared" ca="1" si="104"/>
        <v>#N/A</v>
      </c>
      <c r="DD15" s="53" t="e">
        <f t="shared" ca="1" si="104"/>
        <v>#N/A</v>
      </c>
      <c r="DE15" s="53" t="e">
        <f t="shared" ca="1" si="104"/>
        <v>#N/A</v>
      </c>
      <c r="DF15" s="53" t="e">
        <f t="shared" ca="1" si="104"/>
        <v>#N/A</v>
      </c>
      <c r="DG15" s="53" t="e">
        <f t="shared" ca="1" si="104"/>
        <v>#N/A</v>
      </c>
      <c r="DH15" s="53" t="e">
        <f t="shared" ca="1" si="104"/>
        <v>#N/A</v>
      </c>
      <c r="DI15" s="53" t="e">
        <f t="shared" ca="1" si="104"/>
        <v>#N/A</v>
      </c>
      <c r="DJ15" s="53" t="e">
        <f t="shared" ca="1" si="104"/>
        <v>#N/A</v>
      </c>
      <c r="DK15" s="53" t="e">
        <f t="shared" ca="1" si="104"/>
        <v>#N/A</v>
      </c>
      <c r="DL15" s="53" t="e">
        <f t="shared" ca="1" si="104"/>
        <v>#N/A</v>
      </c>
      <c r="DM15" s="53" t="e">
        <f t="shared" ca="1" si="104"/>
        <v>#N/A</v>
      </c>
      <c r="DN15" s="53" t="e">
        <f t="shared" ca="1" si="104"/>
        <v>#N/A</v>
      </c>
      <c r="DO15" s="53" t="e">
        <f t="shared" ca="1" si="104"/>
        <v>#N/A</v>
      </c>
      <c r="DP15" s="53" t="e">
        <f t="shared" ca="1" si="104"/>
        <v>#N/A</v>
      </c>
      <c r="DQ15" s="53" t="e">
        <f t="shared" ca="1" si="104"/>
        <v>#N/A</v>
      </c>
      <c r="DR15" s="53" t="e">
        <f t="shared" ca="1" si="104"/>
        <v>#N/A</v>
      </c>
      <c r="DS15" s="53" t="e">
        <f t="shared" ca="1" si="104"/>
        <v>#N/A</v>
      </c>
      <c r="DT15" s="53" t="e">
        <f t="shared" ca="1" si="104"/>
        <v>#N/A</v>
      </c>
      <c r="DU15" s="53" t="e">
        <f t="shared" ca="1" si="104"/>
        <v>#N/A</v>
      </c>
      <c r="DV15" s="53" t="e">
        <f t="shared" ca="1" si="104"/>
        <v>#N/A</v>
      </c>
      <c r="DW15" s="53" t="e">
        <f t="shared" ca="1" si="104"/>
        <v>#N/A</v>
      </c>
      <c r="DX15" s="53" t="e">
        <f t="shared" ca="1" si="104"/>
        <v>#N/A</v>
      </c>
      <c r="DY15" s="53" t="e">
        <f t="shared" ca="1" si="104"/>
        <v>#N/A</v>
      </c>
      <c r="DZ15" s="53" t="e">
        <f t="shared" ca="1" si="104"/>
        <v>#N/A</v>
      </c>
      <c r="EA15" s="53" t="e">
        <f t="shared" ca="1" si="104"/>
        <v>#N/A</v>
      </c>
      <c r="EB15" s="53" t="e">
        <f t="shared" ca="1" si="104"/>
        <v>#N/A</v>
      </c>
      <c r="EC15" s="53" t="e">
        <f t="shared" ca="1" si="104"/>
        <v>#N/A</v>
      </c>
      <c r="ED15" s="53" t="e">
        <f t="shared" ca="1" si="104"/>
        <v>#N/A</v>
      </c>
      <c r="EE15" s="53" t="e">
        <f t="shared" ca="1" si="104"/>
        <v>#N/A</v>
      </c>
      <c r="EF15" s="53" t="e">
        <f t="shared" ref="EF15:GQ15" ca="1" si="105">IF(ISNA(EE6),NA(),IF(EF4-$C$9&lt;$C$10,(EF6/OFFSET(EF6,0,-EF4+$C$9))^(1/(EF4-$C$9)),(EF6/OFFSET(EF6,0,-$C$10))^(1/$C$10))-1)</f>
        <v>#N/A</v>
      </c>
      <c r="EG15" s="53" t="e">
        <f t="shared" ca="1" si="105"/>
        <v>#N/A</v>
      </c>
      <c r="EH15" s="53" t="e">
        <f t="shared" ca="1" si="105"/>
        <v>#N/A</v>
      </c>
      <c r="EI15" s="53" t="e">
        <f t="shared" ca="1" si="105"/>
        <v>#N/A</v>
      </c>
      <c r="EJ15" s="53" t="e">
        <f t="shared" ca="1" si="105"/>
        <v>#N/A</v>
      </c>
      <c r="EK15" s="53" t="e">
        <f t="shared" ca="1" si="105"/>
        <v>#N/A</v>
      </c>
      <c r="EL15" s="53" t="e">
        <f t="shared" ca="1" si="105"/>
        <v>#N/A</v>
      </c>
      <c r="EM15" s="53" t="e">
        <f t="shared" ca="1" si="105"/>
        <v>#N/A</v>
      </c>
      <c r="EN15" s="53" t="e">
        <f t="shared" ca="1" si="105"/>
        <v>#N/A</v>
      </c>
      <c r="EO15" s="53" t="e">
        <f t="shared" ca="1" si="105"/>
        <v>#N/A</v>
      </c>
      <c r="EP15" s="53" t="e">
        <f t="shared" ca="1" si="105"/>
        <v>#N/A</v>
      </c>
      <c r="EQ15" s="53" t="e">
        <f t="shared" ca="1" si="105"/>
        <v>#N/A</v>
      </c>
      <c r="ER15" s="53" t="e">
        <f t="shared" ca="1" si="105"/>
        <v>#N/A</v>
      </c>
      <c r="ES15" s="53" t="e">
        <f t="shared" ca="1" si="105"/>
        <v>#N/A</v>
      </c>
      <c r="ET15" s="53" t="e">
        <f t="shared" ca="1" si="105"/>
        <v>#N/A</v>
      </c>
      <c r="EU15" s="53" t="e">
        <f t="shared" ca="1" si="105"/>
        <v>#N/A</v>
      </c>
      <c r="EV15" s="53" t="e">
        <f t="shared" ca="1" si="105"/>
        <v>#N/A</v>
      </c>
      <c r="EW15" s="53" t="e">
        <f t="shared" ca="1" si="105"/>
        <v>#N/A</v>
      </c>
      <c r="EX15" s="53" t="e">
        <f t="shared" ca="1" si="105"/>
        <v>#N/A</v>
      </c>
      <c r="EY15" s="53" t="e">
        <f t="shared" ca="1" si="105"/>
        <v>#N/A</v>
      </c>
      <c r="EZ15" s="53" t="e">
        <f t="shared" ca="1" si="105"/>
        <v>#N/A</v>
      </c>
      <c r="FA15" s="53" t="e">
        <f t="shared" ca="1" si="105"/>
        <v>#N/A</v>
      </c>
      <c r="FB15" s="53" t="e">
        <f t="shared" ca="1" si="105"/>
        <v>#N/A</v>
      </c>
      <c r="FC15" s="53" t="e">
        <f t="shared" ca="1" si="105"/>
        <v>#N/A</v>
      </c>
      <c r="FD15" s="53" t="e">
        <f t="shared" ca="1" si="105"/>
        <v>#N/A</v>
      </c>
      <c r="FE15" s="53" t="e">
        <f t="shared" ca="1" si="105"/>
        <v>#N/A</v>
      </c>
      <c r="FF15" s="53" t="e">
        <f t="shared" ca="1" si="105"/>
        <v>#N/A</v>
      </c>
      <c r="FG15" s="53" t="e">
        <f t="shared" ca="1" si="105"/>
        <v>#N/A</v>
      </c>
      <c r="FH15" s="53" t="e">
        <f t="shared" ca="1" si="105"/>
        <v>#N/A</v>
      </c>
      <c r="FI15" s="53" t="e">
        <f t="shared" ca="1" si="105"/>
        <v>#N/A</v>
      </c>
      <c r="FJ15" s="53" t="e">
        <f t="shared" ca="1" si="105"/>
        <v>#N/A</v>
      </c>
      <c r="FK15" s="53" t="e">
        <f t="shared" ca="1" si="105"/>
        <v>#N/A</v>
      </c>
      <c r="FL15" s="53" t="e">
        <f t="shared" ca="1" si="105"/>
        <v>#N/A</v>
      </c>
      <c r="FM15" s="53" t="e">
        <f t="shared" ca="1" si="105"/>
        <v>#N/A</v>
      </c>
      <c r="FN15" s="53" t="e">
        <f t="shared" ca="1" si="105"/>
        <v>#N/A</v>
      </c>
      <c r="FO15" s="53" t="e">
        <f t="shared" ca="1" si="105"/>
        <v>#N/A</v>
      </c>
      <c r="FP15" s="53" t="e">
        <f t="shared" ca="1" si="105"/>
        <v>#N/A</v>
      </c>
      <c r="FQ15" s="53" t="e">
        <f t="shared" ca="1" si="105"/>
        <v>#N/A</v>
      </c>
      <c r="FR15" s="53" t="e">
        <f t="shared" ca="1" si="105"/>
        <v>#N/A</v>
      </c>
      <c r="FS15" s="53" t="e">
        <f t="shared" ca="1" si="105"/>
        <v>#N/A</v>
      </c>
      <c r="FT15" s="53" t="e">
        <f t="shared" ca="1" si="105"/>
        <v>#N/A</v>
      </c>
      <c r="FU15" s="53" t="e">
        <f t="shared" ca="1" si="105"/>
        <v>#N/A</v>
      </c>
      <c r="FV15" s="53" t="e">
        <f t="shared" ca="1" si="105"/>
        <v>#N/A</v>
      </c>
      <c r="FW15" s="53" t="e">
        <f t="shared" ca="1" si="105"/>
        <v>#N/A</v>
      </c>
      <c r="FX15" s="53" t="e">
        <f t="shared" ca="1" si="105"/>
        <v>#N/A</v>
      </c>
      <c r="FY15" s="53" t="e">
        <f t="shared" ca="1" si="105"/>
        <v>#N/A</v>
      </c>
      <c r="FZ15" s="53" t="e">
        <f t="shared" ca="1" si="105"/>
        <v>#N/A</v>
      </c>
      <c r="GA15" s="53" t="e">
        <f t="shared" ca="1" si="105"/>
        <v>#N/A</v>
      </c>
      <c r="GB15" s="53" t="e">
        <f t="shared" ca="1" si="105"/>
        <v>#N/A</v>
      </c>
      <c r="GC15" s="53" t="e">
        <f t="shared" ca="1" si="105"/>
        <v>#N/A</v>
      </c>
      <c r="GD15" s="53" t="e">
        <f t="shared" ca="1" si="105"/>
        <v>#N/A</v>
      </c>
      <c r="GE15" s="53" t="e">
        <f t="shared" ca="1" si="105"/>
        <v>#N/A</v>
      </c>
      <c r="GF15" s="53" t="e">
        <f t="shared" ca="1" si="105"/>
        <v>#N/A</v>
      </c>
      <c r="GG15" s="53" t="e">
        <f t="shared" ca="1" si="105"/>
        <v>#N/A</v>
      </c>
      <c r="GH15" s="53" t="e">
        <f t="shared" ca="1" si="105"/>
        <v>#N/A</v>
      </c>
      <c r="GI15" s="53" t="e">
        <f t="shared" ca="1" si="105"/>
        <v>#N/A</v>
      </c>
      <c r="GJ15" s="53" t="e">
        <f t="shared" ca="1" si="105"/>
        <v>#N/A</v>
      </c>
      <c r="GK15" s="53" t="e">
        <f t="shared" ca="1" si="105"/>
        <v>#N/A</v>
      </c>
      <c r="GL15" s="53" t="e">
        <f t="shared" ca="1" si="105"/>
        <v>#N/A</v>
      </c>
      <c r="GM15" s="53" t="e">
        <f t="shared" ca="1" si="105"/>
        <v>#N/A</v>
      </c>
      <c r="GN15" s="53" t="e">
        <f t="shared" ca="1" si="105"/>
        <v>#N/A</v>
      </c>
      <c r="GO15" s="53" t="e">
        <f t="shared" ca="1" si="105"/>
        <v>#N/A</v>
      </c>
      <c r="GP15" s="53" t="e">
        <f t="shared" ca="1" si="105"/>
        <v>#N/A</v>
      </c>
      <c r="GQ15" s="53" t="e">
        <f t="shared" ca="1" si="105"/>
        <v>#N/A</v>
      </c>
      <c r="GR15" s="53" t="e">
        <f t="shared" ref="GR15:IN15" ca="1" si="106">IF(ISNA(GQ6),NA(),IF(GR4-$C$9&lt;$C$10,(GR6/OFFSET(GR6,0,-GR4+$C$9))^(1/(GR4-$C$9)),(GR6/OFFSET(GR6,0,-$C$10))^(1/$C$10))-1)</f>
        <v>#N/A</v>
      </c>
      <c r="GS15" s="53" t="e">
        <f t="shared" ca="1" si="106"/>
        <v>#N/A</v>
      </c>
      <c r="GT15" s="53" t="e">
        <f t="shared" ca="1" si="106"/>
        <v>#N/A</v>
      </c>
      <c r="GU15" s="53" t="e">
        <f t="shared" ca="1" si="106"/>
        <v>#N/A</v>
      </c>
      <c r="GV15" s="53" t="e">
        <f t="shared" ca="1" si="106"/>
        <v>#N/A</v>
      </c>
      <c r="GW15" s="53" t="e">
        <f t="shared" ca="1" si="106"/>
        <v>#N/A</v>
      </c>
      <c r="GX15" s="53" t="e">
        <f t="shared" ca="1" si="106"/>
        <v>#N/A</v>
      </c>
      <c r="GY15" s="53" t="e">
        <f t="shared" ca="1" si="106"/>
        <v>#N/A</v>
      </c>
      <c r="GZ15" s="53" t="e">
        <f t="shared" ca="1" si="106"/>
        <v>#N/A</v>
      </c>
      <c r="HA15" s="53" t="e">
        <f t="shared" ca="1" si="106"/>
        <v>#N/A</v>
      </c>
      <c r="HB15" s="53" t="e">
        <f t="shared" ca="1" si="106"/>
        <v>#N/A</v>
      </c>
      <c r="HC15" s="53" t="e">
        <f t="shared" ca="1" si="106"/>
        <v>#N/A</v>
      </c>
      <c r="HD15" s="53" t="e">
        <f t="shared" ca="1" si="106"/>
        <v>#N/A</v>
      </c>
      <c r="HE15" s="53" t="e">
        <f t="shared" ca="1" si="106"/>
        <v>#N/A</v>
      </c>
      <c r="HF15" s="53" t="e">
        <f t="shared" ca="1" si="106"/>
        <v>#N/A</v>
      </c>
      <c r="HG15" s="53" t="e">
        <f t="shared" ca="1" si="106"/>
        <v>#N/A</v>
      </c>
      <c r="HH15" s="53" t="e">
        <f t="shared" ca="1" si="106"/>
        <v>#N/A</v>
      </c>
      <c r="HI15" s="53" t="e">
        <f t="shared" ca="1" si="106"/>
        <v>#N/A</v>
      </c>
      <c r="HJ15" s="53" t="e">
        <f t="shared" ca="1" si="106"/>
        <v>#N/A</v>
      </c>
      <c r="HK15" s="53" t="e">
        <f t="shared" ca="1" si="106"/>
        <v>#N/A</v>
      </c>
      <c r="HL15" s="53" t="e">
        <f t="shared" ca="1" si="106"/>
        <v>#N/A</v>
      </c>
      <c r="HM15" s="53" t="e">
        <f t="shared" ca="1" si="106"/>
        <v>#N/A</v>
      </c>
      <c r="HN15" s="53" t="e">
        <f t="shared" ca="1" si="106"/>
        <v>#N/A</v>
      </c>
      <c r="HO15" s="53" t="e">
        <f t="shared" ca="1" si="106"/>
        <v>#N/A</v>
      </c>
      <c r="HP15" s="53" t="e">
        <f t="shared" ca="1" si="106"/>
        <v>#N/A</v>
      </c>
      <c r="HQ15" s="53" t="e">
        <f t="shared" ca="1" si="106"/>
        <v>#N/A</v>
      </c>
      <c r="HR15" s="53" t="e">
        <f t="shared" ca="1" si="106"/>
        <v>#N/A</v>
      </c>
      <c r="HS15" s="53" t="e">
        <f t="shared" ca="1" si="106"/>
        <v>#N/A</v>
      </c>
      <c r="HT15" s="53" t="e">
        <f t="shared" ca="1" si="106"/>
        <v>#N/A</v>
      </c>
      <c r="HU15" s="53" t="e">
        <f t="shared" ca="1" si="106"/>
        <v>#N/A</v>
      </c>
      <c r="HV15" s="53" t="e">
        <f t="shared" ca="1" si="106"/>
        <v>#N/A</v>
      </c>
      <c r="HW15" s="53" t="e">
        <f t="shared" ca="1" si="106"/>
        <v>#N/A</v>
      </c>
      <c r="HX15" s="53" t="e">
        <f t="shared" ca="1" si="106"/>
        <v>#N/A</v>
      </c>
      <c r="HY15" s="53" t="e">
        <f t="shared" ca="1" si="106"/>
        <v>#N/A</v>
      </c>
      <c r="HZ15" s="53" t="e">
        <f t="shared" ca="1" si="106"/>
        <v>#N/A</v>
      </c>
      <c r="IA15" s="53" t="e">
        <f t="shared" ca="1" si="106"/>
        <v>#N/A</v>
      </c>
      <c r="IB15" s="53" t="e">
        <f t="shared" ca="1" si="106"/>
        <v>#N/A</v>
      </c>
      <c r="IC15" s="53" t="e">
        <f t="shared" ca="1" si="106"/>
        <v>#N/A</v>
      </c>
      <c r="ID15" s="53" t="e">
        <f t="shared" ca="1" si="106"/>
        <v>#N/A</v>
      </c>
      <c r="IE15" s="53" t="e">
        <f t="shared" ca="1" si="106"/>
        <v>#N/A</v>
      </c>
      <c r="IF15" s="53" t="e">
        <f t="shared" ca="1" si="106"/>
        <v>#N/A</v>
      </c>
      <c r="IG15" s="53" t="e">
        <f t="shared" ca="1" si="106"/>
        <v>#N/A</v>
      </c>
      <c r="IH15" s="53" t="e">
        <f t="shared" ca="1" si="106"/>
        <v>#N/A</v>
      </c>
      <c r="II15" s="53" t="e">
        <f t="shared" ca="1" si="106"/>
        <v>#N/A</v>
      </c>
      <c r="IJ15" s="53" t="e">
        <f t="shared" ca="1" si="106"/>
        <v>#N/A</v>
      </c>
      <c r="IK15" s="53" t="e">
        <f t="shared" ca="1" si="106"/>
        <v>#N/A</v>
      </c>
      <c r="IL15" s="53" t="e">
        <f t="shared" ca="1" si="106"/>
        <v>#N/A</v>
      </c>
      <c r="IM15" s="53" t="e">
        <f t="shared" ca="1" si="106"/>
        <v>#N/A</v>
      </c>
      <c r="IN15" s="53" t="e">
        <f t="shared" ca="1" si="106"/>
        <v>#N/A</v>
      </c>
    </row>
    <row r="16" spans="2:248" x14ac:dyDescent="0.3">
      <c r="B16" s="19" t="s">
        <v>465</v>
      </c>
      <c r="C16" s="21" t="e">
        <f>IF(Projections!Z39="",VLOOKUP(B2,Country_Data!C:L,10,FALSE),Projections!Z39)</f>
        <v>#N/A</v>
      </c>
      <c r="E16" s="93" t="s">
        <v>586</v>
      </c>
      <c r="F16" s="19" t="s">
        <v>570</v>
      </c>
      <c r="G16" s="94">
        <f t="shared" ref="G16:O16" ca="1" si="107">IFERROR(AVERAGE(E14:G14),NA())</f>
        <v>0.17689530685920585</v>
      </c>
      <c r="H16" s="94">
        <f t="shared" ca="1" si="107"/>
        <v>0.17689530685920585</v>
      </c>
      <c r="I16" s="94">
        <f t="shared" ca="1" si="107"/>
        <v>0.21601446382203005</v>
      </c>
      <c r="J16" s="94">
        <f t="shared" ca="1" si="107"/>
        <v>0.27817832564725359</v>
      </c>
      <c r="K16" s="94">
        <f t="shared" ca="1" si="107"/>
        <v>0.34909624349414276</v>
      </c>
      <c r="L16" s="94">
        <f t="shared" ca="1" si="107"/>
        <v>0.38008498182885653</v>
      </c>
      <c r="M16" s="94">
        <f ca="1">IFERROR(AVERAGE(K14:M14),NA())</f>
        <v>0.43518451950331255</v>
      </c>
      <c r="N16" s="94">
        <f t="shared" ca="1" si="107"/>
        <v>0.4564944044736623</v>
      </c>
      <c r="O16" s="94">
        <f t="shared" ca="1" si="107"/>
        <v>0.46675336135792483</v>
      </c>
      <c r="P16" s="94">
        <f ca="1">IFERROR(AVERAGE(N14:P14),NA())</f>
        <v>0.41125590950771373</v>
      </c>
      <c r="Q16" s="94">
        <f t="shared" ref="Q16:AC16" ca="1" si="108">IFERROR(AVERAGE(O14:Q14),NA())</f>
        <v>0.36932799547157763</v>
      </c>
      <c r="R16" s="94">
        <f t="shared" ca="1" si="108"/>
        <v>0.30643390955398425</v>
      </c>
      <c r="S16" s="94">
        <f t="shared" ca="1" si="108"/>
        <v>0.27032646560835832</v>
      </c>
      <c r="T16" s="94">
        <f t="shared" ca="1" si="108"/>
        <v>0.23587538616123868</v>
      </c>
      <c r="U16" s="94">
        <f t="shared" ca="1" si="108"/>
        <v>0.22948127206645882</v>
      </c>
      <c r="V16" s="94">
        <f t="shared" ca="1" si="108"/>
        <v>0.20635387317280643</v>
      </c>
      <c r="W16" s="94">
        <f t="shared" ca="1" si="108"/>
        <v>0.17951939044729745</v>
      </c>
      <c r="X16" s="94">
        <f t="shared" ca="1" si="108"/>
        <v>0.13804257210792037</v>
      </c>
      <c r="Y16" s="94">
        <f t="shared" ca="1" si="108"/>
        <v>0.10314437907661526</v>
      </c>
      <c r="Z16" s="94">
        <f t="shared" ca="1" si="108"/>
        <v>7.0462918535254992E-2</v>
      </c>
      <c r="AA16" s="94">
        <f t="shared" ca="1" si="108"/>
        <v>5.2767395235037151E-2</v>
      </c>
      <c r="AB16" s="94">
        <f t="shared" ca="1" si="108"/>
        <v>3.7339321682784345E-2</v>
      </c>
      <c r="AC16" s="94">
        <f t="shared" ca="1" si="108"/>
        <v>4.2118702712429533E-2</v>
      </c>
      <c r="AD16" s="94">
        <f ca="1">IFERROR(AVERAGE(AB14:AD14),NA())</f>
        <v>4.9798740546584584E-2</v>
      </c>
      <c r="AE16" s="94">
        <f t="shared" ref="AE16:CP16" ca="1" si="109">IFERROR(AVERAGE(AC14:AE14),NA())</f>
        <v>5.4489884061011441E-2</v>
      </c>
      <c r="AF16" s="94">
        <f t="shared" ca="1" si="109"/>
        <v>4.6332026896534449E-2</v>
      </c>
      <c r="AG16" s="94">
        <f t="shared" ca="1" si="109"/>
        <v>3.2126934895509475E-2</v>
      </c>
      <c r="AH16" s="94">
        <f t="shared" ca="1" si="109"/>
        <v>1.2263017500309115E-2</v>
      </c>
      <c r="AI16" s="94">
        <f t="shared" ca="1" si="109"/>
        <v>-1.4419782713573767E-2</v>
      </c>
      <c r="AJ16" s="94">
        <f t="shared" ca="1" si="109"/>
        <v>-3.4466843329293471E-2</v>
      </c>
      <c r="AK16" s="94">
        <f t="shared" ca="1" si="109"/>
        <v>-4.6720135995549174E-2</v>
      </c>
      <c r="AL16" s="94">
        <f t="shared" ca="1" si="109"/>
        <v>-4.6994652416940265E-2</v>
      </c>
      <c r="AM16" s="94">
        <f t="shared" ca="1" si="109"/>
        <v>-6.5046591607467688E-2</v>
      </c>
      <c r="AN16" s="94">
        <f t="shared" ca="1" si="109"/>
        <v>-0.13611366042419093</v>
      </c>
      <c r="AO16" s="94">
        <f t="shared" ca="1" si="109"/>
        <v>-0.22278386099966374</v>
      </c>
      <c r="AP16" s="94">
        <f t="shared" ca="1" si="109"/>
        <v>-0.26510988268699359</v>
      </c>
      <c r="AQ16" s="94">
        <f t="shared" ca="1" si="109"/>
        <v>-0.26176963321221386</v>
      </c>
      <c r="AR16" s="94">
        <f t="shared" ca="1" si="109"/>
        <v>-0.23159808366380361</v>
      </c>
      <c r="AS16" s="94">
        <f t="shared" ca="1" si="109"/>
        <v>-0.16981628985031264</v>
      </c>
      <c r="AT16" s="94">
        <f t="shared" ca="1" si="109"/>
        <v>-5.2297677876295356E-2</v>
      </c>
      <c r="AU16" s="94">
        <f t="shared" ca="1" si="109"/>
        <v>2.1149951174373016E-2</v>
      </c>
      <c r="AV16" s="94">
        <f t="shared" ca="1" si="109"/>
        <v>4.9668917748538911E-2</v>
      </c>
      <c r="AW16" s="94">
        <f t="shared" ca="1" si="109"/>
        <v>2.2347425901761753E-2</v>
      </c>
      <c r="AX16" s="94">
        <f t="shared" ca="1" si="109"/>
        <v>4.4915417323512154E-2</v>
      </c>
      <c r="AY16" s="94">
        <f t="shared" ca="1" si="109"/>
        <v>3.6186007795819451E-2</v>
      </c>
      <c r="AZ16" s="94">
        <f t="shared" ca="1" si="109"/>
        <v>3.0956877803989407E-2</v>
      </c>
      <c r="BA16" s="94">
        <f t="shared" ca="1" si="109"/>
        <v>2.966932587608162E-3</v>
      </c>
      <c r="BB16" s="94">
        <f t="shared" ca="1" si="109"/>
        <v>1.190753391645057E-3</v>
      </c>
      <c r="BC16" s="94">
        <f t="shared" ca="1" si="109"/>
        <v>-1.6418830247810916E-2</v>
      </c>
      <c r="BD16" s="94">
        <f t="shared" ca="1" si="109"/>
        <v>-4.4081136592155255E-2</v>
      </c>
      <c r="BE16" s="94">
        <f t="shared" ca="1" si="109"/>
        <v>-8.8074188939309406E-2</v>
      </c>
      <c r="BF16" s="94">
        <f t="shared" ca="1" si="109"/>
        <v>-0.10969806691495516</v>
      </c>
      <c r="BG16" s="94">
        <f t="shared" ca="1" si="109"/>
        <v>-0.12088254372728253</v>
      </c>
      <c r="BH16" s="94">
        <f t="shared" ca="1" si="109"/>
        <v>-0.11290622521656075</v>
      </c>
      <c r="BI16" s="94">
        <f t="shared" ca="1" si="109"/>
        <v>-9.8673542859177024E-2</v>
      </c>
      <c r="BJ16" s="94">
        <f t="shared" ca="1" si="109"/>
        <v>-7.3364399757326074E-2</v>
      </c>
      <c r="BK16" s="94">
        <f t="shared" ca="1" si="109"/>
        <v>-5.4776018224010382E-2</v>
      </c>
      <c r="BL16" s="94">
        <f t="shared" ca="1" si="109"/>
        <v>-2.0878733412116213E-2</v>
      </c>
      <c r="BM16" s="94">
        <f t="shared" ca="1" si="109"/>
        <v>1.0024954555280038E-2</v>
      </c>
      <c r="BN16" s="94">
        <f t="shared" ca="1" si="109"/>
        <v>5.4303950852732395E-2</v>
      </c>
      <c r="BO16" s="94">
        <f t="shared" ca="1" si="109"/>
        <v>8.6240938520849797E-2</v>
      </c>
      <c r="BP16" s="94">
        <f t="shared" ca="1" si="109"/>
        <v>0.12272361956782933</v>
      </c>
      <c r="BQ16" s="94">
        <f t="shared" ca="1" si="109"/>
        <v>0.1337798473947073</v>
      </c>
      <c r="BR16" s="94">
        <f t="shared" ca="1" si="109"/>
        <v>0.13105465078267517</v>
      </c>
      <c r="BS16" s="94">
        <f t="shared" ca="1" si="109"/>
        <v>0.11244432425834565</v>
      </c>
      <c r="BT16" s="94">
        <f t="shared" ca="1" si="109"/>
        <v>0.10509265312785294</v>
      </c>
      <c r="BU16" s="94">
        <f t="shared" ca="1" si="109"/>
        <v>9.5759497966783805E-2</v>
      </c>
      <c r="BV16" s="94" t="e">
        <f t="shared" ca="1" si="109"/>
        <v>#N/A</v>
      </c>
      <c r="BW16" s="94" t="e">
        <f t="shared" ca="1" si="109"/>
        <v>#N/A</v>
      </c>
      <c r="BX16" s="94" t="e">
        <f t="shared" ca="1" si="109"/>
        <v>#N/A</v>
      </c>
      <c r="BY16" s="94" t="e">
        <f t="shared" ca="1" si="109"/>
        <v>#N/A</v>
      </c>
      <c r="BZ16" s="94" t="e">
        <f t="shared" ca="1" si="109"/>
        <v>#N/A</v>
      </c>
      <c r="CA16" s="94" t="e">
        <f t="shared" ca="1" si="109"/>
        <v>#N/A</v>
      </c>
      <c r="CB16" s="94" t="e">
        <f t="shared" ca="1" si="109"/>
        <v>#N/A</v>
      </c>
      <c r="CC16" s="94" t="e">
        <f t="shared" ca="1" si="109"/>
        <v>#N/A</v>
      </c>
      <c r="CD16" s="94" t="e">
        <f t="shared" ca="1" si="109"/>
        <v>#N/A</v>
      </c>
      <c r="CE16" s="94" t="e">
        <f t="shared" ca="1" si="109"/>
        <v>#N/A</v>
      </c>
      <c r="CF16" s="94" t="e">
        <f t="shared" ca="1" si="109"/>
        <v>#N/A</v>
      </c>
      <c r="CG16" s="94" t="e">
        <f t="shared" ca="1" si="109"/>
        <v>#N/A</v>
      </c>
      <c r="CH16" s="94" t="e">
        <f t="shared" ca="1" si="109"/>
        <v>#N/A</v>
      </c>
      <c r="CI16" s="94" t="e">
        <f t="shared" ca="1" si="109"/>
        <v>#N/A</v>
      </c>
      <c r="CJ16" s="94" t="e">
        <f t="shared" ca="1" si="109"/>
        <v>#N/A</v>
      </c>
      <c r="CK16" s="94" t="e">
        <f t="shared" ca="1" si="109"/>
        <v>#N/A</v>
      </c>
      <c r="CL16" s="94" t="e">
        <f t="shared" ca="1" si="109"/>
        <v>#N/A</v>
      </c>
      <c r="CM16" s="94" t="e">
        <f t="shared" ca="1" si="109"/>
        <v>#N/A</v>
      </c>
      <c r="CN16" s="94" t="e">
        <f t="shared" ca="1" si="109"/>
        <v>#N/A</v>
      </c>
      <c r="CO16" s="94" t="e">
        <f t="shared" ca="1" si="109"/>
        <v>#N/A</v>
      </c>
      <c r="CP16" s="94" t="e">
        <f t="shared" ca="1" si="109"/>
        <v>#N/A</v>
      </c>
      <c r="CQ16" s="94" t="e">
        <f t="shared" ref="CQ16:FB16" ca="1" si="110">IFERROR(AVERAGE(CO14:CQ14),NA())</f>
        <v>#N/A</v>
      </c>
      <c r="CR16" s="94" t="e">
        <f t="shared" ca="1" si="110"/>
        <v>#N/A</v>
      </c>
      <c r="CS16" s="94" t="e">
        <f t="shared" ca="1" si="110"/>
        <v>#N/A</v>
      </c>
      <c r="CT16" s="94" t="e">
        <f t="shared" ca="1" si="110"/>
        <v>#N/A</v>
      </c>
      <c r="CU16" s="94" t="e">
        <f t="shared" ca="1" si="110"/>
        <v>#N/A</v>
      </c>
      <c r="CV16" s="94" t="e">
        <f t="shared" ca="1" si="110"/>
        <v>#N/A</v>
      </c>
      <c r="CW16" s="94" t="e">
        <f t="shared" ca="1" si="110"/>
        <v>#N/A</v>
      </c>
      <c r="CX16" s="94" t="e">
        <f t="shared" ca="1" si="110"/>
        <v>#N/A</v>
      </c>
      <c r="CY16" s="94" t="e">
        <f t="shared" ca="1" si="110"/>
        <v>#N/A</v>
      </c>
      <c r="CZ16" s="94" t="e">
        <f t="shared" ca="1" si="110"/>
        <v>#N/A</v>
      </c>
      <c r="DA16" s="94" t="e">
        <f t="shared" ca="1" si="110"/>
        <v>#N/A</v>
      </c>
      <c r="DB16" s="94" t="e">
        <f t="shared" ca="1" si="110"/>
        <v>#N/A</v>
      </c>
      <c r="DC16" s="94" t="e">
        <f t="shared" ca="1" si="110"/>
        <v>#N/A</v>
      </c>
      <c r="DD16" s="94" t="e">
        <f t="shared" ca="1" si="110"/>
        <v>#N/A</v>
      </c>
      <c r="DE16" s="94" t="e">
        <f t="shared" ca="1" si="110"/>
        <v>#N/A</v>
      </c>
      <c r="DF16" s="94" t="e">
        <f t="shared" ca="1" si="110"/>
        <v>#N/A</v>
      </c>
      <c r="DG16" s="94" t="e">
        <f t="shared" ca="1" si="110"/>
        <v>#N/A</v>
      </c>
      <c r="DH16" s="94" t="e">
        <f t="shared" ca="1" si="110"/>
        <v>#N/A</v>
      </c>
      <c r="DI16" s="94" t="e">
        <f t="shared" ca="1" si="110"/>
        <v>#N/A</v>
      </c>
      <c r="DJ16" s="94" t="e">
        <f t="shared" ca="1" si="110"/>
        <v>#N/A</v>
      </c>
      <c r="DK16" s="94" t="e">
        <f t="shared" ca="1" si="110"/>
        <v>#N/A</v>
      </c>
      <c r="DL16" s="94" t="e">
        <f t="shared" ca="1" si="110"/>
        <v>#N/A</v>
      </c>
      <c r="DM16" s="94" t="e">
        <f t="shared" ca="1" si="110"/>
        <v>#N/A</v>
      </c>
      <c r="DN16" s="94" t="e">
        <f t="shared" ca="1" si="110"/>
        <v>#N/A</v>
      </c>
      <c r="DO16" s="94" t="e">
        <f t="shared" ca="1" si="110"/>
        <v>#N/A</v>
      </c>
      <c r="DP16" s="94" t="e">
        <f t="shared" ca="1" si="110"/>
        <v>#N/A</v>
      </c>
      <c r="DQ16" s="94" t="e">
        <f t="shared" ca="1" si="110"/>
        <v>#N/A</v>
      </c>
      <c r="DR16" s="94" t="e">
        <f t="shared" ca="1" si="110"/>
        <v>#N/A</v>
      </c>
      <c r="DS16" s="94" t="e">
        <f t="shared" ca="1" si="110"/>
        <v>#N/A</v>
      </c>
      <c r="DT16" s="94" t="e">
        <f t="shared" ca="1" si="110"/>
        <v>#N/A</v>
      </c>
      <c r="DU16" s="94" t="e">
        <f t="shared" ca="1" si="110"/>
        <v>#N/A</v>
      </c>
      <c r="DV16" s="94" t="e">
        <f t="shared" ca="1" si="110"/>
        <v>#N/A</v>
      </c>
      <c r="DW16" s="94" t="e">
        <f t="shared" ca="1" si="110"/>
        <v>#N/A</v>
      </c>
      <c r="DX16" s="94" t="e">
        <f t="shared" ca="1" si="110"/>
        <v>#N/A</v>
      </c>
      <c r="DY16" s="94" t="e">
        <f t="shared" ca="1" si="110"/>
        <v>#N/A</v>
      </c>
      <c r="DZ16" s="94" t="e">
        <f t="shared" ca="1" si="110"/>
        <v>#N/A</v>
      </c>
      <c r="EA16" s="94" t="e">
        <f t="shared" ca="1" si="110"/>
        <v>#N/A</v>
      </c>
      <c r="EB16" s="94" t="e">
        <f t="shared" ca="1" si="110"/>
        <v>#N/A</v>
      </c>
      <c r="EC16" s="94" t="e">
        <f t="shared" ca="1" si="110"/>
        <v>#N/A</v>
      </c>
      <c r="ED16" s="94" t="e">
        <f t="shared" ca="1" si="110"/>
        <v>#N/A</v>
      </c>
      <c r="EE16" s="94" t="e">
        <f t="shared" ca="1" si="110"/>
        <v>#N/A</v>
      </c>
      <c r="EF16" s="94" t="e">
        <f t="shared" ca="1" si="110"/>
        <v>#N/A</v>
      </c>
      <c r="EG16" s="94" t="e">
        <f t="shared" ca="1" si="110"/>
        <v>#N/A</v>
      </c>
      <c r="EH16" s="94" t="e">
        <f t="shared" ca="1" si="110"/>
        <v>#N/A</v>
      </c>
      <c r="EI16" s="94" t="e">
        <f t="shared" ca="1" si="110"/>
        <v>#N/A</v>
      </c>
      <c r="EJ16" s="94" t="e">
        <f t="shared" ca="1" si="110"/>
        <v>#N/A</v>
      </c>
      <c r="EK16" s="94" t="e">
        <f t="shared" ca="1" si="110"/>
        <v>#N/A</v>
      </c>
      <c r="EL16" s="94" t="e">
        <f t="shared" ca="1" si="110"/>
        <v>#N/A</v>
      </c>
      <c r="EM16" s="94" t="e">
        <f t="shared" ca="1" si="110"/>
        <v>#N/A</v>
      </c>
      <c r="EN16" s="94" t="e">
        <f t="shared" ca="1" si="110"/>
        <v>#N/A</v>
      </c>
      <c r="EO16" s="94" t="e">
        <f t="shared" ca="1" si="110"/>
        <v>#N/A</v>
      </c>
      <c r="EP16" s="94" t="e">
        <f t="shared" ca="1" si="110"/>
        <v>#N/A</v>
      </c>
      <c r="EQ16" s="94" t="e">
        <f t="shared" ca="1" si="110"/>
        <v>#N/A</v>
      </c>
      <c r="ER16" s="94" t="e">
        <f t="shared" ca="1" si="110"/>
        <v>#N/A</v>
      </c>
      <c r="ES16" s="94" t="e">
        <f t="shared" ca="1" si="110"/>
        <v>#N/A</v>
      </c>
      <c r="ET16" s="94" t="e">
        <f t="shared" ca="1" si="110"/>
        <v>#N/A</v>
      </c>
      <c r="EU16" s="94" t="e">
        <f t="shared" ca="1" si="110"/>
        <v>#N/A</v>
      </c>
      <c r="EV16" s="94" t="e">
        <f t="shared" ca="1" si="110"/>
        <v>#N/A</v>
      </c>
      <c r="EW16" s="94" t="e">
        <f t="shared" ca="1" si="110"/>
        <v>#N/A</v>
      </c>
      <c r="EX16" s="94" t="e">
        <f t="shared" ca="1" si="110"/>
        <v>#N/A</v>
      </c>
      <c r="EY16" s="94" t="e">
        <f t="shared" ca="1" si="110"/>
        <v>#N/A</v>
      </c>
      <c r="EZ16" s="94" t="e">
        <f t="shared" ca="1" si="110"/>
        <v>#N/A</v>
      </c>
      <c r="FA16" s="94" t="e">
        <f t="shared" ca="1" si="110"/>
        <v>#N/A</v>
      </c>
      <c r="FB16" s="94" t="e">
        <f t="shared" ca="1" si="110"/>
        <v>#N/A</v>
      </c>
      <c r="FC16" s="94" t="e">
        <f t="shared" ref="FC16:HN16" ca="1" si="111">IFERROR(AVERAGE(FA14:FC14),NA())</f>
        <v>#N/A</v>
      </c>
      <c r="FD16" s="94" t="e">
        <f t="shared" ca="1" si="111"/>
        <v>#N/A</v>
      </c>
      <c r="FE16" s="94" t="e">
        <f t="shared" ca="1" si="111"/>
        <v>#N/A</v>
      </c>
      <c r="FF16" s="94" t="e">
        <f t="shared" ca="1" si="111"/>
        <v>#N/A</v>
      </c>
      <c r="FG16" s="94" t="e">
        <f t="shared" ca="1" si="111"/>
        <v>#N/A</v>
      </c>
      <c r="FH16" s="94" t="e">
        <f t="shared" ca="1" si="111"/>
        <v>#N/A</v>
      </c>
      <c r="FI16" s="94" t="e">
        <f t="shared" ca="1" si="111"/>
        <v>#N/A</v>
      </c>
      <c r="FJ16" s="94" t="e">
        <f t="shared" ca="1" si="111"/>
        <v>#N/A</v>
      </c>
      <c r="FK16" s="94" t="e">
        <f t="shared" ca="1" si="111"/>
        <v>#N/A</v>
      </c>
      <c r="FL16" s="94" t="e">
        <f t="shared" ca="1" si="111"/>
        <v>#N/A</v>
      </c>
      <c r="FM16" s="94" t="e">
        <f t="shared" ca="1" si="111"/>
        <v>#N/A</v>
      </c>
      <c r="FN16" s="94" t="e">
        <f t="shared" ca="1" si="111"/>
        <v>#N/A</v>
      </c>
      <c r="FO16" s="94" t="e">
        <f t="shared" ca="1" si="111"/>
        <v>#N/A</v>
      </c>
      <c r="FP16" s="94" t="e">
        <f t="shared" ca="1" si="111"/>
        <v>#N/A</v>
      </c>
      <c r="FQ16" s="94" t="e">
        <f t="shared" ca="1" si="111"/>
        <v>#N/A</v>
      </c>
      <c r="FR16" s="94" t="e">
        <f t="shared" ca="1" si="111"/>
        <v>#N/A</v>
      </c>
      <c r="FS16" s="94" t="e">
        <f t="shared" ca="1" si="111"/>
        <v>#N/A</v>
      </c>
      <c r="FT16" s="94" t="e">
        <f t="shared" ca="1" si="111"/>
        <v>#N/A</v>
      </c>
      <c r="FU16" s="94" t="e">
        <f t="shared" ca="1" si="111"/>
        <v>#N/A</v>
      </c>
      <c r="FV16" s="94" t="e">
        <f t="shared" ca="1" si="111"/>
        <v>#N/A</v>
      </c>
      <c r="FW16" s="94" t="e">
        <f t="shared" ca="1" si="111"/>
        <v>#N/A</v>
      </c>
      <c r="FX16" s="94" t="e">
        <f t="shared" ca="1" si="111"/>
        <v>#N/A</v>
      </c>
      <c r="FY16" s="94" t="e">
        <f t="shared" ca="1" si="111"/>
        <v>#N/A</v>
      </c>
      <c r="FZ16" s="94" t="e">
        <f t="shared" ca="1" si="111"/>
        <v>#N/A</v>
      </c>
      <c r="GA16" s="94" t="e">
        <f t="shared" ca="1" si="111"/>
        <v>#N/A</v>
      </c>
      <c r="GB16" s="94" t="e">
        <f t="shared" ca="1" si="111"/>
        <v>#N/A</v>
      </c>
      <c r="GC16" s="94" t="e">
        <f t="shared" ca="1" si="111"/>
        <v>#N/A</v>
      </c>
      <c r="GD16" s="94" t="e">
        <f t="shared" ca="1" si="111"/>
        <v>#N/A</v>
      </c>
      <c r="GE16" s="94" t="e">
        <f t="shared" ca="1" si="111"/>
        <v>#N/A</v>
      </c>
      <c r="GF16" s="94" t="e">
        <f t="shared" ca="1" si="111"/>
        <v>#N/A</v>
      </c>
      <c r="GG16" s="94" t="e">
        <f t="shared" ca="1" si="111"/>
        <v>#N/A</v>
      </c>
      <c r="GH16" s="94" t="e">
        <f t="shared" ca="1" si="111"/>
        <v>#N/A</v>
      </c>
      <c r="GI16" s="94" t="e">
        <f t="shared" ca="1" si="111"/>
        <v>#N/A</v>
      </c>
      <c r="GJ16" s="94" t="e">
        <f t="shared" ca="1" si="111"/>
        <v>#N/A</v>
      </c>
      <c r="GK16" s="94" t="e">
        <f t="shared" ca="1" si="111"/>
        <v>#N/A</v>
      </c>
      <c r="GL16" s="94" t="e">
        <f t="shared" ca="1" si="111"/>
        <v>#N/A</v>
      </c>
      <c r="GM16" s="94" t="e">
        <f t="shared" ca="1" si="111"/>
        <v>#N/A</v>
      </c>
      <c r="GN16" s="94" t="e">
        <f t="shared" ca="1" si="111"/>
        <v>#N/A</v>
      </c>
      <c r="GO16" s="94" t="e">
        <f t="shared" ca="1" si="111"/>
        <v>#N/A</v>
      </c>
      <c r="GP16" s="94" t="e">
        <f t="shared" ca="1" si="111"/>
        <v>#N/A</v>
      </c>
      <c r="GQ16" s="94" t="e">
        <f t="shared" ca="1" si="111"/>
        <v>#N/A</v>
      </c>
      <c r="GR16" s="94" t="e">
        <f t="shared" ca="1" si="111"/>
        <v>#N/A</v>
      </c>
      <c r="GS16" s="94" t="e">
        <f t="shared" ca="1" si="111"/>
        <v>#N/A</v>
      </c>
      <c r="GT16" s="94" t="e">
        <f t="shared" ca="1" si="111"/>
        <v>#N/A</v>
      </c>
      <c r="GU16" s="94" t="e">
        <f t="shared" ca="1" si="111"/>
        <v>#N/A</v>
      </c>
      <c r="GV16" s="94" t="e">
        <f t="shared" ca="1" si="111"/>
        <v>#N/A</v>
      </c>
      <c r="GW16" s="94" t="e">
        <f t="shared" ca="1" si="111"/>
        <v>#N/A</v>
      </c>
      <c r="GX16" s="94" t="e">
        <f t="shared" ca="1" si="111"/>
        <v>#N/A</v>
      </c>
      <c r="GY16" s="94" t="e">
        <f t="shared" ca="1" si="111"/>
        <v>#N/A</v>
      </c>
      <c r="GZ16" s="94" t="e">
        <f t="shared" ca="1" si="111"/>
        <v>#N/A</v>
      </c>
      <c r="HA16" s="94" t="e">
        <f t="shared" ca="1" si="111"/>
        <v>#N/A</v>
      </c>
      <c r="HB16" s="94" t="e">
        <f t="shared" ca="1" si="111"/>
        <v>#N/A</v>
      </c>
      <c r="HC16" s="94" t="e">
        <f t="shared" ca="1" si="111"/>
        <v>#N/A</v>
      </c>
      <c r="HD16" s="94" t="e">
        <f t="shared" ca="1" si="111"/>
        <v>#N/A</v>
      </c>
      <c r="HE16" s="94" t="e">
        <f t="shared" ca="1" si="111"/>
        <v>#N/A</v>
      </c>
      <c r="HF16" s="94" t="e">
        <f t="shared" ca="1" si="111"/>
        <v>#N/A</v>
      </c>
      <c r="HG16" s="94" t="e">
        <f t="shared" ca="1" si="111"/>
        <v>#N/A</v>
      </c>
      <c r="HH16" s="94" t="e">
        <f t="shared" ca="1" si="111"/>
        <v>#N/A</v>
      </c>
      <c r="HI16" s="94" t="e">
        <f t="shared" ca="1" si="111"/>
        <v>#N/A</v>
      </c>
      <c r="HJ16" s="94" t="e">
        <f t="shared" ca="1" si="111"/>
        <v>#N/A</v>
      </c>
      <c r="HK16" s="94" t="e">
        <f t="shared" ca="1" si="111"/>
        <v>#N/A</v>
      </c>
      <c r="HL16" s="94" t="e">
        <f t="shared" ca="1" si="111"/>
        <v>#N/A</v>
      </c>
      <c r="HM16" s="94" t="e">
        <f t="shared" ca="1" si="111"/>
        <v>#N/A</v>
      </c>
      <c r="HN16" s="94" t="e">
        <f t="shared" ca="1" si="111"/>
        <v>#N/A</v>
      </c>
      <c r="HO16" s="94" t="e">
        <f t="shared" ref="HO16:IN16" ca="1" si="112">IFERROR(AVERAGE(HM14:HO14),NA())</f>
        <v>#N/A</v>
      </c>
      <c r="HP16" s="94" t="e">
        <f t="shared" ca="1" si="112"/>
        <v>#N/A</v>
      </c>
      <c r="HQ16" s="94" t="e">
        <f t="shared" ca="1" si="112"/>
        <v>#N/A</v>
      </c>
      <c r="HR16" s="94" t="e">
        <f t="shared" ca="1" si="112"/>
        <v>#N/A</v>
      </c>
      <c r="HS16" s="94" t="e">
        <f t="shared" ca="1" si="112"/>
        <v>#N/A</v>
      </c>
      <c r="HT16" s="94" t="e">
        <f t="shared" ca="1" si="112"/>
        <v>#N/A</v>
      </c>
      <c r="HU16" s="94" t="e">
        <f t="shared" ca="1" si="112"/>
        <v>#N/A</v>
      </c>
      <c r="HV16" s="94" t="e">
        <f t="shared" ca="1" si="112"/>
        <v>#N/A</v>
      </c>
      <c r="HW16" s="94" t="e">
        <f t="shared" ca="1" si="112"/>
        <v>#N/A</v>
      </c>
      <c r="HX16" s="94" t="e">
        <f t="shared" ca="1" si="112"/>
        <v>#N/A</v>
      </c>
      <c r="HY16" s="94" t="e">
        <f t="shared" ca="1" si="112"/>
        <v>#N/A</v>
      </c>
      <c r="HZ16" s="94" t="e">
        <f t="shared" ca="1" si="112"/>
        <v>#N/A</v>
      </c>
      <c r="IA16" s="94" t="e">
        <f t="shared" ca="1" si="112"/>
        <v>#N/A</v>
      </c>
      <c r="IB16" s="94" t="e">
        <f t="shared" ca="1" si="112"/>
        <v>#N/A</v>
      </c>
      <c r="IC16" s="94" t="e">
        <f t="shared" ca="1" si="112"/>
        <v>#N/A</v>
      </c>
      <c r="ID16" s="94" t="e">
        <f t="shared" ca="1" si="112"/>
        <v>#N/A</v>
      </c>
      <c r="IE16" s="94" t="e">
        <f t="shared" ca="1" si="112"/>
        <v>#N/A</v>
      </c>
      <c r="IF16" s="94" t="e">
        <f t="shared" ca="1" si="112"/>
        <v>#N/A</v>
      </c>
      <c r="IG16" s="94" t="e">
        <f t="shared" ca="1" si="112"/>
        <v>#N/A</v>
      </c>
      <c r="IH16" s="94" t="e">
        <f t="shared" ca="1" si="112"/>
        <v>#N/A</v>
      </c>
      <c r="II16" s="94" t="e">
        <f t="shared" ca="1" si="112"/>
        <v>#N/A</v>
      </c>
      <c r="IJ16" s="94" t="e">
        <f t="shared" ca="1" si="112"/>
        <v>#N/A</v>
      </c>
      <c r="IK16" s="94" t="e">
        <f t="shared" ca="1" si="112"/>
        <v>#N/A</v>
      </c>
      <c r="IL16" s="94" t="e">
        <f t="shared" ca="1" si="112"/>
        <v>#N/A</v>
      </c>
      <c r="IM16" s="94" t="e">
        <f t="shared" ca="1" si="112"/>
        <v>#N/A</v>
      </c>
      <c r="IN16" s="94" t="e">
        <f t="shared" ca="1" si="112"/>
        <v>#N/A</v>
      </c>
    </row>
    <row r="17" spans="2:248" x14ac:dyDescent="0.3">
      <c r="B17" s="19" t="s">
        <v>497</v>
      </c>
      <c r="C17" s="23">
        <v>2.5000000000000001E-2</v>
      </c>
      <c r="E17" s="93" t="s">
        <v>586</v>
      </c>
      <c r="F17" s="19" t="s">
        <v>569</v>
      </c>
      <c r="G17" s="94">
        <f t="shared" ref="G17:AC17" ca="1" si="113">IFERROR(AVERAGE(E15:G15),NA())</f>
        <v>5.8823529411764719E-2</v>
      </c>
      <c r="H17" s="94">
        <f t="shared" ca="1" si="113"/>
        <v>5.8823529411764719E-2</v>
      </c>
      <c r="I17" s="94">
        <f t="shared" ca="1" si="113"/>
        <v>0.11811364787507135</v>
      </c>
      <c r="J17" s="94">
        <f t="shared" ca="1" si="113"/>
        <v>0.21579427514044344</v>
      </c>
      <c r="K17" s="94">
        <f t="shared" ca="1" si="113"/>
        <v>0.31192255951157549</v>
      </c>
      <c r="L17" s="94">
        <f t="shared" ca="1" si="113"/>
        <v>0.35630790195103401</v>
      </c>
      <c r="M17" s="94">
        <f t="shared" ca="1" si="113"/>
        <v>0.40145411210201321</v>
      </c>
      <c r="N17" s="94">
        <f t="shared" ca="1" si="113"/>
        <v>0.41439787262929412</v>
      </c>
      <c r="O17" s="94">
        <f t="shared" ca="1" si="113"/>
        <v>0.3991769466940735</v>
      </c>
      <c r="P17" s="94">
        <f t="shared" ca="1" si="113"/>
        <v>0.33883764250940512</v>
      </c>
      <c r="Q17" s="94">
        <f t="shared" ca="1" si="113"/>
        <v>0.29636688813953627</v>
      </c>
      <c r="R17" s="94">
        <f t="shared" ca="1" si="113"/>
        <v>0.2634468527779481</v>
      </c>
      <c r="S17" s="94">
        <f t="shared" ca="1" si="113"/>
        <v>0.24873541035772853</v>
      </c>
      <c r="T17" s="94">
        <f t="shared" ca="1" si="113"/>
        <v>0.24097985974082822</v>
      </c>
      <c r="U17" s="94">
        <f t="shared" ca="1" si="113"/>
        <v>0.23750756152628197</v>
      </c>
      <c r="V17" s="94">
        <f t="shared" ca="1" si="113"/>
        <v>0.21548148884235241</v>
      </c>
      <c r="W17" s="94">
        <f t="shared" ca="1" si="113"/>
        <v>0.18606369043915497</v>
      </c>
      <c r="X17" s="94">
        <f t="shared" ca="1" si="113"/>
        <v>0.1597328709448198</v>
      </c>
      <c r="Y17" s="94">
        <f t="shared" ca="1" si="113"/>
        <v>0.13766860119675992</v>
      </c>
      <c r="Z17" s="94">
        <f t="shared" ca="1" si="113"/>
        <v>0.13005222035729277</v>
      </c>
      <c r="AA17" s="94">
        <f t="shared" ca="1" si="113"/>
        <v>0.12442354803530405</v>
      </c>
      <c r="AB17" s="94">
        <f t="shared" ca="1" si="113"/>
        <v>0.11189716727172543</v>
      </c>
      <c r="AC17" s="94">
        <f t="shared" ca="1" si="113"/>
        <v>0.10784156373087495</v>
      </c>
      <c r="AD17" s="94">
        <f ca="1">IFERROR(AVERAGE(AB15:AD15),NA())</f>
        <v>0.10461997017158368</v>
      </c>
      <c r="AE17" s="94">
        <f t="shared" ref="AE17:CP17" ca="1" si="114">IFERROR(AVERAGE(AC15:AE15),NA())</f>
        <v>0.10868205610441269</v>
      </c>
      <c r="AF17" s="94">
        <f t="shared" ca="1" si="114"/>
        <v>0.10368519083288115</v>
      </c>
      <c r="AG17" s="94">
        <f t="shared" ca="1" si="114"/>
        <v>0.10319686310750102</v>
      </c>
      <c r="AH17" s="94">
        <f t="shared" ca="1" si="114"/>
        <v>9.4731750233106718E-2</v>
      </c>
      <c r="AI17" s="94">
        <f t="shared" ca="1" si="114"/>
        <v>8.5125727769874704E-2</v>
      </c>
      <c r="AJ17" s="94">
        <f t="shared" ca="1" si="114"/>
        <v>6.956340666199412E-2</v>
      </c>
      <c r="AK17" s="94">
        <f t="shared" ca="1" si="114"/>
        <v>5.9407621159267121E-2</v>
      </c>
      <c r="AL17" s="94">
        <f t="shared" ca="1" si="114"/>
        <v>5.52076203713859E-2</v>
      </c>
      <c r="AM17" s="94">
        <f t="shared" ca="1" si="114"/>
        <v>4.8482318788280652E-2</v>
      </c>
      <c r="AN17" s="94">
        <f t="shared" ca="1" si="114"/>
        <v>4.6354683670078035E-2</v>
      </c>
      <c r="AO17" s="94">
        <f t="shared" ca="1" si="114"/>
        <v>3.9853602893510219E-2</v>
      </c>
      <c r="AP17" s="94">
        <f t="shared" ca="1" si="114"/>
        <v>3.9576700659078368E-2</v>
      </c>
      <c r="AQ17" s="94">
        <f t="shared" ca="1" si="114"/>
        <v>3.3713547907699537E-2</v>
      </c>
      <c r="AR17" s="94">
        <f t="shared" ca="1" si="114"/>
        <v>3.0783797307543177E-2</v>
      </c>
      <c r="AS17" s="94">
        <f t="shared" ca="1" si="114"/>
        <v>2.3606059482200663E-2</v>
      </c>
      <c r="AT17" s="94">
        <f t="shared" ca="1" si="114"/>
        <v>2.0693596380006857E-2</v>
      </c>
      <c r="AU17" s="94">
        <f t="shared" ca="1" si="114"/>
        <v>1.6719261413184434E-2</v>
      </c>
      <c r="AV17" s="94">
        <f t="shared" ca="1" si="114"/>
        <v>1.5581427513524945E-2</v>
      </c>
      <c r="AW17" s="94">
        <f t="shared" ca="1" si="114"/>
        <v>1.5296609169855499E-2</v>
      </c>
      <c r="AX17" s="94">
        <f t="shared" ca="1" si="114"/>
        <v>1.4655594016158568E-2</v>
      </c>
      <c r="AY17" s="94">
        <f t="shared" ca="1" si="114"/>
        <v>1.3948492275984936E-2</v>
      </c>
      <c r="AZ17" s="94">
        <f t="shared" ca="1" si="114"/>
        <v>1.2769474012869134E-2</v>
      </c>
      <c r="BA17" s="94">
        <f t="shared" ca="1" si="114"/>
        <v>1.2075868607784571E-2</v>
      </c>
      <c r="BB17" s="94">
        <f t="shared" ca="1" si="114"/>
        <v>1.1156309886529492E-2</v>
      </c>
      <c r="BC17" s="94">
        <f t="shared" ca="1" si="114"/>
        <v>1.0458797734568556E-2</v>
      </c>
      <c r="BD17" s="94">
        <f t="shared" ca="1" si="114"/>
        <v>9.7248154457411449E-3</v>
      </c>
      <c r="BE17" s="94">
        <f t="shared" ca="1" si="114"/>
        <v>9.0624269050439601E-3</v>
      </c>
      <c r="BF17" s="94">
        <f t="shared" ca="1" si="114"/>
        <v>8.4134499408270447E-3</v>
      </c>
      <c r="BG17" s="94">
        <f t="shared" ca="1" si="114"/>
        <v>7.716777165495718E-3</v>
      </c>
      <c r="BH17" s="94">
        <f t="shared" ca="1" si="114"/>
        <v>7.2430500297876082E-3</v>
      </c>
      <c r="BI17" s="94">
        <f t="shared" ca="1" si="114"/>
        <v>6.7802798214813276E-3</v>
      </c>
      <c r="BJ17" s="94">
        <f t="shared" ca="1" si="114"/>
        <v>6.5099083322099904E-3</v>
      </c>
      <c r="BK17" s="94">
        <f t="shared" ca="1" si="114"/>
        <v>6.5964687074968609E-3</v>
      </c>
      <c r="BL17" s="94">
        <f t="shared" ca="1" si="114"/>
        <v>6.9309776599677519E-3</v>
      </c>
      <c r="BM17" s="94">
        <f t="shared" ca="1" si="114"/>
        <v>7.3611382042362283E-3</v>
      </c>
      <c r="BN17" s="94">
        <f t="shared" ca="1" si="114"/>
        <v>7.5100954883699318E-3</v>
      </c>
      <c r="BO17" s="94">
        <f t="shared" ca="1" si="114"/>
        <v>8.3501880441902241E-3</v>
      </c>
      <c r="BP17" s="94">
        <f t="shared" ca="1" si="114"/>
        <v>8.651817816421362E-3</v>
      </c>
      <c r="BQ17" s="94">
        <f t="shared" ca="1" si="114"/>
        <v>9.0608236061506062E-3</v>
      </c>
      <c r="BR17" s="94">
        <f t="shared" ca="1" si="114"/>
        <v>8.8901491465408124E-3</v>
      </c>
      <c r="BS17" s="94">
        <f t="shared" ca="1" si="114"/>
        <v>9.6265482964086324E-3</v>
      </c>
      <c r="BT17" s="94">
        <f t="shared" ca="1" si="114"/>
        <v>9.8474461981163195E-3</v>
      </c>
      <c r="BU17" s="94">
        <f t="shared" ca="1" si="114"/>
        <v>1.0576307661574655E-2</v>
      </c>
      <c r="BV17" s="94" t="e">
        <f t="shared" ca="1" si="114"/>
        <v>#N/A</v>
      </c>
      <c r="BW17" s="94" t="e">
        <f t="shared" ca="1" si="114"/>
        <v>#N/A</v>
      </c>
      <c r="BX17" s="94" t="e">
        <f t="shared" ca="1" si="114"/>
        <v>#N/A</v>
      </c>
      <c r="BY17" s="94" t="e">
        <f t="shared" ca="1" si="114"/>
        <v>#N/A</v>
      </c>
      <c r="BZ17" s="94" t="e">
        <f t="shared" ca="1" si="114"/>
        <v>#N/A</v>
      </c>
      <c r="CA17" s="94" t="e">
        <f t="shared" ca="1" si="114"/>
        <v>#N/A</v>
      </c>
      <c r="CB17" s="94" t="e">
        <f t="shared" ca="1" si="114"/>
        <v>#N/A</v>
      </c>
      <c r="CC17" s="94" t="e">
        <f t="shared" ca="1" si="114"/>
        <v>#N/A</v>
      </c>
      <c r="CD17" s="94" t="e">
        <f t="shared" ca="1" si="114"/>
        <v>#N/A</v>
      </c>
      <c r="CE17" s="94" t="e">
        <f t="shared" ca="1" si="114"/>
        <v>#N/A</v>
      </c>
      <c r="CF17" s="94" t="e">
        <f t="shared" ca="1" si="114"/>
        <v>#N/A</v>
      </c>
      <c r="CG17" s="94" t="e">
        <f t="shared" ca="1" si="114"/>
        <v>#N/A</v>
      </c>
      <c r="CH17" s="94" t="e">
        <f t="shared" ca="1" si="114"/>
        <v>#N/A</v>
      </c>
      <c r="CI17" s="94" t="e">
        <f t="shared" ca="1" si="114"/>
        <v>#N/A</v>
      </c>
      <c r="CJ17" s="94" t="e">
        <f t="shared" ca="1" si="114"/>
        <v>#N/A</v>
      </c>
      <c r="CK17" s="94" t="e">
        <f t="shared" ca="1" si="114"/>
        <v>#N/A</v>
      </c>
      <c r="CL17" s="94" t="e">
        <f t="shared" ca="1" si="114"/>
        <v>#N/A</v>
      </c>
      <c r="CM17" s="94" t="e">
        <f t="shared" ca="1" si="114"/>
        <v>#N/A</v>
      </c>
      <c r="CN17" s="94" t="e">
        <f t="shared" ca="1" si="114"/>
        <v>#N/A</v>
      </c>
      <c r="CO17" s="94" t="e">
        <f t="shared" ca="1" si="114"/>
        <v>#N/A</v>
      </c>
      <c r="CP17" s="94" t="e">
        <f t="shared" ca="1" si="114"/>
        <v>#N/A</v>
      </c>
      <c r="CQ17" s="94" t="e">
        <f t="shared" ref="CQ17:FB17" ca="1" si="115">IFERROR(AVERAGE(CO15:CQ15),NA())</f>
        <v>#N/A</v>
      </c>
      <c r="CR17" s="94" t="e">
        <f t="shared" ca="1" si="115"/>
        <v>#N/A</v>
      </c>
      <c r="CS17" s="94" t="e">
        <f t="shared" ca="1" si="115"/>
        <v>#N/A</v>
      </c>
      <c r="CT17" s="94" t="e">
        <f t="shared" ca="1" si="115"/>
        <v>#N/A</v>
      </c>
      <c r="CU17" s="94" t="e">
        <f t="shared" ca="1" si="115"/>
        <v>#N/A</v>
      </c>
      <c r="CV17" s="94" t="e">
        <f t="shared" ca="1" si="115"/>
        <v>#N/A</v>
      </c>
      <c r="CW17" s="94" t="e">
        <f t="shared" ca="1" si="115"/>
        <v>#N/A</v>
      </c>
      <c r="CX17" s="94" t="e">
        <f t="shared" ca="1" si="115"/>
        <v>#N/A</v>
      </c>
      <c r="CY17" s="94" t="e">
        <f t="shared" ca="1" si="115"/>
        <v>#N/A</v>
      </c>
      <c r="CZ17" s="94" t="e">
        <f t="shared" ca="1" si="115"/>
        <v>#N/A</v>
      </c>
      <c r="DA17" s="94" t="e">
        <f t="shared" ca="1" si="115"/>
        <v>#N/A</v>
      </c>
      <c r="DB17" s="94" t="e">
        <f t="shared" ca="1" si="115"/>
        <v>#N/A</v>
      </c>
      <c r="DC17" s="94" t="e">
        <f t="shared" ca="1" si="115"/>
        <v>#N/A</v>
      </c>
      <c r="DD17" s="94" t="e">
        <f t="shared" ca="1" si="115"/>
        <v>#N/A</v>
      </c>
      <c r="DE17" s="94" t="e">
        <f t="shared" ca="1" si="115"/>
        <v>#N/A</v>
      </c>
      <c r="DF17" s="94" t="e">
        <f t="shared" ca="1" si="115"/>
        <v>#N/A</v>
      </c>
      <c r="DG17" s="94" t="e">
        <f t="shared" ca="1" si="115"/>
        <v>#N/A</v>
      </c>
      <c r="DH17" s="94" t="e">
        <f t="shared" ca="1" si="115"/>
        <v>#N/A</v>
      </c>
      <c r="DI17" s="94" t="e">
        <f t="shared" ca="1" si="115"/>
        <v>#N/A</v>
      </c>
      <c r="DJ17" s="94" t="e">
        <f t="shared" ca="1" si="115"/>
        <v>#N/A</v>
      </c>
      <c r="DK17" s="94" t="e">
        <f t="shared" ca="1" si="115"/>
        <v>#N/A</v>
      </c>
      <c r="DL17" s="94" t="e">
        <f t="shared" ca="1" si="115"/>
        <v>#N/A</v>
      </c>
      <c r="DM17" s="94" t="e">
        <f t="shared" ca="1" si="115"/>
        <v>#N/A</v>
      </c>
      <c r="DN17" s="94" t="e">
        <f t="shared" ca="1" si="115"/>
        <v>#N/A</v>
      </c>
      <c r="DO17" s="94" t="e">
        <f t="shared" ca="1" si="115"/>
        <v>#N/A</v>
      </c>
      <c r="DP17" s="94" t="e">
        <f t="shared" ca="1" si="115"/>
        <v>#N/A</v>
      </c>
      <c r="DQ17" s="94" t="e">
        <f t="shared" ca="1" si="115"/>
        <v>#N/A</v>
      </c>
      <c r="DR17" s="94" t="e">
        <f t="shared" ca="1" si="115"/>
        <v>#N/A</v>
      </c>
      <c r="DS17" s="94" t="e">
        <f t="shared" ca="1" si="115"/>
        <v>#N/A</v>
      </c>
      <c r="DT17" s="94" t="e">
        <f t="shared" ca="1" si="115"/>
        <v>#N/A</v>
      </c>
      <c r="DU17" s="94" t="e">
        <f t="shared" ca="1" si="115"/>
        <v>#N/A</v>
      </c>
      <c r="DV17" s="94" t="e">
        <f t="shared" ca="1" si="115"/>
        <v>#N/A</v>
      </c>
      <c r="DW17" s="94" t="e">
        <f t="shared" ca="1" si="115"/>
        <v>#N/A</v>
      </c>
      <c r="DX17" s="94" t="e">
        <f t="shared" ca="1" si="115"/>
        <v>#N/A</v>
      </c>
      <c r="DY17" s="94" t="e">
        <f t="shared" ca="1" si="115"/>
        <v>#N/A</v>
      </c>
      <c r="DZ17" s="94" t="e">
        <f t="shared" ca="1" si="115"/>
        <v>#N/A</v>
      </c>
      <c r="EA17" s="94" t="e">
        <f t="shared" ca="1" si="115"/>
        <v>#N/A</v>
      </c>
      <c r="EB17" s="94" t="e">
        <f t="shared" ca="1" si="115"/>
        <v>#N/A</v>
      </c>
      <c r="EC17" s="94" t="e">
        <f t="shared" ca="1" si="115"/>
        <v>#N/A</v>
      </c>
      <c r="ED17" s="94" t="e">
        <f t="shared" ca="1" si="115"/>
        <v>#N/A</v>
      </c>
      <c r="EE17" s="94" t="e">
        <f t="shared" ca="1" si="115"/>
        <v>#N/A</v>
      </c>
      <c r="EF17" s="94" t="e">
        <f t="shared" ca="1" si="115"/>
        <v>#N/A</v>
      </c>
      <c r="EG17" s="94" t="e">
        <f t="shared" ca="1" si="115"/>
        <v>#N/A</v>
      </c>
      <c r="EH17" s="94" t="e">
        <f t="shared" ca="1" si="115"/>
        <v>#N/A</v>
      </c>
      <c r="EI17" s="94" t="e">
        <f t="shared" ca="1" si="115"/>
        <v>#N/A</v>
      </c>
      <c r="EJ17" s="94" t="e">
        <f t="shared" ca="1" si="115"/>
        <v>#N/A</v>
      </c>
      <c r="EK17" s="94" t="e">
        <f t="shared" ca="1" si="115"/>
        <v>#N/A</v>
      </c>
      <c r="EL17" s="94" t="e">
        <f t="shared" ca="1" si="115"/>
        <v>#N/A</v>
      </c>
      <c r="EM17" s="94" t="e">
        <f t="shared" ca="1" si="115"/>
        <v>#N/A</v>
      </c>
      <c r="EN17" s="94" t="e">
        <f t="shared" ca="1" si="115"/>
        <v>#N/A</v>
      </c>
      <c r="EO17" s="94" t="e">
        <f t="shared" ca="1" si="115"/>
        <v>#N/A</v>
      </c>
      <c r="EP17" s="94" t="e">
        <f t="shared" ca="1" si="115"/>
        <v>#N/A</v>
      </c>
      <c r="EQ17" s="94" t="e">
        <f t="shared" ca="1" si="115"/>
        <v>#N/A</v>
      </c>
      <c r="ER17" s="94" t="e">
        <f t="shared" ca="1" si="115"/>
        <v>#N/A</v>
      </c>
      <c r="ES17" s="94" t="e">
        <f t="shared" ca="1" si="115"/>
        <v>#N/A</v>
      </c>
      <c r="ET17" s="94" t="e">
        <f t="shared" ca="1" si="115"/>
        <v>#N/A</v>
      </c>
      <c r="EU17" s="94" t="e">
        <f t="shared" ca="1" si="115"/>
        <v>#N/A</v>
      </c>
      <c r="EV17" s="94" t="e">
        <f t="shared" ca="1" si="115"/>
        <v>#N/A</v>
      </c>
      <c r="EW17" s="94" t="e">
        <f t="shared" ca="1" si="115"/>
        <v>#N/A</v>
      </c>
      <c r="EX17" s="94" t="e">
        <f t="shared" ca="1" si="115"/>
        <v>#N/A</v>
      </c>
      <c r="EY17" s="94" t="e">
        <f t="shared" ca="1" si="115"/>
        <v>#N/A</v>
      </c>
      <c r="EZ17" s="94" t="e">
        <f t="shared" ca="1" si="115"/>
        <v>#N/A</v>
      </c>
      <c r="FA17" s="94" t="e">
        <f t="shared" ca="1" si="115"/>
        <v>#N/A</v>
      </c>
      <c r="FB17" s="94" t="e">
        <f t="shared" ca="1" si="115"/>
        <v>#N/A</v>
      </c>
      <c r="FC17" s="94" t="e">
        <f t="shared" ref="FC17:HN17" ca="1" si="116">IFERROR(AVERAGE(FA15:FC15),NA())</f>
        <v>#N/A</v>
      </c>
      <c r="FD17" s="94" t="e">
        <f t="shared" ca="1" si="116"/>
        <v>#N/A</v>
      </c>
      <c r="FE17" s="94" t="e">
        <f t="shared" ca="1" si="116"/>
        <v>#N/A</v>
      </c>
      <c r="FF17" s="94" t="e">
        <f t="shared" ca="1" si="116"/>
        <v>#N/A</v>
      </c>
      <c r="FG17" s="94" t="e">
        <f t="shared" ca="1" si="116"/>
        <v>#N/A</v>
      </c>
      <c r="FH17" s="94" t="e">
        <f t="shared" ca="1" si="116"/>
        <v>#N/A</v>
      </c>
      <c r="FI17" s="94" t="e">
        <f t="shared" ca="1" si="116"/>
        <v>#N/A</v>
      </c>
      <c r="FJ17" s="94" t="e">
        <f t="shared" ca="1" si="116"/>
        <v>#N/A</v>
      </c>
      <c r="FK17" s="94" t="e">
        <f t="shared" ca="1" si="116"/>
        <v>#N/A</v>
      </c>
      <c r="FL17" s="94" t="e">
        <f t="shared" ca="1" si="116"/>
        <v>#N/A</v>
      </c>
      <c r="FM17" s="94" t="e">
        <f t="shared" ca="1" si="116"/>
        <v>#N/A</v>
      </c>
      <c r="FN17" s="94" t="e">
        <f t="shared" ca="1" si="116"/>
        <v>#N/A</v>
      </c>
      <c r="FO17" s="94" t="e">
        <f t="shared" ca="1" si="116"/>
        <v>#N/A</v>
      </c>
      <c r="FP17" s="94" t="e">
        <f t="shared" ca="1" si="116"/>
        <v>#N/A</v>
      </c>
      <c r="FQ17" s="94" t="e">
        <f t="shared" ca="1" si="116"/>
        <v>#N/A</v>
      </c>
      <c r="FR17" s="94" t="e">
        <f t="shared" ca="1" si="116"/>
        <v>#N/A</v>
      </c>
      <c r="FS17" s="94" t="e">
        <f t="shared" ca="1" si="116"/>
        <v>#N/A</v>
      </c>
      <c r="FT17" s="94" t="e">
        <f t="shared" ca="1" si="116"/>
        <v>#N/A</v>
      </c>
      <c r="FU17" s="94" t="e">
        <f t="shared" ca="1" si="116"/>
        <v>#N/A</v>
      </c>
      <c r="FV17" s="94" t="e">
        <f t="shared" ca="1" si="116"/>
        <v>#N/A</v>
      </c>
      <c r="FW17" s="94" t="e">
        <f t="shared" ca="1" si="116"/>
        <v>#N/A</v>
      </c>
      <c r="FX17" s="94" t="e">
        <f t="shared" ca="1" si="116"/>
        <v>#N/A</v>
      </c>
      <c r="FY17" s="94" t="e">
        <f t="shared" ca="1" si="116"/>
        <v>#N/A</v>
      </c>
      <c r="FZ17" s="94" t="e">
        <f t="shared" ca="1" si="116"/>
        <v>#N/A</v>
      </c>
      <c r="GA17" s="94" t="e">
        <f t="shared" ca="1" si="116"/>
        <v>#N/A</v>
      </c>
      <c r="GB17" s="94" t="e">
        <f t="shared" ca="1" si="116"/>
        <v>#N/A</v>
      </c>
      <c r="GC17" s="94" t="e">
        <f t="shared" ca="1" si="116"/>
        <v>#N/A</v>
      </c>
      <c r="GD17" s="94" t="e">
        <f t="shared" ca="1" si="116"/>
        <v>#N/A</v>
      </c>
      <c r="GE17" s="94" t="e">
        <f t="shared" ca="1" si="116"/>
        <v>#N/A</v>
      </c>
      <c r="GF17" s="94" t="e">
        <f t="shared" ca="1" si="116"/>
        <v>#N/A</v>
      </c>
      <c r="GG17" s="94" t="e">
        <f t="shared" ca="1" si="116"/>
        <v>#N/A</v>
      </c>
      <c r="GH17" s="94" t="e">
        <f t="shared" ca="1" si="116"/>
        <v>#N/A</v>
      </c>
      <c r="GI17" s="94" t="e">
        <f t="shared" ca="1" si="116"/>
        <v>#N/A</v>
      </c>
      <c r="GJ17" s="94" t="e">
        <f t="shared" ca="1" si="116"/>
        <v>#N/A</v>
      </c>
      <c r="GK17" s="94" t="e">
        <f t="shared" ca="1" si="116"/>
        <v>#N/A</v>
      </c>
      <c r="GL17" s="94" t="e">
        <f t="shared" ca="1" si="116"/>
        <v>#N/A</v>
      </c>
      <c r="GM17" s="94" t="e">
        <f t="shared" ca="1" si="116"/>
        <v>#N/A</v>
      </c>
      <c r="GN17" s="94" t="e">
        <f t="shared" ca="1" si="116"/>
        <v>#N/A</v>
      </c>
      <c r="GO17" s="94" t="e">
        <f t="shared" ca="1" si="116"/>
        <v>#N/A</v>
      </c>
      <c r="GP17" s="94" t="e">
        <f t="shared" ca="1" si="116"/>
        <v>#N/A</v>
      </c>
      <c r="GQ17" s="94" t="e">
        <f t="shared" ca="1" si="116"/>
        <v>#N/A</v>
      </c>
      <c r="GR17" s="94" t="e">
        <f t="shared" ca="1" si="116"/>
        <v>#N/A</v>
      </c>
      <c r="GS17" s="94" t="e">
        <f t="shared" ca="1" si="116"/>
        <v>#N/A</v>
      </c>
      <c r="GT17" s="94" t="e">
        <f t="shared" ca="1" si="116"/>
        <v>#N/A</v>
      </c>
      <c r="GU17" s="94" t="e">
        <f t="shared" ca="1" si="116"/>
        <v>#N/A</v>
      </c>
      <c r="GV17" s="94" t="e">
        <f t="shared" ca="1" si="116"/>
        <v>#N/A</v>
      </c>
      <c r="GW17" s="94" t="e">
        <f t="shared" ca="1" si="116"/>
        <v>#N/A</v>
      </c>
      <c r="GX17" s="94" t="e">
        <f t="shared" ca="1" si="116"/>
        <v>#N/A</v>
      </c>
      <c r="GY17" s="94" t="e">
        <f t="shared" ca="1" si="116"/>
        <v>#N/A</v>
      </c>
      <c r="GZ17" s="94" t="e">
        <f t="shared" ca="1" si="116"/>
        <v>#N/A</v>
      </c>
      <c r="HA17" s="94" t="e">
        <f t="shared" ca="1" si="116"/>
        <v>#N/A</v>
      </c>
      <c r="HB17" s="94" t="e">
        <f t="shared" ca="1" si="116"/>
        <v>#N/A</v>
      </c>
      <c r="HC17" s="94" t="e">
        <f t="shared" ca="1" si="116"/>
        <v>#N/A</v>
      </c>
      <c r="HD17" s="94" t="e">
        <f t="shared" ca="1" si="116"/>
        <v>#N/A</v>
      </c>
      <c r="HE17" s="94" t="e">
        <f t="shared" ca="1" si="116"/>
        <v>#N/A</v>
      </c>
      <c r="HF17" s="94" t="e">
        <f t="shared" ca="1" si="116"/>
        <v>#N/A</v>
      </c>
      <c r="HG17" s="94" t="e">
        <f t="shared" ca="1" si="116"/>
        <v>#N/A</v>
      </c>
      <c r="HH17" s="94" t="e">
        <f t="shared" ca="1" si="116"/>
        <v>#N/A</v>
      </c>
      <c r="HI17" s="94" t="e">
        <f t="shared" ca="1" si="116"/>
        <v>#N/A</v>
      </c>
      <c r="HJ17" s="94" t="e">
        <f t="shared" ca="1" si="116"/>
        <v>#N/A</v>
      </c>
      <c r="HK17" s="94" t="e">
        <f t="shared" ca="1" si="116"/>
        <v>#N/A</v>
      </c>
      <c r="HL17" s="94" t="e">
        <f t="shared" ca="1" si="116"/>
        <v>#N/A</v>
      </c>
      <c r="HM17" s="94" t="e">
        <f t="shared" ca="1" si="116"/>
        <v>#N/A</v>
      </c>
      <c r="HN17" s="94" t="e">
        <f t="shared" ca="1" si="116"/>
        <v>#N/A</v>
      </c>
      <c r="HO17" s="94" t="e">
        <f t="shared" ref="HO17:IN17" ca="1" si="117">IFERROR(AVERAGE(HM15:HO15),NA())</f>
        <v>#N/A</v>
      </c>
      <c r="HP17" s="94" t="e">
        <f t="shared" ca="1" si="117"/>
        <v>#N/A</v>
      </c>
      <c r="HQ17" s="94" t="e">
        <f t="shared" ca="1" si="117"/>
        <v>#N/A</v>
      </c>
      <c r="HR17" s="94" t="e">
        <f t="shared" ca="1" si="117"/>
        <v>#N/A</v>
      </c>
      <c r="HS17" s="94" t="e">
        <f t="shared" ca="1" si="117"/>
        <v>#N/A</v>
      </c>
      <c r="HT17" s="94" t="e">
        <f t="shared" ca="1" si="117"/>
        <v>#N/A</v>
      </c>
      <c r="HU17" s="94" t="e">
        <f t="shared" ca="1" si="117"/>
        <v>#N/A</v>
      </c>
      <c r="HV17" s="94" t="e">
        <f t="shared" ca="1" si="117"/>
        <v>#N/A</v>
      </c>
      <c r="HW17" s="94" t="e">
        <f t="shared" ca="1" si="117"/>
        <v>#N/A</v>
      </c>
      <c r="HX17" s="94" t="e">
        <f t="shared" ca="1" si="117"/>
        <v>#N/A</v>
      </c>
      <c r="HY17" s="94" t="e">
        <f t="shared" ca="1" si="117"/>
        <v>#N/A</v>
      </c>
      <c r="HZ17" s="94" t="e">
        <f t="shared" ca="1" si="117"/>
        <v>#N/A</v>
      </c>
      <c r="IA17" s="94" t="e">
        <f t="shared" ca="1" si="117"/>
        <v>#N/A</v>
      </c>
      <c r="IB17" s="94" t="e">
        <f t="shared" ca="1" si="117"/>
        <v>#N/A</v>
      </c>
      <c r="IC17" s="94" t="e">
        <f t="shared" ca="1" si="117"/>
        <v>#N/A</v>
      </c>
      <c r="ID17" s="94" t="e">
        <f t="shared" ca="1" si="117"/>
        <v>#N/A</v>
      </c>
      <c r="IE17" s="94" t="e">
        <f t="shared" ca="1" si="117"/>
        <v>#N/A</v>
      </c>
      <c r="IF17" s="94" t="e">
        <f t="shared" ca="1" si="117"/>
        <v>#N/A</v>
      </c>
      <c r="IG17" s="94" t="e">
        <f t="shared" ca="1" si="117"/>
        <v>#N/A</v>
      </c>
      <c r="IH17" s="94" t="e">
        <f t="shared" ca="1" si="117"/>
        <v>#N/A</v>
      </c>
      <c r="II17" s="94" t="e">
        <f t="shared" ca="1" si="117"/>
        <v>#N/A</v>
      </c>
      <c r="IJ17" s="94" t="e">
        <f t="shared" ca="1" si="117"/>
        <v>#N/A</v>
      </c>
      <c r="IK17" s="94" t="e">
        <f t="shared" ca="1" si="117"/>
        <v>#N/A</v>
      </c>
      <c r="IL17" s="94" t="e">
        <f t="shared" ca="1" si="117"/>
        <v>#N/A</v>
      </c>
      <c r="IM17" s="94" t="e">
        <f t="shared" ca="1" si="117"/>
        <v>#N/A</v>
      </c>
      <c r="IN17" s="94" t="e">
        <f t="shared" ca="1" si="117"/>
        <v>#N/A</v>
      </c>
    </row>
    <row r="19" spans="2:248" x14ac:dyDescent="0.3">
      <c r="B19" s="19" t="s">
        <v>478</v>
      </c>
      <c r="C19" s="40">
        <f>VLOOKUP(B2,Country_Data!B:J,9,FALSE)</f>
        <v>4225360220</v>
      </c>
      <c r="F19" s="19" t="s">
        <v>465</v>
      </c>
      <c r="G19" s="40" t="e">
        <f>$C$16</f>
        <v>#N/A</v>
      </c>
      <c r="H19" s="40" t="e">
        <f t="shared" ref="H19:BS19" si="118">$C$16</f>
        <v>#N/A</v>
      </c>
      <c r="I19" s="40" t="e">
        <f t="shared" si="118"/>
        <v>#N/A</v>
      </c>
      <c r="J19" s="40" t="e">
        <f t="shared" si="118"/>
        <v>#N/A</v>
      </c>
      <c r="K19" s="40" t="e">
        <f t="shared" si="118"/>
        <v>#N/A</v>
      </c>
      <c r="L19" s="40" t="e">
        <f t="shared" si="118"/>
        <v>#N/A</v>
      </c>
      <c r="M19" s="40" t="e">
        <f t="shared" si="118"/>
        <v>#N/A</v>
      </c>
      <c r="N19" s="40" t="e">
        <f t="shared" si="118"/>
        <v>#N/A</v>
      </c>
      <c r="O19" s="40" t="e">
        <f t="shared" si="118"/>
        <v>#N/A</v>
      </c>
      <c r="P19" s="40" t="e">
        <f t="shared" si="118"/>
        <v>#N/A</v>
      </c>
      <c r="Q19" s="40" t="e">
        <f t="shared" si="118"/>
        <v>#N/A</v>
      </c>
      <c r="R19" s="40" t="e">
        <f t="shared" si="118"/>
        <v>#N/A</v>
      </c>
      <c r="S19" s="40" t="e">
        <f t="shared" si="118"/>
        <v>#N/A</v>
      </c>
      <c r="T19" s="40" t="e">
        <f t="shared" si="118"/>
        <v>#N/A</v>
      </c>
      <c r="U19" s="40" t="e">
        <f t="shared" si="118"/>
        <v>#N/A</v>
      </c>
      <c r="V19" s="40" t="e">
        <f t="shared" si="118"/>
        <v>#N/A</v>
      </c>
      <c r="W19" s="40" t="e">
        <f t="shared" si="118"/>
        <v>#N/A</v>
      </c>
      <c r="X19" s="40" t="e">
        <f t="shared" si="118"/>
        <v>#N/A</v>
      </c>
      <c r="Y19" s="40" t="e">
        <f t="shared" si="118"/>
        <v>#N/A</v>
      </c>
      <c r="Z19" s="40" t="e">
        <f t="shared" si="118"/>
        <v>#N/A</v>
      </c>
      <c r="AA19" s="40" t="e">
        <f t="shared" si="118"/>
        <v>#N/A</v>
      </c>
      <c r="AB19" s="40" t="e">
        <f t="shared" si="118"/>
        <v>#N/A</v>
      </c>
      <c r="AC19" s="40" t="e">
        <f t="shared" si="118"/>
        <v>#N/A</v>
      </c>
      <c r="AD19" s="40" t="e">
        <f t="shared" si="118"/>
        <v>#N/A</v>
      </c>
      <c r="AE19" s="40" t="e">
        <f t="shared" si="118"/>
        <v>#N/A</v>
      </c>
      <c r="AF19" s="40" t="e">
        <f t="shared" si="118"/>
        <v>#N/A</v>
      </c>
      <c r="AG19" s="40" t="e">
        <f t="shared" si="118"/>
        <v>#N/A</v>
      </c>
      <c r="AH19" s="40" t="e">
        <f t="shared" si="118"/>
        <v>#N/A</v>
      </c>
      <c r="AI19" s="40" t="e">
        <f t="shared" si="118"/>
        <v>#N/A</v>
      </c>
      <c r="AJ19" s="40" t="e">
        <f t="shared" si="118"/>
        <v>#N/A</v>
      </c>
      <c r="AK19" s="40" t="e">
        <f t="shared" si="118"/>
        <v>#N/A</v>
      </c>
      <c r="AL19" s="40" t="e">
        <f t="shared" si="118"/>
        <v>#N/A</v>
      </c>
      <c r="AM19" s="40" t="e">
        <f t="shared" si="118"/>
        <v>#N/A</v>
      </c>
      <c r="AN19" s="40" t="e">
        <f t="shared" si="118"/>
        <v>#N/A</v>
      </c>
      <c r="AO19" s="40" t="e">
        <f t="shared" si="118"/>
        <v>#N/A</v>
      </c>
      <c r="AP19" s="40" t="e">
        <f t="shared" si="118"/>
        <v>#N/A</v>
      </c>
      <c r="AQ19" s="40" t="e">
        <f t="shared" si="118"/>
        <v>#N/A</v>
      </c>
      <c r="AR19" s="40" t="e">
        <f t="shared" si="118"/>
        <v>#N/A</v>
      </c>
      <c r="AS19" s="40" t="e">
        <f t="shared" si="118"/>
        <v>#N/A</v>
      </c>
      <c r="AT19" s="40" t="e">
        <f t="shared" si="118"/>
        <v>#N/A</v>
      </c>
      <c r="AU19" s="40" t="e">
        <f t="shared" si="118"/>
        <v>#N/A</v>
      </c>
      <c r="AV19" s="40" t="e">
        <f t="shared" si="118"/>
        <v>#N/A</v>
      </c>
      <c r="AW19" s="40" t="e">
        <f t="shared" si="118"/>
        <v>#N/A</v>
      </c>
      <c r="AX19" s="40" t="e">
        <f t="shared" si="118"/>
        <v>#N/A</v>
      </c>
      <c r="AY19" s="40" t="e">
        <f t="shared" si="118"/>
        <v>#N/A</v>
      </c>
      <c r="AZ19" s="40" t="e">
        <f t="shared" si="118"/>
        <v>#N/A</v>
      </c>
      <c r="BA19" s="40" t="e">
        <f t="shared" si="118"/>
        <v>#N/A</v>
      </c>
      <c r="BB19" s="40" t="e">
        <f t="shared" si="118"/>
        <v>#N/A</v>
      </c>
      <c r="BC19" s="40" t="e">
        <f t="shared" si="118"/>
        <v>#N/A</v>
      </c>
      <c r="BD19" s="40" t="e">
        <f t="shared" si="118"/>
        <v>#N/A</v>
      </c>
      <c r="BE19" s="40" t="e">
        <f t="shared" si="118"/>
        <v>#N/A</v>
      </c>
      <c r="BF19" s="40" t="e">
        <f t="shared" si="118"/>
        <v>#N/A</v>
      </c>
      <c r="BG19" s="40" t="e">
        <f t="shared" si="118"/>
        <v>#N/A</v>
      </c>
      <c r="BH19" s="40" t="e">
        <f t="shared" si="118"/>
        <v>#N/A</v>
      </c>
      <c r="BI19" s="40" t="e">
        <f t="shared" si="118"/>
        <v>#N/A</v>
      </c>
      <c r="BJ19" s="40" t="e">
        <f t="shared" si="118"/>
        <v>#N/A</v>
      </c>
      <c r="BK19" s="40" t="e">
        <f t="shared" si="118"/>
        <v>#N/A</v>
      </c>
      <c r="BL19" s="40" t="e">
        <f t="shared" si="118"/>
        <v>#N/A</v>
      </c>
      <c r="BM19" s="40" t="e">
        <f t="shared" si="118"/>
        <v>#N/A</v>
      </c>
      <c r="BN19" s="40" t="e">
        <f t="shared" si="118"/>
        <v>#N/A</v>
      </c>
      <c r="BO19" s="40" t="e">
        <f t="shared" si="118"/>
        <v>#N/A</v>
      </c>
      <c r="BP19" s="40" t="e">
        <f t="shared" si="118"/>
        <v>#N/A</v>
      </c>
      <c r="BQ19" s="40" t="e">
        <f t="shared" si="118"/>
        <v>#N/A</v>
      </c>
      <c r="BR19" s="40" t="e">
        <f t="shared" si="118"/>
        <v>#N/A</v>
      </c>
      <c r="BS19" s="40" t="e">
        <f t="shared" si="118"/>
        <v>#N/A</v>
      </c>
      <c r="BT19" s="40" t="e">
        <f t="shared" ref="BT19:EE19" si="119">$C$16</f>
        <v>#N/A</v>
      </c>
      <c r="BU19" s="40" t="e">
        <f t="shared" si="119"/>
        <v>#N/A</v>
      </c>
      <c r="BV19" s="40" t="e">
        <f t="shared" si="119"/>
        <v>#N/A</v>
      </c>
      <c r="BW19" s="40" t="e">
        <f t="shared" si="119"/>
        <v>#N/A</v>
      </c>
      <c r="BX19" s="40" t="e">
        <f t="shared" si="119"/>
        <v>#N/A</v>
      </c>
      <c r="BY19" s="40" t="e">
        <f t="shared" si="119"/>
        <v>#N/A</v>
      </c>
      <c r="BZ19" s="40" t="e">
        <f t="shared" si="119"/>
        <v>#N/A</v>
      </c>
      <c r="CA19" s="40" t="e">
        <f t="shared" si="119"/>
        <v>#N/A</v>
      </c>
      <c r="CB19" s="40" t="e">
        <f t="shared" si="119"/>
        <v>#N/A</v>
      </c>
      <c r="CC19" s="40" t="e">
        <f t="shared" si="119"/>
        <v>#N/A</v>
      </c>
      <c r="CD19" s="40" t="e">
        <f t="shared" si="119"/>
        <v>#N/A</v>
      </c>
      <c r="CE19" s="40" t="e">
        <f t="shared" si="119"/>
        <v>#N/A</v>
      </c>
      <c r="CF19" s="40" t="e">
        <f t="shared" si="119"/>
        <v>#N/A</v>
      </c>
      <c r="CG19" s="40" t="e">
        <f t="shared" si="119"/>
        <v>#N/A</v>
      </c>
      <c r="CH19" s="40" t="e">
        <f t="shared" si="119"/>
        <v>#N/A</v>
      </c>
      <c r="CI19" s="40" t="e">
        <f t="shared" si="119"/>
        <v>#N/A</v>
      </c>
      <c r="CJ19" s="40" t="e">
        <f t="shared" si="119"/>
        <v>#N/A</v>
      </c>
      <c r="CK19" s="40" t="e">
        <f t="shared" si="119"/>
        <v>#N/A</v>
      </c>
      <c r="CL19" s="40" t="e">
        <f t="shared" si="119"/>
        <v>#N/A</v>
      </c>
      <c r="CM19" s="40" t="e">
        <f t="shared" si="119"/>
        <v>#N/A</v>
      </c>
      <c r="CN19" s="40" t="e">
        <f t="shared" si="119"/>
        <v>#N/A</v>
      </c>
      <c r="CO19" s="40" t="e">
        <f t="shared" si="119"/>
        <v>#N/A</v>
      </c>
      <c r="CP19" s="40" t="e">
        <f t="shared" si="119"/>
        <v>#N/A</v>
      </c>
      <c r="CQ19" s="40" t="e">
        <f t="shared" si="119"/>
        <v>#N/A</v>
      </c>
      <c r="CR19" s="40" t="e">
        <f t="shared" si="119"/>
        <v>#N/A</v>
      </c>
      <c r="CS19" s="40" t="e">
        <f t="shared" si="119"/>
        <v>#N/A</v>
      </c>
      <c r="CT19" s="40" t="e">
        <f t="shared" si="119"/>
        <v>#N/A</v>
      </c>
      <c r="CU19" s="40" t="e">
        <f t="shared" si="119"/>
        <v>#N/A</v>
      </c>
      <c r="CV19" s="40" t="e">
        <f t="shared" si="119"/>
        <v>#N/A</v>
      </c>
      <c r="CW19" s="40" t="e">
        <f t="shared" si="119"/>
        <v>#N/A</v>
      </c>
      <c r="CX19" s="40" t="e">
        <f t="shared" si="119"/>
        <v>#N/A</v>
      </c>
      <c r="CY19" s="40" t="e">
        <f t="shared" si="119"/>
        <v>#N/A</v>
      </c>
      <c r="CZ19" s="40" t="e">
        <f t="shared" si="119"/>
        <v>#N/A</v>
      </c>
      <c r="DA19" s="40" t="e">
        <f t="shared" si="119"/>
        <v>#N/A</v>
      </c>
      <c r="DB19" s="40" t="e">
        <f t="shared" si="119"/>
        <v>#N/A</v>
      </c>
      <c r="DC19" s="40" t="e">
        <f t="shared" si="119"/>
        <v>#N/A</v>
      </c>
      <c r="DD19" s="40" t="e">
        <f t="shared" si="119"/>
        <v>#N/A</v>
      </c>
      <c r="DE19" s="40" t="e">
        <f t="shared" si="119"/>
        <v>#N/A</v>
      </c>
      <c r="DF19" s="40" t="e">
        <f t="shared" si="119"/>
        <v>#N/A</v>
      </c>
      <c r="DG19" s="40" t="e">
        <f t="shared" si="119"/>
        <v>#N/A</v>
      </c>
      <c r="DH19" s="40" t="e">
        <f t="shared" si="119"/>
        <v>#N/A</v>
      </c>
      <c r="DI19" s="40" t="e">
        <f t="shared" si="119"/>
        <v>#N/A</v>
      </c>
      <c r="DJ19" s="40" t="e">
        <f t="shared" si="119"/>
        <v>#N/A</v>
      </c>
      <c r="DK19" s="40" t="e">
        <f t="shared" si="119"/>
        <v>#N/A</v>
      </c>
      <c r="DL19" s="40" t="e">
        <f t="shared" si="119"/>
        <v>#N/A</v>
      </c>
      <c r="DM19" s="40" t="e">
        <f t="shared" si="119"/>
        <v>#N/A</v>
      </c>
      <c r="DN19" s="40" t="e">
        <f t="shared" si="119"/>
        <v>#N/A</v>
      </c>
      <c r="DO19" s="40" t="e">
        <f t="shared" si="119"/>
        <v>#N/A</v>
      </c>
      <c r="DP19" s="40" t="e">
        <f t="shared" si="119"/>
        <v>#N/A</v>
      </c>
      <c r="DQ19" s="40" t="e">
        <f t="shared" si="119"/>
        <v>#N/A</v>
      </c>
      <c r="DR19" s="40" t="e">
        <f t="shared" si="119"/>
        <v>#N/A</v>
      </c>
      <c r="DS19" s="40" t="e">
        <f t="shared" si="119"/>
        <v>#N/A</v>
      </c>
      <c r="DT19" s="40" t="e">
        <f t="shared" si="119"/>
        <v>#N/A</v>
      </c>
      <c r="DU19" s="40" t="e">
        <f t="shared" si="119"/>
        <v>#N/A</v>
      </c>
      <c r="DV19" s="40" t="e">
        <f t="shared" si="119"/>
        <v>#N/A</v>
      </c>
      <c r="DW19" s="40" t="e">
        <f t="shared" si="119"/>
        <v>#N/A</v>
      </c>
      <c r="DX19" s="40" t="e">
        <f t="shared" si="119"/>
        <v>#N/A</v>
      </c>
      <c r="DY19" s="40" t="e">
        <f t="shared" si="119"/>
        <v>#N/A</v>
      </c>
      <c r="DZ19" s="40" t="e">
        <f t="shared" si="119"/>
        <v>#N/A</v>
      </c>
      <c r="EA19" s="40" t="e">
        <f t="shared" si="119"/>
        <v>#N/A</v>
      </c>
      <c r="EB19" s="40" t="e">
        <f t="shared" si="119"/>
        <v>#N/A</v>
      </c>
      <c r="EC19" s="40" t="e">
        <f t="shared" si="119"/>
        <v>#N/A</v>
      </c>
      <c r="ED19" s="40" t="e">
        <f t="shared" si="119"/>
        <v>#N/A</v>
      </c>
      <c r="EE19" s="40" t="e">
        <f t="shared" si="119"/>
        <v>#N/A</v>
      </c>
      <c r="EF19" s="40" t="e">
        <f t="shared" ref="EF19:GQ19" si="120">$C$16</f>
        <v>#N/A</v>
      </c>
      <c r="EG19" s="40" t="e">
        <f t="shared" si="120"/>
        <v>#N/A</v>
      </c>
      <c r="EH19" s="40" t="e">
        <f t="shared" si="120"/>
        <v>#N/A</v>
      </c>
      <c r="EI19" s="40" t="e">
        <f t="shared" si="120"/>
        <v>#N/A</v>
      </c>
      <c r="EJ19" s="40" t="e">
        <f t="shared" si="120"/>
        <v>#N/A</v>
      </c>
      <c r="EK19" s="40" t="e">
        <f t="shared" si="120"/>
        <v>#N/A</v>
      </c>
      <c r="EL19" s="40" t="e">
        <f t="shared" si="120"/>
        <v>#N/A</v>
      </c>
      <c r="EM19" s="40" t="e">
        <f t="shared" si="120"/>
        <v>#N/A</v>
      </c>
      <c r="EN19" s="40" t="e">
        <f t="shared" si="120"/>
        <v>#N/A</v>
      </c>
      <c r="EO19" s="40" t="e">
        <f t="shared" si="120"/>
        <v>#N/A</v>
      </c>
      <c r="EP19" s="40" t="e">
        <f t="shared" si="120"/>
        <v>#N/A</v>
      </c>
      <c r="EQ19" s="40" t="e">
        <f t="shared" si="120"/>
        <v>#N/A</v>
      </c>
      <c r="ER19" s="40" t="e">
        <f t="shared" si="120"/>
        <v>#N/A</v>
      </c>
      <c r="ES19" s="40" t="e">
        <f t="shared" si="120"/>
        <v>#N/A</v>
      </c>
      <c r="ET19" s="40" t="e">
        <f t="shared" si="120"/>
        <v>#N/A</v>
      </c>
      <c r="EU19" s="40" t="e">
        <f t="shared" si="120"/>
        <v>#N/A</v>
      </c>
      <c r="EV19" s="40" t="e">
        <f t="shared" si="120"/>
        <v>#N/A</v>
      </c>
      <c r="EW19" s="40" t="e">
        <f t="shared" si="120"/>
        <v>#N/A</v>
      </c>
      <c r="EX19" s="40" t="e">
        <f t="shared" si="120"/>
        <v>#N/A</v>
      </c>
      <c r="EY19" s="40" t="e">
        <f t="shared" si="120"/>
        <v>#N/A</v>
      </c>
      <c r="EZ19" s="40" t="e">
        <f t="shared" si="120"/>
        <v>#N/A</v>
      </c>
      <c r="FA19" s="40" t="e">
        <f t="shared" si="120"/>
        <v>#N/A</v>
      </c>
      <c r="FB19" s="40" t="e">
        <f t="shared" si="120"/>
        <v>#N/A</v>
      </c>
      <c r="FC19" s="40" t="e">
        <f t="shared" si="120"/>
        <v>#N/A</v>
      </c>
      <c r="FD19" s="40" t="e">
        <f t="shared" si="120"/>
        <v>#N/A</v>
      </c>
      <c r="FE19" s="40" t="e">
        <f t="shared" si="120"/>
        <v>#N/A</v>
      </c>
      <c r="FF19" s="40" t="e">
        <f t="shared" si="120"/>
        <v>#N/A</v>
      </c>
      <c r="FG19" s="40" t="e">
        <f t="shared" si="120"/>
        <v>#N/A</v>
      </c>
      <c r="FH19" s="40" t="e">
        <f t="shared" si="120"/>
        <v>#N/A</v>
      </c>
      <c r="FI19" s="40" t="e">
        <f t="shared" si="120"/>
        <v>#N/A</v>
      </c>
      <c r="FJ19" s="40" t="e">
        <f t="shared" si="120"/>
        <v>#N/A</v>
      </c>
      <c r="FK19" s="40" t="e">
        <f t="shared" si="120"/>
        <v>#N/A</v>
      </c>
      <c r="FL19" s="40" t="e">
        <f t="shared" si="120"/>
        <v>#N/A</v>
      </c>
      <c r="FM19" s="40" t="e">
        <f t="shared" si="120"/>
        <v>#N/A</v>
      </c>
      <c r="FN19" s="40" t="e">
        <f t="shared" si="120"/>
        <v>#N/A</v>
      </c>
      <c r="FO19" s="40" t="e">
        <f t="shared" si="120"/>
        <v>#N/A</v>
      </c>
      <c r="FP19" s="40" t="e">
        <f t="shared" si="120"/>
        <v>#N/A</v>
      </c>
      <c r="FQ19" s="40" t="e">
        <f t="shared" si="120"/>
        <v>#N/A</v>
      </c>
      <c r="FR19" s="40" t="e">
        <f t="shared" si="120"/>
        <v>#N/A</v>
      </c>
      <c r="FS19" s="40" t="e">
        <f t="shared" si="120"/>
        <v>#N/A</v>
      </c>
      <c r="FT19" s="40" t="e">
        <f t="shared" si="120"/>
        <v>#N/A</v>
      </c>
      <c r="FU19" s="40" t="e">
        <f t="shared" si="120"/>
        <v>#N/A</v>
      </c>
      <c r="FV19" s="40" t="e">
        <f t="shared" si="120"/>
        <v>#N/A</v>
      </c>
      <c r="FW19" s="40" t="e">
        <f t="shared" si="120"/>
        <v>#N/A</v>
      </c>
      <c r="FX19" s="40" t="e">
        <f t="shared" si="120"/>
        <v>#N/A</v>
      </c>
      <c r="FY19" s="40" t="e">
        <f t="shared" si="120"/>
        <v>#N/A</v>
      </c>
      <c r="FZ19" s="40" t="e">
        <f t="shared" si="120"/>
        <v>#N/A</v>
      </c>
      <c r="GA19" s="40" t="e">
        <f t="shared" si="120"/>
        <v>#N/A</v>
      </c>
      <c r="GB19" s="40" t="e">
        <f t="shared" si="120"/>
        <v>#N/A</v>
      </c>
      <c r="GC19" s="40" t="e">
        <f t="shared" si="120"/>
        <v>#N/A</v>
      </c>
      <c r="GD19" s="40" t="e">
        <f t="shared" si="120"/>
        <v>#N/A</v>
      </c>
      <c r="GE19" s="40" t="e">
        <f t="shared" si="120"/>
        <v>#N/A</v>
      </c>
      <c r="GF19" s="40" t="e">
        <f t="shared" si="120"/>
        <v>#N/A</v>
      </c>
      <c r="GG19" s="40" t="e">
        <f t="shared" si="120"/>
        <v>#N/A</v>
      </c>
      <c r="GH19" s="40" t="e">
        <f t="shared" si="120"/>
        <v>#N/A</v>
      </c>
      <c r="GI19" s="40" t="e">
        <f t="shared" si="120"/>
        <v>#N/A</v>
      </c>
      <c r="GJ19" s="40" t="e">
        <f t="shared" si="120"/>
        <v>#N/A</v>
      </c>
      <c r="GK19" s="40" t="e">
        <f t="shared" si="120"/>
        <v>#N/A</v>
      </c>
      <c r="GL19" s="40" t="e">
        <f t="shared" si="120"/>
        <v>#N/A</v>
      </c>
      <c r="GM19" s="40" t="e">
        <f t="shared" si="120"/>
        <v>#N/A</v>
      </c>
      <c r="GN19" s="40" t="e">
        <f t="shared" si="120"/>
        <v>#N/A</v>
      </c>
      <c r="GO19" s="40" t="e">
        <f t="shared" si="120"/>
        <v>#N/A</v>
      </c>
      <c r="GP19" s="40" t="e">
        <f t="shared" si="120"/>
        <v>#N/A</v>
      </c>
      <c r="GQ19" s="40" t="e">
        <f t="shared" si="120"/>
        <v>#N/A</v>
      </c>
      <c r="GR19" s="40" t="e">
        <f t="shared" ref="GR19:IN19" si="121">$C$16</f>
        <v>#N/A</v>
      </c>
      <c r="GS19" s="40" t="e">
        <f t="shared" si="121"/>
        <v>#N/A</v>
      </c>
      <c r="GT19" s="40" t="e">
        <f t="shared" si="121"/>
        <v>#N/A</v>
      </c>
      <c r="GU19" s="40" t="e">
        <f t="shared" si="121"/>
        <v>#N/A</v>
      </c>
      <c r="GV19" s="40" t="e">
        <f t="shared" si="121"/>
        <v>#N/A</v>
      </c>
      <c r="GW19" s="40" t="e">
        <f t="shared" si="121"/>
        <v>#N/A</v>
      </c>
      <c r="GX19" s="40" t="e">
        <f t="shared" si="121"/>
        <v>#N/A</v>
      </c>
      <c r="GY19" s="40" t="e">
        <f t="shared" si="121"/>
        <v>#N/A</v>
      </c>
      <c r="GZ19" s="40" t="e">
        <f t="shared" si="121"/>
        <v>#N/A</v>
      </c>
      <c r="HA19" s="40" t="e">
        <f t="shared" si="121"/>
        <v>#N/A</v>
      </c>
      <c r="HB19" s="40" t="e">
        <f t="shared" si="121"/>
        <v>#N/A</v>
      </c>
      <c r="HC19" s="40" t="e">
        <f t="shared" si="121"/>
        <v>#N/A</v>
      </c>
      <c r="HD19" s="40" t="e">
        <f t="shared" si="121"/>
        <v>#N/A</v>
      </c>
      <c r="HE19" s="40" t="e">
        <f t="shared" si="121"/>
        <v>#N/A</v>
      </c>
      <c r="HF19" s="40" t="e">
        <f t="shared" si="121"/>
        <v>#N/A</v>
      </c>
      <c r="HG19" s="40" t="e">
        <f t="shared" si="121"/>
        <v>#N/A</v>
      </c>
      <c r="HH19" s="40" t="e">
        <f t="shared" si="121"/>
        <v>#N/A</v>
      </c>
      <c r="HI19" s="40" t="e">
        <f t="shared" si="121"/>
        <v>#N/A</v>
      </c>
      <c r="HJ19" s="40" t="e">
        <f t="shared" si="121"/>
        <v>#N/A</v>
      </c>
      <c r="HK19" s="40" t="e">
        <f t="shared" si="121"/>
        <v>#N/A</v>
      </c>
      <c r="HL19" s="40" t="e">
        <f t="shared" si="121"/>
        <v>#N/A</v>
      </c>
      <c r="HM19" s="40" t="e">
        <f t="shared" si="121"/>
        <v>#N/A</v>
      </c>
      <c r="HN19" s="40" t="e">
        <f t="shared" si="121"/>
        <v>#N/A</v>
      </c>
      <c r="HO19" s="40" t="e">
        <f t="shared" si="121"/>
        <v>#N/A</v>
      </c>
      <c r="HP19" s="40" t="e">
        <f t="shared" si="121"/>
        <v>#N/A</v>
      </c>
      <c r="HQ19" s="40" t="e">
        <f t="shared" si="121"/>
        <v>#N/A</v>
      </c>
      <c r="HR19" s="40" t="e">
        <f t="shared" si="121"/>
        <v>#N/A</v>
      </c>
      <c r="HS19" s="40" t="e">
        <f t="shared" si="121"/>
        <v>#N/A</v>
      </c>
      <c r="HT19" s="40" t="e">
        <f t="shared" si="121"/>
        <v>#N/A</v>
      </c>
      <c r="HU19" s="40" t="e">
        <f t="shared" si="121"/>
        <v>#N/A</v>
      </c>
      <c r="HV19" s="40" t="e">
        <f t="shared" si="121"/>
        <v>#N/A</v>
      </c>
      <c r="HW19" s="40" t="e">
        <f t="shared" si="121"/>
        <v>#N/A</v>
      </c>
      <c r="HX19" s="40" t="e">
        <f t="shared" si="121"/>
        <v>#N/A</v>
      </c>
      <c r="HY19" s="40" t="e">
        <f t="shared" si="121"/>
        <v>#N/A</v>
      </c>
      <c r="HZ19" s="40" t="e">
        <f t="shared" si="121"/>
        <v>#N/A</v>
      </c>
      <c r="IA19" s="40" t="e">
        <f t="shared" si="121"/>
        <v>#N/A</v>
      </c>
      <c r="IB19" s="40" t="e">
        <f t="shared" si="121"/>
        <v>#N/A</v>
      </c>
      <c r="IC19" s="40" t="e">
        <f t="shared" si="121"/>
        <v>#N/A</v>
      </c>
      <c r="ID19" s="40" t="e">
        <f t="shared" si="121"/>
        <v>#N/A</v>
      </c>
      <c r="IE19" s="40" t="e">
        <f t="shared" si="121"/>
        <v>#N/A</v>
      </c>
      <c r="IF19" s="40" t="e">
        <f t="shared" si="121"/>
        <v>#N/A</v>
      </c>
      <c r="IG19" s="40" t="e">
        <f t="shared" si="121"/>
        <v>#N/A</v>
      </c>
      <c r="IH19" s="40" t="e">
        <f t="shared" si="121"/>
        <v>#N/A</v>
      </c>
      <c r="II19" s="40" t="e">
        <f t="shared" si="121"/>
        <v>#N/A</v>
      </c>
      <c r="IJ19" s="40" t="e">
        <f t="shared" si="121"/>
        <v>#N/A</v>
      </c>
      <c r="IK19" s="40" t="e">
        <f t="shared" si="121"/>
        <v>#N/A</v>
      </c>
      <c r="IL19" s="40" t="e">
        <f t="shared" si="121"/>
        <v>#N/A</v>
      </c>
      <c r="IM19" s="40" t="e">
        <f t="shared" si="121"/>
        <v>#N/A</v>
      </c>
      <c r="IN19" s="40" t="e">
        <f t="shared" si="121"/>
        <v>#N/A</v>
      </c>
    </row>
    <row r="20" spans="2:248" x14ac:dyDescent="0.3">
      <c r="B20" s="19" t="s">
        <v>490</v>
      </c>
      <c r="C20" s="42">
        <v>0.4</v>
      </c>
      <c r="F20" s="19" t="s">
        <v>552</v>
      </c>
      <c r="G20" s="40">
        <f>G9*$C$15</f>
        <v>26.038</v>
      </c>
      <c r="H20" s="40">
        <f t="shared" ref="H20:BS20" ca="1" si="122">H9*$C$15</f>
        <v>30.643999999999998</v>
      </c>
      <c r="I20" s="40">
        <f t="shared" ca="1" si="122"/>
        <v>43.616</v>
      </c>
      <c r="J20" s="40">
        <f t="shared" ca="1" si="122"/>
        <v>65.988</v>
      </c>
      <c r="K20" s="40">
        <f t="shared" ca="1" si="122"/>
        <v>97.102000000000004</v>
      </c>
      <c r="L20" s="40">
        <f t="shared" ca="1" si="122"/>
        <v>133.762</v>
      </c>
      <c r="M20" s="40">
        <f t="shared" ca="1" si="122"/>
        <v>255.821</v>
      </c>
      <c r="N20" s="40">
        <f t="shared" ca="1" si="122"/>
        <v>283.03399999999999</v>
      </c>
      <c r="O20" s="40">
        <f t="shared" ca="1" si="122"/>
        <v>378.303</v>
      </c>
      <c r="P20" s="40">
        <f t="shared" ca="1" si="122"/>
        <v>455.43</v>
      </c>
      <c r="Q20" s="40">
        <f t="shared" ca="1" si="122"/>
        <v>552.06200000000001</v>
      </c>
      <c r="R20" s="40">
        <f t="shared" ca="1" si="122"/>
        <v>718.20699999999999</v>
      </c>
      <c r="S20" s="40">
        <f t="shared" ca="1" si="122"/>
        <v>877.20799999999997</v>
      </c>
      <c r="T20" s="40">
        <f t="shared" ca="1" si="122"/>
        <v>1041.191</v>
      </c>
      <c r="U20" s="40">
        <f t="shared" ca="1" si="122"/>
        <v>1181.9090000000001</v>
      </c>
      <c r="V20" s="40">
        <f t="shared" ca="1" si="122"/>
        <v>1287.1890000000001</v>
      </c>
      <c r="W20" s="40">
        <f t="shared" ca="1" si="122"/>
        <v>1406.8979999999999</v>
      </c>
      <c r="X20" s="40">
        <f t="shared" ca="1" si="122"/>
        <v>1323.2850000000001</v>
      </c>
      <c r="Y20" s="40">
        <f t="shared" ca="1" si="122"/>
        <v>1528.393</v>
      </c>
      <c r="Z20" s="40">
        <f t="shared" ca="1" si="122"/>
        <v>1479.184</v>
      </c>
      <c r="AA20" s="40">
        <f t="shared" ca="1" si="122"/>
        <v>1511.2380000000001</v>
      </c>
      <c r="AB20" s="40">
        <f t="shared" ca="1" si="122"/>
        <v>1658.9590000000001</v>
      </c>
      <c r="AC20" s="40">
        <f t="shared" ca="1" si="122"/>
        <v>1772.7929999999999</v>
      </c>
      <c r="AD20" s="40">
        <f t="shared" ca="1" si="122"/>
        <v>2003.751</v>
      </c>
      <c r="AE20" s="40">
        <f t="shared" ca="1" si="122"/>
        <v>1866.229</v>
      </c>
      <c r="AF20" s="40">
        <f t="shared" ca="1" si="122"/>
        <v>1801.463</v>
      </c>
      <c r="AG20" s="40">
        <f t="shared" ca="1" si="122"/>
        <v>1769.973</v>
      </c>
      <c r="AH20" s="40">
        <f t="shared" ca="1" si="122"/>
        <v>1668.876</v>
      </c>
      <c r="AI20" s="40">
        <f t="shared" ca="1" si="122"/>
        <v>1597.624</v>
      </c>
      <c r="AJ20" s="40">
        <f t="shared" ca="1" si="122"/>
        <v>1466.212</v>
      </c>
      <c r="AK20" s="40">
        <f t="shared" ca="1" si="122"/>
        <v>1402.9970000000001</v>
      </c>
      <c r="AL20" s="40">
        <f t="shared" ca="1" si="122"/>
        <v>1405.1590000000001</v>
      </c>
      <c r="AM20" s="40">
        <f t="shared" ca="1" si="122"/>
        <v>978.58699999999999</v>
      </c>
      <c r="AN20" s="40">
        <f t="shared" ca="1" si="122"/>
        <v>349.82100000000003</v>
      </c>
      <c r="AO20" s="40">
        <f t="shared" ca="1" si="122"/>
        <v>237.53800000000001</v>
      </c>
      <c r="AP20" s="40">
        <f t="shared" ca="1" si="122"/>
        <v>384.13100000000003</v>
      </c>
      <c r="AQ20" s="40">
        <f t="shared" ca="1" si="122"/>
        <v>329.14100000000002</v>
      </c>
      <c r="AR20" s="40">
        <f t="shared" ca="1" si="122"/>
        <v>292.43400000000003</v>
      </c>
      <c r="AS20" s="40">
        <f t="shared" ca="1" si="122"/>
        <v>280.96600000000001</v>
      </c>
      <c r="AT20" s="40">
        <f t="shared" ca="1" si="122"/>
        <v>383.61399999999998</v>
      </c>
      <c r="AU20" s="40">
        <f t="shared" ca="1" si="122"/>
        <v>395.27</v>
      </c>
      <c r="AV20" s="40">
        <f t="shared" ca="1" si="122"/>
        <v>405.61</v>
      </c>
      <c r="AW20" s="40">
        <f t="shared" ca="1" si="122"/>
        <v>320.72800000000001</v>
      </c>
      <c r="AX20" s="40">
        <f t="shared" ca="1" si="122"/>
        <v>400.44</v>
      </c>
      <c r="AY20" s="40">
        <f t="shared" ca="1" si="122"/>
        <v>416.279</v>
      </c>
      <c r="AZ20" s="40">
        <f t="shared" ca="1" si="122"/>
        <v>401.14499999999998</v>
      </c>
      <c r="BA20" s="40">
        <f t="shared" ca="1" si="122"/>
        <v>384.69499999999999</v>
      </c>
      <c r="BB20" s="40">
        <f t="shared" ca="1" si="122"/>
        <v>339.01100000000002</v>
      </c>
      <c r="BC20" s="40">
        <f t="shared" ca="1" si="122"/>
        <v>310.05900000000003</v>
      </c>
      <c r="BD20" s="40">
        <f t="shared" ca="1" si="122"/>
        <v>254.78700000000001</v>
      </c>
      <c r="BE20" s="40">
        <f t="shared" ca="1" si="122"/>
        <v>210.70099999999999</v>
      </c>
      <c r="BF20" s="40">
        <f t="shared" ca="1" si="122"/>
        <v>209.15</v>
      </c>
      <c r="BG20" s="40">
        <f t="shared" ca="1" si="122"/>
        <v>171.83199999999999</v>
      </c>
      <c r="BH20" s="40">
        <f t="shared" ca="1" si="122"/>
        <v>186.261</v>
      </c>
      <c r="BI20" s="40">
        <f t="shared" ca="1" si="122"/>
        <v>175.31</v>
      </c>
      <c r="BJ20" s="40">
        <f t="shared" ca="1" si="122"/>
        <v>162.05600000000001</v>
      </c>
      <c r="BK20" s="40">
        <f t="shared" ca="1" si="122"/>
        <v>169.529</v>
      </c>
      <c r="BL20" s="40">
        <f t="shared" ca="1" si="122"/>
        <v>198.857</v>
      </c>
      <c r="BM20" s="40">
        <f t="shared" ca="1" si="122"/>
        <v>228.32599999999999</v>
      </c>
      <c r="BN20" s="40">
        <f t="shared" ca="1" si="122"/>
        <v>271.84800000000001</v>
      </c>
      <c r="BO20" s="40">
        <f t="shared" ca="1" si="122"/>
        <v>292.62200000000001</v>
      </c>
      <c r="BP20" s="40">
        <f t="shared" ca="1" si="122"/>
        <v>342.48899999999998</v>
      </c>
      <c r="BQ20" s="40">
        <f t="shared" ca="1" si="122"/>
        <v>358.14</v>
      </c>
      <c r="BR20" s="40">
        <f t="shared" ca="1" si="122"/>
        <v>397.52600000000001</v>
      </c>
      <c r="BS20" s="40">
        <f t="shared" ca="1" si="122"/>
        <v>428.31099999999998</v>
      </c>
      <c r="BT20" s="40">
        <f t="shared" ref="BT20:EE20" ca="1" si="123">BT9*$C$15</f>
        <v>477.33199999999999</v>
      </c>
      <c r="BU20" s="40">
        <f t="shared" ca="1" si="123"/>
        <v>525.22500000000002</v>
      </c>
      <c r="BV20" s="40">
        <f t="shared" ca="1" si="123"/>
        <v>572.11738140433636</v>
      </c>
      <c r="BW20" s="40">
        <f t="shared" ca="1" si="123"/>
        <v>623.19634081575498</v>
      </c>
      <c r="BX20" s="40">
        <f t="shared" ca="1" si="123"/>
        <v>678.83565825745939</v>
      </c>
      <c r="BY20" s="40">
        <f t="shared" ca="1" si="123"/>
        <v>739.44248504192808</v>
      </c>
      <c r="BZ20" s="40">
        <f t="shared" ca="1" si="123"/>
        <v>805.4603231782628</v>
      </c>
      <c r="CA20" s="40">
        <f t="shared" ca="1" si="123"/>
        <v>877.37227078268972</v>
      </c>
      <c r="CB20" s="40">
        <f t="shared" ca="1" si="123"/>
        <v>955.70455724112298</v>
      </c>
      <c r="CC20" s="40">
        <f t="shared" ca="1" si="123"/>
        <v>1041.0303939930161</v>
      </c>
      <c r="CD20" s="40">
        <f t="shared" ca="1" si="123"/>
        <v>1133.9741691153488</v>
      </c>
      <c r="CE20" s="40">
        <f t="shared" ca="1" si="123"/>
        <v>1235.2160164014117</v>
      </c>
      <c r="CF20" s="40">
        <f t="shared" ca="1" si="123"/>
        <v>1345.4967923695017</v>
      </c>
      <c r="CG20" s="40">
        <f t="shared" ca="1" si="123"/>
        <v>1465.6234976217304</v>
      </c>
      <c r="CH20" s="40">
        <f t="shared" ca="1" si="123"/>
        <v>1596.4751822247783</v>
      </c>
      <c r="CI20" s="40">
        <f t="shared" ca="1" si="123"/>
        <v>1739.009378326338</v>
      </c>
      <c r="CJ20" s="40">
        <f t="shared" ca="1" si="123"/>
        <v>1894.269107079152</v>
      </c>
      <c r="CK20" s="40">
        <f t="shared" ca="1" si="123"/>
        <v>2063.3905111471367</v>
      </c>
      <c r="CL20" s="40">
        <f t="shared" ca="1" si="123"/>
        <v>2247.6111686459235</v>
      </c>
      <c r="CM20" s="40">
        <f t="shared" ca="1" si="123"/>
        <v>2448.2791493566492</v>
      </c>
      <c r="CN20" s="40">
        <f t="shared" ca="1" si="123"/>
        <v>2666.8628794835781</v>
      </c>
      <c r="CO20" s="40">
        <f t="shared" ca="1" si="123"/>
        <v>2904.961887142792</v>
      </c>
      <c r="CP20" s="40">
        <f t="shared" ca="1" si="123"/>
        <v>3164.318507214115</v>
      </c>
      <c r="CQ20" s="40">
        <f t="shared" ca="1" si="123"/>
        <v>3446.8306312087548</v>
      </c>
      <c r="CR20" s="40">
        <f t="shared" ca="1" si="123"/>
        <v>3754.5655954522513</v>
      </c>
      <c r="CS20" s="40">
        <f t="shared" ca="1" si="123"/>
        <v>4089.7753092121566</v>
      </c>
      <c r="CT20" s="40">
        <f t="shared" ca="1" si="123"/>
        <v>4454.9127334734048</v>
      </c>
      <c r="CU20" s="40">
        <f t="shared" ca="1" si="123"/>
        <v>4852.649830947953</v>
      </c>
      <c r="CV20" s="40">
        <f t="shared" ca="1" si="123"/>
        <v>5285.8971186713097</v>
      </c>
      <c r="CW20" s="40">
        <f t="shared" ca="1" si="123"/>
        <v>5757.8249662658027</v>
      </c>
      <c r="CX20" s="40">
        <f t="shared" ca="1" si="123"/>
        <v>6271.8867957246948</v>
      </c>
      <c r="CY20" s="40">
        <f t="shared" ca="1" si="123"/>
        <v>6831.8443524859758</v>
      </c>
      <c r="CZ20" s="40">
        <f t="shared" ca="1" si="123"/>
        <v>7441.795232721749</v>
      </c>
      <c r="DA20" s="40">
        <f t="shared" ca="1" si="123"/>
        <v>8106.2028682793871</v>
      </c>
      <c r="DB20" s="40">
        <f t="shared" ca="1" si="123"/>
        <v>8829.929188694985</v>
      </c>
      <c r="DC20" s="40">
        <f t="shared" ca="1" si="123"/>
        <v>9618.2701992896218</v>
      </c>
      <c r="DD20" s="40">
        <f t="shared" ca="1" si="123"/>
        <v>10476.994735697926</v>
      </c>
      <c r="DE20" s="40">
        <f t="shared" ca="1" si="123"/>
        <v>11412.386678422608</v>
      </c>
      <c r="DF20" s="40">
        <f t="shared" ca="1" si="123"/>
        <v>12431.290936328003</v>
      </c>
      <c r="DG20" s="40">
        <f t="shared" ca="1" si="123"/>
        <v>13541.163535565593</v>
      </c>
      <c r="DH20" s="40">
        <f t="shared" ca="1" si="123"/>
        <v>14750.126180466794</v>
      </c>
      <c r="DI20" s="40">
        <f t="shared" ca="1" si="123"/>
        <v>16067.025685662731</v>
      </c>
      <c r="DJ20" s="40">
        <f t="shared" ca="1" si="123"/>
        <v>17501.498714336853</v>
      </c>
      <c r="DK20" s="40">
        <f t="shared" ca="1" si="123"/>
        <v>19064.04229634492</v>
      </c>
      <c r="DL20" s="40">
        <f t="shared" ca="1" si="123"/>
        <v>20766.090642232124</v>
      </c>
      <c r="DM20" s="40">
        <f t="shared" ca="1" si="123"/>
        <v>22620.098815248584</v>
      </c>
      <c r="DN20" s="40">
        <f t="shared" ca="1" si="123"/>
        <v>24639.633873649105</v>
      </c>
      <c r="DO20" s="40">
        <f t="shared" ca="1" si="123"/>
        <v>26839.474150228401</v>
      </c>
      <c r="DP20" s="40">
        <f t="shared" ca="1" si="123"/>
        <v>29235.717395588654</v>
      </c>
      <c r="DQ20" s="40">
        <f t="shared" ca="1" si="123"/>
        <v>31845.898576498425</v>
      </c>
      <c r="DR20" s="40">
        <f t="shared" ca="1" si="123"/>
        <v>34689.118191354872</v>
      </c>
      <c r="DS20" s="40">
        <f t="shared" ca="1" si="123"/>
        <v>37786.182041722073</v>
      </c>
      <c r="DT20" s="40">
        <f t="shared" ca="1" si="123"/>
        <v>41159.753482750435</v>
      </c>
      <c r="DU20" s="40">
        <f t="shared" ca="1" si="123"/>
        <v>44834.519266598494</v>
      </c>
      <c r="DV20" s="40">
        <f t="shared" ca="1" si="123"/>
        <v>48837.370192448187</v>
      </c>
      <c r="DW20" s="40">
        <f t="shared" ca="1" si="123"/>
        <v>53197.597885054303</v>
      </c>
      <c r="DX20" s="40">
        <f t="shared" ca="1" si="123"/>
        <v>57947.109141792811</v>
      </c>
      <c r="DY20" s="40">
        <f t="shared" ca="1" si="123"/>
        <v>63120.659416733368</v>
      </c>
      <c r="DZ20" s="40">
        <f t="shared" ca="1" si="123"/>
        <v>68756.107150300275</v>
      </c>
      <c r="EA20" s="40">
        <f t="shared" ca="1" si="123"/>
        <v>74894.690805627615</v>
      </c>
      <c r="EB20" s="40">
        <f t="shared" ca="1" si="123"/>
        <v>81581.330638874962</v>
      </c>
      <c r="EC20" s="40">
        <f t="shared" ca="1" si="123"/>
        <v>88864.957411765427</v>
      </c>
      <c r="ED20" s="40">
        <f t="shared" ca="1" si="123"/>
        <v>96798.870451762792</v>
      </c>
      <c r="EE20" s="40">
        <f t="shared" ca="1" si="123"/>
        <v>105441.12768006115</v>
      </c>
      <c r="EF20" s="40">
        <f t="shared" ref="EF20:GQ20" ca="1" si="124">EF9*$C$15</f>
        <v>114854.97046149151</v>
      </c>
      <c r="EG20" s="40">
        <f t="shared" ca="1" si="124"/>
        <v>125109.28638526524</v>
      </c>
      <c r="EH20" s="40">
        <f t="shared" ca="1" si="124"/>
        <v>136279.11336304087</v>
      </c>
      <c r="EI20" s="40">
        <f t="shared" ca="1" si="124"/>
        <v>148446.18873314798</v>
      </c>
      <c r="EJ20" s="40">
        <f t="shared" ca="1" si="124"/>
        <v>161699.5473891428</v>
      </c>
      <c r="EK20" s="40">
        <f t="shared" ca="1" si="124"/>
        <v>176136.17330961543</v>
      </c>
      <c r="EL20" s="40">
        <f t="shared" ca="1" si="124"/>
        <v>191861.70925694235</v>
      </c>
      <c r="EM20" s="40">
        <f t="shared" ca="1" si="124"/>
        <v>208991.22983833973</v>
      </c>
      <c r="EN20" s="40">
        <f t="shared" ca="1" si="124"/>
        <v>227650.08358623969</v>
      </c>
      <c r="EO20" s="40">
        <f t="shared" ca="1" si="124"/>
        <v>247974.81022007283</v>
      </c>
      <c r="EP20" s="40">
        <f t="shared" ca="1" si="124"/>
        <v>270114.13980169519</v>
      </c>
      <c r="EQ20" s="40">
        <f t="shared" ca="1" si="124"/>
        <v>294230.08109596965</v>
      </c>
      <c r="ER20" s="40">
        <f t="shared" ca="1" si="124"/>
        <v>320499.10710078862</v>
      </c>
      <c r="ES20" s="40">
        <f t="shared" ca="1" si="124"/>
        <v>349113.44642187847</v>
      </c>
      <c r="ET20" s="40">
        <f t="shared" ca="1" si="124"/>
        <v>380282.48994226893</v>
      </c>
      <c r="EU20" s="40">
        <f t="shared" ca="1" si="124"/>
        <v>414234.32307999767</v>
      </c>
      <c r="EV20" s="40">
        <f t="shared" ca="1" si="124"/>
        <v>451217.39484663925</v>
      </c>
      <c r="EW20" s="40">
        <f t="shared" ca="1" si="124"/>
        <v>491502.33592031174</v>
      </c>
      <c r="EX20" s="40">
        <f t="shared" ca="1" si="124"/>
        <v>535383.93903725699</v>
      </c>
      <c r="EY20" s="40">
        <f t="shared" ca="1" si="124"/>
        <v>583183.31619388703</v>
      </c>
      <c r="EZ20" s="40">
        <f t="shared" ca="1" si="124"/>
        <v>635250.24844503542</v>
      </c>
      <c r="FA20" s="40">
        <f t="shared" ca="1" si="124"/>
        <v>691965.74549350818</v>
      </c>
      <c r="FB20" s="40">
        <f t="shared" ca="1" si="124"/>
        <v>753744.83380121924</v>
      </c>
      <c r="FC20" s="40">
        <f t="shared" ca="1" si="124"/>
        <v>821039.59362444712</v>
      </c>
      <c r="FD20" s="40">
        <f t="shared" ca="1" si="124"/>
        <v>894342.46719729481</v>
      </c>
      <c r="FE20" s="40">
        <f t="shared" ca="1" si="124"/>
        <v>974189.86227161682</v>
      </c>
      <c r="FF20" s="40">
        <f t="shared" ca="1" si="124"/>
        <v>1061166.0773830044</v>
      </c>
      <c r="FG20" s="40">
        <f t="shared" ca="1" si="124"/>
        <v>1155907.577566711</v>
      </c>
      <c r="FH20" s="40">
        <f t="shared" ca="1" si="124"/>
        <v>1259107.6518118836</v>
      </c>
      <c r="FI20" s="40">
        <f t="shared" ca="1" si="124"/>
        <v>1371521.486335909</v>
      </c>
      <c r="FJ20" s="40">
        <f t="shared" ca="1" si="124"/>
        <v>1493971.6908035292</v>
      </c>
      <c r="FK20" s="40">
        <f t="shared" ca="1" si="124"/>
        <v>1627354.3179298854</v>
      </c>
      <c r="FL20" s="40">
        <f t="shared" ca="1" si="124"/>
        <v>1772645.4205170847</v>
      </c>
      <c r="FM20" s="40">
        <f t="shared" ca="1" si="124"/>
        <v>1930908.1939066558</v>
      </c>
      <c r="FN20" s="40">
        <f t="shared" ca="1" si="124"/>
        <v>2103300.7561141462</v>
      </c>
      <c r="FO20" s="40">
        <f t="shared" ca="1" si="124"/>
        <v>2291084.6225784877</v>
      </c>
      <c r="FP20" s="40">
        <f t="shared" ca="1" si="124"/>
        <v>2495633.9375417139</v>
      </c>
      <c r="FQ20" s="40">
        <f t="shared" ca="1" si="124"/>
        <v>2718445.5296114208</v>
      </c>
      <c r="FR20" s="40">
        <f t="shared" ca="1" si="124"/>
        <v>2961149.8650894579</v>
      </c>
      <c r="FS20" s="40">
        <f t="shared" ca="1" si="124"/>
        <v>3225522.9792199242</v>
      </c>
      <c r="FT20" s="40">
        <f t="shared" ca="1" si="124"/>
        <v>3513499.4726656512</v>
      </c>
      <c r="FU20" s="40">
        <f t="shared" ca="1" si="124"/>
        <v>3827186.6683173669</v>
      </c>
      <c r="FV20" s="40">
        <f t="shared" ca="1" si="124"/>
        <v>4168880.0320306886</v>
      </c>
      <c r="FW20" s="40">
        <f t="shared" ca="1" si="124"/>
        <v>4541079.97013513</v>
      </c>
      <c r="FX20" s="40">
        <f t="shared" ca="1" si="124"/>
        <v>4946510.1266340949</v>
      </c>
      <c r="FY20" s="40">
        <f t="shared" ca="1" si="124"/>
        <v>5388137.3139891112</v>
      </c>
      <c r="FZ20" s="40">
        <f t="shared" ca="1" si="124"/>
        <v>5869193.2233356079</v>
      </c>
      <c r="GA20" s="40">
        <f t="shared" ca="1" si="124"/>
        <v>6393198.0729988953</v>
      </c>
      <c r="GB20" s="40">
        <f t="shared" ca="1" si="124"/>
        <v>6963986.3683628496</v>
      </c>
      <c r="GC20" s="40">
        <f t="shared" ca="1" si="124"/>
        <v>7585734.961594075</v>
      </c>
      <c r="GD20" s="40">
        <f t="shared" ca="1" si="124"/>
        <v>8262993.6165539073</v>
      </c>
      <c r="GE20" s="40">
        <f t="shared" ca="1" si="124"/>
        <v>9000718.3025628421</v>
      </c>
      <c r="GF20" s="40">
        <f t="shared" ca="1" si="124"/>
        <v>9804307.460650837</v>
      </c>
      <c r="GG20" s="40">
        <f t="shared" ca="1" si="124"/>
        <v>10679641.507678721</v>
      </c>
      <c r="GH20" s="40">
        <f t="shared" ca="1" si="124"/>
        <v>11633125.867409602</v>
      </c>
      <c r="GI20" s="40">
        <f t="shared" ca="1" si="124"/>
        <v>12671737.843418403</v>
      </c>
      <c r="GJ20" s="40">
        <f t="shared" ca="1" si="124"/>
        <v>13803077.676840914</v>
      </c>
      <c r="GK20" s="40">
        <f t="shared" ca="1" si="124"/>
        <v>15035424.162587224</v>
      </c>
      <c r="GL20" s="40">
        <f t="shared" ca="1" si="124"/>
        <v>16377795.23100174</v>
      </c>
      <c r="GM20" s="40">
        <f t="shared" ca="1" si="124"/>
        <v>17840013.938287675</v>
      </c>
      <c r="GN20" s="40">
        <f t="shared" ca="1" si="124"/>
        <v>19432780.34859347</v>
      </c>
      <c r="GO20" s="40">
        <f t="shared" ca="1" si="124"/>
        <v>21167749.833772086</v>
      </c>
      <c r="GP20" s="40">
        <f t="shared" ca="1" si="124"/>
        <v>23057618.363786492</v>
      </c>
      <c r="GQ20" s="40">
        <f t="shared" ca="1" si="124"/>
        <v>25116215.411890272</v>
      </c>
      <c r="GR20" s="40">
        <f t="shared" ref="GR20:IN20" ca="1" si="125">GR9*$C$15</f>
        <v>27358605.154434573</v>
      </c>
      <c r="GS20" s="40">
        <f t="shared" ca="1" si="125"/>
        <v>29801196.705850422</v>
      </c>
      <c r="GT20" s="40">
        <f t="shared" ca="1" si="125"/>
        <v>32461864.195471805</v>
      </c>
      <c r="GU20" s="40">
        <f t="shared" ca="1" si="125"/>
        <v>35360077.564884596</v>
      </c>
      <c r="GV20" s="40">
        <f t="shared" ca="1" si="125"/>
        <v>38517045.042935885</v>
      </c>
      <c r="GW20" s="40">
        <f t="shared" ca="1" si="125"/>
        <v>41955868.340991676</v>
      </c>
      <c r="GX20" s="40">
        <f t="shared" ca="1" si="125"/>
        <v>45701711.70411396</v>
      </c>
      <c r="GY20" s="40">
        <f t="shared" ca="1" si="125"/>
        <v>49781986.055221267</v>
      </c>
      <c r="GZ20" s="40">
        <f t="shared" ca="1" si="125"/>
        <v>54226549.579742737</v>
      </c>
      <c r="HA20" s="40">
        <f t="shared" ca="1" si="125"/>
        <v>59067926.218582191</v>
      </c>
      <c r="HB20" s="40">
        <f t="shared" ca="1" si="125"/>
        <v>64341543.668256059</v>
      </c>
      <c r="HC20" s="40">
        <f t="shared" ca="1" si="125"/>
        <v>70085992.629816577</v>
      </c>
      <c r="HD20" s="40">
        <f t="shared" ca="1" si="125"/>
        <v>76343309.203663737</v>
      </c>
      <c r="HE20" s="40">
        <f t="shared" ca="1" si="125"/>
        <v>79436772.136000007</v>
      </c>
      <c r="HF20" s="40">
        <f t="shared" ca="1" si="125"/>
        <v>79436772.136000007</v>
      </c>
      <c r="HG20" s="40">
        <f t="shared" ca="1" si="125"/>
        <v>79436772.136000007</v>
      </c>
      <c r="HH20" s="40">
        <f t="shared" ca="1" si="125"/>
        <v>79436772.136000007</v>
      </c>
      <c r="HI20" s="40">
        <f t="shared" ca="1" si="125"/>
        <v>79436772.136000007</v>
      </c>
      <c r="HJ20" s="40">
        <f t="shared" ca="1" si="125"/>
        <v>79436772.136000007</v>
      </c>
      <c r="HK20" s="40">
        <f t="shared" ca="1" si="125"/>
        <v>79436772.136000007</v>
      </c>
      <c r="HL20" s="40">
        <f t="shared" ca="1" si="125"/>
        <v>79436772.136000007</v>
      </c>
      <c r="HM20" s="40">
        <f t="shared" ca="1" si="125"/>
        <v>79436772.136000007</v>
      </c>
      <c r="HN20" s="40">
        <f t="shared" ca="1" si="125"/>
        <v>79436772.136000007</v>
      </c>
      <c r="HO20" s="40">
        <f t="shared" ca="1" si="125"/>
        <v>79436772.136000007</v>
      </c>
      <c r="HP20" s="40">
        <f t="shared" ca="1" si="125"/>
        <v>79436772.136000007</v>
      </c>
      <c r="HQ20" s="40">
        <f t="shared" ca="1" si="125"/>
        <v>79436772.136000007</v>
      </c>
      <c r="HR20" s="40">
        <f t="shared" ca="1" si="125"/>
        <v>79436772.136000007</v>
      </c>
      <c r="HS20" s="40">
        <f t="shared" ca="1" si="125"/>
        <v>79436772.136000007</v>
      </c>
      <c r="HT20" s="40">
        <f t="shared" ca="1" si="125"/>
        <v>79436772.136000007</v>
      </c>
      <c r="HU20" s="40">
        <f t="shared" ca="1" si="125"/>
        <v>79436772.136000007</v>
      </c>
      <c r="HV20" s="40">
        <f t="shared" ca="1" si="125"/>
        <v>79436772.136000007</v>
      </c>
      <c r="HW20" s="40">
        <f t="shared" ca="1" si="125"/>
        <v>79436772.136000007</v>
      </c>
      <c r="HX20" s="40">
        <f t="shared" ca="1" si="125"/>
        <v>79436772.136000007</v>
      </c>
      <c r="HY20" s="40">
        <f t="shared" ca="1" si="125"/>
        <v>79436772.136000007</v>
      </c>
      <c r="HZ20" s="40">
        <f t="shared" ca="1" si="125"/>
        <v>79436772.136000007</v>
      </c>
      <c r="IA20" s="40">
        <f t="shared" ca="1" si="125"/>
        <v>79436772.136000007</v>
      </c>
      <c r="IB20" s="40">
        <f t="shared" ca="1" si="125"/>
        <v>79436772.136000007</v>
      </c>
      <c r="IC20" s="40">
        <f t="shared" ca="1" si="125"/>
        <v>79436772.136000007</v>
      </c>
      <c r="ID20" s="40">
        <f t="shared" ca="1" si="125"/>
        <v>79436772.136000007</v>
      </c>
      <c r="IE20" s="40">
        <f t="shared" ca="1" si="125"/>
        <v>79436772.136000007</v>
      </c>
      <c r="IF20" s="40">
        <f t="shared" ca="1" si="125"/>
        <v>79436772.136000007</v>
      </c>
      <c r="IG20" s="40">
        <f t="shared" ca="1" si="125"/>
        <v>79436772.136000007</v>
      </c>
      <c r="IH20" s="40">
        <f t="shared" ca="1" si="125"/>
        <v>79436772.136000007</v>
      </c>
      <c r="II20" s="40">
        <f t="shared" ca="1" si="125"/>
        <v>79436772.136000007</v>
      </c>
      <c r="IJ20" s="40">
        <f t="shared" ca="1" si="125"/>
        <v>79436772.136000007</v>
      </c>
      <c r="IK20" s="40">
        <f t="shared" ca="1" si="125"/>
        <v>79436772.136000007</v>
      </c>
      <c r="IL20" s="40">
        <f t="shared" ca="1" si="125"/>
        <v>79436772.136000007</v>
      </c>
      <c r="IM20" s="40">
        <f t="shared" ca="1" si="125"/>
        <v>79436772.136000007</v>
      </c>
      <c r="IN20" s="40">
        <f t="shared" ca="1" si="125"/>
        <v>79436772.136000007</v>
      </c>
    </row>
    <row r="21" spans="2:248" x14ac:dyDescent="0.3">
      <c r="B21" s="19" t="s">
        <v>491</v>
      </c>
      <c r="C21" s="40">
        <f>C20*C19</f>
        <v>1690144088</v>
      </c>
      <c r="F21" s="19" t="s">
        <v>493</v>
      </c>
      <c r="G21" s="40">
        <f>G10*$C$15</f>
        <v>26.038</v>
      </c>
      <c r="H21" s="40">
        <f t="shared" ref="H21:BS22" ca="1" si="126">H10*$C$15</f>
        <v>30.643999999999998</v>
      </c>
      <c r="I21" s="40">
        <f t="shared" ca="1" si="126"/>
        <v>43.616</v>
      </c>
      <c r="J21" s="40">
        <f t="shared" ca="1" si="126"/>
        <v>65.988</v>
      </c>
      <c r="K21" s="40">
        <f t="shared" ca="1" si="126"/>
        <v>97.102000000000004</v>
      </c>
      <c r="L21" s="40">
        <f t="shared" ca="1" si="126"/>
        <v>133.762</v>
      </c>
      <c r="M21" s="40">
        <f t="shared" ca="1" si="126"/>
        <v>255.821</v>
      </c>
      <c r="N21" s="40">
        <f t="shared" ca="1" si="126"/>
        <v>283.03399999999999</v>
      </c>
      <c r="O21" s="40">
        <f t="shared" ca="1" si="126"/>
        <v>378.303</v>
      </c>
      <c r="P21" s="40">
        <f t="shared" ca="1" si="126"/>
        <v>455.43</v>
      </c>
      <c r="Q21" s="40">
        <f t="shared" ca="1" si="126"/>
        <v>552.06200000000001</v>
      </c>
      <c r="R21" s="40">
        <f t="shared" ca="1" si="126"/>
        <v>718.20699999999999</v>
      </c>
      <c r="S21" s="40">
        <f t="shared" ca="1" si="126"/>
        <v>877.20799999999997</v>
      </c>
      <c r="T21" s="40">
        <f t="shared" ca="1" si="126"/>
        <v>1041.191</v>
      </c>
      <c r="U21" s="40">
        <f t="shared" ca="1" si="126"/>
        <v>1181.9090000000001</v>
      </c>
      <c r="V21" s="40">
        <f t="shared" ca="1" si="126"/>
        <v>1287.1890000000001</v>
      </c>
      <c r="W21" s="40">
        <f t="shared" ca="1" si="126"/>
        <v>1406.8979999999999</v>
      </c>
      <c r="X21" s="40">
        <f t="shared" ca="1" si="126"/>
        <v>1323.2850000000001</v>
      </c>
      <c r="Y21" s="40">
        <f t="shared" ca="1" si="126"/>
        <v>1528.393</v>
      </c>
      <c r="Z21" s="40">
        <f t="shared" ca="1" si="126"/>
        <v>1479.184</v>
      </c>
      <c r="AA21" s="40">
        <f t="shared" ca="1" si="126"/>
        <v>1511.2380000000001</v>
      </c>
      <c r="AB21" s="40">
        <f t="shared" ca="1" si="126"/>
        <v>1658.9590000000001</v>
      </c>
      <c r="AC21" s="40">
        <f t="shared" ca="1" si="126"/>
        <v>1772.7929999999999</v>
      </c>
      <c r="AD21" s="40">
        <f t="shared" ca="1" si="126"/>
        <v>2003.751</v>
      </c>
      <c r="AE21" s="40">
        <f t="shared" ca="1" si="126"/>
        <v>1866.229</v>
      </c>
      <c r="AF21" s="40">
        <f t="shared" ca="1" si="126"/>
        <v>1801.463</v>
      </c>
      <c r="AG21" s="40">
        <f t="shared" ca="1" si="126"/>
        <v>1769.973</v>
      </c>
      <c r="AH21" s="40">
        <f t="shared" ca="1" si="126"/>
        <v>1668.876</v>
      </c>
      <c r="AI21" s="40">
        <f t="shared" ca="1" si="126"/>
        <v>1597.624</v>
      </c>
      <c r="AJ21" s="40">
        <f t="shared" ca="1" si="126"/>
        <v>1466.212</v>
      </c>
      <c r="AK21" s="40">
        <f t="shared" ca="1" si="126"/>
        <v>1402.9970000000001</v>
      </c>
      <c r="AL21" s="40">
        <f t="shared" ca="1" si="126"/>
        <v>1405.1590000000001</v>
      </c>
      <c r="AM21" s="40">
        <f t="shared" ca="1" si="126"/>
        <v>978.58699999999999</v>
      </c>
      <c r="AN21" s="40">
        <f t="shared" ca="1" si="126"/>
        <v>349.82100000000003</v>
      </c>
      <c r="AO21" s="40">
        <f t="shared" ca="1" si="126"/>
        <v>237.53800000000001</v>
      </c>
      <c r="AP21" s="40">
        <f t="shared" ca="1" si="126"/>
        <v>384.13100000000003</v>
      </c>
      <c r="AQ21" s="40">
        <f t="shared" ca="1" si="126"/>
        <v>329.14100000000002</v>
      </c>
      <c r="AR21" s="40">
        <f t="shared" ca="1" si="126"/>
        <v>292.43400000000003</v>
      </c>
      <c r="AS21" s="40">
        <f t="shared" ca="1" si="126"/>
        <v>280.96600000000001</v>
      </c>
      <c r="AT21" s="40">
        <f t="shared" ca="1" si="126"/>
        <v>383.61399999999998</v>
      </c>
      <c r="AU21" s="40">
        <f t="shared" ca="1" si="126"/>
        <v>395.27</v>
      </c>
      <c r="AV21" s="40">
        <f t="shared" ca="1" si="126"/>
        <v>405.61</v>
      </c>
      <c r="AW21" s="40">
        <f t="shared" ca="1" si="126"/>
        <v>320.72800000000001</v>
      </c>
      <c r="AX21" s="40">
        <f t="shared" ca="1" si="126"/>
        <v>400.44</v>
      </c>
      <c r="AY21" s="40">
        <f t="shared" ca="1" si="126"/>
        <v>416.279</v>
      </c>
      <c r="AZ21" s="40">
        <f t="shared" ca="1" si="126"/>
        <v>401.14499999999998</v>
      </c>
      <c r="BA21" s="40">
        <f t="shared" ca="1" si="126"/>
        <v>384.69499999999999</v>
      </c>
      <c r="BB21" s="40">
        <f t="shared" ca="1" si="126"/>
        <v>339.01100000000002</v>
      </c>
      <c r="BC21" s="40">
        <f t="shared" ca="1" si="126"/>
        <v>310.05900000000003</v>
      </c>
      <c r="BD21" s="40">
        <f t="shared" ca="1" si="126"/>
        <v>254.78700000000001</v>
      </c>
      <c r="BE21" s="40">
        <f t="shared" ca="1" si="126"/>
        <v>210.70099999999999</v>
      </c>
      <c r="BF21" s="40">
        <f t="shared" ca="1" si="126"/>
        <v>209.15</v>
      </c>
      <c r="BG21" s="40">
        <f t="shared" ca="1" si="126"/>
        <v>171.83199999999999</v>
      </c>
      <c r="BH21" s="40">
        <f t="shared" ca="1" si="126"/>
        <v>186.261</v>
      </c>
      <c r="BI21" s="40">
        <f t="shared" ca="1" si="126"/>
        <v>175.31</v>
      </c>
      <c r="BJ21" s="40">
        <f t="shared" ca="1" si="126"/>
        <v>162.05600000000001</v>
      </c>
      <c r="BK21" s="40">
        <f t="shared" ca="1" si="126"/>
        <v>169.529</v>
      </c>
      <c r="BL21" s="40">
        <f t="shared" ca="1" si="126"/>
        <v>198.857</v>
      </c>
      <c r="BM21" s="40">
        <f t="shared" ca="1" si="126"/>
        <v>228.32599999999999</v>
      </c>
      <c r="BN21" s="40">
        <f t="shared" ca="1" si="126"/>
        <v>271.84800000000001</v>
      </c>
      <c r="BO21" s="40">
        <f t="shared" ca="1" si="126"/>
        <v>292.62200000000001</v>
      </c>
      <c r="BP21" s="40">
        <f t="shared" ca="1" si="126"/>
        <v>342.48899999999998</v>
      </c>
      <c r="BQ21" s="40">
        <f t="shared" ca="1" si="126"/>
        <v>358.14</v>
      </c>
      <c r="BR21" s="40">
        <f t="shared" ca="1" si="126"/>
        <v>397.52600000000001</v>
      </c>
      <c r="BS21" s="40">
        <f t="shared" ca="1" si="126"/>
        <v>428.31099999999998</v>
      </c>
      <c r="BT21" s="40">
        <f t="shared" ref="BT21:EE23" ca="1" si="127">BT10*$C$15</f>
        <v>477.33199999999999</v>
      </c>
      <c r="BU21" s="40">
        <f t="shared" ca="1" si="127"/>
        <v>525.22500000000002</v>
      </c>
      <c r="BV21" s="40">
        <f t="shared" ca="1" si="127"/>
        <v>577.74750000000006</v>
      </c>
      <c r="BW21" s="40">
        <f t="shared" ca="1" si="127"/>
        <v>635.52225000000021</v>
      </c>
      <c r="BX21" s="40">
        <f t="shared" ca="1" si="127"/>
        <v>699.07447500000023</v>
      </c>
      <c r="BY21" s="40">
        <f t="shared" ca="1" si="127"/>
        <v>768.98192250000034</v>
      </c>
      <c r="BZ21" s="40">
        <f t="shared" ca="1" si="127"/>
        <v>845.88011475000042</v>
      </c>
      <c r="CA21" s="40">
        <f t="shared" ca="1" si="127"/>
        <v>930.46812622500056</v>
      </c>
      <c r="CB21" s="40">
        <f t="shared" ca="1" si="127"/>
        <v>1023.5149388475007</v>
      </c>
      <c r="CC21" s="40">
        <f t="shared" ca="1" si="127"/>
        <v>1125.8664327322508</v>
      </c>
      <c r="CD21" s="40">
        <f t="shared" ca="1" si="127"/>
        <v>1238.4530760054761</v>
      </c>
      <c r="CE21" s="40">
        <f t="shared" ca="1" si="127"/>
        <v>1362.2983836060237</v>
      </c>
      <c r="CF21" s="40">
        <f t="shared" ca="1" si="127"/>
        <v>1498.5282219666262</v>
      </c>
      <c r="CG21" s="40">
        <f t="shared" ca="1" si="127"/>
        <v>1648.3810441632888</v>
      </c>
      <c r="CH21" s="40">
        <f t="shared" ca="1" si="127"/>
        <v>1813.2191485796179</v>
      </c>
      <c r="CI21" s="40">
        <f t="shared" ca="1" si="127"/>
        <v>1994.5410634375799</v>
      </c>
      <c r="CJ21" s="40">
        <f t="shared" ca="1" si="127"/>
        <v>2193.9951697813381</v>
      </c>
      <c r="CK21" s="40">
        <f t="shared" ca="1" si="127"/>
        <v>2413.3946867594723</v>
      </c>
      <c r="CL21" s="40">
        <f t="shared" ca="1" si="127"/>
        <v>2654.7341554354193</v>
      </c>
      <c r="CM21" s="40">
        <f t="shared" ca="1" si="127"/>
        <v>2920.2075709789619</v>
      </c>
      <c r="CN21" s="40">
        <f t="shared" ca="1" si="127"/>
        <v>3212.2283280768579</v>
      </c>
      <c r="CO21" s="40">
        <f t="shared" ca="1" si="127"/>
        <v>3533.4511608845442</v>
      </c>
      <c r="CP21" s="40">
        <f t="shared" ca="1" si="127"/>
        <v>3886.7962769729988</v>
      </c>
      <c r="CQ21" s="40">
        <f t="shared" ca="1" si="127"/>
        <v>4275.4759046702993</v>
      </c>
      <c r="CR21" s="40">
        <f t="shared" ca="1" si="127"/>
        <v>4703.0234951373295</v>
      </c>
      <c r="CS21" s="40">
        <f t="shared" ca="1" si="127"/>
        <v>5173.3258446510636</v>
      </c>
      <c r="CT21" s="40">
        <f t="shared" ca="1" si="127"/>
        <v>5690.6584291161707</v>
      </c>
      <c r="CU21" s="40">
        <f t="shared" ca="1" si="127"/>
        <v>6259.7242720277873</v>
      </c>
      <c r="CV21" s="40">
        <f t="shared" ca="1" si="127"/>
        <v>6885.696699230567</v>
      </c>
      <c r="CW21" s="40">
        <f t="shared" ca="1" si="127"/>
        <v>7574.2663691536245</v>
      </c>
      <c r="CX21" s="40">
        <f t="shared" ca="1" si="127"/>
        <v>8331.6930060689883</v>
      </c>
      <c r="CY21" s="40">
        <f t="shared" ca="1" si="127"/>
        <v>9164.8623066758882</v>
      </c>
      <c r="CZ21" s="40">
        <f t="shared" ca="1" si="127"/>
        <v>10081.348537343476</v>
      </c>
      <c r="DA21" s="40">
        <f t="shared" ca="1" si="127"/>
        <v>11089.483391077825</v>
      </c>
      <c r="DB21" s="40">
        <f t="shared" ca="1" si="127"/>
        <v>12198.43173018561</v>
      </c>
      <c r="DC21" s="40">
        <f t="shared" ca="1" si="127"/>
        <v>13418.274903204172</v>
      </c>
      <c r="DD21" s="40">
        <f t="shared" ca="1" si="127"/>
        <v>14760.102393524592</v>
      </c>
      <c r="DE21" s="40">
        <f t="shared" ca="1" si="127"/>
        <v>16236.112632877053</v>
      </c>
      <c r="DF21" s="40">
        <f t="shared" ca="1" si="127"/>
        <v>17859.723896164764</v>
      </c>
      <c r="DG21" s="40">
        <f t="shared" ca="1" si="127"/>
        <v>19645.69628578124</v>
      </c>
      <c r="DH21" s="40">
        <f t="shared" ca="1" si="127"/>
        <v>21610.265914359366</v>
      </c>
      <c r="DI21" s="40">
        <f t="shared" ca="1" si="127"/>
        <v>23771.292505795307</v>
      </c>
      <c r="DJ21" s="40">
        <f t="shared" ca="1" si="127"/>
        <v>26148.421756374839</v>
      </c>
      <c r="DK21" s="40">
        <f t="shared" ca="1" si="127"/>
        <v>28763.263932012327</v>
      </c>
      <c r="DL21" s="40">
        <f t="shared" ca="1" si="127"/>
        <v>31639.590325213565</v>
      </c>
      <c r="DM21" s="40">
        <f t="shared" ca="1" si="127"/>
        <v>34803.549357734919</v>
      </c>
      <c r="DN21" s="40">
        <f t="shared" ca="1" si="127"/>
        <v>38283.904293508414</v>
      </c>
      <c r="DO21" s="40">
        <f t="shared" ca="1" si="127"/>
        <v>42112.294722859267</v>
      </c>
      <c r="DP21" s="40">
        <f t="shared" ca="1" si="127"/>
        <v>46323.524195145197</v>
      </c>
      <c r="DQ21" s="40">
        <f t="shared" ca="1" si="127"/>
        <v>50955.876614659712</v>
      </c>
      <c r="DR21" s="40">
        <f t="shared" ca="1" si="127"/>
        <v>56051.464276125691</v>
      </c>
      <c r="DS21" s="40">
        <f t="shared" ca="1" si="127"/>
        <v>61656.610703738261</v>
      </c>
      <c r="DT21" s="40">
        <f t="shared" ca="1" si="127"/>
        <v>67822.271774112087</v>
      </c>
      <c r="DU21" s="40">
        <f t="shared" ca="1" si="127"/>
        <v>74604.498951523303</v>
      </c>
      <c r="DV21" s="40">
        <f t="shared" ca="1" si="127"/>
        <v>82064.948846675645</v>
      </c>
      <c r="DW21" s="40">
        <f t="shared" ca="1" si="127"/>
        <v>90271.443731343214</v>
      </c>
      <c r="DX21" s="40">
        <f t="shared" ca="1" si="127"/>
        <v>99298.588104477531</v>
      </c>
      <c r="DY21" s="40">
        <f t="shared" ca="1" si="127"/>
        <v>109228.44691492528</v>
      </c>
      <c r="DZ21" s="40">
        <f t="shared" ca="1" si="127"/>
        <v>120151.29160641783</v>
      </c>
      <c r="EA21" s="40">
        <f t="shared" ca="1" si="127"/>
        <v>132166.42076705964</v>
      </c>
      <c r="EB21" s="40">
        <f t="shared" ca="1" si="127"/>
        <v>145383.0628437656</v>
      </c>
      <c r="EC21" s="40">
        <f t="shared" ca="1" si="127"/>
        <v>159921.36912814216</v>
      </c>
      <c r="ED21" s="40">
        <f t="shared" ca="1" si="127"/>
        <v>175913.50604095642</v>
      </c>
      <c r="EE21" s="40">
        <f t="shared" ca="1" si="127"/>
        <v>193504.85664505206</v>
      </c>
      <c r="EF21" s="40">
        <f t="shared" ref="EF21:GQ23" ca="1" si="128">EF10*$C$15</f>
        <v>212855.34230955728</v>
      </c>
      <c r="EG21" s="40">
        <f t="shared" ca="1" si="128"/>
        <v>234140.87654051304</v>
      </c>
      <c r="EH21" s="40">
        <f t="shared" ca="1" si="128"/>
        <v>257554.96419456438</v>
      </c>
      <c r="EI21" s="40">
        <f t="shared" ca="1" si="128"/>
        <v>283310.46061402082</v>
      </c>
      <c r="EJ21" s="40">
        <f t="shared" ca="1" si="128"/>
        <v>311641.50667542295</v>
      </c>
      <c r="EK21" s="40">
        <f t="shared" ca="1" si="128"/>
        <v>342805.65734296525</v>
      </c>
      <c r="EL21" s="40">
        <f t="shared" ca="1" si="128"/>
        <v>377086.22307726176</v>
      </c>
      <c r="EM21" s="40">
        <f t="shared" ca="1" si="128"/>
        <v>414794.845384988</v>
      </c>
      <c r="EN21" s="40">
        <f t="shared" ca="1" si="128"/>
        <v>456274.3299234868</v>
      </c>
      <c r="EO21" s="40">
        <f t="shared" ca="1" si="128"/>
        <v>501901.76291583554</v>
      </c>
      <c r="EP21" s="40">
        <f t="shared" ca="1" si="128"/>
        <v>552091.93920741917</v>
      </c>
      <c r="EQ21" s="40">
        <f t="shared" ca="1" si="128"/>
        <v>607301.13312816108</v>
      </c>
      <c r="ER21" s="40">
        <f t="shared" ca="1" si="128"/>
        <v>668031.24644097721</v>
      </c>
      <c r="ES21" s="40">
        <f t="shared" ca="1" si="128"/>
        <v>734834.37108507496</v>
      </c>
      <c r="ET21" s="40">
        <f t="shared" ca="1" si="128"/>
        <v>808317.80819358269</v>
      </c>
      <c r="EU21" s="40">
        <f t="shared" ca="1" si="128"/>
        <v>889149.589012941</v>
      </c>
      <c r="EV21" s="40">
        <f t="shared" ca="1" si="128"/>
        <v>978064.54791423527</v>
      </c>
      <c r="EW21" s="40">
        <f t="shared" ca="1" si="128"/>
        <v>1075871.0027056588</v>
      </c>
      <c r="EX21" s="40">
        <f t="shared" ca="1" si="128"/>
        <v>1183458.1029762249</v>
      </c>
      <c r="EY21" s="40">
        <f t="shared" ca="1" si="128"/>
        <v>1301803.9132738474</v>
      </c>
      <c r="EZ21" s="40">
        <f t="shared" ca="1" si="128"/>
        <v>1431984.3046012323</v>
      </c>
      <c r="FA21" s="40">
        <f t="shared" ca="1" si="128"/>
        <v>1575182.7350613556</v>
      </c>
      <c r="FB21" s="40">
        <f t="shared" ca="1" si="128"/>
        <v>1732701.0085674913</v>
      </c>
      <c r="FC21" s="40">
        <f t="shared" ca="1" si="128"/>
        <v>1905971.1094242407</v>
      </c>
      <c r="FD21" s="40">
        <f t="shared" ca="1" si="128"/>
        <v>2096568.2203666649</v>
      </c>
      <c r="FE21" s="40">
        <f t="shared" ca="1" si="128"/>
        <v>2306225.0424033315</v>
      </c>
      <c r="FF21" s="40">
        <f t="shared" ca="1" si="128"/>
        <v>2536847.5466436651</v>
      </c>
      <c r="FG21" s="40">
        <f t="shared" ca="1" si="128"/>
        <v>2790532.3013080317</v>
      </c>
      <c r="FH21" s="40">
        <f t="shared" ca="1" si="128"/>
        <v>3069585.531438835</v>
      </c>
      <c r="FI21" s="40">
        <f t="shared" ca="1" si="128"/>
        <v>3376544.084582719</v>
      </c>
      <c r="FJ21" s="40">
        <f t="shared" ca="1" si="128"/>
        <v>3714198.493040991</v>
      </c>
      <c r="FK21" s="40">
        <f t="shared" ca="1" si="128"/>
        <v>4085618.342345091</v>
      </c>
      <c r="FL21" s="40">
        <f t="shared" ca="1" si="128"/>
        <v>4494180.1765796002</v>
      </c>
      <c r="FM21" s="40">
        <f t="shared" ca="1" si="128"/>
        <v>4943598.194237561</v>
      </c>
      <c r="FN21" s="40">
        <f t="shared" ca="1" si="128"/>
        <v>5437958.0136613175</v>
      </c>
      <c r="FO21" s="40">
        <f t="shared" ca="1" si="128"/>
        <v>5981753.8150274493</v>
      </c>
      <c r="FP21" s="40">
        <f t="shared" ca="1" si="128"/>
        <v>6579929.196530195</v>
      </c>
      <c r="FQ21" s="40">
        <f t="shared" ca="1" si="128"/>
        <v>7237922.1161832148</v>
      </c>
      <c r="FR21" s="40">
        <f t="shared" ca="1" si="128"/>
        <v>7961714.3278015368</v>
      </c>
      <c r="FS21" s="40">
        <f t="shared" ca="1" si="128"/>
        <v>8757885.7605816908</v>
      </c>
      <c r="FT21" s="40">
        <f t="shared" ca="1" si="128"/>
        <v>9633674.3366398606</v>
      </c>
      <c r="FU21" s="40">
        <f t="shared" ca="1" si="128"/>
        <v>10597041.770303849</v>
      </c>
      <c r="FV21" s="40">
        <f t="shared" ca="1" si="128"/>
        <v>11656745.947334236</v>
      </c>
      <c r="FW21" s="40">
        <f t="shared" ca="1" si="128"/>
        <v>12822420.542067658</v>
      </c>
      <c r="FX21" s="40">
        <f t="shared" ca="1" si="128"/>
        <v>14104662.596274426</v>
      </c>
      <c r="FY21" s="40">
        <f t="shared" ca="1" si="128"/>
        <v>15515128.855901869</v>
      </c>
      <c r="FZ21" s="40">
        <f t="shared" ca="1" si="128"/>
        <v>17066641.741492059</v>
      </c>
      <c r="GA21" s="40">
        <f t="shared" ca="1" si="128"/>
        <v>18773305.915641267</v>
      </c>
      <c r="GB21" s="40">
        <f t="shared" ca="1" si="128"/>
        <v>20650636.507205393</v>
      </c>
      <c r="GC21" s="40">
        <f t="shared" ca="1" si="128"/>
        <v>22715700.157925934</v>
      </c>
      <c r="GD21" s="40">
        <f t="shared" ca="1" si="128"/>
        <v>24987270.173718531</v>
      </c>
      <c r="GE21" s="40">
        <f t="shared" ca="1" si="128"/>
        <v>27485997.191090386</v>
      </c>
      <c r="GF21" s="40">
        <f t="shared" ca="1" si="128"/>
        <v>30234596.910199426</v>
      </c>
      <c r="GG21" s="40">
        <f t="shared" ca="1" si="128"/>
        <v>33258056.601219371</v>
      </c>
      <c r="GH21" s="40">
        <f t="shared" ca="1" si="128"/>
        <v>36583862.261341311</v>
      </c>
      <c r="GI21" s="40">
        <f t="shared" ca="1" si="128"/>
        <v>40242248.487475447</v>
      </c>
      <c r="GJ21" s="40">
        <f t="shared" ca="1" si="128"/>
        <v>44266473.336222991</v>
      </c>
      <c r="GK21" s="40">
        <f t="shared" ca="1" si="128"/>
        <v>48693120.669845298</v>
      </c>
      <c r="GL21" s="40">
        <f t="shared" ca="1" si="128"/>
        <v>53562432.736829825</v>
      </c>
      <c r="GM21" s="40">
        <f t="shared" ca="1" si="128"/>
        <v>58918676.010512806</v>
      </c>
      <c r="GN21" s="40">
        <f t="shared" ca="1" si="128"/>
        <v>64810543.6115641</v>
      </c>
      <c r="GO21" s="40">
        <f t="shared" ca="1" si="128"/>
        <v>71291597.972720519</v>
      </c>
      <c r="GP21" s="40">
        <f t="shared" ca="1" si="128"/>
        <v>78420757.769992575</v>
      </c>
      <c r="GQ21" s="40">
        <f t="shared" ca="1" si="128"/>
        <v>79436772.136000007</v>
      </c>
      <c r="GR21" s="40">
        <f t="shared" ref="GR21:IN23" ca="1" si="129">GR10*$C$15</f>
        <v>79436772.136000007</v>
      </c>
      <c r="GS21" s="40">
        <f t="shared" ca="1" si="129"/>
        <v>79436772.136000007</v>
      </c>
      <c r="GT21" s="40">
        <f t="shared" ca="1" si="129"/>
        <v>79436772.136000007</v>
      </c>
      <c r="GU21" s="40">
        <f t="shared" ca="1" si="129"/>
        <v>79436772.136000007</v>
      </c>
      <c r="GV21" s="40">
        <f t="shared" ca="1" si="129"/>
        <v>79436772.136000007</v>
      </c>
      <c r="GW21" s="40">
        <f t="shared" ca="1" si="129"/>
        <v>79436772.136000007</v>
      </c>
      <c r="GX21" s="40">
        <f t="shared" ca="1" si="129"/>
        <v>79436772.136000007</v>
      </c>
      <c r="GY21" s="40">
        <f t="shared" ca="1" si="129"/>
        <v>79436772.136000007</v>
      </c>
      <c r="GZ21" s="40">
        <f t="shared" ca="1" si="129"/>
        <v>79436772.136000007</v>
      </c>
      <c r="HA21" s="40">
        <f t="shared" ca="1" si="129"/>
        <v>79436772.136000007</v>
      </c>
      <c r="HB21" s="40">
        <f t="shared" ca="1" si="129"/>
        <v>79436772.136000007</v>
      </c>
      <c r="HC21" s="40">
        <f t="shared" ca="1" si="129"/>
        <v>79436772.136000007</v>
      </c>
      <c r="HD21" s="40">
        <f t="shared" ca="1" si="129"/>
        <v>79436772.136000007</v>
      </c>
      <c r="HE21" s="40">
        <f t="shared" ca="1" si="129"/>
        <v>79436772.136000007</v>
      </c>
      <c r="HF21" s="40">
        <f t="shared" ca="1" si="129"/>
        <v>79436772.136000007</v>
      </c>
      <c r="HG21" s="40">
        <f t="shared" ca="1" si="129"/>
        <v>79436772.136000007</v>
      </c>
      <c r="HH21" s="40">
        <f t="shared" ca="1" si="129"/>
        <v>79436772.136000007</v>
      </c>
      <c r="HI21" s="40">
        <f t="shared" ca="1" si="129"/>
        <v>79436772.136000007</v>
      </c>
      <c r="HJ21" s="40">
        <f t="shared" ca="1" si="129"/>
        <v>79436772.136000007</v>
      </c>
      <c r="HK21" s="40">
        <f t="shared" ca="1" si="129"/>
        <v>79436772.136000007</v>
      </c>
      <c r="HL21" s="40">
        <f t="shared" ca="1" si="129"/>
        <v>79436772.136000007</v>
      </c>
      <c r="HM21" s="40">
        <f t="shared" ca="1" si="129"/>
        <v>79436772.136000007</v>
      </c>
      <c r="HN21" s="40">
        <f t="shared" ca="1" si="129"/>
        <v>79436772.136000007</v>
      </c>
      <c r="HO21" s="40">
        <f t="shared" ca="1" si="129"/>
        <v>79436772.136000007</v>
      </c>
      <c r="HP21" s="40">
        <f t="shared" ca="1" si="129"/>
        <v>79436772.136000007</v>
      </c>
      <c r="HQ21" s="40">
        <f t="shared" ca="1" si="129"/>
        <v>79436772.136000007</v>
      </c>
      <c r="HR21" s="40">
        <f t="shared" ca="1" si="129"/>
        <v>79436772.136000007</v>
      </c>
      <c r="HS21" s="40">
        <f t="shared" ca="1" si="129"/>
        <v>79436772.136000007</v>
      </c>
      <c r="HT21" s="40">
        <f t="shared" ca="1" si="129"/>
        <v>79436772.136000007</v>
      </c>
      <c r="HU21" s="40">
        <f t="shared" ca="1" si="129"/>
        <v>79436772.136000007</v>
      </c>
      <c r="HV21" s="40">
        <f t="shared" ca="1" si="129"/>
        <v>79436772.136000007</v>
      </c>
      <c r="HW21" s="40">
        <f t="shared" ca="1" si="129"/>
        <v>79436772.136000007</v>
      </c>
      <c r="HX21" s="40">
        <f t="shared" ca="1" si="129"/>
        <v>79436772.136000007</v>
      </c>
      <c r="HY21" s="40">
        <f t="shared" ca="1" si="129"/>
        <v>79436772.136000007</v>
      </c>
      <c r="HZ21" s="40">
        <f t="shared" ca="1" si="129"/>
        <v>79436772.136000007</v>
      </c>
      <c r="IA21" s="40">
        <f t="shared" ca="1" si="129"/>
        <v>79436772.136000007</v>
      </c>
      <c r="IB21" s="40">
        <f t="shared" ca="1" si="129"/>
        <v>79436772.136000007</v>
      </c>
      <c r="IC21" s="40">
        <f t="shared" ca="1" si="129"/>
        <v>79436772.136000007</v>
      </c>
      <c r="ID21" s="40">
        <f t="shared" ca="1" si="129"/>
        <v>79436772.136000007</v>
      </c>
      <c r="IE21" s="40">
        <f t="shared" ca="1" si="129"/>
        <v>79436772.136000007</v>
      </c>
      <c r="IF21" s="40">
        <f t="shared" ca="1" si="129"/>
        <v>79436772.136000007</v>
      </c>
      <c r="IG21" s="40">
        <f t="shared" ca="1" si="129"/>
        <v>79436772.136000007</v>
      </c>
      <c r="IH21" s="40">
        <f t="shared" ca="1" si="129"/>
        <v>79436772.136000007</v>
      </c>
      <c r="II21" s="40">
        <f t="shared" ca="1" si="129"/>
        <v>79436772.136000007</v>
      </c>
      <c r="IJ21" s="40">
        <f t="shared" ca="1" si="129"/>
        <v>79436772.136000007</v>
      </c>
      <c r="IK21" s="40">
        <f t="shared" ca="1" si="129"/>
        <v>79436772.136000007</v>
      </c>
      <c r="IL21" s="40">
        <f t="shared" ca="1" si="129"/>
        <v>79436772.136000007</v>
      </c>
      <c r="IM21" s="40">
        <f t="shared" ca="1" si="129"/>
        <v>79436772.136000007</v>
      </c>
      <c r="IN21" s="40">
        <f t="shared" ca="1" si="129"/>
        <v>79436772.136000007</v>
      </c>
    </row>
    <row r="22" spans="2:248" x14ac:dyDescent="0.3">
      <c r="C22" s="40"/>
      <c r="F22" s="19" t="s">
        <v>496</v>
      </c>
      <c r="G22" s="40">
        <f t="shared" ref="G22:V23" si="130">G11*$C$15</f>
        <v>26.038</v>
      </c>
      <c r="H22" s="40">
        <f t="shared" ca="1" si="130"/>
        <v>30.643999999999998</v>
      </c>
      <c r="I22" s="40">
        <f t="shared" ca="1" si="130"/>
        <v>43.616</v>
      </c>
      <c r="J22" s="40">
        <f t="shared" ca="1" si="130"/>
        <v>65.988</v>
      </c>
      <c r="K22" s="40">
        <f t="shared" ca="1" si="130"/>
        <v>97.102000000000004</v>
      </c>
      <c r="L22" s="40">
        <f t="shared" ca="1" si="130"/>
        <v>133.762</v>
      </c>
      <c r="M22" s="40">
        <f t="shared" ca="1" si="130"/>
        <v>255.821</v>
      </c>
      <c r="N22" s="40">
        <f t="shared" ca="1" si="130"/>
        <v>283.03399999999999</v>
      </c>
      <c r="O22" s="40">
        <f t="shared" ca="1" si="130"/>
        <v>378.303</v>
      </c>
      <c r="P22" s="40">
        <f t="shared" ca="1" si="130"/>
        <v>455.43</v>
      </c>
      <c r="Q22" s="40">
        <f t="shared" ca="1" si="130"/>
        <v>552.06200000000001</v>
      </c>
      <c r="R22" s="40">
        <f t="shared" ca="1" si="130"/>
        <v>718.20699999999999</v>
      </c>
      <c r="S22" s="40">
        <f t="shared" ca="1" si="130"/>
        <v>877.20799999999997</v>
      </c>
      <c r="T22" s="40">
        <f t="shared" ca="1" si="130"/>
        <v>1041.191</v>
      </c>
      <c r="U22" s="40">
        <f t="shared" ca="1" si="130"/>
        <v>1181.9090000000001</v>
      </c>
      <c r="V22" s="40">
        <f t="shared" ca="1" si="130"/>
        <v>1287.1890000000001</v>
      </c>
      <c r="W22" s="40">
        <f t="shared" ca="1" si="126"/>
        <v>1406.8979999999999</v>
      </c>
      <c r="X22" s="40">
        <f t="shared" ca="1" si="126"/>
        <v>1323.2850000000001</v>
      </c>
      <c r="Y22" s="40">
        <f t="shared" ca="1" si="126"/>
        <v>1528.393</v>
      </c>
      <c r="Z22" s="40">
        <f t="shared" ca="1" si="126"/>
        <v>1479.184</v>
      </c>
      <c r="AA22" s="40">
        <f t="shared" ca="1" si="126"/>
        <v>1511.2380000000001</v>
      </c>
      <c r="AB22" s="40">
        <f t="shared" ca="1" si="126"/>
        <v>1658.9590000000001</v>
      </c>
      <c r="AC22" s="40">
        <f t="shared" ca="1" si="126"/>
        <v>1772.7929999999999</v>
      </c>
      <c r="AD22" s="40">
        <f t="shared" ca="1" si="126"/>
        <v>2003.751</v>
      </c>
      <c r="AE22" s="40">
        <f t="shared" ca="1" si="126"/>
        <v>1866.229</v>
      </c>
      <c r="AF22" s="40">
        <f t="shared" ca="1" si="126"/>
        <v>1801.463</v>
      </c>
      <c r="AG22" s="40">
        <f t="shared" ca="1" si="126"/>
        <v>1769.973</v>
      </c>
      <c r="AH22" s="40">
        <f t="shared" ca="1" si="126"/>
        <v>1668.876</v>
      </c>
      <c r="AI22" s="40">
        <f t="shared" ca="1" si="126"/>
        <v>1597.624</v>
      </c>
      <c r="AJ22" s="40">
        <f t="shared" ca="1" si="126"/>
        <v>1466.212</v>
      </c>
      <c r="AK22" s="40">
        <f t="shared" ca="1" si="126"/>
        <v>1402.9970000000001</v>
      </c>
      <c r="AL22" s="40">
        <f t="shared" ca="1" si="126"/>
        <v>1405.1590000000001</v>
      </c>
      <c r="AM22" s="40">
        <f t="shared" ca="1" si="126"/>
        <v>978.58699999999999</v>
      </c>
      <c r="AN22" s="40">
        <f t="shared" ca="1" si="126"/>
        <v>349.82100000000003</v>
      </c>
      <c r="AO22" s="40">
        <f t="shared" ca="1" si="126"/>
        <v>237.53800000000001</v>
      </c>
      <c r="AP22" s="40">
        <f t="shared" ca="1" si="126"/>
        <v>384.13100000000003</v>
      </c>
      <c r="AQ22" s="40">
        <f t="shared" ca="1" si="126"/>
        <v>329.14100000000002</v>
      </c>
      <c r="AR22" s="40">
        <f t="shared" ca="1" si="126"/>
        <v>292.43400000000003</v>
      </c>
      <c r="AS22" s="40">
        <f t="shared" ca="1" si="126"/>
        <v>280.96600000000001</v>
      </c>
      <c r="AT22" s="40">
        <f t="shared" ca="1" si="126"/>
        <v>383.61399999999998</v>
      </c>
      <c r="AU22" s="40">
        <f t="shared" ca="1" si="126"/>
        <v>395.27</v>
      </c>
      <c r="AV22" s="40">
        <f t="shared" ca="1" si="126"/>
        <v>405.61</v>
      </c>
      <c r="AW22" s="40">
        <f t="shared" ca="1" si="126"/>
        <v>320.72800000000001</v>
      </c>
      <c r="AX22" s="40">
        <f t="shared" ca="1" si="126"/>
        <v>400.44</v>
      </c>
      <c r="AY22" s="40">
        <f t="shared" ca="1" si="126"/>
        <v>416.279</v>
      </c>
      <c r="AZ22" s="40">
        <f t="shared" ca="1" si="126"/>
        <v>401.14499999999998</v>
      </c>
      <c r="BA22" s="40">
        <f t="shared" ca="1" si="126"/>
        <v>384.69499999999999</v>
      </c>
      <c r="BB22" s="40">
        <f t="shared" ca="1" si="126"/>
        <v>339.01100000000002</v>
      </c>
      <c r="BC22" s="40">
        <f t="shared" ca="1" si="126"/>
        <v>310.05900000000003</v>
      </c>
      <c r="BD22" s="40">
        <f t="shared" ca="1" si="126"/>
        <v>254.78700000000001</v>
      </c>
      <c r="BE22" s="40">
        <f t="shared" ca="1" si="126"/>
        <v>210.70099999999999</v>
      </c>
      <c r="BF22" s="40">
        <f t="shared" ca="1" si="126"/>
        <v>209.15</v>
      </c>
      <c r="BG22" s="40">
        <f t="shared" ca="1" si="126"/>
        <v>171.83199999999999</v>
      </c>
      <c r="BH22" s="40">
        <f t="shared" ca="1" si="126"/>
        <v>186.261</v>
      </c>
      <c r="BI22" s="40">
        <f t="shared" ca="1" si="126"/>
        <v>175.31</v>
      </c>
      <c r="BJ22" s="40">
        <f t="shared" ca="1" si="126"/>
        <v>162.05600000000001</v>
      </c>
      <c r="BK22" s="40">
        <f t="shared" ca="1" si="126"/>
        <v>169.529</v>
      </c>
      <c r="BL22" s="40">
        <f t="shared" ca="1" si="126"/>
        <v>198.857</v>
      </c>
      <c r="BM22" s="40">
        <f t="shared" ca="1" si="126"/>
        <v>228.32599999999999</v>
      </c>
      <c r="BN22" s="40">
        <f t="shared" ca="1" si="126"/>
        <v>271.84800000000001</v>
      </c>
      <c r="BO22" s="40">
        <f t="shared" ca="1" si="126"/>
        <v>292.62200000000001</v>
      </c>
      <c r="BP22" s="40">
        <f t="shared" ca="1" si="126"/>
        <v>342.48899999999998</v>
      </c>
      <c r="BQ22" s="40">
        <f t="shared" ca="1" si="126"/>
        <v>358.14</v>
      </c>
      <c r="BR22" s="40">
        <f t="shared" ca="1" si="126"/>
        <v>397.52600000000001</v>
      </c>
      <c r="BS22" s="40">
        <f t="shared" ca="1" si="126"/>
        <v>428.31099999999998</v>
      </c>
      <c r="BT22" s="40">
        <f t="shared" ca="1" si="127"/>
        <v>477.33199999999999</v>
      </c>
      <c r="BU22" s="40">
        <f t="shared" ca="1" si="127"/>
        <v>525.22500000000002</v>
      </c>
      <c r="BV22" s="40">
        <f t="shared" ca="1" si="127"/>
        <v>656.53125</v>
      </c>
      <c r="BW22" s="40">
        <f t="shared" ca="1" si="127"/>
        <v>820.6640625</v>
      </c>
      <c r="BX22" s="40">
        <f t="shared" ca="1" si="127"/>
        <v>1025.830078125</v>
      </c>
      <c r="BY22" s="40">
        <f t="shared" ca="1" si="127"/>
        <v>1282.28759765625</v>
      </c>
      <c r="BZ22" s="40">
        <f t="shared" ca="1" si="127"/>
        <v>1602.8594970703125</v>
      </c>
      <c r="CA22" s="40">
        <f t="shared" ca="1" si="127"/>
        <v>2003.5743713378906</v>
      </c>
      <c r="CB22" s="40">
        <f t="shared" ca="1" si="127"/>
        <v>2504.4679641723633</v>
      </c>
      <c r="CC22" s="40">
        <f t="shared" ca="1" si="127"/>
        <v>3130.5849552154541</v>
      </c>
      <c r="CD22" s="40">
        <f t="shared" ca="1" si="127"/>
        <v>3913.2311940193176</v>
      </c>
      <c r="CE22" s="40">
        <f t="shared" ca="1" si="127"/>
        <v>4891.538992524147</v>
      </c>
      <c r="CF22" s="40">
        <f t="shared" ca="1" si="127"/>
        <v>6114.4237406551838</v>
      </c>
      <c r="CG22" s="40">
        <f t="shared" ca="1" si="127"/>
        <v>7643.0296758189797</v>
      </c>
      <c r="CH22" s="40">
        <f t="shared" ca="1" si="127"/>
        <v>9553.7870947737247</v>
      </c>
      <c r="CI22" s="40">
        <f t="shared" ca="1" si="127"/>
        <v>11942.233868467156</v>
      </c>
      <c r="CJ22" s="40">
        <f t="shared" ca="1" si="127"/>
        <v>14927.792335583945</v>
      </c>
      <c r="CK22" s="40">
        <f t="shared" ca="1" si="127"/>
        <v>18659.740419479931</v>
      </c>
      <c r="CL22" s="40">
        <f t="shared" ca="1" si="127"/>
        <v>23324.675524349914</v>
      </c>
      <c r="CM22" s="40">
        <f t="shared" ca="1" si="127"/>
        <v>29155.844405437394</v>
      </c>
      <c r="CN22" s="40">
        <f t="shared" ca="1" si="127"/>
        <v>36444.805506796736</v>
      </c>
      <c r="CO22" s="40">
        <f t="shared" ca="1" si="127"/>
        <v>45556.006883495924</v>
      </c>
      <c r="CP22" s="40">
        <f t="shared" ca="1" si="127"/>
        <v>56945.008604369905</v>
      </c>
      <c r="CQ22" s="40">
        <f t="shared" ca="1" si="127"/>
        <v>71181.260755462368</v>
      </c>
      <c r="CR22" s="40">
        <f t="shared" ca="1" si="127"/>
        <v>88976.575944327968</v>
      </c>
      <c r="CS22" s="40">
        <f t="shared" ca="1" si="127"/>
        <v>111220.71993040996</v>
      </c>
      <c r="CT22" s="40">
        <f t="shared" ca="1" si="127"/>
        <v>139025.89991301246</v>
      </c>
      <c r="CU22" s="40">
        <f t="shared" ca="1" si="127"/>
        <v>173782.37489126559</v>
      </c>
      <c r="CV22" s="40">
        <f t="shared" ca="1" si="127"/>
        <v>217227.96861408194</v>
      </c>
      <c r="CW22" s="40">
        <f t="shared" ca="1" si="127"/>
        <v>271534.96076760243</v>
      </c>
      <c r="CX22" s="40">
        <f t="shared" ca="1" si="127"/>
        <v>339418.70095950301</v>
      </c>
      <c r="CY22" s="40">
        <f t="shared" ca="1" si="127"/>
        <v>424273.37619937881</v>
      </c>
      <c r="CZ22" s="40">
        <f t="shared" ca="1" si="127"/>
        <v>530341.72024922352</v>
      </c>
      <c r="DA22" s="40">
        <f t="shared" ca="1" si="127"/>
        <v>662927.1503115294</v>
      </c>
      <c r="DB22" s="40">
        <f t="shared" ca="1" si="127"/>
        <v>828658.9378894117</v>
      </c>
      <c r="DC22" s="40">
        <f t="shared" ca="1" si="127"/>
        <v>1035823.6723617645</v>
      </c>
      <c r="DD22" s="40">
        <f t="shared" ca="1" si="127"/>
        <v>1294779.5904522056</v>
      </c>
      <c r="DE22" s="40">
        <f t="shared" ca="1" si="127"/>
        <v>1618474.4880652572</v>
      </c>
      <c r="DF22" s="40">
        <f t="shared" ca="1" si="127"/>
        <v>2023093.1100815714</v>
      </c>
      <c r="DG22" s="40">
        <f t="shared" ca="1" si="127"/>
        <v>2528866.3876019642</v>
      </c>
      <c r="DH22" s="40">
        <f t="shared" ca="1" si="127"/>
        <v>3161082.9845024552</v>
      </c>
      <c r="DI22" s="40">
        <f t="shared" ca="1" si="127"/>
        <v>3951353.730628069</v>
      </c>
      <c r="DJ22" s="40">
        <f t="shared" ca="1" si="127"/>
        <v>4939192.1632850869</v>
      </c>
      <c r="DK22" s="40">
        <f t="shared" ca="1" si="127"/>
        <v>6173990.2041063579</v>
      </c>
      <c r="DL22" s="40">
        <f t="shared" ca="1" si="127"/>
        <v>7717487.755132948</v>
      </c>
      <c r="DM22" s="40">
        <f t="shared" ca="1" si="127"/>
        <v>9646859.6939161848</v>
      </c>
      <c r="DN22" s="40">
        <f t="shared" ca="1" si="127"/>
        <v>12058574.61739523</v>
      </c>
      <c r="DO22" s="40">
        <f t="shared" ca="1" si="127"/>
        <v>15073218.271744039</v>
      </c>
      <c r="DP22" s="40">
        <f t="shared" ca="1" si="127"/>
        <v>18841522.83968005</v>
      </c>
      <c r="DQ22" s="40">
        <f t="shared" ca="1" si="127"/>
        <v>23551903.549600061</v>
      </c>
      <c r="DR22" s="40">
        <f t="shared" ca="1" si="127"/>
        <v>29439879.437000077</v>
      </c>
      <c r="DS22" s="40">
        <f t="shared" ca="1" si="127"/>
        <v>36799849.296250097</v>
      </c>
      <c r="DT22" s="40">
        <f t="shared" ca="1" si="127"/>
        <v>45999811.620312616</v>
      </c>
      <c r="DU22" s="40">
        <f t="shared" ca="1" si="127"/>
        <v>57499764.525390774</v>
      </c>
      <c r="DV22" s="40">
        <f t="shared" ca="1" si="127"/>
        <v>71874705.656738475</v>
      </c>
      <c r="DW22" s="40">
        <f t="shared" ca="1" si="127"/>
        <v>79436772.136000007</v>
      </c>
      <c r="DX22" s="40">
        <f t="shared" ca="1" si="127"/>
        <v>79436772.136000007</v>
      </c>
      <c r="DY22" s="40">
        <f t="shared" ca="1" si="127"/>
        <v>79436772.136000007</v>
      </c>
      <c r="DZ22" s="40">
        <f t="shared" ca="1" si="127"/>
        <v>79436772.136000007</v>
      </c>
      <c r="EA22" s="40">
        <f t="shared" ca="1" si="127"/>
        <v>79436772.136000007</v>
      </c>
      <c r="EB22" s="40">
        <f t="shared" ca="1" si="127"/>
        <v>79436772.136000007</v>
      </c>
      <c r="EC22" s="40">
        <f t="shared" ca="1" si="127"/>
        <v>79436772.136000007</v>
      </c>
      <c r="ED22" s="40">
        <f t="shared" ca="1" si="127"/>
        <v>79436772.136000007</v>
      </c>
      <c r="EE22" s="40">
        <f t="shared" ca="1" si="127"/>
        <v>79436772.136000007</v>
      </c>
      <c r="EF22" s="40">
        <f t="shared" ca="1" si="128"/>
        <v>79436772.136000007</v>
      </c>
      <c r="EG22" s="40">
        <f t="shared" ca="1" si="128"/>
        <v>79436772.136000007</v>
      </c>
      <c r="EH22" s="40">
        <f t="shared" ca="1" si="128"/>
        <v>79436772.136000007</v>
      </c>
      <c r="EI22" s="40">
        <f t="shared" ca="1" si="128"/>
        <v>79436772.136000007</v>
      </c>
      <c r="EJ22" s="40">
        <f t="shared" ca="1" si="128"/>
        <v>79436772.136000007</v>
      </c>
      <c r="EK22" s="40">
        <f t="shared" ca="1" si="128"/>
        <v>79436772.136000007</v>
      </c>
      <c r="EL22" s="40">
        <f t="shared" ca="1" si="128"/>
        <v>79436772.136000007</v>
      </c>
      <c r="EM22" s="40">
        <f t="shared" ca="1" si="128"/>
        <v>79436772.136000007</v>
      </c>
      <c r="EN22" s="40">
        <f t="shared" ca="1" si="128"/>
        <v>79436772.136000007</v>
      </c>
      <c r="EO22" s="40">
        <f t="shared" ca="1" si="128"/>
        <v>79436772.136000007</v>
      </c>
      <c r="EP22" s="40">
        <f t="shared" ca="1" si="128"/>
        <v>79436772.136000007</v>
      </c>
      <c r="EQ22" s="40">
        <f t="shared" ca="1" si="128"/>
        <v>79436772.136000007</v>
      </c>
      <c r="ER22" s="40">
        <f t="shared" ca="1" si="128"/>
        <v>79436772.136000007</v>
      </c>
      <c r="ES22" s="40">
        <f t="shared" ca="1" si="128"/>
        <v>79436772.136000007</v>
      </c>
      <c r="ET22" s="40">
        <f t="shared" ca="1" si="128"/>
        <v>79436772.136000007</v>
      </c>
      <c r="EU22" s="40">
        <f t="shared" ca="1" si="128"/>
        <v>79436772.136000007</v>
      </c>
      <c r="EV22" s="40">
        <f t="shared" ca="1" si="128"/>
        <v>79436772.136000007</v>
      </c>
      <c r="EW22" s="40">
        <f t="shared" ca="1" si="128"/>
        <v>79436772.136000007</v>
      </c>
      <c r="EX22" s="40">
        <f t="shared" ca="1" si="128"/>
        <v>79436772.136000007</v>
      </c>
      <c r="EY22" s="40">
        <f t="shared" ca="1" si="128"/>
        <v>79436772.136000007</v>
      </c>
      <c r="EZ22" s="40">
        <f t="shared" ca="1" si="128"/>
        <v>79436772.136000007</v>
      </c>
      <c r="FA22" s="40">
        <f t="shared" ca="1" si="128"/>
        <v>79436772.136000007</v>
      </c>
      <c r="FB22" s="40">
        <f t="shared" ca="1" si="128"/>
        <v>79436772.136000007</v>
      </c>
      <c r="FC22" s="40">
        <f t="shared" ca="1" si="128"/>
        <v>79436772.136000007</v>
      </c>
      <c r="FD22" s="40">
        <f t="shared" ca="1" si="128"/>
        <v>79436772.136000007</v>
      </c>
      <c r="FE22" s="40">
        <f t="shared" ca="1" si="128"/>
        <v>79436772.136000007</v>
      </c>
      <c r="FF22" s="40">
        <f t="shared" ca="1" si="128"/>
        <v>79436772.136000007</v>
      </c>
      <c r="FG22" s="40">
        <f t="shared" ca="1" si="128"/>
        <v>79436772.136000007</v>
      </c>
      <c r="FH22" s="40">
        <f t="shared" ca="1" si="128"/>
        <v>79436772.136000007</v>
      </c>
      <c r="FI22" s="40">
        <f t="shared" ca="1" si="128"/>
        <v>79436772.136000007</v>
      </c>
      <c r="FJ22" s="40">
        <f t="shared" ca="1" si="128"/>
        <v>79436772.136000007</v>
      </c>
      <c r="FK22" s="40">
        <f t="shared" ca="1" si="128"/>
        <v>79436772.136000007</v>
      </c>
      <c r="FL22" s="40">
        <f t="shared" ca="1" si="128"/>
        <v>79436772.136000007</v>
      </c>
      <c r="FM22" s="40">
        <f t="shared" ca="1" si="128"/>
        <v>79436772.136000007</v>
      </c>
      <c r="FN22" s="40">
        <f t="shared" ca="1" si="128"/>
        <v>79436772.136000007</v>
      </c>
      <c r="FO22" s="40">
        <f t="shared" ca="1" si="128"/>
        <v>79436772.136000007</v>
      </c>
      <c r="FP22" s="40">
        <f t="shared" ca="1" si="128"/>
        <v>79436772.136000007</v>
      </c>
      <c r="FQ22" s="40">
        <f t="shared" ca="1" si="128"/>
        <v>79436772.136000007</v>
      </c>
      <c r="FR22" s="40">
        <f t="shared" ca="1" si="128"/>
        <v>79436772.136000007</v>
      </c>
      <c r="FS22" s="40">
        <f t="shared" ca="1" si="128"/>
        <v>79436772.136000007</v>
      </c>
      <c r="FT22" s="40">
        <f t="shared" ca="1" si="128"/>
        <v>79436772.136000007</v>
      </c>
      <c r="FU22" s="40">
        <f t="shared" ca="1" si="128"/>
        <v>79436772.136000007</v>
      </c>
      <c r="FV22" s="40">
        <f t="shared" ca="1" si="128"/>
        <v>79436772.136000007</v>
      </c>
      <c r="FW22" s="40">
        <f t="shared" ca="1" si="128"/>
        <v>79436772.136000007</v>
      </c>
      <c r="FX22" s="40">
        <f t="shared" ca="1" si="128"/>
        <v>79436772.136000007</v>
      </c>
      <c r="FY22" s="40">
        <f t="shared" ca="1" si="128"/>
        <v>79436772.136000007</v>
      </c>
      <c r="FZ22" s="40">
        <f t="shared" ca="1" si="128"/>
        <v>79436772.136000007</v>
      </c>
      <c r="GA22" s="40">
        <f t="shared" ca="1" si="128"/>
        <v>79436772.136000007</v>
      </c>
      <c r="GB22" s="40">
        <f t="shared" ca="1" si="128"/>
        <v>79436772.136000007</v>
      </c>
      <c r="GC22" s="40">
        <f t="shared" ca="1" si="128"/>
        <v>79436772.136000007</v>
      </c>
      <c r="GD22" s="40">
        <f t="shared" ca="1" si="128"/>
        <v>79436772.136000007</v>
      </c>
      <c r="GE22" s="40">
        <f t="shared" ca="1" si="128"/>
        <v>79436772.136000007</v>
      </c>
      <c r="GF22" s="40">
        <f t="shared" ca="1" si="128"/>
        <v>79436772.136000007</v>
      </c>
      <c r="GG22" s="40">
        <f t="shared" ca="1" si="128"/>
        <v>79436772.136000007</v>
      </c>
      <c r="GH22" s="40">
        <f t="shared" ca="1" si="128"/>
        <v>79436772.136000007</v>
      </c>
      <c r="GI22" s="40">
        <f t="shared" ca="1" si="128"/>
        <v>79436772.136000007</v>
      </c>
      <c r="GJ22" s="40">
        <f t="shared" ca="1" si="128"/>
        <v>79436772.136000007</v>
      </c>
      <c r="GK22" s="40">
        <f t="shared" ca="1" si="128"/>
        <v>79436772.136000007</v>
      </c>
      <c r="GL22" s="40">
        <f t="shared" ca="1" si="128"/>
        <v>79436772.136000007</v>
      </c>
      <c r="GM22" s="40">
        <f t="shared" ca="1" si="128"/>
        <v>79436772.136000007</v>
      </c>
      <c r="GN22" s="40">
        <f t="shared" ca="1" si="128"/>
        <v>79436772.136000007</v>
      </c>
      <c r="GO22" s="40">
        <f t="shared" ca="1" si="128"/>
        <v>79436772.136000007</v>
      </c>
      <c r="GP22" s="40">
        <f t="shared" ca="1" si="128"/>
        <v>79436772.136000007</v>
      </c>
      <c r="GQ22" s="40">
        <f t="shared" ca="1" si="128"/>
        <v>79436772.136000007</v>
      </c>
      <c r="GR22" s="40">
        <f t="shared" ca="1" si="129"/>
        <v>79436772.136000007</v>
      </c>
      <c r="GS22" s="40">
        <f t="shared" ca="1" si="129"/>
        <v>79436772.136000007</v>
      </c>
      <c r="GT22" s="40">
        <f t="shared" ca="1" si="129"/>
        <v>79436772.136000007</v>
      </c>
      <c r="GU22" s="40">
        <f t="shared" ca="1" si="129"/>
        <v>79436772.136000007</v>
      </c>
      <c r="GV22" s="40">
        <f t="shared" ca="1" si="129"/>
        <v>79436772.136000007</v>
      </c>
      <c r="GW22" s="40">
        <f t="shared" ca="1" si="129"/>
        <v>79436772.136000007</v>
      </c>
      <c r="GX22" s="40">
        <f t="shared" ca="1" si="129"/>
        <v>79436772.136000007</v>
      </c>
      <c r="GY22" s="40">
        <f t="shared" ca="1" si="129"/>
        <v>79436772.136000007</v>
      </c>
      <c r="GZ22" s="40">
        <f t="shared" ca="1" si="129"/>
        <v>79436772.136000007</v>
      </c>
      <c r="HA22" s="40">
        <f t="shared" ca="1" si="129"/>
        <v>79436772.136000007</v>
      </c>
      <c r="HB22" s="40">
        <f t="shared" ca="1" si="129"/>
        <v>79436772.136000007</v>
      </c>
      <c r="HC22" s="40">
        <f t="shared" ca="1" si="129"/>
        <v>79436772.136000007</v>
      </c>
      <c r="HD22" s="40">
        <f t="shared" ca="1" si="129"/>
        <v>79436772.136000007</v>
      </c>
      <c r="HE22" s="40">
        <f t="shared" ca="1" si="129"/>
        <v>79436772.136000007</v>
      </c>
      <c r="HF22" s="40">
        <f t="shared" ca="1" si="129"/>
        <v>79436772.136000007</v>
      </c>
      <c r="HG22" s="40">
        <f t="shared" ca="1" si="129"/>
        <v>79436772.136000007</v>
      </c>
      <c r="HH22" s="40">
        <f t="shared" ca="1" si="129"/>
        <v>79436772.136000007</v>
      </c>
      <c r="HI22" s="40">
        <f t="shared" ca="1" si="129"/>
        <v>79436772.136000007</v>
      </c>
      <c r="HJ22" s="40">
        <f t="shared" ca="1" si="129"/>
        <v>79436772.136000007</v>
      </c>
      <c r="HK22" s="40">
        <f t="shared" ca="1" si="129"/>
        <v>79436772.136000007</v>
      </c>
      <c r="HL22" s="40">
        <f t="shared" ca="1" si="129"/>
        <v>79436772.136000007</v>
      </c>
      <c r="HM22" s="40">
        <f t="shared" ca="1" si="129"/>
        <v>79436772.136000007</v>
      </c>
      <c r="HN22" s="40">
        <f t="shared" ca="1" si="129"/>
        <v>79436772.136000007</v>
      </c>
      <c r="HO22" s="40">
        <f t="shared" ca="1" si="129"/>
        <v>79436772.136000007</v>
      </c>
      <c r="HP22" s="40">
        <f t="shared" ca="1" si="129"/>
        <v>79436772.136000007</v>
      </c>
      <c r="HQ22" s="40">
        <f t="shared" ca="1" si="129"/>
        <v>79436772.136000007</v>
      </c>
      <c r="HR22" s="40">
        <f t="shared" ca="1" si="129"/>
        <v>79436772.136000007</v>
      </c>
      <c r="HS22" s="40">
        <f t="shared" ca="1" si="129"/>
        <v>79436772.136000007</v>
      </c>
      <c r="HT22" s="40">
        <f t="shared" ca="1" si="129"/>
        <v>79436772.136000007</v>
      </c>
      <c r="HU22" s="40">
        <f t="shared" ca="1" si="129"/>
        <v>79436772.136000007</v>
      </c>
      <c r="HV22" s="40">
        <f t="shared" ca="1" si="129"/>
        <v>79436772.136000007</v>
      </c>
      <c r="HW22" s="40">
        <f t="shared" ca="1" si="129"/>
        <v>79436772.136000007</v>
      </c>
      <c r="HX22" s="40">
        <f t="shared" ca="1" si="129"/>
        <v>79436772.136000007</v>
      </c>
      <c r="HY22" s="40">
        <f t="shared" ca="1" si="129"/>
        <v>79436772.136000007</v>
      </c>
      <c r="HZ22" s="40">
        <f t="shared" ca="1" si="129"/>
        <v>79436772.136000007</v>
      </c>
      <c r="IA22" s="40">
        <f t="shared" ca="1" si="129"/>
        <v>79436772.136000007</v>
      </c>
      <c r="IB22" s="40">
        <f t="shared" ca="1" si="129"/>
        <v>79436772.136000007</v>
      </c>
      <c r="IC22" s="40">
        <f t="shared" ca="1" si="129"/>
        <v>79436772.136000007</v>
      </c>
      <c r="ID22" s="40">
        <f t="shared" ca="1" si="129"/>
        <v>79436772.136000007</v>
      </c>
      <c r="IE22" s="40">
        <f t="shared" ca="1" si="129"/>
        <v>79436772.136000007</v>
      </c>
      <c r="IF22" s="40">
        <f t="shared" ca="1" si="129"/>
        <v>79436772.136000007</v>
      </c>
      <c r="IG22" s="40">
        <f t="shared" ca="1" si="129"/>
        <v>79436772.136000007</v>
      </c>
      <c r="IH22" s="40">
        <f t="shared" ca="1" si="129"/>
        <v>79436772.136000007</v>
      </c>
      <c r="II22" s="40">
        <f t="shared" ca="1" si="129"/>
        <v>79436772.136000007</v>
      </c>
      <c r="IJ22" s="40">
        <f t="shared" ca="1" si="129"/>
        <v>79436772.136000007</v>
      </c>
      <c r="IK22" s="40">
        <f t="shared" ca="1" si="129"/>
        <v>79436772.136000007</v>
      </c>
      <c r="IL22" s="40">
        <f t="shared" ca="1" si="129"/>
        <v>79436772.136000007</v>
      </c>
      <c r="IM22" s="40">
        <f t="shared" ca="1" si="129"/>
        <v>79436772.136000007</v>
      </c>
      <c r="IN22" s="40">
        <f t="shared" ca="1" si="129"/>
        <v>79436772.136000007</v>
      </c>
    </row>
    <row r="23" spans="2:248" x14ac:dyDescent="0.3">
      <c r="B23" s="19" t="s">
        <v>500</v>
      </c>
      <c r="C23" s="54" t="str">
        <f>IF(VLOOKUP(B2,Country_Data!C:I,7,FALSE)="","Not initiated",VLOOKUP(B2,Country_Data!C:I,7,FALSE))</f>
        <v>Not initiated</v>
      </c>
      <c r="F23" s="19" t="s">
        <v>494</v>
      </c>
      <c r="G23" s="40">
        <f t="shared" si="130"/>
        <v>26.038</v>
      </c>
      <c r="H23" s="40">
        <f t="shared" ref="H23:BS23" ca="1" si="131">H12*$C$15</f>
        <v>30.643999999999998</v>
      </c>
      <c r="I23" s="40">
        <f t="shared" ca="1" si="131"/>
        <v>43.616</v>
      </c>
      <c r="J23" s="40">
        <f t="shared" ca="1" si="131"/>
        <v>65.988</v>
      </c>
      <c r="K23" s="40">
        <f t="shared" ca="1" si="131"/>
        <v>97.102000000000004</v>
      </c>
      <c r="L23" s="40">
        <f t="shared" ca="1" si="131"/>
        <v>133.762</v>
      </c>
      <c r="M23" s="40">
        <f t="shared" ca="1" si="131"/>
        <v>255.821</v>
      </c>
      <c r="N23" s="40">
        <f t="shared" ca="1" si="131"/>
        <v>283.03399999999999</v>
      </c>
      <c r="O23" s="40">
        <f t="shared" ca="1" si="131"/>
        <v>378.303</v>
      </c>
      <c r="P23" s="40">
        <f t="shared" ca="1" si="131"/>
        <v>455.43</v>
      </c>
      <c r="Q23" s="40">
        <f t="shared" ca="1" si="131"/>
        <v>552.06200000000001</v>
      </c>
      <c r="R23" s="40">
        <f t="shared" ca="1" si="131"/>
        <v>718.20699999999999</v>
      </c>
      <c r="S23" s="40">
        <f t="shared" ca="1" si="131"/>
        <v>877.20799999999997</v>
      </c>
      <c r="T23" s="40">
        <f t="shared" ca="1" si="131"/>
        <v>1041.191</v>
      </c>
      <c r="U23" s="40">
        <f t="shared" ca="1" si="131"/>
        <v>1181.9090000000001</v>
      </c>
      <c r="V23" s="40">
        <f t="shared" ca="1" si="131"/>
        <v>1287.1890000000001</v>
      </c>
      <c r="W23" s="40">
        <f t="shared" ca="1" si="131"/>
        <v>1406.8979999999999</v>
      </c>
      <c r="X23" s="40">
        <f t="shared" ca="1" si="131"/>
        <v>1323.2850000000001</v>
      </c>
      <c r="Y23" s="40">
        <f t="shared" ca="1" si="131"/>
        <v>1528.393</v>
      </c>
      <c r="Z23" s="40">
        <f t="shared" ca="1" si="131"/>
        <v>1479.184</v>
      </c>
      <c r="AA23" s="40">
        <f t="shared" ca="1" si="131"/>
        <v>1511.2380000000001</v>
      </c>
      <c r="AB23" s="40">
        <f t="shared" ca="1" si="131"/>
        <v>1658.9590000000001</v>
      </c>
      <c r="AC23" s="40">
        <f t="shared" ca="1" si="131"/>
        <v>1772.7929999999999</v>
      </c>
      <c r="AD23" s="40">
        <f t="shared" ca="1" si="131"/>
        <v>2003.751</v>
      </c>
      <c r="AE23" s="40">
        <f t="shared" ca="1" si="131"/>
        <v>1866.229</v>
      </c>
      <c r="AF23" s="40">
        <f t="shared" ca="1" si="131"/>
        <v>1801.463</v>
      </c>
      <c r="AG23" s="40">
        <f t="shared" ca="1" si="131"/>
        <v>1769.973</v>
      </c>
      <c r="AH23" s="40">
        <f t="shared" ca="1" si="131"/>
        <v>1668.876</v>
      </c>
      <c r="AI23" s="40">
        <f t="shared" ca="1" si="131"/>
        <v>1597.624</v>
      </c>
      <c r="AJ23" s="40">
        <f t="shared" ca="1" si="131"/>
        <v>1466.212</v>
      </c>
      <c r="AK23" s="40">
        <f t="shared" ca="1" si="131"/>
        <v>1402.9970000000001</v>
      </c>
      <c r="AL23" s="40">
        <f t="shared" ca="1" si="131"/>
        <v>1405.1590000000001</v>
      </c>
      <c r="AM23" s="40">
        <f t="shared" ca="1" si="131"/>
        <v>978.58699999999999</v>
      </c>
      <c r="AN23" s="40">
        <f t="shared" ca="1" si="131"/>
        <v>349.82100000000003</v>
      </c>
      <c r="AO23" s="40">
        <f t="shared" ca="1" si="131"/>
        <v>237.53800000000001</v>
      </c>
      <c r="AP23" s="40">
        <f t="shared" ca="1" si="131"/>
        <v>384.13100000000003</v>
      </c>
      <c r="AQ23" s="40">
        <f t="shared" ca="1" si="131"/>
        <v>329.14100000000002</v>
      </c>
      <c r="AR23" s="40">
        <f t="shared" ca="1" si="131"/>
        <v>292.43400000000003</v>
      </c>
      <c r="AS23" s="40">
        <f t="shared" ca="1" si="131"/>
        <v>280.96600000000001</v>
      </c>
      <c r="AT23" s="40">
        <f t="shared" ca="1" si="131"/>
        <v>383.61399999999998</v>
      </c>
      <c r="AU23" s="40">
        <f t="shared" ca="1" si="131"/>
        <v>395.27</v>
      </c>
      <c r="AV23" s="40">
        <f t="shared" ca="1" si="131"/>
        <v>405.61</v>
      </c>
      <c r="AW23" s="40">
        <f t="shared" ca="1" si="131"/>
        <v>320.72800000000001</v>
      </c>
      <c r="AX23" s="40">
        <f t="shared" ca="1" si="131"/>
        <v>400.44</v>
      </c>
      <c r="AY23" s="40">
        <f t="shared" ca="1" si="131"/>
        <v>416.279</v>
      </c>
      <c r="AZ23" s="40">
        <f t="shared" ca="1" si="131"/>
        <v>401.14499999999998</v>
      </c>
      <c r="BA23" s="40">
        <f t="shared" ca="1" si="131"/>
        <v>384.69499999999999</v>
      </c>
      <c r="BB23" s="40">
        <f t="shared" ca="1" si="131"/>
        <v>339.01100000000002</v>
      </c>
      <c r="BC23" s="40">
        <f t="shared" ca="1" si="131"/>
        <v>310.05900000000003</v>
      </c>
      <c r="BD23" s="40">
        <f t="shared" ca="1" si="131"/>
        <v>254.78700000000001</v>
      </c>
      <c r="BE23" s="40">
        <f t="shared" ca="1" si="131"/>
        <v>210.70099999999999</v>
      </c>
      <c r="BF23" s="40">
        <f t="shared" ca="1" si="131"/>
        <v>209.15</v>
      </c>
      <c r="BG23" s="40">
        <f t="shared" ca="1" si="131"/>
        <v>171.83199999999999</v>
      </c>
      <c r="BH23" s="40">
        <f t="shared" ca="1" si="131"/>
        <v>186.261</v>
      </c>
      <c r="BI23" s="40">
        <f t="shared" ca="1" si="131"/>
        <v>175.31</v>
      </c>
      <c r="BJ23" s="40">
        <f t="shared" ca="1" si="131"/>
        <v>162.05600000000001</v>
      </c>
      <c r="BK23" s="40">
        <f t="shared" ca="1" si="131"/>
        <v>169.529</v>
      </c>
      <c r="BL23" s="40">
        <f t="shared" ca="1" si="131"/>
        <v>198.857</v>
      </c>
      <c r="BM23" s="40">
        <f t="shared" ca="1" si="131"/>
        <v>228.32599999999999</v>
      </c>
      <c r="BN23" s="40">
        <f t="shared" ca="1" si="131"/>
        <v>271.84800000000001</v>
      </c>
      <c r="BO23" s="40">
        <f t="shared" ca="1" si="131"/>
        <v>292.62200000000001</v>
      </c>
      <c r="BP23" s="40">
        <f t="shared" ca="1" si="131"/>
        <v>342.48899999999998</v>
      </c>
      <c r="BQ23" s="40">
        <f t="shared" ca="1" si="131"/>
        <v>358.14</v>
      </c>
      <c r="BR23" s="40">
        <f t="shared" ca="1" si="131"/>
        <v>397.52600000000001</v>
      </c>
      <c r="BS23" s="40">
        <f t="shared" ca="1" si="131"/>
        <v>428.31099999999998</v>
      </c>
      <c r="BT23" s="40">
        <f t="shared" ca="1" si="127"/>
        <v>477.33199999999999</v>
      </c>
      <c r="BU23" s="40">
        <f t="shared" ca="1" si="127"/>
        <v>525.22500000000002</v>
      </c>
      <c r="BV23" s="40">
        <f t="shared" ca="1" si="127"/>
        <v>735.31499999999994</v>
      </c>
      <c r="BW23" s="40">
        <f t="shared" ca="1" si="127"/>
        <v>1029.4409999999998</v>
      </c>
      <c r="BX23" s="40">
        <f t="shared" ca="1" si="127"/>
        <v>1441.2173999999998</v>
      </c>
      <c r="BY23" s="40">
        <f t="shared" ca="1" si="127"/>
        <v>2017.7043599999995</v>
      </c>
      <c r="BZ23" s="40">
        <f t="shared" ca="1" si="127"/>
        <v>2824.7861039999989</v>
      </c>
      <c r="CA23" s="40">
        <f t="shared" ca="1" si="127"/>
        <v>3954.7005455999983</v>
      </c>
      <c r="CB23" s="40">
        <f t="shared" ca="1" si="127"/>
        <v>5536.5807638399965</v>
      </c>
      <c r="CC23" s="40">
        <f t="shared" ca="1" si="127"/>
        <v>7751.2130693759955</v>
      </c>
      <c r="CD23" s="40">
        <f t="shared" ca="1" si="127"/>
        <v>10851.698297126393</v>
      </c>
      <c r="CE23" s="40">
        <f t="shared" ca="1" si="127"/>
        <v>15192.37761597695</v>
      </c>
      <c r="CF23" s="40">
        <f t="shared" ca="1" si="127"/>
        <v>21269.328662367727</v>
      </c>
      <c r="CG23" s="40">
        <f t="shared" ca="1" si="127"/>
        <v>29777.060127314813</v>
      </c>
      <c r="CH23" s="40">
        <f t="shared" ca="1" si="127"/>
        <v>41687.884178240733</v>
      </c>
      <c r="CI23" s="40">
        <f t="shared" ca="1" si="127"/>
        <v>58363.037849537024</v>
      </c>
      <c r="CJ23" s="40">
        <f t="shared" ca="1" si="127"/>
        <v>81708.252989351837</v>
      </c>
      <c r="CK23" s="40">
        <f t="shared" ca="1" si="127"/>
        <v>114391.55418509255</v>
      </c>
      <c r="CL23" s="40">
        <f t="shared" ca="1" si="127"/>
        <v>160148.17585912955</v>
      </c>
      <c r="CM23" s="40">
        <f t="shared" ca="1" si="127"/>
        <v>224207.4462027814</v>
      </c>
      <c r="CN23" s="40">
        <f t="shared" ca="1" si="127"/>
        <v>313890.42468389391</v>
      </c>
      <c r="CO23" s="40">
        <f t="shared" ca="1" si="127"/>
        <v>439446.59455745143</v>
      </c>
      <c r="CP23" s="40">
        <f t="shared" ca="1" si="127"/>
        <v>615225.23238043196</v>
      </c>
      <c r="CQ23" s="40">
        <f t="shared" ca="1" si="127"/>
        <v>861315.32533260458</v>
      </c>
      <c r="CR23" s="40">
        <f t="shared" ca="1" si="127"/>
        <v>1205841.4554656465</v>
      </c>
      <c r="CS23" s="40">
        <f t="shared" ca="1" si="127"/>
        <v>1688178.0376519051</v>
      </c>
      <c r="CT23" s="40">
        <f t="shared" ca="1" si="127"/>
        <v>2363449.252712667</v>
      </c>
      <c r="CU23" s="40">
        <f t="shared" ca="1" si="127"/>
        <v>3308828.9537977329</v>
      </c>
      <c r="CV23" s="40">
        <f t="shared" ca="1" si="127"/>
        <v>4632360.5353168258</v>
      </c>
      <c r="CW23" s="40">
        <f t="shared" ca="1" si="127"/>
        <v>6485304.7494435562</v>
      </c>
      <c r="CX23" s="40">
        <f t="shared" ca="1" si="127"/>
        <v>9079426.649220977</v>
      </c>
      <c r="CY23" s="40">
        <f t="shared" ca="1" si="127"/>
        <v>12711197.308909368</v>
      </c>
      <c r="CZ23" s="40">
        <f t="shared" ca="1" si="127"/>
        <v>17795676.232473113</v>
      </c>
      <c r="DA23" s="40">
        <f t="shared" ca="1" si="127"/>
        <v>24913946.725462358</v>
      </c>
      <c r="DB23" s="40">
        <f t="shared" ca="1" si="127"/>
        <v>34879525.415647298</v>
      </c>
      <c r="DC23" s="40">
        <f t="shared" ca="1" si="127"/>
        <v>48831335.581906222</v>
      </c>
      <c r="DD23" s="40">
        <f t="shared" ca="1" si="127"/>
        <v>68363869.8146687</v>
      </c>
      <c r="DE23" s="40">
        <f t="shared" ca="1" si="127"/>
        <v>79436772.136000007</v>
      </c>
      <c r="DF23" s="40">
        <f t="shared" ca="1" si="127"/>
        <v>79436772.136000007</v>
      </c>
      <c r="DG23" s="40">
        <f t="shared" ca="1" si="127"/>
        <v>79436772.136000007</v>
      </c>
      <c r="DH23" s="40">
        <f t="shared" ca="1" si="127"/>
        <v>79436772.136000007</v>
      </c>
      <c r="DI23" s="40">
        <f t="shared" ca="1" si="127"/>
        <v>79436772.136000007</v>
      </c>
      <c r="DJ23" s="40">
        <f t="shared" ca="1" si="127"/>
        <v>79436772.136000007</v>
      </c>
      <c r="DK23" s="40">
        <f t="shared" ca="1" si="127"/>
        <v>79436772.136000007</v>
      </c>
      <c r="DL23" s="40">
        <f t="shared" ca="1" si="127"/>
        <v>79436772.136000007</v>
      </c>
      <c r="DM23" s="40">
        <f t="shared" ca="1" si="127"/>
        <v>79436772.136000007</v>
      </c>
      <c r="DN23" s="40">
        <f t="shared" ca="1" si="127"/>
        <v>79436772.136000007</v>
      </c>
      <c r="DO23" s="40">
        <f t="shared" ca="1" si="127"/>
        <v>79436772.136000007</v>
      </c>
      <c r="DP23" s="40">
        <f t="shared" ca="1" si="127"/>
        <v>79436772.136000007</v>
      </c>
      <c r="DQ23" s="40">
        <f t="shared" ca="1" si="127"/>
        <v>79436772.136000007</v>
      </c>
      <c r="DR23" s="40">
        <f t="shared" ca="1" si="127"/>
        <v>79436772.136000007</v>
      </c>
      <c r="DS23" s="40">
        <f t="shared" ca="1" si="127"/>
        <v>79436772.136000007</v>
      </c>
      <c r="DT23" s="40">
        <f t="shared" ca="1" si="127"/>
        <v>79436772.136000007</v>
      </c>
      <c r="DU23" s="40">
        <f t="shared" ca="1" si="127"/>
        <v>79436772.136000007</v>
      </c>
      <c r="DV23" s="40">
        <f t="shared" ca="1" si="127"/>
        <v>79436772.136000007</v>
      </c>
      <c r="DW23" s="40">
        <f t="shared" ca="1" si="127"/>
        <v>79436772.136000007</v>
      </c>
      <c r="DX23" s="40">
        <f t="shared" ca="1" si="127"/>
        <v>79436772.136000007</v>
      </c>
      <c r="DY23" s="40">
        <f t="shared" ca="1" si="127"/>
        <v>79436772.136000007</v>
      </c>
      <c r="DZ23" s="40">
        <f t="shared" ca="1" si="127"/>
        <v>79436772.136000007</v>
      </c>
      <c r="EA23" s="40">
        <f t="shared" ca="1" si="127"/>
        <v>79436772.136000007</v>
      </c>
      <c r="EB23" s="40">
        <f t="shared" ca="1" si="127"/>
        <v>79436772.136000007</v>
      </c>
      <c r="EC23" s="40">
        <f t="shared" ca="1" si="127"/>
        <v>79436772.136000007</v>
      </c>
      <c r="ED23" s="40">
        <f t="shared" ca="1" si="127"/>
        <v>79436772.136000007</v>
      </c>
      <c r="EE23" s="40">
        <f t="shared" ca="1" si="127"/>
        <v>79436772.136000007</v>
      </c>
      <c r="EF23" s="40">
        <f t="shared" ca="1" si="128"/>
        <v>79436772.136000007</v>
      </c>
      <c r="EG23" s="40">
        <f t="shared" ca="1" si="128"/>
        <v>79436772.136000007</v>
      </c>
      <c r="EH23" s="40">
        <f t="shared" ca="1" si="128"/>
        <v>79436772.136000007</v>
      </c>
      <c r="EI23" s="40">
        <f t="shared" ca="1" si="128"/>
        <v>79436772.136000007</v>
      </c>
      <c r="EJ23" s="40">
        <f t="shared" ca="1" si="128"/>
        <v>79436772.136000007</v>
      </c>
      <c r="EK23" s="40">
        <f t="shared" ca="1" si="128"/>
        <v>79436772.136000007</v>
      </c>
      <c r="EL23" s="40">
        <f t="shared" ca="1" si="128"/>
        <v>79436772.136000007</v>
      </c>
      <c r="EM23" s="40">
        <f t="shared" ca="1" si="128"/>
        <v>79436772.136000007</v>
      </c>
      <c r="EN23" s="40">
        <f t="shared" ca="1" si="128"/>
        <v>79436772.136000007</v>
      </c>
      <c r="EO23" s="40">
        <f t="shared" ca="1" si="128"/>
        <v>79436772.136000007</v>
      </c>
      <c r="EP23" s="40">
        <f t="shared" ca="1" si="128"/>
        <v>79436772.136000007</v>
      </c>
      <c r="EQ23" s="40">
        <f t="shared" ca="1" si="128"/>
        <v>79436772.136000007</v>
      </c>
      <c r="ER23" s="40">
        <f t="shared" ca="1" si="128"/>
        <v>79436772.136000007</v>
      </c>
      <c r="ES23" s="40">
        <f t="shared" ca="1" si="128"/>
        <v>79436772.136000007</v>
      </c>
      <c r="ET23" s="40">
        <f t="shared" ca="1" si="128"/>
        <v>79436772.136000007</v>
      </c>
      <c r="EU23" s="40">
        <f t="shared" ca="1" si="128"/>
        <v>79436772.136000007</v>
      </c>
      <c r="EV23" s="40">
        <f t="shared" ca="1" si="128"/>
        <v>79436772.136000007</v>
      </c>
      <c r="EW23" s="40">
        <f t="shared" ca="1" si="128"/>
        <v>79436772.136000007</v>
      </c>
      <c r="EX23" s="40">
        <f t="shared" ca="1" si="128"/>
        <v>79436772.136000007</v>
      </c>
      <c r="EY23" s="40">
        <f t="shared" ca="1" si="128"/>
        <v>79436772.136000007</v>
      </c>
      <c r="EZ23" s="40">
        <f t="shared" ca="1" si="128"/>
        <v>79436772.136000007</v>
      </c>
      <c r="FA23" s="40">
        <f t="shared" ca="1" si="128"/>
        <v>79436772.136000007</v>
      </c>
      <c r="FB23" s="40">
        <f t="shared" ca="1" si="128"/>
        <v>79436772.136000007</v>
      </c>
      <c r="FC23" s="40">
        <f t="shared" ca="1" si="128"/>
        <v>79436772.136000007</v>
      </c>
      <c r="FD23" s="40">
        <f t="shared" ca="1" si="128"/>
        <v>79436772.136000007</v>
      </c>
      <c r="FE23" s="40">
        <f t="shared" ca="1" si="128"/>
        <v>79436772.136000007</v>
      </c>
      <c r="FF23" s="40">
        <f t="shared" ca="1" si="128"/>
        <v>79436772.136000007</v>
      </c>
      <c r="FG23" s="40">
        <f t="shared" ca="1" si="128"/>
        <v>79436772.136000007</v>
      </c>
      <c r="FH23" s="40">
        <f t="shared" ca="1" si="128"/>
        <v>79436772.136000007</v>
      </c>
      <c r="FI23" s="40">
        <f t="shared" ca="1" si="128"/>
        <v>79436772.136000007</v>
      </c>
      <c r="FJ23" s="40">
        <f t="shared" ca="1" si="128"/>
        <v>79436772.136000007</v>
      </c>
      <c r="FK23" s="40">
        <f t="shared" ca="1" si="128"/>
        <v>79436772.136000007</v>
      </c>
      <c r="FL23" s="40">
        <f t="shared" ca="1" si="128"/>
        <v>79436772.136000007</v>
      </c>
      <c r="FM23" s="40">
        <f t="shared" ca="1" si="128"/>
        <v>79436772.136000007</v>
      </c>
      <c r="FN23" s="40">
        <f t="shared" ca="1" si="128"/>
        <v>79436772.136000007</v>
      </c>
      <c r="FO23" s="40">
        <f t="shared" ca="1" si="128"/>
        <v>79436772.136000007</v>
      </c>
      <c r="FP23" s="40">
        <f t="shared" ca="1" si="128"/>
        <v>79436772.136000007</v>
      </c>
      <c r="FQ23" s="40">
        <f t="shared" ca="1" si="128"/>
        <v>79436772.136000007</v>
      </c>
      <c r="FR23" s="40">
        <f t="shared" ca="1" si="128"/>
        <v>79436772.136000007</v>
      </c>
      <c r="FS23" s="40">
        <f t="shared" ca="1" si="128"/>
        <v>79436772.136000007</v>
      </c>
      <c r="FT23" s="40">
        <f t="shared" ca="1" si="128"/>
        <v>79436772.136000007</v>
      </c>
      <c r="FU23" s="40">
        <f t="shared" ca="1" si="128"/>
        <v>79436772.136000007</v>
      </c>
      <c r="FV23" s="40">
        <f t="shared" ca="1" si="128"/>
        <v>79436772.136000007</v>
      </c>
      <c r="FW23" s="40">
        <f t="shared" ca="1" si="128"/>
        <v>79436772.136000007</v>
      </c>
      <c r="FX23" s="40">
        <f t="shared" ca="1" si="128"/>
        <v>79436772.136000007</v>
      </c>
      <c r="FY23" s="40">
        <f t="shared" ca="1" si="128"/>
        <v>79436772.136000007</v>
      </c>
      <c r="FZ23" s="40">
        <f t="shared" ca="1" si="128"/>
        <v>79436772.136000007</v>
      </c>
      <c r="GA23" s="40">
        <f t="shared" ca="1" si="128"/>
        <v>79436772.136000007</v>
      </c>
      <c r="GB23" s="40">
        <f t="shared" ca="1" si="128"/>
        <v>79436772.136000007</v>
      </c>
      <c r="GC23" s="40">
        <f t="shared" ca="1" si="128"/>
        <v>79436772.136000007</v>
      </c>
      <c r="GD23" s="40">
        <f t="shared" ca="1" si="128"/>
        <v>79436772.136000007</v>
      </c>
      <c r="GE23" s="40">
        <f t="shared" ca="1" si="128"/>
        <v>79436772.136000007</v>
      </c>
      <c r="GF23" s="40">
        <f t="shared" ca="1" si="128"/>
        <v>79436772.136000007</v>
      </c>
      <c r="GG23" s="40">
        <f t="shared" ca="1" si="128"/>
        <v>79436772.136000007</v>
      </c>
      <c r="GH23" s="40">
        <f t="shared" ca="1" si="128"/>
        <v>79436772.136000007</v>
      </c>
      <c r="GI23" s="40">
        <f t="shared" ca="1" si="128"/>
        <v>79436772.136000007</v>
      </c>
      <c r="GJ23" s="40">
        <f t="shared" ca="1" si="128"/>
        <v>79436772.136000007</v>
      </c>
      <c r="GK23" s="40">
        <f t="shared" ca="1" si="128"/>
        <v>79436772.136000007</v>
      </c>
      <c r="GL23" s="40">
        <f t="shared" ca="1" si="128"/>
        <v>79436772.136000007</v>
      </c>
      <c r="GM23" s="40">
        <f t="shared" ca="1" si="128"/>
        <v>79436772.136000007</v>
      </c>
      <c r="GN23" s="40">
        <f t="shared" ca="1" si="128"/>
        <v>79436772.136000007</v>
      </c>
      <c r="GO23" s="40">
        <f t="shared" ca="1" si="128"/>
        <v>79436772.136000007</v>
      </c>
      <c r="GP23" s="40">
        <f t="shared" ca="1" si="128"/>
        <v>79436772.136000007</v>
      </c>
      <c r="GQ23" s="40">
        <f t="shared" ca="1" si="128"/>
        <v>79436772.136000007</v>
      </c>
      <c r="GR23" s="40">
        <f t="shared" ca="1" si="129"/>
        <v>79436772.136000007</v>
      </c>
      <c r="GS23" s="40">
        <f t="shared" ca="1" si="129"/>
        <v>79436772.136000007</v>
      </c>
      <c r="GT23" s="40">
        <f t="shared" ca="1" si="129"/>
        <v>79436772.136000007</v>
      </c>
      <c r="GU23" s="40">
        <f t="shared" ca="1" si="129"/>
        <v>79436772.136000007</v>
      </c>
      <c r="GV23" s="40">
        <f t="shared" ca="1" si="129"/>
        <v>79436772.136000007</v>
      </c>
      <c r="GW23" s="40">
        <f t="shared" ca="1" si="129"/>
        <v>79436772.136000007</v>
      </c>
      <c r="GX23" s="40">
        <f t="shared" ca="1" si="129"/>
        <v>79436772.136000007</v>
      </c>
      <c r="GY23" s="40">
        <f t="shared" ca="1" si="129"/>
        <v>79436772.136000007</v>
      </c>
      <c r="GZ23" s="40">
        <f t="shared" ca="1" si="129"/>
        <v>79436772.136000007</v>
      </c>
      <c r="HA23" s="40">
        <f t="shared" ca="1" si="129"/>
        <v>79436772.136000007</v>
      </c>
      <c r="HB23" s="40">
        <f t="shared" ca="1" si="129"/>
        <v>79436772.136000007</v>
      </c>
      <c r="HC23" s="40">
        <f t="shared" ca="1" si="129"/>
        <v>79436772.136000007</v>
      </c>
      <c r="HD23" s="40">
        <f t="shared" ca="1" si="129"/>
        <v>79436772.136000007</v>
      </c>
      <c r="HE23" s="40">
        <f t="shared" ca="1" si="129"/>
        <v>79436772.136000007</v>
      </c>
      <c r="HF23" s="40">
        <f t="shared" ca="1" si="129"/>
        <v>79436772.136000007</v>
      </c>
      <c r="HG23" s="40">
        <f t="shared" ca="1" si="129"/>
        <v>79436772.136000007</v>
      </c>
      <c r="HH23" s="40">
        <f t="shared" ca="1" si="129"/>
        <v>79436772.136000007</v>
      </c>
      <c r="HI23" s="40">
        <f t="shared" ca="1" si="129"/>
        <v>79436772.136000007</v>
      </c>
      <c r="HJ23" s="40">
        <f t="shared" ca="1" si="129"/>
        <v>79436772.136000007</v>
      </c>
      <c r="HK23" s="40">
        <f t="shared" ca="1" si="129"/>
        <v>79436772.136000007</v>
      </c>
      <c r="HL23" s="40">
        <f t="shared" ca="1" si="129"/>
        <v>79436772.136000007</v>
      </c>
      <c r="HM23" s="40">
        <f t="shared" ca="1" si="129"/>
        <v>79436772.136000007</v>
      </c>
      <c r="HN23" s="40">
        <f t="shared" ca="1" si="129"/>
        <v>79436772.136000007</v>
      </c>
      <c r="HO23" s="40">
        <f t="shared" ca="1" si="129"/>
        <v>79436772.136000007</v>
      </c>
      <c r="HP23" s="40">
        <f t="shared" ca="1" si="129"/>
        <v>79436772.136000007</v>
      </c>
      <c r="HQ23" s="40">
        <f t="shared" ca="1" si="129"/>
        <v>79436772.136000007</v>
      </c>
      <c r="HR23" s="40">
        <f t="shared" ca="1" si="129"/>
        <v>79436772.136000007</v>
      </c>
      <c r="HS23" s="40">
        <f t="shared" ca="1" si="129"/>
        <v>79436772.136000007</v>
      </c>
      <c r="HT23" s="40">
        <f t="shared" ca="1" si="129"/>
        <v>79436772.136000007</v>
      </c>
      <c r="HU23" s="40">
        <f t="shared" ca="1" si="129"/>
        <v>79436772.136000007</v>
      </c>
      <c r="HV23" s="40">
        <f t="shared" ca="1" si="129"/>
        <v>79436772.136000007</v>
      </c>
      <c r="HW23" s="40">
        <f t="shared" ca="1" si="129"/>
        <v>79436772.136000007</v>
      </c>
      <c r="HX23" s="40">
        <f t="shared" ca="1" si="129"/>
        <v>79436772.136000007</v>
      </c>
      <c r="HY23" s="40">
        <f t="shared" ca="1" si="129"/>
        <v>79436772.136000007</v>
      </c>
      <c r="HZ23" s="40">
        <f t="shared" ca="1" si="129"/>
        <v>79436772.136000007</v>
      </c>
      <c r="IA23" s="40">
        <f t="shared" ca="1" si="129"/>
        <v>79436772.136000007</v>
      </c>
      <c r="IB23" s="40">
        <f t="shared" ca="1" si="129"/>
        <v>79436772.136000007</v>
      </c>
      <c r="IC23" s="40">
        <f t="shared" ca="1" si="129"/>
        <v>79436772.136000007</v>
      </c>
      <c r="ID23" s="40">
        <f t="shared" ca="1" si="129"/>
        <v>79436772.136000007</v>
      </c>
      <c r="IE23" s="40">
        <f t="shared" ca="1" si="129"/>
        <v>79436772.136000007</v>
      </c>
      <c r="IF23" s="40">
        <f t="shared" ca="1" si="129"/>
        <v>79436772.136000007</v>
      </c>
      <c r="IG23" s="40">
        <f t="shared" ca="1" si="129"/>
        <v>79436772.136000007</v>
      </c>
      <c r="IH23" s="40">
        <f t="shared" ca="1" si="129"/>
        <v>79436772.136000007</v>
      </c>
      <c r="II23" s="40">
        <f t="shared" ca="1" si="129"/>
        <v>79436772.136000007</v>
      </c>
      <c r="IJ23" s="40">
        <f t="shared" ca="1" si="129"/>
        <v>79436772.136000007</v>
      </c>
      <c r="IK23" s="40">
        <f t="shared" ca="1" si="129"/>
        <v>79436772.136000007</v>
      </c>
      <c r="IL23" s="40">
        <f t="shared" ca="1" si="129"/>
        <v>79436772.136000007</v>
      </c>
      <c r="IM23" s="40">
        <f t="shared" ca="1" si="129"/>
        <v>79436772.136000007</v>
      </c>
      <c r="IN23" s="40">
        <f t="shared" ca="1" si="129"/>
        <v>79436772.136000007</v>
      </c>
    </row>
    <row r="24" spans="2:248" x14ac:dyDescent="0.3">
      <c r="B24" s="19" t="s">
        <v>499</v>
      </c>
      <c r="C24" s="54" t="str">
        <f>IF(VLOOKUP(B2,Country_Data!C:H,6,FALSE)="","Not initiated",VLOOKUP(B2,Country_Data!C:H,6,FALSE))</f>
        <v>Not initiated</v>
      </c>
    </row>
    <row r="25" spans="2:248" x14ac:dyDescent="0.3">
      <c r="F25" s="19" t="s">
        <v>474</v>
      </c>
      <c r="G25" s="27">
        <f t="shared" ref="G25:BR25" ca="1" si="132">IF(G3=TODAY(),1,-1000)</f>
        <v>-1000</v>
      </c>
      <c r="H25" s="27">
        <f t="shared" ca="1" si="132"/>
        <v>-1000</v>
      </c>
      <c r="I25" s="27">
        <f t="shared" ca="1" si="132"/>
        <v>-1000</v>
      </c>
      <c r="J25" s="27">
        <f t="shared" ca="1" si="132"/>
        <v>-1000</v>
      </c>
      <c r="K25" s="27">
        <f t="shared" ca="1" si="132"/>
        <v>-1000</v>
      </c>
      <c r="L25" s="27">
        <f t="shared" ca="1" si="132"/>
        <v>-1000</v>
      </c>
      <c r="M25" s="27">
        <f t="shared" ca="1" si="132"/>
        <v>-1000</v>
      </c>
      <c r="N25" s="27">
        <f t="shared" ca="1" si="132"/>
        <v>-1000</v>
      </c>
      <c r="O25" s="27">
        <f t="shared" ca="1" si="132"/>
        <v>-1000</v>
      </c>
      <c r="P25" s="27">
        <f t="shared" ca="1" si="132"/>
        <v>-1000</v>
      </c>
      <c r="Q25" s="27">
        <f t="shared" ca="1" si="132"/>
        <v>-1000</v>
      </c>
      <c r="R25" s="27">
        <f t="shared" ca="1" si="132"/>
        <v>-1000</v>
      </c>
      <c r="S25" s="27">
        <f t="shared" ca="1" si="132"/>
        <v>-1000</v>
      </c>
      <c r="T25" s="27">
        <f t="shared" ca="1" si="132"/>
        <v>-1000</v>
      </c>
      <c r="U25" s="27">
        <f t="shared" ca="1" si="132"/>
        <v>-1000</v>
      </c>
      <c r="V25" s="27">
        <f t="shared" ca="1" si="132"/>
        <v>-1000</v>
      </c>
      <c r="W25" s="27">
        <f t="shared" ca="1" si="132"/>
        <v>-1000</v>
      </c>
      <c r="X25" s="27">
        <f t="shared" ca="1" si="132"/>
        <v>-1000</v>
      </c>
      <c r="Y25" s="27">
        <f t="shared" ca="1" si="132"/>
        <v>-1000</v>
      </c>
      <c r="Z25" s="27">
        <f t="shared" ca="1" si="132"/>
        <v>-1000</v>
      </c>
      <c r="AA25" s="27">
        <f t="shared" ca="1" si="132"/>
        <v>-1000</v>
      </c>
      <c r="AB25" s="27">
        <f t="shared" ca="1" si="132"/>
        <v>-1000</v>
      </c>
      <c r="AC25" s="27">
        <f t="shared" ca="1" si="132"/>
        <v>-1000</v>
      </c>
      <c r="AD25" s="27">
        <f t="shared" ca="1" si="132"/>
        <v>-1000</v>
      </c>
      <c r="AE25" s="27">
        <f t="shared" ca="1" si="132"/>
        <v>-1000</v>
      </c>
      <c r="AF25" s="27">
        <f t="shared" ca="1" si="132"/>
        <v>-1000</v>
      </c>
      <c r="AG25" s="27">
        <f t="shared" ca="1" si="132"/>
        <v>-1000</v>
      </c>
      <c r="AH25" s="27">
        <f t="shared" ca="1" si="132"/>
        <v>-1000</v>
      </c>
      <c r="AI25" s="27">
        <f t="shared" ca="1" si="132"/>
        <v>-1000</v>
      </c>
      <c r="AJ25" s="27">
        <f t="shared" ca="1" si="132"/>
        <v>-1000</v>
      </c>
      <c r="AK25" s="27">
        <f t="shared" ca="1" si="132"/>
        <v>-1000</v>
      </c>
      <c r="AL25" s="27">
        <f t="shared" ca="1" si="132"/>
        <v>-1000</v>
      </c>
      <c r="AM25" s="27">
        <f t="shared" ca="1" si="132"/>
        <v>-1000</v>
      </c>
      <c r="AN25" s="27">
        <f t="shared" ca="1" si="132"/>
        <v>-1000</v>
      </c>
      <c r="AO25" s="27">
        <f t="shared" ca="1" si="132"/>
        <v>-1000</v>
      </c>
      <c r="AP25" s="27">
        <f t="shared" ca="1" si="132"/>
        <v>-1000</v>
      </c>
      <c r="AQ25" s="27">
        <f t="shared" ca="1" si="132"/>
        <v>-1000</v>
      </c>
      <c r="AR25" s="27">
        <f t="shared" ca="1" si="132"/>
        <v>-1000</v>
      </c>
      <c r="AS25" s="27">
        <f t="shared" ca="1" si="132"/>
        <v>-1000</v>
      </c>
      <c r="AT25" s="27">
        <f t="shared" ca="1" si="132"/>
        <v>-1000</v>
      </c>
      <c r="AU25" s="27">
        <f t="shared" ca="1" si="132"/>
        <v>-1000</v>
      </c>
      <c r="AV25" s="27">
        <f t="shared" ca="1" si="132"/>
        <v>-1000</v>
      </c>
      <c r="AW25" s="27">
        <f t="shared" ca="1" si="132"/>
        <v>-1000</v>
      </c>
      <c r="AX25" s="27">
        <f t="shared" ca="1" si="132"/>
        <v>-1000</v>
      </c>
      <c r="AY25" s="27">
        <f t="shared" ca="1" si="132"/>
        <v>-1000</v>
      </c>
      <c r="AZ25" s="27">
        <f t="shared" ca="1" si="132"/>
        <v>-1000</v>
      </c>
      <c r="BA25" s="27">
        <f t="shared" ca="1" si="132"/>
        <v>-1000</v>
      </c>
      <c r="BB25" s="27">
        <f t="shared" ca="1" si="132"/>
        <v>-1000</v>
      </c>
      <c r="BC25" s="27">
        <f t="shared" ca="1" si="132"/>
        <v>-1000</v>
      </c>
      <c r="BD25" s="27">
        <f t="shared" ca="1" si="132"/>
        <v>-1000</v>
      </c>
      <c r="BE25" s="27">
        <f t="shared" ca="1" si="132"/>
        <v>-1000</v>
      </c>
      <c r="BF25" s="27">
        <f t="shared" ca="1" si="132"/>
        <v>-1000</v>
      </c>
      <c r="BG25" s="27">
        <f t="shared" ca="1" si="132"/>
        <v>-1000</v>
      </c>
      <c r="BH25" s="27">
        <f t="shared" ca="1" si="132"/>
        <v>-1000</v>
      </c>
      <c r="BI25" s="27">
        <f t="shared" ca="1" si="132"/>
        <v>-1000</v>
      </c>
      <c r="BJ25" s="27">
        <f t="shared" ca="1" si="132"/>
        <v>-1000</v>
      </c>
      <c r="BK25" s="27">
        <f t="shared" ca="1" si="132"/>
        <v>-1000</v>
      </c>
      <c r="BL25" s="27">
        <f t="shared" ca="1" si="132"/>
        <v>-1000</v>
      </c>
      <c r="BM25" s="27">
        <f t="shared" ca="1" si="132"/>
        <v>-1000</v>
      </c>
      <c r="BN25" s="27">
        <f t="shared" ca="1" si="132"/>
        <v>-1000</v>
      </c>
      <c r="BO25" s="27">
        <f t="shared" ca="1" si="132"/>
        <v>-1000</v>
      </c>
      <c r="BP25" s="27">
        <f t="shared" ca="1" si="132"/>
        <v>-1000</v>
      </c>
      <c r="BQ25" s="27">
        <f t="shared" ca="1" si="132"/>
        <v>-1000</v>
      </c>
      <c r="BR25" s="27">
        <f t="shared" ca="1" si="132"/>
        <v>-1000</v>
      </c>
      <c r="BS25" s="27">
        <f t="shared" ref="BS25:ED25" ca="1" si="133">IF(BS3=TODAY(),1,-1000)</f>
        <v>-1000</v>
      </c>
      <c r="BT25" s="27">
        <f t="shared" ca="1" si="133"/>
        <v>-1000</v>
      </c>
      <c r="BU25" s="27">
        <f t="shared" ca="1" si="133"/>
        <v>-1000</v>
      </c>
      <c r="BV25" s="27">
        <f t="shared" ca="1" si="133"/>
        <v>1</v>
      </c>
      <c r="BW25" s="27">
        <f t="shared" ca="1" si="133"/>
        <v>-1000</v>
      </c>
      <c r="BX25" s="27">
        <f t="shared" ca="1" si="133"/>
        <v>-1000</v>
      </c>
      <c r="BY25" s="27">
        <f t="shared" ca="1" si="133"/>
        <v>-1000</v>
      </c>
      <c r="BZ25" s="27">
        <f t="shared" ca="1" si="133"/>
        <v>-1000</v>
      </c>
      <c r="CA25" s="27">
        <f t="shared" ca="1" si="133"/>
        <v>-1000</v>
      </c>
      <c r="CB25" s="27">
        <f t="shared" ca="1" si="133"/>
        <v>-1000</v>
      </c>
      <c r="CC25" s="27">
        <f t="shared" ca="1" si="133"/>
        <v>-1000</v>
      </c>
      <c r="CD25" s="27">
        <f t="shared" ca="1" si="133"/>
        <v>-1000</v>
      </c>
      <c r="CE25" s="27">
        <f t="shared" ca="1" si="133"/>
        <v>-1000</v>
      </c>
      <c r="CF25" s="27">
        <f t="shared" ca="1" si="133"/>
        <v>-1000</v>
      </c>
      <c r="CG25" s="27">
        <f t="shared" ca="1" si="133"/>
        <v>-1000</v>
      </c>
      <c r="CH25" s="27">
        <f t="shared" ca="1" si="133"/>
        <v>-1000</v>
      </c>
      <c r="CI25" s="27">
        <f t="shared" ca="1" si="133"/>
        <v>-1000</v>
      </c>
      <c r="CJ25" s="27">
        <f t="shared" ca="1" si="133"/>
        <v>-1000</v>
      </c>
      <c r="CK25" s="27">
        <f t="shared" ca="1" si="133"/>
        <v>-1000</v>
      </c>
      <c r="CL25" s="27">
        <f t="shared" ca="1" si="133"/>
        <v>-1000</v>
      </c>
      <c r="CM25" s="27">
        <f t="shared" ca="1" si="133"/>
        <v>-1000</v>
      </c>
      <c r="CN25" s="27">
        <f t="shared" ca="1" si="133"/>
        <v>-1000</v>
      </c>
      <c r="CO25" s="27">
        <f t="shared" ca="1" si="133"/>
        <v>-1000</v>
      </c>
      <c r="CP25" s="27">
        <f t="shared" ca="1" si="133"/>
        <v>-1000</v>
      </c>
      <c r="CQ25" s="27">
        <f t="shared" ca="1" si="133"/>
        <v>-1000</v>
      </c>
      <c r="CR25" s="27">
        <f t="shared" ca="1" si="133"/>
        <v>-1000</v>
      </c>
      <c r="CS25" s="27">
        <f t="shared" ca="1" si="133"/>
        <v>-1000</v>
      </c>
      <c r="CT25" s="27">
        <f t="shared" ca="1" si="133"/>
        <v>-1000</v>
      </c>
      <c r="CU25" s="27">
        <f t="shared" ca="1" si="133"/>
        <v>-1000</v>
      </c>
      <c r="CV25" s="27">
        <f t="shared" ca="1" si="133"/>
        <v>-1000</v>
      </c>
      <c r="CW25" s="27">
        <f t="shared" ca="1" si="133"/>
        <v>-1000</v>
      </c>
      <c r="CX25" s="27">
        <f t="shared" ca="1" si="133"/>
        <v>-1000</v>
      </c>
      <c r="CY25" s="27">
        <f t="shared" ca="1" si="133"/>
        <v>-1000</v>
      </c>
      <c r="CZ25" s="27">
        <f t="shared" ca="1" si="133"/>
        <v>-1000</v>
      </c>
      <c r="DA25" s="27">
        <f t="shared" ca="1" si="133"/>
        <v>-1000</v>
      </c>
      <c r="DB25" s="27">
        <f t="shared" ca="1" si="133"/>
        <v>-1000</v>
      </c>
      <c r="DC25" s="27">
        <f t="shared" ca="1" si="133"/>
        <v>-1000</v>
      </c>
      <c r="DD25" s="27">
        <f t="shared" ca="1" si="133"/>
        <v>-1000</v>
      </c>
      <c r="DE25" s="27">
        <f t="shared" ca="1" si="133"/>
        <v>-1000</v>
      </c>
      <c r="DF25" s="27">
        <f t="shared" ca="1" si="133"/>
        <v>-1000</v>
      </c>
      <c r="DG25" s="27">
        <f t="shared" ca="1" si="133"/>
        <v>-1000</v>
      </c>
      <c r="DH25" s="27">
        <f t="shared" ca="1" si="133"/>
        <v>-1000</v>
      </c>
      <c r="DI25" s="27">
        <f t="shared" ca="1" si="133"/>
        <v>-1000</v>
      </c>
      <c r="DJ25" s="27">
        <f t="shared" ca="1" si="133"/>
        <v>-1000</v>
      </c>
      <c r="DK25" s="27">
        <f t="shared" ca="1" si="133"/>
        <v>-1000</v>
      </c>
      <c r="DL25" s="27">
        <f t="shared" ca="1" si="133"/>
        <v>-1000</v>
      </c>
      <c r="DM25" s="27">
        <f t="shared" ca="1" si="133"/>
        <v>-1000</v>
      </c>
      <c r="DN25" s="27">
        <f t="shared" ca="1" si="133"/>
        <v>-1000</v>
      </c>
      <c r="DO25" s="27">
        <f t="shared" ca="1" si="133"/>
        <v>-1000</v>
      </c>
      <c r="DP25" s="27">
        <f t="shared" ca="1" si="133"/>
        <v>-1000</v>
      </c>
      <c r="DQ25" s="27">
        <f t="shared" ca="1" si="133"/>
        <v>-1000</v>
      </c>
      <c r="DR25" s="27">
        <f t="shared" ca="1" si="133"/>
        <v>-1000</v>
      </c>
      <c r="DS25" s="27">
        <f t="shared" ca="1" si="133"/>
        <v>-1000</v>
      </c>
      <c r="DT25" s="27">
        <f t="shared" ca="1" si="133"/>
        <v>-1000</v>
      </c>
      <c r="DU25" s="27">
        <f t="shared" ca="1" si="133"/>
        <v>-1000</v>
      </c>
      <c r="DV25" s="27">
        <f t="shared" ca="1" si="133"/>
        <v>-1000</v>
      </c>
      <c r="DW25" s="27">
        <f t="shared" ca="1" si="133"/>
        <v>-1000</v>
      </c>
      <c r="DX25" s="27">
        <f t="shared" ca="1" si="133"/>
        <v>-1000</v>
      </c>
      <c r="DY25" s="27">
        <f t="shared" ca="1" si="133"/>
        <v>-1000</v>
      </c>
      <c r="DZ25" s="27">
        <f t="shared" ca="1" si="133"/>
        <v>-1000</v>
      </c>
      <c r="EA25" s="27">
        <f t="shared" ca="1" si="133"/>
        <v>-1000</v>
      </c>
      <c r="EB25" s="27">
        <f t="shared" ca="1" si="133"/>
        <v>-1000</v>
      </c>
      <c r="EC25" s="27">
        <f t="shared" ca="1" si="133"/>
        <v>-1000</v>
      </c>
      <c r="ED25" s="27">
        <f t="shared" ca="1" si="133"/>
        <v>-1000</v>
      </c>
      <c r="EE25" s="27">
        <f t="shared" ref="EE25:GP25" ca="1" si="134">IF(EE3=TODAY(),1,-1000)</f>
        <v>-1000</v>
      </c>
      <c r="EF25" s="27">
        <f t="shared" ca="1" si="134"/>
        <v>-1000</v>
      </c>
      <c r="EG25" s="27">
        <f t="shared" ca="1" si="134"/>
        <v>-1000</v>
      </c>
      <c r="EH25" s="27">
        <f t="shared" ca="1" si="134"/>
        <v>-1000</v>
      </c>
      <c r="EI25" s="27">
        <f t="shared" ca="1" si="134"/>
        <v>-1000</v>
      </c>
      <c r="EJ25" s="27">
        <f t="shared" ca="1" si="134"/>
        <v>-1000</v>
      </c>
      <c r="EK25" s="27">
        <f t="shared" ca="1" si="134"/>
        <v>-1000</v>
      </c>
      <c r="EL25" s="27">
        <f t="shared" ca="1" si="134"/>
        <v>-1000</v>
      </c>
      <c r="EM25" s="27">
        <f t="shared" ca="1" si="134"/>
        <v>-1000</v>
      </c>
      <c r="EN25" s="27">
        <f t="shared" ca="1" si="134"/>
        <v>-1000</v>
      </c>
      <c r="EO25" s="27">
        <f t="shared" ca="1" si="134"/>
        <v>-1000</v>
      </c>
      <c r="EP25" s="27">
        <f t="shared" ca="1" si="134"/>
        <v>-1000</v>
      </c>
      <c r="EQ25" s="27">
        <f t="shared" ca="1" si="134"/>
        <v>-1000</v>
      </c>
      <c r="ER25" s="27">
        <f t="shared" ca="1" si="134"/>
        <v>-1000</v>
      </c>
      <c r="ES25" s="27">
        <f t="shared" ca="1" si="134"/>
        <v>-1000</v>
      </c>
      <c r="ET25" s="27">
        <f t="shared" ca="1" si="134"/>
        <v>-1000</v>
      </c>
      <c r="EU25" s="27">
        <f t="shared" ca="1" si="134"/>
        <v>-1000</v>
      </c>
      <c r="EV25" s="27">
        <f t="shared" ca="1" si="134"/>
        <v>-1000</v>
      </c>
      <c r="EW25" s="27">
        <f t="shared" ca="1" si="134"/>
        <v>-1000</v>
      </c>
      <c r="EX25" s="27">
        <f t="shared" ca="1" si="134"/>
        <v>-1000</v>
      </c>
      <c r="EY25" s="27">
        <f t="shared" ca="1" si="134"/>
        <v>-1000</v>
      </c>
      <c r="EZ25" s="27">
        <f t="shared" ca="1" si="134"/>
        <v>-1000</v>
      </c>
      <c r="FA25" s="27">
        <f t="shared" ca="1" si="134"/>
        <v>-1000</v>
      </c>
      <c r="FB25" s="27">
        <f t="shared" ca="1" si="134"/>
        <v>-1000</v>
      </c>
      <c r="FC25" s="27">
        <f t="shared" ca="1" si="134"/>
        <v>-1000</v>
      </c>
      <c r="FD25" s="27">
        <f t="shared" ca="1" si="134"/>
        <v>-1000</v>
      </c>
      <c r="FE25" s="27">
        <f t="shared" ca="1" si="134"/>
        <v>-1000</v>
      </c>
      <c r="FF25" s="27">
        <f t="shared" ca="1" si="134"/>
        <v>-1000</v>
      </c>
      <c r="FG25" s="27">
        <f t="shared" ca="1" si="134"/>
        <v>-1000</v>
      </c>
      <c r="FH25" s="27">
        <f t="shared" ca="1" si="134"/>
        <v>-1000</v>
      </c>
      <c r="FI25" s="27">
        <f t="shared" ca="1" si="134"/>
        <v>-1000</v>
      </c>
      <c r="FJ25" s="27">
        <f t="shared" ca="1" si="134"/>
        <v>-1000</v>
      </c>
      <c r="FK25" s="27">
        <f t="shared" ca="1" si="134"/>
        <v>-1000</v>
      </c>
      <c r="FL25" s="27">
        <f t="shared" ca="1" si="134"/>
        <v>-1000</v>
      </c>
      <c r="FM25" s="27">
        <f t="shared" ca="1" si="134"/>
        <v>-1000</v>
      </c>
      <c r="FN25" s="27">
        <f t="shared" ca="1" si="134"/>
        <v>-1000</v>
      </c>
      <c r="FO25" s="27">
        <f t="shared" ca="1" si="134"/>
        <v>-1000</v>
      </c>
      <c r="FP25" s="27">
        <f t="shared" ca="1" si="134"/>
        <v>-1000</v>
      </c>
      <c r="FQ25" s="27">
        <f t="shared" ca="1" si="134"/>
        <v>-1000</v>
      </c>
      <c r="FR25" s="27">
        <f t="shared" ca="1" si="134"/>
        <v>-1000</v>
      </c>
      <c r="FS25" s="27">
        <f t="shared" ca="1" si="134"/>
        <v>-1000</v>
      </c>
      <c r="FT25" s="27">
        <f t="shared" ca="1" si="134"/>
        <v>-1000</v>
      </c>
      <c r="FU25" s="27">
        <f t="shared" ca="1" si="134"/>
        <v>-1000</v>
      </c>
      <c r="FV25" s="27">
        <f t="shared" ca="1" si="134"/>
        <v>-1000</v>
      </c>
      <c r="FW25" s="27">
        <f t="shared" ca="1" si="134"/>
        <v>-1000</v>
      </c>
      <c r="FX25" s="27">
        <f t="shared" ca="1" si="134"/>
        <v>-1000</v>
      </c>
      <c r="FY25" s="27">
        <f t="shared" ca="1" si="134"/>
        <v>-1000</v>
      </c>
      <c r="FZ25" s="27">
        <f t="shared" ca="1" si="134"/>
        <v>-1000</v>
      </c>
      <c r="GA25" s="27">
        <f t="shared" ca="1" si="134"/>
        <v>-1000</v>
      </c>
      <c r="GB25" s="27">
        <f t="shared" ca="1" si="134"/>
        <v>-1000</v>
      </c>
      <c r="GC25" s="27">
        <f t="shared" ca="1" si="134"/>
        <v>-1000</v>
      </c>
      <c r="GD25" s="27">
        <f t="shared" ca="1" si="134"/>
        <v>-1000</v>
      </c>
      <c r="GE25" s="27">
        <f t="shared" ca="1" si="134"/>
        <v>-1000</v>
      </c>
      <c r="GF25" s="27">
        <f t="shared" ca="1" si="134"/>
        <v>-1000</v>
      </c>
      <c r="GG25" s="27">
        <f t="shared" ca="1" si="134"/>
        <v>-1000</v>
      </c>
      <c r="GH25" s="27">
        <f t="shared" ca="1" si="134"/>
        <v>-1000</v>
      </c>
      <c r="GI25" s="27">
        <f t="shared" ca="1" si="134"/>
        <v>-1000</v>
      </c>
      <c r="GJ25" s="27">
        <f t="shared" ca="1" si="134"/>
        <v>-1000</v>
      </c>
      <c r="GK25" s="27">
        <f t="shared" ca="1" si="134"/>
        <v>-1000</v>
      </c>
      <c r="GL25" s="27">
        <f t="shared" ca="1" si="134"/>
        <v>-1000</v>
      </c>
      <c r="GM25" s="27">
        <f t="shared" ca="1" si="134"/>
        <v>-1000</v>
      </c>
      <c r="GN25" s="27">
        <f t="shared" ca="1" si="134"/>
        <v>-1000</v>
      </c>
      <c r="GO25" s="27">
        <f t="shared" ca="1" si="134"/>
        <v>-1000</v>
      </c>
      <c r="GP25" s="27">
        <f t="shared" ca="1" si="134"/>
        <v>-1000</v>
      </c>
      <c r="GQ25" s="27">
        <f t="shared" ref="GQ25:IN25" ca="1" si="135">IF(GQ3=TODAY(),1,-1000)</f>
        <v>-1000</v>
      </c>
      <c r="GR25" s="27">
        <f t="shared" ca="1" si="135"/>
        <v>-1000</v>
      </c>
      <c r="GS25" s="27">
        <f t="shared" ca="1" si="135"/>
        <v>-1000</v>
      </c>
      <c r="GT25" s="27">
        <f t="shared" ca="1" si="135"/>
        <v>-1000</v>
      </c>
      <c r="GU25" s="27">
        <f t="shared" ca="1" si="135"/>
        <v>-1000</v>
      </c>
      <c r="GV25" s="27">
        <f t="shared" ca="1" si="135"/>
        <v>-1000</v>
      </c>
      <c r="GW25" s="27">
        <f t="shared" ca="1" si="135"/>
        <v>-1000</v>
      </c>
      <c r="GX25" s="27">
        <f t="shared" ca="1" si="135"/>
        <v>-1000</v>
      </c>
      <c r="GY25" s="27">
        <f t="shared" ca="1" si="135"/>
        <v>-1000</v>
      </c>
      <c r="GZ25" s="27">
        <f t="shared" ca="1" si="135"/>
        <v>-1000</v>
      </c>
      <c r="HA25" s="27">
        <f t="shared" ca="1" si="135"/>
        <v>-1000</v>
      </c>
      <c r="HB25" s="27">
        <f t="shared" ca="1" si="135"/>
        <v>-1000</v>
      </c>
      <c r="HC25" s="27">
        <f t="shared" ca="1" si="135"/>
        <v>-1000</v>
      </c>
      <c r="HD25" s="27">
        <f t="shared" ca="1" si="135"/>
        <v>-1000</v>
      </c>
      <c r="HE25" s="27">
        <f t="shared" ca="1" si="135"/>
        <v>-1000</v>
      </c>
      <c r="HF25" s="27">
        <f t="shared" ca="1" si="135"/>
        <v>-1000</v>
      </c>
      <c r="HG25" s="27">
        <f t="shared" ca="1" si="135"/>
        <v>-1000</v>
      </c>
      <c r="HH25" s="27">
        <f t="shared" ca="1" si="135"/>
        <v>-1000</v>
      </c>
      <c r="HI25" s="27">
        <f t="shared" ca="1" si="135"/>
        <v>-1000</v>
      </c>
      <c r="HJ25" s="27">
        <f t="shared" ca="1" si="135"/>
        <v>-1000</v>
      </c>
      <c r="HK25" s="27">
        <f t="shared" ca="1" si="135"/>
        <v>-1000</v>
      </c>
      <c r="HL25" s="27">
        <f t="shared" ca="1" si="135"/>
        <v>-1000</v>
      </c>
      <c r="HM25" s="27">
        <f t="shared" ca="1" si="135"/>
        <v>-1000</v>
      </c>
      <c r="HN25" s="27">
        <f t="shared" ca="1" si="135"/>
        <v>-1000</v>
      </c>
      <c r="HO25" s="27">
        <f t="shared" ca="1" si="135"/>
        <v>-1000</v>
      </c>
      <c r="HP25" s="27">
        <f t="shared" ca="1" si="135"/>
        <v>-1000</v>
      </c>
      <c r="HQ25" s="27">
        <f t="shared" ca="1" si="135"/>
        <v>-1000</v>
      </c>
      <c r="HR25" s="27">
        <f t="shared" ca="1" si="135"/>
        <v>-1000</v>
      </c>
      <c r="HS25" s="27">
        <f t="shared" ca="1" si="135"/>
        <v>-1000</v>
      </c>
      <c r="HT25" s="27">
        <f t="shared" ca="1" si="135"/>
        <v>-1000</v>
      </c>
      <c r="HU25" s="27">
        <f t="shared" ca="1" si="135"/>
        <v>-1000</v>
      </c>
      <c r="HV25" s="27">
        <f t="shared" ca="1" si="135"/>
        <v>-1000</v>
      </c>
      <c r="HW25" s="27">
        <f t="shared" ca="1" si="135"/>
        <v>-1000</v>
      </c>
      <c r="HX25" s="27">
        <f t="shared" ca="1" si="135"/>
        <v>-1000</v>
      </c>
      <c r="HY25" s="27">
        <f t="shared" ca="1" si="135"/>
        <v>-1000</v>
      </c>
      <c r="HZ25" s="27">
        <f t="shared" ca="1" si="135"/>
        <v>-1000</v>
      </c>
      <c r="IA25" s="27">
        <f t="shared" ca="1" si="135"/>
        <v>-1000</v>
      </c>
      <c r="IB25" s="27">
        <f t="shared" ca="1" si="135"/>
        <v>-1000</v>
      </c>
      <c r="IC25" s="27">
        <f t="shared" ca="1" si="135"/>
        <v>-1000</v>
      </c>
      <c r="ID25" s="27">
        <f t="shared" ca="1" si="135"/>
        <v>-1000</v>
      </c>
      <c r="IE25" s="27">
        <f t="shared" ca="1" si="135"/>
        <v>-1000</v>
      </c>
      <c r="IF25" s="27">
        <f t="shared" ca="1" si="135"/>
        <v>-1000</v>
      </c>
      <c r="IG25" s="27">
        <f t="shared" ca="1" si="135"/>
        <v>-1000</v>
      </c>
      <c r="IH25" s="27">
        <f t="shared" ca="1" si="135"/>
        <v>-1000</v>
      </c>
      <c r="II25" s="27">
        <f t="shared" ca="1" si="135"/>
        <v>-1000</v>
      </c>
      <c r="IJ25" s="27">
        <f t="shared" ca="1" si="135"/>
        <v>-1000</v>
      </c>
      <c r="IK25" s="27">
        <f t="shared" ca="1" si="135"/>
        <v>-1000</v>
      </c>
      <c r="IL25" s="27">
        <f t="shared" ca="1" si="135"/>
        <v>-1000</v>
      </c>
      <c r="IM25" s="27">
        <f t="shared" ca="1" si="135"/>
        <v>-1000</v>
      </c>
      <c r="IN25" s="27">
        <f t="shared" ca="1" si="135"/>
        <v>-1000</v>
      </c>
    </row>
    <row r="26" spans="2:248" x14ac:dyDescent="0.3">
      <c r="B26" s="19" t="s">
        <v>426</v>
      </c>
      <c r="C26" s="21">
        <v>0</v>
      </c>
      <c r="D26" s="19">
        <v>0</v>
      </c>
      <c r="F26" s="19" t="s">
        <v>475</v>
      </c>
      <c r="G26" s="26" t="e">
        <f>IF(AND(G20&gt;G19,F20&lt;F19),1,0)</f>
        <v>#N/A</v>
      </c>
      <c r="H26" s="26" t="e">
        <f t="shared" ref="H26:BS26" ca="1" si="136">IF(AND(H20&gt;H19,G20&lt;G19),1,0)</f>
        <v>#N/A</v>
      </c>
      <c r="I26" s="26" t="e">
        <f t="shared" ca="1" si="136"/>
        <v>#N/A</v>
      </c>
      <c r="J26" s="26" t="e">
        <f t="shared" ca="1" si="136"/>
        <v>#N/A</v>
      </c>
      <c r="K26" s="26" t="e">
        <f t="shared" ca="1" si="136"/>
        <v>#N/A</v>
      </c>
      <c r="L26" s="26" t="e">
        <f t="shared" ca="1" si="136"/>
        <v>#N/A</v>
      </c>
      <c r="M26" s="26" t="e">
        <f t="shared" ca="1" si="136"/>
        <v>#N/A</v>
      </c>
      <c r="N26" s="26" t="e">
        <f t="shared" ca="1" si="136"/>
        <v>#N/A</v>
      </c>
      <c r="O26" s="26" t="e">
        <f t="shared" ca="1" si="136"/>
        <v>#N/A</v>
      </c>
      <c r="P26" s="26" t="e">
        <f t="shared" ca="1" si="136"/>
        <v>#N/A</v>
      </c>
      <c r="Q26" s="26" t="e">
        <f t="shared" ca="1" si="136"/>
        <v>#N/A</v>
      </c>
      <c r="R26" s="26" t="e">
        <f t="shared" ca="1" si="136"/>
        <v>#N/A</v>
      </c>
      <c r="S26" s="26" t="e">
        <f t="shared" ca="1" si="136"/>
        <v>#N/A</v>
      </c>
      <c r="T26" s="26" t="e">
        <f t="shared" ca="1" si="136"/>
        <v>#N/A</v>
      </c>
      <c r="U26" s="26" t="e">
        <f t="shared" ca="1" si="136"/>
        <v>#N/A</v>
      </c>
      <c r="V26" s="26" t="e">
        <f t="shared" ca="1" si="136"/>
        <v>#N/A</v>
      </c>
      <c r="W26" s="26" t="e">
        <f t="shared" ca="1" si="136"/>
        <v>#N/A</v>
      </c>
      <c r="X26" s="26" t="e">
        <f t="shared" ca="1" si="136"/>
        <v>#N/A</v>
      </c>
      <c r="Y26" s="26" t="e">
        <f t="shared" ca="1" si="136"/>
        <v>#N/A</v>
      </c>
      <c r="Z26" s="26" t="e">
        <f t="shared" ca="1" si="136"/>
        <v>#N/A</v>
      </c>
      <c r="AA26" s="26" t="e">
        <f t="shared" ca="1" si="136"/>
        <v>#N/A</v>
      </c>
      <c r="AB26" s="26" t="e">
        <f t="shared" ca="1" si="136"/>
        <v>#N/A</v>
      </c>
      <c r="AC26" s="26" t="e">
        <f t="shared" ca="1" si="136"/>
        <v>#N/A</v>
      </c>
      <c r="AD26" s="26" t="e">
        <f t="shared" ca="1" si="136"/>
        <v>#N/A</v>
      </c>
      <c r="AE26" s="26" t="e">
        <f t="shared" ca="1" si="136"/>
        <v>#N/A</v>
      </c>
      <c r="AF26" s="26" t="e">
        <f t="shared" ca="1" si="136"/>
        <v>#N/A</v>
      </c>
      <c r="AG26" s="26" t="e">
        <f t="shared" ca="1" si="136"/>
        <v>#N/A</v>
      </c>
      <c r="AH26" s="26" t="e">
        <f t="shared" ca="1" si="136"/>
        <v>#N/A</v>
      </c>
      <c r="AI26" s="26" t="e">
        <f t="shared" ca="1" si="136"/>
        <v>#N/A</v>
      </c>
      <c r="AJ26" s="26" t="e">
        <f t="shared" ca="1" si="136"/>
        <v>#N/A</v>
      </c>
      <c r="AK26" s="26" t="e">
        <f t="shared" ca="1" si="136"/>
        <v>#N/A</v>
      </c>
      <c r="AL26" s="26" t="e">
        <f t="shared" ca="1" si="136"/>
        <v>#N/A</v>
      </c>
      <c r="AM26" s="26" t="e">
        <f t="shared" ca="1" si="136"/>
        <v>#N/A</v>
      </c>
      <c r="AN26" s="26" t="e">
        <f t="shared" ca="1" si="136"/>
        <v>#N/A</v>
      </c>
      <c r="AO26" s="26" t="e">
        <f t="shared" ca="1" si="136"/>
        <v>#N/A</v>
      </c>
      <c r="AP26" s="26" t="e">
        <f t="shared" ca="1" si="136"/>
        <v>#N/A</v>
      </c>
      <c r="AQ26" s="26" t="e">
        <f t="shared" ca="1" si="136"/>
        <v>#N/A</v>
      </c>
      <c r="AR26" s="26" t="e">
        <f t="shared" ca="1" si="136"/>
        <v>#N/A</v>
      </c>
      <c r="AS26" s="26" t="e">
        <f t="shared" ca="1" si="136"/>
        <v>#N/A</v>
      </c>
      <c r="AT26" s="26" t="e">
        <f t="shared" ca="1" si="136"/>
        <v>#N/A</v>
      </c>
      <c r="AU26" s="26" t="e">
        <f t="shared" ca="1" si="136"/>
        <v>#N/A</v>
      </c>
      <c r="AV26" s="26" t="e">
        <f t="shared" ca="1" si="136"/>
        <v>#N/A</v>
      </c>
      <c r="AW26" s="26" t="e">
        <f t="shared" ca="1" si="136"/>
        <v>#N/A</v>
      </c>
      <c r="AX26" s="26" t="e">
        <f t="shared" ca="1" si="136"/>
        <v>#N/A</v>
      </c>
      <c r="AY26" s="26" t="e">
        <f t="shared" ca="1" si="136"/>
        <v>#N/A</v>
      </c>
      <c r="AZ26" s="26" t="e">
        <f t="shared" ca="1" si="136"/>
        <v>#N/A</v>
      </c>
      <c r="BA26" s="26" t="e">
        <f t="shared" ca="1" si="136"/>
        <v>#N/A</v>
      </c>
      <c r="BB26" s="26" t="e">
        <f t="shared" ca="1" si="136"/>
        <v>#N/A</v>
      </c>
      <c r="BC26" s="26" t="e">
        <f t="shared" ca="1" si="136"/>
        <v>#N/A</v>
      </c>
      <c r="BD26" s="26" t="e">
        <f t="shared" ca="1" si="136"/>
        <v>#N/A</v>
      </c>
      <c r="BE26" s="26" t="e">
        <f t="shared" ca="1" si="136"/>
        <v>#N/A</v>
      </c>
      <c r="BF26" s="26" t="e">
        <f t="shared" ca="1" si="136"/>
        <v>#N/A</v>
      </c>
      <c r="BG26" s="26" t="e">
        <f t="shared" ca="1" si="136"/>
        <v>#N/A</v>
      </c>
      <c r="BH26" s="26" t="e">
        <f t="shared" ca="1" si="136"/>
        <v>#N/A</v>
      </c>
      <c r="BI26" s="26" t="e">
        <f t="shared" ca="1" si="136"/>
        <v>#N/A</v>
      </c>
      <c r="BJ26" s="26" t="e">
        <f t="shared" ca="1" si="136"/>
        <v>#N/A</v>
      </c>
      <c r="BK26" s="26" t="e">
        <f t="shared" ca="1" si="136"/>
        <v>#N/A</v>
      </c>
      <c r="BL26" s="26" t="e">
        <f t="shared" ca="1" si="136"/>
        <v>#N/A</v>
      </c>
      <c r="BM26" s="26" t="e">
        <f t="shared" ca="1" si="136"/>
        <v>#N/A</v>
      </c>
      <c r="BN26" s="26" t="e">
        <f t="shared" ca="1" si="136"/>
        <v>#N/A</v>
      </c>
      <c r="BO26" s="26" t="e">
        <f t="shared" ca="1" si="136"/>
        <v>#N/A</v>
      </c>
      <c r="BP26" s="26" t="e">
        <f t="shared" ca="1" si="136"/>
        <v>#N/A</v>
      </c>
      <c r="BQ26" s="26" t="e">
        <f t="shared" ca="1" si="136"/>
        <v>#N/A</v>
      </c>
      <c r="BR26" s="26" t="e">
        <f t="shared" ca="1" si="136"/>
        <v>#N/A</v>
      </c>
      <c r="BS26" s="26" t="e">
        <f t="shared" ca="1" si="136"/>
        <v>#N/A</v>
      </c>
      <c r="BT26" s="26" t="e">
        <f t="shared" ref="BT26:EE26" ca="1" si="137">IF(AND(BT20&gt;BT19,BS20&lt;BS19),1,0)</f>
        <v>#N/A</v>
      </c>
      <c r="BU26" s="26" t="e">
        <f t="shared" ca="1" si="137"/>
        <v>#N/A</v>
      </c>
      <c r="BV26" s="26" t="e">
        <f t="shared" ca="1" si="137"/>
        <v>#N/A</v>
      </c>
      <c r="BW26" s="26" t="e">
        <f t="shared" ca="1" si="137"/>
        <v>#N/A</v>
      </c>
      <c r="BX26" s="26" t="e">
        <f t="shared" ca="1" si="137"/>
        <v>#N/A</v>
      </c>
      <c r="BY26" s="26" t="e">
        <f t="shared" ca="1" si="137"/>
        <v>#N/A</v>
      </c>
      <c r="BZ26" s="26" t="e">
        <f t="shared" ca="1" si="137"/>
        <v>#N/A</v>
      </c>
      <c r="CA26" s="26" t="e">
        <f t="shared" ca="1" si="137"/>
        <v>#N/A</v>
      </c>
      <c r="CB26" s="26" t="e">
        <f t="shared" ca="1" si="137"/>
        <v>#N/A</v>
      </c>
      <c r="CC26" s="26" t="e">
        <f t="shared" ca="1" si="137"/>
        <v>#N/A</v>
      </c>
      <c r="CD26" s="26" t="e">
        <f t="shared" ca="1" si="137"/>
        <v>#N/A</v>
      </c>
      <c r="CE26" s="26" t="e">
        <f t="shared" ca="1" si="137"/>
        <v>#N/A</v>
      </c>
      <c r="CF26" s="26" t="e">
        <f t="shared" ca="1" si="137"/>
        <v>#N/A</v>
      </c>
      <c r="CG26" s="26" t="e">
        <f t="shared" ca="1" si="137"/>
        <v>#N/A</v>
      </c>
      <c r="CH26" s="26" t="e">
        <f t="shared" ca="1" si="137"/>
        <v>#N/A</v>
      </c>
      <c r="CI26" s="26" t="e">
        <f t="shared" ca="1" si="137"/>
        <v>#N/A</v>
      </c>
      <c r="CJ26" s="26" t="e">
        <f t="shared" ca="1" si="137"/>
        <v>#N/A</v>
      </c>
      <c r="CK26" s="26" t="e">
        <f t="shared" ca="1" si="137"/>
        <v>#N/A</v>
      </c>
      <c r="CL26" s="26" t="e">
        <f t="shared" ca="1" si="137"/>
        <v>#N/A</v>
      </c>
      <c r="CM26" s="26" t="e">
        <f t="shared" ca="1" si="137"/>
        <v>#N/A</v>
      </c>
      <c r="CN26" s="26" t="e">
        <f t="shared" ca="1" si="137"/>
        <v>#N/A</v>
      </c>
      <c r="CO26" s="26" t="e">
        <f t="shared" ca="1" si="137"/>
        <v>#N/A</v>
      </c>
      <c r="CP26" s="26" t="e">
        <f t="shared" ca="1" si="137"/>
        <v>#N/A</v>
      </c>
      <c r="CQ26" s="26" t="e">
        <f t="shared" ca="1" si="137"/>
        <v>#N/A</v>
      </c>
      <c r="CR26" s="26" t="e">
        <f t="shared" ca="1" si="137"/>
        <v>#N/A</v>
      </c>
      <c r="CS26" s="26" t="e">
        <f t="shared" ca="1" si="137"/>
        <v>#N/A</v>
      </c>
      <c r="CT26" s="26" t="e">
        <f t="shared" ca="1" si="137"/>
        <v>#N/A</v>
      </c>
      <c r="CU26" s="26" t="e">
        <f t="shared" ca="1" si="137"/>
        <v>#N/A</v>
      </c>
      <c r="CV26" s="26" t="e">
        <f t="shared" ca="1" si="137"/>
        <v>#N/A</v>
      </c>
      <c r="CW26" s="26" t="e">
        <f t="shared" ca="1" si="137"/>
        <v>#N/A</v>
      </c>
      <c r="CX26" s="26" t="e">
        <f t="shared" ca="1" si="137"/>
        <v>#N/A</v>
      </c>
      <c r="CY26" s="26" t="e">
        <f t="shared" ca="1" si="137"/>
        <v>#N/A</v>
      </c>
      <c r="CZ26" s="26" t="e">
        <f t="shared" ca="1" si="137"/>
        <v>#N/A</v>
      </c>
      <c r="DA26" s="26" t="e">
        <f t="shared" ca="1" si="137"/>
        <v>#N/A</v>
      </c>
      <c r="DB26" s="26" t="e">
        <f t="shared" ca="1" si="137"/>
        <v>#N/A</v>
      </c>
      <c r="DC26" s="26" t="e">
        <f t="shared" ca="1" si="137"/>
        <v>#N/A</v>
      </c>
      <c r="DD26" s="26" t="e">
        <f t="shared" ca="1" si="137"/>
        <v>#N/A</v>
      </c>
      <c r="DE26" s="26" t="e">
        <f t="shared" ca="1" si="137"/>
        <v>#N/A</v>
      </c>
      <c r="DF26" s="26" t="e">
        <f t="shared" ca="1" si="137"/>
        <v>#N/A</v>
      </c>
      <c r="DG26" s="26" t="e">
        <f t="shared" ca="1" si="137"/>
        <v>#N/A</v>
      </c>
      <c r="DH26" s="26" t="e">
        <f t="shared" ca="1" si="137"/>
        <v>#N/A</v>
      </c>
      <c r="DI26" s="26" t="e">
        <f t="shared" ca="1" si="137"/>
        <v>#N/A</v>
      </c>
      <c r="DJ26" s="26" t="e">
        <f t="shared" ca="1" si="137"/>
        <v>#N/A</v>
      </c>
      <c r="DK26" s="26" t="e">
        <f t="shared" ca="1" si="137"/>
        <v>#N/A</v>
      </c>
      <c r="DL26" s="26" t="e">
        <f t="shared" ca="1" si="137"/>
        <v>#N/A</v>
      </c>
      <c r="DM26" s="26" t="e">
        <f t="shared" ca="1" si="137"/>
        <v>#N/A</v>
      </c>
      <c r="DN26" s="26" t="e">
        <f t="shared" ca="1" si="137"/>
        <v>#N/A</v>
      </c>
      <c r="DO26" s="26" t="e">
        <f t="shared" ca="1" si="137"/>
        <v>#N/A</v>
      </c>
      <c r="DP26" s="26" t="e">
        <f t="shared" ca="1" si="137"/>
        <v>#N/A</v>
      </c>
      <c r="DQ26" s="26" t="e">
        <f t="shared" ca="1" si="137"/>
        <v>#N/A</v>
      </c>
      <c r="DR26" s="26" t="e">
        <f t="shared" ca="1" si="137"/>
        <v>#N/A</v>
      </c>
      <c r="DS26" s="26" t="e">
        <f t="shared" ca="1" si="137"/>
        <v>#N/A</v>
      </c>
      <c r="DT26" s="26" t="e">
        <f t="shared" ca="1" si="137"/>
        <v>#N/A</v>
      </c>
      <c r="DU26" s="26" t="e">
        <f t="shared" ca="1" si="137"/>
        <v>#N/A</v>
      </c>
      <c r="DV26" s="26" t="e">
        <f t="shared" ca="1" si="137"/>
        <v>#N/A</v>
      </c>
      <c r="DW26" s="26" t="e">
        <f t="shared" ca="1" si="137"/>
        <v>#N/A</v>
      </c>
      <c r="DX26" s="26" t="e">
        <f t="shared" ca="1" si="137"/>
        <v>#N/A</v>
      </c>
      <c r="DY26" s="26" t="e">
        <f t="shared" ca="1" si="137"/>
        <v>#N/A</v>
      </c>
      <c r="DZ26" s="26" t="e">
        <f t="shared" ca="1" si="137"/>
        <v>#N/A</v>
      </c>
      <c r="EA26" s="26" t="e">
        <f t="shared" ca="1" si="137"/>
        <v>#N/A</v>
      </c>
      <c r="EB26" s="26" t="e">
        <f t="shared" ca="1" si="137"/>
        <v>#N/A</v>
      </c>
      <c r="EC26" s="26" t="e">
        <f t="shared" ca="1" si="137"/>
        <v>#N/A</v>
      </c>
      <c r="ED26" s="26" t="e">
        <f t="shared" ca="1" si="137"/>
        <v>#N/A</v>
      </c>
      <c r="EE26" s="26" t="e">
        <f t="shared" ca="1" si="137"/>
        <v>#N/A</v>
      </c>
      <c r="EF26" s="26" t="e">
        <f t="shared" ref="EF26:GQ26" ca="1" si="138">IF(AND(EF20&gt;EF19,EE20&lt;EE19),1,0)</f>
        <v>#N/A</v>
      </c>
      <c r="EG26" s="26" t="e">
        <f t="shared" ca="1" si="138"/>
        <v>#N/A</v>
      </c>
      <c r="EH26" s="26" t="e">
        <f t="shared" ca="1" si="138"/>
        <v>#N/A</v>
      </c>
      <c r="EI26" s="26" t="e">
        <f t="shared" ca="1" si="138"/>
        <v>#N/A</v>
      </c>
      <c r="EJ26" s="26" t="e">
        <f t="shared" ca="1" si="138"/>
        <v>#N/A</v>
      </c>
      <c r="EK26" s="26" t="e">
        <f t="shared" ca="1" si="138"/>
        <v>#N/A</v>
      </c>
      <c r="EL26" s="26" t="e">
        <f t="shared" ca="1" si="138"/>
        <v>#N/A</v>
      </c>
      <c r="EM26" s="26" t="e">
        <f t="shared" ca="1" si="138"/>
        <v>#N/A</v>
      </c>
      <c r="EN26" s="26" t="e">
        <f t="shared" ca="1" si="138"/>
        <v>#N/A</v>
      </c>
      <c r="EO26" s="26" t="e">
        <f t="shared" ca="1" si="138"/>
        <v>#N/A</v>
      </c>
      <c r="EP26" s="26" t="e">
        <f t="shared" ca="1" si="138"/>
        <v>#N/A</v>
      </c>
      <c r="EQ26" s="26" t="e">
        <f t="shared" ca="1" si="138"/>
        <v>#N/A</v>
      </c>
      <c r="ER26" s="26" t="e">
        <f t="shared" ca="1" si="138"/>
        <v>#N/A</v>
      </c>
      <c r="ES26" s="26" t="e">
        <f t="shared" ca="1" si="138"/>
        <v>#N/A</v>
      </c>
      <c r="ET26" s="26" t="e">
        <f t="shared" ca="1" si="138"/>
        <v>#N/A</v>
      </c>
      <c r="EU26" s="26" t="e">
        <f t="shared" ca="1" si="138"/>
        <v>#N/A</v>
      </c>
      <c r="EV26" s="26" t="e">
        <f t="shared" ca="1" si="138"/>
        <v>#N/A</v>
      </c>
      <c r="EW26" s="26" t="e">
        <f t="shared" ca="1" si="138"/>
        <v>#N/A</v>
      </c>
      <c r="EX26" s="26" t="e">
        <f t="shared" ca="1" si="138"/>
        <v>#N/A</v>
      </c>
      <c r="EY26" s="26" t="e">
        <f t="shared" ca="1" si="138"/>
        <v>#N/A</v>
      </c>
      <c r="EZ26" s="26" t="e">
        <f t="shared" ca="1" si="138"/>
        <v>#N/A</v>
      </c>
      <c r="FA26" s="26" t="e">
        <f t="shared" ca="1" si="138"/>
        <v>#N/A</v>
      </c>
      <c r="FB26" s="26" t="e">
        <f t="shared" ca="1" si="138"/>
        <v>#N/A</v>
      </c>
      <c r="FC26" s="26" t="e">
        <f t="shared" ca="1" si="138"/>
        <v>#N/A</v>
      </c>
      <c r="FD26" s="26" t="e">
        <f t="shared" ca="1" si="138"/>
        <v>#N/A</v>
      </c>
      <c r="FE26" s="26" t="e">
        <f t="shared" ca="1" si="138"/>
        <v>#N/A</v>
      </c>
      <c r="FF26" s="26" t="e">
        <f t="shared" ca="1" si="138"/>
        <v>#N/A</v>
      </c>
      <c r="FG26" s="26" t="e">
        <f t="shared" ca="1" si="138"/>
        <v>#N/A</v>
      </c>
      <c r="FH26" s="26" t="e">
        <f t="shared" ca="1" si="138"/>
        <v>#N/A</v>
      </c>
      <c r="FI26" s="26" t="e">
        <f t="shared" ca="1" si="138"/>
        <v>#N/A</v>
      </c>
      <c r="FJ26" s="26" t="e">
        <f t="shared" ca="1" si="138"/>
        <v>#N/A</v>
      </c>
      <c r="FK26" s="26" t="e">
        <f t="shared" ca="1" si="138"/>
        <v>#N/A</v>
      </c>
      <c r="FL26" s="26" t="e">
        <f t="shared" ca="1" si="138"/>
        <v>#N/A</v>
      </c>
      <c r="FM26" s="26" t="e">
        <f t="shared" ca="1" si="138"/>
        <v>#N/A</v>
      </c>
      <c r="FN26" s="26" t="e">
        <f t="shared" ca="1" si="138"/>
        <v>#N/A</v>
      </c>
      <c r="FO26" s="26" t="e">
        <f t="shared" ca="1" si="138"/>
        <v>#N/A</v>
      </c>
      <c r="FP26" s="26" t="e">
        <f t="shared" ca="1" si="138"/>
        <v>#N/A</v>
      </c>
      <c r="FQ26" s="26" t="e">
        <f t="shared" ca="1" si="138"/>
        <v>#N/A</v>
      </c>
      <c r="FR26" s="26" t="e">
        <f t="shared" ca="1" si="138"/>
        <v>#N/A</v>
      </c>
      <c r="FS26" s="26" t="e">
        <f t="shared" ca="1" si="138"/>
        <v>#N/A</v>
      </c>
      <c r="FT26" s="26" t="e">
        <f t="shared" ca="1" si="138"/>
        <v>#N/A</v>
      </c>
      <c r="FU26" s="26" t="e">
        <f t="shared" ca="1" si="138"/>
        <v>#N/A</v>
      </c>
      <c r="FV26" s="26" t="e">
        <f t="shared" ca="1" si="138"/>
        <v>#N/A</v>
      </c>
      <c r="FW26" s="26" t="e">
        <f t="shared" ca="1" si="138"/>
        <v>#N/A</v>
      </c>
      <c r="FX26" s="26" t="e">
        <f t="shared" ca="1" si="138"/>
        <v>#N/A</v>
      </c>
      <c r="FY26" s="26" t="e">
        <f t="shared" ca="1" si="138"/>
        <v>#N/A</v>
      </c>
      <c r="FZ26" s="26" t="e">
        <f t="shared" ca="1" si="138"/>
        <v>#N/A</v>
      </c>
      <c r="GA26" s="26" t="e">
        <f t="shared" ca="1" si="138"/>
        <v>#N/A</v>
      </c>
      <c r="GB26" s="26" t="e">
        <f t="shared" ca="1" si="138"/>
        <v>#N/A</v>
      </c>
      <c r="GC26" s="26" t="e">
        <f t="shared" ca="1" si="138"/>
        <v>#N/A</v>
      </c>
      <c r="GD26" s="26" t="e">
        <f t="shared" ca="1" si="138"/>
        <v>#N/A</v>
      </c>
      <c r="GE26" s="26" t="e">
        <f t="shared" ca="1" si="138"/>
        <v>#N/A</v>
      </c>
      <c r="GF26" s="26" t="e">
        <f t="shared" ca="1" si="138"/>
        <v>#N/A</v>
      </c>
      <c r="GG26" s="26" t="e">
        <f t="shared" ca="1" si="138"/>
        <v>#N/A</v>
      </c>
      <c r="GH26" s="26" t="e">
        <f t="shared" ca="1" si="138"/>
        <v>#N/A</v>
      </c>
      <c r="GI26" s="26" t="e">
        <f t="shared" ca="1" si="138"/>
        <v>#N/A</v>
      </c>
      <c r="GJ26" s="26" t="e">
        <f t="shared" ca="1" si="138"/>
        <v>#N/A</v>
      </c>
      <c r="GK26" s="26" t="e">
        <f t="shared" ca="1" si="138"/>
        <v>#N/A</v>
      </c>
      <c r="GL26" s="26" t="e">
        <f t="shared" ca="1" si="138"/>
        <v>#N/A</v>
      </c>
      <c r="GM26" s="26" t="e">
        <f t="shared" ca="1" si="138"/>
        <v>#N/A</v>
      </c>
      <c r="GN26" s="26" t="e">
        <f t="shared" ca="1" si="138"/>
        <v>#N/A</v>
      </c>
      <c r="GO26" s="26" t="e">
        <f t="shared" ca="1" si="138"/>
        <v>#N/A</v>
      </c>
      <c r="GP26" s="26" t="e">
        <f t="shared" ca="1" si="138"/>
        <v>#N/A</v>
      </c>
      <c r="GQ26" s="26" t="e">
        <f t="shared" ca="1" si="138"/>
        <v>#N/A</v>
      </c>
      <c r="GR26" s="26" t="e">
        <f t="shared" ref="GR26:IN26" ca="1" si="139">IF(AND(GR20&gt;GR19,GQ20&lt;GQ19),1,0)</f>
        <v>#N/A</v>
      </c>
      <c r="GS26" s="26" t="e">
        <f t="shared" ca="1" si="139"/>
        <v>#N/A</v>
      </c>
      <c r="GT26" s="26" t="e">
        <f t="shared" ca="1" si="139"/>
        <v>#N/A</v>
      </c>
      <c r="GU26" s="26" t="e">
        <f t="shared" ca="1" si="139"/>
        <v>#N/A</v>
      </c>
      <c r="GV26" s="26" t="e">
        <f t="shared" ca="1" si="139"/>
        <v>#N/A</v>
      </c>
      <c r="GW26" s="26" t="e">
        <f t="shared" ca="1" si="139"/>
        <v>#N/A</v>
      </c>
      <c r="GX26" s="26" t="e">
        <f t="shared" ca="1" si="139"/>
        <v>#N/A</v>
      </c>
      <c r="GY26" s="26" t="e">
        <f t="shared" ca="1" si="139"/>
        <v>#N/A</v>
      </c>
      <c r="GZ26" s="26" t="e">
        <f t="shared" ca="1" si="139"/>
        <v>#N/A</v>
      </c>
      <c r="HA26" s="26" t="e">
        <f t="shared" ca="1" si="139"/>
        <v>#N/A</v>
      </c>
      <c r="HB26" s="26" t="e">
        <f t="shared" ca="1" si="139"/>
        <v>#N/A</v>
      </c>
      <c r="HC26" s="26" t="e">
        <f t="shared" ca="1" si="139"/>
        <v>#N/A</v>
      </c>
      <c r="HD26" s="26" t="e">
        <f t="shared" ca="1" si="139"/>
        <v>#N/A</v>
      </c>
      <c r="HE26" s="26" t="e">
        <f t="shared" ca="1" si="139"/>
        <v>#N/A</v>
      </c>
      <c r="HF26" s="26" t="e">
        <f t="shared" ca="1" si="139"/>
        <v>#N/A</v>
      </c>
      <c r="HG26" s="26" t="e">
        <f t="shared" ca="1" si="139"/>
        <v>#N/A</v>
      </c>
      <c r="HH26" s="26" t="e">
        <f t="shared" ca="1" si="139"/>
        <v>#N/A</v>
      </c>
      <c r="HI26" s="26" t="e">
        <f t="shared" ca="1" si="139"/>
        <v>#N/A</v>
      </c>
      <c r="HJ26" s="26" t="e">
        <f t="shared" ca="1" si="139"/>
        <v>#N/A</v>
      </c>
      <c r="HK26" s="26" t="e">
        <f t="shared" ca="1" si="139"/>
        <v>#N/A</v>
      </c>
      <c r="HL26" s="26" t="e">
        <f t="shared" ca="1" si="139"/>
        <v>#N/A</v>
      </c>
      <c r="HM26" s="26" t="e">
        <f t="shared" ca="1" si="139"/>
        <v>#N/A</v>
      </c>
      <c r="HN26" s="26" t="e">
        <f t="shared" ca="1" si="139"/>
        <v>#N/A</v>
      </c>
      <c r="HO26" s="26" t="e">
        <f t="shared" ca="1" si="139"/>
        <v>#N/A</v>
      </c>
      <c r="HP26" s="26" t="e">
        <f t="shared" ca="1" si="139"/>
        <v>#N/A</v>
      </c>
      <c r="HQ26" s="26" t="e">
        <f t="shared" ca="1" si="139"/>
        <v>#N/A</v>
      </c>
      <c r="HR26" s="26" t="e">
        <f t="shared" ca="1" si="139"/>
        <v>#N/A</v>
      </c>
      <c r="HS26" s="26" t="e">
        <f t="shared" ca="1" si="139"/>
        <v>#N/A</v>
      </c>
      <c r="HT26" s="26" t="e">
        <f t="shared" ca="1" si="139"/>
        <v>#N/A</v>
      </c>
      <c r="HU26" s="26" t="e">
        <f t="shared" ca="1" si="139"/>
        <v>#N/A</v>
      </c>
      <c r="HV26" s="26" t="e">
        <f t="shared" ca="1" si="139"/>
        <v>#N/A</v>
      </c>
      <c r="HW26" s="26" t="e">
        <f t="shared" ca="1" si="139"/>
        <v>#N/A</v>
      </c>
      <c r="HX26" s="26" t="e">
        <f t="shared" ca="1" si="139"/>
        <v>#N/A</v>
      </c>
      <c r="HY26" s="26" t="e">
        <f t="shared" ca="1" si="139"/>
        <v>#N/A</v>
      </c>
      <c r="HZ26" s="26" t="e">
        <f t="shared" ca="1" si="139"/>
        <v>#N/A</v>
      </c>
      <c r="IA26" s="26" t="e">
        <f t="shared" ca="1" si="139"/>
        <v>#N/A</v>
      </c>
      <c r="IB26" s="26" t="e">
        <f t="shared" ca="1" si="139"/>
        <v>#N/A</v>
      </c>
      <c r="IC26" s="26" t="e">
        <f t="shared" ca="1" si="139"/>
        <v>#N/A</v>
      </c>
      <c r="ID26" s="26" t="e">
        <f t="shared" ca="1" si="139"/>
        <v>#N/A</v>
      </c>
      <c r="IE26" s="26" t="e">
        <f t="shared" ca="1" si="139"/>
        <v>#N/A</v>
      </c>
      <c r="IF26" s="26" t="e">
        <f t="shared" ca="1" si="139"/>
        <v>#N/A</v>
      </c>
      <c r="IG26" s="26" t="e">
        <f t="shared" ca="1" si="139"/>
        <v>#N/A</v>
      </c>
      <c r="IH26" s="26" t="e">
        <f t="shared" ca="1" si="139"/>
        <v>#N/A</v>
      </c>
      <c r="II26" s="26" t="e">
        <f t="shared" ca="1" si="139"/>
        <v>#N/A</v>
      </c>
      <c r="IJ26" s="26" t="e">
        <f t="shared" ca="1" si="139"/>
        <v>#N/A</v>
      </c>
      <c r="IK26" s="26" t="e">
        <f t="shared" ca="1" si="139"/>
        <v>#N/A</v>
      </c>
      <c r="IL26" s="26" t="e">
        <f t="shared" ca="1" si="139"/>
        <v>#N/A</v>
      </c>
      <c r="IM26" s="26" t="e">
        <f t="shared" ca="1" si="139"/>
        <v>#N/A</v>
      </c>
      <c r="IN26" s="26" t="e">
        <f t="shared" ca="1" si="139"/>
        <v>#N/A</v>
      </c>
    </row>
    <row r="27" spans="2:248" x14ac:dyDescent="0.3">
      <c r="B27" s="19" t="s">
        <v>427</v>
      </c>
      <c r="C27" s="21">
        <f ca="1">IF(C11&lt;0,MAX(G9:IN9)*1.1,_xlfn.MAXIFS(G8:IN8,G8:IN8,"&gt;"&amp;0)*2)</f>
        <v>85266</v>
      </c>
      <c r="D27" s="24" t="e">
        <f ca="1">IF(D31&lt;TODAY(),_xlfn.MAXIFS(G20:IN20,G4:IN4,"&lt;"&amp;C5+5),IF(D31="N/A",C16*1.5,_xlfn.MAXIFS(G20:IN20,G3:IN3,"&lt;"&amp;$D$31)*1.5))</f>
        <v>#N/A</v>
      </c>
      <c r="F27" s="22" t="s">
        <v>504</v>
      </c>
      <c r="G27" s="27">
        <f t="shared" ref="G27:BR27" ca="1" si="140">IF(G3=$C$24,1,-1000)</f>
        <v>-1000</v>
      </c>
      <c r="H27" s="27">
        <f t="shared" ca="1" si="140"/>
        <v>-1000</v>
      </c>
      <c r="I27" s="27">
        <f t="shared" ca="1" si="140"/>
        <v>-1000</v>
      </c>
      <c r="J27" s="27">
        <f t="shared" ca="1" si="140"/>
        <v>-1000</v>
      </c>
      <c r="K27" s="27">
        <f t="shared" ca="1" si="140"/>
        <v>-1000</v>
      </c>
      <c r="L27" s="27">
        <f t="shared" ca="1" si="140"/>
        <v>-1000</v>
      </c>
      <c r="M27" s="27">
        <f t="shared" ca="1" si="140"/>
        <v>-1000</v>
      </c>
      <c r="N27" s="27">
        <f t="shared" ca="1" si="140"/>
        <v>-1000</v>
      </c>
      <c r="O27" s="27">
        <f t="shared" ca="1" si="140"/>
        <v>-1000</v>
      </c>
      <c r="P27" s="27">
        <f t="shared" ca="1" si="140"/>
        <v>-1000</v>
      </c>
      <c r="Q27" s="27">
        <f t="shared" ca="1" si="140"/>
        <v>-1000</v>
      </c>
      <c r="R27" s="27">
        <f t="shared" ca="1" si="140"/>
        <v>-1000</v>
      </c>
      <c r="S27" s="27">
        <f t="shared" ca="1" si="140"/>
        <v>-1000</v>
      </c>
      <c r="T27" s="27">
        <f t="shared" ca="1" si="140"/>
        <v>-1000</v>
      </c>
      <c r="U27" s="27">
        <f t="shared" ca="1" si="140"/>
        <v>-1000</v>
      </c>
      <c r="V27" s="27">
        <f t="shared" ca="1" si="140"/>
        <v>-1000</v>
      </c>
      <c r="W27" s="27">
        <f t="shared" ca="1" si="140"/>
        <v>-1000</v>
      </c>
      <c r="X27" s="27">
        <f t="shared" ca="1" si="140"/>
        <v>-1000</v>
      </c>
      <c r="Y27" s="27">
        <f t="shared" ca="1" si="140"/>
        <v>-1000</v>
      </c>
      <c r="Z27" s="27">
        <f t="shared" ca="1" si="140"/>
        <v>-1000</v>
      </c>
      <c r="AA27" s="27">
        <f t="shared" ca="1" si="140"/>
        <v>-1000</v>
      </c>
      <c r="AB27" s="27">
        <f t="shared" ca="1" si="140"/>
        <v>-1000</v>
      </c>
      <c r="AC27" s="27">
        <f t="shared" ca="1" si="140"/>
        <v>-1000</v>
      </c>
      <c r="AD27" s="27">
        <f t="shared" ca="1" si="140"/>
        <v>-1000</v>
      </c>
      <c r="AE27" s="27">
        <f t="shared" ca="1" si="140"/>
        <v>-1000</v>
      </c>
      <c r="AF27" s="27">
        <f t="shared" ca="1" si="140"/>
        <v>-1000</v>
      </c>
      <c r="AG27" s="27">
        <f t="shared" ca="1" si="140"/>
        <v>-1000</v>
      </c>
      <c r="AH27" s="27">
        <f t="shared" ca="1" si="140"/>
        <v>-1000</v>
      </c>
      <c r="AI27" s="27">
        <f t="shared" ca="1" si="140"/>
        <v>-1000</v>
      </c>
      <c r="AJ27" s="27">
        <f t="shared" ca="1" si="140"/>
        <v>-1000</v>
      </c>
      <c r="AK27" s="27">
        <f t="shared" ca="1" si="140"/>
        <v>-1000</v>
      </c>
      <c r="AL27" s="27">
        <f t="shared" ca="1" si="140"/>
        <v>-1000</v>
      </c>
      <c r="AM27" s="27">
        <f t="shared" ca="1" si="140"/>
        <v>-1000</v>
      </c>
      <c r="AN27" s="27">
        <f t="shared" ca="1" si="140"/>
        <v>-1000</v>
      </c>
      <c r="AO27" s="27">
        <f t="shared" ca="1" si="140"/>
        <v>-1000</v>
      </c>
      <c r="AP27" s="27">
        <f t="shared" ca="1" si="140"/>
        <v>-1000</v>
      </c>
      <c r="AQ27" s="27">
        <f t="shared" ca="1" si="140"/>
        <v>-1000</v>
      </c>
      <c r="AR27" s="27">
        <f t="shared" ca="1" si="140"/>
        <v>-1000</v>
      </c>
      <c r="AS27" s="27">
        <f t="shared" ca="1" si="140"/>
        <v>-1000</v>
      </c>
      <c r="AT27" s="27">
        <f t="shared" ca="1" si="140"/>
        <v>-1000</v>
      </c>
      <c r="AU27" s="27">
        <f t="shared" ca="1" si="140"/>
        <v>-1000</v>
      </c>
      <c r="AV27" s="27">
        <f t="shared" ca="1" si="140"/>
        <v>-1000</v>
      </c>
      <c r="AW27" s="27">
        <f t="shared" ca="1" si="140"/>
        <v>-1000</v>
      </c>
      <c r="AX27" s="27">
        <f t="shared" ca="1" si="140"/>
        <v>-1000</v>
      </c>
      <c r="AY27" s="27">
        <f t="shared" ca="1" si="140"/>
        <v>-1000</v>
      </c>
      <c r="AZ27" s="27">
        <f t="shared" ca="1" si="140"/>
        <v>-1000</v>
      </c>
      <c r="BA27" s="27">
        <f t="shared" ca="1" si="140"/>
        <v>-1000</v>
      </c>
      <c r="BB27" s="27">
        <f t="shared" ca="1" si="140"/>
        <v>-1000</v>
      </c>
      <c r="BC27" s="27">
        <f t="shared" ca="1" si="140"/>
        <v>-1000</v>
      </c>
      <c r="BD27" s="27">
        <f t="shared" ca="1" si="140"/>
        <v>-1000</v>
      </c>
      <c r="BE27" s="27">
        <f t="shared" ca="1" si="140"/>
        <v>-1000</v>
      </c>
      <c r="BF27" s="27">
        <f t="shared" ca="1" si="140"/>
        <v>-1000</v>
      </c>
      <c r="BG27" s="27">
        <f t="shared" ca="1" si="140"/>
        <v>-1000</v>
      </c>
      <c r="BH27" s="27">
        <f t="shared" ca="1" si="140"/>
        <v>-1000</v>
      </c>
      <c r="BI27" s="27">
        <f t="shared" ca="1" si="140"/>
        <v>-1000</v>
      </c>
      <c r="BJ27" s="27">
        <f t="shared" ca="1" si="140"/>
        <v>-1000</v>
      </c>
      <c r="BK27" s="27">
        <f t="shared" ca="1" si="140"/>
        <v>-1000</v>
      </c>
      <c r="BL27" s="27">
        <f t="shared" ca="1" si="140"/>
        <v>-1000</v>
      </c>
      <c r="BM27" s="27">
        <f t="shared" ca="1" si="140"/>
        <v>-1000</v>
      </c>
      <c r="BN27" s="27">
        <f t="shared" ca="1" si="140"/>
        <v>-1000</v>
      </c>
      <c r="BO27" s="27">
        <f t="shared" ca="1" si="140"/>
        <v>-1000</v>
      </c>
      <c r="BP27" s="27">
        <f t="shared" ca="1" si="140"/>
        <v>-1000</v>
      </c>
      <c r="BQ27" s="27">
        <f t="shared" ca="1" si="140"/>
        <v>-1000</v>
      </c>
      <c r="BR27" s="27">
        <f t="shared" ca="1" si="140"/>
        <v>-1000</v>
      </c>
      <c r="BS27" s="27">
        <f t="shared" ref="BS27:ED27" ca="1" si="141">IF(BS3=$C$24,1,-1000)</f>
        <v>-1000</v>
      </c>
      <c r="BT27" s="27">
        <f t="shared" ca="1" si="141"/>
        <v>-1000</v>
      </c>
      <c r="BU27" s="27">
        <f t="shared" ca="1" si="141"/>
        <v>-1000</v>
      </c>
      <c r="BV27" s="27">
        <f t="shared" ca="1" si="141"/>
        <v>-1000</v>
      </c>
      <c r="BW27" s="27">
        <f t="shared" ca="1" si="141"/>
        <v>-1000</v>
      </c>
      <c r="BX27" s="27">
        <f t="shared" ca="1" si="141"/>
        <v>-1000</v>
      </c>
      <c r="BY27" s="27">
        <f t="shared" ca="1" si="141"/>
        <v>-1000</v>
      </c>
      <c r="BZ27" s="27">
        <f t="shared" ca="1" si="141"/>
        <v>-1000</v>
      </c>
      <c r="CA27" s="27">
        <f t="shared" ca="1" si="141"/>
        <v>-1000</v>
      </c>
      <c r="CB27" s="27">
        <f t="shared" ca="1" si="141"/>
        <v>-1000</v>
      </c>
      <c r="CC27" s="27">
        <f t="shared" ca="1" si="141"/>
        <v>-1000</v>
      </c>
      <c r="CD27" s="27">
        <f t="shared" ca="1" si="141"/>
        <v>-1000</v>
      </c>
      <c r="CE27" s="27">
        <f t="shared" ca="1" si="141"/>
        <v>-1000</v>
      </c>
      <c r="CF27" s="27">
        <f t="shared" ca="1" si="141"/>
        <v>-1000</v>
      </c>
      <c r="CG27" s="27">
        <f t="shared" ca="1" si="141"/>
        <v>-1000</v>
      </c>
      <c r="CH27" s="27">
        <f t="shared" ca="1" si="141"/>
        <v>-1000</v>
      </c>
      <c r="CI27" s="27">
        <f t="shared" ca="1" si="141"/>
        <v>-1000</v>
      </c>
      <c r="CJ27" s="27">
        <f t="shared" ca="1" si="141"/>
        <v>-1000</v>
      </c>
      <c r="CK27" s="27">
        <f t="shared" ca="1" si="141"/>
        <v>-1000</v>
      </c>
      <c r="CL27" s="27">
        <f t="shared" ca="1" si="141"/>
        <v>-1000</v>
      </c>
      <c r="CM27" s="27">
        <f t="shared" ca="1" si="141"/>
        <v>-1000</v>
      </c>
      <c r="CN27" s="27">
        <f t="shared" ca="1" si="141"/>
        <v>-1000</v>
      </c>
      <c r="CO27" s="27">
        <f t="shared" ca="1" si="141"/>
        <v>-1000</v>
      </c>
      <c r="CP27" s="27">
        <f t="shared" ca="1" si="141"/>
        <v>-1000</v>
      </c>
      <c r="CQ27" s="27">
        <f t="shared" ca="1" si="141"/>
        <v>-1000</v>
      </c>
      <c r="CR27" s="27">
        <f t="shared" ca="1" si="141"/>
        <v>-1000</v>
      </c>
      <c r="CS27" s="27">
        <f t="shared" ca="1" si="141"/>
        <v>-1000</v>
      </c>
      <c r="CT27" s="27">
        <f t="shared" ca="1" si="141"/>
        <v>-1000</v>
      </c>
      <c r="CU27" s="27">
        <f t="shared" ca="1" si="141"/>
        <v>-1000</v>
      </c>
      <c r="CV27" s="27">
        <f t="shared" ca="1" si="141"/>
        <v>-1000</v>
      </c>
      <c r="CW27" s="27">
        <f t="shared" ca="1" si="141"/>
        <v>-1000</v>
      </c>
      <c r="CX27" s="27">
        <f t="shared" ca="1" si="141"/>
        <v>-1000</v>
      </c>
      <c r="CY27" s="27">
        <f t="shared" ca="1" si="141"/>
        <v>-1000</v>
      </c>
      <c r="CZ27" s="27">
        <f t="shared" ca="1" si="141"/>
        <v>-1000</v>
      </c>
      <c r="DA27" s="27">
        <f t="shared" ca="1" si="141"/>
        <v>-1000</v>
      </c>
      <c r="DB27" s="27">
        <f t="shared" ca="1" si="141"/>
        <v>-1000</v>
      </c>
      <c r="DC27" s="27">
        <f t="shared" ca="1" si="141"/>
        <v>-1000</v>
      </c>
      <c r="DD27" s="27">
        <f t="shared" ca="1" si="141"/>
        <v>-1000</v>
      </c>
      <c r="DE27" s="27">
        <f t="shared" ca="1" si="141"/>
        <v>-1000</v>
      </c>
      <c r="DF27" s="27">
        <f t="shared" ca="1" si="141"/>
        <v>-1000</v>
      </c>
      <c r="DG27" s="27">
        <f t="shared" ca="1" si="141"/>
        <v>-1000</v>
      </c>
      <c r="DH27" s="27">
        <f t="shared" ca="1" si="141"/>
        <v>-1000</v>
      </c>
      <c r="DI27" s="27">
        <f t="shared" ca="1" si="141"/>
        <v>-1000</v>
      </c>
      <c r="DJ27" s="27">
        <f t="shared" ca="1" si="141"/>
        <v>-1000</v>
      </c>
      <c r="DK27" s="27">
        <f t="shared" ca="1" si="141"/>
        <v>-1000</v>
      </c>
      <c r="DL27" s="27">
        <f t="shared" ca="1" si="141"/>
        <v>-1000</v>
      </c>
      <c r="DM27" s="27">
        <f t="shared" ca="1" si="141"/>
        <v>-1000</v>
      </c>
      <c r="DN27" s="27">
        <f t="shared" ca="1" si="141"/>
        <v>-1000</v>
      </c>
      <c r="DO27" s="27">
        <f t="shared" ca="1" si="141"/>
        <v>-1000</v>
      </c>
      <c r="DP27" s="27">
        <f t="shared" ca="1" si="141"/>
        <v>-1000</v>
      </c>
      <c r="DQ27" s="27">
        <f t="shared" ca="1" si="141"/>
        <v>-1000</v>
      </c>
      <c r="DR27" s="27">
        <f t="shared" ca="1" si="141"/>
        <v>-1000</v>
      </c>
      <c r="DS27" s="27">
        <f t="shared" ca="1" si="141"/>
        <v>-1000</v>
      </c>
      <c r="DT27" s="27">
        <f t="shared" ca="1" si="141"/>
        <v>-1000</v>
      </c>
      <c r="DU27" s="27">
        <f t="shared" ca="1" si="141"/>
        <v>-1000</v>
      </c>
      <c r="DV27" s="27">
        <f t="shared" ca="1" si="141"/>
        <v>-1000</v>
      </c>
      <c r="DW27" s="27">
        <f t="shared" ca="1" si="141"/>
        <v>-1000</v>
      </c>
      <c r="DX27" s="27">
        <f t="shared" ca="1" si="141"/>
        <v>-1000</v>
      </c>
      <c r="DY27" s="27">
        <f t="shared" ca="1" si="141"/>
        <v>-1000</v>
      </c>
      <c r="DZ27" s="27">
        <f t="shared" ca="1" si="141"/>
        <v>-1000</v>
      </c>
      <c r="EA27" s="27">
        <f t="shared" ca="1" si="141"/>
        <v>-1000</v>
      </c>
      <c r="EB27" s="27">
        <f t="shared" ca="1" si="141"/>
        <v>-1000</v>
      </c>
      <c r="EC27" s="27">
        <f t="shared" ca="1" si="141"/>
        <v>-1000</v>
      </c>
      <c r="ED27" s="27">
        <f t="shared" ca="1" si="141"/>
        <v>-1000</v>
      </c>
      <c r="EE27" s="27">
        <f t="shared" ref="EE27:GP27" ca="1" si="142">IF(EE3=$C$24,1,-1000)</f>
        <v>-1000</v>
      </c>
      <c r="EF27" s="27">
        <f t="shared" ca="1" si="142"/>
        <v>-1000</v>
      </c>
      <c r="EG27" s="27">
        <f t="shared" ca="1" si="142"/>
        <v>-1000</v>
      </c>
      <c r="EH27" s="27">
        <f t="shared" ca="1" si="142"/>
        <v>-1000</v>
      </c>
      <c r="EI27" s="27">
        <f t="shared" ca="1" si="142"/>
        <v>-1000</v>
      </c>
      <c r="EJ27" s="27">
        <f t="shared" ca="1" si="142"/>
        <v>-1000</v>
      </c>
      <c r="EK27" s="27">
        <f t="shared" ca="1" si="142"/>
        <v>-1000</v>
      </c>
      <c r="EL27" s="27">
        <f t="shared" ca="1" si="142"/>
        <v>-1000</v>
      </c>
      <c r="EM27" s="27">
        <f t="shared" ca="1" si="142"/>
        <v>-1000</v>
      </c>
      <c r="EN27" s="27">
        <f t="shared" ca="1" si="142"/>
        <v>-1000</v>
      </c>
      <c r="EO27" s="27">
        <f t="shared" ca="1" si="142"/>
        <v>-1000</v>
      </c>
      <c r="EP27" s="27">
        <f t="shared" ca="1" si="142"/>
        <v>-1000</v>
      </c>
      <c r="EQ27" s="27">
        <f t="shared" ca="1" si="142"/>
        <v>-1000</v>
      </c>
      <c r="ER27" s="27">
        <f t="shared" ca="1" si="142"/>
        <v>-1000</v>
      </c>
      <c r="ES27" s="27">
        <f t="shared" ca="1" si="142"/>
        <v>-1000</v>
      </c>
      <c r="ET27" s="27">
        <f t="shared" ca="1" si="142"/>
        <v>-1000</v>
      </c>
      <c r="EU27" s="27">
        <f t="shared" ca="1" si="142"/>
        <v>-1000</v>
      </c>
      <c r="EV27" s="27">
        <f t="shared" ca="1" si="142"/>
        <v>-1000</v>
      </c>
      <c r="EW27" s="27">
        <f t="shared" ca="1" si="142"/>
        <v>-1000</v>
      </c>
      <c r="EX27" s="27">
        <f t="shared" ca="1" si="142"/>
        <v>-1000</v>
      </c>
      <c r="EY27" s="27">
        <f t="shared" ca="1" si="142"/>
        <v>-1000</v>
      </c>
      <c r="EZ27" s="27">
        <f t="shared" ca="1" si="142"/>
        <v>-1000</v>
      </c>
      <c r="FA27" s="27">
        <f t="shared" ca="1" si="142"/>
        <v>-1000</v>
      </c>
      <c r="FB27" s="27">
        <f t="shared" ca="1" si="142"/>
        <v>-1000</v>
      </c>
      <c r="FC27" s="27">
        <f t="shared" ca="1" si="142"/>
        <v>-1000</v>
      </c>
      <c r="FD27" s="27">
        <f t="shared" ca="1" si="142"/>
        <v>-1000</v>
      </c>
      <c r="FE27" s="27">
        <f t="shared" ca="1" si="142"/>
        <v>-1000</v>
      </c>
      <c r="FF27" s="27">
        <f t="shared" ca="1" si="142"/>
        <v>-1000</v>
      </c>
      <c r="FG27" s="27">
        <f t="shared" ca="1" si="142"/>
        <v>-1000</v>
      </c>
      <c r="FH27" s="27">
        <f t="shared" ca="1" si="142"/>
        <v>-1000</v>
      </c>
      <c r="FI27" s="27">
        <f t="shared" ca="1" si="142"/>
        <v>-1000</v>
      </c>
      <c r="FJ27" s="27">
        <f t="shared" ca="1" si="142"/>
        <v>-1000</v>
      </c>
      <c r="FK27" s="27">
        <f t="shared" ca="1" si="142"/>
        <v>-1000</v>
      </c>
      <c r="FL27" s="27">
        <f t="shared" ca="1" si="142"/>
        <v>-1000</v>
      </c>
      <c r="FM27" s="27">
        <f t="shared" ca="1" si="142"/>
        <v>-1000</v>
      </c>
      <c r="FN27" s="27">
        <f t="shared" ca="1" si="142"/>
        <v>-1000</v>
      </c>
      <c r="FO27" s="27">
        <f t="shared" ca="1" si="142"/>
        <v>-1000</v>
      </c>
      <c r="FP27" s="27">
        <f t="shared" ca="1" si="142"/>
        <v>-1000</v>
      </c>
      <c r="FQ27" s="27">
        <f t="shared" ca="1" si="142"/>
        <v>-1000</v>
      </c>
      <c r="FR27" s="27">
        <f t="shared" ca="1" si="142"/>
        <v>-1000</v>
      </c>
      <c r="FS27" s="27">
        <f t="shared" ca="1" si="142"/>
        <v>-1000</v>
      </c>
      <c r="FT27" s="27">
        <f t="shared" ca="1" si="142"/>
        <v>-1000</v>
      </c>
      <c r="FU27" s="27">
        <f t="shared" ca="1" si="142"/>
        <v>-1000</v>
      </c>
      <c r="FV27" s="27">
        <f t="shared" ca="1" si="142"/>
        <v>-1000</v>
      </c>
      <c r="FW27" s="27">
        <f t="shared" ca="1" si="142"/>
        <v>-1000</v>
      </c>
      <c r="FX27" s="27">
        <f t="shared" ca="1" si="142"/>
        <v>-1000</v>
      </c>
      <c r="FY27" s="27">
        <f t="shared" ca="1" si="142"/>
        <v>-1000</v>
      </c>
      <c r="FZ27" s="27">
        <f t="shared" ca="1" si="142"/>
        <v>-1000</v>
      </c>
      <c r="GA27" s="27">
        <f t="shared" ca="1" si="142"/>
        <v>-1000</v>
      </c>
      <c r="GB27" s="27">
        <f t="shared" ca="1" si="142"/>
        <v>-1000</v>
      </c>
      <c r="GC27" s="27">
        <f t="shared" ca="1" si="142"/>
        <v>-1000</v>
      </c>
      <c r="GD27" s="27">
        <f t="shared" ca="1" si="142"/>
        <v>-1000</v>
      </c>
      <c r="GE27" s="27">
        <f t="shared" ca="1" si="142"/>
        <v>-1000</v>
      </c>
      <c r="GF27" s="27">
        <f t="shared" ca="1" si="142"/>
        <v>-1000</v>
      </c>
      <c r="GG27" s="27">
        <f t="shared" ca="1" si="142"/>
        <v>-1000</v>
      </c>
      <c r="GH27" s="27">
        <f t="shared" ca="1" si="142"/>
        <v>-1000</v>
      </c>
      <c r="GI27" s="27">
        <f t="shared" ca="1" si="142"/>
        <v>-1000</v>
      </c>
      <c r="GJ27" s="27">
        <f t="shared" ca="1" si="142"/>
        <v>-1000</v>
      </c>
      <c r="GK27" s="27">
        <f t="shared" ca="1" si="142"/>
        <v>-1000</v>
      </c>
      <c r="GL27" s="27">
        <f t="shared" ca="1" si="142"/>
        <v>-1000</v>
      </c>
      <c r="GM27" s="27">
        <f t="shared" ca="1" si="142"/>
        <v>-1000</v>
      </c>
      <c r="GN27" s="27">
        <f t="shared" ca="1" si="142"/>
        <v>-1000</v>
      </c>
      <c r="GO27" s="27">
        <f t="shared" ca="1" si="142"/>
        <v>-1000</v>
      </c>
      <c r="GP27" s="27">
        <f t="shared" ca="1" si="142"/>
        <v>-1000</v>
      </c>
      <c r="GQ27" s="27">
        <f t="shared" ref="GQ27:IN27" ca="1" si="143">IF(GQ3=$C$24,1,-1000)</f>
        <v>-1000</v>
      </c>
      <c r="GR27" s="27">
        <f t="shared" ca="1" si="143"/>
        <v>-1000</v>
      </c>
      <c r="GS27" s="27">
        <f t="shared" ca="1" si="143"/>
        <v>-1000</v>
      </c>
      <c r="GT27" s="27">
        <f t="shared" ca="1" si="143"/>
        <v>-1000</v>
      </c>
      <c r="GU27" s="27">
        <f t="shared" ca="1" si="143"/>
        <v>-1000</v>
      </c>
      <c r="GV27" s="27">
        <f t="shared" ca="1" si="143"/>
        <v>-1000</v>
      </c>
      <c r="GW27" s="27">
        <f t="shared" ca="1" si="143"/>
        <v>-1000</v>
      </c>
      <c r="GX27" s="27">
        <f t="shared" ca="1" si="143"/>
        <v>-1000</v>
      </c>
      <c r="GY27" s="27">
        <f t="shared" ca="1" si="143"/>
        <v>-1000</v>
      </c>
      <c r="GZ27" s="27">
        <f t="shared" ca="1" si="143"/>
        <v>-1000</v>
      </c>
      <c r="HA27" s="27">
        <f t="shared" ca="1" si="143"/>
        <v>-1000</v>
      </c>
      <c r="HB27" s="27">
        <f t="shared" ca="1" si="143"/>
        <v>-1000</v>
      </c>
      <c r="HC27" s="27">
        <f t="shared" ca="1" si="143"/>
        <v>-1000</v>
      </c>
      <c r="HD27" s="27">
        <f t="shared" ca="1" si="143"/>
        <v>-1000</v>
      </c>
      <c r="HE27" s="27">
        <f t="shared" ca="1" si="143"/>
        <v>-1000</v>
      </c>
      <c r="HF27" s="27">
        <f t="shared" ca="1" si="143"/>
        <v>-1000</v>
      </c>
      <c r="HG27" s="27">
        <f t="shared" ca="1" si="143"/>
        <v>-1000</v>
      </c>
      <c r="HH27" s="27">
        <f t="shared" ca="1" si="143"/>
        <v>-1000</v>
      </c>
      <c r="HI27" s="27">
        <f t="shared" ca="1" si="143"/>
        <v>-1000</v>
      </c>
      <c r="HJ27" s="27">
        <f t="shared" ca="1" si="143"/>
        <v>-1000</v>
      </c>
      <c r="HK27" s="27">
        <f t="shared" ca="1" si="143"/>
        <v>-1000</v>
      </c>
      <c r="HL27" s="27">
        <f t="shared" ca="1" si="143"/>
        <v>-1000</v>
      </c>
      <c r="HM27" s="27">
        <f t="shared" ca="1" si="143"/>
        <v>-1000</v>
      </c>
      <c r="HN27" s="27">
        <f t="shared" ca="1" si="143"/>
        <v>-1000</v>
      </c>
      <c r="HO27" s="27">
        <f t="shared" ca="1" si="143"/>
        <v>-1000</v>
      </c>
      <c r="HP27" s="27">
        <f t="shared" ca="1" si="143"/>
        <v>-1000</v>
      </c>
      <c r="HQ27" s="27">
        <f t="shared" ca="1" si="143"/>
        <v>-1000</v>
      </c>
      <c r="HR27" s="27">
        <f t="shared" ca="1" si="143"/>
        <v>-1000</v>
      </c>
      <c r="HS27" s="27">
        <f t="shared" ca="1" si="143"/>
        <v>-1000</v>
      </c>
      <c r="HT27" s="27">
        <f t="shared" ca="1" si="143"/>
        <v>-1000</v>
      </c>
      <c r="HU27" s="27">
        <f t="shared" ca="1" si="143"/>
        <v>-1000</v>
      </c>
      <c r="HV27" s="27">
        <f t="shared" ca="1" si="143"/>
        <v>-1000</v>
      </c>
      <c r="HW27" s="27">
        <f t="shared" ca="1" si="143"/>
        <v>-1000</v>
      </c>
      <c r="HX27" s="27">
        <f t="shared" ca="1" si="143"/>
        <v>-1000</v>
      </c>
      <c r="HY27" s="27">
        <f t="shared" ca="1" si="143"/>
        <v>-1000</v>
      </c>
      <c r="HZ27" s="27">
        <f t="shared" ca="1" si="143"/>
        <v>-1000</v>
      </c>
      <c r="IA27" s="27">
        <f t="shared" ca="1" si="143"/>
        <v>-1000</v>
      </c>
      <c r="IB27" s="27">
        <f t="shared" ca="1" si="143"/>
        <v>-1000</v>
      </c>
      <c r="IC27" s="27">
        <f t="shared" ca="1" si="143"/>
        <v>-1000</v>
      </c>
      <c r="ID27" s="27">
        <f t="shared" ca="1" si="143"/>
        <v>-1000</v>
      </c>
      <c r="IE27" s="27">
        <f t="shared" ca="1" si="143"/>
        <v>-1000</v>
      </c>
      <c r="IF27" s="27">
        <f t="shared" ca="1" si="143"/>
        <v>-1000</v>
      </c>
      <c r="IG27" s="27">
        <f t="shared" ca="1" si="143"/>
        <v>-1000</v>
      </c>
      <c r="IH27" s="27">
        <f t="shared" ca="1" si="143"/>
        <v>-1000</v>
      </c>
      <c r="II27" s="27">
        <f t="shared" ca="1" si="143"/>
        <v>-1000</v>
      </c>
      <c r="IJ27" s="27">
        <f t="shared" ca="1" si="143"/>
        <v>-1000</v>
      </c>
      <c r="IK27" s="27">
        <f t="shared" ca="1" si="143"/>
        <v>-1000</v>
      </c>
      <c r="IL27" s="27">
        <f t="shared" ca="1" si="143"/>
        <v>-1000</v>
      </c>
      <c r="IM27" s="27">
        <f t="shared" ca="1" si="143"/>
        <v>-1000</v>
      </c>
      <c r="IN27" s="27">
        <f t="shared" ca="1" si="143"/>
        <v>-1000</v>
      </c>
    </row>
    <row r="28" spans="2:248" ht="15" thickBot="1" x14ac:dyDescent="0.35">
      <c r="F28" s="22" t="s">
        <v>502</v>
      </c>
      <c r="G28" s="27">
        <f t="shared" ref="G28:BR28" ca="1" si="144">IF(G27=1,-1000,IF(G3=$C$23,1,-1000))</f>
        <v>-1000</v>
      </c>
      <c r="H28" s="27">
        <f t="shared" ca="1" si="144"/>
        <v>-1000</v>
      </c>
      <c r="I28" s="27">
        <f t="shared" ca="1" si="144"/>
        <v>-1000</v>
      </c>
      <c r="J28" s="27">
        <f t="shared" ca="1" si="144"/>
        <v>-1000</v>
      </c>
      <c r="K28" s="27">
        <f t="shared" ca="1" si="144"/>
        <v>-1000</v>
      </c>
      <c r="L28" s="27">
        <f t="shared" ca="1" si="144"/>
        <v>-1000</v>
      </c>
      <c r="M28" s="27">
        <f t="shared" ca="1" si="144"/>
        <v>-1000</v>
      </c>
      <c r="N28" s="27">
        <f t="shared" ca="1" si="144"/>
        <v>-1000</v>
      </c>
      <c r="O28" s="27">
        <f t="shared" ca="1" si="144"/>
        <v>-1000</v>
      </c>
      <c r="P28" s="27">
        <f t="shared" ca="1" si="144"/>
        <v>-1000</v>
      </c>
      <c r="Q28" s="27">
        <f t="shared" ca="1" si="144"/>
        <v>-1000</v>
      </c>
      <c r="R28" s="27">
        <f t="shared" ca="1" si="144"/>
        <v>-1000</v>
      </c>
      <c r="S28" s="27">
        <f t="shared" ca="1" si="144"/>
        <v>-1000</v>
      </c>
      <c r="T28" s="27">
        <f t="shared" ca="1" si="144"/>
        <v>-1000</v>
      </c>
      <c r="U28" s="27">
        <f t="shared" ca="1" si="144"/>
        <v>-1000</v>
      </c>
      <c r="V28" s="27">
        <f t="shared" ca="1" si="144"/>
        <v>-1000</v>
      </c>
      <c r="W28" s="27">
        <f t="shared" ca="1" si="144"/>
        <v>-1000</v>
      </c>
      <c r="X28" s="27">
        <f t="shared" ca="1" si="144"/>
        <v>-1000</v>
      </c>
      <c r="Y28" s="27">
        <f t="shared" ca="1" si="144"/>
        <v>-1000</v>
      </c>
      <c r="Z28" s="27">
        <f t="shared" ca="1" si="144"/>
        <v>-1000</v>
      </c>
      <c r="AA28" s="27">
        <f t="shared" ca="1" si="144"/>
        <v>-1000</v>
      </c>
      <c r="AB28" s="27">
        <f t="shared" ca="1" si="144"/>
        <v>-1000</v>
      </c>
      <c r="AC28" s="27">
        <f t="shared" ca="1" si="144"/>
        <v>-1000</v>
      </c>
      <c r="AD28" s="27">
        <f t="shared" ca="1" si="144"/>
        <v>-1000</v>
      </c>
      <c r="AE28" s="27">
        <f t="shared" ca="1" si="144"/>
        <v>-1000</v>
      </c>
      <c r="AF28" s="27">
        <f t="shared" ca="1" si="144"/>
        <v>-1000</v>
      </c>
      <c r="AG28" s="27">
        <f t="shared" ca="1" si="144"/>
        <v>-1000</v>
      </c>
      <c r="AH28" s="27">
        <f t="shared" ca="1" si="144"/>
        <v>-1000</v>
      </c>
      <c r="AI28" s="27">
        <f t="shared" ca="1" si="144"/>
        <v>-1000</v>
      </c>
      <c r="AJ28" s="27">
        <f t="shared" ca="1" si="144"/>
        <v>-1000</v>
      </c>
      <c r="AK28" s="27">
        <f t="shared" ca="1" si="144"/>
        <v>-1000</v>
      </c>
      <c r="AL28" s="27">
        <f t="shared" ca="1" si="144"/>
        <v>-1000</v>
      </c>
      <c r="AM28" s="27">
        <f t="shared" ca="1" si="144"/>
        <v>-1000</v>
      </c>
      <c r="AN28" s="27">
        <f t="shared" ca="1" si="144"/>
        <v>-1000</v>
      </c>
      <c r="AO28" s="27">
        <f t="shared" ca="1" si="144"/>
        <v>-1000</v>
      </c>
      <c r="AP28" s="27">
        <f t="shared" ca="1" si="144"/>
        <v>-1000</v>
      </c>
      <c r="AQ28" s="27">
        <f t="shared" ca="1" si="144"/>
        <v>-1000</v>
      </c>
      <c r="AR28" s="27">
        <f t="shared" ca="1" si="144"/>
        <v>-1000</v>
      </c>
      <c r="AS28" s="27">
        <f t="shared" ca="1" si="144"/>
        <v>-1000</v>
      </c>
      <c r="AT28" s="27">
        <f t="shared" ca="1" si="144"/>
        <v>-1000</v>
      </c>
      <c r="AU28" s="27">
        <f t="shared" ca="1" si="144"/>
        <v>-1000</v>
      </c>
      <c r="AV28" s="27">
        <f t="shared" ca="1" si="144"/>
        <v>-1000</v>
      </c>
      <c r="AW28" s="27">
        <f t="shared" ca="1" si="144"/>
        <v>-1000</v>
      </c>
      <c r="AX28" s="27">
        <f t="shared" ca="1" si="144"/>
        <v>-1000</v>
      </c>
      <c r="AY28" s="27">
        <f t="shared" ca="1" si="144"/>
        <v>-1000</v>
      </c>
      <c r="AZ28" s="27">
        <f t="shared" ca="1" si="144"/>
        <v>-1000</v>
      </c>
      <c r="BA28" s="27">
        <f t="shared" ca="1" si="144"/>
        <v>-1000</v>
      </c>
      <c r="BB28" s="27">
        <f t="shared" ca="1" si="144"/>
        <v>-1000</v>
      </c>
      <c r="BC28" s="27">
        <f t="shared" ca="1" si="144"/>
        <v>-1000</v>
      </c>
      <c r="BD28" s="27">
        <f t="shared" ca="1" si="144"/>
        <v>-1000</v>
      </c>
      <c r="BE28" s="27">
        <f t="shared" ca="1" si="144"/>
        <v>-1000</v>
      </c>
      <c r="BF28" s="27">
        <f t="shared" ca="1" si="144"/>
        <v>-1000</v>
      </c>
      <c r="BG28" s="27">
        <f t="shared" ca="1" si="144"/>
        <v>-1000</v>
      </c>
      <c r="BH28" s="27">
        <f t="shared" ca="1" si="144"/>
        <v>-1000</v>
      </c>
      <c r="BI28" s="27">
        <f t="shared" ca="1" si="144"/>
        <v>-1000</v>
      </c>
      <c r="BJ28" s="27">
        <f t="shared" ca="1" si="144"/>
        <v>-1000</v>
      </c>
      <c r="BK28" s="27">
        <f t="shared" ca="1" si="144"/>
        <v>-1000</v>
      </c>
      <c r="BL28" s="27">
        <f t="shared" ca="1" si="144"/>
        <v>-1000</v>
      </c>
      <c r="BM28" s="27">
        <f t="shared" ca="1" si="144"/>
        <v>-1000</v>
      </c>
      <c r="BN28" s="27">
        <f t="shared" ca="1" si="144"/>
        <v>-1000</v>
      </c>
      <c r="BO28" s="27">
        <f t="shared" ca="1" si="144"/>
        <v>-1000</v>
      </c>
      <c r="BP28" s="27">
        <f t="shared" ca="1" si="144"/>
        <v>-1000</v>
      </c>
      <c r="BQ28" s="27">
        <f t="shared" ca="1" si="144"/>
        <v>-1000</v>
      </c>
      <c r="BR28" s="27">
        <f t="shared" ca="1" si="144"/>
        <v>-1000</v>
      </c>
      <c r="BS28" s="27">
        <f t="shared" ref="BS28:ED28" ca="1" si="145">IF(BS27=1,-1000,IF(BS3=$C$23,1,-1000))</f>
        <v>-1000</v>
      </c>
      <c r="BT28" s="27">
        <f t="shared" ca="1" si="145"/>
        <v>-1000</v>
      </c>
      <c r="BU28" s="27">
        <f t="shared" ca="1" si="145"/>
        <v>-1000</v>
      </c>
      <c r="BV28" s="27">
        <f t="shared" ca="1" si="145"/>
        <v>-1000</v>
      </c>
      <c r="BW28" s="27">
        <f t="shared" ca="1" si="145"/>
        <v>-1000</v>
      </c>
      <c r="BX28" s="27">
        <f t="shared" ca="1" si="145"/>
        <v>-1000</v>
      </c>
      <c r="BY28" s="27">
        <f t="shared" ca="1" si="145"/>
        <v>-1000</v>
      </c>
      <c r="BZ28" s="27">
        <f t="shared" ca="1" si="145"/>
        <v>-1000</v>
      </c>
      <c r="CA28" s="27">
        <f t="shared" ca="1" si="145"/>
        <v>-1000</v>
      </c>
      <c r="CB28" s="27">
        <f t="shared" ca="1" si="145"/>
        <v>-1000</v>
      </c>
      <c r="CC28" s="27">
        <f t="shared" ca="1" si="145"/>
        <v>-1000</v>
      </c>
      <c r="CD28" s="27">
        <f t="shared" ca="1" si="145"/>
        <v>-1000</v>
      </c>
      <c r="CE28" s="27">
        <f t="shared" ca="1" si="145"/>
        <v>-1000</v>
      </c>
      <c r="CF28" s="27">
        <f t="shared" ca="1" si="145"/>
        <v>-1000</v>
      </c>
      <c r="CG28" s="27">
        <f t="shared" ca="1" si="145"/>
        <v>-1000</v>
      </c>
      <c r="CH28" s="27">
        <f t="shared" ca="1" si="145"/>
        <v>-1000</v>
      </c>
      <c r="CI28" s="27">
        <f t="shared" ca="1" si="145"/>
        <v>-1000</v>
      </c>
      <c r="CJ28" s="27">
        <f t="shared" ca="1" si="145"/>
        <v>-1000</v>
      </c>
      <c r="CK28" s="27">
        <f t="shared" ca="1" si="145"/>
        <v>-1000</v>
      </c>
      <c r="CL28" s="27">
        <f t="shared" ca="1" si="145"/>
        <v>-1000</v>
      </c>
      <c r="CM28" s="27">
        <f t="shared" ca="1" si="145"/>
        <v>-1000</v>
      </c>
      <c r="CN28" s="27">
        <f t="shared" ca="1" si="145"/>
        <v>-1000</v>
      </c>
      <c r="CO28" s="27">
        <f t="shared" ca="1" si="145"/>
        <v>-1000</v>
      </c>
      <c r="CP28" s="27">
        <f t="shared" ca="1" si="145"/>
        <v>-1000</v>
      </c>
      <c r="CQ28" s="27">
        <f t="shared" ca="1" si="145"/>
        <v>-1000</v>
      </c>
      <c r="CR28" s="27">
        <f t="shared" ca="1" si="145"/>
        <v>-1000</v>
      </c>
      <c r="CS28" s="27">
        <f t="shared" ca="1" si="145"/>
        <v>-1000</v>
      </c>
      <c r="CT28" s="27">
        <f t="shared" ca="1" si="145"/>
        <v>-1000</v>
      </c>
      <c r="CU28" s="27">
        <f t="shared" ca="1" si="145"/>
        <v>-1000</v>
      </c>
      <c r="CV28" s="27">
        <f t="shared" ca="1" si="145"/>
        <v>-1000</v>
      </c>
      <c r="CW28" s="27">
        <f t="shared" ca="1" si="145"/>
        <v>-1000</v>
      </c>
      <c r="CX28" s="27">
        <f t="shared" ca="1" si="145"/>
        <v>-1000</v>
      </c>
      <c r="CY28" s="27">
        <f t="shared" ca="1" si="145"/>
        <v>-1000</v>
      </c>
      <c r="CZ28" s="27">
        <f t="shared" ca="1" si="145"/>
        <v>-1000</v>
      </c>
      <c r="DA28" s="27">
        <f t="shared" ca="1" si="145"/>
        <v>-1000</v>
      </c>
      <c r="DB28" s="27">
        <f t="shared" ca="1" si="145"/>
        <v>-1000</v>
      </c>
      <c r="DC28" s="27">
        <f t="shared" ca="1" si="145"/>
        <v>-1000</v>
      </c>
      <c r="DD28" s="27">
        <f t="shared" ca="1" si="145"/>
        <v>-1000</v>
      </c>
      <c r="DE28" s="27">
        <f t="shared" ca="1" si="145"/>
        <v>-1000</v>
      </c>
      <c r="DF28" s="27">
        <f t="shared" ca="1" si="145"/>
        <v>-1000</v>
      </c>
      <c r="DG28" s="27">
        <f t="shared" ca="1" si="145"/>
        <v>-1000</v>
      </c>
      <c r="DH28" s="27">
        <f t="shared" ca="1" si="145"/>
        <v>-1000</v>
      </c>
      <c r="DI28" s="27">
        <f t="shared" ca="1" si="145"/>
        <v>-1000</v>
      </c>
      <c r="DJ28" s="27">
        <f t="shared" ca="1" si="145"/>
        <v>-1000</v>
      </c>
      <c r="DK28" s="27">
        <f t="shared" ca="1" si="145"/>
        <v>-1000</v>
      </c>
      <c r="DL28" s="27">
        <f t="shared" ca="1" si="145"/>
        <v>-1000</v>
      </c>
      <c r="DM28" s="27">
        <f t="shared" ca="1" si="145"/>
        <v>-1000</v>
      </c>
      <c r="DN28" s="27">
        <f t="shared" ca="1" si="145"/>
        <v>-1000</v>
      </c>
      <c r="DO28" s="27">
        <f t="shared" ca="1" si="145"/>
        <v>-1000</v>
      </c>
      <c r="DP28" s="27">
        <f t="shared" ca="1" si="145"/>
        <v>-1000</v>
      </c>
      <c r="DQ28" s="27">
        <f t="shared" ca="1" si="145"/>
        <v>-1000</v>
      </c>
      <c r="DR28" s="27">
        <f t="shared" ca="1" si="145"/>
        <v>-1000</v>
      </c>
      <c r="DS28" s="27">
        <f t="shared" ca="1" si="145"/>
        <v>-1000</v>
      </c>
      <c r="DT28" s="27">
        <f t="shared" ca="1" si="145"/>
        <v>-1000</v>
      </c>
      <c r="DU28" s="27">
        <f t="shared" ca="1" si="145"/>
        <v>-1000</v>
      </c>
      <c r="DV28" s="27">
        <f t="shared" ca="1" si="145"/>
        <v>-1000</v>
      </c>
      <c r="DW28" s="27">
        <f t="shared" ca="1" si="145"/>
        <v>-1000</v>
      </c>
      <c r="DX28" s="27">
        <f t="shared" ca="1" si="145"/>
        <v>-1000</v>
      </c>
      <c r="DY28" s="27">
        <f t="shared" ca="1" si="145"/>
        <v>-1000</v>
      </c>
      <c r="DZ28" s="27">
        <f t="shared" ca="1" si="145"/>
        <v>-1000</v>
      </c>
      <c r="EA28" s="27">
        <f t="shared" ca="1" si="145"/>
        <v>-1000</v>
      </c>
      <c r="EB28" s="27">
        <f t="shared" ca="1" si="145"/>
        <v>-1000</v>
      </c>
      <c r="EC28" s="27">
        <f t="shared" ca="1" si="145"/>
        <v>-1000</v>
      </c>
      <c r="ED28" s="27">
        <f t="shared" ca="1" si="145"/>
        <v>-1000</v>
      </c>
      <c r="EE28" s="27">
        <f t="shared" ref="EE28:GP28" ca="1" si="146">IF(EE27=1,-1000,IF(EE3=$C$23,1,-1000))</f>
        <v>-1000</v>
      </c>
      <c r="EF28" s="27">
        <f t="shared" ca="1" si="146"/>
        <v>-1000</v>
      </c>
      <c r="EG28" s="27">
        <f t="shared" ca="1" si="146"/>
        <v>-1000</v>
      </c>
      <c r="EH28" s="27">
        <f t="shared" ca="1" si="146"/>
        <v>-1000</v>
      </c>
      <c r="EI28" s="27">
        <f t="shared" ca="1" si="146"/>
        <v>-1000</v>
      </c>
      <c r="EJ28" s="27">
        <f t="shared" ca="1" si="146"/>
        <v>-1000</v>
      </c>
      <c r="EK28" s="27">
        <f t="shared" ca="1" si="146"/>
        <v>-1000</v>
      </c>
      <c r="EL28" s="27">
        <f t="shared" ca="1" si="146"/>
        <v>-1000</v>
      </c>
      <c r="EM28" s="27">
        <f t="shared" ca="1" si="146"/>
        <v>-1000</v>
      </c>
      <c r="EN28" s="27">
        <f t="shared" ca="1" si="146"/>
        <v>-1000</v>
      </c>
      <c r="EO28" s="27">
        <f t="shared" ca="1" si="146"/>
        <v>-1000</v>
      </c>
      <c r="EP28" s="27">
        <f t="shared" ca="1" si="146"/>
        <v>-1000</v>
      </c>
      <c r="EQ28" s="27">
        <f t="shared" ca="1" si="146"/>
        <v>-1000</v>
      </c>
      <c r="ER28" s="27">
        <f t="shared" ca="1" si="146"/>
        <v>-1000</v>
      </c>
      <c r="ES28" s="27">
        <f t="shared" ca="1" si="146"/>
        <v>-1000</v>
      </c>
      <c r="ET28" s="27">
        <f t="shared" ca="1" si="146"/>
        <v>-1000</v>
      </c>
      <c r="EU28" s="27">
        <f t="shared" ca="1" si="146"/>
        <v>-1000</v>
      </c>
      <c r="EV28" s="27">
        <f t="shared" ca="1" si="146"/>
        <v>-1000</v>
      </c>
      <c r="EW28" s="27">
        <f t="shared" ca="1" si="146"/>
        <v>-1000</v>
      </c>
      <c r="EX28" s="27">
        <f t="shared" ca="1" si="146"/>
        <v>-1000</v>
      </c>
      <c r="EY28" s="27">
        <f t="shared" ca="1" si="146"/>
        <v>-1000</v>
      </c>
      <c r="EZ28" s="27">
        <f t="shared" ca="1" si="146"/>
        <v>-1000</v>
      </c>
      <c r="FA28" s="27">
        <f t="shared" ca="1" si="146"/>
        <v>-1000</v>
      </c>
      <c r="FB28" s="27">
        <f t="shared" ca="1" si="146"/>
        <v>-1000</v>
      </c>
      <c r="FC28" s="27">
        <f t="shared" ca="1" si="146"/>
        <v>-1000</v>
      </c>
      <c r="FD28" s="27">
        <f t="shared" ca="1" si="146"/>
        <v>-1000</v>
      </c>
      <c r="FE28" s="27">
        <f t="shared" ca="1" si="146"/>
        <v>-1000</v>
      </c>
      <c r="FF28" s="27">
        <f t="shared" ca="1" si="146"/>
        <v>-1000</v>
      </c>
      <c r="FG28" s="27">
        <f t="shared" ca="1" si="146"/>
        <v>-1000</v>
      </c>
      <c r="FH28" s="27">
        <f t="shared" ca="1" si="146"/>
        <v>-1000</v>
      </c>
      <c r="FI28" s="27">
        <f t="shared" ca="1" si="146"/>
        <v>-1000</v>
      </c>
      <c r="FJ28" s="27">
        <f t="shared" ca="1" si="146"/>
        <v>-1000</v>
      </c>
      <c r="FK28" s="27">
        <f t="shared" ca="1" si="146"/>
        <v>-1000</v>
      </c>
      <c r="FL28" s="27">
        <f t="shared" ca="1" si="146"/>
        <v>-1000</v>
      </c>
      <c r="FM28" s="27">
        <f t="shared" ca="1" si="146"/>
        <v>-1000</v>
      </c>
      <c r="FN28" s="27">
        <f t="shared" ca="1" si="146"/>
        <v>-1000</v>
      </c>
      <c r="FO28" s="27">
        <f t="shared" ca="1" si="146"/>
        <v>-1000</v>
      </c>
      <c r="FP28" s="27">
        <f t="shared" ca="1" si="146"/>
        <v>-1000</v>
      </c>
      <c r="FQ28" s="27">
        <f t="shared" ca="1" si="146"/>
        <v>-1000</v>
      </c>
      <c r="FR28" s="27">
        <f t="shared" ca="1" si="146"/>
        <v>-1000</v>
      </c>
      <c r="FS28" s="27">
        <f t="shared" ca="1" si="146"/>
        <v>-1000</v>
      </c>
      <c r="FT28" s="27">
        <f t="shared" ca="1" si="146"/>
        <v>-1000</v>
      </c>
      <c r="FU28" s="27">
        <f t="shared" ca="1" si="146"/>
        <v>-1000</v>
      </c>
      <c r="FV28" s="27">
        <f t="shared" ca="1" si="146"/>
        <v>-1000</v>
      </c>
      <c r="FW28" s="27">
        <f t="shared" ca="1" si="146"/>
        <v>-1000</v>
      </c>
      <c r="FX28" s="27">
        <f t="shared" ca="1" si="146"/>
        <v>-1000</v>
      </c>
      <c r="FY28" s="27">
        <f t="shared" ca="1" si="146"/>
        <v>-1000</v>
      </c>
      <c r="FZ28" s="27">
        <f t="shared" ca="1" si="146"/>
        <v>-1000</v>
      </c>
      <c r="GA28" s="27">
        <f t="shared" ca="1" si="146"/>
        <v>-1000</v>
      </c>
      <c r="GB28" s="27">
        <f t="shared" ca="1" si="146"/>
        <v>-1000</v>
      </c>
      <c r="GC28" s="27">
        <f t="shared" ca="1" si="146"/>
        <v>-1000</v>
      </c>
      <c r="GD28" s="27">
        <f t="shared" ca="1" si="146"/>
        <v>-1000</v>
      </c>
      <c r="GE28" s="27">
        <f t="shared" ca="1" si="146"/>
        <v>-1000</v>
      </c>
      <c r="GF28" s="27">
        <f t="shared" ca="1" si="146"/>
        <v>-1000</v>
      </c>
      <c r="GG28" s="27">
        <f t="shared" ca="1" si="146"/>
        <v>-1000</v>
      </c>
      <c r="GH28" s="27">
        <f t="shared" ca="1" si="146"/>
        <v>-1000</v>
      </c>
      <c r="GI28" s="27">
        <f t="shared" ca="1" si="146"/>
        <v>-1000</v>
      </c>
      <c r="GJ28" s="27">
        <f t="shared" ca="1" si="146"/>
        <v>-1000</v>
      </c>
      <c r="GK28" s="27">
        <f t="shared" ca="1" si="146"/>
        <v>-1000</v>
      </c>
      <c r="GL28" s="27">
        <f t="shared" ca="1" si="146"/>
        <v>-1000</v>
      </c>
      <c r="GM28" s="27">
        <f t="shared" ca="1" si="146"/>
        <v>-1000</v>
      </c>
      <c r="GN28" s="27">
        <f t="shared" ca="1" si="146"/>
        <v>-1000</v>
      </c>
      <c r="GO28" s="27">
        <f t="shared" ca="1" si="146"/>
        <v>-1000</v>
      </c>
      <c r="GP28" s="27">
        <f t="shared" ca="1" si="146"/>
        <v>-1000</v>
      </c>
      <c r="GQ28" s="27">
        <f t="shared" ref="GQ28:IN28" ca="1" si="147">IF(GQ27=1,-1000,IF(GQ3=$C$23,1,-1000))</f>
        <v>-1000</v>
      </c>
      <c r="GR28" s="27">
        <f t="shared" ca="1" si="147"/>
        <v>-1000</v>
      </c>
      <c r="GS28" s="27">
        <f t="shared" ca="1" si="147"/>
        <v>-1000</v>
      </c>
      <c r="GT28" s="27">
        <f t="shared" ca="1" si="147"/>
        <v>-1000</v>
      </c>
      <c r="GU28" s="27">
        <f t="shared" ca="1" si="147"/>
        <v>-1000</v>
      </c>
      <c r="GV28" s="27">
        <f t="shared" ca="1" si="147"/>
        <v>-1000</v>
      </c>
      <c r="GW28" s="27">
        <f t="shared" ca="1" si="147"/>
        <v>-1000</v>
      </c>
      <c r="GX28" s="27">
        <f t="shared" ca="1" si="147"/>
        <v>-1000</v>
      </c>
      <c r="GY28" s="27">
        <f t="shared" ca="1" si="147"/>
        <v>-1000</v>
      </c>
      <c r="GZ28" s="27">
        <f t="shared" ca="1" si="147"/>
        <v>-1000</v>
      </c>
      <c r="HA28" s="27">
        <f t="shared" ca="1" si="147"/>
        <v>-1000</v>
      </c>
      <c r="HB28" s="27">
        <f t="shared" ca="1" si="147"/>
        <v>-1000</v>
      </c>
      <c r="HC28" s="27">
        <f t="shared" ca="1" si="147"/>
        <v>-1000</v>
      </c>
      <c r="HD28" s="27">
        <f t="shared" ca="1" si="147"/>
        <v>-1000</v>
      </c>
      <c r="HE28" s="27">
        <f t="shared" ca="1" si="147"/>
        <v>-1000</v>
      </c>
      <c r="HF28" s="27">
        <f t="shared" ca="1" si="147"/>
        <v>-1000</v>
      </c>
      <c r="HG28" s="27">
        <f t="shared" ca="1" si="147"/>
        <v>-1000</v>
      </c>
      <c r="HH28" s="27">
        <f t="shared" ca="1" si="147"/>
        <v>-1000</v>
      </c>
      <c r="HI28" s="27">
        <f t="shared" ca="1" si="147"/>
        <v>-1000</v>
      </c>
      <c r="HJ28" s="27">
        <f t="shared" ca="1" si="147"/>
        <v>-1000</v>
      </c>
      <c r="HK28" s="27">
        <f t="shared" ca="1" si="147"/>
        <v>-1000</v>
      </c>
      <c r="HL28" s="27">
        <f t="shared" ca="1" si="147"/>
        <v>-1000</v>
      </c>
      <c r="HM28" s="27">
        <f t="shared" ca="1" si="147"/>
        <v>-1000</v>
      </c>
      <c r="HN28" s="27">
        <f t="shared" ca="1" si="147"/>
        <v>-1000</v>
      </c>
      <c r="HO28" s="27">
        <f t="shared" ca="1" si="147"/>
        <v>-1000</v>
      </c>
      <c r="HP28" s="27">
        <f t="shared" ca="1" si="147"/>
        <v>-1000</v>
      </c>
      <c r="HQ28" s="27">
        <f t="shared" ca="1" si="147"/>
        <v>-1000</v>
      </c>
      <c r="HR28" s="27">
        <f t="shared" ca="1" si="147"/>
        <v>-1000</v>
      </c>
      <c r="HS28" s="27">
        <f t="shared" ca="1" si="147"/>
        <v>-1000</v>
      </c>
      <c r="HT28" s="27">
        <f t="shared" ca="1" si="147"/>
        <v>-1000</v>
      </c>
      <c r="HU28" s="27">
        <f t="shared" ca="1" si="147"/>
        <v>-1000</v>
      </c>
      <c r="HV28" s="27">
        <f t="shared" ca="1" si="147"/>
        <v>-1000</v>
      </c>
      <c r="HW28" s="27">
        <f t="shared" ca="1" si="147"/>
        <v>-1000</v>
      </c>
      <c r="HX28" s="27">
        <f t="shared" ca="1" si="147"/>
        <v>-1000</v>
      </c>
      <c r="HY28" s="27">
        <f t="shared" ca="1" si="147"/>
        <v>-1000</v>
      </c>
      <c r="HZ28" s="27">
        <f t="shared" ca="1" si="147"/>
        <v>-1000</v>
      </c>
      <c r="IA28" s="27">
        <f t="shared" ca="1" si="147"/>
        <v>-1000</v>
      </c>
      <c r="IB28" s="27">
        <f t="shared" ca="1" si="147"/>
        <v>-1000</v>
      </c>
      <c r="IC28" s="27">
        <f t="shared" ca="1" si="147"/>
        <v>-1000</v>
      </c>
      <c r="ID28" s="27">
        <f t="shared" ca="1" si="147"/>
        <v>-1000</v>
      </c>
      <c r="IE28" s="27">
        <f t="shared" ca="1" si="147"/>
        <v>-1000</v>
      </c>
      <c r="IF28" s="27">
        <f t="shared" ca="1" si="147"/>
        <v>-1000</v>
      </c>
      <c r="IG28" s="27">
        <f t="shared" ca="1" si="147"/>
        <v>-1000</v>
      </c>
      <c r="IH28" s="27">
        <f t="shared" ca="1" si="147"/>
        <v>-1000</v>
      </c>
      <c r="II28" s="27">
        <f t="shared" ca="1" si="147"/>
        <v>-1000</v>
      </c>
      <c r="IJ28" s="27">
        <f t="shared" ca="1" si="147"/>
        <v>-1000</v>
      </c>
      <c r="IK28" s="27">
        <f t="shared" ca="1" si="147"/>
        <v>-1000</v>
      </c>
      <c r="IL28" s="27">
        <f t="shared" ca="1" si="147"/>
        <v>-1000</v>
      </c>
      <c r="IM28" s="27">
        <f t="shared" ca="1" si="147"/>
        <v>-1000</v>
      </c>
      <c r="IN28" s="27">
        <f t="shared" ca="1" si="147"/>
        <v>-1000</v>
      </c>
    </row>
    <row r="29" spans="2:248" x14ac:dyDescent="0.3">
      <c r="B29" s="19" t="s">
        <v>428</v>
      </c>
      <c r="C29" s="20">
        <f ca="1">G3</f>
        <v>43852</v>
      </c>
      <c r="D29" s="20">
        <f ca="1">G3</f>
        <v>43852</v>
      </c>
      <c r="S29" s="18"/>
      <c r="T29" s="29"/>
      <c r="AI29" s="30"/>
      <c r="AJ29" s="31"/>
      <c r="AK29" s="32"/>
      <c r="AL29" s="31"/>
      <c r="AM29" s="31"/>
      <c r="AN29" s="32"/>
      <c r="AO29" s="32"/>
      <c r="AP29" s="33"/>
      <c r="AQ29" s="30"/>
    </row>
    <row r="30" spans="2:248" x14ac:dyDescent="0.3">
      <c r="B30" s="19" t="s">
        <v>455</v>
      </c>
      <c r="C30" s="20">
        <f ca="1">MIN(IF(Projections!$Z$8="",xMin2+C5+5,xMin2+Projections!$Z$8+C5),MAX(3:3))</f>
        <v>43923</v>
      </c>
      <c r="D30" s="20">
        <f ca="1">IF(D31&lt;TODAY(),TODAY()+3+Projections!Z45,IFERROR(OFFSET(G26,-23,MATCH(1,G26:IN26,0))+3+Projections!Z45,xMax2+3+Projections!Z45))</f>
        <v>43926</v>
      </c>
      <c r="G30" s="40"/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  <c r="AF30" s="40"/>
      <c r="AG30" s="40"/>
      <c r="AH30" s="40"/>
      <c r="AI30" s="40"/>
      <c r="AJ30" s="40"/>
      <c r="AK30" s="40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0"/>
      <c r="AZ30" s="40"/>
      <c r="BA30" s="40"/>
      <c r="BB30" s="40"/>
      <c r="BC30" s="40"/>
      <c r="BD30" s="40"/>
      <c r="BE30" s="40"/>
      <c r="BF30" s="40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0"/>
      <c r="BU30" s="40"/>
      <c r="BV30" s="40"/>
      <c r="BW30" s="40"/>
      <c r="BX30" s="40"/>
      <c r="BY30" s="40"/>
      <c r="BZ30" s="40"/>
      <c r="CA30" s="40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0"/>
      <c r="CP30" s="40"/>
      <c r="CQ30" s="40"/>
      <c r="CR30" s="40"/>
      <c r="CS30" s="40"/>
      <c r="CT30" s="40"/>
      <c r="CU30" s="40"/>
      <c r="CV30" s="40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0"/>
      <c r="DK30" s="40"/>
      <c r="DL30" s="40"/>
      <c r="DM30" s="40"/>
      <c r="DN30" s="40"/>
      <c r="DO30" s="40"/>
      <c r="DP30" s="40"/>
      <c r="DQ30" s="40"/>
      <c r="DR30" s="40"/>
      <c r="DS30" s="40"/>
      <c r="DT30" s="40"/>
      <c r="DU30" s="40"/>
      <c r="DV30" s="40"/>
      <c r="DW30" s="40"/>
      <c r="DX30" s="40"/>
      <c r="DY30" s="40"/>
      <c r="DZ30" s="40"/>
      <c r="EA30" s="40"/>
      <c r="EB30" s="40"/>
      <c r="EC30" s="40"/>
      <c r="ED30" s="40"/>
      <c r="EE30" s="40"/>
      <c r="EF30" s="40"/>
      <c r="EG30" s="40"/>
      <c r="EH30" s="40"/>
      <c r="EI30" s="40"/>
      <c r="EJ30" s="40"/>
      <c r="EK30" s="40"/>
      <c r="EL30" s="40"/>
      <c r="EM30" s="40"/>
      <c r="EN30" s="40"/>
      <c r="EO30" s="40"/>
      <c r="EP30" s="40"/>
      <c r="EQ30" s="40"/>
      <c r="ER30" s="40"/>
      <c r="ES30" s="40"/>
      <c r="ET30" s="40"/>
      <c r="EU30" s="40"/>
      <c r="EV30" s="40"/>
      <c r="EW30" s="40"/>
      <c r="EX30" s="40"/>
      <c r="EY30" s="40"/>
      <c r="EZ30" s="40"/>
      <c r="FA30" s="40"/>
      <c r="FB30" s="40"/>
      <c r="FC30" s="40"/>
      <c r="FD30" s="40"/>
      <c r="FE30" s="40"/>
      <c r="FF30" s="40"/>
      <c r="FG30" s="40"/>
      <c r="FH30" s="40"/>
      <c r="FI30" s="40"/>
      <c r="FJ30" s="40"/>
      <c r="FK30" s="40"/>
      <c r="FL30" s="40"/>
      <c r="FM30" s="40"/>
      <c r="FN30" s="40"/>
      <c r="FO30" s="40"/>
      <c r="FP30" s="40"/>
      <c r="FQ30" s="40"/>
      <c r="FR30" s="40"/>
      <c r="FS30" s="40"/>
      <c r="FT30" s="40"/>
      <c r="FU30" s="40"/>
      <c r="FV30" s="40"/>
      <c r="FW30" s="40"/>
      <c r="FX30" s="40"/>
      <c r="FY30" s="40"/>
      <c r="FZ30" s="40"/>
      <c r="GA30" s="40"/>
      <c r="GB30" s="40"/>
      <c r="GC30" s="40"/>
      <c r="GD30" s="40"/>
      <c r="GE30" s="40"/>
      <c r="GF30" s="40"/>
      <c r="GG30" s="40"/>
      <c r="GH30" s="40"/>
      <c r="GI30" s="40"/>
      <c r="GJ30" s="40"/>
      <c r="GK30" s="40"/>
      <c r="GL30" s="40"/>
      <c r="GM30" s="40"/>
      <c r="GN30" s="40"/>
      <c r="GO30" s="40"/>
      <c r="GP30" s="40"/>
      <c r="GQ30" s="40"/>
      <c r="GR30" s="40"/>
      <c r="GS30" s="40"/>
      <c r="GT30" s="40"/>
      <c r="GU30" s="40"/>
      <c r="GV30" s="40"/>
      <c r="GW30" s="40"/>
      <c r="GX30" s="40"/>
      <c r="GY30" s="40"/>
      <c r="GZ30" s="40"/>
      <c r="HA30" s="40"/>
      <c r="HB30" s="40"/>
      <c r="HC30" s="40"/>
      <c r="HD30" s="40"/>
      <c r="HE30" s="40"/>
      <c r="HF30" s="40"/>
      <c r="HG30" s="40"/>
      <c r="HH30" s="40"/>
      <c r="HI30" s="40"/>
      <c r="HJ30" s="40"/>
      <c r="HK30" s="40"/>
      <c r="HL30" s="40"/>
      <c r="HM30" s="40"/>
      <c r="HN30" s="40"/>
      <c r="HO30" s="40"/>
      <c r="HP30" s="40"/>
      <c r="HQ30" s="40"/>
      <c r="HR30" s="40"/>
      <c r="HS30" s="40"/>
      <c r="HT30" s="40"/>
      <c r="HU30" s="40"/>
      <c r="HV30" s="40"/>
      <c r="HW30" s="40"/>
      <c r="HX30" s="40"/>
      <c r="HY30" s="40"/>
      <c r="HZ30" s="40"/>
      <c r="IA30" s="40"/>
      <c r="IB30" s="40"/>
      <c r="IC30" s="40"/>
      <c r="ID30" s="40"/>
      <c r="IE30" s="40"/>
      <c r="IF30" s="40"/>
      <c r="IG30" s="40"/>
      <c r="IH30" s="40"/>
      <c r="II30" s="40"/>
      <c r="IJ30" s="40"/>
      <c r="IK30" s="40"/>
      <c r="IL30" s="40"/>
      <c r="IM30" s="40"/>
      <c r="IN30" s="40"/>
    </row>
    <row r="31" spans="2:248" ht="15" thickBot="1" x14ac:dyDescent="0.35">
      <c r="C31" s="20"/>
      <c r="D31" s="20" t="str">
        <f ca="1">IFERROR(OFFSET(G26,-23,MATCH(1,G26:IN26,0))-1,"N/A")</f>
        <v>N/A</v>
      </c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/>
      <c r="AE31" s="40"/>
      <c r="AF31" s="40"/>
      <c r="AG31" s="40"/>
      <c r="AH31" s="40"/>
      <c r="AI31" s="40"/>
      <c r="AJ31" s="40"/>
      <c r="AK31" s="40"/>
      <c r="AL31" s="40"/>
      <c r="AM31" s="40"/>
      <c r="AN31" s="40"/>
      <c r="AO31" s="40"/>
      <c r="AP31" s="40"/>
      <c r="AQ31" s="40"/>
      <c r="AR31" s="40"/>
      <c r="AS31" s="40"/>
      <c r="AT31" s="40"/>
      <c r="AU31" s="40"/>
      <c r="AV31" s="40"/>
      <c r="AW31" s="40"/>
      <c r="AX31" s="40"/>
      <c r="AY31" s="40"/>
      <c r="AZ31" s="40"/>
      <c r="BA31" s="40"/>
      <c r="BB31" s="40"/>
      <c r="BC31" s="40"/>
      <c r="BD31" s="40"/>
      <c r="BE31" s="40"/>
      <c r="BF31" s="40"/>
      <c r="BG31" s="40"/>
      <c r="BH31" s="40"/>
      <c r="BI31" s="40"/>
      <c r="BJ31" s="40"/>
      <c r="BK31" s="40"/>
      <c r="BL31" s="40"/>
      <c r="BM31" s="40"/>
      <c r="BN31" s="40"/>
      <c r="BO31" s="40"/>
      <c r="BP31" s="40"/>
      <c r="BQ31" s="40"/>
      <c r="BR31" s="40"/>
      <c r="BS31" s="40"/>
      <c r="BT31" s="40"/>
      <c r="BU31" s="40"/>
      <c r="BV31" s="40"/>
      <c r="BW31" s="40"/>
      <c r="BX31" s="40"/>
      <c r="BY31" s="40"/>
      <c r="BZ31" s="40"/>
      <c r="CA31" s="40"/>
      <c r="CB31" s="40"/>
      <c r="CC31" s="40"/>
      <c r="CD31" s="40"/>
      <c r="CE31" s="40"/>
      <c r="CF31" s="40"/>
      <c r="CG31" s="40"/>
      <c r="CH31" s="40"/>
      <c r="CI31" s="40"/>
      <c r="CJ31" s="40"/>
      <c r="CK31" s="40"/>
      <c r="CL31" s="40"/>
      <c r="CM31" s="40"/>
      <c r="CN31" s="40"/>
      <c r="CO31" s="40"/>
      <c r="CP31" s="40"/>
      <c r="CQ31" s="40"/>
      <c r="CR31" s="40"/>
      <c r="CS31" s="40"/>
      <c r="CT31" s="40"/>
      <c r="CU31" s="40"/>
      <c r="CV31" s="40"/>
      <c r="CW31" s="40"/>
      <c r="CX31" s="40"/>
      <c r="CY31" s="40"/>
      <c r="CZ31" s="40"/>
      <c r="DA31" s="40"/>
      <c r="DB31" s="40"/>
      <c r="DC31" s="40"/>
      <c r="DD31" s="40"/>
      <c r="DE31" s="40"/>
      <c r="DF31" s="40"/>
      <c r="DG31" s="40"/>
      <c r="DH31" s="40"/>
      <c r="DI31" s="40"/>
      <c r="DJ31" s="40"/>
      <c r="DK31" s="40"/>
      <c r="DL31" s="40"/>
      <c r="DM31" s="40"/>
      <c r="DN31" s="40"/>
      <c r="DO31" s="40"/>
      <c r="DP31" s="40"/>
      <c r="DQ31" s="40"/>
      <c r="DR31" s="40"/>
      <c r="DS31" s="40"/>
      <c r="DT31" s="40"/>
      <c r="DU31" s="40"/>
      <c r="DV31" s="40"/>
      <c r="DW31" s="40"/>
      <c r="DX31" s="40"/>
      <c r="DY31" s="40"/>
      <c r="DZ31" s="40"/>
      <c r="EA31" s="40"/>
      <c r="EB31" s="40"/>
      <c r="EC31" s="40"/>
      <c r="ED31" s="40"/>
      <c r="EE31" s="40"/>
      <c r="EF31" s="40"/>
      <c r="EG31" s="40"/>
      <c r="EH31" s="40"/>
      <c r="EI31" s="40"/>
      <c r="EJ31" s="40"/>
      <c r="EK31" s="40"/>
      <c r="EL31" s="40"/>
      <c r="EM31" s="40"/>
      <c r="EN31" s="40"/>
      <c r="EO31" s="40"/>
      <c r="EP31" s="40"/>
      <c r="EQ31" s="40"/>
      <c r="ER31" s="40"/>
      <c r="ES31" s="40"/>
      <c r="ET31" s="40"/>
      <c r="EU31" s="40"/>
      <c r="EV31" s="40"/>
      <c r="EW31" s="40"/>
      <c r="EX31" s="40"/>
      <c r="EY31" s="40"/>
      <c r="EZ31" s="40"/>
      <c r="FA31" s="40"/>
      <c r="FB31" s="40"/>
      <c r="FC31" s="40"/>
      <c r="FD31" s="40"/>
      <c r="FE31" s="40"/>
      <c r="FF31" s="40"/>
      <c r="FG31" s="40"/>
      <c r="FH31" s="40"/>
      <c r="FI31" s="40"/>
      <c r="FJ31" s="40"/>
      <c r="FK31" s="40"/>
      <c r="FL31" s="40"/>
      <c r="FM31" s="40"/>
      <c r="FN31" s="40"/>
      <c r="FO31" s="40"/>
      <c r="FP31" s="40"/>
      <c r="FQ31" s="40"/>
      <c r="FR31" s="40"/>
      <c r="FS31" s="40"/>
      <c r="FT31" s="40"/>
      <c r="FU31" s="40"/>
      <c r="FV31" s="40"/>
      <c r="FW31" s="40"/>
      <c r="FX31" s="40"/>
      <c r="FY31" s="40"/>
      <c r="FZ31" s="40"/>
      <c r="GA31" s="40"/>
      <c r="GB31" s="40"/>
      <c r="GC31" s="40"/>
      <c r="GD31" s="40"/>
      <c r="GE31" s="40"/>
      <c r="GF31" s="40"/>
      <c r="GG31" s="40"/>
      <c r="GH31" s="40"/>
      <c r="GI31" s="40"/>
      <c r="GJ31" s="40"/>
      <c r="GK31" s="40"/>
      <c r="GL31" s="40"/>
      <c r="GM31" s="40"/>
      <c r="GN31" s="40"/>
      <c r="GO31" s="40"/>
      <c r="GP31" s="40"/>
      <c r="GQ31" s="40"/>
      <c r="GR31" s="40"/>
      <c r="GS31" s="40"/>
      <c r="GT31" s="40"/>
      <c r="GU31" s="40"/>
      <c r="GV31" s="40"/>
      <c r="GW31" s="40"/>
      <c r="GX31" s="40"/>
      <c r="GY31" s="40"/>
      <c r="GZ31" s="40"/>
      <c r="HA31" s="40"/>
      <c r="HB31" s="40"/>
      <c r="HC31" s="40"/>
      <c r="HD31" s="40"/>
      <c r="HE31" s="40"/>
      <c r="HF31" s="40"/>
      <c r="HG31" s="40"/>
      <c r="HH31" s="40"/>
      <c r="HI31" s="40"/>
      <c r="HJ31" s="40"/>
      <c r="HK31" s="40"/>
      <c r="HL31" s="40"/>
      <c r="HM31" s="40"/>
      <c r="HN31" s="40"/>
      <c r="HO31" s="40"/>
      <c r="HP31" s="40"/>
      <c r="HQ31" s="40"/>
      <c r="HR31" s="40"/>
      <c r="HS31" s="40"/>
      <c r="HT31" s="40"/>
      <c r="HU31" s="40"/>
      <c r="HV31" s="40"/>
      <c r="HW31" s="40"/>
      <c r="HX31" s="40"/>
      <c r="HY31" s="40"/>
      <c r="HZ31" s="40"/>
      <c r="IA31" s="40"/>
      <c r="IB31" s="40"/>
      <c r="IC31" s="40"/>
      <c r="ID31" s="40"/>
      <c r="IE31" s="40"/>
      <c r="IF31" s="40"/>
      <c r="IG31" s="40"/>
      <c r="IH31" s="40"/>
      <c r="II31" s="40"/>
      <c r="IJ31" s="40"/>
      <c r="IK31" s="40"/>
      <c r="IL31" s="40"/>
      <c r="IM31" s="40"/>
      <c r="IN31" s="40"/>
    </row>
    <row r="32" spans="2:248" ht="15" thickBot="1" x14ac:dyDescent="0.35">
      <c r="B32" s="19" t="s">
        <v>539</v>
      </c>
      <c r="C32" s="19">
        <f>IF(Projections!Z32="",2.5,Projections!Z32)</f>
        <v>2.5</v>
      </c>
      <c r="S32" s="18"/>
      <c r="T32" s="29"/>
      <c r="AI32" s="30"/>
      <c r="AJ32" s="31"/>
      <c r="AK32" s="32"/>
      <c r="AL32" s="31"/>
      <c r="AM32" s="31"/>
      <c r="AN32" s="32"/>
      <c r="AO32" s="32"/>
      <c r="AP32" s="33"/>
      <c r="AQ32" s="30"/>
    </row>
    <row r="33" spans="2:43" ht="15" thickBot="1" x14ac:dyDescent="0.35">
      <c r="S33" s="18"/>
      <c r="T33" s="29"/>
      <c r="AI33" s="30"/>
      <c r="AJ33" s="31"/>
      <c r="AK33" s="32"/>
      <c r="AL33" s="31"/>
      <c r="AM33" s="31"/>
      <c r="AN33" s="32"/>
      <c r="AO33" s="32"/>
      <c r="AP33" s="33"/>
      <c r="AQ33" s="30"/>
    </row>
    <row r="34" spans="2:43" ht="15" thickBot="1" x14ac:dyDescent="0.35">
      <c r="B34" s="19" t="str">
        <f>B2&amp;" Covid-19 projections"</f>
        <v>Asia Covid-19 projections</v>
      </c>
      <c r="S34" s="18"/>
      <c r="T34" s="29"/>
      <c r="AI34" s="30"/>
      <c r="AJ34" s="31"/>
      <c r="AK34" s="32"/>
      <c r="AL34" s="31"/>
      <c r="AM34" s="31"/>
      <c r="AN34" s="32"/>
      <c r="AO34" s="32"/>
      <c r="AP34" s="33"/>
      <c r="AQ34" s="30"/>
    </row>
    <row r="35" spans="2:43" ht="15" thickBot="1" x14ac:dyDescent="0.35">
      <c r="B35" s="19" t="str">
        <f>B2&amp;" critically ill projections "</f>
        <v xml:space="preserve">Asia critically ill projections </v>
      </c>
      <c r="S35" s="18"/>
      <c r="T35" s="29"/>
      <c r="AI35" s="30"/>
      <c r="AJ35" s="31"/>
      <c r="AK35" s="32"/>
      <c r="AL35" s="31"/>
      <c r="AM35" s="31"/>
      <c r="AN35" s="32"/>
      <c r="AO35" s="32"/>
      <c r="AP35" s="33"/>
      <c r="AQ35" s="30"/>
    </row>
    <row r="36" spans="2:43" ht="15" thickBot="1" x14ac:dyDescent="0.35">
      <c r="S36" s="18"/>
      <c r="T36" s="29"/>
      <c r="AI36" s="30"/>
      <c r="AJ36" s="31"/>
      <c r="AK36" s="32"/>
      <c r="AL36" s="31"/>
      <c r="AM36" s="31"/>
      <c r="AN36" s="32"/>
      <c r="AO36" s="32"/>
      <c r="AP36" s="33"/>
      <c r="AQ36" s="30"/>
    </row>
    <row r="37" spans="2:43" ht="15" thickBot="1" x14ac:dyDescent="0.35">
      <c r="C37" s="20"/>
      <c r="S37" s="18"/>
      <c r="T37" s="29"/>
      <c r="AI37" s="30"/>
      <c r="AJ37" s="31"/>
      <c r="AK37" s="32"/>
      <c r="AL37" s="31"/>
      <c r="AM37" s="31"/>
      <c r="AN37" s="32"/>
      <c r="AO37" s="32"/>
      <c r="AP37" s="33"/>
      <c r="AQ37" s="30"/>
    </row>
    <row r="38" spans="2:43" ht="15" thickBot="1" x14ac:dyDescent="0.35">
      <c r="S38" s="18"/>
      <c r="T38" s="29"/>
      <c r="AI38" s="30"/>
      <c r="AJ38" s="31"/>
      <c r="AK38" s="32"/>
      <c r="AL38" s="31"/>
      <c r="AM38" s="31"/>
      <c r="AN38" s="32"/>
      <c r="AO38" s="32"/>
      <c r="AP38" s="33"/>
      <c r="AQ38" s="30"/>
    </row>
    <row r="39" spans="2:43" ht="15" thickBot="1" x14ac:dyDescent="0.35">
      <c r="B39" s="21"/>
      <c r="S39" s="18"/>
      <c r="T39" s="29"/>
      <c r="AI39" s="30"/>
      <c r="AJ39" s="31"/>
      <c r="AK39" s="32"/>
      <c r="AL39" s="31"/>
      <c r="AM39" s="31"/>
      <c r="AN39" s="32"/>
      <c r="AO39" s="32"/>
      <c r="AP39" s="33"/>
      <c r="AQ39" s="30"/>
    </row>
    <row r="40" spans="2:43" ht="15" thickBot="1" x14ac:dyDescent="0.35">
      <c r="B40" s="24"/>
      <c r="S40" s="18"/>
      <c r="T40" s="29"/>
      <c r="AI40" s="30"/>
      <c r="AJ40" s="31"/>
      <c r="AK40" s="32"/>
      <c r="AL40" s="31"/>
      <c r="AM40" s="31"/>
      <c r="AN40" s="32"/>
      <c r="AO40" s="32"/>
      <c r="AP40" s="33"/>
      <c r="AQ40" s="30"/>
    </row>
    <row r="41" spans="2:43" ht="15" thickBot="1" x14ac:dyDescent="0.35">
      <c r="B41" s="24"/>
      <c r="N41" s="28"/>
      <c r="S41" s="18"/>
      <c r="T41" s="29"/>
      <c r="AI41" s="30"/>
      <c r="AJ41" s="31"/>
      <c r="AK41" s="32"/>
      <c r="AL41" s="31"/>
      <c r="AM41" s="31"/>
      <c r="AN41" s="32"/>
      <c r="AO41" s="32"/>
      <c r="AP41" s="33"/>
      <c r="AQ41" s="30"/>
    </row>
    <row r="42" spans="2:43" ht="15" thickBot="1" x14ac:dyDescent="0.35">
      <c r="B42" s="24"/>
      <c r="N42" s="28"/>
      <c r="S42" s="18"/>
      <c r="T42" s="29"/>
      <c r="AI42" s="30"/>
      <c r="AJ42" s="31"/>
      <c r="AK42" s="32"/>
      <c r="AL42" s="31"/>
      <c r="AM42" s="31"/>
      <c r="AN42" s="32"/>
      <c r="AO42" s="32"/>
      <c r="AP42" s="33"/>
      <c r="AQ42" s="30"/>
    </row>
    <row r="43" spans="2:43" ht="15" thickBot="1" x14ac:dyDescent="0.35">
      <c r="B43" s="24"/>
      <c r="N43" s="28"/>
      <c r="S43" s="18"/>
      <c r="T43" s="29"/>
      <c r="AI43" s="30"/>
      <c r="AJ43" s="31"/>
      <c r="AK43" s="32"/>
      <c r="AL43" s="31"/>
      <c r="AM43" s="31"/>
      <c r="AN43" s="32"/>
      <c r="AO43" s="32"/>
      <c r="AP43" s="33"/>
      <c r="AQ43" s="30"/>
    </row>
    <row r="44" spans="2:43" ht="15" thickBot="1" x14ac:dyDescent="0.35">
      <c r="B44" s="24"/>
      <c r="N44" s="28"/>
      <c r="S44" s="18"/>
      <c r="T44" s="29"/>
      <c r="AI44" s="30"/>
      <c r="AJ44" s="31"/>
      <c r="AK44" s="32"/>
      <c r="AL44" s="31"/>
      <c r="AM44" s="31"/>
      <c r="AN44" s="32"/>
      <c r="AO44" s="32"/>
      <c r="AP44" s="33"/>
      <c r="AQ44" s="30"/>
    </row>
    <row r="45" spans="2:43" ht="15" thickBot="1" x14ac:dyDescent="0.35">
      <c r="B45" s="24"/>
      <c r="N45" s="28"/>
      <c r="S45" s="18"/>
      <c r="T45" s="29"/>
      <c r="AI45" s="30"/>
      <c r="AJ45" s="31"/>
      <c r="AK45" s="32"/>
      <c r="AL45" s="31"/>
      <c r="AM45" s="31"/>
      <c r="AN45" s="32"/>
      <c r="AO45" s="32"/>
      <c r="AP45" s="33"/>
      <c r="AQ45" s="30"/>
    </row>
    <row r="46" spans="2:43" ht="15" thickBot="1" x14ac:dyDescent="0.35">
      <c r="N46" s="28"/>
      <c r="S46" s="18"/>
      <c r="T46" s="29"/>
      <c r="AI46" s="30"/>
      <c r="AJ46" s="31"/>
      <c r="AK46" s="32"/>
      <c r="AL46" s="31"/>
      <c r="AM46" s="31"/>
      <c r="AN46" s="32"/>
      <c r="AO46" s="32"/>
      <c r="AP46" s="33"/>
      <c r="AQ46" s="30"/>
    </row>
    <row r="47" spans="2:43" ht="15" thickBot="1" x14ac:dyDescent="0.35">
      <c r="N47" s="28"/>
      <c r="S47" s="18"/>
      <c r="T47" s="29"/>
      <c r="AI47" s="30"/>
      <c r="AJ47" s="31"/>
      <c r="AK47" s="32"/>
      <c r="AL47" s="31"/>
      <c r="AM47" s="31"/>
      <c r="AN47" s="32"/>
      <c r="AO47" s="32"/>
      <c r="AP47" s="33"/>
      <c r="AQ47" s="30"/>
    </row>
    <row r="48" spans="2:43" ht="15" thickBot="1" x14ac:dyDescent="0.35">
      <c r="N48" s="28"/>
      <c r="S48" s="18"/>
      <c r="T48" s="29"/>
      <c r="AI48" s="30"/>
      <c r="AJ48" s="31"/>
      <c r="AK48" s="32"/>
      <c r="AL48" s="31"/>
      <c r="AM48" s="31"/>
      <c r="AN48" s="32"/>
      <c r="AO48" s="32"/>
      <c r="AP48" s="33"/>
      <c r="AQ48" s="30"/>
    </row>
    <row r="49" spans="14:43" ht="15" thickBot="1" x14ac:dyDescent="0.35">
      <c r="N49" s="28"/>
      <c r="S49" s="18"/>
      <c r="T49" s="29"/>
      <c r="AI49" s="30"/>
      <c r="AJ49" s="31"/>
      <c r="AK49" s="32"/>
      <c r="AL49" s="31"/>
      <c r="AM49" s="31"/>
      <c r="AN49" s="32"/>
      <c r="AO49" s="32"/>
      <c r="AP49" s="33"/>
      <c r="AQ49" s="30"/>
    </row>
    <row r="50" spans="14:43" ht="15" thickBot="1" x14ac:dyDescent="0.35">
      <c r="N50" s="28"/>
      <c r="S50" s="18"/>
      <c r="T50" s="29"/>
      <c r="AI50" s="30"/>
      <c r="AJ50" s="31"/>
      <c r="AK50" s="32"/>
      <c r="AL50" s="31"/>
      <c r="AM50" s="31"/>
      <c r="AN50" s="32"/>
      <c r="AO50" s="32"/>
      <c r="AP50" s="33"/>
      <c r="AQ50" s="30"/>
    </row>
    <row r="51" spans="14:43" ht="15" thickBot="1" x14ac:dyDescent="0.35">
      <c r="N51" s="28"/>
      <c r="S51" s="18"/>
      <c r="T51" s="29"/>
      <c r="AI51" s="30"/>
      <c r="AJ51" s="31"/>
      <c r="AK51" s="32"/>
      <c r="AL51" s="31"/>
      <c r="AM51" s="31"/>
      <c r="AN51" s="32"/>
      <c r="AO51" s="32"/>
      <c r="AP51" s="33"/>
      <c r="AQ51" s="30"/>
    </row>
    <row r="52" spans="14:43" ht="15" thickBot="1" x14ac:dyDescent="0.35">
      <c r="N52" s="28"/>
      <c r="S52" s="18"/>
      <c r="T52" s="29"/>
      <c r="AI52" s="30"/>
      <c r="AJ52" s="31"/>
      <c r="AK52" s="32"/>
      <c r="AL52" s="31"/>
      <c r="AM52" s="31"/>
      <c r="AN52" s="32"/>
      <c r="AO52" s="32"/>
      <c r="AP52" s="33"/>
      <c r="AQ52" s="30"/>
    </row>
    <row r="53" spans="14:43" ht="15" thickBot="1" x14ac:dyDescent="0.35">
      <c r="N53" s="28"/>
      <c r="S53" s="18"/>
      <c r="T53" s="29"/>
      <c r="AI53" s="30"/>
      <c r="AJ53" s="31"/>
      <c r="AK53" s="32"/>
      <c r="AL53" s="31"/>
      <c r="AM53" s="31"/>
      <c r="AN53" s="32"/>
      <c r="AO53" s="32"/>
      <c r="AP53" s="33"/>
      <c r="AQ53" s="30"/>
    </row>
    <row r="54" spans="14:43" ht="15" thickBot="1" x14ac:dyDescent="0.35">
      <c r="N54" s="28"/>
      <c r="S54" s="18"/>
      <c r="T54" s="29"/>
      <c r="AI54" s="30"/>
      <c r="AJ54" s="31"/>
      <c r="AK54" s="32"/>
      <c r="AL54" s="31"/>
      <c r="AM54" s="31"/>
      <c r="AN54" s="32"/>
      <c r="AO54" s="32"/>
      <c r="AP54" s="33"/>
      <c r="AQ54" s="30"/>
    </row>
    <row r="55" spans="14:43" ht="15" thickBot="1" x14ac:dyDescent="0.35">
      <c r="N55" s="28"/>
      <c r="S55" s="18"/>
      <c r="T55" s="29"/>
      <c r="AI55" s="30"/>
      <c r="AJ55" s="31"/>
      <c r="AK55" s="32"/>
      <c r="AL55" s="31"/>
      <c r="AM55" s="31"/>
      <c r="AN55" s="32"/>
      <c r="AO55" s="32"/>
      <c r="AP55" s="33"/>
      <c r="AQ55" s="30"/>
    </row>
    <row r="56" spans="14:43" ht="15" thickBot="1" x14ac:dyDescent="0.35">
      <c r="N56" s="28"/>
      <c r="S56" s="18"/>
      <c r="T56" s="29"/>
      <c r="AI56" s="30"/>
      <c r="AJ56" s="31"/>
      <c r="AK56" s="32"/>
      <c r="AL56" s="31"/>
      <c r="AM56" s="31"/>
      <c r="AN56" s="32"/>
      <c r="AO56" s="32"/>
      <c r="AP56" s="32"/>
      <c r="AQ56" s="30"/>
    </row>
    <row r="57" spans="14:43" ht="15" thickBot="1" x14ac:dyDescent="0.35">
      <c r="N57" s="28"/>
      <c r="S57" s="18"/>
      <c r="T57" s="29"/>
      <c r="AI57" s="30"/>
      <c r="AJ57" s="31"/>
      <c r="AK57" s="32"/>
      <c r="AL57" s="31"/>
      <c r="AM57" s="31"/>
      <c r="AN57" s="32"/>
      <c r="AO57" s="32"/>
      <c r="AP57" s="33"/>
      <c r="AQ57" s="30"/>
    </row>
    <row r="58" spans="14:43" ht="15" thickBot="1" x14ac:dyDescent="0.35">
      <c r="N58" s="28"/>
      <c r="S58" s="18"/>
      <c r="T58" s="29"/>
      <c r="AI58" s="30"/>
      <c r="AJ58" s="31"/>
      <c r="AK58" s="32"/>
      <c r="AL58" s="31"/>
      <c r="AM58" s="31"/>
      <c r="AN58" s="32"/>
      <c r="AO58" s="32"/>
      <c r="AP58" s="33"/>
      <c r="AQ58" s="30"/>
    </row>
    <row r="59" spans="14:43" ht="15" thickBot="1" x14ac:dyDescent="0.35">
      <c r="N59" s="28"/>
      <c r="S59" s="18"/>
      <c r="T59" s="29"/>
      <c r="AI59" s="30"/>
      <c r="AJ59" s="31"/>
      <c r="AK59" s="32"/>
      <c r="AL59" s="31"/>
      <c r="AM59" s="31"/>
      <c r="AN59" s="32"/>
      <c r="AO59" s="32"/>
      <c r="AP59" s="33"/>
      <c r="AQ59" s="30"/>
    </row>
    <row r="60" spans="14:43" ht="15" thickBot="1" x14ac:dyDescent="0.35">
      <c r="N60" s="28"/>
      <c r="S60" s="18"/>
      <c r="T60" s="29"/>
      <c r="AI60" s="30"/>
      <c r="AJ60" s="31"/>
      <c r="AK60" s="32"/>
      <c r="AL60" s="31"/>
      <c r="AM60" s="31"/>
      <c r="AN60" s="32"/>
      <c r="AO60" s="32"/>
      <c r="AP60" s="33"/>
      <c r="AQ60" s="30"/>
    </row>
    <row r="61" spans="14:43" ht="15" thickBot="1" x14ac:dyDescent="0.35">
      <c r="N61" s="28"/>
      <c r="S61" s="18"/>
      <c r="T61" s="29"/>
      <c r="AI61" s="30"/>
      <c r="AJ61" s="31"/>
      <c r="AK61" s="32"/>
      <c r="AL61" s="31"/>
      <c r="AM61" s="31"/>
      <c r="AN61" s="32"/>
      <c r="AO61" s="32"/>
      <c r="AP61" s="33"/>
      <c r="AQ61" s="30"/>
    </row>
    <row r="62" spans="14:43" ht="15" thickBot="1" x14ac:dyDescent="0.35">
      <c r="N62" s="28"/>
      <c r="S62" s="18"/>
      <c r="T62" s="29"/>
      <c r="AI62" s="30"/>
      <c r="AJ62" s="31"/>
      <c r="AK62" s="32"/>
      <c r="AL62" s="31"/>
      <c r="AM62" s="31"/>
      <c r="AN62" s="32"/>
      <c r="AO62" s="32"/>
      <c r="AP62" s="33"/>
      <c r="AQ62" s="30"/>
    </row>
    <row r="63" spans="14:43" ht="15" thickBot="1" x14ac:dyDescent="0.35">
      <c r="N63" s="28"/>
      <c r="S63" s="18"/>
      <c r="T63" s="29"/>
      <c r="AI63" s="30"/>
      <c r="AJ63" s="31"/>
      <c r="AK63" s="32"/>
      <c r="AL63" s="31"/>
      <c r="AM63" s="31"/>
      <c r="AN63" s="32"/>
      <c r="AO63" s="32"/>
      <c r="AP63" s="33"/>
      <c r="AQ63" s="30"/>
    </row>
    <row r="64" spans="14:43" ht="15" thickBot="1" x14ac:dyDescent="0.35">
      <c r="N64" s="28"/>
      <c r="S64" s="18"/>
      <c r="T64" s="29"/>
      <c r="AI64" s="30"/>
      <c r="AJ64" s="31"/>
      <c r="AK64" s="32"/>
      <c r="AL64" s="31"/>
      <c r="AM64" s="31"/>
      <c r="AN64" s="32"/>
      <c r="AO64" s="32"/>
      <c r="AP64" s="33"/>
      <c r="AQ64" s="30"/>
    </row>
    <row r="65" spans="14:43" ht="15" thickBot="1" x14ac:dyDescent="0.35">
      <c r="N65" s="28"/>
      <c r="S65" s="18"/>
      <c r="T65" s="29"/>
      <c r="AI65" s="30"/>
      <c r="AJ65" s="31"/>
      <c r="AK65" s="32"/>
      <c r="AL65" s="31"/>
      <c r="AM65" s="31"/>
      <c r="AN65" s="32"/>
      <c r="AO65" s="32"/>
      <c r="AP65" s="33"/>
      <c r="AQ65" s="30"/>
    </row>
    <row r="66" spans="14:43" ht="15" thickBot="1" x14ac:dyDescent="0.35">
      <c r="N66" s="28"/>
      <c r="S66" s="18"/>
      <c r="T66" s="29"/>
      <c r="AI66" s="30"/>
      <c r="AJ66" s="31"/>
      <c r="AK66" s="32"/>
      <c r="AL66" s="31"/>
      <c r="AM66" s="31"/>
      <c r="AN66" s="32"/>
      <c r="AO66" s="32"/>
      <c r="AP66" s="33"/>
      <c r="AQ66" s="30"/>
    </row>
    <row r="67" spans="14:43" ht="15" thickBot="1" x14ac:dyDescent="0.35">
      <c r="N67" s="28"/>
      <c r="S67" s="18"/>
      <c r="T67" s="29"/>
      <c r="AI67" s="30"/>
      <c r="AJ67" s="31"/>
      <c r="AK67" s="32"/>
      <c r="AL67" s="31"/>
      <c r="AM67" s="31"/>
      <c r="AN67" s="32"/>
      <c r="AO67" s="32"/>
      <c r="AP67" s="33"/>
      <c r="AQ67" s="30"/>
    </row>
    <row r="68" spans="14:43" ht="15" thickBot="1" x14ac:dyDescent="0.35">
      <c r="N68" s="28"/>
      <c r="S68" s="18"/>
      <c r="T68" s="29"/>
      <c r="AI68" s="30"/>
      <c r="AJ68" s="31"/>
      <c r="AK68" s="32"/>
      <c r="AL68" s="31"/>
      <c r="AM68" s="31"/>
      <c r="AN68" s="32"/>
      <c r="AO68" s="32"/>
      <c r="AP68" s="33"/>
      <c r="AQ68" s="30"/>
    </row>
    <row r="69" spans="14:43" ht="15" thickBot="1" x14ac:dyDescent="0.35">
      <c r="N69" s="28"/>
      <c r="S69" s="18"/>
      <c r="T69" s="29"/>
      <c r="AI69" s="30"/>
      <c r="AJ69" s="31"/>
      <c r="AK69" s="32"/>
      <c r="AL69" s="31"/>
      <c r="AM69" s="31"/>
      <c r="AN69" s="32"/>
      <c r="AO69" s="32"/>
      <c r="AP69" s="33"/>
      <c r="AQ69" s="30"/>
    </row>
    <row r="70" spans="14:43" ht="15" thickBot="1" x14ac:dyDescent="0.35">
      <c r="N70" s="28"/>
      <c r="S70" s="18"/>
      <c r="T70" s="29"/>
      <c r="AI70" s="30"/>
      <c r="AJ70" s="31"/>
      <c r="AK70" s="32"/>
      <c r="AL70" s="31"/>
      <c r="AM70" s="31"/>
      <c r="AN70" s="32"/>
      <c r="AO70" s="32"/>
      <c r="AP70" s="33"/>
      <c r="AQ70" s="30"/>
    </row>
    <row r="71" spans="14:43" ht="15" thickBot="1" x14ac:dyDescent="0.35">
      <c r="N71" s="28"/>
      <c r="S71" s="18"/>
      <c r="T71" s="29"/>
      <c r="AI71" s="30"/>
      <c r="AJ71" s="31"/>
      <c r="AK71" s="32"/>
      <c r="AL71" s="31"/>
      <c r="AM71" s="31"/>
      <c r="AN71" s="32"/>
      <c r="AO71" s="32"/>
      <c r="AP71" s="33"/>
      <c r="AQ71" s="30"/>
    </row>
    <row r="72" spans="14:43" ht="15" thickBot="1" x14ac:dyDescent="0.35">
      <c r="N72" s="28"/>
      <c r="S72" s="18"/>
      <c r="T72" s="29"/>
      <c r="AI72" s="30"/>
      <c r="AJ72" s="31"/>
      <c r="AK72" s="32"/>
      <c r="AL72" s="31"/>
      <c r="AM72" s="31"/>
      <c r="AN72" s="32"/>
      <c r="AO72" s="32"/>
      <c r="AP72" s="33"/>
      <c r="AQ72" s="30"/>
    </row>
    <row r="73" spans="14:43" ht="15" thickBot="1" x14ac:dyDescent="0.35">
      <c r="N73" s="28"/>
      <c r="S73" s="18"/>
      <c r="T73" s="29"/>
      <c r="AI73" s="30"/>
      <c r="AJ73" s="31"/>
      <c r="AK73" s="32"/>
      <c r="AL73" s="31"/>
      <c r="AM73" s="31"/>
      <c r="AN73" s="32"/>
      <c r="AO73" s="32"/>
      <c r="AP73" s="33"/>
      <c r="AQ73" s="30"/>
    </row>
    <row r="74" spans="14:43" ht="15" thickBot="1" x14ac:dyDescent="0.35">
      <c r="N74" s="28"/>
      <c r="S74" s="18"/>
      <c r="T74" s="29"/>
      <c r="AI74" s="30"/>
      <c r="AJ74" s="31"/>
      <c r="AK74" s="32"/>
      <c r="AL74" s="31"/>
      <c r="AM74" s="31"/>
      <c r="AN74" s="32"/>
      <c r="AO74" s="32"/>
      <c r="AP74" s="33"/>
      <c r="AQ74" s="30"/>
    </row>
    <row r="75" spans="14:43" ht="15" thickBot="1" x14ac:dyDescent="0.35">
      <c r="N75" s="28"/>
      <c r="S75" s="18"/>
      <c r="T75" s="29"/>
      <c r="AI75" s="30"/>
      <c r="AJ75" s="31"/>
      <c r="AK75" s="32"/>
      <c r="AL75" s="31"/>
      <c r="AM75" s="31"/>
      <c r="AN75" s="32"/>
      <c r="AO75" s="32"/>
      <c r="AP75" s="33"/>
      <c r="AQ75" s="30"/>
    </row>
    <row r="76" spans="14:43" ht="15" thickBot="1" x14ac:dyDescent="0.35">
      <c r="N76" s="28"/>
      <c r="S76" s="18"/>
      <c r="T76" s="29"/>
      <c r="AI76" s="30"/>
      <c r="AJ76" s="31"/>
      <c r="AK76" s="32"/>
      <c r="AL76" s="31"/>
      <c r="AM76" s="31"/>
      <c r="AN76" s="32"/>
      <c r="AO76" s="32"/>
      <c r="AP76" s="33"/>
      <c r="AQ76" s="30"/>
    </row>
    <row r="77" spans="14:43" ht="15" thickBot="1" x14ac:dyDescent="0.35">
      <c r="N77" s="28"/>
      <c r="S77" s="18"/>
      <c r="T77" s="29"/>
      <c r="AI77" s="30"/>
      <c r="AJ77" s="31"/>
      <c r="AK77" s="32"/>
      <c r="AL77" s="31"/>
      <c r="AM77" s="31"/>
      <c r="AN77" s="32"/>
      <c r="AO77" s="32"/>
      <c r="AP77" s="33"/>
      <c r="AQ77" s="30"/>
    </row>
    <row r="78" spans="14:43" ht="15" thickBot="1" x14ac:dyDescent="0.35">
      <c r="N78" s="28"/>
      <c r="S78" s="18"/>
      <c r="T78" s="29"/>
      <c r="AI78" s="30"/>
      <c r="AJ78" s="31"/>
      <c r="AK78" s="32"/>
      <c r="AL78" s="31"/>
      <c r="AM78" s="31"/>
      <c r="AN78" s="32"/>
      <c r="AO78" s="32"/>
      <c r="AP78" s="33"/>
      <c r="AQ78" s="30"/>
    </row>
    <row r="79" spans="14:43" ht="15" thickBot="1" x14ac:dyDescent="0.35">
      <c r="N79" s="28"/>
      <c r="S79" s="18"/>
      <c r="T79" s="29"/>
      <c r="AI79" s="30"/>
      <c r="AJ79" s="31"/>
      <c r="AK79" s="32"/>
      <c r="AL79" s="31"/>
      <c r="AM79" s="31"/>
      <c r="AN79" s="32"/>
      <c r="AO79" s="32"/>
      <c r="AP79" s="33"/>
      <c r="AQ79" s="30"/>
    </row>
    <row r="80" spans="14:43" ht="15" thickBot="1" x14ac:dyDescent="0.35">
      <c r="N80" s="28"/>
      <c r="S80" s="18"/>
      <c r="T80" s="29"/>
      <c r="AI80" s="30"/>
      <c r="AJ80" s="31"/>
      <c r="AK80" s="32"/>
      <c r="AL80" s="31"/>
      <c r="AM80" s="31"/>
      <c r="AN80" s="32"/>
      <c r="AO80" s="32"/>
      <c r="AP80" s="33"/>
      <c r="AQ80" s="30"/>
    </row>
    <row r="81" spans="14:43" ht="15" thickBot="1" x14ac:dyDescent="0.35">
      <c r="N81" s="28"/>
      <c r="S81" s="18"/>
      <c r="T81" s="29"/>
      <c r="AI81" s="30"/>
      <c r="AJ81" s="31"/>
      <c r="AK81" s="32"/>
      <c r="AL81" s="31"/>
      <c r="AM81" s="31"/>
      <c r="AN81" s="32"/>
      <c r="AO81" s="32"/>
      <c r="AP81" s="33"/>
      <c r="AQ81" s="30"/>
    </row>
    <row r="82" spans="14:43" ht="15" thickBot="1" x14ac:dyDescent="0.35">
      <c r="N82" s="28"/>
      <c r="S82" s="18"/>
      <c r="T82" s="29"/>
      <c r="AI82" s="30"/>
      <c r="AJ82" s="31"/>
      <c r="AK82" s="32"/>
      <c r="AL82" s="31"/>
      <c r="AM82" s="31"/>
      <c r="AN82" s="32"/>
      <c r="AO82" s="32"/>
      <c r="AP82" s="33"/>
      <c r="AQ82" s="30"/>
    </row>
    <row r="83" spans="14:43" ht="15" thickBot="1" x14ac:dyDescent="0.35">
      <c r="N83" s="28"/>
      <c r="S83" s="18"/>
      <c r="T83" s="29"/>
      <c r="AI83" s="30"/>
      <c r="AJ83" s="31"/>
      <c r="AK83" s="32"/>
      <c r="AL83" s="31"/>
      <c r="AM83" s="31"/>
      <c r="AN83" s="32"/>
      <c r="AO83" s="32"/>
      <c r="AP83" s="33"/>
      <c r="AQ83" s="30"/>
    </row>
    <row r="84" spans="14:43" ht="15" thickBot="1" x14ac:dyDescent="0.35">
      <c r="N84" s="28"/>
      <c r="S84" s="18"/>
      <c r="T84" s="29"/>
      <c r="AI84" s="30"/>
      <c r="AJ84" s="31"/>
      <c r="AK84" s="32"/>
      <c r="AL84" s="31"/>
      <c r="AM84" s="31"/>
      <c r="AN84" s="32"/>
      <c r="AO84" s="32"/>
      <c r="AP84" s="33"/>
      <c r="AQ84" s="30"/>
    </row>
    <row r="85" spans="14:43" ht="15" thickBot="1" x14ac:dyDescent="0.35">
      <c r="N85" s="28"/>
      <c r="S85" s="18"/>
      <c r="T85" s="29"/>
      <c r="AI85" s="30"/>
      <c r="AJ85" s="31"/>
      <c r="AK85" s="32"/>
      <c r="AL85" s="31"/>
      <c r="AM85" s="31"/>
      <c r="AN85" s="32"/>
      <c r="AO85" s="32"/>
      <c r="AP85" s="33"/>
      <c r="AQ85" s="30"/>
    </row>
    <row r="86" spans="14:43" ht="15" thickBot="1" x14ac:dyDescent="0.35">
      <c r="N86" s="28"/>
      <c r="S86" s="18"/>
      <c r="T86" s="29"/>
      <c r="AI86" s="30"/>
      <c r="AJ86" s="31"/>
      <c r="AK86" s="32"/>
      <c r="AL86" s="31"/>
      <c r="AM86" s="31"/>
      <c r="AN86" s="32"/>
      <c r="AO86" s="32"/>
      <c r="AP86" s="33"/>
      <c r="AQ86" s="30"/>
    </row>
    <row r="87" spans="14:43" ht="15" thickBot="1" x14ac:dyDescent="0.35">
      <c r="N87" s="28"/>
      <c r="S87" s="18"/>
      <c r="T87" s="29"/>
      <c r="AI87" s="30"/>
      <c r="AJ87" s="31"/>
      <c r="AK87" s="32"/>
      <c r="AL87" s="31"/>
      <c r="AM87" s="31"/>
      <c r="AN87" s="32"/>
      <c r="AO87" s="32"/>
      <c r="AP87" s="33"/>
      <c r="AQ87" s="30"/>
    </row>
    <row r="88" spans="14:43" ht="15" thickBot="1" x14ac:dyDescent="0.35">
      <c r="N88" s="28"/>
      <c r="S88" s="18"/>
      <c r="T88" s="29"/>
      <c r="AI88" s="30"/>
      <c r="AJ88" s="31"/>
      <c r="AK88" s="32"/>
      <c r="AL88" s="31"/>
      <c r="AM88" s="31"/>
      <c r="AN88" s="32"/>
      <c r="AO88" s="32"/>
      <c r="AP88" s="33"/>
      <c r="AQ88" s="30"/>
    </row>
    <row r="89" spans="14:43" ht="15" thickBot="1" x14ac:dyDescent="0.35">
      <c r="N89" s="28"/>
      <c r="S89" s="18"/>
      <c r="T89" s="29"/>
      <c r="AI89" s="30"/>
      <c r="AJ89" s="31"/>
      <c r="AK89" s="32"/>
      <c r="AL89" s="31"/>
      <c r="AM89" s="31"/>
      <c r="AN89" s="32"/>
      <c r="AO89" s="32"/>
      <c r="AP89" s="33"/>
      <c r="AQ89" s="30"/>
    </row>
    <row r="90" spans="14:43" ht="15" thickBot="1" x14ac:dyDescent="0.35">
      <c r="N90" s="28"/>
      <c r="S90" s="18"/>
      <c r="T90" s="29"/>
      <c r="AI90" s="30"/>
      <c r="AJ90" s="31"/>
      <c r="AK90" s="32"/>
      <c r="AL90" s="31"/>
      <c r="AM90" s="31"/>
      <c r="AN90" s="32"/>
      <c r="AO90" s="32"/>
      <c r="AP90" s="33"/>
      <c r="AQ90" s="30"/>
    </row>
    <row r="91" spans="14:43" ht="15" thickBot="1" x14ac:dyDescent="0.35">
      <c r="N91" s="28"/>
      <c r="S91" s="18"/>
      <c r="T91" s="29"/>
      <c r="AI91" s="30"/>
      <c r="AJ91" s="31"/>
      <c r="AK91" s="32"/>
      <c r="AL91" s="31"/>
      <c r="AM91" s="31"/>
      <c r="AN91" s="32"/>
      <c r="AO91" s="32"/>
      <c r="AP91" s="33"/>
      <c r="AQ91" s="30"/>
    </row>
    <row r="92" spans="14:43" ht="15" thickBot="1" x14ac:dyDescent="0.35">
      <c r="N92" s="28"/>
      <c r="S92" s="18"/>
      <c r="T92" s="29"/>
      <c r="AI92" s="30"/>
      <c r="AJ92" s="31"/>
      <c r="AK92" s="32"/>
      <c r="AL92" s="31"/>
      <c r="AM92" s="31"/>
      <c r="AN92" s="32"/>
      <c r="AO92" s="32"/>
      <c r="AP92" s="33"/>
      <c r="AQ92" s="30"/>
    </row>
    <row r="93" spans="14:43" ht="15" thickBot="1" x14ac:dyDescent="0.35">
      <c r="N93" s="28"/>
      <c r="S93" s="18"/>
      <c r="T93" s="29"/>
      <c r="AI93" s="30"/>
      <c r="AJ93" s="31"/>
      <c r="AK93" s="32"/>
      <c r="AL93" s="31"/>
      <c r="AM93" s="31"/>
      <c r="AN93" s="32"/>
      <c r="AO93" s="32"/>
      <c r="AP93" s="33"/>
      <c r="AQ93" s="30"/>
    </row>
    <row r="94" spans="14:43" ht="15" thickBot="1" x14ac:dyDescent="0.35">
      <c r="N94" s="28"/>
      <c r="S94" s="18"/>
      <c r="T94" s="29"/>
      <c r="AI94" s="30"/>
      <c r="AJ94" s="31"/>
      <c r="AK94" s="32"/>
      <c r="AL94" s="31"/>
      <c r="AM94" s="31"/>
      <c r="AN94" s="32"/>
      <c r="AO94" s="32"/>
      <c r="AP94" s="33"/>
      <c r="AQ94" s="30"/>
    </row>
    <row r="95" spans="14:43" ht="15" thickBot="1" x14ac:dyDescent="0.35">
      <c r="N95" s="28"/>
      <c r="S95" s="18"/>
      <c r="T95" s="29"/>
      <c r="AI95" s="30"/>
      <c r="AJ95" s="31"/>
      <c r="AK95" s="32"/>
      <c r="AL95" s="31"/>
      <c r="AM95" s="31"/>
      <c r="AN95" s="32"/>
      <c r="AO95" s="32"/>
      <c r="AP95" s="33"/>
      <c r="AQ95" s="30"/>
    </row>
    <row r="96" spans="14:43" ht="15" thickBot="1" x14ac:dyDescent="0.35">
      <c r="N96" s="28"/>
      <c r="S96" s="18"/>
      <c r="T96" s="29"/>
      <c r="AI96" s="30"/>
      <c r="AJ96" s="31"/>
      <c r="AK96" s="32"/>
      <c r="AL96" s="31"/>
      <c r="AM96" s="31"/>
      <c r="AN96" s="32"/>
      <c r="AO96" s="32"/>
      <c r="AP96" s="33"/>
      <c r="AQ96" s="30"/>
    </row>
    <row r="97" spans="14:43" ht="15" thickBot="1" x14ac:dyDescent="0.35">
      <c r="N97" s="28"/>
      <c r="S97" s="18"/>
      <c r="T97" s="29"/>
      <c r="AI97" s="30"/>
      <c r="AJ97" s="31"/>
      <c r="AK97" s="32"/>
      <c r="AL97" s="31"/>
      <c r="AM97" s="31"/>
      <c r="AN97" s="32"/>
      <c r="AO97" s="32"/>
      <c r="AP97" s="33"/>
      <c r="AQ97" s="30"/>
    </row>
    <row r="98" spans="14:43" ht="15" thickBot="1" x14ac:dyDescent="0.35">
      <c r="N98" s="28"/>
      <c r="S98" s="18"/>
      <c r="T98" s="29"/>
      <c r="AI98" s="30"/>
      <c r="AJ98" s="31"/>
      <c r="AK98" s="32"/>
      <c r="AL98" s="31"/>
      <c r="AM98" s="31"/>
      <c r="AN98" s="32"/>
      <c r="AO98" s="32"/>
      <c r="AP98" s="33"/>
      <c r="AQ98" s="30"/>
    </row>
    <row r="99" spans="14:43" ht="15" thickBot="1" x14ac:dyDescent="0.35">
      <c r="N99" s="28"/>
      <c r="S99" s="18"/>
      <c r="T99" s="29"/>
      <c r="AI99" s="30"/>
      <c r="AJ99" s="31"/>
      <c r="AK99" s="32"/>
      <c r="AL99" s="31"/>
      <c r="AM99" s="31"/>
      <c r="AN99" s="32"/>
      <c r="AO99" s="32"/>
      <c r="AP99" s="33"/>
      <c r="AQ99" s="30"/>
    </row>
    <row r="100" spans="14:43" ht="15" thickBot="1" x14ac:dyDescent="0.35">
      <c r="N100" s="28"/>
      <c r="S100" s="18"/>
      <c r="T100" s="29"/>
      <c r="AI100" s="30"/>
      <c r="AJ100" s="31"/>
      <c r="AK100" s="32"/>
      <c r="AL100" s="31"/>
      <c r="AM100" s="31"/>
      <c r="AN100" s="32"/>
      <c r="AO100" s="32"/>
      <c r="AP100" s="33"/>
      <c r="AQ100" s="30"/>
    </row>
    <row r="101" spans="14:43" ht="15" thickBot="1" x14ac:dyDescent="0.35">
      <c r="N101" s="28"/>
      <c r="S101" s="18"/>
      <c r="T101" s="29"/>
      <c r="AI101" s="30"/>
      <c r="AJ101" s="31"/>
      <c r="AK101" s="32"/>
      <c r="AL101" s="31"/>
      <c r="AM101" s="31"/>
      <c r="AN101" s="32"/>
      <c r="AO101" s="32"/>
      <c r="AP101" s="33"/>
      <c r="AQ101" s="30"/>
    </row>
    <row r="102" spans="14:43" ht="15" thickBot="1" x14ac:dyDescent="0.35">
      <c r="N102" s="28"/>
      <c r="S102" s="18"/>
      <c r="T102" s="29"/>
      <c r="AI102" s="30"/>
      <c r="AJ102" s="31"/>
      <c r="AK102" s="32"/>
      <c r="AL102" s="31"/>
      <c r="AM102" s="31"/>
      <c r="AN102" s="32"/>
      <c r="AO102" s="32"/>
      <c r="AP102" s="33"/>
      <c r="AQ102" s="30"/>
    </row>
    <row r="103" spans="14:43" ht="15" thickBot="1" x14ac:dyDescent="0.35">
      <c r="N103" s="28"/>
      <c r="S103" s="18"/>
      <c r="T103" s="29"/>
      <c r="AI103" s="30"/>
      <c r="AJ103" s="31"/>
      <c r="AK103" s="32"/>
      <c r="AL103" s="31"/>
      <c r="AM103" s="31"/>
      <c r="AN103" s="32"/>
      <c r="AO103" s="32"/>
      <c r="AP103" s="33"/>
      <c r="AQ103" s="30"/>
    </row>
    <row r="104" spans="14:43" ht="15" thickBot="1" x14ac:dyDescent="0.35">
      <c r="N104" s="28"/>
      <c r="S104" s="18"/>
      <c r="T104" s="29"/>
      <c r="AI104" s="30"/>
      <c r="AJ104" s="31"/>
      <c r="AK104" s="32"/>
      <c r="AL104" s="31"/>
      <c r="AM104" s="32"/>
      <c r="AN104" s="32"/>
      <c r="AO104" s="32"/>
      <c r="AP104" s="33"/>
      <c r="AQ104" s="30"/>
    </row>
    <row r="105" spans="14:43" ht="15" thickBot="1" x14ac:dyDescent="0.35">
      <c r="N105" s="28"/>
      <c r="S105" s="18"/>
      <c r="T105" s="29"/>
      <c r="AI105" s="30"/>
      <c r="AJ105" s="31"/>
      <c r="AK105" s="32"/>
      <c r="AL105" s="31"/>
      <c r="AM105" s="31"/>
      <c r="AN105" s="32"/>
      <c r="AO105" s="32"/>
      <c r="AP105" s="33"/>
      <c r="AQ105" s="30"/>
    </row>
    <row r="106" spans="14:43" ht="15" thickBot="1" x14ac:dyDescent="0.35">
      <c r="N106" s="28"/>
      <c r="S106" s="18"/>
      <c r="T106" s="29"/>
      <c r="AI106" s="30"/>
      <c r="AJ106" s="31"/>
      <c r="AK106" s="32"/>
      <c r="AL106" s="31"/>
      <c r="AM106" s="31"/>
      <c r="AN106" s="32"/>
      <c r="AO106" s="32"/>
      <c r="AP106" s="33"/>
      <c r="AQ106" s="30"/>
    </row>
    <row r="107" spans="14:43" ht="15" thickBot="1" x14ac:dyDescent="0.35">
      <c r="N107" s="28"/>
      <c r="S107" s="18"/>
      <c r="T107" s="29"/>
      <c r="AI107" s="30"/>
      <c r="AJ107" s="31"/>
      <c r="AK107" s="32"/>
      <c r="AL107" s="31"/>
      <c r="AM107" s="31"/>
      <c r="AN107" s="32"/>
      <c r="AO107" s="32"/>
      <c r="AP107" s="33"/>
      <c r="AQ107" s="30"/>
    </row>
    <row r="108" spans="14:43" ht="15" thickBot="1" x14ac:dyDescent="0.35">
      <c r="N108" s="28"/>
      <c r="S108" s="18"/>
      <c r="T108" s="29"/>
      <c r="AI108" s="30"/>
      <c r="AJ108" s="31"/>
      <c r="AK108" s="32"/>
      <c r="AL108" s="31"/>
      <c r="AM108" s="31"/>
      <c r="AN108" s="32"/>
      <c r="AO108" s="32"/>
      <c r="AP108" s="33"/>
      <c r="AQ108" s="30"/>
    </row>
    <row r="109" spans="14:43" ht="15" thickBot="1" x14ac:dyDescent="0.35">
      <c r="N109" s="28"/>
      <c r="S109" s="18"/>
      <c r="T109" s="29"/>
      <c r="AI109" s="30"/>
      <c r="AJ109" s="31"/>
      <c r="AK109" s="32"/>
      <c r="AL109" s="31"/>
      <c r="AM109" s="31"/>
      <c r="AN109" s="32"/>
      <c r="AO109" s="32"/>
      <c r="AP109" s="33"/>
      <c r="AQ109" s="30"/>
    </row>
    <row r="110" spans="14:43" ht="15" thickBot="1" x14ac:dyDescent="0.35">
      <c r="N110" s="28"/>
      <c r="S110" s="18"/>
      <c r="T110" s="29"/>
      <c r="AI110" s="30"/>
      <c r="AJ110" s="31"/>
      <c r="AK110" s="31"/>
      <c r="AL110" s="31"/>
      <c r="AM110" s="31"/>
      <c r="AN110" s="32"/>
      <c r="AO110" s="32"/>
      <c r="AP110" s="32"/>
      <c r="AQ110" s="30"/>
    </row>
    <row r="111" spans="14:43" ht="15" thickBot="1" x14ac:dyDescent="0.35">
      <c r="N111" s="28"/>
      <c r="S111" s="18"/>
      <c r="T111" s="29"/>
      <c r="AI111" s="30"/>
      <c r="AJ111" s="31"/>
      <c r="AK111" s="32"/>
      <c r="AL111" s="31"/>
      <c r="AM111" s="31"/>
      <c r="AN111" s="32"/>
      <c r="AO111" s="32"/>
      <c r="AP111" s="33"/>
      <c r="AQ111" s="30"/>
    </row>
    <row r="112" spans="14:43" ht="15" thickBot="1" x14ac:dyDescent="0.35">
      <c r="N112" s="28"/>
      <c r="S112" s="18"/>
      <c r="T112" s="29"/>
      <c r="AI112" s="30"/>
      <c r="AJ112" s="31"/>
      <c r="AK112" s="32"/>
      <c r="AL112" s="31"/>
      <c r="AM112" s="31"/>
      <c r="AN112" s="32"/>
      <c r="AO112" s="32"/>
      <c r="AP112" s="33"/>
      <c r="AQ112" s="30"/>
    </row>
    <row r="113" spans="14:43" ht="15" thickBot="1" x14ac:dyDescent="0.35">
      <c r="N113" s="28"/>
      <c r="S113" s="18"/>
      <c r="T113" s="29"/>
      <c r="AI113" s="30"/>
      <c r="AJ113" s="31"/>
      <c r="AK113" s="32"/>
      <c r="AL113" s="31"/>
      <c r="AM113" s="31"/>
      <c r="AN113" s="32"/>
      <c r="AO113" s="32"/>
      <c r="AP113" s="33"/>
      <c r="AQ113" s="30"/>
    </row>
    <row r="114" spans="14:43" ht="15" thickBot="1" x14ac:dyDescent="0.35">
      <c r="N114" s="28"/>
      <c r="S114" s="18"/>
      <c r="T114" s="29"/>
      <c r="AI114" s="30"/>
      <c r="AJ114" s="31"/>
      <c r="AK114" s="32"/>
      <c r="AL114" s="31"/>
      <c r="AM114" s="31"/>
      <c r="AN114" s="32"/>
      <c r="AO114" s="32"/>
      <c r="AP114" s="33"/>
      <c r="AQ114" s="30"/>
    </row>
    <row r="115" spans="14:43" ht="15" thickBot="1" x14ac:dyDescent="0.35">
      <c r="N115" s="28"/>
      <c r="S115" s="18"/>
      <c r="T115" s="29"/>
      <c r="AI115" s="30"/>
      <c r="AJ115" s="31"/>
      <c r="AK115" s="32"/>
      <c r="AL115" s="31"/>
      <c r="AM115" s="31"/>
      <c r="AN115" s="32"/>
      <c r="AO115" s="32"/>
      <c r="AP115" s="33"/>
      <c r="AQ115" s="30"/>
    </row>
    <row r="116" spans="14:43" ht="15" thickBot="1" x14ac:dyDescent="0.35">
      <c r="N116" s="28"/>
      <c r="S116" s="18"/>
      <c r="T116" s="29"/>
      <c r="AI116" s="30"/>
      <c r="AJ116" s="31"/>
      <c r="AK116" s="32"/>
      <c r="AL116" s="31"/>
      <c r="AM116" s="31"/>
      <c r="AN116" s="32"/>
      <c r="AO116" s="32"/>
      <c r="AP116" s="33"/>
      <c r="AQ116" s="30"/>
    </row>
    <row r="117" spans="14:43" ht="15" thickBot="1" x14ac:dyDescent="0.35">
      <c r="N117" s="28"/>
      <c r="S117" s="18"/>
      <c r="T117" s="29"/>
      <c r="AI117" s="30"/>
      <c r="AJ117" s="31"/>
      <c r="AK117" s="32"/>
      <c r="AL117" s="31"/>
      <c r="AM117" s="31"/>
      <c r="AN117" s="32"/>
      <c r="AO117" s="32"/>
      <c r="AP117" s="33"/>
      <c r="AQ117" s="30"/>
    </row>
    <row r="118" spans="14:43" ht="15" thickBot="1" x14ac:dyDescent="0.35">
      <c r="N118" s="28"/>
      <c r="S118" s="18"/>
      <c r="T118" s="29"/>
      <c r="AI118" s="30"/>
      <c r="AJ118" s="31"/>
      <c r="AK118" s="32"/>
      <c r="AL118" s="31"/>
      <c r="AM118" s="31"/>
      <c r="AN118" s="32"/>
      <c r="AO118" s="32"/>
      <c r="AP118" s="33"/>
      <c r="AQ118" s="30"/>
    </row>
    <row r="119" spans="14:43" ht="15" thickBot="1" x14ac:dyDescent="0.35">
      <c r="N119" s="28"/>
      <c r="S119" s="18"/>
      <c r="T119" s="29"/>
      <c r="AI119" s="30"/>
      <c r="AJ119" s="31"/>
      <c r="AK119" s="32"/>
      <c r="AL119" s="31"/>
      <c r="AM119" s="31"/>
      <c r="AN119" s="32"/>
      <c r="AO119" s="32"/>
      <c r="AP119" s="33"/>
      <c r="AQ119" s="30"/>
    </row>
    <row r="120" spans="14:43" ht="15" thickBot="1" x14ac:dyDescent="0.35">
      <c r="N120" s="28"/>
      <c r="S120" s="18"/>
      <c r="T120" s="29"/>
      <c r="AI120" s="30"/>
      <c r="AJ120" s="31"/>
      <c r="AK120" s="31"/>
      <c r="AL120" s="32"/>
      <c r="AM120" s="31"/>
      <c r="AN120" s="32"/>
      <c r="AO120" s="32"/>
      <c r="AP120" s="32"/>
      <c r="AQ120" s="30"/>
    </row>
    <row r="121" spans="14:43" ht="15" thickBot="1" x14ac:dyDescent="0.35">
      <c r="N121" s="28"/>
      <c r="S121" s="18"/>
      <c r="T121" s="29"/>
      <c r="AI121" s="30"/>
      <c r="AJ121" s="31"/>
      <c r="AK121" s="32"/>
      <c r="AL121" s="31"/>
      <c r="AM121" s="31"/>
      <c r="AN121" s="32"/>
      <c r="AO121" s="32"/>
      <c r="AP121" s="33"/>
      <c r="AQ121" s="30"/>
    </row>
    <row r="122" spans="14:43" ht="15" thickBot="1" x14ac:dyDescent="0.35">
      <c r="N122" s="28"/>
      <c r="S122" s="18"/>
      <c r="T122" s="29"/>
      <c r="AI122" s="30"/>
      <c r="AJ122" s="31"/>
      <c r="AK122" s="32"/>
      <c r="AL122" s="31"/>
      <c r="AM122" s="31"/>
      <c r="AN122" s="32"/>
      <c r="AO122" s="32"/>
      <c r="AP122" s="33"/>
      <c r="AQ122" s="30"/>
    </row>
    <row r="123" spans="14:43" ht="15" thickBot="1" x14ac:dyDescent="0.35">
      <c r="N123" s="28"/>
      <c r="S123" s="18"/>
      <c r="T123" s="29"/>
      <c r="AI123" s="30"/>
      <c r="AJ123" s="31"/>
      <c r="AK123" s="32"/>
      <c r="AL123" s="31"/>
      <c r="AM123" s="31"/>
      <c r="AN123" s="32"/>
      <c r="AO123" s="32"/>
      <c r="AP123" s="33"/>
      <c r="AQ123" s="30"/>
    </row>
    <row r="124" spans="14:43" ht="15" thickBot="1" x14ac:dyDescent="0.35">
      <c r="N124" s="28"/>
      <c r="S124" s="18"/>
      <c r="T124" s="29"/>
      <c r="AI124" s="30"/>
      <c r="AJ124" s="31"/>
      <c r="AK124" s="32"/>
      <c r="AL124" s="31"/>
      <c r="AM124" s="31"/>
      <c r="AN124" s="32"/>
      <c r="AO124" s="32"/>
      <c r="AP124" s="33"/>
      <c r="AQ124" s="30"/>
    </row>
    <row r="125" spans="14:43" ht="15" thickBot="1" x14ac:dyDescent="0.35">
      <c r="N125" s="28"/>
      <c r="S125" s="18"/>
      <c r="T125" s="29"/>
      <c r="AI125" s="30"/>
      <c r="AJ125" s="31"/>
      <c r="AK125" s="32"/>
      <c r="AL125" s="31"/>
      <c r="AM125" s="31"/>
      <c r="AN125" s="32"/>
      <c r="AO125" s="32"/>
      <c r="AP125" s="33"/>
      <c r="AQ125" s="30"/>
    </row>
    <row r="126" spans="14:43" ht="15" thickBot="1" x14ac:dyDescent="0.35">
      <c r="N126" s="28"/>
      <c r="S126" s="18"/>
      <c r="T126" s="29"/>
      <c r="AI126" s="30"/>
      <c r="AJ126" s="31"/>
      <c r="AK126" s="32"/>
      <c r="AL126" s="31"/>
      <c r="AM126" s="31"/>
      <c r="AN126" s="32"/>
      <c r="AO126" s="32"/>
      <c r="AP126" s="33"/>
      <c r="AQ126" s="30"/>
    </row>
    <row r="127" spans="14:43" ht="15" thickBot="1" x14ac:dyDescent="0.35">
      <c r="N127" s="28"/>
      <c r="S127" s="18"/>
      <c r="T127" s="29"/>
      <c r="AI127" s="30"/>
      <c r="AJ127" s="31"/>
      <c r="AK127" s="32"/>
      <c r="AL127" s="31"/>
      <c r="AM127" s="31"/>
      <c r="AN127" s="32"/>
      <c r="AO127" s="32"/>
      <c r="AP127" s="33"/>
      <c r="AQ127" s="30"/>
    </row>
    <row r="128" spans="14:43" ht="15" thickBot="1" x14ac:dyDescent="0.35">
      <c r="N128" s="28"/>
      <c r="S128" s="18"/>
      <c r="T128" s="29"/>
      <c r="AI128" s="30"/>
      <c r="AJ128" s="31"/>
      <c r="AK128" s="32"/>
      <c r="AL128" s="31"/>
      <c r="AM128" s="31"/>
      <c r="AN128" s="32"/>
      <c r="AO128" s="32"/>
      <c r="AP128" s="33"/>
      <c r="AQ128" s="30"/>
    </row>
    <row r="129" spans="14:43" ht="15" thickBot="1" x14ac:dyDescent="0.35">
      <c r="N129" s="28"/>
      <c r="S129" s="18"/>
      <c r="T129" s="29"/>
      <c r="AI129" s="30"/>
      <c r="AJ129" s="31"/>
      <c r="AK129" s="32"/>
      <c r="AL129" s="31"/>
      <c r="AM129" s="31"/>
      <c r="AN129" s="32"/>
      <c r="AO129" s="32"/>
      <c r="AP129" s="33"/>
      <c r="AQ129" s="30"/>
    </row>
    <row r="130" spans="14:43" ht="15" thickBot="1" x14ac:dyDescent="0.35">
      <c r="N130" s="28"/>
      <c r="S130" s="18"/>
      <c r="T130" s="29"/>
      <c r="AI130" s="30"/>
      <c r="AJ130" s="31"/>
      <c r="AK130" s="32"/>
      <c r="AL130" s="31"/>
      <c r="AM130" s="31"/>
      <c r="AN130" s="32"/>
      <c r="AO130" s="32"/>
      <c r="AP130" s="33"/>
      <c r="AQ130" s="30"/>
    </row>
    <row r="131" spans="14:43" ht="15" thickBot="1" x14ac:dyDescent="0.35">
      <c r="N131" s="28"/>
      <c r="S131" s="18"/>
      <c r="T131" s="29"/>
      <c r="AI131" s="30"/>
      <c r="AJ131" s="31"/>
      <c r="AK131" s="32"/>
      <c r="AL131" s="31"/>
      <c r="AM131" s="31"/>
      <c r="AN131" s="32"/>
      <c r="AO131" s="32"/>
      <c r="AP131" s="33"/>
      <c r="AQ131" s="30"/>
    </row>
    <row r="132" spans="14:43" ht="15" thickBot="1" x14ac:dyDescent="0.35">
      <c r="N132" s="28"/>
      <c r="S132" s="18"/>
      <c r="T132" s="29"/>
      <c r="AI132" s="30"/>
      <c r="AJ132" s="31"/>
      <c r="AK132" s="32"/>
      <c r="AL132" s="31"/>
      <c r="AM132" s="31"/>
      <c r="AN132" s="32"/>
      <c r="AO132" s="32"/>
      <c r="AP132" s="33"/>
      <c r="AQ132" s="30"/>
    </row>
    <row r="133" spans="14:43" ht="15" thickBot="1" x14ac:dyDescent="0.35">
      <c r="N133" s="28"/>
      <c r="S133" s="18"/>
      <c r="T133" s="29"/>
      <c r="AI133" s="30"/>
      <c r="AJ133" s="31"/>
      <c r="AK133" s="32"/>
      <c r="AL133" s="31"/>
      <c r="AM133" s="31"/>
      <c r="AN133" s="32"/>
      <c r="AO133" s="32"/>
      <c r="AP133" s="33"/>
      <c r="AQ133" s="30"/>
    </row>
    <row r="134" spans="14:43" ht="15" thickBot="1" x14ac:dyDescent="0.35">
      <c r="N134" s="28"/>
      <c r="S134" s="18"/>
      <c r="T134" s="29"/>
      <c r="AI134" s="30"/>
      <c r="AJ134" s="31"/>
      <c r="AK134" s="32"/>
      <c r="AL134" s="31"/>
      <c r="AM134" s="31"/>
      <c r="AN134" s="32"/>
      <c r="AO134" s="32"/>
      <c r="AP134" s="33"/>
      <c r="AQ134" s="30"/>
    </row>
    <row r="135" spans="14:43" ht="15" thickBot="1" x14ac:dyDescent="0.35">
      <c r="N135" s="28"/>
      <c r="S135" s="18"/>
      <c r="T135" s="29"/>
      <c r="AI135" s="30"/>
      <c r="AJ135" s="31"/>
      <c r="AK135" s="32"/>
      <c r="AL135" s="31"/>
      <c r="AM135" s="31"/>
      <c r="AN135" s="32"/>
      <c r="AO135" s="32"/>
      <c r="AP135" s="32"/>
      <c r="AQ135" s="30"/>
    </row>
    <row r="136" spans="14:43" ht="15" thickBot="1" x14ac:dyDescent="0.35">
      <c r="N136" s="28"/>
      <c r="S136" s="18"/>
      <c r="T136" s="29"/>
      <c r="AI136" s="30"/>
      <c r="AJ136" s="31"/>
      <c r="AK136" s="32"/>
      <c r="AL136" s="31"/>
      <c r="AM136" s="31"/>
      <c r="AN136" s="32"/>
      <c r="AO136" s="32"/>
      <c r="AP136" s="33"/>
      <c r="AQ136" s="30"/>
    </row>
    <row r="137" spans="14:43" ht="15" thickBot="1" x14ac:dyDescent="0.35">
      <c r="N137" s="28"/>
      <c r="S137" s="18"/>
      <c r="T137" s="29"/>
      <c r="AI137" s="30"/>
      <c r="AJ137" s="31"/>
      <c r="AK137" s="32"/>
      <c r="AL137" s="31"/>
      <c r="AM137" s="31"/>
      <c r="AN137" s="32"/>
      <c r="AO137" s="32"/>
      <c r="AP137" s="33"/>
      <c r="AQ137" s="30"/>
    </row>
    <row r="138" spans="14:43" ht="15" thickBot="1" x14ac:dyDescent="0.35">
      <c r="N138" s="28"/>
      <c r="S138" s="18"/>
      <c r="T138" s="29"/>
      <c r="AI138" s="30"/>
      <c r="AJ138" s="31"/>
      <c r="AK138" s="32"/>
      <c r="AL138" s="31"/>
      <c r="AM138" s="31"/>
      <c r="AN138" s="32"/>
      <c r="AO138" s="32"/>
      <c r="AP138" s="33"/>
      <c r="AQ138" s="30"/>
    </row>
    <row r="139" spans="14:43" ht="15" thickBot="1" x14ac:dyDescent="0.35">
      <c r="N139" s="28"/>
      <c r="S139" s="18"/>
      <c r="T139" s="29"/>
      <c r="AI139" s="30"/>
      <c r="AJ139" s="31"/>
      <c r="AK139" s="32"/>
      <c r="AL139" s="31"/>
      <c r="AM139" s="31"/>
      <c r="AN139" s="32"/>
      <c r="AO139" s="32"/>
      <c r="AP139" s="33"/>
      <c r="AQ139" s="30"/>
    </row>
    <row r="140" spans="14:43" ht="15" thickBot="1" x14ac:dyDescent="0.35">
      <c r="N140" s="28"/>
      <c r="S140" s="18"/>
      <c r="T140" s="29"/>
      <c r="AI140" s="30"/>
      <c r="AJ140" s="31"/>
      <c r="AK140" s="32"/>
      <c r="AL140" s="31"/>
      <c r="AM140" s="31"/>
      <c r="AN140" s="32"/>
      <c r="AO140" s="32"/>
      <c r="AP140" s="33"/>
      <c r="AQ140" s="30"/>
    </row>
    <row r="141" spans="14:43" ht="15" thickBot="1" x14ac:dyDescent="0.35">
      <c r="N141" s="28"/>
      <c r="S141" s="18"/>
      <c r="T141" s="29"/>
      <c r="AI141" s="30"/>
      <c r="AJ141" s="31"/>
      <c r="AK141" s="32"/>
      <c r="AL141" s="31"/>
      <c r="AM141" s="31"/>
      <c r="AN141" s="32"/>
      <c r="AO141" s="32"/>
      <c r="AP141" s="33"/>
      <c r="AQ141" s="30"/>
    </row>
    <row r="142" spans="14:43" ht="15" thickBot="1" x14ac:dyDescent="0.35">
      <c r="N142" s="28"/>
      <c r="S142" s="18"/>
      <c r="T142" s="29"/>
      <c r="AI142" s="30"/>
      <c r="AJ142" s="31"/>
      <c r="AK142" s="32"/>
      <c r="AL142" s="31"/>
      <c r="AM142" s="32"/>
      <c r="AN142" s="32"/>
      <c r="AO142" s="32"/>
      <c r="AP142" s="33"/>
      <c r="AQ142" s="30"/>
    </row>
    <row r="143" spans="14:43" ht="15" thickBot="1" x14ac:dyDescent="0.35">
      <c r="N143" s="28"/>
      <c r="S143" s="18"/>
      <c r="T143" s="29"/>
      <c r="AI143" s="30"/>
      <c r="AJ143" s="31"/>
      <c r="AK143" s="32"/>
      <c r="AL143" s="31"/>
      <c r="AM143" s="31"/>
      <c r="AN143" s="32"/>
      <c r="AO143" s="32"/>
      <c r="AP143" s="33"/>
      <c r="AQ143" s="30"/>
    </row>
    <row r="144" spans="14:43" ht="15" thickBot="1" x14ac:dyDescent="0.35">
      <c r="N144" s="28"/>
      <c r="S144" s="18"/>
      <c r="T144" s="29"/>
      <c r="AI144" s="30"/>
      <c r="AJ144" s="31"/>
      <c r="AK144" s="32"/>
      <c r="AL144" s="31"/>
      <c r="AM144" s="31"/>
      <c r="AN144" s="32"/>
      <c r="AO144" s="32"/>
      <c r="AP144" s="33"/>
      <c r="AQ144" s="30"/>
    </row>
    <row r="145" spans="14:43" ht="15" thickBot="1" x14ac:dyDescent="0.35">
      <c r="N145" s="28"/>
      <c r="S145" s="18"/>
      <c r="T145" s="29"/>
      <c r="AI145" s="30"/>
      <c r="AJ145" s="31"/>
      <c r="AK145" s="32"/>
      <c r="AL145" s="31"/>
      <c r="AM145" s="31"/>
      <c r="AN145" s="32"/>
      <c r="AO145" s="32"/>
      <c r="AP145" s="33"/>
      <c r="AQ145" s="30"/>
    </row>
    <row r="146" spans="14:43" ht="15" thickBot="1" x14ac:dyDescent="0.35">
      <c r="N146" s="28"/>
      <c r="S146" s="18"/>
      <c r="T146" s="29"/>
      <c r="AI146" s="30"/>
      <c r="AJ146" s="31"/>
      <c r="AK146" s="32"/>
      <c r="AL146" s="31"/>
      <c r="AM146" s="31"/>
      <c r="AN146" s="32"/>
      <c r="AO146" s="32"/>
      <c r="AP146" s="33"/>
      <c r="AQ146" s="30"/>
    </row>
    <row r="147" spans="14:43" ht="15" thickBot="1" x14ac:dyDescent="0.35">
      <c r="N147" s="28"/>
      <c r="S147" s="18"/>
      <c r="T147" s="29"/>
      <c r="AI147" s="30"/>
      <c r="AJ147" s="31"/>
      <c r="AK147" s="32"/>
      <c r="AL147" s="31"/>
      <c r="AM147" s="31"/>
      <c r="AN147" s="32"/>
      <c r="AO147" s="32"/>
      <c r="AP147" s="32"/>
      <c r="AQ147" s="30"/>
    </row>
    <row r="148" spans="14:43" ht="15" thickBot="1" x14ac:dyDescent="0.35">
      <c r="N148" s="28"/>
      <c r="S148" s="18"/>
      <c r="T148" s="29"/>
      <c r="AI148" s="30"/>
      <c r="AJ148" s="31"/>
      <c r="AK148" s="32"/>
      <c r="AL148" s="31"/>
      <c r="AM148" s="31"/>
      <c r="AN148" s="32"/>
      <c r="AO148" s="32"/>
      <c r="AP148" s="33"/>
      <c r="AQ148" s="30"/>
    </row>
    <row r="149" spans="14:43" ht="15" thickBot="1" x14ac:dyDescent="0.35">
      <c r="N149" s="28"/>
      <c r="S149" s="18"/>
      <c r="T149" s="29"/>
      <c r="AI149" s="30"/>
      <c r="AJ149" s="31"/>
      <c r="AK149" s="32"/>
      <c r="AL149" s="31"/>
      <c r="AM149" s="31"/>
      <c r="AN149" s="32"/>
      <c r="AO149" s="32"/>
      <c r="AP149" s="33"/>
      <c r="AQ149" s="30"/>
    </row>
    <row r="150" spans="14:43" ht="15" thickBot="1" x14ac:dyDescent="0.35">
      <c r="N150" s="28"/>
      <c r="S150" s="18"/>
      <c r="T150" s="29"/>
      <c r="AI150" s="30"/>
      <c r="AJ150" s="31"/>
      <c r="AK150" s="32"/>
      <c r="AL150" s="31"/>
      <c r="AM150" s="31"/>
      <c r="AN150" s="32"/>
      <c r="AO150" s="32"/>
      <c r="AP150" s="33"/>
      <c r="AQ150" s="30"/>
    </row>
    <row r="151" spans="14:43" ht="15" thickBot="1" x14ac:dyDescent="0.35">
      <c r="N151" s="28"/>
      <c r="S151" s="18"/>
      <c r="T151" s="29"/>
      <c r="AI151" s="30"/>
      <c r="AJ151" s="31"/>
      <c r="AK151" s="32"/>
      <c r="AL151" s="31"/>
      <c r="AM151" s="31"/>
      <c r="AN151" s="32"/>
      <c r="AO151" s="32"/>
      <c r="AP151" s="33"/>
      <c r="AQ151" s="30"/>
    </row>
    <row r="152" spans="14:43" ht="15" thickBot="1" x14ac:dyDescent="0.35">
      <c r="N152" s="28"/>
      <c r="S152" s="18"/>
      <c r="T152" s="29"/>
      <c r="AI152" s="30"/>
      <c r="AJ152" s="31"/>
      <c r="AK152" s="32"/>
      <c r="AL152" s="31"/>
      <c r="AM152" s="31"/>
      <c r="AN152" s="32"/>
      <c r="AO152" s="32"/>
      <c r="AP152" s="33"/>
      <c r="AQ152" s="30"/>
    </row>
    <row r="153" spans="14:43" ht="15" thickBot="1" x14ac:dyDescent="0.35">
      <c r="N153" s="28"/>
      <c r="S153" s="18"/>
      <c r="T153" s="29"/>
      <c r="AI153" s="30"/>
      <c r="AJ153" s="31"/>
      <c r="AK153" s="32"/>
      <c r="AL153" s="31"/>
      <c r="AM153" s="31"/>
      <c r="AN153" s="32"/>
      <c r="AO153" s="32"/>
      <c r="AP153" s="33"/>
      <c r="AQ153" s="30"/>
    </row>
    <row r="154" spans="14:43" ht="15" thickBot="1" x14ac:dyDescent="0.35">
      <c r="N154" s="28"/>
      <c r="S154" s="18"/>
      <c r="T154" s="29"/>
      <c r="AI154" s="30"/>
      <c r="AJ154" s="32"/>
      <c r="AK154" s="32"/>
      <c r="AL154" s="31"/>
      <c r="AM154" s="31"/>
      <c r="AN154" s="32"/>
      <c r="AO154" s="32"/>
      <c r="AP154" s="33"/>
      <c r="AQ154" s="30"/>
    </row>
    <row r="155" spans="14:43" ht="15" thickBot="1" x14ac:dyDescent="0.35">
      <c r="N155" s="28"/>
      <c r="S155" s="18"/>
      <c r="T155" s="29"/>
      <c r="AI155" s="30"/>
      <c r="AJ155" s="32"/>
      <c r="AK155" s="32"/>
      <c r="AL155" s="31"/>
      <c r="AM155" s="31"/>
      <c r="AN155" s="32"/>
      <c r="AO155" s="32"/>
      <c r="AP155" s="33"/>
      <c r="AQ155" s="30"/>
    </row>
    <row r="156" spans="14:43" ht="15" thickBot="1" x14ac:dyDescent="0.35">
      <c r="N156" s="28"/>
      <c r="S156" s="18"/>
      <c r="T156" s="29"/>
      <c r="AI156" s="30"/>
      <c r="AJ156" s="31"/>
      <c r="AK156" s="32"/>
      <c r="AL156" s="31"/>
      <c r="AM156" s="31"/>
      <c r="AN156" s="32"/>
      <c r="AO156" s="32"/>
      <c r="AP156" s="33"/>
      <c r="AQ156" s="30"/>
    </row>
    <row r="157" spans="14:43" ht="15" thickBot="1" x14ac:dyDescent="0.35">
      <c r="N157" s="28"/>
      <c r="S157" s="18"/>
      <c r="T157" s="29"/>
      <c r="AI157" s="30"/>
      <c r="AJ157" s="31"/>
      <c r="AK157" s="32"/>
      <c r="AL157" s="31"/>
      <c r="AM157" s="31"/>
      <c r="AN157" s="32"/>
      <c r="AO157" s="32"/>
      <c r="AP157" s="33"/>
      <c r="AQ157" s="30"/>
    </row>
    <row r="158" spans="14:43" ht="15" thickBot="1" x14ac:dyDescent="0.35">
      <c r="N158" s="28"/>
      <c r="S158" s="18"/>
      <c r="T158" s="29"/>
      <c r="AI158" s="30"/>
      <c r="AJ158" s="31"/>
      <c r="AK158" s="31"/>
      <c r="AL158" s="32"/>
      <c r="AM158" s="31"/>
      <c r="AN158" s="32"/>
      <c r="AO158" s="32"/>
      <c r="AP158" s="33"/>
      <c r="AQ158" s="30"/>
    </row>
    <row r="159" spans="14:43" ht="15" thickBot="1" x14ac:dyDescent="0.35">
      <c r="N159" s="28"/>
      <c r="S159" s="18"/>
      <c r="T159" s="29"/>
      <c r="AI159" s="30"/>
      <c r="AJ159" s="31"/>
      <c r="AK159" s="32"/>
      <c r="AL159" s="31"/>
      <c r="AM159" s="31"/>
      <c r="AN159" s="32"/>
      <c r="AO159" s="32"/>
      <c r="AP159" s="33"/>
      <c r="AQ159" s="30"/>
    </row>
    <row r="160" spans="14:43" ht="15" thickBot="1" x14ac:dyDescent="0.35">
      <c r="N160" s="28"/>
      <c r="S160" s="18"/>
      <c r="T160" s="29"/>
      <c r="AI160" s="30"/>
      <c r="AJ160" s="31"/>
      <c r="AK160" s="32"/>
      <c r="AL160" s="31"/>
      <c r="AM160" s="32"/>
      <c r="AN160" s="32"/>
      <c r="AO160" s="32"/>
      <c r="AP160" s="33"/>
      <c r="AQ160" s="30"/>
    </row>
    <row r="161" spans="14:43" ht="15" thickBot="1" x14ac:dyDescent="0.35">
      <c r="N161" s="28"/>
      <c r="S161" s="18"/>
      <c r="T161" s="29"/>
      <c r="AI161" s="30"/>
      <c r="AJ161" s="32"/>
      <c r="AK161" s="32"/>
      <c r="AL161" s="31"/>
      <c r="AM161" s="31"/>
      <c r="AN161" s="32"/>
      <c r="AO161" s="32"/>
      <c r="AP161" s="33"/>
      <c r="AQ161" s="30"/>
    </row>
    <row r="162" spans="14:43" ht="15" thickBot="1" x14ac:dyDescent="0.35">
      <c r="N162" s="28"/>
      <c r="S162" s="18"/>
      <c r="T162" s="29"/>
      <c r="AI162" s="30"/>
      <c r="AJ162" s="31"/>
      <c r="AK162" s="32"/>
      <c r="AL162" s="31"/>
      <c r="AM162" s="31"/>
      <c r="AN162" s="32"/>
      <c r="AO162" s="32"/>
      <c r="AP162" s="33"/>
      <c r="AQ162" s="30"/>
    </row>
    <row r="163" spans="14:43" ht="15" thickBot="1" x14ac:dyDescent="0.35">
      <c r="N163" s="28"/>
      <c r="S163" s="18"/>
      <c r="T163" s="29"/>
      <c r="AI163" s="30"/>
      <c r="AJ163" s="31"/>
      <c r="AK163" s="32"/>
      <c r="AL163" s="31"/>
      <c r="AM163" s="32"/>
      <c r="AN163" s="32"/>
      <c r="AO163" s="32"/>
      <c r="AP163" s="33"/>
      <c r="AQ163" s="30"/>
    </row>
    <row r="164" spans="14:43" ht="15" thickBot="1" x14ac:dyDescent="0.35">
      <c r="N164" s="28"/>
      <c r="S164" s="18"/>
      <c r="T164" s="29"/>
      <c r="AI164" s="30"/>
      <c r="AJ164" s="31"/>
      <c r="AK164" s="32"/>
      <c r="AL164" s="31"/>
      <c r="AM164" s="31"/>
      <c r="AN164" s="32"/>
      <c r="AO164" s="32"/>
      <c r="AP164" s="33"/>
      <c r="AQ164" s="30"/>
    </row>
    <row r="165" spans="14:43" ht="15" thickBot="1" x14ac:dyDescent="0.35">
      <c r="N165" s="28"/>
      <c r="S165" s="18"/>
      <c r="T165" s="29"/>
      <c r="AI165" s="30"/>
      <c r="AJ165" s="31"/>
      <c r="AK165" s="32"/>
      <c r="AL165" s="31"/>
      <c r="AM165" s="31"/>
      <c r="AN165" s="32"/>
      <c r="AO165" s="32"/>
      <c r="AP165" s="33"/>
      <c r="AQ165" s="30"/>
    </row>
    <row r="166" spans="14:43" ht="15" thickBot="1" x14ac:dyDescent="0.35">
      <c r="N166" s="28"/>
      <c r="S166" s="18"/>
      <c r="T166" s="29"/>
      <c r="AI166" s="30"/>
      <c r="AJ166" s="31"/>
      <c r="AK166" s="32"/>
      <c r="AL166" s="31"/>
      <c r="AM166" s="32"/>
      <c r="AN166" s="32"/>
      <c r="AO166" s="32"/>
      <c r="AP166" s="33"/>
      <c r="AQ166" s="30"/>
    </row>
    <row r="167" spans="14:43" ht="15" thickBot="1" x14ac:dyDescent="0.35">
      <c r="N167" s="28"/>
      <c r="S167" s="18"/>
      <c r="T167" s="29"/>
      <c r="AI167" s="30"/>
      <c r="AJ167" s="31"/>
      <c r="AK167" s="32"/>
      <c r="AL167" s="31"/>
      <c r="AM167" s="31"/>
      <c r="AN167" s="32"/>
      <c r="AO167" s="32"/>
      <c r="AP167" s="33"/>
      <c r="AQ167" s="30"/>
    </row>
    <row r="168" spans="14:43" ht="15" thickBot="1" x14ac:dyDescent="0.35">
      <c r="N168" s="28"/>
      <c r="S168" s="18"/>
      <c r="T168" s="29"/>
      <c r="AI168" s="30"/>
      <c r="AJ168" s="31"/>
      <c r="AK168" s="32"/>
      <c r="AL168" s="31"/>
      <c r="AM168" s="31"/>
      <c r="AN168" s="32"/>
      <c r="AO168" s="32"/>
      <c r="AP168" s="33"/>
      <c r="AQ168" s="30"/>
    </row>
    <row r="169" spans="14:43" ht="15" thickBot="1" x14ac:dyDescent="0.35">
      <c r="N169" s="28"/>
      <c r="S169" s="18"/>
      <c r="T169" s="29"/>
      <c r="AI169" s="30"/>
      <c r="AJ169" s="31"/>
      <c r="AK169" s="32"/>
      <c r="AL169" s="31"/>
      <c r="AM169" s="31"/>
      <c r="AN169" s="32"/>
      <c r="AO169" s="32"/>
      <c r="AP169" s="33"/>
      <c r="AQ169" s="30"/>
    </row>
    <row r="170" spans="14:43" ht="15" thickBot="1" x14ac:dyDescent="0.35">
      <c r="N170" s="28"/>
      <c r="S170" s="18"/>
      <c r="T170" s="29"/>
      <c r="AI170" s="30"/>
      <c r="AJ170" s="31"/>
      <c r="AK170" s="32"/>
      <c r="AL170" s="31"/>
      <c r="AM170" s="31"/>
      <c r="AN170" s="32"/>
      <c r="AO170" s="32"/>
      <c r="AP170" s="33"/>
      <c r="AQ170" s="30"/>
    </row>
    <row r="171" spans="14:43" ht="15" thickBot="1" x14ac:dyDescent="0.35">
      <c r="N171" s="28"/>
      <c r="S171" s="18"/>
      <c r="T171" s="29"/>
      <c r="AI171" s="30"/>
      <c r="AJ171" s="31"/>
      <c r="AK171" s="32"/>
      <c r="AL171" s="31"/>
      <c r="AM171" s="32"/>
      <c r="AN171" s="32"/>
      <c r="AO171" s="32"/>
      <c r="AP171" s="33"/>
      <c r="AQ171" s="30"/>
    </row>
    <row r="172" spans="14:43" ht="15" thickBot="1" x14ac:dyDescent="0.35">
      <c r="N172" s="28"/>
      <c r="S172" s="18"/>
      <c r="T172" s="29"/>
      <c r="AI172" s="30"/>
      <c r="AJ172" s="31"/>
      <c r="AK172" s="32"/>
      <c r="AL172" s="31"/>
      <c r="AM172" s="31"/>
      <c r="AN172" s="32"/>
      <c r="AO172" s="32"/>
      <c r="AP172" s="33"/>
      <c r="AQ172" s="30"/>
    </row>
    <row r="173" spans="14:43" ht="15" thickBot="1" x14ac:dyDescent="0.35">
      <c r="N173" s="28"/>
      <c r="S173" s="18"/>
      <c r="T173" s="29"/>
      <c r="AI173" s="30"/>
      <c r="AJ173" s="31"/>
      <c r="AK173" s="31"/>
      <c r="AL173" s="32"/>
      <c r="AM173" s="31"/>
      <c r="AN173" s="32"/>
      <c r="AO173" s="32"/>
      <c r="AP173" s="32"/>
      <c r="AQ173" s="30"/>
    </row>
    <row r="174" spans="14:43" ht="15" thickBot="1" x14ac:dyDescent="0.35">
      <c r="N174" s="28"/>
      <c r="S174" s="18"/>
      <c r="T174" s="29"/>
      <c r="AI174" s="30"/>
      <c r="AJ174" s="32"/>
      <c r="AK174" s="32"/>
      <c r="AL174" s="31"/>
      <c r="AM174" s="32"/>
      <c r="AN174" s="32"/>
      <c r="AO174" s="32"/>
      <c r="AP174" s="33"/>
      <c r="AQ174" s="30"/>
    </row>
    <row r="175" spans="14:43" ht="15" thickBot="1" x14ac:dyDescent="0.35">
      <c r="N175" s="28"/>
      <c r="S175" s="18"/>
      <c r="T175" s="29"/>
      <c r="AI175" s="30"/>
      <c r="AJ175" s="31"/>
      <c r="AK175" s="32"/>
      <c r="AL175" s="31"/>
      <c r="AM175" s="31"/>
      <c r="AN175" s="32"/>
      <c r="AO175" s="32"/>
      <c r="AP175" s="33"/>
      <c r="AQ175" s="30"/>
    </row>
    <row r="176" spans="14:43" ht="15" thickBot="1" x14ac:dyDescent="0.35">
      <c r="N176" s="28"/>
      <c r="S176" s="18"/>
      <c r="T176" s="29"/>
      <c r="AI176" s="30"/>
      <c r="AJ176" s="31"/>
      <c r="AK176" s="32"/>
      <c r="AL176" s="31"/>
      <c r="AM176" s="31"/>
      <c r="AN176" s="32"/>
      <c r="AO176" s="32"/>
      <c r="AP176" s="33"/>
      <c r="AQ176" s="30"/>
    </row>
    <row r="177" spans="14:43" ht="15" thickBot="1" x14ac:dyDescent="0.35">
      <c r="N177" s="28"/>
      <c r="S177" s="18"/>
      <c r="T177" s="29"/>
      <c r="AI177" s="30"/>
      <c r="AJ177" s="31"/>
      <c r="AK177" s="32"/>
      <c r="AL177" s="31"/>
      <c r="AM177" s="31"/>
      <c r="AN177" s="32"/>
      <c r="AO177" s="32"/>
      <c r="AP177" s="33"/>
      <c r="AQ177" s="30"/>
    </row>
    <row r="178" spans="14:43" ht="15" thickBot="1" x14ac:dyDescent="0.35">
      <c r="N178" s="28"/>
      <c r="S178" s="18"/>
      <c r="T178" s="29"/>
      <c r="AI178" s="30"/>
      <c r="AJ178" s="31"/>
      <c r="AK178" s="32"/>
      <c r="AL178" s="31"/>
      <c r="AM178" s="31"/>
      <c r="AN178" s="32"/>
      <c r="AO178" s="32"/>
      <c r="AP178" s="33"/>
      <c r="AQ178" s="30"/>
    </row>
    <row r="179" spans="14:43" ht="15" thickBot="1" x14ac:dyDescent="0.35">
      <c r="N179" s="28"/>
      <c r="S179" s="18"/>
      <c r="T179" s="29"/>
      <c r="AI179" s="30"/>
      <c r="AJ179" s="31"/>
      <c r="AK179" s="31"/>
      <c r="AL179" s="32"/>
      <c r="AM179" s="31"/>
      <c r="AN179" s="32"/>
      <c r="AO179" s="32"/>
      <c r="AP179" s="33"/>
      <c r="AQ179" s="30"/>
    </row>
    <row r="180" spans="14:43" ht="15" thickBot="1" x14ac:dyDescent="0.35">
      <c r="N180" s="28"/>
      <c r="S180" s="18"/>
      <c r="T180" s="29"/>
      <c r="AI180" s="30"/>
      <c r="AJ180" s="31"/>
      <c r="AK180" s="31"/>
      <c r="AL180" s="32"/>
      <c r="AM180" s="32"/>
      <c r="AN180" s="32"/>
      <c r="AO180" s="32"/>
      <c r="AP180" s="33"/>
      <c r="AQ180" s="30"/>
    </row>
    <row r="181" spans="14:43" ht="15" thickBot="1" x14ac:dyDescent="0.35">
      <c r="N181" s="28"/>
      <c r="S181" s="18"/>
      <c r="T181" s="29"/>
      <c r="AI181" s="30"/>
      <c r="AJ181" s="31"/>
      <c r="AK181" s="32"/>
      <c r="AL181" s="31"/>
      <c r="AM181" s="32"/>
      <c r="AN181" s="32"/>
      <c r="AO181" s="32"/>
      <c r="AP181" s="33"/>
      <c r="AQ181" s="30"/>
    </row>
    <row r="182" spans="14:43" ht="15" thickBot="1" x14ac:dyDescent="0.35">
      <c r="N182" s="28"/>
      <c r="S182" s="18"/>
      <c r="T182" s="29"/>
      <c r="AI182" s="30"/>
      <c r="AJ182" s="32"/>
      <c r="AK182" s="32"/>
      <c r="AL182" s="31"/>
      <c r="AM182" s="31"/>
      <c r="AN182" s="32"/>
      <c r="AO182" s="32"/>
      <c r="AP182" s="32"/>
      <c r="AQ182" s="30"/>
    </row>
    <row r="183" spans="14:43" ht="15" thickBot="1" x14ac:dyDescent="0.35">
      <c r="N183" s="28"/>
      <c r="S183" s="18"/>
      <c r="T183" s="29"/>
      <c r="AI183" s="30"/>
      <c r="AJ183" s="31"/>
      <c r="AK183" s="32"/>
      <c r="AL183" s="31"/>
      <c r="AM183" s="31"/>
      <c r="AN183" s="32"/>
      <c r="AO183" s="32"/>
      <c r="AP183" s="33"/>
      <c r="AQ183" s="30"/>
    </row>
    <row r="184" spans="14:43" ht="15" thickBot="1" x14ac:dyDescent="0.35">
      <c r="N184" s="28"/>
      <c r="S184" s="18"/>
      <c r="T184" s="29"/>
      <c r="AI184" s="30"/>
      <c r="AJ184" s="31"/>
      <c r="AK184" s="32"/>
      <c r="AL184" s="31"/>
      <c r="AM184" s="31"/>
      <c r="AN184" s="32"/>
      <c r="AO184" s="32"/>
      <c r="AP184" s="33"/>
      <c r="AQ184" s="30"/>
    </row>
    <row r="185" spans="14:43" ht="15" thickBot="1" x14ac:dyDescent="0.35">
      <c r="N185" s="28"/>
      <c r="S185" s="18"/>
      <c r="T185" s="29"/>
      <c r="AI185" s="30"/>
      <c r="AJ185" s="32"/>
      <c r="AK185" s="32"/>
      <c r="AL185" s="31"/>
      <c r="AM185" s="32"/>
      <c r="AN185" s="32"/>
      <c r="AO185" s="32"/>
      <c r="AP185" s="33"/>
      <c r="AQ185" s="30"/>
    </row>
    <row r="186" spans="14:43" ht="15" thickBot="1" x14ac:dyDescent="0.35">
      <c r="N186" s="28"/>
      <c r="S186" s="18"/>
      <c r="T186" s="29"/>
      <c r="AI186" s="30"/>
      <c r="AJ186" s="31"/>
      <c r="AK186" s="32"/>
      <c r="AL186" s="31"/>
      <c r="AM186" s="32"/>
      <c r="AN186" s="32"/>
      <c r="AO186" s="32"/>
      <c r="AP186" s="33"/>
      <c r="AQ186" s="30"/>
    </row>
    <row r="187" spans="14:43" ht="15" thickBot="1" x14ac:dyDescent="0.35">
      <c r="N187" s="28"/>
      <c r="S187" s="18"/>
      <c r="T187" s="29"/>
      <c r="AI187" s="30"/>
      <c r="AJ187" s="31"/>
      <c r="AK187" s="32"/>
      <c r="AL187" s="31"/>
      <c r="AM187" s="32"/>
      <c r="AN187" s="32"/>
      <c r="AO187" s="32"/>
      <c r="AP187" s="33"/>
      <c r="AQ187" s="30"/>
    </row>
    <row r="188" spans="14:43" ht="15" thickBot="1" x14ac:dyDescent="0.35">
      <c r="N188" s="28"/>
      <c r="S188" s="18"/>
      <c r="T188" s="29"/>
      <c r="AI188" s="30"/>
      <c r="AJ188" s="31"/>
      <c r="AK188" s="32"/>
      <c r="AL188" s="31"/>
      <c r="AM188" s="31"/>
      <c r="AN188" s="32"/>
      <c r="AO188" s="32"/>
      <c r="AP188" s="33"/>
      <c r="AQ188" s="30"/>
    </row>
    <row r="189" spans="14:43" ht="15" thickBot="1" x14ac:dyDescent="0.35">
      <c r="N189" s="28"/>
      <c r="S189" s="18"/>
      <c r="T189" s="29"/>
      <c r="AI189" s="30"/>
      <c r="AJ189" s="32"/>
      <c r="AK189" s="32"/>
      <c r="AL189" s="32"/>
      <c r="AM189" s="32"/>
      <c r="AN189" s="32"/>
      <c r="AO189" s="32"/>
      <c r="AP189" s="33"/>
      <c r="AQ189" s="30"/>
    </row>
    <row r="190" spans="14:43" ht="15" thickBot="1" x14ac:dyDescent="0.35">
      <c r="N190" s="28"/>
      <c r="S190" s="18"/>
      <c r="T190" s="29"/>
      <c r="AI190" s="30"/>
      <c r="AJ190" s="31"/>
      <c r="AK190" s="32"/>
      <c r="AL190" s="31"/>
      <c r="AM190" s="32"/>
      <c r="AN190" s="32"/>
      <c r="AO190" s="32"/>
      <c r="AP190" s="33"/>
      <c r="AQ190" s="30"/>
    </row>
    <row r="191" spans="14:43" ht="15" thickBot="1" x14ac:dyDescent="0.35">
      <c r="N191" s="28"/>
      <c r="S191" s="18"/>
      <c r="T191" s="29"/>
      <c r="AI191" s="30"/>
      <c r="AJ191" s="31"/>
      <c r="AK191" s="32"/>
      <c r="AL191" s="31"/>
      <c r="AM191" s="31"/>
      <c r="AN191" s="32"/>
      <c r="AO191" s="32"/>
      <c r="AP191" s="33"/>
      <c r="AQ191" s="30"/>
    </row>
    <row r="192" spans="14:43" ht="15" thickBot="1" x14ac:dyDescent="0.35">
      <c r="N192" s="28"/>
      <c r="S192" s="18"/>
      <c r="T192" s="29"/>
      <c r="AI192" s="30"/>
      <c r="AJ192" s="31"/>
      <c r="AK192" s="32"/>
      <c r="AL192" s="32"/>
      <c r="AM192" s="32"/>
      <c r="AN192" s="32"/>
      <c r="AO192" s="32"/>
      <c r="AP192" s="33"/>
      <c r="AQ192" s="30"/>
    </row>
    <row r="193" spans="14:43" ht="15" thickBot="1" x14ac:dyDescent="0.35">
      <c r="N193" s="28"/>
      <c r="S193" s="18"/>
      <c r="T193" s="29"/>
      <c r="AI193" s="30"/>
      <c r="AJ193" s="31"/>
      <c r="AK193" s="32"/>
      <c r="AL193" s="32"/>
      <c r="AM193" s="31"/>
      <c r="AN193" s="32"/>
      <c r="AO193" s="32"/>
      <c r="AP193" s="33"/>
      <c r="AQ193" s="30"/>
    </row>
    <row r="194" spans="14:43" ht="15" thickBot="1" x14ac:dyDescent="0.35">
      <c r="N194" s="28"/>
      <c r="S194" s="18"/>
      <c r="T194" s="29"/>
      <c r="AI194" s="30"/>
      <c r="AJ194" s="31"/>
      <c r="AK194" s="32"/>
      <c r="AL194" s="31"/>
      <c r="AM194" s="31"/>
      <c r="AN194" s="32"/>
      <c r="AO194" s="32"/>
      <c r="AP194" s="33"/>
      <c r="AQ194" s="30"/>
    </row>
    <row r="195" spans="14:43" ht="15" thickBot="1" x14ac:dyDescent="0.35">
      <c r="N195" s="28"/>
      <c r="S195" s="18"/>
      <c r="T195" s="29"/>
      <c r="AI195" s="30"/>
      <c r="AJ195" s="32"/>
      <c r="AK195" s="32"/>
      <c r="AL195" s="32"/>
      <c r="AM195" s="32"/>
      <c r="AN195" s="32"/>
      <c r="AO195" s="32"/>
      <c r="AP195" s="33"/>
      <c r="AQ195" s="30"/>
    </row>
    <row r="196" spans="14:43" ht="15" thickBot="1" x14ac:dyDescent="0.35">
      <c r="N196" s="28"/>
      <c r="S196" s="18"/>
      <c r="T196" s="29"/>
      <c r="AI196" s="30"/>
      <c r="AJ196" s="31"/>
      <c r="AK196" s="32"/>
      <c r="AL196" s="32"/>
      <c r="AM196" s="31"/>
      <c r="AN196" s="32"/>
      <c r="AO196" s="32"/>
      <c r="AP196" s="33"/>
      <c r="AQ196" s="30"/>
    </row>
    <row r="197" spans="14:43" ht="15" thickBot="1" x14ac:dyDescent="0.35">
      <c r="N197" s="28"/>
      <c r="S197" s="18"/>
      <c r="T197" s="29"/>
      <c r="AI197" s="30"/>
      <c r="AJ197" s="31"/>
      <c r="AK197" s="32"/>
      <c r="AL197" s="32"/>
      <c r="AM197" s="32"/>
      <c r="AN197" s="32"/>
      <c r="AO197" s="32"/>
      <c r="AP197" s="33"/>
      <c r="AQ197" s="30"/>
    </row>
    <row r="198" spans="14:43" ht="15" thickBot="1" x14ac:dyDescent="0.35">
      <c r="N198" s="28"/>
      <c r="S198" s="18"/>
      <c r="T198" s="29"/>
      <c r="AI198" s="30"/>
      <c r="AJ198" s="32"/>
      <c r="AK198" s="32"/>
      <c r="AL198" s="32"/>
      <c r="AM198" s="32"/>
      <c r="AN198" s="32"/>
      <c r="AO198" s="32"/>
      <c r="AP198" s="33"/>
      <c r="AQ198" s="30"/>
    </row>
    <row r="199" spans="14:43" ht="15" thickBot="1" x14ac:dyDescent="0.35">
      <c r="N199" s="28"/>
      <c r="S199" s="18"/>
      <c r="T199" s="29"/>
      <c r="AI199" s="30"/>
      <c r="AJ199" s="31"/>
      <c r="AK199" s="32"/>
      <c r="AL199" s="32"/>
      <c r="AM199" s="32"/>
      <c r="AN199" s="32"/>
      <c r="AO199" s="32"/>
      <c r="AP199" s="33"/>
      <c r="AQ199" s="30"/>
    </row>
    <row r="200" spans="14:43" ht="15" thickBot="1" x14ac:dyDescent="0.35">
      <c r="N200" s="28"/>
      <c r="S200" s="18"/>
      <c r="T200" s="29"/>
      <c r="AI200" s="30"/>
      <c r="AJ200" s="31"/>
      <c r="AK200" s="32"/>
      <c r="AL200" s="32"/>
      <c r="AM200" s="32"/>
      <c r="AN200" s="32"/>
      <c r="AO200" s="32"/>
      <c r="AP200" s="33"/>
      <c r="AQ200" s="30"/>
    </row>
    <row r="201" spans="14:43" ht="15" thickBot="1" x14ac:dyDescent="0.35">
      <c r="N201" s="28"/>
      <c r="S201" s="18"/>
      <c r="T201" s="29"/>
      <c r="AI201" s="30"/>
      <c r="AJ201" s="32"/>
      <c r="AK201" s="32"/>
      <c r="AL201" s="32"/>
      <c r="AM201" s="32"/>
      <c r="AN201" s="32"/>
      <c r="AO201" s="32"/>
      <c r="AP201" s="33"/>
      <c r="AQ201" s="30"/>
    </row>
    <row r="202" spans="14:43" ht="15" thickBot="1" x14ac:dyDescent="0.35">
      <c r="N202" s="28"/>
      <c r="S202" s="18"/>
      <c r="T202" s="29"/>
      <c r="AI202" s="30"/>
      <c r="AJ202" s="32"/>
      <c r="AK202" s="32"/>
      <c r="AL202" s="32"/>
      <c r="AM202" s="32"/>
      <c r="AN202" s="32"/>
      <c r="AO202" s="32"/>
      <c r="AP202" s="33"/>
      <c r="AQ202" s="30"/>
    </row>
    <row r="203" spans="14:43" ht="15" thickBot="1" x14ac:dyDescent="0.35">
      <c r="N203" s="28"/>
      <c r="S203" s="18"/>
      <c r="T203" s="29"/>
      <c r="AI203" s="30"/>
      <c r="AJ203" s="32"/>
      <c r="AK203" s="32"/>
      <c r="AL203" s="32"/>
      <c r="AM203" s="32"/>
      <c r="AN203" s="32"/>
      <c r="AO203" s="32"/>
      <c r="AP203" s="33"/>
      <c r="AQ203" s="30"/>
    </row>
    <row r="204" spans="14:43" ht="15" thickBot="1" x14ac:dyDescent="0.35">
      <c r="N204" s="28"/>
      <c r="S204" s="18"/>
      <c r="T204" s="29"/>
      <c r="AI204" s="30"/>
      <c r="AJ204" s="31"/>
      <c r="AK204" s="32"/>
      <c r="AL204" s="32"/>
      <c r="AM204" s="32"/>
      <c r="AN204" s="32"/>
      <c r="AO204" s="32"/>
      <c r="AP204" s="33"/>
      <c r="AQ204" s="30"/>
    </row>
    <row r="205" spans="14:43" ht="15" thickBot="1" x14ac:dyDescent="0.35">
      <c r="N205" s="28"/>
      <c r="S205" s="18"/>
      <c r="T205" s="29"/>
      <c r="AI205" s="30"/>
      <c r="AJ205" s="32"/>
      <c r="AK205" s="32"/>
      <c r="AL205" s="32"/>
      <c r="AM205" s="32"/>
      <c r="AN205" s="32"/>
      <c r="AO205" s="32"/>
      <c r="AP205" s="33"/>
      <c r="AQ205" s="30"/>
    </row>
    <row r="206" spans="14:43" ht="15" thickBot="1" x14ac:dyDescent="0.35">
      <c r="N206" s="28"/>
      <c r="S206" s="18"/>
      <c r="T206" s="29"/>
      <c r="AI206" s="30"/>
      <c r="AJ206" s="32"/>
      <c r="AK206" s="32"/>
      <c r="AL206" s="32"/>
      <c r="AM206" s="32"/>
      <c r="AN206" s="32"/>
      <c r="AO206" s="32"/>
      <c r="AP206" s="33"/>
      <c r="AQ206" s="30"/>
    </row>
    <row r="207" spans="14:43" ht="15" thickBot="1" x14ac:dyDescent="0.35">
      <c r="N207" s="28"/>
      <c r="S207" s="18"/>
      <c r="T207" s="29"/>
      <c r="AI207" s="30"/>
      <c r="AJ207" s="32"/>
      <c r="AK207" s="32"/>
      <c r="AL207" s="32"/>
      <c r="AM207" s="32"/>
      <c r="AN207" s="32"/>
      <c r="AO207" s="32"/>
      <c r="AP207" s="33"/>
      <c r="AQ207" s="30"/>
    </row>
    <row r="208" spans="14:43" ht="15" thickBot="1" x14ac:dyDescent="0.35">
      <c r="N208" s="28"/>
      <c r="S208" s="18"/>
      <c r="T208" s="29"/>
      <c r="AI208" s="30"/>
      <c r="AJ208" s="32"/>
      <c r="AK208" s="32"/>
      <c r="AL208" s="32"/>
      <c r="AM208" s="32"/>
      <c r="AN208" s="32"/>
      <c r="AO208" s="32"/>
      <c r="AP208" s="33"/>
      <c r="AQ208" s="30"/>
    </row>
    <row r="209" spans="14:43" ht="15" thickBot="1" x14ac:dyDescent="0.35">
      <c r="N209" s="28"/>
      <c r="S209" s="18"/>
      <c r="T209" s="29"/>
      <c r="AI209" s="30"/>
      <c r="AJ209" s="32"/>
      <c r="AK209" s="32"/>
      <c r="AL209" s="32"/>
      <c r="AM209" s="32"/>
      <c r="AN209" s="32"/>
      <c r="AO209" s="32"/>
      <c r="AP209" s="33"/>
      <c r="AQ209" s="30"/>
    </row>
    <row r="210" spans="14:43" ht="15" thickBot="1" x14ac:dyDescent="0.35">
      <c r="N210" s="28"/>
      <c r="S210" s="18"/>
      <c r="T210" s="29"/>
      <c r="AI210" s="30"/>
      <c r="AJ210" s="32"/>
      <c r="AK210" s="32"/>
      <c r="AL210" s="32"/>
      <c r="AM210" s="32"/>
      <c r="AN210" s="32"/>
      <c r="AO210" s="32"/>
      <c r="AP210" s="33"/>
      <c r="AQ210" s="30"/>
    </row>
    <row r="211" spans="14:43" ht="15" thickBot="1" x14ac:dyDescent="0.35">
      <c r="N211" s="28"/>
      <c r="S211" s="18"/>
      <c r="T211" s="29"/>
      <c r="AI211" s="30"/>
      <c r="AJ211" s="32"/>
      <c r="AK211" s="32"/>
      <c r="AL211" s="32"/>
      <c r="AM211" s="32"/>
      <c r="AN211" s="32"/>
      <c r="AO211" s="32"/>
      <c r="AP211" s="33"/>
      <c r="AQ211" s="30"/>
    </row>
    <row r="212" spans="14:43" ht="15" thickBot="1" x14ac:dyDescent="0.35">
      <c r="N212" s="28"/>
      <c r="S212" s="18"/>
      <c r="T212" s="29"/>
      <c r="AI212" s="30"/>
      <c r="AJ212" s="32"/>
      <c r="AK212" s="31"/>
      <c r="AL212" s="32"/>
      <c r="AM212" s="32"/>
      <c r="AN212" s="32"/>
      <c r="AO212" s="32"/>
      <c r="AP212" s="33"/>
      <c r="AQ212" s="30"/>
    </row>
    <row r="213" spans="14:43" ht="15" thickBot="1" x14ac:dyDescent="0.35">
      <c r="N213" s="28"/>
      <c r="S213" s="18"/>
      <c r="T213" s="29"/>
      <c r="AI213" s="30"/>
      <c r="AJ213" s="32"/>
      <c r="AK213" s="32"/>
      <c r="AL213" s="32"/>
      <c r="AM213" s="32"/>
      <c r="AN213" s="32"/>
      <c r="AO213" s="32"/>
      <c r="AP213" s="33"/>
      <c r="AQ213" s="30"/>
    </row>
    <row r="214" spans="14:43" ht="15" thickBot="1" x14ac:dyDescent="0.35">
      <c r="N214" s="28"/>
      <c r="S214" s="18"/>
      <c r="T214" s="29"/>
      <c r="AI214" s="30"/>
      <c r="AJ214" s="32"/>
      <c r="AK214" s="32"/>
      <c r="AL214" s="32"/>
      <c r="AM214" s="32"/>
      <c r="AN214" s="32"/>
      <c r="AO214" s="32"/>
      <c r="AP214" s="33"/>
      <c r="AQ214" s="30"/>
    </row>
    <row r="215" spans="14:43" ht="15" thickBot="1" x14ac:dyDescent="0.35">
      <c r="N215" s="28"/>
      <c r="S215" s="18"/>
      <c r="T215" s="29"/>
      <c r="AI215" s="30"/>
      <c r="AJ215" s="32"/>
      <c r="AK215" s="32"/>
      <c r="AL215" s="31"/>
      <c r="AM215" s="32"/>
      <c r="AN215" s="32"/>
      <c r="AO215" s="32"/>
      <c r="AP215" s="33"/>
      <c r="AQ215" s="30"/>
    </row>
    <row r="216" spans="14:43" ht="15" thickBot="1" x14ac:dyDescent="0.35">
      <c r="N216" s="28"/>
      <c r="S216" s="18"/>
      <c r="T216" s="29"/>
      <c r="AI216" s="30"/>
      <c r="AJ216" s="32"/>
      <c r="AK216" s="32"/>
      <c r="AL216" s="32"/>
      <c r="AM216" s="32"/>
      <c r="AN216" s="32"/>
      <c r="AO216" s="32"/>
      <c r="AP216" s="33"/>
      <c r="AQ216" s="30"/>
    </row>
    <row r="217" spans="14:43" ht="15" thickBot="1" x14ac:dyDescent="0.35">
      <c r="N217" s="28"/>
      <c r="S217" s="18"/>
      <c r="T217" s="29"/>
      <c r="AI217" s="30"/>
      <c r="AJ217" s="32"/>
      <c r="AK217" s="32"/>
      <c r="AL217" s="32"/>
      <c r="AM217" s="32"/>
      <c r="AN217" s="32"/>
      <c r="AO217" s="32"/>
      <c r="AP217" s="33"/>
      <c r="AQ217" s="30"/>
    </row>
    <row r="218" spans="14:43" ht="15" thickBot="1" x14ac:dyDescent="0.35">
      <c r="N218" s="28"/>
      <c r="S218" s="18"/>
      <c r="T218" s="29"/>
      <c r="AI218" s="30"/>
      <c r="AJ218" s="32"/>
      <c r="AK218" s="32"/>
      <c r="AL218" s="31"/>
      <c r="AM218" s="32"/>
      <c r="AN218" s="32"/>
      <c r="AO218" s="32"/>
      <c r="AP218" s="33"/>
      <c r="AQ218" s="30"/>
    </row>
    <row r="219" spans="14:43" ht="15" thickBot="1" x14ac:dyDescent="0.35">
      <c r="N219" s="28"/>
      <c r="S219" s="18"/>
      <c r="T219" s="29"/>
      <c r="AI219" s="30"/>
      <c r="AJ219" s="32"/>
      <c r="AK219" s="31"/>
      <c r="AL219" s="32"/>
      <c r="AM219" s="32"/>
      <c r="AN219" s="32"/>
      <c r="AO219" s="32"/>
      <c r="AP219" s="33"/>
      <c r="AQ219" s="30"/>
    </row>
    <row r="220" spans="14:43" ht="15" thickBot="1" x14ac:dyDescent="0.35">
      <c r="N220" s="28"/>
      <c r="S220" s="18"/>
      <c r="T220" s="29"/>
      <c r="AI220" s="30"/>
      <c r="AJ220" s="32"/>
      <c r="AK220" s="31"/>
      <c r="AL220" s="32"/>
      <c r="AM220" s="32"/>
      <c r="AN220" s="32"/>
      <c r="AO220" s="32"/>
      <c r="AP220" s="32"/>
      <c r="AQ220" s="30"/>
    </row>
    <row r="221" spans="14:43" ht="15" thickBot="1" x14ac:dyDescent="0.35">
      <c r="N221" s="28"/>
      <c r="S221" s="18"/>
      <c r="T221" s="29"/>
      <c r="AI221" s="30"/>
      <c r="AJ221" s="32"/>
      <c r="AK221" s="32"/>
      <c r="AL221" s="32"/>
      <c r="AM221" s="32"/>
      <c r="AN221" s="32"/>
      <c r="AO221" s="32"/>
      <c r="AP221" s="33"/>
      <c r="AQ221" s="30"/>
    </row>
    <row r="222" spans="14:43" ht="15" thickBot="1" x14ac:dyDescent="0.35">
      <c r="N222" s="28"/>
      <c r="S222" s="18"/>
      <c r="T222" s="29"/>
      <c r="AI222" s="30"/>
      <c r="AJ222" s="32"/>
      <c r="AK222" s="32"/>
      <c r="AL222" s="32"/>
      <c r="AM222" s="32"/>
      <c r="AN222" s="32"/>
      <c r="AO222" s="32"/>
      <c r="AP222" s="33"/>
      <c r="AQ222" s="30"/>
    </row>
    <row r="223" spans="14:43" ht="15" thickBot="1" x14ac:dyDescent="0.35">
      <c r="N223" s="28"/>
      <c r="S223" s="18"/>
      <c r="T223" s="29"/>
      <c r="AI223" s="30"/>
      <c r="AJ223" s="32"/>
      <c r="AK223" s="32"/>
      <c r="AL223" s="32"/>
      <c r="AM223" s="32"/>
      <c r="AN223" s="32"/>
      <c r="AO223" s="32"/>
      <c r="AP223" s="33"/>
      <c r="AQ223" s="30"/>
    </row>
    <row r="224" spans="14:43" ht="15" thickBot="1" x14ac:dyDescent="0.35">
      <c r="N224" s="28"/>
      <c r="S224" s="18"/>
      <c r="T224" s="29"/>
      <c r="AI224" s="30"/>
      <c r="AJ224" s="32"/>
      <c r="AK224" s="32"/>
      <c r="AL224" s="32"/>
      <c r="AM224" s="32"/>
      <c r="AN224" s="32"/>
      <c r="AO224" s="32"/>
      <c r="AP224" s="33"/>
      <c r="AQ224" s="30"/>
    </row>
    <row r="225" spans="14:43" ht="15" thickBot="1" x14ac:dyDescent="0.35">
      <c r="N225" s="28"/>
      <c r="S225" s="18"/>
      <c r="T225" s="29"/>
      <c r="AI225" s="30"/>
      <c r="AJ225" s="32"/>
      <c r="AK225" s="31"/>
      <c r="AL225" s="32"/>
      <c r="AM225" s="32"/>
      <c r="AN225" s="32"/>
      <c r="AO225" s="32"/>
      <c r="AP225" s="32"/>
      <c r="AQ225" s="30"/>
    </row>
    <row r="226" spans="14:43" ht="15" thickBot="1" x14ac:dyDescent="0.35">
      <c r="N226" s="28"/>
      <c r="S226" s="18"/>
      <c r="T226" s="29"/>
      <c r="AI226" s="30"/>
      <c r="AJ226" s="32"/>
      <c r="AK226" s="32"/>
      <c r="AL226" s="32"/>
      <c r="AM226" s="32"/>
      <c r="AN226" s="32"/>
      <c r="AO226" s="32"/>
      <c r="AP226" s="33"/>
      <c r="AQ226" s="30"/>
    </row>
    <row r="227" spans="14:43" ht="15" thickBot="1" x14ac:dyDescent="0.35">
      <c r="N227" s="28"/>
      <c r="S227" s="18"/>
      <c r="T227" s="29"/>
      <c r="AI227" s="30"/>
      <c r="AJ227" s="32"/>
      <c r="AK227" s="32"/>
      <c r="AL227" s="32"/>
      <c r="AM227" s="32"/>
      <c r="AN227" s="32"/>
      <c r="AO227" s="32"/>
      <c r="AP227" s="33"/>
      <c r="AQ227" s="30"/>
    </row>
    <row r="228" spans="14:43" ht="15" thickBot="1" x14ac:dyDescent="0.35">
      <c r="N228" s="28"/>
      <c r="S228" s="18"/>
      <c r="T228" s="29"/>
      <c r="AI228" s="30"/>
      <c r="AJ228" s="32"/>
      <c r="AK228" s="32"/>
      <c r="AL228" s="32"/>
      <c r="AM228" s="32"/>
      <c r="AN228" s="32"/>
      <c r="AO228" s="32"/>
      <c r="AP228" s="32"/>
      <c r="AQ228" s="30"/>
    </row>
    <row r="229" spans="14:43" ht="15" thickBot="1" x14ac:dyDescent="0.35">
      <c r="N229" s="28"/>
      <c r="S229" s="18"/>
      <c r="T229" s="29"/>
      <c r="AI229" s="30"/>
      <c r="AJ229" s="32"/>
      <c r="AK229" s="32"/>
      <c r="AL229" s="32"/>
      <c r="AM229" s="32"/>
      <c r="AN229" s="32"/>
      <c r="AO229" s="32"/>
      <c r="AP229" s="33"/>
      <c r="AQ229" s="30"/>
    </row>
    <row r="230" spans="14:43" ht="15" thickBot="1" x14ac:dyDescent="0.35">
      <c r="N230" s="28"/>
      <c r="S230" s="18"/>
      <c r="T230" s="29"/>
      <c r="AI230" s="30"/>
      <c r="AJ230" s="32"/>
      <c r="AK230" s="32"/>
      <c r="AL230" s="32"/>
      <c r="AM230" s="32"/>
      <c r="AN230" s="32"/>
      <c r="AO230" s="32"/>
      <c r="AP230" s="32"/>
      <c r="AQ230" s="30"/>
    </row>
    <row r="231" spans="14:43" ht="15" thickBot="1" x14ac:dyDescent="0.35">
      <c r="N231" s="28"/>
      <c r="S231" s="18"/>
      <c r="T231" s="29"/>
      <c r="AI231" s="30"/>
      <c r="AJ231" s="32"/>
      <c r="AK231" s="32"/>
      <c r="AL231" s="32"/>
      <c r="AM231" s="32"/>
      <c r="AN231" s="32"/>
      <c r="AO231" s="32"/>
      <c r="AP231" s="33"/>
      <c r="AQ231" s="30"/>
    </row>
    <row r="232" spans="14:43" ht="15" thickBot="1" x14ac:dyDescent="0.35">
      <c r="N232" s="28"/>
      <c r="S232" s="18"/>
      <c r="T232" s="29"/>
      <c r="AI232" s="30"/>
      <c r="AJ232" s="32"/>
      <c r="AK232" s="32"/>
      <c r="AL232" s="32"/>
      <c r="AM232" s="32"/>
      <c r="AN232" s="32"/>
      <c r="AO232" s="32"/>
      <c r="AP232" s="33"/>
      <c r="AQ232" s="30"/>
    </row>
    <row r="233" spans="14:43" ht="15" thickBot="1" x14ac:dyDescent="0.35">
      <c r="N233" s="28"/>
      <c r="S233" s="18"/>
      <c r="T233" s="29"/>
      <c r="AI233" s="30"/>
      <c r="AJ233" s="32"/>
      <c r="AK233" s="32"/>
      <c r="AL233" s="32"/>
      <c r="AM233" s="32"/>
      <c r="AN233" s="32"/>
      <c r="AO233" s="32"/>
      <c r="AP233" s="32"/>
      <c r="AQ233" s="30"/>
    </row>
    <row r="234" spans="14:43" ht="15" thickBot="1" x14ac:dyDescent="0.35">
      <c r="N234" s="28"/>
      <c r="S234" s="18"/>
      <c r="T234" s="29"/>
      <c r="AI234" s="30"/>
      <c r="AJ234" s="32"/>
      <c r="AK234" s="32"/>
      <c r="AL234" s="32"/>
      <c r="AM234" s="32"/>
      <c r="AN234" s="32"/>
      <c r="AO234" s="32"/>
      <c r="AP234" s="33"/>
      <c r="AQ234" s="30"/>
    </row>
    <row r="235" spans="14:43" ht="15" thickBot="1" x14ac:dyDescent="0.35">
      <c r="N235" s="28"/>
      <c r="S235" s="18"/>
      <c r="T235" s="29"/>
      <c r="AI235" s="30"/>
      <c r="AJ235" s="32"/>
      <c r="AK235" s="32"/>
      <c r="AL235" s="32"/>
      <c r="AM235" s="32"/>
      <c r="AN235" s="32"/>
      <c r="AO235" s="32"/>
      <c r="AP235" s="33"/>
      <c r="AQ235" s="30"/>
    </row>
    <row r="236" spans="14:43" ht="15" thickBot="1" x14ac:dyDescent="0.35">
      <c r="N236" s="28"/>
      <c r="S236" s="18"/>
      <c r="T236" s="29"/>
      <c r="AI236" s="30"/>
      <c r="AJ236" s="32"/>
      <c r="AK236" s="32"/>
      <c r="AL236" s="32"/>
      <c r="AM236" s="32"/>
      <c r="AN236" s="32"/>
      <c r="AO236" s="32"/>
      <c r="AP236" s="33"/>
      <c r="AQ236" s="30"/>
    </row>
    <row r="237" spans="14:43" ht="15" thickBot="1" x14ac:dyDescent="0.35">
      <c r="N237" s="28"/>
      <c r="S237" s="18"/>
      <c r="T237" s="29"/>
      <c r="AI237" s="30"/>
      <c r="AJ237" s="32"/>
      <c r="AK237" s="32"/>
      <c r="AL237" s="32"/>
      <c r="AM237" s="32"/>
      <c r="AN237" s="32"/>
      <c r="AO237" s="32"/>
      <c r="AP237" s="33"/>
      <c r="AQ237" s="30"/>
    </row>
    <row r="238" spans="14:43" ht="15" thickBot="1" x14ac:dyDescent="0.35">
      <c r="N238" s="28"/>
      <c r="S238" s="18"/>
      <c r="T238" s="29"/>
      <c r="AI238" s="30"/>
      <c r="AJ238" s="32"/>
      <c r="AK238" s="32"/>
      <c r="AL238" s="31"/>
      <c r="AM238" s="32"/>
      <c r="AN238" s="32"/>
      <c r="AO238" s="32"/>
      <c r="AP238" s="33"/>
      <c r="AQ238" s="30"/>
    </row>
    <row r="239" spans="14:43" ht="15" thickBot="1" x14ac:dyDescent="0.35">
      <c r="N239" s="28"/>
      <c r="S239" s="18"/>
      <c r="T239" s="29"/>
      <c r="AI239" s="30"/>
      <c r="AJ239" s="32"/>
      <c r="AK239" s="32"/>
      <c r="AL239" s="32"/>
      <c r="AM239" s="32"/>
      <c r="AN239" s="32"/>
      <c r="AO239" s="32"/>
      <c r="AP239" s="33"/>
      <c r="AQ239" s="30"/>
    </row>
    <row r="240" spans="14:43" ht="15" thickBot="1" x14ac:dyDescent="0.35">
      <c r="N240" s="28"/>
      <c r="S240" s="18"/>
      <c r="T240" s="29"/>
      <c r="AI240" s="30"/>
      <c r="AJ240" s="32"/>
      <c r="AK240" s="32"/>
      <c r="AL240" s="32"/>
      <c r="AM240" s="32"/>
      <c r="AN240" s="32"/>
      <c r="AO240" s="32"/>
      <c r="AP240" s="33"/>
      <c r="AQ240" s="30"/>
    </row>
    <row r="241" spans="14:43" ht="15" thickBot="1" x14ac:dyDescent="0.35">
      <c r="N241" s="34"/>
      <c r="S241" s="18"/>
      <c r="T241" s="35"/>
      <c r="AI241" s="36"/>
      <c r="AJ241" s="37"/>
      <c r="AK241" s="38"/>
      <c r="AL241" s="37"/>
      <c r="AM241" s="37"/>
      <c r="AN241" s="37"/>
      <c r="AO241" s="37"/>
      <c r="AP241" s="37"/>
      <c r="AQ241" s="36"/>
    </row>
  </sheetData>
  <pageMargins left="0.7" right="0.7" top="0.75" bottom="0.75" header="0.3" footer="0.3"/>
  <pageSetup orientation="portrait" horizontalDpi="360" verticalDpi="360" r:id="rId1"/>
  <ignoredErrors>
    <ignoredError sqref="BW5:BZ5" evalError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FFC000"/>
  </sheetPr>
  <dimension ref="A1:KU200"/>
  <sheetViews>
    <sheetView zoomScale="94" workbookViewId="0"/>
  </sheetViews>
  <sheetFormatPr defaultRowHeight="12" x14ac:dyDescent="0.25"/>
  <cols>
    <col min="1" max="1" width="3.33203125" style="9" bestFit="1" customWidth="1"/>
    <col min="2" max="2" width="6.77734375" style="9" bestFit="1" customWidth="1"/>
    <col min="3" max="3" width="17.33203125" style="9" bestFit="1" customWidth="1"/>
    <col min="4" max="6" width="12.33203125" style="10" bestFit="1" customWidth="1"/>
    <col min="7" max="7" width="6.109375" style="12" bestFit="1" customWidth="1"/>
    <col min="8" max="8" width="17.33203125" style="13" bestFit="1" customWidth="1"/>
    <col min="9" max="9" width="4" style="9" bestFit="1" customWidth="1"/>
    <col min="10" max="14" width="4.21875" style="9" bestFit="1" customWidth="1"/>
    <col min="15" max="20" width="5.5546875" style="9" bestFit="1" customWidth="1"/>
    <col min="21" max="26" width="6.33203125" style="9" bestFit="1" customWidth="1"/>
    <col min="27" max="31" width="7.21875" style="9" bestFit="1" customWidth="1"/>
    <col min="32" max="37" width="8.5546875" style="9" bestFit="1" customWidth="1"/>
    <col min="38" max="43" width="9.33203125" style="9" bestFit="1" customWidth="1"/>
    <col min="44" max="48" width="10.109375" style="9" bestFit="1" customWidth="1"/>
    <col min="49" max="54" width="11.44140625" style="9" bestFit="1" customWidth="1"/>
    <col min="55" max="60" width="12.33203125" style="9" bestFit="1" customWidth="1"/>
    <col min="61" max="65" width="5" style="9" bestFit="1" customWidth="1"/>
    <col min="66" max="99" width="4.88671875" style="9" bestFit="1" customWidth="1"/>
    <col min="100" max="16384" width="8.88671875" style="9"/>
  </cols>
  <sheetData>
    <row r="1" spans="1:307" x14ac:dyDescent="0.25">
      <c r="F1" s="11">
        <f>Projections_Data!C10</f>
        <v>5</v>
      </c>
      <c r="I1" s="14">
        <v>0</v>
      </c>
      <c r="J1" s="14">
        <f>I1+1</f>
        <v>1</v>
      </c>
      <c r="K1" s="14">
        <f t="shared" ref="K1:BH1" si="0">J1+1</f>
        <v>2</v>
      </c>
      <c r="L1" s="14">
        <f t="shared" si="0"/>
        <v>3</v>
      </c>
      <c r="M1" s="14">
        <f t="shared" si="0"/>
        <v>4</v>
      </c>
      <c r="N1" s="14">
        <f t="shared" si="0"/>
        <v>5</v>
      </c>
      <c r="O1" s="14">
        <f t="shared" si="0"/>
        <v>6</v>
      </c>
      <c r="P1" s="14">
        <f t="shared" si="0"/>
        <v>7</v>
      </c>
      <c r="Q1" s="14">
        <f t="shared" si="0"/>
        <v>8</v>
      </c>
      <c r="R1" s="14">
        <f t="shared" si="0"/>
        <v>9</v>
      </c>
      <c r="S1" s="14">
        <f t="shared" si="0"/>
        <v>10</v>
      </c>
      <c r="T1" s="14">
        <f t="shared" si="0"/>
        <v>11</v>
      </c>
      <c r="U1" s="14">
        <f t="shared" si="0"/>
        <v>12</v>
      </c>
      <c r="V1" s="14">
        <f t="shared" si="0"/>
        <v>13</v>
      </c>
      <c r="W1" s="14">
        <f t="shared" si="0"/>
        <v>14</v>
      </c>
      <c r="X1" s="14">
        <f t="shared" si="0"/>
        <v>15</v>
      </c>
      <c r="Y1" s="14">
        <f t="shared" si="0"/>
        <v>16</v>
      </c>
      <c r="Z1" s="14">
        <f t="shared" si="0"/>
        <v>17</v>
      </c>
      <c r="AA1" s="14">
        <f t="shared" si="0"/>
        <v>18</v>
      </c>
      <c r="AB1" s="14">
        <f t="shared" si="0"/>
        <v>19</v>
      </c>
      <c r="AC1" s="14">
        <f t="shared" si="0"/>
        <v>20</v>
      </c>
      <c r="AD1" s="14">
        <f t="shared" si="0"/>
        <v>21</v>
      </c>
      <c r="AE1" s="14">
        <f t="shared" si="0"/>
        <v>22</v>
      </c>
      <c r="AF1" s="14">
        <f t="shared" si="0"/>
        <v>23</v>
      </c>
      <c r="AG1" s="14">
        <f t="shared" si="0"/>
        <v>24</v>
      </c>
      <c r="AH1" s="14">
        <f t="shared" si="0"/>
        <v>25</v>
      </c>
      <c r="AI1" s="14">
        <f t="shared" si="0"/>
        <v>26</v>
      </c>
      <c r="AJ1" s="14">
        <f t="shared" si="0"/>
        <v>27</v>
      </c>
      <c r="AK1" s="14">
        <f t="shared" si="0"/>
        <v>28</v>
      </c>
      <c r="AL1" s="14">
        <f t="shared" si="0"/>
        <v>29</v>
      </c>
      <c r="AM1" s="14">
        <f t="shared" si="0"/>
        <v>30</v>
      </c>
      <c r="AN1" s="14">
        <f t="shared" si="0"/>
        <v>31</v>
      </c>
      <c r="AO1" s="14">
        <f t="shared" si="0"/>
        <v>32</v>
      </c>
      <c r="AP1" s="14">
        <f t="shared" si="0"/>
        <v>33</v>
      </c>
      <c r="AQ1" s="14">
        <f t="shared" si="0"/>
        <v>34</v>
      </c>
      <c r="AR1" s="14">
        <f t="shared" si="0"/>
        <v>35</v>
      </c>
      <c r="AS1" s="14">
        <f t="shared" si="0"/>
        <v>36</v>
      </c>
      <c r="AT1" s="14">
        <f t="shared" si="0"/>
        <v>37</v>
      </c>
      <c r="AU1" s="14">
        <f t="shared" si="0"/>
        <v>38</v>
      </c>
      <c r="AV1" s="14">
        <f t="shared" si="0"/>
        <v>39</v>
      </c>
      <c r="AW1" s="14">
        <f t="shared" si="0"/>
        <v>40</v>
      </c>
      <c r="AX1" s="14">
        <f t="shared" si="0"/>
        <v>41</v>
      </c>
      <c r="AY1" s="14">
        <f t="shared" si="0"/>
        <v>42</v>
      </c>
      <c r="AZ1" s="14">
        <f t="shared" si="0"/>
        <v>43</v>
      </c>
      <c r="BA1" s="14">
        <f t="shared" si="0"/>
        <v>44</v>
      </c>
      <c r="BB1" s="14">
        <f t="shared" si="0"/>
        <v>45</v>
      </c>
      <c r="BC1" s="14">
        <f t="shared" si="0"/>
        <v>46</v>
      </c>
      <c r="BD1" s="14">
        <f t="shared" si="0"/>
        <v>47</v>
      </c>
      <c r="BE1" s="14">
        <f t="shared" si="0"/>
        <v>48</v>
      </c>
      <c r="BF1" s="14">
        <f t="shared" si="0"/>
        <v>49</v>
      </c>
      <c r="BG1" s="14">
        <f t="shared" si="0"/>
        <v>50</v>
      </c>
      <c r="BH1" s="14">
        <f t="shared" si="0"/>
        <v>51</v>
      </c>
      <c r="BI1" s="14">
        <f t="shared" ref="BI1:DT1" si="1">BH1+1</f>
        <v>52</v>
      </c>
      <c r="BJ1" s="14">
        <f t="shared" si="1"/>
        <v>53</v>
      </c>
      <c r="BK1" s="14">
        <f t="shared" si="1"/>
        <v>54</v>
      </c>
      <c r="BL1" s="14">
        <f t="shared" si="1"/>
        <v>55</v>
      </c>
      <c r="BM1" s="14">
        <f t="shared" si="1"/>
        <v>56</v>
      </c>
      <c r="BN1" s="14">
        <f t="shared" si="1"/>
        <v>57</v>
      </c>
      <c r="BO1" s="14">
        <f t="shared" si="1"/>
        <v>58</v>
      </c>
      <c r="BP1" s="14">
        <f t="shared" si="1"/>
        <v>59</v>
      </c>
      <c r="BQ1" s="14">
        <f t="shared" si="1"/>
        <v>60</v>
      </c>
      <c r="BR1" s="14">
        <f t="shared" si="1"/>
        <v>61</v>
      </c>
      <c r="BS1" s="14">
        <f t="shared" si="1"/>
        <v>62</v>
      </c>
      <c r="BT1" s="14">
        <f t="shared" si="1"/>
        <v>63</v>
      </c>
      <c r="BU1" s="14">
        <f t="shared" si="1"/>
        <v>64</v>
      </c>
      <c r="BV1" s="14">
        <f t="shared" si="1"/>
        <v>65</v>
      </c>
      <c r="BW1" s="14">
        <f t="shared" si="1"/>
        <v>66</v>
      </c>
      <c r="BX1" s="14">
        <f t="shared" si="1"/>
        <v>67</v>
      </c>
      <c r="BY1" s="14">
        <f t="shared" si="1"/>
        <v>68</v>
      </c>
      <c r="BZ1" s="14">
        <f t="shared" si="1"/>
        <v>69</v>
      </c>
      <c r="CA1" s="14">
        <f t="shared" si="1"/>
        <v>70</v>
      </c>
      <c r="CB1" s="14">
        <f t="shared" si="1"/>
        <v>71</v>
      </c>
      <c r="CC1" s="14">
        <f t="shared" si="1"/>
        <v>72</v>
      </c>
      <c r="CD1" s="14">
        <f t="shared" si="1"/>
        <v>73</v>
      </c>
      <c r="CE1" s="14">
        <f t="shared" si="1"/>
        <v>74</v>
      </c>
      <c r="CF1" s="14">
        <f t="shared" si="1"/>
        <v>75</v>
      </c>
      <c r="CG1" s="14">
        <f t="shared" si="1"/>
        <v>76</v>
      </c>
      <c r="CH1" s="14">
        <f t="shared" si="1"/>
        <v>77</v>
      </c>
      <c r="CI1" s="14">
        <f t="shared" si="1"/>
        <v>78</v>
      </c>
      <c r="CJ1" s="14">
        <f t="shared" si="1"/>
        <v>79</v>
      </c>
      <c r="CK1" s="14">
        <f t="shared" si="1"/>
        <v>80</v>
      </c>
      <c r="CL1" s="14">
        <f t="shared" si="1"/>
        <v>81</v>
      </c>
      <c r="CM1" s="14">
        <f t="shared" si="1"/>
        <v>82</v>
      </c>
      <c r="CN1" s="14">
        <f t="shared" si="1"/>
        <v>83</v>
      </c>
      <c r="CO1" s="14">
        <f t="shared" si="1"/>
        <v>84</v>
      </c>
      <c r="CP1" s="14">
        <f t="shared" si="1"/>
        <v>85</v>
      </c>
      <c r="CQ1" s="14">
        <f t="shared" si="1"/>
        <v>86</v>
      </c>
      <c r="CR1" s="14">
        <f t="shared" si="1"/>
        <v>87</v>
      </c>
      <c r="CS1" s="14">
        <f t="shared" si="1"/>
        <v>88</v>
      </c>
      <c r="CT1" s="14">
        <f t="shared" si="1"/>
        <v>89</v>
      </c>
      <c r="CU1" s="14">
        <f t="shared" si="1"/>
        <v>90</v>
      </c>
      <c r="CV1" s="14">
        <f t="shared" si="1"/>
        <v>91</v>
      </c>
      <c r="CW1" s="14">
        <f t="shared" si="1"/>
        <v>92</v>
      </c>
      <c r="CX1" s="14">
        <f t="shared" si="1"/>
        <v>93</v>
      </c>
      <c r="CY1" s="14">
        <f t="shared" si="1"/>
        <v>94</v>
      </c>
      <c r="CZ1" s="14">
        <f t="shared" si="1"/>
        <v>95</v>
      </c>
      <c r="DA1" s="14">
        <f t="shared" si="1"/>
        <v>96</v>
      </c>
      <c r="DB1" s="14">
        <f t="shared" si="1"/>
        <v>97</v>
      </c>
      <c r="DC1" s="14">
        <f t="shared" si="1"/>
        <v>98</v>
      </c>
      <c r="DD1" s="14">
        <f t="shared" si="1"/>
        <v>99</v>
      </c>
      <c r="DE1" s="14">
        <f t="shared" si="1"/>
        <v>100</v>
      </c>
      <c r="DF1" s="14">
        <f t="shared" si="1"/>
        <v>101</v>
      </c>
      <c r="DG1" s="14">
        <f t="shared" si="1"/>
        <v>102</v>
      </c>
      <c r="DH1" s="14">
        <f t="shared" si="1"/>
        <v>103</v>
      </c>
      <c r="DI1" s="14">
        <f t="shared" si="1"/>
        <v>104</v>
      </c>
      <c r="DJ1" s="14">
        <f t="shared" si="1"/>
        <v>105</v>
      </c>
      <c r="DK1" s="14">
        <f t="shared" si="1"/>
        <v>106</v>
      </c>
      <c r="DL1" s="14">
        <f t="shared" si="1"/>
        <v>107</v>
      </c>
      <c r="DM1" s="14">
        <f t="shared" si="1"/>
        <v>108</v>
      </c>
      <c r="DN1" s="14">
        <f t="shared" si="1"/>
        <v>109</v>
      </c>
      <c r="DO1" s="14">
        <f t="shared" si="1"/>
        <v>110</v>
      </c>
      <c r="DP1" s="14">
        <f t="shared" si="1"/>
        <v>111</v>
      </c>
      <c r="DQ1" s="14">
        <f t="shared" si="1"/>
        <v>112</v>
      </c>
      <c r="DR1" s="14">
        <f t="shared" si="1"/>
        <v>113</v>
      </c>
      <c r="DS1" s="14">
        <f t="shared" si="1"/>
        <v>114</v>
      </c>
      <c r="DT1" s="14">
        <f t="shared" si="1"/>
        <v>115</v>
      </c>
      <c r="DU1" s="14">
        <f t="shared" ref="DU1:GF1" si="2">DT1+1</f>
        <v>116</v>
      </c>
      <c r="DV1" s="14">
        <f t="shared" si="2"/>
        <v>117</v>
      </c>
      <c r="DW1" s="14">
        <f t="shared" si="2"/>
        <v>118</v>
      </c>
      <c r="DX1" s="14">
        <f t="shared" si="2"/>
        <v>119</v>
      </c>
      <c r="DY1" s="14">
        <f t="shared" si="2"/>
        <v>120</v>
      </c>
      <c r="DZ1" s="14">
        <f t="shared" si="2"/>
        <v>121</v>
      </c>
      <c r="EA1" s="14">
        <f t="shared" si="2"/>
        <v>122</v>
      </c>
      <c r="EB1" s="14">
        <f t="shared" si="2"/>
        <v>123</v>
      </c>
      <c r="EC1" s="14">
        <f t="shared" si="2"/>
        <v>124</v>
      </c>
      <c r="ED1" s="14">
        <f t="shared" si="2"/>
        <v>125</v>
      </c>
      <c r="EE1" s="14">
        <f t="shared" si="2"/>
        <v>126</v>
      </c>
      <c r="EF1" s="14">
        <f t="shared" si="2"/>
        <v>127</v>
      </c>
      <c r="EG1" s="14">
        <f t="shared" si="2"/>
        <v>128</v>
      </c>
      <c r="EH1" s="14">
        <f t="shared" si="2"/>
        <v>129</v>
      </c>
      <c r="EI1" s="14">
        <f t="shared" si="2"/>
        <v>130</v>
      </c>
      <c r="EJ1" s="14">
        <f t="shared" si="2"/>
        <v>131</v>
      </c>
      <c r="EK1" s="14">
        <f t="shared" si="2"/>
        <v>132</v>
      </c>
      <c r="EL1" s="14">
        <f t="shared" si="2"/>
        <v>133</v>
      </c>
      <c r="EM1" s="14">
        <f t="shared" si="2"/>
        <v>134</v>
      </c>
      <c r="EN1" s="14">
        <f t="shared" si="2"/>
        <v>135</v>
      </c>
      <c r="EO1" s="14">
        <f t="shared" si="2"/>
        <v>136</v>
      </c>
      <c r="EP1" s="14">
        <f t="shared" si="2"/>
        <v>137</v>
      </c>
      <c r="EQ1" s="14">
        <f t="shared" si="2"/>
        <v>138</v>
      </c>
      <c r="ER1" s="14">
        <f t="shared" si="2"/>
        <v>139</v>
      </c>
      <c r="ES1" s="14">
        <f t="shared" si="2"/>
        <v>140</v>
      </c>
      <c r="ET1" s="14">
        <f t="shared" si="2"/>
        <v>141</v>
      </c>
      <c r="EU1" s="14">
        <f t="shared" si="2"/>
        <v>142</v>
      </c>
      <c r="EV1" s="14">
        <f t="shared" si="2"/>
        <v>143</v>
      </c>
      <c r="EW1" s="14">
        <f t="shared" si="2"/>
        <v>144</v>
      </c>
      <c r="EX1" s="14">
        <f t="shared" si="2"/>
        <v>145</v>
      </c>
      <c r="EY1" s="14">
        <f t="shared" si="2"/>
        <v>146</v>
      </c>
      <c r="EZ1" s="14">
        <f t="shared" si="2"/>
        <v>147</v>
      </c>
      <c r="FA1" s="14">
        <f t="shared" si="2"/>
        <v>148</v>
      </c>
      <c r="FB1" s="14">
        <f t="shared" si="2"/>
        <v>149</v>
      </c>
      <c r="FC1" s="14">
        <f t="shared" si="2"/>
        <v>150</v>
      </c>
      <c r="FD1" s="14">
        <f t="shared" si="2"/>
        <v>151</v>
      </c>
      <c r="FE1" s="14">
        <f t="shared" si="2"/>
        <v>152</v>
      </c>
      <c r="FF1" s="14">
        <f t="shared" si="2"/>
        <v>153</v>
      </c>
      <c r="FG1" s="14">
        <f t="shared" si="2"/>
        <v>154</v>
      </c>
      <c r="FH1" s="14">
        <f t="shared" si="2"/>
        <v>155</v>
      </c>
      <c r="FI1" s="14">
        <f t="shared" si="2"/>
        <v>156</v>
      </c>
      <c r="FJ1" s="14">
        <f t="shared" si="2"/>
        <v>157</v>
      </c>
      <c r="FK1" s="14">
        <f t="shared" si="2"/>
        <v>158</v>
      </c>
      <c r="FL1" s="14">
        <f t="shared" si="2"/>
        <v>159</v>
      </c>
      <c r="FM1" s="14">
        <f t="shared" si="2"/>
        <v>160</v>
      </c>
      <c r="FN1" s="14">
        <f t="shared" si="2"/>
        <v>161</v>
      </c>
      <c r="FO1" s="14">
        <f t="shared" si="2"/>
        <v>162</v>
      </c>
      <c r="FP1" s="14">
        <f t="shared" si="2"/>
        <v>163</v>
      </c>
      <c r="FQ1" s="14">
        <f t="shared" si="2"/>
        <v>164</v>
      </c>
      <c r="FR1" s="14">
        <f t="shared" si="2"/>
        <v>165</v>
      </c>
      <c r="FS1" s="14">
        <f t="shared" si="2"/>
        <v>166</v>
      </c>
      <c r="FT1" s="14">
        <f t="shared" si="2"/>
        <v>167</v>
      </c>
      <c r="FU1" s="14">
        <f t="shared" si="2"/>
        <v>168</v>
      </c>
      <c r="FV1" s="14">
        <f t="shared" si="2"/>
        <v>169</v>
      </c>
      <c r="FW1" s="14">
        <f t="shared" si="2"/>
        <v>170</v>
      </c>
      <c r="FX1" s="14">
        <f t="shared" si="2"/>
        <v>171</v>
      </c>
      <c r="FY1" s="14">
        <f t="shared" si="2"/>
        <v>172</v>
      </c>
      <c r="FZ1" s="14">
        <f t="shared" si="2"/>
        <v>173</v>
      </c>
      <c r="GA1" s="14">
        <f t="shared" si="2"/>
        <v>174</v>
      </c>
      <c r="GB1" s="14">
        <f t="shared" si="2"/>
        <v>175</v>
      </c>
      <c r="GC1" s="14">
        <f t="shared" si="2"/>
        <v>176</v>
      </c>
      <c r="GD1" s="14">
        <f t="shared" si="2"/>
        <v>177</v>
      </c>
      <c r="GE1" s="14">
        <f t="shared" si="2"/>
        <v>178</v>
      </c>
      <c r="GF1" s="14">
        <f t="shared" si="2"/>
        <v>179</v>
      </c>
      <c r="GG1" s="14">
        <f t="shared" ref="GG1:IR1" si="3">GF1+1</f>
        <v>180</v>
      </c>
      <c r="GH1" s="14">
        <f t="shared" si="3"/>
        <v>181</v>
      </c>
      <c r="GI1" s="14">
        <f t="shared" si="3"/>
        <v>182</v>
      </c>
      <c r="GJ1" s="14">
        <f t="shared" si="3"/>
        <v>183</v>
      </c>
      <c r="GK1" s="14">
        <f t="shared" si="3"/>
        <v>184</v>
      </c>
      <c r="GL1" s="14">
        <f t="shared" si="3"/>
        <v>185</v>
      </c>
      <c r="GM1" s="14">
        <f t="shared" si="3"/>
        <v>186</v>
      </c>
      <c r="GN1" s="14">
        <f t="shared" si="3"/>
        <v>187</v>
      </c>
      <c r="GO1" s="14">
        <f t="shared" si="3"/>
        <v>188</v>
      </c>
      <c r="GP1" s="14">
        <f t="shared" si="3"/>
        <v>189</v>
      </c>
      <c r="GQ1" s="14">
        <f t="shared" si="3"/>
        <v>190</v>
      </c>
      <c r="GR1" s="14">
        <f t="shared" si="3"/>
        <v>191</v>
      </c>
      <c r="GS1" s="14">
        <f t="shared" si="3"/>
        <v>192</v>
      </c>
      <c r="GT1" s="14">
        <f t="shared" si="3"/>
        <v>193</v>
      </c>
      <c r="GU1" s="14">
        <f t="shared" si="3"/>
        <v>194</v>
      </c>
      <c r="GV1" s="14">
        <f t="shared" si="3"/>
        <v>195</v>
      </c>
      <c r="GW1" s="14">
        <f t="shared" si="3"/>
        <v>196</v>
      </c>
      <c r="GX1" s="14">
        <f t="shared" si="3"/>
        <v>197</v>
      </c>
      <c r="GY1" s="14">
        <f t="shared" si="3"/>
        <v>198</v>
      </c>
      <c r="GZ1" s="14">
        <f t="shared" si="3"/>
        <v>199</v>
      </c>
      <c r="HA1" s="14">
        <f t="shared" si="3"/>
        <v>200</v>
      </c>
      <c r="HB1" s="14">
        <f t="shared" si="3"/>
        <v>201</v>
      </c>
      <c r="HC1" s="14">
        <f t="shared" si="3"/>
        <v>202</v>
      </c>
      <c r="HD1" s="14">
        <f t="shared" si="3"/>
        <v>203</v>
      </c>
      <c r="HE1" s="14">
        <f t="shared" si="3"/>
        <v>204</v>
      </c>
      <c r="HF1" s="14">
        <f t="shared" si="3"/>
        <v>205</v>
      </c>
      <c r="HG1" s="14">
        <f t="shared" si="3"/>
        <v>206</v>
      </c>
      <c r="HH1" s="14">
        <f t="shared" si="3"/>
        <v>207</v>
      </c>
      <c r="HI1" s="14">
        <f t="shared" si="3"/>
        <v>208</v>
      </c>
      <c r="HJ1" s="14">
        <f t="shared" si="3"/>
        <v>209</v>
      </c>
      <c r="HK1" s="14">
        <f t="shared" si="3"/>
        <v>210</v>
      </c>
      <c r="HL1" s="14">
        <f t="shared" si="3"/>
        <v>211</v>
      </c>
      <c r="HM1" s="14">
        <f t="shared" si="3"/>
        <v>212</v>
      </c>
      <c r="HN1" s="14">
        <f t="shared" si="3"/>
        <v>213</v>
      </c>
      <c r="HO1" s="14">
        <f t="shared" si="3"/>
        <v>214</v>
      </c>
      <c r="HP1" s="14">
        <f t="shared" si="3"/>
        <v>215</v>
      </c>
      <c r="HQ1" s="14">
        <f t="shared" si="3"/>
        <v>216</v>
      </c>
      <c r="HR1" s="14">
        <f t="shared" si="3"/>
        <v>217</v>
      </c>
      <c r="HS1" s="14">
        <f t="shared" si="3"/>
        <v>218</v>
      </c>
      <c r="HT1" s="14">
        <f t="shared" si="3"/>
        <v>219</v>
      </c>
      <c r="HU1" s="14">
        <f t="shared" si="3"/>
        <v>220</v>
      </c>
      <c r="HV1" s="14">
        <f t="shared" si="3"/>
        <v>221</v>
      </c>
      <c r="HW1" s="14">
        <f t="shared" si="3"/>
        <v>222</v>
      </c>
      <c r="HX1" s="14">
        <f t="shared" si="3"/>
        <v>223</v>
      </c>
      <c r="HY1" s="14">
        <f t="shared" si="3"/>
        <v>224</v>
      </c>
      <c r="HZ1" s="14">
        <f t="shared" si="3"/>
        <v>225</v>
      </c>
      <c r="IA1" s="14">
        <f t="shared" si="3"/>
        <v>226</v>
      </c>
      <c r="IB1" s="14">
        <f t="shared" si="3"/>
        <v>227</v>
      </c>
      <c r="IC1" s="14">
        <f t="shared" si="3"/>
        <v>228</v>
      </c>
      <c r="ID1" s="14">
        <f t="shared" si="3"/>
        <v>229</v>
      </c>
      <c r="IE1" s="14">
        <f t="shared" si="3"/>
        <v>230</v>
      </c>
      <c r="IF1" s="14">
        <f t="shared" si="3"/>
        <v>231</v>
      </c>
      <c r="IG1" s="14">
        <f t="shared" si="3"/>
        <v>232</v>
      </c>
      <c r="IH1" s="14">
        <f t="shared" si="3"/>
        <v>233</v>
      </c>
      <c r="II1" s="14">
        <f t="shared" si="3"/>
        <v>234</v>
      </c>
      <c r="IJ1" s="14">
        <f t="shared" si="3"/>
        <v>235</v>
      </c>
      <c r="IK1" s="14">
        <f t="shared" si="3"/>
        <v>236</v>
      </c>
      <c r="IL1" s="14">
        <f t="shared" si="3"/>
        <v>237</v>
      </c>
      <c r="IM1" s="14">
        <f t="shared" si="3"/>
        <v>238</v>
      </c>
      <c r="IN1" s="14">
        <f t="shared" si="3"/>
        <v>239</v>
      </c>
      <c r="IO1" s="14">
        <f t="shared" si="3"/>
        <v>240</v>
      </c>
      <c r="IP1" s="14">
        <f t="shared" si="3"/>
        <v>241</v>
      </c>
      <c r="IQ1" s="14">
        <f t="shared" si="3"/>
        <v>242</v>
      </c>
      <c r="IR1" s="14">
        <f t="shared" si="3"/>
        <v>243</v>
      </c>
      <c r="IS1" s="14">
        <f t="shared" ref="IS1:KU1" si="4">IR1+1</f>
        <v>244</v>
      </c>
      <c r="IT1" s="14">
        <f t="shared" si="4"/>
        <v>245</v>
      </c>
      <c r="IU1" s="14">
        <f t="shared" si="4"/>
        <v>246</v>
      </c>
      <c r="IV1" s="14">
        <f t="shared" si="4"/>
        <v>247</v>
      </c>
      <c r="IW1" s="14">
        <f t="shared" si="4"/>
        <v>248</v>
      </c>
      <c r="IX1" s="14">
        <f t="shared" si="4"/>
        <v>249</v>
      </c>
      <c r="IY1" s="14">
        <f t="shared" si="4"/>
        <v>250</v>
      </c>
      <c r="IZ1" s="14">
        <f t="shared" si="4"/>
        <v>251</v>
      </c>
      <c r="JA1" s="14">
        <f t="shared" si="4"/>
        <v>252</v>
      </c>
      <c r="JB1" s="14">
        <f t="shared" si="4"/>
        <v>253</v>
      </c>
      <c r="JC1" s="14">
        <f t="shared" si="4"/>
        <v>254</v>
      </c>
      <c r="JD1" s="14">
        <f t="shared" si="4"/>
        <v>255</v>
      </c>
      <c r="JE1" s="14">
        <f t="shared" si="4"/>
        <v>256</v>
      </c>
      <c r="JF1" s="14">
        <f t="shared" si="4"/>
        <v>257</v>
      </c>
      <c r="JG1" s="14">
        <f t="shared" si="4"/>
        <v>258</v>
      </c>
      <c r="JH1" s="14">
        <f t="shared" si="4"/>
        <v>259</v>
      </c>
      <c r="JI1" s="14">
        <f t="shared" si="4"/>
        <v>260</v>
      </c>
      <c r="JJ1" s="14">
        <f t="shared" si="4"/>
        <v>261</v>
      </c>
      <c r="JK1" s="14">
        <f t="shared" si="4"/>
        <v>262</v>
      </c>
      <c r="JL1" s="14">
        <f t="shared" si="4"/>
        <v>263</v>
      </c>
      <c r="JM1" s="14">
        <f t="shared" si="4"/>
        <v>264</v>
      </c>
      <c r="JN1" s="14">
        <f t="shared" si="4"/>
        <v>265</v>
      </c>
      <c r="JO1" s="14">
        <f t="shared" si="4"/>
        <v>266</v>
      </c>
      <c r="JP1" s="14">
        <f t="shared" si="4"/>
        <v>267</v>
      </c>
      <c r="JQ1" s="14">
        <f t="shared" si="4"/>
        <v>268</v>
      </c>
      <c r="JR1" s="14">
        <f t="shared" si="4"/>
        <v>269</v>
      </c>
      <c r="JS1" s="14">
        <f t="shared" si="4"/>
        <v>270</v>
      </c>
      <c r="JT1" s="14">
        <f t="shared" si="4"/>
        <v>271</v>
      </c>
      <c r="JU1" s="14">
        <f t="shared" si="4"/>
        <v>272</v>
      </c>
      <c r="JV1" s="14">
        <f t="shared" si="4"/>
        <v>273</v>
      </c>
      <c r="JW1" s="14">
        <f t="shared" si="4"/>
        <v>274</v>
      </c>
      <c r="JX1" s="14">
        <f t="shared" si="4"/>
        <v>275</v>
      </c>
      <c r="JY1" s="14">
        <f t="shared" si="4"/>
        <v>276</v>
      </c>
      <c r="JZ1" s="14">
        <f t="shared" si="4"/>
        <v>277</v>
      </c>
      <c r="KA1" s="14">
        <f t="shared" si="4"/>
        <v>278</v>
      </c>
      <c r="KB1" s="14">
        <f t="shared" si="4"/>
        <v>279</v>
      </c>
      <c r="KC1" s="14">
        <f t="shared" si="4"/>
        <v>280</v>
      </c>
      <c r="KD1" s="14">
        <f t="shared" si="4"/>
        <v>281</v>
      </c>
      <c r="KE1" s="14">
        <f t="shared" si="4"/>
        <v>282</v>
      </c>
      <c r="KF1" s="14">
        <f t="shared" si="4"/>
        <v>283</v>
      </c>
      <c r="KG1" s="14">
        <f t="shared" si="4"/>
        <v>284</v>
      </c>
      <c r="KH1" s="14">
        <f t="shared" si="4"/>
        <v>285</v>
      </c>
      <c r="KI1" s="14">
        <f t="shared" si="4"/>
        <v>286</v>
      </c>
      <c r="KJ1" s="14">
        <f t="shared" si="4"/>
        <v>287</v>
      </c>
      <c r="KK1" s="14">
        <f t="shared" si="4"/>
        <v>288</v>
      </c>
      <c r="KL1" s="14">
        <f t="shared" si="4"/>
        <v>289</v>
      </c>
      <c r="KM1" s="14">
        <f t="shared" si="4"/>
        <v>290</v>
      </c>
      <c r="KN1" s="14">
        <f t="shared" si="4"/>
        <v>291</v>
      </c>
      <c r="KO1" s="14">
        <f t="shared" si="4"/>
        <v>292</v>
      </c>
      <c r="KP1" s="14">
        <f t="shared" si="4"/>
        <v>293</v>
      </c>
      <c r="KQ1" s="14">
        <f t="shared" si="4"/>
        <v>294</v>
      </c>
      <c r="KR1" s="14">
        <f t="shared" si="4"/>
        <v>295</v>
      </c>
      <c r="KS1" s="14">
        <f t="shared" si="4"/>
        <v>296</v>
      </c>
      <c r="KT1" s="14">
        <f t="shared" si="4"/>
        <v>297</v>
      </c>
      <c r="KU1" s="14">
        <f t="shared" si="4"/>
        <v>298</v>
      </c>
    </row>
    <row r="2" spans="1:307" x14ac:dyDescent="0.25">
      <c r="A2" s="9">
        <f>A1+1</f>
        <v>1</v>
      </c>
      <c r="B2" s="9">
        <v>1</v>
      </c>
      <c r="C2" s="9" t="str">
        <f>H2</f>
        <v>50% Daily Increase</v>
      </c>
      <c r="D2" s="6">
        <f>MAX(I2:KU2)</f>
        <v>95643225032.107452</v>
      </c>
      <c r="E2" s="6">
        <f>IF(COUNTIF(I2:XFD2,"&gt;"&amp;0)=0,,HLOOKUP(COUNTIF(I2:XFD2,"&gt;"&amp;0)-1,I$1:XFD2,A2+1,FALSE))</f>
        <v>95643225032.107452</v>
      </c>
      <c r="F2" s="7">
        <f>IF(COUNTIF(I2:XFD2,"&gt;"&amp;0)=0,,HLOOKUP(COUNTIF(I2:XFD2,"&gt;"&amp;0)-MIN($F$1+1,COUNTIF(I2:XFD2,"&gt;"&amp;0)),I$1:XFD2,A2+1,FALSE))</f>
        <v>12594992596.820734</v>
      </c>
      <c r="G2" s="8">
        <f>IF(COUNTIF(I2:XFD2,"&gt;"&amp;0)=0,,(E2/F2)^(1/MIN(COUNTIF(I2:XFD2,"&gt;"&amp;0)-1,$F$1)))</f>
        <v>1.5</v>
      </c>
      <c r="H2" s="15" t="s">
        <v>430</v>
      </c>
      <c r="I2" s="9">
        <v>100</v>
      </c>
      <c r="J2" s="10">
        <f>I2*1.5</f>
        <v>150</v>
      </c>
      <c r="K2" s="10">
        <f>J2*1.5</f>
        <v>225</v>
      </c>
      <c r="L2" s="10">
        <f>K2*1.5</f>
        <v>337.5</v>
      </c>
      <c r="M2" s="10">
        <f>L2*1.5</f>
        <v>506.25</v>
      </c>
      <c r="N2" s="10">
        <f>M2*1.5</f>
        <v>759.375</v>
      </c>
      <c r="O2" s="10">
        <f>N2*1.5</f>
        <v>1139.0625</v>
      </c>
      <c r="P2" s="10">
        <f>O2*1.5</f>
        <v>1708.59375</v>
      </c>
      <c r="Q2" s="10">
        <f>P2*1.5</f>
        <v>2562.890625</v>
      </c>
      <c r="R2" s="10">
        <f>Q2*1.5</f>
        <v>3844.3359375</v>
      </c>
      <c r="S2" s="10">
        <f>R2*1.5</f>
        <v>5766.50390625</v>
      </c>
      <c r="T2" s="10">
        <f>S2*1.5</f>
        <v>8649.755859375</v>
      </c>
      <c r="U2" s="10">
        <f>T2*1.5</f>
        <v>12974.6337890625</v>
      </c>
      <c r="V2" s="10">
        <f>U2*1.5</f>
        <v>19461.95068359375</v>
      </c>
      <c r="W2" s="10">
        <f>V2*1.5</f>
        <v>29192.926025390625</v>
      </c>
      <c r="X2" s="10">
        <f>W2*1.5</f>
        <v>43789.389038085938</v>
      </c>
      <c r="Y2" s="10">
        <f>X2*1.5</f>
        <v>65684.083557128906</v>
      </c>
      <c r="Z2" s="10">
        <f>Y2*1.5</f>
        <v>98526.125335693359</v>
      </c>
      <c r="AA2" s="10">
        <f>Z2*1.5</f>
        <v>147789.18800354004</v>
      </c>
      <c r="AB2" s="10">
        <f>AA2*1.5</f>
        <v>221683.78200531006</v>
      </c>
      <c r="AC2" s="10">
        <f>AB2*1.5</f>
        <v>332525.67300796509</v>
      </c>
      <c r="AD2" s="10">
        <f>AC2*1.5</f>
        <v>498788.50951194763</v>
      </c>
      <c r="AE2" s="10">
        <f>AD2*1.5</f>
        <v>748182.76426792145</v>
      </c>
      <c r="AF2" s="10">
        <f>AE2*1.5</f>
        <v>1122274.1464018822</v>
      </c>
      <c r="AG2" s="10">
        <f>AF2*1.5</f>
        <v>1683411.2196028233</v>
      </c>
      <c r="AH2" s="10">
        <f>AG2*1.5</f>
        <v>2525116.8294042349</v>
      </c>
      <c r="AI2" s="10">
        <f>AH2*1.5</f>
        <v>3787675.2441063523</v>
      </c>
      <c r="AJ2" s="10">
        <f>AI2*1.5</f>
        <v>5681512.8661595285</v>
      </c>
      <c r="AK2" s="10">
        <f>AJ2*1.5</f>
        <v>8522269.2992392927</v>
      </c>
      <c r="AL2" s="10">
        <f>AK2*1.5</f>
        <v>12783403.948858939</v>
      </c>
      <c r="AM2" s="10">
        <f>AL2*1.5</f>
        <v>19175105.923288409</v>
      </c>
      <c r="AN2" s="10">
        <f>AM2*1.5</f>
        <v>28762658.884932615</v>
      </c>
      <c r="AO2" s="10">
        <f>AN2*1.5</f>
        <v>43143988.327398926</v>
      </c>
      <c r="AP2" s="10">
        <f>AO2*1.5</f>
        <v>64715982.491098389</v>
      </c>
      <c r="AQ2" s="10">
        <f>AP2*1.5</f>
        <v>97073973.736647576</v>
      </c>
      <c r="AR2" s="10">
        <f>AQ2*1.5</f>
        <v>145610960.60497135</v>
      </c>
      <c r="AS2" s="10">
        <f>AR2*1.5</f>
        <v>218416440.90745702</v>
      </c>
      <c r="AT2" s="10">
        <f>AS2*1.5</f>
        <v>327624661.36118555</v>
      </c>
      <c r="AU2" s="10">
        <f>AT2*1.5</f>
        <v>491436992.04177833</v>
      </c>
      <c r="AV2" s="10">
        <f>AU2*1.5</f>
        <v>737155488.06266749</v>
      </c>
      <c r="AW2" s="10">
        <f>AV2*1.5</f>
        <v>1105733232.0940013</v>
      </c>
      <c r="AX2" s="10">
        <f>AW2*1.5</f>
        <v>1658599848.1410019</v>
      </c>
      <c r="AY2" s="10">
        <f>AX2*1.5</f>
        <v>2487899772.211503</v>
      </c>
      <c r="AZ2" s="10">
        <f>AY2*1.5</f>
        <v>3731849658.3172545</v>
      </c>
      <c r="BA2" s="10">
        <f>AZ2*1.5</f>
        <v>5597774487.4758816</v>
      </c>
      <c r="BB2" s="10">
        <f>BA2*1.5</f>
        <v>8396661731.2138224</v>
      </c>
      <c r="BC2" s="10">
        <f>BB2*1.5</f>
        <v>12594992596.820734</v>
      </c>
      <c r="BD2" s="10">
        <f>BC2*1.5</f>
        <v>18892488895.231102</v>
      </c>
      <c r="BE2" s="10">
        <f>BD2*1.5</f>
        <v>28338733342.846653</v>
      </c>
      <c r="BF2" s="10">
        <f>BE2*1.5</f>
        <v>42508100014.269981</v>
      </c>
      <c r="BG2" s="10">
        <f>BF2*1.5</f>
        <v>63762150021.404968</v>
      </c>
      <c r="BH2" s="10">
        <f>BG2*1.5</f>
        <v>95643225032.107452</v>
      </c>
    </row>
    <row r="3" spans="1:307" x14ac:dyDescent="0.25">
      <c r="A3" s="9">
        <f t="shared" ref="A3:A200" si="5">A2+1</f>
        <v>2</v>
      </c>
      <c r="B3" s="9">
        <v>1</v>
      </c>
      <c r="C3" s="9" t="str">
        <f>H3</f>
        <v>40% Daily Increase</v>
      </c>
      <c r="D3" s="6">
        <f>MAX(I3:KU3)</f>
        <v>2834848273.5670052</v>
      </c>
      <c r="E3" s="6">
        <f>IF(COUNTIF(I3:XFD3,"&gt;"&amp;0)=0,,HLOOKUP(COUNTIF(I3:XFD3,"&gt;"&amp;0)-1,I$1:XFD3,A3+1,FALSE))</f>
        <v>2834848273.5670052</v>
      </c>
      <c r="F3" s="7">
        <f>IF(COUNTIF(I3:XFD3,"&gt;"&amp;0)=0,,HLOOKUP(COUNTIF(I3:XFD3,"&gt;"&amp;0)-MIN($F$1+1,COUNTIF(I3:XFD3,"&gt;"&amp;0)),I$1:XFD3,A3+1,FALSE))</f>
        <v>527095903.78395271</v>
      </c>
      <c r="G3" s="8">
        <f>IF(COUNTIF(I3:XFD3,"&gt;"&amp;0)=0,,(E3/F3)^(1/MIN(COUNTIF(I3:XFD3,"&gt;"&amp;0)-1,$F$1)))</f>
        <v>1.4000000000000001</v>
      </c>
      <c r="H3" s="15" t="s">
        <v>431</v>
      </c>
      <c r="I3" s="9">
        <v>100</v>
      </c>
      <c r="J3" s="10">
        <f>I3*1.4</f>
        <v>140</v>
      </c>
      <c r="K3" s="10">
        <f>J3*1.4</f>
        <v>196</v>
      </c>
      <c r="L3" s="10">
        <f>K3*1.4</f>
        <v>274.39999999999998</v>
      </c>
      <c r="M3" s="10">
        <f>L3*1.4</f>
        <v>384.15999999999997</v>
      </c>
      <c r="N3" s="10">
        <f>M3*1.4</f>
        <v>537.82399999999996</v>
      </c>
      <c r="O3" s="10">
        <f>N3*1.4</f>
        <v>752.95359999999994</v>
      </c>
      <c r="P3" s="10">
        <f>O3*1.4</f>
        <v>1054.1350399999999</v>
      </c>
      <c r="Q3" s="10">
        <f>P3*1.4</f>
        <v>1475.7890559999998</v>
      </c>
      <c r="R3" s="10">
        <f>Q3*1.4</f>
        <v>2066.1046783999996</v>
      </c>
      <c r="S3" s="10">
        <f>R3*1.4</f>
        <v>2892.5465497599994</v>
      </c>
      <c r="T3" s="10">
        <f>S3*1.4</f>
        <v>4049.5651696639989</v>
      </c>
      <c r="U3" s="10">
        <f>T3*1.4</f>
        <v>5669.3912375295977</v>
      </c>
      <c r="V3" s="10">
        <f>U3*1.4</f>
        <v>7937.1477325414362</v>
      </c>
      <c r="W3" s="10">
        <f>V3*1.4</f>
        <v>11112.00682555801</v>
      </c>
      <c r="X3" s="10">
        <f>W3*1.4</f>
        <v>15556.809555781212</v>
      </c>
      <c r="Y3" s="10">
        <f>X3*1.4</f>
        <v>21779.533378093696</v>
      </c>
      <c r="Z3" s="10">
        <f>Y3*1.4</f>
        <v>30491.346729331173</v>
      </c>
      <c r="AA3" s="10">
        <f>Z3*1.4</f>
        <v>42687.885421063642</v>
      </c>
      <c r="AB3" s="10">
        <f>AA3*1.4</f>
        <v>59763.039589489097</v>
      </c>
      <c r="AC3" s="10">
        <f>AB3*1.4</f>
        <v>83668.255425284733</v>
      </c>
      <c r="AD3" s="10">
        <f>AC3*1.4</f>
        <v>117135.55759539861</v>
      </c>
      <c r="AE3" s="10">
        <f>AD3*1.4</f>
        <v>163989.78063355805</v>
      </c>
      <c r="AF3" s="10">
        <f>AE3*1.4</f>
        <v>229585.69288698127</v>
      </c>
      <c r="AG3" s="10">
        <f>AF3*1.4</f>
        <v>321419.97004177375</v>
      </c>
      <c r="AH3" s="10">
        <f>AG3*1.4</f>
        <v>449987.9580584832</v>
      </c>
      <c r="AI3" s="10">
        <f>AH3*1.4</f>
        <v>629983.14128187648</v>
      </c>
      <c r="AJ3" s="10">
        <f>AI3*1.4</f>
        <v>881976.397794627</v>
      </c>
      <c r="AK3" s="10">
        <f>AJ3*1.4</f>
        <v>1234766.9569124777</v>
      </c>
      <c r="AL3" s="10">
        <f>AK3*1.4</f>
        <v>1728673.7396774688</v>
      </c>
      <c r="AM3" s="10">
        <f>AL3*1.4</f>
        <v>2420143.2355484562</v>
      </c>
      <c r="AN3" s="10">
        <f>AM3*1.4</f>
        <v>3388200.5297678383</v>
      </c>
      <c r="AO3" s="10">
        <f>AN3*1.4</f>
        <v>4743480.7416749736</v>
      </c>
      <c r="AP3" s="10">
        <f>AO3*1.4</f>
        <v>6640873.0383449625</v>
      </c>
      <c r="AQ3" s="10">
        <f>AP3*1.4</f>
        <v>9297222.2536829468</v>
      </c>
      <c r="AR3" s="10">
        <f>AQ3*1.4</f>
        <v>13016111.155156124</v>
      </c>
      <c r="AS3" s="10">
        <f>AR3*1.4</f>
        <v>18222555.617218573</v>
      </c>
      <c r="AT3" s="10">
        <f>AS3*1.4</f>
        <v>25511577.864105999</v>
      </c>
      <c r="AU3" s="10">
        <f>AT3*1.4</f>
        <v>35716209.009748399</v>
      </c>
      <c r="AV3" s="10">
        <f>AU3*1.4</f>
        <v>50002692.613647759</v>
      </c>
      <c r="AW3" s="10">
        <f>AV3*1.4</f>
        <v>70003769.659106866</v>
      </c>
      <c r="AX3" s="10">
        <f>AW3*1.4</f>
        <v>98005277.522749603</v>
      </c>
      <c r="AY3" s="10">
        <f>AX3*1.4</f>
        <v>137207388.53184944</v>
      </c>
      <c r="AZ3" s="10">
        <f>AY3*1.4</f>
        <v>192090343.9445892</v>
      </c>
      <c r="BA3" s="10">
        <f>AZ3*1.4</f>
        <v>268926481.52242488</v>
      </c>
      <c r="BB3" s="10">
        <f>BA3*1.4</f>
        <v>376497074.1313948</v>
      </c>
      <c r="BC3" s="10">
        <f>BB3*1.4</f>
        <v>527095903.78395271</v>
      </c>
      <c r="BD3" s="10">
        <f>BC3*1.4</f>
        <v>737934265.29753375</v>
      </c>
      <c r="BE3" s="10">
        <f>BD3*1.4</f>
        <v>1033107971.4165472</v>
      </c>
      <c r="BF3" s="10">
        <f>BE3*1.4</f>
        <v>1446351159.983166</v>
      </c>
      <c r="BG3" s="10">
        <f>BF3*1.4</f>
        <v>2024891623.9764323</v>
      </c>
      <c r="BH3" s="10">
        <f>BG3*1.4</f>
        <v>2834848273.5670052</v>
      </c>
    </row>
    <row r="4" spans="1:307" x14ac:dyDescent="0.25">
      <c r="A4" s="9">
        <f t="shared" si="5"/>
        <v>3</v>
      </c>
      <c r="B4" s="9">
        <v>1</v>
      </c>
      <c r="C4" s="9" t="str">
        <f>H4</f>
        <v>30% Daily Increase</v>
      </c>
      <c r="D4" s="6">
        <f>MAX(I4:KU4)</f>
        <v>64730798.98728662</v>
      </c>
      <c r="E4" s="6">
        <f>IF(COUNTIF(I4:XFD4,"&gt;"&amp;0)=0,,HLOOKUP(COUNTIF(I4:XFD4,"&gt;"&amp;0)-1,I$1:XFD4,A4+1,FALSE))</f>
        <v>64730798.98728662</v>
      </c>
      <c r="F4" s="7">
        <f>IF(COUNTIF(I4:XFD4,"&gt;"&amp;0)=0,,HLOOKUP(COUNTIF(I4:XFD4,"&gt;"&amp;0)-MIN($F$1+1,COUNTIF(I4:XFD4,"&gt;"&amp;0)),I$1:XFD4,A4+1,FALSE))</f>
        <v>17433886.172722515</v>
      </c>
      <c r="G4" s="8">
        <f>IF(COUNTIF(I4:XFD4,"&gt;"&amp;0)=0,,(E4/F4)^(1/MIN(COUNTIF(I4:XFD4,"&gt;"&amp;0)-1,$F$1)))</f>
        <v>1.3</v>
      </c>
      <c r="H4" s="15" t="s">
        <v>432</v>
      </c>
      <c r="I4" s="9">
        <v>100</v>
      </c>
      <c r="J4" s="10">
        <f>I4*1.3</f>
        <v>130</v>
      </c>
      <c r="K4" s="10">
        <f>J4*1.3</f>
        <v>169</v>
      </c>
      <c r="L4" s="10">
        <f>K4*1.3</f>
        <v>219.70000000000002</v>
      </c>
      <c r="M4" s="10">
        <f>L4*1.3</f>
        <v>285.61</v>
      </c>
      <c r="N4" s="10">
        <f>M4*1.3</f>
        <v>371.29300000000001</v>
      </c>
      <c r="O4" s="10">
        <f>N4*1.3</f>
        <v>482.68090000000001</v>
      </c>
      <c r="P4" s="10">
        <f>O4*1.3</f>
        <v>627.48517000000004</v>
      </c>
      <c r="Q4" s="10">
        <f>P4*1.3</f>
        <v>815.73072100000013</v>
      </c>
      <c r="R4" s="10">
        <f>Q4*1.3</f>
        <v>1060.4499373000001</v>
      </c>
      <c r="S4" s="10">
        <f>R4*1.3</f>
        <v>1378.5849184900003</v>
      </c>
      <c r="T4" s="10">
        <f>S4*1.3</f>
        <v>1792.1603940370005</v>
      </c>
      <c r="U4" s="10">
        <f>T4*1.3</f>
        <v>2329.8085122481007</v>
      </c>
      <c r="V4" s="10">
        <f>U4*1.3</f>
        <v>3028.7510659225309</v>
      </c>
      <c r="W4" s="10">
        <f>V4*1.3</f>
        <v>3937.37638569929</v>
      </c>
      <c r="X4" s="10">
        <f>W4*1.3</f>
        <v>5118.5893014090771</v>
      </c>
      <c r="Y4" s="10">
        <f>X4*1.3</f>
        <v>6654.1660918318003</v>
      </c>
      <c r="Z4" s="10">
        <f>Y4*1.3</f>
        <v>8650.4159193813412</v>
      </c>
      <c r="AA4" s="10">
        <f>Z4*1.3</f>
        <v>11245.540695195745</v>
      </c>
      <c r="AB4" s="10">
        <f>AA4*1.3</f>
        <v>14619.202903754469</v>
      </c>
      <c r="AC4" s="10">
        <f>AB4*1.3</f>
        <v>19004.963774880809</v>
      </c>
      <c r="AD4" s="10">
        <f>AC4*1.3</f>
        <v>24706.452907345054</v>
      </c>
      <c r="AE4" s="10">
        <f>AD4*1.3</f>
        <v>32118.388779548572</v>
      </c>
      <c r="AF4" s="10">
        <f>AE4*1.3</f>
        <v>41753.905413413144</v>
      </c>
      <c r="AG4" s="10">
        <f>AF4*1.3</f>
        <v>54280.077037437091</v>
      </c>
      <c r="AH4" s="10">
        <f>AG4*1.3</f>
        <v>70564.100148668222</v>
      </c>
      <c r="AI4" s="10">
        <f>AH4*1.3</f>
        <v>91733.330193268688</v>
      </c>
      <c r="AJ4" s="10">
        <f>AI4*1.3</f>
        <v>119253.32925124929</v>
      </c>
      <c r="AK4" s="10">
        <f>AJ4*1.3</f>
        <v>155029.32802662408</v>
      </c>
      <c r="AL4" s="10">
        <f>AK4*1.3</f>
        <v>201538.1264346113</v>
      </c>
      <c r="AM4" s="10">
        <f>AL4*1.3</f>
        <v>261999.5643649947</v>
      </c>
      <c r="AN4" s="10">
        <f>AM4*1.3</f>
        <v>340599.43367449311</v>
      </c>
      <c r="AO4" s="10">
        <f>AN4*1.3</f>
        <v>442779.26377684105</v>
      </c>
      <c r="AP4" s="10">
        <f>AO4*1.3</f>
        <v>575613.04290989344</v>
      </c>
      <c r="AQ4" s="10">
        <f>AP4*1.3</f>
        <v>748296.95578286145</v>
      </c>
      <c r="AR4" s="10">
        <f>AQ4*1.3</f>
        <v>972786.04251771991</v>
      </c>
      <c r="AS4" s="10">
        <f>AR4*1.3</f>
        <v>1264621.8552730358</v>
      </c>
      <c r="AT4" s="10">
        <f>AS4*1.3</f>
        <v>1644008.4118549465</v>
      </c>
      <c r="AU4" s="10">
        <f>AT4*1.3</f>
        <v>2137210.9354114304</v>
      </c>
      <c r="AV4" s="10">
        <f>AU4*1.3</f>
        <v>2778374.2160348599</v>
      </c>
      <c r="AW4" s="10">
        <f>AV4*1.3</f>
        <v>3611886.4808453182</v>
      </c>
      <c r="AX4" s="10">
        <f>AW4*1.3</f>
        <v>4695452.4250989137</v>
      </c>
      <c r="AY4" s="10">
        <f>AX4*1.3</f>
        <v>6104088.1526285885</v>
      </c>
      <c r="AZ4" s="10">
        <f>AY4*1.3</f>
        <v>7935314.5984171657</v>
      </c>
      <c r="BA4" s="10">
        <f>AZ4*1.3</f>
        <v>10315908.977942316</v>
      </c>
      <c r="BB4" s="10">
        <f>BA4*1.3</f>
        <v>13410681.671325011</v>
      </c>
      <c r="BC4" s="10">
        <f>BB4*1.3</f>
        <v>17433886.172722515</v>
      </c>
      <c r="BD4" s="10">
        <f>BC4*1.3</f>
        <v>22664052.02453927</v>
      </c>
      <c r="BE4" s="10">
        <f>BD4*1.3</f>
        <v>29463267.631901052</v>
      </c>
      <c r="BF4" s="10">
        <f>BE4*1.3</f>
        <v>38302247.921471372</v>
      </c>
      <c r="BG4" s="10">
        <f>BF4*1.3</f>
        <v>49792922.297912784</v>
      </c>
      <c r="BH4" s="10">
        <f>BG4*1.3</f>
        <v>64730798.98728662</v>
      </c>
    </row>
    <row r="5" spans="1:307" x14ac:dyDescent="0.25">
      <c r="A5" s="9">
        <f t="shared" si="5"/>
        <v>4</v>
      </c>
      <c r="B5" s="9">
        <f t="array" ref="B5">IF(C5="",0,IF(OR(C5=Country_Comparison!$S$10:$S$29),1,0))</f>
        <v>1</v>
      </c>
      <c r="C5" s="9" t="str">
        <f>IF(H5="","",H5)</f>
        <v>US</v>
      </c>
      <c r="D5" s="6">
        <f>MAX(I5:JF5)</f>
        <v>121478</v>
      </c>
      <c r="E5" s="6">
        <f>IF(COUNTIF(I5:XFD5,"&gt;"&amp;0)=0,,HLOOKUP(COUNTIF(I5:XFD5,"&gt;"&amp;0)-1,I$1:XFD5,A5+1,FALSE))</f>
        <v>121478</v>
      </c>
      <c r="F5" s="7">
        <f>IF(COUNTIF(I5:XFD5,"&gt;"&amp;0)=0,,HLOOKUP(COUNTIF(I5:XFD5,"&gt;"&amp;0)-MIN($F$1+1,COUNTIF(I5:XFD5,"&gt;"&amp;0)),I$1:XFD5,A5+1,FALSE))</f>
        <v>43847</v>
      </c>
      <c r="G5" s="8">
        <f>IF(COUNTIF(I5:XFD5,"&gt;"&amp;0)=0,,(E5/F5)^(1/MIN(COUNTIF(I5:XFD5,"&gt;"&amp;0)-1,$F$1)))</f>
        <v>1.2260595084020303</v>
      </c>
      <c r="H5" s="13" t="s">
        <v>38</v>
      </c>
      <c r="I5" s="9">
        <v>118</v>
      </c>
      <c r="J5" s="9">
        <v>149</v>
      </c>
      <c r="K5" s="9">
        <v>217</v>
      </c>
      <c r="L5" s="9">
        <v>262</v>
      </c>
      <c r="M5" s="9">
        <v>402</v>
      </c>
      <c r="N5" s="9">
        <v>518</v>
      </c>
      <c r="O5" s="9">
        <v>583</v>
      </c>
      <c r="P5" s="9">
        <v>959</v>
      </c>
      <c r="Q5" s="9">
        <v>1281</v>
      </c>
      <c r="R5" s="9">
        <v>1663</v>
      </c>
      <c r="S5" s="9">
        <v>2179</v>
      </c>
      <c r="T5" s="9">
        <v>2727</v>
      </c>
      <c r="U5" s="9">
        <v>3499</v>
      </c>
      <c r="V5" s="9">
        <v>4632</v>
      </c>
      <c r="W5" s="9">
        <v>6421</v>
      </c>
      <c r="X5" s="9">
        <v>7783</v>
      </c>
      <c r="Y5" s="9">
        <v>13677</v>
      </c>
      <c r="Z5" s="9">
        <v>19100</v>
      </c>
      <c r="AA5" s="9">
        <v>25489</v>
      </c>
      <c r="AB5" s="9">
        <v>33276</v>
      </c>
      <c r="AC5" s="9">
        <v>43847</v>
      </c>
      <c r="AD5" s="9">
        <v>53740</v>
      </c>
      <c r="AE5" s="9">
        <v>65778</v>
      </c>
      <c r="AF5" s="9">
        <v>83836</v>
      </c>
      <c r="AG5" s="9">
        <v>101657</v>
      </c>
      <c r="AH5" s="9">
        <v>121478</v>
      </c>
    </row>
    <row r="6" spans="1:307" x14ac:dyDescent="0.25">
      <c r="A6" s="9">
        <f t="shared" si="5"/>
        <v>5</v>
      </c>
      <c r="B6" s="9">
        <f t="array" ref="B6">IF(C6="",0,IF(OR(C6=Country_Comparison!$S$10:$S$29),1,0))</f>
        <v>1</v>
      </c>
      <c r="C6" s="9" t="str">
        <f t="shared" ref="C6:C69" si="6">IF(H6="","",H6)</f>
        <v>Italy</v>
      </c>
      <c r="D6" s="6">
        <f t="shared" ref="D6:D69" si="7">MAX(I6:JF6)</f>
        <v>92472</v>
      </c>
      <c r="E6" s="6">
        <f>IF(COUNTIF(I6:XFD6,"&gt;"&amp;0)=0,,HLOOKUP(COUNTIF(I6:XFD6,"&gt;"&amp;0)-1,I$1:XFD6,A6+1,FALSE))</f>
        <v>92472</v>
      </c>
      <c r="F6" s="7">
        <f>IF(COUNTIF(I6:XFD6,"&gt;"&amp;0)=0,,HLOOKUP(COUNTIF(I6:XFD6,"&gt;"&amp;0)-MIN($F$1+1,COUNTIF(I6:XFD6,"&gt;"&amp;0)),I$1:XFD6,A6+1,FALSE))</f>
        <v>63927</v>
      </c>
      <c r="G6" s="8">
        <f t="shared" ref="G6:G69" si="8">IF(COUNTIF(I6:XFD6,"&gt;"&amp;0)=0,,(E6/F6)^(1/MIN(COUNTIF(I6:XFD6,"&gt;"&amp;0)-1,$F$1)))</f>
        <v>1.0766267975354771</v>
      </c>
      <c r="H6" s="13" t="s">
        <v>58</v>
      </c>
      <c r="I6" s="9">
        <v>155</v>
      </c>
      <c r="J6" s="9">
        <v>229</v>
      </c>
      <c r="K6" s="9">
        <v>322</v>
      </c>
      <c r="L6" s="9">
        <v>453</v>
      </c>
      <c r="M6" s="9">
        <v>655</v>
      </c>
      <c r="N6" s="9">
        <v>888</v>
      </c>
      <c r="O6" s="9">
        <v>1128</v>
      </c>
      <c r="P6" s="9">
        <v>1694</v>
      </c>
      <c r="Q6" s="9">
        <v>2036</v>
      </c>
      <c r="R6" s="9">
        <v>2502</v>
      </c>
      <c r="S6" s="9">
        <v>3089</v>
      </c>
      <c r="T6" s="9">
        <v>3858</v>
      </c>
      <c r="U6" s="9">
        <v>4636</v>
      </c>
      <c r="V6" s="9">
        <v>5883</v>
      </c>
      <c r="W6" s="9">
        <v>7375</v>
      </c>
      <c r="X6" s="9">
        <v>9172</v>
      </c>
      <c r="Y6" s="9">
        <v>10149</v>
      </c>
      <c r="Z6" s="9">
        <v>12462</v>
      </c>
      <c r="AA6" s="9">
        <v>15113</v>
      </c>
      <c r="AB6" s="9">
        <v>17660</v>
      </c>
      <c r="AC6" s="9">
        <v>21157</v>
      </c>
      <c r="AD6" s="9">
        <v>24747</v>
      </c>
      <c r="AE6" s="9">
        <v>27980</v>
      </c>
      <c r="AF6" s="9">
        <v>31506</v>
      </c>
      <c r="AG6" s="9">
        <v>35713</v>
      </c>
      <c r="AH6" s="9">
        <v>41035</v>
      </c>
      <c r="AI6" s="9">
        <v>47021</v>
      </c>
      <c r="AJ6" s="9">
        <v>53578</v>
      </c>
      <c r="AK6" s="9">
        <v>59138</v>
      </c>
      <c r="AL6" s="9">
        <v>63927</v>
      </c>
      <c r="AM6" s="9">
        <v>69176</v>
      </c>
      <c r="AN6" s="9">
        <v>74386</v>
      </c>
      <c r="AO6" s="9">
        <v>80589</v>
      </c>
      <c r="AP6" s="9">
        <v>86498</v>
      </c>
      <c r="AQ6" s="9">
        <v>92472</v>
      </c>
    </row>
    <row r="7" spans="1:307" x14ac:dyDescent="0.25">
      <c r="A7" s="9">
        <f t="shared" si="5"/>
        <v>6</v>
      </c>
      <c r="B7" s="9">
        <f t="array" ref="B7">IF(C7="",0,IF(OR(C7=Country_Comparison!$S$10:$S$29),1,0))</f>
        <v>1</v>
      </c>
      <c r="C7" s="9" t="str">
        <f t="shared" si="6"/>
        <v>China</v>
      </c>
      <c r="D7" s="6">
        <f t="shared" si="7"/>
        <v>81999</v>
      </c>
      <c r="E7" s="6">
        <f>IF(COUNTIF(I7:XFD7,"&gt;"&amp;0)=0,,HLOOKUP(COUNTIF(I7:XFD7,"&gt;"&amp;0)-1,I$1:XFD7,A7+1,FALSE))</f>
        <v>81999</v>
      </c>
      <c r="F7" s="7">
        <f>IF(COUNTIF(I7:XFD7,"&gt;"&amp;0)=0,,HLOOKUP(COUNTIF(I7:XFD7,"&gt;"&amp;0)-MIN($F$1+1,COUNTIF(I7:XFD7,"&gt;"&amp;0)),I$1:XFD7,A7+1,FALSE))</f>
        <v>81498</v>
      </c>
      <c r="G7" s="8">
        <f t="shared" si="8"/>
        <v>1.0012264658948096</v>
      </c>
      <c r="H7" s="13" t="s">
        <v>337</v>
      </c>
      <c r="I7" s="9">
        <v>548</v>
      </c>
      <c r="J7" s="9">
        <v>643</v>
      </c>
      <c r="K7" s="9">
        <v>920</v>
      </c>
      <c r="L7" s="9">
        <v>1406</v>
      </c>
      <c r="M7" s="9">
        <v>2075</v>
      </c>
      <c r="N7" s="9">
        <v>2877</v>
      </c>
      <c r="O7" s="9">
        <v>5509</v>
      </c>
      <c r="P7" s="9">
        <v>6087</v>
      </c>
      <c r="Q7" s="9">
        <v>8141</v>
      </c>
      <c r="R7" s="9">
        <v>9802</v>
      </c>
      <c r="S7" s="9">
        <v>11891</v>
      </c>
      <c r="T7" s="9">
        <v>16630</v>
      </c>
      <c r="U7" s="9">
        <v>19716</v>
      </c>
      <c r="V7" s="9">
        <v>23707</v>
      </c>
      <c r="W7" s="9">
        <v>27440</v>
      </c>
      <c r="X7" s="9">
        <v>30587</v>
      </c>
      <c r="Y7" s="9">
        <v>34110</v>
      </c>
      <c r="Z7" s="9">
        <v>36814</v>
      </c>
      <c r="AA7" s="9">
        <v>39829</v>
      </c>
      <c r="AB7" s="9">
        <v>42354</v>
      </c>
      <c r="AC7" s="9">
        <v>44386</v>
      </c>
      <c r="AD7" s="9">
        <v>50000</v>
      </c>
      <c r="AE7" s="9">
        <v>59895</v>
      </c>
      <c r="AF7" s="9">
        <v>66358</v>
      </c>
      <c r="AG7" s="9">
        <v>68413</v>
      </c>
      <c r="AH7" s="9">
        <v>70513</v>
      </c>
      <c r="AI7" s="9">
        <v>72434</v>
      </c>
      <c r="AJ7" s="9">
        <v>74211</v>
      </c>
      <c r="AK7" s="9">
        <v>74619</v>
      </c>
      <c r="AL7" s="9">
        <v>75077</v>
      </c>
      <c r="AM7" s="9">
        <v>75550</v>
      </c>
      <c r="AN7" s="9">
        <v>77001</v>
      </c>
      <c r="AO7" s="9">
        <v>77022</v>
      </c>
      <c r="AP7" s="9">
        <v>77241</v>
      </c>
      <c r="AQ7" s="9">
        <v>77754</v>
      </c>
      <c r="AR7" s="9">
        <v>78166</v>
      </c>
      <c r="AS7" s="9">
        <v>78600</v>
      </c>
      <c r="AT7" s="9">
        <v>78928</v>
      </c>
      <c r="AU7" s="9">
        <v>79356</v>
      </c>
      <c r="AV7" s="9">
        <v>79932</v>
      </c>
      <c r="AW7" s="9">
        <v>80136</v>
      </c>
      <c r="AX7" s="9">
        <v>80261</v>
      </c>
      <c r="AY7" s="9">
        <v>80386</v>
      </c>
      <c r="AZ7" s="9">
        <v>80537</v>
      </c>
      <c r="BA7" s="9">
        <v>80690</v>
      </c>
      <c r="BB7" s="9">
        <v>80770</v>
      </c>
      <c r="BC7" s="9">
        <v>80823</v>
      </c>
      <c r="BD7" s="9">
        <v>80860</v>
      </c>
      <c r="BE7" s="9">
        <v>80887</v>
      </c>
      <c r="BF7" s="9">
        <v>80921</v>
      </c>
      <c r="BG7" s="9">
        <v>80932</v>
      </c>
      <c r="BH7" s="9">
        <v>80945</v>
      </c>
      <c r="BI7" s="9">
        <v>80977</v>
      </c>
      <c r="BJ7" s="9">
        <v>81003</v>
      </c>
      <c r="BK7" s="9">
        <v>81033</v>
      </c>
      <c r="BL7" s="9">
        <v>81058</v>
      </c>
      <c r="BM7" s="9">
        <v>81102</v>
      </c>
      <c r="BN7" s="9">
        <v>81156</v>
      </c>
      <c r="BO7" s="9">
        <v>81250</v>
      </c>
      <c r="BP7" s="9">
        <v>81305</v>
      </c>
      <c r="BQ7" s="9">
        <v>81435</v>
      </c>
      <c r="BR7" s="9">
        <v>81498</v>
      </c>
      <c r="BS7" s="9">
        <v>81591</v>
      </c>
      <c r="BT7" s="9">
        <v>81661</v>
      </c>
      <c r="BU7" s="9">
        <v>81782</v>
      </c>
      <c r="BV7" s="9">
        <v>81897</v>
      </c>
      <c r="BW7" s="9">
        <v>81999</v>
      </c>
    </row>
    <row r="8" spans="1:307" x14ac:dyDescent="0.25">
      <c r="A8" s="9">
        <f t="shared" si="5"/>
        <v>7</v>
      </c>
      <c r="B8" s="9">
        <f t="array" ref="B8">IF(C8="",0,IF(OR(C8=Country_Comparison!$S$10:$S$29),1,0))</f>
        <v>1</v>
      </c>
      <c r="C8" s="9" t="str">
        <f t="shared" si="6"/>
        <v>Spain</v>
      </c>
      <c r="D8" s="6">
        <f t="shared" si="7"/>
        <v>73235</v>
      </c>
      <c r="E8" s="6">
        <f>IF(COUNTIF(I8:XFD8,"&gt;"&amp;0)=0,,HLOOKUP(COUNTIF(I8:XFD8,"&gt;"&amp;0)-1,I$1:XFD8,A8+1,FALSE))</f>
        <v>73235</v>
      </c>
      <c r="F8" s="7">
        <f>IF(COUNTIF(I8:XFD8,"&gt;"&amp;0)=0,,HLOOKUP(COUNTIF(I8:XFD8,"&gt;"&amp;0)-MIN($F$1+1,COUNTIF(I8:XFD8,"&gt;"&amp;0)),I$1:XFD8,A8+1,FALSE))</f>
        <v>35136</v>
      </c>
      <c r="G8" s="8">
        <f t="shared" si="8"/>
        <v>1.1582259031629001</v>
      </c>
      <c r="H8" s="13" t="s">
        <v>60</v>
      </c>
      <c r="I8" s="9">
        <v>120</v>
      </c>
      <c r="J8" s="9">
        <v>165</v>
      </c>
      <c r="K8" s="9">
        <v>222</v>
      </c>
      <c r="L8" s="9">
        <v>259</v>
      </c>
      <c r="M8" s="9">
        <v>400</v>
      </c>
      <c r="N8" s="9">
        <v>500</v>
      </c>
      <c r="O8" s="9">
        <v>673</v>
      </c>
      <c r="P8" s="9">
        <v>1073</v>
      </c>
      <c r="Q8" s="9">
        <v>1695</v>
      </c>
      <c r="R8" s="9">
        <v>2277</v>
      </c>
      <c r="S8" s="9">
        <v>3146</v>
      </c>
      <c r="T8" s="9">
        <v>5232</v>
      </c>
      <c r="U8" s="9">
        <v>6391</v>
      </c>
      <c r="V8" s="9">
        <v>7798</v>
      </c>
      <c r="W8" s="9">
        <v>9942</v>
      </c>
      <c r="X8" s="9">
        <v>11748</v>
      </c>
      <c r="Y8" s="9">
        <v>13910</v>
      </c>
      <c r="Z8" s="9">
        <v>17963</v>
      </c>
      <c r="AA8" s="9">
        <v>20410</v>
      </c>
      <c r="AB8" s="9">
        <v>25374</v>
      </c>
      <c r="AC8" s="9">
        <v>28768</v>
      </c>
      <c r="AD8" s="9">
        <v>35136</v>
      </c>
      <c r="AE8" s="9">
        <v>39885</v>
      </c>
      <c r="AF8" s="9">
        <v>49515</v>
      </c>
      <c r="AG8" s="9">
        <v>57786</v>
      </c>
      <c r="AH8" s="9">
        <v>65719</v>
      </c>
      <c r="AI8" s="9">
        <v>73235</v>
      </c>
    </row>
    <row r="9" spans="1:307" x14ac:dyDescent="0.25">
      <c r="A9" s="9">
        <f t="shared" si="5"/>
        <v>8</v>
      </c>
      <c r="B9" s="9">
        <f t="array" ref="B9">IF(C9="",0,IF(OR(C9=Country_Comparison!$S$10:$S$29),1,0))</f>
        <v>1</v>
      </c>
      <c r="C9" s="9" t="str">
        <f t="shared" si="6"/>
        <v>Germany</v>
      </c>
      <c r="D9" s="6">
        <f t="shared" si="7"/>
        <v>57695</v>
      </c>
      <c r="E9" s="6">
        <f>IF(COUNTIF(I9:XFD9,"&gt;"&amp;0)=0,,HLOOKUP(COUNTIF(I9:XFD9,"&gt;"&amp;0)-1,I$1:XFD9,A9+1,FALSE))</f>
        <v>57695</v>
      </c>
      <c r="F9" s="7">
        <f>IF(COUNTIF(I9:XFD9,"&gt;"&amp;0)=0,,HLOOKUP(COUNTIF(I9:XFD9,"&gt;"&amp;0)-MIN($F$1+1,COUNTIF(I9:XFD9,"&gt;"&amp;0)),I$1:XFD9,A9+1,FALSE))</f>
        <v>29056</v>
      </c>
      <c r="G9" s="8">
        <f t="shared" si="8"/>
        <v>1.1470450370343364</v>
      </c>
      <c r="H9" s="13" t="s">
        <v>53</v>
      </c>
      <c r="I9" s="9">
        <v>130</v>
      </c>
      <c r="J9" s="9">
        <v>159</v>
      </c>
      <c r="K9" s="9">
        <v>196</v>
      </c>
      <c r="L9" s="9">
        <v>262</v>
      </c>
      <c r="M9" s="9">
        <v>482</v>
      </c>
      <c r="N9" s="9">
        <v>670</v>
      </c>
      <c r="O9" s="9">
        <v>799</v>
      </c>
      <c r="P9" s="9">
        <v>1040</v>
      </c>
      <c r="Q9" s="9">
        <v>1176</v>
      </c>
      <c r="R9" s="9">
        <v>1457</v>
      </c>
      <c r="S9" s="9">
        <v>1908</v>
      </c>
      <c r="T9" s="9">
        <v>2745</v>
      </c>
      <c r="U9" s="9">
        <v>3675</v>
      </c>
      <c r="V9" s="9">
        <v>4585</v>
      </c>
      <c r="W9" s="9">
        <v>5795</v>
      </c>
      <c r="X9" s="9">
        <v>7272</v>
      </c>
      <c r="Y9" s="9">
        <v>9257</v>
      </c>
      <c r="Z9" s="9">
        <v>12327</v>
      </c>
      <c r="AA9" s="9">
        <v>15320</v>
      </c>
      <c r="AB9" s="9">
        <v>19848</v>
      </c>
      <c r="AC9" s="9">
        <v>22213</v>
      </c>
      <c r="AD9" s="9">
        <v>24873</v>
      </c>
      <c r="AE9" s="9">
        <v>29056</v>
      </c>
      <c r="AF9" s="9">
        <v>32986</v>
      </c>
      <c r="AG9" s="9">
        <v>37323</v>
      </c>
      <c r="AH9" s="9">
        <v>43938</v>
      </c>
      <c r="AI9" s="9">
        <v>50871</v>
      </c>
      <c r="AJ9" s="9">
        <v>57695</v>
      </c>
    </row>
    <row r="10" spans="1:307" x14ac:dyDescent="0.25">
      <c r="A10" s="9">
        <f t="shared" si="5"/>
        <v>9</v>
      </c>
      <c r="B10" s="9">
        <f t="array" ref="B10">IF(C10="",0,IF(OR(C10=Country_Comparison!$S$10:$S$29),1,0))</f>
        <v>1</v>
      </c>
      <c r="C10" s="9" t="str">
        <f t="shared" si="6"/>
        <v>France</v>
      </c>
      <c r="D10" s="6">
        <f t="shared" si="7"/>
        <v>38105</v>
      </c>
      <c r="E10" s="6">
        <f>IF(COUNTIF(I10:XFD10,"&gt;"&amp;0)=0,,HLOOKUP(COUNTIF(I10:XFD10,"&gt;"&amp;0)-1,I$1:XFD10,A10+1,FALSE))</f>
        <v>38105</v>
      </c>
      <c r="F10" s="7">
        <f>IF(COUNTIF(I10:XFD10,"&gt;"&amp;0)=0,,HLOOKUP(COUNTIF(I10:XFD10,"&gt;"&amp;0)-MIN($F$1+1,COUNTIF(I10:XFD10,"&gt;"&amp;0)),I$1:XFD10,A10+1,FALSE))</f>
        <v>20123</v>
      </c>
      <c r="G10" s="8">
        <f t="shared" si="8"/>
        <v>1.1362080129490926</v>
      </c>
      <c r="H10" s="13" t="s">
        <v>41</v>
      </c>
      <c r="I10" s="9">
        <v>100</v>
      </c>
      <c r="J10" s="9">
        <v>130</v>
      </c>
      <c r="K10" s="9">
        <v>191</v>
      </c>
      <c r="L10" s="9">
        <v>204</v>
      </c>
      <c r="M10" s="9">
        <v>288</v>
      </c>
      <c r="N10" s="9">
        <v>380</v>
      </c>
      <c r="O10" s="9">
        <v>656</v>
      </c>
      <c r="P10" s="9">
        <v>959</v>
      </c>
      <c r="Q10" s="9">
        <v>1136</v>
      </c>
      <c r="R10" s="9">
        <v>1219</v>
      </c>
      <c r="S10" s="9">
        <v>1794</v>
      </c>
      <c r="T10" s="9">
        <v>2293</v>
      </c>
      <c r="U10" s="9">
        <v>2876</v>
      </c>
      <c r="V10" s="9">
        <v>3681</v>
      </c>
      <c r="W10" s="9">
        <v>4496</v>
      </c>
      <c r="X10" s="9">
        <v>5432</v>
      </c>
      <c r="Y10" s="9">
        <v>6683</v>
      </c>
      <c r="Z10" s="9">
        <v>7715</v>
      </c>
      <c r="AA10" s="9">
        <v>9124</v>
      </c>
      <c r="AB10" s="9">
        <v>10970</v>
      </c>
      <c r="AC10" s="9">
        <v>12758</v>
      </c>
      <c r="AD10" s="9">
        <v>14463</v>
      </c>
      <c r="AE10" s="9">
        <v>16243</v>
      </c>
      <c r="AF10" s="9">
        <v>20123</v>
      </c>
      <c r="AG10" s="9">
        <v>22622</v>
      </c>
      <c r="AH10" s="9">
        <v>25600</v>
      </c>
      <c r="AI10" s="9">
        <v>29551</v>
      </c>
      <c r="AJ10" s="9">
        <v>33402</v>
      </c>
      <c r="AK10" s="9">
        <v>38105</v>
      </c>
    </row>
    <row r="11" spans="1:307" x14ac:dyDescent="0.25">
      <c r="A11" s="9">
        <f t="shared" si="5"/>
        <v>10</v>
      </c>
      <c r="B11" s="9">
        <f t="array" ref="B11">IF(C11="",0,IF(OR(C11=Country_Comparison!$S$10:$S$29),1,0))</f>
        <v>1</v>
      </c>
      <c r="C11" s="9" t="str">
        <f t="shared" si="6"/>
        <v>United Kingdom</v>
      </c>
      <c r="D11" s="6">
        <f t="shared" si="7"/>
        <v>17312</v>
      </c>
      <c r="E11" s="6">
        <f>IF(COUNTIF(I11:XFD11,"&gt;"&amp;0)=0,,HLOOKUP(COUNTIF(I11:XFD11,"&gt;"&amp;0)-1,I$1:XFD11,A11+1,FALSE))</f>
        <v>17312</v>
      </c>
      <c r="F11" s="7">
        <f>IF(COUNTIF(I11:XFD11,"&gt;"&amp;0)=0,,HLOOKUP(COUNTIF(I11:XFD11,"&gt;"&amp;0)-MIN($F$1+1,COUNTIF(I11:XFD11,"&gt;"&amp;0)),I$1:XFD11,A11+1,FALSE))</f>
        <v>6726</v>
      </c>
      <c r="G11" s="8">
        <f t="shared" si="8"/>
        <v>1.2081422604707583</v>
      </c>
      <c r="H11" s="13" t="s">
        <v>349</v>
      </c>
      <c r="I11" s="9">
        <v>116</v>
      </c>
      <c r="J11" s="9">
        <v>164</v>
      </c>
      <c r="K11" s="9">
        <v>207</v>
      </c>
      <c r="L11" s="9">
        <v>274</v>
      </c>
      <c r="M11" s="9">
        <v>322</v>
      </c>
      <c r="N11" s="9">
        <v>384</v>
      </c>
      <c r="O11" s="9">
        <v>459</v>
      </c>
      <c r="P11" s="9">
        <v>590</v>
      </c>
      <c r="Q11" s="9">
        <v>802</v>
      </c>
      <c r="R11" s="9">
        <v>1144</v>
      </c>
      <c r="S11" s="9">
        <v>1355</v>
      </c>
      <c r="T11" s="9">
        <v>1551</v>
      </c>
      <c r="U11" s="9">
        <v>1960</v>
      </c>
      <c r="V11" s="9">
        <v>2642</v>
      </c>
      <c r="W11" s="9">
        <v>2716</v>
      </c>
      <c r="X11" s="9">
        <v>4014</v>
      </c>
      <c r="Y11" s="9">
        <v>5067</v>
      </c>
      <c r="Z11" s="9">
        <v>5745</v>
      </c>
      <c r="AA11" s="9">
        <v>6726</v>
      </c>
      <c r="AB11" s="9">
        <v>8164</v>
      </c>
      <c r="AC11" s="9">
        <v>9640</v>
      </c>
      <c r="AD11" s="9">
        <v>11812</v>
      </c>
      <c r="AE11" s="9">
        <v>14745</v>
      </c>
      <c r="AF11" s="9">
        <v>17312</v>
      </c>
    </row>
    <row r="12" spans="1:307" x14ac:dyDescent="0.25">
      <c r="A12" s="9">
        <f t="shared" si="5"/>
        <v>11</v>
      </c>
      <c r="B12" s="9">
        <f t="array" ref="B12">IF(C12="",0,IF(OR(C12=Country_Comparison!$S$10:$S$29),1,0))</f>
        <v>0</v>
      </c>
      <c r="C12" s="9" t="str">
        <f t="shared" si="6"/>
        <v>World</v>
      </c>
      <c r="D12" s="6">
        <f t="shared" si="7"/>
        <v>658374</v>
      </c>
      <c r="E12" s="6">
        <f>IF(COUNTIF(I12:XFD12,"&gt;"&amp;0)=0,,HLOOKUP(COUNTIF(I12:XFD12,"&gt;"&amp;0)-1,I$1:XFD12,A12+1,FALSE))</f>
        <v>658374</v>
      </c>
      <c r="F12" s="7">
        <f>IF(COUNTIF(I12:XFD12,"&gt;"&amp;0)=0,,HLOOKUP(COUNTIF(I12:XFD12,"&gt;"&amp;0)-MIN($F$1+1,COUNTIF(I12:XFD12,"&gt;"&amp;0)),I$1:XFD12,A12+1,FALSE))</f>
        <v>376812</v>
      </c>
      <c r="G12" s="8">
        <f t="shared" si="8"/>
        <v>1.118071531015443</v>
      </c>
      <c r="H12" s="13" t="s">
        <v>606</v>
      </c>
      <c r="I12" s="9">
        <v>555</v>
      </c>
      <c r="J12" s="9">
        <v>654</v>
      </c>
      <c r="K12" s="9">
        <v>941</v>
      </c>
      <c r="L12" s="9">
        <v>1434</v>
      </c>
      <c r="M12" s="9">
        <v>2118</v>
      </c>
      <c r="N12" s="9">
        <v>2927</v>
      </c>
      <c r="O12" s="9">
        <v>5578</v>
      </c>
      <c r="P12" s="9">
        <v>6166</v>
      </c>
      <c r="Q12" s="9">
        <v>8234</v>
      </c>
      <c r="R12" s="9">
        <v>9927</v>
      </c>
      <c r="S12" s="9">
        <v>12038</v>
      </c>
      <c r="T12" s="9">
        <v>16787</v>
      </c>
      <c r="U12" s="9">
        <v>19881</v>
      </c>
      <c r="V12" s="9">
        <v>23892</v>
      </c>
      <c r="W12" s="9">
        <v>27635</v>
      </c>
      <c r="X12" s="9">
        <v>30794</v>
      </c>
      <c r="Y12" s="9">
        <v>34330</v>
      </c>
      <c r="Z12" s="9">
        <v>37059</v>
      </c>
      <c r="AA12" s="9">
        <v>40086</v>
      </c>
      <c r="AB12" s="9">
        <v>42627</v>
      </c>
      <c r="AC12" s="9">
        <v>44667</v>
      </c>
      <c r="AD12" s="9">
        <v>50287</v>
      </c>
      <c r="AE12" s="9">
        <v>60193</v>
      </c>
      <c r="AF12" s="9">
        <v>66667</v>
      </c>
      <c r="AG12" s="9">
        <v>68745</v>
      </c>
      <c r="AH12" s="9">
        <v>70869</v>
      </c>
      <c r="AI12" s="9">
        <v>72804</v>
      </c>
      <c r="AJ12" s="9">
        <v>74594</v>
      </c>
      <c r="AK12" s="9">
        <v>75018</v>
      </c>
      <c r="AL12" s="9">
        <v>75563</v>
      </c>
      <c r="AM12" s="9">
        <v>76185</v>
      </c>
      <c r="AN12" s="9">
        <v>77938</v>
      </c>
      <c r="AO12" s="9">
        <v>78267</v>
      </c>
      <c r="AP12" s="9">
        <v>78870</v>
      </c>
      <c r="AQ12" s="9">
        <v>79715</v>
      </c>
      <c r="AR12" s="9">
        <v>80683</v>
      </c>
      <c r="AS12" s="9">
        <v>82041</v>
      </c>
      <c r="AT12" s="9">
        <v>83407</v>
      </c>
      <c r="AU12" s="9">
        <v>85306</v>
      </c>
      <c r="AV12" s="9">
        <v>87664</v>
      </c>
      <c r="AW12" s="9">
        <v>89601</v>
      </c>
      <c r="AX12" s="9">
        <v>92134</v>
      </c>
      <c r="AY12" s="9">
        <v>94414</v>
      </c>
      <c r="AZ12" s="9">
        <v>97176</v>
      </c>
      <c r="BA12" s="9">
        <v>101088</v>
      </c>
      <c r="BB12" s="9">
        <v>105125</v>
      </c>
      <c r="BC12" s="9">
        <v>109099</v>
      </c>
      <c r="BD12" s="9">
        <v>112865</v>
      </c>
      <c r="BE12" s="9">
        <v>117888</v>
      </c>
      <c r="BF12" s="9">
        <v>125139</v>
      </c>
      <c r="BG12" s="9">
        <v>132517</v>
      </c>
      <c r="BH12" s="9">
        <v>144468</v>
      </c>
      <c r="BI12" s="9">
        <v>155337</v>
      </c>
      <c r="BJ12" s="9">
        <v>167781</v>
      </c>
      <c r="BK12" s="9">
        <v>180762</v>
      </c>
      <c r="BL12" s="9">
        <v>196234</v>
      </c>
      <c r="BM12" s="9">
        <v>213897</v>
      </c>
      <c r="BN12" s="9">
        <v>241500</v>
      </c>
      <c r="BO12" s="9">
        <v>270949</v>
      </c>
      <c r="BP12" s="9">
        <v>303183</v>
      </c>
      <c r="BQ12" s="9">
        <v>335631</v>
      </c>
      <c r="BR12" s="9">
        <v>376812</v>
      </c>
      <c r="BS12" s="9">
        <v>416496</v>
      </c>
      <c r="BT12" s="9">
        <v>465942</v>
      </c>
      <c r="BU12" s="9">
        <v>527572</v>
      </c>
      <c r="BV12" s="9">
        <v>591115</v>
      </c>
      <c r="BW12" s="9">
        <v>658374</v>
      </c>
    </row>
    <row r="13" spans="1:307" x14ac:dyDescent="0.25">
      <c r="A13" s="9">
        <f t="shared" si="5"/>
        <v>12</v>
      </c>
      <c r="B13" s="9">
        <f t="array" ref="B13">IF(C13="",0,IF(OR(C13=Country_Comparison!$S$10:$S$29),1,0))</f>
        <v>0</v>
      </c>
      <c r="C13" s="9" t="str">
        <f t="shared" si="6"/>
        <v>Europe</v>
      </c>
      <c r="D13" s="6">
        <f t="shared" si="7"/>
        <v>362825</v>
      </c>
      <c r="E13" s="6">
        <f>IF(COUNTIF(I13:XFD13,"&gt;"&amp;0)=0,,HLOOKUP(COUNTIF(I13:XFD13,"&gt;"&amp;0)-1,I$1:XFD13,A13+1,FALSE))</f>
        <v>362825</v>
      </c>
      <c r="F13" s="7">
        <f>IF(COUNTIF(I13:XFD13,"&gt;"&amp;0)=0,,HLOOKUP(COUNTIF(I13:XFD13,"&gt;"&amp;0)-MIN($F$1+1,COUNTIF(I13:XFD13,"&gt;"&amp;0)),I$1:XFD13,A13+1,FALSE))</f>
        <v>196940</v>
      </c>
      <c r="G13" s="8">
        <f t="shared" si="8"/>
        <v>1.1299849365033117</v>
      </c>
      <c r="H13" s="13" t="s">
        <v>609</v>
      </c>
      <c r="I13" s="9">
        <v>104</v>
      </c>
      <c r="J13" s="9">
        <v>197</v>
      </c>
      <c r="K13" s="9">
        <v>275</v>
      </c>
      <c r="L13" s="9">
        <v>379</v>
      </c>
      <c r="M13" s="9">
        <v>540</v>
      </c>
      <c r="N13" s="9">
        <v>804</v>
      </c>
      <c r="O13" s="9">
        <v>1093</v>
      </c>
      <c r="P13" s="9">
        <v>1465</v>
      </c>
      <c r="Q13" s="9">
        <v>2205</v>
      </c>
      <c r="R13" s="9">
        <v>2731</v>
      </c>
      <c r="S13" s="9">
        <v>3360</v>
      </c>
      <c r="T13" s="9">
        <v>4342</v>
      </c>
      <c r="U13" s="9">
        <v>5743</v>
      </c>
      <c r="V13" s="9">
        <v>7509</v>
      </c>
      <c r="W13" s="9">
        <v>9653</v>
      </c>
      <c r="X13" s="9">
        <v>12202</v>
      </c>
      <c r="Y13" s="9">
        <v>14988</v>
      </c>
      <c r="Z13" s="9">
        <v>18391</v>
      </c>
      <c r="AA13" s="9">
        <v>23465</v>
      </c>
      <c r="AB13" s="9">
        <v>29097</v>
      </c>
      <c r="AC13" s="9">
        <v>38314</v>
      </c>
      <c r="AD13" s="9">
        <v>46524</v>
      </c>
      <c r="AE13" s="9">
        <v>56031</v>
      </c>
      <c r="AF13" s="9">
        <v>65711</v>
      </c>
      <c r="AG13" s="9">
        <v>76893</v>
      </c>
      <c r="AH13" s="9">
        <v>90579</v>
      </c>
      <c r="AI13" s="9">
        <v>109054</v>
      </c>
      <c r="AJ13" s="9">
        <v>129704</v>
      </c>
      <c r="AK13" s="9">
        <v>151490</v>
      </c>
      <c r="AL13" s="9">
        <v>171175</v>
      </c>
      <c r="AM13" s="9">
        <v>196940</v>
      </c>
      <c r="AN13" s="9">
        <v>220914</v>
      </c>
      <c r="AO13" s="9">
        <v>251069</v>
      </c>
      <c r="AP13" s="9">
        <v>287075</v>
      </c>
      <c r="AQ13" s="9">
        <v>324624</v>
      </c>
      <c r="AR13" s="9">
        <v>362825</v>
      </c>
    </row>
    <row r="14" spans="1:307" x14ac:dyDescent="0.25">
      <c r="A14" s="9">
        <f t="shared" si="5"/>
        <v>13</v>
      </c>
      <c r="B14" s="9">
        <f t="array" ref="B14">IF(C14="",0,IF(OR(C14=Country_Comparison!$S$10:$S$29),1,0))</f>
        <v>0</v>
      </c>
      <c r="C14" s="9" t="str">
        <f t="shared" si="6"/>
        <v>North America</v>
      </c>
      <c r="D14" s="6">
        <f t="shared" si="7"/>
        <v>129008</v>
      </c>
      <c r="E14" s="6">
        <f>IF(COUNTIF(I14:XFD14,"&gt;"&amp;0)=0,,HLOOKUP(COUNTIF(I14:XFD14,"&gt;"&amp;0)-1,I$1:XFD14,A14+1,FALSE))</f>
        <v>129008</v>
      </c>
      <c r="F14" s="7">
        <f>IF(COUNTIF(I14:XFD14,"&gt;"&amp;0)=0,,HLOOKUP(COUNTIF(I14:XFD14,"&gt;"&amp;0)-MIN($F$1+1,COUNTIF(I14:XFD14,"&gt;"&amp;0)),I$1:XFD14,A14+1,FALSE))</f>
        <v>46816</v>
      </c>
      <c r="G14" s="8">
        <f t="shared" si="8"/>
        <v>1.2247415946730145</v>
      </c>
      <c r="H14" s="13" t="s">
        <v>611</v>
      </c>
      <c r="I14" s="9">
        <v>103</v>
      </c>
      <c r="J14" s="9">
        <v>130</v>
      </c>
      <c r="K14" s="9">
        <v>153</v>
      </c>
      <c r="L14" s="9">
        <v>187</v>
      </c>
      <c r="M14" s="9">
        <v>259</v>
      </c>
      <c r="N14" s="9">
        <v>318</v>
      </c>
      <c r="O14" s="9">
        <v>463</v>
      </c>
      <c r="P14" s="9">
        <v>594</v>
      </c>
      <c r="Q14" s="9">
        <v>676</v>
      </c>
      <c r="R14" s="9">
        <v>1055</v>
      </c>
      <c r="S14" s="9">
        <v>1419</v>
      </c>
      <c r="T14" s="9">
        <v>1830</v>
      </c>
      <c r="U14" s="9">
        <v>2447</v>
      </c>
      <c r="V14" s="9">
        <v>3026</v>
      </c>
      <c r="W14" s="9">
        <v>3877</v>
      </c>
      <c r="X14" s="9">
        <v>5205</v>
      </c>
      <c r="Y14" s="9">
        <v>7109</v>
      </c>
      <c r="Z14" s="9">
        <v>8690</v>
      </c>
      <c r="AA14" s="9">
        <v>14800</v>
      </c>
      <c r="AB14" s="9">
        <v>20466</v>
      </c>
      <c r="AC14" s="9">
        <v>27324</v>
      </c>
      <c r="AD14" s="9">
        <v>35498</v>
      </c>
      <c r="AE14" s="9">
        <v>46816</v>
      </c>
      <c r="AF14" s="9">
        <v>57491</v>
      </c>
      <c r="AG14" s="9">
        <v>70164</v>
      </c>
      <c r="AH14" s="9">
        <v>89242</v>
      </c>
      <c r="AI14" s="9">
        <v>107974</v>
      </c>
      <c r="AJ14" s="9">
        <v>129008</v>
      </c>
    </row>
    <row r="15" spans="1:307" x14ac:dyDescent="0.25">
      <c r="A15" s="9">
        <f t="shared" si="5"/>
        <v>14</v>
      </c>
      <c r="B15" s="9">
        <f t="array" ref="B15">IF(C15="",0,IF(OR(C15=Country_Comparison!$S$10:$S$29),1,0))</f>
        <v>0</v>
      </c>
      <c r="C15" s="9" t="str">
        <f t="shared" si="6"/>
        <v>Asia</v>
      </c>
      <c r="D15" s="6">
        <f t="shared" si="7"/>
        <v>104697</v>
      </c>
      <c r="E15" s="6">
        <f>IF(COUNTIF(I15:XFD15,"&gt;"&amp;0)=0,,HLOOKUP(COUNTIF(I15:XFD15,"&gt;"&amp;0)-1,I$1:XFD15,A15+1,FALSE))</f>
        <v>104697</v>
      </c>
      <c r="F15" s="7">
        <f>IF(COUNTIF(I15:XFD15,"&gt;"&amp;0)=0,,HLOOKUP(COUNTIF(I15:XFD15,"&gt;"&amp;0)-MIN($F$1+1,COUNTIF(I15:XFD15,"&gt;"&amp;0)),I$1:XFD15,A15+1,FALSE))</f>
        <v>97888</v>
      </c>
      <c r="G15" s="8">
        <f t="shared" si="8"/>
        <v>1.0135401478921864</v>
      </c>
      <c r="H15" s="13" t="s">
        <v>608</v>
      </c>
      <c r="I15" s="9">
        <v>554</v>
      </c>
      <c r="J15" s="9">
        <v>653</v>
      </c>
      <c r="K15" s="9">
        <v>937</v>
      </c>
      <c r="L15" s="9">
        <v>1429</v>
      </c>
      <c r="M15" s="9">
        <v>2105</v>
      </c>
      <c r="N15" s="9">
        <v>2911</v>
      </c>
      <c r="O15" s="9">
        <v>5557</v>
      </c>
      <c r="P15" s="9">
        <v>6138</v>
      </c>
      <c r="Q15" s="9">
        <v>8203</v>
      </c>
      <c r="R15" s="9">
        <v>9886</v>
      </c>
      <c r="S15" s="9">
        <v>11988</v>
      </c>
      <c r="T15" s="9">
        <v>16734</v>
      </c>
      <c r="U15" s="9">
        <v>19823</v>
      </c>
      <c r="V15" s="9">
        <v>23832</v>
      </c>
      <c r="W15" s="9">
        <v>27574</v>
      </c>
      <c r="X15" s="9">
        <v>30732</v>
      </c>
      <c r="Y15" s="9">
        <v>34262</v>
      </c>
      <c r="Z15" s="9">
        <v>36984</v>
      </c>
      <c r="AA15" s="9">
        <v>40009</v>
      </c>
      <c r="AB15" s="9">
        <v>42544</v>
      </c>
      <c r="AC15" s="9">
        <v>44581</v>
      </c>
      <c r="AD15" s="9">
        <v>50200</v>
      </c>
      <c r="AE15" s="9">
        <v>60105</v>
      </c>
      <c r="AF15" s="9">
        <v>66578</v>
      </c>
      <c r="AG15" s="9">
        <v>68655</v>
      </c>
      <c r="AH15" s="9">
        <v>70778</v>
      </c>
      <c r="AI15" s="9">
        <v>72712</v>
      </c>
      <c r="AJ15" s="9">
        <v>74502</v>
      </c>
      <c r="AK15" s="9">
        <v>74924</v>
      </c>
      <c r="AL15" s="9">
        <v>75466</v>
      </c>
      <c r="AM15" s="9">
        <v>76053</v>
      </c>
      <c r="AN15" s="9">
        <v>77750</v>
      </c>
      <c r="AO15" s="9">
        <v>77971</v>
      </c>
      <c r="AP15" s="9">
        <v>78435</v>
      </c>
      <c r="AQ15" s="9">
        <v>79108</v>
      </c>
      <c r="AR15" s="9">
        <v>79831</v>
      </c>
      <c r="AS15" s="9">
        <v>80796</v>
      </c>
      <c r="AT15" s="9">
        <v>81712</v>
      </c>
      <c r="AU15" s="9">
        <v>82985</v>
      </c>
      <c r="AV15" s="9">
        <v>84174</v>
      </c>
      <c r="AW15" s="9">
        <v>85004</v>
      </c>
      <c r="AX15" s="9">
        <v>86010</v>
      </c>
      <c r="AY15" s="9">
        <v>86645</v>
      </c>
      <c r="AZ15" s="9">
        <v>87311</v>
      </c>
      <c r="BA15" s="9">
        <v>88093</v>
      </c>
      <c r="BB15" s="9">
        <v>88691</v>
      </c>
      <c r="BC15" s="9">
        <v>89110</v>
      </c>
      <c r="BD15" s="9">
        <v>89366</v>
      </c>
      <c r="BE15" s="9">
        <v>89578</v>
      </c>
      <c r="BF15" s="9">
        <v>90009</v>
      </c>
      <c r="BG15" s="9">
        <v>90170</v>
      </c>
      <c r="BH15" s="9">
        <v>90559</v>
      </c>
      <c r="BI15" s="9">
        <v>90960</v>
      </c>
      <c r="BJ15" s="9">
        <v>91494</v>
      </c>
      <c r="BK15" s="9">
        <v>91957</v>
      </c>
      <c r="BL15" s="9">
        <v>92557</v>
      </c>
      <c r="BM15" s="9">
        <v>93142</v>
      </c>
      <c r="BN15" s="9">
        <v>93991</v>
      </c>
      <c r="BO15" s="9">
        <v>94711</v>
      </c>
      <c r="BP15" s="9">
        <v>95824</v>
      </c>
      <c r="BQ15" s="9">
        <v>96920</v>
      </c>
      <c r="BR15" s="9">
        <v>97888</v>
      </c>
      <c r="BS15" s="9">
        <v>98851</v>
      </c>
      <c r="BT15" s="9">
        <v>100098</v>
      </c>
      <c r="BU15" s="9">
        <v>101468</v>
      </c>
      <c r="BV15" s="9">
        <v>102919</v>
      </c>
      <c r="BW15" s="9">
        <v>104697</v>
      </c>
    </row>
    <row r="16" spans="1:307" x14ac:dyDescent="0.25">
      <c r="A16" s="9">
        <f t="shared" si="5"/>
        <v>15</v>
      </c>
      <c r="B16" s="9">
        <f t="array" ref="B16">IF(C16="",0,IF(OR(C16=Country_Comparison!$S$10:$S$29),1,0))</f>
        <v>0</v>
      </c>
      <c r="C16" s="9" t="str">
        <f t="shared" si="6"/>
        <v>Middle East</v>
      </c>
      <c r="D16" s="6">
        <f t="shared" si="7"/>
        <v>43425</v>
      </c>
      <c r="E16" s="6">
        <f>IF(COUNTIF(I16:XFD16,"&gt;"&amp;0)=0,,HLOOKUP(COUNTIF(I16:XFD16,"&gt;"&amp;0)-1,I$1:XFD16,A16+1,FALSE))</f>
        <v>43425</v>
      </c>
      <c r="F16" s="7">
        <f>IF(COUNTIF(I16:XFD16,"&gt;"&amp;0)=0,,HLOOKUP(COUNTIF(I16:XFD16,"&gt;"&amp;0)-MIN($F$1+1,COUNTIF(I16:XFD16,"&gt;"&amp;0)),I$1:XFD16,A16+1,FALSE))</f>
        <v>26713</v>
      </c>
      <c r="G16" s="8">
        <f t="shared" si="8"/>
        <v>1.1020554143997294</v>
      </c>
      <c r="H16" s="13" t="s">
        <v>610</v>
      </c>
      <c r="I16" s="9">
        <v>148</v>
      </c>
      <c r="J16" s="9">
        <v>225</v>
      </c>
      <c r="K16" s="9">
        <v>351</v>
      </c>
      <c r="L16" s="9">
        <v>506</v>
      </c>
      <c r="M16" s="9">
        <v>732</v>
      </c>
      <c r="N16" s="9">
        <v>1140</v>
      </c>
      <c r="O16" s="9">
        <v>1687</v>
      </c>
      <c r="P16" s="9">
        <v>2547</v>
      </c>
      <c r="Q16" s="9">
        <v>3146</v>
      </c>
      <c r="R16" s="9">
        <v>3757</v>
      </c>
      <c r="S16" s="9">
        <v>5024</v>
      </c>
      <c r="T16" s="9">
        <v>6164</v>
      </c>
      <c r="U16" s="9">
        <v>6960</v>
      </c>
      <c r="V16" s="9">
        <v>7572</v>
      </c>
      <c r="W16" s="9">
        <v>8550</v>
      </c>
      <c r="X16" s="9">
        <v>9861</v>
      </c>
      <c r="Y16" s="9">
        <v>11000</v>
      </c>
      <c r="Z16" s="9">
        <v>12461</v>
      </c>
      <c r="AA16" s="9">
        <v>13957</v>
      </c>
      <c r="AB16" s="9">
        <v>15351</v>
      </c>
      <c r="AC16" s="9">
        <v>16495</v>
      </c>
      <c r="AD16" s="9">
        <v>17839</v>
      </c>
      <c r="AE16" s="9">
        <v>19209</v>
      </c>
      <c r="AF16" s="9">
        <v>20622</v>
      </c>
      <c r="AG16" s="9">
        <v>22099</v>
      </c>
      <c r="AH16" s="9">
        <v>23391</v>
      </c>
      <c r="AI16" s="9">
        <v>24889</v>
      </c>
      <c r="AJ16" s="9">
        <v>26713</v>
      </c>
      <c r="AK16" s="9">
        <v>29119</v>
      </c>
      <c r="AL16" s="9">
        <v>32804</v>
      </c>
      <c r="AM16" s="9">
        <v>35824</v>
      </c>
      <c r="AN16" s="9">
        <v>39454</v>
      </c>
      <c r="AO16" s="9">
        <v>43425</v>
      </c>
    </row>
    <row r="17" spans="1:46" x14ac:dyDescent="0.25">
      <c r="A17" s="9">
        <f t="shared" si="5"/>
        <v>16</v>
      </c>
      <c r="B17" s="9">
        <f t="array" ref="B17">IF(C17="",0,IF(OR(C17=Country_Comparison!$S$10:$S$29),1,0))</f>
        <v>0</v>
      </c>
      <c r="C17" s="9" t="str">
        <f t="shared" si="6"/>
        <v>Iran</v>
      </c>
      <c r="D17" s="6">
        <f t="shared" si="7"/>
        <v>35408</v>
      </c>
      <c r="E17" s="6">
        <f>IF(COUNTIF(I17:XFD17,"&gt;"&amp;0)=0,,HLOOKUP(COUNTIF(I17:XFD17,"&gt;"&amp;0)-1,I$1:XFD17,A17+1,FALSE))</f>
        <v>35408</v>
      </c>
      <c r="F17" s="7">
        <f>IF(COUNTIF(I17:XFD17,"&gt;"&amp;0)=0,,HLOOKUP(COUNTIF(I17:XFD17,"&gt;"&amp;0)-MIN($F$1+1,COUNTIF(I17:XFD17,"&gt;"&amp;0)),I$1:XFD17,A17+1,FALSE))</f>
        <v>23049</v>
      </c>
      <c r="G17" s="8">
        <f t="shared" si="8"/>
        <v>1.0896571219662319</v>
      </c>
      <c r="H17" s="13" t="s">
        <v>338</v>
      </c>
      <c r="I17" s="9">
        <v>139</v>
      </c>
      <c r="J17" s="9">
        <v>245</v>
      </c>
      <c r="K17" s="9">
        <v>388</v>
      </c>
      <c r="L17" s="9">
        <v>593</v>
      </c>
      <c r="M17" s="9">
        <v>978</v>
      </c>
      <c r="N17" s="9">
        <v>1501</v>
      </c>
      <c r="O17" s="9">
        <v>2336</v>
      </c>
      <c r="P17" s="9">
        <v>2922</v>
      </c>
      <c r="Q17" s="9">
        <v>3513</v>
      </c>
      <c r="R17" s="9">
        <v>4747</v>
      </c>
      <c r="S17" s="9">
        <v>5823</v>
      </c>
      <c r="T17" s="9">
        <v>6566</v>
      </c>
      <c r="U17" s="9">
        <v>7161</v>
      </c>
      <c r="V17" s="9">
        <v>8042</v>
      </c>
      <c r="W17" s="9">
        <v>9000</v>
      </c>
      <c r="X17" s="9">
        <v>10075</v>
      </c>
      <c r="Y17" s="9">
        <v>11364</v>
      </c>
      <c r="Z17" s="9">
        <v>12729</v>
      </c>
      <c r="AA17" s="9">
        <v>13938</v>
      </c>
      <c r="AB17" s="9">
        <v>14991</v>
      </c>
      <c r="AC17" s="9">
        <v>16169</v>
      </c>
      <c r="AD17" s="9">
        <v>17361</v>
      </c>
      <c r="AE17" s="9">
        <v>18407</v>
      </c>
      <c r="AF17" s="9">
        <v>19644</v>
      </c>
      <c r="AG17" s="9">
        <v>20610</v>
      </c>
      <c r="AH17" s="9">
        <v>21638</v>
      </c>
      <c r="AI17" s="9">
        <v>23049</v>
      </c>
      <c r="AJ17" s="9">
        <v>24811</v>
      </c>
      <c r="AK17" s="9">
        <v>27017</v>
      </c>
      <c r="AL17" s="9">
        <v>29406</v>
      </c>
      <c r="AM17" s="9">
        <v>32332</v>
      </c>
      <c r="AN17" s="9">
        <v>35408</v>
      </c>
    </row>
    <row r="18" spans="1:46" x14ac:dyDescent="0.25">
      <c r="A18" s="9">
        <f t="shared" si="5"/>
        <v>17</v>
      </c>
      <c r="B18" s="9">
        <f t="array" ref="B18">IF(C18="",0,IF(OR(C18=Country_Comparison!$S$10:$S$29),1,0))</f>
        <v>0</v>
      </c>
      <c r="C18" s="9" t="str">
        <f t="shared" si="6"/>
        <v>Switzerland</v>
      </c>
      <c r="D18" s="6">
        <f t="shared" si="7"/>
        <v>14076</v>
      </c>
      <c r="E18" s="6">
        <f>IF(COUNTIF(I18:XFD18,"&gt;"&amp;0)=0,,HLOOKUP(COUNTIF(I18:XFD18,"&gt;"&amp;0)-1,I$1:XFD18,A18+1,FALSE))</f>
        <v>14076</v>
      </c>
      <c r="F18" s="7">
        <f>IF(COUNTIF(I18:XFD18,"&gt;"&amp;0)=0,,HLOOKUP(COUNTIF(I18:XFD18,"&gt;"&amp;0)-MIN($F$1+1,COUNTIF(I18:XFD18,"&gt;"&amp;0)),I$1:XFD18,A18+1,FALSE))</f>
        <v>8795</v>
      </c>
      <c r="G18" s="8">
        <f t="shared" si="8"/>
        <v>1.0986229899040263</v>
      </c>
      <c r="H18" s="13" t="s">
        <v>77</v>
      </c>
      <c r="I18" s="9">
        <v>114</v>
      </c>
      <c r="J18" s="9">
        <v>214</v>
      </c>
      <c r="K18" s="9">
        <v>268</v>
      </c>
      <c r="L18" s="9">
        <v>337</v>
      </c>
      <c r="M18" s="9">
        <v>374</v>
      </c>
      <c r="N18" s="9">
        <v>491</v>
      </c>
      <c r="O18" s="9">
        <v>652</v>
      </c>
      <c r="P18" s="9">
        <v>652</v>
      </c>
      <c r="Q18" s="9">
        <v>1139</v>
      </c>
      <c r="R18" s="9">
        <v>1359</v>
      </c>
      <c r="S18" s="9">
        <v>2200</v>
      </c>
      <c r="T18" s="9">
        <v>2200</v>
      </c>
      <c r="U18" s="9">
        <v>2700</v>
      </c>
      <c r="V18" s="9">
        <v>3028</v>
      </c>
      <c r="W18" s="9">
        <v>4075</v>
      </c>
      <c r="X18" s="9">
        <v>5294</v>
      </c>
      <c r="Y18" s="9">
        <v>6575</v>
      </c>
      <c r="Z18" s="9">
        <v>7474</v>
      </c>
      <c r="AA18" s="9">
        <v>8795</v>
      </c>
      <c r="AB18" s="9">
        <v>9877</v>
      </c>
      <c r="AC18" s="9">
        <v>10897</v>
      </c>
      <c r="AD18" s="9">
        <v>11811</v>
      </c>
      <c r="AE18" s="9">
        <v>12928</v>
      </c>
      <c r="AF18" s="9">
        <v>14076</v>
      </c>
    </row>
    <row r="19" spans="1:46" x14ac:dyDescent="0.25">
      <c r="A19" s="9">
        <f t="shared" si="5"/>
        <v>18</v>
      </c>
      <c r="B19" s="9">
        <f t="array" ref="B19">IF(C19="",0,IF(OR(C19=Country_Comparison!$S$10:$S$29),1,0))</f>
        <v>0</v>
      </c>
      <c r="C19" s="9" t="str">
        <f t="shared" si="6"/>
        <v>South America</v>
      </c>
      <c r="D19" s="6">
        <f t="shared" si="7"/>
        <v>10656</v>
      </c>
      <c r="E19" s="6">
        <f>IF(COUNTIF(I19:XFD19,"&gt;"&amp;0)=0,,HLOOKUP(COUNTIF(I19:XFD19,"&gt;"&amp;0)-1,I$1:XFD19,A19+1,FALSE))</f>
        <v>10656</v>
      </c>
      <c r="F19" s="7">
        <f>IF(COUNTIF(I19:XFD19,"&gt;"&amp;0)=0,,HLOOKUP(COUNTIF(I19:XFD19,"&gt;"&amp;0)-MIN($F$1+1,COUNTIF(I19:XFD19,"&gt;"&amp;0)),I$1:XFD19,A19+1,FALSE))</f>
        <v>5055</v>
      </c>
      <c r="G19" s="8">
        <f t="shared" si="8"/>
        <v>1.160846003040922</v>
      </c>
      <c r="H19" s="13" t="s">
        <v>612</v>
      </c>
      <c r="I19" s="9">
        <v>134</v>
      </c>
      <c r="J19" s="9">
        <v>153</v>
      </c>
      <c r="K19" s="9">
        <v>305</v>
      </c>
      <c r="L19" s="9">
        <v>371</v>
      </c>
      <c r="M19" s="9">
        <v>427</v>
      </c>
      <c r="N19" s="9">
        <v>635</v>
      </c>
      <c r="O19" s="9">
        <v>919</v>
      </c>
      <c r="P19" s="9">
        <v>1133</v>
      </c>
      <c r="Q19" s="9">
        <v>1604</v>
      </c>
      <c r="R19" s="9">
        <v>2266</v>
      </c>
      <c r="S19" s="9">
        <v>2969</v>
      </c>
      <c r="T19" s="9">
        <v>4204</v>
      </c>
      <c r="U19" s="9">
        <v>5055</v>
      </c>
      <c r="V19" s="9">
        <v>5926</v>
      </c>
      <c r="W19" s="9">
        <v>6804</v>
      </c>
      <c r="X19" s="9">
        <v>7992</v>
      </c>
      <c r="Y19" s="9">
        <v>9251</v>
      </c>
      <c r="Z19" s="9">
        <v>10656</v>
      </c>
    </row>
    <row r="20" spans="1:46" x14ac:dyDescent="0.25">
      <c r="A20" s="9">
        <f t="shared" si="5"/>
        <v>19</v>
      </c>
      <c r="B20" s="9">
        <f t="array" ref="B20">IF(C20="",0,IF(OR(C20=Country_Comparison!$S$10:$S$29),1,0))</f>
        <v>0</v>
      </c>
      <c r="C20" s="9" t="str">
        <f t="shared" si="6"/>
        <v>Netherlands</v>
      </c>
      <c r="D20" s="6">
        <f t="shared" si="7"/>
        <v>9819</v>
      </c>
      <c r="E20" s="6">
        <f>IF(COUNTIF(I20:XFD20,"&gt;"&amp;0)=0,,HLOOKUP(COUNTIF(I20:XFD20,"&gt;"&amp;0)-1,I$1:XFD20,A20+1,FALSE))</f>
        <v>9819</v>
      </c>
      <c r="F20" s="7">
        <f>IF(COUNTIF(I20:XFD20,"&gt;"&amp;0)=0,,HLOOKUP(COUNTIF(I20:XFD20,"&gt;"&amp;0)-MIN($F$1+1,COUNTIF(I20:XFD20,"&gt;"&amp;0)),I$1:XFD20,A20+1,FALSE))</f>
        <v>4764</v>
      </c>
      <c r="G20" s="8">
        <f t="shared" si="8"/>
        <v>1.1556307820449778</v>
      </c>
      <c r="H20" s="13" t="s">
        <v>89</v>
      </c>
      <c r="I20" s="9">
        <v>128</v>
      </c>
      <c r="J20" s="9">
        <v>188</v>
      </c>
      <c r="K20" s="9">
        <v>265</v>
      </c>
      <c r="L20" s="9">
        <v>321</v>
      </c>
      <c r="M20" s="9">
        <v>382</v>
      </c>
      <c r="N20" s="9">
        <v>503</v>
      </c>
      <c r="O20" s="9">
        <v>503</v>
      </c>
      <c r="P20" s="9">
        <v>806</v>
      </c>
      <c r="Q20" s="9">
        <v>962</v>
      </c>
      <c r="R20" s="9">
        <v>1138</v>
      </c>
      <c r="S20" s="9">
        <v>1416</v>
      </c>
      <c r="T20" s="9">
        <v>1711</v>
      </c>
      <c r="U20" s="9">
        <v>2058</v>
      </c>
      <c r="V20" s="9">
        <v>2467</v>
      </c>
      <c r="W20" s="9">
        <v>3003</v>
      </c>
      <c r="X20" s="9">
        <v>3640</v>
      </c>
      <c r="Y20" s="9">
        <v>4217</v>
      </c>
      <c r="Z20" s="9">
        <v>4764</v>
      </c>
      <c r="AA20" s="9">
        <v>5580</v>
      </c>
      <c r="AB20" s="9">
        <v>6438</v>
      </c>
      <c r="AC20" s="9">
        <v>7468</v>
      </c>
      <c r="AD20" s="9">
        <v>8647</v>
      </c>
      <c r="AE20" s="9">
        <v>9819</v>
      </c>
    </row>
    <row r="21" spans="1:46" x14ac:dyDescent="0.25">
      <c r="A21" s="9">
        <f t="shared" si="5"/>
        <v>20</v>
      </c>
      <c r="B21" s="9">
        <f t="array" ref="B21">IF(C21="",0,IF(OR(C21=Country_Comparison!$S$10:$S$29),1,0))</f>
        <v>0</v>
      </c>
      <c r="C21" s="9" t="str">
        <f t="shared" si="6"/>
        <v>Korea, South</v>
      </c>
      <c r="D21" s="6">
        <f t="shared" si="7"/>
        <v>9478</v>
      </c>
      <c r="E21" s="6">
        <f>IF(COUNTIF(I21:XFD21,"&gt;"&amp;0)=0,,HLOOKUP(COUNTIF(I21:XFD21,"&gt;"&amp;0)-1,I$1:XFD21,A21+1,FALSE))</f>
        <v>9478</v>
      </c>
      <c r="F21" s="7">
        <f>IF(COUNTIF(I21:XFD21,"&gt;"&amp;0)=0,,HLOOKUP(COUNTIF(I21:XFD21,"&gt;"&amp;0)-MIN($F$1+1,COUNTIF(I21:XFD21,"&gt;"&amp;0)),I$1:XFD21,A21+1,FALSE))</f>
        <v>8961</v>
      </c>
      <c r="G21" s="8">
        <f t="shared" si="8"/>
        <v>1.011281460212009</v>
      </c>
      <c r="H21" s="13" t="s">
        <v>339</v>
      </c>
      <c r="I21" s="9">
        <v>104</v>
      </c>
      <c r="J21" s="9">
        <v>204</v>
      </c>
      <c r="K21" s="9">
        <v>433</v>
      </c>
      <c r="L21" s="9">
        <v>602</v>
      </c>
      <c r="M21" s="9">
        <v>833</v>
      </c>
      <c r="N21" s="9">
        <v>977</v>
      </c>
      <c r="O21" s="9">
        <v>1261</v>
      </c>
      <c r="P21" s="9">
        <v>1766</v>
      </c>
      <c r="Q21" s="9">
        <v>2337</v>
      </c>
      <c r="R21" s="9">
        <v>3150</v>
      </c>
      <c r="S21" s="9">
        <v>3736</v>
      </c>
      <c r="T21" s="9">
        <v>4335</v>
      </c>
      <c r="U21" s="9">
        <v>5186</v>
      </c>
      <c r="V21" s="9">
        <v>5621</v>
      </c>
      <c r="W21" s="9">
        <v>6088</v>
      </c>
      <c r="X21" s="9">
        <v>6593</v>
      </c>
      <c r="Y21" s="9">
        <v>7041</v>
      </c>
      <c r="Z21" s="9">
        <v>7314</v>
      </c>
      <c r="AA21" s="9">
        <v>7478</v>
      </c>
      <c r="AB21" s="9">
        <v>7513</v>
      </c>
      <c r="AC21" s="9">
        <v>7755</v>
      </c>
      <c r="AD21" s="9">
        <v>7869</v>
      </c>
      <c r="AE21" s="9">
        <v>7979</v>
      </c>
      <c r="AF21" s="9">
        <v>8086</v>
      </c>
      <c r="AG21" s="9">
        <v>8162</v>
      </c>
      <c r="AH21" s="9">
        <v>8236</v>
      </c>
      <c r="AI21" s="9">
        <v>8320</v>
      </c>
      <c r="AJ21" s="9">
        <v>8413</v>
      </c>
      <c r="AK21" s="9">
        <v>8565</v>
      </c>
      <c r="AL21" s="9">
        <v>8652</v>
      </c>
      <c r="AM21" s="9">
        <v>8799</v>
      </c>
      <c r="AN21" s="9">
        <v>8961</v>
      </c>
      <c r="AO21" s="9">
        <v>8961</v>
      </c>
      <c r="AP21" s="9">
        <v>9037</v>
      </c>
      <c r="AQ21" s="9">
        <v>9137</v>
      </c>
      <c r="AR21" s="9">
        <v>9241</v>
      </c>
      <c r="AS21" s="9">
        <v>9332</v>
      </c>
      <c r="AT21" s="9">
        <v>9478</v>
      </c>
    </row>
    <row r="22" spans="1:46" x14ac:dyDescent="0.25">
      <c r="A22" s="9">
        <f t="shared" si="5"/>
        <v>21</v>
      </c>
      <c r="B22" s="9">
        <f t="array" ref="B22">IF(C22="",0,IF(OR(C22=Country_Comparison!$S$10:$S$29),1,0))</f>
        <v>0</v>
      </c>
      <c r="C22" s="9" t="str">
        <f t="shared" si="6"/>
        <v>Belgium</v>
      </c>
      <c r="D22" s="6">
        <f t="shared" si="7"/>
        <v>9134</v>
      </c>
      <c r="E22" s="6">
        <f>IF(COUNTIF(I22:XFD22,"&gt;"&amp;0)=0,,HLOOKUP(COUNTIF(I22:XFD22,"&gt;"&amp;0)-1,I$1:XFD22,A22+1,FALSE))</f>
        <v>9134</v>
      </c>
      <c r="F22" s="7">
        <f>IF(COUNTIF(I22:XFD22,"&gt;"&amp;0)=0,,HLOOKUP(COUNTIF(I22:XFD22,"&gt;"&amp;0)-MIN($F$1+1,COUNTIF(I22:XFD22,"&gt;"&amp;0)),I$1:XFD22,A22+1,FALSE))</f>
        <v>3743</v>
      </c>
      <c r="G22" s="8">
        <f t="shared" si="8"/>
        <v>1.1953311466562109</v>
      </c>
      <c r="H22" s="13" t="s">
        <v>63</v>
      </c>
      <c r="I22" s="9">
        <v>109</v>
      </c>
      <c r="J22" s="9">
        <v>169</v>
      </c>
      <c r="K22" s="9">
        <v>200</v>
      </c>
      <c r="L22" s="9">
        <v>239</v>
      </c>
      <c r="M22" s="9">
        <v>267</v>
      </c>
      <c r="N22" s="9">
        <v>314</v>
      </c>
      <c r="O22" s="9">
        <v>314</v>
      </c>
      <c r="P22" s="9">
        <v>559</v>
      </c>
      <c r="Q22" s="9">
        <v>689</v>
      </c>
      <c r="R22" s="9">
        <v>886</v>
      </c>
      <c r="S22" s="9">
        <v>1058</v>
      </c>
      <c r="T22" s="9">
        <v>1243</v>
      </c>
      <c r="U22" s="9">
        <v>1486</v>
      </c>
      <c r="V22" s="9">
        <v>1795</v>
      </c>
      <c r="W22" s="9">
        <v>2257</v>
      </c>
      <c r="X22" s="9">
        <v>2815</v>
      </c>
      <c r="Y22" s="9">
        <v>3401</v>
      </c>
      <c r="Z22" s="9">
        <v>3743</v>
      </c>
      <c r="AA22" s="9">
        <v>4269</v>
      </c>
      <c r="AB22" s="9">
        <v>4937</v>
      </c>
      <c r="AC22" s="9">
        <v>6235</v>
      </c>
      <c r="AD22" s="9">
        <v>7284</v>
      </c>
      <c r="AE22" s="9">
        <v>9134</v>
      </c>
    </row>
    <row r="23" spans="1:46" x14ac:dyDescent="0.25">
      <c r="A23" s="9">
        <f t="shared" si="5"/>
        <v>22</v>
      </c>
      <c r="B23" s="9">
        <f t="array" ref="B23">IF(C23="",0,IF(OR(C23=Country_Comparison!$S$10:$S$29),1,0))</f>
        <v>0</v>
      </c>
      <c r="C23" s="9" t="str">
        <f t="shared" si="6"/>
        <v>Austria</v>
      </c>
      <c r="D23" s="6">
        <f t="shared" si="7"/>
        <v>8271</v>
      </c>
      <c r="E23" s="6">
        <f>IF(COUNTIF(I23:XFD23,"&gt;"&amp;0)=0,,HLOOKUP(COUNTIF(I23:XFD23,"&gt;"&amp;0)-1,I$1:XFD23,A23+1,FALSE))</f>
        <v>8271</v>
      </c>
      <c r="F23" s="7">
        <f>IF(COUNTIF(I23:XFD23,"&gt;"&amp;0)=0,,HLOOKUP(COUNTIF(I23:XFD23,"&gt;"&amp;0)-MIN($F$1+1,COUNTIF(I23:XFD23,"&gt;"&amp;0)),I$1:XFD23,A23+1,FALSE))</f>
        <v>4474</v>
      </c>
      <c r="G23" s="8">
        <f t="shared" si="8"/>
        <v>1.1307651319702459</v>
      </c>
      <c r="H23" s="13" t="s">
        <v>78</v>
      </c>
      <c r="I23" s="9">
        <v>104</v>
      </c>
      <c r="J23" s="9">
        <v>131</v>
      </c>
      <c r="K23" s="9">
        <v>182</v>
      </c>
      <c r="L23" s="9">
        <v>246</v>
      </c>
      <c r="M23" s="9">
        <v>302</v>
      </c>
      <c r="N23" s="9">
        <v>504</v>
      </c>
      <c r="O23" s="9">
        <v>655</v>
      </c>
      <c r="P23" s="9">
        <v>860</v>
      </c>
      <c r="Q23" s="9">
        <v>1018</v>
      </c>
      <c r="R23" s="9">
        <v>1332</v>
      </c>
      <c r="S23" s="9">
        <v>1646</v>
      </c>
      <c r="T23" s="9">
        <v>2013</v>
      </c>
      <c r="U23" s="9">
        <v>2388</v>
      </c>
      <c r="V23" s="9">
        <v>2814</v>
      </c>
      <c r="W23" s="9">
        <v>3582</v>
      </c>
      <c r="X23" s="9">
        <v>4474</v>
      </c>
      <c r="Y23" s="9">
        <v>5283</v>
      </c>
      <c r="Z23" s="9">
        <v>5588</v>
      </c>
      <c r="AA23" s="9">
        <v>6909</v>
      </c>
      <c r="AB23" s="9">
        <v>7657</v>
      </c>
      <c r="AC23" s="9">
        <v>8271</v>
      </c>
    </row>
    <row r="24" spans="1:46" x14ac:dyDescent="0.25">
      <c r="A24" s="9">
        <f t="shared" si="5"/>
        <v>23</v>
      </c>
      <c r="B24" s="9">
        <f t="array" ref="B24">IF(C24="",0,IF(OR(C24=Country_Comparison!$S$10:$S$29),1,0))</f>
        <v>0</v>
      </c>
      <c r="C24" s="9" t="str">
        <f t="shared" si="6"/>
        <v>Turkey</v>
      </c>
      <c r="D24" s="6">
        <f t="shared" si="7"/>
        <v>7402</v>
      </c>
      <c r="E24" s="6">
        <f>IF(COUNTIF(I24:XFD24,"&gt;"&amp;0)=0,,HLOOKUP(COUNTIF(I24:XFD24,"&gt;"&amp;0)-1,I$1:XFD24,A24+1,FALSE))</f>
        <v>7402</v>
      </c>
      <c r="F24" s="7">
        <f>IF(COUNTIF(I24:XFD24,"&gt;"&amp;0)=0,,HLOOKUP(COUNTIF(I24:XFD24,"&gt;"&amp;0)-MIN($F$1+1,COUNTIF(I24:XFD24,"&gt;"&amp;0)),I$1:XFD24,A24+1,FALSE))</f>
        <v>1529</v>
      </c>
      <c r="G24" s="8">
        <f t="shared" si="8"/>
        <v>1.3708448949630425</v>
      </c>
      <c r="H24" s="13" t="s">
        <v>355</v>
      </c>
      <c r="I24" s="9">
        <v>192</v>
      </c>
      <c r="J24" s="9">
        <v>359</v>
      </c>
      <c r="K24" s="9">
        <v>670</v>
      </c>
      <c r="L24" s="9">
        <v>1236</v>
      </c>
      <c r="M24" s="9">
        <v>1529</v>
      </c>
      <c r="N24" s="9">
        <v>1872</v>
      </c>
      <c r="O24" s="9">
        <v>2433</v>
      </c>
      <c r="P24" s="9">
        <v>3629</v>
      </c>
      <c r="Q24" s="9">
        <v>5698</v>
      </c>
      <c r="R24" s="9">
        <v>7402</v>
      </c>
    </row>
    <row r="25" spans="1:46" x14ac:dyDescent="0.25">
      <c r="A25" s="9">
        <f t="shared" si="5"/>
        <v>24</v>
      </c>
      <c r="B25" s="9">
        <f t="array" ref="B25">IF(C25="",0,IF(OR(C25=Country_Comparison!$S$10:$S$29),1,0))</f>
        <v>0</v>
      </c>
      <c r="C25" s="9" t="str">
        <f t="shared" si="6"/>
        <v>Canada</v>
      </c>
      <c r="D25" s="6">
        <f t="shared" si="7"/>
        <v>5576</v>
      </c>
      <c r="E25" s="6">
        <f>IF(COUNTIF(I25:XFD25,"&gt;"&amp;0)=0,,HLOOKUP(COUNTIF(I25:XFD25,"&gt;"&amp;0)-1,I$1:XFD25,A25+1,FALSE))</f>
        <v>5576</v>
      </c>
      <c r="F25" s="7">
        <f>IF(COUNTIF(I25:XFD25,"&gt;"&amp;0)=0,,HLOOKUP(COUNTIF(I25:XFD25,"&gt;"&amp;0)-MIN($F$1+1,COUNTIF(I25:XFD25,"&gt;"&amp;0)),I$1:XFD25,A25+1,FALSE))</f>
        <v>2088</v>
      </c>
      <c r="G25" s="8">
        <f t="shared" si="8"/>
        <v>1.2170781176992393</v>
      </c>
      <c r="H25" s="13" t="s">
        <v>45</v>
      </c>
      <c r="I25" s="9">
        <v>108</v>
      </c>
      <c r="J25" s="9">
        <v>117</v>
      </c>
      <c r="K25" s="9">
        <v>193</v>
      </c>
      <c r="L25" s="9">
        <v>198</v>
      </c>
      <c r="M25" s="9">
        <v>252</v>
      </c>
      <c r="N25" s="9">
        <v>415</v>
      </c>
      <c r="O25" s="9">
        <v>478</v>
      </c>
      <c r="P25" s="9">
        <v>657</v>
      </c>
      <c r="Q25" s="9">
        <v>800</v>
      </c>
      <c r="R25" s="9">
        <v>943</v>
      </c>
      <c r="S25" s="9">
        <v>1277</v>
      </c>
      <c r="T25" s="9">
        <v>1469</v>
      </c>
      <c r="U25" s="9">
        <v>2088</v>
      </c>
      <c r="V25" s="9">
        <v>2790</v>
      </c>
      <c r="W25" s="9">
        <v>3251</v>
      </c>
      <c r="X25" s="9">
        <v>4042</v>
      </c>
      <c r="Y25" s="9">
        <v>4682</v>
      </c>
      <c r="Z25" s="9">
        <v>5576</v>
      </c>
    </row>
    <row r="26" spans="1:46" x14ac:dyDescent="0.25">
      <c r="A26" s="9">
        <f t="shared" si="5"/>
        <v>25</v>
      </c>
      <c r="B26" s="9">
        <f t="array" ref="B26">IF(C26="",0,IF(OR(C26=Country_Comparison!$S$10:$S$29),1,0))</f>
        <v>0</v>
      </c>
      <c r="C26" s="9" t="str">
        <f t="shared" si="6"/>
        <v>Portugal</v>
      </c>
      <c r="D26" s="6">
        <f t="shared" si="7"/>
        <v>5170</v>
      </c>
      <c r="E26" s="6">
        <f>IF(COUNTIF(I26:XFD26,"&gt;"&amp;0)=0,,HLOOKUP(COUNTIF(I26:XFD26,"&gt;"&amp;0)-1,I$1:XFD26,A26+1,FALSE))</f>
        <v>5170</v>
      </c>
      <c r="F26" s="7">
        <f>IF(COUNTIF(I26:XFD26,"&gt;"&amp;0)=0,,HLOOKUP(COUNTIF(I26:XFD26,"&gt;"&amp;0)-MIN($F$1+1,COUNTIF(I26:XFD26,"&gt;"&amp;0)),I$1:XFD26,A26+1,FALSE))</f>
        <v>2060</v>
      </c>
      <c r="G26" s="8">
        <f t="shared" si="8"/>
        <v>1.2020559003467797</v>
      </c>
      <c r="H26" s="13" t="s">
        <v>108</v>
      </c>
      <c r="I26" s="9">
        <v>112</v>
      </c>
      <c r="J26" s="9">
        <v>169</v>
      </c>
      <c r="K26" s="9">
        <v>245</v>
      </c>
      <c r="L26" s="9">
        <v>331</v>
      </c>
      <c r="M26" s="9">
        <v>448</v>
      </c>
      <c r="N26" s="9">
        <v>448</v>
      </c>
      <c r="O26" s="9">
        <v>785</v>
      </c>
      <c r="P26" s="9">
        <v>1020</v>
      </c>
      <c r="Q26" s="9">
        <v>1280</v>
      </c>
      <c r="R26" s="9">
        <v>1600</v>
      </c>
      <c r="S26" s="9">
        <v>2060</v>
      </c>
      <c r="T26" s="9">
        <v>2362</v>
      </c>
      <c r="U26" s="9">
        <v>2995</v>
      </c>
      <c r="V26" s="9">
        <v>3544</v>
      </c>
      <c r="W26" s="9">
        <v>4268</v>
      </c>
      <c r="X26" s="9">
        <v>5170</v>
      </c>
    </row>
    <row r="27" spans="1:46" x14ac:dyDescent="0.25">
      <c r="A27" s="9">
        <f t="shared" si="5"/>
        <v>26</v>
      </c>
      <c r="B27" s="9">
        <f t="array" ref="B27">IF(C27="",0,IF(OR(C27=Country_Comparison!$S$10:$S$29),1,0))</f>
        <v>0</v>
      </c>
      <c r="C27" s="9" t="str">
        <f t="shared" si="6"/>
        <v>Norway</v>
      </c>
      <c r="D27" s="6">
        <f t="shared" si="7"/>
        <v>4015</v>
      </c>
      <c r="E27" s="6">
        <f>IF(COUNTIF(I27:XFD27,"&gt;"&amp;0)=0,,HLOOKUP(COUNTIF(I27:XFD27,"&gt;"&amp;0)-1,I$1:XFD27,A27+1,FALSE))</f>
        <v>4015</v>
      </c>
      <c r="F27" s="7">
        <f>IF(COUNTIF(I27:XFD27,"&gt;"&amp;0)=0,,HLOOKUP(COUNTIF(I27:XFD27,"&gt;"&amp;0)-MIN($F$1+1,COUNTIF(I27:XFD27,"&gt;"&amp;0)),I$1:XFD27,A27+1,FALSE))</f>
        <v>2621</v>
      </c>
      <c r="G27" s="8">
        <f t="shared" si="8"/>
        <v>1.0890396846025294</v>
      </c>
      <c r="H27" s="13" t="s">
        <v>85</v>
      </c>
      <c r="I27" s="9">
        <v>108</v>
      </c>
      <c r="J27" s="9">
        <v>147</v>
      </c>
      <c r="K27" s="9">
        <v>176</v>
      </c>
      <c r="L27" s="9">
        <v>205</v>
      </c>
      <c r="M27" s="9">
        <v>400</v>
      </c>
      <c r="N27" s="9">
        <v>598</v>
      </c>
      <c r="O27" s="9">
        <v>702</v>
      </c>
      <c r="P27" s="9">
        <v>996</v>
      </c>
      <c r="Q27" s="9">
        <v>1090</v>
      </c>
      <c r="R27" s="9">
        <v>1221</v>
      </c>
      <c r="S27" s="9">
        <v>1333</v>
      </c>
      <c r="T27" s="9">
        <v>1463</v>
      </c>
      <c r="U27" s="9">
        <v>1550</v>
      </c>
      <c r="V27" s="9">
        <v>1746</v>
      </c>
      <c r="W27" s="9">
        <v>1914</v>
      </c>
      <c r="X27" s="9">
        <v>2118</v>
      </c>
      <c r="Y27" s="9">
        <v>2385</v>
      </c>
      <c r="Z27" s="9">
        <v>2621</v>
      </c>
      <c r="AA27" s="9">
        <v>2863</v>
      </c>
      <c r="AB27" s="9">
        <v>3084</v>
      </c>
      <c r="AC27" s="9">
        <v>3369</v>
      </c>
      <c r="AD27" s="9">
        <v>3755</v>
      </c>
      <c r="AE27" s="9">
        <v>4015</v>
      </c>
    </row>
    <row r="28" spans="1:46" x14ac:dyDescent="0.25">
      <c r="A28" s="9">
        <f t="shared" si="5"/>
        <v>27</v>
      </c>
      <c r="B28" s="9">
        <f t="array" ref="B28">IF(C28="",0,IF(OR(C28=Country_Comparison!$S$10:$S$29),1,0))</f>
        <v>0</v>
      </c>
      <c r="C28" s="9" t="str">
        <f t="shared" si="6"/>
        <v>Brazil</v>
      </c>
      <c r="D28" s="6">
        <f t="shared" si="7"/>
        <v>3904</v>
      </c>
      <c r="E28" s="6">
        <f>IF(COUNTIF(I28:XFD28,"&gt;"&amp;0)=0,,HLOOKUP(COUNTIF(I28:XFD28,"&gt;"&amp;0)-1,I$1:XFD28,A28+1,FALSE))</f>
        <v>3904</v>
      </c>
      <c r="F28" s="7">
        <f>IF(COUNTIF(I28:XFD28,"&gt;"&amp;0)=0,,HLOOKUP(COUNTIF(I28:XFD28,"&gt;"&amp;0)-MIN($F$1+1,COUNTIF(I28:XFD28,"&gt;"&amp;0)),I$1:XFD28,A28+1,FALSE))</f>
        <v>1924</v>
      </c>
      <c r="G28" s="8">
        <f t="shared" si="8"/>
        <v>1.1520224653569551</v>
      </c>
      <c r="H28" s="13" t="s">
        <v>81</v>
      </c>
      <c r="I28" s="9">
        <v>151</v>
      </c>
      <c r="J28" s="9">
        <v>151</v>
      </c>
      <c r="K28" s="9">
        <v>162</v>
      </c>
      <c r="L28" s="9">
        <v>200</v>
      </c>
      <c r="M28" s="9">
        <v>321</v>
      </c>
      <c r="N28" s="9">
        <v>372</v>
      </c>
      <c r="O28" s="9">
        <v>621</v>
      </c>
      <c r="P28" s="9">
        <v>793</v>
      </c>
      <c r="Q28" s="9">
        <v>1021</v>
      </c>
      <c r="R28" s="9">
        <v>1546</v>
      </c>
      <c r="S28" s="9">
        <v>1924</v>
      </c>
      <c r="T28" s="9">
        <v>2247</v>
      </c>
      <c r="U28" s="9">
        <v>2554</v>
      </c>
      <c r="V28" s="9">
        <v>2985</v>
      </c>
      <c r="W28" s="9">
        <v>3417</v>
      </c>
      <c r="X28" s="9">
        <v>3904</v>
      </c>
    </row>
    <row r="29" spans="1:46" x14ac:dyDescent="0.25">
      <c r="A29" s="9">
        <f t="shared" si="5"/>
        <v>28</v>
      </c>
      <c r="B29" s="9">
        <f t="array" ref="B29">IF(C29="",0,IF(OR(C29=Country_Comparison!$S$10:$S$29),1,0))</f>
        <v>0</v>
      </c>
      <c r="C29" s="9" t="str">
        <f t="shared" si="6"/>
        <v>Africa</v>
      </c>
      <c r="D29" s="6">
        <f t="shared" si="7"/>
        <v>3672</v>
      </c>
      <c r="E29" s="6">
        <f>IF(COUNTIF(I29:XFD29,"&gt;"&amp;0)=0,,HLOOKUP(COUNTIF(I29:XFD29,"&gt;"&amp;0)-1,I$1:XFD29,A29+1,FALSE))</f>
        <v>3672</v>
      </c>
      <c r="F29" s="7">
        <f>IF(COUNTIF(I29:XFD29,"&gt;"&amp;0)=0,,HLOOKUP(COUNTIF(I29:XFD29,"&gt;"&amp;0)-MIN($F$1+1,COUNTIF(I29:XFD29,"&gt;"&amp;0)),I$1:XFD29,A29+1,FALSE))</f>
        <v>1616</v>
      </c>
      <c r="G29" s="8">
        <f t="shared" si="8"/>
        <v>1.1783987230458968</v>
      </c>
      <c r="H29" s="13" t="s">
        <v>613</v>
      </c>
      <c r="I29" s="9">
        <v>104</v>
      </c>
      <c r="J29" s="9">
        <v>118</v>
      </c>
      <c r="K29" s="9">
        <v>134</v>
      </c>
      <c r="L29" s="9">
        <v>177</v>
      </c>
      <c r="M29" s="9">
        <v>243</v>
      </c>
      <c r="N29" s="9">
        <v>296</v>
      </c>
      <c r="O29" s="9">
        <v>374</v>
      </c>
      <c r="P29" s="9">
        <v>453</v>
      </c>
      <c r="Q29" s="9">
        <v>556</v>
      </c>
      <c r="R29" s="9">
        <v>720</v>
      </c>
      <c r="S29" s="9">
        <v>873</v>
      </c>
      <c r="T29" s="9">
        <v>1062</v>
      </c>
      <c r="U29" s="9">
        <v>1294</v>
      </c>
      <c r="V29" s="9">
        <v>1616</v>
      </c>
      <c r="W29" s="9">
        <v>1996</v>
      </c>
      <c r="X29" s="9">
        <v>2434</v>
      </c>
      <c r="Y29" s="9">
        <v>2878</v>
      </c>
      <c r="Z29" s="9">
        <v>3382</v>
      </c>
      <c r="AA29" s="9">
        <v>3672</v>
      </c>
    </row>
    <row r="30" spans="1:46" x14ac:dyDescent="0.25">
      <c r="A30" s="9">
        <f t="shared" si="5"/>
        <v>29</v>
      </c>
      <c r="B30" s="9">
        <f t="array" ref="B30">IF(C30="",0,IF(OR(C30=Country_Comparison!$S$10:$S$29),1,0))</f>
        <v>0</v>
      </c>
      <c r="C30" s="9" t="str">
        <f t="shared" si="6"/>
        <v>Australia</v>
      </c>
      <c r="D30" s="6">
        <f t="shared" si="7"/>
        <v>3640</v>
      </c>
      <c r="E30" s="6">
        <f>IF(COUNTIF(I30:XFD30,"&gt;"&amp;0)=0,,HLOOKUP(COUNTIF(I30:XFD30,"&gt;"&amp;0)-1,I$1:XFD30,A30+1,FALSE))</f>
        <v>3640</v>
      </c>
      <c r="F30" s="7">
        <f>IF(COUNTIF(I30:XFD30,"&gt;"&amp;0)=0,,HLOOKUP(COUNTIF(I30:XFD30,"&gt;"&amp;0)-MIN($F$1+1,COUNTIF(I30:XFD30,"&gt;"&amp;0)),I$1:XFD30,A30+1,FALSE))</f>
        <v>1682</v>
      </c>
      <c r="G30" s="8">
        <f t="shared" si="8"/>
        <v>1.1669576044946952</v>
      </c>
      <c r="H30" s="13" t="s">
        <v>48</v>
      </c>
      <c r="I30" s="9">
        <v>107</v>
      </c>
      <c r="J30" s="9">
        <v>128</v>
      </c>
      <c r="K30" s="9">
        <v>128</v>
      </c>
      <c r="L30" s="9">
        <v>200</v>
      </c>
      <c r="M30" s="9">
        <v>250</v>
      </c>
      <c r="N30" s="9">
        <v>297</v>
      </c>
      <c r="O30" s="9">
        <v>377</v>
      </c>
      <c r="P30" s="9">
        <v>452</v>
      </c>
      <c r="Q30" s="9">
        <v>568</v>
      </c>
      <c r="R30" s="9">
        <v>681</v>
      </c>
      <c r="S30" s="9">
        <v>791</v>
      </c>
      <c r="T30" s="9">
        <v>1071</v>
      </c>
      <c r="U30" s="9">
        <v>1549</v>
      </c>
      <c r="V30" s="9">
        <v>1682</v>
      </c>
      <c r="W30" s="9">
        <v>2044</v>
      </c>
      <c r="X30" s="9">
        <v>2364</v>
      </c>
      <c r="Y30" s="9">
        <v>2810</v>
      </c>
      <c r="Z30" s="9">
        <v>3143</v>
      </c>
      <c r="AA30" s="9">
        <v>3640</v>
      </c>
    </row>
    <row r="31" spans="1:46" x14ac:dyDescent="0.25">
      <c r="A31" s="9">
        <f t="shared" si="5"/>
        <v>30</v>
      </c>
      <c r="B31" s="9">
        <f t="array" ref="B31">IF(C31="",0,IF(OR(C31=Country_Comparison!$S$10:$S$29),1,0))</f>
        <v>0</v>
      </c>
      <c r="C31" s="9" t="str">
        <f t="shared" si="6"/>
        <v>Israel</v>
      </c>
      <c r="D31" s="6">
        <f t="shared" si="7"/>
        <v>3619</v>
      </c>
      <c r="E31" s="6">
        <f>IF(COUNTIF(I31:XFD31,"&gt;"&amp;0)=0,,HLOOKUP(COUNTIF(I31:XFD31,"&gt;"&amp;0)-1,I$1:XFD31,A31+1,FALSE))</f>
        <v>3619</v>
      </c>
      <c r="F31" s="7">
        <f>IF(COUNTIF(I31:XFD31,"&gt;"&amp;0)=0,,HLOOKUP(COUNTIF(I31:XFD31,"&gt;"&amp;0)-MIN($F$1+1,COUNTIF(I31:XFD31,"&gt;"&amp;0)),I$1:XFD31,A31+1,FALSE))</f>
        <v>1071</v>
      </c>
      <c r="G31" s="8">
        <f t="shared" si="8"/>
        <v>1.2757330959923381</v>
      </c>
      <c r="H31" s="13" t="s">
        <v>79</v>
      </c>
      <c r="I31" s="9">
        <v>100</v>
      </c>
      <c r="J31" s="9">
        <v>126</v>
      </c>
      <c r="K31" s="9">
        <v>155</v>
      </c>
      <c r="L31" s="9">
        <v>213</v>
      </c>
      <c r="M31" s="9">
        <v>218</v>
      </c>
      <c r="N31" s="9">
        <v>250</v>
      </c>
      <c r="O31" s="9">
        <v>304</v>
      </c>
      <c r="P31" s="9">
        <v>427</v>
      </c>
      <c r="Q31" s="9">
        <v>529</v>
      </c>
      <c r="R31" s="9">
        <v>712</v>
      </c>
      <c r="S31" s="9">
        <v>883</v>
      </c>
      <c r="T31" s="9">
        <v>1071</v>
      </c>
      <c r="U31" s="9">
        <v>1238</v>
      </c>
      <c r="V31" s="9">
        <v>2369</v>
      </c>
      <c r="W31" s="9">
        <v>2693</v>
      </c>
      <c r="X31" s="9">
        <v>3035</v>
      </c>
      <c r="Y31" s="9">
        <v>3619</v>
      </c>
    </row>
    <row r="32" spans="1:46" x14ac:dyDescent="0.25">
      <c r="A32" s="9">
        <f t="shared" si="5"/>
        <v>31</v>
      </c>
      <c r="B32" s="9">
        <f t="array" ref="B32">IF(C32="",0,IF(OR(C32=Country_Comparison!$S$10:$S$29),1,0))</f>
        <v>0</v>
      </c>
      <c r="C32" s="9" t="str">
        <f t="shared" si="6"/>
        <v>Sweden</v>
      </c>
      <c r="D32" s="6">
        <f t="shared" si="7"/>
        <v>3447</v>
      </c>
      <c r="E32" s="6">
        <f>IF(COUNTIF(I32:XFD32,"&gt;"&amp;0)=0,,HLOOKUP(COUNTIF(I32:XFD32,"&gt;"&amp;0)-1,I$1:XFD32,A32+1,FALSE))</f>
        <v>3447</v>
      </c>
      <c r="F32" s="7">
        <f>IF(COUNTIF(I32:XFD32,"&gt;"&amp;0)=0,,HLOOKUP(COUNTIF(I32:XFD32,"&gt;"&amp;0)-MIN($F$1+1,COUNTIF(I32:XFD32,"&gt;"&amp;0)),I$1:XFD32,A32+1,FALSE))</f>
        <v>2046</v>
      </c>
      <c r="G32" s="8">
        <f t="shared" si="8"/>
        <v>1.109959495370304</v>
      </c>
      <c r="H32" s="13" t="s">
        <v>59</v>
      </c>
      <c r="I32" s="9">
        <v>101</v>
      </c>
      <c r="J32" s="9">
        <v>161</v>
      </c>
      <c r="K32" s="9">
        <v>203</v>
      </c>
      <c r="L32" s="9">
        <v>248</v>
      </c>
      <c r="M32" s="9">
        <v>355</v>
      </c>
      <c r="N32" s="9">
        <v>500</v>
      </c>
      <c r="O32" s="9">
        <v>599</v>
      </c>
      <c r="P32" s="9">
        <v>814</v>
      </c>
      <c r="Q32" s="9">
        <v>961</v>
      </c>
      <c r="R32" s="9">
        <v>1022</v>
      </c>
      <c r="S32" s="9">
        <v>1103</v>
      </c>
      <c r="T32" s="9">
        <v>1190</v>
      </c>
      <c r="U32" s="9">
        <v>1279</v>
      </c>
      <c r="V32" s="9">
        <v>1439</v>
      </c>
      <c r="W32" s="9">
        <v>1639</v>
      </c>
      <c r="X32" s="9">
        <v>1763</v>
      </c>
      <c r="Y32" s="9">
        <v>1934</v>
      </c>
      <c r="Z32" s="9">
        <v>2046</v>
      </c>
      <c r="AA32" s="9">
        <v>2286</v>
      </c>
      <c r="AB32" s="9">
        <v>2526</v>
      </c>
      <c r="AC32" s="9">
        <v>2840</v>
      </c>
      <c r="AD32" s="9">
        <v>3069</v>
      </c>
      <c r="AE32" s="9">
        <v>3447</v>
      </c>
    </row>
    <row r="33" spans="1:45" x14ac:dyDescent="0.25">
      <c r="A33" s="9">
        <f t="shared" si="5"/>
        <v>32</v>
      </c>
      <c r="B33" s="9">
        <f t="array" ref="B33">IF(C33="",0,IF(OR(C33=Country_Comparison!$S$10:$S$29),1,0))</f>
        <v>0</v>
      </c>
      <c r="C33" s="9" t="str">
        <f t="shared" si="6"/>
        <v>Czechia</v>
      </c>
      <c r="D33" s="6">
        <f t="shared" si="7"/>
        <v>2631</v>
      </c>
      <c r="E33" s="6">
        <f>IF(COUNTIF(I33:XFD33,"&gt;"&amp;0)=0,,HLOOKUP(COUNTIF(I33:XFD33,"&gt;"&amp;0)-1,I$1:XFD33,A33+1,FALSE))</f>
        <v>2631</v>
      </c>
      <c r="F33" s="7">
        <f>IF(COUNTIF(I33:XFD33,"&gt;"&amp;0)=0,,HLOOKUP(COUNTIF(I33:XFD33,"&gt;"&amp;0)-MIN($F$1+1,COUNTIF(I33:XFD33,"&gt;"&amp;0)),I$1:XFD33,A33+1,FALSE))</f>
        <v>1236</v>
      </c>
      <c r="G33" s="8">
        <f t="shared" si="8"/>
        <v>1.1631091585665507</v>
      </c>
      <c r="H33" s="13" t="s">
        <v>341</v>
      </c>
      <c r="I33" s="9">
        <v>141</v>
      </c>
      <c r="J33" s="9">
        <v>189</v>
      </c>
      <c r="K33" s="9">
        <v>253</v>
      </c>
      <c r="L33" s="9">
        <v>298</v>
      </c>
      <c r="M33" s="9">
        <v>396</v>
      </c>
      <c r="N33" s="9">
        <v>464</v>
      </c>
      <c r="O33" s="9">
        <v>694</v>
      </c>
      <c r="P33" s="9">
        <v>833</v>
      </c>
      <c r="Q33" s="9">
        <v>995</v>
      </c>
      <c r="R33" s="9">
        <v>1120</v>
      </c>
      <c r="S33" s="9">
        <v>1236</v>
      </c>
      <c r="T33" s="9">
        <v>1394</v>
      </c>
      <c r="U33" s="9">
        <v>1654</v>
      </c>
      <c r="V33" s="9">
        <v>1925</v>
      </c>
      <c r="W33" s="9">
        <v>2279</v>
      </c>
      <c r="X33" s="9">
        <v>2631</v>
      </c>
    </row>
    <row r="34" spans="1:45" x14ac:dyDescent="0.25">
      <c r="A34" s="9">
        <f t="shared" si="5"/>
        <v>33</v>
      </c>
      <c r="B34" s="9">
        <f t="array" ref="B34">IF(C34="",0,IF(OR(C34=Country_Comparison!$S$10:$S$29),1,0))</f>
        <v>0</v>
      </c>
      <c r="C34" s="9" t="str">
        <f t="shared" si="6"/>
        <v>Ireland</v>
      </c>
      <c r="D34" s="6">
        <f t="shared" si="7"/>
        <v>2415</v>
      </c>
      <c r="E34" s="6">
        <f>IF(COUNTIF(I34:XFD34,"&gt;"&amp;0)=0,,HLOOKUP(COUNTIF(I34:XFD34,"&gt;"&amp;0)-1,I$1:XFD34,A34+1,FALSE))</f>
        <v>2415</v>
      </c>
      <c r="F34" s="7">
        <f>IF(COUNTIF(I34:XFD34,"&gt;"&amp;0)=0,,HLOOKUP(COUNTIF(I34:XFD34,"&gt;"&amp;0)-MIN($F$1+1,COUNTIF(I34:XFD34,"&gt;"&amp;0)),I$1:XFD34,A34+1,FALSE))</f>
        <v>1125</v>
      </c>
      <c r="G34" s="8">
        <f t="shared" si="8"/>
        <v>1.1650724224628264</v>
      </c>
      <c r="H34" s="13" t="s">
        <v>98</v>
      </c>
      <c r="I34" s="9">
        <v>129</v>
      </c>
      <c r="J34" s="9">
        <v>129</v>
      </c>
      <c r="K34" s="9">
        <v>169</v>
      </c>
      <c r="L34" s="9">
        <v>223</v>
      </c>
      <c r="M34" s="9">
        <v>292</v>
      </c>
      <c r="N34" s="9">
        <v>557</v>
      </c>
      <c r="O34" s="9">
        <v>683</v>
      </c>
      <c r="P34" s="9">
        <v>785</v>
      </c>
      <c r="Q34" s="9">
        <v>906</v>
      </c>
      <c r="R34" s="9">
        <v>1125</v>
      </c>
      <c r="S34" s="9">
        <v>1329</v>
      </c>
      <c r="T34" s="9">
        <v>1564</v>
      </c>
      <c r="U34" s="9">
        <v>1819</v>
      </c>
      <c r="V34" s="9">
        <v>2121</v>
      </c>
      <c r="W34" s="9">
        <v>2415</v>
      </c>
    </row>
    <row r="35" spans="1:45" x14ac:dyDescent="0.25">
      <c r="A35" s="9">
        <f t="shared" si="5"/>
        <v>34</v>
      </c>
      <c r="B35" s="9">
        <f t="array" ref="B35">IF(C35="",0,IF(OR(C35=Country_Comparison!$S$10:$S$29),1,0))</f>
        <v>0</v>
      </c>
      <c r="C35" s="9" t="str">
        <f t="shared" si="6"/>
        <v>Denmark</v>
      </c>
      <c r="D35" s="6">
        <f t="shared" si="7"/>
        <v>2366</v>
      </c>
      <c r="E35" s="6">
        <f>IF(COUNTIF(I35:XFD35,"&gt;"&amp;0)=0,,HLOOKUP(COUNTIF(I35:XFD35,"&gt;"&amp;0)-1,I$1:XFD35,A35+1,FALSE))</f>
        <v>2366</v>
      </c>
      <c r="F35" s="7">
        <f>IF(COUNTIF(I35:XFD35,"&gt;"&amp;0)=0,,HLOOKUP(COUNTIF(I35:XFD35,"&gt;"&amp;0)-MIN($F$1+1,COUNTIF(I35:XFD35,"&gt;"&amp;0)),I$1:XFD35,A35+1,FALSE))</f>
        <v>1572</v>
      </c>
      <c r="G35" s="8">
        <f t="shared" si="8"/>
        <v>1.0852066333130825</v>
      </c>
      <c r="H35" s="13" t="s">
        <v>87</v>
      </c>
      <c r="I35" s="9">
        <v>264</v>
      </c>
      <c r="J35" s="9">
        <v>444</v>
      </c>
      <c r="K35" s="9">
        <v>617</v>
      </c>
      <c r="L35" s="9">
        <v>804</v>
      </c>
      <c r="M35" s="9">
        <v>836</v>
      </c>
      <c r="N35" s="9">
        <v>875</v>
      </c>
      <c r="O35" s="9">
        <v>933</v>
      </c>
      <c r="P35" s="9">
        <v>1025</v>
      </c>
      <c r="Q35" s="9">
        <v>1116</v>
      </c>
      <c r="R35" s="9">
        <v>1225</v>
      </c>
      <c r="S35" s="9">
        <v>1337</v>
      </c>
      <c r="T35" s="9">
        <v>1420</v>
      </c>
      <c r="U35" s="9">
        <v>1514</v>
      </c>
      <c r="V35" s="9">
        <v>1572</v>
      </c>
      <c r="W35" s="9">
        <v>1718</v>
      </c>
      <c r="X35" s="9">
        <v>1862</v>
      </c>
      <c r="Y35" s="9">
        <v>2023</v>
      </c>
      <c r="Z35" s="9">
        <v>2200</v>
      </c>
      <c r="AA35" s="9">
        <v>2366</v>
      </c>
    </row>
    <row r="36" spans="1:45" x14ac:dyDescent="0.25">
      <c r="A36" s="9">
        <f t="shared" si="5"/>
        <v>35</v>
      </c>
      <c r="B36" s="9">
        <f t="array" ref="B36">IF(C36="",0,IF(OR(C36=Country_Comparison!$S$10:$S$29),1,0))</f>
        <v>0</v>
      </c>
      <c r="C36" s="9" t="str">
        <f t="shared" si="6"/>
        <v>Malaysia</v>
      </c>
      <c r="D36" s="6">
        <f t="shared" si="7"/>
        <v>2320</v>
      </c>
      <c r="E36" s="6">
        <f>IF(COUNTIF(I36:XFD36,"&gt;"&amp;0)=0,,HLOOKUP(COUNTIF(I36:XFD36,"&gt;"&amp;0)-1,I$1:XFD36,A36+1,FALSE))</f>
        <v>2320</v>
      </c>
      <c r="F36" s="7">
        <f>IF(COUNTIF(I36:XFD36,"&gt;"&amp;0)=0,,HLOOKUP(COUNTIF(I36:XFD36,"&gt;"&amp;0)-MIN($F$1+1,COUNTIF(I36:XFD36,"&gt;"&amp;0)),I$1:XFD36,A36+1,FALSE))</f>
        <v>1518</v>
      </c>
      <c r="G36" s="8">
        <f t="shared" si="8"/>
        <v>1.0885371181002359</v>
      </c>
      <c r="H36" s="13" t="s">
        <v>43</v>
      </c>
      <c r="I36" s="9">
        <v>117</v>
      </c>
      <c r="J36" s="9">
        <v>129</v>
      </c>
      <c r="K36" s="9">
        <v>149</v>
      </c>
      <c r="L36" s="9">
        <v>149</v>
      </c>
      <c r="M36" s="9">
        <v>197</v>
      </c>
      <c r="N36" s="9">
        <v>238</v>
      </c>
      <c r="O36" s="9">
        <v>428</v>
      </c>
      <c r="P36" s="9">
        <v>566</v>
      </c>
      <c r="Q36" s="9">
        <v>673</v>
      </c>
      <c r="R36" s="9">
        <v>790</v>
      </c>
      <c r="S36" s="9">
        <v>900</v>
      </c>
      <c r="T36" s="9">
        <v>1030</v>
      </c>
      <c r="U36" s="9">
        <v>1183</v>
      </c>
      <c r="V36" s="9">
        <v>1306</v>
      </c>
      <c r="W36" s="9">
        <v>1518</v>
      </c>
      <c r="X36" s="9">
        <v>1624</v>
      </c>
      <c r="Y36" s="9">
        <v>1796</v>
      </c>
      <c r="Z36" s="9">
        <v>2031</v>
      </c>
      <c r="AA36" s="9">
        <v>2161</v>
      </c>
      <c r="AB36" s="9">
        <v>2320</v>
      </c>
    </row>
    <row r="37" spans="1:45" x14ac:dyDescent="0.25">
      <c r="A37" s="9">
        <f t="shared" si="5"/>
        <v>36</v>
      </c>
      <c r="B37" s="9">
        <f t="array" ref="B37">IF(C37="",0,IF(OR(C37=Country_Comparison!$S$10:$S$29),1,0))</f>
        <v>0</v>
      </c>
      <c r="C37" s="9" t="str">
        <f t="shared" si="6"/>
        <v>Chile</v>
      </c>
      <c r="D37" s="6">
        <f t="shared" si="7"/>
        <v>1909</v>
      </c>
      <c r="E37" s="6">
        <f>IF(COUNTIF(I37:XFD37,"&gt;"&amp;0)=0,,HLOOKUP(COUNTIF(I37:XFD37,"&gt;"&amp;0)-1,I$1:XFD37,A37+1,FALSE))</f>
        <v>1909</v>
      </c>
      <c r="F37" s="7">
        <f>IF(COUNTIF(I37:XFD37,"&gt;"&amp;0)=0,,HLOOKUP(COUNTIF(I37:XFD37,"&gt;"&amp;0)-MIN($F$1+1,COUNTIF(I37:XFD37,"&gt;"&amp;0)),I$1:XFD37,A37+1,FALSE))</f>
        <v>746</v>
      </c>
      <c r="G37" s="8">
        <f t="shared" si="8"/>
        <v>1.2067391986051945</v>
      </c>
      <c r="H37" s="13" t="s">
        <v>124</v>
      </c>
      <c r="I37" s="9">
        <v>155</v>
      </c>
      <c r="J37" s="9">
        <v>201</v>
      </c>
      <c r="K37" s="9">
        <v>238</v>
      </c>
      <c r="L37" s="9">
        <v>238</v>
      </c>
      <c r="M37" s="9">
        <v>434</v>
      </c>
      <c r="N37" s="9">
        <v>537</v>
      </c>
      <c r="O37" s="9">
        <v>632</v>
      </c>
      <c r="P37" s="9">
        <v>746</v>
      </c>
      <c r="Q37" s="9">
        <v>922</v>
      </c>
      <c r="R37" s="9">
        <v>1142</v>
      </c>
      <c r="S37" s="9">
        <v>1306</v>
      </c>
      <c r="T37" s="9">
        <v>1610</v>
      </c>
      <c r="U37" s="9">
        <v>1909</v>
      </c>
    </row>
    <row r="38" spans="1:45" x14ac:dyDescent="0.25">
      <c r="A38" s="9">
        <f t="shared" si="5"/>
        <v>37</v>
      </c>
      <c r="B38" s="9">
        <f t="array" ref="B38">IF(C38="",0,IF(OR(C38=Country_Comparison!$S$10:$S$29),1,0))</f>
        <v>0</v>
      </c>
      <c r="C38" s="9" t="str">
        <f t="shared" si="6"/>
        <v>Luxembourg</v>
      </c>
      <c r="D38" s="6">
        <f t="shared" si="7"/>
        <v>1831</v>
      </c>
      <c r="E38" s="6">
        <f>IF(COUNTIF(I38:XFD38,"&gt;"&amp;0)=0,,HLOOKUP(COUNTIF(I38:XFD38,"&gt;"&amp;0)-1,I$1:XFD38,A38+1,FALSE))</f>
        <v>1831</v>
      </c>
      <c r="F38" s="7">
        <f>IF(COUNTIF(I38:XFD38,"&gt;"&amp;0)=0,,HLOOKUP(COUNTIF(I38:XFD38,"&gt;"&amp;0)-MIN($F$1+1,COUNTIF(I38:XFD38,"&gt;"&amp;0)),I$1:XFD38,A38+1,FALSE))</f>
        <v>875</v>
      </c>
      <c r="G38" s="8">
        <f t="shared" si="8"/>
        <v>1.1591404414156634</v>
      </c>
      <c r="H38" s="13" t="s">
        <v>99</v>
      </c>
      <c r="I38" s="9">
        <v>140</v>
      </c>
      <c r="J38" s="9">
        <v>203</v>
      </c>
      <c r="K38" s="9">
        <v>335</v>
      </c>
      <c r="L38" s="9">
        <v>484</v>
      </c>
      <c r="M38" s="9">
        <v>670</v>
      </c>
      <c r="N38" s="9">
        <v>798</v>
      </c>
      <c r="O38" s="9">
        <v>875</v>
      </c>
      <c r="P38" s="9">
        <v>1099</v>
      </c>
      <c r="Q38" s="9">
        <v>1333</v>
      </c>
      <c r="R38" s="9">
        <v>1453</v>
      </c>
      <c r="S38" s="9">
        <v>1605</v>
      </c>
      <c r="T38" s="9">
        <v>1831</v>
      </c>
    </row>
    <row r="39" spans="1:45" x14ac:dyDescent="0.25">
      <c r="A39" s="9">
        <f t="shared" si="5"/>
        <v>38</v>
      </c>
      <c r="B39" s="9">
        <f t="array" ref="B39">IF(C39="",0,IF(OR(C39=Country_Comparison!$S$10:$S$29),1,0))</f>
        <v>0</v>
      </c>
      <c r="C39" s="9" t="str">
        <f t="shared" si="6"/>
        <v>Ecuador</v>
      </c>
      <c r="D39" s="6">
        <f t="shared" si="7"/>
        <v>1823</v>
      </c>
      <c r="E39" s="6">
        <f>IF(COUNTIF(I39:XFD39,"&gt;"&amp;0)=0,,HLOOKUP(COUNTIF(I39:XFD39,"&gt;"&amp;0)-1,I$1:XFD39,A39+1,FALSE))</f>
        <v>1823</v>
      </c>
      <c r="F39" s="7">
        <f>IF(COUNTIF(I39:XFD39,"&gt;"&amp;0)=0,,HLOOKUP(COUNTIF(I39:XFD39,"&gt;"&amp;0)-MIN($F$1+1,COUNTIF(I39:XFD39,"&gt;"&amp;0)),I$1:XFD39,A39+1,FALSE))</f>
        <v>981</v>
      </c>
      <c r="G39" s="8">
        <f t="shared" si="8"/>
        <v>1.1319403262024874</v>
      </c>
      <c r="H39" s="13" t="s">
        <v>103</v>
      </c>
      <c r="I39" s="9">
        <v>111</v>
      </c>
      <c r="J39" s="9">
        <v>199</v>
      </c>
      <c r="K39" s="9">
        <v>367</v>
      </c>
      <c r="L39" s="9">
        <v>506</v>
      </c>
      <c r="M39" s="9">
        <v>789</v>
      </c>
      <c r="N39" s="9">
        <v>981</v>
      </c>
      <c r="O39" s="9">
        <v>1082</v>
      </c>
      <c r="P39" s="9">
        <v>1173</v>
      </c>
      <c r="Q39" s="9">
        <v>1403</v>
      </c>
      <c r="R39" s="9">
        <v>1595</v>
      </c>
      <c r="S39" s="9">
        <v>1823</v>
      </c>
    </row>
    <row r="40" spans="1:45" x14ac:dyDescent="0.25">
      <c r="A40" s="9">
        <f t="shared" si="5"/>
        <v>39</v>
      </c>
      <c r="B40" s="9">
        <f t="array" ref="B40">IF(C40="",0,IF(OR(C40=Country_Comparison!$S$10:$S$29),1,0))</f>
        <v>0</v>
      </c>
      <c r="C40" s="9" t="str">
        <f t="shared" si="6"/>
        <v>Japan</v>
      </c>
      <c r="D40" s="6">
        <f t="shared" si="7"/>
        <v>1693</v>
      </c>
      <c r="E40" s="6">
        <f>IF(COUNTIF(I40:XFD40,"&gt;"&amp;0)=0,,HLOOKUP(COUNTIF(I40:XFD40,"&gt;"&amp;0)-1,I$1:XFD40,A40+1,FALSE))</f>
        <v>1693</v>
      </c>
      <c r="F40" s="7">
        <f>IF(COUNTIF(I40:XFD40,"&gt;"&amp;0)=0,,HLOOKUP(COUNTIF(I40:XFD40,"&gt;"&amp;0)-MIN($F$1+1,COUNTIF(I40:XFD40,"&gt;"&amp;0)),I$1:XFD40,A40+1,FALSE))</f>
        <v>1128</v>
      </c>
      <c r="G40" s="8">
        <f t="shared" si="8"/>
        <v>1.0845999290565365</v>
      </c>
      <c r="H40" s="13" t="s">
        <v>36</v>
      </c>
      <c r="I40" s="9">
        <v>105</v>
      </c>
      <c r="J40" s="9">
        <v>122</v>
      </c>
      <c r="K40" s="9">
        <v>147</v>
      </c>
      <c r="L40" s="9">
        <v>159</v>
      </c>
      <c r="M40" s="9">
        <v>170</v>
      </c>
      <c r="N40" s="9">
        <v>189</v>
      </c>
      <c r="O40" s="9">
        <v>214</v>
      </c>
      <c r="P40" s="9">
        <v>228</v>
      </c>
      <c r="Q40" s="9">
        <v>241</v>
      </c>
      <c r="R40" s="9">
        <v>256</v>
      </c>
      <c r="S40" s="9">
        <v>274</v>
      </c>
      <c r="T40" s="9">
        <v>293</v>
      </c>
      <c r="U40" s="9">
        <v>331</v>
      </c>
      <c r="V40" s="9">
        <v>360</v>
      </c>
      <c r="W40" s="9">
        <v>420</v>
      </c>
      <c r="X40" s="9">
        <v>461</v>
      </c>
      <c r="Y40" s="9">
        <v>502</v>
      </c>
      <c r="Z40" s="9">
        <v>511</v>
      </c>
      <c r="AA40" s="9">
        <v>581</v>
      </c>
      <c r="AB40" s="9">
        <v>639</v>
      </c>
      <c r="AC40" s="9">
        <v>639</v>
      </c>
      <c r="AD40" s="9">
        <v>701</v>
      </c>
      <c r="AE40" s="9">
        <v>773</v>
      </c>
      <c r="AF40" s="9">
        <v>839</v>
      </c>
      <c r="AG40" s="9">
        <v>839</v>
      </c>
      <c r="AH40" s="9">
        <v>878</v>
      </c>
      <c r="AI40" s="9">
        <v>889</v>
      </c>
      <c r="AJ40" s="9">
        <v>924</v>
      </c>
      <c r="AK40" s="9">
        <v>963</v>
      </c>
      <c r="AL40" s="9">
        <v>1007</v>
      </c>
      <c r="AM40" s="9">
        <v>1101</v>
      </c>
      <c r="AN40" s="9">
        <v>1128</v>
      </c>
      <c r="AO40" s="9">
        <v>1193</v>
      </c>
      <c r="AP40" s="9">
        <v>1307</v>
      </c>
      <c r="AQ40" s="9">
        <v>1387</v>
      </c>
      <c r="AR40" s="9">
        <v>1468</v>
      </c>
      <c r="AS40" s="9">
        <v>1693</v>
      </c>
    </row>
    <row r="41" spans="1:45" x14ac:dyDescent="0.25">
      <c r="A41" s="9">
        <f t="shared" si="5"/>
        <v>40</v>
      </c>
      <c r="B41" s="9">
        <f t="array" ref="B41">IF(C41="",0,IF(OR(C41=Country_Comparison!$S$10:$S$29),1,0))</f>
        <v>0</v>
      </c>
      <c r="C41" s="9" t="str">
        <f t="shared" si="6"/>
        <v>Poland</v>
      </c>
      <c r="D41" s="6">
        <f t="shared" si="7"/>
        <v>1638</v>
      </c>
      <c r="E41" s="6">
        <f>IF(COUNTIF(I41:XFD41,"&gt;"&amp;0)=0,,HLOOKUP(COUNTIF(I41:XFD41,"&gt;"&amp;0)-1,I$1:XFD41,A41+1,FALSE))</f>
        <v>1638</v>
      </c>
      <c r="F41" s="7">
        <f>IF(COUNTIF(I41:XFD41,"&gt;"&amp;0)=0,,HLOOKUP(COUNTIF(I41:XFD41,"&gt;"&amp;0)-MIN($F$1+1,COUNTIF(I41:XFD41,"&gt;"&amp;0)),I$1:XFD41,A41+1,FALSE))</f>
        <v>749</v>
      </c>
      <c r="G41" s="8">
        <f t="shared" si="8"/>
        <v>1.1694089569597301</v>
      </c>
      <c r="H41" s="13" t="s">
        <v>137</v>
      </c>
      <c r="I41" s="9">
        <v>103</v>
      </c>
      <c r="J41" s="9">
        <v>119</v>
      </c>
      <c r="K41" s="9">
        <v>177</v>
      </c>
      <c r="L41" s="9">
        <v>238</v>
      </c>
      <c r="M41" s="9">
        <v>251</v>
      </c>
      <c r="N41" s="9">
        <v>355</v>
      </c>
      <c r="O41" s="9">
        <v>425</v>
      </c>
      <c r="P41" s="9">
        <v>536</v>
      </c>
      <c r="Q41" s="9">
        <v>634</v>
      </c>
      <c r="R41" s="9">
        <v>749</v>
      </c>
      <c r="S41" s="9">
        <v>901</v>
      </c>
      <c r="T41" s="9">
        <v>1051</v>
      </c>
      <c r="U41" s="9">
        <v>1221</v>
      </c>
      <c r="V41" s="9">
        <v>1389</v>
      </c>
      <c r="W41" s="9">
        <v>1638</v>
      </c>
    </row>
    <row r="42" spans="1:45" x14ac:dyDescent="0.25">
      <c r="A42" s="9">
        <f t="shared" si="5"/>
        <v>41</v>
      </c>
      <c r="B42" s="9">
        <f t="array" ref="B42">IF(C42="",0,IF(OR(C42=Country_Comparison!$S$10:$S$29),1,0))</f>
        <v>0</v>
      </c>
      <c r="C42" s="9" t="str">
        <f t="shared" si="6"/>
        <v>Pakistan</v>
      </c>
      <c r="D42" s="6">
        <f t="shared" si="7"/>
        <v>1495</v>
      </c>
      <c r="E42" s="6">
        <f>IF(COUNTIF(I42:XFD42,"&gt;"&amp;0)=0,,HLOOKUP(COUNTIF(I42:XFD42,"&gt;"&amp;0)-1,I$1:XFD42,A42+1,FALSE))</f>
        <v>1495</v>
      </c>
      <c r="F42" s="7">
        <f>IF(COUNTIF(I42:XFD42,"&gt;"&amp;0)=0,,HLOOKUP(COUNTIF(I42:XFD42,"&gt;"&amp;0)-MIN($F$1+1,COUNTIF(I42:XFD42,"&gt;"&amp;0)),I$1:XFD42,A42+1,FALSE))</f>
        <v>875</v>
      </c>
      <c r="G42" s="8">
        <f t="shared" si="8"/>
        <v>1.1130806370997766</v>
      </c>
      <c r="H42" s="13" t="s">
        <v>80</v>
      </c>
      <c r="I42" s="9">
        <v>136</v>
      </c>
      <c r="J42" s="9">
        <v>236</v>
      </c>
      <c r="K42" s="9">
        <v>299</v>
      </c>
      <c r="L42" s="9">
        <v>454</v>
      </c>
      <c r="M42" s="9">
        <v>501</v>
      </c>
      <c r="N42" s="9">
        <v>730</v>
      </c>
      <c r="O42" s="9">
        <v>776</v>
      </c>
      <c r="P42" s="9">
        <v>875</v>
      </c>
      <c r="Q42" s="9">
        <v>972</v>
      </c>
      <c r="R42" s="9">
        <v>1063</v>
      </c>
      <c r="S42" s="9">
        <v>1201</v>
      </c>
      <c r="T42" s="9">
        <v>1373</v>
      </c>
      <c r="U42" s="9">
        <v>1495</v>
      </c>
    </row>
    <row r="43" spans="1:45" x14ac:dyDescent="0.25">
      <c r="A43" s="9">
        <f t="shared" si="5"/>
        <v>42</v>
      </c>
      <c r="B43" s="9">
        <f t="array" ref="B43">IF(C43="",0,IF(OR(C43=Country_Comparison!$S$10:$S$29),1,0))</f>
        <v>0</v>
      </c>
      <c r="C43" s="9" t="str">
        <f t="shared" si="6"/>
        <v>Romania</v>
      </c>
      <c r="D43" s="6">
        <f t="shared" si="7"/>
        <v>1452</v>
      </c>
      <c r="E43" s="6">
        <f>IF(COUNTIF(I43:XFD43,"&gt;"&amp;0)=0,,HLOOKUP(COUNTIF(I43:XFD43,"&gt;"&amp;0)-1,I$1:XFD43,A43+1,FALSE))</f>
        <v>1452</v>
      </c>
      <c r="F43" s="7">
        <f>IF(COUNTIF(I43:XFD43,"&gt;"&amp;0)=0,,HLOOKUP(COUNTIF(I43:XFD43,"&gt;"&amp;0)-MIN($F$1+1,COUNTIF(I43:XFD43,"&gt;"&amp;0)),I$1:XFD43,A43+1,FALSE))</f>
        <v>576</v>
      </c>
      <c r="G43" s="8">
        <f t="shared" si="8"/>
        <v>1.2031196682957104</v>
      </c>
      <c r="H43" s="13" t="s">
        <v>86</v>
      </c>
      <c r="I43" s="9">
        <v>123</v>
      </c>
      <c r="J43" s="9">
        <v>131</v>
      </c>
      <c r="K43" s="9">
        <v>158</v>
      </c>
      <c r="L43" s="9">
        <v>184</v>
      </c>
      <c r="M43" s="9">
        <v>260</v>
      </c>
      <c r="N43" s="9">
        <v>277</v>
      </c>
      <c r="O43" s="9">
        <v>308</v>
      </c>
      <c r="P43" s="9">
        <v>367</v>
      </c>
      <c r="Q43" s="9">
        <v>433</v>
      </c>
      <c r="R43" s="9">
        <v>576</v>
      </c>
      <c r="S43" s="9">
        <v>794</v>
      </c>
      <c r="T43" s="9">
        <v>906</v>
      </c>
      <c r="U43" s="9">
        <v>1029</v>
      </c>
      <c r="V43" s="9">
        <v>1292</v>
      </c>
      <c r="W43" s="9">
        <v>1452</v>
      </c>
    </row>
    <row r="44" spans="1:45" x14ac:dyDescent="0.25">
      <c r="A44" s="9">
        <f t="shared" si="5"/>
        <v>43</v>
      </c>
      <c r="B44" s="9">
        <f t="array" ref="B44">IF(C44="",0,IF(OR(C44=Country_Comparison!$S$10:$S$29),1,0))</f>
        <v>0</v>
      </c>
      <c r="C44" s="9" t="str">
        <f t="shared" si="6"/>
        <v>Russia</v>
      </c>
      <c r="D44" s="6">
        <f t="shared" si="7"/>
        <v>1264</v>
      </c>
      <c r="E44" s="6">
        <f>IF(COUNTIF(I44:XFD44,"&gt;"&amp;0)=0,,HLOOKUP(COUNTIF(I44:XFD44,"&gt;"&amp;0)-1,I$1:XFD44,A44+1,FALSE))</f>
        <v>1264</v>
      </c>
      <c r="F44" s="7">
        <f>IF(COUNTIF(I44:XFD44,"&gt;"&amp;0)=0,,HLOOKUP(COUNTIF(I44:XFD44,"&gt;"&amp;0)-MIN($F$1+1,COUNTIF(I44:XFD44,"&gt;"&amp;0)),I$1:XFD44,A44+1,FALSE))</f>
        <v>438</v>
      </c>
      <c r="G44" s="8">
        <f t="shared" si="8"/>
        <v>1.2361028071299596</v>
      </c>
      <c r="H44" s="13" t="s">
        <v>344</v>
      </c>
      <c r="I44" s="9">
        <v>114</v>
      </c>
      <c r="J44" s="9">
        <v>147</v>
      </c>
      <c r="K44" s="9">
        <v>199</v>
      </c>
      <c r="L44" s="9">
        <v>253</v>
      </c>
      <c r="M44" s="9">
        <v>306</v>
      </c>
      <c r="N44" s="9">
        <v>367</v>
      </c>
      <c r="O44" s="9">
        <v>438</v>
      </c>
      <c r="P44" s="9">
        <v>495</v>
      </c>
      <c r="Q44" s="9">
        <v>658</v>
      </c>
      <c r="R44" s="9">
        <v>840</v>
      </c>
      <c r="S44" s="9">
        <v>1036</v>
      </c>
      <c r="T44" s="9">
        <v>1264</v>
      </c>
    </row>
    <row r="45" spans="1:45" x14ac:dyDescent="0.25">
      <c r="A45" s="9">
        <f t="shared" si="5"/>
        <v>44</v>
      </c>
      <c r="B45" s="9">
        <f t="array" ref="B45">IF(C45="",0,IF(OR(C45=Country_Comparison!$S$10:$S$29),1,0))</f>
        <v>0</v>
      </c>
      <c r="C45" s="9" t="str">
        <f t="shared" si="6"/>
        <v>Thailand</v>
      </c>
      <c r="D45" s="6">
        <f t="shared" si="7"/>
        <v>1245</v>
      </c>
      <c r="E45" s="6">
        <f>IF(COUNTIF(I45:XFD45,"&gt;"&amp;0)=0,,HLOOKUP(COUNTIF(I45:XFD45,"&gt;"&amp;0)-1,I$1:XFD45,A45+1,FALSE))</f>
        <v>1245</v>
      </c>
      <c r="F45" s="7">
        <f>IF(COUNTIF(I45:XFD45,"&gt;"&amp;0)=0,,HLOOKUP(COUNTIF(I45:XFD45,"&gt;"&amp;0)-MIN($F$1+1,COUNTIF(I45:XFD45,"&gt;"&amp;0)),I$1:XFD45,A45+1,FALSE))</f>
        <v>721</v>
      </c>
      <c r="G45" s="8">
        <f t="shared" si="8"/>
        <v>1.1154415486982088</v>
      </c>
      <c r="H45" s="13" t="s">
        <v>35</v>
      </c>
      <c r="I45" s="9">
        <v>114</v>
      </c>
      <c r="J45" s="9">
        <v>147</v>
      </c>
      <c r="K45" s="9">
        <v>177</v>
      </c>
      <c r="L45" s="9">
        <v>212</v>
      </c>
      <c r="M45" s="9">
        <v>272</v>
      </c>
      <c r="N45" s="9">
        <v>322</v>
      </c>
      <c r="O45" s="9">
        <v>411</v>
      </c>
      <c r="P45" s="9">
        <v>599</v>
      </c>
      <c r="Q45" s="9">
        <v>721</v>
      </c>
      <c r="R45" s="9">
        <v>827</v>
      </c>
      <c r="S45" s="9">
        <v>934</v>
      </c>
      <c r="T45" s="9">
        <v>1045</v>
      </c>
      <c r="U45" s="9">
        <v>1136</v>
      </c>
      <c r="V45" s="9">
        <v>1245</v>
      </c>
    </row>
    <row r="46" spans="1:45" x14ac:dyDescent="0.25">
      <c r="A46" s="9">
        <f t="shared" si="5"/>
        <v>45</v>
      </c>
      <c r="B46" s="9">
        <f t="array" ref="B46">IF(C46="",0,IF(OR(C46=Country_Comparison!$S$10:$S$29),1,0))</f>
        <v>0</v>
      </c>
      <c r="C46" s="9" t="str">
        <f t="shared" si="6"/>
        <v>Saudi Arabia</v>
      </c>
      <c r="D46" s="6">
        <f t="shared" si="7"/>
        <v>1203</v>
      </c>
      <c r="E46" s="6">
        <f>IF(COUNTIF(I46:XFD46,"&gt;"&amp;0)=0,,HLOOKUP(COUNTIF(I46:XFD46,"&gt;"&amp;0)-1,I$1:XFD46,A46+1,FALSE))</f>
        <v>1203</v>
      </c>
      <c r="F46" s="7">
        <f>IF(COUNTIF(I46:XFD46,"&gt;"&amp;0)=0,,HLOOKUP(COUNTIF(I46:XFD46,"&gt;"&amp;0)-MIN($F$1+1,COUNTIF(I46:XFD46,"&gt;"&amp;0)),I$1:XFD46,A46+1,FALSE))</f>
        <v>562</v>
      </c>
      <c r="G46" s="8">
        <f t="shared" si="8"/>
        <v>1.1644098279580788</v>
      </c>
      <c r="H46" s="13" t="s">
        <v>113</v>
      </c>
      <c r="I46" s="9">
        <v>103</v>
      </c>
      <c r="J46" s="9">
        <v>103</v>
      </c>
      <c r="K46" s="9">
        <v>118</v>
      </c>
      <c r="L46" s="9">
        <v>171</v>
      </c>
      <c r="M46" s="9">
        <v>171</v>
      </c>
      <c r="N46" s="9">
        <v>274</v>
      </c>
      <c r="O46" s="9">
        <v>344</v>
      </c>
      <c r="P46" s="9">
        <v>392</v>
      </c>
      <c r="Q46" s="9">
        <v>511</v>
      </c>
      <c r="R46" s="9">
        <v>562</v>
      </c>
      <c r="S46" s="9">
        <v>767</v>
      </c>
      <c r="T46" s="9">
        <v>900</v>
      </c>
      <c r="U46" s="9">
        <v>1012</v>
      </c>
      <c r="V46" s="9">
        <v>1104</v>
      </c>
      <c r="W46" s="9">
        <v>1203</v>
      </c>
    </row>
    <row r="47" spans="1:45" x14ac:dyDescent="0.25">
      <c r="A47" s="9">
        <f t="shared" si="5"/>
        <v>46</v>
      </c>
      <c r="B47" s="9">
        <f t="array" ref="B47">IF(C47="",0,IF(OR(C47=Country_Comparison!$S$10:$S$29),1,0))</f>
        <v>0</v>
      </c>
      <c r="C47" s="9" t="str">
        <f t="shared" si="6"/>
        <v>South Africa</v>
      </c>
      <c r="D47" s="6">
        <f t="shared" si="7"/>
        <v>1187</v>
      </c>
      <c r="E47" s="6">
        <f>IF(COUNTIF(I47:XFD47,"&gt;"&amp;0)=0,,HLOOKUP(COUNTIF(I47:XFD47,"&gt;"&amp;0)-1,I$1:XFD47,A47+1,FALSE))</f>
        <v>1187</v>
      </c>
      <c r="F47" s="7">
        <f>IF(COUNTIF(I47:XFD47,"&gt;"&amp;0)=0,,HLOOKUP(COUNTIF(I47:XFD47,"&gt;"&amp;0)-MIN($F$1+1,COUNTIF(I47:XFD47,"&gt;"&amp;0)),I$1:XFD47,A47+1,FALSE))</f>
        <v>402</v>
      </c>
      <c r="G47" s="8">
        <f t="shared" si="8"/>
        <v>1.2417807786363586</v>
      </c>
      <c r="H47" s="13" t="s">
        <v>145</v>
      </c>
      <c r="I47" s="9">
        <v>116</v>
      </c>
      <c r="J47" s="9">
        <v>150</v>
      </c>
      <c r="K47" s="9">
        <v>202</v>
      </c>
      <c r="L47" s="9">
        <v>240</v>
      </c>
      <c r="M47" s="9">
        <v>274</v>
      </c>
      <c r="N47" s="9">
        <v>402</v>
      </c>
      <c r="O47" s="9">
        <v>554</v>
      </c>
      <c r="P47" s="9">
        <v>709</v>
      </c>
      <c r="Q47" s="9">
        <v>927</v>
      </c>
      <c r="R47" s="9">
        <v>1170</v>
      </c>
      <c r="S47" s="9">
        <v>1187</v>
      </c>
    </row>
    <row r="48" spans="1:45" x14ac:dyDescent="0.25">
      <c r="A48" s="9">
        <f t="shared" si="5"/>
        <v>47</v>
      </c>
      <c r="B48" s="9">
        <f t="array" ref="B48">IF(C48="",0,IF(OR(C48=Country_Comparison!$S$10:$S$29),1,0))</f>
        <v>0</v>
      </c>
      <c r="C48" s="9" t="str">
        <f t="shared" si="6"/>
        <v>Finland</v>
      </c>
      <c r="D48" s="6">
        <f t="shared" si="7"/>
        <v>1167</v>
      </c>
      <c r="E48" s="6">
        <f>IF(COUNTIF(I48:XFD48,"&gt;"&amp;0)=0,,HLOOKUP(COUNTIF(I48:XFD48,"&gt;"&amp;0)-1,I$1:XFD48,A48+1,FALSE))</f>
        <v>1167</v>
      </c>
      <c r="F48" s="7">
        <f>IF(COUNTIF(I48:XFD48,"&gt;"&amp;0)=0,,HLOOKUP(COUNTIF(I48:XFD48,"&gt;"&amp;0)-MIN($F$1+1,COUNTIF(I48:XFD48,"&gt;"&amp;0)),I$1:XFD48,A48+1,FALSE))</f>
        <v>700</v>
      </c>
      <c r="G48" s="8">
        <f t="shared" si="8"/>
        <v>1.1076296255217719</v>
      </c>
      <c r="H48" s="13" t="s">
        <v>54</v>
      </c>
      <c r="I48" s="9">
        <v>155</v>
      </c>
      <c r="J48" s="9">
        <v>225</v>
      </c>
      <c r="K48" s="9">
        <v>244</v>
      </c>
      <c r="L48" s="9">
        <v>277</v>
      </c>
      <c r="M48" s="9">
        <v>321</v>
      </c>
      <c r="N48" s="9">
        <v>336</v>
      </c>
      <c r="O48" s="9">
        <v>400</v>
      </c>
      <c r="P48" s="9">
        <v>450</v>
      </c>
      <c r="Q48" s="9">
        <v>523</v>
      </c>
      <c r="R48" s="9">
        <v>626</v>
      </c>
      <c r="S48" s="9">
        <v>700</v>
      </c>
      <c r="T48" s="9">
        <v>792</v>
      </c>
      <c r="U48" s="9">
        <v>880</v>
      </c>
      <c r="V48" s="9">
        <v>958</v>
      </c>
      <c r="W48" s="9">
        <v>1041</v>
      </c>
      <c r="X48" s="9">
        <v>1167</v>
      </c>
    </row>
    <row r="49" spans="1:37" x14ac:dyDescent="0.25">
      <c r="A49" s="9">
        <f t="shared" si="5"/>
        <v>48</v>
      </c>
      <c r="B49" s="9">
        <f t="array" ref="B49">IF(C49="",0,IF(OR(C49=Country_Comparison!$S$10:$S$29),1,0))</f>
        <v>0</v>
      </c>
      <c r="C49" s="9" t="str">
        <f t="shared" si="6"/>
        <v>Indonesia</v>
      </c>
      <c r="D49" s="6">
        <f t="shared" si="7"/>
        <v>1155</v>
      </c>
      <c r="E49" s="6">
        <f>IF(COUNTIF(I49:XFD49,"&gt;"&amp;0)=0,,HLOOKUP(COUNTIF(I49:XFD49,"&gt;"&amp;0)-1,I$1:XFD49,A49+1,FALSE))</f>
        <v>1155</v>
      </c>
      <c r="F49" s="7">
        <f>IF(COUNTIF(I49:XFD49,"&gt;"&amp;0)=0,,HLOOKUP(COUNTIF(I49:XFD49,"&gt;"&amp;0)-MIN($F$1+1,COUNTIF(I49:XFD49,"&gt;"&amp;0)),I$1:XFD49,A49+1,FALSE))</f>
        <v>579</v>
      </c>
      <c r="G49" s="8">
        <f t="shared" si="8"/>
        <v>1.1481025567744181</v>
      </c>
      <c r="H49" s="13" t="s">
        <v>107</v>
      </c>
      <c r="I49" s="9">
        <v>117</v>
      </c>
      <c r="J49" s="9">
        <v>134</v>
      </c>
      <c r="K49" s="9">
        <v>172</v>
      </c>
      <c r="L49" s="9">
        <v>227</v>
      </c>
      <c r="M49" s="9">
        <v>311</v>
      </c>
      <c r="N49" s="9">
        <v>369</v>
      </c>
      <c r="O49" s="9">
        <v>450</v>
      </c>
      <c r="P49" s="9">
        <v>514</v>
      </c>
      <c r="Q49" s="9">
        <v>579</v>
      </c>
      <c r="R49" s="9">
        <v>686</v>
      </c>
      <c r="S49" s="9">
        <v>790</v>
      </c>
      <c r="T49" s="9">
        <v>893</v>
      </c>
      <c r="U49" s="9">
        <v>1046</v>
      </c>
      <c r="V49" s="9">
        <v>1155</v>
      </c>
    </row>
    <row r="50" spans="1:37" x14ac:dyDescent="0.25">
      <c r="A50" s="9">
        <f t="shared" si="5"/>
        <v>49</v>
      </c>
      <c r="B50" s="9">
        <f t="array" ref="B50">IF(C50="",0,IF(OR(C50=Country_Comparison!$S$10:$S$29),1,0))</f>
        <v>0</v>
      </c>
      <c r="C50" s="9" t="str">
        <f t="shared" si="6"/>
        <v>Philippines</v>
      </c>
      <c r="D50" s="6">
        <f t="shared" si="7"/>
        <v>1075</v>
      </c>
      <c r="E50" s="6">
        <f>IF(COUNTIF(I50:XFD50,"&gt;"&amp;0)=0,,HLOOKUP(COUNTIF(I50:XFD50,"&gt;"&amp;0)-1,I$1:XFD50,A50+1,FALSE))</f>
        <v>1075</v>
      </c>
      <c r="F50" s="7">
        <f>IF(COUNTIF(I50:XFD50,"&gt;"&amp;0)=0,,HLOOKUP(COUNTIF(I50:XFD50,"&gt;"&amp;0)-MIN($F$1+1,COUNTIF(I50:XFD50,"&gt;"&amp;0)),I$1:XFD50,A50+1,FALSE))</f>
        <v>462</v>
      </c>
      <c r="G50" s="8">
        <f t="shared" si="8"/>
        <v>1.1840043493540706</v>
      </c>
      <c r="H50" s="13" t="s">
        <v>56</v>
      </c>
      <c r="I50" s="9">
        <v>111</v>
      </c>
      <c r="J50" s="9">
        <v>140</v>
      </c>
      <c r="K50" s="9">
        <v>142</v>
      </c>
      <c r="L50" s="9">
        <v>187</v>
      </c>
      <c r="M50" s="9">
        <v>202</v>
      </c>
      <c r="N50" s="9">
        <v>217</v>
      </c>
      <c r="O50" s="9">
        <v>230</v>
      </c>
      <c r="P50" s="9">
        <v>307</v>
      </c>
      <c r="Q50" s="9">
        <v>380</v>
      </c>
      <c r="R50" s="9">
        <v>462</v>
      </c>
      <c r="S50" s="9">
        <v>552</v>
      </c>
      <c r="T50" s="9">
        <v>636</v>
      </c>
      <c r="U50" s="9">
        <v>707</v>
      </c>
      <c r="V50" s="9">
        <v>803</v>
      </c>
      <c r="W50" s="9">
        <v>1075</v>
      </c>
    </row>
    <row r="51" spans="1:37" x14ac:dyDescent="0.25">
      <c r="A51" s="9">
        <f t="shared" si="5"/>
        <v>50</v>
      </c>
      <c r="B51" s="9">
        <f t="array" ref="B51">IF(C51="",0,IF(OR(C51=Country_Comparison!$S$10:$S$29),1,0))</f>
        <v>0</v>
      </c>
      <c r="C51" s="9" t="str">
        <f t="shared" si="6"/>
        <v>Greece</v>
      </c>
      <c r="D51" s="6">
        <f t="shared" si="7"/>
        <v>1061</v>
      </c>
      <c r="E51" s="6">
        <f>IF(COUNTIF(I51:XFD51,"&gt;"&amp;0)=0,,HLOOKUP(COUNTIF(I51:XFD51,"&gt;"&amp;0)-1,I$1:XFD51,A51+1,FALSE))</f>
        <v>1061</v>
      </c>
      <c r="F51" s="7">
        <f>IF(COUNTIF(I51:XFD51,"&gt;"&amp;0)=0,,HLOOKUP(COUNTIF(I51:XFD51,"&gt;"&amp;0)-MIN($F$1+1,COUNTIF(I51:XFD51,"&gt;"&amp;0)),I$1:XFD51,A51+1,FALSE))</f>
        <v>695</v>
      </c>
      <c r="G51" s="8">
        <f t="shared" si="8"/>
        <v>1.0882937019063665</v>
      </c>
      <c r="H51" s="13" t="s">
        <v>83</v>
      </c>
      <c r="I51" s="9">
        <v>190</v>
      </c>
      <c r="J51" s="9">
        <v>228</v>
      </c>
      <c r="K51" s="9">
        <v>331</v>
      </c>
      <c r="L51" s="9">
        <v>331</v>
      </c>
      <c r="M51" s="9">
        <v>387</v>
      </c>
      <c r="N51" s="9">
        <v>418</v>
      </c>
      <c r="O51" s="9">
        <v>418</v>
      </c>
      <c r="P51" s="9">
        <v>495</v>
      </c>
      <c r="Q51" s="9">
        <v>530</v>
      </c>
      <c r="R51" s="9">
        <v>624</v>
      </c>
      <c r="S51" s="9">
        <v>695</v>
      </c>
      <c r="T51" s="9">
        <v>743</v>
      </c>
      <c r="U51" s="9">
        <v>821</v>
      </c>
      <c r="V51" s="9">
        <v>892</v>
      </c>
      <c r="W51" s="9">
        <v>966</v>
      </c>
      <c r="X51" s="9">
        <v>1061</v>
      </c>
    </row>
    <row r="52" spans="1:37" x14ac:dyDescent="0.25">
      <c r="A52" s="9">
        <f t="shared" si="5"/>
        <v>51</v>
      </c>
      <c r="B52" s="9">
        <f t="array" ref="B52">IF(C52="",0,IF(OR(C52=Country_Comparison!$S$10:$S$29),1,0))</f>
        <v>0</v>
      </c>
      <c r="C52" s="9" t="str">
        <f t="shared" si="6"/>
        <v>India</v>
      </c>
      <c r="D52" s="6">
        <f t="shared" si="7"/>
        <v>987</v>
      </c>
      <c r="E52" s="6">
        <f>IF(COUNTIF(I52:XFD52,"&gt;"&amp;0)=0,,HLOOKUP(COUNTIF(I52:XFD52,"&gt;"&amp;0)-1,I$1:XFD52,A52+1,FALSE))</f>
        <v>987</v>
      </c>
      <c r="F52" s="7">
        <f>IF(COUNTIF(I52:XFD52,"&gt;"&amp;0)=0,,HLOOKUP(COUNTIF(I52:XFD52,"&gt;"&amp;0)-MIN($F$1+1,COUNTIF(I52:XFD52,"&gt;"&amp;0)),I$1:XFD52,A52+1,FALSE))</f>
        <v>499</v>
      </c>
      <c r="G52" s="8">
        <f t="shared" si="8"/>
        <v>1.1461549157984288</v>
      </c>
      <c r="H52" s="13" t="s">
        <v>57</v>
      </c>
      <c r="I52" s="9">
        <v>102</v>
      </c>
      <c r="J52" s="9">
        <v>113</v>
      </c>
      <c r="K52" s="9">
        <v>119</v>
      </c>
      <c r="L52" s="9">
        <v>142</v>
      </c>
      <c r="M52" s="9">
        <v>156</v>
      </c>
      <c r="N52" s="9">
        <v>194</v>
      </c>
      <c r="O52" s="9">
        <v>244</v>
      </c>
      <c r="P52" s="9">
        <v>330</v>
      </c>
      <c r="Q52" s="9">
        <v>396</v>
      </c>
      <c r="R52" s="9">
        <v>499</v>
      </c>
      <c r="S52" s="9">
        <v>536</v>
      </c>
      <c r="T52" s="9">
        <v>657</v>
      </c>
      <c r="U52" s="9">
        <v>727</v>
      </c>
      <c r="V52" s="9">
        <v>887</v>
      </c>
      <c r="W52" s="9">
        <v>987</v>
      </c>
    </row>
    <row r="53" spans="1:37" x14ac:dyDescent="0.25">
      <c r="A53" s="9">
        <f t="shared" si="5"/>
        <v>52</v>
      </c>
      <c r="B53" s="9">
        <f t="array" ref="B53">IF(C53="",0,IF(OR(C53=Country_Comparison!$S$10:$S$29),1,0))</f>
        <v>0</v>
      </c>
      <c r="C53" s="9" t="str">
        <f t="shared" si="6"/>
        <v>Iceland</v>
      </c>
      <c r="D53" s="6">
        <f t="shared" si="7"/>
        <v>963</v>
      </c>
      <c r="E53" s="6">
        <f>IF(COUNTIF(I53:XFD53,"&gt;"&amp;0)=0,,HLOOKUP(COUNTIF(I53:XFD53,"&gt;"&amp;0)-1,I$1:XFD53,A53+1,FALSE))</f>
        <v>963</v>
      </c>
      <c r="F53" s="7">
        <f>IF(COUNTIF(I53:XFD53,"&gt;"&amp;0)=0,,HLOOKUP(COUNTIF(I53:XFD53,"&gt;"&amp;0)-MIN($F$1+1,COUNTIF(I53:XFD53,"&gt;"&amp;0)),I$1:XFD53,A53+1,FALSE))</f>
        <v>588</v>
      </c>
      <c r="G53" s="8">
        <f t="shared" si="8"/>
        <v>1.1036968224337302</v>
      </c>
      <c r="H53" s="13" t="s">
        <v>92</v>
      </c>
      <c r="I53" s="9">
        <v>103</v>
      </c>
      <c r="J53" s="9">
        <v>134</v>
      </c>
      <c r="K53" s="9">
        <v>156</v>
      </c>
      <c r="L53" s="9">
        <v>171</v>
      </c>
      <c r="M53" s="9">
        <v>180</v>
      </c>
      <c r="N53" s="9">
        <v>220</v>
      </c>
      <c r="O53" s="9">
        <v>250</v>
      </c>
      <c r="P53" s="9">
        <v>330</v>
      </c>
      <c r="Q53" s="9">
        <v>409</v>
      </c>
      <c r="R53" s="9">
        <v>473</v>
      </c>
      <c r="S53" s="9">
        <v>568</v>
      </c>
      <c r="T53" s="9">
        <v>588</v>
      </c>
      <c r="U53" s="9">
        <v>648</v>
      </c>
      <c r="V53" s="9">
        <v>737</v>
      </c>
      <c r="W53" s="9">
        <v>802</v>
      </c>
      <c r="X53" s="9">
        <v>890</v>
      </c>
      <c r="Y53" s="9">
        <v>963</v>
      </c>
    </row>
    <row r="54" spans="1:37" x14ac:dyDescent="0.25">
      <c r="A54" s="9">
        <f t="shared" si="5"/>
        <v>53</v>
      </c>
      <c r="B54" s="9">
        <f t="array" ref="B54">IF(C54="",0,IF(OR(C54=Country_Comparison!$S$10:$S$29),1,0))</f>
        <v>0</v>
      </c>
      <c r="C54" s="9" t="str">
        <f t="shared" si="6"/>
        <v>Singapore</v>
      </c>
      <c r="D54" s="6">
        <f t="shared" si="7"/>
        <v>802</v>
      </c>
      <c r="E54" s="6">
        <f>IF(COUNTIF(I54:XFD54,"&gt;"&amp;0)=0,,HLOOKUP(COUNTIF(I54:XFD54,"&gt;"&amp;0)-1,I$1:XFD54,A54+1,FALSE))</f>
        <v>802</v>
      </c>
      <c r="F54" s="7">
        <f>IF(COUNTIF(I54:XFD54,"&gt;"&amp;0)=0,,HLOOKUP(COUNTIF(I54:XFD54,"&gt;"&amp;0)-MIN($F$1+1,COUNTIF(I54:XFD54,"&gt;"&amp;0)),I$1:XFD54,A54+1,FALSE))</f>
        <v>509</v>
      </c>
      <c r="G54" s="8">
        <f t="shared" si="8"/>
        <v>1.0951946590195278</v>
      </c>
      <c r="H54" s="13" t="s">
        <v>40</v>
      </c>
      <c r="I54" s="9">
        <v>102</v>
      </c>
      <c r="J54" s="9">
        <v>106</v>
      </c>
      <c r="K54" s="9">
        <v>108</v>
      </c>
      <c r="L54" s="9">
        <v>110</v>
      </c>
      <c r="M54" s="9">
        <v>110</v>
      </c>
      <c r="N54" s="9">
        <v>117</v>
      </c>
      <c r="O54" s="9">
        <v>130</v>
      </c>
      <c r="P54" s="9">
        <v>138</v>
      </c>
      <c r="Q54" s="9">
        <v>150</v>
      </c>
      <c r="R54" s="9">
        <v>150</v>
      </c>
      <c r="S54" s="9">
        <v>160</v>
      </c>
      <c r="T54" s="9">
        <v>178</v>
      </c>
      <c r="U54" s="9">
        <v>178</v>
      </c>
      <c r="V54" s="9">
        <v>200</v>
      </c>
      <c r="W54" s="9">
        <v>212</v>
      </c>
      <c r="X54" s="9">
        <v>226</v>
      </c>
      <c r="Y54" s="9">
        <v>243</v>
      </c>
      <c r="Z54" s="9">
        <v>266</v>
      </c>
      <c r="AA54" s="9">
        <v>313</v>
      </c>
      <c r="AB54" s="9">
        <v>345</v>
      </c>
      <c r="AC54" s="9">
        <v>385</v>
      </c>
      <c r="AD54" s="9">
        <v>432</v>
      </c>
      <c r="AE54" s="9">
        <v>455</v>
      </c>
      <c r="AF54" s="9">
        <v>509</v>
      </c>
      <c r="AG54" s="9">
        <v>558</v>
      </c>
      <c r="AH54" s="9">
        <v>631</v>
      </c>
      <c r="AI54" s="9">
        <v>683</v>
      </c>
      <c r="AJ54" s="9">
        <v>732</v>
      </c>
      <c r="AK54" s="9">
        <v>802</v>
      </c>
    </row>
    <row r="55" spans="1:37" x14ac:dyDescent="0.25">
      <c r="A55" s="9">
        <f t="shared" si="5"/>
        <v>54</v>
      </c>
      <c r="B55" s="9">
        <f t="array" ref="B55">IF(C55="",0,IF(OR(C55=Country_Comparison!$S$10:$S$29),1,0))</f>
        <v>0</v>
      </c>
      <c r="C55" s="9" t="str">
        <f t="shared" si="6"/>
        <v>Panama</v>
      </c>
      <c r="D55" s="6">
        <f t="shared" si="7"/>
        <v>786</v>
      </c>
      <c r="E55" s="6">
        <f>IF(COUNTIF(I55:XFD55,"&gt;"&amp;0)=0,,HLOOKUP(COUNTIF(I55:XFD55,"&gt;"&amp;0)-1,I$1:XFD55,A55+1,FALSE))</f>
        <v>786</v>
      </c>
      <c r="F55" s="7">
        <f>IF(COUNTIF(I55:XFD55,"&gt;"&amp;0)=0,,HLOOKUP(COUNTIF(I55:XFD55,"&gt;"&amp;0)-MIN($F$1+1,COUNTIF(I55:XFD55,"&gt;"&amp;0)),I$1:XFD55,A55+1,FALSE))</f>
        <v>345</v>
      </c>
      <c r="G55" s="8">
        <f t="shared" si="8"/>
        <v>1.1790186914533538</v>
      </c>
      <c r="H55" s="13" t="s">
        <v>283</v>
      </c>
      <c r="I55" s="9">
        <v>109</v>
      </c>
      <c r="J55" s="9">
        <v>137</v>
      </c>
      <c r="K55" s="9">
        <v>200</v>
      </c>
      <c r="L55" s="9">
        <v>313</v>
      </c>
      <c r="M55" s="9">
        <v>345</v>
      </c>
      <c r="N55" s="9">
        <v>345</v>
      </c>
      <c r="O55" s="9">
        <v>443</v>
      </c>
      <c r="P55" s="9">
        <v>558</v>
      </c>
      <c r="Q55" s="9">
        <v>674</v>
      </c>
      <c r="R55" s="9">
        <v>786</v>
      </c>
    </row>
    <row r="56" spans="1:37" x14ac:dyDescent="0.25">
      <c r="A56" s="9">
        <f t="shared" si="5"/>
        <v>55</v>
      </c>
      <c r="B56" s="9">
        <f t="array" ref="B56">IF(C56="",0,IF(OR(C56=Country_Comparison!$S$10:$S$29),1,0))</f>
        <v>0</v>
      </c>
      <c r="C56" s="9" t="str">
        <f t="shared" si="6"/>
        <v>Dominican Republic</v>
      </c>
      <c r="D56" s="6">
        <f t="shared" si="7"/>
        <v>719</v>
      </c>
      <c r="E56" s="6">
        <f>IF(COUNTIF(I56:XFD56,"&gt;"&amp;0)=0,,HLOOKUP(COUNTIF(I56:XFD56,"&gt;"&amp;0)-1,I$1:XFD56,A56+1,FALSE))</f>
        <v>719</v>
      </c>
      <c r="F56" s="7">
        <f>IF(COUNTIF(I56:XFD56,"&gt;"&amp;0)=0,,HLOOKUP(COUNTIF(I56:XFD56,"&gt;"&amp;0)-MIN($F$1+1,COUNTIF(I56:XFD56,"&gt;"&amp;0)),I$1:XFD56,A56+1,FALSE))</f>
        <v>245</v>
      </c>
      <c r="G56" s="8">
        <f t="shared" si="8"/>
        <v>1.24025949692361</v>
      </c>
      <c r="H56" s="13" t="s">
        <v>106</v>
      </c>
      <c r="I56" s="9">
        <v>112</v>
      </c>
      <c r="J56" s="9">
        <v>202</v>
      </c>
      <c r="K56" s="9">
        <v>245</v>
      </c>
      <c r="L56" s="9">
        <v>312</v>
      </c>
      <c r="M56" s="9">
        <v>392</v>
      </c>
      <c r="N56" s="9">
        <v>488</v>
      </c>
      <c r="O56" s="9">
        <v>581</v>
      </c>
      <c r="P56" s="9">
        <v>719</v>
      </c>
    </row>
    <row r="57" spans="1:37" x14ac:dyDescent="0.25">
      <c r="A57" s="9">
        <f t="shared" si="5"/>
        <v>56</v>
      </c>
      <c r="B57" s="9">
        <f t="array" ref="B57">IF(C57="",0,IF(OR(C57=Country_Comparison!$S$10:$S$29),1,0))</f>
        <v>0</v>
      </c>
      <c r="C57" s="9" t="str">
        <f t="shared" si="6"/>
        <v>Mexico</v>
      </c>
      <c r="D57" s="6">
        <f t="shared" si="7"/>
        <v>717</v>
      </c>
      <c r="E57" s="6">
        <f>IF(COUNTIF(I57:XFD57,"&gt;"&amp;0)=0,,HLOOKUP(COUNTIF(I57:XFD57,"&gt;"&amp;0)-1,I$1:XFD57,A57+1,FALSE))</f>
        <v>717</v>
      </c>
      <c r="F57" s="7">
        <f>IF(COUNTIF(I57:XFD57,"&gt;"&amp;0)=0,,HLOOKUP(COUNTIF(I57:XFD57,"&gt;"&amp;0)-MIN($F$1+1,COUNTIF(I57:XFD57,"&gt;"&amp;0)),I$1:XFD57,A57+1,FALSE))</f>
        <v>316</v>
      </c>
      <c r="G57" s="8">
        <f t="shared" si="8"/>
        <v>1.1780572995174847</v>
      </c>
      <c r="H57" s="13" t="s">
        <v>94</v>
      </c>
      <c r="I57" s="9">
        <v>118</v>
      </c>
      <c r="J57" s="9">
        <v>164</v>
      </c>
      <c r="K57" s="9">
        <v>203</v>
      </c>
      <c r="L57" s="9">
        <v>251</v>
      </c>
      <c r="M57" s="9">
        <v>316</v>
      </c>
      <c r="N57" s="9">
        <v>367</v>
      </c>
      <c r="O57" s="9">
        <v>405</v>
      </c>
      <c r="P57" s="9">
        <v>475</v>
      </c>
      <c r="Q57" s="9">
        <v>585</v>
      </c>
      <c r="R57" s="9">
        <v>717</v>
      </c>
    </row>
    <row r="58" spans="1:37" x14ac:dyDescent="0.25">
      <c r="A58" s="9">
        <f t="shared" si="5"/>
        <v>57</v>
      </c>
      <c r="B58" s="9">
        <f t="array" ref="B58">IF(C58="",0,IF(OR(C58=Country_Comparison!$S$10:$S$29),1,0))</f>
        <v>0</v>
      </c>
      <c r="C58" s="9" t="str">
        <f t="shared" si="6"/>
        <v>Argentina</v>
      </c>
      <c r="D58" s="6">
        <f t="shared" si="7"/>
        <v>690</v>
      </c>
      <c r="E58" s="6">
        <f>IF(COUNTIF(I58:XFD58,"&gt;"&amp;0)=0,,HLOOKUP(COUNTIF(I58:XFD58,"&gt;"&amp;0)-1,I$1:XFD58,A58+1,FALSE))</f>
        <v>690</v>
      </c>
      <c r="F58" s="7">
        <f>IF(COUNTIF(I58:XFD58,"&gt;"&amp;0)=0,,HLOOKUP(COUNTIF(I58:XFD58,"&gt;"&amp;0)-MIN($F$1+1,COUNTIF(I58:XFD58,"&gt;"&amp;0)),I$1:XFD58,A58+1,FALSE))</f>
        <v>301</v>
      </c>
      <c r="G58" s="8">
        <f t="shared" si="8"/>
        <v>1.1804742524248688</v>
      </c>
      <c r="H58" s="13" t="s">
        <v>123</v>
      </c>
      <c r="I58" s="9">
        <v>128</v>
      </c>
      <c r="J58" s="9">
        <v>158</v>
      </c>
      <c r="K58" s="9">
        <v>266</v>
      </c>
      <c r="L58" s="9">
        <v>301</v>
      </c>
      <c r="M58" s="9">
        <v>387</v>
      </c>
      <c r="N58" s="9">
        <v>387</v>
      </c>
      <c r="O58" s="9">
        <v>502</v>
      </c>
      <c r="P58" s="9">
        <v>589</v>
      </c>
      <c r="Q58" s="9">
        <v>690</v>
      </c>
    </row>
    <row r="59" spans="1:37" x14ac:dyDescent="0.25">
      <c r="A59" s="9">
        <f t="shared" si="5"/>
        <v>58</v>
      </c>
      <c r="B59" s="9">
        <f t="array" ref="B59">IF(C59="",0,IF(OR(C59=Country_Comparison!$S$10:$S$29),1,0))</f>
        <v>0</v>
      </c>
      <c r="C59" s="9" t="str">
        <f t="shared" si="6"/>
        <v>Slovenia</v>
      </c>
      <c r="D59" s="6">
        <f t="shared" si="7"/>
        <v>684</v>
      </c>
      <c r="E59" s="6">
        <f>IF(COUNTIF(I59:XFD59,"&gt;"&amp;0)=0,,HLOOKUP(COUNTIF(I59:XFD59,"&gt;"&amp;0)-1,I$1:XFD59,A59+1,FALSE))</f>
        <v>684</v>
      </c>
      <c r="F59" s="7">
        <f>IF(COUNTIF(I59:XFD59,"&gt;"&amp;0)=0,,HLOOKUP(COUNTIF(I59:XFD59,"&gt;"&amp;0)-MIN($F$1+1,COUNTIF(I59:XFD59,"&gt;"&amp;0)),I$1:XFD59,A59+1,FALSE))</f>
        <v>442</v>
      </c>
      <c r="G59" s="8">
        <f t="shared" si="8"/>
        <v>1.0912563062835456</v>
      </c>
      <c r="H59" s="13" t="s">
        <v>141</v>
      </c>
      <c r="I59" s="9">
        <v>141</v>
      </c>
      <c r="J59" s="9">
        <v>181</v>
      </c>
      <c r="K59" s="9">
        <v>219</v>
      </c>
      <c r="L59" s="9">
        <v>253</v>
      </c>
      <c r="M59" s="9">
        <v>275</v>
      </c>
      <c r="N59" s="9">
        <v>275</v>
      </c>
      <c r="O59" s="9">
        <v>286</v>
      </c>
      <c r="P59" s="9">
        <v>341</v>
      </c>
      <c r="Q59" s="9">
        <v>383</v>
      </c>
      <c r="R59" s="9">
        <v>414</v>
      </c>
      <c r="S59" s="9">
        <v>442</v>
      </c>
      <c r="T59" s="9">
        <v>480</v>
      </c>
      <c r="U59" s="9">
        <v>528</v>
      </c>
      <c r="V59" s="9">
        <v>562</v>
      </c>
      <c r="W59" s="9">
        <v>632</v>
      </c>
      <c r="X59" s="9">
        <v>684</v>
      </c>
    </row>
    <row r="60" spans="1:37" x14ac:dyDescent="0.25">
      <c r="A60" s="9">
        <f t="shared" si="5"/>
        <v>59</v>
      </c>
      <c r="B60" s="9">
        <f t="array" ref="B60">IF(C60="",0,IF(OR(C60=Country_Comparison!$S$10:$S$29),1,0))</f>
        <v>0</v>
      </c>
      <c r="C60" s="9" t="str">
        <f t="shared" si="6"/>
        <v>Peru</v>
      </c>
      <c r="D60" s="6">
        <f t="shared" si="7"/>
        <v>671</v>
      </c>
      <c r="E60" s="6">
        <f>IF(COUNTIF(I60:XFD60,"&gt;"&amp;0)=0,,HLOOKUP(COUNTIF(I60:XFD60,"&gt;"&amp;0)-1,I$1:XFD60,A60+1,FALSE))</f>
        <v>671</v>
      </c>
      <c r="F60" s="7">
        <f>IF(COUNTIF(I60:XFD60,"&gt;"&amp;0)=0,,HLOOKUP(COUNTIF(I60:XFD60,"&gt;"&amp;0)-MIN($F$1+1,COUNTIF(I60:XFD60,"&gt;"&amp;0)),I$1:XFD60,A60+1,FALSE))</f>
        <v>395</v>
      </c>
      <c r="G60" s="8">
        <f t="shared" si="8"/>
        <v>1.1117959429123174</v>
      </c>
      <c r="H60" s="13" t="s">
        <v>160</v>
      </c>
      <c r="I60" s="9">
        <v>117</v>
      </c>
      <c r="J60" s="9">
        <v>145</v>
      </c>
      <c r="K60" s="9">
        <v>234</v>
      </c>
      <c r="L60" s="9">
        <v>234</v>
      </c>
      <c r="M60" s="9">
        <v>318</v>
      </c>
      <c r="N60" s="9">
        <v>363</v>
      </c>
      <c r="O60" s="9">
        <v>395</v>
      </c>
      <c r="P60" s="9">
        <v>416</v>
      </c>
      <c r="Q60" s="9">
        <v>480</v>
      </c>
      <c r="R60" s="9">
        <v>580</v>
      </c>
      <c r="S60" s="9">
        <v>635</v>
      </c>
      <c r="T60" s="9">
        <v>671</v>
      </c>
    </row>
    <row r="61" spans="1:37" x14ac:dyDescent="0.25">
      <c r="A61" s="9">
        <f t="shared" si="5"/>
        <v>60</v>
      </c>
      <c r="B61" s="9">
        <f t="array" ref="B61">IF(C61="",0,IF(OR(C61=Country_Comparison!$S$10:$S$29),1,0))</f>
        <v>0</v>
      </c>
      <c r="C61" s="9" t="str">
        <f t="shared" si="6"/>
        <v>Serbia</v>
      </c>
      <c r="D61" s="6">
        <f t="shared" si="7"/>
        <v>659</v>
      </c>
      <c r="E61" s="6">
        <f>IF(COUNTIF(I61:XFD61,"&gt;"&amp;0)=0,,HLOOKUP(COUNTIF(I61:XFD61,"&gt;"&amp;0)-1,I$1:XFD61,A61+1,FALSE))</f>
        <v>659</v>
      </c>
      <c r="F61" s="7">
        <f>IF(COUNTIF(I61:XFD61,"&gt;"&amp;0)=0,,HLOOKUP(COUNTIF(I61:XFD61,"&gt;"&amp;0)-MIN($F$1+1,COUNTIF(I61:XFD61,"&gt;"&amp;0)),I$1:XFD61,A61+1,FALSE))</f>
        <v>249</v>
      </c>
      <c r="G61" s="8">
        <f t="shared" si="8"/>
        <v>1.2148907166553311</v>
      </c>
      <c r="H61" s="13" t="s">
        <v>161</v>
      </c>
      <c r="I61" s="9">
        <v>103</v>
      </c>
      <c r="J61" s="9">
        <v>135</v>
      </c>
      <c r="K61" s="9">
        <v>171</v>
      </c>
      <c r="L61" s="9">
        <v>222</v>
      </c>
      <c r="M61" s="9">
        <v>249</v>
      </c>
      <c r="N61" s="9">
        <v>303</v>
      </c>
      <c r="O61" s="9">
        <v>384</v>
      </c>
      <c r="P61" s="9">
        <v>384</v>
      </c>
      <c r="Q61" s="9">
        <v>457</v>
      </c>
      <c r="R61" s="9">
        <v>659</v>
      </c>
    </row>
    <row r="62" spans="1:37" x14ac:dyDescent="0.25">
      <c r="A62" s="9">
        <f t="shared" si="5"/>
        <v>61</v>
      </c>
      <c r="B62" s="9">
        <f t="array" ref="B62">IF(C62="",0,IF(OR(C62=Country_Comparison!$S$10:$S$29),1,0))</f>
        <v>0</v>
      </c>
      <c r="C62" s="9" t="str">
        <f t="shared" si="6"/>
        <v>Croatia</v>
      </c>
      <c r="D62" s="6">
        <f t="shared" si="7"/>
        <v>657</v>
      </c>
      <c r="E62" s="6">
        <f>IF(COUNTIF(I62:XFD62,"&gt;"&amp;0)=0,,HLOOKUP(COUNTIF(I62:XFD62,"&gt;"&amp;0)-1,I$1:XFD62,A62+1,FALSE))</f>
        <v>657</v>
      </c>
      <c r="F62" s="7">
        <f>IF(COUNTIF(I62:XFD62,"&gt;"&amp;0)=0,,HLOOKUP(COUNTIF(I62:XFD62,"&gt;"&amp;0)-MIN($F$1+1,COUNTIF(I62:XFD62,"&gt;"&amp;0)),I$1:XFD62,A62+1,FALSE))</f>
        <v>315</v>
      </c>
      <c r="G62" s="8">
        <f t="shared" si="8"/>
        <v>1.1583797667311304</v>
      </c>
      <c r="H62" s="13" t="s">
        <v>76</v>
      </c>
      <c r="I62" s="9">
        <v>105</v>
      </c>
      <c r="J62" s="9">
        <v>128</v>
      </c>
      <c r="K62" s="9">
        <v>206</v>
      </c>
      <c r="L62" s="9">
        <v>254</v>
      </c>
      <c r="M62" s="9">
        <v>315</v>
      </c>
      <c r="N62" s="9">
        <v>382</v>
      </c>
      <c r="O62" s="9">
        <v>442</v>
      </c>
      <c r="P62" s="9">
        <v>495</v>
      </c>
      <c r="Q62" s="9">
        <v>586</v>
      </c>
      <c r="R62" s="9">
        <v>657</v>
      </c>
    </row>
    <row r="63" spans="1:37" x14ac:dyDescent="0.25">
      <c r="A63" s="9">
        <f t="shared" si="5"/>
        <v>62</v>
      </c>
      <c r="B63" s="9">
        <f t="array" ref="B63">IF(C63="",0,IF(OR(C63=Country_Comparison!$S$10:$S$29),1,0))</f>
        <v>0</v>
      </c>
      <c r="C63" s="9" t="str">
        <f t="shared" si="6"/>
        <v>Estonia</v>
      </c>
      <c r="D63" s="6">
        <f t="shared" si="7"/>
        <v>645</v>
      </c>
      <c r="E63" s="6">
        <f>IF(COUNTIF(I63:XFD63,"&gt;"&amp;0)=0,,HLOOKUP(COUNTIF(I63:XFD63,"&gt;"&amp;0)-1,I$1:XFD63,A63+1,FALSE))</f>
        <v>645</v>
      </c>
      <c r="F63" s="7">
        <f>IF(COUNTIF(I63:XFD63,"&gt;"&amp;0)=0,,HLOOKUP(COUNTIF(I63:XFD63,"&gt;"&amp;0)-MIN($F$1+1,COUNTIF(I63:XFD63,"&gt;"&amp;0)),I$1:XFD63,A63+1,FALSE))</f>
        <v>352</v>
      </c>
      <c r="G63" s="8">
        <f t="shared" si="8"/>
        <v>1.1287646766565422</v>
      </c>
      <c r="H63" s="13" t="s">
        <v>88</v>
      </c>
      <c r="I63" s="9">
        <v>115</v>
      </c>
      <c r="J63" s="9">
        <v>171</v>
      </c>
      <c r="K63" s="9">
        <v>205</v>
      </c>
      <c r="L63" s="9">
        <v>225</v>
      </c>
      <c r="M63" s="9">
        <v>258</v>
      </c>
      <c r="N63" s="9">
        <v>267</v>
      </c>
      <c r="O63" s="9">
        <v>283</v>
      </c>
      <c r="P63" s="9">
        <v>306</v>
      </c>
      <c r="Q63" s="9">
        <v>326</v>
      </c>
      <c r="R63" s="9">
        <v>352</v>
      </c>
      <c r="S63" s="9">
        <v>369</v>
      </c>
      <c r="T63" s="9">
        <v>404</v>
      </c>
      <c r="U63" s="9">
        <v>538</v>
      </c>
      <c r="V63" s="9">
        <v>575</v>
      </c>
      <c r="W63" s="9">
        <v>645</v>
      </c>
    </row>
    <row r="64" spans="1:37" x14ac:dyDescent="0.25">
      <c r="A64" s="9">
        <f t="shared" si="5"/>
        <v>63</v>
      </c>
      <c r="B64" s="9">
        <f t="array" ref="B64">IF(C64="",0,IF(OR(C64=Country_Comparison!$S$10:$S$29),1,0))</f>
        <v>0</v>
      </c>
      <c r="C64" s="9" t="str">
        <f t="shared" si="6"/>
        <v>Colombia</v>
      </c>
      <c r="D64" s="6">
        <f t="shared" si="7"/>
        <v>608</v>
      </c>
      <c r="E64" s="6">
        <f>IF(COUNTIF(I64:XFD64,"&gt;"&amp;0)=0,,HLOOKUP(COUNTIF(I64:XFD64,"&gt;"&amp;0)-1,I$1:XFD64,A64+1,FALSE))</f>
        <v>608</v>
      </c>
      <c r="F64" s="7">
        <f>IF(COUNTIF(I64:XFD64,"&gt;"&amp;0)=0,,HLOOKUP(COUNTIF(I64:XFD64,"&gt;"&amp;0)-MIN($F$1+1,COUNTIF(I64:XFD64,"&gt;"&amp;0)),I$1:XFD64,A64+1,FALSE))</f>
        <v>277</v>
      </c>
      <c r="G64" s="8">
        <f t="shared" si="8"/>
        <v>1.170266470164925</v>
      </c>
      <c r="H64" s="13" t="s">
        <v>158</v>
      </c>
      <c r="I64" s="9">
        <v>102</v>
      </c>
      <c r="J64" s="9">
        <v>128</v>
      </c>
      <c r="K64" s="9">
        <v>196</v>
      </c>
      <c r="L64" s="9">
        <v>231</v>
      </c>
      <c r="M64" s="9">
        <v>277</v>
      </c>
      <c r="N64" s="9">
        <v>378</v>
      </c>
      <c r="O64" s="9">
        <v>470</v>
      </c>
      <c r="P64" s="9">
        <v>491</v>
      </c>
      <c r="Q64" s="9">
        <v>539</v>
      </c>
      <c r="R64" s="9">
        <v>608</v>
      </c>
    </row>
    <row r="65" spans="1:27" x14ac:dyDescent="0.25">
      <c r="A65" s="9">
        <f t="shared" si="5"/>
        <v>64</v>
      </c>
      <c r="B65" s="9">
        <f t="array" ref="B65">IF(C65="",0,IF(OR(C65=Country_Comparison!$S$10:$S$29),1,0))</f>
        <v>0</v>
      </c>
      <c r="C65" s="9" t="str">
        <f t="shared" si="6"/>
        <v>Qatar</v>
      </c>
      <c r="D65" s="6">
        <f t="shared" si="7"/>
        <v>590</v>
      </c>
      <c r="E65" s="6">
        <f>IF(COUNTIF(I65:XFD65,"&gt;"&amp;0)=0,,HLOOKUP(COUNTIF(I65:XFD65,"&gt;"&amp;0)-1,I$1:XFD65,A65+1,FALSE))</f>
        <v>590</v>
      </c>
      <c r="F65" s="7">
        <f>IF(COUNTIF(I65:XFD65,"&gt;"&amp;0)=0,,HLOOKUP(COUNTIF(I65:XFD65,"&gt;"&amp;0)-MIN($F$1+1,COUNTIF(I65:XFD65,"&gt;"&amp;0)),I$1:XFD65,A65+1,FALSE))</f>
        <v>501</v>
      </c>
      <c r="G65" s="8">
        <f t="shared" si="8"/>
        <v>1.0332439170202279</v>
      </c>
      <c r="H65" s="13" t="s">
        <v>101</v>
      </c>
      <c r="I65" s="9">
        <v>262</v>
      </c>
      <c r="J65" s="9">
        <v>262</v>
      </c>
      <c r="K65" s="9">
        <v>320</v>
      </c>
      <c r="L65" s="9">
        <v>337</v>
      </c>
      <c r="M65" s="9">
        <v>401</v>
      </c>
      <c r="N65" s="9">
        <v>439</v>
      </c>
      <c r="O65" s="9">
        <v>439</v>
      </c>
      <c r="P65" s="9">
        <v>452</v>
      </c>
      <c r="Q65" s="9">
        <v>460</v>
      </c>
      <c r="R65" s="9">
        <v>470</v>
      </c>
      <c r="S65" s="9">
        <v>481</v>
      </c>
      <c r="T65" s="9">
        <v>494</v>
      </c>
      <c r="U65" s="9">
        <v>501</v>
      </c>
      <c r="V65" s="9">
        <v>526</v>
      </c>
      <c r="W65" s="9">
        <v>537</v>
      </c>
      <c r="X65" s="9">
        <v>549</v>
      </c>
      <c r="Y65" s="9">
        <v>562</v>
      </c>
      <c r="Z65" s="9">
        <v>590</v>
      </c>
    </row>
    <row r="66" spans="1:27" x14ac:dyDescent="0.25">
      <c r="A66" s="9">
        <f t="shared" si="5"/>
        <v>65</v>
      </c>
      <c r="B66" s="9">
        <f t="array" ref="B66">IF(C66="",0,IF(OR(C66=Country_Comparison!$S$10:$S$29),1,0))</f>
        <v>0</v>
      </c>
      <c r="C66" s="9" t="str">
        <f t="shared" si="6"/>
        <v>Egypt</v>
      </c>
      <c r="D66" s="6">
        <f t="shared" si="7"/>
        <v>576</v>
      </c>
      <c r="E66" s="6">
        <f>IF(COUNTIF(I66:XFD66,"&gt;"&amp;0)=0,,HLOOKUP(COUNTIF(I66:XFD66,"&gt;"&amp;0)-1,I$1:XFD66,A66+1,FALSE))</f>
        <v>576</v>
      </c>
      <c r="F66" s="7">
        <f>IF(COUNTIF(I66:XFD66,"&gt;"&amp;0)=0,,HLOOKUP(COUNTIF(I66:XFD66,"&gt;"&amp;0)-MIN($F$1+1,COUNTIF(I66:XFD66,"&gt;"&amp;0)),I$1:XFD66,A66+1,FALSE))</f>
        <v>366</v>
      </c>
      <c r="G66" s="8">
        <f t="shared" si="8"/>
        <v>1.0949348518366384</v>
      </c>
      <c r="H66" s="13" t="s">
        <v>65</v>
      </c>
      <c r="I66" s="9">
        <v>109</v>
      </c>
      <c r="J66" s="9">
        <v>110</v>
      </c>
      <c r="K66" s="9">
        <v>150</v>
      </c>
      <c r="L66" s="9">
        <v>196</v>
      </c>
      <c r="M66" s="9">
        <v>196</v>
      </c>
      <c r="N66" s="9">
        <v>256</v>
      </c>
      <c r="O66" s="9">
        <v>285</v>
      </c>
      <c r="P66" s="9">
        <v>294</v>
      </c>
      <c r="Q66" s="9">
        <v>327</v>
      </c>
      <c r="R66" s="9">
        <v>366</v>
      </c>
      <c r="S66" s="9">
        <v>402</v>
      </c>
      <c r="T66" s="9">
        <v>456</v>
      </c>
      <c r="U66" s="9">
        <v>495</v>
      </c>
      <c r="V66" s="9">
        <v>536</v>
      </c>
      <c r="W66" s="9">
        <v>576</v>
      </c>
    </row>
    <row r="67" spans="1:27" x14ac:dyDescent="0.25">
      <c r="A67" s="9">
        <f t="shared" si="5"/>
        <v>66</v>
      </c>
      <c r="B67" s="9">
        <f t="array" ref="B67">IF(C67="",0,IF(OR(C67=Country_Comparison!$S$10:$S$29),1,0))</f>
        <v>0</v>
      </c>
      <c r="C67" s="9" t="str">
        <f t="shared" si="6"/>
        <v>Iraq</v>
      </c>
      <c r="D67" s="6">
        <f t="shared" si="7"/>
        <v>506</v>
      </c>
      <c r="E67" s="6">
        <f>IF(COUNTIF(I67:XFD67,"&gt;"&amp;0)=0,,HLOOKUP(COUNTIF(I67:XFD67,"&gt;"&amp;0)-1,I$1:XFD67,A67+1,FALSE))</f>
        <v>506</v>
      </c>
      <c r="F67" s="7">
        <f>IF(COUNTIF(I67:XFD67,"&gt;"&amp;0)=0,,HLOOKUP(COUNTIF(I67:XFD67,"&gt;"&amp;0)-MIN($F$1+1,COUNTIF(I67:XFD67,"&gt;"&amp;0)),I$1:XFD67,A67+1,FALSE))</f>
        <v>266</v>
      </c>
      <c r="G67" s="8">
        <f t="shared" si="8"/>
        <v>1.1372443190332697</v>
      </c>
      <c r="H67" s="13" t="s">
        <v>70</v>
      </c>
      <c r="I67" s="9">
        <v>101</v>
      </c>
      <c r="J67" s="9">
        <v>110</v>
      </c>
      <c r="K67" s="9">
        <v>116</v>
      </c>
      <c r="L67" s="9">
        <v>124</v>
      </c>
      <c r="M67" s="9">
        <v>154</v>
      </c>
      <c r="N67" s="9">
        <v>164</v>
      </c>
      <c r="O67" s="9">
        <v>192</v>
      </c>
      <c r="P67" s="9">
        <v>208</v>
      </c>
      <c r="Q67" s="9">
        <v>214</v>
      </c>
      <c r="R67" s="9">
        <v>233</v>
      </c>
      <c r="S67" s="9">
        <v>266</v>
      </c>
      <c r="T67" s="9">
        <v>316</v>
      </c>
      <c r="U67" s="9">
        <v>346</v>
      </c>
      <c r="V67" s="9">
        <v>382</v>
      </c>
      <c r="W67" s="9">
        <v>458</v>
      </c>
      <c r="X67" s="9">
        <v>506</v>
      </c>
    </row>
    <row r="68" spans="1:27" x14ac:dyDescent="0.25">
      <c r="A68" s="9">
        <f t="shared" si="5"/>
        <v>67</v>
      </c>
      <c r="B68" s="9">
        <f t="array" ref="B68">IF(C68="",0,IF(OR(C68=Country_Comparison!$S$10:$S$29),1,0))</f>
        <v>0</v>
      </c>
      <c r="C68" s="9" t="str">
        <f t="shared" si="6"/>
        <v>Bahrain</v>
      </c>
      <c r="D68" s="6">
        <f t="shared" si="7"/>
        <v>476</v>
      </c>
      <c r="E68" s="6">
        <f>IF(COUNTIF(I68:XFD68,"&gt;"&amp;0)=0,,HLOOKUP(COUNTIF(I68:XFD68,"&gt;"&amp;0)-1,I$1:XFD68,A68+1,FALSE))</f>
        <v>476</v>
      </c>
      <c r="F68" s="7">
        <f>IF(COUNTIF(I68:XFD68,"&gt;"&amp;0)=0,,HLOOKUP(COUNTIF(I68:XFD68,"&gt;"&amp;0)-MIN($F$1+1,COUNTIF(I68:XFD68,"&gt;"&amp;0)),I$1:XFD68,A68+1,FALSE))</f>
        <v>377</v>
      </c>
      <c r="G68" s="8">
        <f t="shared" si="8"/>
        <v>1.0477390254353456</v>
      </c>
      <c r="H68" s="13" t="s">
        <v>73</v>
      </c>
      <c r="I68" s="9">
        <v>110</v>
      </c>
      <c r="J68" s="9">
        <v>195</v>
      </c>
      <c r="K68" s="9">
        <v>195</v>
      </c>
      <c r="L68" s="9">
        <v>195</v>
      </c>
      <c r="M68" s="9">
        <v>210</v>
      </c>
      <c r="N68" s="9">
        <v>214</v>
      </c>
      <c r="O68" s="9">
        <v>214</v>
      </c>
      <c r="P68" s="9">
        <v>228</v>
      </c>
      <c r="Q68" s="9">
        <v>256</v>
      </c>
      <c r="R68" s="9">
        <v>278</v>
      </c>
      <c r="S68" s="9">
        <v>285</v>
      </c>
      <c r="T68" s="9">
        <v>305</v>
      </c>
      <c r="U68" s="9">
        <v>334</v>
      </c>
      <c r="V68" s="9">
        <v>377</v>
      </c>
      <c r="W68" s="9">
        <v>392</v>
      </c>
      <c r="X68" s="9">
        <v>419</v>
      </c>
      <c r="Y68" s="9">
        <v>458</v>
      </c>
      <c r="Z68" s="9">
        <v>466</v>
      </c>
      <c r="AA68" s="9">
        <v>476</v>
      </c>
    </row>
    <row r="69" spans="1:27" x14ac:dyDescent="0.25">
      <c r="A69" s="9">
        <f t="shared" si="5"/>
        <v>68</v>
      </c>
      <c r="B69" s="9">
        <f t="array" ref="B69">IF(C69="",0,IF(OR(C69=Country_Comparison!$S$10:$S$29),1,0))</f>
        <v>0</v>
      </c>
      <c r="C69" s="9" t="str">
        <f t="shared" si="6"/>
        <v>United Arab Emirates</v>
      </c>
      <c r="D69" s="6">
        <f t="shared" si="7"/>
        <v>468</v>
      </c>
      <c r="E69" s="6">
        <f>IF(COUNTIF(I69:XFD69,"&gt;"&amp;0)=0,,HLOOKUP(COUNTIF(I69:XFD69,"&gt;"&amp;0)-1,I$1:XFD69,A69+1,FALSE))</f>
        <v>468</v>
      </c>
      <c r="F69" s="7">
        <f>IF(COUNTIF(I69:XFD69,"&gt;"&amp;0)=0,,HLOOKUP(COUNTIF(I69:XFD69,"&gt;"&amp;0)-MIN($F$1+1,COUNTIF(I69:XFD69,"&gt;"&amp;0)),I$1:XFD69,A69+1,FALSE))</f>
        <v>198</v>
      </c>
      <c r="G69" s="8">
        <f t="shared" si="8"/>
        <v>1.1877256418249378</v>
      </c>
      <c r="H69" s="13" t="s">
        <v>55</v>
      </c>
      <c r="I69" s="9">
        <v>113</v>
      </c>
      <c r="J69" s="9">
        <v>140</v>
      </c>
      <c r="K69" s="9">
        <v>140</v>
      </c>
      <c r="L69" s="9">
        <v>153</v>
      </c>
      <c r="M69" s="9">
        <v>153</v>
      </c>
      <c r="N69" s="9">
        <v>198</v>
      </c>
      <c r="O69" s="9">
        <v>248</v>
      </c>
      <c r="P69" s="9">
        <v>333</v>
      </c>
      <c r="Q69" s="9">
        <v>333</v>
      </c>
      <c r="R69" s="9">
        <v>405</v>
      </c>
      <c r="S69" s="9">
        <v>468</v>
      </c>
    </row>
    <row r="70" spans="1:27" x14ac:dyDescent="0.25">
      <c r="A70" s="9">
        <f t="shared" si="5"/>
        <v>69</v>
      </c>
      <c r="B70" s="9">
        <f t="array" ref="B70">IF(C70="",0,IF(OR(C70=Country_Comparison!$S$10:$S$29),1,0))</f>
        <v>0</v>
      </c>
      <c r="C70" s="9" t="str">
        <f t="shared" ref="C70:C133" si="9">IF(H70="","",H70)</f>
        <v>Algeria</v>
      </c>
      <c r="D70" s="6">
        <f t="shared" ref="D70:D133" si="10">MAX(I70:JF70)</f>
        <v>454</v>
      </c>
      <c r="E70" s="6">
        <f>IF(COUNTIF(I70:XFD70,"&gt;"&amp;0)=0,,HLOOKUP(COUNTIF(I70:XFD70,"&gt;"&amp;0)-1,I$1:XFD70,A70+1,FALSE))</f>
        <v>454</v>
      </c>
      <c r="F70" s="7">
        <f>IF(COUNTIF(I70:XFD70,"&gt;"&amp;0)=0,,HLOOKUP(COUNTIF(I70:XFD70,"&gt;"&amp;0)-MIN($F$1+1,COUNTIF(I70:XFD70,"&gt;"&amp;0)),I$1:XFD70,A70+1,FALSE))</f>
        <v>230</v>
      </c>
      <c r="G70" s="8">
        <f t="shared" ref="G70:G133" si="11">IF(COUNTIF(I70:XFD70,"&gt;"&amp;0)=0,,(E70/F70)^(1/MIN(COUNTIF(I70:XFD70,"&gt;"&amp;0)-1,$F$1)))</f>
        <v>1.1456859926499465</v>
      </c>
      <c r="H70" s="13" t="s">
        <v>75</v>
      </c>
      <c r="I70" s="9">
        <v>139</v>
      </c>
      <c r="J70" s="9">
        <v>201</v>
      </c>
      <c r="K70" s="9">
        <v>230</v>
      </c>
      <c r="L70" s="9">
        <v>264</v>
      </c>
      <c r="M70" s="9">
        <v>302</v>
      </c>
      <c r="N70" s="9">
        <v>367</v>
      </c>
      <c r="O70" s="9">
        <v>409</v>
      </c>
      <c r="P70" s="9">
        <v>454</v>
      </c>
    </row>
    <row r="71" spans="1:27" x14ac:dyDescent="0.25">
      <c r="A71" s="9">
        <f t="shared" si="5"/>
        <v>70</v>
      </c>
      <c r="B71" s="9">
        <f t="array" ref="B71">IF(C71="",0,IF(OR(C71=Country_Comparison!$S$10:$S$29),1,0))</f>
        <v>0</v>
      </c>
      <c r="C71" s="9" t="str">
        <f t="shared" si="9"/>
        <v>New Zealand</v>
      </c>
      <c r="D71" s="6">
        <f t="shared" si="10"/>
        <v>451</v>
      </c>
      <c r="E71" s="6">
        <f>IF(COUNTIF(I71:XFD71,"&gt;"&amp;0)=0,,HLOOKUP(COUNTIF(I71:XFD71,"&gt;"&amp;0)-1,I$1:XFD71,A71+1,FALSE))</f>
        <v>451</v>
      </c>
      <c r="F71" s="7">
        <f>IF(COUNTIF(I71:XFD71,"&gt;"&amp;0)=0,,HLOOKUP(COUNTIF(I71:XFD71,"&gt;"&amp;0)-MIN($F$1+1,COUNTIF(I71:XFD71,"&gt;"&amp;0)),I$1:XFD71,A71+1,FALSE))</f>
        <v>102</v>
      </c>
      <c r="G71" s="8">
        <f t="shared" si="11"/>
        <v>1.346217630824613</v>
      </c>
      <c r="H71" s="13" t="s">
        <v>95</v>
      </c>
      <c r="I71" s="9">
        <v>102</v>
      </c>
      <c r="J71" s="9">
        <v>102</v>
      </c>
      <c r="K71" s="9">
        <v>155</v>
      </c>
      <c r="L71" s="9">
        <v>205</v>
      </c>
      <c r="M71" s="9">
        <v>283</v>
      </c>
      <c r="N71" s="9">
        <v>368</v>
      </c>
      <c r="O71" s="9">
        <v>451</v>
      </c>
    </row>
    <row r="72" spans="1:27" x14ac:dyDescent="0.25">
      <c r="A72" s="9">
        <f t="shared" si="5"/>
        <v>71</v>
      </c>
      <c r="B72" s="9">
        <f t="array" ref="B72">IF(C72="",0,IF(OR(C72=Country_Comparison!$S$10:$S$29),1,0))</f>
        <v>0</v>
      </c>
      <c r="C72" s="9" t="str">
        <f t="shared" si="9"/>
        <v>Lebanon</v>
      </c>
      <c r="D72" s="6">
        <f t="shared" si="10"/>
        <v>412</v>
      </c>
      <c r="E72" s="6">
        <f>IF(COUNTIF(I72:XFD72,"&gt;"&amp;0)=0,,HLOOKUP(COUNTIF(I72:XFD72,"&gt;"&amp;0)-1,I$1:XFD72,A72+1,FALSE))</f>
        <v>412</v>
      </c>
      <c r="F72" s="7">
        <f>IF(COUNTIF(I72:XFD72,"&gt;"&amp;0)=0,,HLOOKUP(COUNTIF(I72:XFD72,"&gt;"&amp;0)-MIN($F$1+1,COUNTIF(I72:XFD72,"&gt;"&amp;0)),I$1:XFD72,A72+1,FALSE))</f>
        <v>267</v>
      </c>
      <c r="G72" s="8">
        <f t="shared" si="11"/>
        <v>1.0906293753576481</v>
      </c>
      <c r="H72" s="13" t="s">
        <v>67</v>
      </c>
      <c r="I72" s="9">
        <v>110</v>
      </c>
      <c r="J72" s="9">
        <v>110</v>
      </c>
      <c r="K72" s="9">
        <v>120</v>
      </c>
      <c r="L72" s="9">
        <v>133</v>
      </c>
      <c r="M72" s="9">
        <v>157</v>
      </c>
      <c r="N72" s="9">
        <v>163</v>
      </c>
      <c r="O72" s="9">
        <v>187</v>
      </c>
      <c r="P72" s="9">
        <v>248</v>
      </c>
      <c r="Q72" s="9">
        <v>267</v>
      </c>
      <c r="R72" s="9">
        <v>318</v>
      </c>
      <c r="S72" s="9">
        <v>333</v>
      </c>
      <c r="T72" s="9">
        <v>368</v>
      </c>
      <c r="U72" s="9">
        <v>391</v>
      </c>
      <c r="V72" s="9">
        <v>412</v>
      </c>
    </row>
    <row r="73" spans="1:27" x14ac:dyDescent="0.25">
      <c r="A73" s="9">
        <f t="shared" si="5"/>
        <v>72</v>
      </c>
      <c r="B73" s="9">
        <f t="array" ref="B73">IF(C73="",0,IF(OR(C73=Country_Comparison!$S$10:$S$29),1,0))</f>
        <v>0</v>
      </c>
      <c r="C73" s="9" t="str">
        <f t="shared" si="9"/>
        <v>Armenia</v>
      </c>
      <c r="D73" s="6">
        <f t="shared" si="10"/>
        <v>407</v>
      </c>
      <c r="E73" s="6">
        <f>IF(COUNTIF(I73:XFD73,"&gt;"&amp;0)=0,,HLOOKUP(COUNTIF(I73:XFD73,"&gt;"&amp;0)-1,I$1:XFD73,A73+1,FALSE))</f>
        <v>407</v>
      </c>
      <c r="F73" s="7">
        <f>IF(COUNTIF(I73:XFD73,"&gt;"&amp;0)=0,,HLOOKUP(COUNTIF(I73:XFD73,"&gt;"&amp;0)-MIN($F$1+1,COUNTIF(I73:XFD73,"&gt;"&amp;0)),I$1:XFD73,A73+1,FALSE))</f>
        <v>235</v>
      </c>
      <c r="G73" s="8">
        <f t="shared" si="11"/>
        <v>1.1161056570566477</v>
      </c>
      <c r="H73" s="13" t="s">
        <v>105</v>
      </c>
      <c r="I73" s="9">
        <v>115</v>
      </c>
      <c r="J73" s="9">
        <v>136</v>
      </c>
      <c r="K73" s="9">
        <v>160</v>
      </c>
      <c r="L73" s="9">
        <v>194</v>
      </c>
      <c r="M73" s="9">
        <v>235</v>
      </c>
      <c r="N73" s="9">
        <v>249</v>
      </c>
      <c r="O73" s="9">
        <v>265</v>
      </c>
      <c r="P73" s="9">
        <v>290</v>
      </c>
      <c r="Q73" s="9">
        <v>329</v>
      </c>
      <c r="R73" s="9">
        <v>407</v>
      </c>
    </row>
    <row r="74" spans="1:27" x14ac:dyDescent="0.25">
      <c r="A74" s="9">
        <f t="shared" si="5"/>
        <v>73</v>
      </c>
      <c r="B74" s="9">
        <f t="array" ref="B74">IF(C74="",0,IF(OR(C74=Country_Comparison!$S$10:$S$29),1,0))</f>
        <v>0</v>
      </c>
      <c r="C74" s="9" t="str">
        <f t="shared" si="9"/>
        <v>Morocco</v>
      </c>
      <c r="D74" s="6">
        <f t="shared" si="10"/>
        <v>402</v>
      </c>
      <c r="E74" s="6">
        <f>IF(COUNTIF(I74:XFD74,"&gt;"&amp;0)=0,,HLOOKUP(COUNTIF(I74:XFD74,"&gt;"&amp;0)-1,I$1:XFD74,A74+1,FALSE))</f>
        <v>402</v>
      </c>
      <c r="F74" s="7">
        <f>IF(COUNTIF(I74:XFD74,"&gt;"&amp;0)=0,,HLOOKUP(COUNTIF(I74:XFD74,"&gt;"&amp;0)-MIN($F$1+1,COUNTIF(I74:XFD74,"&gt;"&amp;0)),I$1:XFD74,A74+1,FALSE))</f>
        <v>143</v>
      </c>
      <c r="G74" s="8">
        <f t="shared" si="11"/>
        <v>1.2296400590895313</v>
      </c>
      <c r="H74" s="13" t="s">
        <v>112</v>
      </c>
      <c r="I74" s="9">
        <v>115</v>
      </c>
      <c r="J74" s="9">
        <v>143</v>
      </c>
      <c r="K74" s="9">
        <v>170</v>
      </c>
      <c r="L74" s="9">
        <v>225</v>
      </c>
      <c r="M74" s="9">
        <v>275</v>
      </c>
      <c r="N74" s="9">
        <v>345</v>
      </c>
      <c r="O74" s="9">
        <v>402</v>
      </c>
    </row>
    <row r="75" spans="1:27" x14ac:dyDescent="0.25">
      <c r="A75" s="9">
        <f t="shared" si="5"/>
        <v>74</v>
      </c>
      <c r="B75" s="9">
        <f t="array" ref="B75">IF(C75="",0,IF(OR(C75=Country_Comparison!$S$10:$S$29),1,0))</f>
        <v>0</v>
      </c>
      <c r="C75" s="9" t="str">
        <f t="shared" si="9"/>
        <v>Lithuania</v>
      </c>
      <c r="D75" s="6">
        <f t="shared" si="10"/>
        <v>394</v>
      </c>
      <c r="E75" s="6">
        <f>IF(COUNTIF(I75:XFD75,"&gt;"&amp;0)=0,,HLOOKUP(COUNTIF(I75:XFD75,"&gt;"&amp;0)-1,I$1:XFD75,A75+1,FALSE))</f>
        <v>394</v>
      </c>
      <c r="F75" s="7">
        <f>IF(COUNTIF(I75:XFD75,"&gt;"&amp;0)=0,,HLOOKUP(COUNTIF(I75:XFD75,"&gt;"&amp;0)-MIN($F$1+1,COUNTIF(I75:XFD75,"&gt;"&amp;0)),I$1:XFD75,A75+1,FALSE))</f>
        <v>179</v>
      </c>
      <c r="G75" s="8">
        <f t="shared" si="11"/>
        <v>1.1709238126233785</v>
      </c>
      <c r="H75" s="13" t="s">
        <v>93</v>
      </c>
      <c r="I75" s="9">
        <v>143</v>
      </c>
      <c r="J75" s="9">
        <v>179</v>
      </c>
      <c r="K75" s="9">
        <v>209</v>
      </c>
      <c r="L75" s="9">
        <v>274</v>
      </c>
      <c r="M75" s="9">
        <v>299</v>
      </c>
      <c r="N75" s="9">
        <v>358</v>
      </c>
      <c r="O75" s="9">
        <v>394</v>
      </c>
    </row>
    <row r="76" spans="1:27" x14ac:dyDescent="0.25">
      <c r="A76" s="9">
        <f t="shared" si="5"/>
        <v>75</v>
      </c>
      <c r="B76" s="9">
        <f t="array" ref="B76">IF(C76="",0,IF(OR(C76=Country_Comparison!$S$10:$S$29),1,0))</f>
        <v>0</v>
      </c>
      <c r="C76" s="9" t="str">
        <f t="shared" si="9"/>
        <v>Ukraine</v>
      </c>
      <c r="D76" s="6">
        <f t="shared" si="10"/>
        <v>356</v>
      </c>
      <c r="E76" s="6">
        <f>IF(COUNTIF(I76:XFD76,"&gt;"&amp;0)=0,,HLOOKUP(COUNTIF(I76:XFD76,"&gt;"&amp;0)-1,I$1:XFD76,A76+1,FALSE))</f>
        <v>356</v>
      </c>
      <c r="F76" s="7">
        <f>IF(COUNTIF(I76:XFD76,"&gt;"&amp;0)=0,,HLOOKUP(COUNTIF(I76:XFD76,"&gt;"&amp;0)-MIN($F$1+1,COUNTIF(I76:XFD76,"&gt;"&amp;0)),I$1:XFD76,A76+1,FALSE))</f>
        <v>145</v>
      </c>
      <c r="G76" s="8">
        <f t="shared" si="11"/>
        <v>1.3490477809668215</v>
      </c>
      <c r="H76" s="13" t="s">
        <v>129</v>
      </c>
      <c r="I76" s="9">
        <v>145</v>
      </c>
      <c r="J76" s="9">
        <v>196</v>
      </c>
      <c r="K76" s="9">
        <v>310</v>
      </c>
      <c r="L76" s="9">
        <v>356</v>
      </c>
    </row>
    <row r="77" spans="1:27" x14ac:dyDescent="0.25">
      <c r="A77" s="9">
        <f t="shared" si="5"/>
        <v>76</v>
      </c>
      <c r="B77" s="9">
        <f t="array" ref="B77">IF(C77="",0,IF(OR(C77=Country_Comparison!$S$10:$S$29),1,0))</f>
        <v>0</v>
      </c>
      <c r="C77" s="9" t="str">
        <f t="shared" si="9"/>
        <v>Hungary</v>
      </c>
      <c r="D77" s="6">
        <f t="shared" si="10"/>
        <v>343</v>
      </c>
      <c r="E77" s="6">
        <f>IF(COUNTIF(I77:XFD77,"&gt;"&amp;0)=0,,HLOOKUP(COUNTIF(I77:XFD77,"&gt;"&amp;0)-1,I$1:XFD77,A77+1,FALSE))</f>
        <v>343</v>
      </c>
      <c r="F77" s="7">
        <f>IF(COUNTIF(I77:XFD77,"&gt;"&amp;0)=0,,HLOOKUP(COUNTIF(I77:XFD77,"&gt;"&amp;0)-MIN($F$1+1,COUNTIF(I77:XFD77,"&gt;"&amp;0)),I$1:XFD77,A77+1,FALSE))</f>
        <v>167</v>
      </c>
      <c r="G77" s="8">
        <f t="shared" si="11"/>
        <v>1.154823278858389</v>
      </c>
      <c r="H77" s="13" t="s">
        <v>132</v>
      </c>
      <c r="I77" s="9">
        <v>103</v>
      </c>
      <c r="J77" s="9">
        <v>131</v>
      </c>
      <c r="K77" s="9">
        <v>167</v>
      </c>
      <c r="L77" s="9">
        <v>187</v>
      </c>
      <c r="M77" s="9">
        <v>226</v>
      </c>
      <c r="N77" s="9">
        <v>261</v>
      </c>
      <c r="O77" s="9">
        <v>300</v>
      </c>
      <c r="P77" s="9">
        <v>343</v>
      </c>
    </row>
    <row r="78" spans="1:27" x14ac:dyDescent="0.25">
      <c r="A78" s="9">
        <f t="shared" si="5"/>
        <v>77</v>
      </c>
      <c r="B78" s="9">
        <f t="array" ref="B78">IF(C78="",0,IF(OR(C78=Country_Comparison!$S$10:$S$29),1,0))</f>
        <v>0</v>
      </c>
      <c r="C78" s="9" t="str">
        <f t="shared" si="9"/>
        <v>Bulgaria</v>
      </c>
      <c r="D78" s="6">
        <f t="shared" si="10"/>
        <v>331</v>
      </c>
      <c r="E78" s="6">
        <f>IF(COUNTIF(I78:XFD78,"&gt;"&amp;0)=0,,HLOOKUP(COUNTIF(I78:XFD78,"&gt;"&amp;0)-1,I$1:XFD78,A78+1,FALSE))</f>
        <v>331</v>
      </c>
      <c r="F78" s="7">
        <f>IF(COUNTIF(I78:XFD78,"&gt;"&amp;0)=0,,HLOOKUP(COUNTIF(I78:XFD78,"&gt;"&amp;0)-MIN($F$1+1,COUNTIF(I78:XFD78,"&gt;"&amp;0)),I$1:XFD78,A78+1,FALSE))</f>
        <v>201</v>
      </c>
      <c r="G78" s="8">
        <f t="shared" si="11"/>
        <v>1.1049086849089991</v>
      </c>
      <c r="H78" s="13" t="s">
        <v>199</v>
      </c>
      <c r="I78" s="9">
        <v>127</v>
      </c>
      <c r="J78" s="9">
        <v>163</v>
      </c>
      <c r="K78" s="9">
        <v>187</v>
      </c>
      <c r="L78" s="9">
        <v>201</v>
      </c>
      <c r="M78" s="9">
        <v>218</v>
      </c>
      <c r="N78" s="9">
        <v>242</v>
      </c>
      <c r="O78" s="9">
        <v>264</v>
      </c>
      <c r="P78" s="9">
        <v>293</v>
      </c>
      <c r="Q78" s="9">
        <v>331</v>
      </c>
    </row>
    <row r="79" spans="1:27" x14ac:dyDescent="0.25">
      <c r="A79" s="9">
        <f t="shared" si="5"/>
        <v>78</v>
      </c>
      <c r="B79" s="9">
        <f t="array" ref="B79">IF(C79="",0,IF(OR(C79=Country_Comparison!$S$10:$S$29),1,0))</f>
        <v>0</v>
      </c>
      <c r="C79" s="9" t="str">
        <f t="shared" si="9"/>
        <v>Andorra</v>
      </c>
      <c r="D79" s="6">
        <f t="shared" si="10"/>
        <v>308</v>
      </c>
      <c r="E79" s="6">
        <f>IF(COUNTIF(I79:XFD79,"&gt;"&amp;0)=0,,HLOOKUP(COUNTIF(I79:XFD79,"&gt;"&amp;0)-1,I$1:XFD79,A79+1,FALSE))</f>
        <v>308</v>
      </c>
      <c r="F79" s="7">
        <f>IF(COUNTIF(I79:XFD79,"&gt;"&amp;0)=0,,HLOOKUP(COUNTIF(I79:XFD79,"&gt;"&amp;0)-MIN($F$1+1,COUNTIF(I79:XFD79,"&gt;"&amp;0)),I$1:XFD79,A79+1,FALSE))</f>
        <v>133</v>
      </c>
      <c r="G79" s="8">
        <f t="shared" si="11"/>
        <v>1.1828776201941695</v>
      </c>
      <c r="H79" s="13" t="s">
        <v>109</v>
      </c>
      <c r="I79" s="9">
        <v>113</v>
      </c>
      <c r="J79" s="9">
        <v>133</v>
      </c>
      <c r="K79" s="9">
        <v>164</v>
      </c>
      <c r="L79" s="9">
        <v>188</v>
      </c>
      <c r="M79" s="9">
        <v>224</v>
      </c>
      <c r="N79" s="9">
        <v>267</v>
      </c>
      <c r="O79" s="9">
        <v>308</v>
      </c>
    </row>
    <row r="80" spans="1:27" x14ac:dyDescent="0.25">
      <c r="A80" s="9">
        <f t="shared" si="5"/>
        <v>79</v>
      </c>
      <c r="B80" s="9">
        <f t="array" ref="B80">IF(C80="",0,IF(OR(C80=Country_Comparison!$S$10:$S$29),1,0))</f>
        <v>0</v>
      </c>
      <c r="C80" s="9" t="str">
        <f t="shared" si="9"/>
        <v>Latvia</v>
      </c>
      <c r="D80" s="6">
        <f t="shared" si="10"/>
        <v>305</v>
      </c>
      <c r="E80" s="6">
        <f>IF(COUNTIF(I80:XFD80,"&gt;"&amp;0)=0,,HLOOKUP(COUNTIF(I80:XFD80,"&gt;"&amp;0)-1,I$1:XFD80,A80+1,FALSE))</f>
        <v>305</v>
      </c>
      <c r="F80" s="7">
        <f>IF(COUNTIF(I80:XFD80,"&gt;"&amp;0)=0,,HLOOKUP(COUNTIF(I80:XFD80,"&gt;"&amp;0)-MIN($F$1+1,COUNTIF(I80:XFD80,"&gt;"&amp;0)),I$1:XFD80,A80+1,FALSE))</f>
        <v>180</v>
      </c>
      <c r="G80" s="8">
        <f t="shared" si="11"/>
        <v>1.1112338617639914</v>
      </c>
      <c r="H80" s="13" t="s">
        <v>111</v>
      </c>
      <c r="I80" s="9">
        <v>111</v>
      </c>
      <c r="J80" s="9">
        <v>124</v>
      </c>
      <c r="K80" s="9">
        <v>139</v>
      </c>
      <c r="L80" s="9">
        <v>180</v>
      </c>
      <c r="M80" s="9">
        <v>197</v>
      </c>
      <c r="N80" s="9">
        <v>221</v>
      </c>
      <c r="O80" s="9">
        <v>244</v>
      </c>
      <c r="P80" s="9">
        <v>280</v>
      </c>
      <c r="Q80" s="9">
        <v>305</v>
      </c>
    </row>
    <row r="81" spans="1:23" x14ac:dyDescent="0.25">
      <c r="A81" s="9">
        <f t="shared" si="5"/>
        <v>80</v>
      </c>
      <c r="B81" s="9">
        <f t="array" ref="B81">IF(C81="",0,IF(OR(C81=Country_Comparison!$S$10:$S$29),1,0))</f>
        <v>0</v>
      </c>
      <c r="C81" s="9" t="str">
        <f t="shared" si="9"/>
        <v>Costa Rica</v>
      </c>
      <c r="D81" s="6">
        <f t="shared" si="10"/>
        <v>295</v>
      </c>
      <c r="E81" s="6">
        <f>IF(COUNTIF(I81:XFD81,"&gt;"&amp;0)=0,,HLOOKUP(COUNTIF(I81:XFD81,"&gt;"&amp;0)-1,I$1:XFD81,A81+1,FALSE))</f>
        <v>295</v>
      </c>
      <c r="F81" s="7">
        <f>IF(COUNTIF(I81:XFD81,"&gt;"&amp;0)=0,,HLOOKUP(COUNTIF(I81:XFD81,"&gt;"&amp;0)-MIN($F$1+1,COUNTIF(I81:XFD81,"&gt;"&amp;0)),I$1:XFD81,A81+1,FALSE))</f>
        <v>158</v>
      </c>
      <c r="G81" s="8">
        <f t="shared" si="11"/>
        <v>1.1330080246331402</v>
      </c>
      <c r="H81" s="13" t="s">
        <v>159</v>
      </c>
      <c r="I81" s="9">
        <v>117</v>
      </c>
      <c r="J81" s="9">
        <v>134</v>
      </c>
      <c r="K81" s="9">
        <v>158</v>
      </c>
      <c r="L81" s="9">
        <v>177</v>
      </c>
      <c r="M81" s="9">
        <v>201</v>
      </c>
      <c r="N81" s="9">
        <v>231</v>
      </c>
      <c r="O81" s="9">
        <v>263</v>
      </c>
      <c r="P81" s="9">
        <v>295</v>
      </c>
    </row>
    <row r="82" spans="1:23" x14ac:dyDescent="0.25">
      <c r="A82" s="9">
        <f t="shared" si="5"/>
        <v>81</v>
      </c>
      <c r="B82" s="9">
        <f t="array" ref="B82">IF(C82="",0,IF(OR(C82=Country_Comparison!$S$10:$S$29),1,0))</f>
        <v>0</v>
      </c>
      <c r="C82" s="9" t="str">
        <f t="shared" si="9"/>
        <v>Slovakia</v>
      </c>
      <c r="D82" s="6">
        <f t="shared" si="10"/>
        <v>292</v>
      </c>
      <c r="E82" s="6">
        <f>IF(COUNTIF(I82:XFD82,"&gt;"&amp;0)=0,,HLOOKUP(COUNTIF(I82:XFD82,"&gt;"&amp;0)-1,I$1:XFD82,A82+1,FALSE))</f>
        <v>292</v>
      </c>
      <c r="F82" s="7">
        <f>IF(COUNTIF(I82:XFD82,"&gt;"&amp;0)=0,,HLOOKUP(COUNTIF(I82:XFD82,"&gt;"&amp;0)-MIN($F$1+1,COUNTIF(I82:XFD82,"&gt;"&amp;0)),I$1:XFD82,A82+1,FALSE))</f>
        <v>186</v>
      </c>
      <c r="G82" s="8">
        <f t="shared" si="11"/>
        <v>1.0943947007363646</v>
      </c>
      <c r="H82" s="13" t="s">
        <v>162</v>
      </c>
      <c r="I82" s="9">
        <v>105</v>
      </c>
      <c r="J82" s="9">
        <v>123</v>
      </c>
      <c r="K82" s="9">
        <v>137</v>
      </c>
      <c r="L82" s="9">
        <v>178</v>
      </c>
      <c r="M82" s="9">
        <v>185</v>
      </c>
      <c r="N82" s="9">
        <v>186</v>
      </c>
      <c r="O82" s="9">
        <v>204</v>
      </c>
      <c r="P82" s="9">
        <v>216</v>
      </c>
      <c r="Q82" s="9">
        <v>226</v>
      </c>
      <c r="R82" s="9">
        <v>269</v>
      </c>
      <c r="S82" s="9">
        <v>292</v>
      </c>
    </row>
    <row r="83" spans="1:23" x14ac:dyDescent="0.25">
      <c r="A83" s="9">
        <f t="shared" si="5"/>
        <v>82</v>
      </c>
      <c r="B83" s="9">
        <f t="array" ref="B83">IF(C83="",0,IF(OR(C83=Country_Comparison!$S$10:$S$29),1,0))</f>
        <v>0</v>
      </c>
      <c r="C83" s="9" t="str">
        <f t="shared" si="9"/>
        <v>Taiwan*</v>
      </c>
      <c r="D83" s="6">
        <f t="shared" si="10"/>
        <v>283</v>
      </c>
      <c r="E83" s="6">
        <f>IF(COUNTIF(I83:XFD83,"&gt;"&amp;0)=0,,HLOOKUP(COUNTIF(I83:XFD83,"&gt;"&amp;0)-1,I$1:XFD83,A83+1,FALSE))</f>
        <v>283</v>
      </c>
      <c r="F83" s="7">
        <f>IF(COUNTIF(I83:XFD83,"&gt;"&amp;0)=0,,HLOOKUP(COUNTIF(I83:XFD83,"&gt;"&amp;0)-MIN($F$1+1,COUNTIF(I83:XFD83,"&gt;"&amp;0)),I$1:XFD83,A83+1,FALSE))</f>
        <v>195</v>
      </c>
      <c r="G83" s="8">
        <f t="shared" si="11"/>
        <v>1.0773339967825089</v>
      </c>
      <c r="H83" s="13" t="s">
        <v>342</v>
      </c>
      <c r="I83" s="9">
        <v>100</v>
      </c>
      <c r="J83" s="9">
        <v>108</v>
      </c>
      <c r="K83" s="9">
        <v>135</v>
      </c>
      <c r="L83" s="9">
        <v>153</v>
      </c>
      <c r="M83" s="9">
        <v>169</v>
      </c>
      <c r="N83" s="9">
        <v>195</v>
      </c>
      <c r="O83" s="9">
        <v>215</v>
      </c>
      <c r="P83" s="9">
        <v>235</v>
      </c>
      <c r="Q83" s="9">
        <v>252</v>
      </c>
      <c r="R83" s="9">
        <v>267</v>
      </c>
      <c r="S83" s="9">
        <v>283</v>
      </c>
    </row>
    <row r="84" spans="1:23" x14ac:dyDescent="0.25">
      <c r="A84" s="9">
        <f t="shared" si="5"/>
        <v>83</v>
      </c>
      <c r="B84" s="9">
        <f t="array" ref="B84">IF(C84="",0,IF(OR(C84=Country_Comparison!$S$10:$S$29),1,0))</f>
        <v>0</v>
      </c>
      <c r="C84" s="9" t="str">
        <f t="shared" si="9"/>
        <v>Tunisia</v>
      </c>
      <c r="D84" s="6">
        <f t="shared" si="10"/>
        <v>278</v>
      </c>
      <c r="E84" s="6">
        <f>IF(COUNTIF(I84:XFD84,"&gt;"&amp;0)=0,,HLOOKUP(COUNTIF(I84:XFD84,"&gt;"&amp;0)-1,I$1:XFD84,A84+1,FALSE))</f>
        <v>278</v>
      </c>
      <c r="F84" s="7">
        <f>IF(COUNTIF(I84:XFD84,"&gt;"&amp;0)=0,,HLOOKUP(COUNTIF(I84:XFD84,"&gt;"&amp;0)-MIN($F$1+1,COUNTIF(I84:XFD84,"&gt;"&amp;0)),I$1:XFD84,A84+1,FALSE))</f>
        <v>114</v>
      </c>
      <c r="G84" s="8">
        <f t="shared" si="11"/>
        <v>1.2496401955559164</v>
      </c>
      <c r="H84" s="13" t="s">
        <v>138</v>
      </c>
      <c r="I84" s="9">
        <v>114</v>
      </c>
      <c r="J84" s="9">
        <v>173</v>
      </c>
      <c r="K84" s="9">
        <v>197</v>
      </c>
      <c r="L84" s="9">
        <v>227</v>
      </c>
      <c r="M84" s="9">
        <v>278</v>
      </c>
    </row>
    <row r="85" spans="1:23" x14ac:dyDescent="0.25">
      <c r="A85" s="9">
        <f t="shared" si="5"/>
        <v>84</v>
      </c>
      <c r="B85" s="9">
        <f t="array" ref="B85">IF(C85="",0,IF(OR(C85=Country_Comparison!$S$10:$S$29),1,0))</f>
        <v>0</v>
      </c>
      <c r="C85" s="9" t="str">
        <f t="shared" si="9"/>
        <v>Bosnia and Herzegovina</v>
      </c>
      <c r="D85" s="6">
        <f t="shared" si="10"/>
        <v>258</v>
      </c>
      <c r="E85" s="6">
        <f>IF(COUNTIF(I85:XFD85,"&gt;"&amp;0)=0,,HLOOKUP(COUNTIF(I85:XFD85,"&gt;"&amp;0)-1,I$1:XFD85,A85+1,FALSE))</f>
        <v>258</v>
      </c>
      <c r="F85" s="7">
        <f>IF(COUNTIF(I85:XFD85,"&gt;"&amp;0)=0,,HLOOKUP(COUNTIF(I85:XFD85,"&gt;"&amp;0)-MIN($F$1+1,COUNTIF(I85:XFD85,"&gt;"&amp;0)),I$1:XFD85,A85+1,FALSE))</f>
        <v>136</v>
      </c>
      <c r="G85" s="8">
        <f t="shared" si="11"/>
        <v>1.1366222661623457</v>
      </c>
      <c r="H85" s="13" t="s">
        <v>140</v>
      </c>
      <c r="I85" s="9">
        <v>126</v>
      </c>
      <c r="J85" s="9">
        <v>136</v>
      </c>
      <c r="K85" s="9">
        <v>166</v>
      </c>
      <c r="L85" s="9">
        <v>176</v>
      </c>
      <c r="M85" s="9">
        <v>191</v>
      </c>
      <c r="N85" s="9">
        <v>237</v>
      </c>
      <c r="O85" s="9">
        <v>258</v>
      </c>
    </row>
    <row r="86" spans="1:23" x14ac:dyDescent="0.25">
      <c r="A86" s="9">
        <f t="shared" si="5"/>
        <v>85</v>
      </c>
      <c r="B86" s="9">
        <f t="array" ref="B86">IF(C86="",0,IF(OR(C86=Country_Comparison!$S$10:$S$29),1,0))</f>
        <v>0</v>
      </c>
      <c r="C86" s="9" t="str">
        <f t="shared" si="9"/>
        <v>Jordan</v>
      </c>
      <c r="D86" s="6">
        <f t="shared" si="10"/>
        <v>246</v>
      </c>
      <c r="E86" s="6">
        <f>IF(COUNTIF(I86:XFD86,"&gt;"&amp;0)=0,,HLOOKUP(COUNTIF(I86:XFD86,"&gt;"&amp;0)-1,I$1:XFD86,A86+1,FALSE))</f>
        <v>246</v>
      </c>
      <c r="F86" s="7">
        <f>IF(COUNTIF(I86:XFD86,"&gt;"&amp;0)=0,,HLOOKUP(COUNTIF(I86:XFD86,"&gt;"&amp;0)-MIN($F$1+1,COUNTIF(I86:XFD86,"&gt;"&amp;0)),I$1:XFD86,A86+1,FALSE))</f>
        <v>127</v>
      </c>
      <c r="G86" s="8">
        <f t="shared" si="11"/>
        <v>1.1413695373242818</v>
      </c>
      <c r="H86" s="13" t="s">
        <v>125</v>
      </c>
      <c r="I86" s="9">
        <v>112</v>
      </c>
      <c r="J86" s="9">
        <v>127</v>
      </c>
      <c r="K86" s="9">
        <v>154</v>
      </c>
      <c r="L86" s="9">
        <v>172</v>
      </c>
      <c r="M86" s="9">
        <v>212</v>
      </c>
      <c r="N86" s="9">
        <v>235</v>
      </c>
      <c r="O86" s="9">
        <v>246</v>
      </c>
    </row>
    <row r="87" spans="1:23" x14ac:dyDescent="0.25">
      <c r="A87" s="9">
        <f t="shared" si="5"/>
        <v>86</v>
      </c>
      <c r="B87" s="9">
        <f t="array" ref="B87">IF(C87="",0,IF(OR(C87=Country_Comparison!$S$10:$S$29),1,0))</f>
        <v>0</v>
      </c>
      <c r="C87" s="9" t="str">
        <f t="shared" si="9"/>
        <v>North Macedonia</v>
      </c>
      <c r="D87" s="6">
        <f t="shared" si="10"/>
        <v>241</v>
      </c>
      <c r="E87" s="6">
        <f>IF(COUNTIF(I87:XFD87,"&gt;"&amp;0)=0,,HLOOKUP(COUNTIF(I87:XFD87,"&gt;"&amp;0)-1,I$1:XFD87,A87+1,FALSE))</f>
        <v>241</v>
      </c>
      <c r="F87" s="7">
        <f>IF(COUNTIF(I87:XFD87,"&gt;"&amp;0)=0,,HLOOKUP(COUNTIF(I87:XFD87,"&gt;"&amp;0)-MIN($F$1+1,COUNTIF(I87:XFD87,"&gt;"&amp;0)),I$1:XFD87,A87+1,FALSE))</f>
        <v>136</v>
      </c>
      <c r="G87" s="8">
        <f t="shared" si="11"/>
        <v>1.1212323686618333</v>
      </c>
      <c r="H87" s="13" t="s">
        <v>84</v>
      </c>
      <c r="I87" s="9">
        <v>115</v>
      </c>
      <c r="J87" s="9">
        <v>136</v>
      </c>
      <c r="K87" s="9">
        <v>148</v>
      </c>
      <c r="L87" s="9">
        <v>177</v>
      </c>
      <c r="M87" s="9">
        <v>201</v>
      </c>
      <c r="N87" s="9">
        <v>219</v>
      </c>
      <c r="O87" s="9">
        <v>241</v>
      </c>
    </row>
    <row r="88" spans="1:23" x14ac:dyDescent="0.25">
      <c r="A88" s="9">
        <f t="shared" si="5"/>
        <v>87</v>
      </c>
      <c r="B88" s="9">
        <f t="array" ref="B88">IF(C88="",0,IF(OR(C88=Country_Comparison!$S$10:$S$29),1,0))</f>
        <v>0</v>
      </c>
      <c r="C88" s="9" t="str">
        <f t="shared" si="9"/>
        <v>Kuwait</v>
      </c>
      <c r="D88" s="6">
        <f t="shared" si="10"/>
        <v>235</v>
      </c>
      <c r="E88" s="6">
        <f>IF(COUNTIF(I88:XFD88,"&gt;"&amp;0)=0,,HLOOKUP(COUNTIF(I88:XFD88,"&gt;"&amp;0)-1,I$1:XFD88,A88+1,FALSE))</f>
        <v>235</v>
      </c>
      <c r="F88" s="7">
        <f>IF(COUNTIF(I88:XFD88,"&gt;"&amp;0)=0,,HLOOKUP(COUNTIF(I88:XFD88,"&gt;"&amp;0)-MIN($F$1+1,COUNTIF(I88:XFD88,"&gt;"&amp;0)),I$1:XFD88,A88+1,FALSE))</f>
        <v>189</v>
      </c>
      <c r="G88" s="8">
        <f t="shared" si="11"/>
        <v>1.0445307064559766</v>
      </c>
      <c r="H88" s="13" t="s">
        <v>74</v>
      </c>
      <c r="I88" s="9">
        <v>104</v>
      </c>
      <c r="J88" s="9">
        <v>112</v>
      </c>
      <c r="K88" s="9">
        <v>123</v>
      </c>
      <c r="L88" s="9">
        <v>130</v>
      </c>
      <c r="M88" s="9">
        <v>142</v>
      </c>
      <c r="N88" s="9">
        <v>148</v>
      </c>
      <c r="O88" s="9">
        <v>159</v>
      </c>
      <c r="P88" s="9">
        <v>176</v>
      </c>
      <c r="Q88" s="9">
        <v>188</v>
      </c>
      <c r="R88" s="9">
        <v>189</v>
      </c>
      <c r="S88" s="9">
        <v>191</v>
      </c>
      <c r="T88" s="9">
        <v>195</v>
      </c>
      <c r="U88" s="9">
        <v>208</v>
      </c>
      <c r="V88" s="9">
        <v>225</v>
      </c>
      <c r="W88" s="9">
        <v>235</v>
      </c>
    </row>
    <row r="89" spans="1:23" x14ac:dyDescent="0.25">
      <c r="A89" s="9">
        <f t="shared" si="5"/>
        <v>88</v>
      </c>
      <c r="B89" s="9">
        <f t="array" ref="B89">IF(C89="",0,IF(OR(C89=Country_Comparison!$S$10:$S$29),1,0))</f>
        <v>0</v>
      </c>
      <c r="C89" s="9" t="str">
        <f t="shared" si="9"/>
        <v>Moldova</v>
      </c>
      <c r="D89" s="6">
        <f t="shared" si="10"/>
        <v>231</v>
      </c>
      <c r="E89" s="6">
        <f>IF(COUNTIF(I89:XFD89,"&gt;"&amp;0)=0,,HLOOKUP(COUNTIF(I89:XFD89,"&gt;"&amp;0)-1,I$1:XFD89,A89+1,FALSE))</f>
        <v>231</v>
      </c>
      <c r="F89" s="7">
        <f>IF(COUNTIF(I89:XFD89,"&gt;"&amp;0)=0,,HLOOKUP(COUNTIF(I89:XFD89,"&gt;"&amp;0)-MIN($F$1+1,COUNTIF(I89:XFD89,"&gt;"&amp;0)),I$1:XFD89,A89+1,FALSE))</f>
        <v>109</v>
      </c>
      <c r="G89" s="8">
        <f t="shared" si="11"/>
        <v>1.1620828619541708</v>
      </c>
      <c r="H89" s="13" t="s">
        <v>345</v>
      </c>
      <c r="I89" s="9">
        <v>109</v>
      </c>
      <c r="J89" s="9">
        <v>125</v>
      </c>
      <c r="K89" s="9">
        <v>149</v>
      </c>
      <c r="L89" s="9">
        <v>177</v>
      </c>
      <c r="M89" s="9">
        <v>199</v>
      </c>
      <c r="N89" s="9">
        <v>231</v>
      </c>
    </row>
    <row r="90" spans="1:23" x14ac:dyDescent="0.25">
      <c r="A90" s="9">
        <f t="shared" si="5"/>
        <v>89</v>
      </c>
      <c r="B90" s="9">
        <f t="array" ref="B90">IF(C90="",0,IF(OR(C90=Country_Comparison!$S$10:$S$29),1,0))</f>
        <v>0</v>
      </c>
      <c r="C90" s="9" t="str">
        <f t="shared" si="9"/>
        <v>Kazakhstan</v>
      </c>
      <c r="D90" s="6">
        <f t="shared" si="10"/>
        <v>228</v>
      </c>
      <c r="E90" s="6">
        <f>IF(COUNTIF(I90:XFD90,"&gt;"&amp;0)=0,,HLOOKUP(COUNTIF(I90:XFD90,"&gt;"&amp;0)-1,I$1:XFD90,A90+1,FALSE))</f>
        <v>228</v>
      </c>
      <c r="F90" s="7">
        <f>IF(COUNTIF(I90:XFD90,"&gt;"&amp;0)=0,,HLOOKUP(COUNTIF(I90:XFD90,"&gt;"&amp;0)-MIN($F$1+1,COUNTIF(I90:XFD90,"&gt;"&amp;0)),I$1:XFD90,A90+1,FALSE))</f>
        <v>111</v>
      </c>
      <c r="G90" s="8">
        <f t="shared" si="11"/>
        <v>1.433197144168957</v>
      </c>
      <c r="H90" s="13" t="s">
        <v>413</v>
      </c>
      <c r="I90" s="9">
        <v>111</v>
      </c>
      <c r="J90" s="9">
        <v>150</v>
      </c>
      <c r="K90" s="9">
        <v>228</v>
      </c>
    </row>
    <row r="91" spans="1:23" x14ac:dyDescent="0.25">
      <c r="A91" s="9">
        <f t="shared" si="5"/>
        <v>90</v>
      </c>
      <c r="B91" s="9">
        <f t="array" ref="B91">IF(C91="",0,IF(OR(C91=Country_Comparison!$S$10:$S$29),1,0))</f>
        <v>0</v>
      </c>
      <c r="C91" s="9" t="str">
        <f t="shared" si="9"/>
        <v>San Marino</v>
      </c>
      <c r="D91" s="6">
        <f t="shared" si="10"/>
        <v>224</v>
      </c>
      <c r="E91" s="6">
        <f>IF(COUNTIF(I91:XFD91,"&gt;"&amp;0)=0,,HLOOKUP(COUNTIF(I91:XFD91,"&gt;"&amp;0)-1,I$1:XFD91,A91+1,FALSE))</f>
        <v>224</v>
      </c>
      <c r="F91" s="7">
        <f>IF(COUNTIF(I91:XFD91,"&gt;"&amp;0)=0,,HLOOKUP(COUNTIF(I91:XFD91,"&gt;"&amp;0)-MIN($F$1+1,COUNTIF(I91:XFD91,"&gt;"&amp;0)),I$1:XFD91,A91+1,FALSE))</f>
        <v>187</v>
      </c>
      <c r="G91" s="8">
        <f t="shared" si="11"/>
        <v>1.0367672795066825</v>
      </c>
      <c r="H91" s="13" t="s">
        <v>90</v>
      </c>
      <c r="I91" s="9">
        <v>101</v>
      </c>
      <c r="J91" s="9">
        <v>109</v>
      </c>
      <c r="K91" s="9">
        <v>109</v>
      </c>
      <c r="L91" s="9">
        <v>119</v>
      </c>
      <c r="M91" s="9">
        <v>119</v>
      </c>
      <c r="N91" s="9">
        <v>144</v>
      </c>
      <c r="O91" s="9">
        <v>144</v>
      </c>
      <c r="P91" s="9">
        <v>175</v>
      </c>
      <c r="Q91" s="9">
        <v>187</v>
      </c>
      <c r="R91" s="9">
        <v>187</v>
      </c>
      <c r="S91" s="9">
        <v>208</v>
      </c>
      <c r="T91" s="9">
        <v>208</v>
      </c>
      <c r="U91" s="9">
        <v>223</v>
      </c>
      <c r="V91" s="9">
        <v>224</v>
      </c>
    </row>
    <row r="92" spans="1:23" x14ac:dyDescent="0.25">
      <c r="A92" s="9">
        <f t="shared" si="5"/>
        <v>91</v>
      </c>
      <c r="B92" s="9">
        <f t="array" ref="B92">IF(C92="",0,IF(OR(C92=Country_Comparison!$S$10:$S$29),1,0))</f>
        <v>0</v>
      </c>
      <c r="C92" s="9" t="str">
        <f t="shared" si="9"/>
        <v>Burkina Faso</v>
      </c>
      <c r="D92" s="6">
        <f t="shared" si="10"/>
        <v>207</v>
      </c>
      <c r="E92" s="6">
        <f>IF(COUNTIF(I92:XFD92,"&gt;"&amp;0)=0,,HLOOKUP(COUNTIF(I92:XFD92,"&gt;"&amp;0)-1,I$1:XFD92,A92+1,FALSE))</f>
        <v>207</v>
      </c>
      <c r="F92" s="7">
        <f>IF(COUNTIF(I92:XFD92,"&gt;"&amp;0)=0,,HLOOKUP(COUNTIF(I92:XFD92,"&gt;"&amp;0)-MIN($F$1+1,COUNTIF(I92:XFD92,"&gt;"&amp;0)),I$1:XFD92,A92+1,FALSE))</f>
        <v>114</v>
      </c>
      <c r="G92" s="8">
        <f t="shared" si="11"/>
        <v>1.1608239865893859</v>
      </c>
      <c r="H92" s="13" t="s">
        <v>279</v>
      </c>
      <c r="I92" s="9">
        <v>114</v>
      </c>
      <c r="J92" s="9">
        <v>146</v>
      </c>
      <c r="K92" s="9">
        <v>152</v>
      </c>
      <c r="L92" s="9">
        <v>180</v>
      </c>
      <c r="M92" s="9">
        <v>207</v>
      </c>
    </row>
    <row r="93" spans="1:23" x14ac:dyDescent="0.25">
      <c r="A93" s="9">
        <f t="shared" si="5"/>
        <v>92</v>
      </c>
      <c r="B93" s="9">
        <f t="array" ref="B93">IF(C93="",0,IF(OR(C93=Country_Comparison!$S$10:$S$29),1,0))</f>
        <v>0</v>
      </c>
      <c r="C93" s="9" t="str">
        <f t="shared" si="9"/>
        <v>Albania</v>
      </c>
      <c r="D93" s="6">
        <f t="shared" si="10"/>
        <v>197</v>
      </c>
      <c r="E93" s="6">
        <f>IF(COUNTIF(I93:XFD93,"&gt;"&amp;0)=0,,HLOOKUP(COUNTIF(I93:XFD93,"&gt;"&amp;0)-1,I$1:XFD93,A93+1,FALSE))</f>
        <v>197</v>
      </c>
      <c r="F93" s="7">
        <f>IF(COUNTIF(I93:XFD93,"&gt;"&amp;0)=0,,HLOOKUP(COUNTIF(I93:XFD93,"&gt;"&amp;0)-MIN($F$1+1,COUNTIF(I93:XFD93,"&gt;"&amp;0)),I$1:XFD93,A93+1,FALSE))</f>
        <v>104</v>
      </c>
      <c r="G93" s="8">
        <f t="shared" si="11"/>
        <v>1.1362831783137441</v>
      </c>
      <c r="H93" s="13" t="s">
        <v>230</v>
      </c>
      <c r="I93" s="9">
        <v>104</v>
      </c>
      <c r="J93" s="9">
        <v>123</v>
      </c>
      <c r="K93" s="9">
        <v>146</v>
      </c>
      <c r="L93" s="9">
        <v>174</v>
      </c>
      <c r="M93" s="9">
        <v>186</v>
      </c>
      <c r="N93" s="9">
        <v>197</v>
      </c>
    </row>
    <row r="94" spans="1:23" x14ac:dyDescent="0.25">
      <c r="A94" s="9">
        <f t="shared" si="5"/>
        <v>93</v>
      </c>
      <c r="B94" s="9">
        <f t="array" ref="B94">IF(C94="",0,IF(OR(C94=Country_Comparison!$S$10:$S$29),1,0))</f>
        <v>0</v>
      </c>
      <c r="C94" s="9" t="str">
        <f t="shared" si="9"/>
        <v>Azerbaijan</v>
      </c>
      <c r="D94" s="6">
        <f t="shared" si="10"/>
        <v>182</v>
      </c>
      <c r="E94" s="6">
        <f>IF(COUNTIF(I94:XFD94,"&gt;"&amp;0)=0,,HLOOKUP(COUNTIF(I94:XFD94,"&gt;"&amp;0)-1,I$1:XFD94,A94+1,FALSE))</f>
        <v>182</v>
      </c>
      <c r="F94" s="7">
        <f>IF(COUNTIF(I94:XFD94,"&gt;"&amp;0)=0,,HLOOKUP(COUNTIF(I94:XFD94,"&gt;"&amp;0)-MIN($F$1+1,COUNTIF(I94:XFD94,"&gt;"&amp;0)),I$1:XFD94,A94+1,FALSE))</f>
        <v>122</v>
      </c>
      <c r="G94" s="8">
        <f t="shared" si="11"/>
        <v>1.2213939899510415</v>
      </c>
      <c r="H94" s="13" t="s">
        <v>104</v>
      </c>
      <c r="I94" s="9">
        <v>122</v>
      </c>
      <c r="J94" s="9">
        <v>165</v>
      </c>
      <c r="K94" s="9">
        <v>182</v>
      </c>
    </row>
    <row r="95" spans="1:23" x14ac:dyDescent="0.25">
      <c r="A95" s="9">
        <f t="shared" si="5"/>
        <v>94</v>
      </c>
      <c r="B95" s="9">
        <f t="array" ref="B95">IF(C95="",0,IF(OR(C95=Country_Comparison!$S$10:$S$29),1,0))</f>
        <v>0</v>
      </c>
      <c r="C95" s="9" t="str">
        <f t="shared" si="9"/>
        <v>Cyprus</v>
      </c>
      <c r="D95" s="6">
        <f t="shared" si="10"/>
        <v>179</v>
      </c>
      <c r="E95" s="6">
        <f>IF(COUNTIF(I95:XFD95,"&gt;"&amp;0)=0,,HLOOKUP(COUNTIF(I95:XFD95,"&gt;"&amp;0)-1,I$1:XFD95,A95+1,FALSE))</f>
        <v>179</v>
      </c>
      <c r="F95" s="7">
        <f>IF(COUNTIF(I95:XFD95,"&gt;"&amp;0)=0,,HLOOKUP(COUNTIF(I95:XFD95,"&gt;"&amp;0)-MIN($F$1+1,COUNTIF(I95:XFD95,"&gt;"&amp;0)),I$1:XFD95,A95+1,FALSE))</f>
        <v>116</v>
      </c>
      <c r="G95" s="8">
        <f t="shared" si="11"/>
        <v>1.0906339393861355</v>
      </c>
      <c r="H95" s="13" t="s">
        <v>231</v>
      </c>
      <c r="I95" s="9">
        <v>116</v>
      </c>
      <c r="J95" s="9">
        <v>124</v>
      </c>
      <c r="K95" s="9">
        <v>132</v>
      </c>
      <c r="L95" s="9">
        <v>146</v>
      </c>
      <c r="M95" s="9">
        <v>162</v>
      </c>
      <c r="N95" s="9">
        <v>179</v>
      </c>
    </row>
    <row r="96" spans="1:23" x14ac:dyDescent="0.25">
      <c r="A96" s="9">
        <f t="shared" si="5"/>
        <v>95</v>
      </c>
      <c r="B96" s="9">
        <f t="array" ref="B96">IF(C96="",0,IF(OR(C96=Country_Comparison!$S$10:$S$29),1,0))</f>
        <v>0</v>
      </c>
      <c r="C96" s="9" t="str">
        <f t="shared" si="9"/>
        <v>Vietnam</v>
      </c>
      <c r="D96" s="6">
        <f t="shared" si="10"/>
        <v>174</v>
      </c>
      <c r="E96" s="6">
        <f>IF(COUNTIF(I96:XFD96,"&gt;"&amp;0)=0,,HLOOKUP(COUNTIF(I96:XFD96,"&gt;"&amp;0)-1,I$1:XFD96,A96+1,FALSE))</f>
        <v>174</v>
      </c>
      <c r="F96" s="7">
        <f>IF(COUNTIF(I96:XFD96,"&gt;"&amp;0)=0,,HLOOKUP(COUNTIF(I96:XFD96,"&gt;"&amp;0)-MIN($F$1+1,COUNTIF(I96:XFD96,"&gt;"&amp;0)),I$1:XFD96,A96+1,FALSE))</f>
        <v>123</v>
      </c>
      <c r="G96" s="8">
        <f t="shared" si="11"/>
        <v>1.0718372035630148</v>
      </c>
      <c r="H96" s="13" t="s">
        <v>343</v>
      </c>
      <c r="I96" s="9">
        <v>113</v>
      </c>
      <c r="J96" s="9">
        <v>123</v>
      </c>
      <c r="K96" s="9">
        <v>134</v>
      </c>
      <c r="L96" s="9">
        <v>141</v>
      </c>
      <c r="M96" s="9">
        <v>153</v>
      </c>
      <c r="N96" s="9">
        <v>163</v>
      </c>
      <c r="O96" s="9">
        <v>174</v>
      </c>
    </row>
    <row r="97" spans="1:14" x14ac:dyDescent="0.25">
      <c r="A97" s="9">
        <f t="shared" si="5"/>
        <v>96</v>
      </c>
      <c r="B97" s="9">
        <f t="array" ref="B97">IF(C97="",0,IF(OR(C97=Country_Comparison!$S$10:$S$29),1,0))</f>
        <v>0</v>
      </c>
      <c r="C97" s="9" t="str">
        <f t="shared" si="9"/>
        <v>Oman</v>
      </c>
      <c r="D97" s="6">
        <f t="shared" si="10"/>
        <v>152</v>
      </c>
      <c r="E97" s="6">
        <f>IF(COUNTIF(I97:XFD97,"&gt;"&amp;0)=0,,HLOOKUP(COUNTIF(I97:XFD97,"&gt;"&amp;0)-1,I$1:XFD97,A97+1,FALSE))</f>
        <v>152</v>
      </c>
      <c r="F97" s="7">
        <f>IF(COUNTIF(I97:XFD97,"&gt;"&amp;0)=0,,HLOOKUP(COUNTIF(I97:XFD97,"&gt;"&amp;0)-MIN($F$1+1,COUNTIF(I97:XFD97,"&gt;"&amp;0)),I$1:XFD97,A97+1,FALSE))</f>
        <v>109</v>
      </c>
      <c r="G97" s="8">
        <f t="shared" si="11"/>
        <v>1.1808875530058045</v>
      </c>
      <c r="H97" s="13" t="s">
        <v>71</v>
      </c>
      <c r="I97" s="9">
        <v>109</v>
      </c>
      <c r="J97" s="9">
        <v>131</v>
      </c>
      <c r="K97" s="9">
        <v>152</v>
      </c>
    </row>
    <row r="98" spans="1:14" x14ac:dyDescent="0.25">
      <c r="A98" s="9">
        <f t="shared" si="5"/>
        <v>97</v>
      </c>
      <c r="B98" s="9">
        <f t="array" ref="B98">IF(C98="",0,IF(OR(C98=Country_Comparison!$S$10:$S$29),1,0))</f>
        <v>0</v>
      </c>
      <c r="C98" s="9" t="str">
        <f t="shared" si="9"/>
        <v>Malta</v>
      </c>
      <c r="D98" s="6">
        <f t="shared" si="10"/>
        <v>149</v>
      </c>
      <c r="E98" s="6">
        <f>IF(COUNTIF(I98:XFD98,"&gt;"&amp;0)=0,,HLOOKUP(COUNTIF(I98:XFD98,"&gt;"&amp;0)-1,I$1:XFD98,A98+1,FALSE))</f>
        <v>149</v>
      </c>
      <c r="F98" s="7">
        <f>IF(COUNTIF(I98:XFD98,"&gt;"&amp;0)=0,,HLOOKUP(COUNTIF(I98:XFD98,"&gt;"&amp;0)-MIN($F$1+1,COUNTIF(I98:XFD98,"&gt;"&amp;0)),I$1:XFD98,A98+1,FALSE))</f>
        <v>107</v>
      </c>
      <c r="G98" s="8">
        <f t="shared" si="11"/>
        <v>1.0684654864256637</v>
      </c>
      <c r="H98" s="13" t="s">
        <v>177</v>
      </c>
      <c r="I98" s="9">
        <v>107</v>
      </c>
      <c r="J98" s="9">
        <v>110</v>
      </c>
      <c r="K98" s="9">
        <v>129</v>
      </c>
      <c r="L98" s="9">
        <v>134</v>
      </c>
      <c r="M98" s="9">
        <v>139</v>
      </c>
      <c r="N98" s="9">
        <v>149</v>
      </c>
    </row>
    <row r="99" spans="1:14" x14ac:dyDescent="0.25">
      <c r="A99" s="9">
        <f t="shared" si="5"/>
        <v>98</v>
      </c>
      <c r="B99" s="9">
        <f t="array" ref="B99">IF(C99="",0,IF(OR(C99=Country_Comparison!$S$10:$S$29),1,0))</f>
        <v>0</v>
      </c>
      <c r="C99" s="9" t="str">
        <f t="shared" si="9"/>
        <v>Senegal</v>
      </c>
      <c r="D99" s="6">
        <f t="shared" si="10"/>
        <v>130</v>
      </c>
      <c r="E99" s="6">
        <f>IF(COUNTIF(I99:XFD99,"&gt;"&amp;0)=0,,HLOOKUP(COUNTIF(I99:XFD99,"&gt;"&amp;0)-1,I$1:XFD99,A99+1,FALSE))</f>
        <v>130</v>
      </c>
      <c r="F99" s="7">
        <f>IF(COUNTIF(I99:XFD99,"&gt;"&amp;0)=0,,HLOOKUP(COUNTIF(I99:XFD99,"&gt;"&amp;0)-MIN($F$1+1,COUNTIF(I99:XFD99,"&gt;"&amp;0)),I$1:XFD99,A99+1,FALSE))</f>
        <v>105</v>
      </c>
      <c r="G99" s="8">
        <f t="shared" si="11"/>
        <v>1.1126972805283737</v>
      </c>
      <c r="H99" s="13" t="s">
        <v>114</v>
      </c>
      <c r="I99" s="9">
        <v>105</v>
      </c>
      <c r="J99" s="9">
        <v>119</v>
      </c>
      <c r="K99" s="9">
        <v>130</v>
      </c>
    </row>
    <row r="100" spans="1:14" x14ac:dyDescent="0.25">
      <c r="A100" s="9">
        <f t="shared" si="5"/>
        <v>99</v>
      </c>
      <c r="B100" s="9">
        <f t="array" ref="B100">IF(C100="",0,IF(OR(C100=Country_Comparison!$S$10:$S$29),1,0))</f>
        <v>0</v>
      </c>
      <c r="C100" s="9" t="str">
        <f t="shared" si="9"/>
        <v>Brunei</v>
      </c>
      <c r="D100" s="6">
        <f t="shared" si="10"/>
        <v>120</v>
      </c>
      <c r="E100" s="6">
        <f>IF(COUNTIF(I100:XFD100,"&gt;"&amp;0)=0,,HLOOKUP(COUNTIF(I100:XFD100,"&gt;"&amp;0)-1,I$1:XFD100,A100+1,FALSE))</f>
        <v>120</v>
      </c>
      <c r="F100" s="7">
        <f>IF(COUNTIF(I100:XFD100,"&gt;"&amp;0)=0,,HLOOKUP(COUNTIF(I100:XFD100,"&gt;"&amp;0)-MIN($F$1+1,COUNTIF(I100:XFD100,"&gt;"&amp;0)),I$1:XFD100,A100+1,FALSE))</f>
        <v>104</v>
      </c>
      <c r="G100" s="8">
        <f t="shared" si="11"/>
        <v>1.0364228437559397</v>
      </c>
      <c r="H100" s="13" t="s">
        <v>233</v>
      </c>
      <c r="I100" s="9">
        <v>104</v>
      </c>
      <c r="J100" s="9">
        <v>109</v>
      </c>
      <c r="K100" s="9">
        <v>114</v>
      </c>
      <c r="L100" s="9">
        <v>115</v>
      </c>
      <c r="M100" s="9">
        <v>120</v>
      </c>
    </row>
    <row r="101" spans="1:14" x14ac:dyDescent="0.25">
      <c r="A101" s="9">
        <f t="shared" si="5"/>
        <v>100</v>
      </c>
      <c r="B101" s="9">
        <f t="array" ref="B101">IF(C101="",0,IF(OR(C101=Country_Comparison!$S$10:$S$29),1,0))</f>
        <v>0</v>
      </c>
      <c r="C101" s="9" t="str">
        <f t="shared" si="9"/>
        <v>Cuba</v>
      </c>
      <c r="D101" s="6">
        <f t="shared" si="10"/>
        <v>119</v>
      </c>
      <c r="E101" s="6">
        <f>IF(COUNTIF(I101:XFD101,"&gt;"&amp;0)=0,,HLOOKUP(COUNTIF(I101:XFD101,"&gt;"&amp;0)-1,I$1:XFD101,A101+1,FALSE))</f>
        <v>119</v>
      </c>
      <c r="F101" s="7">
        <f>IF(COUNTIF(I101:XFD101,"&gt;"&amp;0)=0,,HLOOKUP(COUNTIF(I101:XFD101,"&gt;"&amp;0)-MIN($F$1+1,COUNTIF(I101:XFD101,"&gt;"&amp;0)),I$1:XFD101,A101+1,FALSE))</f>
        <v>119</v>
      </c>
      <c r="G101" s="8" t="e">
        <f t="shared" si="11"/>
        <v>#DIV/0!</v>
      </c>
      <c r="H101" s="13" t="s">
        <v>410</v>
      </c>
      <c r="I101" s="9">
        <v>119</v>
      </c>
    </row>
    <row r="102" spans="1:14" x14ac:dyDescent="0.25">
      <c r="A102" s="9">
        <f t="shared" si="5"/>
        <v>101</v>
      </c>
      <c r="B102" s="9">
        <f t="array" ref="B102">IF(C102="",0,IF(OR(C102=Country_Comparison!$S$10:$S$29),1,0))</f>
        <v>0</v>
      </c>
      <c r="C102" s="9" t="str">
        <f t="shared" si="9"/>
        <v>Sri Lanka</v>
      </c>
      <c r="D102" s="6">
        <f t="shared" si="10"/>
        <v>113</v>
      </c>
      <c r="E102" s="6">
        <f>IF(COUNTIF(I102:XFD102,"&gt;"&amp;0)=0,,HLOOKUP(COUNTIF(I102:XFD102,"&gt;"&amp;0)-1,I$1:XFD102,A102+1,FALSE))</f>
        <v>113</v>
      </c>
      <c r="F102" s="7">
        <f>IF(COUNTIF(I102:XFD102,"&gt;"&amp;0)=0,,HLOOKUP(COUNTIF(I102:XFD102,"&gt;"&amp;0)-MIN($F$1+1,COUNTIF(I102:XFD102,"&gt;"&amp;0)),I$1:XFD102,A102+1,FALSE))</f>
        <v>102</v>
      </c>
      <c r="G102" s="8">
        <f t="shared" si="11"/>
        <v>1.0259343428291596</v>
      </c>
      <c r="H102" s="13" t="s">
        <v>52</v>
      </c>
      <c r="I102" s="9">
        <v>102</v>
      </c>
      <c r="J102" s="9">
        <v>102</v>
      </c>
      <c r="K102" s="9">
        <v>106</v>
      </c>
      <c r="L102" s="9">
        <v>106</v>
      </c>
      <c r="M102" s="9">
        <v>113</v>
      </c>
    </row>
    <row r="103" spans="1:14" x14ac:dyDescent="0.25">
      <c r="A103" s="9">
        <f t="shared" si="5"/>
        <v>102</v>
      </c>
      <c r="B103" s="9">
        <f t="array" ref="B103">IF(C103="",0,IF(OR(C103=Country_Comparison!$S$10:$S$29),1,0))</f>
        <v>0</v>
      </c>
      <c r="C103" s="9" t="str">
        <f t="shared" si="9"/>
        <v>Afghanistan</v>
      </c>
      <c r="D103" s="6">
        <f t="shared" si="10"/>
        <v>110</v>
      </c>
      <c r="E103" s="6">
        <f>IF(COUNTIF(I103:XFD103,"&gt;"&amp;0)=0,,HLOOKUP(COUNTIF(I103:XFD103,"&gt;"&amp;0)-1,I$1:XFD103,A103+1,FALSE))</f>
        <v>110</v>
      </c>
      <c r="F103" s="7">
        <f>IF(COUNTIF(I103:XFD103,"&gt;"&amp;0)=0,,HLOOKUP(COUNTIF(I103:XFD103,"&gt;"&amp;0)-MIN($F$1+1,COUNTIF(I103:XFD103,"&gt;"&amp;0)),I$1:XFD103,A103+1,FALSE))</f>
        <v>110</v>
      </c>
      <c r="G103" s="8">
        <f t="shared" si="11"/>
        <v>1</v>
      </c>
      <c r="H103" s="13" t="s">
        <v>72</v>
      </c>
      <c r="I103" s="9">
        <v>110</v>
      </c>
      <c r="J103" s="9">
        <v>110</v>
      </c>
    </row>
    <row r="104" spans="1:14" x14ac:dyDescent="0.25">
      <c r="A104" s="9">
        <f t="shared" si="5"/>
        <v>103</v>
      </c>
      <c r="B104" s="9">
        <f t="array" ref="B104">IF(C104="",0,IF(OR(C104=Country_Comparison!$S$10:$S$29),1,0))</f>
        <v>0</v>
      </c>
      <c r="C104" s="9" t="str">
        <f t="shared" si="9"/>
        <v>Cote d'Ivoire</v>
      </c>
      <c r="D104" s="6">
        <f t="shared" si="10"/>
        <v>101</v>
      </c>
      <c r="E104" s="6">
        <f>IF(COUNTIF(I104:XFD104,"&gt;"&amp;0)=0,,HLOOKUP(COUNTIF(I104:XFD104,"&gt;"&amp;0)-1,I$1:XFD104,A104+1,FALSE))</f>
        <v>101</v>
      </c>
      <c r="F104" s="7">
        <f>IF(COUNTIF(I104:XFD104,"&gt;"&amp;0)=0,,HLOOKUP(COUNTIF(I104:XFD104,"&gt;"&amp;0)-MIN($F$1+1,COUNTIF(I104:XFD104,"&gt;"&amp;0)),I$1:XFD104,A104+1,FALSE))</f>
        <v>101</v>
      </c>
      <c r="G104" s="8">
        <f t="shared" si="11"/>
        <v>1</v>
      </c>
      <c r="H104" s="13" t="s">
        <v>352</v>
      </c>
      <c r="I104" s="9">
        <v>101</v>
      </c>
      <c r="J104" s="9">
        <v>101</v>
      </c>
    </row>
    <row r="105" spans="1:14" x14ac:dyDescent="0.25">
      <c r="A105" s="9">
        <f t="shared" si="5"/>
        <v>104</v>
      </c>
      <c r="B105" s="9">
        <f t="array" ref="B105">IF(C105="",0,IF(OR(C105=Country_Comparison!$S$10:$S$29),1,0))</f>
        <v>0</v>
      </c>
      <c r="C105" s="9" t="str">
        <f t="shared" si="9"/>
        <v/>
      </c>
      <c r="D105" s="6">
        <f t="shared" si="10"/>
        <v>0</v>
      </c>
      <c r="E105" s="6">
        <f>IF(COUNTIF(I105:XFD105,"&gt;"&amp;0)=0,,HLOOKUP(COUNTIF(I105:XFD105,"&gt;"&amp;0)-1,I$1:XFD105,A105+1,FALSE))</f>
        <v>0</v>
      </c>
      <c r="F105" s="7">
        <f>IF(COUNTIF(I105:XFD105,"&gt;"&amp;0)=0,,HLOOKUP(COUNTIF(I105:XFD105,"&gt;"&amp;0)-MIN($F$1+1,COUNTIF(I105:XFD105,"&gt;"&amp;0)),I$1:XFD105,A105+1,FALSE))</f>
        <v>0</v>
      </c>
      <c r="G105" s="8">
        <f t="shared" si="11"/>
        <v>0</v>
      </c>
    </row>
    <row r="106" spans="1:14" x14ac:dyDescent="0.25">
      <c r="A106" s="9">
        <f t="shared" si="5"/>
        <v>105</v>
      </c>
      <c r="B106" s="9">
        <f t="array" ref="B106">IF(C106="",0,IF(OR(C106=Country_Comparison!$S$10:$S$29),1,0))</f>
        <v>0</v>
      </c>
      <c r="C106" s="9" t="str">
        <f t="shared" si="9"/>
        <v/>
      </c>
      <c r="D106" s="6">
        <f t="shared" si="10"/>
        <v>0</v>
      </c>
      <c r="E106" s="6">
        <f>IF(COUNTIF(I106:XFD106,"&gt;"&amp;0)=0,,HLOOKUP(COUNTIF(I106:XFD106,"&gt;"&amp;0)-1,I$1:XFD106,A106+1,FALSE))</f>
        <v>0</v>
      </c>
      <c r="F106" s="7">
        <f>IF(COUNTIF(I106:XFD106,"&gt;"&amp;0)=0,,HLOOKUP(COUNTIF(I106:XFD106,"&gt;"&amp;0)-MIN($F$1+1,COUNTIF(I106:XFD106,"&gt;"&amp;0)),I$1:XFD106,A106+1,FALSE))</f>
        <v>0</v>
      </c>
      <c r="G106" s="8">
        <f t="shared" si="11"/>
        <v>0</v>
      </c>
    </row>
    <row r="107" spans="1:14" x14ac:dyDescent="0.25">
      <c r="A107" s="9">
        <f t="shared" si="5"/>
        <v>106</v>
      </c>
      <c r="B107" s="9">
        <f t="array" ref="B107">IF(C107="",0,IF(OR(C107=Country_Comparison!$S$10:$S$29),1,0))</f>
        <v>0</v>
      </c>
      <c r="C107" s="9" t="str">
        <f t="shared" si="9"/>
        <v/>
      </c>
      <c r="D107" s="6">
        <f t="shared" si="10"/>
        <v>0</v>
      </c>
      <c r="E107" s="6">
        <f>IF(COUNTIF(I107:XFD107,"&gt;"&amp;0)=0,,HLOOKUP(COUNTIF(I107:XFD107,"&gt;"&amp;0)-1,I$1:XFD107,A107+1,FALSE))</f>
        <v>0</v>
      </c>
      <c r="F107" s="7">
        <f>IF(COUNTIF(I107:XFD107,"&gt;"&amp;0)=0,,HLOOKUP(COUNTIF(I107:XFD107,"&gt;"&amp;0)-MIN($F$1+1,COUNTIF(I107:XFD107,"&gt;"&amp;0)),I$1:XFD107,A107+1,FALSE))</f>
        <v>0</v>
      </c>
      <c r="G107" s="8">
        <f t="shared" si="11"/>
        <v>0</v>
      </c>
    </row>
    <row r="108" spans="1:14" x14ac:dyDescent="0.25">
      <c r="A108" s="9">
        <f t="shared" si="5"/>
        <v>107</v>
      </c>
      <c r="B108" s="9">
        <f t="array" ref="B108">IF(C108="",0,IF(OR(C108=Country_Comparison!$S$10:$S$29),1,0))</f>
        <v>0</v>
      </c>
      <c r="C108" s="9" t="str">
        <f t="shared" si="9"/>
        <v/>
      </c>
      <c r="D108" s="6">
        <f t="shared" si="10"/>
        <v>0</v>
      </c>
      <c r="E108" s="6">
        <f>IF(COUNTIF(I108:XFD108,"&gt;"&amp;0)=0,,HLOOKUP(COUNTIF(I108:XFD108,"&gt;"&amp;0)-1,I$1:XFD108,A108+1,FALSE))</f>
        <v>0</v>
      </c>
      <c r="F108" s="7">
        <f>IF(COUNTIF(I108:XFD108,"&gt;"&amp;0)=0,,HLOOKUP(COUNTIF(I108:XFD108,"&gt;"&amp;0)-MIN($F$1+1,COUNTIF(I108:XFD108,"&gt;"&amp;0)),I$1:XFD108,A108+1,FALSE))</f>
        <v>0</v>
      </c>
      <c r="G108" s="8">
        <f t="shared" si="11"/>
        <v>0</v>
      </c>
    </row>
    <row r="109" spans="1:14" x14ac:dyDescent="0.25">
      <c r="A109" s="9">
        <f t="shared" si="5"/>
        <v>108</v>
      </c>
      <c r="B109" s="9">
        <f t="array" ref="B109">IF(C109="",0,IF(OR(C109=Country_Comparison!$S$10:$S$29),1,0))</f>
        <v>0</v>
      </c>
      <c r="C109" s="9" t="str">
        <f t="shared" si="9"/>
        <v/>
      </c>
      <c r="D109" s="6">
        <f t="shared" si="10"/>
        <v>0</v>
      </c>
      <c r="E109" s="6">
        <f>IF(COUNTIF(I109:XFD109,"&gt;"&amp;0)=0,,HLOOKUP(COUNTIF(I109:XFD109,"&gt;"&amp;0)-1,I$1:XFD109,A109+1,FALSE))</f>
        <v>0</v>
      </c>
      <c r="F109" s="7">
        <f>IF(COUNTIF(I109:XFD109,"&gt;"&amp;0)=0,,HLOOKUP(COUNTIF(I109:XFD109,"&gt;"&amp;0)-MIN($F$1+1,COUNTIF(I109:XFD109,"&gt;"&amp;0)),I$1:XFD109,A109+1,FALSE))</f>
        <v>0</v>
      </c>
      <c r="G109" s="8">
        <f t="shared" si="11"/>
        <v>0</v>
      </c>
    </row>
    <row r="110" spans="1:14" x14ac:dyDescent="0.25">
      <c r="A110" s="9">
        <f t="shared" si="5"/>
        <v>109</v>
      </c>
      <c r="B110" s="9">
        <f t="array" ref="B110">IF(C110="",0,IF(OR(C110=Country_Comparison!$S$10:$S$29),1,0))</f>
        <v>0</v>
      </c>
      <c r="C110" s="9" t="str">
        <f t="shared" si="9"/>
        <v/>
      </c>
      <c r="D110" s="6">
        <f t="shared" si="10"/>
        <v>0</v>
      </c>
      <c r="E110" s="6">
        <f>IF(COUNTIF(I110:XFD110,"&gt;"&amp;0)=0,,HLOOKUP(COUNTIF(I110:XFD110,"&gt;"&amp;0)-1,I$1:XFD110,A110+1,FALSE))</f>
        <v>0</v>
      </c>
      <c r="F110" s="7">
        <f>IF(COUNTIF(I110:XFD110,"&gt;"&amp;0)=0,,HLOOKUP(COUNTIF(I110:XFD110,"&gt;"&amp;0)-MIN($F$1+1,COUNTIF(I110:XFD110,"&gt;"&amp;0)),I$1:XFD110,A110+1,FALSE))</f>
        <v>0</v>
      </c>
      <c r="G110" s="8">
        <f t="shared" si="11"/>
        <v>0</v>
      </c>
    </row>
    <row r="111" spans="1:14" x14ac:dyDescent="0.25">
      <c r="A111" s="9">
        <f t="shared" si="5"/>
        <v>110</v>
      </c>
      <c r="B111" s="9">
        <f t="array" ref="B111">IF(C111="",0,IF(OR(C111=Country_Comparison!$S$10:$S$29),1,0))</f>
        <v>0</v>
      </c>
      <c r="C111" s="9" t="str">
        <f t="shared" si="9"/>
        <v/>
      </c>
      <c r="D111" s="6">
        <f t="shared" si="10"/>
        <v>0</v>
      </c>
      <c r="E111" s="6">
        <f>IF(COUNTIF(I111:XFD111,"&gt;"&amp;0)=0,,HLOOKUP(COUNTIF(I111:XFD111,"&gt;"&amp;0)-1,I$1:XFD111,A111+1,FALSE))</f>
        <v>0</v>
      </c>
      <c r="F111" s="7">
        <f>IF(COUNTIF(I111:XFD111,"&gt;"&amp;0)=0,,HLOOKUP(COUNTIF(I111:XFD111,"&gt;"&amp;0)-MIN($F$1+1,COUNTIF(I111:XFD111,"&gt;"&amp;0)),I$1:XFD111,A111+1,FALSE))</f>
        <v>0</v>
      </c>
      <c r="G111" s="8">
        <f t="shared" si="11"/>
        <v>0</v>
      </c>
    </row>
    <row r="112" spans="1:14" x14ac:dyDescent="0.25">
      <c r="A112" s="9">
        <f t="shared" si="5"/>
        <v>111</v>
      </c>
      <c r="B112" s="9">
        <f t="array" ref="B112">IF(C112="",0,IF(OR(C112=Country_Comparison!$S$10:$S$29),1,0))</f>
        <v>0</v>
      </c>
      <c r="C112" s="9" t="str">
        <f t="shared" si="9"/>
        <v/>
      </c>
      <c r="D112" s="6">
        <f t="shared" si="10"/>
        <v>0</v>
      </c>
      <c r="E112" s="6">
        <f>IF(COUNTIF(I112:XFD112,"&gt;"&amp;0)=0,,HLOOKUP(COUNTIF(I112:XFD112,"&gt;"&amp;0)-1,I$1:XFD112,A112+1,FALSE))</f>
        <v>0</v>
      </c>
      <c r="F112" s="7">
        <f>IF(COUNTIF(I112:XFD112,"&gt;"&amp;0)=0,,HLOOKUP(COUNTIF(I112:XFD112,"&gt;"&amp;0)-MIN($F$1+1,COUNTIF(I112:XFD112,"&gt;"&amp;0)),I$1:XFD112,A112+1,FALSE))</f>
        <v>0</v>
      </c>
      <c r="G112" s="8">
        <f t="shared" si="11"/>
        <v>0</v>
      </c>
    </row>
    <row r="113" spans="1:7" x14ac:dyDescent="0.25">
      <c r="A113" s="9">
        <f t="shared" si="5"/>
        <v>112</v>
      </c>
      <c r="B113" s="9">
        <f t="array" ref="B113">IF(C113="",0,IF(OR(C113=Country_Comparison!$S$10:$S$29),1,0))</f>
        <v>0</v>
      </c>
      <c r="C113" s="9" t="str">
        <f t="shared" si="9"/>
        <v/>
      </c>
      <c r="D113" s="6">
        <f t="shared" si="10"/>
        <v>0</v>
      </c>
      <c r="E113" s="6">
        <f>IF(COUNTIF(I113:XFD113,"&gt;"&amp;0)=0,,HLOOKUP(COUNTIF(I113:XFD113,"&gt;"&amp;0)-1,I$1:XFD113,A113+1,FALSE))</f>
        <v>0</v>
      </c>
      <c r="F113" s="7">
        <f>IF(COUNTIF(I113:XFD113,"&gt;"&amp;0)=0,,HLOOKUP(COUNTIF(I113:XFD113,"&gt;"&amp;0)-MIN($F$1+1,COUNTIF(I113:XFD113,"&gt;"&amp;0)),I$1:XFD113,A113+1,FALSE))</f>
        <v>0</v>
      </c>
      <c r="G113" s="8">
        <f t="shared" si="11"/>
        <v>0</v>
      </c>
    </row>
    <row r="114" spans="1:7" x14ac:dyDescent="0.25">
      <c r="A114" s="9">
        <f t="shared" si="5"/>
        <v>113</v>
      </c>
      <c r="B114" s="9">
        <f t="array" ref="B114">IF(C114="",0,IF(OR(C114=Country_Comparison!$S$10:$S$29),1,0))</f>
        <v>0</v>
      </c>
      <c r="C114" s="9" t="str">
        <f t="shared" si="9"/>
        <v/>
      </c>
      <c r="D114" s="6">
        <f t="shared" si="10"/>
        <v>0</v>
      </c>
      <c r="E114" s="6">
        <f>IF(COUNTIF(I114:XFD114,"&gt;"&amp;0)=0,,HLOOKUP(COUNTIF(I114:XFD114,"&gt;"&amp;0)-1,I$1:XFD114,A114+1,FALSE))</f>
        <v>0</v>
      </c>
      <c r="F114" s="7">
        <f>IF(COUNTIF(I114:XFD114,"&gt;"&amp;0)=0,,HLOOKUP(COUNTIF(I114:XFD114,"&gt;"&amp;0)-MIN($F$1+1,COUNTIF(I114:XFD114,"&gt;"&amp;0)),I$1:XFD114,A114+1,FALSE))</f>
        <v>0</v>
      </c>
      <c r="G114" s="8">
        <f t="shared" si="11"/>
        <v>0</v>
      </c>
    </row>
    <row r="115" spans="1:7" x14ac:dyDescent="0.25">
      <c r="A115" s="9">
        <f t="shared" si="5"/>
        <v>114</v>
      </c>
      <c r="B115" s="9">
        <f t="array" ref="B115">IF(C115="",0,IF(OR(C115=Country_Comparison!$S$10:$S$29),1,0))</f>
        <v>0</v>
      </c>
      <c r="C115" s="9" t="str">
        <f t="shared" si="9"/>
        <v/>
      </c>
      <c r="D115" s="6">
        <f t="shared" si="10"/>
        <v>0</v>
      </c>
      <c r="E115" s="6">
        <f>IF(COUNTIF(I115:XFD115,"&gt;"&amp;0)=0,,HLOOKUP(COUNTIF(I115:XFD115,"&gt;"&amp;0)-1,I$1:XFD115,A115+1,FALSE))</f>
        <v>0</v>
      </c>
      <c r="F115" s="7">
        <f>IF(COUNTIF(I115:XFD115,"&gt;"&amp;0)=0,,HLOOKUP(COUNTIF(I115:XFD115,"&gt;"&amp;0)-MIN($F$1+1,COUNTIF(I115:XFD115,"&gt;"&amp;0)),I$1:XFD115,A115+1,FALSE))</f>
        <v>0</v>
      </c>
      <c r="G115" s="8">
        <f t="shared" si="11"/>
        <v>0</v>
      </c>
    </row>
    <row r="116" spans="1:7" x14ac:dyDescent="0.25">
      <c r="A116" s="9">
        <f t="shared" si="5"/>
        <v>115</v>
      </c>
      <c r="B116" s="9">
        <f t="array" ref="B116">IF(C116="",0,IF(OR(C116=Country_Comparison!$S$10:$S$29),1,0))</f>
        <v>0</v>
      </c>
      <c r="C116" s="9" t="str">
        <f t="shared" si="9"/>
        <v/>
      </c>
      <c r="D116" s="6">
        <f t="shared" si="10"/>
        <v>0</v>
      </c>
      <c r="E116" s="6">
        <f>IF(COUNTIF(I116:XFD116,"&gt;"&amp;0)=0,,HLOOKUP(COUNTIF(I116:XFD116,"&gt;"&amp;0)-1,I$1:XFD116,A116+1,FALSE))</f>
        <v>0</v>
      </c>
      <c r="F116" s="7">
        <f>IF(COUNTIF(I116:XFD116,"&gt;"&amp;0)=0,,HLOOKUP(COUNTIF(I116:XFD116,"&gt;"&amp;0)-MIN($F$1+1,COUNTIF(I116:XFD116,"&gt;"&amp;0)),I$1:XFD116,A116+1,FALSE))</f>
        <v>0</v>
      </c>
      <c r="G116" s="8">
        <f t="shared" si="11"/>
        <v>0</v>
      </c>
    </row>
    <row r="117" spans="1:7" x14ac:dyDescent="0.25">
      <c r="A117" s="9">
        <f t="shared" si="5"/>
        <v>116</v>
      </c>
      <c r="B117" s="9">
        <f t="array" ref="B117">IF(C117="",0,IF(OR(C117=Country_Comparison!$S$10:$S$29),1,0))</f>
        <v>0</v>
      </c>
      <c r="C117" s="9" t="str">
        <f t="shared" si="9"/>
        <v/>
      </c>
      <c r="D117" s="6">
        <f t="shared" si="10"/>
        <v>0</v>
      </c>
      <c r="E117" s="6">
        <f>IF(COUNTIF(I117:XFD117,"&gt;"&amp;0)=0,,HLOOKUP(COUNTIF(I117:XFD117,"&gt;"&amp;0)-1,I$1:XFD117,A117+1,FALSE))</f>
        <v>0</v>
      </c>
      <c r="F117" s="7">
        <f>IF(COUNTIF(I117:XFD117,"&gt;"&amp;0)=0,,HLOOKUP(COUNTIF(I117:XFD117,"&gt;"&amp;0)-MIN($F$1+1,COUNTIF(I117:XFD117,"&gt;"&amp;0)),I$1:XFD117,A117+1,FALSE))</f>
        <v>0</v>
      </c>
      <c r="G117" s="8">
        <f t="shared" si="11"/>
        <v>0</v>
      </c>
    </row>
    <row r="118" spans="1:7" x14ac:dyDescent="0.25">
      <c r="A118" s="9">
        <f t="shared" si="5"/>
        <v>117</v>
      </c>
      <c r="B118" s="9">
        <f t="array" ref="B118">IF(C118="",0,IF(OR(C118=Country_Comparison!$S$10:$S$29),1,0))</f>
        <v>0</v>
      </c>
      <c r="C118" s="9" t="str">
        <f t="shared" si="9"/>
        <v/>
      </c>
      <c r="D118" s="6">
        <f t="shared" si="10"/>
        <v>0</v>
      </c>
      <c r="E118" s="6">
        <f>IF(COUNTIF(I118:XFD118,"&gt;"&amp;0)=0,,HLOOKUP(COUNTIF(I118:XFD118,"&gt;"&amp;0)-1,I$1:XFD118,A118+1,FALSE))</f>
        <v>0</v>
      </c>
      <c r="F118" s="7">
        <f>IF(COUNTIF(I118:XFD118,"&gt;"&amp;0)=0,,HLOOKUP(COUNTIF(I118:XFD118,"&gt;"&amp;0)-MIN($F$1+1,COUNTIF(I118:XFD118,"&gt;"&amp;0)),I$1:XFD118,A118+1,FALSE))</f>
        <v>0</v>
      </c>
      <c r="G118" s="8">
        <f t="shared" si="11"/>
        <v>0</v>
      </c>
    </row>
    <row r="119" spans="1:7" x14ac:dyDescent="0.25">
      <c r="A119" s="9">
        <f t="shared" si="5"/>
        <v>118</v>
      </c>
      <c r="B119" s="9">
        <f t="array" ref="B119">IF(C119="",0,IF(OR(C119=Country_Comparison!$S$10:$S$29),1,0))</f>
        <v>0</v>
      </c>
      <c r="C119" s="9" t="str">
        <f t="shared" si="9"/>
        <v/>
      </c>
      <c r="D119" s="6">
        <f t="shared" si="10"/>
        <v>0</v>
      </c>
      <c r="E119" s="6">
        <f>IF(COUNTIF(I119:XFD119,"&gt;"&amp;0)=0,,HLOOKUP(COUNTIF(I119:XFD119,"&gt;"&amp;0)-1,I$1:XFD119,A119+1,FALSE))</f>
        <v>0</v>
      </c>
      <c r="F119" s="7">
        <f>IF(COUNTIF(I119:XFD119,"&gt;"&amp;0)=0,,HLOOKUP(COUNTIF(I119:XFD119,"&gt;"&amp;0)-MIN($F$1+1,COUNTIF(I119:XFD119,"&gt;"&amp;0)),I$1:XFD119,A119+1,FALSE))</f>
        <v>0</v>
      </c>
      <c r="G119" s="8">
        <f t="shared" si="11"/>
        <v>0</v>
      </c>
    </row>
    <row r="120" spans="1:7" x14ac:dyDescent="0.25">
      <c r="A120" s="9">
        <f t="shared" si="5"/>
        <v>119</v>
      </c>
      <c r="B120" s="9">
        <f t="array" ref="B120">IF(C120="",0,IF(OR(C120=Country_Comparison!$S$10:$S$29),1,0))</f>
        <v>0</v>
      </c>
      <c r="C120" s="9" t="str">
        <f t="shared" si="9"/>
        <v/>
      </c>
      <c r="D120" s="6">
        <f t="shared" si="10"/>
        <v>0</v>
      </c>
      <c r="E120" s="6">
        <f>IF(COUNTIF(I120:XFD120,"&gt;"&amp;0)=0,,HLOOKUP(COUNTIF(I120:XFD120,"&gt;"&amp;0)-1,I$1:XFD120,A120+1,FALSE))</f>
        <v>0</v>
      </c>
      <c r="F120" s="7">
        <f>IF(COUNTIF(I120:XFD120,"&gt;"&amp;0)=0,,HLOOKUP(COUNTIF(I120:XFD120,"&gt;"&amp;0)-MIN($F$1+1,COUNTIF(I120:XFD120,"&gt;"&amp;0)),I$1:XFD120,A120+1,FALSE))</f>
        <v>0</v>
      </c>
      <c r="G120" s="8">
        <f t="shared" si="11"/>
        <v>0</v>
      </c>
    </row>
    <row r="121" spans="1:7" x14ac:dyDescent="0.25">
      <c r="A121" s="9">
        <f t="shared" si="5"/>
        <v>120</v>
      </c>
      <c r="B121" s="9">
        <f t="array" ref="B121">IF(C121="",0,IF(OR(C121=Country_Comparison!$S$10:$S$29),1,0))</f>
        <v>0</v>
      </c>
      <c r="C121" s="9" t="str">
        <f t="shared" si="9"/>
        <v/>
      </c>
      <c r="D121" s="6">
        <f t="shared" si="10"/>
        <v>0</v>
      </c>
      <c r="E121" s="6">
        <f>IF(COUNTIF(I121:XFD121,"&gt;"&amp;0)=0,,HLOOKUP(COUNTIF(I121:XFD121,"&gt;"&amp;0)-1,I$1:XFD121,A121+1,FALSE))</f>
        <v>0</v>
      </c>
      <c r="F121" s="7">
        <f>IF(COUNTIF(I121:XFD121,"&gt;"&amp;0)=0,,HLOOKUP(COUNTIF(I121:XFD121,"&gt;"&amp;0)-MIN($F$1+1,COUNTIF(I121:XFD121,"&gt;"&amp;0)),I$1:XFD121,A121+1,FALSE))</f>
        <v>0</v>
      </c>
      <c r="G121" s="8">
        <f t="shared" si="11"/>
        <v>0</v>
      </c>
    </row>
    <row r="122" spans="1:7" x14ac:dyDescent="0.25">
      <c r="A122" s="9">
        <f t="shared" si="5"/>
        <v>121</v>
      </c>
      <c r="B122" s="9">
        <f t="array" ref="B122">IF(C122="",0,IF(OR(C122=Country_Comparison!$S$10:$S$29),1,0))</f>
        <v>0</v>
      </c>
      <c r="C122" s="9" t="str">
        <f t="shared" si="9"/>
        <v/>
      </c>
      <c r="D122" s="6">
        <f t="shared" si="10"/>
        <v>0</v>
      </c>
      <c r="E122" s="6">
        <f>IF(COUNTIF(I122:XFD122,"&gt;"&amp;0)=0,,HLOOKUP(COUNTIF(I122:XFD122,"&gt;"&amp;0)-1,I$1:XFD122,A122+1,FALSE))</f>
        <v>0</v>
      </c>
      <c r="F122" s="7">
        <f>IF(COUNTIF(I122:XFD122,"&gt;"&amp;0)=0,,HLOOKUP(COUNTIF(I122:XFD122,"&gt;"&amp;0)-MIN($F$1+1,COUNTIF(I122:XFD122,"&gt;"&amp;0)),I$1:XFD122,A122+1,FALSE))</f>
        <v>0</v>
      </c>
      <c r="G122" s="8">
        <f t="shared" si="11"/>
        <v>0</v>
      </c>
    </row>
    <row r="123" spans="1:7" x14ac:dyDescent="0.25">
      <c r="A123" s="9">
        <f t="shared" si="5"/>
        <v>122</v>
      </c>
      <c r="B123" s="9">
        <f t="array" ref="B123">IF(C123="",0,IF(OR(C123=Country_Comparison!$S$10:$S$29),1,0))</f>
        <v>0</v>
      </c>
      <c r="C123" s="9" t="str">
        <f t="shared" si="9"/>
        <v/>
      </c>
      <c r="D123" s="6">
        <f t="shared" si="10"/>
        <v>0</v>
      </c>
      <c r="E123" s="6">
        <f>IF(COUNTIF(I123:XFD123,"&gt;"&amp;0)=0,,HLOOKUP(COUNTIF(I123:XFD123,"&gt;"&amp;0)-1,I$1:XFD123,A123+1,FALSE))</f>
        <v>0</v>
      </c>
      <c r="F123" s="7">
        <f>IF(COUNTIF(I123:XFD123,"&gt;"&amp;0)=0,,HLOOKUP(COUNTIF(I123:XFD123,"&gt;"&amp;0)-MIN($F$1+1,COUNTIF(I123:XFD123,"&gt;"&amp;0)),I$1:XFD123,A123+1,FALSE))</f>
        <v>0</v>
      </c>
      <c r="G123" s="8">
        <f t="shared" si="11"/>
        <v>0</v>
      </c>
    </row>
    <row r="124" spans="1:7" x14ac:dyDescent="0.25">
      <c r="A124" s="9">
        <f t="shared" si="5"/>
        <v>123</v>
      </c>
      <c r="B124" s="9">
        <f t="array" ref="B124">IF(C124="",0,IF(OR(C124=Country_Comparison!$S$10:$S$29),1,0))</f>
        <v>0</v>
      </c>
      <c r="C124" s="9" t="str">
        <f t="shared" si="9"/>
        <v/>
      </c>
      <c r="D124" s="6">
        <f t="shared" si="10"/>
        <v>0</v>
      </c>
      <c r="E124" s="6">
        <f>IF(COUNTIF(I124:XFD124,"&gt;"&amp;0)=0,,HLOOKUP(COUNTIF(I124:XFD124,"&gt;"&amp;0)-1,I$1:XFD124,A124+1,FALSE))</f>
        <v>0</v>
      </c>
      <c r="F124" s="7">
        <f>IF(COUNTIF(I124:XFD124,"&gt;"&amp;0)=0,,HLOOKUP(COUNTIF(I124:XFD124,"&gt;"&amp;0)-MIN($F$1+1,COUNTIF(I124:XFD124,"&gt;"&amp;0)),I$1:XFD124,A124+1,FALSE))</f>
        <v>0</v>
      </c>
      <c r="G124" s="8">
        <f t="shared" si="11"/>
        <v>0</v>
      </c>
    </row>
    <row r="125" spans="1:7" x14ac:dyDescent="0.25">
      <c r="A125" s="9">
        <f t="shared" si="5"/>
        <v>124</v>
      </c>
      <c r="B125" s="9">
        <f t="array" ref="B125">IF(C125="",0,IF(OR(C125=Country_Comparison!$S$10:$S$29),1,0))</f>
        <v>0</v>
      </c>
      <c r="C125" s="9" t="str">
        <f t="shared" si="9"/>
        <v/>
      </c>
      <c r="D125" s="6">
        <f t="shared" si="10"/>
        <v>0</v>
      </c>
      <c r="E125" s="6">
        <f>IF(COUNTIF(I125:XFD125,"&gt;"&amp;0)=0,,HLOOKUP(COUNTIF(I125:XFD125,"&gt;"&amp;0)-1,I$1:XFD125,A125+1,FALSE))</f>
        <v>0</v>
      </c>
      <c r="F125" s="7">
        <f>IF(COUNTIF(I125:XFD125,"&gt;"&amp;0)=0,,HLOOKUP(COUNTIF(I125:XFD125,"&gt;"&amp;0)-MIN($F$1+1,COUNTIF(I125:XFD125,"&gt;"&amp;0)),I$1:XFD125,A125+1,FALSE))</f>
        <v>0</v>
      </c>
      <c r="G125" s="8">
        <f t="shared" si="11"/>
        <v>0</v>
      </c>
    </row>
    <row r="126" spans="1:7" x14ac:dyDescent="0.25">
      <c r="A126" s="9">
        <f t="shared" si="5"/>
        <v>125</v>
      </c>
      <c r="B126" s="9">
        <f t="array" ref="B126">IF(C126="",0,IF(OR(C126=Country_Comparison!$S$10:$S$29),1,0))</f>
        <v>0</v>
      </c>
      <c r="C126" s="9" t="str">
        <f t="shared" si="9"/>
        <v/>
      </c>
      <c r="D126" s="6">
        <f t="shared" si="10"/>
        <v>0</v>
      </c>
      <c r="E126" s="6">
        <f>IF(COUNTIF(I126:XFD126,"&gt;"&amp;0)=0,,HLOOKUP(COUNTIF(I126:XFD126,"&gt;"&amp;0)-1,I$1:XFD126,A126+1,FALSE))</f>
        <v>0</v>
      </c>
      <c r="F126" s="7">
        <f>IF(COUNTIF(I126:XFD126,"&gt;"&amp;0)=0,,HLOOKUP(COUNTIF(I126:XFD126,"&gt;"&amp;0)-MIN($F$1+1,COUNTIF(I126:XFD126,"&gt;"&amp;0)),I$1:XFD126,A126+1,FALSE))</f>
        <v>0</v>
      </c>
      <c r="G126" s="8">
        <f t="shared" si="11"/>
        <v>0</v>
      </c>
    </row>
    <row r="127" spans="1:7" x14ac:dyDescent="0.25">
      <c r="A127" s="9">
        <f t="shared" si="5"/>
        <v>126</v>
      </c>
      <c r="B127" s="9">
        <f t="array" ref="B127">IF(C127="",0,IF(OR(C127=Country_Comparison!$S$10:$S$29),1,0))</f>
        <v>0</v>
      </c>
      <c r="C127" s="9" t="str">
        <f t="shared" si="9"/>
        <v/>
      </c>
      <c r="D127" s="6">
        <f t="shared" si="10"/>
        <v>0</v>
      </c>
      <c r="E127" s="6">
        <f>IF(COUNTIF(I127:XFD127,"&gt;"&amp;0)=0,,HLOOKUP(COUNTIF(I127:XFD127,"&gt;"&amp;0)-1,I$1:XFD127,A127+1,FALSE))</f>
        <v>0</v>
      </c>
      <c r="F127" s="7">
        <f>IF(COUNTIF(I127:XFD127,"&gt;"&amp;0)=0,,HLOOKUP(COUNTIF(I127:XFD127,"&gt;"&amp;0)-MIN($F$1+1,COUNTIF(I127:XFD127,"&gt;"&amp;0)),I$1:XFD127,A127+1,FALSE))</f>
        <v>0</v>
      </c>
      <c r="G127" s="8">
        <f t="shared" si="11"/>
        <v>0</v>
      </c>
    </row>
    <row r="128" spans="1:7" x14ac:dyDescent="0.25">
      <c r="A128" s="9">
        <f t="shared" si="5"/>
        <v>127</v>
      </c>
      <c r="B128" s="9">
        <f t="array" ref="B128">IF(C128="",0,IF(OR(C128=Country_Comparison!$S$10:$S$29),1,0))</f>
        <v>0</v>
      </c>
      <c r="C128" s="9" t="str">
        <f t="shared" si="9"/>
        <v/>
      </c>
      <c r="D128" s="6">
        <f t="shared" si="10"/>
        <v>0</v>
      </c>
      <c r="E128" s="6">
        <f>IF(COUNTIF(I128:XFD128,"&gt;"&amp;0)=0,,HLOOKUP(COUNTIF(I128:XFD128,"&gt;"&amp;0)-1,I$1:XFD128,A128+1,FALSE))</f>
        <v>0</v>
      </c>
      <c r="F128" s="7">
        <f>IF(COUNTIF(I128:XFD128,"&gt;"&amp;0)=0,,HLOOKUP(COUNTIF(I128:XFD128,"&gt;"&amp;0)-MIN($F$1+1,COUNTIF(I128:XFD128,"&gt;"&amp;0)),I$1:XFD128,A128+1,FALSE))</f>
        <v>0</v>
      </c>
      <c r="G128" s="8">
        <f t="shared" si="11"/>
        <v>0</v>
      </c>
    </row>
    <row r="129" spans="1:7" x14ac:dyDescent="0.25">
      <c r="A129" s="9">
        <f t="shared" si="5"/>
        <v>128</v>
      </c>
      <c r="B129" s="9">
        <f t="array" ref="B129">IF(C129="",0,IF(OR(C129=Country_Comparison!$S$10:$S$29),1,0))</f>
        <v>0</v>
      </c>
      <c r="C129" s="9" t="str">
        <f t="shared" si="9"/>
        <v/>
      </c>
      <c r="D129" s="6">
        <f t="shared" si="10"/>
        <v>0</v>
      </c>
      <c r="E129" s="6">
        <f>IF(COUNTIF(I129:XFD129,"&gt;"&amp;0)=0,,HLOOKUP(COUNTIF(I129:XFD129,"&gt;"&amp;0)-1,I$1:XFD129,A129+1,FALSE))</f>
        <v>0</v>
      </c>
      <c r="F129" s="7">
        <f>IF(COUNTIF(I129:XFD129,"&gt;"&amp;0)=0,,HLOOKUP(COUNTIF(I129:XFD129,"&gt;"&amp;0)-MIN($F$1+1,COUNTIF(I129:XFD129,"&gt;"&amp;0)),I$1:XFD129,A129+1,FALSE))</f>
        <v>0</v>
      </c>
      <c r="G129" s="8">
        <f t="shared" si="11"/>
        <v>0</v>
      </c>
    </row>
    <row r="130" spans="1:7" x14ac:dyDescent="0.25">
      <c r="A130" s="9">
        <f t="shared" si="5"/>
        <v>129</v>
      </c>
      <c r="B130" s="9">
        <f t="array" ref="B130">IF(C130="",0,IF(OR(C130=Country_Comparison!$S$10:$S$29),1,0))</f>
        <v>0</v>
      </c>
      <c r="C130" s="9" t="str">
        <f t="shared" si="9"/>
        <v/>
      </c>
      <c r="D130" s="6">
        <f t="shared" si="10"/>
        <v>0</v>
      </c>
      <c r="E130" s="6">
        <f>IF(COUNTIF(I130:XFD130,"&gt;"&amp;0)=0,,HLOOKUP(COUNTIF(I130:XFD130,"&gt;"&amp;0)-1,I$1:XFD130,A130+1,FALSE))</f>
        <v>0</v>
      </c>
      <c r="F130" s="7">
        <f>IF(COUNTIF(I130:XFD130,"&gt;"&amp;0)=0,,HLOOKUP(COUNTIF(I130:XFD130,"&gt;"&amp;0)-MIN($F$1+1,COUNTIF(I130:XFD130,"&gt;"&amp;0)),I$1:XFD130,A130+1,FALSE))</f>
        <v>0</v>
      </c>
      <c r="G130" s="8">
        <f t="shared" si="11"/>
        <v>0</v>
      </c>
    </row>
    <row r="131" spans="1:7" x14ac:dyDescent="0.25">
      <c r="A131" s="9">
        <f t="shared" si="5"/>
        <v>130</v>
      </c>
      <c r="B131" s="9">
        <f t="array" ref="B131">IF(C131="",0,IF(OR(C131=Country_Comparison!$S$10:$S$29),1,0))</f>
        <v>0</v>
      </c>
      <c r="C131" s="9" t="str">
        <f t="shared" si="9"/>
        <v/>
      </c>
      <c r="D131" s="6">
        <f t="shared" si="10"/>
        <v>0</v>
      </c>
      <c r="E131" s="6">
        <f>IF(COUNTIF(I131:XFD131,"&gt;"&amp;0)=0,,HLOOKUP(COUNTIF(I131:XFD131,"&gt;"&amp;0)-1,I$1:XFD131,A131+1,FALSE))</f>
        <v>0</v>
      </c>
      <c r="F131" s="7">
        <f>IF(COUNTIF(I131:XFD131,"&gt;"&amp;0)=0,,HLOOKUP(COUNTIF(I131:XFD131,"&gt;"&amp;0)-MIN($F$1+1,COUNTIF(I131:XFD131,"&gt;"&amp;0)),I$1:XFD131,A131+1,FALSE))</f>
        <v>0</v>
      </c>
      <c r="G131" s="8">
        <f t="shared" si="11"/>
        <v>0</v>
      </c>
    </row>
    <row r="132" spans="1:7" x14ac:dyDescent="0.25">
      <c r="A132" s="9">
        <f t="shared" si="5"/>
        <v>131</v>
      </c>
      <c r="B132" s="9">
        <f t="array" ref="B132">IF(C132="",0,IF(OR(C132=Country_Comparison!$S$10:$S$29),1,0))</f>
        <v>0</v>
      </c>
      <c r="C132" s="9" t="str">
        <f t="shared" si="9"/>
        <v/>
      </c>
      <c r="D132" s="6">
        <f t="shared" si="10"/>
        <v>0</v>
      </c>
      <c r="E132" s="6">
        <f>IF(COUNTIF(I132:XFD132,"&gt;"&amp;0)=0,,HLOOKUP(COUNTIF(I132:XFD132,"&gt;"&amp;0)-1,I$1:XFD132,A132+1,FALSE))</f>
        <v>0</v>
      </c>
      <c r="F132" s="7">
        <f>IF(COUNTIF(I132:XFD132,"&gt;"&amp;0)=0,,HLOOKUP(COUNTIF(I132:XFD132,"&gt;"&amp;0)-MIN($F$1+1,COUNTIF(I132:XFD132,"&gt;"&amp;0)),I$1:XFD132,A132+1,FALSE))</f>
        <v>0</v>
      </c>
      <c r="G132" s="8">
        <f t="shared" si="11"/>
        <v>0</v>
      </c>
    </row>
    <row r="133" spans="1:7" x14ac:dyDescent="0.25">
      <c r="A133" s="9">
        <f t="shared" si="5"/>
        <v>132</v>
      </c>
      <c r="B133" s="9">
        <f t="array" ref="B133">IF(C133="",0,IF(OR(C133=Country_Comparison!$S$10:$S$29),1,0))</f>
        <v>0</v>
      </c>
      <c r="C133" s="9" t="str">
        <f t="shared" si="9"/>
        <v/>
      </c>
      <c r="D133" s="6">
        <f t="shared" si="10"/>
        <v>0</v>
      </c>
      <c r="E133" s="6">
        <f>IF(COUNTIF(I133:XFD133,"&gt;"&amp;0)=0,,HLOOKUP(COUNTIF(I133:XFD133,"&gt;"&amp;0)-1,I$1:XFD133,A133+1,FALSE))</f>
        <v>0</v>
      </c>
      <c r="F133" s="7">
        <f>IF(COUNTIF(I133:XFD133,"&gt;"&amp;0)=0,,HLOOKUP(COUNTIF(I133:XFD133,"&gt;"&amp;0)-MIN($F$1+1,COUNTIF(I133:XFD133,"&gt;"&amp;0)),I$1:XFD133,A133+1,FALSE))</f>
        <v>0</v>
      </c>
      <c r="G133" s="8">
        <f t="shared" si="11"/>
        <v>0</v>
      </c>
    </row>
    <row r="134" spans="1:7" x14ac:dyDescent="0.25">
      <c r="A134" s="9">
        <f t="shared" si="5"/>
        <v>133</v>
      </c>
      <c r="B134" s="9">
        <f t="array" ref="B134">IF(C134="",0,IF(OR(C134=Country_Comparison!$S$10:$S$29),1,0))</f>
        <v>0</v>
      </c>
      <c r="C134" s="9" t="str">
        <f t="shared" ref="C134:C197" si="12">IF(H134="","",H134)</f>
        <v/>
      </c>
      <c r="D134" s="6">
        <f t="shared" ref="D134:D197" si="13">MAX(I134:JF134)</f>
        <v>0</v>
      </c>
      <c r="E134" s="6">
        <f>IF(COUNTIF(I134:XFD134,"&gt;"&amp;0)=0,,HLOOKUP(COUNTIF(I134:XFD134,"&gt;"&amp;0)-1,I$1:XFD134,A134+1,FALSE))</f>
        <v>0</v>
      </c>
      <c r="F134" s="7">
        <f>IF(COUNTIF(I134:XFD134,"&gt;"&amp;0)=0,,HLOOKUP(COUNTIF(I134:XFD134,"&gt;"&amp;0)-MIN($F$1+1,COUNTIF(I134:XFD134,"&gt;"&amp;0)),I$1:XFD134,A134+1,FALSE))</f>
        <v>0</v>
      </c>
      <c r="G134" s="8">
        <f t="shared" ref="G134:G197" si="14">IF(COUNTIF(I134:XFD134,"&gt;"&amp;0)=0,,(E134/F134)^(1/MIN(COUNTIF(I134:XFD134,"&gt;"&amp;0)-1,$F$1)))</f>
        <v>0</v>
      </c>
    </row>
    <row r="135" spans="1:7" x14ac:dyDescent="0.25">
      <c r="A135" s="9">
        <f t="shared" si="5"/>
        <v>134</v>
      </c>
      <c r="B135" s="9">
        <f t="array" ref="B135">IF(C135="",0,IF(OR(C135=Country_Comparison!$S$10:$S$29),1,0))</f>
        <v>0</v>
      </c>
      <c r="C135" s="9" t="str">
        <f t="shared" si="12"/>
        <v/>
      </c>
      <c r="D135" s="6">
        <f t="shared" si="13"/>
        <v>0</v>
      </c>
      <c r="E135" s="6">
        <f>IF(COUNTIF(I135:XFD135,"&gt;"&amp;0)=0,,HLOOKUP(COUNTIF(I135:XFD135,"&gt;"&amp;0)-1,I$1:XFD135,A135+1,FALSE))</f>
        <v>0</v>
      </c>
      <c r="F135" s="7">
        <f>IF(COUNTIF(I135:XFD135,"&gt;"&amp;0)=0,,HLOOKUP(COUNTIF(I135:XFD135,"&gt;"&amp;0)-MIN($F$1+1,COUNTIF(I135:XFD135,"&gt;"&amp;0)),I$1:XFD135,A135+1,FALSE))</f>
        <v>0</v>
      </c>
      <c r="G135" s="8">
        <f t="shared" si="14"/>
        <v>0</v>
      </c>
    </row>
    <row r="136" spans="1:7" x14ac:dyDescent="0.25">
      <c r="A136" s="9">
        <f t="shared" si="5"/>
        <v>135</v>
      </c>
      <c r="B136" s="9">
        <f t="array" ref="B136">IF(C136="",0,IF(OR(C136=Country_Comparison!$S$10:$S$29),1,0))</f>
        <v>0</v>
      </c>
      <c r="C136" s="9" t="str">
        <f t="shared" si="12"/>
        <v/>
      </c>
      <c r="D136" s="6">
        <f t="shared" si="13"/>
        <v>0</v>
      </c>
      <c r="E136" s="6">
        <f>IF(COUNTIF(I136:XFD136,"&gt;"&amp;0)=0,,HLOOKUP(COUNTIF(I136:XFD136,"&gt;"&amp;0)-1,I$1:XFD136,A136+1,FALSE))</f>
        <v>0</v>
      </c>
      <c r="F136" s="7">
        <f>IF(COUNTIF(I136:XFD136,"&gt;"&amp;0)=0,,HLOOKUP(COUNTIF(I136:XFD136,"&gt;"&amp;0)-MIN($F$1+1,COUNTIF(I136:XFD136,"&gt;"&amp;0)),I$1:XFD136,A136+1,FALSE))</f>
        <v>0</v>
      </c>
      <c r="G136" s="8">
        <f t="shared" si="14"/>
        <v>0</v>
      </c>
    </row>
    <row r="137" spans="1:7" x14ac:dyDescent="0.25">
      <c r="A137" s="9">
        <f t="shared" si="5"/>
        <v>136</v>
      </c>
      <c r="B137" s="9">
        <f t="array" ref="B137">IF(C137="",0,IF(OR(C137=Country_Comparison!$S$10:$S$29),1,0))</f>
        <v>0</v>
      </c>
      <c r="C137" s="9" t="str">
        <f t="shared" si="12"/>
        <v/>
      </c>
      <c r="D137" s="6">
        <f t="shared" si="13"/>
        <v>0</v>
      </c>
      <c r="E137" s="6">
        <f>IF(COUNTIF(I137:XFD137,"&gt;"&amp;0)=0,,HLOOKUP(COUNTIF(I137:XFD137,"&gt;"&amp;0)-1,I$1:XFD137,A137+1,FALSE))</f>
        <v>0</v>
      </c>
      <c r="F137" s="7">
        <f>IF(COUNTIF(I137:XFD137,"&gt;"&amp;0)=0,,HLOOKUP(COUNTIF(I137:XFD137,"&gt;"&amp;0)-MIN($F$1+1,COUNTIF(I137:XFD137,"&gt;"&amp;0)),I$1:XFD137,A137+1,FALSE))</f>
        <v>0</v>
      </c>
      <c r="G137" s="8">
        <f t="shared" si="14"/>
        <v>0</v>
      </c>
    </row>
    <row r="138" spans="1:7" x14ac:dyDescent="0.25">
      <c r="A138" s="9">
        <f t="shared" si="5"/>
        <v>137</v>
      </c>
      <c r="B138" s="9">
        <f t="array" ref="B138">IF(C138="",0,IF(OR(C138=Country_Comparison!$S$10:$S$29),1,0))</f>
        <v>0</v>
      </c>
      <c r="C138" s="9" t="str">
        <f t="shared" si="12"/>
        <v/>
      </c>
      <c r="D138" s="6">
        <f t="shared" si="13"/>
        <v>0</v>
      </c>
      <c r="E138" s="6">
        <f>IF(COUNTIF(I138:XFD138,"&gt;"&amp;0)=0,,HLOOKUP(COUNTIF(I138:XFD138,"&gt;"&amp;0)-1,I$1:XFD138,A138+1,FALSE))</f>
        <v>0</v>
      </c>
      <c r="F138" s="7">
        <f>IF(COUNTIF(I138:XFD138,"&gt;"&amp;0)=0,,HLOOKUP(COUNTIF(I138:XFD138,"&gt;"&amp;0)-MIN($F$1+1,COUNTIF(I138:XFD138,"&gt;"&amp;0)),I$1:XFD138,A138+1,FALSE))</f>
        <v>0</v>
      </c>
      <c r="G138" s="8">
        <f t="shared" si="14"/>
        <v>0</v>
      </c>
    </row>
    <row r="139" spans="1:7" x14ac:dyDescent="0.25">
      <c r="A139" s="9">
        <f t="shared" si="5"/>
        <v>138</v>
      </c>
      <c r="B139" s="9">
        <f t="array" ref="B139">IF(C139="",0,IF(OR(C139=Country_Comparison!$S$10:$S$29),1,0))</f>
        <v>0</v>
      </c>
      <c r="C139" s="9" t="str">
        <f t="shared" si="12"/>
        <v/>
      </c>
      <c r="D139" s="6">
        <f t="shared" si="13"/>
        <v>0</v>
      </c>
      <c r="E139" s="6">
        <f>IF(COUNTIF(I139:XFD139,"&gt;"&amp;0)=0,,HLOOKUP(COUNTIF(I139:XFD139,"&gt;"&amp;0)-1,I$1:XFD139,A139+1,FALSE))</f>
        <v>0</v>
      </c>
      <c r="F139" s="7">
        <f>IF(COUNTIF(I139:XFD139,"&gt;"&amp;0)=0,,HLOOKUP(COUNTIF(I139:XFD139,"&gt;"&amp;0)-MIN($F$1+1,COUNTIF(I139:XFD139,"&gt;"&amp;0)),I$1:XFD139,A139+1,FALSE))</f>
        <v>0</v>
      </c>
      <c r="G139" s="8">
        <f t="shared" si="14"/>
        <v>0</v>
      </c>
    </row>
    <row r="140" spans="1:7" x14ac:dyDescent="0.25">
      <c r="A140" s="9">
        <f t="shared" si="5"/>
        <v>139</v>
      </c>
      <c r="B140" s="9">
        <f t="array" ref="B140">IF(C140="",0,IF(OR(C140=Country_Comparison!$S$10:$S$29),1,0))</f>
        <v>0</v>
      </c>
      <c r="C140" s="9" t="str">
        <f t="shared" si="12"/>
        <v/>
      </c>
      <c r="D140" s="6">
        <f t="shared" si="13"/>
        <v>0</v>
      </c>
      <c r="E140" s="6">
        <f>IF(COUNTIF(I140:XFD140,"&gt;"&amp;0)=0,,HLOOKUP(COUNTIF(I140:XFD140,"&gt;"&amp;0)-1,I$1:XFD140,A140+1,FALSE))</f>
        <v>0</v>
      </c>
      <c r="F140" s="7">
        <f>IF(COUNTIF(I140:XFD140,"&gt;"&amp;0)=0,,HLOOKUP(COUNTIF(I140:XFD140,"&gt;"&amp;0)-MIN($F$1+1,COUNTIF(I140:XFD140,"&gt;"&amp;0)),I$1:XFD140,A140+1,FALSE))</f>
        <v>0</v>
      </c>
      <c r="G140" s="8">
        <f t="shared" si="14"/>
        <v>0</v>
      </c>
    </row>
    <row r="141" spans="1:7" x14ac:dyDescent="0.25">
      <c r="A141" s="9">
        <f t="shared" si="5"/>
        <v>140</v>
      </c>
      <c r="B141" s="9">
        <f t="array" ref="B141">IF(C141="",0,IF(OR(C141=Country_Comparison!$S$10:$S$29),1,0))</f>
        <v>0</v>
      </c>
      <c r="C141" s="9" t="str">
        <f t="shared" si="12"/>
        <v/>
      </c>
      <c r="D141" s="6">
        <f t="shared" si="13"/>
        <v>0</v>
      </c>
      <c r="E141" s="6">
        <f>IF(COUNTIF(I141:XFD141,"&gt;"&amp;0)=0,,HLOOKUP(COUNTIF(I141:XFD141,"&gt;"&amp;0)-1,I$1:XFD141,A141+1,FALSE))</f>
        <v>0</v>
      </c>
      <c r="F141" s="7">
        <f>IF(COUNTIF(I141:XFD141,"&gt;"&amp;0)=0,,HLOOKUP(COUNTIF(I141:XFD141,"&gt;"&amp;0)-MIN($F$1+1,COUNTIF(I141:XFD141,"&gt;"&amp;0)),I$1:XFD141,A141+1,FALSE))</f>
        <v>0</v>
      </c>
      <c r="G141" s="8">
        <f t="shared" si="14"/>
        <v>0</v>
      </c>
    </row>
    <row r="142" spans="1:7" x14ac:dyDescent="0.25">
      <c r="A142" s="9">
        <f t="shared" si="5"/>
        <v>141</v>
      </c>
      <c r="B142" s="9">
        <f t="array" ref="B142">IF(C142="",0,IF(OR(C142=Country_Comparison!$S$10:$S$29),1,0))</f>
        <v>0</v>
      </c>
      <c r="C142" s="9" t="str">
        <f t="shared" si="12"/>
        <v/>
      </c>
      <c r="D142" s="6">
        <f t="shared" si="13"/>
        <v>0</v>
      </c>
      <c r="E142" s="6">
        <f>IF(COUNTIF(I142:XFD142,"&gt;"&amp;0)=0,,HLOOKUP(COUNTIF(I142:XFD142,"&gt;"&amp;0)-1,I$1:XFD142,A142+1,FALSE))</f>
        <v>0</v>
      </c>
      <c r="F142" s="7">
        <f>IF(COUNTIF(I142:XFD142,"&gt;"&amp;0)=0,,HLOOKUP(COUNTIF(I142:XFD142,"&gt;"&amp;0)-MIN($F$1+1,COUNTIF(I142:XFD142,"&gt;"&amp;0)),I$1:XFD142,A142+1,FALSE))</f>
        <v>0</v>
      </c>
      <c r="G142" s="8">
        <f t="shared" si="14"/>
        <v>0</v>
      </c>
    </row>
    <row r="143" spans="1:7" x14ac:dyDescent="0.25">
      <c r="A143" s="9">
        <f t="shared" si="5"/>
        <v>142</v>
      </c>
      <c r="B143" s="9">
        <f t="array" ref="B143">IF(C143="",0,IF(OR(C143=Country_Comparison!$S$10:$S$29),1,0))</f>
        <v>0</v>
      </c>
      <c r="C143" s="9" t="str">
        <f t="shared" si="12"/>
        <v/>
      </c>
      <c r="D143" s="6">
        <f t="shared" si="13"/>
        <v>0</v>
      </c>
      <c r="E143" s="6">
        <f>IF(COUNTIF(I143:XFD143,"&gt;"&amp;0)=0,,HLOOKUP(COUNTIF(I143:XFD143,"&gt;"&amp;0)-1,I$1:XFD143,A143+1,FALSE))</f>
        <v>0</v>
      </c>
      <c r="F143" s="7">
        <f>IF(COUNTIF(I143:XFD143,"&gt;"&amp;0)=0,,HLOOKUP(COUNTIF(I143:XFD143,"&gt;"&amp;0)-MIN($F$1+1,COUNTIF(I143:XFD143,"&gt;"&amp;0)),I$1:XFD143,A143+1,FALSE))</f>
        <v>0</v>
      </c>
      <c r="G143" s="8">
        <f t="shared" si="14"/>
        <v>0</v>
      </c>
    </row>
    <row r="144" spans="1:7" x14ac:dyDescent="0.25">
      <c r="A144" s="9">
        <f t="shared" si="5"/>
        <v>143</v>
      </c>
      <c r="B144" s="9">
        <f t="array" ref="B144">IF(C144="",0,IF(OR(C144=Country_Comparison!$S$10:$S$29),1,0))</f>
        <v>0</v>
      </c>
      <c r="C144" s="9" t="str">
        <f t="shared" si="12"/>
        <v/>
      </c>
      <c r="D144" s="6">
        <f t="shared" si="13"/>
        <v>0</v>
      </c>
      <c r="E144" s="6">
        <f>IF(COUNTIF(I144:XFD144,"&gt;"&amp;0)=0,,HLOOKUP(COUNTIF(I144:XFD144,"&gt;"&amp;0)-1,I$1:XFD144,A144+1,FALSE))</f>
        <v>0</v>
      </c>
      <c r="F144" s="7">
        <f>IF(COUNTIF(I144:XFD144,"&gt;"&amp;0)=0,,HLOOKUP(COUNTIF(I144:XFD144,"&gt;"&amp;0)-MIN($F$1+1,COUNTIF(I144:XFD144,"&gt;"&amp;0)),I$1:XFD144,A144+1,FALSE))</f>
        <v>0</v>
      </c>
      <c r="G144" s="8">
        <f t="shared" si="14"/>
        <v>0</v>
      </c>
    </row>
    <row r="145" spans="1:7" x14ac:dyDescent="0.25">
      <c r="A145" s="9">
        <f t="shared" si="5"/>
        <v>144</v>
      </c>
      <c r="B145" s="9">
        <f t="array" ref="B145">IF(C145="",0,IF(OR(C145=Country_Comparison!$S$10:$S$29),1,0))</f>
        <v>0</v>
      </c>
      <c r="C145" s="9" t="str">
        <f t="shared" si="12"/>
        <v/>
      </c>
      <c r="D145" s="6">
        <f t="shared" si="13"/>
        <v>0</v>
      </c>
      <c r="E145" s="6">
        <f>IF(COUNTIF(I145:XFD145,"&gt;"&amp;0)=0,,HLOOKUP(COUNTIF(I145:XFD145,"&gt;"&amp;0)-1,I$1:XFD145,A145+1,FALSE))</f>
        <v>0</v>
      </c>
      <c r="F145" s="7">
        <f>IF(COUNTIF(I145:XFD145,"&gt;"&amp;0)=0,,HLOOKUP(COUNTIF(I145:XFD145,"&gt;"&amp;0)-MIN($F$1+1,COUNTIF(I145:XFD145,"&gt;"&amp;0)),I$1:XFD145,A145+1,FALSE))</f>
        <v>0</v>
      </c>
      <c r="G145" s="8">
        <f t="shared" si="14"/>
        <v>0</v>
      </c>
    </row>
    <row r="146" spans="1:7" x14ac:dyDescent="0.25">
      <c r="A146" s="9">
        <f t="shared" si="5"/>
        <v>145</v>
      </c>
      <c r="B146" s="9">
        <f t="array" ref="B146">IF(C146="",0,IF(OR(C146=Country_Comparison!$S$10:$S$29),1,0))</f>
        <v>0</v>
      </c>
      <c r="C146" s="9" t="str">
        <f t="shared" si="12"/>
        <v/>
      </c>
      <c r="D146" s="6">
        <f t="shared" si="13"/>
        <v>0</v>
      </c>
      <c r="E146" s="6">
        <f>IF(COUNTIF(I146:XFD146,"&gt;"&amp;0)=0,,HLOOKUP(COUNTIF(I146:XFD146,"&gt;"&amp;0)-1,I$1:XFD146,A146+1,FALSE))</f>
        <v>0</v>
      </c>
      <c r="F146" s="7">
        <f>IF(COUNTIF(I146:XFD146,"&gt;"&amp;0)=0,,HLOOKUP(COUNTIF(I146:XFD146,"&gt;"&amp;0)-MIN($F$1+1,COUNTIF(I146:XFD146,"&gt;"&amp;0)),I$1:XFD146,A146+1,FALSE))</f>
        <v>0</v>
      </c>
      <c r="G146" s="8">
        <f t="shared" si="14"/>
        <v>0</v>
      </c>
    </row>
    <row r="147" spans="1:7" x14ac:dyDescent="0.25">
      <c r="A147" s="9">
        <f t="shared" si="5"/>
        <v>146</v>
      </c>
      <c r="B147" s="9">
        <f t="array" ref="B147">IF(C147="",0,IF(OR(C147=Country_Comparison!$S$10:$S$29),1,0))</f>
        <v>0</v>
      </c>
      <c r="C147" s="9" t="str">
        <f t="shared" si="12"/>
        <v/>
      </c>
      <c r="D147" s="6">
        <f t="shared" si="13"/>
        <v>0</v>
      </c>
      <c r="E147" s="6">
        <f>IF(COUNTIF(I147:XFD147,"&gt;"&amp;0)=0,,HLOOKUP(COUNTIF(I147:XFD147,"&gt;"&amp;0)-1,I$1:XFD147,A147+1,FALSE))</f>
        <v>0</v>
      </c>
      <c r="F147" s="7">
        <f>IF(COUNTIF(I147:XFD147,"&gt;"&amp;0)=0,,HLOOKUP(COUNTIF(I147:XFD147,"&gt;"&amp;0)-MIN($F$1+1,COUNTIF(I147:XFD147,"&gt;"&amp;0)),I$1:XFD147,A147+1,FALSE))</f>
        <v>0</v>
      </c>
      <c r="G147" s="8">
        <f t="shared" si="14"/>
        <v>0</v>
      </c>
    </row>
    <row r="148" spans="1:7" x14ac:dyDescent="0.25">
      <c r="A148" s="9">
        <f t="shared" si="5"/>
        <v>147</v>
      </c>
      <c r="B148" s="9">
        <f t="array" ref="B148">IF(C148="",0,IF(OR(C148=Country_Comparison!$S$10:$S$29),1,0))</f>
        <v>0</v>
      </c>
      <c r="C148" s="9" t="str">
        <f t="shared" si="12"/>
        <v/>
      </c>
      <c r="D148" s="6">
        <f t="shared" si="13"/>
        <v>0</v>
      </c>
      <c r="E148" s="6">
        <f>IF(COUNTIF(I148:XFD148,"&gt;"&amp;0)=0,,HLOOKUP(COUNTIF(I148:XFD148,"&gt;"&amp;0)-1,I$1:XFD148,A148+1,FALSE))</f>
        <v>0</v>
      </c>
      <c r="F148" s="7">
        <f>IF(COUNTIF(I148:XFD148,"&gt;"&amp;0)=0,,HLOOKUP(COUNTIF(I148:XFD148,"&gt;"&amp;0)-MIN($F$1+1,COUNTIF(I148:XFD148,"&gt;"&amp;0)),I$1:XFD148,A148+1,FALSE))</f>
        <v>0</v>
      </c>
      <c r="G148" s="8">
        <f t="shared" si="14"/>
        <v>0</v>
      </c>
    </row>
    <row r="149" spans="1:7" x14ac:dyDescent="0.25">
      <c r="A149" s="9">
        <f t="shared" si="5"/>
        <v>148</v>
      </c>
      <c r="B149" s="9">
        <f t="array" ref="B149">IF(C149="",0,IF(OR(C149=Country_Comparison!$S$10:$S$29),1,0))</f>
        <v>0</v>
      </c>
      <c r="C149" s="9" t="str">
        <f t="shared" si="12"/>
        <v/>
      </c>
      <c r="D149" s="6">
        <f t="shared" si="13"/>
        <v>0</v>
      </c>
      <c r="E149" s="6">
        <f>IF(COUNTIF(I149:XFD149,"&gt;"&amp;0)=0,,HLOOKUP(COUNTIF(I149:XFD149,"&gt;"&amp;0)-1,I$1:XFD149,A149+1,FALSE))</f>
        <v>0</v>
      </c>
      <c r="F149" s="7">
        <f>IF(COUNTIF(I149:XFD149,"&gt;"&amp;0)=0,,HLOOKUP(COUNTIF(I149:XFD149,"&gt;"&amp;0)-MIN($F$1+1,COUNTIF(I149:XFD149,"&gt;"&amp;0)),I$1:XFD149,A149+1,FALSE))</f>
        <v>0</v>
      </c>
      <c r="G149" s="8">
        <f t="shared" si="14"/>
        <v>0</v>
      </c>
    </row>
    <row r="150" spans="1:7" x14ac:dyDescent="0.25">
      <c r="A150" s="9">
        <f t="shared" si="5"/>
        <v>149</v>
      </c>
      <c r="B150" s="9">
        <f t="array" ref="B150">IF(C150="",0,IF(OR(C150=Country_Comparison!$S$10:$S$29),1,0))</f>
        <v>0</v>
      </c>
      <c r="C150" s="9" t="str">
        <f t="shared" si="12"/>
        <v/>
      </c>
      <c r="D150" s="6">
        <f t="shared" si="13"/>
        <v>0</v>
      </c>
      <c r="E150" s="6">
        <f>IF(COUNTIF(I150:XFD150,"&gt;"&amp;0)=0,,HLOOKUP(COUNTIF(I150:XFD150,"&gt;"&amp;0)-1,I$1:XFD150,A150+1,FALSE))</f>
        <v>0</v>
      </c>
      <c r="F150" s="7">
        <f>IF(COUNTIF(I150:XFD150,"&gt;"&amp;0)=0,,HLOOKUP(COUNTIF(I150:XFD150,"&gt;"&amp;0)-MIN($F$1+1,COUNTIF(I150:XFD150,"&gt;"&amp;0)),I$1:XFD150,A150+1,FALSE))</f>
        <v>0</v>
      </c>
      <c r="G150" s="8">
        <f t="shared" si="14"/>
        <v>0</v>
      </c>
    </row>
    <row r="151" spans="1:7" x14ac:dyDescent="0.25">
      <c r="A151" s="9">
        <f t="shared" si="5"/>
        <v>150</v>
      </c>
      <c r="B151" s="9">
        <f t="array" ref="B151">IF(C151="",0,IF(OR(C151=Country_Comparison!$S$10:$S$29),1,0))</f>
        <v>0</v>
      </c>
      <c r="C151" s="9" t="str">
        <f t="shared" si="12"/>
        <v/>
      </c>
      <c r="D151" s="6">
        <f t="shared" si="13"/>
        <v>0</v>
      </c>
      <c r="E151" s="6">
        <f>IF(COUNTIF(I151:XFD151,"&gt;"&amp;0)=0,,HLOOKUP(COUNTIF(I151:XFD151,"&gt;"&amp;0)-1,I$1:XFD151,A151+1,FALSE))</f>
        <v>0</v>
      </c>
      <c r="F151" s="7">
        <f>IF(COUNTIF(I151:XFD151,"&gt;"&amp;0)=0,,HLOOKUP(COUNTIF(I151:XFD151,"&gt;"&amp;0)-MIN($F$1+1,COUNTIF(I151:XFD151,"&gt;"&amp;0)),I$1:XFD151,A151+1,FALSE))</f>
        <v>0</v>
      </c>
      <c r="G151" s="8">
        <f t="shared" si="14"/>
        <v>0</v>
      </c>
    </row>
    <row r="152" spans="1:7" x14ac:dyDescent="0.25">
      <c r="A152" s="9">
        <f t="shared" si="5"/>
        <v>151</v>
      </c>
      <c r="B152" s="9">
        <f t="array" ref="B152">IF(C152="",0,IF(OR(C152=Country_Comparison!$S$10:$S$29),1,0))</f>
        <v>0</v>
      </c>
      <c r="C152" s="9" t="str">
        <f t="shared" si="12"/>
        <v/>
      </c>
      <c r="D152" s="6">
        <f t="shared" si="13"/>
        <v>0</v>
      </c>
      <c r="E152" s="6">
        <f>IF(COUNTIF(I152:XFD152,"&gt;"&amp;0)=0,,HLOOKUP(COUNTIF(I152:XFD152,"&gt;"&amp;0)-1,I$1:XFD152,A152+1,FALSE))</f>
        <v>0</v>
      </c>
      <c r="F152" s="7">
        <f>IF(COUNTIF(I152:XFD152,"&gt;"&amp;0)=0,,HLOOKUP(COUNTIF(I152:XFD152,"&gt;"&amp;0)-MIN($F$1+1,COUNTIF(I152:XFD152,"&gt;"&amp;0)),I$1:XFD152,A152+1,FALSE))</f>
        <v>0</v>
      </c>
      <c r="G152" s="8">
        <f t="shared" si="14"/>
        <v>0</v>
      </c>
    </row>
    <row r="153" spans="1:7" x14ac:dyDescent="0.25">
      <c r="A153" s="9">
        <f t="shared" si="5"/>
        <v>152</v>
      </c>
      <c r="B153" s="9">
        <f t="array" ref="B153">IF(C153="",0,IF(OR(C153=Country_Comparison!$S$10:$S$29),1,0))</f>
        <v>0</v>
      </c>
      <c r="C153" s="9" t="str">
        <f t="shared" si="12"/>
        <v/>
      </c>
      <c r="D153" s="6">
        <f t="shared" si="13"/>
        <v>0</v>
      </c>
      <c r="E153" s="6">
        <f>IF(COUNTIF(I153:XFD153,"&gt;"&amp;0)=0,,HLOOKUP(COUNTIF(I153:XFD153,"&gt;"&amp;0)-1,I$1:XFD153,A153+1,FALSE))</f>
        <v>0</v>
      </c>
      <c r="F153" s="7">
        <f>IF(COUNTIF(I153:XFD153,"&gt;"&amp;0)=0,,HLOOKUP(COUNTIF(I153:XFD153,"&gt;"&amp;0)-MIN($F$1+1,COUNTIF(I153:XFD153,"&gt;"&amp;0)),I$1:XFD153,A153+1,FALSE))</f>
        <v>0</v>
      </c>
      <c r="G153" s="8">
        <f t="shared" si="14"/>
        <v>0</v>
      </c>
    </row>
    <row r="154" spans="1:7" x14ac:dyDescent="0.25">
      <c r="A154" s="9">
        <f t="shared" si="5"/>
        <v>153</v>
      </c>
      <c r="B154" s="9">
        <f t="array" ref="B154">IF(C154="",0,IF(OR(C154=Country_Comparison!$S$10:$S$29),1,0))</f>
        <v>0</v>
      </c>
      <c r="C154" s="9" t="str">
        <f t="shared" si="12"/>
        <v/>
      </c>
      <c r="D154" s="6">
        <f t="shared" si="13"/>
        <v>0</v>
      </c>
      <c r="E154" s="6">
        <f>IF(COUNTIF(I154:XFD154,"&gt;"&amp;0)=0,,HLOOKUP(COUNTIF(I154:XFD154,"&gt;"&amp;0)-1,I$1:XFD154,A154+1,FALSE))</f>
        <v>0</v>
      </c>
      <c r="F154" s="7">
        <f>IF(COUNTIF(I154:XFD154,"&gt;"&amp;0)=0,,HLOOKUP(COUNTIF(I154:XFD154,"&gt;"&amp;0)-MIN($F$1+1,COUNTIF(I154:XFD154,"&gt;"&amp;0)),I$1:XFD154,A154+1,FALSE))</f>
        <v>0</v>
      </c>
      <c r="G154" s="8">
        <f t="shared" si="14"/>
        <v>0</v>
      </c>
    </row>
    <row r="155" spans="1:7" x14ac:dyDescent="0.25">
      <c r="A155" s="9">
        <f t="shared" si="5"/>
        <v>154</v>
      </c>
      <c r="B155" s="9">
        <f t="array" ref="B155">IF(C155="",0,IF(OR(C155=Country_Comparison!$S$10:$S$29),1,0))</f>
        <v>0</v>
      </c>
      <c r="C155" s="9" t="str">
        <f t="shared" si="12"/>
        <v/>
      </c>
      <c r="D155" s="6">
        <f t="shared" si="13"/>
        <v>0</v>
      </c>
      <c r="E155" s="6">
        <f>IF(COUNTIF(I155:XFD155,"&gt;"&amp;0)=0,,HLOOKUP(COUNTIF(I155:XFD155,"&gt;"&amp;0)-1,I$1:XFD155,A155+1,FALSE))</f>
        <v>0</v>
      </c>
      <c r="F155" s="7">
        <f>IF(COUNTIF(I155:XFD155,"&gt;"&amp;0)=0,,HLOOKUP(COUNTIF(I155:XFD155,"&gt;"&amp;0)-MIN($F$1+1,COUNTIF(I155:XFD155,"&gt;"&amp;0)),I$1:XFD155,A155+1,FALSE))</f>
        <v>0</v>
      </c>
      <c r="G155" s="8">
        <f t="shared" si="14"/>
        <v>0</v>
      </c>
    </row>
    <row r="156" spans="1:7" x14ac:dyDescent="0.25">
      <c r="A156" s="9">
        <f t="shared" si="5"/>
        <v>155</v>
      </c>
      <c r="B156" s="9">
        <f t="array" ref="B156">IF(C156="",0,IF(OR(C156=Country_Comparison!$S$10:$S$29),1,0))</f>
        <v>0</v>
      </c>
      <c r="C156" s="9" t="str">
        <f t="shared" si="12"/>
        <v/>
      </c>
      <c r="D156" s="6">
        <f t="shared" si="13"/>
        <v>0</v>
      </c>
      <c r="E156" s="6">
        <f>IF(COUNTIF(I156:XFD156,"&gt;"&amp;0)=0,,HLOOKUP(COUNTIF(I156:XFD156,"&gt;"&amp;0)-1,I$1:XFD156,A156+1,FALSE))</f>
        <v>0</v>
      </c>
      <c r="F156" s="7">
        <f>IF(COUNTIF(I156:XFD156,"&gt;"&amp;0)=0,,HLOOKUP(COUNTIF(I156:XFD156,"&gt;"&amp;0)-MIN($F$1+1,COUNTIF(I156:XFD156,"&gt;"&amp;0)),I$1:XFD156,A156+1,FALSE))</f>
        <v>0</v>
      </c>
      <c r="G156" s="8">
        <f t="shared" si="14"/>
        <v>0</v>
      </c>
    </row>
    <row r="157" spans="1:7" x14ac:dyDescent="0.25">
      <c r="A157" s="9">
        <f t="shared" si="5"/>
        <v>156</v>
      </c>
      <c r="B157" s="9">
        <f t="array" ref="B157">IF(C157="",0,IF(OR(C157=Country_Comparison!$S$10:$S$29),1,0))</f>
        <v>0</v>
      </c>
      <c r="C157" s="9" t="str">
        <f t="shared" si="12"/>
        <v/>
      </c>
      <c r="D157" s="6">
        <f t="shared" si="13"/>
        <v>0</v>
      </c>
      <c r="E157" s="6">
        <f>IF(COUNTIF(I157:XFD157,"&gt;"&amp;0)=0,,HLOOKUP(COUNTIF(I157:XFD157,"&gt;"&amp;0)-1,I$1:XFD157,A157+1,FALSE))</f>
        <v>0</v>
      </c>
      <c r="F157" s="7">
        <f>IF(COUNTIF(I157:XFD157,"&gt;"&amp;0)=0,,HLOOKUP(COUNTIF(I157:XFD157,"&gt;"&amp;0)-MIN($F$1+1,COUNTIF(I157:XFD157,"&gt;"&amp;0)),I$1:XFD157,A157+1,FALSE))</f>
        <v>0</v>
      </c>
      <c r="G157" s="8">
        <f t="shared" si="14"/>
        <v>0</v>
      </c>
    </row>
    <row r="158" spans="1:7" x14ac:dyDescent="0.25">
      <c r="A158" s="9">
        <f t="shared" si="5"/>
        <v>157</v>
      </c>
      <c r="B158" s="9">
        <f t="array" ref="B158">IF(C158="",0,IF(OR(C158=Country_Comparison!$S$10:$S$29),1,0))</f>
        <v>0</v>
      </c>
      <c r="C158" s="9" t="str">
        <f t="shared" si="12"/>
        <v/>
      </c>
      <c r="D158" s="6">
        <f t="shared" si="13"/>
        <v>0</v>
      </c>
      <c r="E158" s="6">
        <f>IF(COUNTIF(I158:XFD158,"&gt;"&amp;0)=0,,HLOOKUP(COUNTIF(I158:XFD158,"&gt;"&amp;0)-1,I$1:XFD158,A158+1,FALSE))</f>
        <v>0</v>
      </c>
      <c r="F158" s="7">
        <f>IF(COUNTIF(I158:XFD158,"&gt;"&amp;0)=0,,HLOOKUP(COUNTIF(I158:XFD158,"&gt;"&amp;0)-MIN($F$1+1,COUNTIF(I158:XFD158,"&gt;"&amp;0)),I$1:XFD158,A158+1,FALSE))</f>
        <v>0</v>
      </c>
      <c r="G158" s="8">
        <f t="shared" si="14"/>
        <v>0</v>
      </c>
    </row>
    <row r="159" spans="1:7" x14ac:dyDescent="0.25">
      <c r="A159" s="9">
        <f t="shared" si="5"/>
        <v>158</v>
      </c>
      <c r="B159" s="9">
        <f t="array" ref="B159">IF(C159="",0,IF(OR(C159=Country_Comparison!$S$10:$S$29),1,0))</f>
        <v>0</v>
      </c>
      <c r="C159" s="9" t="str">
        <f t="shared" si="12"/>
        <v/>
      </c>
      <c r="D159" s="6">
        <f t="shared" si="13"/>
        <v>0</v>
      </c>
      <c r="E159" s="6">
        <f>IF(COUNTIF(I159:XFD159,"&gt;"&amp;0)=0,,HLOOKUP(COUNTIF(I159:XFD159,"&gt;"&amp;0)-1,I$1:XFD159,A159+1,FALSE))</f>
        <v>0</v>
      </c>
      <c r="F159" s="7">
        <f>IF(COUNTIF(I159:XFD159,"&gt;"&amp;0)=0,,HLOOKUP(COUNTIF(I159:XFD159,"&gt;"&amp;0)-MIN($F$1+1,COUNTIF(I159:XFD159,"&gt;"&amp;0)),I$1:XFD159,A159+1,FALSE))</f>
        <v>0</v>
      </c>
      <c r="G159" s="8">
        <f t="shared" si="14"/>
        <v>0</v>
      </c>
    </row>
    <row r="160" spans="1:7" x14ac:dyDescent="0.25">
      <c r="A160" s="9">
        <f t="shared" si="5"/>
        <v>159</v>
      </c>
      <c r="B160" s="9">
        <f t="array" ref="B160">IF(C160="",0,IF(OR(C160=Country_Comparison!$S$10:$S$29),1,0))</f>
        <v>0</v>
      </c>
      <c r="C160" s="9" t="str">
        <f t="shared" si="12"/>
        <v/>
      </c>
      <c r="D160" s="6">
        <f t="shared" si="13"/>
        <v>0</v>
      </c>
      <c r="E160" s="6">
        <f>IF(COUNTIF(I160:XFD160,"&gt;"&amp;0)=0,,HLOOKUP(COUNTIF(I160:XFD160,"&gt;"&amp;0)-1,I$1:XFD160,A160+1,FALSE))</f>
        <v>0</v>
      </c>
      <c r="F160" s="7">
        <f>IF(COUNTIF(I160:XFD160,"&gt;"&amp;0)=0,,HLOOKUP(COUNTIF(I160:XFD160,"&gt;"&amp;0)-MIN($F$1+1,COUNTIF(I160:XFD160,"&gt;"&amp;0)),I$1:XFD160,A160+1,FALSE))</f>
        <v>0</v>
      </c>
      <c r="G160" s="8">
        <f t="shared" si="14"/>
        <v>0</v>
      </c>
    </row>
    <row r="161" spans="1:7" x14ac:dyDescent="0.25">
      <c r="A161" s="9">
        <f t="shared" si="5"/>
        <v>160</v>
      </c>
      <c r="B161" s="9">
        <f t="array" ref="B161">IF(C161="",0,IF(OR(C161=Country_Comparison!$S$10:$S$29),1,0))</f>
        <v>0</v>
      </c>
      <c r="C161" s="9" t="str">
        <f t="shared" si="12"/>
        <v/>
      </c>
      <c r="D161" s="6">
        <f t="shared" si="13"/>
        <v>0</v>
      </c>
      <c r="E161" s="6">
        <f>IF(COUNTIF(I161:XFD161,"&gt;"&amp;0)=0,,HLOOKUP(COUNTIF(I161:XFD161,"&gt;"&amp;0)-1,I$1:XFD161,A161+1,FALSE))</f>
        <v>0</v>
      </c>
      <c r="F161" s="7">
        <f>IF(COUNTIF(I161:XFD161,"&gt;"&amp;0)=0,,HLOOKUP(COUNTIF(I161:XFD161,"&gt;"&amp;0)-MIN($F$1+1,COUNTIF(I161:XFD161,"&gt;"&amp;0)),I$1:XFD161,A161+1,FALSE))</f>
        <v>0</v>
      </c>
      <c r="G161" s="8">
        <f t="shared" si="14"/>
        <v>0</v>
      </c>
    </row>
    <row r="162" spans="1:7" x14ac:dyDescent="0.25">
      <c r="A162" s="9">
        <f t="shared" si="5"/>
        <v>161</v>
      </c>
      <c r="B162" s="9">
        <f t="array" ref="B162">IF(C162="",0,IF(OR(C162=Country_Comparison!$S$10:$S$29),1,0))</f>
        <v>0</v>
      </c>
      <c r="C162" s="9" t="str">
        <f t="shared" si="12"/>
        <v/>
      </c>
      <c r="D162" s="6">
        <f t="shared" si="13"/>
        <v>0</v>
      </c>
      <c r="E162" s="6">
        <f>IF(COUNTIF(I162:XFD162,"&gt;"&amp;0)=0,,HLOOKUP(COUNTIF(I162:XFD162,"&gt;"&amp;0)-1,I$1:XFD162,A162+1,FALSE))</f>
        <v>0</v>
      </c>
      <c r="F162" s="7">
        <f>IF(COUNTIF(I162:XFD162,"&gt;"&amp;0)=0,,HLOOKUP(COUNTIF(I162:XFD162,"&gt;"&amp;0)-MIN($F$1+1,COUNTIF(I162:XFD162,"&gt;"&amp;0)),I$1:XFD162,A162+1,FALSE))</f>
        <v>0</v>
      </c>
      <c r="G162" s="8">
        <f t="shared" si="14"/>
        <v>0</v>
      </c>
    </row>
    <row r="163" spans="1:7" x14ac:dyDescent="0.25">
      <c r="A163" s="9">
        <f t="shared" si="5"/>
        <v>162</v>
      </c>
      <c r="B163" s="9">
        <f t="array" ref="B163">IF(C163="",0,IF(OR(C163=Country_Comparison!$S$10:$S$29),1,0))</f>
        <v>0</v>
      </c>
      <c r="C163" s="9" t="str">
        <f t="shared" si="12"/>
        <v/>
      </c>
      <c r="D163" s="6">
        <f t="shared" si="13"/>
        <v>0</v>
      </c>
      <c r="E163" s="6">
        <f>IF(COUNTIF(I163:XFD163,"&gt;"&amp;0)=0,,HLOOKUP(COUNTIF(I163:XFD163,"&gt;"&amp;0)-1,I$1:XFD163,A163+1,FALSE))</f>
        <v>0</v>
      </c>
      <c r="F163" s="7">
        <f>IF(COUNTIF(I163:XFD163,"&gt;"&amp;0)=0,,HLOOKUP(COUNTIF(I163:XFD163,"&gt;"&amp;0)-MIN($F$1+1,COUNTIF(I163:XFD163,"&gt;"&amp;0)),I$1:XFD163,A163+1,FALSE))</f>
        <v>0</v>
      </c>
      <c r="G163" s="8">
        <f t="shared" si="14"/>
        <v>0</v>
      </c>
    </row>
    <row r="164" spans="1:7" x14ac:dyDescent="0.25">
      <c r="A164" s="9">
        <f t="shared" si="5"/>
        <v>163</v>
      </c>
      <c r="B164" s="9">
        <f t="array" ref="B164">IF(C164="",0,IF(OR(C164=Country_Comparison!$S$10:$S$29),1,0))</f>
        <v>0</v>
      </c>
      <c r="C164" s="9" t="str">
        <f t="shared" si="12"/>
        <v/>
      </c>
      <c r="D164" s="6">
        <f t="shared" si="13"/>
        <v>0</v>
      </c>
      <c r="E164" s="6">
        <f>IF(COUNTIF(I164:XFD164,"&gt;"&amp;0)=0,,HLOOKUP(COUNTIF(I164:XFD164,"&gt;"&amp;0)-1,I$1:XFD164,A164+1,FALSE))</f>
        <v>0</v>
      </c>
      <c r="F164" s="7">
        <f>IF(COUNTIF(I164:XFD164,"&gt;"&amp;0)=0,,HLOOKUP(COUNTIF(I164:XFD164,"&gt;"&amp;0)-MIN($F$1+1,COUNTIF(I164:XFD164,"&gt;"&amp;0)),I$1:XFD164,A164+1,FALSE))</f>
        <v>0</v>
      </c>
      <c r="G164" s="8">
        <f t="shared" si="14"/>
        <v>0</v>
      </c>
    </row>
    <row r="165" spans="1:7" x14ac:dyDescent="0.25">
      <c r="A165" s="9">
        <f t="shared" si="5"/>
        <v>164</v>
      </c>
      <c r="B165" s="9">
        <f t="array" ref="B165">IF(C165="",0,IF(OR(C165=Country_Comparison!$S$10:$S$29),1,0))</f>
        <v>0</v>
      </c>
      <c r="C165" s="9" t="str">
        <f t="shared" si="12"/>
        <v/>
      </c>
      <c r="D165" s="6">
        <f t="shared" si="13"/>
        <v>0</v>
      </c>
      <c r="E165" s="6">
        <f>IF(COUNTIF(I165:XFD165,"&gt;"&amp;0)=0,,HLOOKUP(COUNTIF(I165:XFD165,"&gt;"&amp;0)-1,I$1:XFD165,A165+1,FALSE))</f>
        <v>0</v>
      </c>
      <c r="F165" s="7">
        <f>IF(COUNTIF(I165:XFD165,"&gt;"&amp;0)=0,,HLOOKUP(COUNTIF(I165:XFD165,"&gt;"&amp;0)-MIN($F$1+1,COUNTIF(I165:XFD165,"&gt;"&amp;0)),I$1:XFD165,A165+1,FALSE))</f>
        <v>0</v>
      </c>
      <c r="G165" s="8">
        <f t="shared" si="14"/>
        <v>0</v>
      </c>
    </row>
    <row r="166" spans="1:7" x14ac:dyDescent="0.25">
      <c r="A166" s="9">
        <f t="shared" si="5"/>
        <v>165</v>
      </c>
      <c r="B166" s="9">
        <f t="array" ref="B166">IF(C166="",0,IF(OR(C166=Country_Comparison!$S$10:$S$29),1,0))</f>
        <v>0</v>
      </c>
      <c r="C166" s="9" t="str">
        <f t="shared" si="12"/>
        <v/>
      </c>
      <c r="D166" s="6">
        <f t="shared" si="13"/>
        <v>0</v>
      </c>
      <c r="E166" s="6">
        <f>IF(COUNTIF(I166:XFD166,"&gt;"&amp;0)=0,,HLOOKUP(COUNTIF(I166:XFD166,"&gt;"&amp;0)-1,I$1:XFD166,A166+1,FALSE))</f>
        <v>0</v>
      </c>
      <c r="F166" s="7">
        <f>IF(COUNTIF(I166:XFD166,"&gt;"&amp;0)=0,,HLOOKUP(COUNTIF(I166:XFD166,"&gt;"&amp;0)-MIN($F$1+1,COUNTIF(I166:XFD166,"&gt;"&amp;0)),I$1:XFD166,A166+1,FALSE))</f>
        <v>0</v>
      </c>
      <c r="G166" s="8">
        <f t="shared" si="14"/>
        <v>0</v>
      </c>
    </row>
    <row r="167" spans="1:7" x14ac:dyDescent="0.25">
      <c r="A167" s="9">
        <f t="shared" si="5"/>
        <v>166</v>
      </c>
      <c r="B167" s="9">
        <f t="array" ref="B167">IF(C167="",0,IF(OR(C167=Country_Comparison!$S$10:$S$29),1,0))</f>
        <v>0</v>
      </c>
      <c r="C167" s="9" t="str">
        <f t="shared" si="12"/>
        <v/>
      </c>
      <c r="D167" s="6">
        <f t="shared" si="13"/>
        <v>0</v>
      </c>
      <c r="E167" s="6">
        <f>IF(COUNTIF(I167:XFD167,"&gt;"&amp;0)=0,,HLOOKUP(COUNTIF(I167:XFD167,"&gt;"&amp;0)-1,I$1:XFD167,A167+1,FALSE))</f>
        <v>0</v>
      </c>
      <c r="F167" s="7">
        <f>IF(COUNTIF(I167:XFD167,"&gt;"&amp;0)=0,,HLOOKUP(COUNTIF(I167:XFD167,"&gt;"&amp;0)-MIN($F$1+1,COUNTIF(I167:XFD167,"&gt;"&amp;0)),I$1:XFD167,A167+1,FALSE))</f>
        <v>0</v>
      </c>
      <c r="G167" s="8">
        <f t="shared" si="14"/>
        <v>0</v>
      </c>
    </row>
    <row r="168" spans="1:7" x14ac:dyDescent="0.25">
      <c r="A168" s="9">
        <f t="shared" si="5"/>
        <v>167</v>
      </c>
      <c r="B168" s="9">
        <f t="array" ref="B168">IF(C168="",0,IF(OR(C168=Country_Comparison!$S$10:$S$29),1,0))</f>
        <v>0</v>
      </c>
      <c r="C168" s="9" t="str">
        <f t="shared" si="12"/>
        <v/>
      </c>
      <c r="D168" s="6">
        <f t="shared" si="13"/>
        <v>0</v>
      </c>
      <c r="E168" s="6">
        <f>IF(COUNTIF(I168:XFD168,"&gt;"&amp;0)=0,,HLOOKUP(COUNTIF(I168:XFD168,"&gt;"&amp;0)-1,I$1:XFD168,A168+1,FALSE))</f>
        <v>0</v>
      </c>
      <c r="F168" s="7">
        <f>IF(COUNTIF(I168:XFD168,"&gt;"&amp;0)=0,,HLOOKUP(COUNTIF(I168:XFD168,"&gt;"&amp;0)-MIN($F$1+1,COUNTIF(I168:XFD168,"&gt;"&amp;0)),I$1:XFD168,A168+1,FALSE))</f>
        <v>0</v>
      </c>
      <c r="G168" s="8">
        <f t="shared" si="14"/>
        <v>0</v>
      </c>
    </row>
    <row r="169" spans="1:7" x14ac:dyDescent="0.25">
      <c r="A169" s="9">
        <f t="shared" si="5"/>
        <v>168</v>
      </c>
      <c r="B169" s="9">
        <f t="array" ref="B169">IF(C169="",0,IF(OR(C169=Country_Comparison!$S$10:$S$29),1,0))</f>
        <v>0</v>
      </c>
      <c r="C169" s="9" t="str">
        <f t="shared" si="12"/>
        <v/>
      </c>
      <c r="D169" s="6">
        <f t="shared" si="13"/>
        <v>0</v>
      </c>
      <c r="E169" s="6">
        <f>IF(COUNTIF(I169:XFD169,"&gt;"&amp;0)=0,,HLOOKUP(COUNTIF(I169:XFD169,"&gt;"&amp;0)-1,I$1:XFD169,A169+1,FALSE))</f>
        <v>0</v>
      </c>
      <c r="F169" s="7">
        <f>IF(COUNTIF(I169:XFD169,"&gt;"&amp;0)=0,,HLOOKUP(COUNTIF(I169:XFD169,"&gt;"&amp;0)-MIN($F$1+1,COUNTIF(I169:XFD169,"&gt;"&amp;0)),I$1:XFD169,A169+1,FALSE))</f>
        <v>0</v>
      </c>
      <c r="G169" s="8">
        <f t="shared" si="14"/>
        <v>0</v>
      </c>
    </row>
    <row r="170" spans="1:7" x14ac:dyDescent="0.25">
      <c r="A170" s="9">
        <f t="shared" si="5"/>
        <v>169</v>
      </c>
      <c r="B170" s="9">
        <f t="array" ref="B170">IF(C170="",0,IF(OR(C170=Country_Comparison!$S$10:$S$29),1,0))</f>
        <v>0</v>
      </c>
      <c r="C170" s="9" t="str">
        <f t="shared" si="12"/>
        <v/>
      </c>
      <c r="D170" s="6">
        <f t="shared" si="13"/>
        <v>0</v>
      </c>
      <c r="E170" s="6">
        <f>IF(COUNTIF(I170:XFD170,"&gt;"&amp;0)=0,,HLOOKUP(COUNTIF(I170:XFD170,"&gt;"&amp;0)-1,I$1:XFD170,A170+1,FALSE))</f>
        <v>0</v>
      </c>
      <c r="F170" s="7">
        <f>IF(COUNTIF(I170:XFD170,"&gt;"&amp;0)=0,,HLOOKUP(COUNTIF(I170:XFD170,"&gt;"&amp;0)-MIN($F$1+1,COUNTIF(I170:XFD170,"&gt;"&amp;0)),I$1:XFD170,A170+1,FALSE))</f>
        <v>0</v>
      </c>
      <c r="G170" s="8">
        <f t="shared" si="14"/>
        <v>0</v>
      </c>
    </row>
    <row r="171" spans="1:7" x14ac:dyDescent="0.25">
      <c r="A171" s="9">
        <f t="shared" si="5"/>
        <v>170</v>
      </c>
      <c r="B171" s="9">
        <f t="array" ref="B171">IF(C171="",0,IF(OR(C171=Country_Comparison!$S$10:$S$29),1,0))</f>
        <v>0</v>
      </c>
      <c r="C171" s="9" t="str">
        <f t="shared" si="12"/>
        <v/>
      </c>
      <c r="D171" s="6">
        <f t="shared" si="13"/>
        <v>0</v>
      </c>
      <c r="E171" s="6">
        <f>IF(COUNTIF(I171:XFD171,"&gt;"&amp;0)=0,,HLOOKUP(COUNTIF(I171:XFD171,"&gt;"&amp;0)-1,I$1:XFD171,A171+1,FALSE))</f>
        <v>0</v>
      </c>
      <c r="F171" s="7">
        <f>IF(COUNTIF(I171:XFD171,"&gt;"&amp;0)=0,,HLOOKUP(COUNTIF(I171:XFD171,"&gt;"&amp;0)-MIN($F$1+1,COUNTIF(I171:XFD171,"&gt;"&amp;0)),I$1:XFD171,A171+1,FALSE))</f>
        <v>0</v>
      </c>
      <c r="G171" s="8">
        <f t="shared" si="14"/>
        <v>0</v>
      </c>
    </row>
    <row r="172" spans="1:7" x14ac:dyDescent="0.25">
      <c r="A172" s="9">
        <f t="shared" si="5"/>
        <v>171</v>
      </c>
      <c r="B172" s="9">
        <f t="array" ref="B172">IF(C172="",0,IF(OR(C172=Country_Comparison!$S$10:$S$29),1,0))</f>
        <v>0</v>
      </c>
      <c r="C172" s="9" t="str">
        <f t="shared" si="12"/>
        <v/>
      </c>
      <c r="D172" s="6">
        <f t="shared" si="13"/>
        <v>0</v>
      </c>
      <c r="E172" s="6">
        <f>IF(COUNTIF(I172:XFD172,"&gt;"&amp;0)=0,,HLOOKUP(COUNTIF(I172:XFD172,"&gt;"&amp;0)-1,I$1:XFD172,A172+1,FALSE))</f>
        <v>0</v>
      </c>
      <c r="F172" s="7">
        <f>IF(COUNTIF(I172:XFD172,"&gt;"&amp;0)=0,,HLOOKUP(COUNTIF(I172:XFD172,"&gt;"&amp;0)-MIN($F$1+1,COUNTIF(I172:XFD172,"&gt;"&amp;0)),I$1:XFD172,A172+1,FALSE))</f>
        <v>0</v>
      </c>
      <c r="G172" s="8">
        <f t="shared" si="14"/>
        <v>0</v>
      </c>
    </row>
    <row r="173" spans="1:7" x14ac:dyDescent="0.25">
      <c r="A173" s="9">
        <f t="shared" si="5"/>
        <v>172</v>
      </c>
      <c r="B173" s="9">
        <f t="array" ref="B173">IF(C173="",0,IF(OR(C173=Country_Comparison!$S$10:$S$29),1,0))</f>
        <v>0</v>
      </c>
      <c r="C173" s="9" t="str">
        <f t="shared" si="12"/>
        <v/>
      </c>
      <c r="D173" s="6">
        <f t="shared" si="13"/>
        <v>0</v>
      </c>
      <c r="E173" s="6">
        <f>IF(COUNTIF(I173:XFD173,"&gt;"&amp;0)=0,,HLOOKUP(COUNTIF(I173:XFD173,"&gt;"&amp;0)-1,I$1:XFD173,A173+1,FALSE))</f>
        <v>0</v>
      </c>
      <c r="F173" s="7">
        <f>IF(COUNTIF(I173:XFD173,"&gt;"&amp;0)=0,,HLOOKUP(COUNTIF(I173:XFD173,"&gt;"&amp;0)-MIN($F$1+1,COUNTIF(I173:XFD173,"&gt;"&amp;0)),I$1:XFD173,A173+1,FALSE))</f>
        <v>0</v>
      </c>
      <c r="G173" s="8">
        <f t="shared" si="14"/>
        <v>0</v>
      </c>
    </row>
    <row r="174" spans="1:7" x14ac:dyDescent="0.25">
      <c r="A174" s="9">
        <f t="shared" si="5"/>
        <v>173</v>
      </c>
      <c r="B174" s="9">
        <f t="array" ref="B174">IF(C174="",0,IF(OR(C174=Country_Comparison!$S$10:$S$29),1,0))</f>
        <v>0</v>
      </c>
      <c r="C174" s="9" t="str">
        <f t="shared" si="12"/>
        <v/>
      </c>
      <c r="D174" s="6">
        <f t="shared" si="13"/>
        <v>0</v>
      </c>
      <c r="E174" s="6">
        <f>IF(COUNTIF(I174:XFD174,"&gt;"&amp;0)=0,,HLOOKUP(COUNTIF(I174:XFD174,"&gt;"&amp;0)-1,I$1:XFD174,A174+1,FALSE))</f>
        <v>0</v>
      </c>
      <c r="F174" s="7">
        <f>IF(COUNTIF(I174:XFD174,"&gt;"&amp;0)=0,,HLOOKUP(COUNTIF(I174:XFD174,"&gt;"&amp;0)-MIN($F$1+1,COUNTIF(I174:XFD174,"&gt;"&amp;0)),I$1:XFD174,A174+1,FALSE))</f>
        <v>0</v>
      </c>
      <c r="G174" s="8">
        <f t="shared" si="14"/>
        <v>0</v>
      </c>
    </row>
    <row r="175" spans="1:7" x14ac:dyDescent="0.25">
      <c r="A175" s="9">
        <f t="shared" si="5"/>
        <v>174</v>
      </c>
      <c r="B175" s="9">
        <f t="array" ref="B175">IF(C175="",0,IF(OR(C175=Country_Comparison!$S$10:$S$29),1,0))</f>
        <v>0</v>
      </c>
      <c r="C175" s="9" t="str">
        <f t="shared" si="12"/>
        <v/>
      </c>
      <c r="D175" s="6">
        <f t="shared" si="13"/>
        <v>0</v>
      </c>
      <c r="E175" s="6">
        <f>IF(COUNTIF(I175:XFD175,"&gt;"&amp;0)=0,,HLOOKUP(COUNTIF(I175:XFD175,"&gt;"&amp;0)-1,I$1:XFD175,A175+1,FALSE))</f>
        <v>0</v>
      </c>
      <c r="F175" s="7">
        <f>IF(COUNTIF(I175:XFD175,"&gt;"&amp;0)=0,,HLOOKUP(COUNTIF(I175:XFD175,"&gt;"&amp;0)-MIN($F$1+1,COUNTIF(I175:XFD175,"&gt;"&amp;0)),I$1:XFD175,A175+1,FALSE))</f>
        <v>0</v>
      </c>
      <c r="G175" s="8">
        <f t="shared" si="14"/>
        <v>0</v>
      </c>
    </row>
    <row r="176" spans="1:7" x14ac:dyDescent="0.25">
      <c r="A176" s="9">
        <f t="shared" si="5"/>
        <v>175</v>
      </c>
      <c r="B176" s="9">
        <f t="array" ref="B176">IF(C176="",0,IF(OR(C176=Country_Comparison!$S$10:$S$29),1,0))</f>
        <v>0</v>
      </c>
      <c r="C176" s="9" t="str">
        <f t="shared" si="12"/>
        <v/>
      </c>
      <c r="D176" s="6">
        <f t="shared" si="13"/>
        <v>0</v>
      </c>
      <c r="E176" s="6">
        <f>IF(COUNTIF(I176:XFD176,"&gt;"&amp;0)=0,,HLOOKUP(COUNTIF(I176:XFD176,"&gt;"&amp;0)-1,I$1:XFD176,A176+1,FALSE))</f>
        <v>0</v>
      </c>
      <c r="F176" s="7">
        <f>IF(COUNTIF(I176:XFD176,"&gt;"&amp;0)=0,,HLOOKUP(COUNTIF(I176:XFD176,"&gt;"&amp;0)-MIN($F$1+1,COUNTIF(I176:XFD176,"&gt;"&amp;0)),I$1:XFD176,A176+1,FALSE))</f>
        <v>0</v>
      </c>
      <c r="G176" s="8">
        <f t="shared" si="14"/>
        <v>0</v>
      </c>
    </row>
    <row r="177" spans="1:7" x14ac:dyDescent="0.25">
      <c r="A177" s="9">
        <f t="shared" si="5"/>
        <v>176</v>
      </c>
      <c r="B177" s="9">
        <f t="array" ref="B177">IF(C177="",0,IF(OR(C177=Country_Comparison!$S$10:$S$29),1,0))</f>
        <v>0</v>
      </c>
      <c r="C177" s="9" t="str">
        <f t="shared" si="12"/>
        <v/>
      </c>
      <c r="D177" s="6">
        <f t="shared" si="13"/>
        <v>0</v>
      </c>
      <c r="E177" s="6">
        <f>IF(COUNTIF(I177:XFD177,"&gt;"&amp;0)=0,,HLOOKUP(COUNTIF(I177:XFD177,"&gt;"&amp;0)-1,I$1:XFD177,A177+1,FALSE))</f>
        <v>0</v>
      </c>
      <c r="F177" s="7">
        <f>IF(COUNTIF(I177:XFD177,"&gt;"&amp;0)=0,,HLOOKUP(COUNTIF(I177:XFD177,"&gt;"&amp;0)-MIN($F$1+1,COUNTIF(I177:XFD177,"&gt;"&amp;0)),I$1:XFD177,A177+1,FALSE))</f>
        <v>0</v>
      </c>
      <c r="G177" s="8">
        <f t="shared" si="14"/>
        <v>0</v>
      </c>
    </row>
    <row r="178" spans="1:7" x14ac:dyDescent="0.25">
      <c r="A178" s="9">
        <f t="shared" si="5"/>
        <v>177</v>
      </c>
      <c r="B178" s="9">
        <f t="array" ref="B178">IF(C178="",0,IF(OR(C178=Country_Comparison!$S$10:$S$29),1,0))</f>
        <v>0</v>
      </c>
      <c r="C178" s="9" t="str">
        <f t="shared" si="12"/>
        <v/>
      </c>
      <c r="D178" s="6">
        <f t="shared" si="13"/>
        <v>0</v>
      </c>
      <c r="E178" s="6">
        <f>IF(COUNTIF(I178:XFD178,"&gt;"&amp;0)=0,,HLOOKUP(COUNTIF(I178:XFD178,"&gt;"&amp;0)-1,I$1:XFD178,A178+1,FALSE))</f>
        <v>0</v>
      </c>
      <c r="F178" s="7">
        <f>IF(COUNTIF(I178:XFD178,"&gt;"&amp;0)=0,,HLOOKUP(COUNTIF(I178:XFD178,"&gt;"&amp;0)-MIN($F$1+1,COUNTIF(I178:XFD178,"&gt;"&amp;0)),I$1:XFD178,A178+1,FALSE))</f>
        <v>0</v>
      </c>
      <c r="G178" s="8">
        <f t="shared" si="14"/>
        <v>0</v>
      </c>
    </row>
    <row r="179" spans="1:7" x14ac:dyDescent="0.25">
      <c r="A179" s="9">
        <f t="shared" si="5"/>
        <v>178</v>
      </c>
      <c r="B179" s="9">
        <f t="array" ref="B179">IF(C179="",0,IF(OR(C179=Country_Comparison!$S$10:$S$29),1,0))</f>
        <v>0</v>
      </c>
      <c r="C179" s="9" t="str">
        <f t="shared" si="12"/>
        <v/>
      </c>
      <c r="D179" s="6">
        <f t="shared" si="13"/>
        <v>0</v>
      </c>
      <c r="E179" s="6">
        <f>IF(COUNTIF(I179:XFD179,"&gt;"&amp;0)=0,,HLOOKUP(COUNTIF(I179:XFD179,"&gt;"&amp;0)-1,I$1:XFD179,A179+1,FALSE))</f>
        <v>0</v>
      </c>
      <c r="F179" s="7">
        <f>IF(COUNTIF(I179:XFD179,"&gt;"&amp;0)=0,,HLOOKUP(COUNTIF(I179:XFD179,"&gt;"&amp;0)-MIN($F$1+1,COUNTIF(I179:XFD179,"&gt;"&amp;0)),I$1:XFD179,A179+1,FALSE))</f>
        <v>0</v>
      </c>
      <c r="G179" s="8">
        <f t="shared" si="14"/>
        <v>0</v>
      </c>
    </row>
    <row r="180" spans="1:7" x14ac:dyDescent="0.25">
      <c r="A180" s="9">
        <f t="shared" si="5"/>
        <v>179</v>
      </c>
      <c r="B180" s="9">
        <f t="array" ref="B180">IF(C180="",0,IF(OR(C180=Country_Comparison!$S$10:$S$29),1,0))</f>
        <v>0</v>
      </c>
      <c r="C180" s="9" t="str">
        <f t="shared" si="12"/>
        <v/>
      </c>
      <c r="D180" s="6">
        <f t="shared" si="13"/>
        <v>0</v>
      </c>
      <c r="E180" s="6">
        <f>IF(COUNTIF(I180:XFD180,"&gt;"&amp;0)=0,,HLOOKUP(COUNTIF(I180:XFD180,"&gt;"&amp;0)-1,I$1:XFD180,A180+1,FALSE))</f>
        <v>0</v>
      </c>
      <c r="F180" s="7">
        <f>IF(COUNTIF(I180:XFD180,"&gt;"&amp;0)=0,,HLOOKUP(COUNTIF(I180:XFD180,"&gt;"&amp;0)-MIN($F$1+1,COUNTIF(I180:XFD180,"&gt;"&amp;0)),I$1:XFD180,A180+1,FALSE))</f>
        <v>0</v>
      </c>
      <c r="G180" s="8">
        <f t="shared" si="14"/>
        <v>0</v>
      </c>
    </row>
    <row r="181" spans="1:7" x14ac:dyDescent="0.25">
      <c r="A181" s="9">
        <f t="shared" si="5"/>
        <v>180</v>
      </c>
      <c r="B181" s="9">
        <f t="array" ref="B181">IF(C181="",0,IF(OR(C181=Country_Comparison!$S$10:$S$29),1,0))</f>
        <v>0</v>
      </c>
      <c r="C181" s="9" t="str">
        <f t="shared" si="12"/>
        <v/>
      </c>
      <c r="D181" s="6">
        <f t="shared" si="13"/>
        <v>0</v>
      </c>
      <c r="E181" s="6">
        <f>IF(COUNTIF(I181:XFD181,"&gt;"&amp;0)=0,,HLOOKUP(COUNTIF(I181:XFD181,"&gt;"&amp;0)-1,I$1:XFD181,A181+1,FALSE))</f>
        <v>0</v>
      </c>
      <c r="F181" s="7">
        <f>IF(COUNTIF(I181:XFD181,"&gt;"&amp;0)=0,,HLOOKUP(COUNTIF(I181:XFD181,"&gt;"&amp;0)-MIN($F$1+1,COUNTIF(I181:XFD181,"&gt;"&amp;0)),I$1:XFD181,A181+1,FALSE))</f>
        <v>0</v>
      </c>
      <c r="G181" s="8">
        <f t="shared" si="14"/>
        <v>0</v>
      </c>
    </row>
    <row r="182" spans="1:7" x14ac:dyDescent="0.25">
      <c r="A182" s="9">
        <f t="shared" si="5"/>
        <v>181</v>
      </c>
      <c r="B182" s="9">
        <f t="array" ref="B182">IF(C182="",0,IF(OR(C182=Country_Comparison!$S$10:$S$29),1,0))</f>
        <v>0</v>
      </c>
      <c r="C182" s="9" t="str">
        <f t="shared" si="12"/>
        <v/>
      </c>
      <c r="D182" s="6">
        <f t="shared" si="13"/>
        <v>0</v>
      </c>
      <c r="E182" s="6">
        <f>IF(COUNTIF(I182:XFD182,"&gt;"&amp;0)=0,,HLOOKUP(COUNTIF(I182:XFD182,"&gt;"&amp;0)-1,I$1:XFD182,A182+1,FALSE))</f>
        <v>0</v>
      </c>
      <c r="F182" s="7">
        <f>IF(COUNTIF(I182:XFD182,"&gt;"&amp;0)=0,,HLOOKUP(COUNTIF(I182:XFD182,"&gt;"&amp;0)-MIN($F$1+1,COUNTIF(I182:XFD182,"&gt;"&amp;0)),I$1:XFD182,A182+1,FALSE))</f>
        <v>0</v>
      </c>
      <c r="G182" s="8">
        <f t="shared" si="14"/>
        <v>0</v>
      </c>
    </row>
    <row r="183" spans="1:7" x14ac:dyDescent="0.25">
      <c r="A183" s="9">
        <f t="shared" si="5"/>
        <v>182</v>
      </c>
      <c r="B183" s="9">
        <f t="array" ref="B183">IF(C183="",0,IF(OR(C183=Country_Comparison!$S$10:$S$29),1,0))</f>
        <v>0</v>
      </c>
      <c r="C183" s="9" t="str">
        <f t="shared" si="12"/>
        <v/>
      </c>
      <c r="D183" s="6">
        <f t="shared" si="13"/>
        <v>0</v>
      </c>
      <c r="E183" s="6">
        <f>IF(COUNTIF(I183:XFD183,"&gt;"&amp;0)=0,,HLOOKUP(COUNTIF(I183:XFD183,"&gt;"&amp;0)-1,I$1:XFD183,A183+1,FALSE))</f>
        <v>0</v>
      </c>
      <c r="F183" s="7">
        <f>IF(COUNTIF(I183:XFD183,"&gt;"&amp;0)=0,,HLOOKUP(COUNTIF(I183:XFD183,"&gt;"&amp;0)-MIN($F$1+1,COUNTIF(I183:XFD183,"&gt;"&amp;0)),I$1:XFD183,A183+1,FALSE))</f>
        <v>0</v>
      </c>
      <c r="G183" s="8">
        <f t="shared" si="14"/>
        <v>0</v>
      </c>
    </row>
    <row r="184" spans="1:7" x14ac:dyDescent="0.25">
      <c r="A184" s="9">
        <f t="shared" si="5"/>
        <v>183</v>
      </c>
      <c r="B184" s="9">
        <f t="array" ref="B184">IF(C184="",0,IF(OR(C184=Country_Comparison!$S$10:$S$29),1,0))</f>
        <v>0</v>
      </c>
      <c r="C184" s="9" t="str">
        <f t="shared" si="12"/>
        <v/>
      </c>
      <c r="D184" s="6">
        <f t="shared" si="13"/>
        <v>0</v>
      </c>
      <c r="E184" s="6">
        <f>IF(COUNTIF(I184:XFD184,"&gt;"&amp;0)=0,,HLOOKUP(COUNTIF(I184:XFD184,"&gt;"&amp;0)-1,I$1:XFD184,A184+1,FALSE))</f>
        <v>0</v>
      </c>
      <c r="F184" s="7">
        <f>IF(COUNTIF(I184:XFD184,"&gt;"&amp;0)=0,,HLOOKUP(COUNTIF(I184:XFD184,"&gt;"&amp;0)-MIN($F$1+1,COUNTIF(I184:XFD184,"&gt;"&amp;0)),I$1:XFD184,A184+1,FALSE))</f>
        <v>0</v>
      </c>
      <c r="G184" s="8">
        <f t="shared" si="14"/>
        <v>0</v>
      </c>
    </row>
    <row r="185" spans="1:7" x14ac:dyDescent="0.25">
      <c r="A185" s="9">
        <f t="shared" si="5"/>
        <v>184</v>
      </c>
      <c r="B185" s="9">
        <f t="array" ref="B185">IF(C185="",0,IF(OR(C185=Country_Comparison!$S$10:$S$29),1,0))</f>
        <v>0</v>
      </c>
      <c r="C185" s="9" t="str">
        <f t="shared" si="12"/>
        <v/>
      </c>
      <c r="D185" s="6">
        <f t="shared" si="13"/>
        <v>0</v>
      </c>
      <c r="E185" s="6">
        <f>IF(COUNTIF(I185:XFD185,"&gt;"&amp;0)=0,,HLOOKUP(COUNTIF(I185:XFD185,"&gt;"&amp;0)-1,I$1:XFD185,A185+1,FALSE))</f>
        <v>0</v>
      </c>
      <c r="F185" s="7">
        <f>IF(COUNTIF(I185:XFD185,"&gt;"&amp;0)=0,,HLOOKUP(COUNTIF(I185:XFD185,"&gt;"&amp;0)-MIN($F$1+1,COUNTIF(I185:XFD185,"&gt;"&amp;0)),I$1:XFD185,A185+1,FALSE))</f>
        <v>0</v>
      </c>
      <c r="G185" s="8">
        <f t="shared" si="14"/>
        <v>0</v>
      </c>
    </row>
    <row r="186" spans="1:7" x14ac:dyDescent="0.25">
      <c r="A186" s="9">
        <f t="shared" si="5"/>
        <v>185</v>
      </c>
      <c r="B186" s="9">
        <f t="array" ref="B186">IF(C186="",0,IF(OR(C186=Country_Comparison!$S$10:$S$29),1,0))</f>
        <v>0</v>
      </c>
      <c r="C186" s="9" t="str">
        <f t="shared" si="12"/>
        <v/>
      </c>
      <c r="D186" s="6">
        <f t="shared" si="13"/>
        <v>0</v>
      </c>
      <c r="E186" s="6">
        <f>IF(COUNTIF(I186:XFD186,"&gt;"&amp;0)=0,,HLOOKUP(COUNTIF(I186:XFD186,"&gt;"&amp;0)-1,I$1:XFD186,A186+1,FALSE))</f>
        <v>0</v>
      </c>
      <c r="F186" s="7">
        <f>IF(COUNTIF(I186:XFD186,"&gt;"&amp;0)=0,,HLOOKUP(COUNTIF(I186:XFD186,"&gt;"&amp;0)-MIN($F$1+1,COUNTIF(I186:XFD186,"&gt;"&amp;0)),I$1:XFD186,A186+1,FALSE))</f>
        <v>0</v>
      </c>
      <c r="G186" s="8">
        <f t="shared" si="14"/>
        <v>0</v>
      </c>
    </row>
    <row r="187" spans="1:7" x14ac:dyDescent="0.25">
      <c r="A187" s="9">
        <f t="shared" si="5"/>
        <v>186</v>
      </c>
      <c r="B187" s="9">
        <f t="array" ref="B187">IF(C187="",0,IF(OR(C187=Country_Comparison!$S$10:$S$29),1,0))</f>
        <v>0</v>
      </c>
      <c r="C187" s="9" t="str">
        <f t="shared" si="12"/>
        <v/>
      </c>
      <c r="D187" s="6">
        <f t="shared" si="13"/>
        <v>0</v>
      </c>
      <c r="E187" s="6">
        <f>IF(COUNTIF(I187:XFD187,"&gt;"&amp;0)=0,,HLOOKUP(COUNTIF(I187:XFD187,"&gt;"&amp;0)-1,I$1:XFD187,A187+1,FALSE))</f>
        <v>0</v>
      </c>
      <c r="F187" s="7">
        <f>IF(COUNTIF(I187:XFD187,"&gt;"&amp;0)=0,,HLOOKUP(COUNTIF(I187:XFD187,"&gt;"&amp;0)-MIN($F$1+1,COUNTIF(I187:XFD187,"&gt;"&amp;0)),I$1:XFD187,A187+1,FALSE))</f>
        <v>0</v>
      </c>
      <c r="G187" s="8">
        <f t="shared" si="14"/>
        <v>0</v>
      </c>
    </row>
    <row r="188" spans="1:7" x14ac:dyDescent="0.25">
      <c r="A188" s="9">
        <f t="shared" si="5"/>
        <v>187</v>
      </c>
      <c r="B188" s="9">
        <f t="array" ref="B188">IF(C188="",0,IF(OR(C188=Country_Comparison!$S$10:$S$29),1,0))</f>
        <v>0</v>
      </c>
      <c r="C188" s="9" t="str">
        <f t="shared" si="12"/>
        <v/>
      </c>
      <c r="D188" s="6">
        <f t="shared" si="13"/>
        <v>0</v>
      </c>
      <c r="E188" s="6">
        <f>IF(COUNTIF(I188:XFD188,"&gt;"&amp;0)=0,,HLOOKUP(COUNTIF(I188:XFD188,"&gt;"&amp;0)-1,I$1:XFD188,A188+1,FALSE))</f>
        <v>0</v>
      </c>
      <c r="F188" s="7">
        <f>IF(COUNTIF(I188:XFD188,"&gt;"&amp;0)=0,,HLOOKUP(COUNTIF(I188:XFD188,"&gt;"&amp;0)-MIN($F$1+1,COUNTIF(I188:XFD188,"&gt;"&amp;0)),I$1:XFD188,A188+1,FALSE))</f>
        <v>0</v>
      </c>
      <c r="G188" s="8">
        <f t="shared" si="14"/>
        <v>0</v>
      </c>
    </row>
    <row r="189" spans="1:7" x14ac:dyDescent="0.25">
      <c r="A189" s="9">
        <f t="shared" si="5"/>
        <v>188</v>
      </c>
      <c r="B189" s="9">
        <f t="array" ref="B189">IF(C189="",0,IF(OR(C189=Country_Comparison!$S$10:$S$29),1,0))</f>
        <v>0</v>
      </c>
      <c r="C189" s="9" t="str">
        <f t="shared" si="12"/>
        <v/>
      </c>
      <c r="D189" s="6">
        <f t="shared" si="13"/>
        <v>0</v>
      </c>
      <c r="E189" s="6">
        <f>IF(COUNTIF(I189:XFD189,"&gt;"&amp;0)=0,,HLOOKUP(COUNTIF(I189:XFD189,"&gt;"&amp;0)-1,I$1:XFD189,A189+1,FALSE))</f>
        <v>0</v>
      </c>
      <c r="F189" s="7">
        <f>IF(COUNTIF(I189:XFD189,"&gt;"&amp;0)=0,,HLOOKUP(COUNTIF(I189:XFD189,"&gt;"&amp;0)-MIN($F$1+1,COUNTIF(I189:XFD189,"&gt;"&amp;0)),I$1:XFD189,A189+1,FALSE))</f>
        <v>0</v>
      </c>
      <c r="G189" s="8">
        <f t="shared" si="14"/>
        <v>0</v>
      </c>
    </row>
    <row r="190" spans="1:7" x14ac:dyDescent="0.25">
      <c r="A190" s="9">
        <f t="shared" si="5"/>
        <v>189</v>
      </c>
      <c r="B190" s="9">
        <f t="array" ref="B190">IF(C190="",0,IF(OR(C190=Country_Comparison!$S$10:$S$29),1,0))</f>
        <v>0</v>
      </c>
      <c r="C190" s="9" t="str">
        <f t="shared" si="12"/>
        <v/>
      </c>
      <c r="D190" s="6">
        <f t="shared" si="13"/>
        <v>0</v>
      </c>
      <c r="E190" s="6">
        <f>IF(COUNTIF(I190:XFD190,"&gt;"&amp;0)=0,,HLOOKUP(COUNTIF(I190:XFD190,"&gt;"&amp;0)-1,I$1:XFD190,A190+1,FALSE))</f>
        <v>0</v>
      </c>
      <c r="F190" s="7">
        <f>IF(COUNTIF(I190:XFD190,"&gt;"&amp;0)=0,,HLOOKUP(COUNTIF(I190:XFD190,"&gt;"&amp;0)-MIN($F$1+1,COUNTIF(I190:XFD190,"&gt;"&amp;0)),I$1:XFD190,A190+1,FALSE))</f>
        <v>0</v>
      </c>
      <c r="G190" s="8">
        <f t="shared" si="14"/>
        <v>0</v>
      </c>
    </row>
    <row r="191" spans="1:7" x14ac:dyDescent="0.25">
      <c r="A191" s="9">
        <f t="shared" si="5"/>
        <v>190</v>
      </c>
      <c r="B191" s="9">
        <f t="array" ref="B191">IF(C191="",0,IF(OR(C191=Country_Comparison!$S$10:$S$29),1,0))</f>
        <v>0</v>
      </c>
      <c r="C191" s="9" t="str">
        <f t="shared" si="12"/>
        <v/>
      </c>
      <c r="D191" s="6">
        <f t="shared" si="13"/>
        <v>0</v>
      </c>
      <c r="E191" s="6">
        <f>IF(COUNTIF(I191:XFD191,"&gt;"&amp;0)=0,,HLOOKUP(COUNTIF(I191:XFD191,"&gt;"&amp;0)-1,I$1:XFD191,A191+1,FALSE))</f>
        <v>0</v>
      </c>
      <c r="F191" s="7">
        <f>IF(COUNTIF(I191:XFD191,"&gt;"&amp;0)=0,,HLOOKUP(COUNTIF(I191:XFD191,"&gt;"&amp;0)-MIN($F$1+1,COUNTIF(I191:XFD191,"&gt;"&amp;0)),I$1:XFD191,A191+1,FALSE))</f>
        <v>0</v>
      </c>
      <c r="G191" s="8">
        <f t="shared" si="14"/>
        <v>0</v>
      </c>
    </row>
    <row r="192" spans="1:7" x14ac:dyDescent="0.25">
      <c r="A192" s="9">
        <f t="shared" si="5"/>
        <v>191</v>
      </c>
      <c r="B192" s="9">
        <f t="array" ref="B192">IF(C192="",0,IF(OR(C192=Country_Comparison!$S$10:$S$29),1,0))</f>
        <v>0</v>
      </c>
      <c r="C192" s="9" t="str">
        <f t="shared" si="12"/>
        <v/>
      </c>
      <c r="D192" s="6">
        <f t="shared" si="13"/>
        <v>0</v>
      </c>
      <c r="E192" s="6">
        <f>IF(COUNTIF(I192:XFD192,"&gt;"&amp;0)=0,,HLOOKUP(COUNTIF(I192:XFD192,"&gt;"&amp;0)-1,I$1:XFD192,A192+1,FALSE))</f>
        <v>0</v>
      </c>
      <c r="F192" s="7">
        <f>IF(COUNTIF(I192:XFD192,"&gt;"&amp;0)=0,,HLOOKUP(COUNTIF(I192:XFD192,"&gt;"&amp;0)-MIN($F$1+1,COUNTIF(I192:XFD192,"&gt;"&amp;0)),I$1:XFD192,A192+1,FALSE))</f>
        <v>0</v>
      </c>
      <c r="G192" s="8">
        <f t="shared" si="14"/>
        <v>0</v>
      </c>
    </row>
    <row r="193" spans="1:7" x14ac:dyDescent="0.25">
      <c r="A193" s="9">
        <f t="shared" si="5"/>
        <v>192</v>
      </c>
      <c r="B193" s="9">
        <f t="array" ref="B193">IF(C193="",0,IF(OR(C193=Country_Comparison!$S$10:$S$29),1,0))</f>
        <v>0</v>
      </c>
      <c r="C193" s="9" t="str">
        <f t="shared" si="12"/>
        <v/>
      </c>
      <c r="D193" s="6">
        <f t="shared" si="13"/>
        <v>0</v>
      </c>
      <c r="E193" s="6">
        <f>IF(COUNTIF(I193:XFD193,"&gt;"&amp;0)=0,,HLOOKUP(COUNTIF(I193:XFD193,"&gt;"&amp;0)-1,I$1:XFD193,A193+1,FALSE))</f>
        <v>0</v>
      </c>
      <c r="F193" s="7">
        <f>IF(COUNTIF(I193:XFD193,"&gt;"&amp;0)=0,,HLOOKUP(COUNTIF(I193:XFD193,"&gt;"&amp;0)-MIN($F$1+1,COUNTIF(I193:XFD193,"&gt;"&amp;0)),I$1:XFD193,A193+1,FALSE))</f>
        <v>0</v>
      </c>
      <c r="G193" s="8">
        <f t="shared" si="14"/>
        <v>0</v>
      </c>
    </row>
    <row r="194" spans="1:7" x14ac:dyDescent="0.25">
      <c r="A194" s="9">
        <f t="shared" si="5"/>
        <v>193</v>
      </c>
      <c r="B194" s="9">
        <f t="array" ref="B194">IF(C194="",0,IF(OR(C194=Country_Comparison!$S$10:$S$29),1,0))</f>
        <v>0</v>
      </c>
      <c r="C194" s="9" t="str">
        <f t="shared" si="12"/>
        <v/>
      </c>
      <c r="D194" s="6">
        <f t="shared" si="13"/>
        <v>0</v>
      </c>
      <c r="E194" s="6">
        <f>IF(COUNTIF(I194:XFD194,"&gt;"&amp;0)=0,,HLOOKUP(COUNTIF(I194:XFD194,"&gt;"&amp;0)-1,I$1:XFD194,A194+1,FALSE))</f>
        <v>0</v>
      </c>
      <c r="F194" s="7">
        <f>IF(COUNTIF(I194:XFD194,"&gt;"&amp;0)=0,,HLOOKUP(COUNTIF(I194:XFD194,"&gt;"&amp;0)-MIN($F$1+1,COUNTIF(I194:XFD194,"&gt;"&amp;0)),I$1:XFD194,A194+1,FALSE))</f>
        <v>0</v>
      </c>
      <c r="G194" s="8">
        <f t="shared" si="14"/>
        <v>0</v>
      </c>
    </row>
    <row r="195" spans="1:7" x14ac:dyDescent="0.25">
      <c r="A195" s="9">
        <f t="shared" si="5"/>
        <v>194</v>
      </c>
      <c r="B195" s="9">
        <f t="array" ref="B195">IF(C195="",0,IF(OR(C195=Country_Comparison!$S$10:$S$29),1,0))</f>
        <v>0</v>
      </c>
      <c r="C195" s="9" t="str">
        <f t="shared" si="12"/>
        <v/>
      </c>
      <c r="D195" s="6">
        <f t="shared" si="13"/>
        <v>0</v>
      </c>
      <c r="E195" s="6">
        <f>IF(COUNTIF(I195:XFD195,"&gt;"&amp;0)=0,,HLOOKUP(COUNTIF(I195:XFD195,"&gt;"&amp;0)-1,I$1:XFD195,A195+1,FALSE))</f>
        <v>0</v>
      </c>
      <c r="F195" s="7">
        <f>IF(COUNTIF(I195:XFD195,"&gt;"&amp;0)=0,,HLOOKUP(COUNTIF(I195:XFD195,"&gt;"&amp;0)-MIN($F$1+1,COUNTIF(I195:XFD195,"&gt;"&amp;0)),I$1:XFD195,A195+1,FALSE))</f>
        <v>0</v>
      </c>
      <c r="G195" s="8">
        <f t="shared" si="14"/>
        <v>0</v>
      </c>
    </row>
    <row r="196" spans="1:7" x14ac:dyDescent="0.25">
      <c r="A196" s="9">
        <f t="shared" si="5"/>
        <v>195</v>
      </c>
      <c r="B196" s="9">
        <f t="array" ref="B196">IF(C196="",0,IF(OR(C196=Country_Comparison!$S$10:$S$29),1,0))</f>
        <v>0</v>
      </c>
      <c r="C196" s="9" t="str">
        <f t="shared" si="12"/>
        <v/>
      </c>
      <c r="D196" s="6">
        <f t="shared" si="13"/>
        <v>0</v>
      </c>
      <c r="E196" s="6">
        <f>IF(COUNTIF(I196:XFD196,"&gt;"&amp;0)=0,,HLOOKUP(COUNTIF(I196:XFD196,"&gt;"&amp;0)-1,I$1:XFD196,A196+1,FALSE))</f>
        <v>0</v>
      </c>
      <c r="F196" s="7">
        <f>IF(COUNTIF(I196:XFD196,"&gt;"&amp;0)=0,,HLOOKUP(COUNTIF(I196:XFD196,"&gt;"&amp;0)-MIN($F$1+1,COUNTIF(I196:XFD196,"&gt;"&amp;0)),I$1:XFD196,A196+1,FALSE))</f>
        <v>0</v>
      </c>
      <c r="G196" s="8">
        <f t="shared" si="14"/>
        <v>0</v>
      </c>
    </row>
    <row r="197" spans="1:7" x14ac:dyDescent="0.25">
      <c r="A197" s="9">
        <f t="shared" si="5"/>
        <v>196</v>
      </c>
      <c r="B197" s="9">
        <f t="array" ref="B197">IF(C197="",0,IF(OR(C197=Country_Comparison!$S$10:$S$29),1,0))</f>
        <v>0</v>
      </c>
      <c r="C197" s="9" t="str">
        <f t="shared" si="12"/>
        <v/>
      </c>
      <c r="D197" s="6">
        <f t="shared" si="13"/>
        <v>0</v>
      </c>
      <c r="E197" s="6">
        <f>IF(COUNTIF(I197:XFD197,"&gt;"&amp;0)=0,,HLOOKUP(COUNTIF(I197:XFD197,"&gt;"&amp;0)-1,I$1:XFD197,A197+1,FALSE))</f>
        <v>0</v>
      </c>
      <c r="F197" s="7">
        <f>IF(COUNTIF(I197:XFD197,"&gt;"&amp;0)=0,,HLOOKUP(COUNTIF(I197:XFD197,"&gt;"&amp;0)-MIN($F$1+1,COUNTIF(I197:XFD197,"&gt;"&amp;0)),I$1:XFD197,A197+1,FALSE))</f>
        <v>0</v>
      </c>
      <c r="G197" s="8">
        <f t="shared" si="14"/>
        <v>0</v>
      </c>
    </row>
    <row r="198" spans="1:7" x14ac:dyDescent="0.25">
      <c r="A198" s="9">
        <f t="shared" si="5"/>
        <v>197</v>
      </c>
      <c r="B198" s="9">
        <f t="array" ref="B198">IF(C198="",0,IF(OR(C198=Country_Comparison!$S$10:$S$29),1,0))</f>
        <v>0</v>
      </c>
      <c r="C198" s="9" t="str">
        <f t="shared" ref="C198:C200" si="15">IF(H198="","",H198)</f>
        <v/>
      </c>
      <c r="D198" s="6">
        <f t="shared" ref="D198:D200" si="16">MAX(I198:JF198)</f>
        <v>0</v>
      </c>
      <c r="E198" s="6">
        <f>IF(COUNTIF(I198:XFD198,"&gt;"&amp;0)=0,,HLOOKUP(COUNTIF(I198:XFD198,"&gt;"&amp;0)-1,I$1:XFD198,A198+1,FALSE))</f>
        <v>0</v>
      </c>
      <c r="F198" s="7">
        <f>IF(COUNTIF(I198:XFD198,"&gt;"&amp;0)=0,,HLOOKUP(COUNTIF(I198:XFD198,"&gt;"&amp;0)-MIN($F$1+1,COUNTIF(I198:XFD198,"&gt;"&amp;0)),I$1:XFD198,A198+1,FALSE))</f>
        <v>0</v>
      </c>
      <c r="G198" s="8">
        <f t="shared" ref="G198:G200" si="17">IF(COUNTIF(I198:XFD198,"&gt;"&amp;0)=0,,(E198/F198)^(1/MIN(COUNTIF(I198:XFD198,"&gt;"&amp;0)-1,$F$1)))</f>
        <v>0</v>
      </c>
    </row>
    <row r="199" spans="1:7" x14ac:dyDescent="0.25">
      <c r="A199" s="9">
        <f t="shared" si="5"/>
        <v>198</v>
      </c>
      <c r="B199" s="9">
        <f t="array" ref="B199">IF(C199="",0,IF(OR(C199=Country_Comparison!$S$10:$S$29),1,0))</f>
        <v>0</v>
      </c>
      <c r="C199" s="9" t="str">
        <f t="shared" si="15"/>
        <v/>
      </c>
      <c r="D199" s="6">
        <f t="shared" si="16"/>
        <v>0</v>
      </c>
      <c r="E199" s="6">
        <f>IF(COUNTIF(I199:XFD199,"&gt;"&amp;0)=0,,HLOOKUP(COUNTIF(I199:XFD199,"&gt;"&amp;0)-1,I$1:XFD199,A199+1,FALSE))</f>
        <v>0</v>
      </c>
      <c r="F199" s="7">
        <f>IF(COUNTIF(I199:XFD199,"&gt;"&amp;0)=0,,HLOOKUP(COUNTIF(I199:XFD199,"&gt;"&amp;0)-MIN($F$1+1,COUNTIF(I199:XFD199,"&gt;"&amp;0)),I$1:XFD199,A199+1,FALSE))</f>
        <v>0</v>
      </c>
      <c r="G199" s="8">
        <f t="shared" si="17"/>
        <v>0</v>
      </c>
    </row>
    <row r="200" spans="1:7" x14ac:dyDescent="0.25">
      <c r="A200" s="9">
        <f t="shared" si="5"/>
        <v>199</v>
      </c>
      <c r="B200" s="9">
        <f t="array" ref="B200">IF(C200="",0,IF(OR(C200=Country_Comparison!$S$10:$S$29),1,0))</f>
        <v>0</v>
      </c>
      <c r="C200" s="9" t="str">
        <f t="shared" si="15"/>
        <v/>
      </c>
      <c r="D200" s="6">
        <f t="shared" si="16"/>
        <v>0</v>
      </c>
      <c r="E200" s="6">
        <f>IF(COUNTIF(I200:XFD200,"&gt;"&amp;0)=0,,HLOOKUP(COUNTIF(I200:XFD200,"&gt;"&amp;0)-1,I$1:XFD200,A200+1,FALSE))</f>
        <v>0</v>
      </c>
      <c r="F200" s="7">
        <f>IF(COUNTIF(I200:XFD200,"&gt;"&amp;0)=0,,HLOOKUP(COUNTIF(I200:XFD200,"&gt;"&amp;0)-MIN($F$1+1,COUNTIF(I200:XFD200,"&gt;"&amp;0)),I$1:XFD200,A200+1,FALSE))</f>
        <v>0</v>
      </c>
      <c r="G200" s="8">
        <f t="shared" si="17"/>
        <v>0</v>
      </c>
    </row>
  </sheetData>
  <autoFilter ref="B1:CU1" xr:uid="{A13DDBA3-FED6-4D82-BBD5-9B71C68B67F1}">
    <sortState xmlns:xlrd2="http://schemas.microsoft.com/office/spreadsheetml/2017/richdata2" ref="B2:CU168">
      <sortCondition descending="1" ref="B1:B100"/>
    </sortState>
  </autoFilter>
  <pageMargins left="0.7" right="0.7" top="0.75" bottom="0.75" header="0.3" footer="0.3"/>
  <pageSetup orientation="portrait" horizontalDpi="360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DC6E1-F389-4666-9A65-98A5C0993681}">
  <sheetPr codeName="Sheet15">
    <tabColor rgb="FFFFC000"/>
  </sheetPr>
  <dimension ref="A1:KU200"/>
  <sheetViews>
    <sheetView workbookViewId="0">
      <selection activeCell="A5" sqref="A5:G5"/>
    </sheetView>
  </sheetViews>
  <sheetFormatPr defaultRowHeight="12" x14ac:dyDescent="0.25"/>
  <cols>
    <col min="1" max="1" width="3.33203125" style="9" bestFit="1" customWidth="1"/>
    <col min="2" max="2" width="6.77734375" style="9" bestFit="1" customWidth="1"/>
    <col min="3" max="3" width="17.33203125" style="9" bestFit="1" customWidth="1"/>
    <col min="4" max="6" width="12.33203125" style="10" bestFit="1" customWidth="1"/>
    <col min="7" max="7" width="6.109375" style="12" bestFit="1" customWidth="1"/>
    <col min="8" max="8" width="17.33203125" style="13" bestFit="1" customWidth="1"/>
    <col min="9" max="9" width="4" style="9" bestFit="1" customWidth="1"/>
    <col min="10" max="14" width="4.21875" style="9" bestFit="1" customWidth="1"/>
    <col min="15" max="20" width="5.5546875" style="9" bestFit="1" customWidth="1"/>
    <col min="21" max="26" width="6.33203125" style="9" bestFit="1" customWidth="1"/>
    <col min="27" max="31" width="7.21875" style="9" bestFit="1" customWidth="1"/>
    <col min="32" max="37" width="8.5546875" style="9" bestFit="1" customWidth="1"/>
    <col min="38" max="43" width="9.33203125" style="9" bestFit="1" customWidth="1"/>
    <col min="44" max="48" width="10.109375" style="9" bestFit="1" customWidth="1"/>
    <col min="49" max="54" width="11.44140625" style="9" bestFit="1" customWidth="1"/>
    <col min="55" max="60" width="12.33203125" style="9" bestFit="1" customWidth="1"/>
    <col min="61" max="65" width="5" style="9" bestFit="1" customWidth="1"/>
    <col min="66" max="99" width="4.88671875" style="9" bestFit="1" customWidth="1"/>
    <col min="100" max="16384" width="8.88671875" style="9"/>
  </cols>
  <sheetData>
    <row r="1" spans="1:307" x14ac:dyDescent="0.25">
      <c r="F1" s="11">
        <f>Projections_Data!C10</f>
        <v>5</v>
      </c>
      <c r="I1" s="14">
        <v>0</v>
      </c>
      <c r="J1" s="14">
        <f>I1+1</f>
        <v>1</v>
      </c>
      <c r="K1" s="14">
        <f t="shared" ref="K1:BV1" si="0">J1+1</f>
        <v>2</v>
      </c>
      <c r="L1" s="14">
        <f t="shared" si="0"/>
        <v>3</v>
      </c>
      <c r="M1" s="14">
        <f t="shared" si="0"/>
        <v>4</v>
      </c>
      <c r="N1" s="14">
        <f t="shared" si="0"/>
        <v>5</v>
      </c>
      <c r="O1" s="14">
        <f t="shared" si="0"/>
        <v>6</v>
      </c>
      <c r="P1" s="14">
        <f t="shared" si="0"/>
        <v>7</v>
      </c>
      <c r="Q1" s="14">
        <f t="shared" si="0"/>
        <v>8</v>
      </c>
      <c r="R1" s="14">
        <f t="shared" si="0"/>
        <v>9</v>
      </c>
      <c r="S1" s="14">
        <f t="shared" si="0"/>
        <v>10</v>
      </c>
      <c r="T1" s="14">
        <f t="shared" si="0"/>
        <v>11</v>
      </c>
      <c r="U1" s="14">
        <f t="shared" si="0"/>
        <v>12</v>
      </c>
      <c r="V1" s="14">
        <f t="shared" si="0"/>
        <v>13</v>
      </c>
      <c r="W1" s="14">
        <f t="shared" si="0"/>
        <v>14</v>
      </c>
      <c r="X1" s="14">
        <f t="shared" si="0"/>
        <v>15</v>
      </c>
      <c r="Y1" s="14">
        <f t="shared" si="0"/>
        <v>16</v>
      </c>
      <c r="Z1" s="14">
        <f t="shared" si="0"/>
        <v>17</v>
      </c>
      <c r="AA1" s="14">
        <f t="shared" si="0"/>
        <v>18</v>
      </c>
      <c r="AB1" s="14">
        <f t="shared" si="0"/>
        <v>19</v>
      </c>
      <c r="AC1" s="14">
        <f t="shared" si="0"/>
        <v>20</v>
      </c>
      <c r="AD1" s="14">
        <f t="shared" si="0"/>
        <v>21</v>
      </c>
      <c r="AE1" s="14">
        <f t="shared" si="0"/>
        <v>22</v>
      </c>
      <c r="AF1" s="14">
        <f t="shared" si="0"/>
        <v>23</v>
      </c>
      <c r="AG1" s="14">
        <f t="shared" si="0"/>
        <v>24</v>
      </c>
      <c r="AH1" s="14">
        <f t="shared" si="0"/>
        <v>25</v>
      </c>
      <c r="AI1" s="14">
        <f t="shared" si="0"/>
        <v>26</v>
      </c>
      <c r="AJ1" s="14">
        <f t="shared" si="0"/>
        <v>27</v>
      </c>
      <c r="AK1" s="14">
        <f t="shared" si="0"/>
        <v>28</v>
      </c>
      <c r="AL1" s="14">
        <f t="shared" si="0"/>
        <v>29</v>
      </c>
      <c r="AM1" s="14">
        <f t="shared" si="0"/>
        <v>30</v>
      </c>
      <c r="AN1" s="14">
        <f t="shared" si="0"/>
        <v>31</v>
      </c>
      <c r="AO1" s="14">
        <f t="shared" si="0"/>
        <v>32</v>
      </c>
      <c r="AP1" s="14">
        <f t="shared" si="0"/>
        <v>33</v>
      </c>
      <c r="AQ1" s="14">
        <f t="shared" si="0"/>
        <v>34</v>
      </c>
      <c r="AR1" s="14">
        <f t="shared" si="0"/>
        <v>35</v>
      </c>
      <c r="AS1" s="14">
        <f t="shared" si="0"/>
        <v>36</v>
      </c>
      <c r="AT1" s="14">
        <f t="shared" si="0"/>
        <v>37</v>
      </c>
      <c r="AU1" s="14">
        <f t="shared" si="0"/>
        <v>38</v>
      </c>
      <c r="AV1" s="14">
        <f t="shared" si="0"/>
        <v>39</v>
      </c>
      <c r="AW1" s="14">
        <f t="shared" si="0"/>
        <v>40</v>
      </c>
      <c r="AX1" s="14">
        <f t="shared" si="0"/>
        <v>41</v>
      </c>
      <c r="AY1" s="14">
        <f t="shared" si="0"/>
        <v>42</v>
      </c>
      <c r="AZ1" s="14">
        <f t="shared" si="0"/>
        <v>43</v>
      </c>
      <c r="BA1" s="14">
        <f t="shared" si="0"/>
        <v>44</v>
      </c>
      <c r="BB1" s="14">
        <f t="shared" si="0"/>
        <v>45</v>
      </c>
      <c r="BC1" s="14">
        <f t="shared" si="0"/>
        <v>46</v>
      </c>
      <c r="BD1" s="14">
        <f t="shared" si="0"/>
        <v>47</v>
      </c>
      <c r="BE1" s="14">
        <f t="shared" si="0"/>
        <v>48</v>
      </c>
      <c r="BF1" s="14">
        <f t="shared" si="0"/>
        <v>49</v>
      </c>
      <c r="BG1" s="14">
        <f t="shared" si="0"/>
        <v>50</v>
      </c>
      <c r="BH1" s="14">
        <f t="shared" si="0"/>
        <v>51</v>
      </c>
      <c r="BI1" s="14">
        <f t="shared" si="0"/>
        <v>52</v>
      </c>
      <c r="BJ1" s="14">
        <f t="shared" si="0"/>
        <v>53</v>
      </c>
      <c r="BK1" s="14">
        <f t="shared" si="0"/>
        <v>54</v>
      </c>
      <c r="BL1" s="14">
        <f t="shared" si="0"/>
        <v>55</v>
      </c>
      <c r="BM1" s="14">
        <f t="shared" si="0"/>
        <v>56</v>
      </c>
      <c r="BN1" s="14">
        <f t="shared" si="0"/>
        <v>57</v>
      </c>
      <c r="BO1" s="14">
        <f t="shared" si="0"/>
        <v>58</v>
      </c>
      <c r="BP1" s="14">
        <f t="shared" si="0"/>
        <v>59</v>
      </c>
      <c r="BQ1" s="14">
        <f t="shared" si="0"/>
        <v>60</v>
      </c>
      <c r="BR1" s="14">
        <f t="shared" si="0"/>
        <v>61</v>
      </c>
      <c r="BS1" s="14">
        <f t="shared" si="0"/>
        <v>62</v>
      </c>
      <c r="BT1" s="14">
        <f t="shared" si="0"/>
        <v>63</v>
      </c>
      <c r="BU1" s="14">
        <f t="shared" si="0"/>
        <v>64</v>
      </c>
      <c r="BV1" s="14">
        <f t="shared" si="0"/>
        <v>65</v>
      </c>
      <c r="BW1" s="14">
        <f t="shared" ref="BW1:EH1" si="1">BV1+1</f>
        <v>66</v>
      </c>
      <c r="BX1" s="14">
        <f t="shared" si="1"/>
        <v>67</v>
      </c>
      <c r="BY1" s="14">
        <f t="shared" si="1"/>
        <v>68</v>
      </c>
      <c r="BZ1" s="14">
        <f t="shared" si="1"/>
        <v>69</v>
      </c>
      <c r="CA1" s="14">
        <f t="shared" si="1"/>
        <v>70</v>
      </c>
      <c r="CB1" s="14">
        <f t="shared" si="1"/>
        <v>71</v>
      </c>
      <c r="CC1" s="14">
        <f t="shared" si="1"/>
        <v>72</v>
      </c>
      <c r="CD1" s="14">
        <f t="shared" si="1"/>
        <v>73</v>
      </c>
      <c r="CE1" s="14">
        <f t="shared" si="1"/>
        <v>74</v>
      </c>
      <c r="CF1" s="14">
        <f t="shared" si="1"/>
        <v>75</v>
      </c>
      <c r="CG1" s="14">
        <f t="shared" si="1"/>
        <v>76</v>
      </c>
      <c r="CH1" s="14">
        <f t="shared" si="1"/>
        <v>77</v>
      </c>
      <c r="CI1" s="14">
        <f t="shared" si="1"/>
        <v>78</v>
      </c>
      <c r="CJ1" s="14">
        <f t="shared" si="1"/>
        <v>79</v>
      </c>
      <c r="CK1" s="14">
        <f t="shared" si="1"/>
        <v>80</v>
      </c>
      <c r="CL1" s="14">
        <f t="shared" si="1"/>
        <v>81</v>
      </c>
      <c r="CM1" s="14">
        <f t="shared" si="1"/>
        <v>82</v>
      </c>
      <c r="CN1" s="14">
        <f t="shared" si="1"/>
        <v>83</v>
      </c>
      <c r="CO1" s="14">
        <f t="shared" si="1"/>
        <v>84</v>
      </c>
      <c r="CP1" s="14">
        <f t="shared" si="1"/>
        <v>85</v>
      </c>
      <c r="CQ1" s="14">
        <f t="shared" si="1"/>
        <v>86</v>
      </c>
      <c r="CR1" s="14">
        <f t="shared" si="1"/>
        <v>87</v>
      </c>
      <c r="CS1" s="14">
        <f t="shared" si="1"/>
        <v>88</v>
      </c>
      <c r="CT1" s="14">
        <f t="shared" si="1"/>
        <v>89</v>
      </c>
      <c r="CU1" s="14">
        <f t="shared" si="1"/>
        <v>90</v>
      </c>
      <c r="CV1" s="14">
        <f t="shared" si="1"/>
        <v>91</v>
      </c>
      <c r="CW1" s="14">
        <f t="shared" si="1"/>
        <v>92</v>
      </c>
      <c r="CX1" s="14">
        <f t="shared" si="1"/>
        <v>93</v>
      </c>
      <c r="CY1" s="14">
        <f t="shared" si="1"/>
        <v>94</v>
      </c>
      <c r="CZ1" s="14">
        <f t="shared" si="1"/>
        <v>95</v>
      </c>
      <c r="DA1" s="14">
        <f t="shared" si="1"/>
        <v>96</v>
      </c>
      <c r="DB1" s="14">
        <f t="shared" si="1"/>
        <v>97</v>
      </c>
      <c r="DC1" s="14">
        <f t="shared" si="1"/>
        <v>98</v>
      </c>
      <c r="DD1" s="14">
        <f t="shared" si="1"/>
        <v>99</v>
      </c>
      <c r="DE1" s="14">
        <f t="shared" si="1"/>
        <v>100</v>
      </c>
      <c r="DF1" s="14">
        <f t="shared" si="1"/>
        <v>101</v>
      </c>
      <c r="DG1" s="14">
        <f t="shared" si="1"/>
        <v>102</v>
      </c>
      <c r="DH1" s="14">
        <f t="shared" si="1"/>
        <v>103</v>
      </c>
      <c r="DI1" s="14">
        <f t="shared" si="1"/>
        <v>104</v>
      </c>
      <c r="DJ1" s="14">
        <f t="shared" si="1"/>
        <v>105</v>
      </c>
      <c r="DK1" s="14">
        <f t="shared" si="1"/>
        <v>106</v>
      </c>
      <c r="DL1" s="14">
        <f t="shared" si="1"/>
        <v>107</v>
      </c>
      <c r="DM1" s="14">
        <f t="shared" si="1"/>
        <v>108</v>
      </c>
      <c r="DN1" s="14">
        <f t="shared" si="1"/>
        <v>109</v>
      </c>
      <c r="DO1" s="14">
        <f t="shared" si="1"/>
        <v>110</v>
      </c>
      <c r="DP1" s="14">
        <f t="shared" si="1"/>
        <v>111</v>
      </c>
      <c r="DQ1" s="14">
        <f t="shared" si="1"/>
        <v>112</v>
      </c>
      <c r="DR1" s="14">
        <f t="shared" si="1"/>
        <v>113</v>
      </c>
      <c r="DS1" s="14">
        <f t="shared" si="1"/>
        <v>114</v>
      </c>
      <c r="DT1" s="14">
        <f t="shared" si="1"/>
        <v>115</v>
      </c>
      <c r="DU1" s="14">
        <f t="shared" si="1"/>
        <v>116</v>
      </c>
      <c r="DV1" s="14">
        <f t="shared" si="1"/>
        <v>117</v>
      </c>
      <c r="DW1" s="14">
        <f t="shared" si="1"/>
        <v>118</v>
      </c>
      <c r="DX1" s="14">
        <f t="shared" si="1"/>
        <v>119</v>
      </c>
      <c r="DY1" s="14">
        <f t="shared" si="1"/>
        <v>120</v>
      </c>
      <c r="DZ1" s="14">
        <f t="shared" si="1"/>
        <v>121</v>
      </c>
      <c r="EA1" s="14">
        <f t="shared" si="1"/>
        <v>122</v>
      </c>
      <c r="EB1" s="14">
        <f t="shared" si="1"/>
        <v>123</v>
      </c>
      <c r="EC1" s="14">
        <f t="shared" si="1"/>
        <v>124</v>
      </c>
      <c r="ED1" s="14">
        <f t="shared" si="1"/>
        <v>125</v>
      </c>
      <c r="EE1" s="14">
        <f t="shared" si="1"/>
        <v>126</v>
      </c>
      <c r="EF1" s="14">
        <f t="shared" si="1"/>
        <v>127</v>
      </c>
      <c r="EG1" s="14">
        <f t="shared" si="1"/>
        <v>128</v>
      </c>
      <c r="EH1" s="14">
        <f t="shared" si="1"/>
        <v>129</v>
      </c>
      <c r="EI1" s="14">
        <f t="shared" ref="EI1:GT1" si="2">EH1+1</f>
        <v>130</v>
      </c>
      <c r="EJ1" s="14">
        <f t="shared" si="2"/>
        <v>131</v>
      </c>
      <c r="EK1" s="14">
        <f t="shared" si="2"/>
        <v>132</v>
      </c>
      <c r="EL1" s="14">
        <f t="shared" si="2"/>
        <v>133</v>
      </c>
      <c r="EM1" s="14">
        <f t="shared" si="2"/>
        <v>134</v>
      </c>
      <c r="EN1" s="14">
        <f t="shared" si="2"/>
        <v>135</v>
      </c>
      <c r="EO1" s="14">
        <f t="shared" si="2"/>
        <v>136</v>
      </c>
      <c r="EP1" s="14">
        <f t="shared" si="2"/>
        <v>137</v>
      </c>
      <c r="EQ1" s="14">
        <f t="shared" si="2"/>
        <v>138</v>
      </c>
      <c r="ER1" s="14">
        <f t="shared" si="2"/>
        <v>139</v>
      </c>
      <c r="ES1" s="14">
        <f t="shared" si="2"/>
        <v>140</v>
      </c>
      <c r="ET1" s="14">
        <f t="shared" si="2"/>
        <v>141</v>
      </c>
      <c r="EU1" s="14">
        <f t="shared" si="2"/>
        <v>142</v>
      </c>
      <c r="EV1" s="14">
        <f t="shared" si="2"/>
        <v>143</v>
      </c>
      <c r="EW1" s="14">
        <f t="shared" si="2"/>
        <v>144</v>
      </c>
      <c r="EX1" s="14">
        <f t="shared" si="2"/>
        <v>145</v>
      </c>
      <c r="EY1" s="14">
        <f t="shared" si="2"/>
        <v>146</v>
      </c>
      <c r="EZ1" s="14">
        <f t="shared" si="2"/>
        <v>147</v>
      </c>
      <c r="FA1" s="14">
        <f t="shared" si="2"/>
        <v>148</v>
      </c>
      <c r="FB1" s="14">
        <f t="shared" si="2"/>
        <v>149</v>
      </c>
      <c r="FC1" s="14">
        <f t="shared" si="2"/>
        <v>150</v>
      </c>
      <c r="FD1" s="14">
        <f t="shared" si="2"/>
        <v>151</v>
      </c>
      <c r="FE1" s="14">
        <f t="shared" si="2"/>
        <v>152</v>
      </c>
      <c r="FF1" s="14">
        <f t="shared" si="2"/>
        <v>153</v>
      </c>
      <c r="FG1" s="14">
        <f t="shared" si="2"/>
        <v>154</v>
      </c>
      <c r="FH1" s="14">
        <f t="shared" si="2"/>
        <v>155</v>
      </c>
      <c r="FI1" s="14">
        <f t="shared" si="2"/>
        <v>156</v>
      </c>
      <c r="FJ1" s="14">
        <f t="shared" si="2"/>
        <v>157</v>
      </c>
      <c r="FK1" s="14">
        <f t="shared" si="2"/>
        <v>158</v>
      </c>
      <c r="FL1" s="14">
        <f t="shared" si="2"/>
        <v>159</v>
      </c>
      <c r="FM1" s="14">
        <f t="shared" si="2"/>
        <v>160</v>
      </c>
      <c r="FN1" s="14">
        <f t="shared" si="2"/>
        <v>161</v>
      </c>
      <c r="FO1" s="14">
        <f t="shared" si="2"/>
        <v>162</v>
      </c>
      <c r="FP1" s="14">
        <f t="shared" si="2"/>
        <v>163</v>
      </c>
      <c r="FQ1" s="14">
        <f t="shared" si="2"/>
        <v>164</v>
      </c>
      <c r="FR1" s="14">
        <f t="shared" si="2"/>
        <v>165</v>
      </c>
      <c r="FS1" s="14">
        <f t="shared" si="2"/>
        <v>166</v>
      </c>
      <c r="FT1" s="14">
        <f t="shared" si="2"/>
        <v>167</v>
      </c>
      <c r="FU1" s="14">
        <f t="shared" si="2"/>
        <v>168</v>
      </c>
      <c r="FV1" s="14">
        <f t="shared" si="2"/>
        <v>169</v>
      </c>
      <c r="FW1" s="14">
        <f t="shared" si="2"/>
        <v>170</v>
      </c>
      <c r="FX1" s="14">
        <f t="shared" si="2"/>
        <v>171</v>
      </c>
      <c r="FY1" s="14">
        <f t="shared" si="2"/>
        <v>172</v>
      </c>
      <c r="FZ1" s="14">
        <f t="shared" si="2"/>
        <v>173</v>
      </c>
      <c r="GA1" s="14">
        <f t="shared" si="2"/>
        <v>174</v>
      </c>
      <c r="GB1" s="14">
        <f t="shared" si="2"/>
        <v>175</v>
      </c>
      <c r="GC1" s="14">
        <f t="shared" si="2"/>
        <v>176</v>
      </c>
      <c r="GD1" s="14">
        <f t="shared" si="2"/>
        <v>177</v>
      </c>
      <c r="GE1" s="14">
        <f t="shared" si="2"/>
        <v>178</v>
      </c>
      <c r="GF1" s="14">
        <f t="shared" si="2"/>
        <v>179</v>
      </c>
      <c r="GG1" s="14">
        <f t="shared" si="2"/>
        <v>180</v>
      </c>
      <c r="GH1" s="14">
        <f t="shared" si="2"/>
        <v>181</v>
      </c>
      <c r="GI1" s="14">
        <f t="shared" si="2"/>
        <v>182</v>
      </c>
      <c r="GJ1" s="14">
        <f t="shared" si="2"/>
        <v>183</v>
      </c>
      <c r="GK1" s="14">
        <f t="shared" si="2"/>
        <v>184</v>
      </c>
      <c r="GL1" s="14">
        <f t="shared" si="2"/>
        <v>185</v>
      </c>
      <c r="GM1" s="14">
        <f t="shared" si="2"/>
        <v>186</v>
      </c>
      <c r="GN1" s="14">
        <f t="shared" si="2"/>
        <v>187</v>
      </c>
      <c r="GO1" s="14">
        <f t="shared" si="2"/>
        <v>188</v>
      </c>
      <c r="GP1" s="14">
        <f t="shared" si="2"/>
        <v>189</v>
      </c>
      <c r="GQ1" s="14">
        <f t="shared" si="2"/>
        <v>190</v>
      </c>
      <c r="GR1" s="14">
        <f t="shared" si="2"/>
        <v>191</v>
      </c>
      <c r="GS1" s="14">
        <f t="shared" si="2"/>
        <v>192</v>
      </c>
      <c r="GT1" s="14">
        <f t="shared" si="2"/>
        <v>193</v>
      </c>
      <c r="GU1" s="14">
        <f t="shared" ref="GU1:JF1" si="3">GT1+1</f>
        <v>194</v>
      </c>
      <c r="GV1" s="14">
        <f t="shared" si="3"/>
        <v>195</v>
      </c>
      <c r="GW1" s="14">
        <f t="shared" si="3"/>
        <v>196</v>
      </c>
      <c r="GX1" s="14">
        <f t="shared" si="3"/>
        <v>197</v>
      </c>
      <c r="GY1" s="14">
        <f t="shared" si="3"/>
        <v>198</v>
      </c>
      <c r="GZ1" s="14">
        <f t="shared" si="3"/>
        <v>199</v>
      </c>
      <c r="HA1" s="14">
        <f t="shared" si="3"/>
        <v>200</v>
      </c>
      <c r="HB1" s="14">
        <f t="shared" si="3"/>
        <v>201</v>
      </c>
      <c r="HC1" s="14">
        <f t="shared" si="3"/>
        <v>202</v>
      </c>
      <c r="HD1" s="14">
        <f t="shared" si="3"/>
        <v>203</v>
      </c>
      <c r="HE1" s="14">
        <f t="shared" si="3"/>
        <v>204</v>
      </c>
      <c r="HF1" s="14">
        <f t="shared" si="3"/>
        <v>205</v>
      </c>
      <c r="HG1" s="14">
        <f t="shared" si="3"/>
        <v>206</v>
      </c>
      <c r="HH1" s="14">
        <f t="shared" si="3"/>
        <v>207</v>
      </c>
      <c r="HI1" s="14">
        <f t="shared" si="3"/>
        <v>208</v>
      </c>
      <c r="HJ1" s="14">
        <f t="shared" si="3"/>
        <v>209</v>
      </c>
      <c r="HK1" s="14">
        <f t="shared" si="3"/>
        <v>210</v>
      </c>
      <c r="HL1" s="14">
        <f t="shared" si="3"/>
        <v>211</v>
      </c>
      <c r="HM1" s="14">
        <f t="shared" si="3"/>
        <v>212</v>
      </c>
      <c r="HN1" s="14">
        <f t="shared" si="3"/>
        <v>213</v>
      </c>
      <c r="HO1" s="14">
        <f t="shared" si="3"/>
        <v>214</v>
      </c>
      <c r="HP1" s="14">
        <f t="shared" si="3"/>
        <v>215</v>
      </c>
      <c r="HQ1" s="14">
        <f t="shared" si="3"/>
        <v>216</v>
      </c>
      <c r="HR1" s="14">
        <f t="shared" si="3"/>
        <v>217</v>
      </c>
      <c r="HS1" s="14">
        <f t="shared" si="3"/>
        <v>218</v>
      </c>
      <c r="HT1" s="14">
        <f t="shared" si="3"/>
        <v>219</v>
      </c>
      <c r="HU1" s="14">
        <f t="shared" si="3"/>
        <v>220</v>
      </c>
      <c r="HV1" s="14">
        <f t="shared" si="3"/>
        <v>221</v>
      </c>
      <c r="HW1" s="14">
        <f t="shared" si="3"/>
        <v>222</v>
      </c>
      <c r="HX1" s="14">
        <f t="shared" si="3"/>
        <v>223</v>
      </c>
      <c r="HY1" s="14">
        <f t="shared" si="3"/>
        <v>224</v>
      </c>
      <c r="HZ1" s="14">
        <f t="shared" si="3"/>
        <v>225</v>
      </c>
      <c r="IA1" s="14">
        <f t="shared" si="3"/>
        <v>226</v>
      </c>
      <c r="IB1" s="14">
        <f t="shared" si="3"/>
        <v>227</v>
      </c>
      <c r="IC1" s="14">
        <f t="shared" si="3"/>
        <v>228</v>
      </c>
      <c r="ID1" s="14">
        <f t="shared" si="3"/>
        <v>229</v>
      </c>
      <c r="IE1" s="14">
        <f t="shared" si="3"/>
        <v>230</v>
      </c>
      <c r="IF1" s="14">
        <f t="shared" si="3"/>
        <v>231</v>
      </c>
      <c r="IG1" s="14">
        <f t="shared" si="3"/>
        <v>232</v>
      </c>
      <c r="IH1" s="14">
        <f t="shared" si="3"/>
        <v>233</v>
      </c>
      <c r="II1" s="14">
        <f t="shared" si="3"/>
        <v>234</v>
      </c>
      <c r="IJ1" s="14">
        <f t="shared" si="3"/>
        <v>235</v>
      </c>
      <c r="IK1" s="14">
        <f t="shared" si="3"/>
        <v>236</v>
      </c>
      <c r="IL1" s="14">
        <f t="shared" si="3"/>
        <v>237</v>
      </c>
      <c r="IM1" s="14">
        <f t="shared" si="3"/>
        <v>238</v>
      </c>
      <c r="IN1" s="14">
        <f t="shared" si="3"/>
        <v>239</v>
      </c>
      <c r="IO1" s="14">
        <f t="shared" si="3"/>
        <v>240</v>
      </c>
      <c r="IP1" s="14">
        <f t="shared" si="3"/>
        <v>241</v>
      </c>
      <c r="IQ1" s="14">
        <f t="shared" si="3"/>
        <v>242</v>
      </c>
      <c r="IR1" s="14">
        <f t="shared" si="3"/>
        <v>243</v>
      </c>
      <c r="IS1" s="14">
        <f t="shared" si="3"/>
        <v>244</v>
      </c>
      <c r="IT1" s="14">
        <f t="shared" si="3"/>
        <v>245</v>
      </c>
      <c r="IU1" s="14">
        <f t="shared" si="3"/>
        <v>246</v>
      </c>
      <c r="IV1" s="14">
        <f t="shared" si="3"/>
        <v>247</v>
      </c>
      <c r="IW1" s="14">
        <f t="shared" si="3"/>
        <v>248</v>
      </c>
      <c r="IX1" s="14">
        <f t="shared" si="3"/>
        <v>249</v>
      </c>
      <c r="IY1" s="14">
        <f t="shared" si="3"/>
        <v>250</v>
      </c>
      <c r="IZ1" s="14">
        <f t="shared" si="3"/>
        <v>251</v>
      </c>
      <c r="JA1" s="14">
        <f t="shared" si="3"/>
        <v>252</v>
      </c>
      <c r="JB1" s="14">
        <f t="shared" si="3"/>
        <v>253</v>
      </c>
      <c r="JC1" s="14">
        <f t="shared" si="3"/>
        <v>254</v>
      </c>
      <c r="JD1" s="14">
        <f t="shared" si="3"/>
        <v>255</v>
      </c>
      <c r="JE1" s="14">
        <f t="shared" si="3"/>
        <v>256</v>
      </c>
      <c r="JF1" s="14">
        <f t="shared" si="3"/>
        <v>257</v>
      </c>
      <c r="JG1" s="14">
        <f t="shared" ref="JG1:KU1" si="4">JF1+1</f>
        <v>258</v>
      </c>
      <c r="JH1" s="14">
        <f t="shared" si="4"/>
        <v>259</v>
      </c>
      <c r="JI1" s="14">
        <f t="shared" si="4"/>
        <v>260</v>
      </c>
      <c r="JJ1" s="14">
        <f t="shared" si="4"/>
        <v>261</v>
      </c>
      <c r="JK1" s="14">
        <f t="shared" si="4"/>
        <v>262</v>
      </c>
      <c r="JL1" s="14">
        <f t="shared" si="4"/>
        <v>263</v>
      </c>
      <c r="JM1" s="14">
        <f t="shared" si="4"/>
        <v>264</v>
      </c>
      <c r="JN1" s="14">
        <f t="shared" si="4"/>
        <v>265</v>
      </c>
      <c r="JO1" s="14">
        <f t="shared" si="4"/>
        <v>266</v>
      </c>
      <c r="JP1" s="14">
        <f t="shared" si="4"/>
        <v>267</v>
      </c>
      <c r="JQ1" s="14">
        <f t="shared" si="4"/>
        <v>268</v>
      </c>
      <c r="JR1" s="14">
        <f t="shared" si="4"/>
        <v>269</v>
      </c>
      <c r="JS1" s="14">
        <f t="shared" si="4"/>
        <v>270</v>
      </c>
      <c r="JT1" s="14">
        <f t="shared" si="4"/>
        <v>271</v>
      </c>
      <c r="JU1" s="14">
        <f t="shared" si="4"/>
        <v>272</v>
      </c>
      <c r="JV1" s="14">
        <f t="shared" si="4"/>
        <v>273</v>
      </c>
      <c r="JW1" s="14">
        <f t="shared" si="4"/>
        <v>274</v>
      </c>
      <c r="JX1" s="14">
        <f t="shared" si="4"/>
        <v>275</v>
      </c>
      <c r="JY1" s="14">
        <f t="shared" si="4"/>
        <v>276</v>
      </c>
      <c r="JZ1" s="14">
        <f t="shared" si="4"/>
        <v>277</v>
      </c>
      <c r="KA1" s="14">
        <f t="shared" si="4"/>
        <v>278</v>
      </c>
      <c r="KB1" s="14">
        <f t="shared" si="4"/>
        <v>279</v>
      </c>
      <c r="KC1" s="14">
        <f t="shared" si="4"/>
        <v>280</v>
      </c>
      <c r="KD1" s="14">
        <f t="shared" si="4"/>
        <v>281</v>
      </c>
      <c r="KE1" s="14">
        <f t="shared" si="4"/>
        <v>282</v>
      </c>
      <c r="KF1" s="14">
        <f t="shared" si="4"/>
        <v>283</v>
      </c>
      <c r="KG1" s="14">
        <f t="shared" si="4"/>
        <v>284</v>
      </c>
      <c r="KH1" s="14">
        <f t="shared" si="4"/>
        <v>285</v>
      </c>
      <c r="KI1" s="14">
        <f t="shared" si="4"/>
        <v>286</v>
      </c>
      <c r="KJ1" s="14">
        <f t="shared" si="4"/>
        <v>287</v>
      </c>
      <c r="KK1" s="14">
        <f t="shared" si="4"/>
        <v>288</v>
      </c>
      <c r="KL1" s="14">
        <f t="shared" si="4"/>
        <v>289</v>
      </c>
      <c r="KM1" s="14">
        <f t="shared" si="4"/>
        <v>290</v>
      </c>
      <c r="KN1" s="14">
        <f t="shared" si="4"/>
        <v>291</v>
      </c>
      <c r="KO1" s="14">
        <f t="shared" si="4"/>
        <v>292</v>
      </c>
      <c r="KP1" s="14">
        <f t="shared" si="4"/>
        <v>293</v>
      </c>
      <c r="KQ1" s="14">
        <f t="shared" si="4"/>
        <v>294</v>
      </c>
      <c r="KR1" s="14">
        <f t="shared" si="4"/>
        <v>295</v>
      </c>
      <c r="KS1" s="14">
        <f t="shared" si="4"/>
        <v>296</v>
      </c>
      <c r="KT1" s="14">
        <f t="shared" si="4"/>
        <v>297</v>
      </c>
      <c r="KU1" s="14">
        <f t="shared" si="4"/>
        <v>298</v>
      </c>
    </row>
    <row r="2" spans="1:307" x14ac:dyDescent="0.25">
      <c r="A2" s="9">
        <f>A1+1</f>
        <v>1</v>
      </c>
      <c r="B2" s="9">
        <v>1</v>
      </c>
      <c r="C2" s="9" t="str">
        <f>H2</f>
        <v>50% Daily Increase</v>
      </c>
      <c r="D2" s="6">
        <f>MAX(I2:CL2)</f>
        <v>9564322503.210743</v>
      </c>
      <c r="E2" s="6">
        <f>IF(COUNTIF(I2:XFD2,"&gt;"&amp;0)=0,,HLOOKUP(COUNTIF(I2:XFD2,"&gt;"&amp;0)-1,I$1:XFD2,A2+1,FALSE))</f>
        <v>9564322503.210743</v>
      </c>
      <c r="F2" s="7">
        <f>IF(COUNTIF(I2:XFD2,"&gt;"&amp;0)=0,,HLOOKUP(COUNTIF(I2:XFD2,"&gt;"&amp;0)-MIN($F$1+1,COUNTIF(I2:XFD2,"&gt;"&amp;0)),I$1:XFD2,A2+1,FALSE))</f>
        <v>1259499259.6820731</v>
      </c>
      <c r="G2" s="8">
        <f>IF(COUNTIF(I2:XFD2,"&gt;"&amp;0)=0,,(E2/F2)^(1/MIN(COUNTIF(I2:XFD2,"&gt;"&amp;0)-1,$F$1)))</f>
        <v>1.5</v>
      </c>
      <c r="H2" s="15" t="s">
        <v>430</v>
      </c>
      <c r="I2" s="9">
        <v>10</v>
      </c>
      <c r="J2" s="10">
        <f>I2*1.5</f>
        <v>15</v>
      </c>
      <c r="K2" s="10">
        <f>J2*1.5</f>
        <v>22.5</v>
      </c>
      <c r="L2" s="10">
        <f>K2*1.5</f>
        <v>33.75</v>
      </c>
      <c r="M2" s="10">
        <f>L2*1.5</f>
        <v>50.625</v>
      </c>
      <c r="N2" s="10">
        <f>M2*1.5</f>
        <v>75.9375</v>
      </c>
      <c r="O2" s="10">
        <f>N2*1.5</f>
        <v>113.90625</v>
      </c>
      <c r="P2" s="10">
        <f>O2*1.5</f>
        <v>170.859375</v>
      </c>
      <c r="Q2" s="10">
        <f>P2*1.5</f>
        <v>256.2890625</v>
      </c>
      <c r="R2" s="10">
        <f>Q2*1.5</f>
        <v>384.43359375</v>
      </c>
      <c r="S2" s="10">
        <f>R2*1.5</f>
        <v>576.650390625</v>
      </c>
      <c r="T2" s="10">
        <f>S2*1.5</f>
        <v>864.9755859375</v>
      </c>
      <c r="U2" s="10">
        <f>T2*1.5</f>
        <v>1297.46337890625</v>
      </c>
      <c r="V2" s="10">
        <f>U2*1.5</f>
        <v>1946.195068359375</v>
      </c>
      <c r="W2" s="10">
        <f>V2*1.5</f>
        <v>2919.2926025390625</v>
      </c>
      <c r="X2" s="10">
        <f>W2*1.5</f>
        <v>4378.9389038085938</v>
      </c>
      <c r="Y2" s="10">
        <f>X2*1.5</f>
        <v>6568.4083557128906</v>
      </c>
      <c r="Z2" s="10">
        <f>Y2*1.5</f>
        <v>9852.6125335693359</v>
      </c>
      <c r="AA2" s="10">
        <f>Z2*1.5</f>
        <v>14778.918800354004</v>
      </c>
      <c r="AB2" s="10">
        <f>AA2*1.5</f>
        <v>22168.378200531006</v>
      </c>
      <c r="AC2" s="10">
        <f>AB2*1.5</f>
        <v>33252.567300796509</v>
      </c>
      <c r="AD2" s="10">
        <f>AC2*1.5</f>
        <v>49878.850951194763</v>
      </c>
      <c r="AE2" s="10">
        <f>AD2*1.5</f>
        <v>74818.276426792145</v>
      </c>
      <c r="AF2" s="10">
        <f>AE2*1.5</f>
        <v>112227.41464018822</v>
      </c>
      <c r="AG2" s="10">
        <f>AF2*1.5</f>
        <v>168341.12196028233</v>
      </c>
      <c r="AH2" s="10">
        <f>AG2*1.5</f>
        <v>252511.68294042349</v>
      </c>
      <c r="AI2" s="10">
        <f>AH2*1.5</f>
        <v>378767.52441063523</v>
      </c>
      <c r="AJ2" s="10">
        <f>AI2*1.5</f>
        <v>568151.28661595285</v>
      </c>
      <c r="AK2" s="10">
        <f>AJ2*1.5</f>
        <v>852226.92992392927</v>
      </c>
      <c r="AL2" s="10">
        <f>AK2*1.5</f>
        <v>1278340.3948858939</v>
      </c>
      <c r="AM2" s="10">
        <f>AL2*1.5</f>
        <v>1917510.5923288409</v>
      </c>
      <c r="AN2" s="10">
        <f>AM2*1.5</f>
        <v>2876265.8884932613</v>
      </c>
      <c r="AO2" s="10">
        <f>AN2*1.5</f>
        <v>4314398.8327398915</v>
      </c>
      <c r="AP2" s="10">
        <f>AO2*1.5</f>
        <v>6471598.2491098372</v>
      </c>
      <c r="AQ2" s="10">
        <f>AP2*1.5</f>
        <v>9707397.3736647554</v>
      </c>
      <c r="AR2" s="10">
        <f>AQ2*1.5</f>
        <v>14561096.060497133</v>
      </c>
      <c r="AS2" s="10">
        <f>AR2*1.5</f>
        <v>21841644.090745699</v>
      </c>
      <c r="AT2" s="10">
        <f>AS2*1.5</f>
        <v>32762466.136118546</v>
      </c>
      <c r="AU2" s="10">
        <f>AT2*1.5</f>
        <v>49143699.204177819</v>
      </c>
      <c r="AV2" s="10">
        <f>AU2*1.5</f>
        <v>73715548.806266725</v>
      </c>
      <c r="AW2" s="10">
        <f>AV2*1.5</f>
        <v>110573323.20940009</v>
      </c>
      <c r="AX2" s="10">
        <f>AW2*1.5</f>
        <v>165859984.81410015</v>
      </c>
      <c r="AY2" s="10">
        <f>AX2*1.5</f>
        <v>248789977.22115022</v>
      </c>
      <c r="AZ2" s="10">
        <f>AY2*1.5</f>
        <v>373184965.83172536</v>
      </c>
      <c r="BA2" s="10">
        <f>AZ2*1.5</f>
        <v>559777448.74758804</v>
      </c>
      <c r="BB2" s="10">
        <f>BA2*1.5</f>
        <v>839666173.121382</v>
      </c>
      <c r="BC2" s="10">
        <f>BB2*1.5</f>
        <v>1259499259.6820731</v>
      </c>
      <c r="BD2" s="10">
        <f>BC2*1.5</f>
        <v>1889248889.5231097</v>
      </c>
      <c r="BE2" s="10">
        <f>BD2*1.5</f>
        <v>2833873334.2846646</v>
      </c>
      <c r="BF2" s="10">
        <f>BE2*1.5</f>
        <v>4250810001.4269972</v>
      </c>
      <c r="BG2" s="10">
        <f>BF2*1.5</f>
        <v>6376215002.1404953</v>
      </c>
      <c r="BH2" s="10">
        <f>BG2*1.5</f>
        <v>9564322503.210743</v>
      </c>
    </row>
    <row r="3" spans="1:307" x14ac:dyDescent="0.25">
      <c r="A3" s="9">
        <f>A2+1</f>
        <v>2</v>
      </c>
      <c r="B3" s="9">
        <v>1</v>
      </c>
      <c r="C3" s="9" t="str">
        <f>H3</f>
        <v>40% Daily Increase</v>
      </c>
      <c r="D3" s="6">
        <f>MAX(I3:CL3)</f>
        <v>283484827.35670036</v>
      </c>
      <c r="E3" s="6">
        <f>IF(COUNTIF(I3:XFD3,"&gt;"&amp;0)=0,,HLOOKUP(COUNTIF(I3:XFD3,"&gt;"&amp;0)-1,I$1:XFD3,A3+1,FALSE))</f>
        <v>283484827.35670036</v>
      </c>
      <c r="F3" s="7">
        <f>IF(COUNTIF(I3:XFD3,"&gt;"&amp;0)=0,,HLOOKUP(COUNTIF(I3:XFD3,"&gt;"&amp;0)-MIN($F$1+1,COUNTIF(I3:XFD3,"&gt;"&amp;0)),I$1:XFD3,A3+1,FALSE))</f>
        <v>52709590.378395244</v>
      </c>
      <c r="G3" s="8">
        <f>IF(COUNTIF(I3:XFD3,"&gt;"&amp;0)=0,,(E3/F3)^(1/MIN(COUNTIF(I3:XFD3,"&gt;"&amp;0)-1,$F$1)))</f>
        <v>1.4</v>
      </c>
      <c r="H3" s="15" t="s">
        <v>431</v>
      </c>
      <c r="I3" s="9">
        <v>10</v>
      </c>
      <c r="J3" s="10">
        <f>I3*1.4</f>
        <v>14</v>
      </c>
      <c r="K3" s="10">
        <f>J3*1.4</f>
        <v>19.599999999999998</v>
      </c>
      <c r="L3" s="10">
        <f>K3*1.4</f>
        <v>27.439999999999994</v>
      </c>
      <c r="M3" s="10">
        <f>L3*1.4</f>
        <v>38.41599999999999</v>
      </c>
      <c r="N3" s="10">
        <f>M3*1.4</f>
        <v>53.782399999999981</v>
      </c>
      <c r="O3" s="10">
        <f>N3*1.4</f>
        <v>75.295359999999974</v>
      </c>
      <c r="P3" s="10">
        <f>O3*1.4</f>
        <v>105.41350399999996</v>
      </c>
      <c r="Q3" s="10">
        <f>P3*1.4</f>
        <v>147.57890559999993</v>
      </c>
      <c r="R3" s="10">
        <f>Q3*1.4</f>
        <v>206.6104678399999</v>
      </c>
      <c r="S3" s="10">
        <f>R3*1.4</f>
        <v>289.25465497599981</v>
      </c>
      <c r="T3" s="10">
        <f>S3*1.4</f>
        <v>404.9565169663997</v>
      </c>
      <c r="U3" s="10">
        <f>T3*1.4</f>
        <v>566.93912375295952</v>
      </c>
      <c r="V3" s="10">
        <f>U3*1.4</f>
        <v>793.71477325414332</v>
      </c>
      <c r="W3" s="10">
        <f>V3*1.4</f>
        <v>1111.2006825558005</v>
      </c>
      <c r="X3" s="10">
        <f>W3*1.4</f>
        <v>1555.6809555781206</v>
      </c>
      <c r="Y3" s="10">
        <f>X3*1.4</f>
        <v>2177.9533378093688</v>
      </c>
      <c r="Z3" s="10">
        <f>Y3*1.4</f>
        <v>3049.1346729331162</v>
      </c>
      <c r="AA3" s="10">
        <f>Z3*1.4</f>
        <v>4268.7885421063629</v>
      </c>
      <c r="AB3" s="10">
        <f>AA3*1.4</f>
        <v>5976.3039589489081</v>
      </c>
      <c r="AC3" s="10">
        <f>AB3*1.4</f>
        <v>8366.8255425284715</v>
      </c>
      <c r="AD3" s="10">
        <f>AC3*1.4</f>
        <v>11713.555759539859</v>
      </c>
      <c r="AE3" s="10">
        <f>AD3*1.4</f>
        <v>16398.9780633558</v>
      </c>
      <c r="AF3" s="10">
        <f>AE3*1.4</f>
        <v>22958.56928869812</v>
      </c>
      <c r="AG3" s="10">
        <f>AF3*1.4</f>
        <v>32141.997004177367</v>
      </c>
      <c r="AH3" s="10">
        <f>AG3*1.4</f>
        <v>44998.795805848313</v>
      </c>
      <c r="AI3" s="10">
        <f>AH3*1.4</f>
        <v>62998.314128187631</v>
      </c>
      <c r="AJ3" s="10">
        <f>AI3*1.4</f>
        <v>88197.639779462683</v>
      </c>
      <c r="AK3" s="10">
        <f>AJ3*1.4</f>
        <v>123476.69569124775</v>
      </c>
      <c r="AL3" s="10">
        <f>AK3*1.4</f>
        <v>172867.37396774683</v>
      </c>
      <c r="AM3" s="10">
        <f>AL3*1.4</f>
        <v>242014.32355484553</v>
      </c>
      <c r="AN3" s="10">
        <f>AM3*1.4</f>
        <v>338820.05297678371</v>
      </c>
      <c r="AO3" s="10">
        <f>AN3*1.4</f>
        <v>474348.07416749717</v>
      </c>
      <c r="AP3" s="10">
        <f>AO3*1.4</f>
        <v>664087.30383449595</v>
      </c>
      <c r="AQ3" s="10">
        <f>AP3*1.4</f>
        <v>929722.22536829428</v>
      </c>
      <c r="AR3" s="10">
        <f>AQ3*1.4</f>
        <v>1301611.1155156118</v>
      </c>
      <c r="AS3" s="10">
        <f>AR3*1.4</f>
        <v>1822255.5617218565</v>
      </c>
      <c r="AT3" s="10">
        <f>AS3*1.4</f>
        <v>2551157.786410599</v>
      </c>
      <c r="AU3" s="10">
        <f>AT3*1.4</f>
        <v>3571620.9009748385</v>
      </c>
      <c r="AV3" s="10">
        <f>AU3*1.4</f>
        <v>5000269.2613647738</v>
      </c>
      <c r="AW3" s="10">
        <f>AV3*1.4</f>
        <v>7000376.9659106834</v>
      </c>
      <c r="AX3" s="10">
        <f>AW3*1.4</f>
        <v>9800527.7522749566</v>
      </c>
      <c r="AY3" s="10">
        <f>AX3*1.4</f>
        <v>13720738.853184938</v>
      </c>
      <c r="AZ3" s="10">
        <f>AY3*1.4</f>
        <v>19209034.394458912</v>
      </c>
      <c r="BA3" s="10">
        <f>AZ3*1.4</f>
        <v>26892648.152242474</v>
      </c>
      <c r="BB3" s="10">
        <f>BA3*1.4</f>
        <v>37649707.413139462</v>
      </c>
      <c r="BC3" s="10">
        <f>BB3*1.4</f>
        <v>52709590.378395244</v>
      </c>
      <c r="BD3" s="10">
        <f>BC3*1.4</f>
        <v>73793426.529753342</v>
      </c>
      <c r="BE3" s="10">
        <f>BD3*1.4</f>
        <v>103310797.14165467</v>
      </c>
      <c r="BF3" s="10">
        <f>BE3*1.4</f>
        <v>144635115.99831653</v>
      </c>
      <c r="BG3" s="10">
        <f>BF3*1.4</f>
        <v>202489162.39764312</v>
      </c>
      <c r="BH3" s="10">
        <f>BG3*1.4</f>
        <v>283484827.35670036</v>
      </c>
    </row>
    <row r="4" spans="1:307" x14ac:dyDescent="0.25">
      <c r="A4" s="9">
        <f>A3+1</f>
        <v>3</v>
      </c>
      <c r="B4" s="9">
        <v>1</v>
      </c>
      <c r="C4" s="9" t="str">
        <f>H4</f>
        <v>30% Daily Increase</v>
      </c>
      <c r="D4" s="6">
        <f>MAX(I4:CL4)</f>
        <v>6473079.8987286668</v>
      </c>
      <c r="E4" s="6">
        <f>IF(COUNTIF(I4:XFD4,"&gt;"&amp;0)=0,,HLOOKUP(COUNTIF(I4:XFD4,"&gt;"&amp;0)-1,I$1:XFD4,A4+1,FALSE))</f>
        <v>6473079.8987286668</v>
      </c>
      <c r="F4" s="7">
        <f>IF(COUNTIF(I4:XFD4,"&gt;"&amp;0)=0,,HLOOKUP(COUNTIF(I4:XFD4,"&gt;"&amp;0)-MIN($F$1+1,COUNTIF(I4:XFD4,"&gt;"&amp;0)),I$1:XFD4,A4+1,FALSE))</f>
        <v>1743388.6172722527</v>
      </c>
      <c r="G4" s="8">
        <f>IF(COUNTIF(I4:XFD4,"&gt;"&amp;0)=0,,(E4/F4)^(1/MIN(COUNTIF(I4:XFD4,"&gt;"&amp;0)-1,$F$1)))</f>
        <v>1.3</v>
      </c>
      <c r="H4" s="15" t="s">
        <v>432</v>
      </c>
      <c r="I4" s="9">
        <v>10</v>
      </c>
      <c r="J4" s="10">
        <f>I4*1.3</f>
        <v>13</v>
      </c>
      <c r="K4" s="10">
        <f>J4*1.3</f>
        <v>16.900000000000002</v>
      </c>
      <c r="L4" s="10">
        <f>K4*1.3</f>
        <v>21.970000000000002</v>
      </c>
      <c r="M4" s="10">
        <f>L4*1.3</f>
        <v>28.561000000000003</v>
      </c>
      <c r="N4" s="10">
        <f>M4*1.3</f>
        <v>37.129300000000008</v>
      </c>
      <c r="O4" s="10">
        <f>N4*1.3</f>
        <v>48.268090000000015</v>
      </c>
      <c r="P4" s="10">
        <f>O4*1.3</f>
        <v>62.748517000000021</v>
      </c>
      <c r="Q4" s="10">
        <f>P4*1.3</f>
        <v>81.573072100000033</v>
      </c>
      <c r="R4" s="10">
        <f>Q4*1.3</f>
        <v>106.04499373000004</v>
      </c>
      <c r="S4" s="10">
        <f>R4*1.3</f>
        <v>137.85849184900007</v>
      </c>
      <c r="T4" s="10">
        <f>S4*1.3</f>
        <v>179.21603940370011</v>
      </c>
      <c r="U4" s="10">
        <f>T4*1.3</f>
        <v>232.98085122481015</v>
      </c>
      <c r="V4" s="10">
        <f>U4*1.3</f>
        <v>302.87510659225319</v>
      </c>
      <c r="W4" s="10">
        <f>V4*1.3</f>
        <v>393.73763856992917</v>
      </c>
      <c r="X4" s="10">
        <f>W4*1.3</f>
        <v>511.85893014090794</v>
      </c>
      <c r="Y4" s="10">
        <f>X4*1.3</f>
        <v>665.4166091831803</v>
      </c>
      <c r="Z4" s="10">
        <f>Y4*1.3</f>
        <v>865.04159193813439</v>
      </c>
      <c r="AA4" s="10">
        <f>Z4*1.3</f>
        <v>1124.5540695195748</v>
      </c>
      <c r="AB4" s="10">
        <f>AA4*1.3</f>
        <v>1461.9202903754474</v>
      </c>
      <c r="AC4" s="10">
        <f>AB4*1.3</f>
        <v>1900.4963774880816</v>
      </c>
      <c r="AD4" s="10">
        <f>AC4*1.3</f>
        <v>2470.645290734506</v>
      </c>
      <c r="AE4" s="10">
        <f>AD4*1.3</f>
        <v>3211.8388779548582</v>
      </c>
      <c r="AF4" s="10">
        <f>AE4*1.3</f>
        <v>4175.3905413413158</v>
      </c>
      <c r="AG4" s="10">
        <f>AF4*1.3</f>
        <v>5428.0077037437104</v>
      </c>
      <c r="AH4" s="10">
        <f>AG4*1.3</f>
        <v>7056.410014866824</v>
      </c>
      <c r="AI4" s="10">
        <f>AH4*1.3</f>
        <v>9173.3330193268721</v>
      </c>
      <c r="AJ4" s="10">
        <f>AI4*1.3</f>
        <v>11925.332925124934</v>
      </c>
      <c r="AK4" s="10">
        <f>AJ4*1.3</f>
        <v>15502.932802662415</v>
      </c>
      <c r="AL4" s="10">
        <f>AK4*1.3</f>
        <v>20153.81264346114</v>
      </c>
      <c r="AM4" s="10">
        <f>AL4*1.3</f>
        <v>26199.956436499484</v>
      </c>
      <c r="AN4" s="10">
        <f>AM4*1.3</f>
        <v>34059.943367449334</v>
      </c>
      <c r="AO4" s="10">
        <f>AN4*1.3</f>
        <v>44277.926377684133</v>
      </c>
      <c r="AP4" s="10">
        <f>AO4*1.3</f>
        <v>57561.304290989377</v>
      </c>
      <c r="AQ4" s="10">
        <f>AP4*1.3</f>
        <v>74829.695578286191</v>
      </c>
      <c r="AR4" s="10">
        <f>AQ4*1.3</f>
        <v>97278.604251772049</v>
      </c>
      <c r="AS4" s="10">
        <f>AR4*1.3</f>
        <v>126462.18552730366</v>
      </c>
      <c r="AT4" s="10">
        <f>AS4*1.3</f>
        <v>164400.84118549476</v>
      </c>
      <c r="AU4" s="10">
        <f>AT4*1.3</f>
        <v>213721.0935411432</v>
      </c>
      <c r="AV4" s="10">
        <f>AU4*1.3</f>
        <v>277837.42160348617</v>
      </c>
      <c r="AW4" s="10">
        <f>AV4*1.3</f>
        <v>361188.64808453206</v>
      </c>
      <c r="AX4" s="10">
        <f>AW4*1.3</f>
        <v>469545.24250989169</v>
      </c>
      <c r="AY4" s="10">
        <f>AX4*1.3</f>
        <v>610408.81526285922</v>
      </c>
      <c r="AZ4" s="10">
        <f>AY4*1.3</f>
        <v>793531.45984171703</v>
      </c>
      <c r="BA4" s="10">
        <f>AZ4*1.3</f>
        <v>1031590.8977942322</v>
      </c>
      <c r="BB4" s="10">
        <f>BA4*1.3</f>
        <v>1341068.167132502</v>
      </c>
      <c r="BC4" s="10">
        <f>BB4*1.3</f>
        <v>1743388.6172722527</v>
      </c>
      <c r="BD4" s="10">
        <f>BC4*1.3</f>
        <v>2266405.2024539285</v>
      </c>
      <c r="BE4" s="10">
        <f>BD4*1.3</f>
        <v>2946326.7631901074</v>
      </c>
      <c r="BF4" s="10">
        <f>BE4*1.3</f>
        <v>3830224.7921471396</v>
      </c>
      <c r="BG4" s="10">
        <f>BF4*1.3</f>
        <v>4979292.2297912817</v>
      </c>
      <c r="BH4" s="10">
        <f>BG4*1.3</f>
        <v>6473079.8987286668</v>
      </c>
    </row>
    <row r="5" spans="1:307" x14ac:dyDescent="0.25">
      <c r="A5" s="9">
        <f>A4+1</f>
        <v>4</v>
      </c>
      <c r="B5" s="9">
        <f t="array" ref="B5">IF(C5="",0,IF(OR(C5=Country_Comparison!$S$10:$S$29),1,0))</f>
        <v>1</v>
      </c>
      <c r="C5" s="9" t="str">
        <f>IF(H5="","",H5)</f>
        <v>Italy</v>
      </c>
      <c r="D5" s="6">
        <f>MAX(I5:BD5)</f>
        <v>10023</v>
      </c>
      <c r="E5" s="6">
        <f>IF(COUNTIF(I5:XFD5,"&gt;"&amp;0)=0,,HLOOKUP(COUNTIF(I5:XFD5,"&gt;"&amp;0)-1,I$1:XFD5,A5+1,FALSE))</f>
        <v>10023</v>
      </c>
      <c r="F5" s="7">
        <f>IF(COUNTIF(I5:XFD5,"&gt;"&amp;0)=0,,HLOOKUP(COUNTIF(I5:XFD5,"&gt;"&amp;0)-MIN($F$1+1,COUNTIF(I5:XFD5,"&gt;"&amp;0)),I$1:XFD5,A5+1,FALSE))</f>
        <v>6077</v>
      </c>
      <c r="G5" s="8">
        <f>IF(COUNTIF(I5:XFD5,"&gt;"&amp;0)=0,,(E5/F5)^(1/MIN(COUNTIF(I5:XFD5,"&gt;"&amp;0)-1,$F$1)))</f>
        <v>1.1052529908698838</v>
      </c>
      <c r="H5" s="13" t="s">
        <v>58</v>
      </c>
      <c r="I5" s="9">
        <v>10</v>
      </c>
      <c r="J5" s="9">
        <v>12</v>
      </c>
      <c r="K5" s="9">
        <v>17</v>
      </c>
      <c r="L5" s="9">
        <v>21</v>
      </c>
      <c r="M5" s="9">
        <v>29</v>
      </c>
      <c r="N5" s="9">
        <v>34</v>
      </c>
      <c r="O5" s="9">
        <v>52</v>
      </c>
      <c r="P5" s="9">
        <v>79</v>
      </c>
      <c r="Q5" s="9">
        <v>107</v>
      </c>
      <c r="R5" s="9">
        <v>148</v>
      </c>
      <c r="S5" s="9">
        <v>197</v>
      </c>
      <c r="T5" s="9">
        <v>233</v>
      </c>
      <c r="U5" s="9">
        <v>366</v>
      </c>
      <c r="V5" s="9">
        <v>463</v>
      </c>
      <c r="W5" s="9">
        <v>631</v>
      </c>
      <c r="X5" s="9">
        <v>827</v>
      </c>
      <c r="Y5" s="9">
        <v>1016</v>
      </c>
      <c r="Z5" s="9">
        <v>1266</v>
      </c>
      <c r="AA5" s="9">
        <v>1441</v>
      </c>
      <c r="AB5" s="9">
        <v>1809</v>
      </c>
      <c r="AC5" s="9">
        <v>2158</v>
      </c>
      <c r="AD5" s="9">
        <v>2503</v>
      </c>
      <c r="AE5" s="9">
        <v>2978</v>
      </c>
      <c r="AF5" s="9">
        <v>3405</v>
      </c>
      <c r="AG5" s="9">
        <v>4032</v>
      </c>
      <c r="AH5" s="9">
        <v>4825</v>
      </c>
      <c r="AI5" s="9">
        <v>5476</v>
      </c>
      <c r="AJ5" s="9">
        <v>6077</v>
      </c>
      <c r="AK5" s="9">
        <v>6820</v>
      </c>
      <c r="AL5" s="9">
        <v>7503</v>
      </c>
      <c r="AM5" s="9">
        <v>8215</v>
      </c>
      <c r="AN5" s="9">
        <v>9134</v>
      </c>
      <c r="AO5" s="9">
        <v>10023</v>
      </c>
    </row>
    <row r="6" spans="1:307" x14ac:dyDescent="0.25">
      <c r="A6" s="9">
        <f t="shared" ref="A6:A69" si="5">A5+1</f>
        <v>5</v>
      </c>
      <c r="B6" s="9">
        <f t="array" ref="B6">IF(C6="",0,IF(OR(C6=Country_Comparison!$S$10:$S$29),1,0))</f>
        <v>1</v>
      </c>
      <c r="C6" s="9" t="str">
        <f t="shared" ref="C6:C69" si="6">IF(H6="","",H6)</f>
        <v>Spain</v>
      </c>
      <c r="D6" s="6">
        <f t="shared" ref="D6:D69" si="7">MAX(I6:BD6)</f>
        <v>5982</v>
      </c>
      <c r="E6" s="6">
        <f>IF(COUNTIF(I6:XFD6,"&gt;"&amp;0)=0,,HLOOKUP(COUNTIF(I6:XFD6,"&gt;"&amp;0)-1,I$1:XFD6,A6+1,FALSE))</f>
        <v>5982</v>
      </c>
      <c r="F6" s="7">
        <f>IF(COUNTIF(I6:XFD6,"&gt;"&amp;0)=0,,HLOOKUP(COUNTIF(I6:XFD6,"&gt;"&amp;0)-MIN($F$1+1,COUNTIF(I6:XFD6,"&gt;"&amp;0)),I$1:XFD6,A6+1,FALSE))</f>
        <v>2311</v>
      </c>
      <c r="G6" s="8">
        <f t="shared" ref="G6:G69" si="8">IF(COUNTIF(I6:XFD6,"&gt;"&amp;0)=0,,(E6/F6)^(1/MIN(COUNTIF(I6:XFD6,"&gt;"&amp;0)-1,$F$1)))</f>
        <v>1.2095095245054845</v>
      </c>
      <c r="H6" s="13" t="s">
        <v>60</v>
      </c>
      <c r="I6" s="9">
        <v>10</v>
      </c>
      <c r="J6" s="9">
        <v>17</v>
      </c>
      <c r="K6" s="9">
        <v>28</v>
      </c>
      <c r="L6" s="9">
        <v>35</v>
      </c>
      <c r="M6" s="9">
        <v>54</v>
      </c>
      <c r="N6" s="9">
        <v>86</v>
      </c>
      <c r="O6" s="9">
        <v>133</v>
      </c>
      <c r="P6" s="9">
        <v>195</v>
      </c>
      <c r="Q6" s="9">
        <v>289</v>
      </c>
      <c r="R6" s="9">
        <v>342</v>
      </c>
      <c r="S6" s="9">
        <v>533</v>
      </c>
      <c r="T6" s="9">
        <v>623</v>
      </c>
      <c r="U6" s="9">
        <v>830</v>
      </c>
      <c r="V6" s="9">
        <v>1043</v>
      </c>
      <c r="W6" s="9">
        <v>1375</v>
      </c>
      <c r="X6" s="9">
        <v>1772</v>
      </c>
      <c r="Y6" s="9">
        <v>2311</v>
      </c>
      <c r="Z6" s="9">
        <v>2808</v>
      </c>
      <c r="AA6" s="9">
        <v>3647</v>
      </c>
      <c r="AB6" s="9">
        <v>4365</v>
      </c>
      <c r="AC6" s="9">
        <v>5138</v>
      </c>
      <c r="AD6" s="9">
        <v>5982</v>
      </c>
    </row>
    <row r="7" spans="1:307" x14ac:dyDescent="0.25">
      <c r="A7" s="9">
        <f t="shared" si="5"/>
        <v>6</v>
      </c>
      <c r="B7" s="9">
        <f t="array" ref="B7">IF(C7="",0,IF(OR(C7=Country_Comparison!$S$10:$S$29),1,0))</f>
        <v>1</v>
      </c>
      <c r="C7" s="9" t="str">
        <f t="shared" si="6"/>
        <v>China</v>
      </c>
      <c r="D7" s="6">
        <f t="shared" si="7"/>
        <v>3123</v>
      </c>
      <c r="E7" s="6">
        <f>IF(COUNTIF(I7:XFD7,"&gt;"&amp;0)=0,,HLOOKUP(COUNTIF(I7:XFD7,"&gt;"&amp;0)-1,I$1:XFD7,A7+1,FALSE))</f>
        <v>3299</v>
      </c>
      <c r="F7" s="7">
        <f>IF(COUNTIF(I7:XFD7,"&gt;"&amp;0)=0,,HLOOKUP(COUNTIF(I7:XFD7,"&gt;"&amp;0)-MIN($F$1+1,COUNTIF(I7:XFD7,"&gt;"&amp;0)),I$1:XFD7,A7+1,FALSE))</f>
        <v>3274</v>
      </c>
      <c r="G7" s="8">
        <f t="shared" si="8"/>
        <v>1.0015225405492219</v>
      </c>
      <c r="H7" s="15" t="s">
        <v>337</v>
      </c>
      <c r="I7" s="9">
        <v>17</v>
      </c>
      <c r="J7" s="9">
        <v>18</v>
      </c>
      <c r="K7" s="9">
        <v>26</v>
      </c>
      <c r="L7" s="9">
        <v>42</v>
      </c>
      <c r="M7" s="9">
        <v>56</v>
      </c>
      <c r="N7" s="9">
        <v>82</v>
      </c>
      <c r="O7" s="9">
        <v>131</v>
      </c>
      <c r="P7" s="9">
        <v>133</v>
      </c>
      <c r="Q7" s="9">
        <v>171</v>
      </c>
      <c r="R7" s="9">
        <v>213</v>
      </c>
      <c r="S7" s="9">
        <v>259</v>
      </c>
      <c r="T7" s="9">
        <v>361</v>
      </c>
      <c r="U7" s="9">
        <v>425</v>
      </c>
      <c r="V7" s="9">
        <v>491</v>
      </c>
      <c r="W7" s="9">
        <v>563</v>
      </c>
      <c r="X7" s="9">
        <v>633</v>
      </c>
      <c r="Y7" s="9">
        <v>718</v>
      </c>
      <c r="Z7" s="9">
        <v>805</v>
      </c>
      <c r="AA7" s="9">
        <v>905</v>
      </c>
      <c r="AB7" s="9">
        <v>1012</v>
      </c>
      <c r="AC7" s="9">
        <v>1112</v>
      </c>
      <c r="AD7" s="9">
        <v>1117</v>
      </c>
      <c r="AE7" s="9">
        <v>1369</v>
      </c>
      <c r="AF7" s="9">
        <v>1521</v>
      </c>
      <c r="AG7" s="9">
        <v>1663</v>
      </c>
      <c r="AH7" s="9">
        <v>1766</v>
      </c>
      <c r="AI7" s="9">
        <v>1864</v>
      </c>
      <c r="AJ7" s="9">
        <v>2003</v>
      </c>
      <c r="AK7" s="9">
        <v>2116</v>
      </c>
      <c r="AL7" s="9">
        <v>2238</v>
      </c>
      <c r="AM7" s="9">
        <v>2238</v>
      </c>
      <c r="AN7" s="9">
        <v>2443</v>
      </c>
      <c r="AO7" s="9">
        <v>2445</v>
      </c>
      <c r="AP7" s="9">
        <v>2595</v>
      </c>
      <c r="AQ7" s="9">
        <v>2665</v>
      </c>
      <c r="AR7" s="9">
        <v>2717</v>
      </c>
      <c r="AS7" s="9">
        <v>2746</v>
      </c>
      <c r="AT7" s="9">
        <v>2790</v>
      </c>
      <c r="AU7" s="9">
        <v>2837</v>
      </c>
      <c r="AV7" s="9">
        <v>2872</v>
      </c>
      <c r="AW7" s="9">
        <v>2914</v>
      </c>
      <c r="AX7" s="9">
        <v>2947</v>
      </c>
      <c r="AY7" s="9">
        <v>2983</v>
      </c>
      <c r="AZ7" s="9">
        <v>3015</v>
      </c>
      <c r="BA7" s="9">
        <v>3044</v>
      </c>
      <c r="BB7" s="9">
        <v>3072</v>
      </c>
      <c r="BC7" s="9">
        <v>3100</v>
      </c>
      <c r="BD7" s="9">
        <v>3123</v>
      </c>
      <c r="BE7" s="9">
        <v>3139</v>
      </c>
      <c r="BF7" s="9">
        <v>3161</v>
      </c>
      <c r="BG7" s="9">
        <v>3172</v>
      </c>
      <c r="BH7" s="9">
        <v>3180</v>
      </c>
      <c r="BI7" s="9">
        <v>3193</v>
      </c>
      <c r="BJ7" s="9">
        <v>3203</v>
      </c>
      <c r="BK7" s="9">
        <v>3217</v>
      </c>
      <c r="BL7" s="9">
        <v>3230</v>
      </c>
      <c r="BM7" s="9">
        <v>3241</v>
      </c>
      <c r="BN7" s="9">
        <v>3249</v>
      </c>
      <c r="BO7" s="9">
        <v>3253</v>
      </c>
      <c r="BP7" s="9">
        <v>3259</v>
      </c>
      <c r="BQ7" s="9">
        <v>3274</v>
      </c>
      <c r="BR7" s="9">
        <v>3274</v>
      </c>
      <c r="BS7" s="9">
        <v>3281</v>
      </c>
      <c r="BT7" s="9">
        <v>3285</v>
      </c>
      <c r="BU7" s="9">
        <v>3291</v>
      </c>
      <c r="BV7" s="9">
        <v>3296</v>
      </c>
      <c r="BW7" s="9">
        <v>3299</v>
      </c>
    </row>
    <row r="8" spans="1:307" x14ac:dyDescent="0.25">
      <c r="A8" s="9">
        <f t="shared" si="5"/>
        <v>7</v>
      </c>
      <c r="B8" s="9">
        <f t="array" ref="B8">IF(C8="",0,IF(OR(C8=Country_Comparison!$S$10:$S$29),1,0))</f>
        <v>1</v>
      </c>
      <c r="C8" s="9" t="str">
        <f t="shared" si="6"/>
        <v>France</v>
      </c>
      <c r="D8" s="6">
        <f t="shared" si="7"/>
        <v>2317</v>
      </c>
      <c r="E8" s="6">
        <f>IF(COUNTIF(I8:XFD8,"&gt;"&amp;0)=0,,HLOOKUP(COUNTIF(I8:XFD8,"&gt;"&amp;0)-1,I$1:XFD8,A8+1,FALSE))</f>
        <v>2317</v>
      </c>
      <c r="F8" s="7">
        <f>IF(COUNTIF(I8:XFD8,"&gt;"&amp;0)=0,,HLOOKUP(COUNTIF(I8:XFD8,"&gt;"&amp;0)-MIN($F$1+1,COUNTIF(I8:XFD8,"&gt;"&amp;0)),I$1:XFD8,A8+1,FALSE))</f>
        <v>862</v>
      </c>
      <c r="G8" s="8">
        <f t="shared" si="8"/>
        <v>1.218663359002579</v>
      </c>
      <c r="H8" s="13" t="s">
        <v>41</v>
      </c>
      <c r="I8" s="9">
        <v>9</v>
      </c>
      <c r="J8" s="9">
        <v>11</v>
      </c>
      <c r="K8" s="9">
        <v>19</v>
      </c>
      <c r="L8" s="9">
        <v>19</v>
      </c>
      <c r="M8" s="9">
        <v>33</v>
      </c>
      <c r="N8" s="9">
        <v>48</v>
      </c>
      <c r="O8" s="9">
        <v>61</v>
      </c>
      <c r="P8" s="9">
        <v>79</v>
      </c>
      <c r="Q8" s="9">
        <v>91</v>
      </c>
      <c r="R8" s="9">
        <v>127</v>
      </c>
      <c r="S8" s="9">
        <v>149</v>
      </c>
      <c r="T8" s="9">
        <v>175</v>
      </c>
      <c r="U8" s="9">
        <v>264</v>
      </c>
      <c r="V8" s="9">
        <v>372</v>
      </c>
      <c r="W8" s="9">
        <v>451</v>
      </c>
      <c r="X8" s="9">
        <v>563</v>
      </c>
      <c r="Y8" s="9">
        <v>676</v>
      </c>
      <c r="Z8" s="9">
        <v>862</v>
      </c>
      <c r="AA8" s="9">
        <v>1102</v>
      </c>
      <c r="AB8" s="9">
        <v>1333</v>
      </c>
      <c r="AC8" s="9">
        <v>1698</v>
      </c>
      <c r="AD8" s="9">
        <v>1997</v>
      </c>
      <c r="AE8" s="9">
        <v>2317</v>
      </c>
    </row>
    <row r="9" spans="1:307" x14ac:dyDescent="0.25">
      <c r="A9" s="9">
        <f t="shared" si="5"/>
        <v>8</v>
      </c>
      <c r="B9" s="9">
        <f t="array" ref="B9">IF(C9="",0,IF(OR(C9=Country_Comparison!$S$10:$S$29),1,0))</f>
        <v>1</v>
      </c>
      <c r="C9" s="9" t="str">
        <f t="shared" si="6"/>
        <v>US</v>
      </c>
      <c r="D9" s="6">
        <f t="shared" si="7"/>
        <v>2026</v>
      </c>
      <c r="E9" s="6">
        <f>IF(COUNTIF(I9:XFD9,"&gt;"&amp;0)=0,,HLOOKUP(COUNTIF(I9:XFD9,"&gt;"&amp;0)-1,I$1:XFD9,A9+1,FALSE))</f>
        <v>2026</v>
      </c>
      <c r="F9" s="7">
        <f>IF(COUNTIF(I9:XFD9,"&gt;"&amp;0)=0,,HLOOKUP(COUNTIF(I9:XFD9,"&gt;"&amp;0)-MIN($F$1+1,COUNTIF(I9:XFD9,"&gt;"&amp;0)),I$1:XFD9,A9+1,FALSE))</f>
        <v>557</v>
      </c>
      <c r="G9" s="8">
        <f t="shared" si="8"/>
        <v>1.29466333577236</v>
      </c>
      <c r="H9" s="13" t="s">
        <v>38</v>
      </c>
      <c r="I9" s="9">
        <v>11</v>
      </c>
      <c r="J9" s="9">
        <v>12</v>
      </c>
      <c r="K9" s="9">
        <v>14</v>
      </c>
      <c r="L9" s="9">
        <v>17</v>
      </c>
      <c r="M9" s="9">
        <v>21</v>
      </c>
      <c r="N9" s="9">
        <v>22</v>
      </c>
      <c r="O9" s="9">
        <v>28</v>
      </c>
      <c r="P9" s="9">
        <v>36</v>
      </c>
      <c r="Q9" s="9">
        <v>40</v>
      </c>
      <c r="R9" s="9">
        <v>47</v>
      </c>
      <c r="S9" s="9">
        <v>54</v>
      </c>
      <c r="T9" s="9">
        <v>63</v>
      </c>
      <c r="U9" s="9">
        <v>85</v>
      </c>
      <c r="V9" s="9">
        <v>108</v>
      </c>
      <c r="W9" s="9">
        <v>118</v>
      </c>
      <c r="X9" s="9">
        <v>200</v>
      </c>
      <c r="Y9" s="9">
        <v>244</v>
      </c>
      <c r="Z9" s="9">
        <v>307</v>
      </c>
      <c r="AA9" s="9">
        <v>417</v>
      </c>
      <c r="AB9" s="9">
        <v>557</v>
      </c>
      <c r="AC9" s="9">
        <v>706</v>
      </c>
      <c r="AD9" s="9">
        <v>942</v>
      </c>
      <c r="AE9" s="9">
        <v>1209</v>
      </c>
      <c r="AF9" s="9">
        <v>1581</v>
      </c>
      <c r="AG9" s="9">
        <v>2026</v>
      </c>
    </row>
    <row r="10" spans="1:307" x14ac:dyDescent="0.25">
      <c r="A10" s="9">
        <f t="shared" si="5"/>
        <v>9</v>
      </c>
      <c r="B10" s="9">
        <f t="array" ref="B10">IF(C10="",0,IF(OR(C10=Country_Comparison!$S$10:$S$29),1,0))</f>
        <v>1</v>
      </c>
      <c r="C10" s="9" t="str">
        <f t="shared" si="6"/>
        <v>United Kingdom</v>
      </c>
      <c r="D10" s="6">
        <f t="shared" si="7"/>
        <v>1021</v>
      </c>
      <c r="E10" s="6">
        <f>IF(COUNTIF(I10:XFD10,"&gt;"&amp;0)=0,,HLOOKUP(COUNTIF(I10:XFD10,"&gt;"&amp;0)-1,I$1:XFD10,A10+1,FALSE))</f>
        <v>1021</v>
      </c>
      <c r="F10" s="7">
        <f>IF(COUNTIF(I10:XFD10,"&gt;"&amp;0)=0,,HLOOKUP(COUNTIF(I10:XFD10,"&gt;"&amp;0)-MIN($F$1+1,COUNTIF(I10:XFD10,"&gt;"&amp;0)),I$1:XFD10,A10+1,FALSE))</f>
        <v>336</v>
      </c>
      <c r="G10" s="8">
        <f t="shared" si="8"/>
        <v>1.2489276856140714</v>
      </c>
      <c r="H10" s="13" t="s">
        <v>349</v>
      </c>
      <c r="I10" s="9">
        <v>8</v>
      </c>
      <c r="J10" s="9">
        <v>10</v>
      </c>
      <c r="K10" s="9">
        <v>11</v>
      </c>
      <c r="L10" s="9">
        <v>21</v>
      </c>
      <c r="M10" s="9">
        <v>35</v>
      </c>
      <c r="N10" s="9">
        <v>56</v>
      </c>
      <c r="O10" s="9">
        <v>71</v>
      </c>
      <c r="P10" s="9">
        <v>104</v>
      </c>
      <c r="Q10" s="9">
        <v>138</v>
      </c>
      <c r="R10" s="9">
        <v>178</v>
      </c>
      <c r="S10" s="9">
        <v>234</v>
      </c>
      <c r="T10" s="9">
        <v>282</v>
      </c>
      <c r="U10" s="9">
        <v>336</v>
      </c>
      <c r="V10" s="9">
        <v>423</v>
      </c>
      <c r="W10" s="9">
        <v>466</v>
      </c>
      <c r="X10" s="9">
        <v>580</v>
      </c>
      <c r="Y10" s="9">
        <v>761</v>
      </c>
      <c r="Z10" s="9">
        <v>1021</v>
      </c>
    </row>
    <row r="11" spans="1:307" x14ac:dyDescent="0.25">
      <c r="A11" s="9">
        <f t="shared" si="5"/>
        <v>10</v>
      </c>
      <c r="B11" s="9">
        <f t="array" ref="B11">IF(C11="",0,IF(OR(C11=Country_Comparison!$S$10:$S$29),1,0))</f>
        <v>1</v>
      </c>
      <c r="C11" s="9" t="str">
        <f t="shared" si="6"/>
        <v>Germany</v>
      </c>
      <c r="D11" s="6">
        <f t="shared" si="7"/>
        <v>433</v>
      </c>
      <c r="E11" s="6">
        <f>IF(COUNTIF(I11:XFD11,"&gt;"&amp;0)=0,,HLOOKUP(COUNTIF(I11:XFD11,"&gt;"&amp;0)-1,I$1:XFD11,A11+1,FALSE))</f>
        <v>433</v>
      </c>
      <c r="F11" s="7">
        <f>IF(COUNTIF(I11:XFD11,"&gt;"&amp;0)=0,,HLOOKUP(COUNTIF(I11:XFD11,"&gt;"&amp;0)-MIN($F$1+1,COUNTIF(I11:XFD11,"&gt;"&amp;0)),I$1:XFD11,A11+1,FALSE))</f>
        <v>123</v>
      </c>
      <c r="G11" s="8">
        <f t="shared" si="8"/>
        <v>1.286223846121314</v>
      </c>
      <c r="H11" s="13" t="s">
        <v>53</v>
      </c>
      <c r="I11" s="9">
        <v>9</v>
      </c>
      <c r="J11" s="9">
        <v>11</v>
      </c>
      <c r="K11" s="9">
        <v>17</v>
      </c>
      <c r="L11" s="9">
        <v>24</v>
      </c>
      <c r="M11" s="9">
        <v>28</v>
      </c>
      <c r="N11" s="9">
        <v>44</v>
      </c>
      <c r="O11" s="9">
        <v>67</v>
      </c>
      <c r="P11" s="9">
        <v>84</v>
      </c>
      <c r="Q11" s="9">
        <v>94</v>
      </c>
      <c r="R11" s="9">
        <v>123</v>
      </c>
      <c r="S11" s="9">
        <v>157</v>
      </c>
      <c r="T11" s="9">
        <v>206</v>
      </c>
      <c r="U11" s="9">
        <v>267</v>
      </c>
      <c r="V11" s="9">
        <v>342</v>
      </c>
      <c r="W11" s="9">
        <v>433</v>
      </c>
    </row>
    <row r="12" spans="1:307" x14ac:dyDescent="0.25">
      <c r="A12" s="9">
        <f t="shared" si="5"/>
        <v>11</v>
      </c>
      <c r="B12" s="9">
        <f t="array" ref="B12">IF(C12="",0,IF(OR(C12=Country_Comparison!$S$10:$S$29),1,0))</f>
        <v>0</v>
      </c>
      <c r="C12" s="9" t="str">
        <f t="shared" si="6"/>
        <v>World</v>
      </c>
      <c r="D12" s="6">
        <f t="shared" si="7"/>
        <v>3982</v>
      </c>
      <c r="E12" s="6">
        <f>IF(COUNTIF(I12:XFD12,"&gt;"&amp;0)=0,,HLOOKUP(COUNTIF(I12:XFD12,"&gt;"&amp;0)-1,I$1:XFD12,A12+1,FALSE))</f>
        <v>30618</v>
      </c>
      <c r="F12" s="7">
        <f>IF(COUNTIF(I12:XFD12,"&gt;"&amp;0)=0,,HLOOKUP(COUNTIF(I12:XFD12,"&gt;"&amp;0)-MIN($F$1+1,COUNTIF(I12:XFD12,"&gt;"&amp;0)),I$1:XFD12,A12+1,FALSE))</f>
        <v>16488</v>
      </c>
      <c r="G12" s="8">
        <f t="shared" si="8"/>
        <v>1.1317793559503564</v>
      </c>
      <c r="H12" s="13" t="s">
        <v>606</v>
      </c>
      <c r="I12" s="9">
        <v>17</v>
      </c>
      <c r="J12" s="9">
        <v>18</v>
      </c>
      <c r="K12" s="9">
        <v>26</v>
      </c>
      <c r="L12" s="9">
        <v>42</v>
      </c>
      <c r="M12" s="9">
        <v>56</v>
      </c>
      <c r="N12" s="9">
        <v>82</v>
      </c>
      <c r="O12" s="9">
        <v>131</v>
      </c>
      <c r="P12" s="9">
        <v>133</v>
      </c>
      <c r="Q12" s="9">
        <v>171</v>
      </c>
      <c r="R12" s="9">
        <v>213</v>
      </c>
      <c r="S12" s="9">
        <v>259</v>
      </c>
      <c r="T12" s="9">
        <v>362</v>
      </c>
      <c r="U12" s="9">
        <v>426</v>
      </c>
      <c r="V12" s="9">
        <v>492</v>
      </c>
      <c r="W12" s="9">
        <v>564</v>
      </c>
      <c r="X12" s="9">
        <v>634</v>
      </c>
      <c r="Y12" s="9">
        <v>719</v>
      </c>
      <c r="Z12" s="9">
        <v>806</v>
      </c>
      <c r="AA12" s="9">
        <v>906</v>
      </c>
      <c r="AB12" s="9">
        <v>1013</v>
      </c>
      <c r="AC12" s="9">
        <v>1113</v>
      </c>
      <c r="AD12" s="9">
        <v>1118</v>
      </c>
      <c r="AE12" s="9">
        <v>1371</v>
      </c>
      <c r="AF12" s="9">
        <v>1523</v>
      </c>
      <c r="AG12" s="9">
        <v>1666</v>
      </c>
      <c r="AH12" s="9">
        <v>1770</v>
      </c>
      <c r="AI12" s="9">
        <v>1868</v>
      </c>
      <c r="AJ12" s="9">
        <v>2007</v>
      </c>
      <c r="AK12" s="9">
        <v>2122</v>
      </c>
      <c r="AL12" s="9">
        <v>2245</v>
      </c>
      <c r="AM12" s="9">
        <v>2249</v>
      </c>
      <c r="AN12" s="9">
        <v>2456</v>
      </c>
      <c r="AO12" s="9">
        <v>2466</v>
      </c>
      <c r="AP12" s="9">
        <v>2626</v>
      </c>
      <c r="AQ12" s="9">
        <v>2705</v>
      </c>
      <c r="AR12" s="9">
        <v>2766</v>
      </c>
      <c r="AS12" s="9">
        <v>2810</v>
      </c>
      <c r="AT12" s="9">
        <v>2866</v>
      </c>
      <c r="AU12" s="9">
        <v>2935</v>
      </c>
      <c r="AV12" s="9">
        <v>2990</v>
      </c>
      <c r="AW12" s="9">
        <v>3079</v>
      </c>
      <c r="AX12" s="9">
        <v>3154</v>
      </c>
      <c r="AY12" s="9">
        <v>3248</v>
      </c>
      <c r="AZ12" s="9">
        <v>3342</v>
      </c>
      <c r="BA12" s="9">
        <v>3454</v>
      </c>
      <c r="BB12" s="9">
        <v>3552</v>
      </c>
      <c r="BC12" s="9">
        <v>3796</v>
      </c>
      <c r="BD12" s="9">
        <v>3982</v>
      </c>
      <c r="BE12" s="9">
        <v>4256</v>
      </c>
      <c r="BF12" s="9">
        <v>4608</v>
      </c>
      <c r="BG12" s="9">
        <v>4948</v>
      </c>
      <c r="BH12" s="9">
        <v>5400</v>
      </c>
      <c r="BI12" s="9">
        <v>5812</v>
      </c>
      <c r="BJ12" s="9">
        <v>6483</v>
      </c>
      <c r="BK12" s="9">
        <v>7118</v>
      </c>
      <c r="BL12" s="9">
        <v>7938</v>
      </c>
      <c r="BM12" s="9">
        <v>8872</v>
      </c>
      <c r="BN12" s="9">
        <v>9987</v>
      </c>
      <c r="BO12" s="9">
        <v>11290</v>
      </c>
      <c r="BP12" s="9">
        <v>12961</v>
      </c>
      <c r="BQ12" s="9">
        <v>14638</v>
      </c>
      <c r="BR12" s="9">
        <v>16488</v>
      </c>
      <c r="BS12" s="9">
        <v>18605</v>
      </c>
      <c r="BT12" s="9">
        <v>21157</v>
      </c>
      <c r="BU12" s="9">
        <v>23944</v>
      </c>
      <c r="BV12" s="9">
        <v>27168</v>
      </c>
      <c r="BW12" s="9">
        <v>30618</v>
      </c>
    </row>
    <row r="13" spans="1:307" x14ac:dyDescent="0.25">
      <c r="A13" s="9">
        <f t="shared" si="5"/>
        <v>12</v>
      </c>
      <c r="B13" s="9">
        <f t="array" ref="B13">IF(C13="",0,IF(OR(C13=Country_Comparison!$S$10:$S$29),1,0))</f>
        <v>0</v>
      </c>
      <c r="C13" s="9" t="str">
        <f t="shared" si="6"/>
        <v>Europe</v>
      </c>
      <c r="D13" s="6">
        <f t="shared" si="7"/>
        <v>21776</v>
      </c>
      <c r="E13" s="6">
        <f>IF(COUNTIF(I13:XFD13,"&gt;"&amp;0)=0,,HLOOKUP(COUNTIF(I13:XFD13,"&gt;"&amp;0)-1,I$1:XFD13,A13+1,FALSE))</f>
        <v>21776</v>
      </c>
      <c r="F13" s="7">
        <f>IF(COUNTIF(I13:XFD13,"&gt;"&amp;0)=0,,HLOOKUP(COUNTIF(I13:XFD13,"&gt;"&amp;0)-MIN($F$1+1,COUNTIF(I13:XFD13,"&gt;"&amp;0)),I$1:XFD13,A13+1,FALSE))</f>
        <v>10371</v>
      </c>
      <c r="G13" s="8">
        <f t="shared" si="8"/>
        <v>1.1599292353633046</v>
      </c>
      <c r="H13" s="13" t="s">
        <v>609</v>
      </c>
      <c r="I13" s="9">
        <v>8</v>
      </c>
      <c r="J13" s="9">
        <v>11</v>
      </c>
      <c r="K13" s="9">
        <v>14</v>
      </c>
      <c r="L13" s="9">
        <v>19</v>
      </c>
      <c r="M13" s="9">
        <v>23</v>
      </c>
      <c r="N13" s="9">
        <v>31</v>
      </c>
      <c r="O13" s="9">
        <v>36</v>
      </c>
      <c r="P13" s="9">
        <v>55</v>
      </c>
      <c r="Q13" s="9">
        <v>85</v>
      </c>
      <c r="R13" s="9">
        <v>114</v>
      </c>
      <c r="S13" s="9">
        <v>160</v>
      </c>
      <c r="T13" s="9">
        <v>216</v>
      </c>
      <c r="U13" s="9">
        <v>259</v>
      </c>
      <c r="V13" s="9">
        <v>411</v>
      </c>
      <c r="W13" s="9">
        <v>522</v>
      </c>
      <c r="X13" s="9">
        <v>716</v>
      </c>
      <c r="Y13" s="9">
        <v>959</v>
      </c>
      <c r="Z13" s="9">
        <v>1198</v>
      </c>
      <c r="AA13" s="9">
        <v>1534</v>
      </c>
      <c r="AB13" s="9">
        <v>1812</v>
      </c>
      <c r="AC13" s="9">
        <v>2344</v>
      </c>
      <c r="AD13" s="9">
        <v>2804</v>
      </c>
      <c r="AE13" s="9">
        <v>3433</v>
      </c>
      <c r="AF13" s="9">
        <v>4160</v>
      </c>
      <c r="AG13" s="9">
        <v>5006</v>
      </c>
      <c r="AH13" s="9">
        <v>6065</v>
      </c>
      <c r="AI13" s="9">
        <v>7499</v>
      </c>
      <c r="AJ13" s="9">
        <v>8839</v>
      </c>
      <c r="AK13" s="9">
        <v>10371</v>
      </c>
      <c r="AL13" s="9">
        <v>12139</v>
      </c>
      <c r="AM13" s="9">
        <v>14236</v>
      </c>
      <c r="AN13" s="9">
        <v>16470</v>
      </c>
      <c r="AO13" s="9">
        <v>19050</v>
      </c>
      <c r="AP13" s="9">
        <v>21776</v>
      </c>
    </row>
    <row r="14" spans="1:307" x14ac:dyDescent="0.25">
      <c r="A14" s="9">
        <f t="shared" si="5"/>
        <v>13</v>
      </c>
      <c r="B14" s="9">
        <f t="array" ref="B14">IF(C14="",0,IF(OR(C14=Country_Comparison!$S$10:$S$29),1,0))</f>
        <v>0</v>
      </c>
      <c r="C14" s="9" t="str">
        <f t="shared" si="6"/>
        <v>Asia</v>
      </c>
      <c r="D14" s="6">
        <f t="shared" si="7"/>
        <v>3189</v>
      </c>
      <c r="E14" s="6">
        <f>IF(COUNTIF(I14:XFD14,"&gt;"&amp;0)=0,,HLOOKUP(COUNTIF(I14:XFD14,"&gt;"&amp;0)-1,I$1:XFD14,A14+1,FALSE))</f>
        <v>3754</v>
      </c>
      <c r="F14" s="7">
        <f>IF(COUNTIF(I14:XFD14,"&gt;"&amp;0)=0,,HLOOKUP(COUNTIF(I14:XFD14,"&gt;"&amp;0)-MIN($F$1+1,COUNTIF(I14:XFD14,"&gt;"&amp;0)),I$1:XFD14,A14+1,FALSE))</f>
        <v>3549</v>
      </c>
      <c r="G14" s="8">
        <f t="shared" si="8"/>
        <v>1.011294519753859</v>
      </c>
      <c r="H14" s="13" t="s">
        <v>608</v>
      </c>
      <c r="I14" s="9">
        <v>17</v>
      </c>
      <c r="J14" s="9">
        <v>18</v>
      </c>
      <c r="K14" s="9">
        <v>26</v>
      </c>
      <c r="L14" s="9">
        <v>42</v>
      </c>
      <c r="M14" s="9">
        <v>56</v>
      </c>
      <c r="N14" s="9">
        <v>82</v>
      </c>
      <c r="O14" s="9">
        <v>131</v>
      </c>
      <c r="P14" s="9">
        <v>133</v>
      </c>
      <c r="Q14" s="9">
        <v>171</v>
      </c>
      <c r="R14" s="9">
        <v>213</v>
      </c>
      <c r="S14" s="9">
        <v>259</v>
      </c>
      <c r="T14" s="9">
        <v>362</v>
      </c>
      <c r="U14" s="9">
        <v>426</v>
      </c>
      <c r="V14" s="9">
        <v>492</v>
      </c>
      <c r="W14" s="9">
        <v>564</v>
      </c>
      <c r="X14" s="9">
        <v>634</v>
      </c>
      <c r="Y14" s="9">
        <v>719</v>
      </c>
      <c r="Z14" s="9">
        <v>806</v>
      </c>
      <c r="AA14" s="9">
        <v>906</v>
      </c>
      <c r="AB14" s="9">
        <v>1013</v>
      </c>
      <c r="AC14" s="9">
        <v>1113</v>
      </c>
      <c r="AD14" s="9">
        <v>1118</v>
      </c>
      <c r="AE14" s="9">
        <v>1371</v>
      </c>
      <c r="AF14" s="9">
        <v>1523</v>
      </c>
      <c r="AG14" s="9">
        <v>1665</v>
      </c>
      <c r="AH14" s="9">
        <v>1769</v>
      </c>
      <c r="AI14" s="9">
        <v>1867</v>
      </c>
      <c r="AJ14" s="9">
        <v>2006</v>
      </c>
      <c r="AK14" s="9">
        <v>2119</v>
      </c>
      <c r="AL14" s="9">
        <v>2242</v>
      </c>
      <c r="AM14" s="9">
        <v>2243</v>
      </c>
      <c r="AN14" s="9">
        <v>2448</v>
      </c>
      <c r="AO14" s="9">
        <v>2454</v>
      </c>
      <c r="AP14" s="9">
        <v>2606</v>
      </c>
      <c r="AQ14" s="9">
        <v>2678</v>
      </c>
      <c r="AR14" s="9">
        <v>2733</v>
      </c>
      <c r="AS14" s="9">
        <v>2765</v>
      </c>
      <c r="AT14" s="9">
        <v>2809</v>
      </c>
      <c r="AU14" s="9">
        <v>2860</v>
      </c>
      <c r="AV14" s="9">
        <v>2898</v>
      </c>
      <c r="AW14" s="9">
        <v>2951</v>
      </c>
      <c r="AX14" s="9">
        <v>2984</v>
      </c>
      <c r="AY14" s="9">
        <v>3027</v>
      </c>
      <c r="AZ14" s="9">
        <v>3059</v>
      </c>
      <c r="BA14" s="9">
        <v>3095</v>
      </c>
      <c r="BB14" s="9">
        <v>3125</v>
      </c>
      <c r="BC14" s="9">
        <v>3159</v>
      </c>
      <c r="BD14" s="9">
        <v>3189</v>
      </c>
      <c r="BE14" s="9">
        <v>3206</v>
      </c>
      <c r="BF14" s="9">
        <v>3241</v>
      </c>
      <c r="BG14" s="9">
        <v>3260</v>
      </c>
      <c r="BH14" s="9">
        <v>3279</v>
      </c>
      <c r="BI14" s="9">
        <v>3305</v>
      </c>
      <c r="BJ14" s="9">
        <v>3321</v>
      </c>
      <c r="BK14" s="9">
        <v>3341</v>
      </c>
      <c r="BL14" s="9">
        <v>3365</v>
      </c>
      <c r="BM14" s="9">
        <v>3401</v>
      </c>
      <c r="BN14" s="9">
        <v>3424</v>
      </c>
      <c r="BO14" s="9">
        <v>3450</v>
      </c>
      <c r="BP14" s="9">
        <v>3473</v>
      </c>
      <c r="BQ14" s="9">
        <v>3530</v>
      </c>
      <c r="BR14" s="9">
        <v>3549</v>
      </c>
      <c r="BS14" s="9">
        <v>3581</v>
      </c>
      <c r="BT14" s="9">
        <v>3610</v>
      </c>
      <c r="BU14" s="9">
        <v>3664</v>
      </c>
      <c r="BV14" s="9">
        <v>3704</v>
      </c>
      <c r="BW14" s="9">
        <v>3754</v>
      </c>
    </row>
    <row r="15" spans="1:307" x14ac:dyDescent="0.25">
      <c r="A15" s="9">
        <f t="shared" si="5"/>
        <v>14</v>
      </c>
      <c r="B15" s="9">
        <f t="array" ref="B15">IF(C15="",0,IF(OR(C15=Country_Comparison!$S$10:$S$29),1,0))</f>
        <v>0</v>
      </c>
      <c r="C15" s="9" t="str">
        <f t="shared" si="6"/>
        <v>Middle East</v>
      </c>
      <c r="D15" s="6">
        <f t="shared" si="7"/>
        <v>2595</v>
      </c>
      <c r="E15" s="6">
        <f>IF(COUNTIF(I15:XFD15,"&gt;"&amp;0)=0,,HLOOKUP(COUNTIF(I15:XFD15,"&gt;"&amp;0)-1,I$1:XFD15,A15+1,FALSE))</f>
        <v>2595</v>
      </c>
      <c r="F15" s="7">
        <f>IF(COUNTIF(I15:XFD15,"&gt;"&amp;0)=0,,HLOOKUP(COUNTIF(I15:XFD15,"&gt;"&amp;0)-MIN($F$1+1,COUNTIF(I15:XFD15,"&gt;"&amp;0)),I$1:XFD15,A15+1,FALSE))</f>
        <v>1845</v>
      </c>
      <c r="G15" s="8">
        <f t="shared" si="8"/>
        <v>1.0706023647952039</v>
      </c>
      <c r="H15" s="13" t="s">
        <v>610</v>
      </c>
      <c r="I15" s="9">
        <v>8</v>
      </c>
      <c r="J15" s="9">
        <v>12</v>
      </c>
      <c r="K15" s="9">
        <v>16</v>
      </c>
      <c r="L15" s="9">
        <v>19</v>
      </c>
      <c r="M15" s="9">
        <v>26</v>
      </c>
      <c r="N15" s="9">
        <v>34</v>
      </c>
      <c r="O15" s="9">
        <v>43</v>
      </c>
      <c r="P15" s="9">
        <v>54</v>
      </c>
      <c r="Q15" s="9">
        <v>66</v>
      </c>
      <c r="R15" s="9">
        <v>77</v>
      </c>
      <c r="S15" s="9">
        <v>94</v>
      </c>
      <c r="T15" s="9">
        <v>109</v>
      </c>
      <c r="U15" s="9">
        <v>127</v>
      </c>
      <c r="V15" s="9">
        <v>149</v>
      </c>
      <c r="W15" s="9">
        <v>200</v>
      </c>
      <c r="X15" s="9">
        <v>243</v>
      </c>
      <c r="Y15" s="9">
        <v>299</v>
      </c>
      <c r="Z15" s="9">
        <v>364</v>
      </c>
      <c r="AA15" s="9">
        <v>440</v>
      </c>
      <c r="AB15" s="9">
        <v>526</v>
      </c>
      <c r="AC15" s="9">
        <v>624</v>
      </c>
      <c r="AD15" s="9">
        <v>737</v>
      </c>
      <c r="AE15" s="9">
        <v>867</v>
      </c>
      <c r="AF15" s="9">
        <v>1003</v>
      </c>
      <c r="AG15" s="9">
        <v>1151</v>
      </c>
      <c r="AH15" s="9">
        <v>1302</v>
      </c>
      <c r="AI15" s="9">
        <v>1457</v>
      </c>
      <c r="AJ15" s="9">
        <v>1581</v>
      </c>
      <c r="AK15" s="9">
        <v>1715</v>
      </c>
      <c r="AL15" s="9">
        <v>1845</v>
      </c>
      <c r="AM15" s="9">
        <v>1975</v>
      </c>
      <c r="AN15" s="9">
        <v>2127</v>
      </c>
      <c r="AO15" s="9">
        <v>2297</v>
      </c>
      <c r="AP15" s="9">
        <v>2452</v>
      </c>
      <c r="AQ15" s="9">
        <v>2595</v>
      </c>
    </row>
    <row r="16" spans="1:307" x14ac:dyDescent="0.25">
      <c r="A16" s="9">
        <f t="shared" si="5"/>
        <v>15</v>
      </c>
      <c r="B16" s="9">
        <f t="array" ref="B16">IF(C16="",0,IF(OR(C16=Country_Comparison!$S$10:$S$29),1,0))</f>
        <v>0</v>
      </c>
      <c r="C16" s="9" t="str">
        <f t="shared" si="6"/>
        <v>Iran</v>
      </c>
      <c r="D16" s="6">
        <f t="shared" si="7"/>
        <v>2517</v>
      </c>
      <c r="E16" s="6">
        <f>IF(COUNTIF(I16:XFD16,"&gt;"&amp;0)=0,,HLOOKUP(COUNTIF(I16:XFD16,"&gt;"&amp;0)-1,I$1:XFD16,A16+1,FALSE))</f>
        <v>2517</v>
      </c>
      <c r="F16" s="7">
        <f>IF(COUNTIF(I16:XFD16,"&gt;"&amp;0)=0,,HLOOKUP(COUNTIF(I16:XFD16,"&gt;"&amp;0)-MIN($F$1+1,COUNTIF(I16:XFD16,"&gt;"&amp;0)),I$1:XFD16,A16+1,FALSE))</f>
        <v>1812</v>
      </c>
      <c r="G16" s="8">
        <f t="shared" si="8"/>
        <v>1.0679354532785152</v>
      </c>
      <c r="H16" s="13" t="s">
        <v>338</v>
      </c>
      <c r="I16" s="9">
        <v>8</v>
      </c>
      <c r="J16" s="9">
        <v>12</v>
      </c>
      <c r="K16" s="9">
        <v>16</v>
      </c>
      <c r="L16" s="9">
        <v>19</v>
      </c>
      <c r="M16" s="9">
        <v>26</v>
      </c>
      <c r="N16" s="9">
        <v>34</v>
      </c>
      <c r="O16" s="9">
        <v>43</v>
      </c>
      <c r="P16" s="9">
        <v>54</v>
      </c>
      <c r="Q16" s="9">
        <v>66</v>
      </c>
      <c r="R16" s="9">
        <v>77</v>
      </c>
      <c r="S16" s="9">
        <v>92</v>
      </c>
      <c r="T16" s="9">
        <v>107</v>
      </c>
      <c r="U16" s="9">
        <v>124</v>
      </c>
      <c r="V16" s="9">
        <v>145</v>
      </c>
      <c r="W16" s="9">
        <v>194</v>
      </c>
      <c r="X16" s="9">
        <v>237</v>
      </c>
      <c r="Y16" s="9">
        <v>291</v>
      </c>
      <c r="Z16" s="9">
        <v>354</v>
      </c>
      <c r="AA16" s="9">
        <v>429</v>
      </c>
      <c r="AB16" s="9">
        <v>514</v>
      </c>
      <c r="AC16" s="9">
        <v>611</v>
      </c>
      <c r="AD16" s="9">
        <v>724</v>
      </c>
      <c r="AE16" s="9">
        <v>853</v>
      </c>
      <c r="AF16" s="9">
        <v>988</v>
      </c>
      <c r="AG16" s="9">
        <v>1135</v>
      </c>
      <c r="AH16" s="9">
        <v>1284</v>
      </c>
      <c r="AI16" s="9">
        <v>1433</v>
      </c>
      <c r="AJ16" s="9">
        <v>1556</v>
      </c>
      <c r="AK16" s="9">
        <v>1685</v>
      </c>
      <c r="AL16" s="9">
        <v>1812</v>
      </c>
      <c r="AM16" s="9">
        <v>1934</v>
      </c>
      <c r="AN16" s="9">
        <v>2077</v>
      </c>
      <c r="AO16" s="9">
        <v>2234</v>
      </c>
      <c r="AP16" s="9">
        <v>2378</v>
      </c>
      <c r="AQ16" s="9">
        <v>2517</v>
      </c>
    </row>
    <row r="17" spans="1:42" x14ac:dyDescent="0.25">
      <c r="A17" s="9">
        <f t="shared" si="5"/>
        <v>16</v>
      </c>
      <c r="B17" s="9">
        <f t="array" ref="B17">IF(C17="",0,IF(OR(C17=Country_Comparison!$S$10:$S$29),1,0))</f>
        <v>0</v>
      </c>
      <c r="C17" s="9" t="str">
        <f t="shared" si="6"/>
        <v>North America</v>
      </c>
      <c r="D17" s="6">
        <f t="shared" si="7"/>
        <v>2119</v>
      </c>
      <c r="E17" s="6">
        <f>IF(COUNTIF(I17:XFD17,"&gt;"&amp;0)=0,,HLOOKUP(COUNTIF(I17:XFD17,"&gt;"&amp;0)-1,I$1:XFD17,A17+1,FALSE))</f>
        <v>2119</v>
      </c>
      <c r="F17" s="7">
        <f>IF(COUNTIF(I17:XFD17,"&gt;"&amp;0)=0,,HLOOKUP(COUNTIF(I17:XFD17,"&gt;"&amp;0)-MIN($F$1+1,COUNTIF(I17:XFD17,"&gt;"&amp;0)),I$1:XFD17,A17+1,FALSE))</f>
        <v>595</v>
      </c>
      <c r="G17" s="8">
        <f t="shared" si="8"/>
        <v>1.2892074252788657</v>
      </c>
      <c r="H17" s="13" t="s">
        <v>611</v>
      </c>
      <c r="I17" s="9">
        <v>11</v>
      </c>
      <c r="J17" s="9">
        <v>12</v>
      </c>
      <c r="K17" s="9">
        <v>14</v>
      </c>
      <c r="L17" s="9">
        <v>17</v>
      </c>
      <c r="M17" s="9">
        <v>21</v>
      </c>
      <c r="N17" s="9">
        <v>23</v>
      </c>
      <c r="O17" s="9">
        <v>29</v>
      </c>
      <c r="P17" s="9">
        <v>38</v>
      </c>
      <c r="Q17" s="9">
        <v>42</v>
      </c>
      <c r="R17" s="9">
        <v>49</v>
      </c>
      <c r="S17" s="9">
        <v>56</v>
      </c>
      <c r="T17" s="9">
        <v>65</v>
      </c>
      <c r="U17" s="9">
        <v>90</v>
      </c>
      <c r="V17" s="9">
        <v>114</v>
      </c>
      <c r="W17" s="9">
        <v>128</v>
      </c>
      <c r="X17" s="9">
        <v>214</v>
      </c>
      <c r="Y17" s="9">
        <v>261</v>
      </c>
      <c r="Z17" s="9">
        <v>333</v>
      </c>
      <c r="AA17" s="9">
        <v>447</v>
      </c>
      <c r="AB17" s="9">
        <v>595</v>
      </c>
      <c r="AC17" s="9">
        <v>746</v>
      </c>
      <c r="AD17" s="9">
        <v>989</v>
      </c>
      <c r="AE17" s="9">
        <v>1266</v>
      </c>
      <c r="AF17" s="9">
        <v>1657</v>
      </c>
      <c r="AG17" s="9">
        <v>2119</v>
      </c>
    </row>
    <row r="18" spans="1:42" x14ac:dyDescent="0.25">
      <c r="A18" s="9">
        <f t="shared" si="5"/>
        <v>17</v>
      </c>
      <c r="B18" s="9">
        <f t="array" ref="B18">IF(C18="",0,IF(OR(C18=Country_Comparison!$S$10:$S$29),1,0))</f>
        <v>0</v>
      </c>
      <c r="C18" s="9" t="str">
        <f t="shared" si="6"/>
        <v>Netherlands</v>
      </c>
      <c r="D18" s="6">
        <f t="shared" si="7"/>
        <v>640</v>
      </c>
      <c r="E18" s="6">
        <f>IF(COUNTIF(I18:XFD18,"&gt;"&amp;0)=0,,HLOOKUP(COUNTIF(I18:XFD18,"&gt;"&amp;0)-1,I$1:XFD18,A18+1,FALSE))</f>
        <v>640</v>
      </c>
      <c r="F18" s="7">
        <f>IF(COUNTIF(I18:XFD18,"&gt;"&amp;0)=0,,HLOOKUP(COUNTIF(I18:XFD18,"&gt;"&amp;0)-MIN($F$1+1,COUNTIF(I18:XFD18,"&gt;"&amp;0)),I$1:XFD18,A18+1,FALSE))</f>
        <v>214</v>
      </c>
      <c r="G18" s="8">
        <f t="shared" si="8"/>
        <v>1.2449538142820755</v>
      </c>
      <c r="H18" s="13" t="s">
        <v>89</v>
      </c>
      <c r="I18" s="9">
        <v>10</v>
      </c>
      <c r="J18" s="9">
        <v>12</v>
      </c>
      <c r="K18" s="9">
        <v>20</v>
      </c>
      <c r="L18" s="9">
        <v>24</v>
      </c>
      <c r="M18" s="9">
        <v>43</v>
      </c>
      <c r="N18" s="9">
        <v>58</v>
      </c>
      <c r="O18" s="9">
        <v>77</v>
      </c>
      <c r="P18" s="9">
        <v>107</v>
      </c>
      <c r="Q18" s="9">
        <v>137</v>
      </c>
      <c r="R18" s="9">
        <v>180</v>
      </c>
      <c r="S18" s="9">
        <v>214</v>
      </c>
      <c r="T18" s="9">
        <v>277</v>
      </c>
      <c r="U18" s="9">
        <v>357</v>
      </c>
      <c r="V18" s="9">
        <v>435</v>
      </c>
      <c r="W18" s="9">
        <v>547</v>
      </c>
      <c r="X18" s="9">
        <v>640</v>
      </c>
    </row>
    <row r="19" spans="1:42" x14ac:dyDescent="0.25">
      <c r="A19" s="9">
        <f t="shared" si="5"/>
        <v>18</v>
      </c>
      <c r="B19" s="9">
        <f t="array" ref="B19">IF(C19="",0,IF(OR(C19=Country_Comparison!$S$10:$S$29),1,0))</f>
        <v>0</v>
      </c>
      <c r="C19" s="9" t="str">
        <f t="shared" si="6"/>
        <v>Belgium</v>
      </c>
      <c r="D19" s="6">
        <f t="shared" si="7"/>
        <v>353</v>
      </c>
      <c r="E19" s="6">
        <f>IF(COUNTIF(I19:XFD19,"&gt;"&amp;0)=0,,HLOOKUP(COUNTIF(I19:XFD19,"&gt;"&amp;0)-1,I$1:XFD19,A19+1,FALSE))</f>
        <v>353</v>
      </c>
      <c r="F19" s="7">
        <f>IF(COUNTIF(I19:XFD19,"&gt;"&amp;0)=0,,HLOOKUP(COUNTIF(I19:XFD19,"&gt;"&amp;0)-MIN($F$1+1,COUNTIF(I19:XFD19,"&gt;"&amp;0)),I$1:XFD19,A19+1,FALSE))</f>
        <v>88</v>
      </c>
      <c r="G19" s="8">
        <f t="shared" si="8"/>
        <v>1.3202567806710526</v>
      </c>
      <c r="H19" s="13" t="s">
        <v>63</v>
      </c>
      <c r="I19" s="9">
        <v>10</v>
      </c>
      <c r="J19" s="9">
        <v>14</v>
      </c>
      <c r="K19" s="9">
        <v>21</v>
      </c>
      <c r="L19" s="9">
        <v>37</v>
      </c>
      <c r="M19" s="9">
        <v>67</v>
      </c>
      <c r="N19" s="9">
        <v>75</v>
      </c>
      <c r="O19" s="9">
        <v>88</v>
      </c>
      <c r="P19" s="9">
        <v>122</v>
      </c>
      <c r="Q19" s="9">
        <v>178</v>
      </c>
      <c r="R19" s="9">
        <v>220</v>
      </c>
      <c r="S19" s="9">
        <v>289</v>
      </c>
      <c r="T19" s="9">
        <v>353</v>
      </c>
    </row>
    <row r="20" spans="1:42" x14ac:dyDescent="0.25">
      <c r="A20" s="9">
        <f t="shared" si="5"/>
        <v>19</v>
      </c>
      <c r="B20" s="9">
        <f t="array" ref="B20">IF(C20="",0,IF(OR(C20=Country_Comparison!$S$10:$S$29),1,0))</f>
        <v>0</v>
      </c>
      <c r="C20" s="9" t="str">
        <f t="shared" si="6"/>
        <v>Switzerland</v>
      </c>
      <c r="D20" s="6">
        <f t="shared" si="7"/>
        <v>264</v>
      </c>
      <c r="E20" s="6">
        <f>IF(COUNTIF(I20:XFD20,"&gt;"&amp;0)=0,,HLOOKUP(COUNTIF(I20:XFD20,"&gt;"&amp;0)-1,I$1:XFD20,A20+1,FALSE))</f>
        <v>264</v>
      </c>
      <c r="F20" s="7">
        <f>IF(COUNTIF(I20:XFD20,"&gt;"&amp;0)=0,,HLOOKUP(COUNTIF(I20:XFD20,"&gt;"&amp;0)-MIN($F$1+1,COUNTIF(I20:XFD20,"&gt;"&amp;0)),I$1:XFD20,A20+1,FALSE))</f>
        <v>120</v>
      </c>
      <c r="G20" s="8">
        <f t="shared" si="8"/>
        <v>1.1708049129648923</v>
      </c>
      <c r="H20" s="13" t="s">
        <v>77</v>
      </c>
      <c r="I20" s="9">
        <v>11</v>
      </c>
      <c r="J20" s="9">
        <v>13</v>
      </c>
      <c r="K20" s="9">
        <v>14</v>
      </c>
      <c r="L20" s="9">
        <v>14</v>
      </c>
      <c r="M20" s="9">
        <v>27</v>
      </c>
      <c r="N20" s="9">
        <v>28</v>
      </c>
      <c r="O20" s="9">
        <v>41</v>
      </c>
      <c r="P20" s="9">
        <v>54</v>
      </c>
      <c r="Q20" s="9">
        <v>75</v>
      </c>
      <c r="R20" s="9">
        <v>98</v>
      </c>
      <c r="S20" s="9">
        <v>120</v>
      </c>
      <c r="T20" s="9">
        <v>122</v>
      </c>
      <c r="U20" s="9">
        <v>153</v>
      </c>
      <c r="V20" s="9">
        <v>191</v>
      </c>
      <c r="W20" s="9">
        <v>231</v>
      </c>
      <c r="X20" s="9">
        <v>264</v>
      </c>
    </row>
    <row r="21" spans="1:42" x14ac:dyDescent="0.25">
      <c r="A21" s="9">
        <f t="shared" si="5"/>
        <v>20</v>
      </c>
      <c r="B21" s="9">
        <f t="array" ref="B21">IF(C21="",0,IF(OR(C21=Country_Comparison!$S$10:$S$29),1,0))</f>
        <v>0</v>
      </c>
      <c r="C21" s="9" t="str">
        <f t="shared" si="6"/>
        <v>South America</v>
      </c>
      <c r="D21" s="6">
        <f t="shared" si="7"/>
        <v>238</v>
      </c>
      <c r="E21" s="6">
        <f>IF(COUNTIF(I21:XFD21,"&gt;"&amp;0)=0,,HLOOKUP(COUNTIF(I21:XFD21,"&gt;"&amp;0)-1,I$1:XFD21,A21+1,FALSE))</f>
        <v>238</v>
      </c>
      <c r="F21" s="7">
        <f>IF(COUNTIF(I21:XFD21,"&gt;"&amp;0)=0,,HLOOKUP(COUNTIF(I21:XFD21,"&gt;"&amp;0)-MIN($F$1+1,COUNTIF(I21:XFD21,"&gt;"&amp;0)),I$1:XFD21,A21+1,FALSE))</f>
        <v>71</v>
      </c>
      <c r="G21" s="8">
        <f t="shared" si="8"/>
        <v>1.2736899489067122</v>
      </c>
      <c r="H21" s="13" t="s">
        <v>612</v>
      </c>
      <c r="I21" s="9">
        <v>9</v>
      </c>
      <c r="J21" s="9">
        <v>15</v>
      </c>
      <c r="K21" s="9">
        <v>25</v>
      </c>
      <c r="L21" s="9">
        <v>35</v>
      </c>
      <c r="M21" s="9">
        <v>56</v>
      </c>
      <c r="N21" s="9">
        <v>71</v>
      </c>
      <c r="O21" s="9">
        <v>100</v>
      </c>
      <c r="P21" s="9">
        <v>125</v>
      </c>
      <c r="Q21" s="9">
        <v>154</v>
      </c>
      <c r="R21" s="9">
        <v>188</v>
      </c>
      <c r="S21" s="9">
        <v>238</v>
      </c>
    </row>
    <row r="22" spans="1:42" x14ac:dyDescent="0.25">
      <c r="A22" s="9">
        <f t="shared" si="5"/>
        <v>21</v>
      </c>
      <c r="B22" s="9">
        <f t="array" ref="B22">IF(C22="",0,IF(OR(C22=Country_Comparison!$S$10:$S$29),1,0))</f>
        <v>0</v>
      </c>
      <c r="C22" s="9" t="str">
        <f t="shared" si="6"/>
        <v>Korea, South</v>
      </c>
      <c r="D22" s="6">
        <f t="shared" si="7"/>
        <v>144</v>
      </c>
      <c r="E22" s="6">
        <f>IF(COUNTIF(I22:XFD22,"&gt;"&amp;0)=0,,HLOOKUP(COUNTIF(I22:XFD22,"&gt;"&amp;0)-1,I$1:XFD22,A22+1,FALSE))</f>
        <v>144</v>
      </c>
      <c r="F22" s="7">
        <f>IF(COUNTIF(I22:XFD22,"&gt;"&amp;0)=0,,HLOOKUP(COUNTIF(I22:XFD22,"&gt;"&amp;0)-MIN($F$1+1,COUNTIF(I22:XFD22,"&gt;"&amp;0)),I$1:XFD22,A22+1,FALSE))</f>
        <v>111</v>
      </c>
      <c r="G22" s="8">
        <f t="shared" si="8"/>
        <v>1.0534353859705836</v>
      </c>
      <c r="H22" s="13" t="s">
        <v>339</v>
      </c>
      <c r="I22" s="9">
        <v>8</v>
      </c>
      <c r="J22" s="9">
        <v>10</v>
      </c>
      <c r="K22" s="9">
        <v>12</v>
      </c>
      <c r="L22" s="9">
        <v>13</v>
      </c>
      <c r="M22" s="9">
        <v>13</v>
      </c>
      <c r="N22" s="9">
        <v>16</v>
      </c>
      <c r="O22" s="9">
        <v>17</v>
      </c>
      <c r="P22" s="9">
        <v>28</v>
      </c>
      <c r="Q22" s="9">
        <v>28</v>
      </c>
      <c r="R22" s="9">
        <v>35</v>
      </c>
      <c r="S22" s="9">
        <v>35</v>
      </c>
      <c r="T22" s="9">
        <v>42</v>
      </c>
      <c r="U22" s="9">
        <v>44</v>
      </c>
      <c r="V22" s="9">
        <v>50</v>
      </c>
      <c r="W22" s="9">
        <v>53</v>
      </c>
      <c r="X22" s="9">
        <v>54</v>
      </c>
      <c r="Y22" s="9">
        <v>60</v>
      </c>
      <c r="Z22" s="9">
        <v>66</v>
      </c>
      <c r="AA22" s="9">
        <v>66</v>
      </c>
      <c r="AB22" s="9">
        <v>72</v>
      </c>
      <c r="AC22" s="9">
        <v>75</v>
      </c>
      <c r="AD22" s="9">
        <v>75</v>
      </c>
      <c r="AE22" s="9">
        <v>81</v>
      </c>
      <c r="AF22" s="9">
        <v>84</v>
      </c>
      <c r="AG22" s="9">
        <v>91</v>
      </c>
      <c r="AH22" s="9">
        <v>94</v>
      </c>
      <c r="AI22" s="9">
        <v>102</v>
      </c>
      <c r="AJ22" s="9">
        <v>111</v>
      </c>
      <c r="AK22" s="9">
        <v>111</v>
      </c>
      <c r="AL22" s="9">
        <v>120</v>
      </c>
      <c r="AM22" s="9">
        <v>126</v>
      </c>
      <c r="AN22" s="9">
        <v>131</v>
      </c>
      <c r="AO22" s="9">
        <v>139</v>
      </c>
      <c r="AP22" s="9">
        <v>144</v>
      </c>
    </row>
    <row r="23" spans="1:42" x14ac:dyDescent="0.25">
      <c r="A23" s="9">
        <f t="shared" si="5"/>
        <v>22</v>
      </c>
      <c r="B23" s="9">
        <f t="array" ref="B23">IF(C23="",0,IF(OR(C23=Country_Comparison!$S$10:$S$29),1,0))</f>
        <v>0</v>
      </c>
      <c r="C23" s="9" t="str">
        <f t="shared" si="6"/>
        <v>Africa</v>
      </c>
      <c r="D23" s="6">
        <f t="shared" si="7"/>
        <v>122</v>
      </c>
      <c r="E23" s="6">
        <f>IF(COUNTIF(I23:XFD23,"&gt;"&amp;0)=0,,HLOOKUP(COUNTIF(I23:XFD23,"&gt;"&amp;0)-1,I$1:XFD23,A23+1,FALSE))</f>
        <v>122</v>
      </c>
      <c r="F23" s="7">
        <f>IF(COUNTIF(I23:XFD23,"&gt;"&amp;0)=0,,HLOOKUP(COUNTIF(I23:XFD23,"&gt;"&amp;0)-MIN($F$1+1,COUNTIF(I23:XFD23,"&gt;"&amp;0)),I$1:XFD23,A23+1,FALSE))</f>
        <v>50</v>
      </c>
      <c r="G23" s="8">
        <f t="shared" si="8"/>
        <v>1.1953028782371256</v>
      </c>
      <c r="H23" s="13" t="s">
        <v>613</v>
      </c>
      <c r="I23" s="9">
        <v>8</v>
      </c>
      <c r="J23" s="9">
        <v>8</v>
      </c>
      <c r="K23" s="9">
        <v>11</v>
      </c>
      <c r="L23" s="9">
        <v>17</v>
      </c>
      <c r="M23" s="9">
        <v>20</v>
      </c>
      <c r="N23" s="9">
        <v>25</v>
      </c>
      <c r="O23" s="9">
        <v>33</v>
      </c>
      <c r="P23" s="9">
        <v>44</v>
      </c>
      <c r="Q23" s="9">
        <v>50</v>
      </c>
      <c r="R23" s="9">
        <v>56</v>
      </c>
      <c r="S23" s="9">
        <v>62</v>
      </c>
      <c r="T23" s="9">
        <v>80</v>
      </c>
      <c r="U23" s="9">
        <v>104</v>
      </c>
      <c r="V23" s="9">
        <v>122</v>
      </c>
    </row>
    <row r="24" spans="1:42" x14ac:dyDescent="0.25">
      <c r="A24" s="9">
        <f t="shared" si="5"/>
        <v>23</v>
      </c>
      <c r="B24" s="9">
        <f t="array" ref="B24">IF(C24="",0,IF(OR(C24=Country_Comparison!$S$10:$S$29),1,0))</f>
        <v>0</v>
      </c>
      <c r="C24" s="9" t="str">
        <f t="shared" si="6"/>
        <v>Brazil</v>
      </c>
      <c r="D24" s="6">
        <f t="shared" si="7"/>
        <v>111</v>
      </c>
      <c r="E24" s="6">
        <f>IF(COUNTIF(I24:XFD24,"&gt;"&amp;0)=0,,HLOOKUP(COUNTIF(I24:XFD24,"&gt;"&amp;0)-1,I$1:XFD24,A24+1,FALSE))</f>
        <v>111</v>
      </c>
      <c r="F24" s="7">
        <f>IF(COUNTIF(I24:XFD24,"&gt;"&amp;0)=0,,HLOOKUP(COUNTIF(I24:XFD24,"&gt;"&amp;0)-MIN($F$1+1,COUNTIF(I24:XFD24,"&gt;"&amp;0)),I$1:XFD24,A24+1,FALSE))</f>
        <v>34</v>
      </c>
      <c r="G24" s="8">
        <f t="shared" si="8"/>
        <v>1.2669772372827728</v>
      </c>
      <c r="H24" s="13" t="s">
        <v>81</v>
      </c>
      <c r="I24" s="9">
        <v>11</v>
      </c>
      <c r="J24" s="9">
        <v>15</v>
      </c>
      <c r="K24" s="9">
        <v>25</v>
      </c>
      <c r="L24" s="9">
        <v>34</v>
      </c>
      <c r="M24" s="9">
        <v>46</v>
      </c>
      <c r="N24" s="9">
        <v>59</v>
      </c>
      <c r="O24" s="9">
        <v>77</v>
      </c>
      <c r="P24" s="9">
        <v>92</v>
      </c>
      <c r="Q24" s="9">
        <v>111</v>
      </c>
    </row>
    <row r="25" spans="1:42" x14ac:dyDescent="0.25">
      <c r="A25" s="9">
        <f t="shared" si="5"/>
        <v>24</v>
      </c>
      <c r="B25" s="9">
        <f t="array" ref="B25">IF(C25="",0,IF(OR(C25=Country_Comparison!$S$10:$S$29),1,0))</f>
        <v>0</v>
      </c>
      <c r="C25" s="9" t="str">
        <f t="shared" si="6"/>
        <v>Turkey</v>
      </c>
      <c r="D25" s="6">
        <f t="shared" si="7"/>
        <v>108</v>
      </c>
      <c r="E25" s="6">
        <f>IF(COUNTIF(I25:XFD25,"&gt;"&amp;0)=0,,HLOOKUP(COUNTIF(I25:XFD25,"&gt;"&amp;0)-1,I$1:XFD25,A25+1,FALSE))</f>
        <v>108</v>
      </c>
      <c r="F25" s="7">
        <f>IF(COUNTIF(I25:XFD25,"&gt;"&amp;0)=0,,HLOOKUP(COUNTIF(I25:XFD25,"&gt;"&amp;0)-MIN($F$1+1,COUNTIF(I25:XFD25,"&gt;"&amp;0)),I$1:XFD25,A25+1,FALSE))</f>
        <v>37</v>
      </c>
      <c r="G25" s="8">
        <f t="shared" si="8"/>
        <v>1.2389232590251862</v>
      </c>
      <c r="H25" s="13" t="s">
        <v>355</v>
      </c>
      <c r="I25" s="9">
        <v>9</v>
      </c>
      <c r="J25" s="9">
        <v>30</v>
      </c>
      <c r="K25" s="9">
        <v>37</v>
      </c>
      <c r="L25" s="9">
        <v>44</v>
      </c>
      <c r="M25" s="9">
        <v>59</v>
      </c>
      <c r="N25" s="9">
        <v>75</v>
      </c>
      <c r="O25" s="9">
        <v>92</v>
      </c>
      <c r="P25" s="9">
        <v>108</v>
      </c>
    </row>
    <row r="26" spans="1:42" x14ac:dyDescent="0.25">
      <c r="A26" s="9">
        <f t="shared" si="5"/>
        <v>25</v>
      </c>
      <c r="B26" s="9">
        <f t="array" ref="B26">IF(C26="",0,IF(OR(C26=Country_Comparison!$S$10:$S$29),1,0))</f>
        <v>0</v>
      </c>
      <c r="C26" s="9" t="str">
        <f t="shared" si="6"/>
        <v>Sweden</v>
      </c>
      <c r="D26" s="6">
        <f t="shared" si="7"/>
        <v>105</v>
      </c>
      <c r="E26" s="6">
        <f>IF(COUNTIF(I26:XFD26,"&gt;"&amp;0)=0,,HLOOKUP(COUNTIF(I26:XFD26,"&gt;"&amp;0)-1,I$1:XFD26,A26+1,FALSE))</f>
        <v>105</v>
      </c>
      <c r="F26" s="7">
        <f>IF(COUNTIF(I26:XFD26,"&gt;"&amp;0)=0,,HLOOKUP(COUNTIF(I26:XFD26,"&gt;"&amp;0)-MIN($F$1+1,COUNTIF(I26:XFD26,"&gt;"&amp;0)),I$1:XFD26,A26+1,FALSE))</f>
        <v>25</v>
      </c>
      <c r="G26" s="8">
        <f t="shared" si="8"/>
        <v>1.3324467383744967</v>
      </c>
      <c r="H26" s="13" t="s">
        <v>59</v>
      </c>
      <c r="I26" s="9">
        <v>10</v>
      </c>
      <c r="J26" s="9">
        <v>11</v>
      </c>
      <c r="K26" s="9">
        <v>16</v>
      </c>
      <c r="L26" s="9">
        <v>20</v>
      </c>
      <c r="M26" s="9">
        <v>21</v>
      </c>
      <c r="N26" s="9">
        <v>25</v>
      </c>
      <c r="O26" s="9">
        <v>36</v>
      </c>
      <c r="P26" s="9">
        <v>62</v>
      </c>
      <c r="Q26" s="9">
        <v>77</v>
      </c>
      <c r="R26" s="9">
        <v>105</v>
      </c>
      <c r="S26" s="9">
        <v>105</v>
      </c>
    </row>
    <row r="27" spans="1:42" x14ac:dyDescent="0.25">
      <c r="A27" s="9">
        <f t="shared" si="5"/>
        <v>26</v>
      </c>
      <c r="B27" s="9">
        <f t="array" ref="B27">IF(C27="",0,IF(OR(C27=Country_Comparison!$S$10:$S$29),1,0))</f>
        <v>0</v>
      </c>
      <c r="C27" s="9" t="str">
        <f t="shared" si="6"/>
        <v>Indonesia</v>
      </c>
      <c r="D27" s="6">
        <f t="shared" si="7"/>
        <v>102</v>
      </c>
      <c r="E27" s="6">
        <f>IF(COUNTIF(I27:XFD27,"&gt;"&amp;0)=0,,HLOOKUP(COUNTIF(I27:XFD27,"&gt;"&amp;0)-1,I$1:XFD27,A27+1,FALSE))</f>
        <v>102</v>
      </c>
      <c r="F27" s="7">
        <f>IF(COUNTIF(I27:XFD27,"&gt;"&amp;0)=0,,HLOOKUP(COUNTIF(I27:XFD27,"&gt;"&amp;0)-MIN($F$1+1,COUNTIF(I27:XFD27,"&gt;"&amp;0)),I$1:XFD27,A27+1,FALSE))</f>
        <v>49</v>
      </c>
      <c r="G27" s="8">
        <f t="shared" si="8"/>
        <v>1.1579260338199469</v>
      </c>
      <c r="H27" s="13" t="s">
        <v>107</v>
      </c>
      <c r="I27" s="9">
        <v>19</v>
      </c>
      <c r="J27" s="9">
        <v>25</v>
      </c>
      <c r="K27" s="9">
        <v>32</v>
      </c>
      <c r="L27" s="9">
        <v>38</v>
      </c>
      <c r="M27" s="9">
        <v>48</v>
      </c>
      <c r="N27" s="9">
        <v>49</v>
      </c>
      <c r="O27" s="9">
        <v>55</v>
      </c>
      <c r="P27" s="9">
        <v>58</v>
      </c>
      <c r="Q27" s="9">
        <v>78</v>
      </c>
      <c r="R27" s="9">
        <v>87</v>
      </c>
      <c r="S27" s="9">
        <v>102</v>
      </c>
    </row>
    <row r="28" spans="1:42" x14ac:dyDescent="0.25">
      <c r="A28" s="9">
        <f t="shared" si="5"/>
        <v>27</v>
      </c>
      <c r="B28" s="9">
        <f t="array" ref="B28">IF(C28="",0,IF(OR(C28=Country_Comparison!$S$10:$S$29),1,0))</f>
        <v>0</v>
      </c>
      <c r="C28" s="9" t="str">
        <f t="shared" si="6"/>
        <v>Portugal</v>
      </c>
      <c r="D28" s="6">
        <f t="shared" si="7"/>
        <v>100</v>
      </c>
      <c r="E28" s="6">
        <f>IF(COUNTIF(I28:XFD28,"&gt;"&amp;0)=0,,HLOOKUP(COUNTIF(I28:XFD28,"&gt;"&amp;0)-1,I$1:XFD28,A28+1,FALSE))</f>
        <v>100</v>
      </c>
      <c r="F28" s="7">
        <f>IF(COUNTIF(I28:XFD28,"&gt;"&amp;0)=0,,HLOOKUP(COUNTIF(I28:XFD28,"&gt;"&amp;0)-MIN($F$1+1,COUNTIF(I28:XFD28,"&gt;"&amp;0)),I$1:XFD28,A28+1,FALSE))</f>
        <v>23</v>
      </c>
      <c r="G28" s="8">
        <f t="shared" si="8"/>
        <v>1.3416969508526897</v>
      </c>
      <c r="H28" s="13" t="s">
        <v>108</v>
      </c>
      <c r="I28" s="9">
        <v>12</v>
      </c>
      <c r="J28" s="9">
        <v>14</v>
      </c>
      <c r="K28" s="9">
        <v>23</v>
      </c>
      <c r="L28" s="9">
        <v>33</v>
      </c>
      <c r="M28" s="9">
        <v>43</v>
      </c>
      <c r="N28" s="9">
        <v>60</v>
      </c>
      <c r="O28" s="9">
        <v>76</v>
      </c>
      <c r="P28" s="9">
        <v>100</v>
      </c>
    </row>
    <row r="29" spans="1:42" x14ac:dyDescent="0.25">
      <c r="A29" s="9">
        <f t="shared" si="5"/>
        <v>28</v>
      </c>
      <c r="B29" s="9">
        <f t="array" ref="B29">IF(C29="",0,IF(OR(C29=Country_Comparison!$S$10:$S$29),1,0))</f>
        <v>0</v>
      </c>
      <c r="C29" s="9" t="str">
        <f t="shared" si="6"/>
        <v>Austria</v>
      </c>
      <c r="D29" s="6">
        <f t="shared" si="7"/>
        <v>68</v>
      </c>
      <c r="E29" s="6">
        <f>IF(COUNTIF(I29:XFD29,"&gt;"&amp;0)=0,,HLOOKUP(COUNTIF(I29:XFD29,"&gt;"&amp;0)-1,I$1:XFD29,A29+1,FALSE))</f>
        <v>68</v>
      </c>
      <c r="F29" s="7">
        <f>IF(COUNTIF(I29:XFD29,"&gt;"&amp;0)=0,,HLOOKUP(COUNTIF(I29:XFD29,"&gt;"&amp;0)-MIN($F$1+1,COUNTIF(I29:XFD29,"&gt;"&amp;0)),I$1:XFD29,A29+1,FALSE))</f>
        <v>21</v>
      </c>
      <c r="G29" s="8">
        <f t="shared" si="8"/>
        <v>1.2649050416727254</v>
      </c>
      <c r="H29" s="13" t="s">
        <v>78</v>
      </c>
      <c r="I29" s="9">
        <v>8</v>
      </c>
      <c r="J29" s="9">
        <v>16</v>
      </c>
      <c r="K29" s="9">
        <v>21</v>
      </c>
      <c r="L29" s="9">
        <v>28</v>
      </c>
      <c r="M29" s="9">
        <v>30</v>
      </c>
      <c r="N29" s="9">
        <v>49</v>
      </c>
      <c r="O29" s="9">
        <v>58</v>
      </c>
      <c r="P29" s="9">
        <v>68</v>
      </c>
    </row>
    <row r="30" spans="1:42" x14ac:dyDescent="0.25">
      <c r="A30" s="9">
        <f t="shared" si="5"/>
        <v>29</v>
      </c>
      <c r="B30" s="9">
        <f t="array" ref="B30">IF(C30="",0,IF(OR(C30=Country_Comparison!$S$10:$S$29),1,0))</f>
        <v>0</v>
      </c>
      <c r="C30" s="9" t="str">
        <f t="shared" si="6"/>
        <v>Philippines</v>
      </c>
      <c r="D30" s="6">
        <f t="shared" si="7"/>
        <v>68</v>
      </c>
      <c r="E30" s="6">
        <f>IF(COUNTIF(I30:XFD30,"&gt;"&amp;0)=0,,HLOOKUP(COUNTIF(I30:XFD30,"&gt;"&amp;0)-1,I$1:XFD30,A30+1,FALSE))</f>
        <v>68</v>
      </c>
      <c r="F30" s="7">
        <f>IF(COUNTIF(I30:XFD30,"&gt;"&amp;0)=0,,HLOOKUP(COUNTIF(I30:XFD30,"&gt;"&amp;0)-MIN($F$1+1,COUNTIF(I30:XFD30,"&gt;"&amp;0)),I$1:XFD30,A30+1,FALSE))</f>
        <v>33</v>
      </c>
      <c r="G30" s="8">
        <f t="shared" si="8"/>
        <v>1.1555772801242656</v>
      </c>
      <c r="H30" s="13" t="s">
        <v>56</v>
      </c>
      <c r="I30" s="9">
        <v>8</v>
      </c>
      <c r="J30" s="9">
        <v>11</v>
      </c>
      <c r="K30" s="9">
        <v>12</v>
      </c>
      <c r="L30" s="9">
        <v>12</v>
      </c>
      <c r="M30" s="9">
        <v>19</v>
      </c>
      <c r="N30" s="9">
        <v>17</v>
      </c>
      <c r="O30" s="9">
        <v>18</v>
      </c>
      <c r="P30" s="9">
        <v>19</v>
      </c>
      <c r="Q30" s="9">
        <v>25</v>
      </c>
      <c r="R30" s="9">
        <v>33</v>
      </c>
      <c r="S30" s="9">
        <v>35</v>
      </c>
      <c r="T30" s="9">
        <v>38</v>
      </c>
      <c r="U30" s="9">
        <v>45</v>
      </c>
      <c r="V30" s="9">
        <v>54</v>
      </c>
      <c r="W30" s="9">
        <v>68</v>
      </c>
    </row>
    <row r="31" spans="1:42" x14ac:dyDescent="0.25">
      <c r="A31" s="9">
        <f t="shared" si="5"/>
        <v>30</v>
      </c>
      <c r="B31" s="9">
        <f t="array" ref="B31">IF(C31="",0,IF(OR(C31=Country_Comparison!$S$10:$S$29),1,0))</f>
        <v>0</v>
      </c>
      <c r="C31" s="9" t="str">
        <f t="shared" si="6"/>
        <v>Denmark</v>
      </c>
      <c r="D31" s="6">
        <f t="shared" si="7"/>
        <v>65</v>
      </c>
      <c r="E31" s="6">
        <f>IF(COUNTIF(I31:XFD31,"&gt;"&amp;0)=0,,HLOOKUP(COUNTIF(I31:XFD31,"&gt;"&amp;0)-1,I$1:XFD31,A31+1,FALSE))</f>
        <v>65</v>
      </c>
      <c r="F31" s="7">
        <f>IF(COUNTIF(I31:XFD31,"&gt;"&amp;0)=0,,HLOOKUP(COUNTIF(I31:XFD31,"&gt;"&amp;0)-MIN($F$1+1,COUNTIF(I31:XFD31,"&gt;"&amp;0)),I$1:XFD31,A31+1,FALSE))</f>
        <v>24</v>
      </c>
      <c r="G31" s="8">
        <f t="shared" si="8"/>
        <v>1.2205074170726322</v>
      </c>
      <c r="H31" s="13" t="s">
        <v>87</v>
      </c>
      <c r="I31" s="9">
        <v>9</v>
      </c>
      <c r="J31" s="9">
        <v>13</v>
      </c>
      <c r="K31" s="9">
        <v>13</v>
      </c>
      <c r="L31" s="9">
        <v>24</v>
      </c>
      <c r="M31" s="9">
        <v>32</v>
      </c>
      <c r="N31" s="9">
        <v>34</v>
      </c>
      <c r="O31" s="9">
        <v>41</v>
      </c>
      <c r="P31" s="9">
        <v>52</v>
      </c>
      <c r="Q31" s="9">
        <v>65</v>
      </c>
    </row>
    <row r="32" spans="1:42" x14ac:dyDescent="0.25">
      <c r="A32" s="9">
        <f t="shared" si="5"/>
        <v>31</v>
      </c>
      <c r="B32" s="9">
        <f t="array" ref="B32">IF(C32="",0,IF(OR(C32=Country_Comparison!$S$10:$S$29),1,0))</f>
        <v>0</v>
      </c>
      <c r="C32" s="9" t="str">
        <f t="shared" si="6"/>
        <v>Canada</v>
      </c>
      <c r="D32" s="6">
        <f t="shared" si="7"/>
        <v>61</v>
      </c>
      <c r="E32" s="6">
        <f>IF(COUNTIF(I32:XFD32,"&gt;"&amp;0)=0,,HLOOKUP(COUNTIF(I32:XFD32,"&gt;"&amp;0)-1,I$1:XFD32,A32+1,FALSE))</f>
        <v>61</v>
      </c>
      <c r="F32" s="7">
        <f>IF(COUNTIF(I32:XFD32,"&gt;"&amp;0)=0,,HLOOKUP(COUNTIF(I32:XFD32,"&gt;"&amp;0)-MIN($F$1+1,COUNTIF(I32:XFD32,"&gt;"&amp;0)),I$1:XFD32,A32+1,FALSE))</f>
        <v>25</v>
      </c>
      <c r="G32" s="8">
        <f t="shared" si="8"/>
        <v>1.1953028782371256</v>
      </c>
      <c r="H32" s="13" t="s">
        <v>45</v>
      </c>
      <c r="I32" s="9">
        <v>8</v>
      </c>
      <c r="J32" s="9">
        <v>9</v>
      </c>
      <c r="K32" s="9">
        <v>12</v>
      </c>
      <c r="L32" s="9">
        <v>19</v>
      </c>
      <c r="M32" s="9">
        <v>21</v>
      </c>
      <c r="N32" s="9">
        <v>25</v>
      </c>
      <c r="O32" s="9">
        <v>26</v>
      </c>
      <c r="P32" s="9">
        <v>30</v>
      </c>
      <c r="Q32" s="9">
        <v>38</v>
      </c>
      <c r="R32" s="9">
        <v>54</v>
      </c>
      <c r="S32" s="9">
        <v>61</v>
      </c>
    </row>
    <row r="33" spans="1:28" x14ac:dyDescent="0.25">
      <c r="A33" s="9">
        <f t="shared" si="5"/>
        <v>32</v>
      </c>
      <c r="B33" s="9">
        <f t="array" ref="B33">IF(C33="",0,IF(OR(C33=Country_Comparison!$S$10:$S$29),1,0))</f>
        <v>0</v>
      </c>
      <c r="C33" s="9" t="str">
        <f t="shared" si="6"/>
        <v>Japan</v>
      </c>
      <c r="D33" s="6">
        <f t="shared" si="7"/>
        <v>52</v>
      </c>
      <c r="E33" s="6">
        <f>IF(COUNTIF(I33:XFD33,"&gt;"&amp;0)=0,,HLOOKUP(COUNTIF(I33:XFD33,"&gt;"&amp;0)-1,I$1:XFD33,A33+1,FALSE))</f>
        <v>52</v>
      </c>
      <c r="F33" s="7">
        <f>IF(COUNTIF(I33:XFD33,"&gt;"&amp;0)=0,,HLOOKUP(COUNTIF(I33:XFD33,"&gt;"&amp;0)-MIN($F$1+1,COUNTIF(I33:XFD33,"&gt;"&amp;0)),I$1:XFD33,A33+1,FALSE))</f>
        <v>42</v>
      </c>
      <c r="G33" s="8">
        <f t="shared" si="8"/>
        <v>1.0436402271504359</v>
      </c>
      <c r="H33" s="13" t="s">
        <v>36</v>
      </c>
      <c r="I33" s="9">
        <v>10</v>
      </c>
      <c r="J33" s="9">
        <v>10</v>
      </c>
      <c r="K33" s="9">
        <v>15</v>
      </c>
      <c r="L33" s="9">
        <v>16</v>
      </c>
      <c r="M33" s="9">
        <v>19</v>
      </c>
      <c r="N33" s="9">
        <v>22</v>
      </c>
      <c r="O33" s="9">
        <v>22</v>
      </c>
      <c r="P33" s="9">
        <v>27</v>
      </c>
      <c r="Q33" s="9">
        <v>29</v>
      </c>
      <c r="R33" s="9">
        <v>29</v>
      </c>
      <c r="S33" s="9">
        <v>29</v>
      </c>
      <c r="T33" s="9">
        <v>33</v>
      </c>
      <c r="U33" s="9">
        <v>35</v>
      </c>
      <c r="V33" s="9">
        <v>41</v>
      </c>
      <c r="W33" s="9">
        <v>42</v>
      </c>
      <c r="X33" s="9">
        <v>43</v>
      </c>
      <c r="Y33" s="9">
        <v>45</v>
      </c>
      <c r="Z33" s="9">
        <v>47</v>
      </c>
      <c r="AA33" s="9">
        <v>49</v>
      </c>
      <c r="AB33" s="9">
        <v>52</v>
      </c>
    </row>
    <row r="34" spans="1:28" x14ac:dyDescent="0.25">
      <c r="A34" s="9">
        <f t="shared" si="5"/>
        <v>33</v>
      </c>
      <c r="B34" s="9">
        <f t="array" ref="B34">IF(C34="",0,IF(OR(C34=Country_Comparison!$S$10:$S$29),1,0))</f>
        <v>0</v>
      </c>
      <c r="C34" s="9" t="str">
        <f t="shared" si="6"/>
        <v>Ecuador</v>
      </c>
      <c r="D34" s="6">
        <f t="shared" si="7"/>
        <v>48</v>
      </c>
      <c r="E34" s="6">
        <f>IF(COUNTIF(I34:XFD34,"&gt;"&amp;0)=0,,HLOOKUP(COUNTIF(I34:XFD34,"&gt;"&amp;0)-1,I$1:XFD34,A34+1,FALSE))</f>
        <v>48</v>
      </c>
      <c r="F34" s="7">
        <f>IF(COUNTIF(I34:XFD34,"&gt;"&amp;0)=0,,HLOOKUP(COUNTIF(I34:XFD34,"&gt;"&amp;0)-MIN($F$1+1,COUNTIF(I34:XFD34,"&gt;"&amp;0)),I$1:XFD34,A34+1,FALSE))</f>
        <v>18</v>
      </c>
      <c r="G34" s="8">
        <f t="shared" si="8"/>
        <v>1.2167286837864115</v>
      </c>
      <c r="H34" s="13" t="s">
        <v>103</v>
      </c>
      <c r="I34" s="9">
        <v>14</v>
      </c>
      <c r="J34" s="9">
        <v>18</v>
      </c>
      <c r="K34" s="9">
        <v>27</v>
      </c>
      <c r="L34" s="9">
        <v>28</v>
      </c>
      <c r="M34" s="9">
        <v>34</v>
      </c>
      <c r="N34" s="9">
        <v>36</v>
      </c>
      <c r="O34" s="9">
        <v>48</v>
      </c>
    </row>
    <row r="35" spans="1:28" x14ac:dyDescent="0.25">
      <c r="A35" s="9">
        <f t="shared" si="5"/>
        <v>34</v>
      </c>
      <c r="B35" s="9">
        <f t="array" ref="B35">IF(C35="",0,IF(OR(C35=Country_Comparison!$S$10:$S$29),1,0))</f>
        <v>0</v>
      </c>
      <c r="C35" s="9" t="str">
        <f t="shared" si="6"/>
        <v>Iraq</v>
      </c>
      <c r="D35" s="6">
        <f t="shared" si="7"/>
        <v>42</v>
      </c>
      <c r="E35" s="6">
        <f>IF(COUNTIF(I35:XFD35,"&gt;"&amp;0)=0,,HLOOKUP(COUNTIF(I35:XFD35,"&gt;"&amp;0)-1,I$1:XFD35,A35+1,FALSE))</f>
        <v>42</v>
      </c>
      <c r="F35" s="7">
        <f>IF(COUNTIF(I35:XFD35,"&gt;"&amp;0)=0,,HLOOKUP(COUNTIF(I35:XFD35,"&gt;"&amp;0)-MIN($F$1+1,COUNTIF(I35:XFD35,"&gt;"&amp;0)),I$1:XFD35,A35+1,FALSE))</f>
        <v>23</v>
      </c>
      <c r="G35" s="8">
        <f t="shared" si="8"/>
        <v>1.1279875101706811</v>
      </c>
      <c r="H35" s="13" t="s">
        <v>70</v>
      </c>
      <c r="I35" s="9">
        <v>8</v>
      </c>
      <c r="J35" s="9">
        <v>9</v>
      </c>
      <c r="K35" s="9">
        <v>10</v>
      </c>
      <c r="L35" s="9">
        <v>10</v>
      </c>
      <c r="M35" s="9">
        <v>10</v>
      </c>
      <c r="N35" s="9">
        <v>11</v>
      </c>
      <c r="O35" s="9">
        <v>12</v>
      </c>
      <c r="P35" s="9">
        <v>13</v>
      </c>
      <c r="Q35" s="9">
        <v>17</v>
      </c>
      <c r="R35" s="9">
        <v>17</v>
      </c>
      <c r="S35" s="9">
        <v>20</v>
      </c>
      <c r="T35" s="9">
        <v>23</v>
      </c>
      <c r="U35" s="9">
        <v>27</v>
      </c>
      <c r="V35" s="9">
        <v>29</v>
      </c>
      <c r="W35" s="9">
        <v>36</v>
      </c>
      <c r="X35" s="9">
        <v>40</v>
      </c>
      <c r="Y35" s="9">
        <v>42</v>
      </c>
    </row>
    <row r="36" spans="1:28" x14ac:dyDescent="0.25">
      <c r="A36" s="9">
        <f t="shared" si="5"/>
        <v>35</v>
      </c>
      <c r="B36" s="9">
        <f t="array" ref="B36">IF(C36="",0,IF(OR(C36=Country_Comparison!$S$10:$S$29),1,0))</f>
        <v>0</v>
      </c>
      <c r="C36" s="9" t="str">
        <f t="shared" si="6"/>
        <v>Romania</v>
      </c>
      <c r="D36" s="6">
        <f t="shared" si="7"/>
        <v>37</v>
      </c>
      <c r="E36" s="6">
        <f>IF(COUNTIF(I36:XFD36,"&gt;"&amp;0)=0,,HLOOKUP(COUNTIF(I36:XFD36,"&gt;"&amp;0)-1,I$1:XFD36,A36+1,FALSE))</f>
        <v>37</v>
      </c>
      <c r="F36" s="7">
        <f>IF(COUNTIF(I36:XFD36,"&gt;"&amp;0)=0,,HLOOKUP(COUNTIF(I36:XFD36,"&gt;"&amp;0)-MIN($F$1+1,COUNTIF(I36:XFD36,"&gt;"&amp;0)),I$1:XFD36,A36+1,FALSE))</f>
        <v>11</v>
      </c>
      <c r="G36" s="8">
        <f t="shared" si="8"/>
        <v>1.3542606504131529</v>
      </c>
      <c r="H36" s="13" t="s">
        <v>86</v>
      </c>
      <c r="I36" s="9">
        <v>11</v>
      </c>
      <c r="J36" s="9">
        <v>17</v>
      </c>
      <c r="K36" s="9">
        <v>23</v>
      </c>
      <c r="L36" s="9">
        <v>26</v>
      </c>
      <c r="M36" s="9">
        <v>37</v>
      </c>
    </row>
    <row r="37" spans="1:28" x14ac:dyDescent="0.25">
      <c r="A37" s="9">
        <f t="shared" si="5"/>
        <v>36</v>
      </c>
      <c r="B37" s="9">
        <f t="array" ref="B37">IF(C37="",0,IF(OR(C37=Country_Comparison!$S$10:$S$29),1,0))</f>
        <v>0</v>
      </c>
      <c r="C37" s="9" t="str">
        <f t="shared" si="6"/>
        <v>Ireland</v>
      </c>
      <c r="D37" s="6">
        <f t="shared" si="7"/>
        <v>36</v>
      </c>
      <c r="E37" s="6">
        <f>IF(COUNTIF(I37:XFD37,"&gt;"&amp;0)=0,,HLOOKUP(COUNTIF(I37:XFD37,"&gt;"&amp;0)-1,I$1:XFD37,A37+1,FALSE))</f>
        <v>36</v>
      </c>
      <c r="F37" s="7">
        <f>IF(COUNTIF(I37:XFD37,"&gt;"&amp;0)=0,,HLOOKUP(COUNTIF(I37:XFD37,"&gt;"&amp;0)-MIN($F$1+1,COUNTIF(I37:XFD37,"&gt;"&amp;0)),I$1:XFD37,A37+1,FALSE))</f>
        <v>9</v>
      </c>
      <c r="G37" s="8">
        <f t="shared" si="8"/>
        <v>1.5874010519681994</v>
      </c>
      <c r="H37" s="13" t="s">
        <v>98</v>
      </c>
      <c r="I37" s="9">
        <v>9</v>
      </c>
      <c r="J37" s="9">
        <v>19</v>
      </c>
      <c r="K37" s="9">
        <v>22</v>
      </c>
      <c r="L37" s="9">
        <v>36</v>
      </c>
    </row>
    <row r="38" spans="1:28" x14ac:dyDescent="0.25">
      <c r="A38" s="9">
        <f t="shared" si="5"/>
        <v>37</v>
      </c>
      <c r="B38" s="9">
        <f t="array" ref="B38">IF(C38="",0,IF(OR(C38=Country_Comparison!$S$10:$S$29),1,0))</f>
        <v>0</v>
      </c>
      <c r="C38" s="9" t="str">
        <f t="shared" si="6"/>
        <v>Egypt</v>
      </c>
      <c r="D38" s="6">
        <f t="shared" si="7"/>
        <v>36</v>
      </c>
      <c r="E38" s="6">
        <f>IF(COUNTIF(I38:XFD38,"&gt;"&amp;0)=0,,HLOOKUP(COUNTIF(I38:XFD38,"&gt;"&amp;0)-1,I$1:XFD38,A38+1,FALSE))</f>
        <v>36</v>
      </c>
      <c r="F38" s="7">
        <f>IF(COUNTIF(I38:XFD38,"&gt;"&amp;0)=0,,HLOOKUP(COUNTIF(I38:XFD38,"&gt;"&amp;0)-MIN($F$1+1,COUNTIF(I38:XFD38,"&gt;"&amp;0)),I$1:XFD38,A38+1,FALSE))</f>
        <v>19</v>
      </c>
      <c r="G38" s="8">
        <f t="shared" si="8"/>
        <v>1.1363438869307663</v>
      </c>
      <c r="H38" s="13" t="s">
        <v>65</v>
      </c>
      <c r="I38" s="9">
        <v>8</v>
      </c>
      <c r="J38" s="9">
        <v>10</v>
      </c>
      <c r="K38" s="9">
        <v>14</v>
      </c>
      <c r="L38" s="9">
        <v>19</v>
      </c>
      <c r="M38" s="9">
        <v>20</v>
      </c>
      <c r="N38" s="9">
        <v>21</v>
      </c>
      <c r="O38" s="9">
        <v>24</v>
      </c>
      <c r="P38" s="9">
        <v>30</v>
      </c>
      <c r="Q38" s="9">
        <v>36</v>
      </c>
    </row>
    <row r="39" spans="1:28" x14ac:dyDescent="0.25">
      <c r="A39" s="9">
        <f t="shared" si="5"/>
        <v>38</v>
      </c>
      <c r="B39" s="9">
        <f t="array" ref="B39">IF(C39="",0,IF(OR(C39=Country_Comparison!$S$10:$S$29),1,0))</f>
        <v>0</v>
      </c>
      <c r="C39" s="9" t="str">
        <f t="shared" si="6"/>
        <v>Greece</v>
      </c>
      <c r="D39" s="6">
        <f t="shared" si="7"/>
        <v>32</v>
      </c>
      <c r="E39" s="6">
        <f>IF(COUNTIF(I39:XFD39,"&gt;"&amp;0)=0,,HLOOKUP(COUNTIF(I39:XFD39,"&gt;"&amp;0)-1,I$1:XFD39,A39+1,FALSE))</f>
        <v>32</v>
      </c>
      <c r="F39" s="7">
        <f>IF(COUNTIF(I39:XFD39,"&gt;"&amp;0)=0,,HLOOKUP(COUNTIF(I39:XFD39,"&gt;"&amp;0)-MIN($F$1+1,COUNTIF(I39:XFD39,"&gt;"&amp;0)),I$1:XFD39,A39+1,FALSE))</f>
        <v>17</v>
      </c>
      <c r="G39" s="8">
        <f t="shared" si="8"/>
        <v>1.1348545713431601</v>
      </c>
      <c r="H39" s="13" t="s">
        <v>83</v>
      </c>
      <c r="I39" s="9">
        <v>13</v>
      </c>
      <c r="J39" s="9">
        <v>15</v>
      </c>
      <c r="K39" s="9">
        <v>17</v>
      </c>
      <c r="L39" s="9">
        <v>20</v>
      </c>
      <c r="M39" s="9">
        <v>22</v>
      </c>
      <c r="N39" s="9">
        <v>26</v>
      </c>
      <c r="O39" s="9">
        <v>28</v>
      </c>
      <c r="P39" s="9">
        <v>32</v>
      </c>
    </row>
    <row r="40" spans="1:28" x14ac:dyDescent="0.25">
      <c r="A40" s="9">
        <f t="shared" si="5"/>
        <v>39</v>
      </c>
      <c r="B40" s="9">
        <f t="array" ref="B40">IF(C40="",0,IF(OR(C40=Country_Comparison!$S$10:$S$29),1,0))</f>
        <v>0</v>
      </c>
      <c r="C40" s="9" t="str">
        <f t="shared" si="6"/>
        <v>Algeria</v>
      </c>
      <c r="D40" s="6">
        <f t="shared" si="7"/>
        <v>29</v>
      </c>
      <c r="E40" s="6">
        <f>IF(COUNTIF(I40:XFD40,"&gt;"&amp;0)=0,,HLOOKUP(COUNTIF(I40:XFD40,"&gt;"&amp;0)-1,I$1:XFD40,A40+1,FALSE))</f>
        <v>29</v>
      </c>
      <c r="F40" s="7">
        <f>IF(COUNTIF(I40:XFD40,"&gt;"&amp;0)=0,,HLOOKUP(COUNTIF(I40:XFD40,"&gt;"&amp;0)-MIN($F$1+1,COUNTIF(I40:XFD40,"&gt;"&amp;0)),I$1:XFD40,A40+1,FALSE))</f>
        <v>17</v>
      </c>
      <c r="G40" s="8">
        <f t="shared" si="8"/>
        <v>1.1127300466488179</v>
      </c>
      <c r="H40" s="13" t="s">
        <v>75</v>
      </c>
      <c r="I40" s="9">
        <v>9</v>
      </c>
      <c r="J40" s="9">
        <v>11</v>
      </c>
      <c r="K40" s="9">
        <v>15</v>
      </c>
      <c r="L40" s="9">
        <v>17</v>
      </c>
      <c r="M40" s="9">
        <v>17</v>
      </c>
      <c r="N40" s="9">
        <v>19</v>
      </c>
      <c r="O40" s="9">
        <v>21</v>
      </c>
      <c r="P40" s="9">
        <v>25</v>
      </c>
      <c r="Q40" s="9">
        <v>26</v>
      </c>
      <c r="R40" s="9">
        <v>29</v>
      </c>
    </row>
    <row r="41" spans="1:28" x14ac:dyDescent="0.25">
      <c r="A41" s="9">
        <f t="shared" si="5"/>
        <v>40</v>
      </c>
      <c r="B41" s="9">
        <f t="array" ref="B41">IF(C41="",0,IF(OR(C41=Country_Comparison!$S$10:$S$29),1,0))</f>
        <v>0</v>
      </c>
      <c r="C41" s="9" t="str">
        <f t="shared" si="6"/>
        <v>Dominican Republic</v>
      </c>
      <c r="D41" s="6">
        <f t="shared" si="7"/>
        <v>28</v>
      </c>
      <c r="E41" s="6">
        <f>IF(COUNTIF(I41:XFD41,"&gt;"&amp;0)=0,,HLOOKUP(COUNTIF(I41:XFD41,"&gt;"&amp;0)-1,I$1:XFD41,A41+1,FALSE))</f>
        <v>28</v>
      </c>
      <c r="F41" s="7">
        <f>IF(COUNTIF(I41:XFD41,"&gt;"&amp;0)=0,,HLOOKUP(COUNTIF(I41:XFD41,"&gt;"&amp;0)-MIN($F$1+1,COUNTIF(I41:XFD41,"&gt;"&amp;0)),I$1:XFD41,A41+1,FALSE))</f>
        <v>10</v>
      </c>
      <c r="G41" s="8">
        <f t="shared" si="8"/>
        <v>1.4094597464129783</v>
      </c>
      <c r="H41" s="13" t="s">
        <v>106</v>
      </c>
      <c r="I41" s="9">
        <v>10</v>
      </c>
      <c r="J41" s="9">
        <v>10</v>
      </c>
      <c r="K41" s="9">
        <v>20</v>
      </c>
      <c r="L41" s="9">
        <v>28</v>
      </c>
    </row>
    <row r="42" spans="1:28" x14ac:dyDescent="0.25">
      <c r="A42" s="9">
        <f t="shared" si="5"/>
        <v>41</v>
      </c>
      <c r="B42" s="9">
        <f t="array" ref="B42">IF(C42="",0,IF(OR(C42=Country_Comparison!$S$10:$S$29),1,0))</f>
        <v>0</v>
      </c>
      <c r="C42" s="9" t="str">
        <f t="shared" si="6"/>
        <v>Malaysia</v>
      </c>
      <c r="D42" s="6">
        <f t="shared" si="7"/>
        <v>27</v>
      </c>
      <c r="E42" s="6">
        <f>IF(COUNTIF(I42:XFD42,"&gt;"&amp;0)=0,,HLOOKUP(COUNTIF(I42:XFD42,"&gt;"&amp;0)-1,I$1:XFD42,A42+1,FALSE))</f>
        <v>27</v>
      </c>
      <c r="F42" s="7">
        <f>IF(COUNTIF(I42:XFD42,"&gt;"&amp;0)=0,,HLOOKUP(COUNTIF(I42:XFD42,"&gt;"&amp;0)-MIN($F$1+1,COUNTIF(I42:XFD42,"&gt;"&amp;0)),I$1:XFD42,A42+1,FALSE))</f>
        <v>14</v>
      </c>
      <c r="G42" s="8">
        <f t="shared" si="8"/>
        <v>1.1403735763502529</v>
      </c>
      <c r="H42" s="13" t="s">
        <v>43</v>
      </c>
      <c r="I42" s="9">
        <v>10</v>
      </c>
      <c r="J42" s="9">
        <v>14</v>
      </c>
      <c r="K42" s="9">
        <v>16</v>
      </c>
      <c r="L42" s="9">
        <v>20</v>
      </c>
      <c r="M42" s="9">
        <v>23</v>
      </c>
      <c r="N42" s="9">
        <v>26</v>
      </c>
      <c r="O42" s="9">
        <v>27</v>
      </c>
    </row>
    <row r="43" spans="1:28" x14ac:dyDescent="0.25">
      <c r="A43" s="9">
        <f t="shared" si="5"/>
        <v>42</v>
      </c>
      <c r="B43" s="9">
        <f t="array" ref="B43">IF(C43="",0,IF(OR(C43=Country_Comparison!$S$10:$S$29),1,0))</f>
        <v>0</v>
      </c>
      <c r="C43" s="9" t="str">
        <f t="shared" si="6"/>
        <v>Morocco</v>
      </c>
      <c r="D43" s="6">
        <f t="shared" si="7"/>
        <v>25</v>
      </c>
      <c r="E43" s="6">
        <f>IF(COUNTIF(I43:XFD43,"&gt;"&amp;0)=0,,HLOOKUP(COUNTIF(I43:XFD43,"&gt;"&amp;0)-1,I$1:XFD43,A43+1,FALSE))</f>
        <v>25</v>
      </c>
      <c r="F43" s="7">
        <f>IF(COUNTIF(I43:XFD43,"&gt;"&amp;0)=0,,HLOOKUP(COUNTIF(I43:XFD43,"&gt;"&amp;0)-MIN($F$1+1,COUNTIF(I43:XFD43,"&gt;"&amp;0)),I$1:XFD43,A43+1,FALSE))</f>
        <v>11</v>
      </c>
      <c r="G43" s="8">
        <f t="shared" si="8"/>
        <v>1.5075567228888183</v>
      </c>
      <c r="H43" s="13" t="s">
        <v>112</v>
      </c>
      <c r="I43" s="9">
        <v>11</v>
      </c>
      <c r="J43" s="9">
        <v>23</v>
      </c>
      <c r="K43" s="9">
        <v>25</v>
      </c>
    </row>
    <row r="44" spans="1:28" x14ac:dyDescent="0.25">
      <c r="A44" s="9">
        <f t="shared" si="5"/>
        <v>43</v>
      </c>
      <c r="B44" s="9">
        <f t="array" ref="B44">IF(C44="",0,IF(OR(C44=Country_Comparison!$S$10:$S$29),1,0))</f>
        <v>0</v>
      </c>
      <c r="C44" s="9" t="str">
        <f t="shared" si="6"/>
        <v>India</v>
      </c>
      <c r="D44" s="6">
        <f t="shared" si="7"/>
        <v>24</v>
      </c>
      <c r="E44" s="6">
        <f>IF(COUNTIF(I44:XFD44,"&gt;"&amp;0)=0,,HLOOKUP(COUNTIF(I44:XFD44,"&gt;"&amp;0)-1,I$1:XFD44,A44+1,FALSE))</f>
        <v>24</v>
      </c>
      <c r="F44" s="7">
        <f>IF(COUNTIF(I44:XFD44,"&gt;"&amp;0)=0,,HLOOKUP(COUNTIF(I44:XFD44,"&gt;"&amp;0)-MIN($F$1+1,COUNTIF(I44:XFD44,"&gt;"&amp;0)),I$1:XFD44,A44+1,FALSE))</f>
        <v>10</v>
      </c>
      <c r="G44" s="8">
        <f t="shared" si="8"/>
        <v>1.1913578981670916</v>
      </c>
      <c r="H44" s="13" t="s">
        <v>57</v>
      </c>
      <c r="I44" s="9">
        <v>10</v>
      </c>
      <c r="J44" s="9">
        <v>10</v>
      </c>
      <c r="K44" s="9">
        <v>12</v>
      </c>
      <c r="L44" s="9">
        <v>20</v>
      </c>
      <c r="M44" s="9">
        <v>20</v>
      </c>
      <c r="N44" s="9">
        <v>24</v>
      </c>
    </row>
    <row r="45" spans="1:28" x14ac:dyDescent="0.25">
      <c r="A45" s="9">
        <f t="shared" si="5"/>
        <v>44</v>
      </c>
      <c r="B45" s="9">
        <f t="array" ref="B45">IF(C45="",0,IF(OR(C45=Country_Comparison!$S$10:$S$29),1,0))</f>
        <v>0</v>
      </c>
      <c r="C45" s="9" t="str">
        <f t="shared" si="6"/>
        <v>Norway</v>
      </c>
      <c r="D45" s="6">
        <f t="shared" si="7"/>
        <v>23</v>
      </c>
      <c r="E45" s="6">
        <f>IF(COUNTIF(I45:XFD45,"&gt;"&amp;0)=0,,HLOOKUP(COUNTIF(I45:XFD45,"&gt;"&amp;0)-1,I$1:XFD45,A45+1,FALSE))</f>
        <v>23</v>
      </c>
      <c r="F45" s="7">
        <f>IF(COUNTIF(I45:XFD45,"&gt;"&amp;0)=0,,HLOOKUP(COUNTIF(I45:XFD45,"&gt;"&amp;0)-MIN($F$1+1,COUNTIF(I45:XFD45,"&gt;"&amp;0)),I$1:XFD45,A45+1,FALSE))</f>
        <v>10</v>
      </c>
      <c r="G45" s="8">
        <f t="shared" si="8"/>
        <v>1.1812601880431084</v>
      </c>
      <c r="H45" s="13" t="s">
        <v>85</v>
      </c>
      <c r="I45" s="9">
        <v>10</v>
      </c>
      <c r="J45" s="9">
        <v>12</v>
      </c>
      <c r="K45" s="9">
        <v>14</v>
      </c>
      <c r="L45" s="9">
        <v>14</v>
      </c>
      <c r="M45" s="9">
        <v>19</v>
      </c>
      <c r="N45" s="9">
        <v>23</v>
      </c>
    </row>
    <row r="46" spans="1:28" x14ac:dyDescent="0.25">
      <c r="A46" s="9">
        <f t="shared" si="5"/>
        <v>45</v>
      </c>
      <c r="B46" s="9">
        <f t="array" ref="B46">IF(C46="",0,IF(OR(C46=Country_Comparison!$S$10:$S$29),1,0))</f>
        <v>0</v>
      </c>
      <c r="C46" s="9" t="str">
        <f t="shared" si="6"/>
        <v>San Marino</v>
      </c>
      <c r="D46" s="6">
        <f t="shared" si="7"/>
        <v>22</v>
      </c>
      <c r="E46" s="6">
        <f>IF(COUNTIF(I46:XFD46,"&gt;"&amp;0)=0,,HLOOKUP(COUNTIF(I46:XFD46,"&gt;"&amp;0)-1,I$1:XFD46,A46+1,FALSE))</f>
        <v>22</v>
      </c>
      <c r="F46" s="7">
        <f>IF(COUNTIF(I46:XFD46,"&gt;"&amp;0)=0,,HLOOKUP(COUNTIF(I46:XFD46,"&gt;"&amp;0)-MIN($F$1+1,COUNTIF(I46:XFD46,"&gt;"&amp;0)),I$1:XFD46,A46+1,FALSE))</f>
        <v>20</v>
      </c>
      <c r="G46" s="8">
        <f t="shared" si="8"/>
        <v>1.0192448764914566</v>
      </c>
      <c r="H46" s="13" t="s">
        <v>90</v>
      </c>
      <c r="I46" s="9">
        <v>11</v>
      </c>
      <c r="J46" s="9">
        <v>11</v>
      </c>
      <c r="K46" s="9">
        <v>14</v>
      </c>
      <c r="L46" s="9">
        <v>20</v>
      </c>
      <c r="M46" s="9">
        <v>20</v>
      </c>
      <c r="N46" s="9">
        <v>20</v>
      </c>
      <c r="O46" s="9">
        <v>21</v>
      </c>
      <c r="P46" s="9">
        <v>21</v>
      </c>
      <c r="Q46" s="9">
        <v>21</v>
      </c>
      <c r="R46" s="9">
        <v>21</v>
      </c>
      <c r="S46" s="9">
        <v>22</v>
      </c>
    </row>
    <row r="47" spans="1:28" x14ac:dyDescent="0.25">
      <c r="A47" s="9">
        <f t="shared" si="5"/>
        <v>46</v>
      </c>
      <c r="B47" s="9">
        <f t="array" ref="B47">IF(C47="",0,IF(OR(C47=Country_Comparison!$S$10:$S$29),1,0))</f>
        <v>0</v>
      </c>
      <c r="C47" s="9" t="str">
        <f t="shared" si="6"/>
        <v>Poland</v>
      </c>
      <c r="D47" s="6">
        <f t="shared" si="7"/>
        <v>18</v>
      </c>
      <c r="E47" s="6">
        <f>IF(COUNTIF(I47:XFD47,"&gt;"&amp;0)=0,,HLOOKUP(COUNTIF(I47:XFD47,"&gt;"&amp;0)-1,I$1:XFD47,A47+1,FALSE))</f>
        <v>18</v>
      </c>
      <c r="F47" s="7">
        <f>IF(COUNTIF(I47:XFD47,"&gt;"&amp;0)=0,,HLOOKUP(COUNTIF(I47:XFD47,"&gt;"&amp;0)-MIN($F$1+1,COUNTIF(I47:XFD47,"&gt;"&amp;0)),I$1:XFD47,A47+1,FALSE))</f>
        <v>8</v>
      </c>
      <c r="G47" s="8">
        <f t="shared" si="8"/>
        <v>1.1760790225246736</v>
      </c>
      <c r="H47" s="13" t="s">
        <v>137</v>
      </c>
      <c r="I47" s="9">
        <v>8</v>
      </c>
      <c r="J47" s="9">
        <v>10</v>
      </c>
      <c r="K47" s="9">
        <v>14</v>
      </c>
      <c r="L47" s="9">
        <v>16</v>
      </c>
      <c r="M47" s="9">
        <v>16</v>
      </c>
      <c r="N47" s="9">
        <v>18</v>
      </c>
    </row>
    <row r="48" spans="1:28" x14ac:dyDescent="0.25">
      <c r="A48" s="9">
        <f t="shared" si="5"/>
        <v>47</v>
      </c>
      <c r="B48" s="9">
        <f t="array" ref="B48">IF(C48="",0,IF(OR(C48=Country_Comparison!$S$10:$S$29),1,0))</f>
        <v>0</v>
      </c>
      <c r="C48" s="9" t="str">
        <f t="shared" si="6"/>
        <v>Luxembourg</v>
      </c>
      <c r="D48" s="6">
        <f t="shared" si="7"/>
        <v>18</v>
      </c>
      <c r="E48" s="6">
        <f>IF(COUNTIF(I48:XFD48,"&gt;"&amp;0)=0,,HLOOKUP(COUNTIF(I48:XFD48,"&gt;"&amp;0)-1,I$1:XFD48,A48+1,FALSE))</f>
        <v>18</v>
      </c>
      <c r="F48" s="7">
        <f>IF(COUNTIF(I48:XFD48,"&gt;"&amp;0)=0,,HLOOKUP(COUNTIF(I48:XFD48,"&gt;"&amp;0)-MIN($F$1+1,COUNTIF(I48:XFD48,"&gt;"&amp;0)),I$1:XFD48,A48+1,FALSE))</f>
        <v>8</v>
      </c>
      <c r="G48" s="8">
        <f t="shared" si="8"/>
        <v>1.1760790225246736</v>
      </c>
      <c r="H48" s="13" t="s">
        <v>99</v>
      </c>
      <c r="I48" s="9">
        <v>8</v>
      </c>
      <c r="J48" s="9">
        <v>8</v>
      </c>
      <c r="K48" s="9">
        <v>8</v>
      </c>
      <c r="L48" s="9">
        <v>8</v>
      </c>
      <c r="M48" s="9">
        <v>8</v>
      </c>
      <c r="N48" s="9">
        <v>9</v>
      </c>
      <c r="O48" s="9">
        <v>15</v>
      </c>
      <c r="P48" s="9">
        <v>18</v>
      </c>
    </row>
    <row r="49" spans="1:13" x14ac:dyDescent="0.25">
      <c r="A49" s="9">
        <f t="shared" si="5"/>
        <v>48</v>
      </c>
      <c r="B49" s="9">
        <f t="array" ref="B49">IF(C49="",0,IF(OR(C49=Country_Comparison!$S$10:$S$29),1,0))</f>
        <v>0</v>
      </c>
      <c r="C49" s="9" t="str">
        <f t="shared" si="6"/>
        <v>Argentina</v>
      </c>
      <c r="D49" s="6">
        <f t="shared" si="7"/>
        <v>18</v>
      </c>
      <c r="E49" s="6">
        <f>IF(COUNTIF(I49:XFD49,"&gt;"&amp;0)=0,,HLOOKUP(COUNTIF(I49:XFD49,"&gt;"&amp;0)-1,I$1:XFD49,A49+1,FALSE))</f>
        <v>18</v>
      </c>
      <c r="F49" s="7">
        <f>IF(COUNTIF(I49:XFD49,"&gt;"&amp;0)=0,,HLOOKUP(COUNTIF(I49:XFD49,"&gt;"&amp;0)-MIN($F$1+1,COUNTIF(I49:XFD49,"&gt;"&amp;0)),I$1:XFD49,A49+1,FALSE))</f>
        <v>8</v>
      </c>
      <c r="G49" s="8">
        <f t="shared" si="8"/>
        <v>1.3103706971044482</v>
      </c>
      <c r="H49" s="13" t="s">
        <v>123</v>
      </c>
      <c r="I49" s="9">
        <v>8</v>
      </c>
      <c r="J49" s="9">
        <v>9</v>
      </c>
      <c r="K49" s="9">
        <v>13</v>
      </c>
      <c r="L49" s="9">
        <v>18</v>
      </c>
    </row>
    <row r="50" spans="1:13" x14ac:dyDescent="0.25">
      <c r="A50" s="9">
        <f t="shared" si="5"/>
        <v>49</v>
      </c>
      <c r="B50" s="9">
        <f t="array" ref="B50">IF(C50="",0,IF(OR(C50=Country_Comparison!$S$10:$S$29),1,0))</f>
        <v>0</v>
      </c>
      <c r="C50" s="9" t="str">
        <f t="shared" si="6"/>
        <v>Peru</v>
      </c>
      <c r="D50" s="6">
        <f t="shared" si="7"/>
        <v>16</v>
      </c>
      <c r="E50" s="6">
        <f>IF(COUNTIF(I50:XFD50,"&gt;"&amp;0)=0,,HLOOKUP(COUNTIF(I50:XFD50,"&gt;"&amp;0)-1,I$1:XFD50,A50+1,FALSE))</f>
        <v>16</v>
      </c>
      <c r="F50" s="7">
        <f>IF(COUNTIF(I50:XFD50,"&gt;"&amp;0)=0,,HLOOKUP(COUNTIF(I50:XFD50,"&gt;"&amp;0)-MIN($F$1+1,COUNTIF(I50:XFD50,"&gt;"&amp;0)),I$1:XFD50,A50+1,FALSE))</f>
        <v>9</v>
      </c>
      <c r="G50" s="8">
        <f t="shared" si="8"/>
        <v>1.2114137285547597</v>
      </c>
      <c r="H50" s="13" t="s">
        <v>160</v>
      </c>
      <c r="I50" s="9">
        <v>9</v>
      </c>
      <c r="J50" s="9">
        <v>9</v>
      </c>
      <c r="K50" s="9">
        <v>11</v>
      </c>
      <c r="L50" s="9">
        <v>16</v>
      </c>
    </row>
    <row r="51" spans="1:13" x14ac:dyDescent="0.25">
      <c r="A51" s="9">
        <f t="shared" si="5"/>
        <v>50</v>
      </c>
      <c r="B51" s="9">
        <f t="array" ref="B51">IF(C51="",0,IF(OR(C51=Country_Comparison!$S$10:$S$29),1,0))</f>
        <v>0</v>
      </c>
      <c r="C51" s="9" t="str">
        <f t="shared" si="6"/>
        <v>Australia</v>
      </c>
      <c r="D51" s="6">
        <f t="shared" si="7"/>
        <v>14</v>
      </c>
      <c r="E51" s="6">
        <f>IF(COUNTIF(I51:XFD51,"&gt;"&amp;0)=0,,HLOOKUP(COUNTIF(I51:XFD51,"&gt;"&amp;0)-1,I$1:XFD51,A51+1,FALSE))</f>
        <v>14</v>
      </c>
      <c r="F51" s="7">
        <f>IF(COUNTIF(I51:XFD51,"&gt;"&amp;0)=0,,HLOOKUP(COUNTIF(I51:XFD51,"&gt;"&amp;0)-MIN($F$1+1,COUNTIF(I51:XFD51,"&gt;"&amp;0)),I$1:XFD51,A51+1,FALSE))</f>
        <v>8</v>
      </c>
      <c r="G51" s="8">
        <f t="shared" si="8"/>
        <v>1.1501633168956029</v>
      </c>
      <c r="H51" s="13" t="s">
        <v>48</v>
      </c>
      <c r="I51" s="9">
        <v>8</v>
      </c>
      <c r="J51" s="9">
        <v>8</v>
      </c>
      <c r="K51" s="9">
        <v>13</v>
      </c>
      <c r="L51" s="9">
        <v>13</v>
      </c>
      <c r="M51" s="9">
        <v>14</v>
      </c>
    </row>
    <row r="52" spans="1:13" x14ac:dyDescent="0.25">
      <c r="A52" s="9">
        <f t="shared" si="5"/>
        <v>51</v>
      </c>
      <c r="B52" s="9">
        <f t="array" ref="B52">IF(C52="",0,IF(OR(C52=Country_Comparison!$S$10:$S$29),1,0))</f>
        <v>0</v>
      </c>
      <c r="C52" s="9" t="str">
        <f t="shared" si="6"/>
        <v>Panama</v>
      </c>
      <c r="D52" s="6">
        <f t="shared" si="7"/>
        <v>14</v>
      </c>
      <c r="E52" s="6">
        <f>IF(COUNTIF(I52:XFD52,"&gt;"&amp;0)=0,,HLOOKUP(COUNTIF(I52:XFD52,"&gt;"&amp;0)-1,I$1:XFD52,A52+1,FALSE))</f>
        <v>14</v>
      </c>
      <c r="F52" s="7">
        <f>IF(COUNTIF(I52:XFD52,"&gt;"&amp;0)=0,,HLOOKUP(COUNTIF(I52:XFD52,"&gt;"&amp;0)-MIN($F$1+1,COUNTIF(I52:XFD52,"&gt;"&amp;0)),I$1:XFD52,A52+1,FALSE))</f>
        <v>8</v>
      </c>
      <c r="G52" s="8">
        <f t="shared" si="8"/>
        <v>1.2050711320876151</v>
      </c>
      <c r="H52" s="13" t="s">
        <v>283</v>
      </c>
      <c r="I52" s="9">
        <v>8</v>
      </c>
      <c r="J52" s="9">
        <v>8</v>
      </c>
      <c r="K52" s="9">
        <v>9</v>
      </c>
      <c r="L52" s="9">
        <v>14</v>
      </c>
    </row>
    <row r="53" spans="1:13" x14ac:dyDescent="0.25">
      <c r="A53" s="9">
        <f t="shared" si="5"/>
        <v>52</v>
      </c>
      <c r="B53" s="9">
        <f t="array" ref="B53">IF(C53="",0,IF(OR(C53=Country_Comparison!$S$10:$S$29),1,0))</f>
        <v>0</v>
      </c>
      <c r="C53" s="9" t="str">
        <f t="shared" si="6"/>
        <v>Israel</v>
      </c>
      <c r="D53" s="6">
        <f t="shared" si="7"/>
        <v>12</v>
      </c>
      <c r="E53" s="6">
        <f>IF(COUNTIF(I53:XFD53,"&gt;"&amp;0)=0,,HLOOKUP(COUNTIF(I53:XFD53,"&gt;"&amp;0)-1,I$1:XFD53,A53+1,FALSE))</f>
        <v>12</v>
      </c>
      <c r="F53" s="7">
        <f>IF(COUNTIF(I53:XFD53,"&gt;"&amp;0)=0,,HLOOKUP(COUNTIF(I53:XFD53,"&gt;"&amp;0)-MIN($F$1+1,COUNTIF(I53:XFD53,"&gt;"&amp;0)),I$1:XFD53,A53+1,FALSE))</f>
        <v>8</v>
      </c>
      <c r="G53" s="8">
        <f t="shared" si="8"/>
        <v>1.2247448713915889</v>
      </c>
      <c r="H53" s="13" t="s">
        <v>79</v>
      </c>
      <c r="I53" s="9">
        <v>8</v>
      </c>
      <c r="J53" s="9">
        <v>12</v>
      </c>
      <c r="K53" s="9">
        <v>12</v>
      </c>
    </row>
    <row r="54" spans="1:13" x14ac:dyDescent="0.25">
      <c r="A54" s="9">
        <f t="shared" si="5"/>
        <v>53</v>
      </c>
      <c r="B54" s="9">
        <f t="array" ref="B54">IF(C54="",0,IF(OR(C54=Country_Comparison!$S$10:$S$29),1,0))</f>
        <v>0</v>
      </c>
      <c r="C54" s="9" t="str">
        <f t="shared" si="6"/>
        <v>Pakistan</v>
      </c>
      <c r="D54" s="6">
        <f t="shared" si="7"/>
        <v>12</v>
      </c>
      <c r="E54" s="6">
        <f>IF(COUNTIF(I54:XFD54,"&gt;"&amp;0)=0,,HLOOKUP(COUNTIF(I54:XFD54,"&gt;"&amp;0)-1,I$1:XFD54,A54+1,FALSE))</f>
        <v>12</v>
      </c>
      <c r="F54" s="7">
        <f>IF(COUNTIF(I54:XFD54,"&gt;"&amp;0)=0,,HLOOKUP(COUNTIF(I54:XFD54,"&gt;"&amp;0)-MIN($F$1+1,COUNTIF(I54:XFD54,"&gt;"&amp;0)),I$1:XFD54,A54+1,FALSE))</f>
        <v>8</v>
      </c>
      <c r="G54" s="8">
        <f t="shared" si="8"/>
        <v>1.1447142425533319</v>
      </c>
      <c r="H54" s="13" t="s">
        <v>80</v>
      </c>
      <c r="I54" s="9">
        <v>8</v>
      </c>
      <c r="J54" s="9">
        <v>9</v>
      </c>
      <c r="K54" s="9">
        <v>11</v>
      </c>
      <c r="L54" s="9">
        <v>12</v>
      </c>
    </row>
    <row r="55" spans="1:13" x14ac:dyDescent="0.25">
      <c r="A55" s="9">
        <f t="shared" si="5"/>
        <v>54</v>
      </c>
      <c r="B55" s="9">
        <f t="array" ref="B55">IF(C55="",0,IF(OR(C55=Country_Comparison!$S$10:$S$29),1,0))</f>
        <v>0</v>
      </c>
      <c r="C55" s="9" t="str">
        <f t="shared" si="6"/>
        <v>Mexico</v>
      </c>
      <c r="D55" s="6">
        <f t="shared" si="7"/>
        <v>12</v>
      </c>
      <c r="E55" s="6">
        <f>IF(COUNTIF(I55:XFD55,"&gt;"&amp;0)=0,,HLOOKUP(COUNTIF(I55:XFD55,"&gt;"&amp;0)-1,I$1:XFD55,A55+1,FALSE))</f>
        <v>12</v>
      </c>
      <c r="F55" s="7">
        <f>IF(COUNTIF(I55:XFD55,"&gt;"&amp;0)=0,,HLOOKUP(COUNTIF(I55:XFD55,"&gt;"&amp;0)-MIN($F$1+1,COUNTIF(I55:XFD55,"&gt;"&amp;0)),I$1:XFD55,A55+1,FALSE))</f>
        <v>8</v>
      </c>
      <c r="G55" s="8">
        <f t="shared" si="8"/>
        <v>1.5</v>
      </c>
      <c r="H55" s="13" t="s">
        <v>94</v>
      </c>
      <c r="I55" s="9">
        <v>8</v>
      </c>
      <c r="J55" s="9">
        <v>12</v>
      </c>
    </row>
    <row r="56" spans="1:13" x14ac:dyDescent="0.25">
      <c r="A56" s="9">
        <f t="shared" si="5"/>
        <v>55</v>
      </c>
      <c r="B56" s="9">
        <f t="array" ref="B56">IF(C56="",0,IF(OR(C56=Country_Comparison!$S$10:$S$29),1,0))</f>
        <v>0</v>
      </c>
      <c r="C56" s="9" t="str">
        <f t="shared" si="6"/>
        <v>Czechia</v>
      </c>
      <c r="D56" s="6">
        <f t="shared" si="7"/>
        <v>11</v>
      </c>
      <c r="E56" s="6">
        <f>IF(COUNTIF(I56:XFD56,"&gt;"&amp;0)=0,,HLOOKUP(COUNTIF(I56:XFD56,"&gt;"&amp;0)-1,I$1:XFD56,A56+1,FALSE))</f>
        <v>11</v>
      </c>
      <c r="F56" s="7">
        <f>IF(COUNTIF(I56:XFD56,"&gt;"&amp;0)=0,,HLOOKUP(COUNTIF(I56:XFD56,"&gt;"&amp;0)-MIN($F$1+1,COUNTIF(I56:XFD56,"&gt;"&amp;0)),I$1:XFD56,A56+1,FALSE))</f>
        <v>9</v>
      </c>
      <c r="G56" s="8">
        <f t="shared" si="8"/>
        <v>1.1055415967851334</v>
      </c>
      <c r="H56" s="13" t="s">
        <v>341</v>
      </c>
      <c r="I56" s="9">
        <v>9</v>
      </c>
      <c r="J56" s="9">
        <v>9</v>
      </c>
      <c r="K56" s="9">
        <v>11</v>
      </c>
    </row>
    <row r="57" spans="1:13" x14ac:dyDescent="0.25">
      <c r="A57" s="9">
        <f t="shared" si="5"/>
        <v>56</v>
      </c>
      <c r="B57" s="9">
        <f t="array" ref="B57">IF(C57="",0,IF(OR(C57=Country_Comparison!$S$10:$S$29),1,0))</f>
        <v>0</v>
      </c>
      <c r="C57" s="9" t="str">
        <f t="shared" si="6"/>
        <v>Hungary</v>
      </c>
      <c r="D57" s="6">
        <f t="shared" si="7"/>
        <v>11</v>
      </c>
      <c r="E57" s="6">
        <f>IF(COUNTIF(I57:XFD57,"&gt;"&amp;0)=0,,HLOOKUP(COUNTIF(I57:XFD57,"&gt;"&amp;0)-1,I$1:XFD57,A57+1,FALSE))</f>
        <v>11</v>
      </c>
      <c r="F57" s="7">
        <f>IF(COUNTIF(I57:XFD57,"&gt;"&amp;0)=0,,HLOOKUP(COUNTIF(I57:XFD57,"&gt;"&amp;0)-MIN($F$1+1,COUNTIF(I57:XFD57,"&gt;"&amp;0)),I$1:XFD57,A57+1,FALSE))</f>
        <v>9</v>
      </c>
      <c r="G57" s="8">
        <f t="shared" si="8"/>
        <v>1.0514473818433014</v>
      </c>
      <c r="H57" s="13" t="s">
        <v>132</v>
      </c>
      <c r="I57" s="9">
        <v>9</v>
      </c>
      <c r="J57" s="9">
        <v>10</v>
      </c>
      <c r="K57" s="9">
        <v>10</v>
      </c>
      <c r="L57" s="9">
        <v>10</v>
      </c>
      <c r="M57" s="9">
        <v>11</v>
      </c>
    </row>
    <row r="58" spans="1:13" x14ac:dyDescent="0.25">
      <c r="A58" s="9">
        <f t="shared" si="5"/>
        <v>57</v>
      </c>
      <c r="B58" s="9">
        <f t="array" ref="B58">IF(C58="",0,IF(OR(C58=Country_Comparison!$S$10:$S$29),1,0))</f>
        <v>0</v>
      </c>
      <c r="C58" s="9" t="str">
        <f t="shared" si="6"/>
        <v>Burkina Faso</v>
      </c>
      <c r="D58" s="6">
        <f t="shared" si="7"/>
        <v>11</v>
      </c>
      <c r="E58" s="6">
        <f>IF(COUNTIF(I58:XFD58,"&gt;"&amp;0)=0,,HLOOKUP(COUNTIF(I58:XFD58,"&gt;"&amp;0)-1,I$1:XFD58,A58+1,FALSE))</f>
        <v>11</v>
      </c>
      <c r="F58" s="7">
        <f>IF(COUNTIF(I58:XFD58,"&gt;"&amp;0)=0,,HLOOKUP(COUNTIF(I58:XFD58,"&gt;"&amp;0)-MIN($F$1+1,COUNTIF(I58:XFD58,"&gt;"&amp;0)),I$1:XFD58,A58+1,FALSE))</f>
        <v>9</v>
      </c>
      <c r="G58" s="8">
        <f t="shared" si="8"/>
        <v>1.2222222222222223</v>
      </c>
      <c r="H58" s="13" t="s">
        <v>279</v>
      </c>
      <c r="I58" s="9">
        <v>9</v>
      </c>
      <c r="J58" s="9">
        <v>11</v>
      </c>
    </row>
    <row r="59" spans="1:13" x14ac:dyDescent="0.25">
      <c r="A59" s="9">
        <f t="shared" si="5"/>
        <v>58</v>
      </c>
      <c r="B59" s="9">
        <f t="array" ref="B59">IF(C59="",0,IF(OR(C59=Country_Comparison!$S$10:$S$29),1,0))</f>
        <v>0</v>
      </c>
      <c r="C59" s="9" t="str">
        <f t="shared" si="6"/>
        <v>Serbia</v>
      </c>
      <c r="D59" s="6">
        <f t="shared" si="7"/>
        <v>10</v>
      </c>
      <c r="E59" s="6">
        <f>IF(COUNTIF(I59:XFD59,"&gt;"&amp;0)=0,,HLOOKUP(COUNTIF(I59:XFD59,"&gt;"&amp;0)-1,I$1:XFD59,A59+1,FALSE))</f>
        <v>10</v>
      </c>
      <c r="F59" s="7">
        <f>IF(COUNTIF(I59:XFD59,"&gt;"&amp;0)=0,,HLOOKUP(COUNTIF(I59:XFD59,"&gt;"&amp;0)-MIN($F$1+1,COUNTIF(I59:XFD59,"&gt;"&amp;0)),I$1:XFD59,A59+1,FALSE))</f>
        <v>10</v>
      </c>
      <c r="G59" s="8" t="e">
        <f t="shared" si="8"/>
        <v>#DIV/0!</v>
      </c>
      <c r="H59" s="13" t="s">
        <v>161</v>
      </c>
      <c r="I59" s="9">
        <v>10</v>
      </c>
    </row>
    <row r="60" spans="1:13" x14ac:dyDescent="0.25">
      <c r="A60" s="9">
        <f t="shared" si="5"/>
        <v>59</v>
      </c>
      <c r="B60" s="9">
        <f t="array" ref="B60">IF(C60="",0,IF(OR(C60=Country_Comparison!$S$10:$S$29),1,0))</f>
        <v>0</v>
      </c>
      <c r="C60" s="9" t="str">
        <f t="shared" si="6"/>
        <v>Albania</v>
      </c>
      <c r="D60" s="6">
        <f t="shared" si="7"/>
        <v>10</v>
      </c>
      <c r="E60" s="6">
        <f>IF(COUNTIF(I60:XFD60,"&gt;"&amp;0)=0,,HLOOKUP(COUNTIF(I60:XFD60,"&gt;"&amp;0)-1,I$1:XFD60,A60+1,FALSE))</f>
        <v>10</v>
      </c>
      <c r="F60" s="7">
        <f>IF(COUNTIF(I60:XFD60,"&gt;"&amp;0)=0,,HLOOKUP(COUNTIF(I60:XFD60,"&gt;"&amp;0)-MIN($F$1+1,COUNTIF(I60:XFD60,"&gt;"&amp;0)),I$1:XFD60,A60+1,FALSE))</f>
        <v>8</v>
      </c>
      <c r="G60" s="8">
        <f t="shared" si="8"/>
        <v>1.25</v>
      </c>
      <c r="H60" s="13" t="s">
        <v>230</v>
      </c>
      <c r="I60" s="9">
        <v>8</v>
      </c>
      <c r="J60" s="9">
        <v>10</v>
      </c>
    </row>
    <row r="61" spans="1:13" x14ac:dyDescent="0.25">
      <c r="A61" s="9">
        <f t="shared" si="5"/>
        <v>60</v>
      </c>
      <c r="B61" s="9">
        <f t="array" ref="B61">IF(C61="",0,IF(OR(C61=Country_Comparison!$S$10:$S$29),1,0))</f>
        <v>0</v>
      </c>
      <c r="C61" s="9" t="str">
        <f t="shared" si="6"/>
        <v>Finland</v>
      </c>
      <c r="D61" s="6">
        <f t="shared" si="7"/>
        <v>9</v>
      </c>
      <c r="E61" s="6">
        <f>IF(COUNTIF(I61:XFD61,"&gt;"&amp;0)=0,,HLOOKUP(COUNTIF(I61:XFD61,"&gt;"&amp;0)-1,I$1:XFD61,A61+1,FALSE))</f>
        <v>9</v>
      </c>
      <c r="F61" s="7">
        <f>IF(COUNTIF(I61:XFD61,"&gt;"&amp;0)=0,,HLOOKUP(COUNTIF(I61:XFD61,"&gt;"&amp;0)-MIN($F$1+1,COUNTIF(I61:XFD61,"&gt;"&amp;0)),I$1:XFD61,A61+1,FALSE))</f>
        <v>9</v>
      </c>
      <c r="G61" s="8" t="e">
        <f t="shared" si="8"/>
        <v>#DIV/0!</v>
      </c>
      <c r="H61" s="13" t="s">
        <v>54</v>
      </c>
      <c r="I61" s="9">
        <v>9</v>
      </c>
    </row>
    <row r="62" spans="1:13" x14ac:dyDescent="0.25">
      <c r="A62" s="9">
        <f t="shared" si="5"/>
        <v>61</v>
      </c>
      <c r="B62" s="9">
        <f t="array" ref="B62">IF(C62="",0,IF(OR(C62=Country_Comparison!$S$10:$S$29),1,0))</f>
        <v>0</v>
      </c>
      <c r="C62" s="9" t="str">
        <f t="shared" si="6"/>
        <v>Slovenia</v>
      </c>
      <c r="D62" s="6">
        <f t="shared" si="7"/>
        <v>9</v>
      </c>
      <c r="E62" s="6">
        <f>IF(COUNTIF(I62:XFD62,"&gt;"&amp;0)=0,,HLOOKUP(COUNTIF(I62:XFD62,"&gt;"&amp;0)-1,I$1:XFD62,A62+1,FALSE))</f>
        <v>9</v>
      </c>
      <c r="F62" s="7">
        <f>IF(COUNTIF(I62:XFD62,"&gt;"&amp;0)=0,,HLOOKUP(COUNTIF(I62:XFD62,"&gt;"&amp;0)-MIN($F$1+1,COUNTIF(I62:XFD62,"&gt;"&amp;0)),I$1:XFD62,A62+1,FALSE))</f>
        <v>9</v>
      </c>
      <c r="G62" s="8">
        <f t="shared" si="8"/>
        <v>1</v>
      </c>
      <c r="H62" s="13" t="s">
        <v>141</v>
      </c>
      <c r="I62" s="9">
        <v>9</v>
      </c>
      <c r="J62" s="9">
        <v>9</v>
      </c>
    </row>
    <row r="63" spans="1:13" x14ac:dyDescent="0.25">
      <c r="A63" s="9">
        <f t="shared" si="5"/>
        <v>62</v>
      </c>
      <c r="B63" s="9">
        <f t="array" ref="B63">IF(C63="",0,IF(OR(C63=Country_Comparison!$S$10:$S$29),1,0))</f>
        <v>0</v>
      </c>
      <c r="C63" s="9" t="str">
        <f t="shared" si="6"/>
        <v>Ukraine</v>
      </c>
      <c r="D63" s="6">
        <f t="shared" si="7"/>
        <v>9</v>
      </c>
      <c r="E63" s="6">
        <f>IF(COUNTIF(I63:XFD63,"&gt;"&amp;0)=0,,HLOOKUP(COUNTIF(I63:XFD63,"&gt;"&amp;0)-1,I$1:XFD63,A63+1,FALSE))</f>
        <v>9</v>
      </c>
      <c r="F63" s="7">
        <f>IF(COUNTIF(I63:XFD63,"&gt;"&amp;0)=0,,HLOOKUP(COUNTIF(I63:XFD63,"&gt;"&amp;0)-MIN($F$1+1,COUNTIF(I63:XFD63,"&gt;"&amp;0)),I$1:XFD63,A63+1,FALSE))</f>
        <v>9</v>
      </c>
      <c r="G63" s="8" t="e">
        <f t="shared" si="8"/>
        <v>#DIV/0!</v>
      </c>
      <c r="H63" s="13" t="s">
        <v>129</v>
      </c>
      <c r="I63" s="9">
        <v>9</v>
      </c>
    </row>
    <row r="64" spans="1:13" x14ac:dyDescent="0.25">
      <c r="A64" s="9">
        <f t="shared" si="5"/>
        <v>63</v>
      </c>
      <c r="B64" s="9">
        <f t="array" ref="B64">IF(C64="",0,IF(OR(C64=Country_Comparison!$S$10:$S$29),1,0))</f>
        <v>0</v>
      </c>
      <c r="C64" s="9" t="str">
        <f t="shared" si="6"/>
        <v>Lebanon</v>
      </c>
      <c r="D64" s="6">
        <f t="shared" si="7"/>
        <v>8</v>
      </c>
      <c r="E64" s="6">
        <f>IF(COUNTIF(I64:XFD64,"&gt;"&amp;0)=0,,HLOOKUP(COUNTIF(I64:XFD64,"&gt;"&amp;0)-1,I$1:XFD64,A64+1,FALSE))</f>
        <v>8</v>
      </c>
      <c r="F64" s="7">
        <f>IF(COUNTIF(I64:XFD64,"&gt;"&amp;0)=0,,HLOOKUP(COUNTIF(I64:XFD64,"&gt;"&amp;0)-MIN($F$1+1,COUNTIF(I64:XFD64,"&gt;"&amp;0)),I$1:XFD64,A64+1,FALSE))</f>
        <v>8</v>
      </c>
      <c r="G64" s="8">
        <f t="shared" si="8"/>
        <v>1</v>
      </c>
      <c r="H64" s="13" t="s">
        <v>67</v>
      </c>
      <c r="I64" s="9">
        <v>8</v>
      </c>
      <c r="J64" s="9">
        <v>8</v>
      </c>
    </row>
    <row r="65" spans="1:9" x14ac:dyDescent="0.25">
      <c r="A65" s="9">
        <f t="shared" si="5"/>
        <v>64</v>
      </c>
      <c r="B65" s="9">
        <f t="array" ref="B65">IF(C65="",0,IF(OR(C65=Country_Comparison!$S$10:$S$29),1,0))</f>
        <v>0</v>
      </c>
      <c r="C65" s="9" t="str">
        <f t="shared" si="6"/>
        <v>Tunisia</v>
      </c>
      <c r="D65" s="6">
        <f t="shared" si="7"/>
        <v>8</v>
      </c>
      <c r="E65" s="6">
        <f>IF(COUNTIF(I65:XFD65,"&gt;"&amp;0)=0,,HLOOKUP(COUNTIF(I65:XFD65,"&gt;"&amp;0)-1,I$1:XFD65,A65+1,FALSE))</f>
        <v>8</v>
      </c>
      <c r="F65" s="7">
        <f>IF(COUNTIF(I65:XFD65,"&gt;"&amp;0)=0,,HLOOKUP(COUNTIF(I65:XFD65,"&gt;"&amp;0)-MIN($F$1+1,COUNTIF(I65:XFD65,"&gt;"&amp;0)),I$1:XFD65,A65+1,FALSE))</f>
        <v>8</v>
      </c>
      <c r="G65" s="8" t="e">
        <f t="shared" si="8"/>
        <v>#DIV/0!</v>
      </c>
      <c r="H65" s="13" t="s">
        <v>138</v>
      </c>
      <c r="I65" s="9">
        <v>8</v>
      </c>
    </row>
    <row r="66" spans="1:9" x14ac:dyDescent="0.25">
      <c r="A66" s="9">
        <f t="shared" si="5"/>
        <v>65</v>
      </c>
      <c r="B66" s="9">
        <f t="array" ref="B66">IF(C66="",0,IF(OR(C66=Country_Comparison!$S$10:$S$29),1,0))</f>
        <v>0</v>
      </c>
      <c r="C66" s="9" t="str">
        <f t="shared" si="6"/>
        <v/>
      </c>
      <c r="D66" s="6">
        <f t="shared" si="7"/>
        <v>0</v>
      </c>
      <c r="E66" s="6">
        <f>IF(COUNTIF(I66:XFD66,"&gt;"&amp;0)=0,,HLOOKUP(COUNTIF(I66:XFD66,"&gt;"&amp;0)-1,I$1:XFD66,A66+1,FALSE))</f>
        <v>0</v>
      </c>
      <c r="F66" s="7">
        <f>IF(COUNTIF(I66:XFD66,"&gt;"&amp;0)=0,,HLOOKUP(COUNTIF(I66:XFD66,"&gt;"&amp;0)-MIN($F$1+1,COUNTIF(I66:XFD66,"&gt;"&amp;0)),I$1:XFD66,A66+1,FALSE))</f>
        <v>0</v>
      </c>
      <c r="G66" s="8">
        <f t="shared" si="8"/>
        <v>0</v>
      </c>
    </row>
    <row r="67" spans="1:9" x14ac:dyDescent="0.25">
      <c r="A67" s="9">
        <f t="shared" si="5"/>
        <v>66</v>
      </c>
      <c r="B67" s="9">
        <f t="array" ref="B67">IF(C67="",0,IF(OR(C67=Country_Comparison!$S$10:$S$29),1,0))</f>
        <v>0</v>
      </c>
      <c r="C67" s="9" t="str">
        <f t="shared" si="6"/>
        <v/>
      </c>
      <c r="D67" s="6">
        <f t="shared" si="7"/>
        <v>0</v>
      </c>
      <c r="E67" s="6">
        <f>IF(COUNTIF(I67:XFD67,"&gt;"&amp;0)=0,,HLOOKUP(COUNTIF(I67:XFD67,"&gt;"&amp;0)-1,I$1:XFD67,A67+1,FALSE))</f>
        <v>0</v>
      </c>
      <c r="F67" s="7">
        <f>IF(COUNTIF(I67:XFD67,"&gt;"&amp;0)=0,,HLOOKUP(COUNTIF(I67:XFD67,"&gt;"&amp;0)-MIN($F$1+1,COUNTIF(I67:XFD67,"&gt;"&amp;0)),I$1:XFD67,A67+1,FALSE))</f>
        <v>0</v>
      </c>
      <c r="G67" s="8">
        <f t="shared" si="8"/>
        <v>0</v>
      </c>
    </row>
    <row r="68" spans="1:9" x14ac:dyDescent="0.25">
      <c r="A68" s="9">
        <f t="shared" si="5"/>
        <v>67</v>
      </c>
      <c r="B68" s="9">
        <f t="array" ref="B68">IF(C68="",0,IF(OR(C68=Country_Comparison!$S$10:$S$29),1,0))</f>
        <v>0</v>
      </c>
      <c r="C68" s="9" t="str">
        <f t="shared" si="6"/>
        <v/>
      </c>
      <c r="D68" s="6">
        <f t="shared" si="7"/>
        <v>0</v>
      </c>
      <c r="E68" s="6">
        <f>IF(COUNTIF(I68:XFD68,"&gt;"&amp;0)=0,,HLOOKUP(COUNTIF(I68:XFD68,"&gt;"&amp;0)-1,I$1:XFD68,A68+1,FALSE))</f>
        <v>0</v>
      </c>
      <c r="F68" s="7">
        <f>IF(COUNTIF(I68:XFD68,"&gt;"&amp;0)=0,,HLOOKUP(COUNTIF(I68:XFD68,"&gt;"&amp;0)-MIN($F$1+1,COUNTIF(I68:XFD68,"&gt;"&amp;0)),I$1:XFD68,A68+1,FALSE))</f>
        <v>0</v>
      </c>
      <c r="G68" s="8">
        <f t="shared" si="8"/>
        <v>0</v>
      </c>
    </row>
    <row r="69" spans="1:9" x14ac:dyDescent="0.25">
      <c r="A69" s="9">
        <f t="shared" si="5"/>
        <v>68</v>
      </c>
      <c r="B69" s="9">
        <f t="array" ref="B69">IF(C69="",0,IF(OR(C69=Country_Comparison!$S$10:$S$29),1,0))</f>
        <v>0</v>
      </c>
      <c r="C69" s="9" t="str">
        <f t="shared" si="6"/>
        <v/>
      </c>
      <c r="D69" s="6">
        <f t="shared" si="7"/>
        <v>0</v>
      </c>
      <c r="E69" s="6">
        <f>IF(COUNTIF(I69:XFD69,"&gt;"&amp;0)=0,,HLOOKUP(COUNTIF(I69:XFD69,"&gt;"&amp;0)-1,I$1:XFD69,A69+1,FALSE))</f>
        <v>0</v>
      </c>
      <c r="F69" s="7">
        <f>IF(COUNTIF(I69:XFD69,"&gt;"&amp;0)=0,,HLOOKUP(COUNTIF(I69:XFD69,"&gt;"&amp;0)-MIN($F$1+1,COUNTIF(I69:XFD69,"&gt;"&amp;0)),I$1:XFD69,A69+1,FALSE))</f>
        <v>0</v>
      </c>
      <c r="G69" s="8">
        <f t="shared" si="8"/>
        <v>0</v>
      </c>
    </row>
    <row r="70" spans="1:9" x14ac:dyDescent="0.25">
      <c r="A70" s="9">
        <f t="shared" ref="A70:A133" si="9">A69+1</f>
        <v>69</v>
      </c>
      <c r="B70" s="9">
        <f t="array" ref="B70">IF(C70="",0,IF(OR(C70=Country_Comparison!$S$10:$S$29),1,0))</f>
        <v>0</v>
      </c>
      <c r="C70" s="9" t="str">
        <f t="shared" ref="C70:C133" si="10">IF(H70="","",H70)</f>
        <v/>
      </c>
      <c r="D70" s="6">
        <f t="shared" ref="D70:D133" si="11">MAX(I70:BD70)</f>
        <v>0</v>
      </c>
      <c r="E70" s="6">
        <f>IF(COUNTIF(I70:XFD70,"&gt;"&amp;0)=0,,HLOOKUP(COUNTIF(I70:XFD70,"&gt;"&amp;0)-1,I$1:XFD70,A70+1,FALSE))</f>
        <v>0</v>
      </c>
      <c r="F70" s="7">
        <f>IF(COUNTIF(I70:XFD70,"&gt;"&amp;0)=0,,HLOOKUP(COUNTIF(I70:XFD70,"&gt;"&amp;0)-MIN($F$1+1,COUNTIF(I70:XFD70,"&gt;"&amp;0)),I$1:XFD70,A70+1,FALSE))</f>
        <v>0</v>
      </c>
      <c r="G70" s="8">
        <f t="shared" ref="G70:G133" si="12">IF(COUNTIF(I70:XFD70,"&gt;"&amp;0)=0,,(E70/F70)^(1/MIN(COUNTIF(I70:XFD70,"&gt;"&amp;0)-1,$F$1)))</f>
        <v>0</v>
      </c>
    </row>
    <row r="71" spans="1:9" x14ac:dyDescent="0.25">
      <c r="A71" s="9">
        <f t="shared" si="9"/>
        <v>70</v>
      </c>
      <c r="B71" s="9">
        <f t="array" ref="B71">IF(C71="",0,IF(OR(C71=Country_Comparison!$S$10:$S$29),1,0))</f>
        <v>0</v>
      </c>
      <c r="C71" s="9" t="str">
        <f t="shared" si="10"/>
        <v/>
      </c>
      <c r="D71" s="6">
        <f t="shared" si="11"/>
        <v>0</v>
      </c>
      <c r="E71" s="6">
        <f>IF(COUNTIF(I71:XFD71,"&gt;"&amp;0)=0,,HLOOKUP(COUNTIF(I71:XFD71,"&gt;"&amp;0)-1,I$1:XFD71,A71+1,FALSE))</f>
        <v>0</v>
      </c>
      <c r="F71" s="7">
        <f>IF(COUNTIF(I71:XFD71,"&gt;"&amp;0)=0,,HLOOKUP(COUNTIF(I71:XFD71,"&gt;"&amp;0)-MIN($F$1+1,COUNTIF(I71:XFD71,"&gt;"&amp;0)),I$1:XFD71,A71+1,FALSE))</f>
        <v>0</v>
      </c>
      <c r="G71" s="8">
        <f t="shared" si="12"/>
        <v>0</v>
      </c>
    </row>
    <row r="72" spans="1:9" x14ac:dyDescent="0.25">
      <c r="A72" s="9">
        <f t="shared" si="9"/>
        <v>71</v>
      </c>
      <c r="B72" s="9">
        <f t="array" ref="B72">IF(C72="",0,IF(OR(C72=Country_Comparison!$S$10:$S$29),1,0))</f>
        <v>0</v>
      </c>
      <c r="C72" s="9" t="str">
        <f t="shared" si="10"/>
        <v/>
      </c>
      <c r="D72" s="6">
        <f t="shared" si="11"/>
        <v>0</v>
      </c>
      <c r="E72" s="6">
        <f>IF(COUNTIF(I72:XFD72,"&gt;"&amp;0)=0,,HLOOKUP(COUNTIF(I72:XFD72,"&gt;"&amp;0)-1,I$1:XFD72,A72+1,FALSE))</f>
        <v>0</v>
      </c>
      <c r="F72" s="7">
        <f>IF(COUNTIF(I72:XFD72,"&gt;"&amp;0)=0,,HLOOKUP(COUNTIF(I72:XFD72,"&gt;"&amp;0)-MIN($F$1+1,COUNTIF(I72:XFD72,"&gt;"&amp;0)),I$1:XFD72,A72+1,FALSE))</f>
        <v>0</v>
      </c>
      <c r="G72" s="8">
        <f t="shared" si="12"/>
        <v>0</v>
      </c>
    </row>
    <row r="73" spans="1:9" x14ac:dyDescent="0.25">
      <c r="A73" s="9">
        <f t="shared" si="9"/>
        <v>72</v>
      </c>
      <c r="B73" s="9">
        <f t="array" ref="B73">IF(C73="",0,IF(OR(C73=Country_Comparison!$S$10:$S$29),1,0))</f>
        <v>0</v>
      </c>
      <c r="C73" s="9" t="str">
        <f t="shared" si="10"/>
        <v/>
      </c>
      <c r="D73" s="6">
        <f t="shared" si="11"/>
        <v>0</v>
      </c>
      <c r="E73" s="6">
        <f>IF(COUNTIF(I73:XFD73,"&gt;"&amp;0)=0,,HLOOKUP(COUNTIF(I73:XFD73,"&gt;"&amp;0)-1,I$1:XFD73,A73+1,FALSE))</f>
        <v>0</v>
      </c>
      <c r="F73" s="7">
        <f>IF(COUNTIF(I73:XFD73,"&gt;"&amp;0)=0,,HLOOKUP(COUNTIF(I73:XFD73,"&gt;"&amp;0)-MIN($F$1+1,COUNTIF(I73:XFD73,"&gt;"&amp;0)),I$1:XFD73,A73+1,FALSE))</f>
        <v>0</v>
      </c>
      <c r="G73" s="8">
        <f t="shared" si="12"/>
        <v>0</v>
      </c>
    </row>
    <row r="74" spans="1:9" x14ac:dyDescent="0.25">
      <c r="A74" s="9">
        <f t="shared" si="9"/>
        <v>73</v>
      </c>
      <c r="B74" s="9">
        <f t="array" ref="B74">IF(C74="",0,IF(OR(C74=Country_Comparison!$S$10:$S$29),1,0))</f>
        <v>0</v>
      </c>
      <c r="C74" s="9" t="str">
        <f t="shared" si="10"/>
        <v/>
      </c>
      <c r="D74" s="6">
        <f t="shared" si="11"/>
        <v>0</v>
      </c>
      <c r="E74" s="6">
        <f>IF(COUNTIF(I74:XFD74,"&gt;"&amp;0)=0,,HLOOKUP(COUNTIF(I74:XFD74,"&gt;"&amp;0)-1,I$1:XFD74,A74+1,FALSE))</f>
        <v>0</v>
      </c>
      <c r="F74" s="7">
        <f>IF(COUNTIF(I74:XFD74,"&gt;"&amp;0)=0,,HLOOKUP(COUNTIF(I74:XFD74,"&gt;"&amp;0)-MIN($F$1+1,COUNTIF(I74:XFD74,"&gt;"&amp;0)),I$1:XFD74,A74+1,FALSE))</f>
        <v>0</v>
      </c>
      <c r="G74" s="8">
        <f t="shared" si="12"/>
        <v>0</v>
      </c>
    </row>
    <row r="75" spans="1:9" x14ac:dyDescent="0.25">
      <c r="A75" s="9">
        <f t="shared" si="9"/>
        <v>74</v>
      </c>
      <c r="B75" s="9">
        <f t="array" ref="B75">IF(C75="",0,IF(OR(C75=Country_Comparison!$S$10:$S$29),1,0))</f>
        <v>0</v>
      </c>
      <c r="C75" s="9" t="str">
        <f t="shared" si="10"/>
        <v/>
      </c>
      <c r="D75" s="6">
        <f t="shared" si="11"/>
        <v>0</v>
      </c>
      <c r="E75" s="6">
        <f>IF(COUNTIF(I75:XFD75,"&gt;"&amp;0)=0,,HLOOKUP(COUNTIF(I75:XFD75,"&gt;"&amp;0)-1,I$1:XFD75,A75+1,FALSE))</f>
        <v>0</v>
      </c>
      <c r="F75" s="7">
        <f>IF(COUNTIF(I75:XFD75,"&gt;"&amp;0)=0,,HLOOKUP(COUNTIF(I75:XFD75,"&gt;"&amp;0)-MIN($F$1+1,COUNTIF(I75:XFD75,"&gt;"&amp;0)),I$1:XFD75,A75+1,FALSE))</f>
        <v>0</v>
      </c>
      <c r="G75" s="8">
        <f t="shared" si="12"/>
        <v>0</v>
      </c>
    </row>
    <row r="76" spans="1:9" x14ac:dyDescent="0.25">
      <c r="A76" s="9">
        <f t="shared" si="9"/>
        <v>75</v>
      </c>
      <c r="B76" s="9">
        <f t="array" ref="B76">IF(C76="",0,IF(OR(C76=Country_Comparison!$S$10:$S$29),1,0))</f>
        <v>0</v>
      </c>
      <c r="C76" s="9" t="str">
        <f t="shared" si="10"/>
        <v/>
      </c>
      <c r="D76" s="6">
        <f t="shared" si="11"/>
        <v>0</v>
      </c>
      <c r="E76" s="6">
        <f>IF(COUNTIF(I76:XFD76,"&gt;"&amp;0)=0,,HLOOKUP(COUNTIF(I76:XFD76,"&gt;"&amp;0)-1,I$1:XFD76,A76+1,FALSE))</f>
        <v>0</v>
      </c>
      <c r="F76" s="7">
        <f>IF(COUNTIF(I76:XFD76,"&gt;"&amp;0)=0,,HLOOKUP(COUNTIF(I76:XFD76,"&gt;"&amp;0)-MIN($F$1+1,COUNTIF(I76:XFD76,"&gt;"&amp;0)),I$1:XFD76,A76+1,FALSE))</f>
        <v>0</v>
      </c>
      <c r="G76" s="8">
        <f t="shared" si="12"/>
        <v>0</v>
      </c>
    </row>
    <row r="77" spans="1:9" x14ac:dyDescent="0.25">
      <c r="A77" s="9">
        <f t="shared" si="9"/>
        <v>76</v>
      </c>
      <c r="B77" s="9">
        <f t="array" ref="B77">IF(C77="",0,IF(OR(C77=Country_Comparison!$S$10:$S$29),1,0))</f>
        <v>0</v>
      </c>
      <c r="C77" s="9" t="str">
        <f t="shared" si="10"/>
        <v/>
      </c>
      <c r="D77" s="6">
        <f t="shared" si="11"/>
        <v>0</v>
      </c>
      <c r="E77" s="6">
        <f>IF(COUNTIF(I77:XFD77,"&gt;"&amp;0)=0,,HLOOKUP(COUNTIF(I77:XFD77,"&gt;"&amp;0)-1,I$1:XFD77,A77+1,FALSE))</f>
        <v>0</v>
      </c>
      <c r="F77" s="7">
        <f>IF(COUNTIF(I77:XFD77,"&gt;"&amp;0)=0,,HLOOKUP(COUNTIF(I77:XFD77,"&gt;"&amp;0)-MIN($F$1+1,COUNTIF(I77:XFD77,"&gt;"&amp;0)),I$1:XFD77,A77+1,FALSE))</f>
        <v>0</v>
      </c>
      <c r="G77" s="8">
        <f t="shared" si="12"/>
        <v>0</v>
      </c>
    </row>
    <row r="78" spans="1:9" x14ac:dyDescent="0.25">
      <c r="A78" s="9">
        <f t="shared" si="9"/>
        <v>77</v>
      </c>
      <c r="B78" s="9">
        <f t="array" ref="B78">IF(C78="",0,IF(OR(C78=Country_Comparison!$S$10:$S$29),1,0))</f>
        <v>0</v>
      </c>
      <c r="C78" s="9" t="str">
        <f t="shared" si="10"/>
        <v/>
      </c>
      <c r="D78" s="6">
        <f t="shared" si="11"/>
        <v>0</v>
      </c>
      <c r="E78" s="6">
        <f>IF(COUNTIF(I78:XFD78,"&gt;"&amp;0)=0,,HLOOKUP(COUNTIF(I78:XFD78,"&gt;"&amp;0)-1,I$1:XFD78,A78+1,FALSE))</f>
        <v>0</v>
      </c>
      <c r="F78" s="7">
        <f>IF(COUNTIF(I78:XFD78,"&gt;"&amp;0)=0,,HLOOKUP(COUNTIF(I78:XFD78,"&gt;"&amp;0)-MIN($F$1+1,COUNTIF(I78:XFD78,"&gt;"&amp;0)),I$1:XFD78,A78+1,FALSE))</f>
        <v>0</v>
      </c>
      <c r="G78" s="8">
        <f t="shared" si="12"/>
        <v>0</v>
      </c>
    </row>
    <row r="79" spans="1:9" x14ac:dyDescent="0.25">
      <c r="A79" s="9">
        <f t="shared" si="9"/>
        <v>78</v>
      </c>
      <c r="B79" s="9">
        <f t="array" ref="B79">IF(C79="",0,IF(OR(C79=Country_Comparison!$S$10:$S$29),1,0))</f>
        <v>0</v>
      </c>
      <c r="C79" s="9" t="str">
        <f t="shared" si="10"/>
        <v/>
      </c>
      <c r="D79" s="6">
        <f t="shared" si="11"/>
        <v>0</v>
      </c>
      <c r="E79" s="6">
        <f>IF(COUNTIF(I79:XFD79,"&gt;"&amp;0)=0,,HLOOKUP(COUNTIF(I79:XFD79,"&gt;"&amp;0)-1,I$1:XFD79,A79+1,FALSE))</f>
        <v>0</v>
      </c>
      <c r="F79" s="7">
        <f>IF(COUNTIF(I79:XFD79,"&gt;"&amp;0)=0,,HLOOKUP(COUNTIF(I79:XFD79,"&gt;"&amp;0)-MIN($F$1+1,COUNTIF(I79:XFD79,"&gt;"&amp;0)),I$1:XFD79,A79+1,FALSE))</f>
        <v>0</v>
      </c>
      <c r="G79" s="8">
        <f t="shared" si="12"/>
        <v>0</v>
      </c>
    </row>
    <row r="80" spans="1:9" x14ac:dyDescent="0.25">
      <c r="A80" s="9">
        <f t="shared" si="9"/>
        <v>79</v>
      </c>
      <c r="B80" s="9">
        <f t="array" ref="B80">IF(C80="",0,IF(OR(C80=Country_Comparison!$S$10:$S$29),1,0))</f>
        <v>0</v>
      </c>
      <c r="C80" s="9" t="str">
        <f t="shared" si="10"/>
        <v/>
      </c>
      <c r="D80" s="6">
        <f t="shared" si="11"/>
        <v>0</v>
      </c>
      <c r="E80" s="6">
        <f>IF(COUNTIF(I80:XFD80,"&gt;"&amp;0)=0,,HLOOKUP(COUNTIF(I80:XFD80,"&gt;"&amp;0)-1,I$1:XFD80,A80+1,FALSE))</f>
        <v>0</v>
      </c>
      <c r="F80" s="7">
        <f>IF(COUNTIF(I80:XFD80,"&gt;"&amp;0)=0,,HLOOKUP(COUNTIF(I80:XFD80,"&gt;"&amp;0)-MIN($F$1+1,COUNTIF(I80:XFD80,"&gt;"&amp;0)),I$1:XFD80,A80+1,FALSE))</f>
        <v>0</v>
      </c>
      <c r="G80" s="8">
        <f t="shared" si="12"/>
        <v>0</v>
      </c>
    </row>
    <row r="81" spans="1:7" x14ac:dyDescent="0.25">
      <c r="A81" s="9">
        <f t="shared" si="9"/>
        <v>80</v>
      </c>
      <c r="B81" s="9">
        <f t="array" ref="B81">IF(C81="",0,IF(OR(C81=Country_Comparison!$S$10:$S$29),1,0))</f>
        <v>0</v>
      </c>
      <c r="C81" s="9" t="str">
        <f t="shared" si="10"/>
        <v/>
      </c>
      <c r="D81" s="6">
        <f t="shared" si="11"/>
        <v>0</v>
      </c>
      <c r="E81" s="6">
        <f>IF(COUNTIF(I81:XFD81,"&gt;"&amp;0)=0,,HLOOKUP(COUNTIF(I81:XFD81,"&gt;"&amp;0)-1,I$1:XFD81,A81+1,FALSE))</f>
        <v>0</v>
      </c>
      <c r="F81" s="7">
        <f>IF(COUNTIF(I81:XFD81,"&gt;"&amp;0)=0,,HLOOKUP(COUNTIF(I81:XFD81,"&gt;"&amp;0)-MIN($F$1+1,COUNTIF(I81:XFD81,"&gt;"&amp;0)),I$1:XFD81,A81+1,FALSE))</f>
        <v>0</v>
      </c>
      <c r="G81" s="8">
        <f t="shared" si="12"/>
        <v>0</v>
      </c>
    </row>
    <row r="82" spans="1:7" x14ac:dyDescent="0.25">
      <c r="A82" s="9">
        <f t="shared" si="9"/>
        <v>81</v>
      </c>
      <c r="B82" s="9">
        <f t="array" ref="B82">IF(C82="",0,IF(OR(C82=Country_Comparison!$S$10:$S$29),1,0))</f>
        <v>0</v>
      </c>
      <c r="C82" s="9" t="str">
        <f t="shared" si="10"/>
        <v/>
      </c>
      <c r="D82" s="6">
        <f t="shared" si="11"/>
        <v>0</v>
      </c>
      <c r="E82" s="6">
        <f>IF(COUNTIF(I82:XFD82,"&gt;"&amp;0)=0,,HLOOKUP(COUNTIF(I82:XFD82,"&gt;"&amp;0)-1,I$1:XFD82,A82+1,FALSE))</f>
        <v>0</v>
      </c>
      <c r="F82" s="7">
        <f>IF(COUNTIF(I82:XFD82,"&gt;"&amp;0)=0,,HLOOKUP(COUNTIF(I82:XFD82,"&gt;"&amp;0)-MIN($F$1+1,COUNTIF(I82:XFD82,"&gt;"&amp;0)),I$1:XFD82,A82+1,FALSE))</f>
        <v>0</v>
      </c>
      <c r="G82" s="8">
        <f t="shared" si="12"/>
        <v>0</v>
      </c>
    </row>
    <row r="83" spans="1:7" x14ac:dyDescent="0.25">
      <c r="A83" s="9">
        <f t="shared" si="9"/>
        <v>82</v>
      </c>
      <c r="B83" s="9">
        <f t="array" ref="B83">IF(C83="",0,IF(OR(C83=Country_Comparison!$S$10:$S$29),1,0))</f>
        <v>0</v>
      </c>
      <c r="C83" s="9" t="str">
        <f t="shared" si="10"/>
        <v/>
      </c>
      <c r="D83" s="6">
        <f t="shared" si="11"/>
        <v>0</v>
      </c>
      <c r="E83" s="6">
        <f>IF(COUNTIF(I83:XFD83,"&gt;"&amp;0)=0,,HLOOKUP(COUNTIF(I83:XFD83,"&gt;"&amp;0)-1,I$1:XFD83,A83+1,FALSE))</f>
        <v>0</v>
      </c>
      <c r="F83" s="7">
        <f>IF(COUNTIF(I83:XFD83,"&gt;"&amp;0)=0,,HLOOKUP(COUNTIF(I83:XFD83,"&gt;"&amp;0)-MIN($F$1+1,COUNTIF(I83:XFD83,"&gt;"&amp;0)),I$1:XFD83,A83+1,FALSE))</f>
        <v>0</v>
      </c>
      <c r="G83" s="8">
        <f t="shared" si="12"/>
        <v>0</v>
      </c>
    </row>
    <row r="84" spans="1:7" x14ac:dyDescent="0.25">
      <c r="A84" s="9">
        <f t="shared" si="9"/>
        <v>83</v>
      </c>
      <c r="B84" s="9">
        <f t="array" ref="B84">IF(C84="",0,IF(OR(C84=Country_Comparison!$S$10:$S$29),1,0))</f>
        <v>0</v>
      </c>
      <c r="C84" s="9" t="str">
        <f t="shared" si="10"/>
        <v/>
      </c>
      <c r="D84" s="6">
        <f t="shared" si="11"/>
        <v>0</v>
      </c>
      <c r="E84" s="6">
        <f>IF(COUNTIF(I84:XFD84,"&gt;"&amp;0)=0,,HLOOKUP(COUNTIF(I84:XFD84,"&gt;"&amp;0)-1,I$1:XFD84,A84+1,FALSE))</f>
        <v>0</v>
      </c>
      <c r="F84" s="7">
        <f>IF(COUNTIF(I84:XFD84,"&gt;"&amp;0)=0,,HLOOKUP(COUNTIF(I84:XFD84,"&gt;"&amp;0)-MIN($F$1+1,COUNTIF(I84:XFD84,"&gt;"&amp;0)),I$1:XFD84,A84+1,FALSE))</f>
        <v>0</v>
      </c>
      <c r="G84" s="8">
        <f t="shared" si="12"/>
        <v>0</v>
      </c>
    </row>
    <row r="85" spans="1:7" x14ac:dyDescent="0.25">
      <c r="A85" s="9">
        <f t="shared" si="9"/>
        <v>84</v>
      </c>
      <c r="B85" s="9">
        <f t="array" ref="B85">IF(C85="",0,IF(OR(C85=Country_Comparison!$S$10:$S$29),1,0))</f>
        <v>0</v>
      </c>
      <c r="C85" s="9" t="str">
        <f t="shared" si="10"/>
        <v/>
      </c>
      <c r="D85" s="6">
        <f t="shared" si="11"/>
        <v>0</v>
      </c>
      <c r="E85" s="6">
        <f>IF(COUNTIF(I85:XFD85,"&gt;"&amp;0)=0,,HLOOKUP(COUNTIF(I85:XFD85,"&gt;"&amp;0)-1,I$1:XFD85,A85+1,FALSE))</f>
        <v>0</v>
      </c>
      <c r="F85" s="7">
        <f>IF(COUNTIF(I85:XFD85,"&gt;"&amp;0)=0,,HLOOKUP(COUNTIF(I85:XFD85,"&gt;"&amp;0)-MIN($F$1+1,COUNTIF(I85:XFD85,"&gt;"&amp;0)),I$1:XFD85,A85+1,FALSE))</f>
        <v>0</v>
      </c>
      <c r="G85" s="8">
        <f t="shared" si="12"/>
        <v>0</v>
      </c>
    </row>
    <row r="86" spans="1:7" x14ac:dyDescent="0.25">
      <c r="A86" s="9">
        <f t="shared" si="9"/>
        <v>85</v>
      </c>
      <c r="B86" s="9">
        <f t="array" ref="B86">IF(C86="",0,IF(OR(C86=Country_Comparison!$S$10:$S$29),1,0))</f>
        <v>0</v>
      </c>
      <c r="C86" s="9" t="str">
        <f t="shared" si="10"/>
        <v/>
      </c>
      <c r="D86" s="6">
        <f t="shared" si="11"/>
        <v>0</v>
      </c>
      <c r="E86" s="6">
        <f>IF(COUNTIF(I86:XFD86,"&gt;"&amp;0)=0,,HLOOKUP(COUNTIF(I86:XFD86,"&gt;"&amp;0)-1,I$1:XFD86,A86+1,FALSE))</f>
        <v>0</v>
      </c>
      <c r="F86" s="7">
        <f>IF(COUNTIF(I86:XFD86,"&gt;"&amp;0)=0,,HLOOKUP(COUNTIF(I86:XFD86,"&gt;"&amp;0)-MIN($F$1+1,COUNTIF(I86:XFD86,"&gt;"&amp;0)),I$1:XFD86,A86+1,FALSE))</f>
        <v>0</v>
      </c>
      <c r="G86" s="8">
        <f t="shared" si="12"/>
        <v>0</v>
      </c>
    </row>
    <row r="87" spans="1:7" x14ac:dyDescent="0.25">
      <c r="A87" s="9">
        <f t="shared" si="9"/>
        <v>86</v>
      </c>
      <c r="B87" s="9">
        <f t="array" ref="B87">IF(C87="",0,IF(OR(C87=Country_Comparison!$S$10:$S$29),1,0))</f>
        <v>0</v>
      </c>
      <c r="C87" s="9" t="str">
        <f t="shared" si="10"/>
        <v/>
      </c>
      <c r="D87" s="6">
        <f t="shared" si="11"/>
        <v>0</v>
      </c>
      <c r="E87" s="6">
        <f>IF(COUNTIF(I87:XFD87,"&gt;"&amp;0)=0,,HLOOKUP(COUNTIF(I87:XFD87,"&gt;"&amp;0)-1,I$1:XFD87,A87+1,FALSE))</f>
        <v>0</v>
      </c>
      <c r="F87" s="7">
        <f>IF(COUNTIF(I87:XFD87,"&gt;"&amp;0)=0,,HLOOKUP(COUNTIF(I87:XFD87,"&gt;"&amp;0)-MIN($F$1+1,COUNTIF(I87:XFD87,"&gt;"&amp;0)),I$1:XFD87,A87+1,FALSE))</f>
        <v>0</v>
      </c>
      <c r="G87" s="8">
        <f t="shared" si="12"/>
        <v>0</v>
      </c>
    </row>
    <row r="88" spans="1:7" x14ac:dyDescent="0.25">
      <c r="A88" s="9">
        <f t="shared" si="9"/>
        <v>87</v>
      </c>
      <c r="B88" s="9">
        <f t="array" ref="B88">IF(C88="",0,IF(OR(C88=Country_Comparison!$S$10:$S$29),1,0))</f>
        <v>0</v>
      </c>
      <c r="C88" s="9" t="str">
        <f t="shared" si="10"/>
        <v/>
      </c>
      <c r="D88" s="6">
        <f t="shared" si="11"/>
        <v>0</v>
      </c>
      <c r="E88" s="6">
        <f>IF(COUNTIF(I88:XFD88,"&gt;"&amp;0)=0,,HLOOKUP(COUNTIF(I88:XFD88,"&gt;"&amp;0)-1,I$1:XFD88,A88+1,FALSE))</f>
        <v>0</v>
      </c>
      <c r="F88" s="7">
        <f>IF(COUNTIF(I88:XFD88,"&gt;"&amp;0)=0,,HLOOKUP(COUNTIF(I88:XFD88,"&gt;"&amp;0)-MIN($F$1+1,COUNTIF(I88:XFD88,"&gt;"&amp;0)),I$1:XFD88,A88+1,FALSE))</f>
        <v>0</v>
      </c>
      <c r="G88" s="8">
        <f t="shared" si="12"/>
        <v>0</v>
      </c>
    </row>
    <row r="89" spans="1:7" x14ac:dyDescent="0.25">
      <c r="A89" s="9">
        <f t="shared" si="9"/>
        <v>88</v>
      </c>
      <c r="B89" s="9">
        <f t="array" ref="B89">IF(C89="",0,IF(OR(C89=Country_Comparison!$S$10:$S$29),1,0))</f>
        <v>0</v>
      </c>
      <c r="C89" s="9" t="str">
        <f t="shared" si="10"/>
        <v/>
      </c>
      <c r="D89" s="6">
        <f t="shared" si="11"/>
        <v>0</v>
      </c>
      <c r="E89" s="6">
        <f>IF(COUNTIF(I89:XFD89,"&gt;"&amp;0)=0,,HLOOKUP(COUNTIF(I89:XFD89,"&gt;"&amp;0)-1,I$1:XFD89,A89+1,FALSE))</f>
        <v>0</v>
      </c>
      <c r="F89" s="7">
        <f>IF(COUNTIF(I89:XFD89,"&gt;"&amp;0)=0,,HLOOKUP(COUNTIF(I89:XFD89,"&gt;"&amp;0)-MIN($F$1+1,COUNTIF(I89:XFD89,"&gt;"&amp;0)),I$1:XFD89,A89+1,FALSE))</f>
        <v>0</v>
      </c>
      <c r="G89" s="8">
        <f t="shared" si="12"/>
        <v>0</v>
      </c>
    </row>
    <row r="90" spans="1:7" x14ac:dyDescent="0.25">
      <c r="A90" s="9">
        <f t="shared" si="9"/>
        <v>89</v>
      </c>
      <c r="B90" s="9">
        <f t="array" ref="B90">IF(C90="",0,IF(OR(C90=Country_Comparison!$S$10:$S$29),1,0))</f>
        <v>0</v>
      </c>
      <c r="C90" s="9" t="str">
        <f t="shared" si="10"/>
        <v/>
      </c>
      <c r="D90" s="6">
        <f t="shared" si="11"/>
        <v>0</v>
      </c>
      <c r="E90" s="6">
        <f>IF(COUNTIF(I90:XFD90,"&gt;"&amp;0)=0,,HLOOKUP(COUNTIF(I90:XFD90,"&gt;"&amp;0)-1,I$1:XFD90,A90+1,FALSE))</f>
        <v>0</v>
      </c>
      <c r="F90" s="7">
        <f>IF(COUNTIF(I90:XFD90,"&gt;"&amp;0)=0,,HLOOKUP(COUNTIF(I90:XFD90,"&gt;"&amp;0)-MIN($F$1+1,COUNTIF(I90:XFD90,"&gt;"&amp;0)),I$1:XFD90,A90+1,FALSE))</f>
        <v>0</v>
      </c>
      <c r="G90" s="8">
        <f t="shared" si="12"/>
        <v>0</v>
      </c>
    </row>
    <row r="91" spans="1:7" x14ac:dyDescent="0.25">
      <c r="A91" s="9">
        <f t="shared" si="9"/>
        <v>90</v>
      </c>
      <c r="B91" s="9">
        <f t="array" ref="B91">IF(C91="",0,IF(OR(C91=Country_Comparison!$S$10:$S$29),1,0))</f>
        <v>0</v>
      </c>
      <c r="C91" s="9" t="str">
        <f t="shared" si="10"/>
        <v/>
      </c>
      <c r="D91" s="6">
        <f t="shared" si="11"/>
        <v>0</v>
      </c>
      <c r="E91" s="6">
        <f>IF(COUNTIF(I91:XFD91,"&gt;"&amp;0)=0,,HLOOKUP(COUNTIF(I91:XFD91,"&gt;"&amp;0)-1,I$1:XFD91,A91+1,FALSE))</f>
        <v>0</v>
      </c>
      <c r="F91" s="7">
        <f>IF(COUNTIF(I91:XFD91,"&gt;"&amp;0)=0,,HLOOKUP(COUNTIF(I91:XFD91,"&gt;"&amp;0)-MIN($F$1+1,COUNTIF(I91:XFD91,"&gt;"&amp;0)),I$1:XFD91,A91+1,FALSE))</f>
        <v>0</v>
      </c>
      <c r="G91" s="8">
        <f t="shared" si="12"/>
        <v>0</v>
      </c>
    </row>
    <row r="92" spans="1:7" x14ac:dyDescent="0.25">
      <c r="A92" s="9">
        <f t="shared" si="9"/>
        <v>91</v>
      </c>
      <c r="B92" s="9">
        <f t="array" ref="B92">IF(C92="",0,IF(OR(C92=Country_Comparison!$S$10:$S$29),1,0))</f>
        <v>0</v>
      </c>
      <c r="C92" s="9" t="str">
        <f t="shared" si="10"/>
        <v/>
      </c>
      <c r="D92" s="6">
        <f t="shared" si="11"/>
        <v>0</v>
      </c>
      <c r="E92" s="6">
        <f>IF(COUNTIF(I92:XFD92,"&gt;"&amp;0)=0,,HLOOKUP(COUNTIF(I92:XFD92,"&gt;"&amp;0)-1,I$1:XFD92,A92+1,FALSE))</f>
        <v>0</v>
      </c>
      <c r="F92" s="7">
        <f>IF(COUNTIF(I92:XFD92,"&gt;"&amp;0)=0,,HLOOKUP(COUNTIF(I92:XFD92,"&gt;"&amp;0)-MIN($F$1+1,COUNTIF(I92:XFD92,"&gt;"&amp;0)),I$1:XFD92,A92+1,FALSE))</f>
        <v>0</v>
      </c>
      <c r="G92" s="8">
        <f t="shared" si="12"/>
        <v>0</v>
      </c>
    </row>
    <row r="93" spans="1:7" x14ac:dyDescent="0.25">
      <c r="A93" s="9">
        <f t="shared" si="9"/>
        <v>92</v>
      </c>
      <c r="B93" s="9">
        <f t="array" ref="B93">IF(C93="",0,IF(OR(C93=Country_Comparison!$S$10:$S$29),1,0))</f>
        <v>0</v>
      </c>
      <c r="C93" s="9" t="str">
        <f t="shared" si="10"/>
        <v/>
      </c>
      <c r="D93" s="6">
        <f t="shared" si="11"/>
        <v>0</v>
      </c>
      <c r="E93" s="6">
        <f>IF(COUNTIF(I93:XFD93,"&gt;"&amp;0)=0,,HLOOKUP(COUNTIF(I93:XFD93,"&gt;"&amp;0)-1,I$1:XFD93,A93+1,FALSE))</f>
        <v>0</v>
      </c>
      <c r="F93" s="7">
        <f>IF(COUNTIF(I93:XFD93,"&gt;"&amp;0)=0,,HLOOKUP(COUNTIF(I93:XFD93,"&gt;"&amp;0)-MIN($F$1+1,COUNTIF(I93:XFD93,"&gt;"&amp;0)),I$1:XFD93,A93+1,FALSE))</f>
        <v>0</v>
      </c>
      <c r="G93" s="8">
        <f t="shared" si="12"/>
        <v>0</v>
      </c>
    </row>
    <row r="94" spans="1:7" x14ac:dyDescent="0.25">
      <c r="A94" s="9">
        <f t="shared" si="9"/>
        <v>93</v>
      </c>
      <c r="B94" s="9">
        <f t="array" ref="B94">IF(C94="",0,IF(OR(C94=Country_Comparison!$S$10:$S$29),1,0))</f>
        <v>0</v>
      </c>
      <c r="C94" s="9" t="str">
        <f t="shared" si="10"/>
        <v/>
      </c>
      <c r="D94" s="6">
        <f t="shared" si="11"/>
        <v>0</v>
      </c>
      <c r="E94" s="6">
        <f>IF(COUNTIF(I94:XFD94,"&gt;"&amp;0)=0,,HLOOKUP(COUNTIF(I94:XFD94,"&gt;"&amp;0)-1,I$1:XFD94,A94+1,FALSE))</f>
        <v>0</v>
      </c>
      <c r="F94" s="7">
        <f>IF(COUNTIF(I94:XFD94,"&gt;"&amp;0)=0,,HLOOKUP(COUNTIF(I94:XFD94,"&gt;"&amp;0)-MIN($F$1+1,COUNTIF(I94:XFD94,"&gt;"&amp;0)),I$1:XFD94,A94+1,FALSE))</f>
        <v>0</v>
      </c>
      <c r="G94" s="8">
        <f t="shared" si="12"/>
        <v>0</v>
      </c>
    </row>
    <row r="95" spans="1:7" x14ac:dyDescent="0.25">
      <c r="A95" s="9">
        <f t="shared" si="9"/>
        <v>94</v>
      </c>
      <c r="B95" s="9">
        <f t="array" ref="B95">IF(C95="",0,IF(OR(C95=Country_Comparison!$S$10:$S$29),1,0))</f>
        <v>0</v>
      </c>
      <c r="C95" s="9" t="str">
        <f t="shared" si="10"/>
        <v/>
      </c>
      <c r="D95" s="6">
        <f t="shared" si="11"/>
        <v>0</v>
      </c>
      <c r="E95" s="6">
        <f>IF(COUNTIF(I95:XFD95,"&gt;"&amp;0)=0,,HLOOKUP(COUNTIF(I95:XFD95,"&gt;"&amp;0)-1,I$1:XFD95,A95+1,FALSE))</f>
        <v>0</v>
      </c>
      <c r="F95" s="7">
        <f>IF(COUNTIF(I95:XFD95,"&gt;"&amp;0)=0,,HLOOKUP(COUNTIF(I95:XFD95,"&gt;"&amp;0)-MIN($F$1+1,COUNTIF(I95:XFD95,"&gt;"&amp;0)),I$1:XFD95,A95+1,FALSE))</f>
        <v>0</v>
      </c>
      <c r="G95" s="8">
        <f t="shared" si="12"/>
        <v>0</v>
      </c>
    </row>
    <row r="96" spans="1:7" x14ac:dyDescent="0.25">
      <c r="A96" s="9">
        <f t="shared" si="9"/>
        <v>95</v>
      </c>
      <c r="B96" s="9">
        <f t="array" ref="B96">IF(C96="",0,IF(OR(C96=Country_Comparison!$S$10:$S$29),1,0))</f>
        <v>0</v>
      </c>
      <c r="C96" s="9" t="str">
        <f t="shared" si="10"/>
        <v/>
      </c>
      <c r="D96" s="6">
        <f t="shared" si="11"/>
        <v>0</v>
      </c>
      <c r="E96" s="6">
        <f>IF(COUNTIF(I96:XFD96,"&gt;"&amp;0)=0,,HLOOKUP(COUNTIF(I96:XFD96,"&gt;"&amp;0)-1,I$1:XFD96,A96+1,FALSE))</f>
        <v>0</v>
      </c>
      <c r="F96" s="7">
        <f>IF(COUNTIF(I96:XFD96,"&gt;"&amp;0)=0,,HLOOKUP(COUNTIF(I96:XFD96,"&gt;"&amp;0)-MIN($F$1+1,COUNTIF(I96:XFD96,"&gt;"&amp;0)),I$1:XFD96,A96+1,FALSE))</f>
        <v>0</v>
      </c>
      <c r="G96" s="8">
        <f t="shared" si="12"/>
        <v>0</v>
      </c>
    </row>
    <row r="97" spans="1:7" x14ac:dyDescent="0.25">
      <c r="A97" s="9">
        <f t="shared" si="9"/>
        <v>96</v>
      </c>
      <c r="B97" s="9">
        <f t="array" ref="B97">IF(C97="",0,IF(OR(C97=Country_Comparison!$S$10:$S$29),1,0))</f>
        <v>0</v>
      </c>
      <c r="C97" s="9" t="str">
        <f t="shared" si="10"/>
        <v/>
      </c>
      <c r="D97" s="6">
        <f t="shared" si="11"/>
        <v>0</v>
      </c>
      <c r="E97" s="6">
        <f>IF(COUNTIF(I97:XFD97,"&gt;"&amp;0)=0,,HLOOKUP(COUNTIF(I97:XFD97,"&gt;"&amp;0)-1,I$1:XFD97,A97+1,FALSE))</f>
        <v>0</v>
      </c>
      <c r="F97" s="7">
        <f>IF(COUNTIF(I97:XFD97,"&gt;"&amp;0)=0,,HLOOKUP(COUNTIF(I97:XFD97,"&gt;"&amp;0)-MIN($F$1+1,COUNTIF(I97:XFD97,"&gt;"&amp;0)),I$1:XFD97,A97+1,FALSE))</f>
        <v>0</v>
      </c>
      <c r="G97" s="8">
        <f t="shared" si="12"/>
        <v>0</v>
      </c>
    </row>
    <row r="98" spans="1:7" x14ac:dyDescent="0.25">
      <c r="A98" s="9">
        <f t="shared" si="9"/>
        <v>97</v>
      </c>
      <c r="B98" s="9">
        <f t="array" ref="B98">IF(C98="",0,IF(OR(C98=Country_Comparison!$S$10:$S$29),1,0))</f>
        <v>0</v>
      </c>
      <c r="C98" s="9" t="str">
        <f t="shared" si="10"/>
        <v/>
      </c>
      <c r="D98" s="6">
        <f t="shared" si="11"/>
        <v>0</v>
      </c>
      <c r="E98" s="6">
        <f>IF(COUNTIF(I98:XFD98,"&gt;"&amp;0)=0,,HLOOKUP(COUNTIF(I98:XFD98,"&gt;"&amp;0)-1,I$1:XFD98,A98+1,FALSE))</f>
        <v>0</v>
      </c>
      <c r="F98" s="7">
        <f>IF(COUNTIF(I98:XFD98,"&gt;"&amp;0)=0,,HLOOKUP(COUNTIF(I98:XFD98,"&gt;"&amp;0)-MIN($F$1+1,COUNTIF(I98:XFD98,"&gt;"&amp;0)),I$1:XFD98,A98+1,FALSE))</f>
        <v>0</v>
      </c>
      <c r="G98" s="8">
        <f t="shared" si="12"/>
        <v>0</v>
      </c>
    </row>
    <row r="99" spans="1:7" x14ac:dyDescent="0.25">
      <c r="A99" s="9">
        <f t="shared" si="9"/>
        <v>98</v>
      </c>
      <c r="B99" s="9">
        <f t="array" ref="B99">IF(C99="",0,IF(OR(C99=Country_Comparison!$S$10:$S$29),1,0))</f>
        <v>0</v>
      </c>
      <c r="C99" s="9" t="str">
        <f t="shared" si="10"/>
        <v/>
      </c>
      <c r="D99" s="6">
        <f t="shared" si="11"/>
        <v>0</v>
      </c>
      <c r="E99" s="6">
        <f>IF(COUNTIF(I99:XFD99,"&gt;"&amp;0)=0,,HLOOKUP(COUNTIF(I99:XFD99,"&gt;"&amp;0)-1,I$1:XFD99,A99+1,FALSE))</f>
        <v>0</v>
      </c>
      <c r="F99" s="7">
        <f>IF(COUNTIF(I99:XFD99,"&gt;"&amp;0)=0,,HLOOKUP(COUNTIF(I99:XFD99,"&gt;"&amp;0)-MIN($F$1+1,COUNTIF(I99:XFD99,"&gt;"&amp;0)),I$1:XFD99,A99+1,FALSE))</f>
        <v>0</v>
      </c>
      <c r="G99" s="8">
        <f t="shared" si="12"/>
        <v>0</v>
      </c>
    </row>
    <row r="100" spans="1:7" x14ac:dyDescent="0.25">
      <c r="A100" s="9">
        <f t="shared" si="9"/>
        <v>99</v>
      </c>
      <c r="B100" s="9">
        <f t="array" ref="B100">IF(C100="",0,IF(OR(C100=Country_Comparison!$S$10:$S$29),1,0))</f>
        <v>0</v>
      </c>
      <c r="C100" s="9" t="str">
        <f t="shared" si="10"/>
        <v/>
      </c>
      <c r="D100" s="6">
        <f t="shared" si="11"/>
        <v>0</v>
      </c>
      <c r="E100" s="6">
        <f>IF(COUNTIF(I100:XFD100,"&gt;"&amp;0)=0,,HLOOKUP(COUNTIF(I100:XFD100,"&gt;"&amp;0)-1,I$1:XFD100,A100+1,FALSE))</f>
        <v>0</v>
      </c>
      <c r="F100" s="7">
        <f>IF(COUNTIF(I100:XFD100,"&gt;"&amp;0)=0,,HLOOKUP(COUNTIF(I100:XFD100,"&gt;"&amp;0)-MIN($F$1+1,COUNTIF(I100:XFD100,"&gt;"&amp;0)),I$1:XFD100,A100+1,FALSE))</f>
        <v>0</v>
      </c>
      <c r="G100" s="8">
        <f t="shared" si="12"/>
        <v>0</v>
      </c>
    </row>
    <row r="101" spans="1:7" x14ac:dyDescent="0.25">
      <c r="A101" s="9">
        <f t="shared" si="9"/>
        <v>100</v>
      </c>
      <c r="B101" s="9">
        <f t="array" ref="B101">IF(C101="",0,IF(OR(C101=Country_Comparison!$S$10:$S$29),1,0))</f>
        <v>0</v>
      </c>
      <c r="C101" s="9" t="str">
        <f t="shared" si="10"/>
        <v/>
      </c>
      <c r="D101" s="6">
        <f t="shared" si="11"/>
        <v>0</v>
      </c>
      <c r="E101" s="6">
        <f>IF(COUNTIF(I101:XFD101,"&gt;"&amp;0)=0,,HLOOKUP(COUNTIF(I101:XFD101,"&gt;"&amp;0)-1,I$1:XFD101,A101+1,FALSE))</f>
        <v>0</v>
      </c>
      <c r="F101" s="7">
        <f>IF(COUNTIF(I101:XFD101,"&gt;"&amp;0)=0,,HLOOKUP(COUNTIF(I101:XFD101,"&gt;"&amp;0)-MIN($F$1+1,COUNTIF(I101:XFD101,"&gt;"&amp;0)),I$1:XFD101,A101+1,FALSE))</f>
        <v>0</v>
      </c>
      <c r="G101" s="8">
        <f t="shared" si="12"/>
        <v>0</v>
      </c>
    </row>
    <row r="102" spans="1:7" x14ac:dyDescent="0.25">
      <c r="A102" s="9">
        <f t="shared" si="9"/>
        <v>101</v>
      </c>
      <c r="B102" s="9">
        <f t="array" ref="B102">IF(C102="",0,IF(OR(C102=Country_Comparison!$S$10:$S$29),1,0))</f>
        <v>0</v>
      </c>
      <c r="C102" s="9" t="str">
        <f t="shared" si="10"/>
        <v/>
      </c>
      <c r="D102" s="6">
        <f t="shared" si="11"/>
        <v>0</v>
      </c>
      <c r="E102" s="6">
        <f>IF(COUNTIF(I102:XFD102,"&gt;"&amp;0)=0,,HLOOKUP(COUNTIF(I102:XFD102,"&gt;"&amp;0)-1,I$1:XFD102,A102+1,FALSE))</f>
        <v>0</v>
      </c>
      <c r="F102" s="7">
        <f>IF(COUNTIF(I102:XFD102,"&gt;"&amp;0)=0,,HLOOKUP(COUNTIF(I102:XFD102,"&gt;"&amp;0)-MIN($F$1+1,COUNTIF(I102:XFD102,"&gt;"&amp;0)),I$1:XFD102,A102+1,FALSE))</f>
        <v>0</v>
      </c>
      <c r="G102" s="8">
        <f t="shared" si="12"/>
        <v>0</v>
      </c>
    </row>
    <row r="103" spans="1:7" x14ac:dyDescent="0.25">
      <c r="A103" s="9">
        <f t="shared" si="9"/>
        <v>102</v>
      </c>
      <c r="B103" s="9">
        <f t="array" ref="B103">IF(C103="",0,IF(OR(C103=Country_Comparison!$S$10:$S$29),1,0))</f>
        <v>0</v>
      </c>
      <c r="C103" s="9" t="str">
        <f t="shared" si="10"/>
        <v/>
      </c>
      <c r="D103" s="6">
        <f t="shared" si="11"/>
        <v>0</v>
      </c>
      <c r="E103" s="6">
        <f>IF(COUNTIF(I103:XFD103,"&gt;"&amp;0)=0,,HLOOKUP(COUNTIF(I103:XFD103,"&gt;"&amp;0)-1,I$1:XFD103,A103+1,FALSE))</f>
        <v>0</v>
      </c>
      <c r="F103" s="7">
        <f>IF(COUNTIF(I103:XFD103,"&gt;"&amp;0)=0,,HLOOKUP(COUNTIF(I103:XFD103,"&gt;"&amp;0)-MIN($F$1+1,COUNTIF(I103:XFD103,"&gt;"&amp;0)),I$1:XFD103,A103+1,FALSE))</f>
        <v>0</v>
      </c>
      <c r="G103" s="8">
        <f t="shared" si="12"/>
        <v>0</v>
      </c>
    </row>
    <row r="104" spans="1:7" x14ac:dyDescent="0.25">
      <c r="A104" s="9">
        <f t="shared" si="9"/>
        <v>103</v>
      </c>
      <c r="B104" s="9">
        <f t="array" ref="B104">IF(C104="",0,IF(OR(C104=Country_Comparison!$S$10:$S$29),1,0))</f>
        <v>0</v>
      </c>
      <c r="C104" s="9" t="str">
        <f t="shared" si="10"/>
        <v/>
      </c>
      <c r="D104" s="6">
        <f t="shared" si="11"/>
        <v>0</v>
      </c>
      <c r="E104" s="6">
        <f>IF(COUNTIF(I104:XFD104,"&gt;"&amp;0)=0,,HLOOKUP(COUNTIF(I104:XFD104,"&gt;"&amp;0)-1,I$1:XFD104,A104+1,FALSE))</f>
        <v>0</v>
      </c>
      <c r="F104" s="7">
        <f>IF(COUNTIF(I104:XFD104,"&gt;"&amp;0)=0,,HLOOKUP(COUNTIF(I104:XFD104,"&gt;"&amp;0)-MIN($F$1+1,COUNTIF(I104:XFD104,"&gt;"&amp;0)),I$1:XFD104,A104+1,FALSE))</f>
        <v>0</v>
      </c>
      <c r="G104" s="8">
        <f t="shared" si="12"/>
        <v>0</v>
      </c>
    </row>
    <row r="105" spans="1:7" x14ac:dyDescent="0.25">
      <c r="A105" s="9">
        <f t="shared" si="9"/>
        <v>104</v>
      </c>
      <c r="B105" s="9">
        <f t="array" ref="B105">IF(C105="",0,IF(OR(C105=Country_Comparison!$S$10:$S$29),1,0))</f>
        <v>0</v>
      </c>
      <c r="C105" s="9" t="str">
        <f t="shared" si="10"/>
        <v/>
      </c>
      <c r="D105" s="6">
        <f t="shared" si="11"/>
        <v>0</v>
      </c>
      <c r="E105" s="6">
        <f>IF(COUNTIF(I105:XFD105,"&gt;"&amp;0)=0,,HLOOKUP(COUNTIF(I105:XFD105,"&gt;"&amp;0)-1,I$1:XFD105,A105+1,FALSE))</f>
        <v>0</v>
      </c>
      <c r="F105" s="7">
        <f>IF(COUNTIF(I105:XFD105,"&gt;"&amp;0)=0,,HLOOKUP(COUNTIF(I105:XFD105,"&gt;"&amp;0)-MIN($F$1+1,COUNTIF(I105:XFD105,"&gt;"&amp;0)),I$1:XFD105,A105+1,FALSE))</f>
        <v>0</v>
      </c>
      <c r="G105" s="8">
        <f t="shared" si="12"/>
        <v>0</v>
      </c>
    </row>
    <row r="106" spans="1:7" x14ac:dyDescent="0.25">
      <c r="A106" s="9">
        <f t="shared" si="9"/>
        <v>105</v>
      </c>
      <c r="B106" s="9">
        <f t="array" ref="B106">IF(C106="",0,IF(OR(C106=Country_Comparison!$S$10:$S$29),1,0))</f>
        <v>0</v>
      </c>
      <c r="C106" s="9" t="str">
        <f t="shared" si="10"/>
        <v/>
      </c>
      <c r="D106" s="6">
        <f t="shared" si="11"/>
        <v>0</v>
      </c>
      <c r="E106" s="6">
        <f>IF(COUNTIF(I106:XFD106,"&gt;"&amp;0)=0,,HLOOKUP(COUNTIF(I106:XFD106,"&gt;"&amp;0)-1,I$1:XFD106,A106+1,FALSE))</f>
        <v>0</v>
      </c>
      <c r="F106" s="7">
        <f>IF(COUNTIF(I106:XFD106,"&gt;"&amp;0)=0,,HLOOKUP(COUNTIF(I106:XFD106,"&gt;"&amp;0)-MIN($F$1+1,COUNTIF(I106:XFD106,"&gt;"&amp;0)),I$1:XFD106,A106+1,FALSE))</f>
        <v>0</v>
      </c>
      <c r="G106" s="8">
        <f t="shared" si="12"/>
        <v>0</v>
      </c>
    </row>
    <row r="107" spans="1:7" x14ac:dyDescent="0.25">
      <c r="A107" s="9">
        <f t="shared" si="9"/>
        <v>106</v>
      </c>
      <c r="B107" s="9">
        <f t="array" ref="B107">IF(C107="",0,IF(OR(C107=Country_Comparison!$S$10:$S$29),1,0))</f>
        <v>0</v>
      </c>
      <c r="C107" s="9" t="str">
        <f t="shared" si="10"/>
        <v/>
      </c>
      <c r="D107" s="6">
        <f t="shared" si="11"/>
        <v>0</v>
      </c>
      <c r="E107" s="6">
        <f>IF(COUNTIF(I107:XFD107,"&gt;"&amp;0)=0,,HLOOKUP(COUNTIF(I107:XFD107,"&gt;"&amp;0)-1,I$1:XFD107,A107+1,FALSE))</f>
        <v>0</v>
      </c>
      <c r="F107" s="7">
        <f>IF(COUNTIF(I107:XFD107,"&gt;"&amp;0)=0,,HLOOKUP(COUNTIF(I107:XFD107,"&gt;"&amp;0)-MIN($F$1+1,COUNTIF(I107:XFD107,"&gt;"&amp;0)),I$1:XFD107,A107+1,FALSE))</f>
        <v>0</v>
      </c>
      <c r="G107" s="8">
        <f t="shared" si="12"/>
        <v>0</v>
      </c>
    </row>
    <row r="108" spans="1:7" x14ac:dyDescent="0.25">
      <c r="A108" s="9">
        <f t="shared" si="9"/>
        <v>107</v>
      </c>
      <c r="B108" s="9">
        <f t="array" ref="B108">IF(C108="",0,IF(OR(C108=Country_Comparison!$S$10:$S$29),1,0))</f>
        <v>0</v>
      </c>
      <c r="C108" s="9" t="str">
        <f t="shared" si="10"/>
        <v/>
      </c>
      <c r="D108" s="6">
        <f t="shared" si="11"/>
        <v>0</v>
      </c>
      <c r="E108" s="6">
        <f>IF(COUNTIF(I108:XFD108,"&gt;"&amp;0)=0,,HLOOKUP(COUNTIF(I108:XFD108,"&gt;"&amp;0)-1,I$1:XFD108,A108+1,FALSE))</f>
        <v>0</v>
      </c>
      <c r="F108" s="7">
        <f>IF(COUNTIF(I108:XFD108,"&gt;"&amp;0)=0,,HLOOKUP(COUNTIF(I108:XFD108,"&gt;"&amp;0)-MIN($F$1+1,COUNTIF(I108:XFD108,"&gt;"&amp;0)),I$1:XFD108,A108+1,FALSE))</f>
        <v>0</v>
      </c>
      <c r="G108" s="8">
        <f t="shared" si="12"/>
        <v>0</v>
      </c>
    </row>
    <row r="109" spans="1:7" x14ac:dyDescent="0.25">
      <c r="A109" s="9">
        <f t="shared" si="9"/>
        <v>108</v>
      </c>
      <c r="B109" s="9">
        <f t="array" ref="B109">IF(C109="",0,IF(OR(C109=Country_Comparison!$S$10:$S$29),1,0))</f>
        <v>0</v>
      </c>
      <c r="C109" s="9" t="str">
        <f t="shared" si="10"/>
        <v/>
      </c>
      <c r="D109" s="6">
        <f t="shared" si="11"/>
        <v>0</v>
      </c>
      <c r="E109" s="6">
        <f>IF(COUNTIF(I109:XFD109,"&gt;"&amp;0)=0,,HLOOKUP(COUNTIF(I109:XFD109,"&gt;"&amp;0)-1,I$1:XFD109,A109+1,FALSE))</f>
        <v>0</v>
      </c>
      <c r="F109" s="7">
        <f>IF(COUNTIF(I109:XFD109,"&gt;"&amp;0)=0,,HLOOKUP(COUNTIF(I109:XFD109,"&gt;"&amp;0)-MIN($F$1+1,COUNTIF(I109:XFD109,"&gt;"&amp;0)),I$1:XFD109,A109+1,FALSE))</f>
        <v>0</v>
      </c>
      <c r="G109" s="8">
        <f t="shared" si="12"/>
        <v>0</v>
      </c>
    </row>
    <row r="110" spans="1:7" x14ac:dyDescent="0.25">
      <c r="A110" s="9">
        <f t="shared" si="9"/>
        <v>109</v>
      </c>
      <c r="B110" s="9">
        <f t="array" ref="B110">IF(C110="",0,IF(OR(C110=Country_Comparison!$S$10:$S$29),1,0))</f>
        <v>0</v>
      </c>
      <c r="C110" s="9" t="str">
        <f t="shared" si="10"/>
        <v/>
      </c>
      <c r="D110" s="6">
        <f t="shared" si="11"/>
        <v>0</v>
      </c>
      <c r="E110" s="6">
        <f>IF(COUNTIF(I110:XFD110,"&gt;"&amp;0)=0,,HLOOKUP(COUNTIF(I110:XFD110,"&gt;"&amp;0)-1,I$1:XFD110,A110+1,FALSE))</f>
        <v>0</v>
      </c>
      <c r="F110" s="7">
        <f>IF(COUNTIF(I110:XFD110,"&gt;"&amp;0)=0,,HLOOKUP(COUNTIF(I110:XFD110,"&gt;"&amp;0)-MIN($F$1+1,COUNTIF(I110:XFD110,"&gt;"&amp;0)),I$1:XFD110,A110+1,FALSE))</f>
        <v>0</v>
      </c>
      <c r="G110" s="8">
        <f t="shared" si="12"/>
        <v>0</v>
      </c>
    </row>
    <row r="111" spans="1:7" x14ac:dyDescent="0.25">
      <c r="A111" s="9">
        <f t="shared" si="9"/>
        <v>110</v>
      </c>
      <c r="B111" s="9">
        <f t="array" ref="B111">IF(C111="",0,IF(OR(C111=Country_Comparison!$S$10:$S$29),1,0))</f>
        <v>0</v>
      </c>
      <c r="C111" s="9" t="str">
        <f t="shared" si="10"/>
        <v/>
      </c>
      <c r="D111" s="6">
        <f t="shared" si="11"/>
        <v>0</v>
      </c>
      <c r="E111" s="6">
        <f>IF(COUNTIF(I111:XFD111,"&gt;"&amp;0)=0,,HLOOKUP(COUNTIF(I111:XFD111,"&gt;"&amp;0)-1,I$1:XFD111,A111+1,FALSE))</f>
        <v>0</v>
      </c>
      <c r="F111" s="7">
        <f>IF(COUNTIF(I111:XFD111,"&gt;"&amp;0)=0,,HLOOKUP(COUNTIF(I111:XFD111,"&gt;"&amp;0)-MIN($F$1+1,COUNTIF(I111:XFD111,"&gt;"&amp;0)),I$1:XFD111,A111+1,FALSE))</f>
        <v>0</v>
      </c>
      <c r="G111" s="8">
        <f t="shared" si="12"/>
        <v>0</v>
      </c>
    </row>
    <row r="112" spans="1:7" x14ac:dyDescent="0.25">
      <c r="A112" s="9">
        <f t="shared" si="9"/>
        <v>111</v>
      </c>
      <c r="B112" s="9">
        <f t="array" ref="B112">IF(C112="",0,IF(OR(C112=Country_Comparison!$S$10:$S$29),1,0))</f>
        <v>0</v>
      </c>
      <c r="C112" s="9" t="str">
        <f t="shared" si="10"/>
        <v/>
      </c>
      <c r="D112" s="6">
        <f t="shared" si="11"/>
        <v>0</v>
      </c>
      <c r="E112" s="6">
        <f>IF(COUNTIF(I112:XFD112,"&gt;"&amp;0)=0,,HLOOKUP(COUNTIF(I112:XFD112,"&gt;"&amp;0)-1,I$1:XFD112,A112+1,FALSE))</f>
        <v>0</v>
      </c>
      <c r="F112" s="7">
        <f>IF(COUNTIF(I112:XFD112,"&gt;"&amp;0)=0,,HLOOKUP(COUNTIF(I112:XFD112,"&gt;"&amp;0)-MIN($F$1+1,COUNTIF(I112:XFD112,"&gt;"&amp;0)),I$1:XFD112,A112+1,FALSE))</f>
        <v>0</v>
      </c>
      <c r="G112" s="8">
        <f t="shared" si="12"/>
        <v>0</v>
      </c>
    </row>
    <row r="113" spans="1:7" x14ac:dyDescent="0.25">
      <c r="A113" s="9">
        <f t="shared" si="9"/>
        <v>112</v>
      </c>
      <c r="B113" s="9">
        <f t="array" ref="B113">IF(C113="",0,IF(OR(C113=Country_Comparison!$S$10:$S$29),1,0))</f>
        <v>0</v>
      </c>
      <c r="C113" s="9" t="str">
        <f t="shared" si="10"/>
        <v/>
      </c>
      <c r="D113" s="6">
        <f t="shared" si="11"/>
        <v>0</v>
      </c>
      <c r="E113" s="6">
        <f>IF(COUNTIF(I113:XFD113,"&gt;"&amp;0)=0,,HLOOKUP(COUNTIF(I113:XFD113,"&gt;"&amp;0)-1,I$1:XFD113,A113+1,FALSE))</f>
        <v>0</v>
      </c>
      <c r="F113" s="7">
        <f>IF(COUNTIF(I113:XFD113,"&gt;"&amp;0)=0,,HLOOKUP(COUNTIF(I113:XFD113,"&gt;"&amp;0)-MIN($F$1+1,COUNTIF(I113:XFD113,"&gt;"&amp;0)),I$1:XFD113,A113+1,FALSE))</f>
        <v>0</v>
      </c>
      <c r="G113" s="8">
        <f t="shared" si="12"/>
        <v>0</v>
      </c>
    </row>
    <row r="114" spans="1:7" x14ac:dyDescent="0.25">
      <c r="A114" s="9">
        <f t="shared" si="9"/>
        <v>113</v>
      </c>
      <c r="B114" s="9">
        <f t="array" ref="B114">IF(C114="",0,IF(OR(C114=Country_Comparison!$S$10:$S$29),1,0))</f>
        <v>0</v>
      </c>
      <c r="C114" s="9" t="str">
        <f t="shared" si="10"/>
        <v/>
      </c>
      <c r="D114" s="6">
        <f t="shared" si="11"/>
        <v>0</v>
      </c>
      <c r="E114" s="6">
        <f>IF(COUNTIF(I114:XFD114,"&gt;"&amp;0)=0,,HLOOKUP(COUNTIF(I114:XFD114,"&gt;"&amp;0)-1,I$1:XFD114,A114+1,FALSE))</f>
        <v>0</v>
      </c>
      <c r="F114" s="7">
        <f>IF(COUNTIF(I114:XFD114,"&gt;"&amp;0)=0,,HLOOKUP(COUNTIF(I114:XFD114,"&gt;"&amp;0)-MIN($F$1+1,COUNTIF(I114:XFD114,"&gt;"&amp;0)),I$1:XFD114,A114+1,FALSE))</f>
        <v>0</v>
      </c>
      <c r="G114" s="8">
        <f t="shared" si="12"/>
        <v>0</v>
      </c>
    </row>
    <row r="115" spans="1:7" x14ac:dyDescent="0.25">
      <c r="A115" s="9">
        <f t="shared" si="9"/>
        <v>114</v>
      </c>
      <c r="B115" s="9">
        <f t="array" ref="B115">IF(C115="",0,IF(OR(C115=Country_Comparison!$S$10:$S$29),1,0))</f>
        <v>0</v>
      </c>
      <c r="C115" s="9" t="str">
        <f t="shared" si="10"/>
        <v/>
      </c>
      <c r="D115" s="6">
        <f t="shared" si="11"/>
        <v>0</v>
      </c>
      <c r="E115" s="6">
        <f>IF(COUNTIF(I115:XFD115,"&gt;"&amp;0)=0,,HLOOKUP(COUNTIF(I115:XFD115,"&gt;"&amp;0)-1,I$1:XFD115,A115+1,FALSE))</f>
        <v>0</v>
      </c>
      <c r="F115" s="7">
        <f>IF(COUNTIF(I115:XFD115,"&gt;"&amp;0)=0,,HLOOKUP(COUNTIF(I115:XFD115,"&gt;"&amp;0)-MIN($F$1+1,COUNTIF(I115:XFD115,"&gt;"&amp;0)),I$1:XFD115,A115+1,FALSE))</f>
        <v>0</v>
      </c>
      <c r="G115" s="8">
        <f t="shared" si="12"/>
        <v>0</v>
      </c>
    </row>
    <row r="116" spans="1:7" x14ac:dyDescent="0.25">
      <c r="A116" s="9">
        <f t="shared" si="9"/>
        <v>115</v>
      </c>
      <c r="B116" s="9">
        <f t="array" ref="B116">IF(C116="",0,IF(OR(C116=Country_Comparison!$S$10:$S$29),1,0))</f>
        <v>0</v>
      </c>
      <c r="C116" s="9" t="str">
        <f t="shared" si="10"/>
        <v/>
      </c>
      <c r="D116" s="6">
        <f t="shared" si="11"/>
        <v>0</v>
      </c>
      <c r="E116" s="6">
        <f>IF(COUNTIF(I116:XFD116,"&gt;"&amp;0)=0,,HLOOKUP(COUNTIF(I116:XFD116,"&gt;"&amp;0)-1,I$1:XFD116,A116+1,FALSE))</f>
        <v>0</v>
      </c>
      <c r="F116" s="7">
        <f>IF(COUNTIF(I116:XFD116,"&gt;"&amp;0)=0,,HLOOKUP(COUNTIF(I116:XFD116,"&gt;"&amp;0)-MIN($F$1+1,COUNTIF(I116:XFD116,"&gt;"&amp;0)),I$1:XFD116,A116+1,FALSE))</f>
        <v>0</v>
      </c>
      <c r="G116" s="8">
        <f t="shared" si="12"/>
        <v>0</v>
      </c>
    </row>
    <row r="117" spans="1:7" x14ac:dyDescent="0.25">
      <c r="A117" s="9">
        <f t="shared" si="9"/>
        <v>116</v>
      </c>
      <c r="B117" s="9">
        <f t="array" ref="B117">IF(C117="",0,IF(OR(C117=Country_Comparison!$S$10:$S$29),1,0))</f>
        <v>0</v>
      </c>
      <c r="C117" s="9" t="str">
        <f t="shared" si="10"/>
        <v/>
      </c>
      <c r="D117" s="6">
        <f t="shared" si="11"/>
        <v>0</v>
      </c>
      <c r="E117" s="6">
        <f>IF(COUNTIF(I117:XFD117,"&gt;"&amp;0)=0,,HLOOKUP(COUNTIF(I117:XFD117,"&gt;"&amp;0)-1,I$1:XFD117,A117+1,FALSE))</f>
        <v>0</v>
      </c>
      <c r="F117" s="7">
        <f>IF(COUNTIF(I117:XFD117,"&gt;"&amp;0)=0,,HLOOKUP(COUNTIF(I117:XFD117,"&gt;"&amp;0)-MIN($F$1+1,COUNTIF(I117:XFD117,"&gt;"&amp;0)),I$1:XFD117,A117+1,FALSE))</f>
        <v>0</v>
      </c>
      <c r="G117" s="8">
        <f t="shared" si="12"/>
        <v>0</v>
      </c>
    </row>
    <row r="118" spans="1:7" x14ac:dyDescent="0.25">
      <c r="A118" s="9">
        <f t="shared" si="9"/>
        <v>117</v>
      </c>
      <c r="B118" s="9">
        <f t="array" ref="B118">IF(C118="",0,IF(OR(C118=Country_Comparison!$S$10:$S$29),1,0))</f>
        <v>0</v>
      </c>
      <c r="C118" s="9" t="str">
        <f t="shared" si="10"/>
        <v/>
      </c>
      <c r="D118" s="6">
        <f t="shared" si="11"/>
        <v>0</v>
      </c>
      <c r="E118" s="6">
        <f>IF(COUNTIF(I118:XFD118,"&gt;"&amp;0)=0,,HLOOKUP(COUNTIF(I118:XFD118,"&gt;"&amp;0)-1,I$1:XFD118,A118+1,FALSE))</f>
        <v>0</v>
      </c>
      <c r="F118" s="7">
        <f>IF(COUNTIF(I118:XFD118,"&gt;"&amp;0)=0,,HLOOKUP(COUNTIF(I118:XFD118,"&gt;"&amp;0)-MIN($F$1+1,COUNTIF(I118:XFD118,"&gt;"&amp;0)),I$1:XFD118,A118+1,FALSE))</f>
        <v>0</v>
      </c>
      <c r="G118" s="8">
        <f t="shared" si="12"/>
        <v>0</v>
      </c>
    </row>
    <row r="119" spans="1:7" x14ac:dyDescent="0.25">
      <c r="A119" s="9">
        <f t="shared" si="9"/>
        <v>118</v>
      </c>
      <c r="B119" s="9">
        <f t="array" ref="B119">IF(C119="",0,IF(OR(C119=Country_Comparison!$S$10:$S$29),1,0))</f>
        <v>0</v>
      </c>
      <c r="C119" s="9" t="str">
        <f t="shared" si="10"/>
        <v/>
      </c>
      <c r="D119" s="6">
        <f t="shared" si="11"/>
        <v>0</v>
      </c>
      <c r="E119" s="6">
        <f>IF(COUNTIF(I119:XFD119,"&gt;"&amp;0)=0,,HLOOKUP(COUNTIF(I119:XFD119,"&gt;"&amp;0)-1,I$1:XFD119,A119+1,FALSE))</f>
        <v>0</v>
      </c>
      <c r="F119" s="7">
        <f>IF(COUNTIF(I119:XFD119,"&gt;"&amp;0)=0,,HLOOKUP(COUNTIF(I119:XFD119,"&gt;"&amp;0)-MIN($F$1+1,COUNTIF(I119:XFD119,"&gt;"&amp;0)),I$1:XFD119,A119+1,FALSE))</f>
        <v>0</v>
      </c>
      <c r="G119" s="8">
        <f t="shared" si="12"/>
        <v>0</v>
      </c>
    </row>
    <row r="120" spans="1:7" x14ac:dyDescent="0.25">
      <c r="A120" s="9">
        <f t="shared" si="9"/>
        <v>119</v>
      </c>
      <c r="B120" s="9">
        <f t="array" ref="B120">IF(C120="",0,IF(OR(C120=Country_Comparison!$S$10:$S$29),1,0))</f>
        <v>0</v>
      </c>
      <c r="C120" s="9" t="str">
        <f t="shared" si="10"/>
        <v/>
      </c>
      <c r="D120" s="6">
        <f t="shared" si="11"/>
        <v>0</v>
      </c>
      <c r="E120" s="6">
        <f>IF(COUNTIF(I120:XFD120,"&gt;"&amp;0)=0,,HLOOKUP(COUNTIF(I120:XFD120,"&gt;"&amp;0)-1,I$1:XFD120,A120+1,FALSE))</f>
        <v>0</v>
      </c>
      <c r="F120" s="7">
        <f>IF(COUNTIF(I120:XFD120,"&gt;"&amp;0)=0,,HLOOKUP(COUNTIF(I120:XFD120,"&gt;"&amp;0)-MIN($F$1+1,COUNTIF(I120:XFD120,"&gt;"&amp;0)),I$1:XFD120,A120+1,FALSE))</f>
        <v>0</v>
      </c>
      <c r="G120" s="8">
        <f t="shared" si="12"/>
        <v>0</v>
      </c>
    </row>
    <row r="121" spans="1:7" x14ac:dyDescent="0.25">
      <c r="A121" s="9">
        <f t="shared" si="9"/>
        <v>120</v>
      </c>
      <c r="B121" s="9">
        <f t="array" ref="B121">IF(C121="",0,IF(OR(C121=Country_Comparison!$S$10:$S$29),1,0))</f>
        <v>0</v>
      </c>
      <c r="C121" s="9" t="str">
        <f t="shared" si="10"/>
        <v/>
      </c>
      <c r="D121" s="6">
        <f t="shared" si="11"/>
        <v>0</v>
      </c>
      <c r="E121" s="6">
        <f>IF(COUNTIF(I121:XFD121,"&gt;"&amp;0)=0,,HLOOKUP(COUNTIF(I121:XFD121,"&gt;"&amp;0)-1,I$1:XFD121,A121+1,FALSE))</f>
        <v>0</v>
      </c>
      <c r="F121" s="7">
        <f>IF(COUNTIF(I121:XFD121,"&gt;"&amp;0)=0,,HLOOKUP(COUNTIF(I121:XFD121,"&gt;"&amp;0)-MIN($F$1+1,COUNTIF(I121:XFD121,"&gt;"&amp;0)),I$1:XFD121,A121+1,FALSE))</f>
        <v>0</v>
      </c>
      <c r="G121" s="8">
        <f t="shared" si="12"/>
        <v>0</v>
      </c>
    </row>
    <row r="122" spans="1:7" x14ac:dyDescent="0.25">
      <c r="A122" s="9">
        <f t="shared" si="9"/>
        <v>121</v>
      </c>
      <c r="B122" s="9">
        <f t="array" ref="B122">IF(C122="",0,IF(OR(C122=Country_Comparison!$S$10:$S$29),1,0))</f>
        <v>0</v>
      </c>
      <c r="C122" s="9" t="str">
        <f t="shared" si="10"/>
        <v/>
      </c>
      <c r="D122" s="6">
        <f t="shared" si="11"/>
        <v>0</v>
      </c>
      <c r="E122" s="6">
        <f>IF(COUNTIF(I122:XFD122,"&gt;"&amp;0)=0,,HLOOKUP(COUNTIF(I122:XFD122,"&gt;"&amp;0)-1,I$1:XFD122,A122+1,FALSE))</f>
        <v>0</v>
      </c>
      <c r="F122" s="7">
        <f>IF(COUNTIF(I122:XFD122,"&gt;"&amp;0)=0,,HLOOKUP(COUNTIF(I122:XFD122,"&gt;"&amp;0)-MIN($F$1+1,COUNTIF(I122:XFD122,"&gt;"&amp;0)),I$1:XFD122,A122+1,FALSE))</f>
        <v>0</v>
      </c>
      <c r="G122" s="8">
        <f t="shared" si="12"/>
        <v>0</v>
      </c>
    </row>
    <row r="123" spans="1:7" x14ac:dyDescent="0.25">
      <c r="A123" s="9">
        <f t="shared" si="9"/>
        <v>122</v>
      </c>
      <c r="B123" s="9">
        <f t="array" ref="B123">IF(C123="",0,IF(OR(C123=Country_Comparison!$S$10:$S$29),1,0))</f>
        <v>0</v>
      </c>
      <c r="C123" s="9" t="str">
        <f t="shared" si="10"/>
        <v/>
      </c>
      <c r="D123" s="6">
        <f t="shared" si="11"/>
        <v>0</v>
      </c>
      <c r="E123" s="6">
        <f>IF(COUNTIF(I123:XFD123,"&gt;"&amp;0)=0,,HLOOKUP(COUNTIF(I123:XFD123,"&gt;"&amp;0)-1,I$1:XFD123,A123+1,FALSE))</f>
        <v>0</v>
      </c>
      <c r="F123" s="7">
        <f>IF(COUNTIF(I123:XFD123,"&gt;"&amp;0)=0,,HLOOKUP(COUNTIF(I123:XFD123,"&gt;"&amp;0)-MIN($F$1+1,COUNTIF(I123:XFD123,"&gt;"&amp;0)),I$1:XFD123,A123+1,FALSE))</f>
        <v>0</v>
      </c>
      <c r="G123" s="8">
        <f t="shared" si="12"/>
        <v>0</v>
      </c>
    </row>
    <row r="124" spans="1:7" x14ac:dyDescent="0.25">
      <c r="A124" s="9">
        <f t="shared" si="9"/>
        <v>123</v>
      </c>
      <c r="B124" s="9">
        <f t="array" ref="B124">IF(C124="",0,IF(OR(C124=Country_Comparison!$S$10:$S$29),1,0))</f>
        <v>0</v>
      </c>
      <c r="C124" s="9" t="str">
        <f t="shared" si="10"/>
        <v/>
      </c>
      <c r="D124" s="6">
        <f t="shared" si="11"/>
        <v>0</v>
      </c>
      <c r="E124" s="6">
        <f>IF(COUNTIF(I124:XFD124,"&gt;"&amp;0)=0,,HLOOKUP(COUNTIF(I124:XFD124,"&gt;"&amp;0)-1,I$1:XFD124,A124+1,FALSE))</f>
        <v>0</v>
      </c>
      <c r="F124" s="7">
        <f>IF(COUNTIF(I124:XFD124,"&gt;"&amp;0)=0,,HLOOKUP(COUNTIF(I124:XFD124,"&gt;"&amp;0)-MIN($F$1+1,COUNTIF(I124:XFD124,"&gt;"&amp;0)),I$1:XFD124,A124+1,FALSE))</f>
        <v>0</v>
      </c>
      <c r="G124" s="8">
        <f t="shared" si="12"/>
        <v>0</v>
      </c>
    </row>
    <row r="125" spans="1:7" x14ac:dyDescent="0.25">
      <c r="A125" s="9">
        <f t="shared" si="9"/>
        <v>124</v>
      </c>
      <c r="B125" s="9">
        <f t="array" ref="B125">IF(C125="",0,IF(OR(C125=Country_Comparison!$S$10:$S$29),1,0))</f>
        <v>0</v>
      </c>
      <c r="C125" s="9" t="str">
        <f t="shared" si="10"/>
        <v/>
      </c>
      <c r="D125" s="6">
        <f t="shared" si="11"/>
        <v>0</v>
      </c>
      <c r="E125" s="6">
        <f>IF(COUNTIF(I125:XFD125,"&gt;"&amp;0)=0,,HLOOKUP(COUNTIF(I125:XFD125,"&gt;"&amp;0)-1,I$1:XFD125,A125+1,FALSE))</f>
        <v>0</v>
      </c>
      <c r="F125" s="7">
        <f>IF(COUNTIF(I125:XFD125,"&gt;"&amp;0)=0,,HLOOKUP(COUNTIF(I125:XFD125,"&gt;"&amp;0)-MIN($F$1+1,COUNTIF(I125:XFD125,"&gt;"&amp;0)),I$1:XFD125,A125+1,FALSE))</f>
        <v>0</v>
      </c>
      <c r="G125" s="8">
        <f t="shared" si="12"/>
        <v>0</v>
      </c>
    </row>
    <row r="126" spans="1:7" x14ac:dyDescent="0.25">
      <c r="A126" s="9">
        <f t="shared" si="9"/>
        <v>125</v>
      </c>
      <c r="B126" s="9">
        <f t="array" ref="B126">IF(C126="",0,IF(OR(C126=Country_Comparison!$S$10:$S$29),1,0))</f>
        <v>0</v>
      </c>
      <c r="C126" s="9" t="str">
        <f t="shared" si="10"/>
        <v/>
      </c>
      <c r="D126" s="6">
        <f t="shared" si="11"/>
        <v>0</v>
      </c>
      <c r="E126" s="6">
        <f>IF(COUNTIF(I126:XFD126,"&gt;"&amp;0)=0,,HLOOKUP(COUNTIF(I126:XFD126,"&gt;"&amp;0)-1,I$1:XFD126,A126+1,FALSE))</f>
        <v>0</v>
      </c>
      <c r="F126" s="7">
        <f>IF(COUNTIF(I126:XFD126,"&gt;"&amp;0)=0,,HLOOKUP(COUNTIF(I126:XFD126,"&gt;"&amp;0)-MIN($F$1+1,COUNTIF(I126:XFD126,"&gt;"&amp;0)),I$1:XFD126,A126+1,FALSE))</f>
        <v>0</v>
      </c>
      <c r="G126" s="8">
        <f t="shared" si="12"/>
        <v>0</v>
      </c>
    </row>
    <row r="127" spans="1:7" x14ac:dyDescent="0.25">
      <c r="A127" s="9">
        <f t="shared" si="9"/>
        <v>126</v>
      </c>
      <c r="B127" s="9">
        <f t="array" ref="B127">IF(C127="",0,IF(OR(C127=Country_Comparison!$S$10:$S$29),1,0))</f>
        <v>0</v>
      </c>
      <c r="C127" s="9" t="str">
        <f t="shared" si="10"/>
        <v/>
      </c>
      <c r="D127" s="6">
        <f t="shared" si="11"/>
        <v>0</v>
      </c>
      <c r="E127" s="6">
        <f>IF(COUNTIF(I127:XFD127,"&gt;"&amp;0)=0,,HLOOKUP(COUNTIF(I127:XFD127,"&gt;"&amp;0)-1,I$1:XFD127,A127+1,FALSE))</f>
        <v>0</v>
      </c>
      <c r="F127" s="7">
        <f>IF(COUNTIF(I127:XFD127,"&gt;"&amp;0)=0,,HLOOKUP(COUNTIF(I127:XFD127,"&gt;"&amp;0)-MIN($F$1+1,COUNTIF(I127:XFD127,"&gt;"&amp;0)),I$1:XFD127,A127+1,FALSE))</f>
        <v>0</v>
      </c>
      <c r="G127" s="8">
        <f t="shared" si="12"/>
        <v>0</v>
      </c>
    </row>
    <row r="128" spans="1:7" x14ac:dyDescent="0.25">
      <c r="A128" s="9">
        <f t="shared" si="9"/>
        <v>127</v>
      </c>
      <c r="B128" s="9">
        <f t="array" ref="B128">IF(C128="",0,IF(OR(C128=Country_Comparison!$S$10:$S$29),1,0))</f>
        <v>0</v>
      </c>
      <c r="C128" s="9" t="str">
        <f t="shared" si="10"/>
        <v/>
      </c>
      <c r="D128" s="6">
        <f t="shared" si="11"/>
        <v>0</v>
      </c>
      <c r="E128" s="6">
        <f>IF(COUNTIF(I128:XFD128,"&gt;"&amp;0)=0,,HLOOKUP(COUNTIF(I128:XFD128,"&gt;"&amp;0)-1,I$1:XFD128,A128+1,FALSE))</f>
        <v>0</v>
      </c>
      <c r="F128" s="7">
        <f>IF(COUNTIF(I128:XFD128,"&gt;"&amp;0)=0,,HLOOKUP(COUNTIF(I128:XFD128,"&gt;"&amp;0)-MIN($F$1+1,COUNTIF(I128:XFD128,"&gt;"&amp;0)),I$1:XFD128,A128+1,FALSE))</f>
        <v>0</v>
      </c>
      <c r="G128" s="8">
        <f t="shared" si="12"/>
        <v>0</v>
      </c>
    </row>
    <row r="129" spans="1:7" x14ac:dyDescent="0.25">
      <c r="A129" s="9">
        <f t="shared" si="9"/>
        <v>128</v>
      </c>
      <c r="B129" s="9">
        <f t="array" ref="B129">IF(C129="",0,IF(OR(C129=Country_Comparison!$S$10:$S$29),1,0))</f>
        <v>0</v>
      </c>
      <c r="C129" s="9" t="str">
        <f t="shared" si="10"/>
        <v/>
      </c>
      <c r="D129" s="6">
        <f t="shared" si="11"/>
        <v>0</v>
      </c>
      <c r="E129" s="6">
        <f>IF(COUNTIF(I129:XFD129,"&gt;"&amp;0)=0,,HLOOKUP(COUNTIF(I129:XFD129,"&gt;"&amp;0)-1,I$1:XFD129,A129+1,FALSE))</f>
        <v>0</v>
      </c>
      <c r="F129" s="7">
        <f>IF(COUNTIF(I129:XFD129,"&gt;"&amp;0)=0,,HLOOKUP(COUNTIF(I129:XFD129,"&gt;"&amp;0)-MIN($F$1+1,COUNTIF(I129:XFD129,"&gt;"&amp;0)),I$1:XFD129,A129+1,FALSE))</f>
        <v>0</v>
      </c>
      <c r="G129" s="8">
        <f t="shared" si="12"/>
        <v>0</v>
      </c>
    </row>
    <row r="130" spans="1:7" x14ac:dyDescent="0.25">
      <c r="A130" s="9">
        <f t="shared" si="9"/>
        <v>129</v>
      </c>
      <c r="B130" s="9">
        <f t="array" ref="B130">IF(C130="",0,IF(OR(C130=Country_Comparison!$S$10:$S$29),1,0))</f>
        <v>0</v>
      </c>
      <c r="C130" s="9" t="str">
        <f t="shared" si="10"/>
        <v/>
      </c>
      <c r="D130" s="6">
        <f t="shared" si="11"/>
        <v>0</v>
      </c>
      <c r="E130" s="6">
        <f>IF(COUNTIF(I130:XFD130,"&gt;"&amp;0)=0,,HLOOKUP(COUNTIF(I130:XFD130,"&gt;"&amp;0)-1,I$1:XFD130,A130+1,FALSE))</f>
        <v>0</v>
      </c>
      <c r="F130" s="7">
        <f>IF(COUNTIF(I130:XFD130,"&gt;"&amp;0)=0,,HLOOKUP(COUNTIF(I130:XFD130,"&gt;"&amp;0)-MIN($F$1+1,COUNTIF(I130:XFD130,"&gt;"&amp;0)),I$1:XFD130,A130+1,FALSE))</f>
        <v>0</v>
      </c>
      <c r="G130" s="8">
        <f t="shared" si="12"/>
        <v>0</v>
      </c>
    </row>
    <row r="131" spans="1:7" x14ac:dyDescent="0.25">
      <c r="A131" s="9">
        <f t="shared" si="9"/>
        <v>130</v>
      </c>
      <c r="B131" s="9">
        <f t="array" ref="B131">IF(C131="",0,IF(OR(C131=Country_Comparison!$S$10:$S$29),1,0))</f>
        <v>0</v>
      </c>
      <c r="C131" s="9" t="str">
        <f t="shared" si="10"/>
        <v/>
      </c>
      <c r="D131" s="6">
        <f t="shared" si="11"/>
        <v>0</v>
      </c>
      <c r="E131" s="6">
        <f>IF(COUNTIF(I131:XFD131,"&gt;"&amp;0)=0,,HLOOKUP(COUNTIF(I131:XFD131,"&gt;"&amp;0)-1,I$1:XFD131,A131+1,FALSE))</f>
        <v>0</v>
      </c>
      <c r="F131" s="7">
        <f>IF(COUNTIF(I131:XFD131,"&gt;"&amp;0)=0,,HLOOKUP(COUNTIF(I131:XFD131,"&gt;"&amp;0)-MIN($F$1+1,COUNTIF(I131:XFD131,"&gt;"&amp;0)),I$1:XFD131,A131+1,FALSE))</f>
        <v>0</v>
      </c>
      <c r="G131" s="8">
        <f t="shared" si="12"/>
        <v>0</v>
      </c>
    </row>
    <row r="132" spans="1:7" x14ac:dyDescent="0.25">
      <c r="A132" s="9">
        <f t="shared" si="9"/>
        <v>131</v>
      </c>
      <c r="B132" s="9">
        <f t="array" ref="B132">IF(C132="",0,IF(OR(C132=Country_Comparison!$S$10:$S$29),1,0))</f>
        <v>0</v>
      </c>
      <c r="C132" s="9" t="str">
        <f t="shared" si="10"/>
        <v/>
      </c>
      <c r="D132" s="6">
        <f t="shared" si="11"/>
        <v>0</v>
      </c>
      <c r="E132" s="6">
        <f>IF(COUNTIF(I132:XFD132,"&gt;"&amp;0)=0,,HLOOKUP(COUNTIF(I132:XFD132,"&gt;"&amp;0)-1,I$1:XFD132,A132+1,FALSE))</f>
        <v>0</v>
      </c>
      <c r="F132" s="7">
        <f>IF(COUNTIF(I132:XFD132,"&gt;"&amp;0)=0,,HLOOKUP(COUNTIF(I132:XFD132,"&gt;"&amp;0)-MIN($F$1+1,COUNTIF(I132:XFD132,"&gt;"&amp;0)),I$1:XFD132,A132+1,FALSE))</f>
        <v>0</v>
      </c>
      <c r="G132" s="8">
        <f t="shared" si="12"/>
        <v>0</v>
      </c>
    </row>
    <row r="133" spans="1:7" x14ac:dyDescent="0.25">
      <c r="A133" s="9">
        <f t="shared" si="9"/>
        <v>132</v>
      </c>
      <c r="B133" s="9">
        <f t="array" ref="B133">IF(C133="",0,IF(OR(C133=Country_Comparison!$S$10:$S$29),1,0))</f>
        <v>0</v>
      </c>
      <c r="C133" s="9" t="str">
        <f t="shared" si="10"/>
        <v/>
      </c>
      <c r="D133" s="6">
        <f t="shared" si="11"/>
        <v>0</v>
      </c>
      <c r="E133" s="6">
        <f>IF(COUNTIF(I133:XFD133,"&gt;"&amp;0)=0,,HLOOKUP(COUNTIF(I133:XFD133,"&gt;"&amp;0)-1,I$1:XFD133,A133+1,FALSE))</f>
        <v>0</v>
      </c>
      <c r="F133" s="7">
        <f>IF(COUNTIF(I133:XFD133,"&gt;"&amp;0)=0,,HLOOKUP(COUNTIF(I133:XFD133,"&gt;"&amp;0)-MIN($F$1+1,COUNTIF(I133:XFD133,"&gt;"&amp;0)),I$1:XFD133,A133+1,FALSE))</f>
        <v>0</v>
      </c>
      <c r="G133" s="8">
        <f t="shared" si="12"/>
        <v>0</v>
      </c>
    </row>
    <row r="134" spans="1:7" x14ac:dyDescent="0.25">
      <c r="A134" s="9">
        <f t="shared" ref="A134:A197" si="13">A133+1</f>
        <v>133</v>
      </c>
      <c r="B134" s="9">
        <f t="array" ref="B134">IF(C134="",0,IF(OR(C134=Country_Comparison!$S$10:$S$29),1,0))</f>
        <v>0</v>
      </c>
      <c r="C134" s="9" t="str">
        <f t="shared" ref="C134:C197" si="14">IF(H134="","",H134)</f>
        <v/>
      </c>
      <c r="D134" s="6">
        <f t="shared" ref="D134:D197" si="15">MAX(I134:BD134)</f>
        <v>0</v>
      </c>
      <c r="E134" s="6">
        <f>IF(COUNTIF(I134:XFD134,"&gt;"&amp;0)=0,,HLOOKUP(COUNTIF(I134:XFD134,"&gt;"&amp;0)-1,I$1:XFD134,A134+1,FALSE))</f>
        <v>0</v>
      </c>
      <c r="F134" s="7">
        <f>IF(COUNTIF(I134:XFD134,"&gt;"&amp;0)=0,,HLOOKUP(COUNTIF(I134:XFD134,"&gt;"&amp;0)-MIN($F$1+1,COUNTIF(I134:XFD134,"&gt;"&amp;0)),I$1:XFD134,A134+1,FALSE))</f>
        <v>0</v>
      </c>
      <c r="G134" s="8">
        <f t="shared" ref="G134:G197" si="16">IF(COUNTIF(I134:XFD134,"&gt;"&amp;0)=0,,(E134/F134)^(1/MIN(COUNTIF(I134:XFD134,"&gt;"&amp;0)-1,$F$1)))</f>
        <v>0</v>
      </c>
    </row>
    <row r="135" spans="1:7" x14ac:dyDescent="0.25">
      <c r="A135" s="9">
        <f t="shared" si="13"/>
        <v>134</v>
      </c>
      <c r="B135" s="9">
        <f t="array" ref="B135">IF(C135="",0,IF(OR(C135=Country_Comparison!$S$10:$S$29),1,0))</f>
        <v>0</v>
      </c>
      <c r="C135" s="9" t="str">
        <f t="shared" si="14"/>
        <v/>
      </c>
      <c r="D135" s="6">
        <f t="shared" si="15"/>
        <v>0</v>
      </c>
      <c r="E135" s="6">
        <f>IF(COUNTIF(I135:XFD135,"&gt;"&amp;0)=0,,HLOOKUP(COUNTIF(I135:XFD135,"&gt;"&amp;0)-1,I$1:XFD135,A135+1,FALSE))</f>
        <v>0</v>
      </c>
      <c r="F135" s="7">
        <f>IF(COUNTIF(I135:XFD135,"&gt;"&amp;0)=0,,HLOOKUP(COUNTIF(I135:XFD135,"&gt;"&amp;0)-MIN($F$1+1,COUNTIF(I135:XFD135,"&gt;"&amp;0)),I$1:XFD135,A135+1,FALSE))</f>
        <v>0</v>
      </c>
      <c r="G135" s="8">
        <f t="shared" si="16"/>
        <v>0</v>
      </c>
    </row>
    <row r="136" spans="1:7" x14ac:dyDescent="0.25">
      <c r="A136" s="9">
        <f t="shared" si="13"/>
        <v>135</v>
      </c>
      <c r="B136" s="9">
        <f t="array" ref="B136">IF(C136="",0,IF(OR(C136=Country_Comparison!$S$10:$S$29),1,0))</f>
        <v>0</v>
      </c>
      <c r="C136" s="9" t="str">
        <f t="shared" si="14"/>
        <v/>
      </c>
      <c r="D136" s="6">
        <f t="shared" si="15"/>
        <v>0</v>
      </c>
      <c r="E136" s="6">
        <f>IF(COUNTIF(I136:XFD136,"&gt;"&amp;0)=0,,HLOOKUP(COUNTIF(I136:XFD136,"&gt;"&amp;0)-1,I$1:XFD136,A136+1,FALSE))</f>
        <v>0</v>
      </c>
      <c r="F136" s="7">
        <f>IF(COUNTIF(I136:XFD136,"&gt;"&amp;0)=0,,HLOOKUP(COUNTIF(I136:XFD136,"&gt;"&amp;0)-MIN($F$1+1,COUNTIF(I136:XFD136,"&gt;"&amp;0)),I$1:XFD136,A136+1,FALSE))</f>
        <v>0</v>
      </c>
      <c r="G136" s="8">
        <f t="shared" si="16"/>
        <v>0</v>
      </c>
    </row>
    <row r="137" spans="1:7" x14ac:dyDescent="0.25">
      <c r="A137" s="9">
        <f t="shared" si="13"/>
        <v>136</v>
      </c>
      <c r="B137" s="9">
        <f t="array" ref="B137">IF(C137="",0,IF(OR(C137=Country_Comparison!$S$10:$S$29),1,0))</f>
        <v>0</v>
      </c>
      <c r="C137" s="9" t="str">
        <f t="shared" si="14"/>
        <v/>
      </c>
      <c r="D137" s="6">
        <f t="shared" si="15"/>
        <v>0</v>
      </c>
      <c r="E137" s="6">
        <f>IF(COUNTIF(I137:XFD137,"&gt;"&amp;0)=0,,HLOOKUP(COUNTIF(I137:XFD137,"&gt;"&amp;0)-1,I$1:XFD137,A137+1,FALSE))</f>
        <v>0</v>
      </c>
      <c r="F137" s="7">
        <f>IF(COUNTIF(I137:XFD137,"&gt;"&amp;0)=0,,HLOOKUP(COUNTIF(I137:XFD137,"&gt;"&amp;0)-MIN($F$1+1,COUNTIF(I137:XFD137,"&gt;"&amp;0)),I$1:XFD137,A137+1,FALSE))</f>
        <v>0</v>
      </c>
      <c r="G137" s="8">
        <f t="shared" si="16"/>
        <v>0</v>
      </c>
    </row>
    <row r="138" spans="1:7" x14ac:dyDescent="0.25">
      <c r="A138" s="9">
        <f t="shared" si="13"/>
        <v>137</v>
      </c>
      <c r="B138" s="9">
        <f t="array" ref="B138">IF(C138="",0,IF(OR(C138=Country_Comparison!$S$10:$S$29),1,0))</f>
        <v>0</v>
      </c>
      <c r="C138" s="9" t="str">
        <f t="shared" si="14"/>
        <v/>
      </c>
      <c r="D138" s="6">
        <f t="shared" si="15"/>
        <v>0</v>
      </c>
      <c r="E138" s="6">
        <f>IF(COUNTIF(I138:XFD138,"&gt;"&amp;0)=0,,HLOOKUP(COUNTIF(I138:XFD138,"&gt;"&amp;0)-1,I$1:XFD138,A138+1,FALSE))</f>
        <v>0</v>
      </c>
      <c r="F138" s="7">
        <f>IF(COUNTIF(I138:XFD138,"&gt;"&amp;0)=0,,HLOOKUP(COUNTIF(I138:XFD138,"&gt;"&amp;0)-MIN($F$1+1,COUNTIF(I138:XFD138,"&gt;"&amp;0)),I$1:XFD138,A138+1,FALSE))</f>
        <v>0</v>
      </c>
      <c r="G138" s="8">
        <f t="shared" si="16"/>
        <v>0</v>
      </c>
    </row>
    <row r="139" spans="1:7" x14ac:dyDescent="0.25">
      <c r="A139" s="9">
        <f t="shared" si="13"/>
        <v>138</v>
      </c>
      <c r="B139" s="9">
        <f t="array" ref="B139">IF(C139="",0,IF(OR(C139=Country_Comparison!$S$10:$S$29),1,0))</f>
        <v>0</v>
      </c>
      <c r="C139" s="9" t="str">
        <f t="shared" si="14"/>
        <v/>
      </c>
      <c r="D139" s="6">
        <f t="shared" si="15"/>
        <v>0</v>
      </c>
      <c r="E139" s="6">
        <f>IF(COUNTIF(I139:XFD139,"&gt;"&amp;0)=0,,HLOOKUP(COUNTIF(I139:XFD139,"&gt;"&amp;0)-1,I$1:XFD139,A139+1,FALSE))</f>
        <v>0</v>
      </c>
      <c r="F139" s="7">
        <f>IF(COUNTIF(I139:XFD139,"&gt;"&amp;0)=0,,HLOOKUP(COUNTIF(I139:XFD139,"&gt;"&amp;0)-MIN($F$1+1,COUNTIF(I139:XFD139,"&gt;"&amp;0)),I$1:XFD139,A139+1,FALSE))</f>
        <v>0</v>
      </c>
      <c r="G139" s="8">
        <f t="shared" si="16"/>
        <v>0</v>
      </c>
    </row>
    <row r="140" spans="1:7" x14ac:dyDescent="0.25">
      <c r="A140" s="9">
        <f t="shared" si="13"/>
        <v>139</v>
      </c>
      <c r="B140" s="9">
        <f t="array" ref="B140">IF(C140="",0,IF(OR(C140=Country_Comparison!$S$10:$S$29),1,0))</f>
        <v>0</v>
      </c>
      <c r="C140" s="9" t="str">
        <f t="shared" si="14"/>
        <v/>
      </c>
      <c r="D140" s="6">
        <f t="shared" si="15"/>
        <v>0</v>
      </c>
      <c r="E140" s="6">
        <f>IF(COUNTIF(I140:XFD140,"&gt;"&amp;0)=0,,HLOOKUP(COUNTIF(I140:XFD140,"&gt;"&amp;0)-1,I$1:XFD140,A140+1,FALSE))</f>
        <v>0</v>
      </c>
      <c r="F140" s="7">
        <f>IF(COUNTIF(I140:XFD140,"&gt;"&amp;0)=0,,HLOOKUP(COUNTIF(I140:XFD140,"&gt;"&amp;0)-MIN($F$1+1,COUNTIF(I140:XFD140,"&gt;"&amp;0)),I$1:XFD140,A140+1,FALSE))</f>
        <v>0</v>
      </c>
      <c r="G140" s="8">
        <f t="shared" si="16"/>
        <v>0</v>
      </c>
    </row>
    <row r="141" spans="1:7" x14ac:dyDescent="0.25">
      <c r="A141" s="9">
        <f t="shared" si="13"/>
        <v>140</v>
      </c>
      <c r="B141" s="9">
        <f t="array" ref="B141">IF(C141="",0,IF(OR(C141=Country_Comparison!$S$10:$S$29),1,0))</f>
        <v>0</v>
      </c>
      <c r="C141" s="9" t="str">
        <f t="shared" si="14"/>
        <v/>
      </c>
      <c r="D141" s="6">
        <f t="shared" si="15"/>
        <v>0</v>
      </c>
      <c r="E141" s="6">
        <f>IF(COUNTIF(I141:XFD141,"&gt;"&amp;0)=0,,HLOOKUP(COUNTIF(I141:XFD141,"&gt;"&amp;0)-1,I$1:XFD141,A141+1,FALSE))</f>
        <v>0</v>
      </c>
      <c r="F141" s="7">
        <f>IF(COUNTIF(I141:XFD141,"&gt;"&amp;0)=0,,HLOOKUP(COUNTIF(I141:XFD141,"&gt;"&amp;0)-MIN($F$1+1,COUNTIF(I141:XFD141,"&gt;"&amp;0)),I$1:XFD141,A141+1,FALSE))</f>
        <v>0</v>
      </c>
      <c r="G141" s="8">
        <f t="shared" si="16"/>
        <v>0</v>
      </c>
    </row>
    <row r="142" spans="1:7" x14ac:dyDescent="0.25">
      <c r="A142" s="9">
        <f t="shared" si="13"/>
        <v>141</v>
      </c>
      <c r="B142" s="9">
        <f t="array" ref="B142">IF(C142="",0,IF(OR(C142=Country_Comparison!$S$10:$S$29),1,0))</f>
        <v>0</v>
      </c>
      <c r="C142" s="9" t="str">
        <f t="shared" si="14"/>
        <v/>
      </c>
      <c r="D142" s="6">
        <f t="shared" si="15"/>
        <v>0</v>
      </c>
      <c r="E142" s="6">
        <f>IF(COUNTIF(I142:XFD142,"&gt;"&amp;0)=0,,HLOOKUP(COUNTIF(I142:XFD142,"&gt;"&amp;0)-1,I$1:XFD142,A142+1,FALSE))</f>
        <v>0</v>
      </c>
      <c r="F142" s="7">
        <f>IF(COUNTIF(I142:XFD142,"&gt;"&amp;0)=0,,HLOOKUP(COUNTIF(I142:XFD142,"&gt;"&amp;0)-MIN($F$1+1,COUNTIF(I142:XFD142,"&gt;"&amp;0)),I$1:XFD142,A142+1,FALSE))</f>
        <v>0</v>
      </c>
      <c r="G142" s="8">
        <f t="shared" si="16"/>
        <v>0</v>
      </c>
    </row>
    <row r="143" spans="1:7" x14ac:dyDescent="0.25">
      <c r="A143" s="9">
        <f t="shared" si="13"/>
        <v>142</v>
      </c>
      <c r="B143" s="9">
        <f t="array" ref="B143">IF(C143="",0,IF(OR(C143=Country_Comparison!$S$10:$S$29),1,0))</f>
        <v>0</v>
      </c>
      <c r="C143" s="9" t="str">
        <f t="shared" si="14"/>
        <v/>
      </c>
      <c r="D143" s="6">
        <f t="shared" si="15"/>
        <v>0</v>
      </c>
      <c r="E143" s="6">
        <f>IF(COUNTIF(I143:XFD143,"&gt;"&amp;0)=0,,HLOOKUP(COUNTIF(I143:XFD143,"&gt;"&amp;0)-1,I$1:XFD143,A143+1,FALSE))</f>
        <v>0</v>
      </c>
      <c r="F143" s="7">
        <f>IF(COUNTIF(I143:XFD143,"&gt;"&amp;0)=0,,HLOOKUP(COUNTIF(I143:XFD143,"&gt;"&amp;0)-MIN($F$1+1,COUNTIF(I143:XFD143,"&gt;"&amp;0)),I$1:XFD143,A143+1,FALSE))</f>
        <v>0</v>
      </c>
      <c r="G143" s="8">
        <f t="shared" si="16"/>
        <v>0</v>
      </c>
    </row>
    <row r="144" spans="1:7" x14ac:dyDescent="0.25">
      <c r="A144" s="9">
        <f t="shared" si="13"/>
        <v>143</v>
      </c>
      <c r="B144" s="9">
        <f t="array" ref="B144">IF(C144="",0,IF(OR(C144=Country_Comparison!$S$10:$S$29),1,0))</f>
        <v>0</v>
      </c>
      <c r="C144" s="9" t="str">
        <f t="shared" si="14"/>
        <v/>
      </c>
      <c r="D144" s="6">
        <f t="shared" si="15"/>
        <v>0</v>
      </c>
      <c r="E144" s="6">
        <f>IF(COUNTIF(I144:XFD144,"&gt;"&amp;0)=0,,HLOOKUP(COUNTIF(I144:XFD144,"&gt;"&amp;0)-1,I$1:XFD144,A144+1,FALSE))</f>
        <v>0</v>
      </c>
      <c r="F144" s="7">
        <f>IF(COUNTIF(I144:XFD144,"&gt;"&amp;0)=0,,HLOOKUP(COUNTIF(I144:XFD144,"&gt;"&amp;0)-MIN($F$1+1,COUNTIF(I144:XFD144,"&gt;"&amp;0)),I$1:XFD144,A144+1,FALSE))</f>
        <v>0</v>
      </c>
      <c r="G144" s="8">
        <f t="shared" si="16"/>
        <v>0</v>
      </c>
    </row>
    <row r="145" spans="1:7" x14ac:dyDescent="0.25">
      <c r="A145" s="9">
        <f t="shared" si="13"/>
        <v>144</v>
      </c>
      <c r="B145" s="9">
        <f t="array" ref="B145">IF(C145="",0,IF(OR(C145=Country_Comparison!$S$10:$S$29),1,0))</f>
        <v>0</v>
      </c>
      <c r="C145" s="9" t="str">
        <f t="shared" si="14"/>
        <v/>
      </c>
      <c r="D145" s="6">
        <f t="shared" si="15"/>
        <v>0</v>
      </c>
      <c r="E145" s="6">
        <f>IF(COUNTIF(I145:XFD145,"&gt;"&amp;0)=0,,HLOOKUP(COUNTIF(I145:XFD145,"&gt;"&amp;0)-1,I$1:XFD145,A145+1,FALSE))</f>
        <v>0</v>
      </c>
      <c r="F145" s="7">
        <f>IF(COUNTIF(I145:XFD145,"&gt;"&amp;0)=0,,HLOOKUP(COUNTIF(I145:XFD145,"&gt;"&amp;0)-MIN($F$1+1,COUNTIF(I145:XFD145,"&gt;"&amp;0)),I$1:XFD145,A145+1,FALSE))</f>
        <v>0</v>
      </c>
      <c r="G145" s="8">
        <f t="shared" si="16"/>
        <v>0</v>
      </c>
    </row>
    <row r="146" spans="1:7" x14ac:dyDescent="0.25">
      <c r="A146" s="9">
        <f t="shared" si="13"/>
        <v>145</v>
      </c>
      <c r="B146" s="9">
        <f t="array" ref="B146">IF(C146="",0,IF(OR(C146=Country_Comparison!$S$10:$S$29),1,0))</f>
        <v>0</v>
      </c>
      <c r="C146" s="9" t="str">
        <f t="shared" si="14"/>
        <v/>
      </c>
      <c r="D146" s="6">
        <f t="shared" si="15"/>
        <v>0</v>
      </c>
      <c r="E146" s="6">
        <f>IF(COUNTIF(I146:XFD146,"&gt;"&amp;0)=0,,HLOOKUP(COUNTIF(I146:XFD146,"&gt;"&amp;0)-1,I$1:XFD146,A146+1,FALSE))</f>
        <v>0</v>
      </c>
      <c r="F146" s="7">
        <f>IF(COUNTIF(I146:XFD146,"&gt;"&amp;0)=0,,HLOOKUP(COUNTIF(I146:XFD146,"&gt;"&amp;0)-MIN($F$1+1,COUNTIF(I146:XFD146,"&gt;"&amp;0)),I$1:XFD146,A146+1,FALSE))</f>
        <v>0</v>
      </c>
      <c r="G146" s="8">
        <f t="shared" si="16"/>
        <v>0</v>
      </c>
    </row>
    <row r="147" spans="1:7" x14ac:dyDescent="0.25">
      <c r="A147" s="9">
        <f t="shared" si="13"/>
        <v>146</v>
      </c>
      <c r="B147" s="9">
        <f t="array" ref="B147">IF(C147="",0,IF(OR(C147=Country_Comparison!$S$10:$S$29),1,0))</f>
        <v>0</v>
      </c>
      <c r="C147" s="9" t="str">
        <f t="shared" si="14"/>
        <v/>
      </c>
      <c r="D147" s="6">
        <f t="shared" si="15"/>
        <v>0</v>
      </c>
      <c r="E147" s="6">
        <f>IF(COUNTIF(I147:XFD147,"&gt;"&amp;0)=0,,HLOOKUP(COUNTIF(I147:XFD147,"&gt;"&amp;0)-1,I$1:XFD147,A147+1,FALSE))</f>
        <v>0</v>
      </c>
      <c r="F147" s="7">
        <f>IF(COUNTIF(I147:XFD147,"&gt;"&amp;0)=0,,HLOOKUP(COUNTIF(I147:XFD147,"&gt;"&amp;0)-MIN($F$1+1,COUNTIF(I147:XFD147,"&gt;"&amp;0)),I$1:XFD147,A147+1,FALSE))</f>
        <v>0</v>
      </c>
      <c r="G147" s="8">
        <f t="shared" si="16"/>
        <v>0</v>
      </c>
    </row>
    <row r="148" spans="1:7" x14ac:dyDescent="0.25">
      <c r="A148" s="9">
        <f t="shared" si="13"/>
        <v>147</v>
      </c>
      <c r="B148" s="9">
        <f t="array" ref="B148">IF(C148="",0,IF(OR(C148=Country_Comparison!$S$10:$S$29),1,0))</f>
        <v>0</v>
      </c>
      <c r="C148" s="9" t="str">
        <f t="shared" si="14"/>
        <v/>
      </c>
      <c r="D148" s="6">
        <f t="shared" si="15"/>
        <v>0</v>
      </c>
      <c r="E148" s="6">
        <f>IF(COUNTIF(I148:XFD148,"&gt;"&amp;0)=0,,HLOOKUP(COUNTIF(I148:XFD148,"&gt;"&amp;0)-1,I$1:XFD148,A148+1,FALSE))</f>
        <v>0</v>
      </c>
      <c r="F148" s="7">
        <f>IF(COUNTIF(I148:XFD148,"&gt;"&amp;0)=0,,HLOOKUP(COUNTIF(I148:XFD148,"&gt;"&amp;0)-MIN($F$1+1,COUNTIF(I148:XFD148,"&gt;"&amp;0)),I$1:XFD148,A148+1,FALSE))</f>
        <v>0</v>
      </c>
      <c r="G148" s="8">
        <f t="shared" si="16"/>
        <v>0</v>
      </c>
    </row>
    <row r="149" spans="1:7" x14ac:dyDescent="0.25">
      <c r="A149" s="9">
        <f t="shared" si="13"/>
        <v>148</v>
      </c>
      <c r="B149" s="9">
        <f t="array" ref="B149">IF(C149="",0,IF(OR(C149=Country_Comparison!$S$10:$S$29),1,0))</f>
        <v>0</v>
      </c>
      <c r="C149" s="9" t="str">
        <f t="shared" si="14"/>
        <v/>
      </c>
      <c r="D149" s="6">
        <f t="shared" si="15"/>
        <v>0</v>
      </c>
      <c r="E149" s="6">
        <f>IF(COUNTIF(I149:XFD149,"&gt;"&amp;0)=0,,HLOOKUP(COUNTIF(I149:XFD149,"&gt;"&amp;0)-1,I$1:XFD149,A149+1,FALSE))</f>
        <v>0</v>
      </c>
      <c r="F149" s="7">
        <f>IF(COUNTIF(I149:XFD149,"&gt;"&amp;0)=0,,HLOOKUP(COUNTIF(I149:XFD149,"&gt;"&amp;0)-MIN($F$1+1,COUNTIF(I149:XFD149,"&gt;"&amp;0)),I$1:XFD149,A149+1,FALSE))</f>
        <v>0</v>
      </c>
      <c r="G149" s="8">
        <f t="shared" si="16"/>
        <v>0</v>
      </c>
    </row>
    <row r="150" spans="1:7" x14ac:dyDescent="0.25">
      <c r="A150" s="9">
        <f t="shared" si="13"/>
        <v>149</v>
      </c>
      <c r="B150" s="9">
        <f t="array" ref="B150">IF(C150="",0,IF(OR(C150=Country_Comparison!$S$10:$S$29),1,0))</f>
        <v>0</v>
      </c>
      <c r="C150" s="9" t="str">
        <f t="shared" si="14"/>
        <v/>
      </c>
      <c r="D150" s="6">
        <f t="shared" si="15"/>
        <v>0</v>
      </c>
      <c r="E150" s="6">
        <f>IF(COUNTIF(I150:XFD150,"&gt;"&amp;0)=0,,HLOOKUP(COUNTIF(I150:XFD150,"&gt;"&amp;0)-1,I$1:XFD150,A150+1,FALSE))</f>
        <v>0</v>
      </c>
      <c r="F150" s="7">
        <f>IF(COUNTIF(I150:XFD150,"&gt;"&amp;0)=0,,HLOOKUP(COUNTIF(I150:XFD150,"&gt;"&amp;0)-MIN($F$1+1,COUNTIF(I150:XFD150,"&gt;"&amp;0)),I$1:XFD150,A150+1,FALSE))</f>
        <v>0</v>
      </c>
      <c r="G150" s="8">
        <f t="shared" si="16"/>
        <v>0</v>
      </c>
    </row>
    <row r="151" spans="1:7" x14ac:dyDescent="0.25">
      <c r="A151" s="9">
        <f t="shared" si="13"/>
        <v>150</v>
      </c>
      <c r="B151" s="9">
        <f t="array" ref="B151">IF(C151="",0,IF(OR(C151=Country_Comparison!$S$10:$S$29),1,0))</f>
        <v>0</v>
      </c>
      <c r="C151" s="9" t="str">
        <f t="shared" si="14"/>
        <v/>
      </c>
      <c r="D151" s="6">
        <f t="shared" si="15"/>
        <v>0</v>
      </c>
      <c r="E151" s="6">
        <f>IF(COUNTIF(I151:XFD151,"&gt;"&amp;0)=0,,HLOOKUP(COUNTIF(I151:XFD151,"&gt;"&amp;0)-1,I$1:XFD151,A151+1,FALSE))</f>
        <v>0</v>
      </c>
      <c r="F151" s="7">
        <f>IF(COUNTIF(I151:XFD151,"&gt;"&amp;0)=0,,HLOOKUP(COUNTIF(I151:XFD151,"&gt;"&amp;0)-MIN($F$1+1,COUNTIF(I151:XFD151,"&gt;"&amp;0)),I$1:XFD151,A151+1,FALSE))</f>
        <v>0</v>
      </c>
      <c r="G151" s="8">
        <f t="shared" si="16"/>
        <v>0</v>
      </c>
    </row>
    <row r="152" spans="1:7" x14ac:dyDescent="0.25">
      <c r="A152" s="9">
        <f t="shared" si="13"/>
        <v>151</v>
      </c>
      <c r="B152" s="9">
        <f t="array" ref="B152">IF(C152="",0,IF(OR(C152=Country_Comparison!$S$10:$S$29),1,0))</f>
        <v>0</v>
      </c>
      <c r="C152" s="9" t="str">
        <f t="shared" si="14"/>
        <v/>
      </c>
      <c r="D152" s="6">
        <f t="shared" si="15"/>
        <v>0</v>
      </c>
      <c r="E152" s="6">
        <f>IF(COUNTIF(I152:XFD152,"&gt;"&amp;0)=0,,HLOOKUP(COUNTIF(I152:XFD152,"&gt;"&amp;0)-1,I$1:XFD152,A152+1,FALSE))</f>
        <v>0</v>
      </c>
      <c r="F152" s="7">
        <f>IF(COUNTIF(I152:XFD152,"&gt;"&amp;0)=0,,HLOOKUP(COUNTIF(I152:XFD152,"&gt;"&amp;0)-MIN($F$1+1,COUNTIF(I152:XFD152,"&gt;"&amp;0)),I$1:XFD152,A152+1,FALSE))</f>
        <v>0</v>
      </c>
      <c r="G152" s="8">
        <f t="shared" si="16"/>
        <v>0</v>
      </c>
    </row>
    <row r="153" spans="1:7" x14ac:dyDescent="0.25">
      <c r="A153" s="9">
        <f t="shared" si="13"/>
        <v>152</v>
      </c>
      <c r="B153" s="9">
        <f t="array" ref="B153">IF(C153="",0,IF(OR(C153=Country_Comparison!$S$10:$S$29),1,0))</f>
        <v>0</v>
      </c>
      <c r="C153" s="9" t="str">
        <f t="shared" si="14"/>
        <v/>
      </c>
      <c r="D153" s="6">
        <f t="shared" si="15"/>
        <v>0</v>
      </c>
      <c r="E153" s="6">
        <f>IF(COUNTIF(I153:XFD153,"&gt;"&amp;0)=0,,HLOOKUP(COUNTIF(I153:XFD153,"&gt;"&amp;0)-1,I$1:XFD153,A153+1,FALSE))</f>
        <v>0</v>
      </c>
      <c r="F153" s="7">
        <f>IF(COUNTIF(I153:XFD153,"&gt;"&amp;0)=0,,HLOOKUP(COUNTIF(I153:XFD153,"&gt;"&amp;0)-MIN($F$1+1,COUNTIF(I153:XFD153,"&gt;"&amp;0)),I$1:XFD153,A153+1,FALSE))</f>
        <v>0</v>
      </c>
      <c r="G153" s="8">
        <f t="shared" si="16"/>
        <v>0</v>
      </c>
    </row>
    <row r="154" spans="1:7" x14ac:dyDescent="0.25">
      <c r="A154" s="9">
        <f t="shared" si="13"/>
        <v>153</v>
      </c>
      <c r="B154" s="9">
        <f t="array" ref="B154">IF(C154="",0,IF(OR(C154=Country_Comparison!$S$10:$S$29),1,0))</f>
        <v>0</v>
      </c>
      <c r="C154" s="9" t="str">
        <f t="shared" si="14"/>
        <v/>
      </c>
      <c r="D154" s="6">
        <f t="shared" si="15"/>
        <v>0</v>
      </c>
      <c r="E154" s="6">
        <f>IF(COUNTIF(I154:XFD154,"&gt;"&amp;0)=0,,HLOOKUP(COUNTIF(I154:XFD154,"&gt;"&amp;0)-1,I$1:XFD154,A154+1,FALSE))</f>
        <v>0</v>
      </c>
      <c r="F154" s="7">
        <f>IF(COUNTIF(I154:XFD154,"&gt;"&amp;0)=0,,HLOOKUP(COUNTIF(I154:XFD154,"&gt;"&amp;0)-MIN($F$1+1,COUNTIF(I154:XFD154,"&gt;"&amp;0)),I$1:XFD154,A154+1,FALSE))</f>
        <v>0</v>
      </c>
      <c r="G154" s="8">
        <f t="shared" si="16"/>
        <v>0</v>
      </c>
    </row>
    <row r="155" spans="1:7" x14ac:dyDescent="0.25">
      <c r="A155" s="9">
        <f t="shared" si="13"/>
        <v>154</v>
      </c>
      <c r="B155" s="9">
        <f t="array" ref="B155">IF(C155="",0,IF(OR(C155=Country_Comparison!$S$10:$S$29),1,0))</f>
        <v>0</v>
      </c>
      <c r="C155" s="9" t="str">
        <f t="shared" si="14"/>
        <v/>
      </c>
      <c r="D155" s="6">
        <f t="shared" si="15"/>
        <v>0</v>
      </c>
      <c r="E155" s="6">
        <f>IF(COUNTIF(I155:XFD155,"&gt;"&amp;0)=0,,HLOOKUP(COUNTIF(I155:XFD155,"&gt;"&amp;0)-1,I$1:XFD155,A155+1,FALSE))</f>
        <v>0</v>
      </c>
      <c r="F155" s="7">
        <f>IF(COUNTIF(I155:XFD155,"&gt;"&amp;0)=0,,HLOOKUP(COUNTIF(I155:XFD155,"&gt;"&amp;0)-MIN($F$1+1,COUNTIF(I155:XFD155,"&gt;"&amp;0)),I$1:XFD155,A155+1,FALSE))</f>
        <v>0</v>
      </c>
      <c r="G155" s="8">
        <f t="shared" si="16"/>
        <v>0</v>
      </c>
    </row>
    <row r="156" spans="1:7" x14ac:dyDescent="0.25">
      <c r="A156" s="9">
        <f t="shared" si="13"/>
        <v>155</v>
      </c>
      <c r="B156" s="9">
        <f t="array" ref="B156">IF(C156="",0,IF(OR(C156=Country_Comparison!$S$10:$S$29),1,0))</f>
        <v>0</v>
      </c>
      <c r="C156" s="9" t="str">
        <f t="shared" si="14"/>
        <v/>
      </c>
      <c r="D156" s="6">
        <f t="shared" si="15"/>
        <v>0</v>
      </c>
      <c r="E156" s="6">
        <f>IF(COUNTIF(I156:XFD156,"&gt;"&amp;0)=0,,HLOOKUP(COUNTIF(I156:XFD156,"&gt;"&amp;0)-1,I$1:XFD156,A156+1,FALSE))</f>
        <v>0</v>
      </c>
      <c r="F156" s="7">
        <f>IF(COUNTIF(I156:XFD156,"&gt;"&amp;0)=0,,HLOOKUP(COUNTIF(I156:XFD156,"&gt;"&amp;0)-MIN($F$1+1,COUNTIF(I156:XFD156,"&gt;"&amp;0)),I$1:XFD156,A156+1,FALSE))</f>
        <v>0</v>
      </c>
      <c r="G156" s="8">
        <f t="shared" si="16"/>
        <v>0</v>
      </c>
    </row>
    <row r="157" spans="1:7" x14ac:dyDescent="0.25">
      <c r="A157" s="9">
        <f t="shared" si="13"/>
        <v>156</v>
      </c>
      <c r="B157" s="9">
        <f t="array" ref="B157">IF(C157="",0,IF(OR(C157=Country_Comparison!$S$10:$S$29),1,0))</f>
        <v>0</v>
      </c>
      <c r="C157" s="9" t="str">
        <f t="shared" si="14"/>
        <v/>
      </c>
      <c r="D157" s="6">
        <f t="shared" si="15"/>
        <v>0</v>
      </c>
      <c r="E157" s="6">
        <f>IF(COUNTIF(I157:XFD157,"&gt;"&amp;0)=0,,HLOOKUP(COUNTIF(I157:XFD157,"&gt;"&amp;0)-1,I$1:XFD157,A157+1,FALSE))</f>
        <v>0</v>
      </c>
      <c r="F157" s="7">
        <f>IF(COUNTIF(I157:XFD157,"&gt;"&amp;0)=0,,HLOOKUP(COUNTIF(I157:XFD157,"&gt;"&amp;0)-MIN($F$1+1,COUNTIF(I157:XFD157,"&gt;"&amp;0)),I$1:XFD157,A157+1,FALSE))</f>
        <v>0</v>
      </c>
      <c r="G157" s="8">
        <f t="shared" si="16"/>
        <v>0</v>
      </c>
    </row>
    <row r="158" spans="1:7" x14ac:dyDescent="0.25">
      <c r="A158" s="9">
        <f t="shared" si="13"/>
        <v>157</v>
      </c>
      <c r="B158" s="9">
        <f t="array" ref="B158">IF(C158="",0,IF(OR(C158=Country_Comparison!$S$10:$S$29),1,0))</f>
        <v>0</v>
      </c>
      <c r="C158" s="9" t="str">
        <f t="shared" si="14"/>
        <v/>
      </c>
      <c r="D158" s="6">
        <f t="shared" si="15"/>
        <v>0</v>
      </c>
      <c r="E158" s="6">
        <f>IF(COUNTIF(I158:XFD158,"&gt;"&amp;0)=0,,HLOOKUP(COUNTIF(I158:XFD158,"&gt;"&amp;0)-1,I$1:XFD158,A158+1,FALSE))</f>
        <v>0</v>
      </c>
      <c r="F158" s="7">
        <f>IF(COUNTIF(I158:XFD158,"&gt;"&amp;0)=0,,HLOOKUP(COUNTIF(I158:XFD158,"&gt;"&amp;0)-MIN($F$1+1,COUNTIF(I158:XFD158,"&gt;"&amp;0)),I$1:XFD158,A158+1,FALSE))</f>
        <v>0</v>
      </c>
      <c r="G158" s="8">
        <f t="shared" si="16"/>
        <v>0</v>
      </c>
    </row>
    <row r="159" spans="1:7" x14ac:dyDescent="0.25">
      <c r="A159" s="9">
        <f t="shared" si="13"/>
        <v>158</v>
      </c>
      <c r="B159" s="9">
        <f t="array" ref="B159">IF(C159="",0,IF(OR(C159=Country_Comparison!$S$10:$S$29),1,0))</f>
        <v>0</v>
      </c>
      <c r="C159" s="9" t="str">
        <f t="shared" si="14"/>
        <v/>
      </c>
      <c r="D159" s="6">
        <f t="shared" si="15"/>
        <v>0</v>
      </c>
      <c r="E159" s="6">
        <f>IF(COUNTIF(I159:XFD159,"&gt;"&amp;0)=0,,HLOOKUP(COUNTIF(I159:XFD159,"&gt;"&amp;0)-1,I$1:XFD159,A159+1,FALSE))</f>
        <v>0</v>
      </c>
      <c r="F159" s="7">
        <f>IF(COUNTIF(I159:XFD159,"&gt;"&amp;0)=0,,HLOOKUP(COUNTIF(I159:XFD159,"&gt;"&amp;0)-MIN($F$1+1,COUNTIF(I159:XFD159,"&gt;"&amp;0)),I$1:XFD159,A159+1,FALSE))</f>
        <v>0</v>
      </c>
      <c r="G159" s="8">
        <f t="shared" si="16"/>
        <v>0</v>
      </c>
    </row>
    <row r="160" spans="1:7" x14ac:dyDescent="0.25">
      <c r="A160" s="9">
        <f t="shared" si="13"/>
        <v>159</v>
      </c>
      <c r="B160" s="9">
        <f t="array" ref="B160">IF(C160="",0,IF(OR(C160=Country_Comparison!$S$10:$S$29),1,0))</f>
        <v>0</v>
      </c>
      <c r="C160" s="9" t="str">
        <f t="shared" si="14"/>
        <v/>
      </c>
      <c r="D160" s="6">
        <f t="shared" si="15"/>
        <v>0</v>
      </c>
      <c r="E160" s="6">
        <f>IF(COUNTIF(I160:XFD160,"&gt;"&amp;0)=0,,HLOOKUP(COUNTIF(I160:XFD160,"&gt;"&amp;0)-1,I$1:XFD160,A160+1,FALSE))</f>
        <v>0</v>
      </c>
      <c r="F160" s="7">
        <f>IF(COUNTIF(I160:XFD160,"&gt;"&amp;0)=0,,HLOOKUP(COUNTIF(I160:XFD160,"&gt;"&amp;0)-MIN($F$1+1,COUNTIF(I160:XFD160,"&gt;"&amp;0)),I$1:XFD160,A160+1,FALSE))</f>
        <v>0</v>
      </c>
      <c r="G160" s="8">
        <f t="shared" si="16"/>
        <v>0</v>
      </c>
    </row>
    <row r="161" spans="1:7" x14ac:dyDescent="0.25">
      <c r="A161" s="9">
        <f t="shared" si="13"/>
        <v>160</v>
      </c>
      <c r="B161" s="9">
        <f t="array" ref="B161">IF(C161="",0,IF(OR(C161=Country_Comparison!$S$10:$S$29),1,0))</f>
        <v>0</v>
      </c>
      <c r="C161" s="9" t="str">
        <f t="shared" si="14"/>
        <v/>
      </c>
      <c r="D161" s="6">
        <f t="shared" si="15"/>
        <v>0</v>
      </c>
      <c r="E161" s="6">
        <f>IF(COUNTIF(I161:XFD161,"&gt;"&amp;0)=0,,HLOOKUP(COUNTIF(I161:XFD161,"&gt;"&amp;0)-1,I$1:XFD161,A161+1,FALSE))</f>
        <v>0</v>
      </c>
      <c r="F161" s="7">
        <f>IF(COUNTIF(I161:XFD161,"&gt;"&amp;0)=0,,HLOOKUP(COUNTIF(I161:XFD161,"&gt;"&amp;0)-MIN($F$1+1,COUNTIF(I161:XFD161,"&gt;"&amp;0)),I$1:XFD161,A161+1,FALSE))</f>
        <v>0</v>
      </c>
      <c r="G161" s="8">
        <f t="shared" si="16"/>
        <v>0</v>
      </c>
    </row>
    <row r="162" spans="1:7" x14ac:dyDescent="0.25">
      <c r="A162" s="9">
        <f t="shared" si="13"/>
        <v>161</v>
      </c>
      <c r="B162" s="9">
        <f t="array" ref="B162">IF(C162="",0,IF(OR(C162=Country_Comparison!$S$10:$S$29),1,0))</f>
        <v>0</v>
      </c>
      <c r="C162" s="9" t="str">
        <f t="shared" si="14"/>
        <v/>
      </c>
      <c r="D162" s="6">
        <f t="shared" si="15"/>
        <v>0</v>
      </c>
      <c r="E162" s="6">
        <f>IF(COUNTIF(I162:XFD162,"&gt;"&amp;0)=0,,HLOOKUP(COUNTIF(I162:XFD162,"&gt;"&amp;0)-1,I$1:XFD162,A162+1,FALSE))</f>
        <v>0</v>
      </c>
      <c r="F162" s="7">
        <f>IF(COUNTIF(I162:XFD162,"&gt;"&amp;0)=0,,HLOOKUP(COUNTIF(I162:XFD162,"&gt;"&amp;0)-MIN($F$1+1,COUNTIF(I162:XFD162,"&gt;"&amp;0)),I$1:XFD162,A162+1,FALSE))</f>
        <v>0</v>
      </c>
      <c r="G162" s="8">
        <f t="shared" si="16"/>
        <v>0</v>
      </c>
    </row>
    <row r="163" spans="1:7" x14ac:dyDescent="0.25">
      <c r="A163" s="9">
        <f t="shared" si="13"/>
        <v>162</v>
      </c>
      <c r="B163" s="9">
        <f t="array" ref="B163">IF(C163="",0,IF(OR(C163=Country_Comparison!$S$10:$S$29),1,0))</f>
        <v>0</v>
      </c>
      <c r="C163" s="9" t="str">
        <f t="shared" si="14"/>
        <v/>
      </c>
      <c r="D163" s="6">
        <f t="shared" si="15"/>
        <v>0</v>
      </c>
      <c r="E163" s="6">
        <f>IF(COUNTIF(I163:XFD163,"&gt;"&amp;0)=0,,HLOOKUP(COUNTIF(I163:XFD163,"&gt;"&amp;0)-1,I$1:XFD163,A163+1,FALSE))</f>
        <v>0</v>
      </c>
      <c r="F163" s="7">
        <f>IF(COUNTIF(I163:XFD163,"&gt;"&amp;0)=0,,HLOOKUP(COUNTIF(I163:XFD163,"&gt;"&amp;0)-MIN($F$1+1,COUNTIF(I163:XFD163,"&gt;"&amp;0)),I$1:XFD163,A163+1,FALSE))</f>
        <v>0</v>
      </c>
      <c r="G163" s="8">
        <f t="shared" si="16"/>
        <v>0</v>
      </c>
    </row>
    <row r="164" spans="1:7" x14ac:dyDescent="0.25">
      <c r="A164" s="9">
        <f t="shared" si="13"/>
        <v>163</v>
      </c>
      <c r="B164" s="9">
        <f t="array" ref="B164">IF(C164="",0,IF(OR(C164=Country_Comparison!$S$10:$S$29),1,0))</f>
        <v>0</v>
      </c>
      <c r="C164" s="9" t="str">
        <f t="shared" si="14"/>
        <v/>
      </c>
      <c r="D164" s="6">
        <f t="shared" si="15"/>
        <v>0</v>
      </c>
      <c r="E164" s="6">
        <f>IF(COUNTIF(I164:XFD164,"&gt;"&amp;0)=0,,HLOOKUP(COUNTIF(I164:XFD164,"&gt;"&amp;0)-1,I$1:XFD164,A164+1,FALSE))</f>
        <v>0</v>
      </c>
      <c r="F164" s="7">
        <f>IF(COUNTIF(I164:XFD164,"&gt;"&amp;0)=0,,HLOOKUP(COUNTIF(I164:XFD164,"&gt;"&amp;0)-MIN($F$1+1,COUNTIF(I164:XFD164,"&gt;"&amp;0)),I$1:XFD164,A164+1,FALSE))</f>
        <v>0</v>
      </c>
      <c r="G164" s="8">
        <f t="shared" si="16"/>
        <v>0</v>
      </c>
    </row>
    <row r="165" spans="1:7" x14ac:dyDescent="0.25">
      <c r="A165" s="9">
        <f t="shared" si="13"/>
        <v>164</v>
      </c>
      <c r="B165" s="9">
        <f t="array" ref="B165">IF(C165="",0,IF(OR(C165=Country_Comparison!$S$10:$S$29),1,0))</f>
        <v>0</v>
      </c>
      <c r="C165" s="9" t="str">
        <f t="shared" si="14"/>
        <v/>
      </c>
      <c r="D165" s="6">
        <f t="shared" si="15"/>
        <v>0</v>
      </c>
      <c r="E165" s="6">
        <f>IF(COUNTIF(I165:XFD165,"&gt;"&amp;0)=0,,HLOOKUP(COUNTIF(I165:XFD165,"&gt;"&amp;0)-1,I$1:XFD165,A165+1,FALSE))</f>
        <v>0</v>
      </c>
      <c r="F165" s="7">
        <f>IF(COUNTIF(I165:XFD165,"&gt;"&amp;0)=0,,HLOOKUP(COUNTIF(I165:XFD165,"&gt;"&amp;0)-MIN($F$1+1,COUNTIF(I165:XFD165,"&gt;"&amp;0)),I$1:XFD165,A165+1,FALSE))</f>
        <v>0</v>
      </c>
      <c r="G165" s="8">
        <f t="shared" si="16"/>
        <v>0</v>
      </c>
    </row>
    <row r="166" spans="1:7" x14ac:dyDescent="0.25">
      <c r="A166" s="9">
        <f t="shared" si="13"/>
        <v>165</v>
      </c>
      <c r="B166" s="9">
        <f t="array" ref="B166">IF(C166="",0,IF(OR(C166=Country_Comparison!$S$10:$S$29),1,0))</f>
        <v>0</v>
      </c>
      <c r="C166" s="9" t="str">
        <f t="shared" si="14"/>
        <v/>
      </c>
      <c r="D166" s="6">
        <f t="shared" si="15"/>
        <v>0</v>
      </c>
      <c r="E166" s="6">
        <f>IF(COUNTIF(I166:XFD166,"&gt;"&amp;0)=0,,HLOOKUP(COUNTIF(I166:XFD166,"&gt;"&amp;0)-1,I$1:XFD166,A166+1,FALSE))</f>
        <v>0</v>
      </c>
      <c r="F166" s="7">
        <f>IF(COUNTIF(I166:XFD166,"&gt;"&amp;0)=0,,HLOOKUP(COUNTIF(I166:XFD166,"&gt;"&amp;0)-MIN($F$1+1,COUNTIF(I166:XFD166,"&gt;"&amp;0)),I$1:XFD166,A166+1,FALSE))</f>
        <v>0</v>
      </c>
      <c r="G166" s="8">
        <f t="shared" si="16"/>
        <v>0</v>
      </c>
    </row>
    <row r="167" spans="1:7" x14ac:dyDescent="0.25">
      <c r="A167" s="9">
        <f t="shared" si="13"/>
        <v>166</v>
      </c>
      <c r="B167" s="9">
        <f t="array" ref="B167">IF(C167="",0,IF(OR(C167=Country_Comparison!$S$10:$S$29),1,0))</f>
        <v>0</v>
      </c>
      <c r="C167" s="9" t="str">
        <f t="shared" si="14"/>
        <v/>
      </c>
      <c r="D167" s="6">
        <f t="shared" si="15"/>
        <v>0</v>
      </c>
      <c r="E167" s="6">
        <f>IF(COUNTIF(I167:XFD167,"&gt;"&amp;0)=0,,HLOOKUP(COUNTIF(I167:XFD167,"&gt;"&amp;0)-1,I$1:XFD167,A167+1,FALSE))</f>
        <v>0</v>
      </c>
      <c r="F167" s="7">
        <f>IF(COUNTIF(I167:XFD167,"&gt;"&amp;0)=0,,HLOOKUP(COUNTIF(I167:XFD167,"&gt;"&amp;0)-MIN($F$1+1,COUNTIF(I167:XFD167,"&gt;"&amp;0)),I$1:XFD167,A167+1,FALSE))</f>
        <v>0</v>
      </c>
      <c r="G167" s="8">
        <f t="shared" si="16"/>
        <v>0</v>
      </c>
    </row>
    <row r="168" spans="1:7" x14ac:dyDescent="0.25">
      <c r="A168" s="9">
        <f t="shared" si="13"/>
        <v>167</v>
      </c>
      <c r="B168" s="9">
        <f t="array" ref="B168">IF(C168="",0,IF(OR(C168=Country_Comparison!$S$10:$S$29),1,0))</f>
        <v>0</v>
      </c>
      <c r="C168" s="9" t="str">
        <f t="shared" si="14"/>
        <v/>
      </c>
      <c r="D168" s="6">
        <f t="shared" si="15"/>
        <v>0</v>
      </c>
      <c r="E168" s="6">
        <f>IF(COUNTIF(I168:XFD168,"&gt;"&amp;0)=0,,HLOOKUP(COUNTIF(I168:XFD168,"&gt;"&amp;0)-1,I$1:XFD168,A168+1,FALSE))</f>
        <v>0</v>
      </c>
      <c r="F168" s="7">
        <f>IF(COUNTIF(I168:XFD168,"&gt;"&amp;0)=0,,HLOOKUP(COUNTIF(I168:XFD168,"&gt;"&amp;0)-MIN($F$1+1,COUNTIF(I168:XFD168,"&gt;"&amp;0)),I$1:XFD168,A168+1,FALSE))</f>
        <v>0</v>
      </c>
      <c r="G168" s="8">
        <f t="shared" si="16"/>
        <v>0</v>
      </c>
    </row>
    <row r="169" spans="1:7" x14ac:dyDescent="0.25">
      <c r="A169" s="9">
        <f t="shared" si="13"/>
        <v>168</v>
      </c>
      <c r="B169" s="9">
        <f t="array" ref="B169">IF(C169="",0,IF(OR(C169=Country_Comparison!$S$10:$S$29),1,0))</f>
        <v>0</v>
      </c>
      <c r="C169" s="9" t="str">
        <f t="shared" si="14"/>
        <v/>
      </c>
      <c r="D169" s="6">
        <f t="shared" si="15"/>
        <v>0</v>
      </c>
      <c r="E169" s="6">
        <f>IF(COUNTIF(I169:XFD169,"&gt;"&amp;0)=0,,HLOOKUP(COUNTIF(I169:XFD169,"&gt;"&amp;0)-1,I$1:XFD169,A169+1,FALSE))</f>
        <v>0</v>
      </c>
      <c r="F169" s="7">
        <f>IF(COUNTIF(I169:XFD169,"&gt;"&amp;0)=0,,HLOOKUP(COUNTIF(I169:XFD169,"&gt;"&amp;0)-MIN($F$1+1,COUNTIF(I169:XFD169,"&gt;"&amp;0)),I$1:XFD169,A169+1,FALSE))</f>
        <v>0</v>
      </c>
      <c r="G169" s="8">
        <f t="shared" si="16"/>
        <v>0</v>
      </c>
    </row>
    <row r="170" spans="1:7" x14ac:dyDescent="0.25">
      <c r="A170" s="9">
        <f t="shared" si="13"/>
        <v>169</v>
      </c>
      <c r="B170" s="9">
        <f t="array" ref="B170">IF(C170="",0,IF(OR(C170=Country_Comparison!$S$10:$S$29),1,0))</f>
        <v>0</v>
      </c>
      <c r="C170" s="9" t="str">
        <f t="shared" si="14"/>
        <v/>
      </c>
      <c r="D170" s="6">
        <f t="shared" si="15"/>
        <v>0</v>
      </c>
      <c r="E170" s="6">
        <f>IF(COUNTIF(I170:XFD170,"&gt;"&amp;0)=0,,HLOOKUP(COUNTIF(I170:XFD170,"&gt;"&amp;0)-1,I$1:XFD170,A170+1,FALSE))</f>
        <v>0</v>
      </c>
      <c r="F170" s="7">
        <f>IF(COUNTIF(I170:XFD170,"&gt;"&amp;0)=0,,HLOOKUP(COUNTIF(I170:XFD170,"&gt;"&amp;0)-MIN($F$1+1,COUNTIF(I170:XFD170,"&gt;"&amp;0)),I$1:XFD170,A170+1,FALSE))</f>
        <v>0</v>
      </c>
      <c r="G170" s="8">
        <f t="shared" si="16"/>
        <v>0</v>
      </c>
    </row>
    <row r="171" spans="1:7" x14ac:dyDescent="0.25">
      <c r="A171" s="9">
        <f t="shared" si="13"/>
        <v>170</v>
      </c>
      <c r="B171" s="9">
        <f t="array" ref="B171">IF(C171="",0,IF(OR(C171=Country_Comparison!$S$10:$S$29),1,0))</f>
        <v>0</v>
      </c>
      <c r="C171" s="9" t="str">
        <f t="shared" si="14"/>
        <v/>
      </c>
      <c r="D171" s="6">
        <f t="shared" si="15"/>
        <v>0</v>
      </c>
      <c r="E171" s="6">
        <f>IF(COUNTIF(I171:XFD171,"&gt;"&amp;0)=0,,HLOOKUP(COUNTIF(I171:XFD171,"&gt;"&amp;0)-1,I$1:XFD171,A171+1,FALSE))</f>
        <v>0</v>
      </c>
      <c r="F171" s="7">
        <f>IF(COUNTIF(I171:XFD171,"&gt;"&amp;0)=0,,HLOOKUP(COUNTIF(I171:XFD171,"&gt;"&amp;0)-MIN($F$1+1,COUNTIF(I171:XFD171,"&gt;"&amp;0)),I$1:XFD171,A171+1,FALSE))</f>
        <v>0</v>
      </c>
      <c r="G171" s="8">
        <f t="shared" si="16"/>
        <v>0</v>
      </c>
    </row>
    <row r="172" spans="1:7" x14ac:dyDescent="0.25">
      <c r="A172" s="9">
        <f t="shared" si="13"/>
        <v>171</v>
      </c>
      <c r="B172" s="9">
        <f t="array" ref="B172">IF(C172="",0,IF(OR(C172=Country_Comparison!$S$10:$S$29),1,0))</f>
        <v>0</v>
      </c>
      <c r="C172" s="9" t="str">
        <f t="shared" si="14"/>
        <v/>
      </c>
      <c r="D172" s="6">
        <f t="shared" si="15"/>
        <v>0</v>
      </c>
      <c r="E172" s="6">
        <f>IF(COUNTIF(I172:XFD172,"&gt;"&amp;0)=0,,HLOOKUP(COUNTIF(I172:XFD172,"&gt;"&amp;0)-1,I$1:XFD172,A172+1,FALSE))</f>
        <v>0</v>
      </c>
      <c r="F172" s="7">
        <f>IF(COUNTIF(I172:XFD172,"&gt;"&amp;0)=0,,HLOOKUP(COUNTIF(I172:XFD172,"&gt;"&amp;0)-MIN($F$1+1,COUNTIF(I172:XFD172,"&gt;"&amp;0)),I$1:XFD172,A172+1,FALSE))</f>
        <v>0</v>
      </c>
      <c r="G172" s="8">
        <f t="shared" si="16"/>
        <v>0</v>
      </c>
    </row>
    <row r="173" spans="1:7" x14ac:dyDescent="0.25">
      <c r="A173" s="9">
        <f t="shared" si="13"/>
        <v>172</v>
      </c>
      <c r="B173" s="9">
        <f t="array" ref="B173">IF(C173="",0,IF(OR(C173=Country_Comparison!$S$10:$S$29),1,0))</f>
        <v>0</v>
      </c>
      <c r="C173" s="9" t="str">
        <f t="shared" si="14"/>
        <v/>
      </c>
      <c r="D173" s="6">
        <f t="shared" si="15"/>
        <v>0</v>
      </c>
      <c r="E173" s="6">
        <f>IF(COUNTIF(I173:XFD173,"&gt;"&amp;0)=0,,HLOOKUP(COUNTIF(I173:XFD173,"&gt;"&amp;0)-1,I$1:XFD173,A173+1,FALSE))</f>
        <v>0</v>
      </c>
      <c r="F173" s="7">
        <f>IF(COUNTIF(I173:XFD173,"&gt;"&amp;0)=0,,HLOOKUP(COUNTIF(I173:XFD173,"&gt;"&amp;0)-MIN($F$1+1,COUNTIF(I173:XFD173,"&gt;"&amp;0)),I$1:XFD173,A173+1,FALSE))</f>
        <v>0</v>
      </c>
      <c r="G173" s="8">
        <f t="shared" si="16"/>
        <v>0</v>
      </c>
    </row>
    <row r="174" spans="1:7" x14ac:dyDescent="0.25">
      <c r="A174" s="9">
        <f t="shared" si="13"/>
        <v>173</v>
      </c>
      <c r="B174" s="9">
        <f t="array" ref="B174">IF(C174="",0,IF(OR(C174=Country_Comparison!$S$10:$S$29),1,0))</f>
        <v>0</v>
      </c>
      <c r="C174" s="9" t="str">
        <f t="shared" si="14"/>
        <v/>
      </c>
      <c r="D174" s="6">
        <f t="shared" si="15"/>
        <v>0</v>
      </c>
      <c r="E174" s="6">
        <f>IF(COUNTIF(I174:XFD174,"&gt;"&amp;0)=0,,HLOOKUP(COUNTIF(I174:XFD174,"&gt;"&amp;0)-1,I$1:XFD174,A174+1,FALSE))</f>
        <v>0</v>
      </c>
      <c r="F174" s="7">
        <f>IF(COUNTIF(I174:XFD174,"&gt;"&amp;0)=0,,HLOOKUP(COUNTIF(I174:XFD174,"&gt;"&amp;0)-MIN($F$1+1,COUNTIF(I174:XFD174,"&gt;"&amp;0)),I$1:XFD174,A174+1,FALSE))</f>
        <v>0</v>
      </c>
      <c r="G174" s="8">
        <f t="shared" si="16"/>
        <v>0</v>
      </c>
    </row>
    <row r="175" spans="1:7" x14ac:dyDescent="0.25">
      <c r="A175" s="9">
        <f t="shared" si="13"/>
        <v>174</v>
      </c>
      <c r="B175" s="9">
        <f t="array" ref="B175">IF(C175="",0,IF(OR(C175=Country_Comparison!$S$10:$S$29),1,0))</f>
        <v>0</v>
      </c>
      <c r="C175" s="9" t="str">
        <f t="shared" si="14"/>
        <v/>
      </c>
      <c r="D175" s="6">
        <f t="shared" si="15"/>
        <v>0</v>
      </c>
      <c r="E175" s="6">
        <f>IF(COUNTIF(I175:XFD175,"&gt;"&amp;0)=0,,HLOOKUP(COUNTIF(I175:XFD175,"&gt;"&amp;0)-1,I$1:XFD175,A175+1,FALSE))</f>
        <v>0</v>
      </c>
      <c r="F175" s="7">
        <f>IF(COUNTIF(I175:XFD175,"&gt;"&amp;0)=0,,HLOOKUP(COUNTIF(I175:XFD175,"&gt;"&amp;0)-MIN($F$1+1,COUNTIF(I175:XFD175,"&gt;"&amp;0)),I$1:XFD175,A175+1,FALSE))</f>
        <v>0</v>
      </c>
      <c r="G175" s="8">
        <f t="shared" si="16"/>
        <v>0</v>
      </c>
    </row>
    <row r="176" spans="1:7" x14ac:dyDescent="0.25">
      <c r="A176" s="9">
        <f t="shared" si="13"/>
        <v>175</v>
      </c>
      <c r="B176" s="9">
        <f t="array" ref="B176">IF(C176="",0,IF(OR(C176=Country_Comparison!$S$10:$S$29),1,0))</f>
        <v>0</v>
      </c>
      <c r="C176" s="9" t="str">
        <f t="shared" si="14"/>
        <v/>
      </c>
      <c r="D176" s="6">
        <f t="shared" si="15"/>
        <v>0</v>
      </c>
      <c r="E176" s="6">
        <f>IF(COUNTIF(I176:XFD176,"&gt;"&amp;0)=0,,HLOOKUP(COUNTIF(I176:XFD176,"&gt;"&amp;0)-1,I$1:XFD176,A176+1,FALSE))</f>
        <v>0</v>
      </c>
      <c r="F176" s="7">
        <f>IF(COUNTIF(I176:XFD176,"&gt;"&amp;0)=0,,HLOOKUP(COUNTIF(I176:XFD176,"&gt;"&amp;0)-MIN($F$1+1,COUNTIF(I176:XFD176,"&gt;"&amp;0)),I$1:XFD176,A176+1,FALSE))</f>
        <v>0</v>
      </c>
      <c r="G176" s="8">
        <f t="shared" si="16"/>
        <v>0</v>
      </c>
    </row>
    <row r="177" spans="1:7" x14ac:dyDescent="0.25">
      <c r="A177" s="9">
        <f t="shared" si="13"/>
        <v>176</v>
      </c>
      <c r="B177" s="9">
        <f t="array" ref="B177">IF(C177="",0,IF(OR(C177=Country_Comparison!$S$10:$S$29),1,0))</f>
        <v>0</v>
      </c>
      <c r="C177" s="9" t="str">
        <f t="shared" si="14"/>
        <v/>
      </c>
      <c r="D177" s="6">
        <f t="shared" si="15"/>
        <v>0</v>
      </c>
      <c r="E177" s="6">
        <f>IF(COUNTIF(I177:XFD177,"&gt;"&amp;0)=0,,HLOOKUP(COUNTIF(I177:XFD177,"&gt;"&amp;0)-1,I$1:XFD177,A177+1,FALSE))</f>
        <v>0</v>
      </c>
      <c r="F177" s="7">
        <f>IF(COUNTIF(I177:XFD177,"&gt;"&amp;0)=0,,HLOOKUP(COUNTIF(I177:XFD177,"&gt;"&amp;0)-MIN($F$1+1,COUNTIF(I177:XFD177,"&gt;"&amp;0)),I$1:XFD177,A177+1,FALSE))</f>
        <v>0</v>
      </c>
      <c r="G177" s="8">
        <f t="shared" si="16"/>
        <v>0</v>
      </c>
    </row>
    <row r="178" spans="1:7" x14ac:dyDescent="0.25">
      <c r="A178" s="9">
        <f t="shared" si="13"/>
        <v>177</v>
      </c>
      <c r="B178" s="9">
        <f t="array" ref="B178">IF(C178="",0,IF(OR(C178=Country_Comparison!$S$10:$S$29),1,0))</f>
        <v>0</v>
      </c>
      <c r="C178" s="9" t="str">
        <f t="shared" si="14"/>
        <v/>
      </c>
      <c r="D178" s="6">
        <f t="shared" si="15"/>
        <v>0</v>
      </c>
      <c r="E178" s="6">
        <f>IF(COUNTIF(I178:XFD178,"&gt;"&amp;0)=0,,HLOOKUP(COUNTIF(I178:XFD178,"&gt;"&amp;0)-1,I$1:XFD178,A178+1,FALSE))</f>
        <v>0</v>
      </c>
      <c r="F178" s="7">
        <f>IF(COUNTIF(I178:XFD178,"&gt;"&amp;0)=0,,HLOOKUP(COUNTIF(I178:XFD178,"&gt;"&amp;0)-MIN($F$1+1,COUNTIF(I178:XFD178,"&gt;"&amp;0)),I$1:XFD178,A178+1,FALSE))</f>
        <v>0</v>
      </c>
      <c r="G178" s="8">
        <f t="shared" si="16"/>
        <v>0</v>
      </c>
    </row>
    <row r="179" spans="1:7" x14ac:dyDescent="0.25">
      <c r="A179" s="9">
        <f t="shared" si="13"/>
        <v>178</v>
      </c>
      <c r="B179" s="9">
        <f t="array" ref="B179">IF(C179="",0,IF(OR(C179=Country_Comparison!$S$10:$S$29),1,0))</f>
        <v>0</v>
      </c>
      <c r="C179" s="9" t="str">
        <f t="shared" si="14"/>
        <v/>
      </c>
      <c r="D179" s="6">
        <f t="shared" si="15"/>
        <v>0</v>
      </c>
      <c r="E179" s="6">
        <f>IF(COUNTIF(I179:XFD179,"&gt;"&amp;0)=0,,HLOOKUP(COUNTIF(I179:XFD179,"&gt;"&amp;0)-1,I$1:XFD179,A179+1,FALSE))</f>
        <v>0</v>
      </c>
      <c r="F179" s="7">
        <f>IF(COUNTIF(I179:XFD179,"&gt;"&amp;0)=0,,HLOOKUP(COUNTIF(I179:XFD179,"&gt;"&amp;0)-MIN($F$1+1,COUNTIF(I179:XFD179,"&gt;"&amp;0)),I$1:XFD179,A179+1,FALSE))</f>
        <v>0</v>
      </c>
      <c r="G179" s="8">
        <f t="shared" si="16"/>
        <v>0</v>
      </c>
    </row>
    <row r="180" spans="1:7" x14ac:dyDescent="0.25">
      <c r="A180" s="9">
        <f t="shared" si="13"/>
        <v>179</v>
      </c>
      <c r="B180" s="9">
        <f t="array" ref="B180">IF(C180="",0,IF(OR(C180=Country_Comparison!$S$10:$S$29),1,0))</f>
        <v>0</v>
      </c>
      <c r="C180" s="9" t="str">
        <f t="shared" si="14"/>
        <v/>
      </c>
      <c r="D180" s="6">
        <f t="shared" si="15"/>
        <v>0</v>
      </c>
      <c r="E180" s="6">
        <f>IF(COUNTIF(I180:XFD180,"&gt;"&amp;0)=0,,HLOOKUP(COUNTIF(I180:XFD180,"&gt;"&amp;0)-1,I$1:XFD180,A180+1,FALSE))</f>
        <v>0</v>
      </c>
      <c r="F180" s="7">
        <f>IF(COUNTIF(I180:XFD180,"&gt;"&amp;0)=0,,HLOOKUP(COUNTIF(I180:XFD180,"&gt;"&amp;0)-MIN($F$1+1,COUNTIF(I180:XFD180,"&gt;"&amp;0)),I$1:XFD180,A180+1,FALSE))</f>
        <v>0</v>
      </c>
      <c r="G180" s="8">
        <f t="shared" si="16"/>
        <v>0</v>
      </c>
    </row>
    <row r="181" spans="1:7" x14ac:dyDescent="0.25">
      <c r="A181" s="9">
        <f t="shared" si="13"/>
        <v>180</v>
      </c>
      <c r="B181" s="9">
        <f t="array" ref="B181">IF(C181="",0,IF(OR(C181=Country_Comparison!$S$10:$S$29),1,0))</f>
        <v>0</v>
      </c>
      <c r="C181" s="9" t="str">
        <f t="shared" si="14"/>
        <v/>
      </c>
      <c r="D181" s="6">
        <f t="shared" si="15"/>
        <v>0</v>
      </c>
      <c r="E181" s="6">
        <f>IF(COUNTIF(I181:XFD181,"&gt;"&amp;0)=0,,HLOOKUP(COUNTIF(I181:XFD181,"&gt;"&amp;0)-1,I$1:XFD181,A181+1,FALSE))</f>
        <v>0</v>
      </c>
      <c r="F181" s="7">
        <f>IF(COUNTIF(I181:XFD181,"&gt;"&amp;0)=0,,HLOOKUP(COUNTIF(I181:XFD181,"&gt;"&amp;0)-MIN($F$1+1,COUNTIF(I181:XFD181,"&gt;"&amp;0)),I$1:XFD181,A181+1,FALSE))</f>
        <v>0</v>
      </c>
      <c r="G181" s="8">
        <f t="shared" si="16"/>
        <v>0</v>
      </c>
    </row>
    <row r="182" spans="1:7" x14ac:dyDescent="0.25">
      <c r="A182" s="9">
        <f t="shared" si="13"/>
        <v>181</v>
      </c>
      <c r="B182" s="9">
        <f t="array" ref="B182">IF(C182="",0,IF(OR(C182=Country_Comparison!$S$10:$S$29),1,0))</f>
        <v>0</v>
      </c>
      <c r="C182" s="9" t="str">
        <f t="shared" si="14"/>
        <v/>
      </c>
      <c r="D182" s="6">
        <f t="shared" si="15"/>
        <v>0</v>
      </c>
      <c r="E182" s="6">
        <f>IF(COUNTIF(I182:XFD182,"&gt;"&amp;0)=0,,HLOOKUP(COUNTIF(I182:XFD182,"&gt;"&amp;0)-1,I$1:XFD182,A182+1,FALSE))</f>
        <v>0</v>
      </c>
      <c r="F182" s="7">
        <f>IF(COUNTIF(I182:XFD182,"&gt;"&amp;0)=0,,HLOOKUP(COUNTIF(I182:XFD182,"&gt;"&amp;0)-MIN($F$1+1,COUNTIF(I182:XFD182,"&gt;"&amp;0)),I$1:XFD182,A182+1,FALSE))</f>
        <v>0</v>
      </c>
      <c r="G182" s="8">
        <f t="shared" si="16"/>
        <v>0</v>
      </c>
    </row>
    <row r="183" spans="1:7" x14ac:dyDescent="0.25">
      <c r="A183" s="9">
        <f t="shared" si="13"/>
        <v>182</v>
      </c>
      <c r="B183" s="9">
        <f t="array" ref="B183">IF(C183="",0,IF(OR(C183=Country_Comparison!$S$10:$S$29),1,0))</f>
        <v>0</v>
      </c>
      <c r="C183" s="9" t="str">
        <f t="shared" si="14"/>
        <v/>
      </c>
      <c r="D183" s="6">
        <f t="shared" si="15"/>
        <v>0</v>
      </c>
      <c r="E183" s="6">
        <f>IF(COUNTIF(I183:XFD183,"&gt;"&amp;0)=0,,HLOOKUP(COUNTIF(I183:XFD183,"&gt;"&amp;0)-1,I$1:XFD183,A183+1,FALSE))</f>
        <v>0</v>
      </c>
      <c r="F183" s="7">
        <f>IF(COUNTIF(I183:XFD183,"&gt;"&amp;0)=0,,HLOOKUP(COUNTIF(I183:XFD183,"&gt;"&amp;0)-MIN($F$1+1,COUNTIF(I183:XFD183,"&gt;"&amp;0)),I$1:XFD183,A183+1,FALSE))</f>
        <v>0</v>
      </c>
      <c r="G183" s="8">
        <f t="shared" si="16"/>
        <v>0</v>
      </c>
    </row>
    <row r="184" spans="1:7" x14ac:dyDescent="0.25">
      <c r="A184" s="9">
        <f t="shared" si="13"/>
        <v>183</v>
      </c>
      <c r="B184" s="9">
        <f t="array" ref="B184">IF(C184="",0,IF(OR(C184=Country_Comparison!$S$10:$S$29),1,0))</f>
        <v>0</v>
      </c>
      <c r="C184" s="9" t="str">
        <f t="shared" si="14"/>
        <v/>
      </c>
      <c r="D184" s="6">
        <f t="shared" si="15"/>
        <v>0</v>
      </c>
      <c r="E184" s="6">
        <f>IF(COUNTIF(I184:XFD184,"&gt;"&amp;0)=0,,HLOOKUP(COUNTIF(I184:XFD184,"&gt;"&amp;0)-1,I$1:XFD184,A184+1,FALSE))</f>
        <v>0</v>
      </c>
      <c r="F184" s="7">
        <f>IF(COUNTIF(I184:XFD184,"&gt;"&amp;0)=0,,HLOOKUP(COUNTIF(I184:XFD184,"&gt;"&amp;0)-MIN($F$1+1,COUNTIF(I184:XFD184,"&gt;"&amp;0)),I$1:XFD184,A184+1,FALSE))</f>
        <v>0</v>
      </c>
      <c r="G184" s="8">
        <f t="shared" si="16"/>
        <v>0</v>
      </c>
    </row>
    <row r="185" spans="1:7" x14ac:dyDescent="0.25">
      <c r="A185" s="9">
        <f t="shared" si="13"/>
        <v>184</v>
      </c>
      <c r="B185" s="9">
        <f t="array" ref="B185">IF(C185="",0,IF(OR(C185=Country_Comparison!$S$10:$S$29),1,0))</f>
        <v>0</v>
      </c>
      <c r="C185" s="9" t="str">
        <f t="shared" si="14"/>
        <v/>
      </c>
      <c r="D185" s="6">
        <f t="shared" si="15"/>
        <v>0</v>
      </c>
      <c r="E185" s="6">
        <f>IF(COUNTIF(I185:XFD185,"&gt;"&amp;0)=0,,HLOOKUP(COUNTIF(I185:XFD185,"&gt;"&amp;0)-1,I$1:XFD185,A185+1,FALSE))</f>
        <v>0</v>
      </c>
      <c r="F185" s="7">
        <f>IF(COUNTIF(I185:XFD185,"&gt;"&amp;0)=0,,HLOOKUP(COUNTIF(I185:XFD185,"&gt;"&amp;0)-MIN($F$1+1,COUNTIF(I185:XFD185,"&gt;"&amp;0)),I$1:XFD185,A185+1,FALSE))</f>
        <v>0</v>
      </c>
      <c r="G185" s="8">
        <f t="shared" si="16"/>
        <v>0</v>
      </c>
    </row>
    <row r="186" spans="1:7" x14ac:dyDescent="0.25">
      <c r="A186" s="9">
        <f t="shared" si="13"/>
        <v>185</v>
      </c>
      <c r="B186" s="9">
        <f t="array" ref="B186">IF(C186="",0,IF(OR(C186=Country_Comparison!$S$10:$S$29),1,0))</f>
        <v>0</v>
      </c>
      <c r="C186" s="9" t="str">
        <f t="shared" si="14"/>
        <v/>
      </c>
      <c r="D186" s="6">
        <f t="shared" si="15"/>
        <v>0</v>
      </c>
      <c r="E186" s="6">
        <f>IF(COUNTIF(I186:XFD186,"&gt;"&amp;0)=0,,HLOOKUP(COUNTIF(I186:XFD186,"&gt;"&amp;0)-1,I$1:XFD186,A186+1,FALSE))</f>
        <v>0</v>
      </c>
      <c r="F186" s="7">
        <f>IF(COUNTIF(I186:XFD186,"&gt;"&amp;0)=0,,HLOOKUP(COUNTIF(I186:XFD186,"&gt;"&amp;0)-MIN($F$1+1,COUNTIF(I186:XFD186,"&gt;"&amp;0)),I$1:XFD186,A186+1,FALSE))</f>
        <v>0</v>
      </c>
      <c r="G186" s="8">
        <f t="shared" si="16"/>
        <v>0</v>
      </c>
    </row>
    <row r="187" spans="1:7" x14ac:dyDescent="0.25">
      <c r="A187" s="9">
        <f t="shared" si="13"/>
        <v>186</v>
      </c>
      <c r="B187" s="9">
        <f t="array" ref="B187">IF(C187="",0,IF(OR(C187=Country_Comparison!$S$10:$S$29),1,0))</f>
        <v>0</v>
      </c>
      <c r="C187" s="9" t="str">
        <f t="shared" si="14"/>
        <v/>
      </c>
      <c r="D187" s="6">
        <f t="shared" si="15"/>
        <v>0</v>
      </c>
      <c r="E187" s="6">
        <f>IF(COUNTIF(I187:XFD187,"&gt;"&amp;0)=0,,HLOOKUP(COUNTIF(I187:XFD187,"&gt;"&amp;0)-1,I$1:XFD187,A187+1,FALSE))</f>
        <v>0</v>
      </c>
      <c r="F187" s="7">
        <f>IF(COUNTIF(I187:XFD187,"&gt;"&amp;0)=0,,HLOOKUP(COUNTIF(I187:XFD187,"&gt;"&amp;0)-MIN($F$1+1,COUNTIF(I187:XFD187,"&gt;"&amp;0)),I$1:XFD187,A187+1,FALSE))</f>
        <v>0</v>
      </c>
      <c r="G187" s="8">
        <f t="shared" si="16"/>
        <v>0</v>
      </c>
    </row>
    <row r="188" spans="1:7" x14ac:dyDescent="0.25">
      <c r="A188" s="9">
        <f t="shared" si="13"/>
        <v>187</v>
      </c>
      <c r="B188" s="9">
        <f t="array" ref="B188">IF(C188="",0,IF(OR(C188=Country_Comparison!$S$10:$S$29),1,0))</f>
        <v>0</v>
      </c>
      <c r="C188" s="9" t="str">
        <f t="shared" si="14"/>
        <v/>
      </c>
      <c r="D188" s="6">
        <f t="shared" si="15"/>
        <v>0</v>
      </c>
      <c r="E188" s="6">
        <f>IF(COUNTIF(I188:XFD188,"&gt;"&amp;0)=0,,HLOOKUP(COUNTIF(I188:XFD188,"&gt;"&amp;0)-1,I$1:XFD188,A188+1,FALSE))</f>
        <v>0</v>
      </c>
      <c r="F188" s="7">
        <f>IF(COUNTIF(I188:XFD188,"&gt;"&amp;0)=0,,HLOOKUP(COUNTIF(I188:XFD188,"&gt;"&amp;0)-MIN($F$1+1,COUNTIF(I188:XFD188,"&gt;"&amp;0)),I$1:XFD188,A188+1,FALSE))</f>
        <v>0</v>
      </c>
      <c r="G188" s="8">
        <f t="shared" si="16"/>
        <v>0</v>
      </c>
    </row>
    <row r="189" spans="1:7" x14ac:dyDescent="0.25">
      <c r="A189" s="9">
        <f t="shared" si="13"/>
        <v>188</v>
      </c>
      <c r="B189" s="9">
        <f t="array" ref="B189">IF(C189="",0,IF(OR(C189=Country_Comparison!$S$10:$S$29),1,0))</f>
        <v>0</v>
      </c>
      <c r="C189" s="9" t="str">
        <f t="shared" si="14"/>
        <v/>
      </c>
      <c r="D189" s="6">
        <f t="shared" si="15"/>
        <v>0</v>
      </c>
      <c r="E189" s="6">
        <f>IF(COUNTIF(I189:XFD189,"&gt;"&amp;0)=0,,HLOOKUP(COUNTIF(I189:XFD189,"&gt;"&amp;0)-1,I$1:XFD189,A189+1,FALSE))</f>
        <v>0</v>
      </c>
      <c r="F189" s="7">
        <f>IF(COUNTIF(I189:XFD189,"&gt;"&amp;0)=0,,HLOOKUP(COUNTIF(I189:XFD189,"&gt;"&amp;0)-MIN($F$1+1,COUNTIF(I189:XFD189,"&gt;"&amp;0)),I$1:XFD189,A189+1,FALSE))</f>
        <v>0</v>
      </c>
      <c r="G189" s="8">
        <f t="shared" si="16"/>
        <v>0</v>
      </c>
    </row>
    <row r="190" spans="1:7" x14ac:dyDescent="0.25">
      <c r="A190" s="9">
        <f t="shared" si="13"/>
        <v>189</v>
      </c>
      <c r="B190" s="9">
        <f t="array" ref="B190">IF(C190="",0,IF(OR(C190=Country_Comparison!$S$10:$S$29),1,0))</f>
        <v>0</v>
      </c>
      <c r="C190" s="9" t="str">
        <f t="shared" si="14"/>
        <v/>
      </c>
      <c r="D190" s="6">
        <f t="shared" si="15"/>
        <v>0</v>
      </c>
      <c r="E190" s="6">
        <f>IF(COUNTIF(I190:XFD190,"&gt;"&amp;0)=0,,HLOOKUP(COUNTIF(I190:XFD190,"&gt;"&amp;0)-1,I$1:XFD190,A190+1,FALSE))</f>
        <v>0</v>
      </c>
      <c r="F190" s="7">
        <f>IF(COUNTIF(I190:XFD190,"&gt;"&amp;0)=0,,HLOOKUP(COUNTIF(I190:XFD190,"&gt;"&amp;0)-MIN($F$1+1,COUNTIF(I190:XFD190,"&gt;"&amp;0)),I$1:XFD190,A190+1,FALSE))</f>
        <v>0</v>
      </c>
      <c r="G190" s="8">
        <f t="shared" si="16"/>
        <v>0</v>
      </c>
    </row>
    <row r="191" spans="1:7" x14ac:dyDescent="0.25">
      <c r="A191" s="9">
        <f t="shared" si="13"/>
        <v>190</v>
      </c>
      <c r="B191" s="9">
        <f t="array" ref="B191">IF(C191="",0,IF(OR(C191=Country_Comparison!$S$10:$S$29),1,0))</f>
        <v>0</v>
      </c>
      <c r="C191" s="9" t="str">
        <f t="shared" si="14"/>
        <v/>
      </c>
      <c r="D191" s="6">
        <f t="shared" si="15"/>
        <v>0</v>
      </c>
      <c r="E191" s="6">
        <f>IF(COUNTIF(I191:XFD191,"&gt;"&amp;0)=0,,HLOOKUP(COUNTIF(I191:XFD191,"&gt;"&amp;0)-1,I$1:XFD191,A191+1,FALSE))</f>
        <v>0</v>
      </c>
      <c r="F191" s="7">
        <f>IF(COUNTIF(I191:XFD191,"&gt;"&amp;0)=0,,HLOOKUP(COUNTIF(I191:XFD191,"&gt;"&amp;0)-MIN($F$1+1,COUNTIF(I191:XFD191,"&gt;"&amp;0)),I$1:XFD191,A191+1,FALSE))</f>
        <v>0</v>
      </c>
      <c r="G191" s="8">
        <f t="shared" si="16"/>
        <v>0</v>
      </c>
    </row>
    <row r="192" spans="1:7" x14ac:dyDescent="0.25">
      <c r="A192" s="9">
        <f t="shared" si="13"/>
        <v>191</v>
      </c>
      <c r="B192" s="9">
        <f t="array" ref="B192">IF(C192="",0,IF(OR(C192=Country_Comparison!$S$10:$S$29),1,0))</f>
        <v>0</v>
      </c>
      <c r="C192" s="9" t="str">
        <f t="shared" si="14"/>
        <v/>
      </c>
      <c r="D192" s="6">
        <f t="shared" si="15"/>
        <v>0</v>
      </c>
      <c r="E192" s="6">
        <f>IF(COUNTIF(I192:XFD192,"&gt;"&amp;0)=0,,HLOOKUP(COUNTIF(I192:XFD192,"&gt;"&amp;0)-1,I$1:XFD192,A192+1,FALSE))</f>
        <v>0</v>
      </c>
      <c r="F192" s="7">
        <f>IF(COUNTIF(I192:XFD192,"&gt;"&amp;0)=0,,HLOOKUP(COUNTIF(I192:XFD192,"&gt;"&amp;0)-MIN($F$1+1,COUNTIF(I192:XFD192,"&gt;"&amp;0)),I$1:XFD192,A192+1,FALSE))</f>
        <v>0</v>
      </c>
      <c r="G192" s="8">
        <f t="shared" si="16"/>
        <v>0</v>
      </c>
    </row>
    <row r="193" spans="1:7" x14ac:dyDescent="0.25">
      <c r="A193" s="9">
        <f t="shared" si="13"/>
        <v>192</v>
      </c>
      <c r="B193" s="9">
        <f t="array" ref="B193">IF(C193="",0,IF(OR(C193=Country_Comparison!$S$10:$S$29),1,0))</f>
        <v>0</v>
      </c>
      <c r="C193" s="9" t="str">
        <f t="shared" si="14"/>
        <v/>
      </c>
      <c r="D193" s="6">
        <f t="shared" si="15"/>
        <v>0</v>
      </c>
      <c r="E193" s="6">
        <f>IF(COUNTIF(I193:XFD193,"&gt;"&amp;0)=0,,HLOOKUP(COUNTIF(I193:XFD193,"&gt;"&amp;0)-1,I$1:XFD193,A193+1,FALSE))</f>
        <v>0</v>
      </c>
      <c r="F193" s="7">
        <f>IF(COUNTIF(I193:XFD193,"&gt;"&amp;0)=0,,HLOOKUP(COUNTIF(I193:XFD193,"&gt;"&amp;0)-MIN($F$1+1,COUNTIF(I193:XFD193,"&gt;"&amp;0)),I$1:XFD193,A193+1,FALSE))</f>
        <v>0</v>
      </c>
      <c r="G193" s="8">
        <f t="shared" si="16"/>
        <v>0</v>
      </c>
    </row>
    <row r="194" spans="1:7" x14ac:dyDescent="0.25">
      <c r="A194" s="9">
        <f t="shared" si="13"/>
        <v>193</v>
      </c>
      <c r="B194" s="9">
        <f t="array" ref="B194">IF(C194="",0,IF(OR(C194=Country_Comparison!$S$10:$S$29),1,0))</f>
        <v>0</v>
      </c>
      <c r="C194" s="9" t="str">
        <f t="shared" si="14"/>
        <v/>
      </c>
      <c r="D194" s="6">
        <f t="shared" si="15"/>
        <v>0</v>
      </c>
      <c r="E194" s="6">
        <f>IF(COUNTIF(I194:XFD194,"&gt;"&amp;0)=0,,HLOOKUP(COUNTIF(I194:XFD194,"&gt;"&amp;0)-1,I$1:XFD194,A194+1,FALSE))</f>
        <v>0</v>
      </c>
      <c r="F194" s="7">
        <f>IF(COUNTIF(I194:XFD194,"&gt;"&amp;0)=0,,HLOOKUP(COUNTIF(I194:XFD194,"&gt;"&amp;0)-MIN($F$1+1,COUNTIF(I194:XFD194,"&gt;"&amp;0)),I$1:XFD194,A194+1,FALSE))</f>
        <v>0</v>
      </c>
      <c r="G194" s="8">
        <f t="shared" si="16"/>
        <v>0</v>
      </c>
    </row>
    <row r="195" spans="1:7" x14ac:dyDescent="0.25">
      <c r="A195" s="9">
        <f t="shared" si="13"/>
        <v>194</v>
      </c>
      <c r="B195" s="9">
        <f t="array" ref="B195">IF(C195="",0,IF(OR(C195=Country_Comparison!$S$10:$S$29),1,0))</f>
        <v>0</v>
      </c>
      <c r="C195" s="9" t="str">
        <f t="shared" si="14"/>
        <v/>
      </c>
      <c r="D195" s="6">
        <f t="shared" si="15"/>
        <v>0</v>
      </c>
      <c r="E195" s="6">
        <f>IF(COUNTIF(I195:XFD195,"&gt;"&amp;0)=0,,HLOOKUP(COUNTIF(I195:XFD195,"&gt;"&amp;0)-1,I$1:XFD195,A195+1,FALSE))</f>
        <v>0</v>
      </c>
      <c r="F195" s="7">
        <f>IF(COUNTIF(I195:XFD195,"&gt;"&amp;0)=0,,HLOOKUP(COUNTIF(I195:XFD195,"&gt;"&amp;0)-MIN($F$1+1,COUNTIF(I195:XFD195,"&gt;"&amp;0)),I$1:XFD195,A195+1,FALSE))</f>
        <v>0</v>
      </c>
      <c r="G195" s="8">
        <f t="shared" si="16"/>
        <v>0</v>
      </c>
    </row>
    <row r="196" spans="1:7" x14ac:dyDescent="0.25">
      <c r="A196" s="9">
        <f t="shared" si="13"/>
        <v>195</v>
      </c>
      <c r="B196" s="9">
        <f t="array" ref="B196">IF(C196="",0,IF(OR(C196=Country_Comparison!$S$10:$S$29),1,0))</f>
        <v>0</v>
      </c>
      <c r="C196" s="9" t="str">
        <f t="shared" si="14"/>
        <v/>
      </c>
      <c r="D196" s="6">
        <f t="shared" si="15"/>
        <v>0</v>
      </c>
      <c r="E196" s="6">
        <f>IF(COUNTIF(I196:XFD196,"&gt;"&amp;0)=0,,HLOOKUP(COUNTIF(I196:XFD196,"&gt;"&amp;0)-1,I$1:XFD196,A196+1,FALSE))</f>
        <v>0</v>
      </c>
      <c r="F196" s="7">
        <f>IF(COUNTIF(I196:XFD196,"&gt;"&amp;0)=0,,HLOOKUP(COUNTIF(I196:XFD196,"&gt;"&amp;0)-MIN($F$1+1,COUNTIF(I196:XFD196,"&gt;"&amp;0)),I$1:XFD196,A196+1,FALSE))</f>
        <v>0</v>
      </c>
      <c r="G196" s="8">
        <f t="shared" si="16"/>
        <v>0</v>
      </c>
    </row>
    <row r="197" spans="1:7" x14ac:dyDescent="0.25">
      <c r="A197" s="9">
        <f t="shared" si="13"/>
        <v>196</v>
      </c>
      <c r="B197" s="9">
        <f t="array" ref="B197">IF(C197="",0,IF(OR(C197=Country_Comparison!$S$10:$S$29),1,0))</f>
        <v>0</v>
      </c>
      <c r="C197" s="9" t="str">
        <f t="shared" si="14"/>
        <v/>
      </c>
      <c r="D197" s="6">
        <f t="shared" si="15"/>
        <v>0</v>
      </c>
      <c r="E197" s="6">
        <f>IF(COUNTIF(I197:XFD197,"&gt;"&amp;0)=0,,HLOOKUP(COUNTIF(I197:XFD197,"&gt;"&amp;0)-1,I$1:XFD197,A197+1,FALSE))</f>
        <v>0</v>
      </c>
      <c r="F197" s="7">
        <f>IF(COUNTIF(I197:XFD197,"&gt;"&amp;0)=0,,HLOOKUP(COUNTIF(I197:XFD197,"&gt;"&amp;0)-MIN($F$1+1,COUNTIF(I197:XFD197,"&gt;"&amp;0)),I$1:XFD197,A197+1,FALSE))</f>
        <v>0</v>
      </c>
      <c r="G197" s="8">
        <f t="shared" si="16"/>
        <v>0</v>
      </c>
    </row>
    <row r="198" spans="1:7" x14ac:dyDescent="0.25">
      <c r="A198" s="9">
        <f t="shared" ref="A198:A200" si="17">A197+1</f>
        <v>197</v>
      </c>
      <c r="B198" s="9">
        <f t="array" ref="B198">IF(C198="",0,IF(OR(C198=Country_Comparison!$S$10:$S$29),1,0))</f>
        <v>0</v>
      </c>
      <c r="C198" s="9" t="str">
        <f t="shared" ref="C198:C200" si="18">IF(H198="","",H198)</f>
        <v/>
      </c>
      <c r="D198" s="6">
        <f t="shared" ref="D198:D200" si="19">MAX(I198:BD198)</f>
        <v>0</v>
      </c>
      <c r="E198" s="6">
        <f>IF(COUNTIF(I198:XFD198,"&gt;"&amp;0)=0,,HLOOKUP(COUNTIF(I198:XFD198,"&gt;"&amp;0)-1,I$1:XFD198,A198+1,FALSE))</f>
        <v>0</v>
      </c>
      <c r="F198" s="7">
        <f>IF(COUNTIF(I198:XFD198,"&gt;"&amp;0)=0,,HLOOKUP(COUNTIF(I198:XFD198,"&gt;"&amp;0)-MIN($F$1+1,COUNTIF(I198:XFD198,"&gt;"&amp;0)),I$1:XFD198,A198+1,FALSE))</f>
        <v>0</v>
      </c>
      <c r="G198" s="8">
        <f t="shared" ref="G198:G200" si="20">IF(COUNTIF(I198:XFD198,"&gt;"&amp;0)=0,,(E198/F198)^(1/MIN(COUNTIF(I198:XFD198,"&gt;"&amp;0)-1,$F$1)))</f>
        <v>0</v>
      </c>
    </row>
    <row r="199" spans="1:7" x14ac:dyDescent="0.25">
      <c r="A199" s="9">
        <f t="shared" si="17"/>
        <v>198</v>
      </c>
      <c r="B199" s="9">
        <f t="array" ref="B199">IF(C199="",0,IF(OR(C199=Country_Comparison!$S$10:$S$29),1,0))</f>
        <v>0</v>
      </c>
      <c r="C199" s="9" t="str">
        <f t="shared" si="18"/>
        <v/>
      </c>
      <c r="D199" s="6">
        <f t="shared" si="19"/>
        <v>0</v>
      </c>
      <c r="E199" s="6">
        <f>IF(COUNTIF(I199:XFD199,"&gt;"&amp;0)=0,,HLOOKUP(COUNTIF(I199:XFD199,"&gt;"&amp;0)-1,I$1:XFD199,A199+1,FALSE))</f>
        <v>0</v>
      </c>
      <c r="F199" s="7">
        <f>IF(COUNTIF(I199:XFD199,"&gt;"&amp;0)=0,,HLOOKUP(COUNTIF(I199:XFD199,"&gt;"&amp;0)-MIN($F$1+1,COUNTIF(I199:XFD199,"&gt;"&amp;0)),I$1:XFD199,A199+1,FALSE))</f>
        <v>0</v>
      </c>
      <c r="G199" s="8">
        <f t="shared" si="20"/>
        <v>0</v>
      </c>
    </row>
    <row r="200" spans="1:7" x14ac:dyDescent="0.25">
      <c r="A200" s="9">
        <f t="shared" si="17"/>
        <v>199</v>
      </c>
      <c r="B200" s="9">
        <f t="array" ref="B200">IF(C200="",0,IF(OR(C200=Country_Comparison!$S$10:$S$29),1,0))</f>
        <v>0</v>
      </c>
      <c r="C200" s="9" t="str">
        <f t="shared" si="18"/>
        <v/>
      </c>
      <c r="D200" s="6">
        <f t="shared" si="19"/>
        <v>0</v>
      </c>
      <c r="E200" s="6">
        <f>IF(COUNTIF(I200:XFD200,"&gt;"&amp;0)=0,,HLOOKUP(COUNTIF(I200:XFD200,"&gt;"&amp;0)-1,I$1:XFD200,A200+1,FALSE))</f>
        <v>0</v>
      </c>
      <c r="F200" s="7">
        <f>IF(COUNTIF(I200:XFD200,"&gt;"&amp;0)=0,,HLOOKUP(COUNTIF(I200:XFD200,"&gt;"&amp;0)-MIN($F$1+1,COUNTIF(I200:XFD200,"&gt;"&amp;0)),I$1:XFD200,A200+1,FALSE))</f>
        <v>0</v>
      </c>
      <c r="G200" s="8">
        <f t="shared" si="20"/>
        <v>0</v>
      </c>
    </row>
  </sheetData>
  <autoFilter ref="A1:KU1" xr:uid="{4F235B05-73C8-43FB-A2BA-76D993DAF46A}">
    <sortState xmlns:xlrd2="http://schemas.microsoft.com/office/spreadsheetml/2017/richdata2" ref="A2:KU129">
      <sortCondition descending="1" ref="B1:B100"/>
    </sortState>
  </autoFilter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8443F-B311-495A-A2FF-ABFDE812567C}">
  <sheetPr codeName="Sheet7">
    <tabColor rgb="FFFFC000"/>
  </sheetPr>
  <dimension ref="A1:Q134"/>
  <sheetViews>
    <sheetView topLeftCell="A126" workbookViewId="0">
      <selection activeCell="J128" sqref="J128:J133"/>
    </sheetView>
  </sheetViews>
  <sheetFormatPr defaultRowHeight="14.4" x14ac:dyDescent="0.3"/>
  <cols>
    <col min="1" max="3" width="8.88671875" style="52"/>
    <col min="4" max="5" width="10.5546875" style="52" bestFit="1" customWidth="1"/>
    <col min="6" max="7" width="8.88671875" style="52"/>
    <col min="8" max="8" width="17.77734375" style="52" bestFit="1" customWidth="1"/>
    <col min="9" max="9" width="10.5546875" style="52" bestFit="1" customWidth="1"/>
    <col min="10" max="10" width="13.77734375" style="41" bestFit="1" customWidth="1"/>
    <col min="11" max="11" width="8.88671875" style="52"/>
    <col min="12" max="12" width="10.33203125" style="52" bestFit="1" customWidth="1"/>
    <col min="13" max="14" width="8.88671875" style="52"/>
    <col min="15" max="15" width="10.5546875" style="52" bestFit="1" customWidth="1"/>
    <col min="16" max="16384" width="8.88671875" style="52"/>
  </cols>
  <sheetData>
    <row r="1" spans="1:17" x14ac:dyDescent="0.3">
      <c r="C1" s="52" t="s">
        <v>477</v>
      </c>
      <c r="D1" s="52">
        <v>100</v>
      </c>
      <c r="E1" s="52" t="s">
        <v>487</v>
      </c>
      <c r="F1" s="52" t="s">
        <v>450</v>
      </c>
      <c r="G1" s="52" t="s">
        <v>509</v>
      </c>
      <c r="H1" s="52" t="s">
        <v>504</v>
      </c>
      <c r="I1" s="52" t="s">
        <v>501</v>
      </c>
      <c r="J1" s="41" t="s">
        <v>571</v>
      </c>
      <c r="K1" s="52" t="s">
        <v>513</v>
      </c>
      <c r="L1" s="52" t="s">
        <v>465</v>
      </c>
      <c r="M1" s="52" t="s">
        <v>517</v>
      </c>
      <c r="N1" s="52">
        <v>10</v>
      </c>
      <c r="O1" s="52" t="s">
        <v>572</v>
      </c>
      <c r="P1" s="52" t="s">
        <v>573</v>
      </c>
      <c r="Q1" s="52" t="s">
        <v>607</v>
      </c>
    </row>
    <row r="2" spans="1:17" x14ac:dyDescent="0.3">
      <c r="A2" s="52">
        <v>1</v>
      </c>
      <c r="B2" s="55" t="s">
        <v>337</v>
      </c>
      <c r="C2" s="55" t="s">
        <v>337</v>
      </c>
      <c r="D2" s="52">
        <v>548</v>
      </c>
      <c r="E2" s="56">
        <f ca="1">OFFSET(CumulativeConfirmed!A2,-A2,MATCH(Country_Data!D2,CumulativeConfirmed!B2:BU2,0))</f>
        <v>43852</v>
      </c>
      <c r="F2" s="41">
        <f>MAX(CumulativeConfirmed!2:2)</f>
        <v>81999</v>
      </c>
      <c r="G2" s="41">
        <f>MAX(CumulativeDead!2:2)</f>
        <v>3299</v>
      </c>
      <c r="H2" s="56">
        <v>43853</v>
      </c>
      <c r="I2" s="56">
        <v>43853</v>
      </c>
      <c r="J2" s="41">
        <v>1439323776</v>
      </c>
      <c r="K2" s="52">
        <v>3.6</v>
      </c>
      <c r="L2" s="41">
        <v>51815.655936000003</v>
      </c>
      <c r="M2" s="69">
        <f t="shared" ref="M2:M33" si="0">G2/F2</f>
        <v>4.0232197953633579E-2</v>
      </c>
      <c r="N2" s="52">
        <v>17</v>
      </c>
      <c r="O2" s="56">
        <f ca="1">OFFSET(CumulativeDead!B2,-A2,MATCH(Country_Data!N2,CumulativeDead!C2:BU2,0))</f>
        <v>43852</v>
      </c>
      <c r="P2" s="52">
        <f t="shared" ref="P2:P33" ca="1" si="1">O2-E2</f>
        <v>0</v>
      </c>
      <c r="Q2" s="52" t="s">
        <v>608</v>
      </c>
    </row>
    <row r="3" spans="1:17" x14ac:dyDescent="0.3">
      <c r="A3" s="52">
        <v>2</v>
      </c>
      <c r="B3" s="55" t="s">
        <v>58</v>
      </c>
      <c r="C3" s="55" t="s">
        <v>58</v>
      </c>
      <c r="D3" s="52">
        <f>VLOOKUP(C3,Days_Since_100!H:I,2,FALSE)</f>
        <v>155</v>
      </c>
      <c r="E3" s="56">
        <f ca="1">OFFSET(CumulativeConfirmed!A3,-A3,MATCH(Country_Data!D3,CumulativeConfirmed!B3:BU3,0))</f>
        <v>43884</v>
      </c>
      <c r="F3" s="41">
        <f>MAX(CumulativeConfirmed!3:3)</f>
        <v>92472</v>
      </c>
      <c r="G3" s="41">
        <f>MAX(CumulativeDead!3:3)</f>
        <v>10023</v>
      </c>
      <c r="H3" s="56">
        <v>43899</v>
      </c>
      <c r="I3" s="56">
        <v>43886</v>
      </c>
      <c r="J3" s="41">
        <v>60461826</v>
      </c>
      <c r="K3" s="52">
        <v>12.5</v>
      </c>
      <c r="L3" s="41">
        <v>7557.7282499999992</v>
      </c>
      <c r="M3" s="69">
        <f t="shared" si="0"/>
        <v>0.10838956657150273</v>
      </c>
      <c r="N3" s="52">
        <f>VLOOKUP(C3,Deaths_since_10!H:I,2,FALSE)</f>
        <v>10</v>
      </c>
      <c r="O3" s="56">
        <f ca="1">OFFSET(CumulativeDead!B3,-A3,MATCH(Country_Data!N3,CumulativeDead!C3:BU3,0))</f>
        <v>43886</v>
      </c>
      <c r="P3" s="52">
        <f t="shared" ca="1" si="1"/>
        <v>2</v>
      </c>
      <c r="Q3" s="52" t="s">
        <v>609</v>
      </c>
    </row>
    <row r="4" spans="1:17" x14ac:dyDescent="0.3">
      <c r="A4" s="52">
        <v>3</v>
      </c>
      <c r="B4" s="55" t="s">
        <v>338</v>
      </c>
      <c r="C4" s="55" t="s">
        <v>338</v>
      </c>
      <c r="D4" s="52">
        <f>VLOOKUP(C4,Days_Since_100!H:I,2,FALSE)</f>
        <v>139</v>
      </c>
      <c r="E4" s="56">
        <f ca="1">OFFSET(CumulativeConfirmed!A4,-A4,MATCH(Country_Data!D4,CumulativeConfirmed!B4:BU4,0))</f>
        <v>43887</v>
      </c>
      <c r="F4" s="41">
        <f>MAX(CumulativeConfirmed!4:4)</f>
        <v>35408</v>
      </c>
      <c r="G4" s="41">
        <f>MAX(CumulativeDead!4:4)</f>
        <v>2517</v>
      </c>
      <c r="J4" s="41">
        <v>83992949</v>
      </c>
      <c r="K4" s="52">
        <v>0</v>
      </c>
      <c r="L4" s="41">
        <v>0</v>
      </c>
      <c r="M4" s="69">
        <f t="shared" si="0"/>
        <v>7.1085630366018976E-2</v>
      </c>
      <c r="N4" s="52">
        <f>VLOOKUP(C4,Deaths_since_10!H:I,2,FALSE)</f>
        <v>8</v>
      </c>
      <c r="O4" s="56">
        <f ca="1">OFFSET(CumulativeDead!B4,-A4,MATCH(Country_Data!N4,CumulativeDead!C4:BU4,0))</f>
        <v>43884</v>
      </c>
      <c r="P4" s="52">
        <f t="shared" ca="1" si="1"/>
        <v>-3</v>
      </c>
      <c r="Q4" s="52" t="s">
        <v>610</v>
      </c>
    </row>
    <row r="5" spans="1:17" x14ac:dyDescent="0.3">
      <c r="A5" s="52">
        <v>4</v>
      </c>
      <c r="B5" s="55" t="s">
        <v>476</v>
      </c>
      <c r="C5" s="55" t="s">
        <v>339</v>
      </c>
      <c r="D5" s="52">
        <f>VLOOKUP(C5,Days_Since_100!H:I,2,FALSE)</f>
        <v>104</v>
      </c>
      <c r="E5" s="56">
        <f ca="1">OFFSET(CumulativeConfirmed!A5,-A5,MATCH(Country_Data!D5,CumulativeConfirmed!B5:BU5,0))</f>
        <v>43881</v>
      </c>
      <c r="F5" s="41">
        <f>MAX(CumulativeConfirmed!5:5)</f>
        <v>9478</v>
      </c>
      <c r="G5" s="41">
        <f>MAX(CumulativeDead!5:5)</f>
        <v>144</v>
      </c>
      <c r="H5" s="56">
        <v>43882</v>
      </c>
      <c r="I5" s="56">
        <v>43881</v>
      </c>
      <c r="J5" s="41">
        <v>51269185</v>
      </c>
      <c r="K5" s="52">
        <v>10.6</v>
      </c>
      <c r="L5" s="41">
        <v>5434.5336100000004</v>
      </c>
      <c r="M5" s="69">
        <f t="shared" si="0"/>
        <v>1.519307870858831E-2</v>
      </c>
      <c r="N5" s="52">
        <f>VLOOKUP(C5,Deaths_since_10!H:I,2,FALSE)</f>
        <v>8</v>
      </c>
      <c r="O5" s="56">
        <f ca="1">OFFSET(CumulativeDead!B5,-A5,MATCH(Country_Data!N5,CumulativeDead!C5:BU5,0))</f>
        <v>43885</v>
      </c>
      <c r="P5" s="52">
        <f t="shared" ca="1" si="1"/>
        <v>4</v>
      </c>
      <c r="Q5" s="52" t="s">
        <v>608</v>
      </c>
    </row>
    <row r="6" spans="1:17" x14ac:dyDescent="0.3">
      <c r="A6" s="52">
        <v>5</v>
      </c>
      <c r="B6" s="55" t="s">
        <v>60</v>
      </c>
      <c r="C6" s="55" t="s">
        <v>60</v>
      </c>
      <c r="D6" s="52">
        <f>VLOOKUP(C6,Days_Since_100!H:I,2,FALSE)</f>
        <v>120</v>
      </c>
      <c r="E6" s="56">
        <f ca="1">OFFSET(CumulativeConfirmed!A6,-A6,MATCH(Country_Data!D6,CumulativeConfirmed!B6:BU6,0))</f>
        <v>43892</v>
      </c>
      <c r="F6" s="41">
        <f>MAX(CumulativeConfirmed!6:6)</f>
        <v>73235</v>
      </c>
      <c r="G6" s="41">
        <f>MAX(CumulativeDead!6:6)</f>
        <v>5982</v>
      </c>
      <c r="H6" s="56">
        <v>43905</v>
      </c>
      <c r="I6" s="56">
        <v>43900</v>
      </c>
      <c r="J6" s="41">
        <v>46754778</v>
      </c>
      <c r="K6" s="52">
        <v>9.6999999999999993</v>
      </c>
      <c r="L6" s="41">
        <v>4535.2134659999992</v>
      </c>
      <c r="M6" s="69">
        <f t="shared" si="0"/>
        <v>8.1682255752031127E-2</v>
      </c>
      <c r="N6" s="52">
        <f>VLOOKUP(C6,Deaths_since_10!H:I,2,FALSE)</f>
        <v>10</v>
      </c>
      <c r="O6" s="56">
        <f ca="1">OFFSET(CumulativeDead!B6,-A6,MATCH(Country_Data!N6,CumulativeDead!C6:BU6,0))</f>
        <v>43897</v>
      </c>
      <c r="P6" s="52">
        <f t="shared" ca="1" si="1"/>
        <v>5</v>
      </c>
      <c r="Q6" s="52" t="s">
        <v>609</v>
      </c>
    </row>
    <row r="7" spans="1:17" x14ac:dyDescent="0.3">
      <c r="A7" s="52">
        <v>6</v>
      </c>
      <c r="B7" s="55" t="s">
        <v>53</v>
      </c>
      <c r="C7" s="55" t="s">
        <v>53</v>
      </c>
      <c r="D7" s="52">
        <f>VLOOKUP(C7,Days_Since_100!H:I,2,FALSE)</f>
        <v>130</v>
      </c>
      <c r="E7" s="56">
        <f ca="1">OFFSET(CumulativeConfirmed!A7,-A7,MATCH(Country_Data!D7,CumulativeConfirmed!B7:BU7,0))</f>
        <v>43891</v>
      </c>
      <c r="F7" s="41">
        <f>MAX(CumulativeConfirmed!7:7)</f>
        <v>57695</v>
      </c>
      <c r="G7" s="41">
        <f>MAX(CumulativeDead!7:7)</f>
        <v>433</v>
      </c>
      <c r="H7" s="56">
        <v>43907</v>
      </c>
      <c r="I7" s="56">
        <v>43900</v>
      </c>
      <c r="J7" s="41">
        <v>83783942</v>
      </c>
      <c r="K7" s="52">
        <v>29.2</v>
      </c>
      <c r="L7" s="41">
        <v>24464.911064</v>
      </c>
      <c r="M7" s="69">
        <f t="shared" si="0"/>
        <v>7.5049831007886298E-3</v>
      </c>
      <c r="N7" s="52">
        <f>VLOOKUP(C7,Deaths_since_10!H:I,2,FALSE)</f>
        <v>9</v>
      </c>
      <c r="O7" s="56">
        <f ca="1">OFFSET(CumulativeDead!B7,-A7,MATCH(Country_Data!N7,CumulativeDead!C7:BU7,0))</f>
        <v>43904</v>
      </c>
      <c r="P7" s="52">
        <f t="shared" ca="1" si="1"/>
        <v>13</v>
      </c>
      <c r="Q7" s="52" t="s">
        <v>609</v>
      </c>
    </row>
    <row r="8" spans="1:17" x14ac:dyDescent="0.3">
      <c r="A8" s="52">
        <v>7</v>
      </c>
      <c r="B8" s="55" t="s">
        <v>41</v>
      </c>
      <c r="C8" s="55" t="s">
        <v>41</v>
      </c>
      <c r="D8" s="52">
        <f>VLOOKUP(C8,Days_Since_100!H:I,2,FALSE)</f>
        <v>100</v>
      </c>
      <c r="E8" s="56">
        <f ca="1">OFFSET(CumulativeConfirmed!A8,-A8,MATCH(Country_Data!D8,CumulativeConfirmed!B8:BU8,0))</f>
        <v>43890</v>
      </c>
      <c r="F8" s="41">
        <f>MAX(CumulativeConfirmed!8:8)</f>
        <v>38105</v>
      </c>
      <c r="G8" s="41">
        <f>MAX(CumulativeDead!8:8)</f>
        <v>2317</v>
      </c>
      <c r="H8" s="56">
        <v>43907</v>
      </c>
      <c r="I8" s="56">
        <v>43900</v>
      </c>
      <c r="J8" s="41">
        <v>65273511</v>
      </c>
      <c r="K8" s="52">
        <v>11.6</v>
      </c>
      <c r="L8" s="41">
        <v>7571.7272759999996</v>
      </c>
      <c r="M8" s="69">
        <f t="shared" si="0"/>
        <v>6.0805668547434723E-2</v>
      </c>
      <c r="N8" s="52">
        <f>VLOOKUP(C8,Deaths_since_10!H:I,2,FALSE)</f>
        <v>9</v>
      </c>
      <c r="O8" s="56">
        <f ca="1">OFFSET(CumulativeDead!B8,-A8,MATCH(Country_Data!N8,CumulativeDead!C8:BU8,0))</f>
        <v>43896</v>
      </c>
      <c r="P8" s="52">
        <f t="shared" ca="1" si="1"/>
        <v>6</v>
      </c>
      <c r="Q8" s="52" t="s">
        <v>609</v>
      </c>
    </row>
    <row r="9" spans="1:17" x14ac:dyDescent="0.3">
      <c r="A9" s="52">
        <v>8</v>
      </c>
      <c r="B9" s="55" t="s">
        <v>38</v>
      </c>
      <c r="C9" s="55" t="s">
        <v>38</v>
      </c>
      <c r="D9" s="52">
        <f>VLOOKUP(C9,Days_Since_100!H:I,2,FALSE)</f>
        <v>118</v>
      </c>
      <c r="E9" s="56">
        <f ca="1">OFFSET(CumulativeConfirmed!A9,-A9,MATCH(Country_Data!D9,CumulativeConfirmed!B9:BU9,0))</f>
        <v>43893</v>
      </c>
      <c r="F9" s="41">
        <f>MAX(CumulativeConfirmed!9:9)</f>
        <v>121478</v>
      </c>
      <c r="G9" s="41">
        <f>MAX(CumulativeDead!9:9)</f>
        <v>2026</v>
      </c>
      <c r="I9" s="56">
        <v>43904</v>
      </c>
      <c r="J9" s="41">
        <v>331002651</v>
      </c>
      <c r="K9" s="52">
        <v>29.3</v>
      </c>
      <c r="L9" s="41">
        <v>96983.776743000009</v>
      </c>
      <c r="M9" s="69">
        <f t="shared" si="0"/>
        <v>1.6677916989084444E-2</v>
      </c>
      <c r="N9" s="52">
        <f>VLOOKUP(C9,Deaths_since_10!H:I,2,FALSE)</f>
        <v>11</v>
      </c>
      <c r="O9" s="56">
        <f ca="1">OFFSET(CumulativeDead!B9,-A9,MATCH(Country_Data!N9,CumulativeDead!C9:BU9,0))</f>
        <v>43894</v>
      </c>
      <c r="P9" s="52">
        <f t="shared" ca="1" si="1"/>
        <v>1</v>
      </c>
      <c r="Q9" s="52" t="s">
        <v>611</v>
      </c>
    </row>
    <row r="10" spans="1:17" x14ac:dyDescent="0.3">
      <c r="A10" s="52">
        <v>9</v>
      </c>
      <c r="B10" s="55" t="s">
        <v>77</v>
      </c>
      <c r="C10" s="55" t="s">
        <v>77</v>
      </c>
      <c r="D10" s="52">
        <f>VLOOKUP(C10,Days_Since_100!H:I,2,FALSE)</f>
        <v>114</v>
      </c>
      <c r="E10" s="56">
        <f ca="1">OFFSET(CumulativeConfirmed!A10,-A10,MATCH(Country_Data!D10,CumulativeConfirmed!B10:BU10,0))</f>
        <v>43895</v>
      </c>
      <c r="F10" s="41">
        <f>MAX(CumulativeConfirmed!10:10)</f>
        <v>14076</v>
      </c>
      <c r="G10" s="41">
        <f>MAX(CumulativeDead!10:10)</f>
        <v>264</v>
      </c>
      <c r="H10" s="56">
        <v>43903</v>
      </c>
      <c r="I10" s="56">
        <v>43903</v>
      </c>
      <c r="J10" s="41">
        <v>8654622</v>
      </c>
      <c r="K10" s="52">
        <v>11</v>
      </c>
      <c r="L10" s="41">
        <v>952.00842000000011</v>
      </c>
      <c r="M10" s="69">
        <f t="shared" si="0"/>
        <v>1.8755328218243821E-2</v>
      </c>
      <c r="N10" s="52">
        <f>VLOOKUP(C10,Deaths_since_10!H:I,2,FALSE)</f>
        <v>11</v>
      </c>
      <c r="O10" s="56">
        <f ca="1">OFFSET(CumulativeDead!B10,-A10,MATCH(Country_Data!N10,CumulativeDead!C10:BU10,0))</f>
        <v>43903</v>
      </c>
      <c r="P10" s="52">
        <f t="shared" ca="1" si="1"/>
        <v>8</v>
      </c>
      <c r="Q10" s="52" t="s">
        <v>609</v>
      </c>
    </row>
    <row r="11" spans="1:17" x14ac:dyDescent="0.3">
      <c r="A11" s="52">
        <v>10</v>
      </c>
      <c r="B11" s="55" t="s">
        <v>85</v>
      </c>
      <c r="C11" s="55" t="s">
        <v>85</v>
      </c>
      <c r="D11" s="52">
        <f>VLOOKUP(C11,Days_Since_100!H:I,2,FALSE)</f>
        <v>108</v>
      </c>
      <c r="E11" s="56">
        <f ca="1">OFFSET(CumulativeConfirmed!A11,-A11,MATCH(Country_Data!D11,CumulativeConfirmed!B11:BU11,0))</f>
        <v>43896</v>
      </c>
      <c r="F11" s="41">
        <f>MAX(CumulativeConfirmed!11:11)</f>
        <v>4015</v>
      </c>
      <c r="G11" s="41">
        <f>MAX(CumulativeDead!11:11)</f>
        <v>23</v>
      </c>
      <c r="H11" s="56">
        <v>43902</v>
      </c>
      <c r="I11" s="56">
        <v>43902</v>
      </c>
      <c r="J11" s="41">
        <v>5421241</v>
      </c>
      <c r="K11" s="52">
        <v>8</v>
      </c>
      <c r="L11" s="41">
        <v>433.69927999999999</v>
      </c>
      <c r="M11" s="69">
        <f t="shared" si="0"/>
        <v>5.7285180572851802E-3</v>
      </c>
      <c r="N11" s="52">
        <f>VLOOKUP(C11,Deaths_since_10!H:I,2,FALSE)</f>
        <v>10</v>
      </c>
      <c r="O11" s="56">
        <f ca="1">OFFSET(CumulativeDead!B11,-A11,MATCH(Country_Data!N11,CumulativeDead!C11:BU11,0))</f>
        <v>43913</v>
      </c>
      <c r="P11" s="52">
        <f t="shared" ca="1" si="1"/>
        <v>17</v>
      </c>
      <c r="Q11" s="52" t="s">
        <v>609</v>
      </c>
    </row>
    <row r="12" spans="1:17" x14ac:dyDescent="0.3">
      <c r="A12" s="52">
        <v>11</v>
      </c>
      <c r="B12" s="55" t="s">
        <v>59</v>
      </c>
      <c r="C12" s="55" t="s">
        <v>59</v>
      </c>
      <c r="D12" s="52">
        <f>VLOOKUP(C12,Days_Since_100!H:I,2,FALSE)</f>
        <v>101</v>
      </c>
      <c r="E12" s="56">
        <f ca="1">OFFSET(CumulativeConfirmed!A12,-A12,MATCH(Country_Data!D12,CumulativeConfirmed!B12:BU12,0))</f>
        <v>43896</v>
      </c>
      <c r="F12" s="41">
        <f>MAX(CumulativeConfirmed!12:12)</f>
        <v>3447</v>
      </c>
      <c r="G12" s="41">
        <f>MAX(CumulativeDead!12:12)</f>
        <v>105</v>
      </c>
      <c r="J12" s="41">
        <v>10099265</v>
      </c>
      <c r="K12" s="52">
        <v>5.8</v>
      </c>
      <c r="L12" s="41">
        <v>585.75736999999992</v>
      </c>
      <c r="M12" s="69">
        <f t="shared" si="0"/>
        <v>3.0461270670147953E-2</v>
      </c>
      <c r="N12" s="52">
        <f>VLOOKUP(C12,Deaths_since_10!H:I,2,FALSE)</f>
        <v>10</v>
      </c>
      <c r="O12" s="56">
        <f ca="1">OFFSET(CumulativeDead!B12,-A12,MATCH(Country_Data!N12,CumulativeDead!C12:BU12,0))</f>
        <v>43908</v>
      </c>
      <c r="P12" s="52">
        <f t="shared" ca="1" si="1"/>
        <v>12</v>
      </c>
      <c r="Q12" s="52" t="s">
        <v>609</v>
      </c>
    </row>
    <row r="13" spans="1:17" x14ac:dyDescent="0.3">
      <c r="A13" s="52">
        <v>12</v>
      </c>
      <c r="B13" s="55" t="s">
        <v>87</v>
      </c>
      <c r="C13" s="55" t="s">
        <v>87</v>
      </c>
      <c r="D13" s="52">
        <f>VLOOKUP(C13,Days_Since_100!H:I,2,FALSE)</f>
        <v>264</v>
      </c>
      <c r="E13" s="56">
        <f ca="1">OFFSET(CumulativeConfirmed!A13,-A13,MATCH(Country_Data!D13,CumulativeConfirmed!B13:BU13,0))</f>
        <v>43900</v>
      </c>
      <c r="F13" s="41">
        <f>MAX(CumulativeConfirmed!13:13)</f>
        <v>2366</v>
      </c>
      <c r="G13" s="41">
        <f>MAX(CumulativeDead!13:13)</f>
        <v>65</v>
      </c>
      <c r="H13" s="56">
        <v>43902</v>
      </c>
      <c r="I13" s="56">
        <v>43902</v>
      </c>
      <c r="J13" s="41">
        <v>5792202</v>
      </c>
      <c r="K13" s="52">
        <v>6.7</v>
      </c>
      <c r="L13" s="41">
        <v>388.07753400000001</v>
      </c>
      <c r="M13" s="69">
        <f t="shared" si="0"/>
        <v>2.7472527472527472E-2</v>
      </c>
      <c r="N13" s="52">
        <f>VLOOKUP(C13,Deaths_since_10!H:I,2,FALSE)</f>
        <v>9</v>
      </c>
      <c r="O13" s="56">
        <f ca="1">OFFSET(CumulativeDead!B13,-A13,MATCH(Country_Data!N13,CumulativeDead!C13:BU13,0))</f>
        <v>43910</v>
      </c>
      <c r="P13" s="52">
        <f t="shared" ca="1" si="1"/>
        <v>10</v>
      </c>
      <c r="Q13" s="52" t="s">
        <v>609</v>
      </c>
    </row>
    <row r="14" spans="1:17" x14ac:dyDescent="0.3">
      <c r="A14" s="52">
        <v>13</v>
      </c>
      <c r="B14" s="55" t="s">
        <v>89</v>
      </c>
      <c r="C14" s="55" t="s">
        <v>89</v>
      </c>
      <c r="D14" s="52">
        <f>VLOOKUP(C14,Days_Since_100!H:I,2,FALSE)</f>
        <v>128</v>
      </c>
      <c r="E14" s="56">
        <f ca="1">OFFSET(CumulativeConfirmed!A14,-A14,MATCH(Country_Data!D14,CumulativeConfirmed!B14:BU14,0))</f>
        <v>43896</v>
      </c>
      <c r="F14" s="41">
        <f>MAX(CumulativeConfirmed!14:14)</f>
        <v>9819</v>
      </c>
      <c r="G14" s="41">
        <f>MAX(CumulativeDead!14:14)</f>
        <v>640</v>
      </c>
      <c r="J14" s="41">
        <v>17134872</v>
      </c>
      <c r="K14" s="52">
        <v>0</v>
      </c>
      <c r="L14" s="41">
        <v>0</v>
      </c>
      <c r="M14" s="69">
        <f t="shared" si="0"/>
        <v>6.5179753539056931E-2</v>
      </c>
      <c r="N14" s="52">
        <f>VLOOKUP(C14,Deaths_since_10!H:I,2,FALSE)</f>
        <v>10</v>
      </c>
      <c r="O14" s="56">
        <f ca="1">OFFSET(CumulativeDead!B14,-A14,MATCH(Country_Data!N14,CumulativeDead!C14:BU14,0))</f>
        <v>43903</v>
      </c>
      <c r="P14" s="52">
        <f t="shared" ca="1" si="1"/>
        <v>7</v>
      </c>
      <c r="Q14" s="52" t="s">
        <v>609</v>
      </c>
    </row>
    <row r="15" spans="1:17" x14ac:dyDescent="0.3">
      <c r="A15" s="52">
        <v>14</v>
      </c>
      <c r="B15" s="55" t="s">
        <v>349</v>
      </c>
      <c r="C15" s="55" t="s">
        <v>349</v>
      </c>
      <c r="D15" s="52">
        <f>VLOOKUP(C15,Days_Since_100!H:I,2,FALSE)</f>
        <v>116</v>
      </c>
      <c r="E15" s="56">
        <f ca="1">OFFSET(CumulativeConfirmed!A15,-A15,MATCH(Country_Data!D15,CumulativeConfirmed!B15:BU15,0))</f>
        <v>43895</v>
      </c>
      <c r="F15" s="41">
        <f>MAX(CumulativeConfirmed!15:15)</f>
        <v>17312</v>
      </c>
      <c r="G15" s="41">
        <f>MAX(CumulativeDead!15:15)</f>
        <v>1021</v>
      </c>
      <c r="H15" s="56">
        <v>43910</v>
      </c>
      <c r="I15" s="56">
        <v>43904</v>
      </c>
      <c r="J15" s="41">
        <v>67886011</v>
      </c>
      <c r="K15" s="52">
        <v>6.6</v>
      </c>
      <c r="L15" s="41">
        <v>4480.4767259999999</v>
      </c>
      <c r="M15" s="69">
        <f t="shared" si="0"/>
        <v>5.8976432532347502E-2</v>
      </c>
      <c r="N15" s="52">
        <f>VLOOKUP(C15,Deaths_since_10!H:I,2,FALSE)</f>
        <v>8</v>
      </c>
      <c r="O15" s="56">
        <f ca="1">OFFSET(CumulativeDead!B15,-A15,MATCH(Country_Data!N15,CumulativeDead!C15:BU15,0))</f>
        <v>43901</v>
      </c>
      <c r="P15" s="52">
        <f t="shared" ca="1" si="1"/>
        <v>6</v>
      </c>
      <c r="Q15" s="52" t="s">
        <v>609</v>
      </c>
    </row>
    <row r="16" spans="1:17" x14ac:dyDescent="0.3">
      <c r="A16" s="52">
        <v>15</v>
      </c>
      <c r="B16" s="55" t="s">
        <v>36</v>
      </c>
      <c r="C16" s="55" t="s">
        <v>36</v>
      </c>
      <c r="D16" s="52">
        <f>VLOOKUP(C16,Days_Since_100!H:I,2,FALSE)</f>
        <v>105</v>
      </c>
      <c r="E16" s="56">
        <f ca="1">OFFSET(CumulativeConfirmed!A16,-A16,MATCH(Country_Data!D16,CumulativeConfirmed!B16:BU16,0))</f>
        <v>43882</v>
      </c>
      <c r="F16" s="41">
        <f>MAX(CumulativeConfirmed!16:16)</f>
        <v>1693</v>
      </c>
      <c r="G16" s="41">
        <f>MAX(CumulativeDead!16:16)</f>
        <v>52</v>
      </c>
      <c r="H16" s="56">
        <v>43888</v>
      </c>
      <c r="I16" s="56">
        <v>43888</v>
      </c>
      <c r="J16" s="41">
        <v>126476461</v>
      </c>
      <c r="K16" s="52">
        <v>7.3</v>
      </c>
      <c r="L16" s="41">
        <v>9232.781653</v>
      </c>
      <c r="M16" s="69">
        <f t="shared" si="0"/>
        <v>3.0714707619610159E-2</v>
      </c>
      <c r="N16" s="52">
        <f>VLOOKUP(C16,Deaths_since_10!H:I,2,FALSE)</f>
        <v>10</v>
      </c>
      <c r="O16" s="56">
        <f ca="1">OFFSET(CumulativeDead!B16,-A16,MATCH(Country_Data!N16,CumulativeDead!C16:BU16,0))</f>
        <v>43899</v>
      </c>
      <c r="P16" s="52">
        <f t="shared" ca="1" si="1"/>
        <v>17</v>
      </c>
      <c r="Q16" s="52" t="s">
        <v>608</v>
      </c>
    </row>
    <row r="17" spans="1:17" x14ac:dyDescent="0.3">
      <c r="A17" s="52">
        <v>16</v>
      </c>
      <c r="B17" s="55" t="s">
        <v>340</v>
      </c>
      <c r="C17" s="55" t="s">
        <v>340</v>
      </c>
      <c r="D17" s="52" t="e">
        <f>VLOOKUP(C17,Days_Since_100!H:I,2,FALSE)</f>
        <v>#N/A</v>
      </c>
      <c r="E17" s="56" t="e">
        <f ca="1">OFFSET(CumulativeConfirmed!A17,-A17,MATCH(Country_Data!D17,CumulativeConfirmed!B17:BU17,0))</f>
        <v>#N/A</v>
      </c>
      <c r="F17" s="41">
        <f>MAX(CumulativeConfirmed!17:17)</f>
        <v>0</v>
      </c>
      <c r="G17" s="41">
        <f>MAX(CumulativeDead!17:17)</f>
        <v>0</v>
      </c>
      <c r="K17" s="52">
        <v>0</v>
      </c>
      <c r="L17" s="41" t="e">
        <v>#N/A</v>
      </c>
      <c r="M17" s="69" t="e">
        <f t="shared" si="0"/>
        <v>#DIV/0!</v>
      </c>
      <c r="N17" s="52" t="e">
        <f>VLOOKUP(C17,Deaths_since_10!H:I,2,FALSE)</f>
        <v>#N/A</v>
      </c>
      <c r="O17" s="56" t="e">
        <f ca="1">OFFSET(CumulativeDead!B17,-A17,MATCH(Country_Data!N17,CumulativeDead!C17:BU17,0))</f>
        <v>#N/A</v>
      </c>
      <c r="P17" s="52" t="e">
        <f t="shared" ca="1" si="1"/>
        <v>#N/A</v>
      </c>
    </row>
    <row r="18" spans="1:17" x14ac:dyDescent="0.3">
      <c r="A18" s="52">
        <v>17</v>
      </c>
      <c r="B18" s="55" t="s">
        <v>63</v>
      </c>
      <c r="C18" s="55" t="s">
        <v>63</v>
      </c>
      <c r="D18" s="52">
        <f>VLOOKUP(C18,Days_Since_100!H:I,2,FALSE)</f>
        <v>109</v>
      </c>
      <c r="E18" s="56">
        <f ca="1">OFFSET(CumulativeConfirmed!A18,-A18,MATCH(Country_Data!D18,CumulativeConfirmed!B18:BU18,0))</f>
        <v>43896</v>
      </c>
      <c r="F18" s="41">
        <f>MAX(CumulativeConfirmed!18:18)</f>
        <v>9134</v>
      </c>
      <c r="G18" s="41">
        <f>MAX(CumulativeDead!18:18)</f>
        <v>353</v>
      </c>
      <c r="H18" s="56">
        <v>43908</v>
      </c>
      <c r="I18" s="56">
        <v>43908</v>
      </c>
      <c r="J18" s="41">
        <v>11589623</v>
      </c>
      <c r="K18" s="52">
        <v>15.9</v>
      </c>
      <c r="L18" s="41">
        <v>1842.7500570000002</v>
      </c>
      <c r="M18" s="69">
        <f t="shared" si="0"/>
        <v>3.8646814101160498E-2</v>
      </c>
      <c r="N18" s="52">
        <f>VLOOKUP(C18,Deaths_since_10!H:I,2,FALSE)</f>
        <v>10</v>
      </c>
      <c r="O18" s="56">
        <f ca="1">OFFSET(CumulativeDead!B18,-A18,MATCH(Country_Data!N18,CumulativeDead!C18:BU18,0))</f>
        <v>43907</v>
      </c>
      <c r="P18" s="52">
        <f t="shared" ca="1" si="1"/>
        <v>11</v>
      </c>
      <c r="Q18" s="52" t="s">
        <v>609</v>
      </c>
    </row>
    <row r="19" spans="1:17" x14ac:dyDescent="0.3">
      <c r="A19" s="52">
        <v>18</v>
      </c>
      <c r="B19" s="55" t="s">
        <v>78</v>
      </c>
      <c r="C19" s="55" t="s">
        <v>78</v>
      </c>
      <c r="D19" s="52">
        <f>VLOOKUP(C19,Days_Since_100!H:I,2,FALSE)</f>
        <v>104</v>
      </c>
      <c r="E19" s="56">
        <f ca="1">OFFSET(CumulativeConfirmed!A19,-A19,MATCH(Country_Data!D19,CumulativeConfirmed!B19:BU19,0))</f>
        <v>43898</v>
      </c>
      <c r="F19" s="41">
        <f>MAX(CumulativeConfirmed!19:19)</f>
        <v>8271</v>
      </c>
      <c r="G19" s="41">
        <f>MAX(CumulativeDead!19:19)</f>
        <v>68</v>
      </c>
      <c r="H19" s="56">
        <v>43903</v>
      </c>
      <c r="I19" s="56">
        <v>43903</v>
      </c>
      <c r="J19" s="41">
        <v>9006398</v>
      </c>
      <c r="K19" s="52">
        <v>21.8</v>
      </c>
      <c r="L19" s="41">
        <v>1963.3947640000001</v>
      </c>
      <c r="M19" s="69">
        <f t="shared" si="0"/>
        <v>8.2214967960343374E-3</v>
      </c>
      <c r="N19" s="52">
        <f>VLOOKUP(C19,Deaths_since_10!H:I,2,FALSE)</f>
        <v>8</v>
      </c>
      <c r="O19" s="56">
        <f ca="1">OFFSET(CumulativeDead!B19,-A19,MATCH(Country_Data!N19,CumulativeDead!C19:BU19,0))</f>
        <v>43911</v>
      </c>
      <c r="P19" s="52">
        <f t="shared" ca="1" si="1"/>
        <v>13</v>
      </c>
      <c r="Q19" s="52" t="s">
        <v>609</v>
      </c>
    </row>
    <row r="20" spans="1:17" x14ac:dyDescent="0.3">
      <c r="A20" s="52">
        <v>19</v>
      </c>
      <c r="B20" s="55" t="s">
        <v>101</v>
      </c>
      <c r="C20" s="55" t="s">
        <v>101</v>
      </c>
      <c r="D20" s="52">
        <f>VLOOKUP(C20,Days_Since_100!H:I,2,FALSE)</f>
        <v>262</v>
      </c>
      <c r="E20" s="56">
        <f ca="1">OFFSET(CumulativeConfirmed!A20,-A20,MATCH(Country_Data!D20,CumulativeConfirmed!B20:BU20,0))</f>
        <v>43901</v>
      </c>
      <c r="F20" s="41">
        <f>MAX(CumulativeConfirmed!20:20)</f>
        <v>590</v>
      </c>
      <c r="G20" s="41">
        <f>MAX(CumulativeDead!20:20)</f>
        <v>1</v>
      </c>
      <c r="J20" s="41">
        <v>2881053</v>
      </c>
      <c r="K20" s="52">
        <v>0</v>
      </c>
      <c r="L20" s="41">
        <v>0</v>
      </c>
      <c r="M20" s="69">
        <f t="shared" si="0"/>
        <v>1.6949152542372881E-3</v>
      </c>
      <c r="N20" s="52" t="e">
        <f>VLOOKUP(C20,Deaths_since_10!H:I,2,FALSE)</f>
        <v>#N/A</v>
      </c>
      <c r="O20" s="56" t="e">
        <f ca="1">OFFSET(CumulativeDead!B20,-A20,MATCH(Country_Data!N20,CumulativeDead!C20:BU20,0))</f>
        <v>#N/A</v>
      </c>
      <c r="P20" s="52" t="e">
        <f t="shared" ca="1" si="1"/>
        <v>#N/A</v>
      </c>
      <c r="Q20" s="52" t="s">
        <v>610</v>
      </c>
    </row>
    <row r="21" spans="1:17" x14ac:dyDescent="0.3">
      <c r="A21" s="52">
        <v>20</v>
      </c>
      <c r="B21" s="55" t="s">
        <v>48</v>
      </c>
      <c r="C21" s="55" t="s">
        <v>48</v>
      </c>
      <c r="D21" s="52">
        <f>VLOOKUP(C21,Days_Since_100!H:I,2,FALSE)</f>
        <v>107</v>
      </c>
      <c r="E21" s="56">
        <f ca="1">OFFSET(CumulativeConfirmed!A21,-A21,MATCH(Country_Data!D21,CumulativeConfirmed!B21:BU21,0))</f>
        <v>43900</v>
      </c>
      <c r="F21" s="41">
        <f>MAX(CumulativeConfirmed!21:21)</f>
        <v>3640</v>
      </c>
      <c r="G21" s="41">
        <f>MAX(CumulativeDead!21:21)</f>
        <v>14</v>
      </c>
      <c r="J21" s="41">
        <v>25499884</v>
      </c>
      <c r="K21" s="52">
        <v>0</v>
      </c>
      <c r="L21" s="41">
        <v>0</v>
      </c>
      <c r="M21" s="69">
        <f t="shared" si="0"/>
        <v>3.8461538461538464E-3</v>
      </c>
      <c r="N21" s="52">
        <f>VLOOKUP(C21,Deaths_since_10!H:I,2,FALSE)</f>
        <v>8</v>
      </c>
      <c r="O21" s="56">
        <f ca="1">OFFSET(CumulativeDead!B21,-A21,MATCH(Country_Data!N21,CumulativeDead!C21:BU21,0))</f>
        <v>43914</v>
      </c>
      <c r="P21" s="52">
        <f t="shared" ca="1" si="1"/>
        <v>14</v>
      </c>
      <c r="Q21" s="52" t="s">
        <v>614</v>
      </c>
    </row>
    <row r="22" spans="1:17" x14ac:dyDescent="0.3">
      <c r="A22" s="52">
        <v>21</v>
      </c>
      <c r="B22" s="55" t="s">
        <v>40</v>
      </c>
      <c r="C22" s="55" t="s">
        <v>40</v>
      </c>
      <c r="D22" s="52">
        <f>VLOOKUP(C22,Days_Since_100!H:I,2,FALSE)</f>
        <v>102</v>
      </c>
      <c r="E22" s="56">
        <f ca="1">OFFSET(CumulativeConfirmed!A22,-A22,MATCH(Country_Data!D22,CumulativeConfirmed!B22:BU22,0))</f>
        <v>43890</v>
      </c>
      <c r="F22" s="41">
        <f>MAX(CumulativeConfirmed!22:22)</f>
        <v>802</v>
      </c>
      <c r="G22" s="41">
        <f>MAX(CumulativeDead!22:22)</f>
        <v>2</v>
      </c>
      <c r="J22" s="41">
        <v>5850342</v>
      </c>
      <c r="K22" s="52">
        <v>0</v>
      </c>
      <c r="L22" s="41">
        <v>0</v>
      </c>
      <c r="M22" s="69">
        <f t="shared" si="0"/>
        <v>2.4937655860349127E-3</v>
      </c>
      <c r="N22" s="52" t="e">
        <f>VLOOKUP(C22,Deaths_since_10!H:I,2,FALSE)</f>
        <v>#N/A</v>
      </c>
      <c r="O22" s="56" t="e">
        <f ca="1">OFFSET(CumulativeDead!B22,-A22,MATCH(Country_Data!N22,CumulativeDead!C22:BU22,0))</f>
        <v>#N/A</v>
      </c>
      <c r="P22" s="52" t="e">
        <f t="shared" ca="1" si="1"/>
        <v>#N/A</v>
      </c>
      <c r="Q22" s="52" t="s">
        <v>608</v>
      </c>
    </row>
    <row r="23" spans="1:17" x14ac:dyDescent="0.3">
      <c r="A23" s="52">
        <v>22</v>
      </c>
      <c r="B23" s="55" t="s">
        <v>43</v>
      </c>
      <c r="C23" s="55" t="s">
        <v>43</v>
      </c>
      <c r="D23" s="52">
        <f>VLOOKUP(C23,Days_Since_100!H:I,2,FALSE)</f>
        <v>117</v>
      </c>
      <c r="E23" s="56">
        <f ca="1">OFFSET(CumulativeConfirmed!A23,-A23,MATCH(Country_Data!D23,CumulativeConfirmed!B23:BU23,0))</f>
        <v>43899</v>
      </c>
      <c r="F23" s="41">
        <f>MAX(CumulativeConfirmed!23:23)</f>
        <v>2320</v>
      </c>
      <c r="G23" s="41">
        <f>MAX(CumulativeDead!23:23)</f>
        <v>27</v>
      </c>
      <c r="J23" s="41">
        <v>32365999</v>
      </c>
      <c r="K23" s="52">
        <v>0</v>
      </c>
      <c r="L23" s="41">
        <v>0</v>
      </c>
      <c r="M23" s="69">
        <f t="shared" si="0"/>
        <v>1.1637931034482759E-2</v>
      </c>
      <c r="N23" s="52">
        <f>VLOOKUP(C23,Deaths_since_10!H:I,2,FALSE)</f>
        <v>10</v>
      </c>
      <c r="O23" s="56">
        <f ca="1">OFFSET(CumulativeDead!B23,-A23,MATCH(Country_Data!N23,CumulativeDead!C23:BU23,0))</f>
        <v>43912</v>
      </c>
      <c r="P23" s="52">
        <f t="shared" ca="1" si="1"/>
        <v>13</v>
      </c>
      <c r="Q23" s="52" t="s">
        <v>608</v>
      </c>
    </row>
    <row r="24" spans="1:17" x14ac:dyDescent="0.3">
      <c r="A24" s="52">
        <v>23</v>
      </c>
      <c r="B24" s="55" t="s">
        <v>45</v>
      </c>
      <c r="C24" s="55" t="s">
        <v>45</v>
      </c>
      <c r="D24" s="52">
        <f>VLOOKUP(C24,Days_Since_100!H:I,2,FALSE)</f>
        <v>108</v>
      </c>
      <c r="E24" s="56">
        <f ca="1">OFFSET(CumulativeConfirmed!A24,-A24,MATCH(Country_Data!D24,CumulativeConfirmed!B24:BU24,0))</f>
        <v>43901</v>
      </c>
      <c r="F24" s="41">
        <f>MAX(CumulativeConfirmed!24:24)</f>
        <v>5576</v>
      </c>
      <c r="G24" s="41">
        <f>MAX(CumulativeDead!24:24)</f>
        <v>61</v>
      </c>
      <c r="J24" s="41">
        <v>37742154</v>
      </c>
      <c r="K24" s="52">
        <v>0</v>
      </c>
      <c r="L24" s="41">
        <v>0</v>
      </c>
      <c r="M24" s="69">
        <f t="shared" si="0"/>
        <v>1.0939741750358681E-2</v>
      </c>
      <c r="N24" s="52">
        <f>VLOOKUP(C24,Deaths_since_10!H:I,2,FALSE)</f>
        <v>8</v>
      </c>
      <c r="O24" s="56">
        <f ca="1">OFFSET(CumulativeDead!B24,-A24,MATCH(Country_Data!N24,CumulativeDead!C24:BU24,0))</f>
        <v>43908</v>
      </c>
      <c r="P24" s="52">
        <f t="shared" ca="1" si="1"/>
        <v>7</v>
      </c>
      <c r="Q24" s="52" t="s">
        <v>611</v>
      </c>
    </row>
    <row r="25" spans="1:17" x14ac:dyDescent="0.3">
      <c r="A25" s="52">
        <v>24</v>
      </c>
      <c r="B25" s="55" t="s">
        <v>83</v>
      </c>
      <c r="C25" s="55" t="s">
        <v>83</v>
      </c>
      <c r="D25" s="52">
        <f>VLOOKUP(C25,Days_Since_100!H:I,2,FALSE)</f>
        <v>190</v>
      </c>
      <c r="E25" s="56">
        <f ca="1">OFFSET(CumulativeConfirmed!A25,-A25,MATCH(Country_Data!D25,CumulativeConfirmed!B25:BU25,0))</f>
        <v>43903</v>
      </c>
      <c r="F25" s="41">
        <f>MAX(CumulativeConfirmed!25:25)</f>
        <v>1061</v>
      </c>
      <c r="G25" s="41">
        <f>MAX(CumulativeDead!25:25)</f>
        <v>32</v>
      </c>
      <c r="J25" s="41">
        <v>10423054</v>
      </c>
      <c r="K25" s="52">
        <v>6</v>
      </c>
      <c r="L25" s="41">
        <v>625.38324</v>
      </c>
      <c r="M25" s="69">
        <f t="shared" si="0"/>
        <v>3.0160226201696512E-2</v>
      </c>
      <c r="N25" s="52">
        <f>VLOOKUP(C25,Deaths_since_10!H:I,2,FALSE)</f>
        <v>13</v>
      </c>
      <c r="O25" s="56">
        <f ca="1">OFFSET(CumulativeDead!B25,-A25,MATCH(Country_Data!N25,CumulativeDead!C25:BU25,0))</f>
        <v>43911</v>
      </c>
      <c r="P25" s="52">
        <f t="shared" ca="1" si="1"/>
        <v>8</v>
      </c>
      <c r="Q25" s="52" t="s">
        <v>609</v>
      </c>
    </row>
    <row r="26" spans="1:17" x14ac:dyDescent="0.3">
      <c r="A26" s="52">
        <v>25</v>
      </c>
      <c r="B26" s="55" t="s">
        <v>73</v>
      </c>
      <c r="C26" s="55" t="s">
        <v>73</v>
      </c>
      <c r="D26" s="52">
        <f>VLOOKUP(C26,Days_Since_100!H:I,2,FALSE)</f>
        <v>110</v>
      </c>
      <c r="E26" s="56">
        <f ca="1">OFFSET(CumulativeConfirmed!A26,-A26,MATCH(Country_Data!D26,CumulativeConfirmed!B26:BU26,0))</f>
        <v>43900</v>
      </c>
      <c r="F26" s="41">
        <f>MAX(CumulativeConfirmed!26:26)</f>
        <v>476</v>
      </c>
      <c r="G26" s="41">
        <f>MAX(CumulativeDead!26:26)</f>
        <v>4</v>
      </c>
      <c r="J26" s="41">
        <v>1701575</v>
      </c>
      <c r="K26" s="52">
        <v>0</v>
      </c>
      <c r="L26" s="41">
        <v>0</v>
      </c>
      <c r="M26" s="69">
        <f t="shared" si="0"/>
        <v>8.4033613445378148E-3</v>
      </c>
      <c r="N26" s="52" t="e">
        <f>VLOOKUP(C26,Deaths_since_10!H:I,2,FALSE)</f>
        <v>#N/A</v>
      </c>
      <c r="O26" s="56" t="e">
        <f ca="1">OFFSET(CumulativeDead!B26,-A26,MATCH(Country_Data!N26,CumulativeDead!C26:BU26,0))</f>
        <v>#N/A</v>
      </c>
      <c r="P26" s="52" t="e">
        <f t="shared" ca="1" si="1"/>
        <v>#N/A</v>
      </c>
      <c r="Q26" s="52" t="s">
        <v>610</v>
      </c>
    </row>
    <row r="27" spans="1:17" x14ac:dyDescent="0.3">
      <c r="A27" s="52">
        <v>26</v>
      </c>
      <c r="B27" s="55" t="s">
        <v>79</v>
      </c>
      <c r="C27" s="55" t="s">
        <v>79</v>
      </c>
      <c r="D27" s="52">
        <f>VLOOKUP(C27,Days_Since_100!H:I,2,FALSE)</f>
        <v>100</v>
      </c>
      <c r="E27" s="56">
        <f ca="1">OFFSET(CumulativeConfirmed!A27,-A27,MATCH(Country_Data!D27,CumulativeConfirmed!B27:BU27,0))</f>
        <v>43902</v>
      </c>
      <c r="F27" s="41">
        <f>MAX(CumulativeConfirmed!27:27)</f>
        <v>3619</v>
      </c>
      <c r="G27" s="41">
        <f>MAX(CumulativeDead!27:27)</f>
        <v>12</v>
      </c>
      <c r="H27" s="56">
        <v>43902</v>
      </c>
      <c r="I27" s="56">
        <v>43902</v>
      </c>
      <c r="J27" s="41">
        <v>8655535</v>
      </c>
      <c r="K27" s="52">
        <v>0</v>
      </c>
      <c r="L27" s="41">
        <v>0</v>
      </c>
      <c r="M27" s="69">
        <f t="shared" si="0"/>
        <v>3.3158331030671458E-3</v>
      </c>
      <c r="N27" s="52">
        <f>VLOOKUP(C27,Deaths_since_10!H:I,2,FALSE)</f>
        <v>8</v>
      </c>
      <c r="O27" s="56">
        <f ca="1">OFFSET(CumulativeDead!B27,-A27,MATCH(Country_Data!N27,CumulativeDead!C27:BU27,0))</f>
        <v>43916</v>
      </c>
      <c r="P27" s="52">
        <f t="shared" ca="1" si="1"/>
        <v>14</v>
      </c>
      <c r="Q27" s="52" t="s">
        <v>610</v>
      </c>
    </row>
    <row r="28" spans="1:17" x14ac:dyDescent="0.3">
      <c r="A28" s="52">
        <v>27</v>
      </c>
      <c r="B28" s="55" t="s">
        <v>54</v>
      </c>
      <c r="C28" s="55" t="s">
        <v>54</v>
      </c>
      <c r="D28" s="52">
        <f>VLOOKUP(C28,Days_Since_100!H:I,2,FALSE)</f>
        <v>155</v>
      </c>
      <c r="E28" s="56">
        <f ca="1">OFFSET(CumulativeConfirmed!A28,-A28,MATCH(Country_Data!D28,CumulativeConfirmed!B28:BU28,0))</f>
        <v>43903</v>
      </c>
      <c r="F28" s="41">
        <f>MAX(CumulativeConfirmed!28:28)</f>
        <v>1167</v>
      </c>
      <c r="G28" s="41">
        <f>MAX(CumulativeDead!28:28)</f>
        <v>9</v>
      </c>
      <c r="J28" s="41">
        <v>5540720</v>
      </c>
      <c r="K28" s="52">
        <v>6.1</v>
      </c>
      <c r="L28" s="41">
        <v>337.98392000000001</v>
      </c>
      <c r="M28" s="69">
        <f t="shared" si="0"/>
        <v>7.7120822622107968E-3</v>
      </c>
      <c r="N28" s="52">
        <f>VLOOKUP(C28,Deaths_since_10!H:I,2,FALSE)</f>
        <v>9</v>
      </c>
      <c r="O28" s="56">
        <f ca="1">OFFSET(CumulativeDead!B28,-A28,MATCH(Country_Data!N28,CumulativeDead!C28:BU28,0))</f>
        <v>43918</v>
      </c>
      <c r="P28" s="52">
        <f t="shared" ca="1" si="1"/>
        <v>15</v>
      </c>
      <c r="Q28" s="52" t="s">
        <v>609</v>
      </c>
    </row>
    <row r="29" spans="1:17" x14ac:dyDescent="0.3">
      <c r="A29" s="52">
        <v>28</v>
      </c>
      <c r="B29" s="55" t="s">
        <v>81</v>
      </c>
      <c r="C29" s="55" t="s">
        <v>81</v>
      </c>
      <c r="D29" s="52">
        <f>VLOOKUP(C29,Days_Since_100!H:I,2,FALSE)</f>
        <v>151</v>
      </c>
      <c r="E29" s="56">
        <f ca="1">OFFSET(CumulativeConfirmed!A29,-A29,MATCH(Country_Data!D29,CumulativeConfirmed!B29:BU29,0))</f>
        <v>43903</v>
      </c>
      <c r="F29" s="41">
        <f>MAX(CumulativeConfirmed!29:29)</f>
        <v>3904</v>
      </c>
      <c r="G29" s="41">
        <f>MAX(CumulativeDead!29:29)</f>
        <v>111</v>
      </c>
      <c r="J29" s="41">
        <v>212559417</v>
      </c>
      <c r="K29" s="52">
        <v>0</v>
      </c>
      <c r="L29" s="41">
        <v>0</v>
      </c>
      <c r="M29" s="69">
        <f t="shared" si="0"/>
        <v>2.8432377049180328E-2</v>
      </c>
      <c r="N29" s="52">
        <f>VLOOKUP(C29,Deaths_since_10!H:I,2,FALSE)</f>
        <v>11</v>
      </c>
      <c r="O29" s="56">
        <f ca="1">OFFSET(CumulativeDead!B29,-A29,MATCH(Country_Data!N29,CumulativeDead!C29:BU29,0))</f>
        <v>43910</v>
      </c>
      <c r="P29" s="52">
        <f t="shared" ca="1" si="1"/>
        <v>7</v>
      </c>
      <c r="Q29" s="52" t="s">
        <v>612</v>
      </c>
    </row>
    <row r="30" spans="1:17" x14ac:dyDescent="0.3">
      <c r="A30" s="52">
        <v>29</v>
      </c>
      <c r="B30" s="55" t="s">
        <v>479</v>
      </c>
      <c r="C30" s="55" t="s">
        <v>341</v>
      </c>
      <c r="D30" s="52">
        <f>VLOOKUP(C30,Days_Since_100!H:I,2,FALSE)</f>
        <v>141</v>
      </c>
      <c r="E30" s="56">
        <f ca="1">OFFSET(CumulativeConfirmed!A30,-A30,MATCH(Country_Data!D30,CumulativeConfirmed!B30:BU30,0))</f>
        <v>43903</v>
      </c>
      <c r="F30" s="41">
        <f>MAX(CumulativeConfirmed!30:30)</f>
        <v>2631</v>
      </c>
      <c r="G30" s="41">
        <f>MAX(CumulativeDead!30:30)</f>
        <v>11</v>
      </c>
      <c r="J30" s="41">
        <v>10708981</v>
      </c>
      <c r="K30" s="52">
        <v>11.6</v>
      </c>
      <c r="L30" s="41">
        <v>1242.241796</v>
      </c>
      <c r="M30" s="69">
        <f t="shared" si="0"/>
        <v>4.1809198023565189E-3</v>
      </c>
      <c r="N30" s="52">
        <f>VLOOKUP(C30,Deaths_since_10!H:I,2,FALSE)</f>
        <v>9</v>
      </c>
      <c r="O30" s="56">
        <f ca="1">OFFSET(CumulativeDead!B30,-A30,MATCH(Country_Data!N30,CumulativeDead!C30:BU30,0))</f>
        <v>43916</v>
      </c>
      <c r="P30" s="52">
        <f t="shared" ca="1" si="1"/>
        <v>13</v>
      </c>
      <c r="Q30" s="52" t="s">
        <v>609</v>
      </c>
    </row>
    <row r="31" spans="1:17" x14ac:dyDescent="0.3">
      <c r="A31" s="52">
        <v>30</v>
      </c>
      <c r="B31" s="55" t="s">
        <v>141</v>
      </c>
      <c r="C31" s="55" t="s">
        <v>141</v>
      </c>
      <c r="D31" s="52">
        <f>VLOOKUP(C31,Days_Since_100!H:I,2,FALSE)</f>
        <v>141</v>
      </c>
      <c r="E31" s="56">
        <f ca="1">OFFSET(CumulativeConfirmed!A31,-A31,MATCH(Country_Data!D31,CumulativeConfirmed!B31:BU31,0))</f>
        <v>43903</v>
      </c>
      <c r="F31" s="41">
        <f>MAX(CumulativeConfirmed!31:31)</f>
        <v>684</v>
      </c>
      <c r="G31" s="41">
        <f>MAX(CumulativeDead!31:31)</f>
        <v>9</v>
      </c>
      <c r="J31" s="41">
        <v>2078938</v>
      </c>
      <c r="K31" s="52">
        <v>6.4</v>
      </c>
      <c r="L31" s="41">
        <v>133.05203200000003</v>
      </c>
      <c r="M31" s="69">
        <f t="shared" si="0"/>
        <v>1.3157894736842105E-2</v>
      </c>
      <c r="N31" s="52">
        <f>VLOOKUP(C31,Deaths_since_10!H:I,2,FALSE)</f>
        <v>9</v>
      </c>
      <c r="O31" s="56">
        <f ca="1">OFFSET(CumulativeDead!B31,-A31,MATCH(Country_Data!N31,CumulativeDead!C31:BU31,0))</f>
        <v>43917</v>
      </c>
      <c r="P31" s="52">
        <f t="shared" ca="1" si="1"/>
        <v>14</v>
      </c>
      <c r="Q31" s="52" t="s">
        <v>609</v>
      </c>
    </row>
    <row r="32" spans="1:17" x14ac:dyDescent="0.3">
      <c r="A32" s="52">
        <v>31</v>
      </c>
      <c r="B32" s="55" t="s">
        <v>92</v>
      </c>
      <c r="C32" s="55" t="s">
        <v>92</v>
      </c>
      <c r="D32" s="52">
        <f>VLOOKUP(C32,Days_Since_100!H:I,2,FALSE)</f>
        <v>103</v>
      </c>
      <c r="E32" s="56">
        <f ca="1">OFFSET(CumulativeConfirmed!A32,-A32,MATCH(Country_Data!D32,CumulativeConfirmed!B32:BU32,0))</f>
        <v>43902</v>
      </c>
      <c r="F32" s="41">
        <f>MAX(CumulativeConfirmed!32:32)</f>
        <v>963</v>
      </c>
      <c r="G32" s="41">
        <f>MAX(CumulativeDead!32:32)</f>
        <v>5</v>
      </c>
      <c r="J32" s="41">
        <v>341243</v>
      </c>
      <c r="K32" s="52">
        <v>0</v>
      </c>
      <c r="L32" s="41">
        <v>0</v>
      </c>
      <c r="M32" s="69">
        <f t="shared" si="0"/>
        <v>5.1921079958463139E-3</v>
      </c>
      <c r="N32" s="52" t="e">
        <f>VLOOKUP(C32,Deaths_since_10!H:I,2,FALSE)</f>
        <v>#N/A</v>
      </c>
      <c r="O32" s="56" t="e">
        <f ca="1">OFFSET(CumulativeDead!B32,-A32,MATCH(Country_Data!N32,CumulativeDead!C32:BU32,0))</f>
        <v>#N/A</v>
      </c>
      <c r="P32" s="52" t="e">
        <f t="shared" ca="1" si="1"/>
        <v>#N/A</v>
      </c>
      <c r="Q32" s="52" t="s">
        <v>609</v>
      </c>
    </row>
    <row r="33" spans="1:17" x14ac:dyDescent="0.3">
      <c r="A33" s="52">
        <v>32</v>
      </c>
      <c r="B33" s="55" t="s">
        <v>108</v>
      </c>
      <c r="C33" s="55" t="s">
        <v>108</v>
      </c>
      <c r="D33" s="52">
        <f>VLOOKUP(C33,Days_Since_100!H:I,2,FALSE)</f>
        <v>112</v>
      </c>
      <c r="E33" s="56">
        <f ca="1">OFFSET(CumulativeConfirmed!A33,-A33,MATCH(Country_Data!D33,CumulativeConfirmed!B33:BU33,0))</f>
        <v>43903</v>
      </c>
      <c r="F33" s="41">
        <f>MAX(CumulativeConfirmed!33:33)</f>
        <v>5170</v>
      </c>
      <c r="G33" s="41">
        <f>MAX(CumulativeDead!33:33)</f>
        <v>100</v>
      </c>
      <c r="H33" s="56">
        <v>43902</v>
      </c>
      <c r="I33" s="56">
        <v>43902</v>
      </c>
      <c r="J33" s="41">
        <v>10196709</v>
      </c>
      <c r="K33" s="52">
        <v>4.2</v>
      </c>
      <c r="L33" s="41">
        <v>428.26177799999999</v>
      </c>
      <c r="M33" s="69">
        <f t="shared" si="0"/>
        <v>1.9342359767891684E-2</v>
      </c>
      <c r="N33" s="52">
        <f>VLOOKUP(C33,Deaths_since_10!H:I,2,FALSE)</f>
        <v>12</v>
      </c>
      <c r="O33" s="56">
        <f ca="1">OFFSET(CumulativeDead!B33,-A33,MATCH(Country_Data!N33,CumulativeDead!C33:BU33,0))</f>
        <v>43911</v>
      </c>
      <c r="P33" s="52">
        <f t="shared" ca="1" si="1"/>
        <v>8</v>
      </c>
      <c r="Q33" s="52" t="s">
        <v>609</v>
      </c>
    </row>
    <row r="34" spans="1:17" x14ac:dyDescent="0.3">
      <c r="A34" s="52">
        <v>33</v>
      </c>
      <c r="B34" s="55" t="s">
        <v>70</v>
      </c>
      <c r="C34" s="55" t="s">
        <v>70</v>
      </c>
      <c r="D34" s="52">
        <f>VLOOKUP(C34,Days_Since_100!H:I,2,FALSE)</f>
        <v>101</v>
      </c>
      <c r="E34" s="56">
        <f ca="1">OFFSET(CumulativeConfirmed!A34,-A34,MATCH(Country_Data!D34,CumulativeConfirmed!B34:BU34,0))</f>
        <v>43903</v>
      </c>
      <c r="F34" s="41">
        <f>MAX(CumulativeConfirmed!34:34)</f>
        <v>506</v>
      </c>
      <c r="G34" s="41">
        <f>MAX(CumulativeDead!34:34)</f>
        <v>42</v>
      </c>
      <c r="J34" s="41">
        <v>40222493</v>
      </c>
      <c r="K34" s="52">
        <v>0</v>
      </c>
      <c r="L34" s="41">
        <v>0</v>
      </c>
      <c r="M34" s="69">
        <f t="shared" ref="M34:M65" si="2">G34/F34</f>
        <v>8.3003952569169967E-2</v>
      </c>
      <c r="N34" s="52">
        <f>VLOOKUP(C34,Deaths_since_10!H:I,2,FALSE)</f>
        <v>8</v>
      </c>
      <c r="O34" s="56">
        <f ca="1">OFFSET(CumulativeDead!B34,-A34,MATCH(Country_Data!N34,CumulativeDead!C34:BU34,0))</f>
        <v>43902</v>
      </c>
      <c r="P34" s="52">
        <f t="shared" ref="P34:P65" ca="1" si="3">O34-E34</f>
        <v>-1</v>
      </c>
      <c r="Q34" s="52" t="s">
        <v>610</v>
      </c>
    </row>
    <row r="35" spans="1:17" x14ac:dyDescent="0.3">
      <c r="A35" s="52">
        <v>34</v>
      </c>
      <c r="B35" s="55" t="s">
        <v>98</v>
      </c>
      <c r="C35" s="55" t="s">
        <v>98</v>
      </c>
      <c r="D35" s="52">
        <f>VLOOKUP(C35,Days_Since_100!H:I,2,FALSE)</f>
        <v>129</v>
      </c>
      <c r="E35" s="56">
        <f ca="1">OFFSET(CumulativeConfirmed!A35,-A35,MATCH(Country_Data!D35,CumulativeConfirmed!B35:BU35,0))</f>
        <v>43904</v>
      </c>
      <c r="F35" s="41">
        <f>MAX(CumulativeConfirmed!35:35)</f>
        <v>2415</v>
      </c>
      <c r="G35" s="41">
        <f>MAX(CumulativeDead!35:35)</f>
        <v>36</v>
      </c>
      <c r="H35" s="56">
        <v>43905</v>
      </c>
      <c r="I35" s="56">
        <v>43905</v>
      </c>
      <c r="J35" s="41">
        <v>4937786</v>
      </c>
      <c r="K35" s="52">
        <v>6.5</v>
      </c>
      <c r="L35" s="41">
        <v>320.95609000000002</v>
      </c>
      <c r="M35" s="69">
        <f t="shared" si="2"/>
        <v>1.4906832298136646E-2</v>
      </c>
      <c r="N35" s="52">
        <f>VLOOKUP(C35,Deaths_since_10!H:I,2,FALSE)</f>
        <v>9</v>
      </c>
      <c r="O35" s="56">
        <f ca="1">OFFSET(CumulativeDead!B35,-A35,MATCH(Country_Data!N35,CumulativeDead!C35:BU35,0))</f>
        <v>43915</v>
      </c>
      <c r="P35" s="52">
        <f t="shared" ca="1" si="3"/>
        <v>11</v>
      </c>
      <c r="Q35" s="52" t="s">
        <v>609</v>
      </c>
    </row>
    <row r="36" spans="1:17" x14ac:dyDescent="0.3">
      <c r="A36" s="52">
        <v>35</v>
      </c>
      <c r="B36" s="55" t="s">
        <v>86</v>
      </c>
      <c r="C36" s="55" t="s">
        <v>86</v>
      </c>
      <c r="D36" s="52">
        <f>VLOOKUP(C36,Days_Since_100!H:I,2,FALSE)</f>
        <v>123</v>
      </c>
      <c r="E36" s="56">
        <f ca="1">OFFSET(CumulativeConfirmed!A36,-A36,MATCH(Country_Data!D36,CumulativeConfirmed!B36:BU36,0))</f>
        <v>43904</v>
      </c>
      <c r="F36" s="41">
        <f>MAX(CumulativeConfirmed!36:36)</f>
        <v>1452</v>
      </c>
      <c r="G36" s="41">
        <f>MAX(CumulativeDead!36:36)</f>
        <v>37</v>
      </c>
      <c r="J36" s="41">
        <v>19237691</v>
      </c>
      <c r="K36" s="52">
        <v>21.4</v>
      </c>
      <c r="L36" s="41">
        <v>4116.8658740000001</v>
      </c>
      <c r="M36" s="69">
        <f t="shared" si="2"/>
        <v>2.5482093663911846E-2</v>
      </c>
      <c r="N36" s="52">
        <f>VLOOKUP(C36,Deaths_since_10!H:I,2,FALSE)</f>
        <v>11</v>
      </c>
      <c r="O36" s="56">
        <f ca="1">OFFSET(CumulativeDead!B36,-A36,MATCH(Country_Data!N36,CumulativeDead!C36:BU36,0))</f>
        <v>43914</v>
      </c>
      <c r="P36" s="52">
        <f t="shared" ca="1" si="3"/>
        <v>10</v>
      </c>
      <c r="Q36" s="52" t="s">
        <v>609</v>
      </c>
    </row>
    <row r="37" spans="1:17" x14ac:dyDescent="0.3">
      <c r="A37" s="52">
        <v>36</v>
      </c>
      <c r="B37" s="55" t="s">
        <v>113</v>
      </c>
      <c r="C37" s="55" t="s">
        <v>113</v>
      </c>
      <c r="D37" s="52">
        <f>VLOOKUP(C37,Days_Since_100!H:I,2,FALSE)</f>
        <v>103</v>
      </c>
      <c r="E37" s="56">
        <f ca="1">OFFSET(CumulativeConfirmed!A37,-A37,MATCH(Country_Data!D37,CumulativeConfirmed!B37:BU37,0))</f>
        <v>43904</v>
      </c>
      <c r="F37" s="41">
        <f>MAX(CumulativeConfirmed!37:37)</f>
        <v>1203</v>
      </c>
      <c r="G37" s="41">
        <f>MAX(CumulativeDead!37:37)</f>
        <v>4</v>
      </c>
      <c r="J37" s="41">
        <v>34813871</v>
      </c>
      <c r="K37" s="52">
        <v>0</v>
      </c>
      <c r="L37" s="41">
        <v>0</v>
      </c>
      <c r="M37" s="69">
        <f t="shared" si="2"/>
        <v>3.3250207813798837E-3</v>
      </c>
      <c r="N37" s="52" t="e">
        <f>VLOOKUP(C37,Deaths_since_10!H:I,2,FALSE)</f>
        <v>#N/A</v>
      </c>
      <c r="O37" s="56" t="e">
        <f ca="1">OFFSET(CumulativeDead!B37,-A37,MATCH(Country_Data!N37,CumulativeDead!C37:BU37,0))</f>
        <v>#N/A</v>
      </c>
      <c r="P37" s="52" t="e">
        <f t="shared" ca="1" si="3"/>
        <v>#N/A</v>
      </c>
      <c r="Q37" s="52" t="s">
        <v>610</v>
      </c>
    </row>
    <row r="38" spans="1:17" x14ac:dyDescent="0.3">
      <c r="A38" s="52">
        <v>37</v>
      </c>
      <c r="B38" s="55" t="s">
        <v>55</v>
      </c>
      <c r="C38" s="55" t="s">
        <v>55</v>
      </c>
      <c r="D38" s="52">
        <f>VLOOKUP(C38,Days_Since_100!H:I,2,FALSE)</f>
        <v>113</v>
      </c>
      <c r="E38" s="56">
        <f ca="1">OFFSET(CumulativeConfirmed!A38,-A38,MATCH(Country_Data!D38,CumulativeConfirmed!B38:BU38,0))</f>
        <v>43908</v>
      </c>
      <c r="F38" s="41">
        <f>MAX(CumulativeConfirmed!38:38)</f>
        <v>468</v>
      </c>
      <c r="G38" s="41">
        <f>MAX(CumulativeDead!38:38)</f>
        <v>2</v>
      </c>
      <c r="J38" s="41">
        <v>9890402</v>
      </c>
      <c r="K38" s="52">
        <v>0</v>
      </c>
      <c r="L38" s="41">
        <v>0</v>
      </c>
      <c r="M38" s="69">
        <f t="shared" si="2"/>
        <v>4.2735042735042739E-3</v>
      </c>
      <c r="N38" s="52" t="e">
        <f>VLOOKUP(C38,Deaths_since_10!H:I,2,FALSE)</f>
        <v>#N/A</v>
      </c>
      <c r="O38" s="56" t="e">
        <f ca="1">OFFSET(CumulativeDead!B38,-A38,MATCH(Country_Data!N38,CumulativeDead!C38:BU38,0))</f>
        <v>#N/A</v>
      </c>
      <c r="P38" s="52" t="e">
        <f t="shared" ca="1" si="3"/>
        <v>#N/A</v>
      </c>
      <c r="Q38" s="52" t="s">
        <v>610</v>
      </c>
    </row>
    <row r="39" spans="1:17" x14ac:dyDescent="0.3">
      <c r="A39" s="52">
        <v>38</v>
      </c>
      <c r="B39" s="55" t="s">
        <v>57</v>
      </c>
      <c r="C39" s="55" t="s">
        <v>57</v>
      </c>
      <c r="D39" s="52">
        <f>VLOOKUP(C39,Days_Since_100!H:I,2,FALSE)</f>
        <v>102</v>
      </c>
      <c r="E39" s="56">
        <f ca="1">OFFSET(CumulativeConfirmed!A39,-A39,MATCH(Country_Data!D39,CumulativeConfirmed!B39:BU39,0))</f>
        <v>43904</v>
      </c>
      <c r="F39" s="41">
        <f>MAX(CumulativeConfirmed!39:39)</f>
        <v>987</v>
      </c>
      <c r="G39" s="41">
        <f>MAX(CumulativeDead!39:39)</f>
        <v>24</v>
      </c>
      <c r="J39" s="41">
        <v>1380004385</v>
      </c>
      <c r="K39" s="52">
        <v>2.2999999999999998</v>
      </c>
      <c r="L39" s="41">
        <v>31740.100854999997</v>
      </c>
      <c r="M39" s="69">
        <f t="shared" si="2"/>
        <v>2.4316109422492401E-2</v>
      </c>
      <c r="N39" s="52">
        <f>VLOOKUP(C39,Deaths_since_10!H:I,2,FALSE)</f>
        <v>10</v>
      </c>
      <c r="O39" s="56">
        <f ca="1">OFFSET(CumulativeDead!B39,-A39,MATCH(Country_Data!N39,CumulativeDead!C39:BU39,0))</f>
        <v>43913</v>
      </c>
      <c r="P39" s="52">
        <f t="shared" ca="1" si="3"/>
        <v>9</v>
      </c>
      <c r="Q39" s="52" t="s">
        <v>608</v>
      </c>
    </row>
    <row r="40" spans="1:17" x14ac:dyDescent="0.3">
      <c r="A40" s="52">
        <v>39</v>
      </c>
      <c r="B40" s="55" t="s">
        <v>65</v>
      </c>
      <c r="C40" s="55" t="s">
        <v>65</v>
      </c>
      <c r="D40" s="52">
        <f>VLOOKUP(C40,Days_Since_100!H:I,2,FALSE)</f>
        <v>109</v>
      </c>
      <c r="E40" s="56">
        <f ca="1">OFFSET(CumulativeConfirmed!A40,-A40,MATCH(Country_Data!D40,CumulativeConfirmed!B40:BU40,0))</f>
        <v>43904</v>
      </c>
      <c r="F40" s="41">
        <f>MAX(CumulativeConfirmed!40:40)</f>
        <v>576</v>
      </c>
      <c r="G40" s="41">
        <f>MAX(CumulativeDead!40:40)</f>
        <v>36</v>
      </c>
      <c r="J40" s="41">
        <v>102334404</v>
      </c>
      <c r="K40" s="52">
        <v>0</v>
      </c>
      <c r="L40" s="41">
        <v>0</v>
      </c>
      <c r="M40" s="69">
        <f t="shared" si="2"/>
        <v>6.25E-2</v>
      </c>
      <c r="N40" s="52">
        <f>VLOOKUP(C40,Deaths_since_10!H:I,2,FALSE)</f>
        <v>8</v>
      </c>
      <c r="O40" s="56">
        <f ca="1">OFFSET(CumulativeDead!B40,-A40,MATCH(Country_Data!N40,CumulativeDead!C40:BU40,0))</f>
        <v>43910</v>
      </c>
      <c r="P40" s="52">
        <f t="shared" ca="1" si="3"/>
        <v>6</v>
      </c>
      <c r="Q40" s="52" t="s">
        <v>613</v>
      </c>
    </row>
    <row r="41" spans="1:17" x14ac:dyDescent="0.3">
      <c r="A41" s="52">
        <v>40</v>
      </c>
      <c r="B41" s="55" t="s">
        <v>74</v>
      </c>
      <c r="C41" s="55" t="s">
        <v>74</v>
      </c>
      <c r="D41" s="52">
        <f>VLOOKUP(C41,Days_Since_100!H:I,2,FALSE)</f>
        <v>104</v>
      </c>
      <c r="E41" s="56">
        <f ca="1">OFFSET(CumulativeConfirmed!A41,-A41,MATCH(Country_Data!D41,CumulativeConfirmed!B41:BU41,0))</f>
        <v>43904</v>
      </c>
      <c r="F41" s="41">
        <f>MAX(CumulativeConfirmed!41:41)</f>
        <v>235</v>
      </c>
      <c r="G41" s="41">
        <f>MAX(CumulativeDead!41:41)</f>
        <v>0</v>
      </c>
      <c r="J41" s="41">
        <v>4270571</v>
      </c>
      <c r="K41" s="52">
        <v>0</v>
      </c>
      <c r="L41" s="41">
        <v>0</v>
      </c>
      <c r="M41" s="69">
        <f t="shared" si="2"/>
        <v>0</v>
      </c>
      <c r="N41" s="52" t="e">
        <f>VLOOKUP(C41,Deaths_since_10!H:I,2,FALSE)</f>
        <v>#N/A</v>
      </c>
      <c r="O41" s="56" t="e">
        <f ca="1">OFFSET(CumulativeDead!B41,-A41,MATCH(Country_Data!N41,CumulativeDead!C41:BU41,0))</f>
        <v>#N/A</v>
      </c>
      <c r="P41" s="52" t="e">
        <f t="shared" ca="1" si="3"/>
        <v>#N/A</v>
      </c>
      <c r="Q41" s="52" t="s">
        <v>610</v>
      </c>
    </row>
    <row r="42" spans="1:17" x14ac:dyDescent="0.3">
      <c r="A42" s="52">
        <v>41</v>
      </c>
      <c r="B42" s="55" t="s">
        <v>90</v>
      </c>
      <c r="C42" s="55" t="s">
        <v>90</v>
      </c>
      <c r="D42" s="52">
        <f>VLOOKUP(C42,Days_Since_100!H:I,2,FALSE)</f>
        <v>101</v>
      </c>
      <c r="E42" s="56">
        <f ca="1">OFFSET(CumulativeConfirmed!A42,-A42,MATCH(Country_Data!D42,CumulativeConfirmed!B42:BU42,0))</f>
        <v>43905</v>
      </c>
      <c r="F42" s="41">
        <f>MAX(CumulativeConfirmed!42:42)</f>
        <v>224</v>
      </c>
      <c r="G42" s="41">
        <f>MAX(CumulativeDead!42:42)</f>
        <v>22</v>
      </c>
      <c r="J42" s="41">
        <v>33931</v>
      </c>
      <c r="K42" s="52">
        <v>0</v>
      </c>
      <c r="L42" s="41">
        <v>0</v>
      </c>
      <c r="M42" s="69">
        <f t="shared" si="2"/>
        <v>9.8214285714285712E-2</v>
      </c>
      <c r="N42" s="52">
        <f>VLOOKUP(C42,Deaths_since_10!H:I,2,FALSE)</f>
        <v>11</v>
      </c>
      <c r="O42" s="56">
        <f ca="1">OFFSET(CumulativeDead!B42,-A42,MATCH(Country_Data!N42,CumulativeDead!C42:BU42,0))</f>
        <v>43908</v>
      </c>
      <c r="P42" s="52">
        <f t="shared" ca="1" si="3"/>
        <v>3</v>
      </c>
      <c r="Q42" s="52" t="s">
        <v>609</v>
      </c>
    </row>
    <row r="43" spans="1:17" x14ac:dyDescent="0.3">
      <c r="A43" s="52">
        <v>42</v>
      </c>
      <c r="B43" s="55" t="s">
        <v>88</v>
      </c>
      <c r="C43" s="55" t="s">
        <v>88</v>
      </c>
      <c r="D43" s="52">
        <f>VLOOKUP(C43,Days_Since_100!H:I,2,FALSE)</f>
        <v>115</v>
      </c>
      <c r="E43" s="56">
        <f ca="1">OFFSET(CumulativeConfirmed!A43,-A43,MATCH(Country_Data!D43,CumulativeConfirmed!B43:BU43,0))</f>
        <v>43904</v>
      </c>
      <c r="F43" s="41">
        <f>MAX(CumulativeConfirmed!43:43)</f>
        <v>645</v>
      </c>
      <c r="G43" s="41">
        <f>MAX(CumulativeDead!43:43)</f>
        <v>1</v>
      </c>
      <c r="J43" s="41">
        <v>1326535</v>
      </c>
      <c r="K43" s="52">
        <v>14.6</v>
      </c>
      <c r="L43" s="41">
        <v>193.67410999999998</v>
      </c>
      <c r="M43" s="69">
        <f t="shared" si="2"/>
        <v>1.5503875968992248E-3</v>
      </c>
      <c r="N43" s="52" t="e">
        <f>VLOOKUP(C43,Deaths_since_10!H:I,2,FALSE)</f>
        <v>#N/A</v>
      </c>
      <c r="O43" s="56" t="e">
        <f ca="1">OFFSET(CumulativeDead!B43,-A43,MATCH(Country_Data!N43,CumulativeDead!C43:BU43,0))</f>
        <v>#N/A</v>
      </c>
      <c r="P43" s="52" t="e">
        <f t="shared" ca="1" si="3"/>
        <v>#N/A</v>
      </c>
      <c r="Q43" s="52" t="s">
        <v>609</v>
      </c>
    </row>
    <row r="44" spans="1:17" x14ac:dyDescent="0.3">
      <c r="A44" s="52">
        <v>43</v>
      </c>
      <c r="B44" s="55" t="s">
        <v>67</v>
      </c>
      <c r="C44" s="55" t="s">
        <v>67</v>
      </c>
      <c r="D44" s="52">
        <f>VLOOKUP(C44,Days_Since_100!H:I,2,FALSE)</f>
        <v>110</v>
      </c>
      <c r="E44" s="56">
        <f ca="1">OFFSET(CumulativeConfirmed!A44,-A44,MATCH(Country_Data!D44,CumulativeConfirmed!B44:BU44,0))</f>
        <v>43905</v>
      </c>
      <c r="F44" s="41">
        <f>MAX(CumulativeConfirmed!44:44)</f>
        <v>412</v>
      </c>
      <c r="G44" s="41">
        <f>MAX(CumulativeDead!44:44)</f>
        <v>8</v>
      </c>
      <c r="J44" s="41">
        <v>6825445</v>
      </c>
      <c r="K44" s="52">
        <v>0</v>
      </c>
      <c r="L44" s="41">
        <v>0</v>
      </c>
      <c r="M44" s="69">
        <f t="shared" si="2"/>
        <v>1.9417475728155338E-2</v>
      </c>
      <c r="N44" s="52">
        <f>VLOOKUP(C44,Deaths_since_10!H:I,2,FALSE)</f>
        <v>8</v>
      </c>
      <c r="O44" s="56">
        <f ca="1">OFFSET(CumulativeDead!B44,-A44,MATCH(Country_Data!N44,CumulativeDead!C44:BU44,0))</f>
        <v>43917</v>
      </c>
      <c r="P44" s="52">
        <f t="shared" ca="1" si="3"/>
        <v>12</v>
      </c>
      <c r="Q44" s="52" t="s">
        <v>610</v>
      </c>
    </row>
    <row r="45" spans="1:17" x14ac:dyDescent="0.3">
      <c r="A45" s="52">
        <v>44</v>
      </c>
      <c r="B45" s="55" t="s">
        <v>35</v>
      </c>
      <c r="C45" s="55" t="s">
        <v>35</v>
      </c>
      <c r="D45" s="52">
        <f>VLOOKUP(C45,Days_Since_100!H:I,2,FALSE)</f>
        <v>114</v>
      </c>
      <c r="E45" s="56">
        <f ca="1">OFFSET(CumulativeConfirmed!A45,-A45,MATCH(Country_Data!D45,CumulativeConfirmed!B45:BU45,0))</f>
        <v>43905</v>
      </c>
      <c r="F45" s="41">
        <f>MAX(CumulativeConfirmed!45:45)</f>
        <v>1245</v>
      </c>
      <c r="G45" s="41">
        <f>MAX(CumulativeDead!45:45)</f>
        <v>6</v>
      </c>
      <c r="J45" s="41">
        <v>69799978</v>
      </c>
      <c r="K45" s="52">
        <v>0</v>
      </c>
      <c r="L45" s="41">
        <v>0</v>
      </c>
      <c r="M45" s="69">
        <f t="shared" si="2"/>
        <v>4.8192771084337354E-3</v>
      </c>
      <c r="N45" s="52" t="e">
        <f>VLOOKUP(C45,Deaths_since_10!H:I,2,FALSE)</f>
        <v>#N/A</v>
      </c>
      <c r="O45" s="56" t="e">
        <f ca="1">OFFSET(CumulativeDead!B45,-A45,MATCH(Country_Data!N45,CumulativeDead!C45:BU45,0))</f>
        <v>#N/A</v>
      </c>
      <c r="P45" s="52" t="e">
        <f t="shared" ca="1" si="3"/>
        <v>#N/A</v>
      </c>
      <c r="Q45" s="52" t="s">
        <v>608</v>
      </c>
    </row>
    <row r="46" spans="1:17" x14ac:dyDescent="0.3">
      <c r="A46" s="52">
        <v>45</v>
      </c>
      <c r="B46" s="55" t="s">
        <v>107</v>
      </c>
      <c r="C46" s="55" t="s">
        <v>107</v>
      </c>
      <c r="D46" s="52">
        <f>VLOOKUP(C46,Days_Since_100!H:I,2,FALSE)</f>
        <v>117</v>
      </c>
      <c r="E46" s="56">
        <f ca="1">OFFSET(CumulativeConfirmed!A46,-A46,MATCH(Country_Data!D46,CumulativeConfirmed!B46:BU46,0))</f>
        <v>43905</v>
      </c>
      <c r="F46" s="41">
        <f>MAX(CumulativeConfirmed!46:46)</f>
        <v>1155</v>
      </c>
      <c r="G46" s="41">
        <f>MAX(CumulativeDead!46:46)</f>
        <v>102</v>
      </c>
      <c r="J46" s="41">
        <v>273523615</v>
      </c>
      <c r="K46" s="52">
        <v>0</v>
      </c>
      <c r="L46" s="41">
        <v>0</v>
      </c>
      <c r="M46" s="69">
        <f t="shared" si="2"/>
        <v>8.8311688311688313E-2</v>
      </c>
      <c r="N46" s="52">
        <f>VLOOKUP(C46,Deaths_since_10!H:I,2,FALSE)</f>
        <v>19</v>
      </c>
      <c r="O46" s="56">
        <f ca="1">OFFSET(CumulativeDead!B46,-A46,MATCH(Country_Data!N46,CumulativeDead!C46:BU46,0))</f>
        <v>43908</v>
      </c>
      <c r="P46" s="52">
        <f t="shared" ca="1" si="3"/>
        <v>3</v>
      </c>
      <c r="Q46" s="52" t="s">
        <v>608</v>
      </c>
    </row>
    <row r="47" spans="1:17" x14ac:dyDescent="0.3">
      <c r="A47" s="52">
        <v>46</v>
      </c>
      <c r="B47" s="55" t="s">
        <v>137</v>
      </c>
      <c r="C47" s="55" t="s">
        <v>137</v>
      </c>
      <c r="D47" s="52">
        <f>VLOOKUP(C47,Days_Since_100!H:I,2,FALSE)</f>
        <v>103</v>
      </c>
      <c r="E47" s="56">
        <f ca="1">OFFSET(CumulativeConfirmed!A47,-A47,MATCH(Country_Data!D47,CumulativeConfirmed!B47:BU47,0))</f>
        <v>43904</v>
      </c>
      <c r="F47" s="41">
        <f>MAX(CumulativeConfirmed!47:47)</f>
        <v>1638</v>
      </c>
      <c r="G47" s="41">
        <f>MAX(CumulativeDead!47:47)</f>
        <v>18</v>
      </c>
      <c r="H47" s="56">
        <v>43901</v>
      </c>
      <c r="I47" s="56">
        <v>43901</v>
      </c>
      <c r="J47" s="41">
        <v>37846611</v>
      </c>
      <c r="K47" s="52">
        <v>6.9</v>
      </c>
      <c r="L47" s="41">
        <v>2611.4161590000003</v>
      </c>
      <c r="M47" s="69">
        <f t="shared" si="2"/>
        <v>1.098901098901099E-2</v>
      </c>
      <c r="N47" s="52">
        <f>VLOOKUP(C47,Deaths_since_10!H:I,2,FALSE)</f>
        <v>8</v>
      </c>
      <c r="O47" s="56">
        <f ca="1">OFFSET(CumulativeDead!B47,-A47,MATCH(Country_Data!N47,CumulativeDead!C47:BU47,0))</f>
        <v>43913</v>
      </c>
      <c r="P47" s="52">
        <f t="shared" ca="1" si="3"/>
        <v>9</v>
      </c>
      <c r="Q47" s="52" t="s">
        <v>609</v>
      </c>
    </row>
    <row r="48" spans="1:17" x14ac:dyDescent="0.3">
      <c r="A48" s="52">
        <v>47</v>
      </c>
      <c r="B48" s="55" t="s">
        <v>56</v>
      </c>
      <c r="C48" s="55" t="s">
        <v>56</v>
      </c>
      <c r="D48" s="52">
        <f>VLOOKUP(C48,Days_Since_100!H:I,2,FALSE)</f>
        <v>111</v>
      </c>
      <c r="E48" s="56">
        <f ca="1">OFFSET(CumulativeConfirmed!A48,-A48,MATCH(Country_Data!D48,CumulativeConfirmed!B48:BU48,0))</f>
        <v>43904</v>
      </c>
      <c r="F48" s="41">
        <f>MAX(CumulativeConfirmed!48:48)</f>
        <v>1075</v>
      </c>
      <c r="G48" s="41">
        <f>MAX(CumulativeDead!48:48)</f>
        <v>68</v>
      </c>
      <c r="J48" s="41">
        <v>109581078</v>
      </c>
      <c r="K48" s="52">
        <v>0</v>
      </c>
      <c r="L48" s="41">
        <v>0</v>
      </c>
      <c r="M48" s="69">
        <f t="shared" si="2"/>
        <v>6.3255813953488366E-2</v>
      </c>
      <c r="N48" s="52">
        <f>VLOOKUP(C48,Deaths_since_10!H:I,2,FALSE)</f>
        <v>8</v>
      </c>
      <c r="O48" s="56">
        <f ca="1">OFFSET(CumulativeDead!B48,-A48,MATCH(Country_Data!N48,CumulativeDead!C48:BU48,0))</f>
        <v>43904</v>
      </c>
      <c r="P48" s="52">
        <f t="shared" ca="1" si="3"/>
        <v>0</v>
      </c>
      <c r="Q48" s="52" t="s">
        <v>608</v>
      </c>
    </row>
    <row r="49" spans="1:17" x14ac:dyDescent="0.3">
      <c r="A49" s="52">
        <v>48</v>
      </c>
      <c r="B49" s="55" t="s">
        <v>342</v>
      </c>
      <c r="C49" s="55" t="s">
        <v>342</v>
      </c>
      <c r="D49" s="52">
        <f>VLOOKUP(C49,Days_Since_100!H:I,2,FALSE)</f>
        <v>100</v>
      </c>
      <c r="E49" s="56">
        <f ca="1">OFFSET(CumulativeConfirmed!A49,-A49,MATCH(Country_Data!D49,CumulativeConfirmed!B49:BU49,0))</f>
        <v>43908</v>
      </c>
      <c r="F49" s="41">
        <f>MAX(CumulativeConfirmed!49:49)</f>
        <v>283</v>
      </c>
      <c r="G49" s="41">
        <f>MAX(CumulativeDead!49:49)</f>
        <v>2</v>
      </c>
      <c r="J49" s="41">
        <v>23816775</v>
      </c>
      <c r="K49" s="52">
        <v>0</v>
      </c>
      <c r="L49" s="41">
        <v>0</v>
      </c>
      <c r="M49" s="69">
        <f t="shared" si="2"/>
        <v>7.0671378091872791E-3</v>
      </c>
      <c r="N49" s="52" t="e">
        <f>VLOOKUP(C49,Deaths_since_10!H:I,2,FALSE)</f>
        <v>#N/A</v>
      </c>
      <c r="O49" s="56" t="e">
        <f ca="1">OFFSET(CumulativeDead!B49,-A49,MATCH(Country_Data!N49,CumulativeDead!C49:BU49,0))</f>
        <v>#N/A</v>
      </c>
      <c r="P49" s="52" t="e">
        <f t="shared" ca="1" si="3"/>
        <v>#N/A</v>
      </c>
      <c r="Q49" s="52" t="s">
        <v>608</v>
      </c>
    </row>
    <row r="50" spans="1:17" x14ac:dyDescent="0.3">
      <c r="A50" s="52">
        <v>49</v>
      </c>
      <c r="B50" s="55" t="s">
        <v>343</v>
      </c>
      <c r="C50" s="55" t="s">
        <v>343</v>
      </c>
      <c r="D50" s="52">
        <f>VLOOKUP(C50,Days_Since_100!H:I,2,FALSE)</f>
        <v>113</v>
      </c>
      <c r="E50" s="56">
        <f ca="1">OFFSET(CumulativeConfirmed!A50,-A50,MATCH(Country_Data!D50,CumulativeConfirmed!B50:BU50,0))</f>
        <v>43912</v>
      </c>
      <c r="F50" s="41">
        <f>MAX(CumulativeConfirmed!50:50)</f>
        <v>174</v>
      </c>
      <c r="G50" s="41">
        <f>MAX(CumulativeDead!50:50)</f>
        <v>0</v>
      </c>
      <c r="J50" s="41">
        <v>97338579</v>
      </c>
      <c r="K50" s="52" t="s">
        <v>512</v>
      </c>
      <c r="L50" s="41" t="e">
        <v>#VALUE!</v>
      </c>
      <c r="M50" s="69">
        <f t="shared" si="2"/>
        <v>0</v>
      </c>
      <c r="N50" s="52" t="e">
        <f>VLOOKUP(C50,Deaths_since_10!H:I,2,FALSE)</f>
        <v>#N/A</v>
      </c>
      <c r="O50" s="56" t="e">
        <f ca="1">OFFSET(CumulativeDead!B50,-A50,MATCH(Country_Data!N50,CumulativeDead!C50:BU50,0))</f>
        <v>#N/A</v>
      </c>
      <c r="P50" s="52" t="e">
        <f t="shared" ca="1" si="3"/>
        <v>#N/A</v>
      </c>
      <c r="Q50" s="52" t="s">
        <v>608</v>
      </c>
    </row>
    <row r="51" spans="1:17" x14ac:dyDescent="0.3">
      <c r="A51" s="52">
        <v>50</v>
      </c>
      <c r="B51" s="55" t="s">
        <v>344</v>
      </c>
      <c r="C51" s="55" t="s">
        <v>344</v>
      </c>
      <c r="D51" s="52">
        <f>VLOOKUP(C51,Days_Since_100!H:I,2,FALSE)</f>
        <v>114</v>
      </c>
      <c r="E51" s="56">
        <f ca="1">OFFSET(CumulativeConfirmed!A51,-A51,MATCH(Country_Data!D51,CumulativeConfirmed!B51:BU51,0))</f>
        <v>43907</v>
      </c>
      <c r="F51" s="41">
        <f>MAX(CumulativeConfirmed!51:51)</f>
        <v>1264</v>
      </c>
      <c r="G51" s="41">
        <f>MAX(CumulativeDead!51:51)</f>
        <v>4</v>
      </c>
      <c r="J51" s="41">
        <v>145934462</v>
      </c>
      <c r="K51" s="52">
        <v>0</v>
      </c>
      <c r="L51" s="41">
        <v>0</v>
      </c>
      <c r="M51" s="69">
        <f t="shared" si="2"/>
        <v>3.1645569620253164E-3</v>
      </c>
      <c r="N51" s="52" t="e">
        <f>VLOOKUP(C51,Deaths_since_10!H:I,2,FALSE)</f>
        <v>#N/A</v>
      </c>
      <c r="O51" s="56" t="e">
        <f ca="1">OFFSET(CumulativeDead!B51,-A51,MATCH(Country_Data!N51,CumulativeDead!C51:BU51,0))</f>
        <v>#N/A</v>
      </c>
      <c r="P51" s="52" t="e">
        <f t="shared" ca="1" si="3"/>
        <v>#N/A</v>
      </c>
      <c r="Q51" s="52" t="s">
        <v>608</v>
      </c>
    </row>
    <row r="52" spans="1:17" x14ac:dyDescent="0.3">
      <c r="A52" s="52">
        <v>51</v>
      </c>
      <c r="B52" s="55" t="s">
        <v>124</v>
      </c>
      <c r="C52" s="55" t="s">
        <v>124</v>
      </c>
      <c r="D52" s="52">
        <f>VLOOKUP(C52,Days_Since_100!H:I,2,FALSE)</f>
        <v>155</v>
      </c>
      <c r="E52" s="56">
        <f ca="1">OFFSET(CumulativeConfirmed!A52,-A52,MATCH(Country_Data!D52,CumulativeConfirmed!B52:BU52,0))</f>
        <v>43906</v>
      </c>
      <c r="F52" s="41">
        <f>MAX(CumulativeConfirmed!52:52)</f>
        <v>1909</v>
      </c>
      <c r="G52" s="41">
        <f>MAX(CumulativeDead!52:52)</f>
        <v>6</v>
      </c>
      <c r="H52" s="56">
        <v>43905</v>
      </c>
      <c r="I52" s="56">
        <v>43905</v>
      </c>
      <c r="J52" s="41">
        <v>19116201</v>
      </c>
      <c r="K52" s="52">
        <v>7.84</v>
      </c>
      <c r="L52" s="41">
        <v>1500</v>
      </c>
      <c r="M52" s="69">
        <f t="shared" si="2"/>
        <v>3.1430068098480882E-3</v>
      </c>
      <c r="N52" s="52" t="e">
        <f>VLOOKUP(C52,Deaths_since_10!H:I,2,FALSE)</f>
        <v>#N/A</v>
      </c>
      <c r="O52" s="56" t="e">
        <f ca="1">OFFSET(CumulativeDead!B52,-A52,MATCH(Country_Data!N52,CumulativeDead!C52:BU52,0))</f>
        <v>#N/A</v>
      </c>
      <c r="P52" s="52" t="e">
        <f t="shared" ca="1" si="3"/>
        <v>#N/A</v>
      </c>
      <c r="Q52" s="52" t="s">
        <v>612</v>
      </c>
    </row>
    <row r="53" spans="1:17" x14ac:dyDescent="0.3">
      <c r="A53" s="52">
        <v>52</v>
      </c>
      <c r="B53" s="55" t="s">
        <v>233</v>
      </c>
      <c r="C53" s="55" t="s">
        <v>233</v>
      </c>
      <c r="D53" s="52">
        <f>VLOOKUP(C53,Days_Since_100!H:I,2,FALSE)</f>
        <v>104</v>
      </c>
      <c r="E53" s="56">
        <f ca="1">OFFSET(CumulativeConfirmed!A53,-A53,MATCH(Country_Data!D53,CumulativeConfirmed!B53:BU53,0))</f>
        <v>43914</v>
      </c>
      <c r="F53" s="41">
        <f>MAX(CumulativeConfirmed!53:53)</f>
        <v>120</v>
      </c>
      <c r="G53" s="41">
        <f>MAX(CumulativeDead!53:53)</f>
        <v>1</v>
      </c>
      <c r="J53" s="41">
        <v>437479</v>
      </c>
      <c r="K53" s="52" t="s">
        <v>512</v>
      </c>
      <c r="L53" s="41" t="e">
        <v>#VALUE!</v>
      </c>
      <c r="M53" s="69">
        <f t="shared" si="2"/>
        <v>8.3333333333333332E-3</v>
      </c>
      <c r="N53" s="52" t="e">
        <f>VLOOKUP(C53,Deaths_since_10!H:I,2,FALSE)</f>
        <v>#N/A</v>
      </c>
      <c r="O53" s="56" t="e">
        <f ca="1">OFFSET(CumulativeDead!B53,-A53,MATCH(Country_Data!N53,CumulativeDead!C53:BU53,0))</f>
        <v>#N/A</v>
      </c>
      <c r="P53" s="52" t="e">
        <f t="shared" ca="1" si="3"/>
        <v>#N/A</v>
      </c>
      <c r="Q53" s="52" t="s">
        <v>608</v>
      </c>
    </row>
    <row r="54" spans="1:17" x14ac:dyDescent="0.3">
      <c r="A54" s="52">
        <v>53</v>
      </c>
      <c r="B54" s="55" t="s">
        <v>161</v>
      </c>
      <c r="C54" s="55" t="s">
        <v>161</v>
      </c>
      <c r="D54" s="52">
        <f>VLOOKUP(C54,Days_Since_100!H:I,2,FALSE)</f>
        <v>103</v>
      </c>
      <c r="E54" s="56">
        <f ca="1">OFFSET(CumulativeConfirmed!A54,-A54,MATCH(Country_Data!D54,CumulativeConfirmed!B54:BU54,0))</f>
        <v>43909</v>
      </c>
      <c r="F54" s="41">
        <f>MAX(CumulativeConfirmed!54:54)</f>
        <v>659</v>
      </c>
      <c r="G54" s="41">
        <f>MAX(CumulativeDead!54:54)</f>
        <v>10</v>
      </c>
      <c r="J54" s="41">
        <v>8737371</v>
      </c>
      <c r="K54" s="52" t="s">
        <v>512</v>
      </c>
      <c r="L54" s="41" t="e">
        <v>#VALUE!</v>
      </c>
      <c r="M54" s="69">
        <f t="shared" si="2"/>
        <v>1.5174506828528073E-2</v>
      </c>
      <c r="N54" s="52">
        <f>VLOOKUP(C54,Deaths_since_10!H:I,2,FALSE)</f>
        <v>10</v>
      </c>
      <c r="O54" s="56">
        <f ca="1">OFFSET(CumulativeDead!B54,-A54,MATCH(Country_Data!N54,CumulativeDead!C54:BU54,0))</f>
        <v>43918</v>
      </c>
      <c r="P54" s="52">
        <f t="shared" ca="1" si="3"/>
        <v>9</v>
      </c>
      <c r="Q54" s="52" t="s">
        <v>609</v>
      </c>
    </row>
    <row r="55" spans="1:17" x14ac:dyDescent="0.3">
      <c r="A55" s="52">
        <v>54</v>
      </c>
      <c r="B55" s="55" t="s">
        <v>99</v>
      </c>
      <c r="C55" s="55" t="s">
        <v>99</v>
      </c>
      <c r="D55" s="52">
        <f>VLOOKUP(C55,Days_Since_100!H:I,2,FALSE)</f>
        <v>140</v>
      </c>
      <c r="E55" s="56">
        <f ca="1">OFFSET(CumulativeConfirmed!A55,-A55,MATCH(Country_Data!D55,CumulativeConfirmed!B55:BU55,0))</f>
        <v>43907</v>
      </c>
      <c r="F55" s="41">
        <f>MAX(CumulativeConfirmed!55:55)</f>
        <v>1831</v>
      </c>
      <c r="G55" s="41">
        <f>MAX(CumulativeDead!55:55)</f>
        <v>18</v>
      </c>
      <c r="J55" s="41">
        <v>625978</v>
      </c>
      <c r="K55" s="52">
        <v>24.8</v>
      </c>
      <c r="L55" s="41">
        <v>155.24254400000001</v>
      </c>
      <c r="M55" s="69">
        <f t="shared" si="2"/>
        <v>9.8306936100491533E-3</v>
      </c>
      <c r="N55" s="52">
        <f>VLOOKUP(C55,Deaths_since_10!H:I,2,FALSE)</f>
        <v>8</v>
      </c>
      <c r="O55" s="56">
        <f ca="1">OFFSET(CumulativeDead!B55,-A55,MATCH(Country_Data!N55,CumulativeDead!C55:BU55,0))</f>
        <v>43911</v>
      </c>
      <c r="P55" s="52">
        <f t="shared" ca="1" si="3"/>
        <v>4</v>
      </c>
      <c r="Q55" s="52" t="s">
        <v>609</v>
      </c>
    </row>
    <row r="56" spans="1:17" x14ac:dyDescent="0.3">
      <c r="A56" s="52">
        <v>55</v>
      </c>
      <c r="B56" s="55" t="s">
        <v>230</v>
      </c>
      <c r="C56" s="55" t="s">
        <v>230</v>
      </c>
      <c r="D56" s="52">
        <f>VLOOKUP(C56,Days_Since_100!H:I,2,FALSE)</f>
        <v>104</v>
      </c>
      <c r="E56" s="56">
        <f ca="1">OFFSET(CumulativeConfirmed!A56,-A56,MATCH(Country_Data!D56,CumulativeConfirmed!B56:BU56,0))</f>
        <v>43913</v>
      </c>
      <c r="F56" s="41">
        <f>MAX(CumulativeConfirmed!56:56)</f>
        <v>197</v>
      </c>
      <c r="G56" s="41">
        <f>MAX(CumulativeDead!56:56)</f>
        <v>10</v>
      </c>
      <c r="J56" s="41">
        <v>2877797</v>
      </c>
      <c r="K56" s="52" t="s">
        <v>512</v>
      </c>
      <c r="L56" s="41" t="e">
        <v>#VALUE!</v>
      </c>
      <c r="M56" s="69">
        <f t="shared" si="2"/>
        <v>5.0761421319796954E-2</v>
      </c>
      <c r="N56" s="52">
        <f>VLOOKUP(C56,Deaths_since_10!H:I,2,FALSE)</f>
        <v>8</v>
      </c>
      <c r="O56" s="56">
        <f ca="1">OFFSET(CumulativeDead!B56,-A56,MATCH(Country_Data!N56,CumulativeDead!C56:BU56,0))</f>
        <v>43917</v>
      </c>
      <c r="P56" s="52">
        <f t="shared" ca="1" si="3"/>
        <v>4</v>
      </c>
      <c r="Q56" s="52" t="s">
        <v>609</v>
      </c>
    </row>
    <row r="57" spans="1:17" x14ac:dyDescent="0.3">
      <c r="A57" s="52">
        <v>56</v>
      </c>
      <c r="B57" s="55" t="s">
        <v>76</v>
      </c>
      <c r="C57" s="55" t="s">
        <v>76</v>
      </c>
      <c r="D57" s="52">
        <f>VLOOKUP(C57,Days_Since_100!H:I,2,FALSE)</f>
        <v>105</v>
      </c>
      <c r="E57" s="56">
        <f ca="1">OFFSET(CumulativeConfirmed!A57,-A57,MATCH(Country_Data!D57,CumulativeConfirmed!B57:BU57,0))</f>
        <v>43909</v>
      </c>
      <c r="F57" s="41">
        <f>MAX(CumulativeConfirmed!57:57)</f>
        <v>657</v>
      </c>
      <c r="G57" s="41">
        <f>MAX(CumulativeDead!57:57)</f>
        <v>5</v>
      </c>
      <c r="J57" s="41">
        <v>4105267</v>
      </c>
      <c r="K57" s="52">
        <v>14.7</v>
      </c>
      <c r="L57" s="41">
        <v>603.47424899999999</v>
      </c>
      <c r="M57" s="69">
        <f t="shared" si="2"/>
        <v>7.6103500761035003E-3</v>
      </c>
      <c r="N57" s="52" t="e">
        <f>VLOOKUP(C57,Deaths_since_10!H:I,2,FALSE)</f>
        <v>#N/A</v>
      </c>
      <c r="O57" s="56" t="e">
        <f ca="1">OFFSET(CumulativeDead!B57,-A57,MATCH(Country_Data!N57,CumulativeDead!C57:BU57,0))</f>
        <v>#N/A</v>
      </c>
      <c r="P57" s="52" t="e">
        <f t="shared" ca="1" si="3"/>
        <v>#N/A</v>
      </c>
      <c r="Q57" s="52" t="s">
        <v>609</v>
      </c>
    </row>
    <row r="58" spans="1:17" x14ac:dyDescent="0.3">
      <c r="A58" s="52">
        <v>57</v>
      </c>
      <c r="B58" s="55" t="s">
        <v>162</v>
      </c>
      <c r="C58" s="55" t="s">
        <v>162</v>
      </c>
      <c r="D58" s="52">
        <f>VLOOKUP(C58,Days_Since_100!H:I,2,FALSE)</f>
        <v>105</v>
      </c>
      <c r="E58" s="56">
        <f ca="1">OFFSET(CumulativeConfirmed!A58,-A58,MATCH(Country_Data!D58,CumulativeConfirmed!B58:BU58,0))</f>
        <v>43908</v>
      </c>
      <c r="F58" s="41">
        <f>MAX(CumulativeConfirmed!58:58)</f>
        <v>292</v>
      </c>
      <c r="G58" s="41">
        <f>MAX(CumulativeDead!58:58)</f>
        <v>1</v>
      </c>
      <c r="J58" s="41">
        <v>5459642</v>
      </c>
      <c r="K58" s="52">
        <v>9.1999999999999993</v>
      </c>
      <c r="L58" s="41">
        <v>502.28706399999999</v>
      </c>
      <c r="M58" s="69">
        <f t="shared" si="2"/>
        <v>3.4246575342465752E-3</v>
      </c>
      <c r="N58" s="52" t="e">
        <f>VLOOKUP(C58,Deaths_since_10!H:I,2,FALSE)</f>
        <v>#N/A</v>
      </c>
      <c r="O58" s="56" t="e">
        <f ca="1">OFFSET(CumulativeDead!B58,-A58,MATCH(Country_Data!N58,CumulativeDead!C58:BU58,0))</f>
        <v>#N/A</v>
      </c>
      <c r="P58" s="52" t="e">
        <f t="shared" ca="1" si="3"/>
        <v>#N/A</v>
      </c>
      <c r="Q58" s="52" t="s">
        <v>609</v>
      </c>
    </row>
    <row r="59" spans="1:17" x14ac:dyDescent="0.3">
      <c r="A59" s="52">
        <v>58</v>
      </c>
      <c r="B59" s="55" t="s">
        <v>123</v>
      </c>
      <c r="C59" s="55" t="s">
        <v>123</v>
      </c>
      <c r="D59" s="52">
        <f>VLOOKUP(C59,Days_Since_100!H:I,2,FALSE)</f>
        <v>128</v>
      </c>
      <c r="E59" s="56">
        <f ca="1">OFFSET(CumulativeConfirmed!A59,-A59,MATCH(Country_Data!D59,CumulativeConfirmed!B59:BU59,0))</f>
        <v>43910</v>
      </c>
      <c r="F59" s="41">
        <f>MAX(CumulativeConfirmed!59:59)</f>
        <v>690</v>
      </c>
      <c r="G59" s="41">
        <f>MAX(CumulativeDead!59:59)</f>
        <v>18</v>
      </c>
      <c r="J59" s="41">
        <v>45195774</v>
      </c>
      <c r="K59" s="52" t="s">
        <v>512</v>
      </c>
      <c r="L59" s="41" t="e">
        <v>#VALUE!</v>
      </c>
      <c r="M59" s="69">
        <f t="shared" si="2"/>
        <v>2.6086956521739129E-2</v>
      </c>
      <c r="N59" s="52">
        <f>VLOOKUP(C59,Deaths_since_10!H:I,2,FALSE)</f>
        <v>8</v>
      </c>
      <c r="O59" s="56">
        <f ca="1">OFFSET(CumulativeDead!B59,-A59,MATCH(Country_Data!N59,CumulativeDead!C59:BU59,0))</f>
        <v>43915</v>
      </c>
      <c r="P59" s="52">
        <f t="shared" ca="1" si="3"/>
        <v>5</v>
      </c>
      <c r="Q59" s="52" t="s">
        <v>612</v>
      </c>
    </row>
    <row r="60" spans="1:17" x14ac:dyDescent="0.3">
      <c r="A60" s="52">
        <v>59</v>
      </c>
      <c r="B60" s="55" t="s">
        <v>80</v>
      </c>
      <c r="C60" s="55" t="s">
        <v>80</v>
      </c>
      <c r="D60" s="52">
        <f>VLOOKUP(C60,Days_Since_100!H:I,2,FALSE)</f>
        <v>136</v>
      </c>
      <c r="E60" s="56">
        <f ca="1">OFFSET(CumulativeConfirmed!A60,-A60,MATCH(Country_Data!D60,CumulativeConfirmed!B60:BU60,0))</f>
        <v>43906</v>
      </c>
      <c r="F60" s="41">
        <f>MAX(CumulativeConfirmed!60:60)</f>
        <v>1495</v>
      </c>
      <c r="G60" s="41">
        <f>MAX(CumulativeDead!60:60)</f>
        <v>12</v>
      </c>
      <c r="J60" s="41">
        <v>220892340</v>
      </c>
      <c r="K60" s="52">
        <v>0</v>
      </c>
      <c r="L60" s="41">
        <v>0</v>
      </c>
      <c r="M60" s="69">
        <f t="shared" si="2"/>
        <v>8.0267558528428085E-3</v>
      </c>
      <c r="N60" s="52">
        <f>VLOOKUP(C60,Deaths_since_10!H:I,2,FALSE)</f>
        <v>8</v>
      </c>
      <c r="O60" s="56">
        <f ca="1">OFFSET(CumulativeDead!B60,-A60,MATCH(Country_Data!N60,CumulativeDead!C60:BU60,0))</f>
        <v>43915</v>
      </c>
      <c r="P60" s="52">
        <f t="shared" ca="1" si="3"/>
        <v>9</v>
      </c>
      <c r="Q60" s="52" t="s">
        <v>608</v>
      </c>
    </row>
    <row r="61" spans="1:17" x14ac:dyDescent="0.3">
      <c r="A61" s="52">
        <v>60</v>
      </c>
      <c r="B61" s="55" t="s">
        <v>160</v>
      </c>
      <c r="C61" s="55" t="s">
        <v>160</v>
      </c>
      <c r="D61" s="52">
        <f>VLOOKUP(C61,Days_Since_100!H:I,2,FALSE)</f>
        <v>117</v>
      </c>
      <c r="E61" s="56">
        <f ca="1">OFFSET(CumulativeConfirmed!A61,-A61,MATCH(Country_Data!D61,CumulativeConfirmed!B61:BU61,0))</f>
        <v>43907</v>
      </c>
      <c r="F61" s="41">
        <f>MAX(CumulativeConfirmed!61:61)</f>
        <v>671</v>
      </c>
      <c r="G61" s="41">
        <f>MAX(CumulativeDead!61:61)</f>
        <v>16</v>
      </c>
      <c r="J61" s="41">
        <v>32971854</v>
      </c>
      <c r="K61" s="52">
        <v>0</v>
      </c>
      <c r="L61" s="41">
        <v>0</v>
      </c>
      <c r="M61" s="69">
        <f t="shared" si="2"/>
        <v>2.3845007451564829E-2</v>
      </c>
      <c r="N61" s="52">
        <f>VLOOKUP(C61,Deaths_since_10!H:I,2,FALSE)</f>
        <v>9</v>
      </c>
      <c r="O61" s="56">
        <f ca="1">OFFSET(CumulativeDead!B61,-A61,MATCH(Country_Data!N61,CumulativeDead!C61:BU61,0))</f>
        <v>43915</v>
      </c>
      <c r="P61" s="52">
        <f t="shared" ca="1" si="3"/>
        <v>8</v>
      </c>
      <c r="Q61" s="52" t="s">
        <v>612</v>
      </c>
    </row>
    <row r="62" spans="1:17" x14ac:dyDescent="0.3">
      <c r="A62" s="52">
        <v>61</v>
      </c>
      <c r="B62" s="55" t="s">
        <v>91</v>
      </c>
      <c r="C62" s="55" t="s">
        <v>91</v>
      </c>
      <c r="D62" s="52" t="e">
        <f>VLOOKUP(C62,Days_Since_100!H:I,2,FALSE)</f>
        <v>#N/A</v>
      </c>
      <c r="E62" s="56" t="e">
        <f ca="1">OFFSET(CumulativeConfirmed!A62,-A62,MATCH(Country_Data!D62,CumulativeConfirmed!B62:BU62,0))</f>
        <v>#N/A</v>
      </c>
      <c r="F62" s="41">
        <f>MAX(CumulativeConfirmed!62:62)</f>
        <v>94</v>
      </c>
      <c r="G62" s="41">
        <f>MAX(CumulativeDead!62:62)</f>
        <v>0</v>
      </c>
      <c r="J62" s="41">
        <v>9449323</v>
      </c>
      <c r="K62" s="52" t="s">
        <v>512</v>
      </c>
      <c r="L62" s="41" t="e">
        <v>#VALUE!</v>
      </c>
      <c r="M62" s="69">
        <f t="shared" si="2"/>
        <v>0</v>
      </c>
      <c r="N62" s="52" t="e">
        <f>VLOOKUP(C62,Deaths_since_10!H:I,2,FALSE)</f>
        <v>#N/A</v>
      </c>
      <c r="O62" s="56" t="e">
        <f ca="1">OFFSET(CumulativeDead!B62,-A62,MATCH(Country_Data!N62,CumulativeDead!C62:BU62,0))</f>
        <v>#N/A</v>
      </c>
      <c r="P62" s="52" t="e">
        <f t="shared" ca="1" si="3"/>
        <v>#N/A</v>
      </c>
      <c r="Q62" s="52" t="s">
        <v>609</v>
      </c>
    </row>
    <row r="63" spans="1:17" x14ac:dyDescent="0.3">
      <c r="A63" s="52">
        <v>62</v>
      </c>
      <c r="B63" s="55" t="s">
        <v>283</v>
      </c>
      <c r="C63" s="55" t="s">
        <v>283</v>
      </c>
      <c r="D63" s="52">
        <f>VLOOKUP(C63,Days_Since_100!H:I,2,FALSE)</f>
        <v>109</v>
      </c>
      <c r="E63" s="56">
        <f ca="1">OFFSET(CumulativeConfirmed!A63,-A63,MATCH(Country_Data!D63,CumulativeConfirmed!B63:BU63,0))</f>
        <v>43909</v>
      </c>
      <c r="F63" s="41">
        <f>MAX(CumulativeConfirmed!63:63)</f>
        <v>786</v>
      </c>
      <c r="G63" s="41">
        <f>MAX(CumulativeDead!63:63)</f>
        <v>14</v>
      </c>
      <c r="J63" s="41">
        <v>4314767</v>
      </c>
      <c r="K63" s="52" t="s">
        <v>512</v>
      </c>
      <c r="L63" s="41" t="e">
        <v>#VALUE!</v>
      </c>
      <c r="M63" s="69">
        <f t="shared" si="2"/>
        <v>1.7811704834605598E-2</v>
      </c>
      <c r="N63" s="52">
        <f>VLOOKUP(C63,Deaths_since_10!H:I,2,FALSE)</f>
        <v>8</v>
      </c>
      <c r="O63" s="56">
        <f ca="1">OFFSET(CumulativeDead!B63,-A63,MATCH(Country_Data!N63,CumulativeDead!C63:BU63,0))</f>
        <v>43915</v>
      </c>
      <c r="P63" s="52">
        <f t="shared" ca="1" si="3"/>
        <v>6</v>
      </c>
      <c r="Q63" s="52" t="s">
        <v>611</v>
      </c>
    </row>
    <row r="64" spans="1:17" x14ac:dyDescent="0.3">
      <c r="A64" s="52">
        <v>63</v>
      </c>
      <c r="B64" s="55" t="s">
        <v>75</v>
      </c>
      <c r="C64" s="55" t="s">
        <v>75</v>
      </c>
      <c r="D64" s="52">
        <f>VLOOKUP(C64,Days_Since_100!H:I,2,FALSE)</f>
        <v>139</v>
      </c>
      <c r="E64" s="56">
        <f ca="1">OFFSET(CumulativeConfirmed!A64,-A64,MATCH(Country_Data!D64,CumulativeConfirmed!B64:BU64,0))</f>
        <v>43911</v>
      </c>
      <c r="F64" s="41">
        <f>MAX(CumulativeConfirmed!64:64)</f>
        <v>454</v>
      </c>
      <c r="G64" s="41">
        <f>MAX(CumulativeDead!64:64)</f>
        <v>29</v>
      </c>
      <c r="J64" s="41">
        <v>43851044</v>
      </c>
      <c r="K64" s="52" t="s">
        <v>512</v>
      </c>
      <c r="L64" s="41" t="e">
        <v>#VALUE!</v>
      </c>
      <c r="M64" s="69">
        <f t="shared" si="2"/>
        <v>6.3876651982378851E-2</v>
      </c>
      <c r="N64" s="52">
        <f>VLOOKUP(C64,Deaths_since_10!H:I,2,FALSE)</f>
        <v>9</v>
      </c>
      <c r="O64" s="56">
        <f ca="1">OFFSET(CumulativeDead!B64,-A64,MATCH(Country_Data!N64,CumulativeDead!C64:BU64,0))</f>
        <v>43909</v>
      </c>
      <c r="P64" s="52">
        <f t="shared" ca="1" si="3"/>
        <v>-2</v>
      </c>
      <c r="Q64" s="52" t="s">
        <v>613</v>
      </c>
    </row>
    <row r="65" spans="1:17" x14ac:dyDescent="0.3">
      <c r="A65" s="52">
        <v>64</v>
      </c>
      <c r="B65" s="55" t="s">
        <v>82</v>
      </c>
      <c r="C65" s="55" t="s">
        <v>82</v>
      </c>
      <c r="D65" s="52" t="e">
        <f>VLOOKUP(C65,Days_Since_100!H:I,2,FALSE)</f>
        <v>#N/A</v>
      </c>
      <c r="E65" s="56" t="e">
        <f ca="1">OFFSET(CumulativeConfirmed!A65,-A65,MATCH(Country_Data!D65,CumulativeConfirmed!B65:BU65,0))</f>
        <v>#N/A</v>
      </c>
      <c r="F65" s="41">
        <f>MAX(CumulativeConfirmed!65:65)</f>
        <v>90</v>
      </c>
      <c r="G65" s="41">
        <f>MAX(CumulativeDead!65:65)</f>
        <v>0</v>
      </c>
      <c r="J65" s="41">
        <v>3989167</v>
      </c>
      <c r="K65" s="52" t="s">
        <v>512</v>
      </c>
      <c r="L65" s="41" t="e">
        <v>#VALUE!</v>
      </c>
      <c r="M65" s="69">
        <f t="shared" si="2"/>
        <v>0</v>
      </c>
      <c r="N65" s="52" t="e">
        <f>VLOOKUP(C65,Deaths_since_10!H:I,2,FALSE)</f>
        <v>#N/A</v>
      </c>
      <c r="O65" s="56" t="e">
        <f ca="1">OFFSET(CumulativeDead!B65,-A65,MATCH(Country_Data!N65,CumulativeDead!C65:BU65,0))</f>
        <v>#N/A</v>
      </c>
      <c r="P65" s="52" t="e">
        <f t="shared" ca="1" si="3"/>
        <v>#N/A</v>
      </c>
      <c r="Q65" s="52" t="s">
        <v>609</v>
      </c>
    </row>
    <row r="66" spans="1:17" x14ac:dyDescent="0.3">
      <c r="A66" s="52">
        <v>65</v>
      </c>
      <c r="B66" s="55" t="s">
        <v>145</v>
      </c>
      <c r="C66" s="55" t="s">
        <v>145</v>
      </c>
      <c r="D66" s="52">
        <f>VLOOKUP(C66,Days_Since_100!H:I,2,FALSE)</f>
        <v>116</v>
      </c>
      <c r="E66" s="56">
        <f ca="1">OFFSET(CumulativeConfirmed!A66,-A66,MATCH(Country_Data!D66,CumulativeConfirmed!B66:BU66,0))</f>
        <v>43908</v>
      </c>
      <c r="F66" s="41">
        <f>MAX(CumulativeConfirmed!66:66)</f>
        <v>1187</v>
      </c>
      <c r="G66" s="41">
        <f>MAX(CumulativeDead!66:66)</f>
        <v>1</v>
      </c>
      <c r="J66" s="41">
        <v>59308690</v>
      </c>
      <c r="K66" s="52">
        <v>0</v>
      </c>
      <c r="L66" s="41">
        <v>0</v>
      </c>
      <c r="M66" s="69">
        <f t="shared" ref="M66:M97" si="4">G66/F66</f>
        <v>8.4245998315080029E-4</v>
      </c>
      <c r="N66" s="52" t="e">
        <f>VLOOKUP(C66,Deaths_since_10!H:I,2,FALSE)</f>
        <v>#N/A</v>
      </c>
      <c r="O66" s="56" t="e">
        <f ca="1">OFFSET(CumulativeDead!B66,-A66,MATCH(Country_Data!N66,CumulativeDead!C66:BU66,0))</f>
        <v>#N/A</v>
      </c>
      <c r="P66" s="52" t="e">
        <f t="shared" ref="P66:P97" ca="1" si="5">O66-E66</f>
        <v>#N/A</v>
      </c>
      <c r="Q66" s="52" t="s">
        <v>613</v>
      </c>
    </row>
    <row r="67" spans="1:17" x14ac:dyDescent="0.3">
      <c r="A67" s="52">
        <v>66</v>
      </c>
      <c r="B67" s="55" t="s">
        <v>199</v>
      </c>
      <c r="C67" s="55" t="s">
        <v>199</v>
      </c>
      <c r="D67" s="52">
        <f>VLOOKUP(C67,Days_Since_100!H:I,2,FALSE)</f>
        <v>127</v>
      </c>
      <c r="E67" s="56">
        <f ca="1">OFFSET(CumulativeConfirmed!A67,-A67,MATCH(Country_Data!D67,CumulativeConfirmed!B67:BU67,0))</f>
        <v>43910</v>
      </c>
      <c r="F67" s="41">
        <f>MAX(CumulativeConfirmed!67:67)</f>
        <v>331</v>
      </c>
      <c r="G67" s="41">
        <f>MAX(CumulativeDead!67:67)</f>
        <v>7</v>
      </c>
      <c r="J67" s="41">
        <v>6948445</v>
      </c>
      <c r="K67" s="52">
        <v>12.2</v>
      </c>
      <c r="L67" s="41">
        <v>847.71028999999987</v>
      </c>
      <c r="M67" s="69">
        <f t="shared" si="4"/>
        <v>2.1148036253776436E-2</v>
      </c>
      <c r="N67" s="52" t="e">
        <f>VLOOKUP(C67,Deaths_since_10!H:I,2,FALSE)</f>
        <v>#N/A</v>
      </c>
      <c r="O67" s="56" t="e">
        <f ca="1">OFFSET(CumulativeDead!B67,-A67,MATCH(Country_Data!N67,CumulativeDead!C67:BU67,0))</f>
        <v>#N/A</v>
      </c>
      <c r="P67" s="52" t="e">
        <f t="shared" ca="1" si="5"/>
        <v>#N/A</v>
      </c>
      <c r="Q67" s="52" t="s">
        <v>609</v>
      </c>
    </row>
    <row r="68" spans="1:17" x14ac:dyDescent="0.3">
      <c r="A68" s="52">
        <v>67</v>
      </c>
      <c r="B68" s="55" t="s">
        <v>159</v>
      </c>
      <c r="C68" s="55" t="s">
        <v>159</v>
      </c>
      <c r="D68" s="52">
        <f>VLOOKUP(C68,Days_Since_100!H:I,2,FALSE)</f>
        <v>117</v>
      </c>
      <c r="E68" s="56">
        <f ca="1">OFFSET(CumulativeConfirmed!A68,-A68,MATCH(Country_Data!D68,CumulativeConfirmed!B68:BU68,0))</f>
        <v>43911</v>
      </c>
      <c r="F68" s="41">
        <f>MAX(CumulativeConfirmed!68:68)</f>
        <v>295</v>
      </c>
      <c r="G68" s="41">
        <f>MAX(CumulativeDead!68:68)</f>
        <v>2</v>
      </c>
      <c r="J68" s="41">
        <v>5094118</v>
      </c>
      <c r="K68" s="52" t="s">
        <v>512</v>
      </c>
      <c r="L68" s="41" t="e">
        <v>#VALUE!</v>
      </c>
      <c r="M68" s="69">
        <f t="shared" si="4"/>
        <v>6.7796610169491523E-3</v>
      </c>
      <c r="N68" s="52" t="e">
        <f>VLOOKUP(C68,Deaths_since_10!H:I,2,FALSE)</f>
        <v>#N/A</v>
      </c>
      <c r="O68" s="56" t="e">
        <f ca="1">OFFSET(CumulativeDead!B68,-A68,MATCH(Country_Data!N68,CumulativeDead!C68:BU68,0))</f>
        <v>#N/A</v>
      </c>
      <c r="P68" s="52" t="e">
        <f t="shared" ca="1" si="5"/>
        <v>#N/A</v>
      </c>
      <c r="Q68" s="52" t="s">
        <v>611</v>
      </c>
    </row>
    <row r="69" spans="1:17" x14ac:dyDescent="0.3">
      <c r="A69" s="52">
        <v>68</v>
      </c>
      <c r="B69" s="55" t="s">
        <v>132</v>
      </c>
      <c r="C69" s="55" t="s">
        <v>132</v>
      </c>
      <c r="D69" s="52">
        <f>VLOOKUP(C69,Days_Since_100!H:I,2,FALSE)</f>
        <v>103</v>
      </c>
      <c r="E69" s="56">
        <f ca="1">OFFSET(CumulativeConfirmed!A69,-A69,MATCH(Country_Data!D69,CumulativeConfirmed!B69:BU69,0))</f>
        <v>43911</v>
      </c>
      <c r="F69" s="41">
        <f>MAX(CumulativeConfirmed!69:69)</f>
        <v>343</v>
      </c>
      <c r="G69" s="41">
        <f>MAX(CumulativeDead!69:69)</f>
        <v>11</v>
      </c>
      <c r="H69" s="56">
        <v>43913</v>
      </c>
      <c r="I69" s="56">
        <v>43913</v>
      </c>
      <c r="J69" s="41">
        <v>9660351</v>
      </c>
      <c r="K69" s="52">
        <v>13.8</v>
      </c>
      <c r="L69" s="41">
        <v>1333.128438</v>
      </c>
      <c r="M69" s="69">
        <f t="shared" si="4"/>
        <v>3.2069970845481049E-2</v>
      </c>
      <c r="N69" s="52">
        <f>VLOOKUP(C69,Deaths_since_10!H:I,2,FALSE)</f>
        <v>9</v>
      </c>
      <c r="O69" s="56">
        <f ca="1">OFFSET(CumulativeDead!B69,-A69,MATCH(Country_Data!N69,CumulativeDead!C69:BU69,0))</f>
        <v>43914</v>
      </c>
      <c r="P69" s="52">
        <f t="shared" ca="1" si="5"/>
        <v>3</v>
      </c>
      <c r="Q69" s="52" t="s">
        <v>609</v>
      </c>
    </row>
    <row r="70" spans="1:17" x14ac:dyDescent="0.3">
      <c r="A70" s="52">
        <v>69</v>
      </c>
      <c r="B70" s="55" t="s">
        <v>71</v>
      </c>
      <c r="C70" s="55" t="s">
        <v>71</v>
      </c>
      <c r="D70" s="52">
        <f>VLOOKUP(C70,Days_Since_100!H:I,2,FALSE)</f>
        <v>109</v>
      </c>
      <c r="E70" s="56">
        <f ca="1">OFFSET(CumulativeConfirmed!A70,-A70,MATCH(Country_Data!D70,CumulativeConfirmed!B70:BU70,0))</f>
        <v>43916</v>
      </c>
      <c r="F70" s="41">
        <f>MAX(CumulativeConfirmed!70:70)</f>
        <v>152</v>
      </c>
      <c r="G70" s="41">
        <f>MAX(CumulativeDead!70:70)</f>
        <v>0</v>
      </c>
      <c r="J70" s="41">
        <v>5106626</v>
      </c>
      <c r="K70" s="52" t="s">
        <v>512</v>
      </c>
      <c r="L70" s="41" t="e">
        <v>#VALUE!</v>
      </c>
      <c r="M70" s="69">
        <f t="shared" si="4"/>
        <v>0</v>
      </c>
      <c r="N70" s="52" t="e">
        <f>VLOOKUP(C70,Deaths_since_10!H:I,2,FALSE)</f>
        <v>#N/A</v>
      </c>
      <c r="O70" s="56" t="e">
        <f ca="1">OFFSET(CumulativeDead!B70,-A70,MATCH(Country_Data!N70,CumulativeDead!C70:BU70,0))</f>
        <v>#N/A</v>
      </c>
      <c r="P70" s="52" t="e">
        <f t="shared" ca="1" si="5"/>
        <v>#N/A</v>
      </c>
      <c r="Q70" s="52" t="s">
        <v>610</v>
      </c>
    </row>
    <row r="71" spans="1:17" x14ac:dyDescent="0.3">
      <c r="A71" s="52">
        <v>70</v>
      </c>
      <c r="B71" s="55" t="s">
        <v>103</v>
      </c>
      <c r="C71" s="55" t="s">
        <v>103</v>
      </c>
      <c r="D71" s="52">
        <f>VLOOKUP(C71,Days_Since_100!H:I,2,FALSE)</f>
        <v>111</v>
      </c>
      <c r="E71" s="56">
        <f ca="1">OFFSET(CumulativeConfirmed!A71,-A71,MATCH(Country_Data!D71,CumulativeConfirmed!B71:BU71,0))</f>
        <v>43908</v>
      </c>
      <c r="F71" s="41">
        <f>MAX(CumulativeConfirmed!71:71)</f>
        <v>1823</v>
      </c>
      <c r="G71" s="41">
        <f>MAX(CumulativeDead!71:71)</f>
        <v>48</v>
      </c>
      <c r="J71" s="41">
        <v>17643054</v>
      </c>
      <c r="K71" s="52">
        <v>0</v>
      </c>
      <c r="L71" s="41">
        <v>0</v>
      </c>
      <c r="M71" s="69">
        <f t="shared" si="4"/>
        <v>2.6330224904004388E-2</v>
      </c>
      <c r="N71" s="52">
        <f>VLOOKUP(C71,Deaths_since_10!H:I,2,FALSE)</f>
        <v>14</v>
      </c>
      <c r="O71" s="56">
        <f ca="1">OFFSET(CumulativeDead!B71,-A71,MATCH(Country_Data!N71,CumulativeDead!C71:BU71,0))</f>
        <v>43912</v>
      </c>
      <c r="P71" s="52">
        <f t="shared" ca="1" si="5"/>
        <v>4</v>
      </c>
      <c r="Q71" s="52" t="s">
        <v>612</v>
      </c>
    </row>
    <row r="72" spans="1:17" x14ac:dyDescent="0.3">
      <c r="A72" s="52">
        <v>71</v>
      </c>
      <c r="B72" s="55" t="s">
        <v>111</v>
      </c>
      <c r="C72" s="55" t="s">
        <v>111</v>
      </c>
      <c r="D72" s="52">
        <f>VLOOKUP(C72,Days_Since_100!H:I,2,FALSE)</f>
        <v>111</v>
      </c>
      <c r="E72" s="56">
        <f ca="1">OFFSET(CumulativeConfirmed!A72,-A72,MATCH(Country_Data!D72,CumulativeConfirmed!B72:BU72,0))</f>
        <v>43910</v>
      </c>
      <c r="F72" s="41">
        <f>MAX(CumulativeConfirmed!72:72)</f>
        <v>305</v>
      </c>
      <c r="G72" s="41">
        <f>MAX(CumulativeDead!72:72)</f>
        <v>0</v>
      </c>
      <c r="J72" s="41">
        <v>1886198</v>
      </c>
      <c r="K72" s="52">
        <v>9.6999999999999993</v>
      </c>
      <c r="L72" s="41">
        <v>182.96120599999998</v>
      </c>
      <c r="M72" s="69">
        <f t="shared" si="4"/>
        <v>0</v>
      </c>
      <c r="N72" s="52" t="e">
        <f>VLOOKUP(C72,Deaths_since_10!H:I,2,FALSE)</f>
        <v>#N/A</v>
      </c>
      <c r="O72" s="56" t="e">
        <f ca="1">OFFSET(CumulativeDead!B72,-A72,MATCH(Country_Data!N72,CumulativeDead!C72:BU72,0))</f>
        <v>#N/A</v>
      </c>
      <c r="P72" s="52" t="e">
        <f t="shared" ca="1" si="5"/>
        <v>#N/A</v>
      </c>
      <c r="Q72" s="52" t="s">
        <v>609</v>
      </c>
    </row>
    <row r="73" spans="1:17" x14ac:dyDescent="0.3">
      <c r="A73" s="52">
        <v>72</v>
      </c>
      <c r="B73" s="55" t="s">
        <v>138</v>
      </c>
      <c r="C73" s="55" t="s">
        <v>138</v>
      </c>
      <c r="D73" s="52">
        <f>VLOOKUP(C73,Days_Since_100!H:I,2,FALSE)</f>
        <v>114</v>
      </c>
      <c r="E73" s="56">
        <f ca="1">OFFSET(CumulativeConfirmed!A73,-A73,MATCH(Country_Data!D73,CumulativeConfirmed!B73:BU73,0))</f>
        <v>43914</v>
      </c>
      <c r="F73" s="41">
        <f>MAX(CumulativeConfirmed!73:73)</f>
        <v>278</v>
      </c>
      <c r="G73" s="41">
        <f>MAX(CumulativeDead!73:73)</f>
        <v>8</v>
      </c>
      <c r="J73" s="41">
        <v>11818619</v>
      </c>
      <c r="K73" s="52" t="s">
        <v>512</v>
      </c>
      <c r="L73" s="41" t="e">
        <v>#VALUE!</v>
      </c>
      <c r="M73" s="69">
        <f t="shared" si="4"/>
        <v>2.8776978417266189E-2</v>
      </c>
      <c r="N73" s="52">
        <f>VLOOKUP(C73,Deaths_since_10!H:I,2,FALSE)</f>
        <v>8</v>
      </c>
      <c r="O73" s="56">
        <f ca="1">OFFSET(CumulativeDead!B73,-A73,MATCH(Country_Data!N73,CumulativeDead!C73:BU73,0))</f>
        <v>43918</v>
      </c>
      <c r="P73" s="52">
        <f t="shared" ca="1" si="5"/>
        <v>4</v>
      </c>
      <c r="Q73" s="52" t="s">
        <v>613</v>
      </c>
    </row>
    <row r="74" spans="1:17" x14ac:dyDescent="0.3">
      <c r="A74" s="52">
        <v>73</v>
      </c>
      <c r="B74" s="55" t="s">
        <v>104</v>
      </c>
      <c r="C74" s="55" t="s">
        <v>104</v>
      </c>
      <c r="D74" s="52">
        <f>VLOOKUP(C74,Days_Since_100!H:I,2,FALSE)</f>
        <v>122</v>
      </c>
      <c r="E74" s="56">
        <f ca="1">OFFSET(CumulativeConfirmed!A74,-A74,MATCH(Country_Data!D74,CumulativeConfirmed!B74:BU74,0))</f>
        <v>43916</v>
      </c>
      <c r="F74" s="41">
        <f>MAX(CumulativeConfirmed!74:74)</f>
        <v>182</v>
      </c>
      <c r="G74" s="41">
        <f>MAX(CumulativeDead!74:74)</f>
        <v>4</v>
      </c>
      <c r="J74" s="41">
        <v>10139177</v>
      </c>
      <c r="K74" s="52" t="s">
        <v>512</v>
      </c>
      <c r="L74" s="41" t="e">
        <v>#VALUE!</v>
      </c>
      <c r="M74" s="69">
        <f t="shared" si="4"/>
        <v>2.197802197802198E-2</v>
      </c>
      <c r="N74" s="52" t="e">
        <f>VLOOKUP(C74,Deaths_since_10!H:I,2,FALSE)</f>
        <v>#N/A</v>
      </c>
      <c r="O74" s="56" t="e">
        <f ca="1">OFFSET(CumulativeDead!B74,-A74,MATCH(Country_Data!N74,CumulativeDead!C74:BU74,0))</f>
        <v>#N/A</v>
      </c>
      <c r="P74" s="52" t="e">
        <f t="shared" ca="1" si="5"/>
        <v>#N/A</v>
      </c>
      <c r="Q74" s="52" t="s">
        <v>608</v>
      </c>
    </row>
    <row r="75" spans="1:17" x14ac:dyDescent="0.3">
      <c r="A75" s="52">
        <v>74</v>
      </c>
      <c r="B75" s="55" t="s">
        <v>231</v>
      </c>
      <c r="C75" s="55" t="s">
        <v>231</v>
      </c>
      <c r="D75" s="52">
        <f>VLOOKUP(C75,Days_Since_100!H:I,2,FALSE)</f>
        <v>116</v>
      </c>
      <c r="E75" s="56">
        <f ca="1">OFFSET(CumulativeConfirmed!A75,-A75,MATCH(Country_Data!D75,CumulativeConfirmed!B75:BU75,0))</f>
        <v>43913</v>
      </c>
      <c r="F75" s="41">
        <f>MAX(CumulativeConfirmed!75:75)</f>
        <v>179</v>
      </c>
      <c r="G75" s="41">
        <f>MAX(CumulativeDead!75:75)</f>
        <v>5</v>
      </c>
      <c r="J75" s="41">
        <v>1207359</v>
      </c>
      <c r="K75" s="52">
        <v>11.4</v>
      </c>
      <c r="L75" s="41">
        <v>137.638926</v>
      </c>
      <c r="M75" s="69">
        <f t="shared" si="4"/>
        <v>2.7932960893854747E-2</v>
      </c>
      <c r="N75" s="52" t="e">
        <f>VLOOKUP(C75,Deaths_since_10!H:I,2,FALSE)</f>
        <v>#N/A</v>
      </c>
      <c r="O75" s="56" t="e">
        <f ca="1">OFFSET(CumulativeDead!B75,-A75,MATCH(Country_Data!N75,CumulativeDead!C75:BU75,0))</f>
        <v>#N/A</v>
      </c>
      <c r="P75" s="52" t="e">
        <f t="shared" ca="1" si="5"/>
        <v>#N/A</v>
      </c>
      <c r="Q75" s="52" t="s">
        <v>609</v>
      </c>
    </row>
    <row r="76" spans="1:17" x14ac:dyDescent="0.3">
      <c r="A76" s="52">
        <v>75</v>
      </c>
      <c r="B76" s="55" t="s">
        <v>84</v>
      </c>
      <c r="C76" s="55" t="s">
        <v>84</v>
      </c>
      <c r="D76" s="52">
        <f>VLOOKUP(C76,Days_Since_100!H:I,2,FALSE)</f>
        <v>115</v>
      </c>
      <c r="E76" s="56">
        <f ca="1">OFFSET(CumulativeConfirmed!A76,-A76,MATCH(Country_Data!D76,CumulativeConfirmed!B76:BU76,0))</f>
        <v>43912</v>
      </c>
      <c r="F76" s="41">
        <f>MAX(CumulativeConfirmed!76:76)</f>
        <v>241</v>
      </c>
      <c r="G76" s="41">
        <f>MAX(CumulativeDead!76:76)</f>
        <v>4</v>
      </c>
      <c r="J76" s="41">
        <v>2083374</v>
      </c>
      <c r="K76" s="52" t="s">
        <v>512</v>
      </c>
      <c r="L76" s="41" t="e">
        <v>#VALUE!</v>
      </c>
      <c r="M76" s="69">
        <f t="shared" si="4"/>
        <v>1.6597510373443983E-2</v>
      </c>
      <c r="N76" s="52" t="e">
        <f>VLOOKUP(C76,Deaths_since_10!H:I,2,FALSE)</f>
        <v>#N/A</v>
      </c>
      <c r="O76" s="56" t="e">
        <f ca="1">OFFSET(CumulativeDead!B76,-A76,MATCH(Country_Data!N76,CumulativeDead!C76:BU76,0))</f>
        <v>#N/A</v>
      </c>
      <c r="P76" s="52" t="e">
        <f t="shared" ca="1" si="5"/>
        <v>#N/A</v>
      </c>
      <c r="Q76" s="52" t="s">
        <v>609</v>
      </c>
    </row>
    <row r="77" spans="1:17" x14ac:dyDescent="0.3">
      <c r="A77" s="52">
        <v>76</v>
      </c>
      <c r="B77" s="55" t="s">
        <v>140</v>
      </c>
      <c r="C77" s="55" t="s">
        <v>140</v>
      </c>
      <c r="D77" s="52">
        <f>VLOOKUP(C77,Days_Since_100!H:I,2,FALSE)</f>
        <v>126</v>
      </c>
      <c r="E77" s="56">
        <f ca="1">OFFSET(CumulativeConfirmed!A77,-A77,MATCH(Country_Data!D77,CumulativeConfirmed!B77:BU77,0))</f>
        <v>43912</v>
      </c>
      <c r="F77" s="41">
        <f>MAX(CumulativeConfirmed!77:77)</f>
        <v>258</v>
      </c>
      <c r="G77" s="41">
        <f>MAX(CumulativeDead!77:77)</f>
        <v>5</v>
      </c>
      <c r="J77" s="41">
        <v>3280819</v>
      </c>
      <c r="K77" s="52" t="s">
        <v>512</v>
      </c>
      <c r="L77" s="41" t="e">
        <v>#VALUE!</v>
      </c>
      <c r="M77" s="69">
        <f t="shared" si="4"/>
        <v>1.937984496124031E-2</v>
      </c>
      <c r="N77" s="52" t="e">
        <f>VLOOKUP(C77,Deaths_since_10!H:I,2,FALSE)</f>
        <v>#N/A</v>
      </c>
      <c r="O77" s="56" t="e">
        <f ca="1">OFFSET(CumulativeDead!B77,-A77,MATCH(Country_Data!N77,CumulativeDead!C77:BU77,0))</f>
        <v>#N/A</v>
      </c>
      <c r="P77" s="52" t="e">
        <f t="shared" ca="1" si="5"/>
        <v>#N/A</v>
      </c>
      <c r="Q77" s="52" t="s">
        <v>609</v>
      </c>
    </row>
    <row r="78" spans="1:17" x14ac:dyDescent="0.3">
      <c r="A78" s="52">
        <v>77</v>
      </c>
      <c r="B78" s="55" t="s">
        <v>158</v>
      </c>
      <c r="C78" s="55" t="s">
        <v>158</v>
      </c>
      <c r="D78" s="52">
        <f>VLOOKUP(C78,Days_Since_100!H:I,2,FALSE)</f>
        <v>102</v>
      </c>
      <c r="E78" s="56">
        <f ca="1">OFFSET(CumulativeConfirmed!A78,-A78,MATCH(Country_Data!D78,CumulativeConfirmed!B78:BU78,0))</f>
        <v>43909</v>
      </c>
      <c r="F78" s="41">
        <f>MAX(CumulativeConfirmed!78:78)</f>
        <v>608</v>
      </c>
      <c r="G78" s="41">
        <f>MAX(CumulativeDead!78:78)</f>
        <v>6</v>
      </c>
      <c r="J78" s="41">
        <v>50882891</v>
      </c>
      <c r="K78" s="52" t="s">
        <v>512</v>
      </c>
      <c r="L78" s="41" t="e">
        <v>#VALUE!</v>
      </c>
      <c r="M78" s="69">
        <f t="shared" si="4"/>
        <v>9.8684210526315784E-3</v>
      </c>
      <c r="N78" s="52" t="e">
        <f>VLOOKUP(C78,Deaths_since_10!H:I,2,FALSE)</f>
        <v>#N/A</v>
      </c>
      <c r="O78" s="56" t="e">
        <f ca="1">OFFSET(CumulativeDead!B78,-A78,MATCH(Country_Data!N78,CumulativeDead!C78:BU78,0))</f>
        <v>#N/A</v>
      </c>
      <c r="P78" s="52" t="e">
        <f t="shared" ca="1" si="5"/>
        <v>#N/A</v>
      </c>
      <c r="Q78" s="52" t="s">
        <v>612</v>
      </c>
    </row>
    <row r="79" spans="1:17" x14ac:dyDescent="0.3">
      <c r="A79" s="52">
        <v>78</v>
      </c>
      <c r="B79" s="55" t="s">
        <v>177</v>
      </c>
      <c r="C79" s="55" t="s">
        <v>177</v>
      </c>
      <c r="D79" s="52">
        <f>VLOOKUP(C79,Days_Since_100!H:I,2,FALSE)</f>
        <v>107</v>
      </c>
      <c r="E79" s="56">
        <f ca="1">OFFSET(CumulativeConfirmed!A79,-A79,MATCH(Country_Data!D79,CumulativeConfirmed!B79:BU79,0))</f>
        <v>43913</v>
      </c>
      <c r="F79" s="41">
        <f>MAX(CumulativeConfirmed!79:79)</f>
        <v>149</v>
      </c>
      <c r="G79" s="41">
        <f>MAX(CumulativeDead!79:79)</f>
        <v>0</v>
      </c>
      <c r="J79" s="41">
        <v>441543</v>
      </c>
      <c r="K79" s="52" t="s">
        <v>512</v>
      </c>
      <c r="L79" s="41" t="e">
        <v>#VALUE!</v>
      </c>
      <c r="M79" s="69">
        <f t="shared" si="4"/>
        <v>0</v>
      </c>
      <c r="N79" s="52" t="e">
        <f>VLOOKUP(C79,Deaths_since_10!H:I,2,FALSE)</f>
        <v>#N/A</v>
      </c>
      <c r="O79" s="56" t="e">
        <f ca="1">OFFSET(CumulativeDead!B79,-A79,MATCH(Country_Data!N79,CumulativeDead!C79:BU79,0))</f>
        <v>#N/A</v>
      </c>
      <c r="P79" s="52" t="e">
        <f t="shared" ca="1" si="5"/>
        <v>#N/A</v>
      </c>
      <c r="Q79" s="52" t="s">
        <v>609</v>
      </c>
    </row>
    <row r="80" spans="1:17" x14ac:dyDescent="0.3">
      <c r="A80" s="52">
        <v>79</v>
      </c>
      <c r="B80" s="55" t="s">
        <v>94</v>
      </c>
      <c r="C80" s="55" t="s">
        <v>94</v>
      </c>
      <c r="D80" s="52">
        <f>VLOOKUP(C80,Days_Since_100!H:I,2,FALSE)</f>
        <v>118</v>
      </c>
      <c r="E80" s="56">
        <f ca="1">OFFSET(CumulativeConfirmed!A80,-A80,MATCH(Country_Data!D80,CumulativeConfirmed!B80:BU80,0))</f>
        <v>43909</v>
      </c>
      <c r="F80" s="41">
        <f>MAX(CumulativeConfirmed!80:80)</f>
        <v>717</v>
      </c>
      <c r="G80" s="41">
        <f>MAX(CumulativeDead!80:80)</f>
        <v>12</v>
      </c>
      <c r="J80" s="41">
        <v>128932753</v>
      </c>
      <c r="K80" s="52" t="s">
        <v>512</v>
      </c>
      <c r="L80" s="41" t="e">
        <v>#VALUE!</v>
      </c>
      <c r="M80" s="69">
        <f t="shared" si="4"/>
        <v>1.6736401673640166E-2</v>
      </c>
      <c r="N80" s="52">
        <f>VLOOKUP(C80,Deaths_since_10!H:I,2,FALSE)</f>
        <v>8</v>
      </c>
      <c r="O80" s="56">
        <f ca="1">OFFSET(CumulativeDead!B80,-A80,MATCH(Country_Data!N80,CumulativeDead!C80:BU80,0))</f>
        <v>43917</v>
      </c>
      <c r="P80" s="52">
        <f t="shared" ca="1" si="5"/>
        <v>8</v>
      </c>
      <c r="Q80" s="52" t="s">
        <v>611</v>
      </c>
    </row>
    <row r="81" spans="1:17" x14ac:dyDescent="0.3">
      <c r="A81" s="52">
        <v>80</v>
      </c>
      <c r="B81" s="55" t="s">
        <v>114</v>
      </c>
      <c r="C81" s="55" t="s">
        <v>114</v>
      </c>
      <c r="D81" s="52">
        <f>VLOOKUP(C81,Days_Since_100!H:I,2,FALSE)</f>
        <v>105</v>
      </c>
      <c r="E81" s="56">
        <f ca="1">OFFSET(CumulativeConfirmed!A81,-A81,MATCH(Country_Data!D81,CumulativeConfirmed!B81:BU81,0))</f>
        <v>43916</v>
      </c>
      <c r="F81" s="41">
        <f>MAX(CumulativeConfirmed!81:81)</f>
        <v>130</v>
      </c>
      <c r="G81" s="41">
        <f>MAX(CumulativeDead!81:81)</f>
        <v>0</v>
      </c>
      <c r="J81" s="41">
        <v>16743927</v>
      </c>
      <c r="K81" s="52" t="s">
        <v>512</v>
      </c>
      <c r="L81" s="41" t="e">
        <v>#VALUE!</v>
      </c>
      <c r="M81" s="69">
        <f t="shared" si="4"/>
        <v>0</v>
      </c>
      <c r="N81" s="52" t="e">
        <f>VLOOKUP(C81,Deaths_since_10!H:I,2,FALSE)</f>
        <v>#N/A</v>
      </c>
      <c r="O81" s="56" t="e">
        <f ca="1">OFFSET(CumulativeDead!B81,-A81,MATCH(Country_Data!N81,CumulativeDead!C81:BU81,0))</f>
        <v>#N/A</v>
      </c>
      <c r="P81" s="52" t="e">
        <f t="shared" ca="1" si="5"/>
        <v>#N/A</v>
      </c>
      <c r="Q81" s="52" t="s">
        <v>613</v>
      </c>
    </row>
    <row r="82" spans="1:17" x14ac:dyDescent="0.3">
      <c r="A82" s="52">
        <v>81</v>
      </c>
      <c r="B82" s="55" t="s">
        <v>200</v>
      </c>
      <c r="C82" s="55" t="s">
        <v>200</v>
      </c>
      <c r="D82" s="52" t="e">
        <f>VLOOKUP(C82,Days_Since_100!H:I,2,FALSE)</f>
        <v>#N/A</v>
      </c>
      <c r="E82" s="56" t="e">
        <f ca="1">OFFSET(CumulativeConfirmed!A82,-A82,MATCH(Country_Data!D82,CumulativeConfirmed!B82:BU82,0))</f>
        <v>#N/A</v>
      </c>
      <c r="F82" s="41">
        <f>MAX(CumulativeConfirmed!82:82)</f>
        <v>16</v>
      </c>
      <c r="G82" s="41">
        <f>MAX(CumulativeDead!82:82)</f>
        <v>0</v>
      </c>
      <c r="J82" s="41">
        <v>540544</v>
      </c>
      <c r="K82" s="52" t="s">
        <v>512</v>
      </c>
      <c r="L82" s="41" t="e">
        <v>#VALUE!</v>
      </c>
      <c r="M82" s="69">
        <f t="shared" si="4"/>
        <v>0</v>
      </c>
      <c r="N82" s="52" t="e">
        <f>VLOOKUP(C82,Deaths_since_10!H:I,2,FALSE)</f>
        <v>#N/A</v>
      </c>
      <c r="O82" s="56" t="e">
        <f ca="1">OFFSET(CumulativeDead!B82,-A82,MATCH(Country_Data!N82,CumulativeDead!C82:BU82,0))</f>
        <v>#N/A</v>
      </c>
      <c r="P82" s="52" t="e">
        <f t="shared" ca="1" si="5"/>
        <v>#N/A</v>
      </c>
      <c r="Q82" s="52" t="s">
        <v>608</v>
      </c>
    </row>
    <row r="83" spans="1:17" x14ac:dyDescent="0.3">
      <c r="A83" s="52">
        <v>82</v>
      </c>
      <c r="B83" s="55" t="s">
        <v>105</v>
      </c>
      <c r="C83" s="55" t="s">
        <v>105</v>
      </c>
      <c r="D83" s="52">
        <f>VLOOKUP(C83,Days_Since_100!H:I,2,FALSE)</f>
        <v>115</v>
      </c>
      <c r="E83" s="56">
        <f ca="1">OFFSET(CumulativeConfirmed!A83,-A83,MATCH(Country_Data!D83,CumulativeConfirmed!B83:BU83,0))</f>
        <v>43909</v>
      </c>
      <c r="F83" s="41">
        <f>MAX(CumulativeConfirmed!83:83)</f>
        <v>407</v>
      </c>
      <c r="G83" s="41">
        <f>MAX(CumulativeDead!83:83)</f>
        <v>1</v>
      </c>
      <c r="J83" s="41">
        <v>2963243</v>
      </c>
      <c r="K83" s="52" t="s">
        <v>512</v>
      </c>
      <c r="L83" s="41" t="e">
        <v>#VALUE!</v>
      </c>
      <c r="M83" s="69">
        <f t="shared" si="4"/>
        <v>2.4570024570024569E-3</v>
      </c>
      <c r="N83" s="52" t="e">
        <f>VLOOKUP(C83,Deaths_since_10!H:I,2,FALSE)</f>
        <v>#N/A</v>
      </c>
      <c r="O83" s="56" t="e">
        <f ca="1">OFFSET(CumulativeDead!B83,-A83,MATCH(Country_Data!N83,CumulativeDead!C83:BU83,0))</f>
        <v>#N/A</v>
      </c>
      <c r="P83" s="52" t="e">
        <f t="shared" ca="1" si="5"/>
        <v>#N/A</v>
      </c>
      <c r="Q83" s="52" t="s">
        <v>609</v>
      </c>
    </row>
    <row r="84" spans="1:17" x14ac:dyDescent="0.3">
      <c r="A84" s="52">
        <v>83</v>
      </c>
      <c r="B84" s="55" t="s">
        <v>353</v>
      </c>
      <c r="C84" s="55" t="s">
        <v>353</v>
      </c>
      <c r="D84" s="52" t="e">
        <f>VLOOKUP(C84,Days_Since_100!H:I,2,FALSE)</f>
        <v>#N/A</v>
      </c>
      <c r="E84" s="56" t="e">
        <f ca="1">OFFSET(CumulativeConfirmed!A84,-A84,MATCH(Country_Data!D84,CumulativeConfirmed!B84:BU84,0))</f>
        <v>#N/A</v>
      </c>
      <c r="F84" s="41">
        <f>MAX(CumulativeConfirmed!84:84)</f>
        <v>30</v>
      </c>
      <c r="G84" s="41">
        <f>MAX(CumulativeDead!84:84)</f>
        <v>1</v>
      </c>
      <c r="J84" s="41">
        <v>2961167</v>
      </c>
      <c r="K84" s="52" t="s">
        <v>512</v>
      </c>
      <c r="L84" s="41" t="e">
        <v>#VALUE!</v>
      </c>
      <c r="M84" s="69">
        <f t="shared" si="4"/>
        <v>3.3333333333333333E-2</v>
      </c>
      <c r="N84" s="52" t="e">
        <f>VLOOKUP(C84,Deaths_since_10!H:I,2,FALSE)</f>
        <v>#N/A</v>
      </c>
      <c r="O84" s="56" t="e">
        <f ca="1">OFFSET(CumulativeDead!B84,-A84,MATCH(Country_Data!N84,CumulativeDead!C84:BU84,0))</f>
        <v>#N/A</v>
      </c>
      <c r="P84" s="52" t="e">
        <f t="shared" ca="1" si="5"/>
        <v>#N/A</v>
      </c>
      <c r="Q84" s="52" t="s">
        <v>611</v>
      </c>
    </row>
    <row r="85" spans="1:17" x14ac:dyDescent="0.3">
      <c r="A85" s="52">
        <v>84</v>
      </c>
      <c r="B85" s="55" t="s">
        <v>72</v>
      </c>
      <c r="C85" s="55" t="s">
        <v>72</v>
      </c>
      <c r="D85" s="52">
        <f>VLOOKUP(C85,Days_Since_100!H:I,2,FALSE)</f>
        <v>110</v>
      </c>
      <c r="E85" s="56">
        <f ca="1">OFFSET(CumulativeConfirmed!A85,-A85,MATCH(Country_Data!D85,CumulativeConfirmed!B85:BU85,0))</f>
        <v>43917</v>
      </c>
      <c r="F85" s="41">
        <f>MAX(CumulativeConfirmed!85:85)</f>
        <v>110</v>
      </c>
      <c r="G85" s="41">
        <f>MAX(CumulativeDead!85:85)</f>
        <v>4</v>
      </c>
      <c r="J85" s="41">
        <v>38928346</v>
      </c>
      <c r="K85" s="52" t="s">
        <v>512</v>
      </c>
      <c r="L85" s="41" t="e">
        <v>#VALUE!</v>
      </c>
      <c r="M85" s="69">
        <f t="shared" si="4"/>
        <v>3.6363636363636362E-2</v>
      </c>
      <c r="N85" s="52" t="e">
        <f>VLOOKUP(C85,Deaths_since_10!H:I,2,FALSE)</f>
        <v>#N/A</v>
      </c>
      <c r="O85" s="56" t="e">
        <f ca="1">OFFSET(CumulativeDead!B85,-A85,MATCH(Country_Data!N85,CumulativeDead!C85:BU85,0))</f>
        <v>#N/A</v>
      </c>
      <c r="P85" s="52" t="e">
        <f t="shared" ca="1" si="5"/>
        <v>#N/A</v>
      </c>
      <c r="Q85" s="52" t="s">
        <v>610</v>
      </c>
    </row>
    <row r="86" spans="1:17" x14ac:dyDescent="0.3">
      <c r="A86" s="52">
        <v>85</v>
      </c>
      <c r="B86" s="55" t="s">
        <v>112</v>
      </c>
      <c r="C86" s="55" t="s">
        <v>112</v>
      </c>
      <c r="D86" s="52">
        <f>VLOOKUP(C86,Days_Since_100!H:I,2,FALSE)</f>
        <v>115</v>
      </c>
      <c r="E86" s="56">
        <f ca="1">OFFSET(CumulativeConfirmed!A86,-A86,MATCH(Country_Data!D86,CumulativeConfirmed!B86:BU86,0))</f>
        <v>43912</v>
      </c>
      <c r="F86" s="41">
        <f>MAX(CumulativeConfirmed!86:86)</f>
        <v>402</v>
      </c>
      <c r="G86" s="41">
        <f>MAX(CumulativeDead!86:86)</f>
        <v>25</v>
      </c>
      <c r="J86" s="41">
        <v>36910560</v>
      </c>
      <c r="K86" s="52" t="s">
        <v>512</v>
      </c>
      <c r="L86" s="41" t="e">
        <v>#VALUE!</v>
      </c>
      <c r="M86" s="69">
        <f t="shared" si="4"/>
        <v>6.2189054726368161E-2</v>
      </c>
      <c r="N86" s="52">
        <f>VLOOKUP(C86,Deaths_since_10!H:I,2,FALSE)</f>
        <v>11</v>
      </c>
      <c r="O86" s="56">
        <f ca="1">OFFSET(CumulativeDead!B86,-A86,MATCH(Country_Data!N86,CumulativeDead!C86:BU86,0))</f>
        <v>43916</v>
      </c>
      <c r="P86" s="52">
        <f t="shared" ca="1" si="5"/>
        <v>4</v>
      </c>
      <c r="Q86" s="52" t="s">
        <v>613</v>
      </c>
    </row>
    <row r="87" spans="1:17" x14ac:dyDescent="0.3">
      <c r="A87" s="52">
        <v>86</v>
      </c>
      <c r="B87" s="55" t="s">
        <v>93</v>
      </c>
      <c r="C87" s="55" t="s">
        <v>93</v>
      </c>
      <c r="D87" s="52">
        <f>VLOOKUP(C87,Days_Since_100!H:I,2,FALSE)</f>
        <v>143</v>
      </c>
      <c r="E87" s="56">
        <f ca="1">OFFSET(CumulativeConfirmed!A87,-A87,MATCH(Country_Data!D87,CumulativeConfirmed!B87:BU87,0))</f>
        <v>43912</v>
      </c>
      <c r="F87" s="41">
        <f>MAX(CumulativeConfirmed!87:87)</f>
        <v>394</v>
      </c>
      <c r="G87" s="41">
        <f>MAX(CumulativeDead!87:87)</f>
        <v>7</v>
      </c>
      <c r="J87" s="41">
        <v>2722289</v>
      </c>
      <c r="K87" s="52">
        <v>15.5</v>
      </c>
      <c r="L87" s="41">
        <v>421.95479499999999</v>
      </c>
      <c r="M87" s="69">
        <f t="shared" si="4"/>
        <v>1.7766497461928935E-2</v>
      </c>
      <c r="N87" s="52" t="e">
        <f>VLOOKUP(C87,Deaths_since_10!H:I,2,FALSE)</f>
        <v>#N/A</v>
      </c>
      <c r="O87" s="56" t="e">
        <f ca="1">OFFSET(CumulativeDead!B87,-A87,MATCH(Country_Data!N87,CumulativeDead!C87:BU87,0))</f>
        <v>#N/A</v>
      </c>
      <c r="P87" s="52" t="e">
        <f t="shared" ca="1" si="5"/>
        <v>#N/A</v>
      </c>
      <c r="Q87" s="52" t="s">
        <v>609</v>
      </c>
    </row>
    <row r="88" spans="1:17" x14ac:dyDescent="0.3">
      <c r="A88" s="52">
        <v>87</v>
      </c>
      <c r="B88" s="55" t="s">
        <v>345</v>
      </c>
      <c r="C88" s="55" t="s">
        <v>345</v>
      </c>
      <c r="D88" s="52">
        <f>VLOOKUP(C88,Days_Since_100!H:I,2,FALSE)</f>
        <v>109</v>
      </c>
      <c r="E88" s="56">
        <f ca="1">OFFSET(CumulativeConfirmed!A88,-A88,MATCH(Country_Data!D88,CumulativeConfirmed!B88:BU88,0))</f>
        <v>43913</v>
      </c>
      <c r="F88" s="41">
        <f>MAX(CumulativeConfirmed!88:88)</f>
        <v>231</v>
      </c>
      <c r="G88" s="41">
        <f>MAX(CumulativeDead!88:88)</f>
        <v>2</v>
      </c>
      <c r="J88" s="41">
        <v>4033963</v>
      </c>
      <c r="K88" s="52" t="s">
        <v>512</v>
      </c>
      <c r="L88" s="41" t="e">
        <v>#VALUE!</v>
      </c>
      <c r="M88" s="69">
        <f t="shared" si="4"/>
        <v>8.658008658008658E-3</v>
      </c>
      <c r="N88" s="52" t="e">
        <f>VLOOKUP(C88,Deaths_since_10!H:I,2,FALSE)</f>
        <v>#N/A</v>
      </c>
      <c r="O88" s="56" t="e">
        <f ca="1">OFFSET(CumulativeDead!B88,-A88,MATCH(Country_Data!N88,CumulativeDead!C88:BU88,0))</f>
        <v>#N/A</v>
      </c>
      <c r="P88" s="52" t="e">
        <f t="shared" ca="1" si="5"/>
        <v>#N/A</v>
      </c>
      <c r="Q88" s="52" t="s">
        <v>609</v>
      </c>
    </row>
    <row r="89" spans="1:17" x14ac:dyDescent="0.3">
      <c r="A89" s="52">
        <v>88</v>
      </c>
      <c r="B89" s="55" t="s">
        <v>206</v>
      </c>
      <c r="C89" s="55" t="s">
        <v>206</v>
      </c>
      <c r="D89" s="52" t="e">
        <f>VLOOKUP(C89,Days_Since_100!H:I,2,FALSE)</f>
        <v>#N/A</v>
      </c>
      <c r="E89" s="56" t="e">
        <f ca="1">OFFSET(CumulativeConfirmed!A89,-A89,MATCH(Country_Data!D89,CumulativeConfirmed!B89:BU89,0))</f>
        <v>#N/A</v>
      </c>
      <c r="F89" s="41">
        <f>MAX(CumulativeConfirmed!89:89)</f>
        <v>56</v>
      </c>
      <c r="G89" s="41">
        <f>MAX(CumulativeDead!89:89)</f>
        <v>3</v>
      </c>
      <c r="J89" s="41">
        <v>7132538</v>
      </c>
      <c r="K89" s="52" t="s">
        <v>512</v>
      </c>
      <c r="L89" s="41" t="e">
        <v>#VALUE!</v>
      </c>
      <c r="M89" s="69">
        <f t="shared" si="4"/>
        <v>5.3571428571428568E-2</v>
      </c>
      <c r="N89" s="52" t="e">
        <f>VLOOKUP(C89,Deaths_since_10!H:I,2,FALSE)</f>
        <v>#N/A</v>
      </c>
      <c r="O89" s="56" t="e">
        <f ca="1">OFFSET(CumulativeDead!B89,-A89,MATCH(Country_Data!N89,CumulativeDead!C89:BU89,0))</f>
        <v>#N/A</v>
      </c>
      <c r="P89" s="52" t="e">
        <f t="shared" ca="1" si="5"/>
        <v>#N/A</v>
      </c>
      <c r="Q89" s="52" t="s">
        <v>612</v>
      </c>
    </row>
    <row r="90" spans="1:17" x14ac:dyDescent="0.3">
      <c r="A90" s="52">
        <v>89</v>
      </c>
      <c r="B90" s="55" t="s">
        <v>52</v>
      </c>
      <c r="C90" s="55" t="s">
        <v>52</v>
      </c>
      <c r="D90" s="52">
        <f>VLOOKUP(C90,Days_Since_100!H:I,2,FALSE)</f>
        <v>102</v>
      </c>
      <c r="E90" s="56">
        <f ca="1">OFFSET(CumulativeConfirmed!A90,-A90,MATCH(Country_Data!D90,CumulativeConfirmed!B90:BU90,0))</f>
        <v>43914</v>
      </c>
      <c r="F90" s="41">
        <f>MAX(CumulativeConfirmed!90:90)</f>
        <v>113</v>
      </c>
      <c r="G90" s="41">
        <f>MAX(CumulativeDead!90:90)</f>
        <v>1</v>
      </c>
      <c r="J90" s="41">
        <v>21413249</v>
      </c>
      <c r="K90" s="52" t="s">
        <v>512</v>
      </c>
      <c r="L90" s="41" t="e">
        <v>#VALUE!</v>
      </c>
      <c r="M90" s="69">
        <f t="shared" si="4"/>
        <v>8.8495575221238937E-3</v>
      </c>
      <c r="N90" s="52" t="e">
        <f>VLOOKUP(C90,Deaths_since_10!H:I,2,FALSE)</f>
        <v>#N/A</v>
      </c>
      <c r="O90" s="56" t="e">
        <f ca="1">OFFSET(CumulativeDead!B90,-A90,MATCH(Country_Data!N90,CumulativeDead!C90:BU90,0))</f>
        <v>#N/A</v>
      </c>
      <c r="P90" s="52" t="e">
        <f t="shared" ca="1" si="5"/>
        <v>#N/A</v>
      </c>
      <c r="Q90" s="52" t="s">
        <v>608</v>
      </c>
    </row>
    <row r="91" spans="1:17" x14ac:dyDescent="0.3">
      <c r="A91" s="52">
        <v>90</v>
      </c>
      <c r="B91" s="55" t="s">
        <v>51</v>
      </c>
      <c r="C91" s="55" t="s">
        <v>51</v>
      </c>
      <c r="D91" s="52" t="e">
        <f>VLOOKUP(C91,Days_Since_100!H:I,2,FALSE)</f>
        <v>#N/A</v>
      </c>
      <c r="E91" s="56" t="e">
        <f ca="1">OFFSET(CumulativeConfirmed!A91,-A91,MATCH(Country_Data!D91,CumulativeConfirmed!B91:BU91,0))</f>
        <v>#N/A</v>
      </c>
      <c r="F91" s="41">
        <f>MAX(CumulativeConfirmed!91:91)</f>
        <v>99</v>
      </c>
      <c r="G91" s="41">
        <f>MAX(CumulativeDead!91:91)</f>
        <v>0</v>
      </c>
      <c r="J91" s="41">
        <v>16718965</v>
      </c>
      <c r="K91" s="52" t="s">
        <v>512</v>
      </c>
      <c r="L91" s="41" t="e">
        <v>#VALUE!</v>
      </c>
      <c r="M91" s="69">
        <f t="shared" si="4"/>
        <v>0</v>
      </c>
      <c r="N91" s="52" t="e">
        <f>VLOOKUP(C91,Deaths_since_10!H:I,2,FALSE)</f>
        <v>#N/A</v>
      </c>
      <c r="O91" s="56" t="e">
        <f ca="1">OFFSET(CumulativeDead!B91,-A91,MATCH(Country_Data!N91,CumulativeDead!C91:BU91,0))</f>
        <v>#N/A</v>
      </c>
      <c r="P91" s="52" t="e">
        <f t="shared" ca="1" si="5"/>
        <v>#N/A</v>
      </c>
      <c r="Q91" s="52" t="s">
        <v>612</v>
      </c>
    </row>
    <row r="92" spans="1:17" x14ac:dyDescent="0.3">
      <c r="A92" s="52">
        <v>91</v>
      </c>
      <c r="B92" s="55" t="s">
        <v>106</v>
      </c>
      <c r="C92" s="55" t="s">
        <v>106</v>
      </c>
      <c r="D92" s="52">
        <f>VLOOKUP(C92,Days_Since_100!H:I,2,FALSE)</f>
        <v>112</v>
      </c>
      <c r="E92" s="56">
        <f ca="1">OFFSET(CumulativeConfirmed!A92,-A92,MATCH(Country_Data!D92,CumulativeConfirmed!B92:BU92,0))</f>
        <v>43911</v>
      </c>
      <c r="F92" s="41">
        <f>MAX(CumulativeConfirmed!92:92)</f>
        <v>719</v>
      </c>
      <c r="G92" s="41">
        <f>MAX(CumulativeDead!92:92)</f>
        <v>28</v>
      </c>
      <c r="J92" s="41">
        <v>10847910</v>
      </c>
      <c r="K92" s="52" t="s">
        <v>512</v>
      </c>
      <c r="L92" s="41" t="e">
        <v>#VALUE!</v>
      </c>
      <c r="M92" s="69">
        <f t="shared" si="4"/>
        <v>3.8942976356050069E-2</v>
      </c>
      <c r="N92" s="52">
        <f>VLOOKUP(C92,Deaths_since_10!H:I,2,FALSE)</f>
        <v>10</v>
      </c>
      <c r="O92" s="56">
        <f ca="1">OFFSET(CumulativeDead!B92,-A92,MATCH(Country_Data!N92,CumulativeDead!C92:BU92,0))</f>
        <v>43915</v>
      </c>
      <c r="P92" s="52">
        <f t="shared" ca="1" si="5"/>
        <v>4</v>
      </c>
      <c r="Q92" s="52" t="s">
        <v>612</v>
      </c>
    </row>
    <row r="93" spans="1:17" x14ac:dyDescent="0.3">
      <c r="A93" s="52">
        <v>92</v>
      </c>
      <c r="B93" s="55" t="s">
        <v>176</v>
      </c>
      <c r="C93" s="55" t="s">
        <v>176</v>
      </c>
      <c r="D93" s="52" t="e">
        <f>VLOOKUP(C93,Days_Since_100!H:I,2,FALSE)</f>
        <v>#N/A</v>
      </c>
      <c r="E93" s="56" t="e">
        <f ca="1">OFFSET(CumulativeConfirmed!A93,-A93,MATCH(Country_Data!D93,CumulativeConfirmed!B93:BU93,0))</f>
        <v>#N/A</v>
      </c>
      <c r="F93" s="41">
        <f>MAX(CumulativeConfirmed!93:93)</f>
        <v>0</v>
      </c>
      <c r="G93" s="41">
        <f>MAX(CumulativeDead!93:93)</f>
        <v>0</v>
      </c>
      <c r="J93" s="41">
        <v>298682</v>
      </c>
      <c r="K93" s="52" t="s">
        <v>512</v>
      </c>
      <c r="L93" s="41" t="e">
        <v>#VALUE!</v>
      </c>
      <c r="M93" s="69" t="e">
        <f t="shared" si="4"/>
        <v>#DIV/0!</v>
      </c>
      <c r="N93" s="52" t="e">
        <f>VLOOKUP(C93,Deaths_since_10!H:I,2,FALSE)</f>
        <v>#N/A</v>
      </c>
      <c r="O93" s="56" t="e">
        <f ca="1">OFFSET(CumulativeDead!B93,-A93,MATCH(Country_Data!N93,CumulativeDead!C93:BU93,0))</f>
        <v>#N/A</v>
      </c>
      <c r="P93" s="52" t="e">
        <f t="shared" ca="1" si="5"/>
        <v>#N/A</v>
      </c>
      <c r="Q93" s="52" t="s">
        <v>613</v>
      </c>
    </row>
    <row r="94" spans="1:17" x14ac:dyDescent="0.3">
      <c r="A94" s="52">
        <v>93</v>
      </c>
      <c r="B94" s="55" t="s">
        <v>95</v>
      </c>
      <c r="C94" s="55" t="s">
        <v>95</v>
      </c>
      <c r="D94" s="52">
        <f>VLOOKUP(C94,Days_Since_100!H:I,2,FALSE)</f>
        <v>102</v>
      </c>
      <c r="E94" s="56">
        <f ca="1">OFFSET(CumulativeConfirmed!A94,-A94,MATCH(Country_Data!D94,CumulativeConfirmed!B94:BU94,0))</f>
        <v>43912</v>
      </c>
      <c r="F94" s="41">
        <f>MAX(CumulativeConfirmed!94:94)</f>
        <v>451</v>
      </c>
      <c r="G94" s="41">
        <f>MAX(CumulativeDead!94:94)</f>
        <v>0</v>
      </c>
      <c r="J94" s="41">
        <v>4822233</v>
      </c>
      <c r="K94" s="52" t="s">
        <v>512</v>
      </c>
      <c r="L94" s="41" t="e">
        <v>#VALUE!</v>
      </c>
      <c r="M94" s="69">
        <f t="shared" si="4"/>
        <v>0</v>
      </c>
      <c r="N94" s="52" t="e">
        <f>VLOOKUP(C94,Deaths_since_10!H:I,2,FALSE)</f>
        <v>#N/A</v>
      </c>
      <c r="O94" s="56" t="e">
        <f ca="1">OFFSET(CumulativeDead!B94,-A94,MATCH(Country_Data!N94,CumulativeDead!C94:BU94,0))</f>
        <v>#N/A</v>
      </c>
      <c r="P94" s="52" t="e">
        <f t="shared" ca="1" si="5"/>
        <v>#N/A</v>
      </c>
      <c r="Q94" s="52" t="s">
        <v>614</v>
      </c>
    </row>
    <row r="95" spans="1:17" x14ac:dyDescent="0.3">
      <c r="A95" s="52">
        <v>94</v>
      </c>
      <c r="B95" s="55" t="s">
        <v>354</v>
      </c>
      <c r="C95" s="55" t="s">
        <v>354</v>
      </c>
      <c r="D95" s="52" t="e">
        <f>VLOOKUP(C95,Days_Since_100!H:I,2,FALSE)</f>
        <v>#N/A</v>
      </c>
      <c r="E95" s="56" t="e">
        <f ca="1">OFFSET(CumulativeConfirmed!A95,-A95,MATCH(Country_Data!D95,CumulativeConfirmed!B95:BU95,0))</f>
        <v>#N/A</v>
      </c>
      <c r="F95" s="41">
        <f>MAX(CumulativeConfirmed!95:95)</f>
        <v>0</v>
      </c>
      <c r="G95" s="41">
        <f>MAX(CumulativeDead!95:95)</f>
        <v>0</v>
      </c>
      <c r="K95" s="52" t="s">
        <v>512</v>
      </c>
      <c r="L95" s="41" t="e">
        <v>#N/A</v>
      </c>
      <c r="M95" s="69" t="e">
        <f t="shared" si="4"/>
        <v>#DIV/0!</v>
      </c>
      <c r="N95" s="52" t="e">
        <f>VLOOKUP(C95,Deaths_since_10!H:I,2,FALSE)</f>
        <v>#N/A</v>
      </c>
      <c r="O95" s="56" t="e">
        <f ca="1">OFFSET(CumulativeDead!B95,-A95,MATCH(Country_Data!N95,CumulativeDead!C95:BU95,0))</f>
        <v>#N/A</v>
      </c>
      <c r="P95" s="52" t="e">
        <f t="shared" ca="1" si="5"/>
        <v>#N/A</v>
      </c>
      <c r="Q95" s="52" t="s">
        <v>613</v>
      </c>
    </row>
    <row r="96" spans="1:17" x14ac:dyDescent="0.3">
      <c r="A96" s="52">
        <v>95</v>
      </c>
      <c r="B96" s="55" t="s">
        <v>355</v>
      </c>
      <c r="C96" s="55" t="s">
        <v>355</v>
      </c>
      <c r="D96" s="52">
        <f>VLOOKUP(C96,Days_Since_100!H:I,2,FALSE)</f>
        <v>192</v>
      </c>
      <c r="E96" s="56">
        <f ca="1">OFFSET(CumulativeConfirmed!A96,-A96,MATCH(Country_Data!D96,CumulativeConfirmed!B96:BU96,0))</f>
        <v>43909</v>
      </c>
      <c r="F96" s="41">
        <f>MAX(CumulativeConfirmed!96:96)</f>
        <v>7402</v>
      </c>
      <c r="G96" s="41">
        <f>MAX(CumulativeDead!96:96)</f>
        <v>108</v>
      </c>
      <c r="J96" s="41">
        <v>84339067</v>
      </c>
      <c r="K96" s="52" t="s">
        <v>512</v>
      </c>
      <c r="L96" s="41" t="e">
        <v>#VALUE!</v>
      </c>
      <c r="M96" s="69">
        <f t="shared" si="4"/>
        <v>1.4590651175358011E-2</v>
      </c>
      <c r="N96" s="52">
        <f>VLOOKUP(C96,Deaths_since_10!H:I,2,FALSE)</f>
        <v>9</v>
      </c>
      <c r="O96" s="56">
        <f ca="1">OFFSET(CumulativeDead!B96,-A96,MATCH(Country_Data!N96,CumulativeDead!C96:BU96,0))</f>
        <v>43911</v>
      </c>
      <c r="P96" s="52">
        <f t="shared" ca="1" si="5"/>
        <v>2</v>
      </c>
      <c r="Q96" s="52" t="s">
        <v>609</v>
      </c>
    </row>
    <row r="97" spans="1:17" x14ac:dyDescent="0.3">
      <c r="A97" s="52">
        <v>96</v>
      </c>
      <c r="B97" s="55" t="s">
        <v>410</v>
      </c>
      <c r="C97" s="55" t="s">
        <v>410</v>
      </c>
      <c r="D97" s="52">
        <f>VLOOKUP(C97,Days_Since_100!H:I,2,FALSE)</f>
        <v>119</v>
      </c>
      <c r="E97" s="56">
        <f ca="1">OFFSET(CumulativeConfirmed!A97,-A97,MATCH(Country_Data!D97,CumulativeConfirmed!B97:BU97,0))</f>
        <v>43918</v>
      </c>
      <c r="F97" s="41">
        <f>MAX(CumulativeConfirmed!97:97)</f>
        <v>119</v>
      </c>
      <c r="G97" s="41">
        <f>MAX(CumulativeDead!97:97)</f>
        <v>3</v>
      </c>
      <c r="J97" s="41">
        <v>11326616</v>
      </c>
      <c r="K97" s="52" t="s">
        <v>512</v>
      </c>
      <c r="L97" s="41" t="e">
        <v>#VALUE!</v>
      </c>
      <c r="M97" s="69">
        <f t="shared" si="4"/>
        <v>2.5210084033613446E-2</v>
      </c>
      <c r="N97" s="52" t="e">
        <f>VLOOKUP(C97,Deaths_since_10!H:I,2,FALSE)</f>
        <v>#N/A</v>
      </c>
      <c r="O97" s="56" t="e">
        <f ca="1">OFFSET(CumulativeDead!B97,-A97,MATCH(Country_Data!N97,CumulativeDead!C97:BU97,0))</f>
        <v>#N/A</v>
      </c>
      <c r="P97" s="52" t="e">
        <f t="shared" ca="1" si="5"/>
        <v>#N/A</v>
      </c>
      <c r="Q97" s="52" t="s">
        <v>611</v>
      </c>
    </row>
    <row r="98" spans="1:17" x14ac:dyDescent="0.3">
      <c r="A98" s="52">
        <v>97</v>
      </c>
      <c r="B98" s="55" t="s">
        <v>413</v>
      </c>
      <c r="C98" s="55" t="s">
        <v>413</v>
      </c>
      <c r="D98" s="52">
        <f>VLOOKUP(C98,Days_Since_100!H:I,2,FALSE)</f>
        <v>111</v>
      </c>
      <c r="E98" s="56">
        <f ca="1">OFFSET(CumulativeConfirmed!A98,-A98,MATCH(Country_Data!D98,CumulativeConfirmed!B98:BU98,0))</f>
        <v>43916</v>
      </c>
      <c r="F98" s="41">
        <f>MAX(CumulativeConfirmed!98:98)</f>
        <v>228</v>
      </c>
      <c r="G98" s="41">
        <f>MAX(CumulativeDead!98:98)</f>
        <v>3</v>
      </c>
      <c r="J98" s="41">
        <v>18776707</v>
      </c>
      <c r="K98" s="52" t="s">
        <v>512</v>
      </c>
      <c r="L98" s="41" t="e">
        <v>#VALUE!</v>
      </c>
      <c r="M98" s="69">
        <f t="shared" ref="M98:M126" si="6">G98/F98</f>
        <v>1.3157894736842105E-2</v>
      </c>
      <c r="N98" s="52" t="e">
        <f>VLOOKUP(C98,Deaths_since_10!H:I,2,FALSE)</f>
        <v>#N/A</v>
      </c>
      <c r="O98" s="56" t="e">
        <f ca="1">OFFSET(CumulativeDead!B98,-A98,MATCH(Country_Data!N98,CumulativeDead!C98:BU98,0))</f>
        <v>#N/A</v>
      </c>
      <c r="P98" s="52" t="e">
        <f t="shared" ref="P98:P126" ca="1" si="7">O98-E98</f>
        <v>#N/A</v>
      </c>
      <c r="Q98" s="52" t="s">
        <v>608</v>
      </c>
    </row>
    <row r="99" spans="1:17" x14ac:dyDescent="0.3">
      <c r="A99" s="52">
        <v>98</v>
      </c>
      <c r="B99" s="55" t="s">
        <v>202</v>
      </c>
      <c r="C99" s="55" t="s">
        <v>202</v>
      </c>
      <c r="D99" s="52" t="e">
        <f>VLOOKUP(C99,Days_Since_100!H:I,2,FALSE)</f>
        <v>#N/A</v>
      </c>
      <c r="E99" s="56" t="e">
        <f ca="1">OFFSET(CumulativeConfirmed!A99,-A99,MATCH(Country_Data!D99,CumulativeConfirmed!B99:BU99,0))</f>
        <v>#N/A</v>
      </c>
      <c r="F99" s="41">
        <f>MAX(CumulativeConfirmed!99:99)</f>
        <v>48</v>
      </c>
      <c r="G99" s="41">
        <f>MAX(CumulativeDead!99:99)</f>
        <v>5</v>
      </c>
      <c r="J99" s="41">
        <v>164689383</v>
      </c>
      <c r="K99" s="52" t="s">
        <v>512</v>
      </c>
      <c r="L99" s="41" t="e">
        <v>#VALUE!</v>
      </c>
      <c r="M99" s="69">
        <f t="shared" si="6"/>
        <v>0.10416666666666667</v>
      </c>
      <c r="N99" s="52" t="e">
        <f>VLOOKUP(C99,Deaths_since_10!H:I,2,FALSE)</f>
        <v>#N/A</v>
      </c>
      <c r="O99" s="56" t="e">
        <f ca="1">OFFSET(CumulativeDead!B99,-A99,MATCH(Country_Data!N99,CumulativeDead!C99:BU99,0))</f>
        <v>#N/A</v>
      </c>
      <c r="P99" s="52" t="e">
        <f t="shared" ca="1" si="7"/>
        <v>#N/A</v>
      </c>
      <c r="Q99" s="52" t="s">
        <v>608</v>
      </c>
    </row>
    <row r="100" spans="1:17" x14ac:dyDescent="0.3">
      <c r="A100" s="52">
        <v>99</v>
      </c>
      <c r="B100" s="55" t="s">
        <v>346</v>
      </c>
      <c r="C100" s="55" t="s">
        <v>346</v>
      </c>
      <c r="D100" s="52" t="e">
        <f>VLOOKUP(C100,Days_Since_100!H:I,2,FALSE)</f>
        <v>#N/A</v>
      </c>
      <c r="E100" s="56" t="e">
        <f ca="1">OFFSET(CumulativeConfirmed!A100,-A100,MATCH(Country_Data!D100,CumulativeConfirmed!B100:BU100,0))</f>
        <v>#N/A</v>
      </c>
      <c r="F100" s="41">
        <f>MAX(CumulativeConfirmed!100:100)</f>
        <v>74</v>
      </c>
      <c r="G100" s="41">
        <f>MAX(CumulativeDead!100:100)</f>
        <v>0</v>
      </c>
      <c r="J100" s="41">
        <v>11673021</v>
      </c>
      <c r="K100" s="52" t="s">
        <v>512</v>
      </c>
      <c r="L100" s="41" t="e">
        <v>#VALUE!</v>
      </c>
      <c r="M100" s="69">
        <f t="shared" si="6"/>
        <v>0</v>
      </c>
      <c r="N100" s="52" t="e">
        <f>VLOOKUP(C100,Deaths_since_10!H:I,2,FALSE)</f>
        <v>#N/A</v>
      </c>
      <c r="O100" s="56" t="e">
        <f ca="1">OFFSET(CumulativeDead!B100,-A100,MATCH(Country_Data!N100,CumulativeDead!C100:BU100,0))</f>
        <v>#N/A</v>
      </c>
      <c r="P100" s="52" t="e">
        <f t="shared" ca="1" si="7"/>
        <v>#N/A</v>
      </c>
      <c r="Q100" s="52" t="s">
        <v>612</v>
      </c>
    </row>
    <row r="101" spans="1:17" x14ac:dyDescent="0.3">
      <c r="A101" s="52">
        <v>100</v>
      </c>
      <c r="B101" s="55" t="s">
        <v>180</v>
      </c>
      <c r="C101" s="55" t="s">
        <v>180</v>
      </c>
      <c r="D101" s="52" t="e">
        <f>VLOOKUP(C101,Days_Since_100!H:I,2,FALSE)</f>
        <v>#N/A</v>
      </c>
      <c r="E101" s="56" t="e">
        <f ca="1">OFFSET(CumulativeConfirmed!A101,-A101,MATCH(Country_Data!D101,CumulativeConfirmed!B101:BU101,0))</f>
        <v>#N/A</v>
      </c>
      <c r="F101" s="41">
        <f>MAX(CumulativeConfirmed!101:101)</f>
        <v>0</v>
      </c>
      <c r="G101" s="41">
        <f>MAX(CumulativeDead!101:101)</f>
        <v>0</v>
      </c>
      <c r="J101" s="41">
        <v>375265</v>
      </c>
      <c r="K101" s="52" t="s">
        <v>512</v>
      </c>
      <c r="L101" s="41" t="e">
        <v>#VALUE!</v>
      </c>
      <c r="M101" s="69" t="e">
        <f t="shared" si="6"/>
        <v>#DIV/0!</v>
      </c>
      <c r="N101" s="52" t="e">
        <f>VLOOKUP(C101,Deaths_since_10!H:I,2,FALSE)</f>
        <v>#N/A</v>
      </c>
      <c r="O101" s="56" t="e">
        <f ca="1">OFFSET(CumulativeDead!B101,-A101,MATCH(Country_Data!N101,CumulativeDead!C101:BU101,0))</f>
        <v>#N/A</v>
      </c>
      <c r="P101" s="52" t="e">
        <f t="shared" ca="1" si="7"/>
        <v>#N/A</v>
      </c>
      <c r="Q101" s="52" t="s">
        <v>613</v>
      </c>
    </row>
    <row r="102" spans="1:17" x14ac:dyDescent="0.3">
      <c r="A102" s="52">
        <v>101</v>
      </c>
      <c r="B102" s="55" t="s">
        <v>129</v>
      </c>
      <c r="C102" s="55" t="s">
        <v>129</v>
      </c>
      <c r="D102" s="52">
        <f>VLOOKUP(C102,Days_Since_100!H:I,2,FALSE)</f>
        <v>145</v>
      </c>
      <c r="E102" s="56">
        <f ca="1">OFFSET(CumulativeConfirmed!A102,-A102,MATCH(Country_Data!D102,CumulativeConfirmed!B102:BU102,0))</f>
        <v>43915</v>
      </c>
      <c r="F102" s="41">
        <f>MAX(CumulativeConfirmed!102:102)</f>
        <v>356</v>
      </c>
      <c r="G102" s="41">
        <f>MAX(CumulativeDead!102:102)</f>
        <v>9</v>
      </c>
      <c r="J102" s="41">
        <v>43733762</v>
      </c>
      <c r="K102" s="52" t="s">
        <v>512</v>
      </c>
      <c r="L102" s="41" t="e">
        <v>#VALUE!</v>
      </c>
      <c r="M102" s="69">
        <f t="shared" si="6"/>
        <v>2.5280898876404494E-2</v>
      </c>
      <c r="N102" s="52">
        <f>VLOOKUP(C102,Deaths_since_10!H:I,2,FALSE)</f>
        <v>9</v>
      </c>
      <c r="O102" s="56">
        <f ca="1">OFFSET(CumulativeDead!B102,-A102,MATCH(Country_Data!N102,CumulativeDead!C102:BU102,0))</f>
        <v>43918</v>
      </c>
      <c r="P102" s="52">
        <f t="shared" ca="1" si="7"/>
        <v>3</v>
      </c>
      <c r="Q102" s="52" t="s">
        <v>609</v>
      </c>
    </row>
    <row r="103" spans="1:17" x14ac:dyDescent="0.3">
      <c r="A103" s="52">
        <v>102</v>
      </c>
      <c r="B103" s="55" t="s">
        <v>422</v>
      </c>
      <c r="C103" s="55" t="s">
        <v>422</v>
      </c>
      <c r="D103" s="52" t="e">
        <f>VLOOKUP(C103,Days_Since_100!H:I,2,FALSE)</f>
        <v>#N/A</v>
      </c>
      <c r="E103" s="56" t="e">
        <f ca="1">OFFSET(CumulativeConfirmed!A103,-A103,MATCH(Country_Data!D103,CumulativeConfirmed!B103:BU103,0))</f>
        <v>#N/A</v>
      </c>
      <c r="F103" s="41">
        <f>MAX(CumulativeConfirmed!103:103)</f>
        <v>0</v>
      </c>
      <c r="G103" s="41">
        <f>MAX(CumulativeDead!103:103)</f>
        <v>0</v>
      </c>
      <c r="J103" s="41">
        <v>106766</v>
      </c>
      <c r="K103" s="52" t="s">
        <v>512</v>
      </c>
      <c r="L103" s="41" t="e">
        <v>#VALUE!</v>
      </c>
      <c r="M103" s="69" t="e">
        <f t="shared" si="6"/>
        <v>#DIV/0!</v>
      </c>
      <c r="N103" s="52" t="e">
        <f>VLOOKUP(C103,Deaths_since_10!H:I,2,FALSE)</f>
        <v>#N/A</v>
      </c>
      <c r="O103" s="56" t="e">
        <f ca="1">OFFSET(CumulativeDead!B103,-A103,MATCH(Country_Data!N103,CumulativeDead!C103:BU103,0))</f>
        <v>#N/A</v>
      </c>
      <c r="P103" s="52" t="e">
        <f t="shared" ca="1" si="7"/>
        <v>#N/A</v>
      </c>
      <c r="Q103" s="52" t="s">
        <v>613</v>
      </c>
    </row>
    <row r="104" spans="1:17" x14ac:dyDescent="0.3">
      <c r="A104" s="52">
        <v>103</v>
      </c>
      <c r="B104" s="55" t="s">
        <v>279</v>
      </c>
      <c r="C104" s="55" t="s">
        <v>279</v>
      </c>
      <c r="D104" s="52">
        <f>VLOOKUP(C104,Days_Since_100!H:I,2,FALSE)</f>
        <v>114</v>
      </c>
      <c r="E104" s="56">
        <f ca="1">OFFSET(CumulativeConfirmed!A104,-A104,MATCH(Country_Data!D104,CumulativeConfirmed!B104:BU104,0))</f>
        <v>43914</v>
      </c>
      <c r="F104" s="41">
        <f>MAX(CumulativeConfirmed!104:104)</f>
        <v>207</v>
      </c>
      <c r="G104" s="41">
        <f>MAX(CumulativeDead!104:104)</f>
        <v>11</v>
      </c>
      <c r="J104" s="41">
        <v>20903273</v>
      </c>
      <c r="K104" s="52" t="s">
        <v>512</v>
      </c>
      <c r="L104" s="41" t="e">
        <v>#VALUE!</v>
      </c>
      <c r="M104" s="69">
        <f t="shared" si="6"/>
        <v>5.3140096618357488E-2</v>
      </c>
      <c r="N104" s="52">
        <f>VLOOKUP(C104,Deaths_since_10!H:I,2,FALSE)</f>
        <v>9</v>
      </c>
      <c r="O104" s="56">
        <f ca="1">OFFSET(CumulativeDead!B104,-A104,MATCH(Country_Data!N104,CumulativeDead!C104:BU104,0))</f>
        <v>43917</v>
      </c>
      <c r="P104" s="52">
        <f t="shared" ca="1" si="7"/>
        <v>3</v>
      </c>
      <c r="Q104" s="52" t="s">
        <v>613</v>
      </c>
    </row>
    <row r="105" spans="1:17" x14ac:dyDescent="0.3">
      <c r="A105" s="52">
        <v>104</v>
      </c>
      <c r="B105" s="55" t="s">
        <v>157</v>
      </c>
      <c r="C105" s="55" t="s">
        <v>157</v>
      </c>
      <c r="D105" s="52" t="e">
        <f>VLOOKUP(C105,Days_Since_100!H:I,2,FALSE)</f>
        <v>#N/A</v>
      </c>
      <c r="E105" s="56" t="e">
        <f ca="1">OFFSET(CumulativeConfirmed!A105,-A105,MATCH(Country_Data!D105,CumulativeConfirmed!B105:BU105,0))</f>
        <v>#N/A</v>
      </c>
      <c r="F105" s="41">
        <f>MAX(CumulativeConfirmed!105:105)</f>
        <v>91</v>
      </c>
      <c r="G105" s="41">
        <f>MAX(CumulativeDead!105:105)</f>
        <v>2</v>
      </c>
      <c r="J105" s="41">
        <v>26545863</v>
      </c>
      <c r="K105" s="52" t="s">
        <v>512</v>
      </c>
      <c r="L105" s="41" t="e">
        <v>#VALUE!</v>
      </c>
      <c r="M105" s="69">
        <f t="shared" si="6"/>
        <v>2.197802197802198E-2</v>
      </c>
      <c r="N105" s="52" t="e">
        <f>VLOOKUP(C105,Deaths_since_10!H:I,2,FALSE)</f>
        <v>#N/A</v>
      </c>
      <c r="O105" s="56" t="e">
        <f ca="1">OFFSET(CumulativeDead!B105,-A105,MATCH(Country_Data!N105,CumulativeDead!C105:BU105,0))</f>
        <v>#N/A</v>
      </c>
      <c r="P105" s="52" t="e">
        <f t="shared" ca="1" si="7"/>
        <v>#N/A</v>
      </c>
      <c r="Q105" s="52" t="s">
        <v>613</v>
      </c>
    </row>
    <row r="106" spans="1:17" x14ac:dyDescent="0.3">
      <c r="A106" s="52">
        <v>105</v>
      </c>
      <c r="B106" s="55" t="s">
        <v>351</v>
      </c>
      <c r="C106" s="55" t="s">
        <v>351</v>
      </c>
      <c r="D106" s="52" t="e">
        <f>VLOOKUP(C106,Days_Since_100!H:I,2,FALSE)</f>
        <v>#N/A</v>
      </c>
      <c r="E106" s="56" t="e">
        <f ca="1">OFFSET(CumulativeConfirmed!A106,-A106,MATCH(Country_Data!D106,CumulativeConfirmed!B106:BU106,0))</f>
        <v>#N/A</v>
      </c>
      <c r="F106" s="41">
        <f>MAX(CumulativeConfirmed!106:106)</f>
        <v>65</v>
      </c>
      <c r="G106" s="41">
        <f>MAX(CumulativeDead!106:106)</f>
        <v>6</v>
      </c>
      <c r="K106" s="52" t="s">
        <v>512</v>
      </c>
      <c r="L106" s="41" t="e">
        <v>#N/A</v>
      </c>
      <c r="M106" s="69">
        <f t="shared" si="6"/>
        <v>9.2307692307692313E-2</v>
      </c>
      <c r="N106" s="52" t="e">
        <f>VLOOKUP(C106,Deaths_since_10!H:I,2,FALSE)</f>
        <v>#N/A</v>
      </c>
      <c r="O106" s="56" t="e">
        <f ca="1">OFFSET(CumulativeDead!B106,-A106,MATCH(Country_Data!N106,CumulativeDead!C106:BU106,0))</f>
        <v>#N/A</v>
      </c>
      <c r="P106" s="52" t="e">
        <f t="shared" ca="1" si="7"/>
        <v>#N/A</v>
      </c>
      <c r="Q106" s="52" t="s">
        <v>613</v>
      </c>
    </row>
    <row r="107" spans="1:17" x14ac:dyDescent="0.3">
      <c r="A107" s="52">
        <v>106</v>
      </c>
      <c r="B107" s="55" t="s">
        <v>348</v>
      </c>
      <c r="C107" s="55" t="s">
        <v>348</v>
      </c>
      <c r="D107" s="52" t="e">
        <f>VLOOKUP(C107,Days_Since_100!H:I,2,FALSE)</f>
        <v>#N/A</v>
      </c>
      <c r="E107" s="56" t="e">
        <f ca="1">OFFSET(CumulativeConfirmed!A107,-A107,MATCH(Country_Data!D107,CumulativeConfirmed!B107:BU107,0))</f>
        <v>#N/A</v>
      </c>
      <c r="F107" s="41">
        <f>MAX(CumulativeConfirmed!107:107)</f>
        <v>95</v>
      </c>
      <c r="G107" s="41">
        <f>MAX(CumulativeDead!107:107)</f>
        <v>1</v>
      </c>
      <c r="J107" s="41">
        <v>9904607</v>
      </c>
      <c r="K107" s="52" t="s">
        <v>512</v>
      </c>
      <c r="L107" s="41" t="e">
        <v>#VALUE!</v>
      </c>
      <c r="M107" s="69">
        <f t="shared" si="6"/>
        <v>1.0526315789473684E-2</v>
      </c>
      <c r="N107" s="52" t="e">
        <f>VLOOKUP(C107,Deaths_since_10!H:I,2,FALSE)</f>
        <v>#N/A</v>
      </c>
      <c r="O107" s="56" t="e">
        <f ca="1">OFFSET(CumulativeDead!B107,-A107,MATCH(Country_Data!N107,CumulativeDead!C107:BU107,0))</f>
        <v>#N/A</v>
      </c>
      <c r="P107" s="52" t="e">
        <f t="shared" ca="1" si="7"/>
        <v>#N/A</v>
      </c>
      <c r="Q107" s="52" t="s">
        <v>612</v>
      </c>
    </row>
    <row r="108" spans="1:17" x14ac:dyDescent="0.3">
      <c r="A108" s="52">
        <v>107</v>
      </c>
      <c r="B108" s="55" t="s">
        <v>100</v>
      </c>
      <c r="C108" s="55" t="s">
        <v>100</v>
      </c>
      <c r="D108" s="52" t="e">
        <f>VLOOKUP(C108,Days_Since_100!H:I,2,FALSE)</f>
        <v>#N/A</v>
      </c>
      <c r="E108" s="56" t="e">
        <f ca="1">OFFSET(CumulativeConfirmed!A108,-A108,MATCH(Country_Data!D108,CumulativeConfirmed!B108:BU108,0))</f>
        <v>#N/A</v>
      </c>
      <c r="F108" s="41">
        <f>MAX(CumulativeConfirmed!108:108)</f>
        <v>42</v>
      </c>
      <c r="G108" s="41">
        <f>MAX(CumulativeDead!108:108)</f>
        <v>0</v>
      </c>
      <c r="J108" s="41">
        <v>39242</v>
      </c>
      <c r="K108" s="52" t="s">
        <v>512</v>
      </c>
      <c r="L108" s="41" t="e">
        <v>#VALUE!</v>
      </c>
      <c r="M108" s="69">
        <f t="shared" si="6"/>
        <v>0</v>
      </c>
      <c r="N108" s="52" t="e">
        <f>VLOOKUP(C108,Deaths_since_10!H:I,2,FALSE)</f>
        <v>#N/A</v>
      </c>
      <c r="O108" s="56" t="e">
        <f ca="1">OFFSET(CumulativeDead!B108,-A108,MATCH(Country_Data!N108,CumulativeDead!C108:BU108,0))</f>
        <v>#N/A</v>
      </c>
      <c r="P108" s="52" t="e">
        <f t="shared" ca="1" si="7"/>
        <v>#N/A</v>
      </c>
      <c r="Q108" s="52" t="s">
        <v>609</v>
      </c>
    </row>
    <row r="109" spans="1:17" x14ac:dyDescent="0.3">
      <c r="A109" s="52">
        <v>108</v>
      </c>
      <c r="B109" s="55" t="s">
        <v>96</v>
      </c>
      <c r="C109" s="55" t="s">
        <v>96</v>
      </c>
      <c r="D109" s="52" t="e">
        <f>VLOOKUP(C109,Days_Since_100!H:I,2,FALSE)</f>
        <v>#N/A</v>
      </c>
      <c r="E109" s="56" t="e">
        <f ca="1">OFFSET(CumulativeConfirmed!A109,-A109,MATCH(Country_Data!D109,CumulativeConfirmed!B109:BU109,0))</f>
        <v>#N/A</v>
      </c>
      <c r="F109" s="41">
        <f>MAX(CumulativeConfirmed!109:109)</f>
        <v>89</v>
      </c>
      <c r="G109" s="41">
        <f>MAX(CumulativeDead!109:109)</f>
        <v>1</v>
      </c>
      <c r="J109" s="41">
        <v>206139589</v>
      </c>
      <c r="K109" s="52" t="s">
        <v>512</v>
      </c>
      <c r="L109" s="41" t="e">
        <v>#VALUE!</v>
      </c>
      <c r="M109" s="69">
        <f t="shared" si="6"/>
        <v>1.1235955056179775E-2</v>
      </c>
      <c r="N109" s="52" t="e">
        <f>VLOOKUP(C109,Deaths_since_10!H:I,2,FALSE)</f>
        <v>#N/A</v>
      </c>
      <c r="O109" s="56" t="e">
        <f ca="1">OFFSET(CumulativeDead!B109,-A109,MATCH(Country_Data!N109,CumulativeDead!C109:BU109,0))</f>
        <v>#N/A</v>
      </c>
      <c r="P109" s="52" t="e">
        <f t="shared" ca="1" si="7"/>
        <v>#N/A</v>
      </c>
      <c r="Q109" s="52" t="s">
        <v>613</v>
      </c>
    </row>
    <row r="110" spans="1:17" x14ac:dyDescent="0.3">
      <c r="A110" s="52">
        <v>109</v>
      </c>
      <c r="B110" s="55" t="s">
        <v>109</v>
      </c>
      <c r="C110" s="55" t="s">
        <v>109</v>
      </c>
      <c r="D110" s="52">
        <f>VLOOKUP(C110,Days_Since_100!H:I,2,FALSE)</f>
        <v>113</v>
      </c>
      <c r="E110" s="56">
        <f ca="1">OFFSET(CumulativeConfirmed!A110,-A110,MATCH(Country_Data!D110,CumulativeConfirmed!B110:BU110,0))</f>
        <v>43912</v>
      </c>
      <c r="F110" s="41">
        <f>MAX(CumulativeConfirmed!110:110)</f>
        <v>308</v>
      </c>
      <c r="G110" s="41">
        <f>MAX(CumulativeDead!110:110)</f>
        <v>3</v>
      </c>
      <c r="J110" s="41">
        <v>77265</v>
      </c>
      <c r="K110" s="52" t="s">
        <v>512</v>
      </c>
      <c r="L110" s="41" t="e">
        <v>#VALUE!</v>
      </c>
      <c r="M110" s="69">
        <f t="shared" si="6"/>
        <v>9.74025974025974E-3</v>
      </c>
      <c r="N110" s="52" t="e">
        <f>VLOOKUP(C110,Deaths_since_10!H:I,2,FALSE)</f>
        <v>#N/A</v>
      </c>
      <c r="O110" s="56" t="e">
        <f ca="1">OFFSET(CumulativeDead!B110,-A110,MATCH(Country_Data!N110,CumulativeDead!C110:BU110,0))</f>
        <v>#N/A</v>
      </c>
      <c r="P110" s="52" t="e">
        <f t="shared" ca="1" si="7"/>
        <v>#N/A</v>
      </c>
      <c r="Q110" s="52" t="s">
        <v>609</v>
      </c>
    </row>
    <row r="111" spans="1:17" x14ac:dyDescent="0.3">
      <c r="A111" s="52">
        <v>110</v>
      </c>
      <c r="B111" s="55" t="s">
        <v>424</v>
      </c>
      <c r="C111" s="55" t="s">
        <v>424</v>
      </c>
      <c r="D111" s="52" t="e">
        <f>VLOOKUP(C111,Days_Since_100!H:I,2,FALSE)</f>
        <v>#N/A</v>
      </c>
      <c r="E111" s="56" t="e">
        <f ca="1">OFFSET(CumulativeConfirmed!A111,-A111,MATCH(Country_Data!D111,CumulativeConfirmed!B111:BU111,0))</f>
        <v>#N/A</v>
      </c>
      <c r="F111" s="41">
        <f>MAX(CumulativeConfirmed!111:111)</f>
        <v>7</v>
      </c>
      <c r="G111" s="41">
        <f>MAX(CumulativeDead!111:111)</f>
        <v>0</v>
      </c>
      <c r="J111" s="41">
        <v>97929</v>
      </c>
      <c r="K111" s="52" t="s">
        <v>512</v>
      </c>
      <c r="L111" s="41" t="e">
        <v>#VALUE!</v>
      </c>
      <c r="M111" s="69">
        <f t="shared" si="6"/>
        <v>0</v>
      </c>
      <c r="N111" s="52" t="e">
        <f>VLOOKUP(C111,Deaths_since_10!H:I,2,FALSE)</f>
        <v>#N/A</v>
      </c>
      <c r="O111" s="56" t="e">
        <f ca="1">OFFSET(CumulativeDead!B111,-A111,MATCH(Country_Data!N111,CumulativeDead!C111:BU111,0))</f>
        <v>#N/A</v>
      </c>
      <c r="P111" s="52" t="e">
        <f t="shared" ca="1" si="7"/>
        <v>#N/A</v>
      </c>
      <c r="Q111" s="52" t="s">
        <v>611</v>
      </c>
    </row>
    <row r="112" spans="1:17" x14ac:dyDescent="0.3">
      <c r="A112" s="52">
        <v>111</v>
      </c>
      <c r="B112" s="55" t="s">
        <v>156</v>
      </c>
      <c r="C112" s="55" t="s">
        <v>156</v>
      </c>
      <c r="D112" s="52" t="e">
        <f>VLOOKUP(C112,Days_Since_100!H:I,2,FALSE)</f>
        <v>#N/A</v>
      </c>
      <c r="E112" s="56" t="e">
        <f ca="1">OFFSET(CumulativeConfirmed!A112,-A112,MATCH(Country_Data!D112,CumulativeConfirmed!B112:BU112,0))</f>
        <v>#N/A</v>
      </c>
      <c r="F112" s="41">
        <f>MAX(CumulativeConfirmed!112:112)</f>
        <v>3</v>
      </c>
      <c r="G112" s="41">
        <f>MAX(CumulativeDead!112:112)</f>
        <v>0</v>
      </c>
      <c r="J112" s="41">
        <v>771608</v>
      </c>
      <c r="K112" s="52" t="s">
        <v>512</v>
      </c>
      <c r="L112" s="41" t="e">
        <v>#VALUE!</v>
      </c>
      <c r="M112" s="69">
        <f t="shared" si="6"/>
        <v>0</v>
      </c>
      <c r="N112" s="52" t="e">
        <f>VLOOKUP(C112,Deaths_since_10!H:I,2,FALSE)</f>
        <v>#N/A</v>
      </c>
      <c r="O112" s="56" t="e">
        <f ca="1">OFFSET(CumulativeDead!B112,-A112,MATCH(Country_Data!N112,CumulativeDead!C112:BU112,0))</f>
        <v>#N/A</v>
      </c>
      <c r="P112" s="52" t="e">
        <f t="shared" ca="1" si="7"/>
        <v>#N/A</v>
      </c>
      <c r="Q112" s="52" t="s">
        <v>608</v>
      </c>
    </row>
    <row r="113" spans="1:17" x14ac:dyDescent="0.3">
      <c r="A113" s="52">
        <v>112</v>
      </c>
      <c r="B113" s="55" t="s">
        <v>415</v>
      </c>
      <c r="C113" s="55" t="s">
        <v>415</v>
      </c>
      <c r="D113" s="52" t="e">
        <f>VLOOKUP(C113,Days_Since_100!H:I,2,FALSE)</f>
        <v>#N/A</v>
      </c>
      <c r="E113" s="56" t="e">
        <f ca="1">OFFSET(CumulativeConfirmed!A113,-A113,MATCH(Country_Data!D113,CumulativeConfirmed!B113:BU113,0))</f>
        <v>#N/A</v>
      </c>
      <c r="F113" s="41">
        <f>MAX(CumulativeConfirmed!113:113)</f>
        <v>0</v>
      </c>
      <c r="G113" s="41">
        <f>MAX(CumulativeDead!113:113)</f>
        <v>0</v>
      </c>
      <c r="J113" s="41">
        <v>65722</v>
      </c>
      <c r="K113" s="52" t="s">
        <v>512</v>
      </c>
      <c r="L113" s="41" t="e">
        <v>#VALUE!</v>
      </c>
      <c r="M113" s="69" t="e">
        <f t="shared" si="6"/>
        <v>#DIV/0!</v>
      </c>
      <c r="N113" s="52" t="e">
        <f>VLOOKUP(C113,Deaths_since_10!H:I,2,FALSE)</f>
        <v>#N/A</v>
      </c>
      <c r="O113" s="56" t="e">
        <f ca="1">OFFSET(CumulativeDead!B113,-A113,MATCH(Country_Data!N113,CumulativeDead!C113:BU113,0))</f>
        <v>#N/A</v>
      </c>
      <c r="P113" s="52" t="e">
        <f t="shared" ca="1" si="7"/>
        <v>#N/A</v>
      </c>
      <c r="Q113" s="52" t="s">
        <v>611</v>
      </c>
    </row>
    <row r="114" spans="1:17" x14ac:dyDescent="0.3">
      <c r="A114" s="52">
        <v>113</v>
      </c>
      <c r="B114" s="55" t="s">
        <v>352</v>
      </c>
      <c r="C114" s="55" t="s">
        <v>352</v>
      </c>
      <c r="D114" s="52">
        <f>VLOOKUP(C114,Days_Since_100!H:I,2,FALSE)</f>
        <v>101</v>
      </c>
      <c r="E114" s="56">
        <f ca="1">OFFSET(CumulativeConfirmed!A114,-A114,MATCH(Country_Data!D114,CumulativeConfirmed!B114:BU114,0))</f>
        <v>43917</v>
      </c>
      <c r="F114" s="41">
        <f>MAX(CumulativeConfirmed!114:114)</f>
        <v>101</v>
      </c>
      <c r="G114" s="41">
        <f>MAX(CumulativeDead!114:114)</f>
        <v>0</v>
      </c>
      <c r="K114" s="52" t="s">
        <v>512</v>
      </c>
      <c r="L114" s="41" t="e">
        <v>#N/A</v>
      </c>
      <c r="M114" s="69">
        <f t="shared" si="6"/>
        <v>0</v>
      </c>
      <c r="N114" s="52" t="e">
        <f>VLOOKUP(C114,Deaths_since_10!H:I,2,FALSE)</f>
        <v>#N/A</v>
      </c>
      <c r="O114" s="56" t="e">
        <f ca="1">OFFSET(CumulativeDead!B114,-A114,MATCH(Country_Data!N114,CumulativeDead!C114:BU114,0))</f>
        <v>#N/A</v>
      </c>
      <c r="P114" s="52" t="e">
        <f t="shared" ca="1" si="7"/>
        <v>#N/A</v>
      </c>
      <c r="Q114" s="52" t="s">
        <v>613</v>
      </c>
    </row>
    <row r="115" spans="1:17" x14ac:dyDescent="0.3">
      <c r="A115" s="52">
        <v>114</v>
      </c>
      <c r="B115" s="55" t="s">
        <v>419</v>
      </c>
      <c r="C115" s="55" t="s">
        <v>419</v>
      </c>
      <c r="D115" s="52" t="e">
        <f>VLOOKUP(C115,Days_Since_100!H:I,2,FALSE)</f>
        <v>#N/A</v>
      </c>
      <c r="E115" s="56" t="e">
        <f ca="1">OFFSET(CumulativeConfirmed!A115,-A115,MATCH(Country_Data!D115,CumulativeConfirmed!B115:BU115,0))</f>
        <v>#N/A</v>
      </c>
      <c r="F115" s="41">
        <f>MAX(CumulativeConfirmed!115:115)</f>
        <v>16</v>
      </c>
      <c r="G115" s="41">
        <f>MAX(CumulativeDead!115:115)</f>
        <v>0</v>
      </c>
      <c r="J115" s="41">
        <v>114963588</v>
      </c>
      <c r="K115" s="52" t="s">
        <v>512</v>
      </c>
      <c r="L115" s="41" t="e">
        <v>#VALUE!</v>
      </c>
      <c r="M115" s="69">
        <f t="shared" si="6"/>
        <v>0</v>
      </c>
      <c r="N115" s="52" t="e">
        <f>VLOOKUP(C115,Deaths_since_10!H:I,2,FALSE)</f>
        <v>#N/A</v>
      </c>
      <c r="O115" s="56" t="e">
        <f ca="1">OFFSET(CumulativeDead!B115,-A115,MATCH(Country_Data!N115,CumulativeDead!C115:BU115,0))</f>
        <v>#N/A</v>
      </c>
      <c r="P115" s="52" t="e">
        <f t="shared" ca="1" si="7"/>
        <v>#N/A</v>
      </c>
      <c r="Q115" s="52" t="s">
        <v>613</v>
      </c>
    </row>
    <row r="116" spans="1:17" x14ac:dyDescent="0.3">
      <c r="A116" s="52">
        <v>115</v>
      </c>
      <c r="B116" s="55" t="s">
        <v>416</v>
      </c>
      <c r="C116" s="55" t="s">
        <v>416</v>
      </c>
      <c r="D116" s="52" t="e">
        <f>VLOOKUP(C116,Days_Since_100!H:I,2,FALSE)</f>
        <v>#N/A</v>
      </c>
      <c r="E116" s="56" t="e">
        <f ca="1">OFFSET(CumulativeConfirmed!A116,-A116,MATCH(Country_Data!D116,CumulativeConfirmed!B116:BU116,0))</f>
        <v>#N/A</v>
      </c>
      <c r="F116" s="41">
        <f>MAX(CumulativeConfirmed!116:116)</f>
        <v>0</v>
      </c>
      <c r="G116" s="41">
        <f>MAX(CumulativeDead!116:116)</f>
        <v>0</v>
      </c>
      <c r="J116" s="41">
        <v>400124</v>
      </c>
      <c r="K116" s="52" t="s">
        <v>512</v>
      </c>
      <c r="L116" s="41" t="e">
        <v>#VALUE!</v>
      </c>
      <c r="M116" s="69" t="e">
        <f t="shared" si="6"/>
        <v>#DIV/0!</v>
      </c>
      <c r="N116" s="52" t="e">
        <f>VLOOKUP(C116,Deaths_since_10!H:I,2,FALSE)</f>
        <v>#N/A</v>
      </c>
      <c r="O116" s="56" t="e">
        <f ca="1">OFFSET(CumulativeDead!B116,-A116,MATCH(Country_Data!N116,CumulativeDead!C116:BU116,0))</f>
        <v>#N/A</v>
      </c>
      <c r="P116" s="52" t="e">
        <f t="shared" ca="1" si="7"/>
        <v>#N/A</v>
      </c>
      <c r="Q116" s="52" t="s">
        <v>612</v>
      </c>
    </row>
    <row r="117" spans="1:17" x14ac:dyDescent="0.3">
      <c r="A117" s="52">
        <v>116</v>
      </c>
      <c r="B117" s="55" t="s">
        <v>421</v>
      </c>
      <c r="C117" s="55" t="s">
        <v>421</v>
      </c>
      <c r="D117" s="52" t="e">
        <f>VLOOKUP(C117,Days_Since_100!H:I,2,FALSE)</f>
        <v>#N/A</v>
      </c>
      <c r="E117" s="56" t="e">
        <f ca="1">OFFSET(CumulativeConfirmed!A117,-A117,MATCH(Country_Data!D117,CumulativeConfirmed!B117:BU117,0))</f>
        <v>#N/A</v>
      </c>
      <c r="F117" s="41">
        <f>MAX(CumulativeConfirmed!117:117)</f>
        <v>8</v>
      </c>
      <c r="G117" s="41">
        <f>MAX(CumulativeDead!117:117)</f>
        <v>0</v>
      </c>
      <c r="J117" s="41">
        <v>13132795</v>
      </c>
      <c r="K117" s="52" t="s">
        <v>512</v>
      </c>
      <c r="L117" s="41" t="e">
        <v>#VALUE!</v>
      </c>
      <c r="M117" s="69">
        <f t="shared" si="6"/>
        <v>0</v>
      </c>
      <c r="N117" s="52" t="e">
        <f>VLOOKUP(C117,Deaths_since_10!H:I,2,FALSE)</f>
        <v>#N/A</v>
      </c>
      <c r="O117" s="56" t="e">
        <f ca="1">OFFSET(CumulativeDead!B117,-A117,MATCH(Country_Data!N117,CumulativeDead!C117:BU117,0))</f>
        <v>#N/A</v>
      </c>
      <c r="P117" s="52" t="e">
        <f t="shared" ca="1" si="7"/>
        <v>#N/A</v>
      </c>
      <c r="Q117" s="52" t="s">
        <v>613</v>
      </c>
    </row>
    <row r="118" spans="1:17" x14ac:dyDescent="0.3">
      <c r="A118" s="52">
        <v>117</v>
      </c>
      <c r="B118" s="55" t="s">
        <v>411</v>
      </c>
      <c r="C118" s="55" t="s">
        <v>411</v>
      </c>
      <c r="D118" s="52" t="e">
        <f>VLOOKUP(C118,Days_Since_100!H:I,2,FALSE)</f>
        <v>#N/A</v>
      </c>
      <c r="E118" s="56" t="e">
        <f ca="1">OFFSET(CumulativeConfirmed!A118,-A118,MATCH(Country_Data!D118,CumulativeConfirmed!B118:BU118,0))</f>
        <v>#N/A</v>
      </c>
      <c r="F118" s="41">
        <f>MAX(CumulativeConfirmed!118:118)</f>
        <v>20</v>
      </c>
      <c r="G118" s="41">
        <f>MAX(CumulativeDead!118:118)</f>
        <v>1</v>
      </c>
      <c r="J118" s="41">
        <v>786552</v>
      </c>
      <c r="K118" s="52" t="s">
        <v>512</v>
      </c>
      <c r="L118" s="41" t="e">
        <v>#VALUE!</v>
      </c>
      <c r="M118" s="69">
        <f t="shared" si="6"/>
        <v>0.05</v>
      </c>
      <c r="N118" s="52" t="e">
        <f>VLOOKUP(C118,Deaths_since_10!H:I,2,FALSE)</f>
        <v>#N/A</v>
      </c>
      <c r="O118" s="56" t="e">
        <f ca="1">OFFSET(CumulativeDead!B118,-A118,MATCH(Country_Data!N118,CumulativeDead!C118:BU118,0))</f>
        <v>#N/A</v>
      </c>
      <c r="P118" s="52" t="e">
        <f t="shared" ca="1" si="7"/>
        <v>#N/A</v>
      </c>
      <c r="Q118" s="52" t="s">
        <v>612</v>
      </c>
    </row>
    <row r="119" spans="1:17" x14ac:dyDescent="0.3">
      <c r="A119" s="52">
        <v>118</v>
      </c>
      <c r="B119" s="55" t="s">
        <v>281</v>
      </c>
      <c r="C119" s="55" t="s">
        <v>281</v>
      </c>
      <c r="D119" s="52" t="e">
        <f>VLOOKUP(C119,Days_Since_100!H:I,2,FALSE)</f>
        <v>#N/A</v>
      </c>
      <c r="E119" s="56" t="e">
        <f ca="1">OFFSET(CumulativeConfirmed!A119,-A119,MATCH(Country_Data!D119,CumulativeConfirmed!B119:BU119,0))</f>
        <v>#N/A</v>
      </c>
      <c r="F119" s="41">
        <f>MAX(CumulativeConfirmed!119:119)</f>
        <v>6</v>
      </c>
      <c r="G119" s="41">
        <f>MAX(CumulativeDead!119:119)</f>
        <v>0</v>
      </c>
      <c r="J119" s="41">
        <v>801</v>
      </c>
      <c r="K119" s="52" t="s">
        <v>512</v>
      </c>
      <c r="L119" s="41" t="e">
        <v>#VALUE!</v>
      </c>
      <c r="M119" s="69">
        <f t="shared" si="6"/>
        <v>0</v>
      </c>
      <c r="N119" s="52" t="e">
        <f>VLOOKUP(C119,Deaths_since_10!H:I,2,FALSE)</f>
        <v>#N/A</v>
      </c>
      <c r="O119" s="56" t="e">
        <f ca="1">OFFSET(CumulativeDead!B119,-A119,MATCH(Country_Data!N119,CumulativeDead!C119:BU119,0))</f>
        <v>#N/A</v>
      </c>
      <c r="P119" s="52" t="e">
        <f t="shared" ca="1" si="7"/>
        <v>#N/A</v>
      </c>
      <c r="Q119" s="52" t="s">
        <v>609</v>
      </c>
    </row>
    <row r="120" spans="1:17" x14ac:dyDescent="0.3">
      <c r="A120" s="52">
        <v>119</v>
      </c>
      <c r="B120" s="55" t="s">
        <v>125</v>
      </c>
      <c r="C120" s="55" t="s">
        <v>125</v>
      </c>
      <c r="D120" s="52">
        <f>VLOOKUP(C120,Days_Since_100!H:I,2,FALSE)</f>
        <v>112</v>
      </c>
      <c r="E120" s="56">
        <f ca="1">OFFSET(CumulativeConfirmed!A120,-A120,MATCH(Country_Data!D120,CumulativeConfirmed!B120:BU120,0))</f>
        <v>43912</v>
      </c>
      <c r="F120" s="41">
        <f>MAX(CumulativeConfirmed!120:120)</f>
        <v>246</v>
      </c>
      <c r="G120" s="41">
        <f>MAX(CumulativeDead!120:120)</f>
        <v>1</v>
      </c>
      <c r="J120" s="41">
        <v>10203134</v>
      </c>
      <c r="K120" s="52" t="s">
        <v>512</v>
      </c>
      <c r="L120" s="41" t="e">
        <v>#VALUE!</v>
      </c>
      <c r="M120" s="69">
        <f t="shared" si="6"/>
        <v>4.0650406504065045E-3</v>
      </c>
      <c r="N120" s="52" t="e">
        <f>VLOOKUP(C120,Deaths_since_10!H:I,2,FALSE)</f>
        <v>#N/A</v>
      </c>
      <c r="O120" s="56" t="e">
        <f ca="1">OFFSET(CumulativeDead!B120,-A120,MATCH(Country_Data!N120,CumulativeDead!C120:BU120,0))</f>
        <v>#N/A</v>
      </c>
      <c r="P120" s="52" t="e">
        <f t="shared" ca="1" si="7"/>
        <v>#N/A</v>
      </c>
      <c r="Q120" s="52" t="s">
        <v>610</v>
      </c>
    </row>
    <row r="121" spans="1:17" x14ac:dyDescent="0.3">
      <c r="A121" s="52">
        <v>120</v>
      </c>
      <c r="B121" s="55" t="s">
        <v>423</v>
      </c>
      <c r="C121" s="55" t="s">
        <v>423</v>
      </c>
      <c r="D121" s="52" t="e">
        <f>VLOOKUP(C121,Days_Since_100!H:I,2,FALSE)</f>
        <v>#N/A</v>
      </c>
      <c r="E121" s="56" t="e">
        <f ca="1">OFFSET(CumulativeConfirmed!A121,-A121,MATCH(Country_Data!D121,CumulativeConfirmed!B121:BU121,0))</f>
        <v>#N/A</v>
      </c>
      <c r="F121" s="41">
        <f>MAX(CumulativeConfirmed!121:121)</f>
        <v>38</v>
      </c>
      <c r="G121" s="41">
        <f>MAX(CumulativeDead!121:121)</f>
        <v>1</v>
      </c>
      <c r="J121" s="41">
        <v>53771296</v>
      </c>
      <c r="K121" s="52" t="s">
        <v>512</v>
      </c>
      <c r="L121" s="41" t="e">
        <v>#VALUE!</v>
      </c>
      <c r="M121" s="69">
        <f t="shared" si="6"/>
        <v>2.6315789473684209E-2</v>
      </c>
      <c r="N121" s="52" t="e">
        <f>VLOOKUP(C121,Deaths_since_10!H:I,2,FALSE)</f>
        <v>#N/A</v>
      </c>
      <c r="O121" s="56" t="e">
        <f ca="1">OFFSET(CumulativeDead!B121,-A121,MATCH(Country_Data!N121,CumulativeDead!C121:BU121,0))</f>
        <v>#N/A</v>
      </c>
      <c r="P121" s="52" t="e">
        <f t="shared" ca="1" si="7"/>
        <v>#N/A</v>
      </c>
      <c r="Q121" s="52" t="s">
        <v>613</v>
      </c>
    </row>
    <row r="122" spans="1:17" x14ac:dyDescent="0.3">
      <c r="A122" s="52">
        <v>121</v>
      </c>
      <c r="B122" s="55" t="s">
        <v>136</v>
      </c>
      <c r="C122" s="55" t="s">
        <v>136</v>
      </c>
      <c r="D122" s="52" t="e">
        <f>VLOOKUP(C122,Days_Since_100!H:I,2,FALSE)</f>
        <v>#N/A</v>
      </c>
      <c r="E122" s="56" t="e">
        <f ca="1">OFFSET(CumulativeConfirmed!A122,-A122,MATCH(Country_Data!D122,CumulativeConfirmed!B122:BU122,0))</f>
        <v>#N/A</v>
      </c>
      <c r="F122" s="41">
        <f>MAX(CumulativeConfirmed!122:122)</f>
        <v>56</v>
      </c>
      <c r="G122" s="41">
        <f>MAX(CumulativeDead!122:122)</f>
        <v>0</v>
      </c>
      <c r="J122" s="41">
        <v>38128</v>
      </c>
      <c r="K122" s="52" t="s">
        <v>512</v>
      </c>
      <c r="L122" s="41" t="e">
        <v>#VALUE!</v>
      </c>
      <c r="M122" s="69">
        <f t="shared" si="6"/>
        <v>0</v>
      </c>
      <c r="N122" s="52" t="e">
        <f>VLOOKUP(C122,Deaths_since_10!H:I,2,FALSE)</f>
        <v>#N/A</v>
      </c>
      <c r="O122" s="56" t="e">
        <f ca="1">OFFSET(CumulativeDead!B122,-A122,MATCH(Country_Data!N122,CumulativeDead!C122:BU122,0))</f>
        <v>#N/A</v>
      </c>
      <c r="P122" s="52" t="e">
        <f t="shared" ca="1" si="7"/>
        <v>#N/A</v>
      </c>
      <c r="Q122" s="52" t="s">
        <v>609</v>
      </c>
    </row>
    <row r="123" spans="1:17" x14ac:dyDescent="0.3">
      <c r="A123" s="52">
        <v>122</v>
      </c>
      <c r="B123" s="55" t="s">
        <v>282</v>
      </c>
      <c r="C123" s="55" t="s">
        <v>282</v>
      </c>
      <c r="D123" s="52" t="e">
        <f>VLOOKUP(C123,Days_Since_100!H:I,2,FALSE)</f>
        <v>#N/A</v>
      </c>
      <c r="E123" s="56" t="e">
        <f ca="1">OFFSET(CumulativeConfirmed!A123,-A123,MATCH(Country_Data!D123,CumulativeConfirmed!B123:BU123,0))</f>
        <v>#N/A</v>
      </c>
      <c r="F123" s="41">
        <f>MAX(CumulativeConfirmed!123:123)</f>
        <v>12</v>
      </c>
      <c r="G123" s="41">
        <f>MAX(CumulativeDead!123:123)</f>
        <v>0</v>
      </c>
      <c r="J123" s="41">
        <v>3278290</v>
      </c>
      <c r="K123" s="52" t="s">
        <v>512</v>
      </c>
      <c r="L123" s="41" t="e">
        <v>#VALUE!</v>
      </c>
      <c r="M123" s="69">
        <f t="shared" si="6"/>
        <v>0</v>
      </c>
      <c r="N123" s="52" t="e">
        <f>VLOOKUP(C123,Deaths_since_10!H:I,2,FALSE)</f>
        <v>#N/A</v>
      </c>
      <c r="O123" s="56" t="e">
        <f ca="1">OFFSET(CumulativeDead!B123,-A123,MATCH(Country_Data!N123,CumulativeDead!C123:BU123,0))</f>
        <v>#N/A</v>
      </c>
      <c r="P123" s="52" t="e">
        <f t="shared" ca="1" si="7"/>
        <v>#N/A</v>
      </c>
      <c r="Q123" s="52" t="s">
        <v>608</v>
      </c>
    </row>
    <row r="124" spans="1:17" x14ac:dyDescent="0.3">
      <c r="A124" s="52">
        <v>123</v>
      </c>
      <c r="B124" s="55" t="s">
        <v>42</v>
      </c>
      <c r="C124" s="55" t="s">
        <v>42</v>
      </c>
      <c r="D124" s="52" t="e">
        <f>VLOOKUP(C124,Days_Since_100!H:I,2,FALSE)</f>
        <v>#N/A</v>
      </c>
      <c r="E124" s="56" t="e">
        <f ca="1">OFFSET(CumulativeConfirmed!A124,-A124,MATCH(Country_Data!D124,CumulativeConfirmed!B124:BU124,0))</f>
        <v>#N/A</v>
      </c>
      <c r="F124" s="41">
        <f>MAX(CumulativeConfirmed!124:124)</f>
        <v>5</v>
      </c>
      <c r="G124" s="41">
        <f>MAX(CumulativeDead!124:124)</f>
        <v>0</v>
      </c>
      <c r="J124" s="41">
        <v>29136808</v>
      </c>
      <c r="K124" s="52" t="s">
        <v>512</v>
      </c>
      <c r="L124" s="41" t="e">
        <v>#VALUE!</v>
      </c>
      <c r="M124" s="69">
        <f t="shared" si="6"/>
        <v>0</v>
      </c>
      <c r="N124" s="52" t="e">
        <f>VLOOKUP(C124,Deaths_since_10!H:I,2,FALSE)</f>
        <v>#N/A</v>
      </c>
      <c r="O124" s="56" t="e">
        <f ca="1">OFFSET(CumulativeDead!B124,-A124,MATCH(Country_Data!N124,CumulativeDead!C124:BU124,0))</f>
        <v>#N/A</v>
      </c>
      <c r="P124" s="52" t="e">
        <f t="shared" ca="1" si="7"/>
        <v>#N/A</v>
      </c>
      <c r="Q124" s="52" t="s">
        <v>608</v>
      </c>
    </row>
    <row r="125" spans="1:17" x14ac:dyDescent="0.3">
      <c r="A125" s="52">
        <v>124</v>
      </c>
      <c r="B125" s="55" t="s">
        <v>420</v>
      </c>
      <c r="C125" s="55" t="s">
        <v>420</v>
      </c>
      <c r="D125" s="52" t="e">
        <f>VLOOKUP(C125,Days_Since_100!H:I,2,FALSE)</f>
        <v>#N/A</v>
      </c>
      <c r="E125" s="56" t="e">
        <f ca="1">OFFSET(CumulativeConfirmed!A125,-A125,MATCH(Country_Data!D125,CumulativeConfirmed!B125:BU125,0))</f>
        <v>#N/A</v>
      </c>
      <c r="F125" s="41">
        <f>MAX(CumulativeConfirmed!125:125)</f>
        <v>5</v>
      </c>
      <c r="G125" s="41">
        <f>MAX(CumulativeDead!125:125)</f>
        <v>1</v>
      </c>
      <c r="J125" s="41">
        <v>43849260</v>
      </c>
      <c r="K125" s="52" t="s">
        <v>512</v>
      </c>
      <c r="L125" s="41" t="e">
        <v>#VALUE!</v>
      </c>
      <c r="M125" s="69">
        <f t="shared" si="6"/>
        <v>0.2</v>
      </c>
      <c r="N125" s="52" t="e">
        <f>VLOOKUP(C125,Deaths_since_10!H:I,2,FALSE)</f>
        <v>#N/A</v>
      </c>
      <c r="O125" s="56" t="e">
        <f ca="1">OFFSET(CumulativeDead!B125,-A125,MATCH(Country_Data!N125,CumulativeDead!C125:BU125,0))</f>
        <v>#N/A</v>
      </c>
      <c r="P125" s="52" t="e">
        <f t="shared" ca="1" si="7"/>
        <v>#N/A</v>
      </c>
      <c r="Q125" s="52" t="s">
        <v>613</v>
      </c>
    </row>
    <row r="126" spans="1:17" x14ac:dyDescent="0.3">
      <c r="A126" s="52">
        <v>125</v>
      </c>
      <c r="B126" s="55" t="s">
        <v>163</v>
      </c>
      <c r="C126" s="55" t="s">
        <v>163</v>
      </c>
      <c r="D126" s="52" t="e">
        <f>VLOOKUP(C126,Days_Since_100!H:I,2,FALSE)</f>
        <v>#N/A</v>
      </c>
      <c r="E126" s="56" t="e">
        <f ca="1">OFFSET(CumulativeConfirmed!A126,-A126,MATCH(Country_Data!D126,CumulativeConfirmed!B126:BU126,0))</f>
        <v>#N/A</v>
      </c>
      <c r="G126" s="41">
        <f>MAX(CumulativeDead!126:126)</f>
        <v>1</v>
      </c>
      <c r="J126" s="41">
        <v>8278724</v>
      </c>
      <c r="K126" s="52" t="s">
        <v>512</v>
      </c>
      <c r="L126" s="41" t="e">
        <v>#N/A</v>
      </c>
      <c r="M126" s="69" t="e">
        <f t="shared" si="6"/>
        <v>#DIV/0!</v>
      </c>
      <c r="N126" s="52" t="e">
        <f>VLOOKUP(C126,Deaths_since_10!H:I,2,FALSE)</f>
        <v>#N/A</v>
      </c>
      <c r="O126" s="56" t="e">
        <f ca="1">OFFSET(CumulativeDead!B126,-A126,MATCH(Country_Data!N126,CumulativeDead!C126:BU126,0))</f>
        <v>#N/A</v>
      </c>
      <c r="P126" s="52" t="e">
        <f t="shared" ca="1" si="7"/>
        <v>#N/A</v>
      </c>
      <c r="Q126" s="52" t="s">
        <v>613</v>
      </c>
    </row>
    <row r="127" spans="1:17" x14ac:dyDescent="0.3">
      <c r="A127" s="52">
        <v>126</v>
      </c>
      <c r="B127" s="2" t="s">
        <v>606</v>
      </c>
      <c r="C127" s="2" t="s">
        <v>606</v>
      </c>
      <c r="D127" s="52">
        <f>VLOOKUP(C127,Days_Since_100!H:I,2,FALSE)</f>
        <v>555</v>
      </c>
      <c r="E127" s="56">
        <f ca="1">OFFSET(CumulativeConfirmed!A127,-A127,MATCH(Country_Data!D127,CumulativeConfirmed!B127:BU127,0))</f>
        <v>43852</v>
      </c>
      <c r="G127" s="41">
        <f>MAX(CumulativeDead!127:127)</f>
        <v>30618</v>
      </c>
      <c r="J127" s="41">
        <f>SUM(J2:J126)</f>
        <v>6913108351</v>
      </c>
      <c r="K127" s="52" t="s">
        <v>512</v>
      </c>
      <c r="L127" s="41" t="e">
        <v>#N/A</v>
      </c>
      <c r="M127" s="69" t="e">
        <f t="shared" ref="M127:M133" si="8">G127/F127</f>
        <v>#DIV/0!</v>
      </c>
      <c r="N127" s="52">
        <f>VLOOKUP(C127,Deaths_since_10!H:I,2,FALSE)</f>
        <v>17</v>
      </c>
      <c r="O127" s="56">
        <f ca="1">OFFSET(CumulativeDead!B127,-A127,MATCH(Country_Data!N127,CumulativeDead!C127:BU127,0))</f>
        <v>43852</v>
      </c>
      <c r="P127" s="52">
        <f t="shared" ref="P127:P133" ca="1" si="9">O127-E127</f>
        <v>0</v>
      </c>
    </row>
    <row r="128" spans="1:17" x14ac:dyDescent="0.3">
      <c r="A128" s="52">
        <v>127</v>
      </c>
      <c r="B128" s="2" t="s">
        <v>608</v>
      </c>
      <c r="C128" s="2" t="s">
        <v>608</v>
      </c>
      <c r="D128" s="52">
        <f>VLOOKUP(C128,Days_Since_100!H:I,2,FALSE)</f>
        <v>554</v>
      </c>
      <c r="E128" s="56">
        <f ca="1">OFFSET(CumulativeConfirmed!A128,-A128,MATCH(Country_Data!D128,CumulativeConfirmed!B128:BU128,0))</f>
        <v>43852</v>
      </c>
      <c r="G128" s="41">
        <f>MAX(CumulativeDead!128:128)</f>
        <v>3754</v>
      </c>
      <c r="J128" s="41">
        <f>SUMIFS($J$2:$J$126,$Q$2:$Q$126,B128)</f>
        <v>4225360220</v>
      </c>
      <c r="K128" s="52" t="s">
        <v>512</v>
      </c>
      <c r="L128" s="41" t="e">
        <v>#N/A</v>
      </c>
      <c r="M128" s="69" t="e">
        <f t="shared" si="8"/>
        <v>#DIV/0!</v>
      </c>
      <c r="N128" s="52">
        <f>VLOOKUP(C128,Deaths_since_10!H:I,2,FALSE)</f>
        <v>17</v>
      </c>
      <c r="O128" s="56">
        <f ca="1">OFFSET(CumulativeDead!B128,-A128,MATCH(Country_Data!N128,CumulativeDead!C128:BU128,0))</f>
        <v>43852</v>
      </c>
      <c r="P128" s="52">
        <f t="shared" ca="1" si="9"/>
        <v>0</v>
      </c>
    </row>
    <row r="129" spans="1:16" x14ac:dyDescent="0.3">
      <c r="A129" s="52">
        <v>128</v>
      </c>
      <c r="B129" s="2" t="s">
        <v>609</v>
      </c>
      <c r="C129" s="2" t="s">
        <v>609</v>
      </c>
      <c r="D129" s="52">
        <f>VLOOKUP(C129,Days_Since_100!H:I,2,FALSE)</f>
        <v>104</v>
      </c>
      <c r="E129" s="56">
        <f ca="1">OFFSET(CumulativeConfirmed!A129,-A129,MATCH(Country_Data!D129,CumulativeConfirmed!B129:BU129,0))</f>
        <v>43883</v>
      </c>
      <c r="G129" s="41">
        <f>MAX(CumulativeDead!129:129)</f>
        <v>21776</v>
      </c>
      <c r="J129" s="41">
        <f t="shared" ref="J129:J133" si="10">SUMIFS($J$2:$J$126,$Q$2:$Q$126,B129)</f>
        <v>693230884</v>
      </c>
      <c r="K129" s="52" t="s">
        <v>512</v>
      </c>
      <c r="L129" s="41" t="e">
        <v>#N/A</v>
      </c>
      <c r="M129" s="69" t="e">
        <f t="shared" si="8"/>
        <v>#DIV/0!</v>
      </c>
      <c r="N129" s="52">
        <f>VLOOKUP(C129,Deaths_since_10!H:I,2,FALSE)</f>
        <v>8</v>
      </c>
      <c r="O129" s="56">
        <f ca="1">OFFSET(CumulativeDead!B129,-A129,MATCH(Country_Data!N129,CumulativeDead!C129:BU129,0))</f>
        <v>43885</v>
      </c>
      <c r="P129" s="52">
        <f t="shared" ca="1" si="9"/>
        <v>2</v>
      </c>
    </row>
    <row r="130" spans="1:16" x14ac:dyDescent="0.3">
      <c r="A130" s="52">
        <v>129</v>
      </c>
      <c r="B130" s="2" t="s">
        <v>611</v>
      </c>
      <c r="C130" s="2" t="s">
        <v>611</v>
      </c>
      <c r="D130" s="52">
        <f>VLOOKUP(C130,Days_Since_100!H:I,2,FALSE)</f>
        <v>103</v>
      </c>
      <c r="E130" s="56">
        <f ca="1">OFFSET(CumulativeConfirmed!A130,-A130,MATCH(Country_Data!D130,CumulativeConfirmed!B130:BU130,0))</f>
        <v>43891</v>
      </c>
      <c r="G130" s="41">
        <f>MAX(CumulativeDead!130:130)</f>
        <v>2119</v>
      </c>
      <c r="J130" s="41">
        <f t="shared" si="10"/>
        <v>521537877</v>
      </c>
      <c r="K130" s="52" t="s">
        <v>512</v>
      </c>
      <c r="L130" s="41" t="e">
        <v>#N/A</v>
      </c>
      <c r="M130" s="69" t="e">
        <f t="shared" si="8"/>
        <v>#DIV/0!</v>
      </c>
      <c r="N130" s="52">
        <f>VLOOKUP(C130,Deaths_since_10!H:I,2,FALSE)</f>
        <v>11</v>
      </c>
      <c r="O130" s="56">
        <f ca="1">OFFSET(CumulativeDead!B130,-A130,MATCH(Country_Data!N130,CumulativeDead!C130:BU130,0))</f>
        <v>43894</v>
      </c>
      <c r="P130" s="52">
        <f t="shared" ca="1" si="9"/>
        <v>3</v>
      </c>
    </row>
    <row r="131" spans="1:16" x14ac:dyDescent="0.3">
      <c r="A131" s="52">
        <v>130</v>
      </c>
      <c r="B131" s="2" t="s">
        <v>612</v>
      </c>
      <c r="C131" s="2" t="s">
        <v>612</v>
      </c>
      <c r="D131" s="52">
        <f>VLOOKUP(C131,Days_Since_100!H:I,2,FALSE)</f>
        <v>134</v>
      </c>
      <c r="E131" s="56">
        <f ca="1">OFFSET(CumulativeConfirmed!A131,-A131,MATCH(Country_Data!D131,CumulativeConfirmed!B131:BU131,0))</f>
        <v>43901</v>
      </c>
      <c r="G131" s="41">
        <f>MAX(CumulativeDead!131:131)</f>
        <v>238</v>
      </c>
      <c r="J131" s="41">
        <f t="shared" si="10"/>
        <v>435832908</v>
      </c>
      <c r="K131" s="52" t="s">
        <v>512</v>
      </c>
      <c r="L131" s="41" t="e">
        <v>#N/A</v>
      </c>
      <c r="M131" s="69" t="e">
        <f t="shared" si="8"/>
        <v>#DIV/0!</v>
      </c>
      <c r="N131" s="52">
        <f>VLOOKUP(C131,Deaths_since_10!H:I,2,FALSE)</f>
        <v>9</v>
      </c>
      <c r="O131" s="56">
        <f ca="1">OFFSET(CumulativeDead!B131,-A131,MATCH(Country_Data!N131,CumulativeDead!C131:BU131,0))</f>
        <v>43908</v>
      </c>
      <c r="P131" s="52">
        <f t="shared" ca="1" si="9"/>
        <v>7</v>
      </c>
    </row>
    <row r="132" spans="1:16" x14ac:dyDescent="0.3">
      <c r="A132" s="52">
        <v>131</v>
      </c>
      <c r="B132" s="2" t="s">
        <v>613</v>
      </c>
      <c r="C132" s="2" t="s">
        <v>613</v>
      </c>
      <c r="D132" s="52">
        <f>VLOOKUP(C132,Days_Since_100!H:I,2,FALSE)</f>
        <v>104</v>
      </c>
      <c r="E132" s="56">
        <f ca="1">OFFSET(CumulativeConfirmed!A132,-A132,MATCH(Country_Data!D132,CumulativeConfirmed!B132:BU132,0))</f>
        <v>43900</v>
      </c>
      <c r="G132" s="41">
        <f>MAX(CumulativeDead!132:132)</f>
        <v>122</v>
      </c>
      <c r="J132" s="41">
        <f t="shared" si="10"/>
        <v>759332345</v>
      </c>
      <c r="K132" s="52" t="s">
        <v>512</v>
      </c>
      <c r="L132" s="41" t="e">
        <v>#N/A</v>
      </c>
      <c r="M132" s="69" t="e">
        <f t="shared" si="8"/>
        <v>#DIV/0!</v>
      </c>
      <c r="N132" s="52">
        <f>VLOOKUP(C132,Deaths_since_10!H:I,2,FALSE)</f>
        <v>8</v>
      </c>
      <c r="O132" s="56">
        <f ca="1">OFFSET(CumulativeDead!B132,-A132,MATCH(Country_Data!N132,CumulativeDead!C132:BU132,0))</f>
        <v>43905</v>
      </c>
      <c r="P132" s="52">
        <f t="shared" ca="1" si="9"/>
        <v>5</v>
      </c>
    </row>
    <row r="133" spans="1:16" x14ac:dyDescent="0.3">
      <c r="A133" s="52">
        <v>132</v>
      </c>
      <c r="B133" s="2" t="s">
        <v>610</v>
      </c>
      <c r="C133" s="2" t="s">
        <v>610</v>
      </c>
      <c r="D133" s="52">
        <f>VLOOKUP(C133,Days_Since_100!H:I,2,FALSE)</f>
        <v>148</v>
      </c>
      <c r="E133" s="56">
        <f ca="1">OFFSET(CumulativeConfirmed!A133,-A133,MATCH(Country_Data!D133,CumulativeConfirmed!B133:BU133,0))</f>
        <v>43886</v>
      </c>
      <c r="G133" s="41">
        <f>MAX(CumulativeDead!133:133)</f>
        <v>2595</v>
      </c>
      <c r="J133" s="41">
        <f t="shared" si="10"/>
        <v>247492000</v>
      </c>
      <c r="K133" s="52" t="s">
        <v>512</v>
      </c>
      <c r="L133" s="41" t="e">
        <v>#N/A</v>
      </c>
      <c r="M133" s="69" t="e">
        <f t="shared" si="8"/>
        <v>#DIV/0!</v>
      </c>
      <c r="N133" s="52">
        <f>VLOOKUP(C133,Deaths_since_10!H:I,2,FALSE)</f>
        <v>8</v>
      </c>
      <c r="O133" s="56">
        <f ca="1">OFFSET(CumulativeDead!B133,-A133,MATCH(Country_Data!N133,CumulativeDead!C133:BU133,0))</f>
        <v>43884</v>
      </c>
      <c r="P133" s="52">
        <f t="shared" ca="1" si="9"/>
        <v>-2</v>
      </c>
    </row>
    <row r="134" spans="1:16" x14ac:dyDescent="0.3">
      <c r="G134" s="41">
        <f>MAX(CumulativeDead!127:127)</f>
        <v>30618</v>
      </c>
    </row>
  </sheetData>
  <pageMargins left="0.7" right="0.7" top="0.75" bottom="0.75" header="0.3" footer="0.3"/>
  <pageSetup orientation="portrait" horizontalDpi="360" verticalDpi="36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U133"/>
  <sheetViews>
    <sheetView workbookViewId="0">
      <pane xSplit="2" ySplit="1" topLeftCell="C2" activePane="bottomRight" state="frozen"/>
      <selection pane="topRight" activeCell="B1" sqref="B1"/>
      <selection pane="bottomLeft" activeCell="A2" sqref="A2"/>
      <selection pane="bottomRight" activeCell="B2" sqref="B2:BX133"/>
    </sheetView>
  </sheetViews>
  <sheetFormatPr defaultRowHeight="14.4" x14ac:dyDescent="0.3"/>
  <cols>
    <col min="1" max="1" width="13.77734375" style="2" customWidth="1"/>
    <col min="2" max="2" width="13.77734375" style="2" bestFit="1" customWidth="1"/>
  </cols>
  <sheetData>
    <row r="1" spans="1:73" ht="15" thickBot="1" x14ac:dyDescent="0.35">
      <c r="A1" s="2" t="s">
        <v>607</v>
      </c>
      <c r="C1" s="1">
        <v>43852</v>
      </c>
      <c r="D1" s="1">
        <v>43853</v>
      </c>
      <c r="E1" s="1">
        <v>43854</v>
      </c>
      <c r="F1" s="1">
        <v>43855</v>
      </c>
      <c r="G1" s="1">
        <v>43856</v>
      </c>
      <c r="H1" s="1">
        <v>43857</v>
      </c>
      <c r="I1" s="1">
        <v>43858</v>
      </c>
      <c r="J1" s="1">
        <v>43859</v>
      </c>
      <c r="K1" s="1">
        <v>43860</v>
      </c>
      <c r="L1" s="1">
        <v>43861</v>
      </c>
      <c r="M1" s="1">
        <v>43862</v>
      </c>
      <c r="N1" s="1">
        <v>43863</v>
      </c>
      <c r="O1" s="1">
        <v>43864</v>
      </c>
      <c r="P1" s="1">
        <v>43865</v>
      </c>
      <c r="Q1" s="1">
        <v>43866</v>
      </c>
      <c r="R1" s="1">
        <v>43867</v>
      </c>
      <c r="S1" s="1">
        <v>43868</v>
      </c>
      <c r="T1" s="1">
        <v>43869</v>
      </c>
      <c r="U1" s="1">
        <v>43870</v>
      </c>
      <c r="V1" s="1">
        <v>43871</v>
      </c>
      <c r="W1" s="1">
        <v>43872</v>
      </c>
      <c r="X1" s="1">
        <v>43873</v>
      </c>
      <c r="Y1" s="1">
        <v>43874</v>
      </c>
      <c r="Z1" s="1">
        <v>43875</v>
      </c>
      <c r="AA1" s="1">
        <v>43876</v>
      </c>
      <c r="AB1" s="1">
        <v>43877</v>
      </c>
      <c r="AC1" s="1">
        <v>43878</v>
      </c>
      <c r="AD1" s="1">
        <v>43879</v>
      </c>
      <c r="AE1" s="1">
        <v>43880</v>
      </c>
      <c r="AF1" s="1">
        <v>43881</v>
      </c>
      <c r="AG1" s="1">
        <v>43882</v>
      </c>
      <c r="AH1" s="1">
        <v>43883</v>
      </c>
      <c r="AI1" s="1">
        <v>43884</v>
      </c>
      <c r="AJ1" s="1">
        <v>43885</v>
      </c>
      <c r="AK1" s="1">
        <v>43886</v>
      </c>
      <c r="AL1" s="1">
        <v>43887</v>
      </c>
      <c r="AM1" s="1">
        <v>43888</v>
      </c>
      <c r="AN1" s="1">
        <v>43889</v>
      </c>
      <c r="AO1" s="1">
        <v>43890</v>
      </c>
      <c r="AP1" s="1">
        <v>43891</v>
      </c>
      <c r="AQ1" s="1">
        <v>43892</v>
      </c>
      <c r="AR1" s="1">
        <v>43893</v>
      </c>
      <c r="AS1" s="1">
        <v>43894</v>
      </c>
      <c r="AT1" s="1">
        <v>43895</v>
      </c>
      <c r="AU1" s="1">
        <v>43896</v>
      </c>
      <c r="AV1" s="1">
        <v>43897</v>
      </c>
      <c r="AW1" s="1">
        <v>43898</v>
      </c>
      <c r="AX1" s="1">
        <v>43899</v>
      </c>
      <c r="AY1" s="1">
        <v>43900</v>
      </c>
      <c r="AZ1" s="1">
        <v>43901</v>
      </c>
      <c r="BA1" s="1">
        <v>43902</v>
      </c>
      <c r="BB1" s="1">
        <v>43903</v>
      </c>
      <c r="BC1" s="1">
        <v>43904</v>
      </c>
      <c r="BD1" s="1">
        <v>43905</v>
      </c>
      <c r="BE1" s="1">
        <v>43906</v>
      </c>
      <c r="BF1" s="1">
        <v>43907</v>
      </c>
      <c r="BG1" s="1">
        <v>43908</v>
      </c>
      <c r="BH1" s="1">
        <v>43909</v>
      </c>
      <c r="BI1" s="1">
        <v>43910</v>
      </c>
      <c r="BJ1" s="1">
        <v>43911</v>
      </c>
      <c r="BK1" s="1">
        <v>43912</v>
      </c>
      <c r="BL1" s="1">
        <v>43913</v>
      </c>
      <c r="BM1" s="1">
        <v>43914</v>
      </c>
      <c r="BN1" s="1">
        <v>43915</v>
      </c>
      <c r="BO1" s="1">
        <v>43916</v>
      </c>
      <c r="BP1" s="1">
        <v>43917</v>
      </c>
      <c r="BQ1" s="1">
        <v>43918</v>
      </c>
      <c r="BR1" s="1">
        <v>43919</v>
      </c>
      <c r="BS1" s="1">
        <v>43920</v>
      </c>
      <c r="BT1" s="1">
        <v>43921</v>
      </c>
      <c r="BU1" s="1">
        <v>43922</v>
      </c>
    </row>
    <row r="2" spans="1:73" ht="15" thickBot="1" x14ac:dyDescent="0.35">
      <c r="A2" s="97" t="str">
        <f>VLOOKUP(B2,Country_Data!B:Q,16,FALSE)</f>
        <v>Asia</v>
      </c>
      <c r="B2" s="3" t="s">
        <v>337</v>
      </c>
      <c r="C2">
        <f>SUMIF(ConfirmedRaw!$B:$B,$B2,ConfirmedRaw!E:E)</f>
        <v>548</v>
      </c>
      <c r="D2">
        <f>SUMIF(ConfirmedRaw!$B:$B,$B2,ConfirmedRaw!F:F)</f>
        <v>643</v>
      </c>
      <c r="E2">
        <f>SUMIF(ConfirmedRaw!$B:$B,$B2,ConfirmedRaw!G:G)</f>
        <v>920</v>
      </c>
      <c r="F2">
        <f>SUMIF(ConfirmedRaw!$B:$B,$B2,ConfirmedRaw!H:H)</f>
        <v>1406</v>
      </c>
      <c r="G2">
        <f>SUMIF(ConfirmedRaw!$B:$B,$B2,ConfirmedRaw!I:I)</f>
        <v>2075</v>
      </c>
      <c r="H2">
        <f>SUMIF(ConfirmedRaw!$B:$B,$B2,ConfirmedRaw!J:J)</f>
        <v>2877</v>
      </c>
      <c r="I2">
        <f>SUMIF(ConfirmedRaw!$B:$B,$B2,ConfirmedRaw!K:K)</f>
        <v>5509</v>
      </c>
      <c r="J2">
        <f>SUMIF(ConfirmedRaw!$B:$B,$B2,ConfirmedRaw!L:L)</f>
        <v>6087</v>
      </c>
      <c r="K2">
        <f>SUMIF(ConfirmedRaw!$B:$B,$B2,ConfirmedRaw!M:M)</f>
        <v>8141</v>
      </c>
      <c r="L2">
        <f>SUMIF(ConfirmedRaw!$B:$B,$B2,ConfirmedRaw!N:N)</f>
        <v>9802</v>
      </c>
      <c r="M2">
        <f>SUMIF(ConfirmedRaw!$B:$B,$B2,ConfirmedRaw!O:O)</f>
        <v>11891</v>
      </c>
      <c r="N2">
        <f>SUMIF(ConfirmedRaw!$B:$B,$B2,ConfirmedRaw!P:P)</f>
        <v>16630</v>
      </c>
      <c r="O2">
        <f>SUMIF(ConfirmedRaw!$B:$B,$B2,ConfirmedRaw!Q:Q)</f>
        <v>19716</v>
      </c>
      <c r="P2">
        <f>SUMIF(ConfirmedRaw!$B:$B,$B2,ConfirmedRaw!R:R)</f>
        <v>23707</v>
      </c>
      <c r="Q2">
        <f>SUMIF(ConfirmedRaw!$B:$B,$B2,ConfirmedRaw!S:S)</f>
        <v>27440</v>
      </c>
      <c r="R2">
        <f>SUMIF(ConfirmedRaw!$B:$B,$B2,ConfirmedRaw!T:T)</f>
        <v>30587</v>
      </c>
      <c r="S2">
        <f>SUMIF(ConfirmedRaw!$B:$B,$B2,ConfirmedRaw!U:U)</f>
        <v>34110</v>
      </c>
      <c r="T2">
        <f>SUMIF(ConfirmedRaw!$B:$B,$B2,ConfirmedRaw!V:V)</f>
        <v>36814</v>
      </c>
      <c r="U2">
        <f>SUMIF(ConfirmedRaw!$B:$B,$B2,ConfirmedRaw!W:W)</f>
        <v>39829</v>
      </c>
      <c r="V2">
        <f>SUMIF(ConfirmedRaw!$B:$B,$B2,ConfirmedRaw!X:X)</f>
        <v>42354</v>
      </c>
      <c r="W2">
        <f>SUMIF(ConfirmedRaw!$B:$B,$B2,ConfirmedRaw!Y:Y)</f>
        <v>44386</v>
      </c>
      <c r="X2">
        <v>50000</v>
      </c>
      <c r="Y2">
        <f>SUMIF(ConfirmedRaw!$B:$B,$B2,ConfirmedRaw!AA:AA)</f>
        <v>59895</v>
      </c>
      <c r="Z2">
        <f>SUMIF(ConfirmedRaw!$B:$B,$B2,ConfirmedRaw!AB:AB)</f>
        <v>66358</v>
      </c>
      <c r="AA2">
        <f>SUMIF(ConfirmedRaw!$B:$B,$B2,ConfirmedRaw!AC:AC)</f>
        <v>68413</v>
      </c>
      <c r="AB2">
        <f>SUMIF(ConfirmedRaw!$B:$B,$B2,ConfirmedRaw!AD:AD)</f>
        <v>70513</v>
      </c>
      <c r="AC2">
        <f>SUMIF(ConfirmedRaw!$B:$B,$B2,ConfirmedRaw!AE:AE)</f>
        <v>72434</v>
      </c>
      <c r="AD2">
        <f>SUMIF(ConfirmedRaw!$B:$B,$B2,ConfirmedRaw!AF:AF)</f>
        <v>74211</v>
      </c>
      <c r="AE2">
        <f>SUMIF(ConfirmedRaw!$B:$B,$B2,ConfirmedRaw!AG:AG)</f>
        <v>74619</v>
      </c>
      <c r="AF2">
        <f>SUMIF(ConfirmedRaw!$B:$B,$B2,ConfirmedRaw!AH:AH)</f>
        <v>75077</v>
      </c>
      <c r="AG2">
        <f>SUMIF(ConfirmedRaw!$B:$B,$B2,ConfirmedRaw!AI:AI)</f>
        <v>75550</v>
      </c>
      <c r="AH2">
        <f>SUMIF(ConfirmedRaw!$B:$B,$B2,ConfirmedRaw!AJ:AJ)</f>
        <v>77001</v>
      </c>
      <c r="AI2">
        <f>SUMIF(ConfirmedRaw!$B:$B,$B2,ConfirmedRaw!AK:AK)</f>
        <v>77022</v>
      </c>
      <c r="AJ2">
        <f>SUMIF(ConfirmedRaw!$B:$B,$B2,ConfirmedRaw!AL:AL)</f>
        <v>77241</v>
      </c>
      <c r="AK2">
        <f>SUMIF(ConfirmedRaw!$B:$B,$B2,ConfirmedRaw!AM:AM)</f>
        <v>77754</v>
      </c>
      <c r="AL2">
        <f>SUMIF(ConfirmedRaw!$B:$B,$B2,ConfirmedRaw!AN:AN)</f>
        <v>78166</v>
      </c>
      <c r="AM2">
        <f>SUMIF(ConfirmedRaw!$B:$B,$B2,ConfirmedRaw!AO:AO)</f>
        <v>78600</v>
      </c>
      <c r="AN2">
        <f>SUMIF(ConfirmedRaw!$B:$B,$B2,ConfirmedRaw!AP:AP)</f>
        <v>78928</v>
      </c>
      <c r="AO2">
        <f>SUMIF(ConfirmedRaw!$B:$B,$B2,ConfirmedRaw!AQ:AQ)</f>
        <v>79356</v>
      </c>
      <c r="AP2">
        <f>SUMIF(ConfirmedRaw!$B:$B,$B2,ConfirmedRaw!AR:AR)</f>
        <v>79932</v>
      </c>
      <c r="AQ2">
        <f>SUMIF(ConfirmedRaw!$B:$B,$B2,ConfirmedRaw!AS:AS)</f>
        <v>80136</v>
      </c>
      <c r="AR2">
        <f>SUMIF(ConfirmedRaw!$B:$B,$B2,ConfirmedRaw!AT:AT)</f>
        <v>80261</v>
      </c>
      <c r="AS2">
        <f>SUMIF(ConfirmedRaw!$B:$B,$B2,ConfirmedRaw!AU:AU)</f>
        <v>80386</v>
      </c>
      <c r="AT2">
        <f>SUMIF(ConfirmedRaw!$B:$B,$B2,ConfirmedRaw!AV:AV)</f>
        <v>80537</v>
      </c>
      <c r="AU2">
        <f>SUMIF(ConfirmedRaw!$B:$B,$B2,ConfirmedRaw!AW:AW)</f>
        <v>80690</v>
      </c>
      <c r="AV2">
        <f>SUMIF(ConfirmedRaw!$B:$B,$B2,ConfirmedRaw!AX:AX)</f>
        <v>80770</v>
      </c>
      <c r="AW2">
        <f>SUMIF(ConfirmedRaw!$B:$B,$B2,ConfirmedRaw!AY:AY)</f>
        <v>80823</v>
      </c>
      <c r="AX2">
        <f>SUMIF(ConfirmedRaw!$B:$B,$B2,ConfirmedRaw!AZ:AZ)</f>
        <v>80860</v>
      </c>
      <c r="AY2">
        <f>SUMIF(ConfirmedRaw!$B:$B,$B2,ConfirmedRaw!BA:BA)</f>
        <v>80887</v>
      </c>
      <c r="AZ2">
        <f>SUMIF(ConfirmedRaw!$B:$B,$B2,ConfirmedRaw!BB:BB)</f>
        <v>80921</v>
      </c>
      <c r="BA2">
        <f>SUMIF(ConfirmedRaw!$B:$B,$B2,ConfirmedRaw!BC:BC)</f>
        <v>80932</v>
      </c>
      <c r="BB2">
        <f>SUMIF(ConfirmedRaw!$B:$B,$B2,ConfirmedRaw!BD:BD)</f>
        <v>80945</v>
      </c>
      <c r="BC2">
        <f>SUMIF(ConfirmedRaw!$B:$B,$B2,ConfirmedRaw!BE:BE)</f>
        <v>80977</v>
      </c>
      <c r="BD2">
        <f>SUMIF(ConfirmedRaw!$B:$B,$B2,ConfirmedRaw!BF:BF)</f>
        <v>81003</v>
      </c>
      <c r="BE2">
        <f>SUMIF(ConfirmedRaw!$B:$B,$B2,ConfirmedRaw!BG:BG)</f>
        <v>81033</v>
      </c>
      <c r="BF2">
        <f>SUMIF(ConfirmedRaw!$B:$B,$B2,ConfirmedRaw!BH:BH)</f>
        <v>81058</v>
      </c>
      <c r="BG2">
        <f>SUMIF(ConfirmedRaw!$B:$B,$B2,ConfirmedRaw!BI:BI)</f>
        <v>81102</v>
      </c>
      <c r="BH2">
        <f>SUMIF(ConfirmedRaw!$B:$B,$B2,ConfirmedRaw!BJ:BJ)</f>
        <v>81156</v>
      </c>
      <c r="BI2">
        <f>SUMIF(ConfirmedRaw!$B:$B,$B2,ConfirmedRaw!BK:BK)</f>
        <v>81250</v>
      </c>
      <c r="BJ2">
        <f>SUMIF(ConfirmedRaw!$B:$B,$B2,ConfirmedRaw!BL:BL)</f>
        <v>81305</v>
      </c>
      <c r="BK2">
        <f>SUMIF(ConfirmedRaw!$B:$B,$B2,ConfirmedRaw!BM:BM)</f>
        <v>81435</v>
      </c>
      <c r="BL2">
        <f>SUMIF(ConfirmedRaw!$B:$B,$B2,ConfirmedRaw!BN:BN)</f>
        <v>81498</v>
      </c>
      <c r="BM2">
        <f>SUMIF(ConfirmedRaw!$B:$B,$B2,ConfirmedRaw!BO:BO)</f>
        <v>81591</v>
      </c>
      <c r="BN2">
        <f>SUMIF(ConfirmedRaw!$B:$B,$B2,ConfirmedRaw!BP:BP)</f>
        <v>81661</v>
      </c>
      <c r="BO2">
        <f>SUMIF(ConfirmedRaw!$B:$B,$B2,ConfirmedRaw!BQ:BQ)</f>
        <v>81782</v>
      </c>
      <c r="BP2">
        <f>SUMIF(ConfirmedRaw!$B:$B,$B2,ConfirmedRaw!BR:BR)</f>
        <v>81897</v>
      </c>
      <c r="BQ2">
        <f>SUMIF(ConfirmedRaw!$B:$B,$B2,ConfirmedRaw!BS:BS)</f>
        <v>81999</v>
      </c>
      <c r="BR2">
        <f>SUMIF(ConfirmedRaw!$B:$B,$B2,ConfirmedRaw!BT:BT)</f>
        <v>0</v>
      </c>
      <c r="BS2">
        <f>SUMIF(ConfirmedRaw!$B:$B,$B2,ConfirmedRaw!BU:BU)</f>
        <v>0</v>
      </c>
      <c r="BT2">
        <f>SUMIF(ConfirmedRaw!$B:$B,$B2,ConfirmedRaw!BV:BV)</f>
        <v>0</v>
      </c>
      <c r="BU2">
        <f>SUMIF(ConfirmedRaw!$B:$B,$B2,ConfirmedRaw!BW:BW)</f>
        <v>0</v>
      </c>
    </row>
    <row r="3" spans="1:73" ht="15" thickBot="1" x14ac:dyDescent="0.35">
      <c r="A3" s="97" t="str">
        <f>VLOOKUP(B3,Country_Data!B:Q,16,FALSE)</f>
        <v>Europe</v>
      </c>
      <c r="B3" s="3" t="s">
        <v>58</v>
      </c>
      <c r="C3">
        <f>SUMIF(ConfirmedRaw!$B:$B,$B3,ConfirmedRaw!E:E)</f>
        <v>0</v>
      </c>
      <c r="D3">
        <f>SUMIF(ConfirmedRaw!$B:$B,$B3,ConfirmedRaw!F:F)</f>
        <v>0</v>
      </c>
      <c r="E3">
        <f>SUMIF(ConfirmedRaw!$B:$B,$B3,ConfirmedRaw!G:G)</f>
        <v>0</v>
      </c>
      <c r="F3">
        <f>SUMIF(ConfirmedRaw!$B:$B,$B3,ConfirmedRaw!H:H)</f>
        <v>0</v>
      </c>
      <c r="G3">
        <f>SUMIF(ConfirmedRaw!$B:$B,$B3,ConfirmedRaw!I:I)</f>
        <v>0</v>
      </c>
      <c r="H3">
        <f>SUMIF(ConfirmedRaw!$B:$B,$B3,ConfirmedRaw!J:J)</f>
        <v>0</v>
      </c>
      <c r="I3">
        <f>SUMIF(ConfirmedRaw!$B:$B,$B3,ConfirmedRaw!K:K)</f>
        <v>0</v>
      </c>
      <c r="J3">
        <f>SUMIF(ConfirmedRaw!$B:$B,$B3,ConfirmedRaw!L:L)</f>
        <v>0</v>
      </c>
      <c r="K3">
        <f>SUMIF(ConfirmedRaw!$B:$B,$B3,ConfirmedRaw!M:M)</f>
        <v>0</v>
      </c>
      <c r="L3">
        <f>SUMIF(ConfirmedRaw!$B:$B,$B3,ConfirmedRaw!N:N)</f>
        <v>2</v>
      </c>
      <c r="M3">
        <f>SUMIF(ConfirmedRaw!$B:$B,$B3,ConfirmedRaw!O:O)</f>
        <v>2</v>
      </c>
      <c r="N3">
        <f>SUMIF(ConfirmedRaw!$B:$B,$B3,ConfirmedRaw!P:P)</f>
        <v>2</v>
      </c>
      <c r="O3">
        <f>SUMIF(ConfirmedRaw!$B:$B,$B3,ConfirmedRaw!Q:Q)</f>
        <v>2</v>
      </c>
      <c r="P3">
        <f>SUMIF(ConfirmedRaw!$B:$B,$B3,ConfirmedRaw!R:R)</f>
        <v>2</v>
      </c>
      <c r="Q3">
        <f>SUMIF(ConfirmedRaw!$B:$B,$B3,ConfirmedRaw!S:S)</f>
        <v>2</v>
      </c>
      <c r="R3">
        <f>SUMIF(ConfirmedRaw!$B:$B,$B3,ConfirmedRaw!T:T)</f>
        <v>2</v>
      </c>
      <c r="S3">
        <f>SUMIF(ConfirmedRaw!$B:$B,$B3,ConfirmedRaw!U:U)</f>
        <v>3</v>
      </c>
      <c r="T3">
        <f>SUMIF(ConfirmedRaw!$B:$B,$B3,ConfirmedRaw!V:V)</f>
        <v>3</v>
      </c>
      <c r="U3">
        <f>SUMIF(ConfirmedRaw!$B:$B,$B3,ConfirmedRaw!W:W)</f>
        <v>3</v>
      </c>
      <c r="V3">
        <f>SUMIF(ConfirmedRaw!$B:$B,$B3,ConfirmedRaw!X:X)</f>
        <v>3</v>
      </c>
      <c r="W3">
        <f>SUMIF(ConfirmedRaw!$B:$B,$B3,ConfirmedRaw!Y:Y)</f>
        <v>3</v>
      </c>
      <c r="X3">
        <f>SUMIF(ConfirmedRaw!$B:$B,$B3,ConfirmedRaw!Z:Z)</f>
        <v>3</v>
      </c>
      <c r="Y3">
        <f>SUMIF(ConfirmedRaw!$B:$B,$B3,ConfirmedRaw!AA:AA)</f>
        <v>3</v>
      </c>
      <c r="Z3">
        <f>SUMIF(ConfirmedRaw!$B:$B,$B3,ConfirmedRaw!AB:AB)</f>
        <v>3</v>
      </c>
      <c r="AA3">
        <f>SUMIF(ConfirmedRaw!$B:$B,$B3,ConfirmedRaw!AC:AC)</f>
        <v>3</v>
      </c>
      <c r="AB3">
        <f>SUMIF(ConfirmedRaw!$B:$B,$B3,ConfirmedRaw!AD:AD)</f>
        <v>3</v>
      </c>
      <c r="AC3">
        <f>SUMIF(ConfirmedRaw!$B:$B,$B3,ConfirmedRaw!AE:AE)</f>
        <v>3</v>
      </c>
      <c r="AD3">
        <f>SUMIF(ConfirmedRaw!$B:$B,$B3,ConfirmedRaw!AF:AF)</f>
        <v>3</v>
      </c>
      <c r="AE3">
        <f>SUMIF(ConfirmedRaw!$B:$B,$B3,ConfirmedRaw!AG:AG)</f>
        <v>3</v>
      </c>
      <c r="AF3">
        <f>SUMIF(ConfirmedRaw!$B:$B,$B3,ConfirmedRaw!AH:AH)</f>
        <v>3</v>
      </c>
      <c r="AG3">
        <f>SUMIF(ConfirmedRaw!$B:$B,$B3,ConfirmedRaw!AI:AI)</f>
        <v>20</v>
      </c>
      <c r="AH3">
        <f>SUMIF(ConfirmedRaw!$B:$B,$B3,ConfirmedRaw!AJ:AJ)</f>
        <v>62</v>
      </c>
      <c r="AI3">
        <f>SUMIF(ConfirmedRaw!$B:$B,$B3,ConfirmedRaw!AK:AK)</f>
        <v>155</v>
      </c>
      <c r="AJ3">
        <f>SUMIF(ConfirmedRaw!$B:$B,$B3,ConfirmedRaw!AL:AL)</f>
        <v>229</v>
      </c>
      <c r="AK3">
        <f>SUMIF(ConfirmedRaw!$B:$B,$B3,ConfirmedRaw!AM:AM)</f>
        <v>322</v>
      </c>
      <c r="AL3">
        <f>SUMIF(ConfirmedRaw!$B:$B,$B3,ConfirmedRaw!AN:AN)</f>
        <v>453</v>
      </c>
      <c r="AM3">
        <f>SUMIF(ConfirmedRaw!$B:$B,$B3,ConfirmedRaw!AO:AO)</f>
        <v>655</v>
      </c>
      <c r="AN3">
        <f>SUMIF(ConfirmedRaw!$B:$B,$B3,ConfirmedRaw!AP:AP)</f>
        <v>888</v>
      </c>
      <c r="AO3">
        <f>SUMIF(ConfirmedRaw!$B:$B,$B3,ConfirmedRaw!AQ:AQ)</f>
        <v>1128</v>
      </c>
      <c r="AP3">
        <f>SUMIF(ConfirmedRaw!$B:$B,$B3,ConfirmedRaw!AR:AR)</f>
        <v>1694</v>
      </c>
      <c r="AQ3">
        <f>SUMIF(ConfirmedRaw!$B:$B,$B3,ConfirmedRaw!AS:AS)</f>
        <v>2036</v>
      </c>
      <c r="AR3">
        <f>SUMIF(ConfirmedRaw!$B:$B,$B3,ConfirmedRaw!AT:AT)</f>
        <v>2502</v>
      </c>
      <c r="AS3">
        <f>SUMIF(ConfirmedRaw!$B:$B,$B3,ConfirmedRaw!AU:AU)</f>
        <v>3089</v>
      </c>
      <c r="AT3">
        <f>SUMIF(ConfirmedRaw!$B:$B,$B3,ConfirmedRaw!AV:AV)</f>
        <v>3858</v>
      </c>
      <c r="AU3">
        <f>SUMIF(ConfirmedRaw!$B:$B,$B3,ConfirmedRaw!AW:AW)</f>
        <v>4636</v>
      </c>
      <c r="AV3">
        <f>SUMIF(ConfirmedRaw!$B:$B,$B3,ConfirmedRaw!AX:AX)</f>
        <v>5883</v>
      </c>
      <c r="AW3">
        <f>SUMIF(ConfirmedRaw!$B:$B,$B3,ConfirmedRaw!AY:AY)</f>
        <v>7375</v>
      </c>
      <c r="AX3">
        <f>SUMIF(ConfirmedRaw!$B:$B,$B3,ConfirmedRaw!AZ:AZ)</f>
        <v>9172</v>
      </c>
      <c r="AY3">
        <f>SUMIF(ConfirmedRaw!$B:$B,$B3,ConfirmedRaw!BA:BA)</f>
        <v>10149</v>
      </c>
      <c r="AZ3">
        <f>SUMIF(ConfirmedRaw!$B:$B,$B3,ConfirmedRaw!BB:BB)</f>
        <v>12462</v>
      </c>
      <c r="BA3">
        <v>15113</v>
      </c>
      <c r="BB3">
        <f>SUMIF(ConfirmedRaw!$B:$B,$B3,ConfirmedRaw!BD:BD)</f>
        <v>17660</v>
      </c>
      <c r="BC3">
        <f>SUMIF(ConfirmedRaw!$B:$B,$B3,ConfirmedRaw!BE:BE)</f>
        <v>21157</v>
      </c>
      <c r="BD3">
        <f>SUMIF(ConfirmedRaw!$B:$B,$B3,ConfirmedRaw!BF:BF)</f>
        <v>24747</v>
      </c>
      <c r="BE3">
        <f>SUMIF(ConfirmedRaw!$B:$B,$B3,ConfirmedRaw!BG:BG)</f>
        <v>27980</v>
      </c>
      <c r="BF3">
        <f>SUMIF(ConfirmedRaw!$B:$B,$B3,ConfirmedRaw!BH:BH)</f>
        <v>31506</v>
      </c>
      <c r="BG3">
        <f>SUMIF(ConfirmedRaw!$B:$B,$B3,ConfirmedRaw!BI:BI)</f>
        <v>35713</v>
      </c>
      <c r="BH3">
        <f>SUMIF(ConfirmedRaw!$B:$B,$B3,ConfirmedRaw!BJ:BJ)</f>
        <v>41035</v>
      </c>
      <c r="BI3">
        <f>SUMIF(ConfirmedRaw!$B:$B,$B3,ConfirmedRaw!BK:BK)</f>
        <v>47021</v>
      </c>
      <c r="BJ3">
        <f>SUMIF(ConfirmedRaw!$B:$B,$B3,ConfirmedRaw!BL:BL)</f>
        <v>53578</v>
      </c>
      <c r="BK3">
        <f>SUMIF(ConfirmedRaw!$B:$B,$B3,ConfirmedRaw!BM:BM)</f>
        <v>59138</v>
      </c>
      <c r="BL3">
        <f>SUMIF(ConfirmedRaw!$B:$B,$B3,ConfirmedRaw!BN:BN)</f>
        <v>63927</v>
      </c>
      <c r="BM3">
        <f>SUMIF(ConfirmedRaw!$B:$B,$B3,ConfirmedRaw!BO:BO)</f>
        <v>69176</v>
      </c>
      <c r="BN3">
        <f>SUMIF(ConfirmedRaw!$B:$B,$B3,ConfirmedRaw!BP:BP)</f>
        <v>74386</v>
      </c>
      <c r="BO3">
        <f>SUMIF(ConfirmedRaw!$B:$B,$B3,ConfirmedRaw!BQ:BQ)</f>
        <v>80589</v>
      </c>
      <c r="BP3">
        <f>SUMIF(ConfirmedRaw!$B:$B,$B3,ConfirmedRaw!BR:BR)</f>
        <v>86498</v>
      </c>
      <c r="BQ3">
        <f>SUMIF(ConfirmedRaw!$B:$B,$B3,ConfirmedRaw!BS:BS)</f>
        <v>92472</v>
      </c>
      <c r="BR3">
        <f>SUMIF(ConfirmedRaw!$B:$B,$B3,ConfirmedRaw!BT:BT)</f>
        <v>0</v>
      </c>
      <c r="BS3">
        <f>SUMIF(ConfirmedRaw!$B:$B,$B3,ConfirmedRaw!BU:BU)</f>
        <v>0</v>
      </c>
      <c r="BT3">
        <f>SUMIF(ConfirmedRaw!$B:$B,$B3,ConfirmedRaw!BV:BV)</f>
        <v>0</v>
      </c>
      <c r="BU3">
        <f>SUMIF(ConfirmedRaw!$B:$B,$B3,ConfirmedRaw!BW:BW)</f>
        <v>0</v>
      </c>
    </row>
    <row r="4" spans="1:73" ht="15" thickBot="1" x14ac:dyDescent="0.35">
      <c r="A4" s="97" t="str">
        <f>VLOOKUP(B4,Country_Data!B:Q,16,FALSE)</f>
        <v>Middle East</v>
      </c>
      <c r="B4" s="4" t="s">
        <v>338</v>
      </c>
      <c r="C4">
        <f>SUMIF(ConfirmedRaw!$B:$B,$B4,ConfirmedRaw!E:E)</f>
        <v>0</v>
      </c>
      <c r="D4">
        <f>SUMIF(ConfirmedRaw!$B:$B,$B4,ConfirmedRaw!F:F)</f>
        <v>0</v>
      </c>
      <c r="E4">
        <f>SUMIF(ConfirmedRaw!$B:$B,$B4,ConfirmedRaw!G:G)</f>
        <v>0</v>
      </c>
      <c r="F4">
        <f>SUMIF(ConfirmedRaw!$B:$B,$B4,ConfirmedRaw!H:H)</f>
        <v>0</v>
      </c>
      <c r="G4">
        <f>SUMIF(ConfirmedRaw!$B:$B,$B4,ConfirmedRaw!I:I)</f>
        <v>0</v>
      </c>
      <c r="H4">
        <f>SUMIF(ConfirmedRaw!$B:$B,$B4,ConfirmedRaw!J:J)</f>
        <v>0</v>
      </c>
      <c r="I4">
        <f>SUMIF(ConfirmedRaw!$B:$B,$B4,ConfirmedRaw!K:K)</f>
        <v>0</v>
      </c>
      <c r="J4">
        <f>SUMIF(ConfirmedRaw!$B:$B,$B4,ConfirmedRaw!L:L)</f>
        <v>0</v>
      </c>
      <c r="K4">
        <f>SUMIF(ConfirmedRaw!$B:$B,$B4,ConfirmedRaw!M:M)</f>
        <v>0</v>
      </c>
      <c r="L4">
        <f>SUMIF(ConfirmedRaw!$B:$B,$B4,ConfirmedRaw!N:N)</f>
        <v>0</v>
      </c>
      <c r="M4">
        <f>SUMIF(ConfirmedRaw!$B:$B,$B4,ConfirmedRaw!O:O)</f>
        <v>0</v>
      </c>
      <c r="N4">
        <f>SUMIF(ConfirmedRaw!$B:$B,$B4,ConfirmedRaw!P:P)</f>
        <v>0</v>
      </c>
      <c r="O4">
        <f>SUMIF(ConfirmedRaw!$B:$B,$B4,ConfirmedRaw!Q:Q)</f>
        <v>0</v>
      </c>
      <c r="P4">
        <f>SUMIF(ConfirmedRaw!$B:$B,$B4,ConfirmedRaw!R:R)</f>
        <v>0</v>
      </c>
      <c r="Q4">
        <f>SUMIF(ConfirmedRaw!$B:$B,$B4,ConfirmedRaw!S:S)</f>
        <v>0</v>
      </c>
      <c r="R4">
        <f>SUMIF(ConfirmedRaw!$B:$B,$B4,ConfirmedRaw!T:T)</f>
        <v>0</v>
      </c>
      <c r="S4">
        <f>SUMIF(ConfirmedRaw!$B:$B,$B4,ConfirmedRaw!U:U)</f>
        <v>0</v>
      </c>
      <c r="T4">
        <f>SUMIF(ConfirmedRaw!$B:$B,$B4,ConfirmedRaw!V:V)</f>
        <v>0</v>
      </c>
      <c r="U4">
        <f>SUMIF(ConfirmedRaw!$B:$B,$B4,ConfirmedRaw!W:W)</f>
        <v>0</v>
      </c>
      <c r="V4">
        <f>SUMIF(ConfirmedRaw!$B:$B,$B4,ConfirmedRaw!X:X)</f>
        <v>0</v>
      </c>
      <c r="W4">
        <f>SUMIF(ConfirmedRaw!$B:$B,$B4,ConfirmedRaw!Y:Y)</f>
        <v>0</v>
      </c>
      <c r="X4">
        <f>SUMIF(ConfirmedRaw!$B:$B,$B4,ConfirmedRaw!Z:Z)</f>
        <v>0</v>
      </c>
      <c r="Y4">
        <f>SUMIF(ConfirmedRaw!$B:$B,$B4,ConfirmedRaw!AA:AA)</f>
        <v>0</v>
      </c>
      <c r="Z4">
        <f>SUMIF(ConfirmedRaw!$B:$B,$B4,ConfirmedRaw!AB:AB)</f>
        <v>0</v>
      </c>
      <c r="AA4">
        <f>SUMIF(ConfirmedRaw!$B:$B,$B4,ConfirmedRaw!AC:AC)</f>
        <v>0</v>
      </c>
      <c r="AB4">
        <f>SUMIF(ConfirmedRaw!$B:$B,$B4,ConfirmedRaw!AD:AD)</f>
        <v>0</v>
      </c>
      <c r="AC4">
        <f>SUMIF(ConfirmedRaw!$B:$B,$B4,ConfirmedRaw!AE:AE)</f>
        <v>0</v>
      </c>
      <c r="AD4">
        <f>SUMIF(ConfirmedRaw!$B:$B,$B4,ConfirmedRaw!AF:AF)</f>
        <v>0</v>
      </c>
      <c r="AE4">
        <f>SUMIF(ConfirmedRaw!$B:$B,$B4,ConfirmedRaw!AG:AG)</f>
        <v>2</v>
      </c>
      <c r="AF4">
        <f>SUMIF(ConfirmedRaw!$B:$B,$B4,ConfirmedRaw!AH:AH)</f>
        <v>5</v>
      </c>
      <c r="AG4">
        <f>SUMIF(ConfirmedRaw!$B:$B,$B4,ConfirmedRaw!AI:AI)</f>
        <v>18</v>
      </c>
      <c r="AH4">
        <f>SUMIF(ConfirmedRaw!$B:$B,$B4,ConfirmedRaw!AJ:AJ)</f>
        <v>28</v>
      </c>
      <c r="AI4">
        <f>SUMIF(ConfirmedRaw!$B:$B,$B4,ConfirmedRaw!AK:AK)</f>
        <v>43</v>
      </c>
      <c r="AJ4">
        <f>SUMIF(ConfirmedRaw!$B:$B,$B4,ConfirmedRaw!AL:AL)</f>
        <v>61</v>
      </c>
      <c r="AK4">
        <f>SUMIF(ConfirmedRaw!$B:$B,$B4,ConfirmedRaw!AM:AM)</f>
        <v>95</v>
      </c>
      <c r="AL4">
        <f>SUMIF(ConfirmedRaw!$B:$B,$B4,ConfirmedRaw!AN:AN)</f>
        <v>139</v>
      </c>
      <c r="AM4">
        <f>SUMIF(ConfirmedRaw!$B:$B,$B4,ConfirmedRaw!AO:AO)</f>
        <v>245</v>
      </c>
      <c r="AN4">
        <f>SUMIF(ConfirmedRaw!$B:$B,$B4,ConfirmedRaw!AP:AP)</f>
        <v>388</v>
      </c>
      <c r="AO4">
        <f>SUMIF(ConfirmedRaw!$B:$B,$B4,ConfirmedRaw!AQ:AQ)</f>
        <v>593</v>
      </c>
      <c r="AP4">
        <f>SUMIF(ConfirmedRaw!$B:$B,$B4,ConfirmedRaw!AR:AR)</f>
        <v>978</v>
      </c>
      <c r="AQ4">
        <f>SUMIF(ConfirmedRaw!$B:$B,$B4,ConfirmedRaw!AS:AS)</f>
        <v>1501</v>
      </c>
      <c r="AR4">
        <f>SUMIF(ConfirmedRaw!$B:$B,$B4,ConfirmedRaw!AT:AT)</f>
        <v>2336</v>
      </c>
      <c r="AS4">
        <f>SUMIF(ConfirmedRaw!$B:$B,$B4,ConfirmedRaw!AU:AU)</f>
        <v>2922</v>
      </c>
      <c r="AT4">
        <f>SUMIF(ConfirmedRaw!$B:$B,$B4,ConfirmedRaw!AV:AV)</f>
        <v>3513</v>
      </c>
      <c r="AU4">
        <f>SUMIF(ConfirmedRaw!$B:$B,$B4,ConfirmedRaw!AW:AW)</f>
        <v>4747</v>
      </c>
      <c r="AV4">
        <f>SUMIF(ConfirmedRaw!$B:$B,$B4,ConfirmedRaw!AX:AX)</f>
        <v>5823</v>
      </c>
      <c r="AW4">
        <f>SUMIF(ConfirmedRaw!$B:$B,$B4,ConfirmedRaw!AY:AY)</f>
        <v>6566</v>
      </c>
      <c r="AX4">
        <f>SUMIF(ConfirmedRaw!$B:$B,$B4,ConfirmedRaw!AZ:AZ)</f>
        <v>7161</v>
      </c>
      <c r="AY4">
        <f>SUMIF(ConfirmedRaw!$B:$B,$B4,ConfirmedRaw!BA:BA)</f>
        <v>8042</v>
      </c>
      <c r="AZ4">
        <f>SUMIF(ConfirmedRaw!$B:$B,$B4,ConfirmedRaw!BB:BB)</f>
        <v>9000</v>
      </c>
      <c r="BA4">
        <f>SUMIF(ConfirmedRaw!$B:$B,$B4,ConfirmedRaw!BC:BC)</f>
        <v>10075</v>
      </c>
      <c r="BB4">
        <f>SUMIF(ConfirmedRaw!$B:$B,$B4,ConfirmedRaw!BD:BD)</f>
        <v>11364</v>
      </c>
      <c r="BC4">
        <f>SUMIF(ConfirmedRaw!$B:$B,$B4,ConfirmedRaw!BE:BE)</f>
        <v>12729</v>
      </c>
      <c r="BD4">
        <f>SUMIF(ConfirmedRaw!$B:$B,$B4,ConfirmedRaw!BF:BF)</f>
        <v>13938</v>
      </c>
      <c r="BE4">
        <f>SUMIF(ConfirmedRaw!$B:$B,$B4,ConfirmedRaw!BG:BG)</f>
        <v>14991</v>
      </c>
      <c r="BF4">
        <f>SUMIF(ConfirmedRaw!$B:$B,$B4,ConfirmedRaw!BH:BH)</f>
        <v>16169</v>
      </c>
      <c r="BG4">
        <f>SUMIF(ConfirmedRaw!$B:$B,$B4,ConfirmedRaw!BI:BI)</f>
        <v>17361</v>
      </c>
      <c r="BH4">
        <f>SUMIF(ConfirmedRaw!$B:$B,$B4,ConfirmedRaw!BJ:BJ)</f>
        <v>18407</v>
      </c>
      <c r="BI4">
        <f>SUMIF(ConfirmedRaw!$B:$B,$B4,ConfirmedRaw!BK:BK)</f>
        <v>19644</v>
      </c>
      <c r="BJ4">
        <f>SUMIF(ConfirmedRaw!$B:$B,$B4,ConfirmedRaw!BL:BL)</f>
        <v>20610</v>
      </c>
      <c r="BK4">
        <f>SUMIF(ConfirmedRaw!$B:$B,$B4,ConfirmedRaw!BM:BM)</f>
        <v>21638</v>
      </c>
      <c r="BL4">
        <f>SUMIF(ConfirmedRaw!$B:$B,$B4,ConfirmedRaw!BN:BN)</f>
        <v>23049</v>
      </c>
      <c r="BM4">
        <f>SUMIF(ConfirmedRaw!$B:$B,$B4,ConfirmedRaw!BO:BO)</f>
        <v>24811</v>
      </c>
      <c r="BN4">
        <f>SUMIF(ConfirmedRaw!$B:$B,$B4,ConfirmedRaw!BP:BP)</f>
        <v>27017</v>
      </c>
      <c r="BO4">
        <f>SUMIF(ConfirmedRaw!$B:$B,$B4,ConfirmedRaw!BQ:BQ)</f>
        <v>29406</v>
      </c>
      <c r="BP4">
        <f>SUMIF(ConfirmedRaw!$B:$B,$B4,ConfirmedRaw!BR:BR)</f>
        <v>32332</v>
      </c>
      <c r="BQ4">
        <f>SUMIF(ConfirmedRaw!$B:$B,$B4,ConfirmedRaw!BS:BS)</f>
        <v>35408</v>
      </c>
      <c r="BR4">
        <f>SUMIF(ConfirmedRaw!$B:$B,$B4,ConfirmedRaw!BT:BT)</f>
        <v>0</v>
      </c>
      <c r="BS4">
        <f>SUMIF(ConfirmedRaw!$B:$B,$B4,ConfirmedRaw!BU:BU)</f>
        <v>0</v>
      </c>
      <c r="BT4">
        <f>SUMIF(ConfirmedRaw!$B:$B,$B4,ConfirmedRaw!BV:BV)</f>
        <v>0</v>
      </c>
      <c r="BU4">
        <f>SUMIF(ConfirmedRaw!$B:$B,$B4,ConfirmedRaw!BW:BW)</f>
        <v>0</v>
      </c>
    </row>
    <row r="5" spans="1:73" ht="15" thickBot="1" x14ac:dyDescent="0.35">
      <c r="A5" s="97" t="s">
        <v>608</v>
      </c>
      <c r="B5" s="3" t="s">
        <v>339</v>
      </c>
      <c r="C5">
        <f>SUMIF(ConfirmedRaw!$B:$B,$B5,ConfirmedRaw!E:E)</f>
        <v>1</v>
      </c>
      <c r="D5">
        <f>SUMIF(ConfirmedRaw!$B:$B,$B5,ConfirmedRaw!F:F)</f>
        <v>1</v>
      </c>
      <c r="E5">
        <f>SUMIF(ConfirmedRaw!$B:$B,$B5,ConfirmedRaw!G:G)</f>
        <v>2</v>
      </c>
      <c r="F5">
        <f>SUMIF(ConfirmedRaw!$B:$B,$B5,ConfirmedRaw!H:H)</f>
        <v>2</v>
      </c>
      <c r="G5">
        <f>SUMIF(ConfirmedRaw!$B:$B,$B5,ConfirmedRaw!I:I)</f>
        <v>3</v>
      </c>
      <c r="H5">
        <f>SUMIF(ConfirmedRaw!$B:$B,$B5,ConfirmedRaw!J:J)</f>
        <v>4</v>
      </c>
      <c r="I5">
        <f>SUMIF(ConfirmedRaw!$B:$B,$B5,ConfirmedRaw!K:K)</f>
        <v>4</v>
      </c>
      <c r="J5">
        <f>SUMIF(ConfirmedRaw!$B:$B,$B5,ConfirmedRaw!L:L)</f>
        <v>4</v>
      </c>
      <c r="K5">
        <f>SUMIF(ConfirmedRaw!$B:$B,$B5,ConfirmedRaw!M:M)</f>
        <v>4</v>
      </c>
      <c r="L5">
        <f>SUMIF(ConfirmedRaw!$B:$B,$B5,ConfirmedRaw!N:N)</f>
        <v>11</v>
      </c>
      <c r="M5">
        <f>SUMIF(ConfirmedRaw!$B:$B,$B5,ConfirmedRaw!O:O)</f>
        <v>12</v>
      </c>
      <c r="N5">
        <f>SUMIF(ConfirmedRaw!$B:$B,$B5,ConfirmedRaw!P:P)</f>
        <v>15</v>
      </c>
      <c r="O5">
        <f>SUMIF(ConfirmedRaw!$B:$B,$B5,ConfirmedRaw!Q:Q)</f>
        <v>15</v>
      </c>
      <c r="P5">
        <f>SUMIF(ConfirmedRaw!$B:$B,$B5,ConfirmedRaw!R:R)</f>
        <v>16</v>
      </c>
      <c r="Q5">
        <f>SUMIF(ConfirmedRaw!$B:$B,$B5,ConfirmedRaw!S:S)</f>
        <v>19</v>
      </c>
      <c r="R5">
        <f>SUMIF(ConfirmedRaw!$B:$B,$B5,ConfirmedRaw!T:T)</f>
        <v>23</v>
      </c>
      <c r="S5">
        <f>SUMIF(ConfirmedRaw!$B:$B,$B5,ConfirmedRaw!U:U)</f>
        <v>24</v>
      </c>
      <c r="T5">
        <f>SUMIF(ConfirmedRaw!$B:$B,$B5,ConfirmedRaw!V:V)</f>
        <v>24</v>
      </c>
      <c r="U5">
        <f>SUMIF(ConfirmedRaw!$B:$B,$B5,ConfirmedRaw!W:W)</f>
        <v>25</v>
      </c>
      <c r="V5">
        <f>SUMIF(ConfirmedRaw!$B:$B,$B5,ConfirmedRaw!X:X)</f>
        <v>27</v>
      </c>
      <c r="W5">
        <f>SUMIF(ConfirmedRaw!$B:$B,$B5,ConfirmedRaw!Y:Y)</f>
        <v>28</v>
      </c>
      <c r="X5">
        <f>SUMIF(ConfirmedRaw!$B:$B,$B5,ConfirmedRaw!Z:Z)</f>
        <v>28</v>
      </c>
      <c r="Y5">
        <f>SUMIF(ConfirmedRaw!$B:$B,$B5,ConfirmedRaw!AA:AA)</f>
        <v>28</v>
      </c>
      <c r="Z5">
        <f>SUMIF(ConfirmedRaw!$B:$B,$B5,ConfirmedRaw!AB:AB)</f>
        <v>28</v>
      </c>
      <c r="AA5">
        <f>SUMIF(ConfirmedRaw!$B:$B,$B5,ConfirmedRaw!AC:AC)</f>
        <v>28</v>
      </c>
      <c r="AB5">
        <f>SUMIF(ConfirmedRaw!$B:$B,$B5,ConfirmedRaw!AD:AD)</f>
        <v>29</v>
      </c>
      <c r="AC5">
        <f>SUMIF(ConfirmedRaw!$B:$B,$B5,ConfirmedRaw!AE:AE)</f>
        <v>30</v>
      </c>
      <c r="AD5">
        <f>SUMIF(ConfirmedRaw!$B:$B,$B5,ConfirmedRaw!AF:AF)</f>
        <v>31</v>
      </c>
      <c r="AE5">
        <f>SUMIF(ConfirmedRaw!$B:$B,$B5,ConfirmedRaw!AG:AG)</f>
        <v>31</v>
      </c>
      <c r="AF5">
        <f>SUMIF(ConfirmedRaw!$B:$B,$B5,ConfirmedRaw!AH:AH)</f>
        <v>104</v>
      </c>
      <c r="AG5">
        <f>SUMIF(ConfirmedRaw!$B:$B,$B5,ConfirmedRaw!AI:AI)</f>
        <v>204</v>
      </c>
      <c r="AH5">
        <f>SUMIF(ConfirmedRaw!$B:$B,$B5,ConfirmedRaw!AJ:AJ)</f>
        <v>433</v>
      </c>
      <c r="AI5">
        <f>SUMIF(ConfirmedRaw!$B:$B,$B5,ConfirmedRaw!AK:AK)</f>
        <v>602</v>
      </c>
      <c r="AJ5">
        <f>SUMIF(ConfirmedRaw!$B:$B,$B5,ConfirmedRaw!AL:AL)</f>
        <v>833</v>
      </c>
      <c r="AK5">
        <f>SUMIF(ConfirmedRaw!$B:$B,$B5,ConfirmedRaw!AM:AM)</f>
        <v>977</v>
      </c>
      <c r="AL5">
        <f>SUMIF(ConfirmedRaw!$B:$B,$B5,ConfirmedRaw!AN:AN)</f>
        <v>1261</v>
      </c>
      <c r="AM5">
        <f>SUMIF(ConfirmedRaw!$B:$B,$B5,ConfirmedRaw!AO:AO)</f>
        <v>1766</v>
      </c>
      <c r="AN5">
        <f>SUMIF(ConfirmedRaw!$B:$B,$B5,ConfirmedRaw!AP:AP)</f>
        <v>2337</v>
      </c>
      <c r="AO5">
        <f>SUMIF(ConfirmedRaw!$B:$B,$B5,ConfirmedRaw!AQ:AQ)</f>
        <v>3150</v>
      </c>
      <c r="AP5">
        <f>SUMIF(ConfirmedRaw!$B:$B,$B5,ConfirmedRaw!AR:AR)</f>
        <v>3736</v>
      </c>
      <c r="AQ5">
        <f>SUMIF(ConfirmedRaw!$B:$B,$B5,ConfirmedRaw!AS:AS)</f>
        <v>4335</v>
      </c>
      <c r="AR5">
        <f>SUMIF(ConfirmedRaw!$B:$B,$B5,ConfirmedRaw!AT:AT)</f>
        <v>5186</v>
      </c>
      <c r="AS5">
        <f>SUMIF(ConfirmedRaw!$B:$B,$B5,ConfirmedRaw!AU:AU)</f>
        <v>5621</v>
      </c>
      <c r="AT5">
        <f>SUMIF(ConfirmedRaw!$B:$B,$B5,ConfirmedRaw!AV:AV)</f>
        <v>6088</v>
      </c>
      <c r="AU5">
        <f>SUMIF(ConfirmedRaw!$B:$B,$B5,ConfirmedRaw!AW:AW)</f>
        <v>6593</v>
      </c>
      <c r="AV5">
        <f>SUMIF(ConfirmedRaw!$B:$B,$B5,ConfirmedRaw!AX:AX)</f>
        <v>7041</v>
      </c>
      <c r="AW5">
        <f>SUMIF(ConfirmedRaw!$B:$B,$B5,ConfirmedRaw!AY:AY)</f>
        <v>7314</v>
      </c>
      <c r="AX5">
        <f>SUMIF(ConfirmedRaw!$B:$B,$B5,ConfirmedRaw!AZ:AZ)</f>
        <v>7478</v>
      </c>
      <c r="AY5">
        <f>SUMIF(ConfirmedRaw!$B:$B,$B5,ConfirmedRaw!BA:BA)</f>
        <v>7513</v>
      </c>
      <c r="AZ5">
        <f>SUMIF(ConfirmedRaw!$B:$B,$B5,ConfirmedRaw!BB:BB)</f>
        <v>7755</v>
      </c>
      <c r="BA5">
        <f>SUMIF(ConfirmedRaw!$B:$B,$B5,ConfirmedRaw!BC:BC)</f>
        <v>7869</v>
      </c>
      <c r="BB5">
        <f>SUMIF(ConfirmedRaw!$B:$B,$B5,ConfirmedRaw!BD:BD)</f>
        <v>7979</v>
      </c>
      <c r="BC5">
        <f>SUMIF(ConfirmedRaw!$B:$B,$B5,ConfirmedRaw!BE:BE)</f>
        <v>8086</v>
      </c>
      <c r="BD5">
        <f>SUMIF(ConfirmedRaw!$B:$B,$B5,ConfirmedRaw!BF:BF)</f>
        <v>8162</v>
      </c>
      <c r="BE5">
        <f>SUMIF(ConfirmedRaw!$B:$B,$B5,ConfirmedRaw!BG:BG)</f>
        <v>8236</v>
      </c>
      <c r="BF5">
        <f>SUMIF(ConfirmedRaw!$B:$B,$B5,ConfirmedRaw!BH:BH)</f>
        <v>8320</v>
      </c>
      <c r="BG5">
        <f>SUMIF(ConfirmedRaw!$B:$B,$B5,ConfirmedRaw!BI:BI)</f>
        <v>8413</v>
      </c>
      <c r="BH5">
        <f>SUMIF(ConfirmedRaw!$B:$B,$B5,ConfirmedRaw!BJ:BJ)</f>
        <v>8565</v>
      </c>
      <c r="BI5">
        <f>SUMIF(ConfirmedRaw!$B:$B,$B5,ConfirmedRaw!BK:BK)</f>
        <v>8652</v>
      </c>
      <c r="BJ5">
        <f>SUMIF(ConfirmedRaw!$B:$B,$B5,ConfirmedRaw!BL:BL)</f>
        <v>8799</v>
      </c>
      <c r="BK5">
        <f>SUMIF(ConfirmedRaw!$B:$B,$B5,ConfirmedRaw!BM:BM)</f>
        <v>8961</v>
      </c>
      <c r="BL5">
        <f>SUMIF(ConfirmedRaw!$B:$B,$B5,ConfirmedRaw!BN:BN)</f>
        <v>8961</v>
      </c>
      <c r="BM5">
        <f>SUMIF(ConfirmedRaw!$B:$B,$B5,ConfirmedRaw!BO:BO)</f>
        <v>9037</v>
      </c>
      <c r="BN5">
        <f>SUMIF(ConfirmedRaw!$B:$B,$B5,ConfirmedRaw!BP:BP)</f>
        <v>9137</v>
      </c>
      <c r="BO5">
        <f>SUMIF(ConfirmedRaw!$B:$B,$B5,ConfirmedRaw!BQ:BQ)</f>
        <v>9241</v>
      </c>
      <c r="BP5">
        <f>SUMIF(ConfirmedRaw!$B:$B,$B5,ConfirmedRaw!BR:BR)</f>
        <v>9332</v>
      </c>
      <c r="BQ5">
        <f>SUMIF(ConfirmedRaw!$B:$B,$B5,ConfirmedRaw!BS:BS)</f>
        <v>9478</v>
      </c>
      <c r="BR5">
        <f>SUMIF(ConfirmedRaw!$B:$B,$B5,ConfirmedRaw!BT:BT)</f>
        <v>0</v>
      </c>
      <c r="BS5">
        <f>SUMIF(ConfirmedRaw!$B:$B,$B5,ConfirmedRaw!BU:BU)</f>
        <v>0</v>
      </c>
      <c r="BT5">
        <f>SUMIF(ConfirmedRaw!$B:$B,$B5,ConfirmedRaw!BV:BV)</f>
        <v>0</v>
      </c>
      <c r="BU5">
        <f>SUMIF(ConfirmedRaw!$B:$B,$B5,ConfirmedRaw!BW:BW)</f>
        <v>0</v>
      </c>
    </row>
    <row r="6" spans="1:73" ht="15" thickBot="1" x14ac:dyDescent="0.35">
      <c r="A6" s="97" t="str">
        <f>VLOOKUP(B6,Country_Data!B:Q,16,FALSE)</f>
        <v>Europe</v>
      </c>
      <c r="B6" s="3" t="s">
        <v>60</v>
      </c>
      <c r="C6">
        <f>SUMIF(ConfirmedRaw!$B:$B,$B6,ConfirmedRaw!E:E)</f>
        <v>0</v>
      </c>
      <c r="D6">
        <f>SUMIF(ConfirmedRaw!$B:$B,$B6,ConfirmedRaw!F:F)</f>
        <v>0</v>
      </c>
      <c r="E6">
        <f>SUMIF(ConfirmedRaw!$B:$B,$B6,ConfirmedRaw!G:G)</f>
        <v>0</v>
      </c>
      <c r="F6">
        <f>SUMIF(ConfirmedRaw!$B:$B,$B6,ConfirmedRaw!H:H)</f>
        <v>0</v>
      </c>
      <c r="G6">
        <f>SUMIF(ConfirmedRaw!$B:$B,$B6,ConfirmedRaw!I:I)</f>
        <v>0</v>
      </c>
      <c r="H6">
        <f>SUMIF(ConfirmedRaw!$B:$B,$B6,ConfirmedRaw!J:J)</f>
        <v>0</v>
      </c>
      <c r="I6">
        <f>SUMIF(ConfirmedRaw!$B:$B,$B6,ConfirmedRaw!K:K)</f>
        <v>0</v>
      </c>
      <c r="J6">
        <f>SUMIF(ConfirmedRaw!$B:$B,$B6,ConfirmedRaw!L:L)</f>
        <v>0</v>
      </c>
      <c r="K6">
        <f>SUMIF(ConfirmedRaw!$B:$B,$B6,ConfirmedRaw!M:M)</f>
        <v>0</v>
      </c>
      <c r="L6">
        <f>SUMIF(ConfirmedRaw!$B:$B,$B6,ConfirmedRaw!N:N)</f>
        <v>0</v>
      </c>
      <c r="M6">
        <f>SUMIF(ConfirmedRaw!$B:$B,$B6,ConfirmedRaw!O:O)</f>
        <v>1</v>
      </c>
      <c r="N6">
        <f>SUMIF(ConfirmedRaw!$B:$B,$B6,ConfirmedRaw!P:P)</f>
        <v>1</v>
      </c>
      <c r="O6">
        <f>SUMIF(ConfirmedRaw!$B:$B,$B6,ConfirmedRaw!Q:Q)</f>
        <v>1</v>
      </c>
      <c r="P6">
        <f>SUMIF(ConfirmedRaw!$B:$B,$B6,ConfirmedRaw!R:R)</f>
        <v>1</v>
      </c>
      <c r="Q6">
        <f>SUMIF(ConfirmedRaw!$B:$B,$B6,ConfirmedRaw!S:S)</f>
        <v>1</v>
      </c>
      <c r="R6">
        <f>SUMIF(ConfirmedRaw!$B:$B,$B6,ConfirmedRaw!T:T)</f>
        <v>1</v>
      </c>
      <c r="S6">
        <f>SUMIF(ConfirmedRaw!$B:$B,$B6,ConfirmedRaw!U:U)</f>
        <v>1</v>
      </c>
      <c r="T6">
        <f>SUMIF(ConfirmedRaw!$B:$B,$B6,ConfirmedRaw!V:V)</f>
        <v>1</v>
      </c>
      <c r="U6">
        <f>SUMIF(ConfirmedRaw!$B:$B,$B6,ConfirmedRaw!W:W)</f>
        <v>2</v>
      </c>
      <c r="V6">
        <f>SUMIF(ConfirmedRaw!$B:$B,$B6,ConfirmedRaw!X:X)</f>
        <v>2</v>
      </c>
      <c r="W6">
        <f>SUMIF(ConfirmedRaw!$B:$B,$B6,ConfirmedRaw!Y:Y)</f>
        <v>2</v>
      </c>
      <c r="X6">
        <f>SUMIF(ConfirmedRaw!$B:$B,$B6,ConfirmedRaw!Z:Z)</f>
        <v>2</v>
      </c>
      <c r="Y6">
        <f>SUMIF(ConfirmedRaw!$B:$B,$B6,ConfirmedRaw!AA:AA)</f>
        <v>2</v>
      </c>
      <c r="Z6">
        <f>SUMIF(ConfirmedRaw!$B:$B,$B6,ConfirmedRaw!AB:AB)</f>
        <v>2</v>
      </c>
      <c r="AA6">
        <f>SUMIF(ConfirmedRaw!$B:$B,$B6,ConfirmedRaw!AC:AC)</f>
        <v>2</v>
      </c>
      <c r="AB6">
        <f>SUMIF(ConfirmedRaw!$B:$B,$B6,ConfirmedRaw!AD:AD)</f>
        <v>2</v>
      </c>
      <c r="AC6">
        <f>SUMIF(ConfirmedRaw!$B:$B,$B6,ConfirmedRaw!AE:AE)</f>
        <v>2</v>
      </c>
      <c r="AD6">
        <f>SUMIF(ConfirmedRaw!$B:$B,$B6,ConfirmedRaw!AF:AF)</f>
        <v>2</v>
      </c>
      <c r="AE6">
        <f>SUMIF(ConfirmedRaw!$B:$B,$B6,ConfirmedRaw!AG:AG)</f>
        <v>2</v>
      </c>
      <c r="AF6">
        <f>SUMIF(ConfirmedRaw!$B:$B,$B6,ConfirmedRaw!AH:AH)</f>
        <v>2</v>
      </c>
      <c r="AG6">
        <f>SUMIF(ConfirmedRaw!$B:$B,$B6,ConfirmedRaw!AI:AI)</f>
        <v>2</v>
      </c>
      <c r="AH6">
        <f>SUMIF(ConfirmedRaw!$B:$B,$B6,ConfirmedRaw!AJ:AJ)</f>
        <v>2</v>
      </c>
      <c r="AI6">
        <f>SUMIF(ConfirmedRaw!$B:$B,$B6,ConfirmedRaw!AK:AK)</f>
        <v>2</v>
      </c>
      <c r="AJ6">
        <f>SUMIF(ConfirmedRaw!$B:$B,$B6,ConfirmedRaw!AL:AL)</f>
        <v>2</v>
      </c>
      <c r="AK6">
        <f>SUMIF(ConfirmedRaw!$B:$B,$B6,ConfirmedRaw!AM:AM)</f>
        <v>6</v>
      </c>
      <c r="AL6">
        <f>SUMIF(ConfirmedRaw!$B:$B,$B6,ConfirmedRaw!AN:AN)</f>
        <v>13</v>
      </c>
      <c r="AM6">
        <f>SUMIF(ConfirmedRaw!$B:$B,$B6,ConfirmedRaw!AO:AO)</f>
        <v>15</v>
      </c>
      <c r="AN6">
        <f>SUMIF(ConfirmedRaw!$B:$B,$B6,ConfirmedRaw!AP:AP)</f>
        <v>32</v>
      </c>
      <c r="AO6">
        <f>SUMIF(ConfirmedRaw!$B:$B,$B6,ConfirmedRaw!AQ:AQ)</f>
        <v>45</v>
      </c>
      <c r="AP6">
        <f>SUMIF(ConfirmedRaw!$B:$B,$B6,ConfirmedRaw!AR:AR)</f>
        <v>84</v>
      </c>
      <c r="AQ6">
        <f>SUMIF(ConfirmedRaw!$B:$B,$B6,ConfirmedRaw!AS:AS)</f>
        <v>120</v>
      </c>
      <c r="AR6">
        <f>SUMIF(ConfirmedRaw!$B:$B,$B6,ConfirmedRaw!AT:AT)</f>
        <v>165</v>
      </c>
      <c r="AS6">
        <f>SUMIF(ConfirmedRaw!$B:$B,$B6,ConfirmedRaw!AU:AU)</f>
        <v>222</v>
      </c>
      <c r="AT6">
        <f>SUMIF(ConfirmedRaw!$B:$B,$B6,ConfirmedRaw!AV:AV)</f>
        <v>259</v>
      </c>
      <c r="AU6">
        <f>SUMIF(ConfirmedRaw!$B:$B,$B6,ConfirmedRaw!AW:AW)</f>
        <v>400</v>
      </c>
      <c r="AV6">
        <f>SUMIF(ConfirmedRaw!$B:$B,$B6,ConfirmedRaw!AX:AX)</f>
        <v>500</v>
      </c>
      <c r="AW6">
        <f>SUMIF(ConfirmedRaw!$B:$B,$B6,ConfirmedRaw!AY:AY)</f>
        <v>673</v>
      </c>
      <c r="AX6">
        <f>SUMIF(ConfirmedRaw!$B:$B,$B6,ConfirmedRaw!AZ:AZ)</f>
        <v>1073</v>
      </c>
      <c r="AY6">
        <f>SUMIF(ConfirmedRaw!$B:$B,$B6,ConfirmedRaw!BA:BA)</f>
        <v>1695</v>
      </c>
      <c r="AZ6">
        <f>SUMIF(ConfirmedRaw!$B:$B,$B6,ConfirmedRaw!BB:BB)</f>
        <v>2277</v>
      </c>
      <c r="BA6">
        <v>3146</v>
      </c>
      <c r="BB6">
        <f>SUMIF(ConfirmedRaw!$B:$B,$B6,ConfirmedRaw!BD:BD)</f>
        <v>5232</v>
      </c>
      <c r="BC6">
        <f>SUMIF(ConfirmedRaw!$B:$B,$B6,ConfirmedRaw!BE:BE)</f>
        <v>6391</v>
      </c>
      <c r="BD6">
        <f>SUMIF(ConfirmedRaw!$B:$B,$B6,ConfirmedRaw!BF:BF)</f>
        <v>7798</v>
      </c>
      <c r="BE6">
        <f>SUMIF(ConfirmedRaw!$B:$B,$B6,ConfirmedRaw!BG:BG)</f>
        <v>9942</v>
      </c>
      <c r="BF6">
        <f>SUMIF(ConfirmedRaw!$B:$B,$B6,ConfirmedRaw!BH:BH)</f>
        <v>11748</v>
      </c>
      <c r="BG6">
        <f>SUMIF(ConfirmedRaw!$B:$B,$B6,ConfirmedRaw!BI:BI)</f>
        <v>13910</v>
      </c>
      <c r="BH6">
        <f>SUMIF(ConfirmedRaw!$B:$B,$B6,ConfirmedRaw!BJ:BJ)</f>
        <v>17963</v>
      </c>
      <c r="BI6">
        <f>SUMIF(ConfirmedRaw!$B:$B,$B6,ConfirmedRaw!BK:BK)</f>
        <v>20410</v>
      </c>
      <c r="BJ6">
        <f>SUMIF(ConfirmedRaw!$B:$B,$B6,ConfirmedRaw!BL:BL)</f>
        <v>25374</v>
      </c>
      <c r="BK6">
        <f>SUMIF(ConfirmedRaw!$B:$B,$B6,ConfirmedRaw!BM:BM)</f>
        <v>28768</v>
      </c>
      <c r="BL6">
        <f>SUMIF(ConfirmedRaw!$B:$B,$B6,ConfirmedRaw!BN:BN)</f>
        <v>35136</v>
      </c>
      <c r="BM6">
        <f>SUMIF(ConfirmedRaw!$B:$B,$B6,ConfirmedRaw!BO:BO)</f>
        <v>39885</v>
      </c>
      <c r="BN6">
        <f>SUMIF(ConfirmedRaw!$B:$B,$B6,ConfirmedRaw!BP:BP)</f>
        <v>49515</v>
      </c>
      <c r="BO6">
        <f>SUMIF(ConfirmedRaw!$B:$B,$B6,ConfirmedRaw!BQ:BQ)</f>
        <v>57786</v>
      </c>
      <c r="BP6">
        <f>SUMIF(ConfirmedRaw!$B:$B,$B6,ConfirmedRaw!BR:BR)</f>
        <v>65719</v>
      </c>
      <c r="BQ6">
        <f>SUMIF(ConfirmedRaw!$B:$B,$B6,ConfirmedRaw!BS:BS)</f>
        <v>73235</v>
      </c>
      <c r="BR6">
        <f>SUMIF(ConfirmedRaw!$B:$B,$B6,ConfirmedRaw!BT:BT)</f>
        <v>0</v>
      </c>
      <c r="BS6">
        <f>SUMIF(ConfirmedRaw!$B:$B,$B6,ConfirmedRaw!BU:BU)</f>
        <v>0</v>
      </c>
      <c r="BT6">
        <f>SUMIF(ConfirmedRaw!$B:$B,$B6,ConfirmedRaw!BV:BV)</f>
        <v>0</v>
      </c>
      <c r="BU6">
        <f>SUMIF(ConfirmedRaw!$B:$B,$B6,ConfirmedRaw!BW:BW)</f>
        <v>0</v>
      </c>
    </row>
    <row r="7" spans="1:73" ht="15" thickBot="1" x14ac:dyDescent="0.35">
      <c r="A7" s="97" t="str">
        <f>VLOOKUP(B7,Country_Data!B:Q,16,FALSE)</f>
        <v>Europe</v>
      </c>
      <c r="B7" s="4" t="s">
        <v>53</v>
      </c>
      <c r="C7">
        <f>SUMIF(ConfirmedRaw!$B:$B,$B7,ConfirmedRaw!E:E)</f>
        <v>0</v>
      </c>
      <c r="D7">
        <f>SUMIF(ConfirmedRaw!$B:$B,$B7,ConfirmedRaw!F:F)</f>
        <v>0</v>
      </c>
      <c r="E7">
        <f>SUMIF(ConfirmedRaw!$B:$B,$B7,ConfirmedRaw!G:G)</f>
        <v>0</v>
      </c>
      <c r="F7">
        <f>SUMIF(ConfirmedRaw!$B:$B,$B7,ConfirmedRaw!H:H)</f>
        <v>0</v>
      </c>
      <c r="G7">
        <f>SUMIF(ConfirmedRaw!$B:$B,$B7,ConfirmedRaw!I:I)</f>
        <v>0</v>
      </c>
      <c r="H7">
        <f>SUMIF(ConfirmedRaw!$B:$B,$B7,ConfirmedRaw!J:J)</f>
        <v>1</v>
      </c>
      <c r="I7">
        <f>SUMIF(ConfirmedRaw!$B:$B,$B7,ConfirmedRaw!K:K)</f>
        <v>4</v>
      </c>
      <c r="J7">
        <f>SUMIF(ConfirmedRaw!$B:$B,$B7,ConfirmedRaw!L:L)</f>
        <v>4</v>
      </c>
      <c r="K7">
        <f>SUMIF(ConfirmedRaw!$B:$B,$B7,ConfirmedRaw!M:M)</f>
        <v>4</v>
      </c>
      <c r="L7">
        <f>SUMIF(ConfirmedRaw!$B:$B,$B7,ConfirmedRaw!N:N)</f>
        <v>5</v>
      </c>
      <c r="M7">
        <f>SUMIF(ConfirmedRaw!$B:$B,$B7,ConfirmedRaw!O:O)</f>
        <v>8</v>
      </c>
      <c r="N7">
        <f>SUMIF(ConfirmedRaw!$B:$B,$B7,ConfirmedRaw!P:P)</f>
        <v>10</v>
      </c>
      <c r="O7">
        <f>SUMIF(ConfirmedRaw!$B:$B,$B7,ConfirmedRaw!Q:Q)</f>
        <v>12</v>
      </c>
      <c r="P7">
        <f>SUMIF(ConfirmedRaw!$B:$B,$B7,ConfirmedRaw!R:R)</f>
        <v>12</v>
      </c>
      <c r="Q7">
        <f>SUMIF(ConfirmedRaw!$B:$B,$B7,ConfirmedRaw!S:S)</f>
        <v>12</v>
      </c>
      <c r="R7">
        <f>SUMIF(ConfirmedRaw!$B:$B,$B7,ConfirmedRaw!T:T)</f>
        <v>12</v>
      </c>
      <c r="S7">
        <f>SUMIF(ConfirmedRaw!$B:$B,$B7,ConfirmedRaw!U:U)</f>
        <v>13</v>
      </c>
      <c r="T7">
        <f>SUMIF(ConfirmedRaw!$B:$B,$B7,ConfirmedRaw!V:V)</f>
        <v>13</v>
      </c>
      <c r="U7">
        <f>SUMIF(ConfirmedRaw!$B:$B,$B7,ConfirmedRaw!W:W)</f>
        <v>14</v>
      </c>
      <c r="V7">
        <f>SUMIF(ConfirmedRaw!$B:$B,$B7,ConfirmedRaw!X:X)</f>
        <v>14</v>
      </c>
      <c r="W7">
        <f>SUMIF(ConfirmedRaw!$B:$B,$B7,ConfirmedRaw!Y:Y)</f>
        <v>16</v>
      </c>
      <c r="X7">
        <f>SUMIF(ConfirmedRaw!$B:$B,$B7,ConfirmedRaw!Z:Z)</f>
        <v>16</v>
      </c>
      <c r="Y7">
        <f>SUMIF(ConfirmedRaw!$B:$B,$B7,ConfirmedRaw!AA:AA)</f>
        <v>16</v>
      </c>
      <c r="Z7">
        <f>SUMIF(ConfirmedRaw!$B:$B,$B7,ConfirmedRaw!AB:AB)</f>
        <v>16</v>
      </c>
      <c r="AA7">
        <f>SUMIF(ConfirmedRaw!$B:$B,$B7,ConfirmedRaw!AC:AC)</f>
        <v>16</v>
      </c>
      <c r="AB7">
        <f>SUMIF(ConfirmedRaw!$B:$B,$B7,ConfirmedRaw!AD:AD)</f>
        <v>16</v>
      </c>
      <c r="AC7">
        <f>SUMIF(ConfirmedRaw!$B:$B,$B7,ConfirmedRaw!AE:AE)</f>
        <v>16</v>
      </c>
      <c r="AD7">
        <f>SUMIF(ConfirmedRaw!$B:$B,$B7,ConfirmedRaw!AF:AF)</f>
        <v>16</v>
      </c>
      <c r="AE7">
        <f>SUMIF(ConfirmedRaw!$B:$B,$B7,ConfirmedRaw!AG:AG)</f>
        <v>16</v>
      </c>
      <c r="AF7">
        <f>SUMIF(ConfirmedRaw!$B:$B,$B7,ConfirmedRaw!AH:AH)</f>
        <v>16</v>
      </c>
      <c r="AG7">
        <f>SUMIF(ConfirmedRaw!$B:$B,$B7,ConfirmedRaw!AI:AI)</f>
        <v>16</v>
      </c>
      <c r="AH7">
        <f>SUMIF(ConfirmedRaw!$B:$B,$B7,ConfirmedRaw!AJ:AJ)</f>
        <v>16</v>
      </c>
      <c r="AI7">
        <f>SUMIF(ConfirmedRaw!$B:$B,$B7,ConfirmedRaw!AK:AK)</f>
        <v>16</v>
      </c>
      <c r="AJ7">
        <f>SUMIF(ConfirmedRaw!$B:$B,$B7,ConfirmedRaw!AL:AL)</f>
        <v>16</v>
      </c>
      <c r="AK7">
        <f>SUMIF(ConfirmedRaw!$B:$B,$B7,ConfirmedRaw!AM:AM)</f>
        <v>17</v>
      </c>
      <c r="AL7">
        <f>SUMIF(ConfirmedRaw!$B:$B,$B7,ConfirmedRaw!AN:AN)</f>
        <v>27</v>
      </c>
      <c r="AM7">
        <f>SUMIF(ConfirmedRaw!$B:$B,$B7,ConfirmedRaw!AO:AO)</f>
        <v>46</v>
      </c>
      <c r="AN7">
        <f>SUMIF(ConfirmedRaw!$B:$B,$B7,ConfirmedRaw!AP:AP)</f>
        <v>48</v>
      </c>
      <c r="AO7">
        <f>SUMIF(ConfirmedRaw!$B:$B,$B7,ConfirmedRaw!AQ:AQ)</f>
        <v>79</v>
      </c>
      <c r="AP7">
        <f>SUMIF(ConfirmedRaw!$B:$B,$B7,ConfirmedRaw!AR:AR)</f>
        <v>130</v>
      </c>
      <c r="AQ7">
        <f>SUMIF(ConfirmedRaw!$B:$B,$B7,ConfirmedRaw!AS:AS)</f>
        <v>159</v>
      </c>
      <c r="AR7">
        <f>SUMIF(ConfirmedRaw!$B:$B,$B7,ConfirmedRaw!AT:AT)</f>
        <v>196</v>
      </c>
      <c r="AS7">
        <f>SUMIF(ConfirmedRaw!$B:$B,$B7,ConfirmedRaw!AU:AU)</f>
        <v>262</v>
      </c>
      <c r="AT7">
        <f>SUMIF(ConfirmedRaw!$B:$B,$B7,ConfirmedRaw!AV:AV)</f>
        <v>482</v>
      </c>
      <c r="AU7">
        <f>SUMIF(ConfirmedRaw!$B:$B,$B7,ConfirmedRaw!AW:AW)</f>
        <v>670</v>
      </c>
      <c r="AV7">
        <f>SUMIF(ConfirmedRaw!$B:$B,$B7,ConfirmedRaw!AX:AX)</f>
        <v>799</v>
      </c>
      <c r="AW7">
        <f>SUMIF(ConfirmedRaw!$B:$B,$B7,ConfirmedRaw!AY:AY)</f>
        <v>1040</v>
      </c>
      <c r="AX7">
        <f>SUMIF(ConfirmedRaw!$B:$B,$B7,ConfirmedRaw!AZ:AZ)</f>
        <v>1176</v>
      </c>
      <c r="AY7">
        <f>SUMIF(ConfirmedRaw!$B:$B,$B7,ConfirmedRaw!BA:BA)</f>
        <v>1457</v>
      </c>
      <c r="AZ7">
        <f>SUMIF(ConfirmedRaw!$B:$B,$B7,ConfirmedRaw!BB:BB)</f>
        <v>1908</v>
      </c>
      <c r="BA7">
        <v>2745</v>
      </c>
      <c r="BB7">
        <f>SUMIF(ConfirmedRaw!$B:$B,$B7,ConfirmedRaw!BD:BD)</f>
        <v>3675</v>
      </c>
      <c r="BC7">
        <f>SUMIF(ConfirmedRaw!$B:$B,$B7,ConfirmedRaw!BE:BE)</f>
        <v>4585</v>
      </c>
      <c r="BD7">
        <f>SUMIF(ConfirmedRaw!$B:$B,$B7,ConfirmedRaw!BF:BF)</f>
        <v>5795</v>
      </c>
      <c r="BE7">
        <f>SUMIF(ConfirmedRaw!$B:$B,$B7,ConfirmedRaw!BG:BG)</f>
        <v>7272</v>
      </c>
      <c r="BF7">
        <f>SUMIF(ConfirmedRaw!$B:$B,$B7,ConfirmedRaw!BH:BH)</f>
        <v>9257</v>
      </c>
      <c r="BG7">
        <f>SUMIF(ConfirmedRaw!$B:$B,$B7,ConfirmedRaw!BI:BI)</f>
        <v>12327</v>
      </c>
      <c r="BH7">
        <f>SUMIF(ConfirmedRaw!$B:$B,$B7,ConfirmedRaw!BJ:BJ)</f>
        <v>15320</v>
      </c>
      <c r="BI7">
        <f>SUMIF(ConfirmedRaw!$B:$B,$B7,ConfirmedRaw!BK:BK)</f>
        <v>19848</v>
      </c>
      <c r="BJ7">
        <f>SUMIF(ConfirmedRaw!$B:$B,$B7,ConfirmedRaw!BL:BL)</f>
        <v>22213</v>
      </c>
      <c r="BK7">
        <f>SUMIF(ConfirmedRaw!$B:$B,$B7,ConfirmedRaw!BM:BM)</f>
        <v>24873</v>
      </c>
      <c r="BL7">
        <f>SUMIF(ConfirmedRaw!$B:$B,$B7,ConfirmedRaw!BN:BN)</f>
        <v>29056</v>
      </c>
      <c r="BM7">
        <f>SUMIF(ConfirmedRaw!$B:$B,$B7,ConfirmedRaw!BO:BO)</f>
        <v>32986</v>
      </c>
      <c r="BN7">
        <f>SUMIF(ConfirmedRaw!$B:$B,$B7,ConfirmedRaw!BP:BP)</f>
        <v>37323</v>
      </c>
      <c r="BO7">
        <f>SUMIF(ConfirmedRaw!$B:$B,$B7,ConfirmedRaw!BQ:BQ)</f>
        <v>43938</v>
      </c>
      <c r="BP7">
        <f>SUMIF(ConfirmedRaw!$B:$B,$B7,ConfirmedRaw!BR:BR)</f>
        <v>50871</v>
      </c>
      <c r="BQ7">
        <f>SUMIF(ConfirmedRaw!$B:$B,$B7,ConfirmedRaw!BS:BS)</f>
        <v>57695</v>
      </c>
      <c r="BR7">
        <f>SUMIF(ConfirmedRaw!$B:$B,$B7,ConfirmedRaw!BT:BT)</f>
        <v>0</v>
      </c>
      <c r="BS7">
        <f>SUMIF(ConfirmedRaw!$B:$B,$B7,ConfirmedRaw!BU:BU)</f>
        <v>0</v>
      </c>
      <c r="BT7">
        <f>SUMIF(ConfirmedRaw!$B:$B,$B7,ConfirmedRaw!BV:BV)</f>
        <v>0</v>
      </c>
      <c r="BU7">
        <f>SUMIF(ConfirmedRaw!$B:$B,$B7,ConfirmedRaw!BW:BW)</f>
        <v>0</v>
      </c>
    </row>
    <row r="8" spans="1:73" ht="15" thickBot="1" x14ac:dyDescent="0.35">
      <c r="A8" s="97" t="str">
        <f>VLOOKUP(B8,Country_Data!B:Q,16,FALSE)</f>
        <v>Europe</v>
      </c>
      <c r="B8" s="4" t="s">
        <v>41</v>
      </c>
      <c r="C8">
        <f>SUMIF(ConfirmedRaw!$B:$B,$B8,ConfirmedRaw!E:E)</f>
        <v>0</v>
      </c>
      <c r="D8">
        <f>SUMIF(ConfirmedRaw!$B:$B,$B8,ConfirmedRaw!F:F)</f>
        <v>0</v>
      </c>
      <c r="E8">
        <f>SUMIF(ConfirmedRaw!$B:$B,$B8,ConfirmedRaw!G:G)</f>
        <v>2</v>
      </c>
      <c r="F8">
        <f>SUMIF(ConfirmedRaw!$B:$B,$B8,ConfirmedRaw!H:H)</f>
        <v>3</v>
      </c>
      <c r="G8">
        <f>SUMIF(ConfirmedRaw!$B:$B,$B8,ConfirmedRaw!I:I)</f>
        <v>3</v>
      </c>
      <c r="H8">
        <f>SUMIF(ConfirmedRaw!$B:$B,$B8,ConfirmedRaw!J:J)</f>
        <v>3</v>
      </c>
      <c r="I8">
        <f>SUMIF(ConfirmedRaw!$B:$B,$B8,ConfirmedRaw!K:K)</f>
        <v>4</v>
      </c>
      <c r="J8">
        <f>SUMIF(ConfirmedRaw!$B:$B,$B8,ConfirmedRaw!L:L)</f>
        <v>5</v>
      </c>
      <c r="K8">
        <f>SUMIF(ConfirmedRaw!$B:$B,$B8,ConfirmedRaw!M:M)</f>
        <v>5</v>
      </c>
      <c r="L8">
        <f>SUMIF(ConfirmedRaw!$B:$B,$B8,ConfirmedRaw!N:N)</f>
        <v>5</v>
      </c>
      <c r="M8">
        <f>SUMIF(ConfirmedRaw!$B:$B,$B8,ConfirmedRaw!O:O)</f>
        <v>6</v>
      </c>
      <c r="N8">
        <f>SUMIF(ConfirmedRaw!$B:$B,$B8,ConfirmedRaw!P:P)</f>
        <v>6</v>
      </c>
      <c r="O8">
        <f>SUMIF(ConfirmedRaw!$B:$B,$B8,ConfirmedRaw!Q:Q)</f>
        <v>6</v>
      </c>
      <c r="P8">
        <f>SUMIF(ConfirmedRaw!$B:$B,$B8,ConfirmedRaw!R:R)</f>
        <v>6</v>
      </c>
      <c r="Q8">
        <f>SUMIF(ConfirmedRaw!$B:$B,$B8,ConfirmedRaw!S:S)</f>
        <v>6</v>
      </c>
      <c r="R8">
        <f>SUMIF(ConfirmedRaw!$B:$B,$B8,ConfirmedRaw!T:T)</f>
        <v>6</v>
      </c>
      <c r="S8">
        <f>SUMIF(ConfirmedRaw!$B:$B,$B8,ConfirmedRaw!U:U)</f>
        <v>6</v>
      </c>
      <c r="T8">
        <f>SUMIF(ConfirmedRaw!$B:$B,$B8,ConfirmedRaw!V:V)</f>
        <v>11</v>
      </c>
      <c r="U8">
        <f>SUMIF(ConfirmedRaw!$B:$B,$B8,ConfirmedRaw!W:W)</f>
        <v>11</v>
      </c>
      <c r="V8">
        <f>SUMIF(ConfirmedRaw!$B:$B,$B8,ConfirmedRaw!X:X)</f>
        <v>11</v>
      </c>
      <c r="W8">
        <f>SUMIF(ConfirmedRaw!$B:$B,$B8,ConfirmedRaw!Y:Y)</f>
        <v>11</v>
      </c>
      <c r="X8">
        <f>SUMIF(ConfirmedRaw!$B:$B,$B8,ConfirmedRaw!Z:Z)</f>
        <v>11</v>
      </c>
      <c r="Y8">
        <f>SUMIF(ConfirmedRaw!$B:$B,$B8,ConfirmedRaw!AA:AA)</f>
        <v>11</v>
      </c>
      <c r="Z8">
        <f>SUMIF(ConfirmedRaw!$B:$B,$B8,ConfirmedRaw!AB:AB)</f>
        <v>11</v>
      </c>
      <c r="AA8">
        <f>SUMIF(ConfirmedRaw!$B:$B,$B8,ConfirmedRaw!AC:AC)</f>
        <v>12</v>
      </c>
      <c r="AB8">
        <f>SUMIF(ConfirmedRaw!$B:$B,$B8,ConfirmedRaw!AD:AD)</f>
        <v>12</v>
      </c>
      <c r="AC8">
        <f>SUMIF(ConfirmedRaw!$B:$B,$B8,ConfirmedRaw!AE:AE)</f>
        <v>12</v>
      </c>
      <c r="AD8">
        <f>SUMIF(ConfirmedRaw!$B:$B,$B8,ConfirmedRaw!AF:AF)</f>
        <v>12</v>
      </c>
      <c r="AE8">
        <f>SUMIF(ConfirmedRaw!$B:$B,$B8,ConfirmedRaw!AG:AG)</f>
        <v>12</v>
      </c>
      <c r="AF8">
        <f>SUMIF(ConfirmedRaw!$B:$B,$B8,ConfirmedRaw!AH:AH)</f>
        <v>12</v>
      </c>
      <c r="AG8">
        <f>SUMIF(ConfirmedRaw!$B:$B,$B8,ConfirmedRaw!AI:AI)</f>
        <v>12</v>
      </c>
      <c r="AH8">
        <f>SUMIF(ConfirmedRaw!$B:$B,$B8,ConfirmedRaw!AJ:AJ)</f>
        <v>12</v>
      </c>
      <c r="AI8">
        <f>SUMIF(ConfirmedRaw!$B:$B,$B8,ConfirmedRaw!AK:AK)</f>
        <v>12</v>
      </c>
      <c r="AJ8">
        <f>SUMIF(ConfirmedRaw!$B:$B,$B8,ConfirmedRaw!AL:AL)</f>
        <v>12</v>
      </c>
      <c r="AK8">
        <f>SUMIF(ConfirmedRaw!$B:$B,$B8,ConfirmedRaw!AM:AM)</f>
        <v>14</v>
      </c>
      <c r="AL8">
        <f>SUMIF(ConfirmedRaw!$B:$B,$B8,ConfirmedRaw!AN:AN)</f>
        <v>18</v>
      </c>
      <c r="AM8">
        <f>SUMIF(ConfirmedRaw!$B:$B,$B8,ConfirmedRaw!AO:AO)</f>
        <v>38</v>
      </c>
      <c r="AN8">
        <f>SUMIF(ConfirmedRaw!$B:$B,$B8,ConfirmedRaw!AP:AP)</f>
        <v>57</v>
      </c>
      <c r="AO8">
        <f>SUMIF(ConfirmedRaw!$B:$B,$B8,ConfirmedRaw!AQ:AQ)</f>
        <v>100</v>
      </c>
      <c r="AP8">
        <f>SUMIF(ConfirmedRaw!$B:$B,$B8,ConfirmedRaw!AR:AR)</f>
        <v>130</v>
      </c>
      <c r="AQ8">
        <f>SUMIF(ConfirmedRaw!$B:$B,$B8,ConfirmedRaw!AS:AS)</f>
        <v>191</v>
      </c>
      <c r="AR8">
        <f>SUMIF(ConfirmedRaw!$B:$B,$B8,ConfirmedRaw!AT:AT)</f>
        <v>204</v>
      </c>
      <c r="AS8">
        <f>SUMIF(ConfirmedRaw!$B:$B,$B8,ConfirmedRaw!AU:AU)</f>
        <v>288</v>
      </c>
      <c r="AT8">
        <f>SUMIF(ConfirmedRaw!$B:$B,$B8,ConfirmedRaw!AV:AV)</f>
        <v>380</v>
      </c>
      <c r="AU8">
        <f>SUMIF(ConfirmedRaw!$B:$B,$B8,ConfirmedRaw!AW:AW)</f>
        <v>656</v>
      </c>
      <c r="AV8">
        <f>SUMIF(ConfirmedRaw!$B:$B,$B8,ConfirmedRaw!AX:AX)</f>
        <v>959</v>
      </c>
      <c r="AW8">
        <f>SUMIF(ConfirmedRaw!$B:$B,$B8,ConfirmedRaw!AY:AY)</f>
        <v>1136</v>
      </c>
      <c r="AX8">
        <f>SUMIF(ConfirmedRaw!$B:$B,$B8,ConfirmedRaw!AZ:AZ)</f>
        <v>1219</v>
      </c>
      <c r="AY8">
        <f>SUMIF(ConfirmedRaw!$B:$B,$B8,ConfirmedRaw!BA:BA)</f>
        <v>1794</v>
      </c>
      <c r="AZ8">
        <f>SUMIF(ConfirmedRaw!$B:$B,$B8,ConfirmedRaw!BB:BB)</f>
        <v>2293</v>
      </c>
      <c r="BA8">
        <v>2876</v>
      </c>
      <c r="BB8">
        <f>SUMIF(ConfirmedRaw!$B:$B,$B8,ConfirmedRaw!BD:BD)</f>
        <v>3681</v>
      </c>
      <c r="BC8">
        <f>SUMIF(ConfirmedRaw!$B:$B,$B8,ConfirmedRaw!BE:BE)</f>
        <v>4496</v>
      </c>
      <c r="BD8">
        <v>5432</v>
      </c>
      <c r="BE8">
        <f>SUMIF(ConfirmedRaw!$B:$B,$B8,ConfirmedRaw!BG:BG)</f>
        <v>6683</v>
      </c>
      <c r="BF8">
        <f>SUMIF(ConfirmedRaw!$B:$B,$B8,ConfirmedRaw!BH:BH)</f>
        <v>7715</v>
      </c>
      <c r="BG8">
        <f>SUMIF(ConfirmedRaw!$B:$B,$B8,ConfirmedRaw!BI:BI)</f>
        <v>9124</v>
      </c>
      <c r="BH8">
        <f>SUMIF(ConfirmedRaw!$B:$B,$B8,ConfirmedRaw!BJ:BJ)</f>
        <v>10970</v>
      </c>
      <c r="BI8">
        <f>SUMIF(ConfirmedRaw!$B:$B,$B8,ConfirmedRaw!BK:BK)</f>
        <v>12758</v>
      </c>
      <c r="BJ8">
        <f>SUMIF(ConfirmedRaw!$B:$B,$B8,ConfirmedRaw!BL:BL)</f>
        <v>14463</v>
      </c>
      <c r="BK8">
        <f>SUMIF(ConfirmedRaw!$B:$B,$B8,ConfirmedRaw!BM:BM)</f>
        <v>16243</v>
      </c>
      <c r="BL8">
        <f>SUMIF(ConfirmedRaw!$B:$B,$B8,ConfirmedRaw!BN:BN)</f>
        <v>20123</v>
      </c>
      <c r="BM8">
        <f>SUMIF(ConfirmedRaw!$B:$B,$B8,ConfirmedRaw!BO:BO)</f>
        <v>22622</v>
      </c>
      <c r="BN8">
        <f>SUMIF(ConfirmedRaw!$B:$B,$B8,ConfirmedRaw!BP:BP)</f>
        <v>25600</v>
      </c>
      <c r="BO8">
        <f>SUMIF(ConfirmedRaw!$B:$B,$B8,ConfirmedRaw!BQ:BQ)</f>
        <v>29551</v>
      </c>
      <c r="BP8">
        <f>SUMIF(ConfirmedRaw!$B:$B,$B8,ConfirmedRaw!BR:BR)</f>
        <v>33402</v>
      </c>
      <c r="BQ8">
        <f>SUMIF(ConfirmedRaw!$B:$B,$B8,ConfirmedRaw!BS:BS)</f>
        <v>38105</v>
      </c>
      <c r="BR8">
        <f>SUMIF(ConfirmedRaw!$B:$B,$B8,ConfirmedRaw!BT:BT)</f>
        <v>0</v>
      </c>
      <c r="BS8">
        <f>SUMIF(ConfirmedRaw!$B:$B,$B8,ConfirmedRaw!BU:BU)</f>
        <v>0</v>
      </c>
      <c r="BT8">
        <f>SUMIF(ConfirmedRaw!$B:$B,$B8,ConfirmedRaw!BV:BV)</f>
        <v>0</v>
      </c>
      <c r="BU8">
        <f>SUMIF(ConfirmedRaw!$B:$B,$B8,ConfirmedRaw!BW:BW)</f>
        <v>0</v>
      </c>
    </row>
    <row r="9" spans="1:73" ht="15" thickBot="1" x14ac:dyDescent="0.35">
      <c r="A9" s="97" t="str">
        <f>VLOOKUP(B9,Country_Data!B:Q,16,FALSE)</f>
        <v>North America</v>
      </c>
      <c r="B9" s="3" t="s">
        <v>38</v>
      </c>
      <c r="C9">
        <f>SUMIF(ConfirmedRaw!$B:$B,$B9,ConfirmedRaw!E:E)</f>
        <v>1</v>
      </c>
      <c r="D9">
        <f>SUMIF(ConfirmedRaw!$B:$B,$B9,ConfirmedRaw!F:F)</f>
        <v>1</v>
      </c>
      <c r="E9">
        <f>SUMIF(ConfirmedRaw!$B:$B,$B9,ConfirmedRaw!G:G)</f>
        <v>2</v>
      </c>
      <c r="F9">
        <f>SUMIF(ConfirmedRaw!$B:$B,$B9,ConfirmedRaw!H:H)</f>
        <v>2</v>
      </c>
      <c r="G9">
        <f>SUMIF(ConfirmedRaw!$B:$B,$B9,ConfirmedRaw!I:I)</f>
        <v>5</v>
      </c>
      <c r="H9">
        <f>SUMIF(ConfirmedRaw!$B:$B,$B9,ConfirmedRaw!J:J)</f>
        <v>5</v>
      </c>
      <c r="I9">
        <f>SUMIF(ConfirmedRaw!$B:$B,$B9,ConfirmedRaw!K:K)</f>
        <v>5</v>
      </c>
      <c r="J9">
        <f>SUMIF(ConfirmedRaw!$B:$B,$B9,ConfirmedRaw!L:L)</f>
        <v>5</v>
      </c>
      <c r="K9">
        <f>SUMIF(ConfirmedRaw!$B:$B,$B9,ConfirmedRaw!M:M)</f>
        <v>5</v>
      </c>
      <c r="L9">
        <f>SUMIF(ConfirmedRaw!$B:$B,$B9,ConfirmedRaw!N:N)</f>
        <v>7</v>
      </c>
      <c r="M9">
        <f>SUMIF(ConfirmedRaw!$B:$B,$B9,ConfirmedRaw!O:O)</f>
        <v>8</v>
      </c>
      <c r="N9">
        <f>SUMIF(ConfirmedRaw!$B:$B,$B9,ConfirmedRaw!P:P)</f>
        <v>8</v>
      </c>
      <c r="O9">
        <f>SUMIF(ConfirmedRaw!$B:$B,$B9,ConfirmedRaw!Q:Q)</f>
        <v>11</v>
      </c>
      <c r="P9">
        <f>SUMIF(ConfirmedRaw!$B:$B,$B9,ConfirmedRaw!R:R)</f>
        <v>11</v>
      </c>
      <c r="Q9">
        <f>SUMIF(ConfirmedRaw!$B:$B,$B9,ConfirmedRaw!S:S)</f>
        <v>11</v>
      </c>
      <c r="R9">
        <f>SUMIF(ConfirmedRaw!$B:$B,$B9,ConfirmedRaw!T:T)</f>
        <v>11</v>
      </c>
      <c r="S9">
        <f>SUMIF(ConfirmedRaw!$B:$B,$B9,ConfirmedRaw!U:U)</f>
        <v>11</v>
      </c>
      <c r="T9">
        <f>SUMIF(ConfirmedRaw!$B:$B,$B9,ConfirmedRaw!V:V)</f>
        <v>11</v>
      </c>
      <c r="U9">
        <f>SUMIF(ConfirmedRaw!$B:$B,$B9,ConfirmedRaw!W:W)</f>
        <v>11</v>
      </c>
      <c r="V9">
        <f>SUMIF(ConfirmedRaw!$B:$B,$B9,ConfirmedRaw!X:X)</f>
        <v>11</v>
      </c>
      <c r="W9">
        <f>SUMIF(ConfirmedRaw!$B:$B,$B9,ConfirmedRaw!Y:Y)</f>
        <v>12</v>
      </c>
      <c r="X9">
        <f>SUMIF(ConfirmedRaw!$B:$B,$B9,ConfirmedRaw!Z:Z)</f>
        <v>12</v>
      </c>
      <c r="Y9">
        <f>SUMIF(ConfirmedRaw!$B:$B,$B9,ConfirmedRaw!AA:AA)</f>
        <v>13</v>
      </c>
      <c r="Z9">
        <f>SUMIF(ConfirmedRaw!$B:$B,$B9,ConfirmedRaw!AB:AB)</f>
        <v>13</v>
      </c>
      <c r="AA9">
        <f>SUMIF(ConfirmedRaw!$B:$B,$B9,ConfirmedRaw!AC:AC)</f>
        <v>13</v>
      </c>
      <c r="AB9">
        <f>SUMIF(ConfirmedRaw!$B:$B,$B9,ConfirmedRaw!AD:AD)</f>
        <v>13</v>
      </c>
      <c r="AC9">
        <f>SUMIF(ConfirmedRaw!$B:$B,$B9,ConfirmedRaw!AE:AE)</f>
        <v>13</v>
      </c>
      <c r="AD9">
        <f>SUMIF(ConfirmedRaw!$B:$B,$B9,ConfirmedRaw!AF:AF)</f>
        <v>13</v>
      </c>
      <c r="AE9">
        <f>SUMIF(ConfirmedRaw!$B:$B,$B9,ConfirmedRaw!AG:AG)</f>
        <v>13</v>
      </c>
      <c r="AF9">
        <f>SUMIF(ConfirmedRaw!$B:$B,$B9,ConfirmedRaw!AH:AH)</f>
        <v>13</v>
      </c>
      <c r="AG9">
        <f>SUMIF(ConfirmedRaw!$B:$B,$B9,ConfirmedRaw!AI:AI)</f>
        <v>15</v>
      </c>
      <c r="AH9">
        <f>SUMIF(ConfirmedRaw!$B:$B,$B9,ConfirmedRaw!AJ:AJ)</f>
        <v>15</v>
      </c>
      <c r="AI9">
        <f>SUMIF(ConfirmedRaw!$B:$B,$B9,ConfirmedRaw!AK:AK)</f>
        <v>15</v>
      </c>
      <c r="AJ9">
        <f>SUMIF(ConfirmedRaw!$B:$B,$B9,ConfirmedRaw!AL:AL)</f>
        <v>51</v>
      </c>
      <c r="AK9">
        <f>SUMIF(ConfirmedRaw!$B:$B,$B9,ConfirmedRaw!AM:AM)</f>
        <v>51</v>
      </c>
      <c r="AL9">
        <f>SUMIF(ConfirmedRaw!$B:$B,$B9,ConfirmedRaw!AN:AN)</f>
        <v>57</v>
      </c>
      <c r="AM9">
        <f>SUMIF(ConfirmedRaw!$B:$B,$B9,ConfirmedRaw!AO:AO)</f>
        <v>58</v>
      </c>
      <c r="AN9">
        <f>SUMIF(ConfirmedRaw!$B:$B,$B9,ConfirmedRaw!AP:AP)</f>
        <v>60</v>
      </c>
      <c r="AO9">
        <f>SUMIF(ConfirmedRaw!$B:$B,$B9,ConfirmedRaw!AQ:AQ)</f>
        <v>68</v>
      </c>
      <c r="AP9">
        <f>SUMIF(ConfirmedRaw!$B:$B,$B9,ConfirmedRaw!AR:AR)</f>
        <v>74</v>
      </c>
      <c r="AQ9">
        <f>SUMIF(ConfirmedRaw!$B:$B,$B9,ConfirmedRaw!AS:AS)</f>
        <v>98</v>
      </c>
      <c r="AR9">
        <f>SUMIF(ConfirmedRaw!$B:$B,$B9,ConfirmedRaw!AT:AT)</f>
        <v>118</v>
      </c>
      <c r="AS9">
        <f>SUMIF(ConfirmedRaw!$B:$B,$B9,ConfirmedRaw!AU:AU)</f>
        <v>149</v>
      </c>
      <c r="AT9">
        <f>SUMIF(ConfirmedRaw!$B:$B,$B9,ConfirmedRaw!AV:AV)</f>
        <v>217</v>
      </c>
      <c r="AU9">
        <f>SUMIF(ConfirmedRaw!$B:$B,$B9,ConfirmedRaw!AW:AW)</f>
        <v>262</v>
      </c>
      <c r="AV9">
        <f>SUMIF(ConfirmedRaw!$B:$B,$B9,ConfirmedRaw!AX:AX)</f>
        <v>402</v>
      </c>
      <c r="AW9">
        <f>SUMIF(ConfirmedRaw!$B:$B,$B9,ConfirmedRaw!AY:AY)</f>
        <v>518</v>
      </c>
      <c r="AX9">
        <f>SUMIF(ConfirmedRaw!$B:$B,$B9,ConfirmedRaw!AZ:AZ)</f>
        <v>583</v>
      </c>
      <c r="AY9">
        <f>SUMIF(ConfirmedRaw!$B:$B,$B9,ConfirmedRaw!BA:BA)</f>
        <v>959</v>
      </c>
      <c r="AZ9">
        <f>SUMIF(ConfirmedRaw!$B:$B,$B9,ConfirmedRaw!BB:BB)</f>
        <v>1281</v>
      </c>
      <c r="BA9">
        <f>SUMIF(ConfirmedRaw!$B:$B,$B9,ConfirmedRaw!BC:BC)</f>
        <v>1663</v>
      </c>
      <c r="BB9">
        <f>SUMIF(ConfirmedRaw!$B:$B,$B9,ConfirmedRaw!BD:BD)</f>
        <v>2179</v>
      </c>
      <c r="BC9">
        <f>SUMIF(ConfirmedRaw!$B:$B,$B9,ConfirmedRaw!BE:BE)</f>
        <v>2727</v>
      </c>
      <c r="BD9">
        <f>SUMIF(ConfirmedRaw!$B:$B,$B9,ConfirmedRaw!BF:BF)</f>
        <v>3499</v>
      </c>
      <c r="BE9">
        <f>SUMIF(ConfirmedRaw!$B:$B,$B9,ConfirmedRaw!BG:BG)</f>
        <v>4632</v>
      </c>
      <c r="BF9">
        <f>SUMIF(ConfirmedRaw!$B:$B,$B9,ConfirmedRaw!BH:BH)</f>
        <v>6421</v>
      </c>
      <c r="BG9">
        <f>SUMIF(ConfirmedRaw!$B:$B,$B9,ConfirmedRaw!BI:BI)</f>
        <v>7783</v>
      </c>
      <c r="BH9">
        <f>SUMIF(ConfirmedRaw!$B:$B,$B9,ConfirmedRaw!BJ:BJ)</f>
        <v>13677</v>
      </c>
      <c r="BI9">
        <f>SUMIF(ConfirmedRaw!$B:$B,$B9,ConfirmedRaw!BK:BK)</f>
        <v>19100</v>
      </c>
      <c r="BJ9">
        <f>SUMIF(ConfirmedRaw!$B:$B,$B9,ConfirmedRaw!BL:BL)</f>
        <v>25489</v>
      </c>
      <c r="BK9">
        <f>SUMIF(ConfirmedRaw!$B:$B,$B9,ConfirmedRaw!BM:BM)</f>
        <v>33276</v>
      </c>
      <c r="BL9">
        <f>SUMIF(ConfirmedRaw!$B:$B,$B9,ConfirmedRaw!BN:BN)</f>
        <v>43847</v>
      </c>
      <c r="BM9">
        <f>SUMIF(ConfirmedRaw!$B:$B,$B9,ConfirmedRaw!BO:BO)</f>
        <v>53740</v>
      </c>
      <c r="BN9">
        <f>SUMIF(ConfirmedRaw!$B:$B,$B9,ConfirmedRaw!BP:BP)</f>
        <v>65778</v>
      </c>
      <c r="BO9">
        <f>SUMIF(ConfirmedRaw!$B:$B,$B9,ConfirmedRaw!BQ:BQ)</f>
        <v>83836</v>
      </c>
      <c r="BP9">
        <f>SUMIF(ConfirmedRaw!$B:$B,$B9,ConfirmedRaw!BR:BR)</f>
        <v>101657</v>
      </c>
      <c r="BQ9">
        <f>SUMIF(ConfirmedRaw!$B:$B,$B9,ConfirmedRaw!BS:BS)</f>
        <v>121478</v>
      </c>
      <c r="BR9">
        <f>SUMIF(ConfirmedRaw!$B:$B,$B9,ConfirmedRaw!BT:BT)</f>
        <v>0</v>
      </c>
      <c r="BS9">
        <f>SUMIF(ConfirmedRaw!$B:$B,$B9,ConfirmedRaw!BU:BU)</f>
        <v>0</v>
      </c>
      <c r="BT9">
        <f>SUMIF(ConfirmedRaw!$B:$B,$B9,ConfirmedRaw!BV:BV)</f>
        <v>0</v>
      </c>
      <c r="BU9">
        <f>SUMIF(ConfirmedRaw!$B:$B,$B9,ConfirmedRaw!BW:BW)</f>
        <v>0</v>
      </c>
    </row>
    <row r="10" spans="1:73" ht="15" thickBot="1" x14ac:dyDescent="0.35">
      <c r="A10" s="97" t="str">
        <f>VLOOKUP(B10,Country_Data!B:Q,16,FALSE)</f>
        <v>Europe</v>
      </c>
      <c r="B10" s="4" t="s">
        <v>77</v>
      </c>
      <c r="C10">
        <f>SUMIF(ConfirmedRaw!$B:$B,$B10,ConfirmedRaw!E:E)</f>
        <v>0</v>
      </c>
      <c r="D10">
        <f>SUMIF(ConfirmedRaw!$B:$B,$B10,ConfirmedRaw!F:F)</f>
        <v>0</v>
      </c>
      <c r="E10">
        <f>SUMIF(ConfirmedRaw!$B:$B,$B10,ConfirmedRaw!G:G)</f>
        <v>0</v>
      </c>
      <c r="F10">
        <f>SUMIF(ConfirmedRaw!$B:$B,$B10,ConfirmedRaw!H:H)</f>
        <v>0</v>
      </c>
      <c r="G10">
        <f>SUMIF(ConfirmedRaw!$B:$B,$B10,ConfirmedRaw!I:I)</f>
        <v>0</v>
      </c>
      <c r="H10">
        <f>SUMIF(ConfirmedRaw!$B:$B,$B10,ConfirmedRaw!J:J)</f>
        <v>0</v>
      </c>
      <c r="I10">
        <f>SUMIF(ConfirmedRaw!$B:$B,$B10,ConfirmedRaw!K:K)</f>
        <v>0</v>
      </c>
      <c r="J10">
        <f>SUMIF(ConfirmedRaw!$B:$B,$B10,ConfirmedRaw!L:L)</f>
        <v>0</v>
      </c>
      <c r="K10">
        <f>SUMIF(ConfirmedRaw!$B:$B,$B10,ConfirmedRaw!M:M)</f>
        <v>0</v>
      </c>
      <c r="L10">
        <f>SUMIF(ConfirmedRaw!$B:$B,$B10,ConfirmedRaw!N:N)</f>
        <v>0</v>
      </c>
      <c r="M10">
        <f>SUMIF(ConfirmedRaw!$B:$B,$B10,ConfirmedRaw!O:O)</f>
        <v>0</v>
      </c>
      <c r="N10">
        <f>SUMIF(ConfirmedRaw!$B:$B,$B10,ConfirmedRaw!P:P)</f>
        <v>0</v>
      </c>
      <c r="O10">
        <f>SUMIF(ConfirmedRaw!$B:$B,$B10,ConfirmedRaw!Q:Q)</f>
        <v>0</v>
      </c>
      <c r="P10">
        <f>SUMIF(ConfirmedRaw!$B:$B,$B10,ConfirmedRaw!R:R)</f>
        <v>0</v>
      </c>
      <c r="Q10">
        <f>SUMIF(ConfirmedRaw!$B:$B,$B10,ConfirmedRaw!S:S)</f>
        <v>0</v>
      </c>
      <c r="R10">
        <f>SUMIF(ConfirmedRaw!$B:$B,$B10,ConfirmedRaw!T:T)</f>
        <v>0</v>
      </c>
      <c r="S10">
        <f>SUMIF(ConfirmedRaw!$B:$B,$B10,ConfirmedRaw!U:U)</f>
        <v>0</v>
      </c>
      <c r="T10">
        <f>SUMIF(ConfirmedRaw!$B:$B,$B10,ConfirmedRaw!V:V)</f>
        <v>0</v>
      </c>
      <c r="U10">
        <f>SUMIF(ConfirmedRaw!$B:$B,$B10,ConfirmedRaw!W:W)</f>
        <v>0</v>
      </c>
      <c r="V10">
        <f>SUMIF(ConfirmedRaw!$B:$B,$B10,ConfirmedRaw!X:X)</f>
        <v>0</v>
      </c>
      <c r="W10">
        <f>SUMIF(ConfirmedRaw!$B:$B,$B10,ConfirmedRaw!Y:Y)</f>
        <v>0</v>
      </c>
      <c r="X10">
        <f>SUMIF(ConfirmedRaw!$B:$B,$B10,ConfirmedRaw!Z:Z)</f>
        <v>0</v>
      </c>
      <c r="Y10">
        <f>SUMIF(ConfirmedRaw!$B:$B,$B10,ConfirmedRaw!AA:AA)</f>
        <v>0</v>
      </c>
      <c r="Z10">
        <f>SUMIF(ConfirmedRaw!$B:$B,$B10,ConfirmedRaw!AB:AB)</f>
        <v>0</v>
      </c>
      <c r="AA10">
        <f>SUMIF(ConfirmedRaw!$B:$B,$B10,ConfirmedRaw!AC:AC)</f>
        <v>0</v>
      </c>
      <c r="AB10">
        <f>SUMIF(ConfirmedRaw!$B:$B,$B10,ConfirmedRaw!AD:AD)</f>
        <v>0</v>
      </c>
      <c r="AC10">
        <f>SUMIF(ConfirmedRaw!$B:$B,$B10,ConfirmedRaw!AE:AE)</f>
        <v>0</v>
      </c>
      <c r="AD10">
        <f>SUMIF(ConfirmedRaw!$B:$B,$B10,ConfirmedRaw!AF:AF)</f>
        <v>0</v>
      </c>
      <c r="AE10">
        <f>SUMIF(ConfirmedRaw!$B:$B,$B10,ConfirmedRaw!AG:AG)</f>
        <v>0</v>
      </c>
      <c r="AF10">
        <f>SUMIF(ConfirmedRaw!$B:$B,$B10,ConfirmedRaw!AH:AH)</f>
        <v>0</v>
      </c>
      <c r="AG10">
        <f>SUMIF(ConfirmedRaw!$B:$B,$B10,ConfirmedRaw!AI:AI)</f>
        <v>0</v>
      </c>
      <c r="AH10">
        <f>SUMIF(ConfirmedRaw!$B:$B,$B10,ConfirmedRaw!AJ:AJ)</f>
        <v>0</v>
      </c>
      <c r="AI10">
        <f>SUMIF(ConfirmedRaw!$B:$B,$B10,ConfirmedRaw!AK:AK)</f>
        <v>0</v>
      </c>
      <c r="AJ10">
        <f>SUMIF(ConfirmedRaw!$B:$B,$B10,ConfirmedRaw!AL:AL)</f>
        <v>0</v>
      </c>
      <c r="AK10">
        <f>SUMIF(ConfirmedRaw!$B:$B,$B10,ConfirmedRaw!AM:AM)</f>
        <v>1</v>
      </c>
      <c r="AL10">
        <f>SUMIF(ConfirmedRaw!$B:$B,$B10,ConfirmedRaw!AN:AN)</f>
        <v>1</v>
      </c>
      <c r="AM10">
        <f>SUMIF(ConfirmedRaw!$B:$B,$B10,ConfirmedRaw!AO:AO)</f>
        <v>8</v>
      </c>
      <c r="AN10">
        <f>SUMIF(ConfirmedRaw!$B:$B,$B10,ConfirmedRaw!AP:AP)</f>
        <v>8</v>
      </c>
      <c r="AO10">
        <f>SUMIF(ConfirmedRaw!$B:$B,$B10,ConfirmedRaw!AQ:AQ)</f>
        <v>18</v>
      </c>
      <c r="AP10">
        <f>SUMIF(ConfirmedRaw!$B:$B,$B10,ConfirmedRaw!AR:AR)</f>
        <v>27</v>
      </c>
      <c r="AQ10">
        <f>SUMIF(ConfirmedRaw!$B:$B,$B10,ConfirmedRaw!AS:AS)</f>
        <v>42</v>
      </c>
      <c r="AR10">
        <f>SUMIF(ConfirmedRaw!$B:$B,$B10,ConfirmedRaw!AT:AT)</f>
        <v>56</v>
      </c>
      <c r="AS10">
        <f>SUMIF(ConfirmedRaw!$B:$B,$B10,ConfirmedRaw!AU:AU)</f>
        <v>90</v>
      </c>
      <c r="AT10">
        <f>SUMIF(ConfirmedRaw!$B:$B,$B10,ConfirmedRaw!AV:AV)</f>
        <v>114</v>
      </c>
      <c r="AU10">
        <f>SUMIF(ConfirmedRaw!$B:$B,$B10,ConfirmedRaw!AW:AW)</f>
        <v>214</v>
      </c>
      <c r="AV10">
        <f>SUMIF(ConfirmedRaw!$B:$B,$B10,ConfirmedRaw!AX:AX)</f>
        <v>268</v>
      </c>
      <c r="AW10">
        <f>SUMIF(ConfirmedRaw!$B:$B,$B10,ConfirmedRaw!AY:AY)</f>
        <v>337</v>
      </c>
      <c r="AX10">
        <f>SUMIF(ConfirmedRaw!$B:$B,$B10,ConfirmedRaw!AZ:AZ)</f>
        <v>374</v>
      </c>
      <c r="AY10">
        <f>SUMIF(ConfirmedRaw!$B:$B,$B10,ConfirmedRaw!BA:BA)</f>
        <v>491</v>
      </c>
      <c r="AZ10">
        <f>SUMIF(ConfirmedRaw!$B:$B,$B10,ConfirmedRaw!BB:BB)</f>
        <v>652</v>
      </c>
      <c r="BA10">
        <f>SUMIF(ConfirmedRaw!$B:$B,$B10,ConfirmedRaw!BC:BC)</f>
        <v>652</v>
      </c>
      <c r="BB10">
        <f>SUMIF(ConfirmedRaw!$B:$B,$B10,ConfirmedRaw!BD:BD)</f>
        <v>1139</v>
      </c>
      <c r="BC10">
        <f>SUMIF(ConfirmedRaw!$B:$B,$B10,ConfirmedRaw!BE:BE)</f>
        <v>1359</v>
      </c>
      <c r="BD10">
        <f>SUMIF(ConfirmedRaw!$B:$B,$B10,ConfirmedRaw!BF:BF)</f>
        <v>2200</v>
      </c>
      <c r="BE10">
        <f>SUMIF(ConfirmedRaw!$B:$B,$B10,ConfirmedRaw!BG:BG)</f>
        <v>2200</v>
      </c>
      <c r="BF10">
        <f>SUMIF(ConfirmedRaw!$B:$B,$B10,ConfirmedRaw!BH:BH)</f>
        <v>2700</v>
      </c>
      <c r="BG10">
        <f>SUMIF(ConfirmedRaw!$B:$B,$B10,ConfirmedRaw!BI:BI)</f>
        <v>3028</v>
      </c>
      <c r="BH10">
        <f>SUMIF(ConfirmedRaw!$B:$B,$B10,ConfirmedRaw!BJ:BJ)</f>
        <v>4075</v>
      </c>
      <c r="BI10">
        <f>SUMIF(ConfirmedRaw!$B:$B,$B10,ConfirmedRaw!BK:BK)</f>
        <v>5294</v>
      </c>
      <c r="BJ10">
        <f>SUMIF(ConfirmedRaw!$B:$B,$B10,ConfirmedRaw!BL:BL)</f>
        <v>6575</v>
      </c>
      <c r="BK10">
        <f>SUMIF(ConfirmedRaw!$B:$B,$B10,ConfirmedRaw!BM:BM)</f>
        <v>7474</v>
      </c>
      <c r="BL10">
        <f>SUMIF(ConfirmedRaw!$B:$B,$B10,ConfirmedRaw!BN:BN)</f>
        <v>8795</v>
      </c>
      <c r="BM10">
        <f>SUMIF(ConfirmedRaw!$B:$B,$B10,ConfirmedRaw!BO:BO)</f>
        <v>9877</v>
      </c>
      <c r="BN10">
        <f>SUMIF(ConfirmedRaw!$B:$B,$B10,ConfirmedRaw!BP:BP)</f>
        <v>10897</v>
      </c>
      <c r="BO10">
        <f>SUMIF(ConfirmedRaw!$B:$B,$B10,ConfirmedRaw!BQ:BQ)</f>
        <v>11811</v>
      </c>
      <c r="BP10">
        <f>SUMIF(ConfirmedRaw!$B:$B,$B10,ConfirmedRaw!BR:BR)</f>
        <v>12928</v>
      </c>
      <c r="BQ10">
        <f>SUMIF(ConfirmedRaw!$B:$B,$B10,ConfirmedRaw!BS:BS)</f>
        <v>14076</v>
      </c>
      <c r="BR10">
        <f>SUMIF(ConfirmedRaw!$B:$B,$B10,ConfirmedRaw!BT:BT)</f>
        <v>0</v>
      </c>
      <c r="BS10">
        <f>SUMIF(ConfirmedRaw!$B:$B,$B10,ConfirmedRaw!BU:BU)</f>
        <v>0</v>
      </c>
      <c r="BT10">
        <f>SUMIF(ConfirmedRaw!$B:$B,$B10,ConfirmedRaw!BV:BV)</f>
        <v>0</v>
      </c>
      <c r="BU10">
        <f>SUMIF(ConfirmedRaw!$B:$B,$B10,ConfirmedRaw!BW:BW)</f>
        <v>0</v>
      </c>
    </row>
    <row r="11" spans="1:73" ht="15" thickBot="1" x14ac:dyDescent="0.35">
      <c r="A11" s="97" t="str">
        <f>VLOOKUP(B11,Country_Data!B:Q,16,FALSE)</f>
        <v>Europe</v>
      </c>
      <c r="B11" s="4" t="s">
        <v>85</v>
      </c>
      <c r="C11">
        <f>SUMIF(ConfirmedRaw!$B:$B,$B11,ConfirmedRaw!E:E)</f>
        <v>0</v>
      </c>
      <c r="D11">
        <f>SUMIF(ConfirmedRaw!$B:$B,$B11,ConfirmedRaw!F:F)</f>
        <v>0</v>
      </c>
      <c r="E11">
        <f>SUMIF(ConfirmedRaw!$B:$B,$B11,ConfirmedRaw!G:G)</f>
        <v>0</v>
      </c>
      <c r="F11">
        <f>SUMIF(ConfirmedRaw!$B:$B,$B11,ConfirmedRaw!H:H)</f>
        <v>0</v>
      </c>
      <c r="G11">
        <f>SUMIF(ConfirmedRaw!$B:$B,$B11,ConfirmedRaw!I:I)</f>
        <v>0</v>
      </c>
      <c r="H11">
        <f>SUMIF(ConfirmedRaw!$B:$B,$B11,ConfirmedRaw!J:J)</f>
        <v>0</v>
      </c>
      <c r="I11">
        <f>SUMIF(ConfirmedRaw!$B:$B,$B11,ConfirmedRaw!K:K)</f>
        <v>0</v>
      </c>
      <c r="J11">
        <f>SUMIF(ConfirmedRaw!$B:$B,$B11,ConfirmedRaw!L:L)</f>
        <v>0</v>
      </c>
      <c r="K11">
        <f>SUMIF(ConfirmedRaw!$B:$B,$B11,ConfirmedRaw!M:M)</f>
        <v>0</v>
      </c>
      <c r="L11">
        <f>SUMIF(ConfirmedRaw!$B:$B,$B11,ConfirmedRaw!N:N)</f>
        <v>0</v>
      </c>
      <c r="M11">
        <f>SUMIF(ConfirmedRaw!$B:$B,$B11,ConfirmedRaw!O:O)</f>
        <v>0</v>
      </c>
      <c r="N11">
        <f>SUMIF(ConfirmedRaw!$B:$B,$B11,ConfirmedRaw!P:P)</f>
        <v>0</v>
      </c>
      <c r="O11">
        <f>SUMIF(ConfirmedRaw!$B:$B,$B11,ConfirmedRaw!Q:Q)</f>
        <v>0</v>
      </c>
      <c r="P11">
        <f>SUMIF(ConfirmedRaw!$B:$B,$B11,ConfirmedRaw!R:R)</f>
        <v>0</v>
      </c>
      <c r="Q11">
        <f>SUMIF(ConfirmedRaw!$B:$B,$B11,ConfirmedRaw!S:S)</f>
        <v>0</v>
      </c>
      <c r="R11">
        <f>SUMIF(ConfirmedRaw!$B:$B,$B11,ConfirmedRaw!T:T)</f>
        <v>0</v>
      </c>
      <c r="S11">
        <f>SUMIF(ConfirmedRaw!$B:$B,$B11,ConfirmedRaw!U:U)</f>
        <v>0</v>
      </c>
      <c r="T11">
        <f>SUMIF(ConfirmedRaw!$B:$B,$B11,ConfirmedRaw!V:V)</f>
        <v>0</v>
      </c>
      <c r="U11">
        <f>SUMIF(ConfirmedRaw!$B:$B,$B11,ConfirmedRaw!W:W)</f>
        <v>0</v>
      </c>
      <c r="V11">
        <f>SUMIF(ConfirmedRaw!$B:$B,$B11,ConfirmedRaw!X:X)</f>
        <v>0</v>
      </c>
      <c r="W11">
        <f>SUMIF(ConfirmedRaw!$B:$B,$B11,ConfirmedRaw!Y:Y)</f>
        <v>0</v>
      </c>
      <c r="X11">
        <f>SUMIF(ConfirmedRaw!$B:$B,$B11,ConfirmedRaw!Z:Z)</f>
        <v>0</v>
      </c>
      <c r="Y11">
        <f>SUMIF(ConfirmedRaw!$B:$B,$B11,ConfirmedRaw!AA:AA)</f>
        <v>0</v>
      </c>
      <c r="Z11">
        <f>SUMIF(ConfirmedRaw!$B:$B,$B11,ConfirmedRaw!AB:AB)</f>
        <v>0</v>
      </c>
      <c r="AA11">
        <f>SUMIF(ConfirmedRaw!$B:$B,$B11,ConfirmedRaw!AC:AC)</f>
        <v>0</v>
      </c>
      <c r="AB11">
        <f>SUMIF(ConfirmedRaw!$B:$B,$B11,ConfirmedRaw!AD:AD)</f>
        <v>0</v>
      </c>
      <c r="AC11">
        <f>SUMIF(ConfirmedRaw!$B:$B,$B11,ConfirmedRaw!AE:AE)</f>
        <v>0</v>
      </c>
      <c r="AD11">
        <f>SUMIF(ConfirmedRaw!$B:$B,$B11,ConfirmedRaw!AF:AF)</f>
        <v>0</v>
      </c>
      <c r="AE11">
        <f>SUMIF(ConfirmedRaw!$B:$B,$B11,ConfirmedRaw!AG:AG)</f>
        <v>0</v>
      </c>
      <c r="AF11">
        <f>SUMIF(ConfirmedRaw!$B:$B,$B11,ConfirmedRaw!AH:AH)</f>
        <v>0</v>
      </c>
      <c r="AG11">
        <f>SUMIF(ConfirmedRaw!$B:$B,$B11,ConfirmedRaw!AI:AI)</f>
        <v>0</v>
      </c>
      <c r="AH11">
        <f>SUMIF(ConfirmedRaw!$B:$B,$B11,ConfirmedRaw!AJ:AJ)</f>
        <v>0</v>
      </c>
      <c r="AI11">
        <f>SUMIF(ConfirmedRaw!$B:$B,$B11,ConfirmedRaw!AK:AK)</f>
        <v>0</v>
      </c>
      <c r="AJ11">
        <f>SUMIF(ConfirmedRaw!$B:$B,$B11,ConfirmedRaw!AL:AL)</f>
        <v>0</v>
      </c>
      <c r="AK11">
        <f>SUMIF(ConfirmedRaw!$B:$B,$B11,ConfirmedRaw!AM:AM)</f>
        <v>0</v>
      </c>
      <c r="AL11">
        <f>SUMIF(ConfirmedRaw!$B:$B,$B11,ConfirmedRaw!AN:AN)</f>
        <v>1</v>
      </c>
      <c r="AM11">
        <f>SUMIF(ConfirmedRaw!$B:$B,$B11,ConfirmedRaw!AO:AO)</f>
        <v>1</v>
      </c>
      <c r="AN11">
        <f>SUMIF(ConfirmedRaw!$B:$B,$B11,ConfirmedRaw!AP:AP)</f>
        <v>6</v>
      </c>
      <c r="AO11">
        <f>SUMIF(ConfirmedRaw!$B:$B,$B11,ConfirmedRaw!AQ:AQ)</f>
        <v>15</v>
      </c>
      <c r="AP11">
        <f>SUMIF(ConfirmedRaw!$B:$B,$B11,ConfirmedRaw!AR:AR)</f>
        <v>19</v>
      </c>
      <c r="AQ11">
        <f>SUMIF(ConfirmedRaw!$B:$B,$B11,ConfirmedRaw!AS:AS)</f>
        <v>25</v>
      </c>
      <c r="AR11">
        <f>SUMIF(ConfirmedRaw!$B:$B,$B11,ConfirmedRaw!AT:AT)</f>
        <v>32</v>
      </c>
      <c r="AS11">
        <f>SUMIF(ConfirmedRaw!$B:$B,$B11,ConfirmedRaw!AU:AU)</f>
        <v>56</v>
      </c>
      <c r="AT11">
        <f>SUMIF(ConfirmedRaw!$B:$B,$B11,ConfirmedRaw!AV:AV)</f>
        <v>87</v>
      </c>
      <c r="AU11">
        <f>SUMIF(ConfirmedRaw!$B:$B,$B11,ConfirmedRaw!AW:AW)</f>
        <v>108</v>
      </c>
      <c r="AV11">
        <f>SUMIF(ConfirmedRaw!$B:$B,$B11,ConfirmedRaw!AX:AX)</f>
        <v>147</v>
      </c>
      <c r="AW11">
        <f>SUMIF(ConfirmedRaw!$B:$B,$B11,ConfirmedRaw!AY:AY)</f>
        <v>176</v>
      </c>
      <c r="AX11">
        <f>SUMIF(ConfirmedRaw!$B:$B,$B11,ConfirmedRaw!AZ:AZ)</f>
        <v>205</v>
      </c>
      <c r="AY11">
        <f>SUMIF(ConfirmedRaw!$B:$B,$B11,ConfirmedRaw!BA:BA)</f>
        <v>400</v>
      </c>
      <c r="AZ11">
        <f>SUMIF(ConfirmedRaw!$B:$B,$B11,ConfirmedRaw!BB:BB)</f>
        <v>598</v>
      </c>
      <c r="BA11">
        <f>SUMIF(ConfirmedRaw!$B:$B,$B11,ConfirmedRaw!BC:BC)</f>
        <v>702</v>
      </c>
      <c r="BB11">
        <f>SUMIF(ConfirmedRaw!$B:$B,$B11,ConfirmedRaw!BD:BD)</f>
        <v>996</v>
      </c>
      <c r="BC11">
        <f>SUMIF(ConfirmedRaw!$B:$B,$B11,ConfirmedRaw!BE:BE)</f>
        <v>1090</v>
      </c>
      <c r="BD11">
        <f>SUMIF(ConfirmedRaw!$B:$B,$B11,ConfirmedRaw!BF:BF)</f>
        <v>1221</v>
      </c>
      <c r="BE11">
        <f>SUMIF(ConfirmedRaw!$B:$B,$B11,ConfirmedRaw!BG:BG)</f>
        <v>1333</v>
      </c>
      <c r="BF11">
        <f>SUMIF(ConfirmedRaw!$B:$B,$B11,ConfirmedRaw!BH:BH)</f>
        <v>1463</v>
      </c>
      <c r="BG11">
        <f>SUMIF(ConfirmedRaw!$B:$B,$B11,ConfirmedRaw!BI:BI)</f>
        <v>1550</v>
      </c>
      <c r="BH11">
        <f>SUMIF(ConfirmedRaw!$B:$B,$B11,ConfirmedRaw!BJ:BJ)</f>
        <v>1746</v>
      </c>
      <c r="BI11">
        <f>SUMIF(ConfirmedRaw!$B:$B,$B11,ConfirmedRaw!BK:BK)</f>
        <v>1914</v>
      </c>
      <c r="BJ11">
        <f>SUMIF(ConfirmedRaw!$B:$B,$B11,ConfirmedRaw!BL:BL)</f>
        <v>2118</v>
      </c>
      <c r="BK11">
        <f>SUMIF(ConfirmedRaw!$B:$B,$B11,ConfirmedRaw!BM:BM)</f>
        <v>2385</v>
      </c>
      <c r="BL11">
        <f>SUMIF(ConfirmedRaw!$B:$B,$B11,ConfirmedRaw!BN:BN)</f>
        <v>2621</v>
      </c>
      <c r="BM11">
        <f>SUMIF(ConfirmedRaw!$B:$B,$B11,ConfirmedRaw!BO:BO)</f>
        <v>2863</v>
      </c>
      <c r="BN11">
        <f>SUMIF(ConfirmedRaw!$B:$B,$B11,ConfirmedRaw!BP:BP)</f>
        <v>3084</v>
      </c>
      <c r="BO11">
        <f>SUMIF(ConfirmedRaw!$B:$B,$B11,ConfirmedRaw!BQ:BQ)</f>
        <v>3369</v>
      </c>
      <c r="BP11">
        <f>SUMIF(ConfirmedRaw!$B:$B,$B11,ConfirmedRaw!BR:BR)</f>
        <v>3755</v>
      </c>
      <c r="BQ11">
        <f>SUMIF(ConfirmedRaw!$B:$B,$B11,ConfirmedRaw!BS:BS)</f>
        <v>4015</v>
      </c>
      <c r="BR11">
        <f>SUMIF(ConfirmedRaw!$B:$B,$B11,ConfirmedRaw!BT:BT)</f>
        <v>0</v>
      </c>
      <c r="BS11">
        <f>SUMIF(ConfirmedRaw!$B:$B,$B11,ConfirmedRaw!BU:BU)</f>
        <v>0</v>
      </c>
      <c r="BT11">
        <f>SUMIF(ConfirmedRaw!$B:$B,$B11,ConfirmedRaw!BV:BV)</f>
        <v>0</v>
      </c>
      <c r="BU11">
        <f>SUMIF(ConfirmedRaw!$B:$B,$B11,ConfirmedRaw!BW:BW)</f>
        <v>0</v>
      </c>
    </row>
    <row r="12" spans="1:73" ht="15" thickBot="1" x14ac:dyDescent="0.35">
      <c r="A12" s="97" t="str">
        <f>VLOOKUP(B12,Country_Data!B:Q,16,FALSE)</f>
        <v>Europe</v>
      </c>
      <c r="B12" s="4" t="s">
        <v>59</v>
      </c>
      <c r="C12">
        <f>SUMIF(ConfirmedRaw!$B:$B,$B12,ConfirmedRaw!E:E)</f>
        <v>0</v>
      </c>
      <c r="D12">
        <f>SUMIF(ConfirmedRaw!$B:$B,$B12,ConfirmedRaw!F:F)</f>
        <v>0</v>
      </c>
      <c r="E12">
        <f>SUMIF(ConfirmedRaw!$B:$B,$B12,ConfirmedRaw!G:G)</f>
        <v>0</v>
      </c>
      <c r="F12">
        <f>SUMIF(ConfirmedRaw!$B:$B,$B12,ConfirmedRaw!H:H)</f>
        <v>0</v>
      </c>
      <c r="G12">
        <f>SUMIF(ConfirmedRaw!$B:$B,$B12,ConfirmedRaw!I:I)</f>
        <v>0</v>
      </c>
      <c r="H12">
        <f>SUMIF(ConfirmedRaw!$B:$B,$B12,ConfirmedRaw!J:J)</f>
        <v>0</v>
      </c>
      <c r="I12">
        <f>SUMIF(ConfirmedRaw!$B:$B,$B12,ConfirmedRaw!K:K)</f>
        <v>0</v>
      </c>
      <c r="J12">
        <f>SUMIF(ConfirmedRaw!$B:$B,$B12,ConfirmedRaw!L:L)</f>
        <v>0</v>
      </c>
      <c r="K12">
        <f>SUMIF(ConfirmedRaw!$B:$B,$B12,ConfirmedRaw!M:M)</f>
        <v>0</v>
      </c>
      <c r="L12">
        <f>SUMIF(ConfirmedRaw!$B:$B,$B12,ConfirmedRaw!N:N)</f>
        <v>1</v>
      </c>
      <c r="M12">
        <f>SUMIF(ConfirmedRaw!$B:$B,$B12,ConfirmedRaw!O:O)</f>
        <v>1</v>
      </c>
      <c r="N12">
        <f>SUMIF(ConfirmedRaw!$B:$B,$B12,ConfirmedRaw!P:P)</f>
        <v>1</v>
      </c>
      <c r="O12">
        <f>SUMIF(ConfirmedRaw!$B:$B,$B12,ConfirmedRaw!Q:Q)</f>
        <v>1</v>
      </c>
      <c r="P12">
        <f>SUMIF(ConfirmedRaw!$B:$B,$B12,ConfirmedRaw!R:R)</f>
        <v>1</v>
      </c>
      <c r="Q12">
        <f>SUMIF(ConfirmedRaw!$B:$B,$B12,ConfirmedRaw!S:S)</f>
        <v>1</v>
      </c>
      <c r="R12">
        <f>SUMIF(ConfirmedRaw!$B:$B,$B12,ConfirmedRaw!T:T)</f>
        <v>1</v>
      </c>
      <c r="S12">
        <f>SUMIF(ConfirmedRaw!$B:$B,$B12,ConfirmedRaw!U:U)</f>
        <v>1</v>
      </c>
      <c r="T12">
        <f>SUMIF(ConfirmedRaw!$B:$B,$B12,ConfirmedRaw!V:V)</f>
        <v>1</v>
      </c>
      <c r="U12">
        <f>SUMIF(ConfirmedRaw!$B:$B,$B12,ConfirmedRaw!W:W)</f>
        <v>1</v>
      </c>
      <c r="V12">
        <f>SUMIF(ConfirmedRaw!$B:$B,$B12,ConfirmedRaw!X:X)</f>
        <v>1</v>
      </c>
      <c r="W12">
        <f>SUMIF(ConfirmedRaw!$B:$B,$B12,ConfirmedRaw!Y:Y)</f>
        <v>1</v>
      </c>
      <c r="X12">
        <f>SUMIF(ConfirmedRaw!$B:$B,$B12,ConfirmedRaw!Z:Z)</f>
        <v>1</v>
      </c>
      <c r="Y12">
        <f>SUMIF(ConfirmedRaw!$B:$B,$B12,ConfirmedRaw!AA:AA)</f>
        <v>1</v>
      </c>
      <c r="Z12">
        <f>SUMIF(ConfirmedRaw!$B:$B,$B12,ConfirmedRaw!AB:AB)</f>
        <v>1</v>
      </c>
      <c r="AA12">
        <f>SUMIF(ConfirmedRaw!$B:$B,$B12,ConfirmedRaw!AC:AC)</f>
        <v>1</v>
      </c>
      <c r="AB12">
        <f>SUMIF(ConfirmedRaw!$B:$B,$B12,ConfirmedRaw!AD:AD)</f>
        <v>1</v>
      </c>
      <c r="AC12">
        <f>SUMIF(ConfirmedRaw!$B:$B,$B12,ConfirmedRaw!AE:AE)</f>
        <v>1</v>
      </c>
      <c r="AD12">
        <f>SUMIF(ConfirmedRaw!$B:$B,$B12,ConfirmedRaw!AF:AF)</f>
        <v>1</v>
      </c>
      <c r="AE12">
        <f>SUMIF(ConfirmedRaw!$B:$B,$B12,ConfirmedRaw!AG:AG)</f>
        <v>1</v>
      </c>
      <c r="AF12">
        <f>SUMIF(ConfirmedRaw!$B:$B,$B12,ConfirmedRaw!AH:AH)</f>
        <v>1</v>
      </c>
      <c r="AG12">
        <f>SUMIF(ConfirmedRaw!$B:$B,$B12,ConfirmedRaw!AI:AI)</f>
        <v>1</v>
      </c>
      <c r="AH12">
        <f>SUMIF(ConfirmedRaw!$B:$B,$B12,ConfirmedRaw!AJ:AJ)</f>
        <v>1</v>
      </c>
      <c r="AI12">
        <f>SUMIF(ConfirmedRaw!$B:$B,$B12,ConfirmedRaw!AK:AK)</f>
        <v>1</v>
      </c>
      <c r="AJ12">
        <f>SUMIF(ConfirmedRaw!$B:$B,$B12,ConfirmedRaw!AL:AL)</f>
        <v>1</v>
      </c>
      <c r="AK12">
        <f>SUMIF(ConfirmedRaw!$B:$B,$B12,ConfirmedRaw!AM:AM)</f>
        <v>1</v>
      </c>
      <c r="AL12">
        <f>SUMIF(ConfirmedRaw!$B:$B,$B12,ConfirmedRaw!AN:AN)</f>
        <v>2</v>
      </c>
      <c r="AM12">
        <f>SUMIF(ConfirmedRaw!$B:$B,$B12,ConfirmedRaw!AO:AO)</f>
        <v>7</v>
      </c>
      <c r="AN12">
        <f>SUMIF(ConfirmedRaw!$B:$B,$B12,ConfirmedRaw!AP:AP)</f>
        <v>7</v>
      </c>
      <c r="AO12">
        <f>SUMIF(ConfirmedRaw!$B:$B,$B12,ConfirmedRaw!AQ:AQ)</f>
        <v>12</v>
      </c>
      <c r="AP12">
        <f>SUMIF(ConfirmedRaw!$B:$B,$B12,ConfirmedRaw!AR:AR)</f>
        <v>14</v>
      </c>
      <c r="AQ12">
        <f>SUMIF(ConfirmedRaw!$B:$B,$B12,ConfirmedRaw!AS:AS)</f>
        <v>15</v>
      </c>
      <c r="AR12">
        <f>SUMIF(ConfirmedRaw!$B:$B,$B12,ConfirmedRaw!AT:AT)</f>
        <v>21</v>
      </c>
      <c r="AS12">
        <f>SUMIF(ConfirmedRaw!$B:$B,$B12,ConfirmedRaw!AU:AU)</f>
        <v>35</v>
      </c>
      <c r="AT12">
        <f>SUMIF(ConfirmedRaw!$B:$B,$B12,ConfirmedRaw!AV:AV)</f>
        <v>94</v>
      </c>
      <c r="AU12">
        <f>SUMIF(ConfirmedRaw!$B:$B,$B12,ConfirmedRaw!AW:AW)</f>
        <v>101</v>
      </c>
      <c r="AV12">
        <f>SUMIF(ConfirmedRaw!$B:$B,$B12,ConfirmedRaw!AX:AX)</f>
        <v>161</v>
      </c>
      <c r="AW12">
        <f>SUMIF(ConfirmedRaw!$B:$B,$B12,ConfirmedRaw!AY:AY)</f>
        <v>203</v>
      </c>
      <c r="AX12">
        <f>SUMIF(ConfirmedRaw!$B:$B,$B12,ConfirmedRaw!AZ:AZ)</f>
        <v>248</v>
      </c>
      <c r="AY12">
        <f>SUMIF(ConfirmedRaw!$B:$B,$B12,ConfirmedRaw!BA:BA)</f>
        <v>355</v>
      </c>
      <c r="AZ12">
        <f>SUMIF(ConfirmedRaw!$B:$B,$B12,ConfirmedRaw!BB:BB)</f>
        <v>500</v>
      </c>
      <c r="BA12">
        <f>SUMIF(ConfirmedRaw!$B:$B,$B12,ConfirmedRaw!BC:BC)</f>
        <v>599</v>
      </c>
      <c r="BB12">
        <f>SUMIF(ConfirmedRaw!$B:$B,$B12,ConfirmedRaw!BD:BD)</f>
        <v>814</v>
      </c>
      <c r="BC12">
        <f>SUMIF(ConfirmedRaw!$B:$B,$B12,ConfirmedRaw!BE:BE)</f>
        <v>961</v>
      </c>
      <c r="BD12">
        <f>SUMIF(ConfirmedRaw!$B:$B,$B12,ConfirmedRaw!BF:BF)</f>
        <v>1022</v>
      </c>
      <c r="BE12">
        <f>SUMIF(ConfirmedRaw!$B:$B,$B12,ConfirmedRaw!BG:BG)</f>
        <v>1103</v>
      </c>
      <c r="BF12">
        <f>SUMIF(ConfirmedRaw!$B:$B,$B12,ConfirmedRaw!BH:BH)</f>
        <v>1190</v>
      </c>
      <c r="BG12">
        <f>SUMIF(ConfirmedRaw!$B:$B,$B12,ConfirmedRaw!BI:BI)</f>
        <v>1279</v>
      </c>
      <c r="BH12">
        <f>SUMIF(ConfirmedRaw!$B:$B,$B12,ConfirmedRaw!BJ:BJ)</f>
        <v>1439</v>
      </c>
      <c r="BI12">
        <f>SUMIF(ConfirmedRaw!$B:$B,$B12,ConfirmedRaw!BK:BK)</f>
        <v>1639</v>
      </c>
      <c r="BJ12">
        <f>SUMIF(ConfirmedRaw!$B:$B,$B12,ConfirmedRaw!BL:BL)</f>
        <v>1763</v>
      </c>
      <c r="BK12">
        <f>SUMIF(ConfirmedRaw!$B:$B,$B12,ConfirmedRaw!BM:BM)</f>
        <v>1934</v>
      </c>
      <c r="BL12">
        <f>SUMIF(ConfirmedRaw!$B:$B,$B12,ConfirmedRaw!BN:BN)</f>
        <v>2046</v>
      </c>
      <c r="BM12">
        <f>SUMIF(ConfirmedRaw!$B:$B,$B12,ConfirmedRaw!BO:BO)</f>
        <v>2286</v>
      </c>
      <c r="BN12">
        <f>SUMIF(ConfirmedRaw!$B:$B,$B12,ConfirmedRaw!BP:BP)</f>
        <v>2526</v>
      </c>
      <c r="BO12">
        <f>SUMIF(ConfirmedRaw!$B:$B,$B12,ConfirmedRaw!BQ:BQ)</f>
        <v>2840</v>
      </c>
      <c r="BP12">
        <f>SUMIF(ConfirmedRaw!$B:$B,$B12,ConfirmedRaw!BR:BR)</f>
        <v>3069</v>
      </c>
      <c r="BQ12">
        <f>SUMIF(ConfirmedRaw!$B:$B,$B12,ConfirmedRaw!BS:BS)</f>
        <v>3447</v>
      </c>
      <c r="BR12">
        <f>SUMIF(ConfirmedRaw!$B:$B,$B12,ConfirmedRaw!BT:BT)</f>
        <v>0</v>
      </c>
      <c r="BS12">
        <f>SUMIF(ConfirmedRaw!$B:$B,$B12,ConfirmedRaw!BU:BU)</f>
        <v>0</v>
      </c>
      <c r="BT12">
        <f>SUMIF(ConfirmedRaw!$B:$B,$B12,ConfirmedRaw!BV:BV)</f>
        <v>0</v>
      </c>
      <c r="BU12">
        <f>SUMIF(ConfirmedRaw!$B:$B,$B12,ConfirmedRaw!BW:BW)</f>
        <v>0</v>
      </c>
    </row>
    <row r="13" spans="1:73" ht="15" thickBot="1" x14ac:dyDescent="0.35">
      <c r="A13" s="97" t="str">
        <f>VLOOKUP(B13,Country_Data!B:Q,16,FALSE)</f>
        <v>Europe</v>
      </c>
      <c r="B13" s="3" t="s">
        <v>87</v>
      </c>
      <c r="C13">
        <f>SUMIF(ConfirmedRaw!$B:$B,$B13,ConfirmedRaw!E:E)</f>
        <v>0</v>
      </c>
      <c r="D13">
        <f>SUMIF(ConfirmedRaw!$B:$B,$B13,ConfirmedRaw!F:F)</f>
        <v>0</v>
      </c>
      <c r="E13">
        <f>SUMIF(ConfirmedRaw!$B:$B,$B13,ConfirmedRaw!G:G)</f>
        <v>0</v>
      </c>
      <c r="F13">
        <f>SUMIF(ConfirmedRaw!$B:$B,$B13,ConfirmedRaw!H:H)</f>
        <v>0</v>
      </c>
      <c r="G13">
        <f>SUMIF(ConfirmedRaw!$B:$B,$B13,ConfirmedRaw!I:I)</f>
        <v>0</v>
      </c>
      <c r="H13">
        <f>SUMIF(ConfirmedRaw!$B:$B,$B13,ConfirmedRaw!J:J)</f>
        <v>0</v>
      </c>
      <c r="I13">
        <f>SUMIF(ConfirmedRaw!$B:$B,$B13,ConfirmedRaw!K:K)</f>
        <v>0</v>
      </c>
      <c r="J13">
        <f>SUMIF(ConfirmedRaw!$B:$B,$B13,ConfirmedRaw!L:L)</f>
        <v>0</v>
      </c>
      <c r="K13">
        <f>SUMIF(ConfirmedRaw!$B:$B,$B13,ConfirmedRaw!M:M)</f>
        <v>0</v>
      </c>
      <c r="L13">
        <f>SUMIF(ConfirmedRaw!$B:$B,$B13,ConfirmedRaw!N:N)</f>
        <v>0</v>
      </c>
      <c r="M13">
        <f>SUMIF(ConfirmedRaw!$B:$B,$B13,ConfirmedRaw!O:O)</f>
        <v>0</v>
      </c>
      <c r="N13">
        <f>SUMIF(ConfirmedRaw!$B:$B,$B13,ConfirmedRaw!P:P)</f>
        <v>0</v>
      </c>
      <c r="O13">
        <f>SUMIF(ConfirmedRaw!$B:$B,$B13,ConfirmedRaw!Q:Q)</f>
        <v>0</v>
      </c>
      <c r="P13">
        <f>SUMIF(ConfirmedRaw!$B:$B,$B13,ConfirmedRaw!R:R)</f>
        <v>0</v>
      </c>
      <c r="Q13">
        <f>SUMIF(ConfirmedRaw!$B:$B,$B13,ConfirmedRaw!S:S)</f>
        <v>0</v>
      </c>
      <c r="R13">
        <f>SUMIF(ConfirmedRaw!$B:$B,$B13,ConfirmedRaw!T:T)</f>
        <v>0</v>
      </c>
      <c r="S13">
        <f>SUMIF(ConfirmedRaw!$B:$B,$B13,ConfirmedRaw!U:U)</f>
        <v>0</v>
      </c>
      <c r="T13">
        <f>SUMIF(ConfirmedRaw!$B:$B,$B13,ConfirmedRaw!V:V)</f>
        <v>0</v>
      </c>
      <c r="U13">
        <f>SUMIF(ConfirmedRaw!$B:$B,$B13,ConfirmedRaw!W:W)</f>
        <v>0</v>
      </c>
      <c r="V13">
        <f>SUMIF(ConfirmedRaw!$B:$B,$B13,ConfirmedRaw!X:X)</f>
        <v>0</v>
      </c>
      <c r="W13">
        <f>SUMIF(ConfirmedRaw!$B:$B,$B13,ConfirmedRaw!Y:Y)</f>
        <v>0</v>
      </c>
      <c r="X13">
        <f>SUMIF(ConfirmedRaw!$B:$B,$B13,ConfirmedRaw!Z:Z)</f>
        <v>0</v>
      </c>
      <c r="Y13">
        <f>SUMIF(ConfirmedRaw!$B:$B,$B13,ConfirmedRaw!AA:AA)</f>
        <v>0</v>
      </c>
      <c r="Z13">
        <f>SUMIF(ConfirmedRaw!$B:$B,$B13,ConfirmedRaw!AB:AB)</f>
        <v>0</v>
      </c>
      <c r="AA13">
        <f>SUMIF(ConfirmedRaw!$B:$B,$B13,ConfirmedRaw!AC:AC)</f>
        <v>0</v>
      </c>
      <c r="AB13">
        <f>SUMIF(ConfirmedRaw!$B:$B,$B13,ConfirmedRaw!AD:AD)</f>
        <v>0</v>
      </c>
      <c r="AC13">
        <f>SUMIF(ConfirmedRaw!$B:$B,$B13,ConfirmedRaw!AE:AE)</f>
        <v>0</v>
      </c>
      <c r="AD13">
        <f>SUMIF(ConfirmedRaw!$B:$B,$B13,ConfirmedRaw!AF:AF)</f>
        <v>0</v>
      </c>
      <c r="AE13">
        <f>SUMIF(ConfirmedRaw!$B:$B,$B13,ConfirmedRaw!AG:AG)</f>
        <v>0</v>
      </c>
      <c r="AF13">
        <f>SUMIF(ConfirmedRaw!$B:$B,$B13,ConfirmedRaw!AH:AH)</f>
        <v>0</v>
      </c>
      <c r="AG13">
        <f>SUMIF(ConfirmedRaw!$B:$B,$B13,ConfirmedRaw!AI:AI)</f>
        <v>0</v>
      </c>
      <c r="AH13">
        <f>SUMIF(ConfirmedRaw!$B:$B,$B13,ConfirmedRaw!AJ:AJ)</f>
        <v>0</v>
      </c>
      <c r="AI13">
        <f>SUMIF(ConfirmedRaw!$B:$B,$B13,ConfirmedRaw!AK:AK)</f>
        <v>0</v>
      </c>
      <c r="AJ13">
        <f>SUMIF(ConfirmedRaw!$B:$B,$B13,ConfirmedRaw!AL:AL)</f>
        <v>0</v>
      </c>
      <c r="AK13">
        <f>SUMIF(ConfirmedRaw!$B:$B,$B13,ConfirmedRaw!AM:AM)</f>
        <v>0</v>
      </c>
      <c r="AL13">
        <f>SUMIF(ConfirmedRaw!$B:$B,$B13,ConfirmedRaw!AN:AN)</f>
        <v>0</v>
      </c>
      <c r="AM13">
        <f>SUMIF(ConfirmedRaw!$B:$B,$B13,ConfirmedRaw!AO:AO)</f>
        <v>1</v>
      </c>
      <c r="AN13">
        <f>SUMIF(ConfirmedRaw!$B:$B,$B13,ConfirmedRaw!AP:AP)</f>
        <v>1</v>
      </c>
      <c r="AO13">
        <f>SUMIF(ConfirmedRaw!$B:$B,$B13,ConfirmedRaw!AQ:AQ)</f>
        <v>3</v>
      </c>
      <c r="AP13">
        <f>SUMIF(ConfirmedRaw!$B:$B,$B13,ConfirmedRaw!AR:AR)</f>
        <v>4</v>
      </c>
      <c r="AQ13">
        <f>SUMIF(ConfirmedRaw!$B:$B,$B13,ConfirmedRaw!AS:AS)</f>
        <v>4</v>
      </c>
      <c r="AR13">
        <f>SUMIF(ConfirmedRaw!$B:$B,$B13,ConfirmedRaw!AT:AT)</f>
        <v>6</v>
      </c>
      <c r="AS13">
        <f>SUMIF(ConfirmedRaw!$B:$B,$B13,ConfirmedRaw!AU:AU)</f>
        <v>11</v>
      </c>
      <c r="AT13">
        <f>SUMIF(ConfirmedRaw!$B:$B,$B13,ConfirmedRaw!AV:AV)</f>
        <v>11</v>
      </c>
      <c r="AU13">
        <f>SUMIF(ConfirmedRaw!$B:$B,$B13,ConfirmedRaw!AW:AW)</f>
        <v>24</v>
      </c>
      <c r="AV13">
        <f>SUMIF(ConfirmedRaw!$B:$B,$B13,ConfirmedRaw!AX:AX)</f>
        <v>24</v>
      </c>
      <c r="AW13">
        <f>SUMIF(ConfirmedRaw!$B:$B,$B13,ConfirmedRaw!AY:AY)</f>
        <v>37</v>
      </c>
      <c r="AX13">
        <f>SUMIF(ConfirmedRaw!$B:$B,$B13,ConfirmedRaw!AZ:AZ)</f>
        <v>92</v>
      </c>
      <c r="AY13">
        <f>SUMIF(ConfirmedRaw!$B:$B,$B13,ConfirmedRaw!BA:BA)</f>
        <v>264</v>
      </c>
      <c r="AZ13">
        <f>SUMIF(ConfirmedRaw!$B:$B,$B13,ConfirmedRaw!BB:BB)</f>
        <v>444</v>
      </c>
      <c r="BA13">
        <f>SUMIF(ConfirmedRaw!$B:$B,$B13,ConfirmedRaw!BC:BC)</f>
        <v>617</v>
      </c>
      <c r="BB13">
        <f>SUMIF(ConfirmedRaw!$B:$B,$B13,ConfirmedRaw!BD:BD)</f>
        <v>804</v>
      </c>
      <c r="BC13">
        <f>SUMIF(ConfirmedRaw!$B:$B,$B13,ConfirmedRaw!BE:BE)</f>
        <v>836</v>
      </c>
      <c r="BD13">
        <f>SUMIF(ConfirmedRaw!$B:$B,$B13,ConfirmedRaw!BF:BF)</f>
        <v>875</v>
      </c>
      <c r="BE13">
        <f>SUMIF(ConfirmedRaw!$B:$B,$B13,ConfirmedRaw!BG:BG)</f>
        <v>933</v>
      </c>
      <c r="BF13">
        <f>SUMIF(ConfirmedRaw!$B:$B,$B13,ConfirmedRaw!BH:BH)</f>
        <v>1025</v>
      </c>
      <c r="BG13">
        <f>SUMIF(ConfirmedRaw!$B:$B,$B13,ConfirmedRaw!BI:BI)</f>
        <v>1116</v>
      </c>
      <c r="BH13">
        <f>SUMIF(ConfirmedRaw!$B:$B,$B13,ConfirmedRaw!BJ:BJ)</f>
        <v>1225</v>
      </c>
      <c r="BI13">
        <f>SUMIF(ConfirmedRaw!$B:$B,$B13,ConfirmedRaw!BK:BK)</f>
        <v>1337</v>
      </c>
      <c r="BJ13">
        <f>SUMIF(ConfirmedRaw!$B:$B,$B13,ConfirmedRaw!BL:BL)</f>
        <v>1420</v>
      </c>
      <c r="BK13">
        <f>SUMIF(ConfirmedRaw!$B:$B,$B13,ConfirmedRaw!BM:BM)</f>
        <v>1514</v>
      </c>
      <c r="BL13">
        <f>SUMIF(ConfirmedRaw!$B:$B,$B13,ConfirmedRaw!BN:BN)</f>
        <v>1572</v>
      </c>
      <c r="BM13">
        <f>SUMIF(ConfirmedRaw!$B:$B,$B13,ConfirmedRaw!BO:BO)</f>
        <v>1718</v>
      </c>
      <c r="BN13">
        <f>SUMIF(ConfirmedRaw!$B:$B,$B13,ConfirmedRaw!BP:BP)</f>
        <v>1862</v>
      </c>
      <c r="BO13">
        <f>SUMIF(ConfirmedRaw!$B:$B,$B13,ConfirmedRaw!BQ:BQ)</f>
        <v>2023</v>
      </c>
      <c r="BP13">
        <f>SUMIF(ConfirmedRaw!$B:$B,$B13,ConfirmedRaw!BR:BR)</f>
        <v>2200</v>
      </c>
      <c r="BQ13">
        <f>SUMIF(ConfirmedRaw!$B:$B,$B13,ConfirmedRaw!BS:BS)</f>
        <v>2366</v>
      </c>
      <c r="BR13">
        <f>SUMIF(ConfirmedRaw!$B:$B,$B13,ConfirmedRaw!BT:BT)</f>
        <v>0</v>
      </c>
      <c r="BS13">
        <f>SUMIF(ConfirmedRaw!$B:$B,$B13,ConfirmedRaw!BU:BU)</f>
        <v>0</v>
      </c>
      <c r="BT13">
        <f>SUMIF(ConfirmedRaw!$B:$B,$B13,ConfirmedRaw!BV:BV)</f>
        <v>0</v>
      </c>
      <c r="BU13">
        <f>SUMIF(ConfirmedRaw!$B:$B,$B13,ConfirmedRaw!BW:BW)</f>
        <v>0</v>
      </c>
    </row>
    <row r="14" spans="1:73" ht="15" thickBot="1" x14ac:dyDescent="0.35">
      <c r="A14" s="97" t="str">
        <f>VLOOKUP(B14,Country_Data!B:Q,16,FALSE)</f>
        <v>Europe</v>
      </c>
      <c r="B14" s="3" t="s">
        <v>89</v>
      </c>
      <c r="C14">
        <f>SUMIF(ConfirmedRaw!$B:$B,$B14,ConfirmedRaw!E:E)</f>
        <v>0</v>
      </c>
      <c r="D14">
        <f>SUMIF(ConfirmedRaw!$B:$B,$B14,ConfirmedRaw!F:F)</f>
        <v>0</v>
      </c>
      <c r="E14">
        <f>SUMIF(ConfirmedRaw!$B:$B,$B14,ConfirmedRaw!G:G)</f>
        <v>0</v>
      </c>
      <c r="F14">
        <f>SUMIF(ConfirmedRaw!$B:$B,$B14,ConfirmedRaw!H:H)</f>
        <v>0</v>
      </c>
      <c r="G14">
        <f>SUMIF(ConfirmedRaw!$B:$B,$B14,ConfirmedRaw!I:I)</f>
        <v>0</v>
      </c>
      <c r="H14">
        <f>SUMIF(ConfirmedRaw!$B:$B,$B14,ConfirmedRaw!J:J)</f>
        <v>0</v>
      </c>
      <c r="I14">
        <f>SUMIF(ConfirmedRaw!$B:$B,$B14,ConfirmedRaw!K:K)</f>
        <v>0</v>
      </c>
      <c r="J14">
        <f>SUMIF(ConfirmedRaw!$B:$B,$B14,ConfirmedRaw!L:L)</f>
        <v>0</v>
      </c>
      <c r="K14">
        <f>SUMIF(ConfirmedRaw!$B:$B,$B14,ConfirmedRaw!M:M)</f>
        <v>0</v>
      </c>
      <c r="L14">
        <f>SUMIF(ConfirmedRaw!$B:$B,$B14,ConfirmedRaw!N:N)</f>
        <v>0</v>
      </c>
      <c r="M14">
        <f>SUMIF(ConfirmedRaw!$B:$B,$B14,ConfirmedRaw!O:O)</f>
        <v>0</v>
      </c>
      <c r="N14">
        <f>SUMIF(ConfirmedRaw!$B:$B,$B14,ConfirmedRaw!P:P)</f>
        <v>0</v>
      </c>
      <c r="O14">
        <f>SUMIF(ConfirmedRaw!$B:$B,$B14,ConfirmedRaw!Q:Q)</f>
        <v>0</v>
      </c>
      <c r="P14">
        <f>SUMIF(ConfirmedRaw!$B:$B,$B14,ConfirmedRaw!R:R)</f>
        <v>0</v>
      </c>
      <c r="Q14">
        <f>SUMIF(ConfirmedRaw!$B:$B,$B14,ConfirmedRaw!S:S)</f>
        <v>0</v>
      </c>
      <c r="R14">
        <f>SUMIF(ConfirmedRaw!$B:$B,$B14,ConfirmedRaw!T:T)</f>
        <v>0</v>
      </c>
      <c r="S14">
        <f>SUMIF(ConfirmedRaw!$B:$B,$B14,ConfirmedRaw!U:U)</f>
        <v>0</v>
      </c>
      <c r="T14">
        <f>SUMIF(ConfirmedRaw!$B:$B,$B14,ConfirmedRaw!V:V)</f>
        <v>0</v>
      </c>
      <c r="U14">
        <f>SUMIF(ConfirmedRaw!$B:$B,$B14,ConfirmedRaw!W:W)</f>
        <v>0</v>
      </c>
      <c r="V14">
        <f>SUMIF(ConfirmedRaw!$B:$B,$B14,ConfirmedRaw!X:X)</f>
        <v>0</v>
      </c>
      <c r="W14">
        <f>SUMIF(ConfirmedRaw!$B:$B,$B14,ConfirmedRaw!Y:Y)</f>
        <v>0</v>
      </c>
      <c r="X14">
        <f>SUMIF(ConfirmedRaw!$B:$B,$B14,ConfirmedRaw!Z:Z)</f>
        <v>0</v>
      </c>
      <c r="Y14">
        <f>SUMIF(ConfirmedRaw!$B:$B,$B14,ConfirmedRaw!AA:AA)</f>
        <v>0</v>
      </c>
      <c r="Z14">
        <f>SUMIF(ConfirmedRaw!$B:$B,$B14,ConfirmedRaw!AB:AB)</f>
        <v>0</v>
      </c>
      <c r="AA14">
        <f>SUMIF(ConfirmedRaw!$B:$B,$B14,ConfirmedRaw!AC:AC)</f>
        <v>0</v>
      </c>
      <c r="AB14">
        <f>SUMIF(ConfirmedRaw!$B:$B,$B14,ConfirmedRaw!AD:AD)</f>
        <v>0</v>
      </c>
      <c r="AC14">
        <f>SUMIF(ConfirmedRaw!$B:$B,$B14,ConfirmedRaw!AE:AE)</f>
        <v>0</v>
      </c>
      <c r="AD14">
        <f>SUMIF(ConfirmedRaw!$B:$B,$B14,ConfirmedRaw!AF:AF)</f>
        <v>0</v>
      </c>
      <c r="AE14">
        <f>SUMIF(ConfirmedRaw!$B:$B,$B14,ConfirmedRaw!AG:AG)</f>
        <v>0</v>
      </c>
      <c r="AF14">
        <f>SUMIF(ConfirmedRaw!$B:$B,$B14,ConfirmedRaw!AH:AH)</f>
        <v>0</v>
      </c>
      <c r="AG14">
        <f>SUMIF(ConfirmedRaw!$B:$B,$B14,ConfirmedRaw!AI:AI)</f>
        <v>0</v>
      </c>
      <c r="AH14">
        <f>SUMIF(ConfirmedRaw!$B:$B,$B14,ConfirmedRaw!AJ:AJ)</f>
        <v>0</v>
      </c>
      <c r="AI14">
        <f>SUMIF(ConfirmedRaw!$B:$B,$B14,ConfirmedRaw!AK:AK)</f>
        <v>0</v>
      </c>
      <c r="AJ14">
        <f>SUMIF(ConfirmedRaw!$B:$B,$B14,ConfirmedRaw!AL:AL)</f>
        <v>0</v>
      </c>
      <c r="AK14">
        <f>SUMIF(ConfirmedRaw!$B:$B,$B14,ConfirmedRaw!AM:AM)</f>
        <v>0</v>
      </c>
      <c r="AL14">
        <f>SUMIF(ConfirmedRaw!$B:$B,$B14,ConfirmedRaw!AN:AN)</f>
        <v>0</v>
      </c>
      <c r="AM14">
        <f>SUMIF(ConfirmedRaw!$B:$B,$B14,ConfirmedRaw!AO:AO)</f>
        <v>1</v>
      </c>
      <c r="AN14">
        <f>SUMIF(ConfirmedRaw!$B:$B,$B14,ConfirmedRaw!AP:AP)</f>
        <v>1</v>
      </c>
      <c r="AO14">
        <f>SUMIF(ConfirmedRaw!$B:$B,$B14,ConfirmedRaw!AQ:AQ)</f>
        <v>6</v>
      </c>
      <c r="AP14">
        <f>SUMIF(ConfirmedRaw!$B:$B,$B14,ConfirmedRaw!AR:AR)</f>
        <v>10</v>
      </c>
      <c r="AQ14">
        <f>SUMIF(ConfirmedRaw!$B:$B,$B14,ConfirmedRaw!AS:AS)</f>
        <v>18</v>
      </c>
      <c r="AR14">
        <f>SUMIF(ConfirmedRaw!$B:$B,$B14,ConfirmedRaw!AT:AT)</f>
        <v>24</v>
      </c>
      <c r="AS14">
        <f>SUMIF(ConfirmedRaw!$B:$B,$B14,ConfirmedRaw!AU:AU)</f>
        <v>38</v>
      </c>
      <c r="AT14">
        <f>SUMIF(ConfirmedRaw!$B:$B,$B14,ConfirmedRaw!AV:AV)</f>
        <v>82</v>
      </c>
      <c r="AU14">
        <f>SUMIF(ConfirmedRaw!$B:$B,$B14,ConfirmedRaw!AW:AW)</f>
        <v>128</v>
      </c>
      <c r="AV14">
        <f>SUMIF(ConfirmedRaw!$B:$B,$B14,ConfirmedRaw!AX:AX)</f>
        <v>188</v>
      </c>
      <c r="AW14">
        <f>SUMIF(ConfirmedRaw!$B:$B,$B14,ConfirmedRaw!AY:AY)</f>
        <v>265</v>
      </c>
      <c r="AX14">
        <f>SUMIF(ConfirmedRaw!$B:$B,$B14,ConfirmedRaw!AZ:AZ)</f>
        <v>321</v>
      </c>
      <c r="AY14">
        <f>SUMIF(ConfirmedRaw!$B:$B,$B14,ConfirmedRaw!BA:BA)</f>
        <v>382</v>
      </c>
      <c r="AZ14">
        <f>SUMIF(ConfirmedRaw!$B:$B,$B14,ConfirmedRaw!BB:BB)</f>
        <v>503</v>
      </c>
      <c r="BA14">
        <f>SUMIF(ConfirmedRaw!$B:$B,$B14,ConfirmedRaw!BC:BC)</f>
        <v>503</v>
      </c>
      <c r="BB14">
        <f>SUMIF(ConfirmedRaw!$B:$B,$B14,ConfirmedRaw!BD:BD)</f>
        <v>806</v>
      </c>
      <c r="BC14">
        <f>SUMIF(ConfirmedRaw!$B:$B,$B14,ConfirmedRaw!BE:BE)</f>
        <v>962</v>
      </c>
      <c r="BD14">
        <f>SUMIF(ConfirmedRaw!$B:$B,$B14,ConfirmedRaw!BF:BF)</f>
        <v>1138</v>
      </c>
      <c r="BE14">
        <f>SUMIF(ConfirmedRaw!$B:$B,$B14,ConfirmedRaw!BG:BG)</f>
        <v>1416</v>
      </c>
      <c r="BF14">
        <f>SUMIF(ConfirmedRaw!$B:$B,$B14,ConfirmedRaw!BH:BH)</f>
        <v>1711</v>
      </c>
      <c r="BG14">
        <f>SUMIF(ConfirmedRaw!$B:$B,$B14,ConfirmedRaw!BI:BI)</f>
        <v>2058</v>
      </c>
      <c r="BH14">
        <f>SUMIF(ConfirmedRaw!$B:$B,$B14,ConfirmedRaw!BJ:BJ)</f>
        <v>2467</v>
      </c>
      <c r="BI14">
        <f>SUMIF(ConfirmedRaw!$B:$B,$B14,ConfirmedRaw!BK:BK)</f>
        <v>3003</v>
      </c>
      <c r="BJ14">
        <f>SUMIF(ConfirmedRaw!$B:$B,$B14,ConfirmedRaw!BL:BL)</f>
        <v>3640</v>
      </c>
      <c r="BK14">
        <f>SUMIF(ConfirmedRaw!$B:$B,$B14,ConfirmedRaw!BM:BM)</f>
        <v>4217</v>
      </c>
      <c r="BL14">
        <f>SUMIF(ConfirmedRaw!$B:$B,$B14,ConfirmedRaw!BN:BN)</f>
        <v>4764</v>
      </c>
      <c r="BM14">
        <f>SUMIF(ConfirmedRaw!$B:$B,$B14,ConfirmedRaw!BO:BO)</f>
        <v>5580</v>
      </c>
      <c r="BN14">
        <f>SUMIF(ConfirmedRaw!$B:$B,$B14,ConfirmedRaw!BP:BP)</f>
        <v>6438</v>
      </c>
      <c r="BO14">
        <f>SUMIF(ConfirmedRaw!$B:$B,$B14,ConfirmedRaw!BQ:BQ)</f>
        <v>7468</v>
      </c>
      <c r="BP14">
        <f>SUMIF(ConfirmedRaw!$B:$B,$B14,ConfirmedRaw!BR:BR)</f>
        <v>8647</v>
      </c>
      <c r="BQ14">
        <f>SUMIF(ConfirmedRaw!$B:$B,$B14,ConfirmedRaw!BS:BS)</f>
        <v>9819</v>
      </c>
      <c r="BR14">
        <f>SUMIF(ConfirmedRaw!$B:$B,$B14,ConfirmedRaw!BT:BT)</f>
        <v>0</v>
      </c>
      <c r="BS14">
        <f>SUMIF(ConfirmedRaw!$B:$B,$B14,ConfirmedRaw!BU:BU)</f>
        <v>0</v>
      </c>
      <c r="BT14">
        <f>SUMIF(ConfirmedRaw!$B:$B,$B14,ConfirmedRaw!BV:BV)</f>
        <v>0</v>
      </c>
      <c r="BU14">
        <f>SUMIF(ConfirmedRaw!$B:$B,$B14,ConfirmedRaw!BW:BW)</f>
        <v>0</v>
      </c>
    </row>
    <row r="15" spans="1:73" ht="15" thickBot="1" x14ac:dyDescent="0.35">
      <c r="A15" s="97" t="str">
        <f>VLOOKUP(B15,Country_Data!B:Q,16,FALSE)</f>
        <v>Europe</v>
      </c>
      <c r="B15" s="3" t="s">
        <v>349</v>
      </c>
      <c r="C15">
        <f>SUMIF(ConfirmedRaw!$B:$B,$B15,ConfirmedRaw!E:E)</f>
        <v>0</v>
      </c>
      <c r="D15">
        <f>SUMIF(ConfirmedRaw!$B:$B,$B15,ConfirmedRaw!F:F)</f>
        <v>0</v>
      </c>
      <c r="E15">
        <f>SUMIF(ConfirmedRaw!$B:$B,$B15,ConfirmedRaw!G:G)</f>
        <v>0</v>
      </c>
      <c r="F15">
        <f>SUMIF(ConfirmedRaw!$B:$B,$B15,ConfirmedRaw!H:H)</f>
        <v>0</v>
      </c>
      <c r="G15">
        <f>SUMIF(ConfirmedRaw!$B:$B,$B15,ConfirmedRaw!I:I)</f>
        <v>0</v>
      </c>
      <c r="H15">
        <f>SUMIF(ConfirmedRaw!$B:$B,$B15,ConfirmedRaw!J:J)</f>
        <v>0</v>
      </c>
      <c r="I15">
        <f>SUMIF(ConfirmedRaw!$B:$B,$B15,ConfirmedRaw!K:K)</f>
        <v>0</v>
      </c>
      <c r="J15">
        <f>SUMIF(ConfirmedRaw!$B:$B,$B15,ConfirmedRaw!L:L)</f>
        <v>0</v>
      </c>
      <c r="K15">
        <f>SUMIF(ConfirmedRaw!$B:$B,$B15,ConfirmedRaw!M:M)</f>
        <v>0</v>
      </c>
      <c r="L15">
        <f>SUMIF(ConfirmedRaw!$B:$B,$B15,ConfirmedRaw!N:N)</f>
        <v>2</v>
      </c>
      <c r="M15">
        <f>SUMIF(ConfirmedRaw!$B:$B,$B15,ConfirmedRaw!O:O)</f>
        <v>2</v>
      </c>
      <c r="N15">
        <f>SUMIF(ConfirmedRaw!$B:$B,$B15,ConfirmedRaw!P:P)</f>
        <v>2</v>
      </c>
      <c r="O15">
        <f>SUMIF(ConfirmedRaw!$B:$B,$B15,ConfirmedRaw!Q:Q)</f>
        <v>2</v>
      </c>
      <c r="P15">
        <f>SUMIF(ConfirmedRaw!$B:$B,$B15,ConfirmedRaw!R:R)</f>
        <v>2</v>
      </c>
      <c r="Q15">
        <f>SUMIF(ConfirmedRaw!$B:$B,$B15,ConfirmedRaw!S:S)</f>
        <v>2</v>
      </c>
      <c r="R15">
        <f>SUMIF(ConfirmedRaw!$B:$B,$B15,ConfirmedRaw!T:T)</f>
        <v>2</v>
      </c>
      <c r="S15">
        <f>SUMIF(ConfirmedRaw!$B:$B,$B15,ConfirmedRaw!U:U)</f>
        <v>3</v>
      </c>
      <c r="T15">
        <f>SUMIF(ConfirmedRaw!$B:$B,$B15,ConfirmedRaw!V:V)</f>
        <v>3</v>
      </c>
      <c r="U15">
        <f>SUMIF(ConfirmedRaw!$B:$B,$B15,ConfirmedRaw!W:W)</f>
        <v>3</v>
      </c>
      <c r="V15">
        <f>SUMIF(ConfirmedRaw!$B:$B,$B15,ConfirmedRaw!X:X)</f>
        <v>8</v>
      </c>
      <c r="W15">
        <f>SUMIF(ConfirmedRaw!$B:$B,$B15,ConfirmedRaw!Y:Y)</f>
        <v>8</v>
      </c>
      <c r="X15">
        <f>SUMIF(ConfirmedRaw!$B:$B,$B15,ConfirmedRaw!Z:Z)</f>
        <v>9</v>
      </c>
      <c r="Y15">
        <f>SUMIF(ConfirmedRaw!$B:$B,$B15,ConfirmedRaw!AA:AA)</f>
        <v>9</v>
      </c>
      <c r="Z15">
        <f>SUMIF(ConfirmedRaw!$B:$B,$B15,ConfirmedRaw!AB:AB)</f>
        <v>9</v>
      </c>
      <c r="AA15">
        <f>SUMIF(ConfirmedRaw!$B:$B,$B15,ConfirmedRaw!AC:AC)</f>
        <v>9</v>
      </c>
      <c r="AB15">
        <f>SUMIF(ConfirmedRaw!$B:$B,$B15,ConfirmedRaw!AD:AD)</f>
        <v>9</v>
      </c>
      <c r="AC15">
        <f>SUMIF(ConfirmedRaw!$B:$B,$B15,ConfirmedRaw!AE:AE)</f>
        <v>9</v>
      </c>
      <c r="AD15">
        <f>SUMIF(ConfirmedRaw!$B:$B,$B15,ConfirmedRaw!AF:AF)</f>
        <v>9</v>
      </c>
      <c r="AE15">
        <f>SUMIF(ConfirmedRaw!$B:$B,$B15,ConfirmedRaw!AG:AG)</f>
        <v>9</v>
      </c>
      <c r="AF15">
        <f>SUMIF(ConfirmedRaw!$B:$B,$B15,ConfirmedRaw!AH:AH)</f>
        <v>9</v>
      </c>
      <c r="AG15">
        <f>SUMIF(ConfirmedRaw!$B:$B,$B15,ConfirmedRaw!AI:AI)</f>
        <v>9</v>
      </c>
      <c r="AH15">
        <f>SUMIF(ConfirmedRaw!$B:$B,$B15,ConfirmedRaw!AJ:AJ)</f>
        <v>9</v>
      </c>
      <c r="AI15">
        <f>SUMIF(ConfirmedRaw!$B:$B,$B15,ConfirmedRaw!AK:AK)</f>
        <v>9</v>
      </c>
      <c r="AJ15">
        <f>SUMIF(ConfirmedRaw!$B:$B,$B15,ConfirmedRaw!AL:AL)</f>
        <v>13</v>
      </c>
      <c r="AK15">
        <f>SUMIF(ConfirmedRaw!$B:$B,$B15,ConfirmedRaw!AM:AM)</f>
        <v>13</v>
      </c>
      <c r="AL15">
        <f>SUMIF(ConfirmedRaw!$B:$B,$B15,ConfirmedRaw!AN:AN)</f>
        <v>13</v>
      </c>
      <c r="AM15">
        <f>SUMIF(ConfirmedRaw!$B:$B,$B15,ConfirmedRaw!AO:AO)</f>
        <v>15</v>
      </c>
      <c r="AN15">
        <f>SUMIF(ConfirmedRaw!$B:$B,$B15,ConfirmedRaw!AP:AP)</f>
        <v>20</v>
      </c>
      <c r="AO15">
        <f>SUMIF(ConfirmedRaw!$B:$B,$B15,ConfirmedRaw!AQ:AQ)</f>
        <v>23</v>
      </c>
      <c r="AP15">
        <f>SUMIF(ConfirmedRaw!$B:$B,$B15,ConfirmedRaw!AR:AR)</f>
        <v>36</v>
      </c>
      <c r="AQ15">
        <f>SUMIF(ConfirmedRaw!$B:$B,$B15,ConfirmedRaw!AS:AS)</f>
        <v>40</v>
      </c>
      <c r="AR15">
        <f>SUMIF(ConfirmedRaw!$B:$B,$B15,ConfirmedRaw!AT:AT)</f>
        <v>51</v>
      </c>
      <c r="AS15">
        <f>SUMIF(ConfirmedRaw!$B:$B,$B15,ConfirmedRaw!AU:AU)</f>
        <v>86</v>
      </c>
      <c r="AT15">
        <f>SUMIF(ConfirmedRaw!$B:$B,$B15,ConfirmedRaw!AV:AV)</f>
        <v>116</v>
      </c>
      <c r="AU15">
        <f>SUMIF(ConfirmedRaw!$B:$B,$B15,ConfirmedRaw!AW:AW)</f>
        <v>164</v>
      </c>
      <c r="AV15">
        <f>SUMIF(ConfirmedRaw!$B:$B,$B15,ConfirmedRaw!AX:AX)</f>
        <v>207</v>
      </c>
      <c r="AW15">
        <f>SUMIF(ConfirmedRaw!$B:$B,$B15,ConfirmedRaw!AY:AY)</f>
        <v>274</v>
      </c>
      <c r="AX15">
        <f>SUMIF(ConfirmedRaw!$B:$B,$B15,ConfirmedRaw!AZ:AZ)</f>
        <v>322</v>
      </c>
      <c r="AY15">
        <f>SUMIF(ConfirmedRaw!$B:$B,$B15,ConfirmedRaw!BA:BA)</f>
        <v>384</v>
      </c>
      <c r="AZ15">
        <f>SUMIF(ConfirmedRaw!$B:$B,$B15,ConfirmedRaw!BB:BB)</f>
        <v>459</v>
      </c>
      <c r="BA15">
        <v>590</v>
      </c>
      <c r="BB15">
        <f>SUMIF(ConfirmedRaw!$B:$B,$B15,ConfirmedRaw!BD:BD)</f>
        <v>802</v>
      </c>
      <c r="BC15">
        <f>SUMIF(ConfirmedRaw!$B:$B,$B15,ConfirmedRaw!BE:BE)</f>
        <v>1144</v>
      </c>
      <c r="BD15">
        <v>1355</v>
      </c>
      <c r="BE15">
        <f>SUMIF(ConfirmedRaw!$B:$B,$B15,ConfirmedRaw!BG:BG)</f>
        <v>1551</v>
      </c>
      <c r="BF15">
        <f>SUMIF(ConfirmedRaw!$B:$B,$B15,ConfirmedRaw!BH:BH)</f>
        <v>1960</v>
      </c>
      <c r="BG15">
        <f>SUMIF(ConfirmedRaw!$B:$B,$B15,ConfirmedRaw!BI:BI)</f>
        <v>2642</v>
      </c>
      <c r="BH15">
        <f>SUMIF(ConfirmedRaw!$B:$B,$B15,ConfirmedRaw!BJ:BJ)</f>
        <v>2716</v>
      </c>
      <c r="BI15">
        <f>SUMIF(ConfirmedRaw!$B:$B,$B15,ConfirmedRaw!BK:BK)</f>
        <v>4014</v>
      </c>
      <c r="BJ15">
        <f>SUMIF(ConfirmedRaw!$B:$B,$B15,ConfirmedRaw!BL:BL)</f>
        <v>5067</v>
      </c>
      <c r="BK15">
        <f>SUMIF(ConfirmedRaw!$B:$B,$B15,ConfirmedRaw!BM:BM)</f>
        <v>5745</v>
      </c>
      <c r="BL15">
        <f>SUMIF(ConfirmedRaw!$B:$B,$B15,ConfirmedRaw!BN:BN)</f>
        <v>6726</v>
      </c>
      <c r="BM15">
        <f>SUMIF(ConfirmedRaw!$B:$B,$B15,ConfirmedRaw!BO:BO)</f>
        <v>8164</v>
      </c>
      <c r="BN15">
        <f>SUMIF(ConfirmedRaw!$B:$B,$B15,ConfirmedRaw!BP:BP)</f>
        <v>9640</v>
      </c>
      <c r="BO15">
        <f>SUMIF(ConfirmedRaw!$B:$B,$B15,ConfirmedRaw!BQ:BQ)</f>
        <v>11812</v>
      </c>
      <c r="BP15">
        <f>SUMIF(ConfirmedRaw!$B:$B,$B15,ConfirmedRaw!BR:BR)</f>
        <v>14745</v>
      </c>
      <c r="BQ15">
        <f>SUMIF(ConfirmedRaw!$B:$B,$B15,ConfirmedRaw!BS:BS)</f>
        <v>17312</v>
      </c>
      <c r="BR15">
        <f>SUMIF(ConfirmedRaw!$B:$B,$B15,ConfirmedRaw!BT:BT)</f>
        <v>0</v>
      </c>
      <c r="BS15">
        <f>SUMIF(ConfirmedRaw!$B:$B,$B15,ConfirmedRaw!BU:BU)</f>
        <v>0</v>
      </c>
      <c r="BT15">
        <f>SUMIF(ConfirmedRaw!$B:$B,$B15,ConfirmedRaw!BV:BV)</f>
        <v>0</v>
      </c>
      <c r="BU15">
        <f>SUMIF(ConfirmedRaw!$B:$B,$B15,ConfirmedRaw!BW:BW)</f>
        <v>0</v>
      </c>
    </row>
    <row r="16" spans="1:73" ht="15" thickBot="1" x14ac:dyDescent="0.35">
      <c r="A16" s="97" t="str">
        <f>VLOOKUP(B16,Country_Data!B:Q,16,FALSE)</f>
        <v>Asia</v>
      </c>
      <c r="B16" s="4" t="s">
        <v>36</v>
      </c>
      <c r="C16">
        <f>SUMIF(ConfirmedRaw!$B:$B,$B16,ConfirmedRaw!E:E)</f>
        <v>2</v>
      </c>
      <c r="D16">
        <f>SUMIF(ConfirmedRaw!$B:$B,$B16,ConfirmedRaw!F:F)</f>
        <v>2</v>
      </c>
      <c r="E16">
        <f>SUMIF(ConfirmedRaw!$B:$B,$B16,ConfirmedRaw!G:G)</f>
        <v>2</v>
      </c>
      <c r="F16">
        <f>SUMIF(ConfirmedRaw!$B:$B,$B16,ConfirmedRaw!H:H)</f>
        <v>2</v>
      </c>
      <c r="G16">
        <f>SUMIF(ConfirmedRaw!$B:$B,$B16,ConfirmedRaw!I:I)</f>
        <v>4</v>
      </c>
      <c r="H16">
        <f>SUMIF(ConfirmedRaw!$B:$B,$B16,ConfirmedRaw!J:J)</f>
        <v>4</v>
      </c>
      <c r="I16">
        <f>SUMIF(ConfirmedRaw!$B:$B,$B16,ConfirmedRaw!K:K)</f>
        <v>7</v>
      </c>
      <c r="J16">
        <f>SUMIF(ConfirmedRaw!$B:$B,$B16,ConfirmedRaw!L:L)</f>
        <v>7</v>
      </c>
      <c r="K16">
        <f>SUMIF(ConfirmedRaw!$B:$B,$B16,ConfirmedRaw!M:M)</f>
        <v>11</v>
      </c>
      <c r="L16">
        <f>SUMIF(ConfirmedRaw!$B:$B,$B16,ConfirmedRaw!N:N)</f>
        <v>15</v>
      </c>
      <c r="M16">
        <f>SUMIF(ConfirmedRaw!$B:$B,$B16,ConfirmedRaw!O:O)</f>
        <v>20</v>
      </c>
      <c r="N16">
        <f>SUMIF(ConfirmedRaw!$B:$B,$B16,ConfirmedRaw!P:P)</f>
        <v>20</v>
      </c>
      <c r="O16">
        <f>SUMIF(ConfirmedRaw!$B:$B,$B16,ConfirmedRaw!Q:Q)</f>
        <v>20</v>
      </c>
      <c r="P16">
        <f>SUMIF(ConfirmedRaw!$B:$B,$B16,ConfirmedRaw!R:R)</f>
        <v>22</v>
      </c>
      <c r="Q16">
        <f>SUMIF(ConfirmedRaw!$B:$B,$B16,ConfirmedRaw!S:S)</f>
        <v>22</v>
      </c>
      <c r="R16">
        <f>SUMIF(ConfirmedRaw!$B:$B,$B16,ConfirmedRaw!T:T)</f>
        <v>22</v>
      </c>
      <c r="S16">
        <f>SUMIF(ConfirmedRaw!$B:$B,$B16,ConfirmedRaw!U:U)</f>
        <v>25</v>
      </c>
      <c r="T16">
        <f>SUMIF(ConfirmedRaw!$B:$B,$B16,ConfirmedRaw!V:V)</f>
        <v>25</v>
      </c>
      <c r="U16">
        <f>SUMIF(ConfirmedRaw!$B:$B,$B16,ConfirmedRaw!W:W)</f>
        <v>26</v>
      </c>
      <c r="V16">
        <f>SUMIF(ConfirmedRaw!$B:$B,$B16,ConfirmedRaw!X:X)</f>
        <v>26</v>
      </c>
      <c r="W16">
        <f>SUMIF(ConfirmedRaw!$B:$B,$B16,ConfirmedRaw!Y:Y)</f>
        <v>26</v>
      </c>
      <c r="X16">
        <f>SUMIF(ConfirmedRaw!$B:$B,$B16,ConfirmedRaw!Z:Z)</f>
        <v>28</v>
      </c>
      <c r="Y16">
        <f>SUMIF(ConfirmedRaw!$B:$B,$B16,ConfirmedRaw!AA:AA)</f>
        <v>28</v>
      </c>
      <c r="Z16">
        <f>SUMIF(ConfirmedRaw!$B:$B,$B16,ConfirmedRaw!AB:AB)</f>
        <v>29</v>
      </c>
      <c r="AA16">
        <f>SUMIF(ConfirmedRaw!$B:$B,$B16,ConfirmedRaw!AC:AC)</f>
        <v>43</v>
      </c>
      <c r="AB16">
        <f>SUMIF(ConfirmedRaw!$B:$B,$B16,ConfirmedRaw!AD:AD)</f>
        <v>59</v>
      </c>
      <c r="AC16">
        <f>SUMIF(ConfirmedRaw!$B:$B,$B16,ConfirmedRaw!AE:AE)</f>
        <v>66</v>
      </c>
      <c r="AD16">
        <f>SUMIF(ConfirmedRaw!$B:$B,$B16,ConfirmedRaw!AF:AF)</f>
        <v>74</v>
      </c>
      <c r="AE16">
        <f>SUMIF(ConfirmedRaw!$B:$B,$B16,ConfirmedRaw!AG:AG)</f>
        <v>84</v>
      </c>
      <c r="AF16">
        <f>SUMIF(ConfirmedRaw!$B:$B,$B16,ConfirmedRaw!AH:AH)</f>
        <v>94</v>
      </c>
      <c r="AG16">
        <f>SUMIF(ConfirmedRaw!$B:$B,$B16,ConfirmedRaw!AI:AI)</f>
        <v>105</v>
      </c>
      <c r="AH16">
        <f>SUMIF(ConfirmedRaw!$B:$B,$B16,ConfirmedRaw!AJ:AJ)</f>
        <v>122</v>
      </c>
      <c r="AI16">
        <f>SUMIF(ConfirmedRaw!$B:$B,$B16,ConfirmedRaw!AK:AK)</f>
        <v>147</v>
      </c>
      <c r="AJ16">
        <f>SUMIF(ConfirmedRaw!$B:$B,$B16,ConfirmedRaw!AL:AL)</f>
        <v>159</v>
      </c>
      <c r="AK16">
        <f>SUMIF(ConfirmedRaw!$B:$B,$B16,ConfirmedRaw!AM:AM)</f>
        <v>170</v>
      </c>
      <c r="AL16">
        <f>SUMIF(ConfirmedRaw!$B:$B,$B16,ConfirmedRaw!AN:AN)</f>
        <v>189</v>
      </c>
      <c r="AM16">
        <f>SUMIF(ConfirmedRaw!$B:$B,$B16,ConfirmedRaw!AO:AO)</f>
        <v>214</v>
      </c>
      <c r="AN16">
        <f>SUMIF(ConfirmedRaw!$B:$B,$B16,ConfirmedRaw!AP:AP)</f>
        <v>228</v>
      </c>
      <c r="AO16">
        <f>SUMIF(ConfirmedRaw!$B:$B,$B16,ConfirmedRaw!AQ:AQ)</f>
        <v>241</v>
      </c>
      <c r="AP16">
        <f>SUMIF(ConfirmedRaw!$B:$B,$B16,ConfirmedRaw!AR:AR)</f>
        <v>256</v>
      </c>
      <c r="AQ16">
        <f>SUMIF(ConfirmedRaw!$B:$B,$B16,ConfirmedRaw!AS:AS)</f>
        <v>274</v>
      </c>
      <c r="AR16">
        <f>SUMIF(ConfirmedRaw!$B:$B,$B16,ConfirmedRaw!AT:AT)</f>
        <v>293</v>
      </c>
      <c r="AS16">
        <f>SUMIF(ConfirmedRaw!$B:$B,$B16,ConfirmedRaw!AU:AU)</f>
        <v>331</v>
      </c>
      <c r="AT16">
        <f>SUMIF(ConfirmedRaw!$B:$B,$B16,ConfirmedRaw!AV:AV)</f>
        <v>360</v>
      </c>
      <c r="AU16">
        <f>SUMIF(ConfirmedRaw!$B:$B,$B16,ConfirmedRaw!AW:AW)</f>
        <v>420</v>
      </c>
      <c r="AV16">
        <f>SUMIF(ConfirmedRaw!$B:$B,$B16,ConfirmedRaw!AX:AX)</f>
        <v>461</v>
      </c>
      <c r="AW16">
        <f>SUMIF(ConfirmedRaw!$B:$B,$B16,ConfirmedRaw!AY:AY)</f>
        <v>502</v>
      </c>
      <c r="AX16">
        <f>SUMIF(ConfirmedRaw!$B:$B,$B16,ConfirmedRaw!AZ:AZ)</f>
        <v>511</v>
      </c>
      <c r="AY16">
        <f>SUMIF(ConfirmedRaw!$B:$B,$B16,ConfirmedRaw!BA:BA)</f>
        <v>581</v>
      </c>
      <c r="AZ16">
        <f>SUMIF(ConfirmedRaw!$B:$B,$B16,ConfirmedRaw!BB:BB)</f>
        <v>639</v>
      </c>
      <c r="BA16">
        <f>SUMIF(ConfirmedRaw!$B:$B,$B16,ConfirmedRaw!BC:BC)</f>
        <v>639</v>
      </c>
      <c r="BB16">
        <f>SUMIF(ConfirmedRaw!$B:$B,$B16,ConfirmedRaw!BD:BD)</f>
        <v>701</v>
      </c>
      <c r="BC16">
        <f>SUMIF(ConfirmedRaw!$B:$B,$B16,ConfirmedRaw!BE:BE)</f>
        <v>773</v>
      </c>
      <c r="BD16">
        <f>SUMIF(ConfirmedRaw!$B:$B,$B16,ConfirmedRaw!BF:BF)</f>
        <v>839</v>
      </c>
      <c r="BE16">
        <f>SUMIF(ConfirmedRaw!$B:$B,$B16,ConfirmedRaw!BG:BG)</f>
        <v>839</v>
      </c>
      <c r="BF16">
        <f>SUMIF(ConfirmedRaw!$B:$B,$B16,ConfirmedRaw!BH:BH)</f>
        <v>878</v>
      </c>
      <c r="BG16">
        <f>SUMIF(ConfirmedRaw!$B:$B,$B16,ConfirmedRaw!BI:BI)</f>
        <v>889</v>
      </c>
      <c r="BH16">
        <f>SUMIF(ConfirmedRaw!$B:$B,$B16,ConfirmedRaw!BJ:BJ)</f>
        <v>924</v>
      </c>
      <c r="BI16">
        <f>SUMIF(ConfirmedRaw!$B:$B,$B16,ConfirmedRaw!BK:BK)</f>
        <v>963</v>
      </c>
      <c r="BJ16">
        <f>SUMIF(ConfirmedRaw!$B:$B,$B16,ConfirmedRaw!BL:BL)</f>
        <v>1007</v>
      </c>
      <c r="BK16">
        <f>SUMIF(ConfirmedRaw!$B:$B,$B16,ConfirmedRaw!BM:BM)</f>
        <v>1101</v>
      </c>
      <c r="BL16">
        <f>SUMIF(ConfirmedRaw!$B:$B,$B16,ConfirmedRaw!BN:BN)</f>
        <v>1128</v>
      </c>
      <c r="BM16">
        <f>SUMIF(ConfirmedRaw!$B:$B,$B16,ConfirmedRaw!BO:BO)</f>
        <v>1193</v>
      </c>
      <c r="BN16">
        <f>SUMIF(ConfirmedRaw!$B:$B,$B16,ConfirmedRaw!BP:BP)</f>
        <v>1307</v>
      </c>
      <c r="BO16">
        <f>SUMIF(ConfirmedRaw!$B:$B,$B16,ConfirmedRaw!BQ:BQ)</f>
        <v>1387</v>
      </c>
      <c r="BP16">
        <f>SUMIF(ConfirmedRaw!$B:$B,$B16,ConfirmedRaw!BR:BR)</f>
        <v>1468</v>
      </c>
      <c r="BQ16">
        <f>SUMIF(ConfirmedRaw!$B:$B,$B16,ConfirmedRaw!BS:BS)</f>
        <v>1693</v>
      </c>
      <c r="BR16">
        <f>SUMIF(ConfirmedRaw!$B:$B,$B16,ConfirmedRaw!BT:BT)</f>
        <v>0</v>
      </c>
      <c r="BS16">
        <f>SUMIF(ConfirmedRaw!$B:$B,$B16,ConfirmedRaw!BU:BU)</f>
        <v>0</v>
      </c>
      <c r="BT16">
        <f>SUMIF(ConfirmedRaw!$B:$B,$B16,ConfirmedRaw!BV:BV)</f>
        <v>0</v>
      </c>
      <c r="BU16">
        <f>SUMIF(ConfirmedRaw!$B:$B,$B16,ConfirmedRaw!BW:BW)</f>
        <v>0</v>
      </c>
    </row>
    <row r="17" spans="1:73" ht="15" thickBot="1" x14ac:dyDescent="0.35">
      <c r="A17" s="97">
        <f>VLOOKUP(B17,Country_Data!B:Q,16,FALSE)</f>
        <v>0</v>
      </c>
      <c r="B17" s="4" t="s">
        <v>340</v>
      </c>
      <c r="C17">
        <f>SUMIF(ConfirmedRaw!$B:$B,$B17,ConfirmedRaw!E:E)</f>
        <v>0</v>
      </c>
      <c r="D17">
        <f>SUMIF(ConfirmedRaw!$B:$B,$B17,ConfirmedRaw!F:F)</f>
        <v>0</v>
      </c>
      <c r="E17">
        <f>SUMIF(ConfirmedRaw!$B:$B,$B17,ConfirmedRaw!G:G)</f>
        <v>0</v>
      </c>
      <c r="F17">
        <f>SUMIF(ConfirmedRaw!$B:$B,$B17,ConfirmedRaw!H:H)</f>
        <v>0</v>
      </c>
      <c r="G17">
        <f>SUMIF(ConfirmedRaw!$B:$B,$B17,ConfirmedRaw!I:I)</f>
        <v>0</v>
      </c>
      <c r="H17">
        <f>SUMIF(ConfirmedRaw!$B:$B,$B17,ConfirmedRaw!J:J)</f>
        <v>0</v>
      </c>
      <c r="I17">
        <f>SUMIF(ConfirmedRaw!$B:$B,$B17,ConfirmedRaw!K:K)</f>
        <v>0</v>
      </c>
      <c r="J17">
        <f>SUMIF(ConfirmedRaw!$B:$B,$B17,ConfirmedRaw!L:L)</f>
        <v>0</v>
      </c>
      <c r="K17">
        <f>SUMIF(ConfirmedRaw!$B:$B,$B17,ConfirmedRaw!M:M)</f>
        <v>0</v>
      </c>
      <c r="L17">
        <f>SUMIF(ConfirmedRaw!$B:$B,$B17,ConfirmedRaw!N:N)</f>
        <v>0</v>
      </c>
      <c r="M17">
        <f>SUMIF(ConfirmedRaw!$B:$B,$B17,ConfirmedRaw!O:O)</f>
        <v>0</v>
      </c>
      <c r="N17">
        <f>SUMIF(ConfirmedRaw!$B:$B,$B17,ConfirmedRaw!P:P)</f>
        <v>0</v>
      </c>
      <c r="O17">
        <f>SUMIF(ConfirmedRaw!$B:$B,$B17,ConfirmedRaw!Q:Q)</f>
        <v>0</v>
      </c>
      <c r="P17">
        <f>SUMIF(ConfirmedRaw!$B:$B,$B17,ConfirmedRaw!R:R)</f>
        <v>0</v>
      </c>
      <c r="Q17">
        <f>SUMIF(ConfirmedRaw!$B:$B,$B17,ConfirmedRaw!S:S)</f>
        <v>0</v>
      </c>
      <c r="R17">
        <f>SUMIF(ConfirmedRaw!$B:$B,$B17,ConfirmedRaw!T:T)</f>
        <v>0</v>
      </c>
      <c r="S17">
        <f>SUMIF(ConfirmedRaw!$B:$B,$B17,ConfirmedRaw!U:U)</f>
        <v>0</v>
      </c>
      <c r="T17">
        <f>SUMIF(ConfirmedRaw!$B:$B,$B17,ConfirmedRaw!V:V)</f>
        <v>0</v>
      </c>
      <c r="U17">
        <f>SUMIF(ConfirmedRaw!$B:$B,$B17,ConfirmedRaw!W:W)</f>
        <v>0</v>
      </c>
      <c r="V17">
        <f>SUMIF(ConfirmedRaw!$B:$B,$B17,ConfirmedRaw!X:X)</f>
        <v>0</v>
      </c>
      <c r="W17">
        <f>SUMIF(ConfirmedRaw!$B:$B,$B17,ConfirmedRaw!Y:Y)</f>
        <v>0</v>
      </c>
      <c r="X17">
        <f>SUMIF(ConfirmedRaw!$B:$B,$B17,ConfirmedRaw!Z:Z)</f>
        <v>0</v>
      </c>
      <c r="Y17">
        <f>SUMIF(ConfirmedRaw!$B:$B,$B17,ConfirmedRaw!AA:AA)</f>
        <v>0</v>
      </c>
      <c r="Z17">
        <f>SUMIF(ConfirmedRaw!$B:$B,$B17,ConfirmedRaw!AB:AB)</f>
        <v>0</v>
      </c>
      <c r="AA17">
        <f>SUMIF(ConfirmedRaw!$B:$B,$B17,ConfirmedRaw!AC:AC)</f>
        <v>0</v>
      </c>
      <c r="AB17">
        <f>SUMIF(ConfirmedRaw!$B:$B,$B17,ConfirmedRaw!AD:AD)</f>
        <v>0</v>
      </c>
      <c r="AC17">
        <f>SUMIF(ConfirmedRaw!$B:$B,$B17,ConfirmedRaw!AE:AE)</f>
        <v>0</v>
      </c>
      <c r="AD17">
        <f>SUMIF(ConfirmedRaw!$B:$B,$B17,ConfirmedRaw!AF:AF)</f>
        <v>0</v>
      </c>
      <c r="AE17">
        <f>SUMIF(ConfirmedRaw!$B:$B,$B17,ConfirmedRaw!AG:AG)</f>
        <v>0</v>
      </c>
      <c r="AF17">
        <f>SUMIF(ConfirmedRaw!$B:$B,$B17,ConfirmedRaw!AH:AH)</f>
        <v>0</v>
      </c>
      <c r="AG17">
        <f>SUMIF(ConfirmedRaw!$B:$B,$B17,ConfirmedRaw!AI:AI)</f>
        <v>0</v>
      </c>
      <c r="AH17">
        <f>SUMIF(ConfirmedRaw!$B:$B,$B17,ConfirmedRaw!AJ:AJ)</f>
        <v>0</v>
      </c>
      <c r="AI17">
        <f>SUMIF(ConfirmedRaw!$B:$B,$B17,ConfirmedRaw!AK:AK)</f>
        <v>0</v>
      </c>
      <c r="AJ17">
        <f>SUMIF(ConfirmedRaw!$B:$B,$B17,ConfirmedRaw!AL:AL)</f>
        <v>0</v>
      </c>
      <c r="AK17">
        <f>SUMIF(ConfirmedRaw!$B:$B,$B17,ConfirmedRaw!AM:AM)</f>
        <v>0</v>
      </c>
      <c r="AL17">
        <f>SUMIF(ConfirmedRaw!$B:$B,$B17,ConfirmedRaw!AN:AN)</f>
        <v>0</v>
      </c>
      <c r="AM17">
        <f>SUMIF(ConfirmedRaw!$B:$B,$B17,ConfirmedRaw!AO:AO)</f>
        <v>0</v>
      </c>
      <c r="AN17">
        <f>SUMIF(ConfirmedRaw!$B:$B,$B17,ConfirmedRaw!AP:AP)</f>
        <v>0</v>
      </c>
      <c r="AO17">
        <f>SUMIF(ConfirmedRaw!$B:$B,$B17,ConfirmedRaw!AQ:AQ)</f>
        <v>0</v>
      </c>
      <c r="AP17">
        <f>SUMIF(ConfirmedRaw!$B:$B,$B17,ConfirmedRaw!AR:AR)</f>
        <v>0</v>
      </c>
      <c r="AQ17">
        <f>SUMIF(ConfirmedRaw!$B:$B,$B17,ConfirmedRaw!AS:AS)</f>
        <v>0</v>
      </c>
      <c r="AR17">
        <f>SUMIF(ConfirmedRaw!$B:$B,$B17,ConfirmedRaw!AT:AT)</f>
        <v>0</v>
      </c>
      <c r="AS17">
        <f>SUMIF(ConfirmedRaw!$B:$B,$B17,ConfirmedRaw!AU:AU)</f>
        <v>0</v>
      </c>
      <c r="AT17">
        <f>SUMIF(ConfirmedRaw!$B:$B,$B17,ConfirmedRaw!AV:AV)</f>
        <v>0</v>
      </c>
      <c r="AU17">
        <f>SUMIF(ConfirmedRaw!$B:$B,$B17,ConfirmedRaw!AW:AW)</f>
        <v>0</v>
      </c>
      <c r="AV17">
        <f>SUMIF(ConfirmedRaw!$B:$B,$B17,ConfirmedRaw!AX:AX)</f>
        <v>0</v>
      </c>
      <c r="AW17">
        <f>SUMIF(ConfirmedRaw!$B:$B,$B17,ConfirmedRaw!AY:AY)</f>
        <v>0</v>
      </c>
      <c r="AX17">
        <f>SUMIF(ConfirmedRaw!$B:$B,$B17,ConfirmedRaw!AZ:AZ)</f>
        <v>0</v>
      </c>
      <c r="AY17">
        <f>SUMIF(ConfirmedRaw!$B:$B,$B17,ConfirmedRaw!BA:BA)</f>
        <v>0</v>
      </c>
      <c r="AZ17">
        <f>SUMIF(ConfirmedRaw!$B:$B,$B17,ConfirmedRaw!BB:BB)</f>
        <v>0</v>
      </c>
      <c r="BA17">
        <f>SUMIF(ConfirmedRaw!$B:$B,$B17,ConfirmedRaw!BC:BC)</f>
        <v>0</v>
      </c>
      <c r="BB17">
        <f>SUMIF(ConfirmedRaw!$B:$B,$B17,ConfirmedRaw!BD:BD)</f>
        <v>0</v>
      </c>
      <c r="BC17">
        <f>SUMIF(ConfirmedRaw!$B:$B,$B17,ConfirmedRaw!BE:BE)</f>
        <v>0</v>
      </c>
      <c r="BD17">
        <f>SUMIF(ConfirmedRaw!$B:$B,$B17,ConfirmedRaw!BF:BF)</f>
        <v>0</v>
      </c>
      <c r="BE17">
        <f>SUMIF(ConfirmedRaw!$B:$B,$B17,ConfirmedRaw!BG:BG)</f>
        <v>0</v>
      </c>
      <c r="BF17">
        <f>SUMIF(ConfirmedRaw!$B:$B,$B17,ConfirmedRaw!BH:BH)</f>
        <v>0</v>
      </c>
      <c r="BG17">
        <f>SUMIF(ConfirmedRaw!$B:$B,$B17,ConfirmedRaw!BI:BI)</f>
        <v>0</v>
      </c>
      <c r="BH17">
        <f>SUMIF(ConfirmedRaw!$B:$B,$B17,ConfirmedRaw!BJ:BJ)</f>
        <v>0</v>
      </c>
      <c r="BI17">
        <f>SUMIF(ConfirmedRaw!$B:$B,$B17,ConfirmedRaw!BK:BK)</f>
        <v>0</v>
      </c>
      <c r="BJ17">
        <f>SUMIF(ConfirmedRaw!$B:$B,$B17,ConfirmedRaw!BL:BL)</f>
        <v>0</v>
      </c>
      <c r="BK17">
        <f>SUMIF(ConfirmedRaw!$B:$B,$B17,ConfirmedRaw!BM:BM)</f>
        <v>0</v>
      </c>
      <c r="BL17">
        <f>SUMIF(ConfirmedRaw!$B:$B,$B17,ConfirmedRaw!BN:BN)</f>
        <v>0</v>
      </c>
      <c r="BM17">
        <f>SUMIF(ConfirmedRaw!$B:$B,$B17,ConfirmedRaw!BO:BO)</f>
        <v>0</v>
      </c>
      <c r="BN17">
        <f>SUMIF(ConfirmedRaw!$B:$B,$B17,ConfirmedRaw!BP:BP)</f>
        <v>0</v>
      </c>
      <c r="BO17">
        <f>SUMIF(ConfirmedRaw!$B:$B,$B17,ConfirmedRaw!BQ:BQ)</f>
        <v>0</v>
      </c>
      <c r="BP17">
        <f>SUMIF(ConfirmedRaw!$B:$B,$B17,ConfirmedRaw!BR:BR)</f>
        <v>0</v>
      </c>
      <c r="BQ17">
        <f>SUMIF(ConfirmedRaw!$B:$B,$B17,ConfirmedRaw!BS:BS)</f>
        <v>0</v>
      </c>
      <c r="BR17">
        <f>SUMIF(ConfirmedRaw!$B:$B,$B17,ConfirmedRaw!BT:BT)</f>
        <v>0</v>
      </c>
      <c r="BS17">
        <f>SUMIF(ConfirmedRaw!$B:$B,$B17,ConfirmedRaw!BU:BU)</f>
        <v>0</v>
      </c>
      <c r="BT17">
        <f>SUMIF(ConfirmedRaw!$B:$B,$B17,ConfirmedRaw!BV:BV)</f>
        <v>0</v>
      </c>
      <c r="BU17">
        <f>SUMIF(ConfirmedRaw!$B:$B,$B17,ConfirmedRaw!BW:BW)</f>
        <v>0</v>
      </c>
    </row>
    <row r="18" spans="1:73" ht="15" thickBot="1" x14ac:dyDescent="0.35">
      <c r="A18" s="97" t="str">
        <f>VLOOKUP(B18,Country_Data!B:Q,16,FALSE)</f>
        <v>Europe</v>
      </c>
      <c r="B18" s="3" t="s">
        <v>63</v>
      </c>
      <c r="C18">
        <f>SUMIF(ConfirmedRaw!$B:$B,$B18,ConfirmedRaw!E:E)</f>
        <v>0</v>
      </c>
      <c r="D18">
        <f>SUMIF(ConfirmedRaw!$B:$B,$B18,ConfirmedRaw!F:F)</f>
        <v>0</v>
      </c>
      <c r="E18">
        <f>SUMIF(ConfirmedRaw!$B:$B,$B18,ConfirmedRaw!G:G)</f>
        <v>0</v>
      </c>
      <c r="F18">
        <f>SUMIF(ConfirmedRaw!$B:$B,$B18,ConfirmedRaw!H:H)</f>
        <v>0</v>
      </c>
      <c r="G18">
        <f>SUMIF(ConfirmedRaw!$B:$B,$B18,ConfirmedRaw!I:I)</f>
        <v>0</v>
      </c>
      <c r="H18">
        <f>SUMIF(ConfirmedRaw!$B:$B,$B18,ConfirmedRaw!J:J)</f>
        <v>0</v>
      </c>
      <c r="I18">
        <f>SUMIF(ConfirmedRaw!$B:$B,$B18,ConfirmedRaw!K:K)</f>
        <v>0</v>
      </c>
      <c r="J18">
        <f>SUMIF(ConfirmedRaw!$B:$B,$B18,ConfirmedRaw!L:L)</f>
        <v>0</v>
      </c>
      <c r="K18">
        <f>SUMIF(ConfirmedRaw!$B:$B,$B18,ConfirmedRaw!M:M)</f>
        <v>0</v>
      </c>
      <c r="L18">
        <f>SUMIF(ConfirmedRaw!$B:$B,$B18,ConfirmedRaw!N:N)</f>
        <v>0</v>
      </c>
      <c r="M18">
        <f>SUMIF(ConfirmedRaw!$B:$B,$B18,ConfirmedRaw!O:O)</f>
        <v>0</v>
      </c>
      <c r="N18">
        <f>SUMIF(ConfirmedRaw!$B:$B,$B18,ConfirmedRaw!P:P)</f>
        <v>0</v>
      </c>
      <c r="O18">
        <f>SUMIF(ConfirmedRaw!$B:$B,$B18,ConfirmedRaw!Q:Q)</f>
        <v>0</v>
      </c>
      <c r="P18">
        <f>SUMIF(ConfirmedRaw!$B:$B,$B18,ConfirmedRaw!R:R)</f>
        <v>1</v>
      </c>
      <c r="Q18">
        <f>SUMIF(ConfirmedRaw!$B:$B,$B18,ConfirmedRaw!S:S)</f>
        <v>1</v>
      </c>
      <c r="R18">
        <f>SUMIF(ConfirmedRaw!$B:$B,$B18,ConfirmedRaw!T:T)</f>
        <v>1</v>
      </c>
      <c r="S18">
        <f>SUMIF(ConfirmedRaw!$B:$B,$B18,ConfirmedRaw!U:U)</f>
        <v>1</v>
      </c>
      <c r="T18">
        <f>SUMIF(ConfirmedRaw!$B:$B,$B18,ConfirmedRaw!V:V)</f>
        <v>1</v>
      </c>
      <c r="U18">
        <f>SUMIF(ConfirmedRaw!$B:$B,$B18,ConfirmedRaw!W:W)</f>
        <v>1</v>
      </c>
      <c r="V18">
        <f>SUMIF(ConfirmedRaw!$B:$B,$B18,ConfirmedRaw!X:X)</f>
        <v>1</v>
      </c>
      <c r="W18">
        <f>SUMIF(ConfirmedRaw!$B:$B,$B18,ConfirmedRaw!Y:Y)</f>
        <v>1</v>
      </c>
      <c r="X18">
        <f>SUMIF(ConfirmedRaw!$B:$B,$B18,ConfirmedRaw!Z:Z)</f>
        <v>1</v>
      </c>
      <c r="Y18">
        <f>SUMIF(ConfirmedRaw!$B:$B,$B18,ConfirmedRaw!AA:AA)</f>
        <v>1</v>
      </c>
      <c r="Z18">
        <f>SUMIF(ConfirmedRaw!$B:$B,$B18,ConfirmedRaw!AB:AB)</f>
        <v>1</v>
      </c>
      <c r="AA18">
        <f>SUMIF(ConfirmedRaw!$B:$B,$B18,ConfirmedRaw!AC:AC)</f>
        <v>1</v>
      </c>
      <c r="AB18">
        <f>SUMIF(ConfirmedRaw!$B:$B,$B18,ConfirmedRaw!AD:AD)</f>
        <v>1</v>
      </c>
      <c r="AC18">
        <f>SUMIF(ConfirmedRaw!$B:$B,$B18,ConfirmedRaw!AE:AE)</f>
        <v>1</v>
      </c>
      <c r="AD18">
        <f>SUMIF(ConfirmedRaw!$B:$B,$B18,ConfirmedRaw!AF:AF)</f>
        <v>1</v>
      </c>
      <c r="AE18">
        <f>SUMIF(ConfirmedRaw!$B:$B,$B18,ConfirmedRaw!AG:AG)</f>
        <v>1</v>
      </c>
      <c r="AF18">
        <f>SUMIF(ConfirmedRaw!$B:$B,$B18,ConfirmedRaw!AH:AH)</f>
        <v>1</v>
      </c>
      <c r="AG18">
        <f>SUMIF(ConfirmedRaw!$B:$B,$B18,ConfirmedRaw!AI:AI)</f>
        <v>1</v>
      </c>
      <c r="AH18">
        <f>SUMIF(ConfirmedRaw!$B:$B,$B18,ConfirmedRaw!AJ:AJ)</f>
        <v>1</v>
      </c>
      <c r="AI18">
        <f>SUMIF(ConfirmedRaw!$B:$B,$B18,ConfirmedRaw!AK:AK)</f>
        <v>1</v>
      </c>
      <c r="AJ18">
        <f>SUMIF(ConfirmedRaw!$B:$B,$B18,ConfirmedRaw!AL:AL)</f>
        <v>1</v>
      </c>
      <c r="AK18">
        <f>SUMIF(ConfirmedRaw!$B:$B,$B18,ConfirmedRaw!AM:AM)</f>
        <v>1</v>
      </c>
      <c r="AL18">
        <f>SUMIF(ConfirmedRaw!$B:$B,$B18,ConfirmedRaw!AN:AN)</f>
        <v>1</v>
      </c>
      <c r="AM18">
        <f>SUMIF(ConfirmedRaw!$B:$B,$B18,ConfirmedRaw!AO:AO)</f>
        <v>1</v>
      </c>
      <c r="AN18">
        <f>SUMIF(ConfirmedRaw!$B:$B,$B18,ConfirmedRaw!AP:AP)</f>
        <v>1</v>
      </c>
      <c r="AO18">
        <f>SUMIF(ConfirmedRaw!$B:$B,$B18,ConfirmedRaw!AQ:AQ)</f>
        <v>1</v>
      </c>
      <c r="AP18">
        <f>SUMIF(ConfirmedRaw!$B:$B,$B18,ConfirmedRaw!AR:AR)</f>
        <v>2</v>
      </c>
      <c r="AQ18">
        <f>SUMIF(ConfirmedRaw!$B:$B,$B18,ConfirmedRaw!AS:AS)</f>
        <v>8</v>
      </c>
      <c r="AR18">
        <f>SUMIF(ConfirmedRaw!$B:$B,$B18,ConfirmedRaw!AT:AT)</f>
        <v>13</v>
      </c>
      <c r="AS18">
        <f>SUMIF(ConfirmedRaw!$B:$B,$B18,ConfirmedRaw!AU:AU)</f>
        <v>23</v>
      </c>
      <c r="AT18">
        <f>SUMIF(ConfirmedRaw!$B:$B,$B18,ConfirmedRaw!AV:AV)</f>
        <v>50</v>
      </c>
      <c r="AU18">
        <f>SUMIF(ConfirmedRaw!$B:$B,$B18,ConfirmedRaw!AW:AW)</f>
        <v>109</v>
      </c>
      <c r="AV18">
        <f>SUMIF(ConfirmedRaw!$B:$B,$B18,ConfirmedRaw!AX:AX)</f>
        <v>169</v>
      </c>
      <c r="AW18">
        <f>SUMIF(ConfirmedRaw!$B:$B,$B18,ConfirmedRaw!AY:AY)</f>
        <v>200</v>
      </c>
      <c r="AX18">
        <f>SUMIF(ConfirmedRaw!$B:$B,$B18,ConfirmedRaw!AZ:AZ)</f>
        <v>239</v>
      </c>
      <c r="AY18">
        <f>SUMIF(ConfirmedRaw!$B:$B,$B18,ConfirmedRaw!BA:BA)</f>
        <v>267</v>
      </c>
      <c r="AZ18">
        <f>SUMIF(ConfirmedRaw!$B:$B,$B18,ConfirmedRaw!BB:BB)</f>
        <v>314</v>
      </c>
      <c r="BA18">
        <f>SUMIF(ConfirmedRaw!$B:$B,$B18,ConfirmedRaw!BC:BC)</f>
        <v>314</v>
      </c>
      <c r="BB18">
        <f>SUMIF(ConfirmedRaw!$B:$B,$B18,ConfirmedRaw!BD:BD)</f>
        <v>559</v>
      </c>
      <c r="BC18">
        <f>SUMIF(ConfirmedRaw!$B:$B,$B18,ConfirmedRaw!BE:BE)</f>
        <v>689</v>
      </c>
      <c r="BD18">
        <f>SUMIF(ConfirmedRaw!$B:$B,$B18,ConfirmedRaw!BF:BF)</f>
        <v>886</v>
      </c>
      <c r="BE18">
        <f>SUMIF(ConfirmedRaw!$B:$B,$B18,ConfirmedRaw!BG:BG)</f>
        <v>1058</v>
      </c>
      <c r="BF18">
        <f>SUMIF(ConfirmedRaw!$B:$B,$B18,ConfirmedRaw!BH:BH)</f>
        <v>1243</v>
      </c>
      <c r="BG18">
        <f>SUMIF(ConfirmedRaw!$B:$B,$B18,ConfirmedRaw!BI:BI)</f>
        <v>1486</v>
      </c>
      <c r="BH18">
        <f>SUMIF(ConfirmedRaw!$B:$B,$B18,ConfirmedRaw!BJ:BJ)</f>
        <v>1795</v>
      </c>
      <c r="BI18">
        <f>SUMIF(ConfirmedRaw!$B:$B,$B18,ConfirmedRaw!BK:BK)</f>
        <v>2257</v>
      </c>
      <c r="BJ18">
        <f>SUMIF(ConfirmedRaw!$B:$B,$B18,ConfirmedRaw!BL:BL)</f>
        <v>2815</v>
      </c>
      <c r="BK18">
        <f>SUMIF(ConfirmedRaw!$B:$B,$B18,ConfirmedRaw!BM:BM)</f>
        <v>3401</v>
      </c>
      <c r="BL18">
        <f>SUMIF(ConfirmedRaw!$B:$B,$B18,ConfirmedRaw!BN:BN)</f>
        <v>3743</v>
      </c>
      <c r="BM18">
        <f>SUMIF(ConfirmedRaw!$B:$B,$B18,ConfirmedRaw!BO:BO)</f>
        <v>4269</v>
      </c>
      <c r="BN18">
        <f>SUMIF(ConfirmedRaw!$B:$B,$B18,ConfirmedRaw!BP:BP)</f>
        <v>4937</v>
      </c>
      <c r="BO18">
        <f>SUMIF(ConfirmedRaw!$B:$B,$B18,ConfirmedRaw!BQ:BQ)</f>
        <v>6235</v>
      </c>
      <c r="BP18">
        <f>SUMIF(ConfirmedRaw!$B:$B,$B18,ConfirmedRaw!BR:BR)</f>
        <v>7284</v>
      </c>
      <c r="BQ18">
        <f>SUMIF(ConfirmedRaw!$B:$B,$B18,ConfirmedRaw!BS:BS)</f>
        <v>9134</v>
      </c>
      <c r="BR18">
        <f>SUMIF(ConfirmedRaw!$B:$B,$B18,ConfirmedRaw!BT:BT)</f>
        <v>0</v>
      </c>
      <c r="BS18">
        <f>SUMIF(ConfirmedRaw!$B:$B,$B18,ConfirmedRaw!BU:BU)</f>
        <v>0</v>
      </c>
      <c r="BT18">
        <f>SUMIF(ConfirmedRaw!$B:$B,$B18,ConfirmedRaw!BV:BV)</f>
        <v>0</v>
      </c>
      <c r="BU18">
        <f>SUMIF(ConfirmedRaw!$B:$B,$B18,ConfirmedRaw!BW:BW)</f>
        <v>0</v>
      </c>
    </row>
    <row r="19" spans="1:73" ht="15" thickBot="1" x14ac:dyDescent="0.35">
      <c r="A19" s="97" t="str">
        <f>VLOOKUP(B19,Country_Data!B:Q,16,FALSE)</f>
        <v>Europe</v>
      </c>
      <c r="B19" s="3" t="s">
        <v>78</v>
      </c>
      <c r="C19">
        <f>SUMIF(ConfirmedRaw!$B:$B,$B19,ConfirmedRaw!E:E)</f>
        <v>0</v>
      </c>
      <c r="D19">
        <f>SUMIF(ConfirmedRaw!$B:$B,$B19,ConfirmedRaw!F:F)</f>
        <v>0</v>
      </c>
      <c r="E19">
        <f>SUMIF(ConfirmedRaw!$B:$B,$B19,ConfirmedRaw!G:G)</f>
        <v>0</v>
      </c>
      <c r="F19">
        <f>SUMIF(ConfirmedRaw!$B:$B,$B19,ConfirmedRaw!H:H)</f>
        <v>0</v>
      </c>
      <c r="G19">
        <f>SUMIF(ConfirmedRaw!$B:$B,$B19,ConfirmedRaw!I:I)</f>
        <v>0</v>
      </c>
      <c r="H19">
        <f>SUMIF(ConfirmedRaw!$B:$B,$B19,ConfirmedRaw!J:J)</f>
        <v>0</v>
      </c>
      <c r="I19">
        <f>SUMIF(ConfirmedRaw!$B:$B,$B19,ConfirmedRaw!K:K)</f>
        <v>0</v>
      </c>
      <c r="J19">
        <f>SUMIF(ConfirmedRaw!$B:$B,$B19,ConfirmedRaw!L:L)</f>
        <v>0</v>
      </c>
      <c r="K19">
        <f>SUMIF(ConfirmedRaw!$B:$B,$B19,ConfirmedRaw!M:M)</f>
        <v>0</v>
      </c>
      <c r="L19">
        <f>SUMIF(ConfirmedRaw!$B:$B,$B19,ConfirmedRaw!N:N)</f>
        <v>0</v>
      </c>
      <c r="M19">
        <f>SUMIF(ConfirmedRaw!$B:$B,$B19,ConfirmedRaw!O:O)</f>
        <v>0</v>
      </c>
      <c r="N19">
        <f>SUMIF(ConfirmedRaw!$B:$B,$B19,ConfirmedRaw!P:P)</f>
        <v>0</v>
      </c>
      <c r="O19">
        <f>SUMIF(ConfirmedRaw!$B:$B,$B19,ConfirmedRaw!Q:Q)</f>
        <v>0</v>
      </c>
      <c r="P19">
        <f>SUMIF(ConfirmedRaw!$B:$B,$B19,ConfirmedRaw!R:R)</f>
        <v>0</v>
      </c>
      <c r="Q19">
        <f>SUMIF(ConfirmedRaw!$B:$B,$B19,ConfirmedRaw!S:S)</f>
        <v>0</v>
      </c>
      <c r="R19">
        <f>SUMIF(ConfirmedRaw!$B:$B,$B19,ConfirmedRaw!T:T)</f>
        <v>0</v>
      </c>
      <c r="S19">
        <f>SUMIF(ConfirmedRaw!$B:$B,$B19,ConfirmedRaw!U:U)</f>
        <v>0</v>
      </c>
      <c r="T19">
        <f>SUMIF(ConfirmedRaw!$B:$B,$B19,ConfirmedRaw!V:V)</f>
        <v>0</v>
      </c>
      <c r="U19">
        <f>SUMIF(ConfirmedRaw!$B:$B,$B19,ConfirmedRaw!W:W)</f>
        <v>0</v>
      </c>
      <c r="V19">
        <f>SUMIF(ConfirmedRaw!$B:$B,$B19,ConfirmedRaw!X:X)</f>
        <v>0</v>
      </c>
      <c r="W19">
        <f>SUMIF(ConfirmedRaw!$B:$B,$B19,ConfirmedRaw!Y:Y)</f>
        <v>0</v>
      </c>
      <c r="X19">
        <f>SUMIF(ConfirmedRaw!$B:$B,$B19,ConfirmedRaw!Z:Z)</f>
        <v>0</v>
      </c>
      <c r="Y19">
        <f>SUMIF(ConfirmedRaw!$B:$B,$B19,ConfirmedRaw!AA:AA)</f>
        <v>0</v>
      </c>
      <c r="Z19">
        <f>SUMIF(ConfirmedRaw!$B:$B,$B19,ConfirmedRaw!AB:AB)</f>
        <v>0</v>
      </c>
      <c r="AA19">
        <f>SUMIF(ConfirmedRaw!$B:$B,$B19,ConfirmedRaw!AC:AC)</f>
        <v>0</v>
      </c>
      <c r="AB19">
        <f>SUMIF(ConfirmedRaw!$B:$B,$B19,ConfirmedRaw!AD:AD)</f>
        <v>0</v>
      </c>
      <c r="AC19">
        <f>SUMIF(ConfirmedRaw!$B:$B,$B19,ConfirmedRaw!AE:AE)</f>
        <v>0</v>
      </c>
      <c r="AD19">
        <f>SUMIF(ConfirmedRaw!$B:$B,$B19,ConfirmedRaw!AF:AF)</f>
        <v>0</v>
      </c>
      <c r="AE19">
        <f>SUMIF(ConfirmedRaw!$B:$B,$B19,ConfirmedRaw!AG:AG)</f>
        <v>0</v>
      </c>
      <c r="AF19">
        <f>SUMIF(ConfirmedRaw!$B:$B,$B19,ConfirmedRaw!AH:AH)</f>
        <v>0</v>
      </c>
      <c r="AG19">
        <f>SUMIF(ConfirmedRaw!$B:$B,$B19,ConfirmedRaw!AI:AI)</f>
        <v>0</v>
      </c>
      <c r="AH19">
        <f>SUMIF(ConfirmedRaw!$B:$B,$B19,ConfirmedRaw!AJ:AJ)</f>
        <v>0</v>
      </c>
      <c r="AI19">
        <f>SUMIF(ConfirmedRaw!$B:$B,$B19,ConfirmedRaw!AK:AK)</f>
        <v>0</v>
      </c>
      <c r="AJ19">
        <f>SUMIF(ConfirmedRaw!$B:$B,$B19,ConfirmedRaw!AL:AL)</f>
        <v>0</v>
      </c>
      <c r="AK19">
        <f>SUMIF(ConfirmedRaw!$B:$B,$B19,ConfirmedRaw!AM:AM)</f>
        <v>2</v>
      </c>
      <c r="AL19">
        <f>SUMIF(ConfirmedRaw!$B:$B,$B19,ConfirmedRaw!AN:AN)</f>
        <v>2</v>
      </c>
      <c r="AM19">
        <f>SUMIF(ConfirmedRaw!$B:$B,$B19,ConfirmedRaw!AO:AO)</f>
        <v>3</v>
      </c>
      <c r="AN19">
        <f>SUMIF(ConfirmedRaw!$B:$B,$B19,ConfirmedRaw!AP:AP)</f>
        <v>3</v>
      </c>
      <c r="AO19">
        <f>SUMIF(ConfirmedRaw!$B:$B,$B19,ConfirmedRaw!AQ:AQ)</f>
        <v>9</v>
      </c>
      <c r="AP19">
        <f>SUMIF(ConfirmedRaw!$B:$B,$B19,ConfirmedRaw!AR:AR)</f>
        <v>14</v>
      </c>
      <c r="AQ19">
        <f>SUMIF(ConfirmedRaw!$B:$B,$B19,ConfirmedRaw!AS:AS)</f>
        <v>18</v>
      </c>
      <c r="AR19">
        <f>SUMIF(ConfirmedRaw!$B:$B,$B19,ConfirmedRaw!AT:AT)</f>
        <v>21</v>
      </c>
      <c r="AS19">
        <f>SUMIF(ConfirmedRaw!$B:$B,$B19,ConfirmedRaw!AU:AU)</f>
        <v>29</v>
      </c>
      <c r="AT19">
        <f>SUMIF(ConfirmedRaw!$B:$B,$B19,ConfirmedRaw!AV:AV)</f>
        <v>41</v>
      </c>
      <c r="AU19">
        <f>SUMIF(ConfirmedRaw!$B:$B,$B19,ConfirmedRaw!AW:AW)</f>
        <v>55</v>
      </c>
      <c r="AV19">
        <f>SUMIF(ConfirmedRaw!$B:$B,$B19,ConfirmedRaw!AX:AX)</f>
        <v>79</v>
      </c>
      <c r="AW19">
        <f>SUMIF(ConfirmedRaw!$B:$B,$B19,ConfirmedRaw!AY:AY)</f>
        <v>104</v>
      </c>
      <c r="AX19">
        <f>SUMIF(ConfirmedRaw!$B:$B,$B19,ConfirmedRaw!AZ:AZ)</f>
        <v>131</v>
      </c>
      <c r="AY19">
        <f>SUMIF(ConfirmedRaw!$B:$B,$B19,ConfirmedRaw!BA:BA)</f>
        <v>182</v>
      </c>
      <c r="AZ19">
        <f>SUMIF(ConfirmedRaw!$B:$B,$B19,ConfirmedRaw!BB:BB)</f>
        <v>246</v>
      </c>
      <c r="BA19">
        <f>SUMIF(ConfirmedRaw!$B:$B,$B19,ConfirmedRaw!BC:BC)</f>
        <v>302</v>
      </c>
      <c r="BB19">
        <f>SUMIF(ConfirmedRaw!$B:$B,$B19,ConfirmedRaw!BD:BD)</f>
        <v>504</v>
      </c>
      <c r="BC19">
        <f>SUMIF(ConfirmedRaw!$B:$B,$B19,ConfirmedRaw!BE:BE)</f>
        <v>655</v>
      </c>
      <c r="BD19">
        <f>SUMIF(ConfirmedRaw!$B:$B,$B19,ConfirmedRaw!BF:BF)</f>
        <v>860</v>
      </c>
      <c r="BE19">
        <f>SUMIF(ConfirmedRaw!$B:$B,$B19,ConfirmedRaw!BG:BG)</f>
        <v>1018</v>
      </c>
      <c r="BF19">
        <f>SUMIF(ConfirmedRaw!$B:$B,$B19,ConfirmedRaw!BH:BH)</f>
        <v>1332</v>
      </c>
      <c r="BG19">
        <f>SUMIF(ConfirmedRaw!$B:$B,$B19,ConfirmedRaw!BI:BI)</f>
        <v>1646</v>
      </c>
      <c r="BH19">
        <f>SUMIF(ConfirmedRaw!$B:$B,$B19,ConfirmedRaw!BJ:BJ)</f>
        <v>2013</v>
      </c>
      <c r="BI19">
        <f>SUMIF(ConfirmedRaw!$B:$B,$B19,ConfirmedRaw!BK:BK)</f>
        <v>2388</v>
      </c>
      <c r="BJ19">
        <f>SUMIF(ConfirmedRaw!$B:$B,$B19,ConfirmedRaw!BL:BL)</f>
        <v>2814</v>
      </c>
      <c r="BK19">
        <f>SUMIF(ConfirmedRaw!$B:$B,$B19,ConfirmedRaw!BM:BM)</f>
        <v>3582</v>
      </c>
      <c r="BL19">
        <f>SUMIF(ConfirmedRaw!$B:$B,$B19,ConfirmedRaw!BN:BN)</f>
        <v>4474</v>
      </c>
      <c r="BM19">
        <f>SUMIF(ConfirmedRaw!$B:$B,$B19,ConfirmedRaw!BO:BO)</f>
        <v>5283</v>
      </c>
      <c r="BN19">
        <f>SUMIF(ConfirmedRaw!$B:$B,$B19,ConfirmedRaw!BP:BP)</f>
        <v>5588</v>
      </c>
      <c r="BO19">
        <f>SUMIF(ConfirmedRaw!$B:$B,$B19,ConfirmedRaw!BQ:BQ)</f>
        <v>6909</v>
      </c>
      <c r="BP19">
        <f>SUMIF(ConfirmedRaw!$B:$B,$B19,ConfirmedRaw!BR:BR)</f>
        <v>7657</v>
      </c>
      <c r="BQ19">
        <f>SUMIF(ConfirmedRaw!$B:$B,$B19,ConfirmedRaw!BS:BS)</f>
        <v>8271</v>
      </c>
      <c r="BR19">
        <f>SUMIF(ConfirmedRaw!$B:$B,$B19,ConfirmedRaw!BT:BT)</f>
        <v>0</v>
      </c>
      <c r="BS19">
        <f>SUMIF(ConfirmedRaw!$B:$B,$B19,ConfirmedRaw!BU:BU)</f>
        <v>0</v>
      </c>
      <c r="BT19">
        <f>SUMIF(ConfirmedRaw!$B:$B,$B19,ConfirmedRaw!BV:BV)</f>
        <v>0</v>
      </c>
      <c r="BU19">
        <f>SUMIF(ConfirmedRaw!$B:$B,$B19,ConfirmedRaw!BW:BW)</f>
        <v>0</v>
      </c>
    </row>
    <row r="20" spans="1:73" ht="15" thickBot="1" x14ac:dyDescent="0.35">
      <c r="A20" s="97" t="str">
        <f>VLOOKUP(B20,Country_Data!B:Q,16,FALSE)</f>
        <v>Middle East</v>
      </c>
      <c r="B20" s="3" t="s">
        <v>101</v>
      </c>
      <c r="C20">
        <f>SUMIF(ConfirmedRaw!$B:$B,$B20,ConfirmedRaw!E:E)</f>
        <v>0</v>
      </c>
      <c r="D20">
        <f>SUMIF(ConfirmedRaw!$B:$B,$B20,ConfirmedRaw!F:F)</f>
        <v>0</v>
      </c>
      <c r="E20">
        <f>SUMIF(ConfirmedRaw!$B:$B,$B20,ConfirmedRaw!G:G)</f>
        <v>0</v>
      </c>
      <c r="F20">
        <f>SUMIF(ConfirmedRaw!$B:$B,$B20,ConfirmedRaw!H:H)</f>
        <v>0</v>
      </c>
      <c r="G20">
        <f>SUMIF(ConfirmedRaw!$B:$B,$B20,ConfirmedRaw!I:I)</f>
        <v>0</v>
      </c>
      <c r="H20">
        <f>SUMIF(ConfirmedRaw!$B:$B,$B20,ConfirmedRaw!J:J)</f>
        <v>0</v>
      </c>
      <c r="I20">
        <f>SUMIF(ConfirmedRaw!$B:$B,$B20,ConfirmedRaw!K:K)</f>
        <v>0</v>
      </c>
      <c r="J20">
        <f>SUMIF(ConfirmedRaw!$B:$B,$B20,ConfirmedRaw!L:L)</f>
        <v>0</v>
      </c>
      <c r="K20">
        <f>SUMIF(ConfirmedRaw!$B:$B,$B20,ConfirmedRaw!M:M)</f>
        <v>0</v>
      </c>
      <c r="L20">
        <f>SUMIF(ConfirmedRaw!$B:$B,$B20,ConfirmedRaw!N:N)</f>
        <v>0</v>
      </c>
      <c r="M20">
        <f>SUMIF(ConfirmedRaw!$B:$B,$B20,ConfirmedRaw!O:O)</f>
        <v>0</v>
      </c>
      <c r="N20">
        <f>SUMIF(ConfirmedRaw!$B:$B,$B20,ConfirmedRaw!P:P)</f>
        <v>0</v>
      </c>
      <c r="O20">
        <f>SUMIF(ConfirmedRaw!$B:$B,$B20,ConfirmedRaw!Q:Q)</f>
        <v>0</v>
      </c>
      <c r="P20">
        <f>SUMIF(ConfirmedRaw!$B:$B,$B20,ConfirmedRaw!R:R)</f>
        <v>0</v>
      </c>
      <c r="Q20">
        <f>SUMIF(ConfirmedRaw!$B:$B,$B20,ConfirmedRaw!S:S)</f>
        <v>0</v>
      </c>
      <c r="R20">
        <f>SUMIF(ConfirmedRaw!$B:$B,$B20,ConfirmedRaw!T:T)</f>
        <v>0</v>
      </c>
      <c r="S20">
        <f>SUMIF(ConfirmedRaw!$B:$B,$B20,ConfirmedRaw!U:U)</f>
        <v>0</v>
      </c>
      <c r="T20">
        <f>SUMIF(ConfirmedRaw!$B:$B,$B20,ConfirmedRaw!V:V)</f>
        <v>0</v>
      </c>
      <c r="U20">
        <f>SUMIF(ConfirmedRaw!$B:$B,$B20,ConfirmedRaw!W:W)</f>
        <v>0</v>
      </c>
      <c r="V20">
        <f>SUMIF(ConfirmedRaw!$B:$B,$B20,ConfirmedRaw!X:X)</f>
        <v>0</v>
      </c>
      <c r="W20">
        <f>SUMIF(ConfirmedRaw!$B:$B,$B20,ConfirmedRaw!Y:Y)</f>
        <v>0</v>
      </c>
      <c r="X20">
        <f>SUMIF(ConfirmedRaw!$B:$B,$B20,ConfirmedRaw!Z:Z)</f>
        <v>0</v>
      </c>
      <c r="Y20">
        <f>SUMIF(ConfirmedRaw!$B:$B,$B20,ConfirmedRaw!AA:AA)</f>
        <v>0</v>
      </c>
      <c r="Z20">
        <f>SUMIF(ConfirmedRaw!$B:$B,$B20,ConfirmedRaw!AB:AB)</f>
        <v>0</v>
      </c>
      <c r="AA20">
        <f>SUMIF(ConfirmedRaw!$B:$B,$B20,ConfirmedRaw!AC:AC)</f>
        <v>0</v>
      </c>
      <c r="AB20">
        <f>SUMIF(ConfirmedRaw!$B:$B,$B20,ConfirmedRaw!AD:AD)</f>
        <v>0</v>
      </c>
      <c r="AC20">
        <f>SUMIF(ConfirmedRaw!$B:$B,$B20,ConfirmedRaw!AE:AE)</f>
        <v>0</v>
      </c>
      <c r="AD20">
        <f>SUMIF(ConfirmedRaw!$B:$B,$B20,ConfirmedRaw!AF:AF)</f>
        <v>0</v>
      </c>
      <c r="AE20">
        <f>SUMIF(ConfirmedRaw!$B:$B,$B20,ConfirmedRaw!AG:AG)</f>
        <v>0</v>
      </c>
      <c r="AF20">
        <f>SUMIF(ConfirmedRaw!$B:$B,$B20,ConfirmedRaw!AH:AH)</f>
        <v>0</v>
      </c>
      <c r="AG20">
        <f>SUMIF(ConfirmedRaw!$B:$B,$B20,ConfirmedRaw!AI:AI)</f>
        <v>0</v>
      </c>
      <c r="AH20">
        <f>SUMIF(ConfirmedRaw!$B:$B,$B20,ConfirmedRaw!AJ:AJ)</f>
        <v>0</v>
      </c>
      <c r="AI20">
        <f>SUMIF(ConfirmedRaw!$B:$B,$B20,ConfirmedRaw!AK:AK)</f>
        <v>0</v>
      </c>
      <c r="AJ20">
        <f>SUMIF(ConfirmedRaw!$B:$B,$B20,ConfirmedRaw!AL:AL)</f>
        <v>0</v>
      </c>
      <c r="AK20">
        <f>SUMIF(ConfirmedRaw!$B:$B,$B20,ConfirmedRaw!AM:AM)</f>
        <v>0</v>
      </c>
      <c r="AL20">
        <f>SUMIF(ConfirmedRaw!$B:$B,$B20,ConfirmedRaw!AN:AN)</f>
        <v>0</v>
      </c>
      <c r="AM20">
        <f>SUMIF(ConfirmedRaw!$B:$B,$B20,ConfirmedRaw!AO:AO)</f>
        <v>0</v>
      </c>
      <c r="AN20">
        <f>SUMIF(ConfirmedRaw!$B:$B,$B20,ConfirmedRaw!AP:AP)</f>
        <v>0</v>
      </c>
      <c r="AO20">
        <f>SUMIF(ConfirmedRaw!$B:$B,$B20,ConfirmedRaw!AQ:AQ)</f>
        <v>1</v>
      </c>
      <c r="AP20">
        <f>SUMIF(ConfirmedRaw!$B:$B,$B20,ConfirmedRaw!AR:AR)</f>
        <v>3</v>
      </c>
      <c r="AQ20">
        <f>SUMIF(ConfirmedRaw!$B:$B,$B20,ConfirmedRaw!AS:AS)</f>
        <v>3</v>
      </c>
      <c r="AR20">
        <f>SUMIF(ConfirmedRaw!$B:$B,$B20,ConfirmedRaw!AT:AT)</f>
        <v>7</v>
      </c>
      <c r="AS20">
        <f>SUMIF(ConfirmedRaw!$B:$B,$B20,ConfirmedRaw!AU:AU)</f>
        <v>8</v>
      </c>
      <c r="AT20">
        <f>SUMIF(ConfirmedRaw!$B:$B,$B20,ConfirmedRaw!AV:AV)</f>
        <v>8</v>
      </c>
      <c r="AU20">
        <f>SUMIF(ConfirmedRaw!$B:$B,$B20,ConfirmedRaw!AW:AW)</f>
        <v>8</v>
      </c>
      <c r="AV20">
        <f>SUMIF(ConfirmedRaw!$B:$B,$B20,ConfirmedRaw!AX:AX)</f>
        <v>8</v>
      </c>
      <c r="AW20">
        <f>SUMIF(ConfirmedRaw!$B:$B,$B20,ConfirmedRaw!AY:AY)</f>
        <v>15</v>
      </c>
      <c r="AX20">
        <f>SUMIF(ConfirmedRaw!$B:$B,$B20,ConfirmedRaw!AZ:AZ)</f>
        <v>18</v>
      </c>
      <c r="AY20">
        <f>SUMIF(ConfirmedRaw!$B:$B,$B20,ConfirmedRaw!BA:BA)</f>
        <v>24</v>
      </c>
      <c r="AZ20">
        <f>SUMIF(ConfirmedRaw!$B:$B,$B20,ConfirmedRaw!BB:BB)</f>
        <v>262</v>
      </c>
      <c r="BA20">
        <f>SUMIF(ConfirmedRaw!$B:$B,$B20,ConfirmedRaw!BC:BC)</f>
        <v>262</v>
      </c>
      <c r="BB20">
        <f>SUMIF(ConfirmedRaw!$B:$B,$B20,ConfirmedRaw!BD:BD)</f>
        <v>320</v>
      </c>
      <c r="BC20">
        <f>SUMIF(ConfirmedRaw!$B:$B,$B20,ConfirmedRaw!BE:BE)</f>
        <v>337</v>
      </c>
      <c r="BD20">
        <f>SUMIF(ConfirmedRaw!$B:$B,$B20,ConfirmedRaw!BF:BF)</f>
        <v>401</v>
      </c>
      <c r="BE20">
        <f>SUMIF(ConfirmedRaw!$B:$B,$B20,ConfirmedRaw!BG:BG)</f>
        <v>439</v>
      </c>
      <c r="BF20">
        <f>SUMIF(ConfirmedRaw!$B:$B,$B20,ConfirmedRaw!BH:BH)</f>
        <v>439</v>
      </c>
      <c r="BG20">
        <f>SUMIF(ConfirmedRaw!$B:$B,$B20,ConfirmedRaw!BI:BI)</f>
        <v>452</v>
      </c>
      <c r="BH20">
        <f>SUMIF(ConfirmedRaw!$B:$B,$B20,ConfirmedRaw!BJ:BJ)</f>
        <v>460</v>
      </c>
      <c r="BI20">
        <f>SUMIF(ConfirmedRaw!$B:$B,$B20,ConfirmedRaw!BK:BK)</f>
        <v>470</v>
      </c>
      <c r="BJ20">
        <f>SUMIF(ConfirmedRaw!$B:$B,$B20,ConfirmedRaw!BL:BL)</f>
        <v>481</v>
      </c>
      <c r="BK20">
        <f>SUMIF(ConfirmedRaw!$B:$B,$B20,ConfirmedRaw!BM:BM)</f>
        <v>494</v>
      </c>
      <c r="BL20">
        <f>SUMIF(ConfirmedRaw!$B:$B,$B20,ConfirmedRaw!BN:BN)</f>
        <v>501</v>
      </c>
      <c r="BM20">
        <f>SUMIF(ConfirmedRaw!$B:$B,$B20,ConfirmedRaw!BO:BO)</f>
        <v>526</v>
      </c>
      <c r="BN20">
        <f>SUMIF(ConfirmedRaw!$B:$B,$B20,ConfirmedRaw!BP:BP)</f>
        <v>537</v>
      </c>
      <c r="BO20">
        <f>SUMIF(ConfirmedRaw!$B:$B,$B20,ConfirmedRaw!BQ:BQ)</f>
        <v>549</v>
      </c>
      <c r="BP20">
        <f>SUMIF(ConfirmedRaw!$B:$B,$B20,ConfirmedRaw!BR:BR)</f>
        <v>562</v>
      </c>
      <c r="BQ20">
        <f>SUMIF(ConfirmedRaw!$B:$B,$B20,ConfirmedRaw!BS:BS)</f>
        <v>590</v>
      </c>
      <c r="BR20">
        <f>SUMIF(ConfirmedRaw!$B:$B,$B20,ConfirmedRaw!BT:BT)</f>
        <v>0</v>
      </c>
      <c r="BS20">
        <f>SUMIF(ConfirmedRaw!$B:$B,$B20,ConfirmedRaw!BU:BU)</f>
        <v>0</v>
      </c>
      <c r="BT20">
        <f>SUMIF(ConfirmedRaw!$B:$B,$B20,ConfirmedRaw!BV:BV)</f>
        <v>0</v>
      </c>
      <c r="BU20">
        <f>SUMIF(ConfirmedRaw!$B:$B,$B20,ConfirmedRaw!BW:BW)</f>
        <v>0</v>
      </c>
    </row>
    <row r="21" spans="1:73" ht="15" thickBot="1" x14ac:dyDescent="0.35">
      <c r="A21" s="97" t="str">
        <f>VLOOKUP(B21,Country_Data!B:Q,16,FALSE)</f>
        <v>Australasia</v>
      </c>
      <c r="B21" s="3" t="s">
        <v>48</v>
      </c>
      <c r="C21">
        <f>SUMIF(ConfirmedRaw!$B:$B,$B21,ConfirmedRaw!E:E)</f>
        <v>0</v>
      </c>
      <c r="D21">
        <f>SUMIF(ConfirmedRaw!$B:$B,$B21,ConfirmedRaw!F:F)</f>
        <v>0</v>
      </c>
      <c r="E21">
        <f>SUMIF(ConfirmedRaw!$B:$B,$B21,ConfirmedRaw!G:G)</f>
        <v>0</v>
      </c>
      <c r="F21">
        <f>SUMIF(ConfirmedRaw!$B:$B,$B21,ConfirmedRaw!H:H)</f>
        <v>0</v>
      </c>
      <c r="G21">
        <f>SUMIF(ConfirmedRaw!$B:$B,$B21,ConfirmedRaw!I:I)</f>
        <v>4</v>
      </c>
      <c r="H21">
        <f>SUMIF(ConfirmedRaw!$B:$B,$B21,ConfirmedRaw!J:J)</f>
        <v>5</v>
      </c>
      <c r="I21">
        <f>SUMIF(ConfirmedRaw!$B:$B,$B21,ConfirmedRaw!K:K)</f>
        <v>5</v>
      </c>
      <c r="J21">
        <f>SUMIF(ConfirmedRaw!$B:$B,$B21,ConfirmedRaw!L:L)</f>
        <v>6</v>
      </c>
      <c r="K21">
        <f>SUMIF(ConfirmedRaw!$B:$B,$B21,ConfirmedRaw!M:M)</f>
        <v>9</v>
      </c>
      <c r="L21">
        <f>SUMIF(ConfirmedRaw!$B:$B,$B21,ConfirmedRaw!N:N)</f>
        <v>9</v>
      </c>
      <c r="M21">
        <f>SUMIF(ConfirmedRaw!$B:$B,$B21,ConfirmedRaw!O:O)</f>
        <v>12</v>
      </c>
      <c r="N21">
        <f>SUMIF(ConfirmedRaw!$B:$B,$B21,ConfirmedRaw!P:P)</f>
        <v>12</v>
      </c>
      <c r="O21">
        <f>SUMIF(ConfirmedRaw!$B:$B,$B21,ConfirmedRaw!Q:Q)</f>
        <v>12</v>
      </c>
      <c r="P21">
        <f>SUMIF(ConfirmedRaw!$B:$B,$B21,ConfirmedRaw!R:R)</f>
        <v>13</v>
      </c>
      <c r="Q21">
        <f>SUMIF(ConfirmedRaw!$B:$B,$B21,ConfirmedRaw!S:S)</f>
        <v>13</v>
      </c>
      <c r="R21">
        <f>SUMIF(ConfirmedRaw!$B:$B,$B21,ConfirmedRaw!T:T)</f>
        <v>14</v>
      </c>
      <c r="S21">
        <f>SUMIF(ConfirmedRaw!$B:$B,$B21,ConfirmedRaw!U:U)</f>
        <v>15</v>
      </c>
      <c r="T21">
        <f>SUMIF(ConfirmedRaw!$B:$B,$B21,ConfirmedRaw!V:V)</f>
        <v>15</v>
      </c>
      <c r="U21">
        <f>SUMIF(ConfirmedRaw!$B:$B,$B21,ConfirmedRaw!W:W)</f>
        <v>15</v>
      </c>
      <c r="V21">
        <f>SUMIF(ConfirmedRaw!$B:$B,$B21,ConfirmedRaw!X:X)</f>
        <v>15</v>
      </c>
      <c r="W21">
        <f>SUMIF(ConfirmedRaw!$B:$B,$B21,ConfirmedRaw!Y:Y)</f>
        <v>15</v>
      </c>
      <c r="X21">
        <f>SUMIF(ConfirmedRaw!$B:$B,$B21,ConfirmedRaw!Z:Z)</f>
        <v>15</v>
      </c>
      <c r="Y21">
        <f>SUMIF(ConfirmedRaw!$B:$B,$B21,ConfirmedRaw!AA:AA)</f>
        <v>15</v>
      </c>
      <c r="Z21">
        <f>SUMIF(ConfirmedRaw!$B:$B,$B21,ConfirmedRaw!AB:AB)</f>
        <v>15</v>
      </c>
      <c r="AA21">
        <f>SUMIF(ConfirmedRaw!$B:$B,$B21,ConfirmedRaw!AC:AC)</f>
        <v>15</v>
      </c>
      <c r="AB21">
        <f>SUMIF(ConfirmedRaw!$B:$B,$B21,ConfirmedRaw!AD:AD)</f>
        <v>15</v>
      </c>
      <c r="AC21">
        <f>SUMIF(ConfirmedRaw!$B:$B,$B21,ConfirmedRaw!AE:AE)</f>
        <v>15</v>
      </c>
      <c r="AD21">
        <f>SUMIF(ConfirmedRaw!$B:$B,$B21,ConfirmedRaw!AF:AF)</f>
        <v>15</v>
      </c>
      <c r="AE21">
        <f>SUMIF(ConfirmedRaw!$B:$B,$B21,ConfirmedRaw!AG:AG)</f>
        <v>15</v>
      </c>
      <c r="AF21">
        <f>SUMIF(ConfirmedRaw!$B:$B,$B21,ConfirmedRaw!AH:AH)</f>
        <v>15</v>
      </c>
      <c r="AG21">
        <f>SUMIF(ConfirmedRaw!$B:$B,$B21,ConfirmedRaw!AI:AI)</f>
        <v>15</v>
      </c>
      <c r="AH21">
        <f>SUMIF(ConfirmedRaw!$B:$B,$B21,ConfirmedRaw!AJ:AJ)</f>
        <v>15</v>
      </c>
      <c r="AI21">
        <f>SUMIF(ConfirmedRaw!$B:$B,$B21,ConfirmedRaw!AK:AK)</f>
        <v>15</v>
      </c>
      <c r="AJ21">
        <f>SUMIF(ConfirmedRaw!$B:$B,$B21,ConfirmedRaw!AL:AL)</f>
        <v>15</v>
      </c>
      <c r="AK21">
        <f>SUMIF(ConfirmedRaw!$B:$B,$B21,ConfirmedRaw!AM:AM)</f>
        <v>15</v>
      </c>
      <c r="AL21">
        <f>SUMIF(ConfirmedRaw!$B:$B,$B21,ConfirmedRaw!AN:AN)</f>
        <v>15</v>
      </c>
      <c r="AM21">
        <f>SUMIF(ConfirmedRaw!$B:$B,$B21,ConfirmedRaw!AO:AO)</f>
        <v>15</v>
      </c>
      <c r="AN21">
        <f>SUMIF(ConfirmedRaw!$B:$B,$B21,ConfirmedRaw!AP:AP)</f>
        <v>15</v>
      </c>
      <c r="AO21">
        <f>SUMIF(ConfirmedRaw!$B:$B,$B21,ConfirmedRaw!AQ:AQ)</f>
        <v>25</v>
      </c>
      <c r="AP21">
        <f>SUMIF(ConfirmedRaw!$B:$B,$B21,ConfirmedRaw!AR:AR)</f>
        <v>27</v>
      </c>
      <c r="AQ21">
        <f>SUMIF(ConfirmedRaw!$B:$B,$B21,ConfirmedRaw!AS:AS)</f>
        <v>30</v>
      </c>
      <c r="AR21">
        <f>SUMIF(ConfirmedRaw!$B:$B,$B21,ConfirmedRaw!AT:AT)</f>
        <v>39</v>
      </c>
      <c r="AS21">
        <f>SUMIF(ConfirmedRaw!$B:$B,$B21,ConfirmedRaw!AU:AU)</f>
        <v>52</v>
      </c>
      <c r="AT21">
        <f>SUMIF(ConfirmedRaw!$B:$B,$B21,ConfirmedRaw!AV:AV)</f>
        <v>55</v>
      </c>
      <c r="AU21">
        <f>SUMIF(ConfirmedRaw!$B:$B,$B21,ConfirmedRaw!AW:AW)</f>
        <v>60</v>
      </c>
      <c r="AV21">
        <f>SUMIF(ConfirmedRaw!$B:$B,$B21,ConfirmedRaw!AX:AX)</f>
        <v>63</v>
      </c>
      <c r="AW21">
        <f>SUMIF(ConfirmedRaw!$B:$B,$B21,ConfirmedRaw!AY:AY)</f>
        <v>76</v>
      </c>
      <c r="AX21">
        <f>SUMIF(ConfirmedRaw!$B:$B,$B21,ConfirmedRaw!AZ:AZ)</f>
        <v>91</v>
      </c>
      <c r="AY21">
        <f>SUMIF(ConfirmedRaw!$B:$B,$B21,ConfirmedRaw!BA:BA)</f>
        <v>107</v>
      </c>
      <c r="AZ21">
        <f>SUMIF(ConfirmedRaw!$B:$B,$B21,ConfirmedRaw!BB:BB)</f>
        <v>128</v>
      </c>
      <c r="BA21">
        <f>SUMIF(ConfirmedRaw!$B:$B,$B21,ConfirmedRaw!BC:BC)</f>
        <v>128</v>
      </c>
      <c r="BB21">
        <f>SUMIF(ConfirmedRaw!$B:$B,$B21,ConfirmedRaw!BD:BD)</f>
        <v>200</v>
      </c>
      <c r="BC21">
        <f>SUMIF(ConfirmedRaw!$B:$B,$B21,ConfirmedRaw!BE:BE)</f>
        <v>250</v>
      </c>
      <c r="BD21">
        <f>SUMIF(ConfirmedRaw!$B:$B,$B21,ConfirmedRaw!BF:BF)</f>
        <v>297</v>
      </c>
      <c r="BE21">
        <f>SUMIF(ConfirmedRaw!$B:$B,$B21,ConfirmedRaw!BG:BG)</f>
        <v>377</v>
      </c>
      <c r="BF21">
        <f>SUMIF(ConfirmedRaw!$B:$B,$B21,ConfirmedRaw!BH:BH)</f>
        <v>452</v>
      </c>
      <c r="BG21">
        <f>SUMIF(ConfirmedRaw!$B:$B,$B21,ConfirmedRaw!BI:BI)</f>
        <v>568</v>
      </c>
      <c r="BH21">
        <f>SUMIF(ConfirmedRaw!$B:$B,$B21,ConfirmedRaw!BJ:BJ)</f>
        <v>681</v>
      </c>
      <c r="BI21">
        <f>SUMIF(ConfirmedRaw!$B:$B,$B21,ConfirmedRaw!BK:BK)</f>
        <v>791</v>
      </c>
      <c r="BJ21">
        <f>SUMIF(ConfirmedRaw!$B:$B,$B21,ConfirmedRaw!BL:BL)</f>
        <v>1071</v>
      </c>
      <c r="BK21">
        <f>SUMIF(ConfirmedRaw!$B:$B,$B21,ConfirmedRaw!BM:BM)</f>
        <v>1549</v>
      </c>
      <c r="BL21">
        <f>SUMIF(ConfirmedRaw!$B:$B,$B21,ConfirmedRaw!BN:BN)</f>
        <v>1682</v>
      </c>
      <c r="BM21">
        <f>SUMIF(ConfirmedRaw!$B:$B,$B21,ConfirmedRaw!BO:BO)</f>
        <v>2044</v>
      </c>
      <c r="BN21">
        <f>SUMIF(ConfirmedRaw!$B:$B,$B21,ConfirmedRaw!BP:BP)</f>
        <v>2364</v>
      </c>
      <c r="BO21">
        <f>SUMIF(ConfirmedRaw!$B:$B,$B21,ConfirmedRaw!BQ:BQ)</f>
        <v>2810</v>
      </c>
      <c r="BP21">
        <f>SUMIF(ConfirmedRaw!$B:$B,$B21,ConfirmedRaw!BR:BR)</f>
        <v>3143</v>
      </c>
      <c r="BQ21">
        <f>SUMIF(ConfirmedRaw!$B:$B,$B21,ConfirmedRaw!BS:BS)</f>
        <v>3640</v>
      </c>
      <c r="BR21">
        <f>SUMIF(ConfirmedRaw!$B:$B,$B21,ConfirmedRaw!BT:BT)</f>
        <v>0</v>
      </c>
      <c r="BS21">
        <f>SUMIF(ConfirmedRaw!$B:$B,$B21,ConfirmedRaw!BU:BU)</f>
        <v>0</v>
      </c>
      <c r="BT21">
        <f>SUMIF(ConfirmedRaw!$B:$B,$B21,ConfirmedRaw!BV:BV)</f>
        <v>0</v>
      </c>
      <c r="BU21">
        <f>SUMIF(ConfirmedRaw!$B:$B,$B21,ConfirmedRaw!BW:BW)</f>
        <v>0</v>
      </c>
    </row>
    <row r="22" spans="1:73" ht="15" thickBot="1" x14ac:dyDescent="0.35">
      <c r="A22" s="97" t="str">
        <f>VLOOKUP(B22,Country_Data!B:Q,16,FALSE)</f>
        <v>Asia</v>
      </c>
      <c r="B22" s="3" t="s">
        <v>40</v>
      </c>
      <c r="C22">
        <f>SUMIF(ConfirmedRaw!$B:$B,$B22,ConfirmedRaw!E:E)</f>
        <v>0</v>
      </c>
      <c r="D22">
        <f>SUMIF(ConfirmedRaw!$B:$B,$B22,ConfirmedRaw!F:F)</f>
        <v>1</v>
      </c>
      <c r="E22">
        <f>SUMIF(ConfirmedRaw!$B:$B,$B22,ConfirmedRaw!G:G)</f>
        <v>3</v>
      </c>
      <c r="F22">
        <f>SUMIF(ConfirmedRaw!$B:$B,$B22,ConfirmedRaw!H:H)</f>
        <v>3</v>
      </c>
      <c r="G22">
        <f>SUMIF(ConfirmedRaw!$B:$B,$B22,ConfirmedRaw!I:I)</f>
        <v>4</v>
      </c>
      <c r="H22">
        <f>SUMIF(ConfirmedRaw!$B:$B,$B22,ConfirmedRaw!J:J)</f>
        <v>5</v>
      </c>
      <c r="I22">
        <f>SUMIF(ConfirmedRaw!$B:$B,$B22,ConfirmedRaw!K:K)</f>
        <v>7</v>
      </c>
      <c r="J22">
        <f>SUMIF(ConfirmedRaw!$B:$B,$B22,ConfirmedRaw!L:L)</f>
        <v>7</v>
      </c>
      <c r="K22">
        <f>SUMIF(ConfirmedRaw!$B:$B,$B22,ConfirmedRaw!M:M)</f>
        <v>10</v>
      </c>
      <c r="L22">
        <f>SUMIF(ConfirmedRaw!$B:$B,$B22,ConfirmedRaw!N:N)</f>
        <v>13</v>
      </c>
      <c r="M22">
        <f>SUMIF(ConfirmedRaw!$B:$B,$B22,ConfirmedRaw!O:O)</f>
        <v>16</v>
      </c>
      <c r="N22">
        <f>SUMIF(ConfirmedRaw!$B:$B,$B22,ConfirmedRaw!P:P)</f>
        <v>18</v>
      </c>
      <c r="O22">
        <f>SUMIF(ConfirmedRaw!$B:$B,$B22,ConfirmedRaw!Q:Q)</f>
        <v>18</v>
      </c>
      <c r="P22">
        <f>SUMIF(ConfirmedRaw!$B:$B,$B22,ConfirmedRaw!R:R)</f>
        <v>24</v>
      </c>
      <c r="Q22">
        <f>SUMIF(ConfirmedRaw!$B:$B,$B22,ConfirmedRaw!S:S)</f>
        <v>28</v>
      </c>
      <c r="R22">
        <f>SUMIF(ConfirmedRaw!$B:$B,$B22,ConfirmedRaw!T:T)</f>
        <v>28</v>
      </c>
      <c r="S22">
        <f>SUMIF(ConfirmedRaw!$B:$B,$B22,ConfirmedRaw!U:U)</f>
        <v>30</v>
      </c>
      <c r="T22">
        <f>SUMIF(ConfirmedRaw!$B:$B,$B22,ConfirmedRaw!V:V)</f>
        <v>33</v>
      </c>
      <c r="U22">
        <f>SUMIF(ConfirmedRaw!$B:$B,$B22,ConfirmedRaw!W:W)</f>
        <v>40</v>
      </c>
      <c r="V22">
        <f>SUMIF(ConfirmedRaw!$B:$B,$B22,ConfirmedRaw!X:X)</f>
        <v>45</v>
      </c>
      <c r="W22">
        <f>SUMIF(ConfirmedRaw!$B:$B,$B22,ConfirmedRaw!Y:Y)</f>
        <v>47</v>
      </c>
      <c r="X22">
        <f>SUMIF(ConfirmedRaw!$B:$B,$B22,ConfirmedRaw!Z:Z)</f>
        <v>50</v>
      </c>
      <c r="Y22">
        <f>SUMIF(ConfirmedRaw!$B:$B,$B22,ConfirmedRaw!AA:AA)</f>
        <v>58</v>
      </c>
      <c r="Z22">
        <f>SUMIF(ConfirmedRaw!$B:$B,$B22,ConfirmedRaw!AB:AB)</f>
        <v>67</v>
      </c>
      <c r="AA22">
        <f>SUMIF(ConfirmedRaw!$B:$B,$B22,ConfirmedRaw!AC:AC)</f>
        <v>72</v>
      </c>
      <c r="AB22">
        <f>SUMIF(ConfirmedRaw!$B:$B,$B22,ConfirmedRaw!AD:AD)</f>
        <v>75</v>
      </c>
      <c r="AC22">
        <f>SUMIF(ConfirmedRaw!$B:$B,$B22,ConfirmedRaw!AE:AE)</f>
        <v>77</v>
      </c>
      <c r="AD22">
        <f>SUMIF(ConfirmedRaw!$B:$B,$B22,ConfirmedRaw!AF:AF)</f>
        <v>81</v>
      </c>
      <c r="AE22">
        <f>SUMIF(ConfirmedRaw!$B:$B,$B22,ConfirmedRaw!AG:AG)</f>
        <v>84</v>
      </c>
      <c r="AF22">
        <f>SUMIF(ConfirmedRaw!$B:$B,$B22,ConfirmedRaw!AH:AH)</f>
        <v>84</v>
      </c>
      <c r="AG22">
        <f>SUMIF(ConfirmedRaw!$B:$B,$B22,ConfirmedRaw!AI:AI)</f>
        <v>85</v>
      </c>
      <c r="AH22">
        <f>SUMIF(ConfirmedRaw!$B:$B,$B22,ConfirmedRaw!AJ:AJ)</f>
        <v>85</v>
      </c>
      <c r="AI22">
        <f>SUMIF(ConfirmedRaw!$B:$B,$B22,ConfirmedRaw!AK:AK)</f>
        <v>89</v>
      </c>
      <c r="AJ22">
        <f>SUMIF(ConfirmedRaw!$B:$B,$B22,ConfirmedRaw!AL:AL)</f>
        <v>89</v>
      </c>
      <c r="AK22">
        <f>SUMIF(ConfirmedRaw!$B:$B,$B22,ConfirmedRaw!AM:AM)</f>
        <v>91</v>
      </c>
      <c r="AL22">
        <f>SUMIF(ConfirmedRaw!$B:$B,$B22,ConfirmedRaw!AN:AN)</f>
        <v>93</v>
      </c>
      <c r="AM22">
        <f>SUMIF(ConfirmedRaw!$B:$B,$B22,ConfirmedRaw!AO:AO)</f>
        <v>93</v>
      </c>
      <c r="AN22">
        <f>SUMIF(ConfirmedRaw!$B:$B,$B22,ConfirmedRaw!AP:AP)</f>
        <v>93</v>
      </c>
      <c r="AO22">
        <f>SUMIF(ConfirmedRaw!$B:$B,$B22,ConfirmedRaw!AQ:AQ)</f>
        <v>102</v>
      </c>
      <c r="AP22">
        <f>SUMIF(ConfirmedRaw!$B:$B,$B22,ConfirmedRaw!AR:AR)</f>
        <v>106</v>
      </c>
      <c r="AQ22">
        <f>SUMIF(ConfirmedRaw!$B:$B,$B22,ConfirmedRaw!AS:AS)</f>
        <v>108</v>
      </c>
      <c r="AR22">
        <f>SUMIF(ConfirmedRaw!$B:$B,$B22,ConfirmedRaw!AT:AT)</f>
        <v>110</v>
      </c>
      <c r="AS22">
        <f>SUMIF(ConfirmedRaw!$B:$B,$B22,ConfirmedRaw!AU:AU)</f>
        <v>110</v>
      </c>
      <c r="AT22">
        <f>SUMIF(ConfirmedRaw!$B:$B,$B22,ConfirmedRaw!AV:AV)</f>
        <v>117</v>
      </c>
      <c r="AU22">
        <f>SUMIF(ConfirmedRaw!$B:$B,$B22,ConfirmedRaw!AW:AW)</f>
        <v>130</v>
      </c>
      <c r="AV22">
        <f>SUMIF(ConfirmedRaw!$B:$B,$B22,ConfirmedRaw!AX:AX)</f>
        <v>138</v>
      </c>
      <c r="AW22">
        <f>SUMIF(ConfirmedRaw!$B:$B,$B22,ConfirmedRaw!AY:AY)</f>
        <v>150</v>
      </c>
      <c r="AX22">
        <f>SUMIF(ConfirmedRaw!$B:$B,$B22,ConfirmedRaw!AZ:AZ)</f>
        <v>150</v>
      </c>
      <c r="AY22">
        <f>SUMIF(ConfirmedRaw!$B:$B,$B22,ConfirmedRaw!BA:BA)</f>
        <v>160</v>
      </c>
      <c r="AZ22">
        <f>SUMIF(ConfirmedRaw!$B:$B,$B22,ConfirmedRaw!BB:BB)</f>
        <v>178</v>
      </c>
      <c r="BA22">
        <f>SUMIF(ConfirmedRaw!$B:$B,$B22,ConfirmedRaw!BC:BC)</f>
        <v>178</v>
      </c>
      <c r="BB22">
        <f>SUMIF(ConfirmedRaw!$B:$B,$B22,ConfirmedRaw!BD:BD)</f>
        <v>200</v>
      </c>
      <c r="BC22">
        <f>SUMIF(ConfirmedRaw!$B:$B,$B22,ConfirmedRaw!BE:BE)</f>
        <v>212</v>
      </c>
      <c r="BD22">
        <f>SUMIF(ConfirmedRaw!$B:$B,$B22,ConfirmedRaw!BF:BF)</f>
        <v>226</v>
      </c>
      <c r="BE22">
        <f>SUMIF(ConfirmedRaw!$B:$B,$B22,ConfirmedRaw!BG:BG)</f>
        <v>243</v>
      </c>
      <c r="BF22">
        <f>SUMIF(ConfirmedRaw!$B:$B,$B22,ConfirmedRaw!BH:BH)</f>
        <v>266</v>
      </c>
      <c r="BG22">
        <f>SUMIF(ConfirmedRaw!$B:$B,$B22,ConfirmedRaw!BI:BI)</f>
        <v>313</v>
      </c>
      <c r="BH22">
        <f>SUMIF(ConfirmedRaw!$B:$B,$B22,ConfirmedRaw!BJ:BJ)</f>
        <v>345</v>
      </c>
      <c r="BI22">
        <f>SUMIF(ConfirmedRaw!$B:$B,$B22,ConfirmedRaw!BK:BK)</f>
        <v>385</v>
      </c>
      <c r="BJ22">
        <f>SUMIF(ConfirmedRaw!$B:$B,$B22,ConfirmedRaw!BL:BL)</f>
        <v>432</v>
      </c>
      <c r="BK22">
        <f>SUMIF(ConfirmedRaw!$B:$B,$B22,ConfirmedRaw!BM:BM)</f>
        <v>455</v>
      </c>
      <c r="BL22">
        <f>SUMIF(ConfirmedRaw!$B:$B,$B22,ConfirmedRaw!BN:BN)</f>
        <v>509</v>
      </c>
      <c r="BM22">
        <f>SUMIF(ConfirmedRaw!$B:$B,$B22,ConfirmedRaw!BO:BO)</f>
        <v>558</v>
      </c>
      <c r="BN22">
        <f>SUMIF(ConfirmedRaw!$B:$B,$B22,ConfirmedRaw!BP:BP)</f>
        <v>631</v>
      </c>
      <c r="BO22">
        <f>SUMIF(ConfirmedRaw!$B:$B,$B22,ConfirmedRaw!BQ:BQ)</f>
        <v>683</v>
      </c>
      <c r="BP22">
        <f>SUMIF(ConfirmedRaw!$B:$B,$B22,ConfirmedRaw!BR:BR)</f>
        <v>732</v>
      </c>
      <c r="BQ22">
        <f>SUMIF(ConfirmedRaw!$B:$B,$B22,ConfirmedRaw!BS:BS)</f>
        <v>802</v>
      </c>
      <c r="BR22">
        <f>SUMIF(ConfirmedRaw!$B:$B,$B22,ConfirmedRaw!BT:BT)</f>
        <v>0</v>
      </c>
      <c r="BS22">
        <f>SUMIF(ConfirmedRaw!$B:$B,$B22,ConfirmedRaw!BU:BU)</f>
        <v>0</v>
      </c>
      <c r="BT22">
        <f>SUMIF(ConfirmedRaw!$B:$B,$B22,ConfirmedRaw!BV:BV)</f>
        <v>0</v>
      </c>
      <c r="BU22">
        <f>SUMIF(ConfirmedRaw!$B:$B,$B22,ConfirmedRaw!BW:BW)</f>
        <v>0</v>
      </c>
    </row>
    <row r="23" spans="1:73" ht="15" thickBot="1" x14ac:dyDescent="0.35">
      <c r="A23" s="97" t="str">
        <f>VLOOKUP(B23,Country_Data!B:Q,16,FALSE)</f>
        <v>Asia</v>
      </c>
      <c r="B23" s="3" t="s">
        <v>43</v>
      </c>
      <c r="C23">
        <f>SUMIF(ConfirmedRaw!$B:$B,$B23,ConfirmedRaw!E:E)</f>
        <v>0</v>
      </c>
      <c r="D23">
        <f>SUMIF(ConfirmedRaw!$B:$B,$B23,ConfirmedRaw!F:F)</f>
        <v>0</v>
      </c>
      <c r="E23">
        <f>SUMIF(ConfirmedRaw!$B:$B,$B23,ConfirmedRaw!G:G)</f>
        <v>0</v>
      </c>
      <c r="F23">
        <f>SUMIF(ConfirmedRaw!$B:$B,$B23,ConfirmedRaw!H:H)</f>
        <v>3</v>
      </c>
      <c r="G23">
        <f>SUMIF(ConfirmedRaw!$B:$B,$B23,ConfirmedRaw!I:I)</f>
        <v>4</v>
      </c>
      <c r="H23">
        <f>SUMIF(ConfirmedRaw!$B:$B,$B23,ConfirmedRaw!J:J)</f>
        <v>4</v>
      </c>
      <c r="I23">
        <f>SUMIF(ConfirmedRaw!$B:$B,$B23,ConfirmedRaw!K:K)</f>
        <v>4</v>
      </c>
      <c r="J23">
        <f>SUMIF(ConfirmedRaw!$B:$B,$B23,ConfirmedRaw!L:L)</f>
        <v>7</v>
      </c>
      <c r="K23">
        <f>SUMIF(ConfirmedRaw!$B:$B,$B23,ConfirmedRaw!M:M)</f>
        <v>8</v>
      </c>
      <c r="L23">
        <f>SUMIF(ConfirmedRaw!$B:$B,$B23,ConfirmedRaw!N:N)</f>
        <v>8</v>
      </c>
      <c r="M23">
        <f>SUMIF(ConfirmedRaw!$B:$B,$B23,ConfirmedRaw!O:O)</f>
        <v>8</v>
      </c>
      <c r="N23">
        <f>SUMIF(ConfirmedRaw!$B:$B,$B23,ConfirmedRaw!P:P)</f>
        <v>8</v>
      </c>
      <c r="O23">
        <f>SUMIF(ConfirmedRaw!$B:$B,$B23,ConfirmedRaw!Q:Q)</f>
        <v>8</v>
      </c>
      <c r="P23">
        <f>SUMIF(ConfirmedRaw!$B:$B,$B23,ConfirmedRaw!R:R)</f>
        <v>10</v>
      </c>
      <c r="Q23">
        <f>SUMIF(ConfirmedRaw!$B:$B,$B23,ConfirmedRaw!S:S)</f>
        <v>12</v>
      </c>
      <c r="R23">
        <f>SUMIF(ConfirmedRaw!$B:$B,$B23,ConfirmedRaw!T:T)</f>
        <v>12</v>
      </c>
      <c r="S23">
        <f>SUMIF(ConfirmedRaw!$B:$B,$B23,ConfirmedRaw!U:U)</f>
        <v>12</v>
      </c>
      <c r="T23">
        <f>SUMIF(ConfirmedRaw!$B:$B,$B23,ConfirmedRaw!V:V)</f>
        <v>16</v>
      </c>
      <c r="U23">
        <f>SUMIF(ConfirmedRaw!$B:$B,$B23,ConfirmedRaw!W:W)</f>
        <v>16</v>
      </c>
      <c r="V23">
        <f>SUMIF(ConfirmedRaw!$B:$B,$B23,ConfirmedRaw!X:X)</f>
        <v>18</v>
      </c>
      <c r="W23">
        <f>SUMIF(ConfirmedRaw!$B:$B,$B23,ConfirmedRaw!Y:Y)</f>
        <v>18</v>
      </c>
      <c r="X23">
        <f>SUMIF(ConfirmedRaw!$B:$B,$B23,ConfirmedRaw!Z:Z)</f>
        <v>18</v>
      </c>
      <c r="Y23">
        <f>SUMIF(ConfirmedRaw!$B:$B,$B23,ConfirmedRaw!AA:AA)</f>
        <v>19</v>
      </c>
      <c r="Z23">
        <f>SUMIF(ConfirmedRaw!$B:$B,$B23,ConfirmedRaw!AB:AB)</f>
        <v>19</v>
      </c>
      <c r="AA23">
        <f>SUMIF(ConfirmedRaw!$B:$B,$B23,ConfirmedRaw!AC:AC)</f>
        <v>22</v>
      </c>
      <c r="AB23">
        <f>SUMIF(ConfirmedRaw!$B:$B,$B23,ConfirmedRaw!AD:AD)</f>
        <v>22</v>
      </c>
      <c r="AC23">
        <f>SUMIF(ConfirmedRaw!$B:$B,$B23,ConfirmedRaw!AE:AE)</f>
        <v>22</v>
      </c>
      <c r="AD23">
        <f>SUMIF(ConfirmedRaw!$B:$B,$B23,ConfirmedRaw!AF:AF)</f>
        <v>22</v>
      </c>
      <c r="AE23">
        <f>SUMIF(ConfirmedRaw!$B:$B,$B23,ConfirmedRaw!AG:AG)</f>
        <v>22</v>
      </c>
      <c r="AF23">
        <f>SUMIF(ConfirmedRaw!$B:$B,$B23,ConfirmedRaw!AH:AH)</f>
        <v>22</v>
      </c>
      <c r="AG23">
        <f>SUMIF(ConfirmedRaw!$B:$B,$B23,ConfirmedRaw!AI:AI)</f>
        <v>22</v>
      </c>
      <c r="AH23">
        <f>SUMIF(ConfirmedRaw!$B:$B,$B23,ConfirmedRaw!AJ:AJ)</f>
        <v>22</v>
      </c>
      <c r="AI23">
        <f>SUMIF(ConfirmedRaw!$B:$B,$B23,ConfirmedRaw!AK:AK)</f>
        <v>22</v>
      </c>
      <c r="AJ23">
        <f>SUMIF(ConfirmedRaw!$B:$B,$B23,ConfirmedRaw!AL:AL)</f>
        <v>22</v>
      </c>
      <c r="AK23">
        <f>SUMIF(ConfirmedRaw!$B:$B,$B23,ConfirmedRaw!AM:AM)</f>
        <v>22</v>
      </c>
      <c r="AL23">
        <f>SUMIF(ConfirmedRaw!$B:$B,$B23,ConfirmedRaw!AN:AN)</f>
        <v>22</v>
      </c>
      <c r="AM23">
        <f>SUMIF(ConfirmedRaw!$B:$B,$B23,ConfirmedRaw!AO:AO)</f>
        <v>23</v>
      </c>
      <c r="AN23">
        <f>SUMIF(ConfirmedRaw!$B:$B,$B23,ConfirmedRaw!AP:AP)</f>
        <v>23</v>
      </c>
      <c r="AO23">
        <f>SUMIF(ConfirmedRaw!$B:$B,$B23,ConfirmedRaw!AQ:AQ)</f>
        <v>25</v>
      </c>
      <c r="AP23">
        <f>SUMIF(ConfirmedRaw!$B:$B,$B23,ConfirmedRaw!AR:AR)</f>
        <v>29</v>
      </c>
      <c r="AQ23">
        <f>SUMIF(ConfirmedRaw!$B:$B,$B23,ConfirmedRaw!AS:AS)</f>
        <v>29</v>
      </c>
      <c r="AR23">
        <f>SUMIF(ConfirmedRaw!$B:$B,$B23,ConfirmedRaw!AT:AT)</f>
        <v>36</v>
      </c>
      <c r="AS23">
        <f>SUMIF(ConfirmedRaw!$B:$B,$B23,ConfirmedRaw!AU:AU)</f>
        <v>50</v>
      </c>
      <c r="AT23">
        <f>SUMIF(ConfirmedRaw!$B:$B,$B23,ConfirmedRaw!AV:AV)</f>
        <v>50</v>
      </c>
      <c r="AU23">
        <f>SUMIF(ConfirmedRaw!$B:$B,$B23,ConfirmedRaw!AW:AW)</f>
        <v>83</v>
      </c>
      <c r="AV23">
        <f>SUMIF(ConfirmedRaw!$B:$B,$B23,ConfirmedRaw!AX:AX)</f>
        <v>93</v>
      </c>
      <c r="AW23">
        <f>SUMIF(ConfirmedRaw!$B:$B,$B23,ConfirmedRaw!AY:AY)</f>
        <v>99</v>
      </c>
      <c r="AX23">
        <f>SUMIF(ConfirmedRaw!$B:$B,$B23,ConfirmedRaw!AZ:AZ)</f>
        <v>117</v>
      </c>
      <c r="AY23">
        <f>SUMIF(ConfirmedRaw!$B:$B,$B23,ConfirmedRaw!BA:BA)</f>
        <v>129</v>
      </c>
      <c r="AZ23">
        <f>SUMIF(ConfirmedRaw!$B:$B,$B23,ConfirmedRaw!BB:BB)</f>
        <v>149</v>
      </c>
      <c r="BA23">
        <f>SUMIF(ConfirmedRaw!$B:$B,$B23,ConfirmedRaw!BC:BC)</f>
        <v>149</v>
      </c>
      <c r="BB23">
        <f>SUMIF(ConfirmedRaw!$B:$B,$B23,ConfirmedRaw!BD:BD)</f>
        <v>197</v>
      </c>
      <c r="BC23">
        <f>SUMIF(ConfirmedRaw!$B:$B,$B23,ConfirmedRaw!BE:BE)</f>
        <v>238</v>
      </c>
      <c r="BD23">
        <f>SUMIF(ConfirmedRaw!$B:$B,$B23,ConfirmedRaw!BF:BF)</f>
        <v>428</v>
      </c>
      <c r="BE23">
        <f>SUMIF(ConfirmedRaw!$B:$B,$B23,ConfirmedRaw!BG:BG)</f>
        <v>566</v>
      </c>
      <c r="BF23">
        <f>SUMIF(ConfirmedRaw!$B:$B,$B23,ConfirmedRaw!BH:BH)</f>
        <v>673</v>
      </c>
      <c r="BG23">
        <f>SUMIF(ConfirmedRaw!$B:$B,$B23,ConfirmedRaw!BI:BI)</f>
        <v>790</v>
      </c>
      <c r="BH23">
        <f>SUMIF(ConfirmedRaw!$B:$B,$B23,ConfirmedRaw!BJ:BJ)</f>
        <v>900</v>
      </c>
      <c r="BI23">
        <f>SUMIF(ConfirmedRaw!$B:$B,$B23,ConfirmedRaw!BK:BK)</f>
        <v>1030</v>
      </c>
      <c r="BJ23">
        <f>SUMIF(ConfirmedRaw!$B:$B,$B23,ConfirmedRaw!BL:BL)</f>
        <v>1183</v>
      </c>
      <c r="BK23">
        <f>SUMIF(ConfirmedRaw!$B:$B,$B23,ConfirmedRaw!BM:BM)</f>
        <v>1306</v>
      </c>
      <c r="BL23">
        <f>SUMIF(ConfirmedRaw!$B:$B,$B23,ConfirmedRaw!BN:BN)</f>
        <v>1518</v>
      </c>
      <c r="BM23">
        <f>SUMIF(ConfirmedRaw!$B:$B,$B23,ConfirmedRaw!BO:BO)</f>
        <v>1624</v>
      </c>
      <c r="BN23">
        <f>SUMIF(ConfirmedRaw!$B:$B,$B23,ConfirmedRaw!BP:BP)</f>
        <v>1796</v>
      </c>
      <c r="BO23">
        <f>SUMIF(ConfirmedRaw!$B:$B,$B23,ConfirmedRaw!BQ:BQ)</f>
        <v>2031</v>
      </c>
      <c r="BP23">
        <f>SUMIF(ConfirmedRaw!$B:$B,$B23,ConfirmedRaw!BR:BR)</f>
        <v>2161</v>
      </c>
      <c r="BQ23">
        <f>SUMIF(ConfirmedRaw!$B:$B,$B23,ConfirmedRaw!BS:BS)</f>
        <v>2320</v>
      </c>
      <c r="BR23">
        <f>SUMIF(ConfirmedRaw!$B:$B,$B23,ConfirmedRaw!BT:BT)</f>
        <v>0</v>
      </c>
      <c r="BS23">
        <f>SUMIF(ConfirmedRaw!$B:$B,$B23,ConfirmedRaw!BU:BU)</f>
        <v>0</v>
      </c>
      <c r="BT23">
        <f>SUMIF(ConfirmedRaw!$B:$B,$B23,ConfirmedRaw!BV:BV)</f>
        <v>0</v>
      </c>
      <c r="BU23">
        <f>SUMIF(ConfirmedRaw!$B:$B,$B23,ConfirmedRaw!BW:BW)</f>
        <v>0</v>
      </c>
    </row>
    <row r="24" spans="1:73" ht="15" thickBot="1" x14ac:dyDescent="0.35">
      <c r="A24" s="97" t="str">
        <f>VLOOKUP(B24,Country_Data!B:Q,16,FALSE)</f>
        <v>North America</v>
      </c>
      <c r="B24" s="4" t="s">
        <v>45</v>
      </c>
      <c r="C24">
        <f>SUMIF(ConfirmedRaw!$B:$B,$B24,ConfirmedRaw!E:E)</f>
        <v>0</v>
      </c>
      <c r="D24">
        <f>SUMIF(ConfirmedRaw!$B:$B,$B24,ConfirmedRaw!F:F)</f>
        <v>0</v>
      </c>
      <c r="E24">
        <f>SUMIF(ConfirmedRaw!$B:$B,$B24,ConfirmedRaw!G:G)</f>
        <v>0</v>
      </c>
      <c r="F24">
        <f>SUMIF(ConfirmedRaw!$B:$B,$B24,ConfirmedRaw!H:H)</f>
        <v>0</v>
      </c>
      <c r="G24">
        <f>SUMIF(ConfirmedRaw!$B:$B,$B24,ConfirmedRaw!I:I)</f>
        <v>1</v>
      </c>
      <c r="H24">
        <f>SUMIF(ConfirmedRaw!$B:$B,$B24,ConfirmedRaw!J:J)</f>
        <v>1</v>
      </c>
      <c r="I24">
        <f>SUMIF(ConfirmedRaw!$B:$B,$B24,ConfirmedRaw!K:K)</f>
        <v>2</v>
      </c>
      <c r="J24">
        <f>SUMIF(ConfirmedRaw!$B:$B,$B24,ConfirmedRaw!L:L)</f>
        <v>2</v>
      </c>
      <c r="K24">
        <f>SUMIF(ConfirmedRaw!$B:$B,$B24,ConfirmedRaw!M:M)</f>
        <v>2</v>
      </c>
      <c r="L24">
        <f>SUMIF(ConfirmedRaw!$B:$B,$B24,ConfirmedRaw!N:N)</f>
        <v>4</v>
      </c>
      <c r="M24">
        <f>SUMIF(ConfirmedRaw!$B:$B,$B24,ConfirmedRaw!O:O)</f>
        <v>4</v>
      </c>
      <c r="N24">
        <f>SUMIF(ConfirmedRaw!$B:$B,$B24,ConfirmedRaw!P:P)</f>
        <v>4</v>
      </c>
      <c r="O24">
        <f>SUMIF(ConfirmedRaw!$B:$B,$B24,ConfirmedRaw!Q:Q)</f>
        <v>4</v>
      </c>
      <c r="P24">
        <f>SUMIF(ConfirmedRaw!$B:$B,$B24,ConfirmedRaw!R:R)</f>
        <v>4</v>
      </c>
      <c r="Q24">
        <f>SUMIF(ConfirmedRaw!$B:$B,$B24,ConfirmedRaw!S:S)</f>
        <v>5</v>
      </c>
      <c r="R24">
        <f>SUMIF(ConfirmedRaw!$B:$B,$B24,ConfirmedRaw!T:T)</f>
        <v>5</v>
      </c>
      <c r="S24">
        <f>SUMIF(ConfirmedRaw!$B:$B,$B24,ConfirmedRaw!U:U)</f>
        <v>7</v>
      </c>
      <c r="T24">
        <f>SUMIF(ConfirmedRaw!$B:$B,$B24,ConfirmedRaw!V:V)</f>
        <v>7</v>
      </c>
      <c r="U24">
        <f>SUMIF(ConfirmedRaw!$B:$B,$B24,ConfirmedRaw!W:W)</f>
        <v>7</v>
      </c>
      <c r="V24">
        <f>SUMIF(ConfirmedRaw!$B:$B,$B24,ConfirmedRaw!X:X)</f>
        <v>7</v>
      </c>
      <c r="W24">
        <f>SUMIF(ConfirmedRaw!$B:$B,$B24,ConfirmedRaw!Y:Y)</f>
        <v>7</v>
      </c>
      <c r="X24">
        <f>SUMIF(ConfirmedRaw!$B:$B,$B24,ConfirmedRaw!Z:Z)</f>
        <v>7</v>
      </c>
      <c r="Y24">
        <f>SUMIF(ConfirmedRaw!$B:$B,$B24,ConfirmedRaw!AA:AA)</f>
        <v>7</v>
      </c>
      <c r="Z24">
        <f>SUMIF(ConfirmedRaw!$B:$B,$B24,ConfirmedRaw!AB:AB)</f>
        <v>7</v>
      </c>
      <c r="AA24">
        <f>SUMIF(ConfirmedRaw!$B:$B,$B24,ConfirmedRaw!AC:AC)</f>
        <v>7</v>
      </c>
      <c r="AB24">
        <f>SUMIF(ConfirmedRaw!$B:$B,$B24,ConfirmedRaw!AD:AD)</f>
        <v>7</v>
      </c>
      <c r="AC24">
        <f>SUMIF(ConfirmedRaw!$B:$B,$B24,ConfirmedRaw!AE:AE)</f>
        <v>8</v>
      </c>
      <c r="AD24">
        <f>SUMIF(ConfirmedRaw!$B:$B,$B24,ConfirmedRaw!AF:AF)</f>
        <v>8</v>
      </c>
      <c r="AE24">
        <f>SUMIF(ConfirmedRaw!$B:$B,$B24,ConfirmedRaw!AG:AG)</f>
        <v>8</v>
      </c>
      <c r="AF24">
        <f>SUMIF(ConfirmedRaw!$B:$B,$B24,ConfirmedRaw!AH:AH)</f>
        <v>8</v>
      </c>
      <c r="AG24">
        <f>SUMIF(ConfirmedRaw!$B:$B,$B24,ConfirmedRaw!AI:AI)</f>
        <v>9</v>
      </c>
      <c r="AH24">
        <f>SUMIF(ConfirmedRaw!$B:$B,$B24,ConfirmedRaw!AJ:AJ)</f>
        <v>9</v>
      </c>
      <c r="AI24">
        <f>SUMIF(ConfirmedRaw!$B:$B,$B24,ConfirmedRaw!AK:AK)</f>
        <v>9</v>
      </c>
      <c r="AJ24">
        <f>SUMIF(ConfirmedRaw!$B:$B,$B24,ConfirmedRaw!AL:AL)</f>
        <v>10</v>
      </c>
      <c r="AK24">
        <f>SUMIF(ConfirmedRaw!$B:$B,$B24,ConfirmedRaw!AM:AM)</f>
        <v>11</v>
      </c>
      <c r="AL24">
        <f>SUMIF(ConfirmedRaw!$B:$B,$B24,ConfirmedRaw!AN:AN)</f>
        <v>11</v>
      </c>
      <c r="AM24">
        <f>SUMIF(ConfirmedRaw!$B:$B,$B24,ConfirmedRaw!AO:AO)</f>
        <v>13</v>
      </c>
      <c r="AN24">
        <f>SUMIF(ConfirmedRaw!$B:$B,$B24,ConfirmedRaw!AP:AP)</f>
        <v>14</v>
      </c>
      <c r="AO24">
        <f>SUMIF(ConfirmedRaw!$B:$B,$B24,ConfirmedRaw!AQ:AQ)</f>
        <v>20</v>
      </c>
      <c r="AP24">
        <f>SUMIF(ConfirmedRaw!$B:$B,$B24,ConfirmedRaw!AR:AR)</f>
        <v>24</v>
      </c>
      <c r="AQ24">
        <f>SUMIF(ConfirmedRaw!$B:$B,$B24,ConfirmedRaw!AS:AS)</f>
        <v>27</v>
      </c>
      <c r="AR24">
        <f>SUMIF(ConfirmedRaw!$B:$B,$B24,ConfirmedRaw!AT:AT)</f>
        <v>30</v>
      </c>
      <c r="AS24">
        <f>SUMIF(ConfirmedRaw!$B:$B,$B24,ConfirmedRaw!AU:AU)</f>
        <v>33</v>
      </c>
      <c r="AT24">
        <f>SUMIF(ConfirmedRaw!$B:$B,$B24,ConfirmedRaw!AV:AV)</f>
        <v>37</v>
      </c>
      <c r="AU24">
        <f>SUMIF(ConfirmedRaw!$B:$B,$B24,ConfirmedRaw!AW:AW)</f>
        <v>49</v>
      </c>
      <c r="AV24">
        <f>SUMIF(ConfirmedRaw!$B:$B,$B24,ConfirmedRaw!AX:AX)</f>
        <v>54</v>
      </c>
      <c r="AW24">
        <f>SUMIF(ConfirmedRaw!$B:$B,$B24,ConfirmedRaw!AY:AY)</f>
        <v>64</v>
      </c>
      <c r="AX24">
        <f>SUMIF(ConfirmedRaw!$B:$B,$B24,ConfirmedRaw!AZ:AZ)</f>
        <v>77</v>
      </c>
      <c r="AY24">
        <f>SUMIF(ConfirmedRaw!$B:$B,$B24,ConfirmedRaw!BA:BA)</f>
        <v>79</v>
      </c>
      <c r="AZ24">
        <f>SUMIF(ConfirmedRaw!$B:$B,$B24,ConfirmedRaw!BB:BB)</f>
        <v>108</v>
      </c>
      <c r="BA24">
        <f>SUMIF(ConfirmedRaw!$B:$B,$B24,ConfirmedRaw!BC:BC)</f>
        <v>117</v>
      </c>
      <c r="BB24">
        <f>SUMIF(ConfirmedRaw!$B:$B,$B24,ConfirmedRaw!BD:BD)</f>
        <v>193</v>
      </c>
      <c r="BC24">
        <f>SUMIF(ConfirmedRaw!$B:$B,$B24,ConfirmedRaw!BE:BE)</f>
        <v>198</v>
      </c>
      <c r="BD24">
        <f>SUMIF(ConfirmedRaw!$B:$B,$B24,ConfirmedRaw!BF:BF)</f>
        <v>252</v>
      </c>
      <c r="BE24">
        <f>SUMIF(ConfirmedRaw!$B:$B,$B24,ConfirmedRaw!BG:BG)</f>
        <v>415</v>
      </c>
      <c r="BF24">
        <f>SUMIF(ConfirmedRaw!$B:$B,$B24,ConfirmedRaw!BH:BH)</f>
        <v>478</v>
      </c>
      <c r="BG24">
        <f>SUMIF(ConfirmedRaw!$B:$B,$B24,ConfirmedRaw!BI:BI)</f>
        <v>657</v>
      </c>
      <c r="BH24">
        <f>SUMIF(ConfirmedRaw!$B:$B,$B24,ConfirmedRaw!BJ:BJ)</f>
        <v>800</v>
      </c>
      <c r="BI24">
        <f>SUMIF(ConfirmedRaw!$B:$B,$B24,ConfirmedRaw!BK:BK)</f>
        <v>943</v>
      </c>
      <c r="BJ24">
        <f>SUMIF(ConfirmedRaw!$B:$B,$B24,ConfirmedRaw!BL:BL)</f>
        <v>1277</v>
      </c>
      <c r="BK24">
        <f>SUMIF(ConfirmedRaw!$B:$B,$B24,ConfirmedRaw!BM:BM)</f>
        <v>1469</v>
      </c>
      <c r="BL24">
        <f>SUMIF(ConfirmedRaw!$B:$B,$B24,ConfirmedRaw!BN:BN)</f>
        <v>2088</v>
      </c>
      <c r="BM24">
        <f>SUMIF(ConfirmedRaw!$B:$B,$B24,ConfirmedRaw!BO:BO)</f>
        <v>2790</v>
      </c>
      <c r="BN24">
        <f>SUMIF(ConfirmedRaw!$B:$B,$B24,ConfirmedRaw!BP:BP)</f>
        <v>3251</v>
      </c>
      <c r="BO24">
        <f>SUMIF(ConfirmedRaw!$B:$B,$B24,ConfirmedRaw!BQ:BQ)</f>
        <v>4042</v>
      </c>
      <c r="BP24">
        <f>SUMIF(ConfirmedRaw!$B:$B,$B24,ConfirmedRaw!BR:BR)</f>
        <v>4682</v>
      </c>
      <c r="BQ24">
        <f>SUMIF(ConfirmedRaw!$B:$B,$B24,ConfirmedRaw!BS:BS)</f>
        <v>5576</v>
      </c>
      <c r="BR24">
        <f>SUMIF(ConfirmedRaw!$B:$B,$B24,ConfirmedRaw!BT:BT)</f>
        <v>0</v>
      </c>
      <c r="BS24">
        <f>SUMIF(ConfirmedRaw!$B:$B,$B24,ConfirmedRaw!BU:BU)</f>
        <v>0</v>
      </c>
      <c r="BT24">
        <f>SUMIF(ConfirmedRaw!$B:$B,$B24,ConfirmedRaw!BV:BV)</f>
        <v>0</v>
      </c>
      <c r="BU24">
        <f>SUMIF(ConfirmedRaw!$B:$B,$B24,ConfirmedRaw!BW:BW)</f>
        <v>0</v>
      </c>
    </row>
    <row r="25" spans="1:73" ht="15" thickBot="1" x14ac:dyDescent="0.35">
      <c r="A25" s="97" t="str">
        <f>VLOOKUP(B25,Country_Data!B:Q,16,FALSE)</f>
        <v>Europe</v>
      </c>
      <c r="B25" s="4" t="s">
        <v>83</v>
      </c>
      <c r="C25">
        <f>SUMIF(ConfirmedRaw!$B:$B,$B25,ConfirmedRaw!E:E)</f>
        <v>0</v>
      </c>
      <c r="D25">
        <f>SUMIF(ConfirmedRaw!$B:$B,$B25,ConfirmedRaw!F:F)</f>
        <v>0</v>
      </c>
      <c r="E25">
        <f>SUMIF(ConfirmedRaw!$B:$B,$B25,ConfirmedRaw!G:G)</f>
        <v>0</v>
      </c>
      <c r="F25">
        <f>SUMIF(ConfirmedRaw!$B:$B,$B25,ConfirmedRaw!H:H)</f>
        <v>0</v>
      </c>
      <c r="G25">
        <f>SUMIF(ConfirmedRaw!$B:$B,$B25,ConfirmedRaw!I:I)</f>
        <v>0</v>
      </c>
      <c r="H25">
        <f>SUMIF(ConfirmedRaw!$B:$B,$B25,ConfirmedRaw!J:J)</f>
        <v>0</v>
      </c>
      <c r="I25">
        <f>SUMIF(ConfirmedRaw!$B:$B,$B25,ConfirmedRaw!K:K)</f>
        <v>0</v>
      </c>
      <c r="J25">
        <f>SUMIF(ConfirmedRaw!$B:$B,$B25,ConfirmedRaw!L:L)</f>
        <v>0</v>
      </c>
      <c r="K25">
        <f>SUMIF(ConfirmedRaw!$B:$B,$B25,ConfirmedRaw!M:M)</f>
        <v>0</v>
      </c>
      <c r="L25">
        <f>SUMIF(ConfirmedRaw!$B:$B,$B25,ConfirmedRaw!N:N)</f>
        <v>0</v>
      </c>
      <c r="M25">
        <f>SUMIF(ConfirmedRaw!$B:$B,$B25,ConfirmedRaw!O:O)</f>
        <v>0</v>
      </c>
      <c r="N25">
        <f>SUMIF(ConfirmedRaw!$B:$B,$B25,ConfirmedRaw!P:P)</f>
        <v>0</v>
      </c>
      <c r="O25">
        <f>SUMIF(ConfirmedRaw!$B:$B,$B25,ConfirmedRaw!Q:Q)</f>
        <v>0</v>
      </c>
      <c r="P25">
        <f>SUMIF(ConfirmedRaw!$B:$B,$B25,ConfirmedRaw!R:R)</f>
        <v>0</v>
      </c>
      <c r="Q25">
        <f>SUMIF(ConfirmedRaw!$B:$B,$B25,ConfirmedRaw!S:S)</f>
        <v>0</v>
      </c>
      <c r="R25">
        <f>SUMIF(ConfirmedRaw!$B:$B,$B25,ConfirmedRaw!T:T)</f>
        <v>0</v>
      </c>
      <c r="S25">
        <f>SUMIF(ConfirmedRaw!$B:$B,$B25,ConfirmedRaw!U:U)</f>
        <v>0</v>
      </c>
      <c r="T25">
        <f>SUMIF(ConfirmedRaw!$B:$B,$B25,ConfirmedRaw!V:V)</f>
        <v>0</v>
      </c>
      <c r="U25">
        <f>SUMIF(ConfirmedRaw!$B:$B,$B25,ConfirmedRaw!W:W)</f>
        <v>0</v>
      </c>
      <c r="V25">
        <f>SUMIF(ConfirmedRaw!$B:$B,$B25,ConfirmedRaw!X:X)</f>
        <v>0</v>
      </c>
      <c r="W25">
        <f>SUMIF(ConfirmedRaw!$B:$B,$B25,ConfirmedRaw!Y:Y)</f>
        <v>0</v>
      </c>
      <c r="X25">
        <f>SUMIF(ConfirmedRaw!$B:$B,$B25,ConfirmedRaw!Z:Z)</f>
        <v>0</v>
      </c>
      <c r="Y25">
        <f>SUMIF(ConfirmedRaw!$B:$B,$B25,ConfirmedRaw!AA:AA)</f>
        <v>0</v>
      </c>
      <c r="Z25">
        <f>SUMIF(ConfirmedRaw!$B:$B,$B25,ConfirmedRaw!AB:AB)</f>
        <v>0</v>
      </c>
      <c r="AA25">
        <f>SUMIF(ConfirmedRaw!$B:$B,$B25,ConfirmedRaw!AC:AC)</f>
        <v>0</v>
      </c>
      <c r="AB25">
        <f>SUMIF(ConfirmedRaw!$B:$B,$B25,ConfirmedRaw!AD:AD)</f>
        <v>0</v>
      </c>
      <c r="AC25">
        <f>SUMIF(ConfirmedRaw!$B:$B,$B25,ConfirmedRaw!AE:AE)</f>
        <v>0</v>
      </c>
      <c r="AD25">
        <f>SUMIF(ConfirmedRaw!$B:$B,$B25,ConfirmedRaw!AF:AF)</f>
        <v>0</v>
      </c>
      <c r="AE25">
        <f>SUMIF(ConfirmedRaw!$B:$B,$B25,ConfirmedRaw!AG:AG)</f>
        <v>0</v>
      </c>
      <c r="AF25">
        <f>SUMIF(ConfirmedRaw!$B:$B,$B25,ConfirmedRaw!AH:AH)</f>
        <v>0</v>
      </c>
      <c r="AG25">
        <f>SUMIF(ConfirmedRaw!$B:$B,$B25,ConfirmedRaw!AI:AI)</f>
        <v>0</v>
      </c>
      <c r="AH25">
        <f>SUMIF(ConfirmedRaw!$B:$B,$B25,ConfirmedRaw!AJ:AJ)</f>
        <v>0</v>
      </c>
      <c r="AI25">
        <f>SUMIF(ConfirmedRaw!$B:$B,$B25,ConfirmedRaw!AK:AK)</f>
        <v>0</v>
      </c>
      <c r="AJ25">
        <f>SUMIF(ConfirmedRaw!$B:$B,$B25,ConfirmedRaw!AL:AL)</f>
        <v>0</v>
      </c>
      <c r="AK25">
        <f>SUMIF(ConfirmedRaw!$B:$B,$B25,ConfirmedRaw!AM:AM)</f>
        <v>0</v>
      </c>
      <c r="AL25">
        <f>SUMIF(ConfirmedRaw!$B:$B,$B25,ConfirmedRaw!AN:AN)</f>
        <v>1</v>
      </c>
      <c r="AM25">
        <f>SUMIF(ConfirmedRaw!$B:$B,$B25,ConfirmedRaw!AO:AO)</f>
        <v>3</v>
      </c>
      <c r="AN25">
        <f>SUMIF(ConfirmedRaw!$B:$B,$B25,ConfirmedRaw!AP:AP)</f>
        <v>4</v>
      </c>
      <c r="AO25">
        <f>SUMIF(ConfirmedRaw!$B:$B,$B25,ConfirmedRaw!AQ:AQ)</f>
        <v>4</v>
      </c>
      <c r="AP25">
        <f>SUMIF(ConfirmedRaw!$B:$B,$B25,ConfirmedRaw!AR:AR)</f>
        <v>7</v>
      </c>
      <c r="AQ25">
        <f>SUMIF(ConfirmedRaw!$B:$B,$B25,ConfirmedRaw!AS:AS)</f>
        <v>7</v>
      </c>
      <c r="AR25">
        <f>SUMIF(ConfirmedRaw!$B:$B,$B25,ConfirmedRaw!AT:AT)</f>
        <v>7</v>
      </c>
      <c r="AS25">
        <f>SUMIF(ConfirmedRaw!$B:$B,$B25,ConfirmedRaw!AU:AU)</f>
        <v>9</v>
      </c>
      <c r="AT25">
        <f>SUMIF(ConfirmedRaw!$B:$B,$B25,ConfirmedRaw!AV:AV)</f>
        <v>31</v>
      </c>
      <c r="AU25">
        <f>SUMIF(ConfirmedRaw!$B:$B,$B25,ConfirmedRaw!AW:AW)</f>
        <v>45</v>
      </c>
      <c r="AV25">
        <f>SUMIF(ConfirmedRaw!$B:$B,$B25,ConfirmedRaw!AX:AX)</f>
        <v>46</v>
      </c>
      <c r="AW25">
        <f>SUMIF(ConfirmedRaw!$B:$B,$B25,ConfirmedRaw!AY:AY)</f>
        <v>73</v>
      </c>
      <c r="AX25">
        <f>SUMIF(ConfirmedRaw!$B:$B,$B25,ConfirmedRaw!AZ:AZ)</f>
        <v>73</v>
      </c>
      <c r="AY25">
        <f>SUMIF(ConfirmedRaw!$B:$B,$B25,ConfirmedRaw!BA:BA)</f>
        <v>89</v>
      </c>
      <c r="AZ25">
        <f>SUMIF(ConfirmedRaw!$B:$B,$B25,ConfirmedRaw!BB:BB)</f>
        <v>99</v>
      </c>
      <c r="BA25">
        <f>SUMIF(ConfirmedRaw!$B:$B,$B25,ConfirmedRaw!BC:BC)</f>
        <v>99</v>
      </c>
      <c r="BB25">
        <f>SUMIF(ConfirmedRaw!$B:$B,$B25,ConfirmedRaw!BD:BD)</f>
        <v>190</v>
      </c>
      <c r="BC25">
        <f>SUMIF(ConfirmedRaw!$B:$B,$B25,ConfirmedRaw!BE:BE)</f>
        <v>228</v>
      </c>
      <c r="BD25">
        <f>SUMIF(ConfirmedRaw!$B:$B,$B25,ConfirmedRaw!BF:BF)</f>
        <v>331</v>
      </c>
      <c r="BE25">
        <f>SUMIF(ConfirmedRaw!$B:$B,$B25,ConfirmedRaw!BG:BG)</f>
        <v>331</v>
      </c>
      <c r="BF25">
        <f>SUMIF(ConfirmedRaw!$B:$B,$B25,ConfirmedRaw!BH:BH)</f>
        <v>387</v>
      </c>
      <c r="BG25">
        <f>SUMIF(ConfirmedRaw!$B:$B,$B25,ConfirmedRaw!BI:BI)</f>
        <v>418</v>
      </c>
      <c r="BH25">
        <f>SUMIF(ConfirmedRaw!$B:$B,$B25,ConfirmedRaw!BJ:BJ)</f>
        <v>418</v>
      </c>
      <c r="BI25">
        <f>SUMIF(ConfirmedRaw!$B:$B,$B25,ConfirmedRaw!BK:BK)</f>
        <v>495</v>
      </c>
      <c r="BJ25">
        <f>SUMIF(ConfirmedRaw!$B:$B,$B25,ConfirmedRaw!BL:BL)</f>
        <v>530</v>
      </c>
      <c r="BK25">
        <f>SUMIF(ConfirmedRaw!$B:$B,$B25,ConfirmedRaw!BM:BM)</f>
        <v>624</v>
      </c>
      <c r="BL25">
        <f>SUMIF(ConfirmedRaw!$B:$B,$B25,ConfirmedRaw!BN:BN)</f>
        <v>695</v>
      </c>
      <c r="BM25">
        <f>SUMIF(ConfirmedRaw!$B:$B,$B25,ConfirmedRaw!BO:BO)</f>
        <v>743</v>
      </c>
      <c r="BN25">
        <f>SUMIF(ConfirmedRaw!$B:$B,$B25,ConfirmedRaw!BP:BP)</f>
        <v>821</v>
      </c>
      <c r="BO25">
        <f>SUMIF(ConfirmedRaw!$B:$B,$B25,ConfirmedRaw!BQ:BQ)</f>
        <v>892</v>
      </c>
      <c r="BP25">
        <f>SUMIF(ConfirmedRaw!$B:$B,$B25,ConfirmedRaw!BR:BR)</f>
        <v>966</v>
      </c>
      <c r="BQ25">
        <f>SUMIF(ConfirmedRaw!$B:$B,$B25,ConfirmedRaw!BS:BS)</f>
        <v>1061</v>
      </c>
      <c r="BR25">
        <f>SUMIF(ConfirmedRaw!$B:$B,$B25,ConfirmedRaw!BT:BT)</f>
        <v>0</v>
      </c>
      <c r="BS25">
        <f>SUMIF(ConfirmedRaw!$B:$B,$B25,ConfirmedRaw!BU:BU)</f>
        <v>0</v>
      </c>
      <c r="BT25">
        <f>SUMIF(ConfirmedRaw!$B:$B,$B25,ConfirmedRaw!BV:BV)</f>
        <v>0</v>
      </c>
      <c r="BU25">
        <f>SUMIF(ConfirmedRaw!$B:$B,$B25,ConfirmedRaw!BW:BW)</f>
        <v>0</v>
      </c>
    </row>
    <row r="26" spans="1:73" ht="15" thickBot="1" x14ac:dyDescent="0.35">
      <c r="A26" s="97" t="str">
        <f>VLOOKUP(B26,Country_Data!B:Q,16,FALSE)</f>
        <v>Middle East</v>
      </c>
      <c r="B26" s="4" t="s">
        <v>73</v>
      </c>
      <c r="C26">
        <f>SUMIF(ConfirmedRaw!$B:$B,$B26,ConfirmedRaw!E:E)</f>
        <v>0</v>
      </c>
      <c r="D26">
        <f>SUMIF(ConfirmedRaw!$B:$B,$B26,ConfirmedRaw!F:F)</f>
        <v>0</v>
      </c>
      <c r="E26">
        <f>SUMIF(ConfirmedRaw!$B:$B,$B26,ConfirmedRaw!G:G)</f>
        <v>0</v>
      </c>
      <c r="F26">
        <f>SUMIF(ConfirmedRaw!$B:$B,$B26,ConfirmedRaw!H:H)</f>
        <v>0</v>
      </c>
      <c r="G26">
        <f>SUMIF(ConfirmedRaw!$B:$B,$B26,ConfirmedRaw!I:I)</f>
        <v>0</v>
      </c>
      <c r="H26">
        <f>SUMIF(ConfirmedRaw!$B:$B,$B26,ConfirmedRaw!J:J)</f>
        <v>0</v>
      </c>
      <c r="I26">
        <f>SUMIF(ConfirmedRaw!$B:$B,$B26,ConfirmedRaw!K:K)</f>
        <v>0</v>
      </c>
      <c r="J26">
        <f>SUMIF(ConfirmedRaw!$B:$B,$B26,ConfirmedRaw!L:L)</f>
        <v>0</v>
      </c>
      <c r="K26">
        <f>SUMIF(ConfirmedRaw!$B:$B,$B26,ConfirmedRaw!M:M)</f>
        <v>0</v>
      </c>
      <c r="L26">
        <f>SUMIF(ConfirmedRaw!$B:$B,$B26,ConfirmedRaw!N:N)</f>
        <v>0</v>
      </c>
      <c r="M26">
        <f>SUMIF(ConfirmedRaw!$B:$B,$B26,ConfirmedRaw!O:O)</f>
        <v>0</v>
      </c>
      <c r="N26">
        <f>SUMIF(ConfirmedRaw!$B:$B,$B26,ConfirmedRaw!P:P)</f>
        <v>0</v>
      </c>
      <c r="O26">
        <f>SUMIF(ConfirmedRaw!$B:$B,$B26,ConfirmedRaw!Q:Q)</f>
        <v>0</v>
      </c>
      <c r="P26">
        <f>SUMIF(ConfirmedRaw!$B:$B,$B26,ConfirmedRaw!R:R)</f>
        <v>0</v>
      </c>
      <c r="Q26">
        <f>SUMIF(ConfirmedRaw!$B:$B,$B26,ConfirmedRaw!S:S)</f>
        <v>0</v>
      </c>
      <c r="R26">
        <f>SUMIF(ConfirmedRaw!$B:$B,$B26,ConfirmedRaw!T:T)</f>
        <v>0</v>
      </c>
      <c r="S26">
        <f>SUMIF(ConfirmedRaw!$B:$B,$B26,ConfirmedRaw!U:U)</f>
        <v>0</v>
      </c>
      <c r="T26">
        <f>SUMIF(ConfirmedRaw!$B:$B,$B26,ConfirmedRaw!V:V)</f>
        <v>0</v>
      </c>
      <c r="U26">
        <f>SUMIF(ConfirmedRaw!$B:$B,$B26,ConfirmedRaw!W:W)</f>
        <v>0</v>
      </c>
      <c r="V26">
        <f>SUMIF(ConfirmedRaw!$B:$B,$B26,ConfirmedRaw!X:X)</f>
        <v>0</v>
      </c>
      <c r="W26">
        <f>SUMIF(ConfirmedRaw!$B:$B,$B26,ConfirmedRaw!Y:Y)</f>
        <v>0</v>
      </c>
      <c r="X26">
        <f>SUMIF(ConfirmedRaw!$B:$B,$B26,ConfirmedRaw!Z:Z)</f>
        <v>0</v>
      </c>
      <c r="Y26">
        <f>SUMIF(ConfirmedRaw!$B:$B,$B26,ConfirmedRaw!AA:AA)</f>
        <v>0</v>
      </c>
      <c r="Z26">
        <f>SUMIF(ConfirmedRaw!$B:$B,$B26,ConfirmedRaw!AB:AB)</f>
        <v>0</v>
      </c>
      <c r="AA26">
        <f>SUMIF(ConfirmedRaw!$B:$B,$B26,ConfirmedRaw!AC:AC)</f>
        <v>0</v>
      </c>
      <c r="AB26">
        <f>SUMIF(ConfirmedRaw!$B:$B,$B26,ConfirmedRaw!AD:AD)</f>
        <v>0</v>
      </c>
      <c r="AC26">
        <f>SUMIF(ConfirmedRaw!$B:$B,$B26,ConfirmedRaw!AE:AE)</f>
        <v>0</v>
      </c>
      <c r="AD26">
        <f>SUMIF(ConfirmedRaw!$B:$B,$B26,ConfirmedRaw!AF:AF)</f>
        <v>0</v>
      </c>
      <c r="AE26">
        <f>SUMIF(ConfirmedRaw!$B:$B,$B26,ConfirmedRaw!AG:AG)</f>
        <v>0</v>
      </c>
      <c r="AF26">
        <f>SUMIF(ConfirmedRaw!$B:$B,$B26,ConfirmedRaw!AH:AH)</f>
        <v>0</v>
      </c>
      <c r="AG26">
        <f>SUMIF(ConfirmedRaw!$B:$B,$B26,ConfirmedRaw!AI:AI)</f>
        <v>0</v>
      </c>
      <c r="AH26">
        <f>SUMIF(ConfirmedRaw!$B:$B,$B26,ConfirmedRaw!AJ:AJ)</f>
        <v>0</v>
      </c>
      <c r="AI26">
        <f>SUMIF(ConfirmedRaw!$B:$B,$B26,ConfirmedRaw!AK:AK)</f>
        <v>0</v>
      </c>
      <c r="AJ26">
        <f>SUMIF(ConfirmedRaw!$B:$B,$B26,ConfirmedRaw!AL:AL)</f>
        <v>1</v>
      </c>
      <c r="AK26">
        <f>SUMIF(ConfirmedRaw!$B:$B,$B26,ConfirmedRaw!AM:AM)</f>
        <v>23</v>
      </c>
      <c r="AL26">
        <f>SUMIF(ConfirmedRaw!$B:$B,$B26,ConfirmedRaw!AN:AN)</f>
        <v>33</v>
      </c>
      <c r="AM26">
        <f>SUMIF(ConfirmedRaw!$B:$B,$B26,ConfirmedRaw!AO:AO)</f>
        <v>33</v>
      </c>
      <c r="AN26">
        <f>SUMIF(ConfirmedRaw!$B:$B,$B26,ConfirmedRaw!AP:AP)</f>
        <v>36</v>
      </c>
      <c r="AO26">
        <f>SUMIF(ConfirmedRaw!$B:$B,$B26,ConfirmedRaw!AQ:AQ)</f>
        <v>41</v>
      </c>
      <c r="AP26">
        <f>SUMIF(ConfirmedRaw!$B:$B,$B26,ConfirmedRaw!AR:AR)</f>
        <v>47</v>
      </c>
      <c r="AQ26">
        <f>SUMIF(ConfirmedRaw!$B:$B,$B26,ConfirmedRaw!AS:AS)</f>
        <v>49</v>
      </c>
      <c r="AR26">
        <f>SUMIF(ConfirmedRaw!$B:$B,$B26,ConfirmedRaw!AT:AT)</f>
        <v>49</v>
      </c>
      <c r="AS26">
        <f>SUMIF(ConfirmedRaw!$B:$B,$B26,ConfirmedRaw!AU:AU)</f>
        <v>52</v>
      </c>
      <c r="AT26">
        <f>SUMIF(ConfirmedRaw!$B:$B,$B26,ConfirmedRaw!AV:AV)</f>
        <v>55</v>
      </c>
      <c r="AU26">
        <f>SUMIF(ConfirmedRaw!$B:$B,$B26,ConfirmedRaw!AW:AW)</f>
        <v>60</v>
      </c>
      <c r="AV26">
        <f>SUMIF(ConfirmedRaw!$B:$B,$B26,ConfirmedRaw!AX:AX)</f>
        <v>85</v>
      </c>
      <c r="AW26">
        <f>SUMIF(ConfirmedRaw!$B:$B,$B26,ConfirmedRaw!AY:AY)</f>
        <v>85</v>
      </c>
      <c r="AX26">
        <f>SUMIF(ConfirmedRaw!$B:$B,$B26,ConfirmedRaw!AZ:AZ)</f>
        <v>95</v>
      </c>
      <c r="AY26">
        <f>SUMIF(ConfirmedRaw!$B:$B,$B26,ConfirmedRaw!BA:BA)</f>
        <v>110</v>
      </c>
      <c r="AZ26">
        <f>SUMIF(ConfirmedRaw!$B:$B,$B26,ConfirmedRaw!BB:BB)</f>
        <v>195</v>
      </c>
      <c r="BA26">
        <f>SUMIF(ConfirmedRaw!$B:$B,$B26,ConfirmedRaw!BC:BC)</f>
        <v>195</v>
      </c>
      <c r="BB26">
        <f>SUMIF(ConfirmedRaw!$B:$B,$B26,ConfirmedRaw!BD:BD)</f>
        <v>195</v>
      </c>
      <c r="BC26">
        <f>SUMIF(ConfirmedRaw!$B:$B,$B26,ConfirmedRaw!BE:BE)</f>
        <v>210</v>
      </c>
      <c r="BD26">
        <f>SUMIF(ConfirmedRaw!$B:$B,$B26,ConfirmedRaw!BF:BF)</f>
        <v>214</v>
      </c>
      <c r="BE26">
        <f>SUMIF(ConfirmedRaw!$B:$B,$B26,ConfirmedRaw!BG:BG)</f>
        <v>214</v>
      </c>
      <c r="BF26">
        <f>SUMIF(ConfirmedRaw!$B:$B,$B26,ConfirmedRaw!BH:BH)</f>
        <v>228</v>
      </c>
      <c r="BG26">
        <f>SUMIF(ConfirmedRaw!$B:$B,$B26,ConfirmedRaw!BI:BI)</f>
        <v>256</v>
      </c>
      <c r="BH26">
        <f>SUMIF(ConfirmedRaw!$B:$B,$B26,ConfirmedRaw!BJ:BJ)</f>
        <v>278</v>
      </c>
      <c r="BI26">
        <f>SUMIF(ConfirmedRaw!$B:$B,$B26,ConfirmedRaw!BK:BK)</f>
        <v>285</v>
      </c>
      <c r="BJ26">
        <f>SUMIF(ConfirmedRaw!$B:$B,$B26,ConfirmedRaw!BL:BL)</f>
        <v>305</v>
      </c>
      <c r="BK26">
        <f>SUMIF(ConfirmedRaw!$B:$B,$B26,ConfirmedRaw!BM:BM)</f>
        <v>334</v>
      </c>
      <c r="BL26">
        <f>SUMIF(ConfirmedRaw!$B:$B,$B26,ConfirmedRaw!BN:BN)</f>
        <v>377</v>
      </c>
      <c r="BM26">
        <f>SUMIF(ConfirmedRaw!$B:$B,$B26,ConfirmedRaw!BO:BO)</f>
        <v>392</v>
      </c>
      <c r="BN26">
        <f>SUMIF(ConfirmedRaw!$B:$B,$B26,ConfirmedRaw!BP:BP)</f>
        <v>419</v>
      </c>
      <c r="BO26">
        <f>SUMIF(ConfirmedRaw!$B:$B,$B26,ConfirmedRaw!BQ:BQ)</f>
        <v>458</v>
      </c>
      <c r="BP26">
        <f>SUMIF(ConfirmedRaw!$B:$B,$B26,ConfirmedRaw!BR:BR)</f>
        <v>466</v>
      </c>
      <c r="BQ26">
        <f>SUMIF(ConfirmedRaw!$B:$B,$B26,ConfirmedRaw!BS:BS)</f>
        <v>476</v>
      </c>
      <c r="BR26">
        <f>SUMIF(ConfirmedRaw!$B:$B,$B26,ConfirmedRaw!BT:BT)</f>
        <v>0</v>
      </c>
      <c r="BS26">
        <f>SUMIF(ConfirmedRaw!$B:$B,$B26,ConfirmedRaw!BU:BU)</f>
        <v>0</v>
      </c>
      <c r="BT26">
        <f>SUMIF(ConfirmedRaw!$B:$B,$B26,ConfirmedRaw!BV:BV)</f>
        <v>0</v>
      </c>
      <c r="BU26">
        <f>SUMIF(ConfirmedRaw!$B:$B,$B26,ConfirmedRaw!BW:BW)</f>
        <v>0</v>
      </c>
    </row>
    <row r="27" spans="1:73" ht="15" thickBot="1" x14ac:dyDescent="0.35">
      <c r="A27" s="97" t="str">
        <f>VLOOKUP(B27,Country_Data!B:Q,16,FALSE)</f>
        <v>Middle East</v>
      </c>
      <c r="B27" s="4" t="s">
        <v>79</v>
      </c>
      <c r="C27">
        <f>SUMIF(ConfirmedRaw!$B:$B,$B27,ConfirmedRaw!E:E)</f>
        <v>0</v>
      </c>
      <c r="D27">
        <f>SUMIF(ConfirmedRaw!$B:$B,$B27,ConfirmedRaw!F:F)</f>
        <v>0</v>
      </c>
      <c r="E27">
        <f>SUMIF(ConfirmedRaw!$B:$B,$B27,ConfirmedRaw!G:G)</f>
        <v>0</v>
      </c>
      <c r="F27">
        <f>SUMIF(ConfirmedRaw!$B:$B,$B27,ConfirmedRaw!H:H)</f>
        <v>0</v>
      </c>
      <c r="G27">
        <f>SUMIF(ConfirmedRaw!$B:$B,$B27,ConfirmedRaw!I:I)</f>
        <v>0</v>
      </c>
      <c r="H27">
        <f>SUMIF(ConfirmedRaw!$B:$B,$B27,ConfirmedRaw!J:J)</f>
        <v>0</v>
      </c>
      <c r="I27">
        <f>SUMIF(ConfirmedRaw!$B:$B,$B27,ConfirmedRaw!K:K)</f>
        <v>0</v>
      </c>
      <c r="J27">
        <f>SUMIF(ConfirmedRaw!$B:$B,$B27,ConfirmedRaw!L:L)</f>
        <v>0</v>
      </c>
      <c r="K27">
        <f>SUMIF(ConfirmedRaw!$B:$B,$B27,ConfirmedRaw!M:M)</f>
        <v>0</v>
      </c>
      <c r="L27">
        <f>SUMIF(ConfirmedRaw!$B:$B,$B27,ConfirmedRaw!N:N)</f>
        <v>0</v>
      </c>
      <c r="M27">
        <f>SUMIF(ConfirmedRaw!$B:$B,$B27,ConfirmedRaw!O:O)</f>
        <v>0</v>
      </c>
      <c r="N27">
        <f>SUMIF(ConfirmedRaw!$B:$B,$B27,ConfirmedRaw!P:P)</f>
        <v>0</v>
      </c>
      <c r="O27">
        <f>SUMIF(ConfirmedRaw!$B:$B,$B27,ConfirmedRaw!Q:Q)</f>
        <v>0</v>
      </c>
      <c r="P27">
        <f>SUMIF(ConfirmedRaw!$B:$B,$B27,ConfirmedRaw!R:R)</f>
        <v>0</v>
      </c>
      <c r="Q27">
        <f>SUMIF(ConfirmedRaw!$B:$B,$B27,ConfirmedRaw!S:S)</f>
        <v>0</v>
      </c>
      <c r="R27">
        <f>SUMIF(ConfirmedRaw!$B:$B,$B27,ConfirmedRaw!T:T)</f>
        <v>0</v>
      </c>
      <c r="S27">
        <f>SUMIF(ConfirmedRaw!$B:$B,$B27,ConfirmedRaw!U:U)</f>
        <v>0</v>
      </c>
      <c r="T27">
        <f>SUMIF(ConfirmedRaw!$B:$B,$B27,ConfirmedRaw!V:V)</f>
        <v>0</v>
      </c>
      <c r="U27">
        <f>SUMIF(ConfirmedRaw!$B:$B,$B27,ConfirmedRaw!W:W)</f>
        <v>0</v>
      </c>
      <c r="V27">
        <f>SUMIF(ConfirmedRaw!$B:$B,$B27,ConfirmedRaw!X:X)</f>
        <v>0</v>
      </c>
      <c r="W27">
        <f>SUMIF(ConfirmedRaw!$B:$B,$B27,ConfirmedRaw!Y:Y)</f>
        <v>0</v>
      </c>
      <c r="X27">
        <f>SUMIF(ConfirmedRaw!$B:$B,$B27,ConfirmedRaw!Z:Z)</f>
        <v>0</v>
      </c>
      <c r="Y27">
        <f>SUMIF(ConfirmedRaw!$B:$B,$B27,ConfirmedRaw!AA:AA)</f>
        <v>0</v>
      </c>
      <c r="Z27">
        <f>SUMIF(ConfirmedRaw!$B:$B,$B27,ConfirmedRaw!AB:AB)</f>
        <v>0</v>
      </c>
      <c r="AA27">
        <f>SUMIF(ConfirmedRaw!$B:$B,$B27,ConfirmedRaw!AC:AC)</f>
        <v>0</v>
      </c>
      <c r="AB27">
        <f>SUMIF(ConfirmedRaw!$B:$B,$B27,ConfirmedRaw!AD:AD)</f>
        <v>0</v>
      </c>
      <c r="AC27">
        <f>SUMIF(ConfirmedRaw!$B:$B,$B27,ConfirmedRaw!AE:AE)</f>
        <v>0</v>
      </c>
      <c r="AD27">
        <f>SUMIF(ConfirmedRaw!$B:$B,$B27,ConfirmedRaw!AF:AF)</f>
        <v>0</v>
      </c>
      <c r="AE27">
        <f>SUMIF(ConfirmedRaw!$B:$B,$B27,ConfirmedRaw!AG:AG)</f>
        <v>0</v>
      </c>
      <c r="AF27">
        <f>SUMIF(ConfirmedRaw!$B:$B,$B27,ConfirmedRaw!AH:AH)</f>
        <v>0</v>
      </c>
      <c r="AG27">
        <f>SUMIF(ConfirmedRaw!$B:$B,$B27,ConfirmedRaw!AI:AI)</f>
        <v>1</v>
      </c>
      <c r="AH27">
        <f>SUMIF(ConfirmedRaw!$B:$B,$B27,ConfirmedRaw!AJ:AJ)</f>
        <v>1</v>
      </c>
      <c r="AI27">
        <f>SUMIF(ConfirmedRaw!$B:$B,$B27,ConfirmedRaw!AK:AK)</f>
        <v>1</v>
      </c>
      <c r="AJ27">
        <f>SUMIF(ConfirmedRaw!$B:$B,$B27,ConfirmedRaw!AL:AL)</f>
        <v>1</v>
      </c>
      <c r="AK27">
        <f>SUMIF(ConfirmedRaw!$B:$B,$B27,ConfirmedRaw!AM:AM)</f>
        <v>1</v>
      </c>
      <c r="AL27">
        <f>SUMIF(ConfirmedRaw!$B:$B,$B27,ConfirmedRaw!AN:AN)</f>
        <v>2</v>
      </c>
      <c r="AM27">
        <f>SUMIF(ConfirmedRaw!$B:$B,$B27,ConfirmedRaw!AO:AO)</f>
        <v>3</v>
      </c>
      <c r="AN27">
        <f>SUMIF(ConfirmedRaw!$B:$B,$B27,ConfirmedRaw!AP:AP)</f>
        <v>4</v>
      </c>
      <c r="AO27">
        <f>SUMIF(ConfirmedRaw!$B:$B,$B27,ConfirmedRaw!AQ:AQ)</f>
        <v>7</v>
      </c>
      <c r="AP27">
        <f>SUMIF(ConfirmedRaw!$B:$B,$B27,ConfirmedRaw!AR:AR)</f>
        <v>10</v>
      </c>
      <c r="AQ27">
        <f>SUMIF(ConfirmedRaw!$B:$B,$B27,ConfirmedRaw!AS:AS)</f>
        <v>10</v>
      </c>
      <c r="AR27">
        <f>SUMIF(ConfirmedRaw!$B:$B,$B27,ConfirmedRaw!AT:AT)</f>
        <v>12</v>
      </c>
      <c r="AS27">
        <f>SUMIF(ConfirmedRaw!$B:$B,$B27,ConfirmedRaw!AU:AU)</f>
        <v>15</v>
      </c>
      <c r="AT27">
        <f>SUMIF(ConfirmedRaw!$B:$B,$B27,ConfirmedRaw!AV:AV)</f>
        <v>20</v>
      </c>
      <c r="AU27">
        <f>SUMIF(ConfirmedRaw!$B:$B,$B27,ConfirmedRaw!AW:AW)</f>
        <v>37</v>
      </c>
      <c r="AV27">
        <f>SUMIF(ConfirmedRaw!$B:$B,$B27,ConfirmedRaw!AX:AX)</f>
        <v>43</v>
      </c>
      <c r="AW27">
        <f>SUMIF(ConfirmedRaw!$B:$B,$B27,ConfirmedRaw!AY:AY)</f>
        <v>61</v>
      </c>
      <c r="AX27">
        <f>SUMIF(ConfirmedRaw!$B:$B,$B27,ConfirmedRaw!AZ:AZ)</f>
        <v>61</v>
      </c>
      <c r="AY27">
        <f>SUMIF(ConfirmedRaw!$B:$B,$B27,ConfirmedRaw!BA:BA)</f>
        <v>75</v>
      </c>
      <c r="AZ27">
        <f>SUMIF(ConfirmedRaw!$B:$B,$B27,ConfirmedRaw!BB:BB)</f>
        <v>79</v>
      </c>
      <c r="BA27">
        <f>SUMIF(ConfirmedRaw!$B:$B,$B27,ConfirmedRaw!BC:BC)</f>
        <v>100</v>
      </c>
      <c r="BB27">
        <f>SUMIF(ConfirmedRaw!$B:$B,$B27,ConfirmedRaw!BD:BD)</f>
        <v>126</v>
      </c>
      <c r="BC27">
        <f>SUMIF(ConfirmedRaw!$B:$B,$B27,ConfirmedRaw!BE:BE)</f>
        <v>155</v>
      </c>
      <c r="BD27">
        <f>SUMIF(ConfirmedRaw!$B:$B,$B27,ConfirmedRaw!BF:BF)</f>
        <v>213</v>
      </c>
      <c r="BE27">
        <f>SUMIF(ConfirmedRaw!$B:$B,$B27,ConfirmedRaw!BG:BG)</f>
        <v>218</v>
      </c>
      <c r="BF27">
        <f>SUMIF(ConfirmedRaw!$B:$B,$B27,ConfirmedRaw!BH:BH)</f>
        <v>250</v>
      </c>
      <c r="BG27">
        <f>SUMIF(ConfirmedRaw!$B:$B,$B27,ConfirmedRaw!BI:BI)</f>
        <v>304</v>
      </c>
      <c r="BH27">
        <f>SUMIF(ConfirmedRaw!$B:$B,$B27,ConfirmedRaw!BJ:BJ)</f>
        <v>427</v>
      </c>
      <c r="BI27">
        <f>SUMIF(ConfirmedRaw!$B:$B,$B27,ConfirmedRaw!BK:BK)</f>
        <v>529</v>
      </c>
      <c r="BJ27">
        <f>SUMIF(ConfirmedRaw!$B:$B,$B27,ConfirmedRaw!BL:BL)</f>
        <v>712</v>
      </c>
      <c r="BK27">
        <f>SUMIF(ConfirmedRaw!$B:$B,$B27,ConfirmedRaw!BM:BM)</f>
        <v>883</v>
      </c>
      <c r="BL27">
        <f>SUMIF(ConfirmedRaw!$B:$B,$B27,ConfirmedRaw!BN:BN)</f>
        <v>1071</v>
      </c>
      <c r="BM27">
        <f>SUMIF(ConfirmedRaw!$B:$B,$B27,ConfirmedRaw!BO:BO)</f>
        <v>1238</v>
      </c>
      <c r="BN27">
        <f>SUMIF(ConfirmedRaw!$B:$B,$B27,ConfirmedRaw!BP:BP)</f>
        <v>2369</v>
      </c>
      <c r="BO27">
        <f>SUMIF(ConfirmedRaw!$B:$B,$B27,ConfirmedRaw!BQ:BQ)</f>
        <v>2693</v>
      </c>
      <c r="BP27">
        <f>SUMIF(ConfirmedRaw!$B:$B,$B27,ConfirmedRaw!BR:BR)</f>
        <v>3035</v>
      </c>
      <c r="BQ27">
        <f>SUMIF(ConfirmedRaw!$B:$B,$B27,ConfirmedRaw!BS:BS)</f>
        <v>3619</v>
      </c>
      <c r="BR27">
        <f>SUMIF(ConfirmedRaw!$B:$B,$B27,ConfirmedRaw!BT:BT)</f>
        <v>0</v>
      </c>
      <c r="BS27">
        <f>SUMIF(ConfirmedRaw!$B:$B,$B27,ConfirmedRaw!BU:BU)</f>
        <v>0</v>
      </c>
      <c r="BT27">
        <f>SUMIF(ConfirmedRaw!$B:$B,$B27,ConfirmedRaw!BV:BV)</f>
        <v>0</v>
      </c>
      <c r="BU27">
        <f>SUMIF(ConfirmedRaw!$B:$B,$B27,ConfirmedRaw!BW:BW)</f>
        <v>0</v>
      </c>
    </row>
    <row r="28" spans="1:73" ht="15" thickBot="1" x14ac:dyDescent="0.35">
      <c r="A28" s="97" t="str">
        <f>VLOOKUP(B28,Country_Data!B:Q,16,FALSE)</f>
        <v>Europe</v>
      </c>
      <c r="B28" s="3" t="s">
        <v>54</v>
      </c>
      <c r="C28">
        <f>SUMIF(ConfirmedRaw!$B:$B,$B28,ConfirmedRaw!E:E)</f>
        <v>0</v>
      </c>
      <c r="D28">
        <f>SUMIF(ConfirmedRaw!$B:$B,$B28,ConfirmedRaw!F:F)</f>
        <v>0</v>
      </c>
      <c r="E28">
        <f>SUMIF(ConfirmedRaw!$B:$B,$B28,ConfirmedRaw!G:G)</f>
        <v>0</v>
      </c>
      <c r="F28">
        <f>SUMIF(ConfirmedRaw!$B:$B,$B28,ConfirmedRaw!H:H)</f>
        <v>0</v>
      </c>
      <c r="G28">
        <f>SUMIF(ConfirmedRaw!$B:$B,$B28,ConfirmedRaw!I:I)</f>
        <v>0</v>
      </c>
      <c r="H28">
        <f>SUMIF(ConfirmedRaw!$B:$B,$B28,ConfirmedRaw!J:J)</f>
        <v>0</v>
      </c>
      <c r="I28">
        <f>SUMIF(ConfirmedRaw!$B:$B,$B28,ConfirmedRaw!K:K)</f>
        <v>0</v>
      </c>
      <c r="J28">
        <f>SUMIF(ConfirmedRaw!$B:$B,$B28,ConfirmedRaw!L:L)</f>
        <v>1</v>
      </c>
      <c r="K28">
        <f>SUMIF(ConfirmedRaw!$B:$B,$B28,ConfirmedRaw!M:M)</f>
        <v>1</v>
      </c>
      <c r="L28">
        <f>SUMIF(ConfirmedRaw!$B:$B,$B28,ConfirmedRaw!N:N)</f>
        <v>1</v>
      </c>
      <c r="M28">
        <f>SUMIF(ConfirmedRaw!$B:$B,$B28,ConfirmedRaw!O:O)</f>
        <v>1</v>
      </c>
      <c r="N28">
        <f>SUMIF(ConfirmedRaw!$B:$B,$B28,ConfirmedRaw!P:P)</f>
        <v>1</v>
      </c>
      <c r="O28">
        <f>SUMIF(ConfirmedRaw!$B:$B,$B28,ConfirmedRaw!Q:Q)</f>
        <v>1</v>
      </c>
      <c r="P28">
        <f>SUMIF(ConfirmedRaw!$B:$B,$B28,ConfirmedRaw!R:R)</f>
        <v>1</v>
      </c>
      <c r="Q28">
        <f>SUMIF(ConfirmedRaw!$B:$B,$B28,ConfirmedRaw!S:S)</f>
        <v>1</v>
      </c>
      <c r="R28">
        <f>SUMIF(ConfirmedRaw!$B:$B,$B28,ConfirmedRaw!T:T)</f>
        <v>1</v>
      </c>
      <c r="S28">
        <f>SUMIF(ConfirmedRaw!$B:$B,$B28,ConfirmedRaw!U:U)</f>
        <v>1</v>
      </c>
      <c r="T28">
        <f>SUMIF(ConfirmedRaw!$B:$B,$B28,ConfirmedRaw!V:V)</f>
        <v>1</v>
      </c>
      <c r="U28">
        <f>SUMIF(ConfirmedRaw!$B:$B,$B28,ConfirmedRaw!W:W)</f>
        <v>1</v>
      </c>
      <c r="V28">
        <f>SUMIF(ConfirmedRaw!$B:$B,$B28,ConfirmedRaw!X:X)</f>
        <v>1</v>
      </c>
      <c r="W28">
        <f>SUMIF(ConfirmedRaw!$B:$B,$B28,ConfirmedRaw!Y:Y)</f>
        <v>1</v>
      </c>
      <c r="X28">
        <f>SUMIF(ConfirmedRaw!$B:$B,$B28,ConfirmedRaw!Z:Z)</f>
        <v>1</v>
      </c>
      <c r="Y28">
        <f>SUMIF(ConfirmedRaw!$B:$B,$B28,ConfirmedRaw!AA:AA)</f>
        <v>1</v>
      </c>
      <c r="Z28">
        <f>SUMIF(ConfirmedRaw!$B:$B,$B28,ConfirmedRaw!AB:AB)</f>
        <v>1</v>
      </c>
      <c r="AA28">
        <f>SUMIF(ConfirmedRaw!$B:$B,$B28,ConfirmedRaw!AC:AC)</f>
        <v>1</v>
      </c>
      <c r="AB28">
        <f>SUMIF(ConfirmedRaw!$B:$B,$B28,ConfirmedRaw!AD:AD)</f>
        <v>1</v>
      </c>
      <c r="AC28">
        <f>SUMIF(ConfirmedRaw!$B:$B,$B28,ConfirmedRaw!AE:AE)</f>
        <v>1</v>
      </c>
      <c r="AD28">
        <f>SUMIF(ConfirmedRaw!$B:$B,$B28,ConfirmedRaw!AF:AF)</f>
        <v>1</v>
      </c>
      <c r="AE28">
        <f>SUMIF(ConfirmedRaw!$B:$B,$B28,ConfirmedRaw!AG:AG)</f>
        <v>1</v>
      </c>
      <c r="AF28">
        <f>SUMIF(ConfirmedRaw!$B:$B,$B28,ConfirmedRaw!AH:AH)</f>
        <v>1</v>
      </c>
      <c r="AG28">
        <f>SUMIF(ConfirmedRaw!$B:$B,$B28,ConfirmedRaw!AI:AI)</f>
        <v>1</v>
      </c>
      <c r="AH28">
        <f>SUMIF(ConfirmedRaw!$B:$B,$B28,ConfirmedRaw!AJ:AJ)</f>
        <v>1</v>
      </c>
      <c r="AI28">
        <f>SUMIF(ConfirmedRaw!$B:$B,$B28,ConfirmedRaw!AK:AK)</f>
        <v>1</v>
      </c>
      <c r="AJ28">
        <f>SUMIF(ConfirmedRaw!$B:$B,$B28,ConfirmedRaw!AL:AL)</f>
        <v>1</v>
      </c>
      <c r="AK28">
        <f>SUMIF(ConfirmedRaw!$B:$B,$B28,ConfirmedRaw!AM:AM)</f>
        <v>1</v>
      </c>
      <c r="AL28">
        <f>SUMIF(ConfirmedRaw!$B:$B,$B28,ConfirmedRaw!AN:AN)</f>
        <v>2</v>
      </c>
      <c r="AM28">
        <f>SUMIF(ConfirmedRaw!$B:$B,$B28,ConfirmedRaw!AO:AO)</f>
        <v>2</v>
      </c>
      <c r="AN28">
        <f>SUMIF(ConfirmedRaw!$B:$B,$B28,ConfirmedRaw!AP:AP)</f>
        <v>2</v>
      </c>
      <c r="AO28">
        <f>SUMIF(ConfirmedRaw!$B:$B,$B28,ConfirmedRaw!AQ:AQ)</f>
        <v>3</v>
      </c>
      <c r="AP28">
        <f>SUMIF(ConfirmedRaw!$B:$B,$B28,ConfirmedRaw!AR:AR)</f>
        <v>6</v>
      </c>
      <c r="AQ28">
        <f>SUMIF(ConfirmedRaw!$B:$B,$B28,ConfirmedRaw!AS:AS)</f>
        <v>6</v>
      </c>
      <c r="AR28">
        <f>SUMIF(ConfirmedRaw!$B:$B,$B28,ConfirmedRaw!AT:AT)</f>
        <v>6</v>
      </c>
      <c r="AS28">
        <f>SUMIF(ConfirmedRaw!$B:$B,$B28,ConfirmedRaw!AU:AU)</f>
        <v>6</v>
      </c>
      <c r="AT28">
        <f>SUMIF(ConfirmedRaw!$B:$B,$B28,ConfirmedRaw!AV:AV)</f>
        <v>12</v>
      </c>
      <c r="AU28">
        <f>SUMIF(ConfirmedRaw!$B:$B,$B28,ConfirmedRaw!AW:AW)</f>
        <v>15</v>
      </c>
      <c r="AV28">
        <f>SUMIF(ConfirmedRaw!$B:$B,$B28,ConfirmedRaw!AX:AX)</f>
        <v>15</v>
      </c>
      <c r="AW28">
        <f>SUMIF(ConfirmedRaw!$B:$B,$B28,ConfirmedRaw!AY:AY)</f>
        <v>23</v>
      </c>
      <c r="AX28">
        <f>SUMIF(ConfirmedRaw!$B:$B,$B28,ConfirmedRaw!AZ:AZ)</f>
        <v>30</v>
      </c>
      <c r="AY28">
        <f>SUMIF(ConfirmedRaw!$B:$B,$B28,ConfirmedRaw!BA:BA)</f>
        <v>40</v>
      </c>
      <c r="AZ28">
        <f>SUMIF(ConfirmedRaw!$B:$B,$B28,ConfirmedRaw!BB:BB)</f>
        <v>59</v>
      </c>
      <c r="BA28">
        <f>SUMIF(ConfirmedRaw!$B:$B,$B28,ConfirmedRaw!BC:BC)</f>
        <v>59</v>
      </c>
      <c r="BB28">
        <f>SUMIF(ConfirmedRaw!$B:$B,$B28,ConfirmedRaw!BD:BD)</f>
        <v>155</v>
      </c>
      <c r="BC28">
        <f>SUMIF(ConfirmedRaw!$B:$B,$B28,ConfirmedRaw!BE:BE)</f>
        <v>225</v>
      </c>
      <c r="BD28">
        <f>SUMIF(ConfirmedRaw!$B:$B,$B28,ConfirmedRaw!BF:BF)</f>
        <v>244</v>
      </c>
      <c r="BE28">
        <f>SUMIF(ConfirmedRaw!$B:$B,$B28,ConfirmedRaw!BG:BG)</f>
        <v>277</v>
      </c>
      <c r="BF28">
        <f>SUMIF(ConfirmedRaw!$B:$B,$B28,ConfirmedRaw!BH:BH)</f>
        <v>321</v>
      </c>
      <c r="BG28">
        <f>SUMIF(ConfirmedRaw!$B:$B,$B28,ConfirmedRaw!BI:BI)</f>
        <v>336</v>
      </c>
      <c r="BH28">
        <f>SUMIF(ConfirmedRaw!$B:$B,$B28,ConfirmedRaw!BJ:BJ)</f>
        <v>400</v>
      </c>
      <c r="BI28">
        <f>SUMIF(ConfirmedRaw!$B:$B,$B28,ConfirmedRaw!BK:BK)</f>
        <v>450</v>
      </c>
      <c r="BJ28">
        <f>SUMIF(ConfirmedRaw!$B:$B,$B28,ConfirmedRaw!BL:BL)</f>
        <v>523</v>
      </c>
      <c r="BK28">
        <f>SUMIF(ConfirmedRaw!$B:$B,$B28,ConfirmedRaw!BM:BM)</f>
        <v>626</v>
      </c>
      <c r="BL28">
        <f>SUMIF(ConfirmedRaw!$B:$B,$B28,ConfirmedRaw!BN:BN)</f>
        <v>700</v>
      </c>
      <c r="BM28">
        <f>SUMIF(ConfirmedRaw!$B:$B,$B28,ConfirmedRaw!BO:BO)</f>
        <v>792</v>
      </c>
      <c r="BN28">
        <f>SUMIF(ConfirmedRaw!$B:$B,$B28,ConfirmedRaw!BP:BP)</f>
        <v>880</v>
      </c>
      <c r="BO28">
        <f>SUMIF(ConfirmedRaw!$B:$B,$B28,ConfirmedRaw!BQ:BQ)</f>
        <v>958</v>
      </c>
      <c r="BP28">
        <f>SUMIF(ConfirmedRaw!$B:$B,$B28,ConfirmedRaw!BR:BR)</f>
        <v>1041</v>
      </c>
      <c r="BQ28">
        <f>SUMIF(ConfirmedRaw!$B:$B,$B28,ConfirmedRaw!BS:BS)</f>
        <v>1167</v>
      </c>
      <c r="BR28">
        <f>SUMIF(ConfirmedRaw!$B:$B,$B28,ConfirmedRaw!BT:BT)</f>
        <v>0</v>
      </c>
      <c r="BS28">
        <f>SUMIF(ConfirmedRaw!$B:$B,$B28,ConfirmedRaw!BU:BU)</f>
        <v>0</v>
      </c>
      <c r="BT28">
        <f>SUMIF(ConfirmedRaw!$B:$B,$B28,ConfirmedRaw!BV:BV)</f>
        <v>0</v>
      </c>
      <c r="BU28">
        <f>SUMIF(ConfirmedRaw!$B:$B,$B28,ConfirmedRaw!BW:BW)</f>
        <v>0</v>
      </c>
    </row>
    <row r="29" spans="1:73" ht="15" thickBot="1" x14ac:dyDescent="0.35">
      <c r="A29" s="97" t="str">
        <f>VLOOKUP(B29,Country_Data!B:Q,16,FALSE)</f>
        <v>South America</v>
      </c>
      <c r="B29" s="4" t="s">
        <v>81</v>
      </c>
      <c r="C29">
        <f>SUMIF(ConfirmedRaw!$B:$B,$B29,ConfirmedRaw!E:E)</f>
        <v>0</v>
      </c>
      <c r="D29">
        <f>SUMIF(ConfirmedRaw!$B:$B,$B29,ConfirmedRaw!F:F)</f>
        <v>0</v>
      </c>
      <c r="E29">
        <f>SUMIF(ConfirmedRaw!$B:$B,$B29,ConfirmedRaw!G:G)</f>
        <v>0</v>
      </c>
      <c r="F29">
        <f>SUMIF(ConfirmedRaw!$B:$B,$B29,ConfirmedRaw!H:H)</f>
        <v>0</v>
      </c>
      <c r="G29">
        <f>SUMIF(ConfirmedRaw!$B:$B,$B29,ConfirmedRaw!I:I)</f>
        <v>0</v>
      </c>
      <c r="H29">
        <f>SUMIF(ConfirmedRaw!$B:$B,$B29,ConfirmedRaw!J:J)</f>
        <v>0</v>
      </c>
      <c r="I29">
        <f>SUMIF(ConfirmedRaw!$B:$B,$B29,ConfirmedRaw!K:K)</f>
        <v>0</v>
      </c>
      <c r="J29">
        <f>SUMIF(ConfirmedRaw!$B:$B,$B29,ConfirmedRaw!L:L)</f>
        <v>0</v>
      </c>
      <c r="K29">
        <f>SUMIF(ConfirmedRaw!$B:$B,$B29,ConfirmedRaw!M:M)</f>
        <v>0</v>
      </c>
      <c r="L29">
        <f>SUMIF(ConfirmedRaw!$B:$B,$B29,ConfirmedRaw!N:N)</f>
        <v>0</v>
      </c>
      <c r="M29">
        <f>SUMIF(ConfirmedRaw!$B:$B,$B29,ConfirmedRaw!O:O)</f>
        <v>0</v>
      </c>
      <c r="N29">
        <f>SUMIF(ConfirmedRaw!$B:$B,$B29,ConfirmedRaw!P:P)</f>
        <v>0</v>
      </c>
      <c r="O29">
        <f>SUMIF(ConfirmedRaw!$B:$B,$B29,ConfirmedRaw!Q:Q)</f>
        <v>0</v>
      </c>
      <c r="P29">
        <f>SUMIF(ConfirmedRaw!$B:$B,$B29,ConfirmedRaw!R:R)</f>
        <v>0</v>
      </c>
      <c r="Q29">
        <f>SUMIF(ConfirmedRaw!$B:$B,$B29,ConfirmedRaw!S:S)</f>
        <v>0</v>
      </c>
      <c r="R29">
        <f>SUMIF(ConfirmedRaw!$B:$B,$B29,ConfirmedRaw!T:T)</f>
        <v>0</v>
      </c>
      <c r="S29">
        <f>SUMIF(ConfirmedRaw!$B:$B,$B29,ConfirmedRaw!U:U)</f>
        <v>0</v>
      </c>
      <c r="T29">
        <f>SUMIF(ConfirmedRaw!$B:$B,$B29,ConfirmedRaw!V:V)</f>
        <v>0</v>
      </c>
      <c r="U29">
        <f>SUMIF(ConfirmedRaw!$B:$B,$B29,ConfirmedRaw!W:W)</f>
        <v>0</v>
      </c>
      <c r="V29">
        <f>SUMIF(ConfirmedRaw!$B:$B,$B29,ConfirmedRaw!X:X)</f>
        <v>0</v>
      </c>
      <c r="W29">
        <f>SUMIF(ConfirmedRaw!$B:$B,$B29,ConfirmedRaw!Y:Y)</f>
        <v>0</v>
      </c>
      <c r="X29">
        <f>SUMIF(ConfirmedRaw!$B:$B,$B29,ConfirmedRaw!Z:Z)</f>
        <v>0</v>
      </c>
      <c r="Y29">
        <f>SUMIF(ConfirmedRaw!$B:$B,$B29,ConfirmedRaw!AA:AA)</f>
        <v>0</v>
      </c>
      <c r="Z29">
        <f>SUMIF(ConfirmedRaw!$B:$B,$B29,ConfirmedRaw!AB:AB)</f>
        <v>0</v>
      </c>
      <c r="AA29">
        <f>SUMIF(ConfirmedRaw!$B:$B,$B29,ConfirmedRaw!AC:AC)</f>
        <v>0</v>
      </c>
      <c r="AB29">
        <f>SUMIF(ConfirmedRaw!$B:$B,$B29,ConfirmedRaw!AD:AD)</f>
        <v>0</v>
      </c>
      <c r="AC29">
        <f>SUMIF(ConfirmedRaw!$B:$B,$B29,ConfirmedRaw!AE:AE)</f>
        <v>0</v>
      </c>
      <c r="AD29">
        <f>SUMIF(ConfirmedRaw!$B:$B,$B29,ConfirmedRaw!AF:AF)</f>
        <v>0</v>
      </c>
      <c r="AE29">
        <f>SUMIF(ConfirmedRaw!$B:$B,$B29,ConfirmedRaw!AG:AG)</f>
        <v>0</v>
      </c>
      <c r="AF29">
        <f>SUMIF(ConfirmedRaw!$B:$B,$B29,ConfirmedRaw!AH:AH)</f>
        <v>0</v>
      </c>
      <c r="AG29">
        <f>SUMIF(ConfirmedRaw!$B:$B,$B29,ConfirmedRaw!AI:AI)</f>
        <v>0</v>
      </c>
      <c r="AH29">
        <f>SUMIF(ConfirmedRaw!$B:$B,$B29,ConfirmedRaw!AJ:AJ)</f>
        <v>0</v>
      </c>
      <c r="AI29">
        <f>SUMIF(ConfirmedRaw!$B:$B,$B29,ConfirmedRaw!AK:AK)</f>
        <v>0</v>
      </c>
      <c r="AJ29">
        <f>SUMIF(ConfirmedRaw!$B:$B,$B29,ConfirmedRaw!AL:AL)</f>
        <v>0</v>
      </c>
      <c r="AK29">
        <f>SUMIF(ConfirmedRaw!$B:$B,$B29,ConfirmedRaw!AM:AM)</f>
        <v>0</v>
      </c>
      <c r="AL29">
        <f>SUMIF(ConfirmedRaw!$B:$B,$B29,ConfirmedRaw!AN:AN)</f>
        <v>1</v>
      </c>
      <c r="AM29">
        <f>SUMIF(ConfirmedRaw!$B:$B,$B29,ConfirmedRaw!AO:AO)</f>
        <v>1</v>
      </c>
      <c r="AN29">
        <f>SUMIF(ConfirmedRaw!$B:$B,$B29,ConfirmedRaw!AP:AP)</f>
        <v>1</v>
      </c>
      <c r="AO29">
        <f>SUMIF(ConfirmedRaw!$B:$B,$B29,ConfirmedRaw!AQ:AQ)</f>
        <v>2</v>
      </c>
      <c r="AP29">
        <f>SUMIF(ConfirmedRaw!$B:$B,$B29,ConfirmedRaw!AR:AR)</f>
        <v>2</v>
      </c>
      <c r="AQ29">
        <f>SUMIF(ConfirmedRaw!$B:$B,$B29,ConfirmedRaw!AS:AS)</f>
        <v>2</v>
      </c>
      <c r="AR29">
        <f>SUMIF(ConfirmedRaw!$B:$B,$B29,ConfirmedRaw!AT:AT)</f>
        <v>2</v>
      </c>
      <c r="AS29">
        <f>SUMIF(ConfirmedRaw!$B:$B,$B29,ConfirmedRaw!AU:AU)</f>
        <v>4</v>
      </c>
      <c r="AT29">
        <f>SUMIF(ConfirmedRaw!$B:$B,$B29,ConfirmedRaw!AV:AV)</f>
        <v>4</v>
      </c>
      <c r="AU29">
        <f>SUMIF(ConfirmedRaw!$B:$B,$B29,ConfirmedRaw!AW:AW)</f>
        <v>13</v>
      </c>
      <c r="AV29">
        <f>SUMIF(ConfirmedRaw!$B:$B,$B29,ConfirmedRaw!AX:AX)</f>
        <v>13</v>
      </c>
      <c r="AW29">
        <f>SUMIF(ConfirmedRaw!$B:$B,$B29,ConfirmedRaw!AY:AY)</f>
        <v>20</v>
      </c>
      <c r="AX29">
        <f>SUMIF(ConfirmedRaw!$B:$B,$B29,ConfirmedRaw!AZ:AZ)</f>
        <v>25</v>
      </c>
      <c r="AY29">
        <f>SUMIF(ConfirmedRaw!$B:$B,$B29,ConfirmedRaw!BA:BA)</f>
        <v>31</v>
      </c>
      <c r="AZ29">
        <f>SUMIF(ConfirmedRaw!$B:$B,$B29,ConfirmedRaw!BB:BB)</f>
        <v>38</v>
      </c>
      <c r="BA29">
        <f>SUMIF(ConfirmedRaw!$B:$B,$B29,ConfirmedRaw!BC:BC)</f>
        <v>52</v>
      </c>
      <c r="BB29">
        <f>SUMIF(ConfirmedRaw!$B:$B,$B29,ConfirmedRaw!BD:BD)</f>
        <v>151</v>
      </c>
      <c r="BC29">
        <f>SUMIF(ConfirmedRaw!$B:$B,$B29,ConfirmedRaw!BE:BE)</f>
        <v>151</v>
      </c>
      <c r="BD29">
        <f>SUMIF(ConfirmedRaw!$B:$B,$B29,ConfirmedRaw!BF:BF)</f>
        <v>162</v>
      </c>
      <c r="BE29">
        <f>SUMIF(ConfirmedRaw!$B:$B,$B29,ConfirmedRaw!BG:BG)</f>
        <v>200</v>
      </c>
      <c r="BF29">
        <f>SUMIF(ConfirmedRaw!$B:$B,$B29,ConfirmedRaw!BH:BH)</f>
        <v>321</v>
      </c>
      <c r="BG29">
        <f>SUMIF(ConfirmedRaw!$B:$B,$B29,ConfirmedRaw!BI:BI)</f>
        <v>372</v>
      </c>
      <c r="BH29">
        <f>SUMIF(ConfirmedRaw!$B:$B,$B29,ConfirmedRaw!BJ:BJ)</f>
        <v>621</v>
      </c>
      <c r="BI29">
        <f>SUMIF(ConfirmedRaw!$B:$B,$B29,ConfirmedRaw!BK:BK)</f>
        <v>793</v>
      </c>
      <c r="BJ29">
        <f>SUMIF(ConfirmedRaw!$B:$B,$B29,ConfirmedRaw!BL:BL)</f>
        <v>1021</v>
      </c>
      <c r="BK29">
        <f>SUMIF(ConfirmedRaw!$B:$B,$B29,ConfirmedRaw!BM:BM)</f>
        <v>1546</v>
      </c>
      <c r="BL29">
        <f>SUMIF(ConfirmedRaw!$B:$B,$B29,ConfirmedRaw!BN:BN)</f>
        <v>1924</v>
      </c>
      <c r="BM29">
        <f>SUMIF(ConfirmedRaw!$B:$B,$B29,ConfirmedRaw!BO:BO)</f>
        <v>2247</v>
      </c>
      <c r="BN29">
        <f>SUMIF(ConfirmedRaw!$B:$B,$B29,ConfirmedRaw!BP:BP)</f>
        <v>2554</v>
      </c>
      <c r="BO29">
        <f>SUMIF(ConfirmedRaw!$B:$B,$B29,ConfirmedRaw!BQ:BQ)</f>
        <v>2985</v>
      </c>
      <c r="BP29">
        <f>SUMIF(ConfirmedRaw!$B:$B,$B29,ConfirmedRaw!BR:BR)</f>
        <v>3417</v>
      </c>
      <c r="BQ29">
        <f>SUMIF(ConfirmedRaw!$B:$B,$B29,ConfirmedRaw!BS:BS)</f>
        <v>3904</v>
      </c>
      <c r="BR29">
        <f>SUMIF(ConfirmedRaw!$B:$B,$B29,ConfirmedRaw!BT:BT)</f>
        <v>0</v>
      </c>
      <c r="BS29">
        <f>SUMIF(ConfirmedRaw!$B:$B,$B29,ConfirmedRaw!BU:BU)</f>
        <v>0</v>
      </c>
      <c r="BT29">
        <f>SUMIF(ConfirmedRaw!$B:$B,$B29,ConfirmedRaw!BV:BV)</f>
        <v>0</v>
      </c>
      <c r="BU29">
        <f>SUMIF(ConfirmedRaw!$B:$B,$B29,ConfirmedRaw!BW:BW)</f>
        <v>0</v>
      </c>
    </row>
    <row r="30" spans="1:73" ht="15" thickBot="1" x14ac:dyDescent="0.35">
      <c r="A30" s="97" t="s">
        <v>609</v>
      </c>
      <c r="B30" s="3" t="s">
        <v>341</v>
      </c>
      <c r="C30">
        <f>SUMIF(ConfirmedRaw!$B:$B,$B30,ConfirmedRaw!E:E)</f>
        <v>0</v>
      </c>
      <c r="D30">
        <f>SUMIF(ConfirmedRaw!$B:$B,$B30,ConfirmedRaw!F:F)</f>
        <v>0</v>
      </c>
      <c r="E30">
        <f>SUMIF(ConfirmedRaw!$B:$B,$B30,ConfirmedRaw!G:G)</f>
        <v>0</v>
      </c>
      <c r="F30">
        <f>SUMIF(ConfirmedRaw!$B:$B,$B30,ConfirmedRaw!H:H)</f>
        <v>0</v>
      </c>
      <c r="G30">
        <f>SUMIF(ConfirmedRaw!$B:$B,$B30,ConfirmedRaw!I:I)</f>
        <v>0</v>
      </c>
      <c r="H30">
        <f>SUMIF(ConfirmedRaw!$B:$B,$B30,ConfirmedRaw!J:J)</f>
        <v>0</v>
      </c>
      <c r="I30">
        <f>SUMIF(ConfirmedRaw!$B:$B,$B30,ConfirmedRaw!K:K)</f>
        <v>0</v>
      </c>
      <c r="J30">
        <f>SUMIF(ConfirmedRaw!$B:$B,$B30,ConfirmedRaw!L:L)</f>
        <v>0</v>
      </c>
      <c r="K30">
        <f>SUMIF(ConfirmedRaw!$B:$B,$B30,ConfirmedRaw!M:M)</f>
        <v>0</v>
      </c>
      <c r="L30">
        <f>SUMIF(ConfirmedRaw!$B:$B,$B30,ConfirmedRaw!N:N)</f>
        <v>0</v>
      </c>
      <c r="M30">
        <f>SUMIF(ConfirmedRaw!$B:$B,$B30,ConfirmedRaw!O:O)</f>
        <v>0</v>
      </c>
      <c r="N30">
        <f>SUMIF(ConfirmedRaw!$B:$B,$B30,ConfirmedRaw!P:P)</f>
        <v>0</v>
      </c>
      <c r="O30">
        <f>SUMIF(ConfirmedRaw!$B:$B,$B30,ConfirmedRaw!Q:Q)</f>
        <v>0</v>
      </c>
      <c r="P30">
        <f>SUMIF(ConfirmedRaw!$B:$B,$B30,ConfirmedRaw!R:R)</f>
        <v>0</v>
      </c>
      <c r="Q30">
        <f>SUMIF(ConfirmedRaw!$B:$B,$B30,ConfirmedRaw!S:S)</f>
        <v>0</v>
      </c>
      <c r="R30">
        <f>SUMIF(ConfirmedRaw!$B:$B,$B30,ConfirmedRaw!T:T)</f>
        <v>0</v>
      </c>
      <c r="S30">
        <f>SUMIF(ConfirmedRaw!$B:$B,$B30,ConfirmedRaw!U:U)</f>
        <v>0</v>
      </c>
      <c r="T30">
        <f>SUMIF(ConfirmedRaw!$B:$B,$B30,ConfirmedRaw!V:V)</f>
        <v>0</v>
      </c>
      <c r="U30">
        <f>SUMIF(ConfirmedRaw!$B:$B,$B30,ConfirmedRaw!W:W)</f>
        <v>0</v>
      </c>
      <c r="V30">
        <f>SUMIF(ConfirmedRaw!$B:$B,$B30,ConfirmedRaw!X:X)</f>
        <v>0</v>
      </c>
      <c r="W30">
        <f>SUMIF(ConfirmedRaw!$B:$B,$B30,ConfirmedRaw!Y:Y)</f>
        <v>0</v>
      </c>
      <c r="X30">
        <f>SUMIF(ConfirmedRaw!$B:$B,$B30,ConfirmedRaw!Z:Z)</f>
        <v>0</v>
      </c>
      <c r="Y30">
        <f>SUMIF(ConfirmedRaw!$B:$B,$B30,ConfirmedRaw!AA:AA)</f>
        <v>0</v>
      </c>
      <c r="Z30">
        <f>SUMIF(ConfirmedRaw!$B:$B,$B30,ConfirmedRaw!AB:AB)</f>
        <v>0</v>
      </c>
      <c r="AA30">
        <f>SUMIF(ConfirmedRaw!$B:$B,$B30,ConfirmedRaw!AC:AC)</f>
        <v>0</v>
      </c>
      <c r="AB30">
        <f>SUMIF(ConfirmedRaw!$B:$B,$B30,ConfirmedRaw!AD:AD)</f>
        <v>0</v>
      </c>
      <c r="AC30">
        <f>SUMIF(ConfirmedRaw!$B:$B,$B30,ConfirmedRaw!AE:AE)</f>
        <v>0</v>
      </c>
      <c r="AD30">
        <f>SUMIF(ConfirmedRaw!$B:$B,$B30,ConfirmedRaw!AF:AF)</f>
        <v>0</v>
      </c>
      <c r="AE30">
        <f>SUMIF(ConfirmedRaw!$B:$B,$B30,ConfirmedRaw!AG:AG)</f>
        <v>0</v>
      </c>
      <c r="AF30">
        <f>SUMIF(ConfirmedRaw!$B:$B,$B30,ConfirmedRaw!AH:AH)</f>
        <v>0</v>
      </c>
      <c r="AG30">
        <f>SUMIF(ConfirmedRaw!$B:$B,$B30,ConfirmedRaw!AI:AI)</f>
        <v>0</v>
      </c>
      <c r="AH30">
        <f>SUMIF(ConfirmedRaw!$B:$B,$B30,ConfirmedRaw!AJ:AJ)</f>
        <v>0</v>
      </c>
      <c r="AI30">
        <f>SUMIF(ConfirmedRaw!$B:$B,$B30,ConfirmedRaw!AK:AK)</f>
        <v>0</v>
      </c>
      <c r="AJ30">
        <f>SUMIF(ConfirmedRaw!$B:$B,$B30,ConfirmedRaw!AL:AL)</f>
        <v>0</v>
      </c>
      <c r="AK30">
        <f>SUMIF(ConfirmedRaw!$B:$B,$B30,ConfirmedRaw!AM:AM)</f>
        <v>0</v>
      </c>
      <c r="AL30">
        <f>SUMIF(ConfirmedRaw!$B:$B,$B30,ConfirmedRaw!AN:AN)</f>
        <v>0</v>
      </c>
      <c r="AM30">
        <f>SUMIF(ConfirmedRaw!$B:$B,$B30,ConfirmedRaw!AO:AO)</f>
        <v>0</v>
      </c>
      <c r="AN30">
        <f>SUMIF(ConfirmedRaw!$B:$B,$B30,ConfirmedRaw!AP:AP)</f>
        <v>0</v>
      </c>
      <c r="AO30">
        <f>SUMIF(ConfirmedRaw!$B:$B,$B30,ConfirmedRaw!AQ:AQ)</f>
        <v>0</v>
      </c>
      <c r="AP30">
        <f>SUMIF(ConfirmedRaw!$B:$B,$B30,ConfirmedRaw!AR:AR)</f>
        <v>3</v>
      </c>
      <c r="AQ30">
        <f>SUMIF(ConfirmedRaw!$B:$B,$B30,ConfirmedRaw!AS:AS)</f>
        <v>3</v>
      </c>
      <c r="AR30">
        <f>SUMIF(ConfirmedRaw!$B:$B,$B30,ConfirmedRaw!AT:AT)</f>
        <v>5</v>
      </c>
      <c r="AS30">
        <f>SUMIF(ConfirmedRaw!$B:$B,$B30,ConfirmedRaw!AU:AU)</f>
        <v>8</v>
      </c>
      <c r="AT30">
        <f>SUMIF(ConfirmedRaw!$B:$B,$B30,ConfirmedRaw!AV:AV)</f>
        <v>12</v>
      </c>
      <c r="AU30">
        <f>SUMIF(ConfirmedRaw!$B:$B,$B30,ConfirmedRaw!AW:AW)</f>
        <v>18</v>
      </c>
      <c r="AV30">
        <f>SUMIF(ConfirmedRaw!$B:$B,$B30,ConfirmedRaw!AX:AX)</f>
        <v>19</v>
      </c>
      <c r="AW30">
        <f>SUMIF(ConfirmedRaw!$B:$B,$B30,ConfirmedRaw!AY:AY)</f>
        <v>31</v>
      </c>
      <c r="AX30">
        <f>SUMIF(ConfirmedRaw!$B:$B,$B30,ConfirmedRaw!AZ:AZ)</f>
        <v>31</v>
      </c>
      <c r="AY30">
        <f>SUMIF(ConfirmedRaw!$B:$B,$B30,ConfirmedRaw!BA:BA)</f>
        <v>41</v>
      </c>
      <c r="AZ30">
        <f>SUMIF(ConfirmedRaw!$B:$B,$B30,ConfirmedRaw!BB:BB)</f>
        <v>91</v>
      </c>
      <c r="BA30">
        <f>SUMIF(ConfirmedRaw!$B:$B,$B30,ConfirmedRaw!BC:BC)</f>
        <v>94</v>
      </c>
      <c r="BB30">
        <f>SUMIF(ConfirmedRaw!$B:$B,$B30,ConfirmedRaw!BD:BD)</f>
        <v>141</v>
      </c>
      <c r="BC30">
        <f>SUMIF(ConfirmedRaw!$B:$B,$B30,ConfirmedRaw!BE:BE)</f>
        <v>189</v>
      </c>
      <c r="BD30">
        <f>SUMIF(ConfirmedRaw!$B:$B,$B30,ConfirmedRaw!BF:BF)</f>
        <v>253</v>
      </c>
      <c r="BE30">
        <f>SUMIF(ConfirmedRaw!$B:$B,$B30,ConfirmedRaw!BG:BG)</f>
        <v>298</v>
      </c>
      <c r="BF30">
        <f>SUMIF(ConfirmedRaw!$B:$B,$B30,ConfirmedRaw!BH:BH)</f>
        <v>396</v>
      </c>
      <c r="BG30">
        <f>SUMIF(ConfirmedRaw!$B:$B,$B30,ConfirmedRaw!BI:BI)</f>
        <v>464</v>
      </c>
      <c r="BH30">
        <f>SUMIF(ConfirmedRaw!$B:$B,$B30,ConfirmedRaw!BJ:BJ)</f>
        <v>694</v>
      </c>
      <c r="BI30">
        <f>SUMIF(ConfirmedRaw!$B:$B,$B30,ConfirmedRaw!BK:BK)</f>
        <v>833</v>
      </c>
      <c r="BJ30">
        <f>SUMIF(ConfirmedRaw!$B:$B,$B30,ConfirmedRaw!BL:BL)</f>
        <v>995</v>
      </c>
      <c r="BK30">
        <f>SUMIF(ConfirmedRaw!$B:$B,$B30,ConfirmedRaw!BM:BM)</f>
        <v>1120</v>
      </c>
      <c r="BL30">
        <f>SUMIF(ConfirmedRaw!$B:$B,$B30,ConfirmedRaw!BN:BN)</f>
        <v>1236</v>
      </c>
      <c r="BM30">
        <f>SUMIF(ConfirmedRaw!$B:$B,$B30,ConfirmedRaw!BO:BO)</f>
        <v>1394</v>
      </c>
      <c r="BN30">
        <f>SUMIF(ConfirmedRaw!$B:$B,$B30,ConfirmedRaw!BP:BP)</f>
        <v>1654</v>
      </c>
      <c r="BO30">
        <f>SUMIF(ConfirmedRaw!$B:$B,$B30,ConfirmedRaw!BQ:BQ)</f>
        <v>1925</v>
      </c>
      <c r="BP30">
        <f>SUMIF(ConfirmedRaw!$B:$B,$B30,ConfirmedRaw!BR:BR)</f>
        <v>2279</v>
      </c>
      <c r="BQ30">
        <f>SUMIF(ConfirmedRaw!$B:$B,$B30,ConfirmedRaw!BS:BS)</f>
        <v>2631</v>
      </c>
      <c r="BR30">
        <f>SUMIF(ConfirmedRaw!$B:$B,$B30,ConfirmedRaw!BT:BT)</f>
        <v>0</v>
      </c>
      <c r="BS30">
        <f>SUMIF(ConfirmedRaw!$B:$B,$B30,ConfirmedRaw!BU:BU)</f>
        <v>0</v>
      </c>
      <c r="BT30">
        <f>SUMIF(ConfirmedRaw!$B:$B,$B30,ConfirmedRaw!BV:BV)</f>
        <v>0</v>
      </c>
      <c r="BU30">
        <f>SUMIF(ConfirmedRaw!$B:$B,$B30,ConfirmedRaw!BW:BW)</f>
        <v>0</v>
      </c>
    </row>
    <row r="31" spans="1:73" ht="15" thickBot="1" x14ac:dyDescent="0.35">
      <c r="A31" s="97" t="str">
        <f>VLOOKUP(B31,Country_Data!B:Q,16,FALSE)</f>
        <v>Europe</v>
      </c>
      <c r="B31" s="4" t="s">
        <v>141</v>
      </c>
      <c r="C31">
        <f>SUMIF(ConfirmedRaw!$B:$B,$B31,ConfirmedRaw!E:E)</f>
        <v>0</v>
      </c>
      <c r="D31">
        <f>SUMIF(ConfirmedRaw!$B:$B,$B31,ConfirmedRaw!F:F)</f>
        <v>0</v>
      </c>
      <c r="E31">
        <f>SUMIF(ConfirmedRaw!$B:$B,$B31,ConfirmedRaw!G:G)</f>
        <v>0</v>
      </c>
      <c r="F31">
        <f>SUMIF(ConfirmedRaw!$B:$B,$B31,ConfirmedRaw!H:H)</f>
        <v>0</v>
      </c>
      <c r="G31">
        <f>SUMIF(ConfirmedRaw!$B:$B,$B31,ConfirmedRaw!I:I)</f>
        <v>0</v>
      </c>
      <c r="H31">
        <f>SUMIF(ConfirmedRaw!$B:$B,$B31,ConfirmedRaw!J:J)</f>
        <v>0</v>
      </c>
      <c r="I31">
        <f>SUMIF(ConfirmedRaw!$B:$B,$B31,ConfirmedRaw!K:K)</f>
        <v>0</v>
      </c>
      <c r="J31">
        <f>SUMIF(ConfirmedRaw!$B:$B,$B31,ConfirmedRaw!L:L)</f>
        <v>0</v>
      </c>
      <c r="K31">
        <f>SUMIF(ConfirmedRaw!$B:$B,$B31,ConfirmedRaw!M:M)</f>
        <v>0</v>
      </c>
      <c r="L31">
        <f>SUMIF(ConfirmedRaw!$B:$B,$B31,ConfirmedRaw!N:N)</f>
        <v>0</v>
      </c>
      <c r="M31">
        <f>SUMIF(ConfirmedRaw!$B:$B,$B31,ConfirmedRaw!O:O)</f>
        <v>0</v>
      </c>
      <c r="N31">
        <f>SUMIF(ConfirmedRaw!$B:$B,$B31,ConfirmedRaw!P:P)</f>
        <v>0</v>
      </c>
      <c r="O31">
        <f>SUMIF(ConfirmedRaw!$B:$B,$B31,ConfirmedRaw!Q:Q)</f>
        <v>0</v>
      </c>
      <c r="P31">
        <f>SUMIF(ConfirmedRaw!$B:$B,$B31,ConfirmedRaw!R:R)</f>
        <v>0</v>
      </c>
      <c r="Q31">
        <f>SUMIF(ConfirmedRaw!$B:$B,$B31,ConfirmedRaw!S:S)</f>
        <v>0</v>
      </c>
      <c r="R31">
        <f>SUMIF(ConfirmedRaw!$B:$B,$B31,ConfirmedRaw!T:T)</f>
        <v>0</v>
      </c>
      <c r="S31">
        <f>SUMIF(ConfirmedRaw!$B:$B,$B31,ConfirmedRaw!U:U)</f>
        <v>0</v>
      </c>
      <c r="T31">
        <f>SUMIF(ConfirmedRaw!$B:$B,$B31,ConfirmedRaw!V:V)</f>
        <v>0</v>
      </c>
      <c r="U31">
        <f>SUMIF(ConfirmedRaw!$B:$B,$B31,ConfirmedRaw!W:W)</f>
        <v>0</v>
      </c>
      <c r="V31">
        <f>SUMIF(ConfirmedRaw!$B:$B,$B31,ConfirmedRaw!X:X)</f>
        <v>0</v>
      </c>
      <c r="W31">
        <f>SUMIF(ConfirmedRaw!$B:$B,$B31,ConfirmedRaw!Y:Y)</f>
        <v>0</v>
      </c>
      <c r="X31">
        <f>SUMIF(ConfirmedRaw!$B:$B,$B31,ConfirmedRaw!Z:Z)</f>
        <v>0</v>
      </c>
      <c r="Y31">
        <f>SUMIF(ConfirmedRaw!$B:$B,$B31,ConfirmedRaw!AA:AA)</f>
        <v>0</v>
      </c>
      <c r="Z31">
        <f>SUMIF(ConfirmedRaw!$B:$B,$B31,ConfirmedRaw!AB:AB)</f>
        <v>0</v>
      </c>
      <c r="AA31">
        <f>SUMIF(ConfirmedRaw!$B:$B,$B31,ConfirmedRaw!AC:AC)</f>
        <v>0</v>
      </c>
      <c r="AB31">
        <f>SUMIF(ConfirmedRaw!$B:$B,$B31,ConfirmedRaw!AD:AD)</f>
        <v>0</v>
      </c>
      <c r="AC31">
        <f>SUMIF(ConfirmedRaw!$B:$B,$B31,ConfirmedRaw!AE:AE)</f>
        <v>0</v>
      </c>
      <c r="AD31">
        <f>SUMIF(ConfirmedRaw!$B:$B,$B31,ConfirmedRaw!AF:AF)</f>
        <v>0</v>
      </c>
      <c r="AE31">
        <f>SUMIF(ConfirmedRaw!$B:$B,$B31,ConfirmedRaw!AG:AG)</f>
        <v>0</v>
      </c>
      <c r="AF31">
        <f>SUMIF(ConfirmedRaw!$B:$B,$B31,ConfirmedRaw!AH:AH)</f>
        <v>0</v>
      </c>
      <c r="AG31">
        <f>SUMIF(ConfirmedRaw!$B:$B,$B31,ConfirmedRaw!AI:AI)</f>
        <v>0</v>
      </c>
      <c r="AH31">
        <f>SUMIF(ConfirmedRaw!$B:$B,$B31,ConfirmedRaw!AJ:AJ)</f>
        <v>0</v>
      </c>
      <c r="AI31">
        <f>SUMIF(ConfirmedRaw!$B:$B,$B31,ConfirmedRaw!AK:AK)</f>
        <v>0</v>
      </c>
      <c r="AJ31">
        <f>SUMIF(ConfirmedRaw!$B:$B,$B31,ConfirmedRaw!AL:AL)</f>
        <v>0</v>
      </c>
      <c r="AK31">
        <f>SUMIF(ConfirmedRaw!$B:$B,$B31,ConfirmedRaw!AM:AM)</f>
        <v>0</v>
      </c>
      <c r="AL31">
        <f>SUMIF(ConfirmedRaw!$B:$B,$B31,ConfirmedRaw!AN:AN)</f>
        <v>0</v>
      </c>
      <c r="AM31">
        <f>SUMIF(ConfirmedRaw!$B:$B,$B31,ConfirmedRaw!AO:AO)</f>
        <v>0</v>
      </c>
      <c r="AN31">
        <f>SUMIF(ConfirmedRaw!$B:$B,$B31,ConfirmedRaw!AP:AP)</f>
        <v>0</v>
      </c>
      <c r="AO31">
        <f>SUMIF(ConfirmedRaw!$B:$B,$B31,ConfirmedRaw!AQ:AQ)</f>
        <v>0</v>
      </c>
      <c r="AP31">
        <f>SUMIF(ConfirmedRaw!$B:$B,$B31,ConfirmedRaw!AR:AR)</f>
        <v>0</v>
      </c>
      <c r="AQ31">
        <f>SUMIF(ConfirmedRaw!$B:$B,$B31,ConfirmedRaw!AS:AS)</f>
        <v>0</v>
      </c>
      <c r="AR31">
        <f>SUMIF(ConfirmedRaw!$B:$B,$B31,ConfirmedRaw!AT:AT)</f>
        <v>0</v>
      </c>
      <c r="AS31">
        <f>SUMIF(ConfirmedRaw!$B:$B,$B31,ConfirmedRaw!AU:AU)</f>
        <v>0</v>
      </c>
      <c r="AT31">
        <f>SUMIF(ConfirmedRaw!$B:$B,$B31,ConfirmedRaw!AV:AV)</f>
        <v>2</v>
      </c>
      <c r="AU31">
        <f>SUMIF(ConfirmedRaw!$B:$B,$B31,ConfirmedRaw!AW:AW)</f>
        <v>7</v>
      </c>
      <c r="AV31">
        <f>SUMIF(ConfirmedRaw!$B:$B,$B31,ConfirmedRaw!AX:AX)</f>
        <v>7</v>
      </c>
      <c r="AW31">
        <f>SUMIF(ConfirmedRaw!$B:$B,$B31,ConfirmedRaw!AY:AY)</f>
        <v>16</v>
      </c>
      <c r="AX31">
        <f>SUMIF(ConfirmedRaw!$B:$B,$B31,ConfirmedRaw!AZ:AZ)</f>
        <v>16</v>
      </c>
      <c r="AY31">
        <f>SUMIF(ConfirmedRaw!$B:$B,$B31,ConfirmedRaw!BA:BA)</f>
        <v>31</v>
      </c>
      <c r="AZ31">
        <f>SUMIF(ConfirmedRaw!$B:$B,$B31,ConfirmedRaw!BB:BB)</f>
        <v>57</v>
      </c>
      <c r="BA31">
        <f>SUMIF(ConfirmedRaw!$B:$B,$B31,ConfirmedRaw!BC:BC)</f>
        <v>89</v>
      </c>
      <c r="BB31">
        <f>SUMIF(ConfirmedRaw!$B:$B,$B31,ConfirmedRaw!BD:BD)</f>
        <v>141</v>
      </c>
      <c r="BC31">
        <f>SUMIF(ConfirmedRaw!$B:$B,$B31,ConfirmedRaw!BE:BE)</f>
        <v>181</v>
      </c>
      <c r="BD31">
        <f>SUMIF(ConfirmedRaw!$B:$B,$B31,ConfirmedRaw!BF:BF)</f>
        <v>219</v>
      </c>
      <c r="BE31">
        <f>SUMIF(ConfirmedRaw!$B:$B,$B31,ConfirmedRaw!BG:BG)</f>
        <v>253</v>
      </c>
      <c r="BF31">
        <f>SUMIF(ConfirmedRaw!$B:$B,$B31,ConfirmedRaw!BH:BH)</f>
        <v>275</v>
      </c>
      <c r="BG31">
        <f>SUMIF(ConfirmedRaw!$B:$B,$B31,ConfirmedRaw!BI:BI)</f>
        <v>275</v>
      </c>
      <c r="BH31">
        <f>SUMIF(ConfirmedRaw!$B:$B,$B31,ConfirmedRaw!BJ:BJ)</f>
        <v>286</v>
      </c>
      <c r="BI31">
        <f>SUMIF(ConfirmedRaw!$B:$B,$B31,ConfirmedRaw!BK:BK)</f>
        <v>341</v>
      </c>
      <c r="BJ31">
        <f>SUMIF(ConfirmedRaw!$B:$B,$B31,ConfirmedRaw!BL:BL)</f>
        <v>383</v>
      </c>
      <c r="BK31">
        <f>SUMIF(ConfirmedRaw!$B:$B,$B31,ConfirmedRaw!BM:BM)</f>
        <v>414</v>
      </c>
      <c r="BL31">
        <f>SUMIF(ConfirmedRaw!$B:$B,$B31,ConfirmedRaw!BN:BN)</f>
        <v>442</v>
      </c>
      <c r="BM31">
        <f>SUMIF(ConfirmedRaw!$B:$B,$B31,ConfirmedRaw!BO:BO)</f>
        <v>480</v>
      </c>
      <c r="BN31">
        <f>SUMIF(ConfirmedRaw!$B:$B,$B31,ConfirmedRaw!BP:BP)</f>
        <v>528</v>
      </c>
      <c r="BO31">
        <f>SUMIF(ConfirmedRaw!$B:$B,$B31,ConfirmedRaw!BQ:BQ)</f>
        <v>562</v>
      </c>
      <c r="BP31">
        <f>SUMIF(ConfirmedRaw!$B:$B,$B31,ConfirmedRaw!BR:BR)</f>
        <v>632</v>
      </c>
      <c r="BQ31">
        <f>SUMIF(ConfirmedRaw!$B:$B,$B31,ConfirmedRaw!BS:BS)</f>
        <v>684</v>
      </c>
      <c r="BR31">
        <f>SUMIF(ConfirmedRaw!$B:$B,$B31,ConfirmedRaw!BT:BT)</f>
        <v>0</v>
      </c>
      <c r="BS31">
        <f>SUMIF(ConfirmedRaw!$B:$B,$B31,ConfirmedRaw!BU:BU)</f>
        <v>0</v>
      </c>
      <c r="BT31">
        <f>SUMIF(ConfirmedRaw!$B:$B,$B31,ConfirmedRaw!BV:BV)</f>
        <v>0</v>
      </c>
      <c r="BU31">
        <f>SUMIF(ConfirmedRaw!$B:$B,$B31,ConfirmedRaw!BW:BW)</f>
        <v>0</v>
      </c>
    </row>
    <row r="32" spans="1:73" ht="15" thickBot="1" x14ac:dyDescent="0.35">
      <c r="A32" s="97" t="str">
        <f>VLOOKUP(B32,Country_Data!B:Q,16,FALSE)</f>
        <v>Europe</v>
      </c>
      <c r="B32" s="4" t="s">
        <v>92</v>
      </c>
      <c r="C32">
        <f>SUMIF(ConfirmedRaw!$B:$B,$B32,ConfirmedRaw!E:E)</f>
        <v>0</v>
      </c>
      <c r="D32">
        <f>SUMIF(ConfirmedRaw!$B:$B,$B32,ConfirmedRaw!F:F)</f>
        <v>0</v>
      </c>
      <c r="E32">
        <f>SUMIF(ConfirmedRaw!$B:$B,$B32,ConfirmedRaw!G:G)</f>
        <v>0</v>
      </c>
      <c r="F32">
        <f>SUMIF(ConfirmedRaw!$B:$B,$B32,ConfirmedRaw!H:H)</f>
        <v>0</v>
      </c>
      <c r="G32">
        <f>SUMIF(ConfirmedRaw!$B:$B,$B32,ConfirmedRaw!I:I)</f>
        <v>0</v>
      </c>
      <c r="H32">
        <f>SUMIF(ConfirmedRaw!$B:$B,$B32,ConfirmedRaw!J:J)</f>
        <v>0</v>
      </c>
      <c r="I32">
        <f>SUMIF(ConfirmedRaw!$B:$B,$B32,ConfirmedRaw!K:K)</f>
        <v>0</v>
      </c>
      <c r="J32">
        <f>SUMIF(ConfirmedRaw!$B:$B,$B32,ConfirmedRaw!L:L)</f>
        <v>0</v>
      </c>
      <c r="K32">
        <f>SUMIF(ConfirmedRaw!$B:$B,$B32,ConfirmedRaw!M:M)</f>
        <v>0</v>
      </c>
      <c r="L32">
        <f>SUMIF(ConfirmedRaw!$B:$B,$B32,ConfirmedRaw!N:N)</f>
        <v>0</v>
      </c>
      <c r="M32">
        <f>SUMIF(ConfirmedRaw!$B:$B,$B32,ConfirmedRaw!O:O)</f>
        <v>0</v>
      </c>
      <c r="N32">
        <f>SUMIF(ConfirmedRaw!$B:$B,$B32,ConfirmedRaw!P:P)</f>
        <v>0</v>
      </c>
      <c r="O32">
        <f>SUMIF(ConfirmedRaw!$B:$B,$B32,ConfirmedRaw!Q:Q)</f>
        <v>0</v>
      </c>
      <c r="P32">
        <f>SUMIF(ConfirmedRaw!$B:$B,$B32,ConfirmedRaw!R:R)</f>
        <v>0</v>
      </c>
      <c r="Q32">
        <f>SUMIF(ConfirmedRaw!$B:$B,$B32,ConfirmedRaw!S:S)</f>
        <v>0</v>
      </c>
      <c r="R32">
        <f>SUMIF(ConfirmedRaw!$B:$B,$B32,ConfirmedRaw!T:T)</f>
        <v>0</v>
      </c>
      <c r="S32">
        <f>SUMIF(ConfirmedRaw!$B:$B,$B32,ConfirmedRaw!U:U)</f>
        <v>0</v>
      </c>
      <c r="T32">
        <f>SUMIF(ConfirmedRaw!$B:$B,$B32,ConfirmedRaw!V:V)</f>
        <v>0</v>
      </c>
      <c r="U32">
        <f>SUMIF(ConfirmedRaw!$B:$B,$B32,ConfirmedRaw!W:W)</f>
        <v>0</v>
      </c>
      <c r="V32">
        <f>SUMIF(ConfirmedRaw!$B:$B,$B32,ConfirmedRaw!X:X)</f>
        <v>0</v>
      </c>
      <c r="W32">
        <f>SUMIF(ConfirmedRaw!$B:$B,$B32,ConfirmedRaw!Y:Y)</f>
        <v>0</v>
      </c>
      <c r="X32">
        <f>SUMIF(ConfirmedRaw!$B:$B,$B32,ConfirmedRaw!Z:Z)</f>
        <v>0</v>
      </c>
      <c r="Y32">
        <f>SUMIF(ConfirmedRaw!$B:$B,$B32,ConfirmedRaw!AA:AA)</f>
        <v>0</v>
      </c>
      <c r="Z32">
        <f>SUMIF(ConfirmedRaw!$B:$B,$B32,ConfirmedRaw!AB:AB)</f>
        <v>0</v>
      </c>
      <c r="AA32">
        <f>SUMIF(ConfirmedRaw!$B:$B,$B32,ConfirmedRaw!AC:AC)</f>
        <v>0</v>
      </c>
      <c r="AB32">
        <f>SUMIF(ConfirmedRaw!$B:$B,$B32,ConfirmedRaw!AD:AD)</f>
        <v>0</v>
      </c>
      <c r="AC32">
        <f>SUMIF(ConfirmedRaw!$B:$B,$B32,ConfirmedRaw!AE:AE)</f>
        <v>0</v>
      </c>
      <c r="AD32">
        <f>SUMIF(ConfirmedRaw!$B:$B,$B32,ConfirmedRaw!AF:AF)</f>
        <v>0</v>
      </c>
      <c r="AE32">
        <f>SUMIF(ConfirmedRaw!$B:$B,$B32,ConfirmedRaw!AG:AG)</f>
        <v>0</v>
      </c>
      <c r="AF32">
        <f>SUMIF(ConfirmedRaw!$B:$B,$B32,ConfirmedRaw!AH:AH)</f>
        <v>0</v>
      </c>
      <c r="AG32">
        <f>SUMIF(ConfirmedRaw!$B:$B,$B32,ConfirmedRaw!AI:AI)</f>
        <v>0</v>
      </c>
      <c r="AH32">
        <f>SUMIF(ConfirmedRaw!$B:$B,$B32,ConfirmedRaw!AJ:AJ)</f>
        <v>0</v>
      </c>
      <c r="AI32">
        <f>SUMIF(ConfirmedRaw!$B:$B,$B32,ConfirmedRaw!AK:AK)</f>
        <v>0</v>
      </c>
      <c r="AJ32">
        <f>SUMIF(ConfirmedRaw!$B:$B,$B32,ConfirmedRaw!AL:AL)</f>
        <v>0</v>
      </c>
      <c r="AK32">
        <f>SUMIF(ConfirmedRaw!$B:$B,$B32,ConfirmedRaw!AM:AM)</f>
        <v>0</v>
      </c>
      <c r="AL32">
        <f>SUMIF(ConfirmedRaw!$B:$B,$B32,ConfirmedRaw!AN:AN)</f>
        <v>0</v>
      </c>
      <c r="AM32">
        <f>SUMIF(ConfirmedRaw!$B:$B,$B32,ConfirmedRaw!AO:AO)</f>
        <v>0</v>
      </c>
      <c r="AN32">
        <f>SUMIF(ConfirmedRaw!$B:$B,$B32,ConfirmedRaw!AP:AP)</f>
        <v>1</v>
      </c>
      <c r="AO32">
        <f>SUMIF(ConfirmedRaw!$B:$B,$B32,ConfirmedRaw!AQ:AQ)</f>
        <v>1</v>
      </c>
      <c r="AP32">
        <f>SUMIF(ConfirmedRaw!$B:$B,$B32,ConfirmedRaw!AR:AR)</f>
        <v>3</v>
      </c>
      <c r="AQ32">
        <f>SUMIF(ConfirmedRaw!$B:$B,$B32,ConfirmedRaw!AS:AS)</f>
        <v>6</v>
      </c>
      <c r="AR32">
        <f>SUMIF(ConfirmedRaw!$B:$B,$B32,ConfirmedRaw!AT:AT)</f>
        <v>11</v>
      </c>
      <c r="AS32">
        <f>SUMIF(ConfirmedRaw!$B:$B,$B32,ConfirmedRaw!AU:AU)</f>
        <v>26</v>
      </c>
      <c r="AT32">
        <f>SUMIF(ConfirmedRaw!$B:$B,$B32,ConfirmedRaw!AV:AV)</f>
        <v>34</v>
      </c>
      <c r="AU32">
        <f>SUMIF(ConfirmedRaw!$B:$B,$B32,ConfirmedRaw!AW:AW)</f>
        <v>43</v>
      </c>
      <c r="AV32">
        <f>SUMIF(ConfirmedRaw!$B:$B,$B32,ConfirmedRaw!AX:AX)</f>
        <v>50</v>
      </c>
      <c r="AW32">
        <f>SUMIF(ConfirmedRaw!$B:$B,$B32,ConfirmedRaw!AY:AY)</f>
        <v>50</v>
      </c>
      <c r="AX32">
        <f>SUMIF(ConfirmedRaw!$B:$B,$B32,ConfirmedRaw!AZ:AZ)</f>
        <v>58</v>
      </c>
      <c r="AY32">
        <f>SUMIF(ConfirmedRaw!$B:$B,$B32,ConfirmedRaw!BA:BA)</f>
        <v>69</v>
      </c>
      <c r="AZ32">
        <f>SUMIF(ConfirmedRaw!$B:$B,$B32,ConfirmedRaw!BB:BB)</f>
        <v>85</v>
      </c>
      <c r="BA32">
        <f>SUMIF(ConfirmedRaw!$B:$B,$B32,ConfirmedRaw!BC:BC)</f>
        <v>103</v>
      </c>
      <c r="BB32">
        <f>SUMIF(ConfirmedRaw!$B:$B,$B32,ConfirmedRaw!BD:BD)</f>
        <v>134</v>
      </c>
      <c r="BC32">
        <f>SUMIF(ConfirmedRaw!$B:$B,$B32,ConfirmedRaw!BE:BE)</f>
        <v>156</v>
      </c>
      <c r="BD32">
        <f>SUMIF(ConfirmedRaw!$B:$B,$B32,ConfirmedRaw!BF:BF)</f>
        <v>171</v>
      </c>
      <c r="BE32">
        <f>SUMIF(ConfirmedRaw!$B:$B,$B32,ConfirmedRaw!BG:BG)</f>
        <v>180</v>
      </c>
      <c r="BF32">
        <f>SUMIF(ConfirmedRaw!$B:$B,$B32,ConfirmedRaw!BH:BH)</f>
        <v>220</v>
      </c>
      <c r="BG32">
        <f>SUMIF(ConfirmedRaw!$B:$B,$B32,ConfirmedRaw!BI:BI)</f>
        <v>250</v>
      </c>
      <c r="BH32">
        <f>SUMIF(ConfirmedRaw!$B:$B,$B32,ConfirmedRaw!BJ:BJ)</f>
        <v>330</v>
      </c>
      <c r="BI32">
        <f>SUMIF(ConfirmedRaw!$B:$B,$B32,ConfirmedRaw!BK:BK)</f>
        <v>409</v>
      </c>
      <c r="BJ32">
        <f>SUMIF(ConfirmedRaw!$B:$B,$B32,ConfirmedRaw!BL:BL)</f>
        <v>473</v>
      </c>
      <c r="BK32">
        <f>SUMIF(ConfirmedRaw!$B:$B,$B32,ConfirmedRaw!BM:BM)</f>
        <v>568</v>
      </c>
      <c r="BL32">
        <f>SUMIF(ConfirmedRaw!$B:$B,$B32,ConfirmedRaw!BN:BN)</f>
        <v>588</v>
      </c>
      <c r="BM32">
        <f>SUMIF(ConfirmedRaw!$B:$B,$B32,ConfirmedRaw!BO:BO)</f>
        <v>648</v>
      </c>
      <c r="BN32">
        <f>SUMIF(ConfirmedRaw!$B:$B,$B32,ConfirmedRaw!BP:BP)</f>
        <v>737</v>
      </c>
      <c r="BO32">
        <f>SUMIF(ConfirmedRaw!$B:$B,$B32,ConfirmedRaw!BQ:BQ)</f>
        <v>802</v>
      </c>
      <c r="BP32">
        <f>SUMIF(ConfirmedRaw!$B:$B,$B32,ConfirmedRaw!BR:BR)</f>
        <v>890</v>
      </c>
      <c r="BQ32">
        <f>SUMIF(ConfirmedRaw!$B:$B,$B32,ConfirmedRaw!BS:BS)</f>
        <v>963</v>
      </c>
      <c r="BR32">
        <f>SUMIF(ConfirmedRaw!$B:$B,$B32,ConfirmedRaw!BT:BT)</f>
        <v>0</v>
      </c>
      <c r="BS32">
        <f>SUMIF(ConfirmedRaw!$B:$B,$B32,ConfirmedRaw!BU:BU)</f>
        <v>0</v>
      </c>
      <c r="BT32">
        <f>SUMIF(ConfirmedRaw!$B:$B,$B32,ConfirmedRaw!BV:BV)</f>
        <v>0</v>
      </c>
      <c r="BU32">
        <f>SUMIF(ConfirmedRaw!$B:$B,$B32,ConfirmedRaw!BW:BW)</f>
        <v>0</v>
      </c>
    </row>
    <row r="33" spans="1:73" ht="15" thickBot="1" x14ac:dyDescent="0.35">
      <c r="A33" s="97" t="str">
        <f>VLOOKUP(B33,Country_Data!B:Q,16,FALSE)</f>
        <v>Europe</v>
      </c>
      <c r="B33" s="3" t="s">
        <v>108</v>
      </c>
      <c r="C33">
        <f>SUMIF(ConfirmedRaw!$B:$B,$B33,ConfirmedRaw!E:E)</f>
        <v>0</v>
      </c>
      <c r="D33">
        <f>SUMIF(ConfirmedRaw!$B:$B,$B33,ConfirmedRaw!F:F)</f>
        <v>0</v>
      </c>
      <c r="E33">
        <f>SUMIF(ConfirmedRaw!$B:$B,$B33,ConfirmedRaw!G:G)</f>
        <v>0</v>
      </c>
      <c r="F33">
        <f>SUMIF(ConfirmedRaw!$B:$B,$B33,ConfirmedRaw!H:H)</f>
        <v>0</v>
      </c>
      <c r="G33">
        <f>SUMIF(ConfirmedRaw!$B:$B,$B33,ConfirmedRaw!I:I)</f>
        <v>0</v>
      </c>
      <c r="H33">
        <f>SUMIF(ConfirmedRaw!$B:$B,$B33,ConfirmedRaw!J:J)</f>
        <v>0</v>
      </c>
      <c r="I33">
        <f>SUMIF(ConfirmedRaw!$B:$B,$B33,ConfirmedRaw!K:K)</f>
        <v>0</v>
      </c>
      <c r="J33">
        <f>SUMIF(ConfirmedRaw!$B:$B,$B33,ConfirmedRaw!L:L)</f>
        <v>0</v>
      </c>
      <c r="K33">
        <f>SUMIF(ConfirmedRaw!$B:$B,$B33,ConfirmedRaw!M:M)</f>
        <v>0</v>
      </c>
      <c r="L33">
        <f>SUMIF(ConfirmedRaw!$B:$B,$B33,ConfirmedRaw!N:N)</f>
        <v>0</v>
      </c>
      <c r="M33">
        <f>SUMIF(ConfirmedRaw!$B:$B,$B33,ConfirmedRaw!O:O)</f>
        <v>0</v>
      </c>
      <c r="N33">
        <f>SUMIF(ConfirmedRaw!$B:$B,$B33,ConfirmedRaw!P:P)</f>
        <v>0</v>
      </c>
      <c r="O33">
        <f>SUMIF(ConfirmedRaw!$B:$B,$B33,ConfirmedRaw!Q:Q)</f>
        <v>0</v>
      </c>
      <c r="P33">
        <f>SUMIF(ConfirmedRaw!$B:$B,$B33,ConfirmedRaw!R:R)</f>
        <v>0</v>
      </c>
      <c r="Q33">
        <f>SUMIF(ConfirmedRaw!$B:$B,$B33,ConfirmedRaw!S:S)</f>
        <v>0</v>
      </c>
      <c r="R33">
        <f>SUMIF(ConfirmedRaw!$B:$B,$B33,ConfirmedRaw!T:T)</f>
        <v>0</v>
      </c>
      <c r="S33">
        <f>SUMIF(ConfirmedRaw!$B:$B,$B33,ConfirmedRaw!U:U)</f>
        <v>0</v>
      </c>
      <c r="T33">
        <f>SUMIF(ConfirmedRaw!$B:$B,$B33,ConfirmedRaw!V:V)</f>
        <v>0</v>
      </c>
      <c r="U33">
        <f>SUMIF(ConfirmedRaw!$B:$B,$B33,ConfirmedRaw!W:W)</f>
        <v>0</v>
      </c>
      <c r="V33">
        <f>SUMIF(ConfirmedRaw!$B:$B,$B33,ConfirmedRaw!X:X)</f>
        <v>0</v>
      </c>
      <c r="W33">
        <f>SUMIF(ConfirmedRaw!$B:$B,$B33,ConfirmedRaw!Y:Y)</f>
        <v>0</v>
      </c>
      <c r="X33">
        <f>SUMIF(ConfirmedRaw!$B:$B,$B33,ConfirmedRaw!Z:Z)</f>
        <v>0</v>
      </c>
      <c r="Y33">
        <f>SUMIF(ConfirmedRaw!$B:$B,$B33,ConfirmedRaw!AA:AA)</f>
        <v>0</v>
      </c>
      <c r="Z33">
        <f>SUMIF(ConfirmedRaw!$B:$B,$B33,ConfirmedRaw!AB:AB)</f>
        <v>0</v>
      </c>
      <c r="AA33">
        <f>SUMIF(ConfirmedRaw!$B:$B,$B33,ConfirmedRaw!AC:AC)</f>
        <v>0</v>
      </c>
      <c r="AB33">
        <f>SUMIF(ConfirmedRaw!$B:$B,$B33,ConfirmedRaw!AD:AD)</f>
        <v>0</v>
      </c>
      <c r="AC33">
        <f>SUMIF(ConfirmedRaw!$B:$B,$B33,ConfirmedRaw!AE:AE)</f>
        <v>0</v>
      </c>
      <c r="AD33">
        <f>SUMIF(ConfirmedRaw!$B:$B,$B33,ConfirmedRaw!AF:AF)</f>
        <v>0</v>
      </c>
      <c r="AE33">
        <f>SUMIF(ConfirmedRaw!$B:$B,$B33,ConfirmedRaw!AG:AG)</f>
        <v>0</v>
      </c>
      <c r="AF33">
        <f>SUMIF(ConfirmedRaw!$B:$B,$B33,ConfirmedRaw!AH:AH)</f>
        <v>0</v>
      </c>
      <c r="AG33">
        <f>SUMIF(ConfirmedRaw!$B:$B,$B33,ConfirmedRaw!AI:AI)</f>
        <v>0</v>
      </c>
      <c r="AH33">
        <f>SUMIF(ConfirmedRaw!$B:$B,$B33,ConfirmedRaw!AJ:AJ)</f>
        <v>0</v>
      </c>
      <c r="AI33">
        <f>SUMIF(ConfirmedRaw!$B:$B,$B33,ConfirmedRaw!AK:AK)</f>
        <v>0</v>
      </c>
      <c r="AJ33">
        <f>SUMIF(ConfirmedRaw!$B:$B,$B33,ConfirmedRaw!AL:AL)</f>
        <v>0</v>
      </c>
      <c r="AK33">
        <f>SUMIF(ConfirmedRaw!$B:$B,$B33,ConfirmedRaw!AM:AM)</f>
        <v>0</v>
      </c>
      <c r="AL33">
        <f>SUMIF(ConfirmedRaw!$B:$B,$B33,ConfirmedRaw!AN:AN)</f>
        <v>0</v>
      </c>
      <c r="AM33">
        <f>SUMIF(ConfirmedRaw!$B:$B,$B33,ConfirmedRaw!AO:AO)</f>
        <v>0</v>
      </c>
      <c r="AN33">
        <f>SUMIF(ConfirmedRaw!$B:$B,$B33,ConfirmedRaw!AP:AP)</f>
        <v>0</v>
      </c>
      <c r="AO33">
        <f>SUMIF(ConfirmedRaw!$B:$B,$B33,ConfirmedRaw!AQ:AQ)</f>
        <v>0</v>
      </c>
      <c r="AP33">
        <f>SUMIF(ConfirmedRaw!$B:$B,$B33,ConfirmedRaw!AR:AR)</f>
        <v>0</v>
      </c>
      <c r="AQ33">
        <f>SUMIF(ConfirmedRaw!$B:$B,$B33,ConfirmedRaw!AS:AS)</f>
        <v>2</v>
      </c>
      <c r="AR33">
        <f>SUMIF(ConfirmedRaw!$B:$B,$B33,ConfirmedRaw!AT:AT)</f>
        <v>2</v>
      </c>
      <c r="AS33">
        <f>SUMIF(ConfirmedRaw!$B:$B,$B33,ConfirmedRaw!AU:AU)</f>
        <v>5</v>
      </c>
      <c r="AT33">
        <f>SUMIF(ConfirmedRaw!$B:$B,$B33,ConfirmedRaw!AV:AV)</f>
        <v>8</v>
      </c>
      <c r="AU33">
        <f>SUMIF(ConfirmedRaw!$B:$B,$B33,ConfirmedRaw!AW:AW)</f>
        <v>13</v>
      </c>
      <c r="AV33">
        <f>SUMIF(ConfirmedRaw!$B:$B,$B33,ConfirmedRaw!AX:AX)</f>
        <v>20</v>
      </c>
      <c r="AW33">
        <f>SUMIF(ConfirmedRaw!$B:$B,$B33,ConfirmedRaw!AY:AY)</f>
        <v>30</v>
      </c>
      <c r="AX33">
        <f>SUMIF(ConfirmedRaw!$B:$B,$B33,ConfirmedRaw!AZ:AZ)</f>
        <v>30</v>
      </c>
      <c r="AY33">
        <f>SUMIF(ConfirmedRaw!$B:$B,$B33,ConfirmedRaw!BA:BA)</f>
        <v>41</v>
      </c>
      <c r="AZ33">
        <f>SUMIF(ConfirmedRaw!$B:$B,$B33,ConfirmedRaw!BB:BB)</f>
        <v>59</v>
      </c>
      <c r="BA33">
        <f>SUMIF(ConfirmedRaw!$B:$B,$B33,ConfirmedRaw!BC:BC)</f>
        <v>59</v>
      </c>
      <c r="BB33">
        <f>SUMIF(ConfirmedRaw!$B:$B,$B33,ConfirmedRaw!BD:BD)</f>
        <v>112</v>
      </c>
      <c r="BC33">
        <f>SUMIF(ConfirmedRaw!$B:$B,$B33,ConfirmedRaw!BE:BE)</f>
        <v>169</v>
      </c>
      <c r="BD33">
        <f>SUMIF(ConfirmedRaw!$B:$B,$B33,ConfirmedRaw!BF:BF)</f>
        <v>245</v>
      </c>
      <c r="BE33">
        <f>SUMIF(ConfirmedRaw!$B:$B,$B33,ConfirmedRaw!BG:BG)</f>
        <v>331</v>
      </c>
      <c r="BF33">
        <f>SUMIF(ConfirmedRaw!$B:$B,$B33,ConfirmedRaw!BH:BH)</f>
        <v>448</v>
      </c>
      <c r="BG33">
        <f>SUMIF(ConfirmedRaw!$B:$B,$B33,ConfirmedRaw!BI:BI)</f>
        <v>448</v>
      </c>
      <c r="BH33">
        <f>SUMIF(ConfirmedRaw!$B:$B,$B33,ConfirmedRaw!BJ:BJ)</f>
        <v>785</v>
      </c>
      <c r="BI33">
        <f>SUMIF(ConfirmedRaw!$B:$B,$B33,ConfirmedRaw!BK:BK)</f>
        <v>1020</v>
      </c>
      <c r="BJ33">
        <f>SUMIF(ConfirmedRaw!$B:$B,$B33,ConfirmedRaw!BL:BL)</f>
        <v>1280</v>
      </c>
      <c r="BK33">
        <f>SUMIF(ConfirmedRaw!$B:$B,$B33,ConfirmedRaw!BM:BM)</f>
        <v>1600</v>
      </c>
      <c r="BL33">
        <f>SUMIF(ConfirmedRaw!$B:$B,$B33,ConfirmedRaw!BN:BN)</f>
        <v>2060</v>
      </c>
      <c r="BM33">
        <f>SUMIF(ConfirmedRaw!$B:$B,$B33,ConfirmedRaw!BO:BO)</f>
        <v>2362</v>
      </c>
      <c r="BN33">
        <f>SUMIF(ConfirmedRaw!$B:$B,$B33,ConfirmedRaw!BP:BP)</f>
        <v>2995</v>
      </c>
      <c r="BO33">
        <f>SUMIF(ConfirmedRaw!$B:$B,$B33,ConfirmedRaw!BQ:BQ)</f>
        <v>3544</v>
      </c>
      <c r="BP33">
        <f>SUMIF(ConfirmedRaw!$B:$B,$B33,ConfirmedRaw!BR:BR)</f>
        <v>4268</v>
      </c>
      <c r="BQ33">
        <f>SUMIF(ConfirmedRaw!$B:$B,$B33,ConfirmedRaw!BS:BS)</f>
        <v>5170</v>
      </c>
      <c r="BR33">
        <f>SUMIF(ConfirmedRaw!$B:$B,$B33,ConfirmedRaw!BT:BT)</f>
        <v>0</v>
      </c>
      <c r="BS33">
        <f>SUMIF(ConfirmedRaw!$B:$B,$B33,ConfirmedRaw!BU:BU)</f>
        <v>0</v>
      </c>
      <c r="BT33">
        <f>SUMIF(ConfirmedRaw!$B:$B,$B33,ConfirmedRaw!BV:BV)</f>
        <v>0</v>
      </c>
      <c r="BU33">
        <f>SUMIF(ConfirmedRaw!$B:$B,$B33,ConfirmedRaw!BW:BW)</f>
        <v>0</v>
      </c>
    </row>
    <row r="34" spans="1:73" ht="15" thickBot="1" x14ac:dyDescent="0.35">
      <c r="A34" s="97" t="str">
        <f>VLOOKUP(B34,Country_Data!B:Q,16,FALSE)</f>
        <v>Middle East</v>
      </c>
      <c r="B34" s="3" t="s">
        <v>70</v>
      </c>
      <c r="C34">
        <f>SUMIF(ConfirmedRaw!$B:$B,$B34,ConfirmedRaw!E:E)</f>
        <v>0</v>
      </c>
      <c r="D34">
        <f>SUMIF(ConfirmedRaw!$B:$B,$B34,ConfirmedRaw!F:F)</f>
        <v>0</v>
      </c>
      <c r="E34">
        <f>SUMIF(ConfirmedRaw!$B:$B,$B34,ConfirmedRaw!G:G)</f>
        <v>0</v>
      </c>
      <c r="F34">
        <f>SUMIF(ConfirmedRaw!$B:$B,$B34,ConfirmedRaw!H:H)</f>
        <v>0</v>
      </c>
      <c r="G34">
        <f>SUMIF(ConfirmedRaw!$B:$B,$B34,ConfirmedRaw!I:I)</f>
        <v>0</v>
      </c>
      <c r="H34">
        <f>SUMIF(ConfirmedRaw!$B:$B,$B34,ConfirmedRaw!J:J)</f>
        <v>0</v>
      </c>
      <c r="I34">
        <f>SUMIF(ConfirmedRaw!$B:$B,$B34,ConfirmedRaw!K:K)</f>
        <v>0</v>
      </c>
      <c r="J34">
        <f>SUMIF(ConfirmedRaw!$B:$B,$B34,ConfirmedRaw!L:L)</f>
        <v>0</v>
      </c>
      <c r="K34">
        <f>SUMIF(ConfirmedRaw!$B:$B,$B34,ConfirmedRaw!M:M)</f>
        <v>0</v>
      </c>
      <c r="L34">
        <f>SUMIF(ConfirmedRaw!$B:$B,$B34,ConfirmedRaw!N:N)</f>
        <v>0</v>
      </c>
      <c r="M34">
        <f>SUMIF(ConfirmedRaw!$B:$B,$B34,ConfirmedRaw!O:O)</f>
        <v>0</v>
      </c>
      <c r="N34">
        <f>SUMIF(ConfirmedRaw!$B:$B,$B34,ConfirmedRaw!P:P)</f>
        <v>0</v>
      </c>
      <c r="O34">
        <f>SUMIF(ConfirmedRaw!$B:$B,$B34,ConfirmedRaw!Q:Q)</f>
        <v>0</v>
      </c>
      <c r="P34">
        <f>SUMIF(ConfirmedRaw!$B:$B,$B34,ConfirmedRaw!R:R)</f>
        <v>0</v>
      </c>
      <c r="Q34">
        <f>SUMIF(ConfirmedRaw!$B:$B,$B34,ConfirmedRaw!S:S)</f>
        <v>0</v>
      </c>
      <c r="R34">
        <f>SUMIF(ConfirmedRaw!$B:$B,$B34,ConfirmedRaw!T:T)</f>
        <v>0</v>
      </c>
      <c r="S34">
        <f>SUMIF(ConfirmedRaw!$B:$B,$B34,ConfirmedRaw!U:U)</f>
        <v>0</v>
      </c>
      <c r="T34">
        <f>SUMIF(ConfirmedRaw!$B:$B,$B34,ConfirmedRaw!V:V)</f>
        <v>0</v>
      </c>
      <c r="U34">
        <f>SUMIF(ConfirmedRaw!$B:$B,$B34,ConfirmedRaw!W:W)</f>
        <v>0</v>
      </c>
      <c r="V34">
        <f>SUMIF(ConfirmedRaw!$B:$B,$B34,ConfirmedRaw!X:X)</f>
        <v>0</v>
      </c>
      <c r="W34">
        <f>SUMIF(ConfirmedRaw!$B:$B,$B34,ConfirmedRaw!Y:Y)</f>
        <v>0</v>
      </c>
      <c r="X34">
        <f>SUMIF(ConfirmedRaw!$B:$B,$B34,ConfirmedRaw!Z:Z)</f>
        <v>0</v>
      </c>
      <c r="Y34">
        <f>SUMIF(ConfirmedRaw!$B:$B,$B34,ConfirmedRaw!AA:AA)</f>
        <v>0</v>
      </c>
      <c r="Z34">
        <f>SUMIF(ConfirmedRaw!$B:$B,$B34,ConfirmedRaw!AB:AB)</f>
        <v>0</v>
      </c>
      <c r="AA34">
        <f>SUMIF(ConfirmedRaw!$B:$B,$B34,ConfirmedRaw!AC:AC)</f>
        <v>0</v>
      </c>
      <c r="AB34">
        <f>SUMIF(ConfirmedRaw!$B:$B,$B34,ConfirmedRaw!AD:AD)</f>
        <v>0</v>
      </c>
      <c r="AC34">
        <f>SUMIF(ConfirmedRaw!$B:$B,$B34,ConfirmedRaw!AE:AE)</f>
        <v>0</v>
      </c>
      <c r="AD34">
        <f>SUMIF(ConfirmedRaw!$B:$B,$B34,ConfirmedRaw!AF:AF)</f>
        <v>0</v>
      </c>
      <c r="AE34">
        <f>SUMIF(ConfirmedRaw!$B:$B,$B34,ConfirmedRaw!AG:AG)</f>
        <v>0</v>
      </c>
      <c r="AF34">
        <f>SUMIF(ConfirmedRaw!$B:$B,$B34,ConfirmedRaw!AH:AH)</f>
        <v>0</v>
      </c>
      <c r="AG34">
        <f>SUMIF(ConfirmedRaw!$B:$B,$B34,ConfirmedRaw!AI:AI)</f>
        <v>0</v>
      </c>
      <c r="AH34">
        <f>SUMIF(ConfirmedRaw!$B:$B,$B34,ConfirmedRaw!AJ:AJ)</f>
        <v>0</v>
      </c>
      <c r="AI34">
        <f>SUMIF(ConfirmedRaw!$B:$B,$B34,ConfirmedRaw!AK:AK)</f>
        <v>0</v>
      </c>
      <c r="AJ34">
        <f>SUMIF(ConfirmedRaw!$B:$B,$B34,ConfirmedRaw!AL:AL)</f>
        <v>1</v>
      </c>
      <c r="AK34">
        <f>SUMIF(ConfirmedRaw!$B:$B,$B34,ConfirmedRaw!AM:AM)</f>
        <v>1</v>
      </c>
      <c r="AL34">
        <f>SUMIF(ConfirmedRaw!$B:$B,$B34,ConfirmedRaw!AN:AN)</f>
        <v>5</v>
      </c>
      <c r="AM34">
        <f>SUMIF(ConfirmedRaw!$B:$B,$B34,ConfirmedRaw!AO:AO)</f>
        <v>7</v>
      </c>
      <c r="AN34">
        <f>SUMIF(ConfirmedRaw!$B:$B,$B34,ConfirmedRaw!AP:AP)</f>
        <v>7</v>
      </c>
      <c r="AO34">
        <f>SUMIF(ConfirmedRaw!$B:$B,$B34,ConfirmedRaw!AQ:AQ)</f>
        <v>13</v>
      </c>
      <c r="AP34">
        <f>SUMIF(ConfirmedRaw!$B:$B,$B34,ConfirmedRaw!AR:AR)</f>
        <v>19</v>
      </c>
      <c r="AQ34">
        <f>SUMIF(ConfirmedRaw!$B:$B,$B34,ConfirmedRaw!AS:AS)</f>
        <v>26</v>
      </c>
      <c r="AR34">
        <f>SUMIF(ConfirmedRaw!$B:$B,$B34,ConfirmedRaw!AT:AT)</f>
        <v>32</v>
      </c>
      <c r="AS34">
        <f>SUMIF(ConfirmedRaw!$B:$B,$B34,ConfirmedRaw!AU:AU)</f>
        <v>35</v>
      </c>
      <c r="AT34">
        <f>SUMIF(ConfirmedRaw!$B:$B,$B34,ConfirmedRaw!AV:AV)</f>
        <v>35</v>
      </c>
      <c r="AU34">
        <f>SUMIF(ConfirmedRaw!$B:$B,$B34,ConfirmedRaw!AW:AW)</f>
        <v>40</v>
      </c>
      <c r="AV34">
        <f>SUMIF(ConfirmedRaw!$B:$B,$B34,ConfirmedRaw!AX:AX)</f>
        <v>54</v>
      </c>
      <c r="AW34">
        <f>SUMIF(ConfirmedRaw!$B:$B,$B34,ConfirmedRaw!AY:AY)</f>
        <v>60</v>
      </c>
      <c r="AX34">
        <f>SUMIF(ConfirmedRaw!$B:$B,$B34,ConfirmedRaw!AZ:AZ)</f>
        <v>60</v>
      </c>
      <c r="AY34">
        <f>SUMIF(ConfirmedRaw!$B:$B,$B34,ConfirmedRaw!BA:BA)</f>
        <v>71</v>
      </c>
      <c r="AZ34">
        <f>SUMIF(ConfirmedRaw!$B:$B,$B34,ConfirmedRaw!BB:BB)</f>
        <v>71</v>
      </c>
      <c r="BA34">
        <f>SUMIF(ConfirmedRaw!$B:$B,$B34,ConfirmedRaw!BC:BC)</f>
        <v>71</v>
      </c>
      <c r="BB34">
        <f>SUMIF(ConfirmedRaw!$B:$B,$B34,ConfirmedRaw!BD:BD)</f>
        <v>101</v>
      </c>
      <c r="BC34">
        <f>SUMIF(ConfirmedRaw!$B:$B,$B34,ConfirmedRaw!BE:BE)</f>
        <v>110</v>
      </c>
      <c r="BD34">
        <f>SUMIF(ConfirmedRaw!$B:$B,$B34,ConfirmedRaw!BF:BF)</f>
        <v>116</v>
      </c>
      <c r="BE34">
        <f>SUMIF(ConfirmedRaw!$B:$B,$B34,ConfirmedRaw!BG:BG)</f>
        <v>124</v>
      </c>
      <c r="BF34">
        <f>SUMIF(ConfirmedRaw!$B:$B,$B34,ConfirmedRaw!BH:BH)</f>
        <v>154</v>
      </c>
      <c r="BG34">
        <f>SUMIF(ConfirmedRaw!$B:$B,$B34,ConfirmedRaw!BI:BI)</f>
        <v>164</v>
      </c>
      <c r="BH34">
        <f>SUMIF(ConfirmedRaw!$B:$B,$B34,ConfirmedRaw!BJ:BJ)</f>
        <v>192</v>
      </c>
      <c r="BI34">
        <f>SUMIF(ConfirmedRaw!$B:$B,$B34,ConfirmedRaw!BK:BK)</f>
        <v>208</v>
      </c>
      <c r="BJ34">
        <f>SUMIF(ConfirmedRaw!$B:$B,$B34,ConfirmedRaw!BL:BL)</f>
        <v>214</v>
      </c>
      <c r="BK34">
        <f>SUMIF(ConfirmedRaw!$B:$B,$B34,ConfirmedRaw!BM:BM)</f>
        <v>233</v>
      </c>
      <c r="BL34">
        <f>SUMIF(ConfirmedRaw!$B:$B,$B34,ConfirmedRaw!BN:BN)</f>
        <v>266</v>
      </c>
      <c r="BM34">
        <f>SUMIF(ConfirmedRaw!$B:$B,$B34,ConfirmedRaw!BO:BO)</f>
        <v>316</v>
      </c>
      <c r="BN34">
        <f>SUMIF(ConfirmedRaw!$B:$B,$B34,ConfirmedRaw!BP:BP)</f>
        <v>346</v>
      </c>
      <c r="BO34">
        <f>SUMIF(ConfirmedRaw!$B:$B,$B34,ConfirmedRaw!BQ:BQ)</f>
        <v>382</v>
      </c>
      <c r="BP34">
        <f>SUMIF(ConfirmedRaw!$B:$B,$B34,ConfirmedRaw!BR:BR)</f>
        <v>458</v>
      </c>
      <c r="BQ34">
        <f>SUMIF(ConfirmedRaw!$B:$B,$B34,ConfirmedRaw!BS:BS)</f>
        <v>506</v>
      </c>
      <c r="BR34">
        <f>SUMIF(ConfirmedRaw!$B:$B,$B34,ConfirmedRaw!BT:BT)</f>
        <v>0</v>
      </c>
      <c r="BS34">
        <f>SUMIF(ConfirmedRaw!$B:$B,$B34,ConfirmedRaw!BU:BU)</f>
        <v>0</v>
      </c>
      <c r="BT34">
        <f>SUMIF(ConfirmedRaw!$B:$B,$B34,ConfirmedRaw!BV:BV)</f>
        <v>0</v>
      </c>
      <c r="BU34">
        <f>SUMIF(ConfirmedRaw!$B:$B,$B34,ConfirmedRaw!BW:BW)</f>
        <v>0</v>
      </c>
    </row>
    <row r="35" spans="1:73" ht="15" thickBot="1" x14ac:dyDescent="0.35">
      <c r="A35" s="97" t="str">
        <f>VLOOKUP(B35,Country_Data!B:Q,16,FALSE)</f>
        <v>Europe</v>
      </c>
      <c r="B35" s="4" t="s">
        <v>98</v>
      </c>
      <c r="C35">
        <f>SUMIF(ConfirmedRaw!$B:$B,$B35,ConfirmedRaw!E:E)</f>
        <v>0</v>
      </c>
      <c r="D35">
        <f>SUMIF(ConfirmedRaw!$B:$B,$B35,ConfirmedRaw!F:F)</f>
        <v>0</v>
      </c>
      <c r="E35">
        <f>SUMIF(ConfirmedRaw!$B:$B,$B35,ConfirmedRaw!G:G)</f>
        <v>0</v>
      </c>
      <c r="F35">
        <f>SUMIF(ConfirmedRaw!$B:$B,$B35,ConfirmedRaw!H:H)</f>
        <v>0</v>
      </c>
      <c r="G35">
        <f>SUMIF(ConfirmedRaw!$B:$B,$B35,ConfirmedRaw!I:I)</f>
        <v>0</v>
      </c>
      <c r="H35">
        <f>SUMIF(ConfirmedRaw!$B:$B,$B35,ConfirmedRaw!J:J)</f>
        <v>0</v>
      </c>
      <c r="I35">
        <f>SUMIF(ConfirmedRaw!$B:$B,$B35,ConfirmedRaw!K:K)</f>
        <v>0</v>
      </c>
      <c r="J35">
        <f>SUMIF(ConfirmedRaw!$B:$B,$B35,ConfirmedRaw!L:L)</f>
        <v>0</v>
      </c>
      <c r="K35">
        <f>SUMIF(ConfirmedRaw!$B:$B,$B35,ConfirmedRaw!M:M)</f>
        <v>0</v>
      </c>
      <c r="L35">
        <f>SUMIF(ConfirmedRaw!$B:$B,$B35,ConfirmedRaw!N:N)</f>
        <v>0</v>
      </c>
      <c r="M35">
        <f>SUMIF(ConfirmedRaw!$B:$B,$B35,ConfirmedRaw!O:O)</f>
        <v>0</v>
      </c>
      <c r="N35">
        <f>SUMIF(ConfirmedRaw!$B:$B,$B35,ConfirmedRaw!P:P)</f>
        <v>0</v>
      </c>
      <c r="O35">
        <f>SUMIF(ConfirmedRaw!$B:$B,$B35,ConfirmedRaw!Q:Q)</f>
        <v>0</v>
      </c>
      <c r="P35">
        <f>SUMIF(ConfirmedRaw!$B:$B,$B35,ConfirmedRaw!R:R)</f>
        <v>0</v>
      </c>
      <c r="Q35">
        <f>SUMIF(ConfirmedRaw!$B:$B,$B35,ConfirmedRaw!S:S)</f>
        <v>0</v>
      </c>
      <c r="R35">
        <f>SUMIF(ConfirmedRaw!$B:$B,$B35,ConfirmedRaw!T:T)</f>
        <v>0</v>
      </c>
      <c r="S35">
        <f>SUMIF(ConfirmedRaw!$B:$B,$B35,ConfirmedRaw!U:U)</f>
        <v>0</v>
      </c>
      <c r="T35">
        <f>SUMIF(ConfirmedRaw!$B:$B,$B35,ConfirmedRaw!V:V)</f>
        <v>0</v>
      </c>
      <c r="U35">
        <f>SUMIF(ConfirmedRaw!$B:$B,$B35,ConfirmedRaw!W:W)</f>
        <v>0</v>
      </c>
      <c r="V35">
        <f>SUMIF(ConfirmedRaw!$B:$B,$B35,ConfirmedRaw!X:X)</f>
        <v>0</v>
      </c>
      <c r="W35">
        <f>SUMIF(ConfirmedRaw!$B:$B,$B35,ConfirmedRaw!Y:Y)</f>
        <v>0</v>
      </c>
      <c r="X35">
        <f>SUMIF(ConfirmedRaw!$B:$B,$B35,ConfirmedRaw!Z:Z)</f>
        <v>0</v>
      </c>
      <c r="Y35">
        <f>SUMIF(ConfirmedRaw!$B:$B,$B35,ConfirmedRaw!AA:AA)</f>
        <v>0</v>
      </c>
      <c r="Z35">
        <f>SUMIF(ConfirmedRaw!$B:$B,$B35,ConfirmedRaw!AB:AB)</f>
        <v>0</v>
      </c>
      <c r="AA35">
        <f>SUMIF(ConfirmedRaw!$B:$B,$B35,ConfirmedRaw!AC:AC)</f>
        <v>0</v>
      </c>
      <c r="AB35">
        <f>SUMIF(ConfirmedRaw!$B:$B,$B35,ConfirmedRaw!AD:AD)</f>
        <v>0</v>
      </c>
      <c r="AC35">
        <f>SUMIF(ConfirmedRaw!$B:$B,$B35,ConfirmedRaw!AE:AE)</f>
        <v>0</v>
      </c>
      <c r="AD35">
        <f>SUMIF(ConfirmedRaw!$B:$B,$B35,ConfirmedRaw!AF:AF)</f>
        <v>0</v>
      </c>
      <c r="AE35">
        <f>SUMIF(ConfirmedRaw!$B:$B,$B35,ConfirmedRaw!AG:AG)</f>
        <v>0</v>
      </c>
      <c r="AF35">
        <f>SUMIF(ConfirmedRaw!$B:$B,$B35,ConfirmedRaw!AH:AH)</f>
        <v>0</v>
      </c>
      <c r="AG35">
        <f>SUMIF(ConfirmedRaw!$B:$B,$B35,ConfirmedRaw!AI:AI)</f>
        <v>0</v>
      </c>
      <c r="AH35">
        <f>SUMIF(ConfirmedRaw!$B:$B,$B35,ConfirmedRaw!AJ:AJ)</f>
        <v>0</v>
      </c>
      <c r="AI35">
        <f>SUMIF(ConfirmedRaw!$B:$B,$B35,ConfirmedRaw!AK:AK)</f>
        <v>0</v>
      </c>
      <c r="AJ35">
        <f>SUMIF(ConfirmedRaw!$B:$B,$B35,ConfirmedRaw!AL:AL)</f>
        <v>0</v>
      </c>
      <c r="AK35">
        <f>SUMIF(ConfirmedRaw!$B:$B,$B35,ConfirmedRaw!AM:AM)</f>
        <v>0</v>
      </c>
      <c r="AL35">
        <f>SUMIF(ConfirmedRaw!$B:$B,$B35,ConfirmedRaw!AN:AN)</f>
        <v>0</v>
      </c>
      <c r="AM35">
        <f>SUMIF(ConfirmedRaw!$B:$B,$B35,ConfirmedRaw!AO:AO)</f>
        <v>0</v>
      </c>
      <c r="AN35">
        <f>SUMIF(ConfirmedRaw!$B:$B,$B35,ConfirmedRaw!AP:AP)</f>
        <v>0</v>
      </c>
      <c r="AO35">
        <f>SUMIF(ConfirmedRaw!$B:$B,$B35,ConfirmedRaw!AQ:AQ)</f>
        <v>1</v>
      </c>
      <c r="AP35">
        <f>SUMIF(ConfirmedRaw!$B:$B,$B35,ConfirmedRaw!AR:AR)</f>
        <v>1</v>
      </c>
      <c r="AQ35">
        <f>SUMIF(ConfirmedRaw!$B:$B,$B35,ConfirmedRaw!AS:AS)</f>
        <v>1</v>
      </c>
      <c r="AR35">
        <f>SUMIF(ConfirmedRaw!$B:$B,$B35,ConfirmedRaw!AT:AT)</f>
        <v>2</v>
      </c>
      <c r="AS35">
        <f>SUMIF(ConfirmedRaw!$B:$B,$B35,ConfirmedRaw!AU:AU)</f>
        <v>6</v>
      </c>
      <c r="AT35">
        <f>SUMIF(ConfirmedRaw!$B:$B,$B35,ConfirmedRaw!AV:AV)</f>
        <v>6</v>
      </c>
      <c r="AU35">
        <f>SUMIF(ConfirmedRaw!$B:$B,$B35,ConfirmedRaw!AW:AW)</f>
        <v>18</v>
      </c>
      <c r="AV35">
        <f>SUMIF(ConfirmedRaw!$B:$B,$B35,ConfirmedRaw!AX:AX)</f>
        <v>18</v>
      </c>
      <c r="AW35">
        <f>SUMIF(ConfirmedRaw!$B:$B,$B35,ConfirmedRaw!AY:AY)</f>
        <v>19</v>
      </c>
      <c r="AX35">
        <f>SUMIF(ConfirmedRaw!$B:$B,$B35,ConfirmedRaw!AZ:AZ)</f>
        <v>21</v>
      </c>
      <c r="AY35">
        <f>SUMIF(ConfirmedRaw!$B:$B,$B35,ConfirmedRaw!BA:BA)</f>
        <v>34</v>
      </c>
      <c r="AZ35">
        <f>SUMIF(ConfirmedRaw!$B:$B,$B35,ConfirmedRaw!BB:BB)</f>
        <v>43</v>
      </c>
      <c r="BA35">
        <f>SUMIF(ConfirmedRaw!$B:$B,$B35,ConfirmedRaw!BC:BC)</f>
        <v>43</v>
      </c>
      <c r="BB35">
        <f>SUMIF(ConfirmedRaw!$B:$B,$B35,ConfirmedRaw!BD:BD)</f>
        <v>90</v>
      </c>
      <c r="BC35">
        <f>SUMIF(ConfirmedRaw!$B:$B,$B35,ConfirmedRaw!BE:BE)</f>
        <v>129</v>
      </c>
      <c r="BD35">
        <f>SUMIF(ConfirmedRaw!$B:$B,$B35,ConfirmedRaw!BF:BF)</f>
        <v>129</v>
      </c>
      <c r="BE35">
        <f>SUMIF(ConfirmedRaw!$B:$B,$B35,ConfirmedRaw!BG:BG)</f>
        <v>169</v>
      </c>
      <c r="BF35">
        <f>SUMIF(ConfirmedRaw!$B:$B,$B35,ConfirmedRaw!BH:BH)</f>
        <v>223</v>
      </c>
      <c r="BG35">
        <f>SUMIF(ConfirmedRaw!$B:$B,$B35,ConfirmedRaw!BI:BI)</f>
        <v>292</v>
      </c>
      <c r="BH35">
        <f>SUMIF(ConfirmedRaw!$B:$B,$B35,ConfirmedRaw!BJ:BJ)</f>
        <v>557</v>
      </c>
      <c r="BI35">
        <f>SUMIF(ConfirmedRaw!$B:$B,$B35,ConfirmedRaw!BK:BK)</f>
        <v>683</v>
      </c>
      <c r="BJ35">
        <f>SUMIF(ConfirmedRaw!$B:$B,$B35,ConfirmedRaw!BL:BL)</f>
        <v>785</v>
      </c>
      <c r="BK35">
        <f>SUMIF(ConfirmedRaw!$B:$B,$B35,ConfirmedRaw!BM:BM)</f>
        <v>906</v>
      </c>
      <c r="BL35">
        <f>SUMIF(ConfirmedRaw!$B:$B,$B35,ConfirmedRaw!BN:BN)</f>
        <v>1125</v>
      </c>
      <c r="BM35">
        <f>SUMIF(ConfirmedRaw!$B:$B,$B35,ConfirmedRaw!BO:BO)</f>
        <v>1329</v>
      </c>
      <c r="BN35">
        <f>SUMIF(ConfirmedRaw!$B:$B,$B35,ConfirmedRaw!BP:BP)</f>
        <v>1564</v>
      </c>
      <c r="BO35">
        <f>SUMIF(ConfirmedRaw!$B:$B,$B35,ConfirmedRaw!BQ:BQ)</f>
        <v>1819</v>
      </c>
      <c r="BP35">
        <f>SUMIF(ConfirmedRaw!$B:$B,$B35,ConfirmedRaw!BR:BR)</f>
        <v>2121</v>
      </c>
      <c r="BQ35">
        <f>SUMIF(ConfirmedRaw!$B:$B,$B35,ConfirmedRaw!BS:BS)</f>
        <v>2415</v>
      </c>
      <c r="BR35">
        <f>SUMIF(ConfirmedRaw!$B:$B,$B35,ConfirmedRaw!BT:BT)</f>
        <v>0</v>
      </c>
      <c r="BS35">
        <f>SUMIF(ConfirmedRaw!$B:$B,$B35,ConfirmedRaw!BU:BU)</f>
        <v>0</v>
      </c>
      <c r="BT35">
        <f>SUMIF(ConfirmedRaw!$B:$B,$B35,ConfirmedRaw!BV:BV)</f>
        <v>0</v>
      </c>
      <c r="BU35">
        <f>SUMIF(ConfirmedRaw!$B:$B,$B35,ConfirmedRaw!BW:BW)</f>
        <v>0</v>
      </c>
    </row>
    <row r="36" spans="1:73" ht="15" thickBot="1" x14ac:dyDescent="0.35">
      <c r="A36" s="97" t="str">
        <f>VLOOKUP(B36,Country_Data!B:Q,16,FALSE)</f>
        <v>Europe</v>
      </c>
      <c r="B36" s="3" t="s">
        <v>86</v>
      </c>
      <c r="C36">
        <f>SUMIF(ConfirmedRaw!$B:$B,$B36,ConfirmedRaw!E:E)</f>
        <v>0</v>
      </c>
      <c r="D36">
        <f>SUMIF(ConfirmedRaw!$B:$B,$B36,ConfirmedRaw!F:F)</f>
        <v>0</v>
      </c>
      <c r="E36">
        <f>SUMIF(ConfirmedRaw!$B:$B,$B36,ConfirmedRaw!G:G)</f>
        <v>0</v>
      </c>
      <c r="F36">
        <f>SUMIF(ConfirmedRaw!$B:$B,$B36,ConfirmedRaw!H:H)</f>
        <v>0</v>
      </c>
      <c r="G36">
        <f>SUMIF(ConfirmedRaw!$B:$B,$B36,ConfirmedRaw!I:I)</f>
        <v>0</v>
      </c>
      <c r="H36">
        <f>SUMIF(ConfirmedRaw!$B:$B,$B36,ConfirmedRaw!J:J)</f>
        <v>0</v>
      </c>
      <c r="I36">
        <f>SUMIF(ConfirmedRaw!$B:$B,$B36,ConfirmedRaw!K:K)</f>
        <v>0</v>
      </c>
      <c r="J36">
        <f>SUMIF(ConfirmedRaw!$B:$B,$B36,ConfirmedRaw!L:L)</f>
        <v>0</v>
      </c>
      <c r="K36">
        <f>SUMIF(ConfirmedRaw!$B:$B,$B36,ConfirmedRaw!M:M)</f>
        <v>0</v>
      </c>
      <c r="L36">
        <f>SUMIF(ConfirmedRaw!$B:$B,$B36,ConfirmedRaw!N:N)</f>
        <v>0</v>
      </c>
      <c r="M36">
        <f>SUMIF(ConfirmedRaw!$B:$B,$B36,ConfirmedRaw!O:O)</f>
        <v>0</v>
      </c>
      <c r="N36">
        <f>SUMIF(ConfirmedRaw!$B:$B,$B36,ConfirmedRaw!P:P)</f>
        <v>0</v>
      </c>
      <c r="O36">
        <f>SUMIF(ConfirmedRaw!$B:$B,$B36,ConfirmedRaw!Q:Q)</f>
        <v>0</v>
      </c>
      <c r="P36">
        <f>SUMIF(ConfirmedRaw!$B:$B,$B36,ConfirmedRaw!R:R)</f>
        <v>0</v>
      </c>
      <c r="Q36">
        <f>SUMIF(ConfirmedRaw!$B:$B,$B36,ConfirmedRaw!S:S)</f>
        <v>0</v>
      </c>
      <c r="R36">
        <f>SUMIF(ConfirmedRaw!$B:$B,$B36,ConfirmedRaw!T:T)</f>
        <v>0</v>
      </c>
      <c r="S36">
        <f>SUMIF(ConfirmedRaw!$B:$B,$B36,ConfirmedRaw!U:U)</f>
        <v>0</v>
      </c>
      <c r="T36">
        <f>SUMIF(ConfirmedRaw!$B:$B,$B36,ConfirmedRaw!V:V)</f>
        <v>0</v>
      </c>
      <c r="U36">
        <f>SUMIF(ConfirmedRaw!$B:$B,$B36,ConfirmedRaw!W:W)</f>
        <v>0</v>
      </c>
      <c r="V36">
        <f>SUMIF(ConfirmedRaw!$B:$B,$B36,ConfirmedRaw!X:X)</f>
        <v>0</v>
      </c>
      <c r="W36">
        <f>SUMIF(ConfirmedRaw!$B:$B,$B36,ConfirmedRaw!Y:Y)</f>
        <v>0</v>
      </c>
      <c r="X36">
        <f>SUMIF(ConfirmedRaw!$B:$B,$B36,ConfirmedRaw!Z:Z)</f>
        <v>0</v>
      </c>
      <c r="Y36">
        <f>SUMIF(ConfirmedRaw!$B:$B,$B36,ConfirmedRaw!AA:AA)</f>
        <v>0</v>
      </c>
      <c r="Z36">
        <f>SUMIF(ConfirmedRaw!$B:$B,$B36,ConfirmedRaw!AB:AB)</f>
        <v>0</v>
      </c>
      <c r="AA36">
        <f>SUMIF(ConfirmedRaw!$B:$B,$B36,ConfirmedRaw!AC:AC)</f>
        <v>0</v>
      </c>
      <c r="AB36">
        <f>SUMIF(ConfirmedRaw!$B:$B,$B36,ConfirmedRaw!AD:AD)</f>
        <v>0</v>
      </c>
      <c r="AC36">
        <f>SUMIF(ConfirmedRaw!$B:$B,$B36,ConfirmedRaw!AE:AE)</f>
        <v>0</v>
      </c>
      <c r="AD36">
        <f>SUMIF(ConfirmedRaw!$B:$B,$B36,ConfirmedRaw!AF:AF)</f>
        <v>0</v>
      </c>
      <c r="AE36">
        <f>SUMIF(ConfirmedRaw!$B:$B,$B36,ConfirmedRaw!AG:AG)</f>
        <v>0</v>
      </c>
      <c r="AF36">
        <f>SUMIF(ConfirmedRaw!$B:$B,$B36,ConfirmedRaw!AH:AH)</f>
        <v>0</v>
      </c>
      <c r="AG36">
        <f>SUMIF(ConfirmedRaw!$B:$B,$B36,ConfirmedRaw!AI:AI)</f>
        <v>0</v>
      </c>
      <c r="AH36">
        <f>SUMIF(ConfirmedRaw!$B:$B,$B36,ConfirmedRaw!AJ:AJ)</f>
        <v>0</v>
      </c>
      <c r="AI36">
        <f>SUMIF(ConfirmedRaw!$B:$B,$B36,ConfirmedRaw!AK:AK)</f>
        <v>0</v>
      </c>
      <c r="AJ36">
        <f>SUMIF(ConfirmedRaw!$B:$B,$B36,ConfirmedRaw!AL:AL)</f>
        <v>0</v>
      </c>
      <c r="AK36">
        <f>SUMIF(ConfirmedRaw!$B:$B,$B36,ConfirmedRaw!AM:AM)</f>
        <v>0</v>
      </c>
      <c r="AL36">
        <f>SUMIF(ConfirmedRaw!$B:$B,$B36,ConfirmedRaw!AN:AN)</f>
        <v>1</v>
      </c>
      <c r="AM36">
        <f>SUMIF(ConfirmedRaw!$B:$B,$B36,ConfirmedRaw!AO:AO)</f>
        <v>1</v>
      </c>
      <c r="AN36">
        <f>SUMIF(ConfirmedRaw!$B:$B,$B36,ConfirmedRaw!AP:AP)</f>
        <v>3</v>
      </c>
      <c r="AO36">
        <f>SUMIF(ConfirmedRaw!$B:$B,$B36,ConfirmedRaw!AQ:AQ)</f>
        <v>3</v>
      </c>
      <c r="AP36">
        <f>SUMIF(ConfirmedRaw!$B:$B,$B36,ConfirmedRaw!AR:AR)</f>
        <v>3</v>
      </c>
      <c r="AQ36">
        <f>SUMIF(ConfirmedRaw!$B:$B,$B36,ConfirmedRaw!AS:AS)</f>
        <v>3</v>
      </c>
      <c r="AR36">
        <f>SUMIF(ConfirmedRaw!$B:$B,$B36,ConfirmedRaw!AT:AT)</f>
        <v>3</v>
      </c>
      <c r="AS36">
        <f>SUMIF(ConfirmedRaw!$B:$B,$B36,ConfirmedRaw!AU:AU)</f>
        <v>4</v>
      </c>
      <c r="AT36">
        <f>SUMIF(ConfirmedRaw!$B:$B,$B36,ConfirmedRaw!AV:AV)</f>
        <v>6</v>
      </c>
      <c r="AU36">
        <f>SUMIF(ConfirmedRaw!$B:$B,$B36,ConfirmedRaw!AW:AW)</f>
        <v>9</v>
      </c>
      <c r="AV36">
        <f>SUMIF(ConfirmedRaw!$B:$B,$B36,ConfirmedRaw!AX:AX)</f>
        <v>9</v>
      </c>
      <c r="AW36">
        <f>SUMIF(ConfirmedRaw!$B:$B,$B36,ConfirmedRaw!AY:AY)</f>
        <v>15</v>
      </c>
      <c r="AX36">
        <f>SUMIF(ConfirmedRaw!$B:$B,$B36,ConfirmedRaw!AZ:AZ)</f>
        <v>15</v>
      </c>
      <c r="AY36">
        <f>SUMIF(ConfirmedRaw!$B:$B,$B36,ConfirmedRaw!BA:BA)</f>
        <v>25</v>
      </c>
      <c r="AZ36">
        <f>SUMIF(ConfirmedRaw!$B:$B,$B36,ConfirmedRaw!BB:BB)</f>
        <v>45</v>
      </c>
      <c r="BA36">
        <f>SUMIF(ConfirmedRaw!$B:$B,$B36,ConfirmedRaw!BC:BC)</f>
        <v>49</v>
      </c>
      <c r="BB36">
        <f>SUMIF(ConfirmedRaw!$B:$B,$B36,ConfirmedRaw!BD:BD)</f>
        <v>89</v>
      </c>
      <c r="BC36">
        <f>SUMIF(ConfirmedRaw!$B:$B,$B36,ConfirmedRaw!BE:BE)</f>
        <v>123</v>
      </c>
      <c r="BD36">
        <f>SUMIF(ConfirmedRaw!$B:$B,$B36,ConfirmedRaw!BF:BF)</f>
        <v>131</v>
      </c>
      <c r="BE36">
        <f>SUMIF(ConfirmedRaw!$B:$B,$B36,ConfirmedRaw!BG:BG)</f>
        <v>158</v>
      </c>
      <c r="BF36">
        <f>SUMIF(ConfirmedRaw!$B:$B,$B36,ConfirmedRaw!BH:BH)</f>
        <v>184</v>
      </c>
      <c r="BG36">
        <f>SUMIF(ConfirmedRaw!$B:$B,$B36,ConfirmedRaw!BI:BI)</f>
        <v>260</v>
      </c>
      <c r="BH36">
        <f>SUMIF(ConfirmedRaw!$B:$B,$B36,ConfirmedRaw!BJ:BJ)</f>
        <v>277</v>
      </c>
      <c r="BI36">
        <f>SUMIF(ConfirmedRaw!$B:$B,$B36,ConfirmedRaw!BK:BK)</f>
        <v>308</v>
      </c>
      <c r="BJ36">
        <f>SUMIF(ConfirmedRaw!$B:$B,$B36,ConfirmedRaw!BL:BL)</f>
        <v>367</v>
      </c>
      <c r="BK36">
        <f>SUMIF(ConfirmedRaw!$B:$B,$B36,ConfirmedRaw!BM:BM)</f>
        <v>433</v>
      </c>
      <c r="BL36">
        <f>SUMIF(ConfirmedRaw!$B:$B,$B36,ConfirmedRaw!BN:BN)</f>
        <v>576</v>
      </c>
      <c r="BM36">
        <f>SUMIF(ConfirmedRaw!$B:$B,$B36,ConfirmedRaw!BO:BO)</f>
        <v>794</v>
      </c>
      <c r="BN36">
        <f>SUMIF(ConfirmedRaw!$B:$B,$B36,ConfirmedRaw!BP:BP)</f>
        <v>906</v>
      </c>
      <c r="BO36">
        <f>SUMIF(ConfirmedRaw!$B:$B,$B36,ConfirmedRaw!BQ:BQ)</f>
        <v>1029</v>
      </c>
      <c r="BP36">
        <f>SUMIF(ConfirmedRaw!$B:$B,$B36,ConfirmedRaw!BR:BR)</f>
        <v>1292</v>
      </c>
      <c r="BQ36">
        <f>SUMIF(ConfirmedRaw!$B:$B,$B36,ConfirmedRaw!BS:BS)</f>
        <v>1452</v>
      </c>
      <c r="BR36">
        <f>SUMIF(ConfirmedRaw!$B:$B,$B36,ConfirmedRaw!BT:BT)</f>
        <v>0</v>
      </c>
      <c r="BS36">
        <f>SUMIF(ConfirmedRaw!$B:$B,$B36,ConfirmedRaw!BU:BU)</f>
        <v>0</v>
      </c>
      <c r="BT36">
        <f>SUMIF(ConfirmedRaw!$B:$B,$B36,ConfirmedRaw!BV:BV)</f>
        <v>0</v>
      </c>
      <c r="BU36">
        <f>SUMIF(ConfirmedRaw!$B:$B,$B36,ConfirmedRaw!BW:BW)</f>
        <v>0</v>
      </c>
    </row>
    <row r="37" spans="1:73" ht="15" thickBot="1" x14ac:dyDescent="0.35">
      <c r="A37" s="97" t="str">
        <f>VLOOKUP(B37,Country_Data!B:Q,16,FALSE)</f>
        <v>Middle East</v>
      </c>
      <c r="B37" s="4" t="s">
        <v>113</v>
      </c>
      <c r="C37">
        <f>SUMIF(ConfirmedRaw!$B:$B,$B37,ConfirmedRaw!E:E)</f>
        <v>0</v>
      </c>
      <c r="D37">
        <f>SUMIF(ConfirmedRaw!$B:$B,$B37,ConfirmedRaw!F:F)</f>
        <v>0</v>
      </c>
      <c r="E37">
        <f>SUMIF(ConfirmedRaw!$B:$B,$B37,ConfirmedRaw!G:G)</f>
        <v>0</v>
      </c>
      <c r="F37">
        <f>SUMIF(ConfirmedRaw!$B:$B,$B37,ConfirmedRaw!H:H)</f>
        <v>0</v>
      </c>
      <c r="G37">
        <f>SUMIF(ConfirmedRaw!$B:$B,$B37,ConfirmedRaw!I:I)</f>
        <v>0</v>
      </c>
      <c r="H37">
        <f>SUMIF(ConfirmedRaw!$B:$B,$B37,ConfirmedRaw!J:J)</f>
        <v>0</v>
      </c>
      <c r="I37">
        <f>SUMIF(ConfirmedRaw!$B:$B,$B37,ConfirmedRaw!K:K)</f>
        <v>0</v>
      </c>
      <c r="J37">
        <f>SUMIF(ConfirmedRaw!$B:$B,$B37,ConfirmedRaw!L:L)</f>
        <v>0</v>
      </c>
      <c r="K37">
        <f>SUMIF(ConfirmedRaw!$B:$B,$B37,ConfirmedRaw!M:M)</f>
        <v>0</v>
      </c>
      <c r="L37">
        <f>SUMIF(ConfirmedRaw!$B:$B,$B37,ConfirmedRaw!N:N)</f>
        <v>0</v>
      </c>
      <c r="M37">
        <f>SUMIF(ConfirmedRaw!$B:$B,$B37,ConfirmedRaw!O:O)</f>
        <v>0</v>
      </c>
      <c r="N37">
        <f>SUMIF(ConfirmedRaw!$B:$B,$B37,ConfirmedRaw!P:P)</f>
        <v>0</v>
      </c>
      <c r="O37">
        <f>SUMIF(ConfirmedRaw!$B:$B,$B37,ConfirmedRaw!Q:Q)</f>
        <v>0</v>
      </c>
      <c r="P37">
        <f>SUMIF(ConfirmedRaw!$B:$B,$B37,ConfirmedRaw!R:R)</f>
        <v>0</v>
      </c>
      <c r="Q37">
        <f>SUMIF(ConfirmedRaw!$B:$B,$B37,ConfirmedRaw!S:S)</f>
        <v>0</v>
      </c>
      <c r="R37">
        <f>SUMIF(ConfirmedRaw!$B:$B,$B37,ConfirmedRaw!T:T)</f>
        <v>0</v>
      </c>
      <c r="S37">
        <f>SUMIF(ConfirmedRaw!$B:$B,$B37,ConfirmedRaw!U:U)</f>
        <v>0</v>
      </c>
      <c r="T37">
        <f>SUMIF(ConfirmedRaw!$B:$B,$B37,ConfirmedRaw!V:V)</f>
        <v>0</v>
      </c>
      <c r="U37">
        <f>SUMIF(ConfirmedRaw!$B:$B,$B37,ConfirmedRaw!W:W)</f>
        <v>0</v>
      </c>
      <c r="V37">
        <f>SUMIF(ConfirmedRaw!$B:$B,$B37,ConfirmedRaw!X:X)</f>
        <v>0</v>
      </c>
      <c r="W37">
        <f>SUMIF(ConfirmedRaw!$B:$B,$B37,ConfirmedRaw!Y:Y)</f>
        <v>0</v>
      </c>
      <c r="X37">
        <f>SUMIF(ConfirmedRaw!$B:$B,$B37,ConfirmedRaw!Z:Z)</f>
        <v>0</v>
      </c>
      <c r="Y37">
        <f>SUMIF(ConfirmedRaw!$B:$B,$B37,ConfirmedRaw!AA:AA)</f>
        <v>0</v>
      </c>
      <c r="Z37">
        <f>SUMIF(ConfirmedRaw!$B:$B,$B37,ConfirmedRaw!AB:AB)</f>
        <v>0</v>
      </c>
      <c r="AA37">
        <f>SUMIF(ConfirmedRaw!$B:$B,$B37,ConfirmedRaw!AC:AC)</f>
        <v>0</v>
      </c>
      <c r="AB37">
        <f>SUMIF(ConfirmedRaw!$B:$B,$B37,ConfirmedRaw!AD:AD)</f>
        <v>0</v>
      </c>
      <c r="AC37">
        <f>SUMIF(ConfirmedRaw!$B:$B,$B37,ConfirmedRaw!AE:AE)</f>
        <v>0</v>
      </c>
      <c r="AD37">
        <f>SUMIF(ConfirmedRaw!$B:$B,$B37,ConfirmedRaw!AF:AF)</f>
        <v>0</v>
      </c>
      <c r="AE37">
        <f>SUMIF(ConfirmedRaw!$B:$B,$B37,ConfirmedRaw!AG:AG)</f>
        <v>0</v>
      </c>
      <c r="AF37">
        <f>SUMIF(ConfirmedRaw!$B:$B,$B37,ConfirmedRaw!AH:AH)</f>
        <v>0</v>
      </c>
      <c r="AG37">
        <f>SUMIF(ConfirmedRaw!$B:$B,$B37,ConfirmedRaw!AI:AI)</f>
        <v>0</v>
      </c>
      <c r="AH37">
        <f>SUMIF(ConfirmedRaw!$B:$B,$B37,ConfirmedRaw!AJ:AJ)</f>
        <v>0</v>
      </c>
      <c r="AI37">
        <f>SUMIF(ConfirmedRaw!$B:$B,$B37,ConfirmedRaw!AK:AK)</f>
        <v>0</v>
      </c>
      <c r="AJ37">
        <f>SUMIF(ConfirmedRaw!$B:$B,$B37,ConfirmedRaw!AL:AL)</f>
        <v>0</v>
      </c>
      <c r="AK37">
        <f>SUMIF(ConfirmedRaw!$B:$B,$B37,ConfirmedRaw!AM:AM)</f>
        <v>0</v>
      </c>
      <c r="AL37">
        <f>SUMIF(ConfirmedRaw!$B:$B,$B37,ConfirmedRaw!AN:AN)</f>
        <v>0</v>
      </c>
      <c r="AM37">
        <f>SUMIF(ConfirmedRaw!$B:$B,$B37,ConfirmedRaw!AO:AO)</f>
        <v>0</v>
      </c>
      <c r="AN37">
        <f>SUMIF(ConfirmedRaw!$B:$B,$B37,ConfirmedRaw!AP:AP)</f>
        <v>0</v>
      </c>
      <c r="AO37">
        <f>SUMIF(ConfirmedRaw!$B:$B,$B37,ConfirmedRaw!AQ:AQ)</f>
        <v>0</v>
      </c>
      <c r="AP37">
        <f>SUMIF(ConfirmedRaw!$B:$B,$B37,ConfirmedRaw!AR:AR)</f>
        <v>0</v>
      </c>
      <c r="AQ37">
        <f>SUMIF(ConfirmedRaw!$B:$B,$B37,ConfirmedRaw!AS:AS)</f>
        <v>1</v>
      </c>
      <c r="AR37">
        <f>SUMIF(ConfirmedRaw!$B:$B,$B37,ConfirmedRaw!AT:AT)</f>
        <v>1</v>
      </c>
      <c r="AS37">
        <f>SUMIF(ConfirmedRaw!$B:$B,$B37,ConfirmedRaw!AU:AU)</f>
        <v>1</v>
      </c>
      <c r="AT37">
        <f>SUMIF(ConfirmedRaw!$B:$B,$B37,ConfirmedRaw!AV:AV)</f>
        <v>5</v>
      </c>
      <c r="AU37">
        <f>SUMIF(ConfirmedRaw!$B:$B,$B37,ConfirmedRaw!AW:AW)</f>
        <v>5</v>
      </c>
      <c r="AV37">
        <f>SUMIF(ConfirmedRaw!$B:$B,$B37,ConfirmedRaw!AX:AX)</f>
        <v>5</v>
      </c>
      <c r="AW37">
        <f>SUMIF(ConfirmedRaw!$B:$B,$B37,ConfirmedRaw!AY:AY)</f>
        <v>11</v>
      </c>
      <c r="AX37">
        <f>SUMIF(ConfirmedRaw!$B:$B,$B37,ConfirmedRaw!AZ:AZ)</f>
        <v>15</v>
      </c>
      <c r="AY37">
        <f>SUMIF(ConfirmedRaw!$B:$B,$B37,ConfirmedRaw!BA:BA)</f>
        <v>20</v>
      </c>
      <c r="AZ37">
        <f>SUMIF(ConfirmedRaw!$B:$B,$B37,ConfirmedRaw!BB:BB)</f>
        <v>21</v>
      </c>
      <c r="BA37">
        <f>SUMIF(ConfirmedRaw!$B:$B,$B37,ConfirmedRaw!BC:BC)</f>
        <v>45</v>
      </c>
      <c r="BB37">
        <f>SUMIF(ConfirmedRaw!$B:$B,$B37,ConfirmedRaw!BD:BD)</f>
        <v>86</v>
      </c>
      <c r="BC37">
        <f>SUMIF(ConfirmedRaw!$B:$B,$B37,ConfirmedRaw!BE:BE)</f>
        <v>103</v>
      </c>
      <c r="BD37">
        <f>SUMIF(ConfirmedRaw!$B:$B,$B37,ConfirmedRaw!BF:BF)</f>
        <v>103</v>
      </c>
      <c r="BE37">
        <f>SUMIF(ConfirmedRaw!$B:$B,$B37,ConfirmedRaw!BG:BG)</f>
        <v>118</v>
      </c>
      <c r="BF37">
        <f>SUMIF(ConfirmedRaw!$B:$B,$B37,ConfirmedRaw!BH:BH)</f>
        <v>171</v>
      </c>
      <c r="BG37">
        <f>SUMIF(ConfirmedRaw!$B:$B,$B37,ConfirmedRaw!BI:BI)</f>
        <v>171</v>
      </c>
      <c r="BH37">
        <f>SUMIF(ConfirmedRaw!$B:$B,$B37,ConfirmedRaw!BJ:BJ)</f>
        <v>274</v>
      </c>
      <c r="BI37">
        <f>SUMIF(ConfirmedRaw!$B:$B,$B37,ConfirmedRaw!BK:BK)</f>
        <v>344</v>
      </c>
      <c r="BJ37">
        <f>SUMIF(ConfirmedRaw!$B:$B,$B37,ConfirmedRaw!BL:BL)</f>
        <v>392</v>
      </c>
      <c r="BK37">
        <f>SUMIF(ConfirmedRaw!$B:$B,$B37,ConfirmedRaw!BM:BM)</f>
        <v>511</v>
      </c>
      <c r="BL37">
        <f>SUMIF(ConfirmedRaw!$B:$B,$B37,ConfirmedRaw!BN:BN)</f>
        <v>562</v>
      </c>
      <c r="BM37">
        <f>SUMIF(ConfirmedRaw!$B:$B,$B37,ConfirmedRaw!BO:BO)</f>
        <v>767</v>
      </c>
      <c r="BN37">
        <f>SUMIF(ConfirmedRaw!$B:$B,$B37,ConfirmedRaw!BP:BP)</f>
        <v>900</v>
      </c>
      <c r="BO37">
        <f>SUMIF(ConfirmedRaw!$B:$B,$B37,ConfirmedRaw!BQ:BQ)</f>
        <v>1012</v>
      </c>
      <c r="BP37">
        <f>SUMIF(ConfirmedRaw!$B:$B,$B37,ConfirmedRaw!BR:BR)</f>
        <v>1104</v>
      </c>
      <c r="BQ37">
        <f>SUMIF(ConfirmedRaw!$B:$B,$B37,ConfirmedRaw!BS:BS)</f>
        <v>1203</v>
      </c>
      <c r="BR37">
        <f>SUMIF(ConfirmedRaw!$B:$B,$B37,ConfirmedRaw!BT:BT)</f>
        <v>0</v>
      </c>
      <c r="BS37">
        <f>SUMIF(ConfirmedRaw!$B:$B,$B37,ConfirmedRaw!BU:BU)</f>
        <v>0</v>
      </c>
      <c r="BT37">
        <f>SUMIF(ConfirmedRaw!$B:$B,$B37,ConfirmedRaw!BV:BV)</f>
        <v>0</v>
      </c>
      <c r="BU37">
        <f>SUMIF(ConfirmedRaw!$B:$B,$B37,ConfirmedRaw!BW:BW)</f>
        <v>0</v>
      </c>
    </row>
    <row r="38" spans="1:73" ht="15" thickBot="1" x14ac:dyDescent="0.35">
      <c r="A38" s="97" t="str">
        <f>VLOOKUP(B38,Country_Data!B:Q,16,FALSE)</f>
        <v>Middle East</v>
      </c>
      <c r="B38" s="4" t="s">
        <v>55</v>
      </c>
      <c r="C38">
        <f>SUMIF(ConfirmedRaw!$B:$B,$B38,ConfirmedRaw!E:E)</f>
        <v>0</v>
      </c>
      <c r="D38">
        <f>SUMIF(ConfirmedRaw!$B:$B,$B38,ConfirmedRaw!F:F)</f>
        <v>0</v>
      </c>
      <c r="E38">
        <f>SUMIF(ConfirmedRaw!$B:$B,$B38,ConfirmedRaw!G:G)</f>
        <v>0</v>
      </c>
      <c r="F38">
        <f>SUMIF(ConfirmedRaw!$B:$B,$B38,ConfirmedRaw!H:H)</f>
        <v>0</v>
      </c>
      <c r="G38">
        <f>SUMIF(ConfirmedRaw!$B:$B,$B38,ConfirmedRaw!I:I)</f>
        <v>0</v>
      </c>
      <c r="H38">
        <f>SUMIF(ConfirmedRaw!$B:$B,$B38,ConfirmedRaw!J:J)</f>
        <v>0</v>
      </c>
      <c r="I38">
        <f>SUMIF(ConfirmedRaw!$B:$B,$B38,ConfirmedRaw!K:K)</f>
        <v>0</v>
      </c>
      <c r="J38">
        <f>SUMIF(ConfirmedRaw!$B:$B,$B38,ConfirmedRaw!L:L)</f>
        <v>4</v>
      </c>
      <c r="K38">
        <f>SUMIF(ConfirmedRaw!$B:$B,$B38,ConfirmedRaw!M:M)</f>
        <v>4</v>
      </c>
      <c r="L38">
        <f>SUMIF(ConfirmedRaw!$B:$B,$B38,ConfirmedRaw!N:N)</f>
        <v>4</v>
      </c>
      <c r="M38">
        <f>SUMIF(ConfirmedRaw!$B:$B,$B38,ConfirmedRaw!O:O)</f>
        <v>4</v>
      </c>
      <c r="N38">
        <f>SUMIF(ConfirmedRaw!$B:$B,$B38,ConfirmedRaw!P:P)</f>
        <v>5</v>
      </c>
      <c r="O38">
        <f>SUMIF(ConfirmedRaw!$B:$B,$B38,ConfirmedRaw!Q:Q)</f>
        <v>5</v>
      </c>
      <c r="P38">
        <f>SUMIF(ConfirmedRaw!$B:$B,$B38,ConfirmedRaw!R:R)</f>
        <v>5</v>
      </c>
      <c r="Q38">
        <f>SUMIF(ConfirmedRaw!$B:$B,$B38,ConfirmedRaw!S:S)</f>
        <v>5</v>
      </c>
      <c r="R38">
        <f>SUMIF(ConfirmedRaw!$B:$B,$B38,ConfirmedRaw!T:T)</f>
        <v>5</v>
      </c>
      <c r="S38">
        <f>SUMIF(ConfirmedRaw!$B:$B,$B38,ConfirmedRaw!U:U)</f>
        <v>5</v>
      </c>
      <c r="T38">
        <f>SUMIF(ConfirmedRaw!$B:$B,$B38,ConfirmedRaw!V:V)</f>
        <v>7</v>
      </c>
      <c r="U38">
        <f>SUMIF(ConfirmedRaw!$B:$B,$B38,ConfirmedRaw!W:W)</f>
        <v>7</v>
      </c>
      <c r="V38">
        <f>SUMIF(ConfirmedRaw!$B:$B,$B38,ConfirmedRaw!X:X)</f>
        <v>8</v>
      </c>
      <c r="W38">
        <f>SUMIF(ConfirmedRaw!$B:$B,$B38,ConfirmedRaw!Y:Y)</f>
        <v>8</v>
      </c>
      <c r="X38">
        <f>SUMIF(ConfirmedRaw!$B:$B,$B38,ConfirmedRaw!Z:Z)</f>
        <v>8</v>
      </c>
      <c r="Y38">
        <f>SUMIF(ConfirmedRaw!$B:$B,$B38,ConfirmedRaw!AA:AA)</f>
        <v>8</v>
      </c>
      <c r="Z38">
        <f>SUMIF(ConfirmedRaw!$B:$B,$B38,ConfirmedRaw!AB:AB)</f>
        <v>8</v>
      </c>
      <c r="AA38">
        <f>SUMIF(ConfirmedRaw!$B:$B,$B38,ConfirmedRaw!AC:AC)</f>
        <v>8</v>
      </c>
      <c r="AB38">
        <f>SUMIF(ConfirmedRaw!$B:$B,$B38,ConfirmedRaw!AD:AD)</f>
        <v>9</v>
      </c>
      <c r="AC38">
        <f>SUMIF(ConfirmedRaw!$B:$B,$B38,ConfirmedRaw!AE:AE)</f>
        <v>9</v>
      </c>
      <c r="AD38">
        <f>SUMIF(ConfirmedRaw!$B:$B,$B38,ConfirmedRaw!AF:AF)</f>
        <v>9</v>
      </c>
      <c r="AE38">
        <f>SUMIF(ConfirmedRaw!$B:$B,$B38,ConfirmedRaw!AG:AG)</f>
        <v>9</v>
      </c>
      <c r="AF38">
        <f>SUMIF(ConfirmedRaw!$B:$B,$B38,ConfirmedRaw!AH:AH)</f>
        <v>9</v>
      </c>
      <c r="AG38">
        <f>SUMIF(ConfirmedRaw!$B:$B,$B38,ConfirmedRaw!AI:AI)</f>
        <v>9</v>
      </c>
      <c r="AH38">
        <f>SUMIF(ConfirmedRaw!$B:$B,$B38,ConfirmedRaw!AJ:AJ)</f>
        <v>13</v>
      </c>
      <c r="AI38">
        <f>SUMIF(ConfirmedRaw!$B:$B,$B38,ConfirmedRaw!AK:AK)</f>
        <v>13</v>
      </c>
      <c r="AJ38">
        <f>SUMIF(ConfirmedRaw!$B:$B,$B38,ConfirmedRaw!AL:AL)</f>
        <v>13</v>
      </c>
      <c r="AK38">
        <f>SUMIF(ConfirmedRaw!$B:$B,$B38,ConfirmedRaw!AM:AM)</f>
        <v>13</v>
      </c>
      <c r="AL38">
        <f>SUMIF(ConfirmedRaw!$B:$B,$B38,ConfirmedRaw!AN:AN)</f>
        <v>13</v>
      </c>
      <c r="AM38">
        <f>SUMIF(ConfirmedRaw!$B:$B,$B38,ConfirmedRaw!AO:AO)</f>
        <v>13</v>
      </c>
      <c r="AN38">
        <f>SUMIF(ConfirmedRaw!$B:$B,$B38,ConfirmedRaw!AP:AP)</f>
        <v>19</v>
      </c>
      <c r="AO38">
        <f>SUMIF(ConfirmedRaw!$B:$B,$B38,ConfirmedRaw!AQ:AQ)</f>
        <v>21</v>
      </c>
      <c r="AP38">
        <f>SUMIF(ConfirmedRaw!$B:$B,$B38,ConfirmedRaw!AR:AR)</f>
        <v>21</v>
      </c>
      <c r="AQ38">
        <f>SUMIF(ConfirmedRaw!$B:$B,$B38,ConfirmedRaw!AS:AS)</f>
        <v>21</v>
      </c>
      <c r="AR38">
        <f>SUMIF(ConfirmedRaw!$B:$B,$B38,ConfirmedRaw!AT:AT)</f>
        <v>27</v>
      </c>
      <c r="AS38">
        <f>SUMIF(ConfirmedRaw!$B:$B,$B38,ConfirmedRaw!AU:AU)</f>
        <v>27</v>
      </c>
      <c r="AT38">
        <f>SUMIF(ConfirmedRaw!$B:$B,$B38,ConfirmedRaw!AV:AV)</f>
        <v>29</v>
      </c>
      <c r="AU38">
        <f>SUMIF(ConfirmedRaw!$B:$B,$B38,ConfirmedRaw!AW:AW)</f>
        <v>29</v>
      </c>
      <c r="AV38">
        <f>SUMIF(ConfirmedRaw!$B:$B,$B38,ConfirmedRaw!AX:AX)</f>
        <v>45</v>
      </c>
      <c r="AW38">
        <f>SUMIF(ConfirmedRaw!$B:$B,$B38,ConfirmedRaw!AY:AY)</f>
        <v>45</v>
      </c>
      <c r="AX38">
        <f>SUMIF(ConfirmedRaw!$B:$B,$B38,ConfirmedRaw!AZ:AZ)</f>
        <v>45</v>
      </c>
      <c r="AY38">
        <f>SUMIF(ConfirmedRaw!$B:$B,$B38,ConfirmedRaw!BA:BA)</f>
        <v>74</v>
      </c>
      <c r="AZ38">
        <f>SUMIF(ConfirmedRaw!$B:$B,$B38,ConfirmedRaw!BB:BB)</f>
        <v>74</v>
      </c>
      <c r="BA38">
        <f>SUMIF(ConfirmedRaw!$B:$B,$B38,ConfirmedRaw!BC:BC)</f>
        <v>85</v>
      </c>
      <c r="BB38">
        <f>SUMIF(ConfirmedRaw!$B:$B,$B38,ConfirmedRaw!BD:BD)</f>
        <v>85</v>
      </c>
      <c r="BC38">
        <f>SUMIF(ConfirmedRaw!$B:$B,$B38,ConfirmedRaw!BE:BE)</f>
        <v>85</v>
      </c>
      <c r="BD38">
        <f>SUMIF(ConfirmedRaw!$B:$B,$B38,ConfirmedRaw!BF:BF)</f>
        <v>98</v>
      </c>
      <c r="BE38">
        <f>SUMIF(ConfirmedRaw!$B:$B,$B38,ConfirmedRaw!BG:BG)</f>
        <v>98</v>
      </c>
      <c r="BF38">
        <f>SUMIF(ConfirmedRaw!$B:$B,$B38,ConfirmedRaw!BH:BH)</f>
        <v>98</v>
      </c>
      <c r="BG38">
        <f>SUMIF(ConfirmedRaw!$B:$B,$B38,ConfirmedRaw!BI:BI)</f>
        <v>113</v>
      </c>
      <c r="BH38">
        <f>SUMIF(ConfirmedRaw!$B:$B,$B38,ConfirmedRaw!BJ:BJ)</f>
        <v>140</v>
      </c>
      <c r="BI38">
        <f>SUMIF(ConfirmedRaw!$B:$B,$B38,ConfirmedRaw!BK:BK)</f>
        <v>140</v>
      </c>
      <c r="BJ38">
        <f>SUMIF(ConfirmedRaw!$B:$B,$B38,ConfirmedRaw!BL:BL)</f>
        <v>153</v>
      </c>
      <c r="BK38">
        <f>SUMIF(ConfirmedRaw!$B:$B,$B38,ConfirmedRaw!BM:BM)</f>
        <v>153</v>
      </c>
      <c r="BL38">
        <f>SUMIF(ConfirmedRaw!$B:$B,$B38,ConfirmedRaw!BN:BN)</f>
        <v>198</v>
      </c>
      <c r="BM38">
        <f>SUMIF(ConfirmedRaw!$B:$B,$B38,ConfirmedRaw!BO:BO)</f>
        <v>248</v>
      </c>
      <c r="BN38">
        <f>SUMIF(ConfirmedRaw!$B:$B,$B38,ConfirmedRaw!BP:BP)</f>
        <v>333</v>
      </c>
      <c r="BO38">
        <f>SUMIF(ConfirmedRaw!$B:$B,$B38,ConfirmedRaw!BQ:BQ)</f>
        <v>333</v>
      </c>
      <c r="BP38">
        <f>SUMIF(ConfirmedRaw!$B:$B,$B38,ConfirmedRaw!BR:BR)</f>
        <v>405</v>
      </c>
      <c r="BQ38">
        <f>SUMIF(ConfirmedRaw!$B:$B,$B38,ConfirmedRaw!BS:BS)</f>
        <v>468</v>
      </c>
      <c r="BR38">
        <f>SUMIF(ConfirmedRaw!$B:$B,$B38,ConfirmedRaw!BT:BT)</f>
        <v>0</v>
      </c>
      <c r="BS38">
        <f>SUMIF(ConfirmedRaw!$B:$B,$B38,ConfirmedRaw!BU:BU)</f>
        <v>0</v>
      </c>
      <c r="BT38">
        <f>SUMIF(ConfirmedRaw!$B:$B,$B38,ConfirmedRaw!BV:BV)</f>
        <v>0</v>
      </c>
      <c r="BU38">
        <f>SUMIF(ConfirmedRaw!$B:$B,$B38,ConfirmedRaw!BW:BW)</f>
        <v>0</v>
      </c>
    </row>
    <row r="39" spans="1:73" ht="15" thickBot="1" x14ac:dyDescent="0.35">
      <c r="A39" s="97" t="str">
        <f>VLOOKUP(B39,Country_Data!B:Q,16,FALSE)</f>
        <v>Asia</v>
      </c>
      <c r="B39" s="4" t="s">
        <v>57</v>
      </c>
      <c r="C39">
        <f>SUMIF(ConfirmedRaw!$B:$B,$B39,ConfirmedRaw!E:E)</f>
        <v>0</v>
      </c>
      <c r="D39">
        <f>SUMIF(ConfirmedRaw!$B:$B,$B39,ConfirmedRaw!F:F)</f>
        <v>0</v>
      </c>
      <c r="E39">
        <f>SUMIF(ConfirmedRaw!$B:$B,$B39,ConfirmedRaw!G:G)</f>
        <v>0</v>
      </c>
      <c r="F39">
        <f>SUMIF(ConfirmedRaw!$B:$B,$B39,ConfirmedRaw!H:H)</f>
        <v>0</v>
      </c>
      <c r="G39">
        <f>SUMIF(ConfirmedRaw!$B:$B,$B39,ConfirmedRaw!I:I)</f>
        <v>0</v>
      </c>
      <c r="H39">
        <f>SUMIF(ConfirmedRaw!$B:$B,$B39,ConfirmedRaw!J:J)</f>
        <v>0</v>
      </c>
      <c r="I39">
        <f>SUMIF(ConfirmedRaw!$B:$B,$B39,ConfirmedRaw!K:K)</f>
        <v>0</v>
      </c>
      <c r="J39">
        <f>SUMIF(ConfirmedRaw!$B:$B,$B39,ConfirmedRaw!L:L)</f>
        <v>0</v>
      </c>
      <c r="K39">
        <f>SUMIF(ConfirmedRaw!$B:$B,$B39,ConfirmedRaw!M:M)</f>
        <v>1</v>
      </c>
      <c r="L39">
        <f>SUMIF(ConfirmedRaw!$B:$B,$B39,ConfirmedRaw!N:N)</f>
        <v>1</v>
      </c>
      <c r="M39">
        <f>SUMIF(ConfirmedRaw!$B:$B,$B39,ConfirmedRaw!O:O)</f>
        <v>1</v>
      </c>
      <c r="N39">
        <f>SUMIF(ConfirmedRaw!$B:$B,$B39,ConfirmedRaw!P:P)</f>
        <v>2</v>
      </c>
      <c r="O39">
        <f>SUMIF(ConfirmedRaw!$B:$B,$B39,ConfirmedRaw!Q:Q)</f>
        <v>3</v>
      </c>
      <c r="P39">
        <f>SUMIF(ConfirmedRaw!$B:$B,$B39,ConfirmedRaw!R:R)</f>
        <v>3</v>
      </c>
      <c r="Q39">
        <f>SUMIF(ConfirmedRaw!$B:$B,$B39,ConfirmedRaw!S:S)</f>
        <v>3</v>
      </c>
      <c r="R39">
        <f>SUMIF(ConfirmedRaw!$B:$B,$B39,ConfirmedRaw!T:T)</f>
        <v>3</v>
      </c>
      <c r="S39">
        <f>SUMIF(ConfirmedRaw!$B:$B,$B39,ConfirmedRaw!U:U)</f>
        <v>3</v>
      </c>
      <c r="T39">
        <f>SUMIF(ConfirmedRaw!$B:$B,$B39,ConfirmedRaw!V:V)</f>
        <v>3</v>
      </c>
      <c r="U39">
        <f>SUMIF(ConfirmedRaw!$B:$B,$B39,ConfirmedRaw!W:W)</f>
        <v>3</v>
      </c>
      <c r="V39">
        <f>SUMIF(ConfirmedRaw!$B:$B,$B39,ConfirmedRaw!X:X)</f>
        <v>3</v>
      </c>
      <c r="W39">
        <f>SUMIF(ConfirmedRaw!$B:$B,$B39,ConfirmedRaw!Y:Y)</f>
        <v>3</v>
      </c>
      <c r="X39">
        <f>SUMIF(ConfirmedRaw!$B:$B,$B39,ConfirmedRaw!Z:Z)</f>
        <v>3</v>
      </c>
      <c r="Y39">
        <f>SUMIF(ConfirmedRaw!$B:$B,$B39,ConfirmedRaw!AA:AA)</f>
        <v>3</v>
      </c>
      <c r="Z39">
        <f>SUMIF(ConfirmedRaw!$B:$B,$B39,ConfirmedRaw!AB:AB)</f>
        <v>3</v>
      </c>
      <c r="AA39">
        <f>SUMIF(ConfirmedRaw!$B:$B,$B39,ConfirmedRaw!AC:AC)</f>
        <v>3</v>
      </c>
      <c r="AB39">
        <f>SUMIF(ConfirmedRaw!$B:$B,$B39,ConfirmedRaw!AD:AD)</f>
        <v>3</v>
      </c>
      <c r="AC39">
        <f>SUMIF(ConfirmedRaw!$B:$B,$B39,ConfirmedRaw!AE:AE)</f>
        <v>3</v>
      </c>
      <c r="AD39">
        <f>SUMIF(ConfirmedRaw!$B:$B,$B39,ConfirmedRaw!AF:AF)</f>
        <v>3</v>
      </c>
      <c r="AE39">
        <f>SUMIF(ConfirmedRaw!$B:$B,$B39,ConfirmedRaw!AG:AG)</f>
        <v>3</v>
      </c>
      <c r="AF39">
        <f>SUMIF(ConfirmedRaw!$B:$B,$B39,ConfirmedRaw!AH:AH)</f>
        <v>3</v>
      </c>
      <c r="AG39">
        <f>SUMIF(ConfirmedRaw!$B:$B,$B39,ConfirmedRaw!AI:AI)</f>
        <v>3</v>
      </c>
      <c r="AH39">
        <f>SUMIF(ConfirmedRaw!$B:$B,$B39,ConfirmedRaw!AJ:AJ)</f>
        <v>3</v>
      </c>
      <c r="AI39">
        <f>SUMIF(ConfirmedRaw!$B:$B,$B39,ConfirmedRaw!AK:AK)</f>
        <v>3</v>
      </c>
      <c r="AJ39">
        <f>SUMIF(ConfirmedRaw!$B:$B,$B39,ConfirmedRaw!AL:AL)</f>
        <v>3</v>
      </c>
      <c r="AK39">
        <f>SUMIF(ConfirmedRaw!$B:$B,$B39,ConfirmedRaw!AM:AM)</f>
        <v>3</v>
      </c>
      <c r="AL39">
        <f>SUMIF(ConfirmedRaw!$B:$B,$B39,ConfirmedRaw!AN:AN)</f>
        <v>3</v>
      </c>
      <c r="AM39">
        <f>SUMIF(ConfirmedRaw!$B:$B,$B39,ConfirmedRaw!AO:AO)</f>
        <v>3</v>
      </c>
      <c r="AN39">
        <f>SUMIF(ConfirmedRaw!$B:$B,$B39,ConfirmedRaw!AP:AP)</f>
        <v>3</v>
      </c>
      <c r="AO39">
        <f>SUMIF(ConfirmedRaw!$B:$B,$B39,ConfirmedRaw!AQ:AQ)</f>
        <v>3</v>
      </c>
      <c r="AP39">
        <f>SUMIF(ConfirmedRaw!$B:$B,$B39,ConfirmedRaw!AR:AR)</f>
        <v>3</v>
      </c>
      <c r="AQ39">
        <f>SUMIF(ConfirmedRaw!$B:$B,$B39,ConfirmedRaw!AS:AS)</f>
        <v>5</v>
      </c>
      <c r="AR39">
        <f>SUMIF(ConfirmedRaw!$B:$B,$B39,ConfirmedRaw!AT:AT)</f>
        <v>5</v>
      </c>
      <c r="AS39">
        <f>SUMIF(ConfirmedRaw!$B:$B,$B39,ConfirmedRaw!AU:AU)</f>
        <v>28</v>
      </c>
      <c r="AT39">
        <f>SUMIF(ConfirmedRaw!$B:$B,$B39,ConfirmedRaw!AV:AV)</f>
        <v>30</v>
      </c>
      <c r="AU39">
        <f>SUMIF(ConfirmedRaw!$B:$B,$B39,ConfirmedRaw!AW:AW)</f>
        <v>31</v>
      </c>
      <c r="AV39">
        <f>SUMIF(ConfirmedRaw!$B:$B,$B39,ConfirmedRaw!AX:AX)</f>
        <v>34</v>
      </c>
      <c r="AW39">
        <f>SUMIF(ConfirmedRaw!$B:$B,$B39,ConfirmedRaw!AY:AY)</f>
        <v>39</v>
      </c>
      <c r="AX39">
        <f>SUMIF(ConfirmedRaw!$B:$B,$B39,ConfirmedRaw!AZ:AZ)</f>
        <v>43</v>
      </c>
      <c r="AY39">
        <f>SUMIF(ConfirmedRaw!$B:$B,$B39,ConfirmedRaw!BA:BA)</f>
        <v>56</v>
      </c>
      <c r="AZ39">
        <f>SUMIF(ConfirmedRaw!$B:$B,$B39,ConfirmedRaw!BB:BB)</f>
        <v>62</v>
      </c>
      <c r="BA39">
        <f>SUMIF(ConfirmedRaw!$B:$B,$B39,ConfirmedRaw!BC:BC)</f>
        <v>73</v>
      </c>
      <c r="BB39">
        <f>SUMIF(ConfirmedRaw!$B:$B,$B39,ConfirmedRaw!BD:BD)</f>
        <v>82</v>
      </c>
      <c r="BC39">
        <f>SUMIF(ConfirmedRaw!$B:$B,$B39,ConfirmedRaw!BE:BE)</f>
        <v>102</v>
      </c>
      <c r="BD39">
        <f>SUMIF(ConfirmedRaw!$B:$B,$B39,ConfirmedRaw!BF:BF)</f>
        <v>113</v>
      </c>
      <c r="BE39">
        <f>SUMIF(ConfirmedRaw!$B:$B,$B39,ConfirmedRaw!BG:BG)</f>
        <v>119</v>
      </c>
      <c r="BF39">
        <f>SUMIF(ConfirmedRaw!$B:$B,$B39,ConfirmedRaw!BH:BH)</f>
        <v>142</v>
      </c>
      <c r="BG39">
        <f>SUMIF(ConfirmedRaw!$B:$B,$B39,ConfirmedRaw!BI:BI)</f>
        <v>156</v>
      </c>
      <c r="BH39">
        <f>SUMIF(ConfirmedRaw!$B:$B,$B39,ConfirmedRaw!BJ:BJ)</f>
        <v>194</v>
      </c>
      <c r="BI39">
        <f>SUMIF(ConfirmedRaw!$B:$B,$B39,ConfirmedRaw!BK:BK)</f>
        <v>244</v>
      </c>
      <c r="BJ39">
        <f>SUMIF(ConfirmedRaw!$B:$B,$B39,ConfirmedRaw!BL:BL)</f>
        <v>330</v>
      </c>
      <c r="BK39">
        <f>SUMIF(ConfirmedRaw!$B:$B,$B39,ConfirmedRaw!BM:BM)</f>
        <v>396</v>
      </c>
      <c r="BL39">
        <f>SUMIF(ConfirmedRaw!$B:$B,$B39,ConfirmedRaw!BN:BN)</f>
        <v>499</v>
      </c>
      <c r="BM39">
        <f>SUMIF(ConfirmedRaw!$B:$B,$B39,ConfirmedRaw!BO:BO)</f>
        <v>536</v>
      </c>
      <c r="BN39">
        <f>SUMIF(ConfirmedRaw!$B:$B,$B39,ConfirmedRaw!BP:BP)</f>
        <v>657</v>
      </c>
      <c r="BO39">
        <f>SUMIF(ConfirmedRaw!$B:$B,$B39,ConfirmedRaw!BQ:BQ)</f>
        <v>727</v>
      </c>
      <c r="BP39">
        <f>SUMIF(ConfirmedRaw!$B:$B,$B39,ConfirmedRaw!BR:BR)</f>
        <v>887</v>
      </c>
      <c r="BQ39">
        <f>SUMIF(ConfirmedRaw!$B:$B,$B39,ConfirmedRaw!BS:BS)</f>
        <v>987</v>
      </c>
      <c r="BR39">
        <f>SUMIF(ConfirmedRaw!$B:$B,$B39,ConfirmedRaw!BT:BT)</f>
        <v>0</v>
      </c>
      <c r="BS39">
        <f>SUMIF(ConfirmedRaw!$B:$B,$B39,ConfirmedRaw!BU:BU)</f>
        <v>0</v>
      </c>
      <c r="BT39">
        <f>SUMIF(ConfirmedRaw!$B:$B,$B39,ConfirmedRaw!BV:BV)</f>
        <v>0</v>
      </c>
      <c r="BU39">
        <f>SUMIF(ConfirmedRaw!$B:$B,$B39,ConfirmedRaw!BW:BW)</f>
        <v>0</v>
      </c>
    </row>
    <row r="40" spans="1:73" ht="15" thickBot="1" x14ac:dyDescent="0.35">
      <c r="A40" s="97" t="str">
        <f>VLOOKUP(B40,Country_Data!B:Q,16,FALSE)</f>
        <v>Africa</v>
      </c>
      <c r="B40" s="4" t="s">
        <v>65</v>
      </c>
      <c r="C40">
        <f>SUMIF(ConfirmedRaw!$B:$B,$B40,ConfirmedRaw!E:E)</f>
        <v>0</v>
      </c>
      <c r="D40">
        <f>SUMIF(ConfirmedRaw!$B:$B,$B40,ConfirmedRaw!F:F)</f>
        <v>0</v>
      </c>
      <c r="E40">
        <f>SUMIF(ConfirmedRaw!$B:$B,$B40,ConfirmedRaw!G:G)</f>
        <v>0</v>
      </c>
      <c r="F40">
        <f>SUMIF(ConfirmedRaw!$B:$B,$B40,ConfirmedRaw!H:H)</f>
        <v>0</v>
      </c>
      <c r="G40">
        <f>SUMIF(ConfirmedRaw!$B:$B,$B40,ConfirmedRaw!I:I)</f>
        <v>0</v>
      </c>
      <c r="H40">
        <f>SUMIF(ConfirmedRaw!$B:$B,$B40,ConfirmedRaw!J:J)</f>
        <v>0</v>
      </c>
      <c r="I40">
        <f>SUMIF(ConfirmedRaw!$B:$B,$B40,ConfirmedRaw!K:K)</f>
        <v>0</v>
      </c>
      <c r="J40">
        <f>SUMIF(ConfirmedRaw!$B:$B,$B40,ConfirmedRaw!L:L)</f>
        <v>0</v>
      </c>
      <c r="K40">
        <f>SUMIF(ConfirmedRaw!$B:$B,$B40,ConfirmedRaw!M:M)</f>
        <v>0</v>
      </c>
      <c r="L40">
        <f>SUMIF(ConfirmedRaw!$B:$B,$B40,ConfirmedRaw!N:N)</f>
        <v>0</v>
      </c>
      <c r="M40">
        <f>SUMIF(ConfirmedRaw!$B:$B,$B40,ConfirmedRaw!O:O)</f>
        <v>0</v>
      </c>
      <c r="N40">
        <f>SUMIF(ConfirmedRaw!$B:$B,$B40,ConfirmedRaw!P:P)</f>
        <v>0</v>
      </c>
      <c r="O40">
        <f>SUMIF(ConfirmedRaw!$B:$B,$B40,ConfirmedRaw!Q:Q)</f>
        <v>0</v>
      </c>
      <c r="P40">
        <f>SUMIF(ConfirmedRaw!$B:$B,$B40,ConfirmedRaw!R:R)</f>
        <v>0</v>
      </c>
      <c r="Q40">
        <f>SUMIF(ConfirmedRaw!$B:$B,$B40,ConfirmedRaw!S:S)</f>
        <v>0</v>
      </c>
      <c r="R40">
        <f>SUMIF(ConfirmedRaw!$B:$B,$B40,ConfirmedRaw!T:T)</f>
        <v>0</v>
      </c>
      <c r="S40">
        <f>SUMIF(ConfirmedRaw!$B:$B,$B40,ConfirmedRaw!U:U)</f>
        <v>0</v>
      </c>
      <c r="T40">
        <f>SUMIF(ConfirmedRaw!$B:$B,$B40,ConfirmedRaw!V:V)</f>
        <v>0</v>
      </c>
      <c r="U40">
        <f>SUMIF(ConfirmedRaw!$B:$B,$B40,ConfirmedRaw!W:W)</f>
        <v>0</v>
      </c>
      <c r="V40">
        <f>SUMIF(ConfirmedRaw!$B:$B,$B40,ConfirmedRaw!X:X)</f>
        <v>0</v>
      </c>
      <c r="W40">
        <f>SUMIF(ConfirmedRaw!$B:$B,$B40,ConfirmedRaw!Y:Y)</f>
        <v>0</v>
      </c>
      <c r="X40">
        <f>SUMIF(ConfirmedRaw!$B:$B,$B40,ConfirmedRaw!Z:Z)</f>
        <v>0</v>
      </c>
      <c r="Y40">
        <f>SUMIF(ConfirmedRaw!$B:$B,$B40,ConfirmedRaw!AA:AA)</f>
        <v>0</v>
      </c>
      <c r="Z40">
        <f>SUMIF(ConfirmedRaw!$B:$B,$B40,ConfirmedRaw!AB:AB)</f>
        <v>1</v>
      </c>
      <c r="AA40">
        <f>SUMIF(ConfirmedRaw!$B:$B,$B40,ConfirmedRaw!AC:AC)</f>
        <v>1</v>
      </c>
      <c r="AB40">
        <f>SUMIF(ConfirmedRaw!$B:$B,$B40,ConfirmedRaw!AD:AD)</f>
        <v>1</v>
      </c>
      <c r="AC40">
        <f>SUMIF(ConfirmedRaw!$B:$B,$B40,ConfirmedRaw!AE:AE)</f>
        <v>1</v>
      </c>
      <c r="AD40">
        <f>SUMIF(ConfirmedRaw!$B:$B,$B40,ConfirmedRaw!AF:AF)</f>
        <v>1</v>
      </c>
      <c r="AE40">
        <f>SUMIF(ConfirmedRaw!$B:$B,$B40,ConfirmedRaw!AG:AG)</f>
        <v>1</v>
      </c>
      <c r="AF40">
        <f>SUMIF(ConfirmedRaw!$B:$B,$B40,ConfirmedRaw!AH:AH)</f>
        <v>1</v>
      </c>
      <c r="AG40">
        <f>SUMIF(ConfirmedRaw!$B:$B,$B40,ConfirmedRaw!AI:AI)</f>
        <v>1</v>
      </c>
      <c r="AH40">
        <f>SUMIF(ConfirmedRaw!$B:$B,$B40,ConfirmedRaw!AJ:AJ)</f>
        <v>1</v>
      </c>
      <c r="AI40">
        <f>SUMIF(ConfirmedRaw!$B:$B,$B40,ConfirmedRaw!AK:AK)</f>
        <v>1</v>
      </c>
      <c r="AJ40">
        <f>SUMIF(ConfirmedRaw!$B:$B,$B40,ConfirmedRaw!AL:AL)</f>
        <v>1</v>
      </c>
      <c r="AK40">
        <f>SUMIF(ConfirmedRaw!$B:$B,$B40,ConfirmedRaw!AM:AM)</f>
        <v>1</v>
      </c>
      <c r="AL40">
        <f>SUMIF(ConfirmedRaw!$B:$B,$B40,ConfirmedRaw!AN:AN)</f>
        <v>1</v>
      </c>
      <c r="AM40">
        <f>SUMIF(ConfirmedRaw!$B:$B,$B40,ConfirmedRaw!AO:AO)</f>
        <v>1</v>
      </c>
      <c r="AN40">
        <f>SUMIF(ConfirmedRaw!$B:$B,$B40,ConfirmedRaw!AP:AP)</f>
        <v>1</v>
      </c>
      <c r="AO40">
        <f>SUMIF(ConfirmedRaw!$B:$B,$B40,ConfirmedRaw!AQ:AQ)</f>
        <v>1</v>
      </c>
      <c r="AP40">
        <f>SUMIF(ConfirmedRaw!$B:$B,$B40,ConfirmedRaw!AR:AR)</f>
        <v>2</v>
      </c>
      <c r="AQ40">
        <f>SUMIF(ConfirmedRaw!$B:$B,$B40,ConfirmedRaw!AS:AS)</f>
        <v>2</v>
      </c>
      <c r="AR40">
        <f>SUMIF(ConfirmedRaw!$B:$B,$B40,ConfirmedRaw!AT:AT)</f>
        <v>2</v>
      </c>
      <c r="AS40">
        <f>SUMIF(ConfirmedRaw!$B:$B,$B40,ConfirmedRaw!AU:AU)</f>
        <v>2</v>
      </c>
      <c r="AT40">
        <f>SUMIF(ConfirmedRaw!$B:$B,$B40,ConfirmedRaw!AV:AV)</f>
        <v>3</v>
      </c>
      <c r="AU40">
        <f>SUMIF(ConfirmedRaw!$B:$B,$B40,ConfirmedRaw!AW:AW)</f>
        <v>15</v>
      </c>
      <c r="AV40">
        <f>SUMIF(ConfirmedRaw!$B:$B,$B40,ConfirmedRaw!AX:AX)</f>
        <v>15</v>
      </c>
      <c r="AW40">
        <f>SUMIF(ConfirmedRaw!$B:$B,$B40,ConfirmedRaw!AY:AY)</f>
        <v>49</v>
      </c>
      <c r="AX40">
        <f>SUMIF(ConfirmedRaw!$B:$B,$B40,ConfirmedRaw!AZ:AZ)</f>
        <v>55</v>
      </c>
      <c r="AY40">
        <f>SUMIF(ConfirmedRaw!$B:$B,$B40,ConfirmedRaw!BA:BA)</f>
        <v>59</v>
      </c>
      <c r="AZ40">
        <f>SUMIF(ConfirmedRaw!$B:$B,$B40,ConfirmedRaw!BB:BB)</f>
        <v>60</v>
      </c>
      <c r="BA40">
        <f>SUMIF(ConfirmedRaw!$B:$B,$B40,ConfirmedRaw!BC:BC)</f>
        <v>67</v>
      </c>
      <c r="BB40">
        <f>SUMIF(ConfirmedRaw!$B:$B,$B40,ConfirmedRaw!BD:BD)</f>
        <v>80</v>
      </c>
      <c r="BC40">
        <f>SUMIF(ConfirmedRaw!$B:$B,$B40,ConfirmedRaw!BE:BE)</f>
        <v>109</v>
      </c>
      <c r="BD40">
        <f>SUMIF(ConfirmedRaw!$B:$B,$B40,ConfirmedRaw!BF:BF)</f>
        <v>110</v>
      </c>
      <c r="BE40">
        <f>SUMIF(ConfirmedRaw!$B:$B,$B40,ConfirmedRaw!BG:BG)</f>
        <v>150</v>
      </c>
      <c r="BF40">
        <f>SUMIF(ConfirmedRaw!$B:$B,$B40,ConfirmedRaw!BH:BH)</f>
        <v>196</v>
      </c>
      <c r="BG40">
        <f>SUMIF(ConfirmedRaw!$B:$B,$B40,ConfirmedRaw!BI:BI)</f>
        <v>196</v>
      </c>
      <c r="BH40">
        <f>SUMIF(ConfirmedRaw!$B:$B,$B40,ConfirmedRaw!BJ:BJ)</f>
        <v>256</v>
      </c>
      <c r="BI40">
        <f>SUMIF(ConfirmedRaw!$B:$B,$B40,ConfirmedRaw!BK:BK)</f>
        <v>285</v>
      </c>
      <c r="BJ40">
        <f>SUMIF(ConfirmedRaw!$B:$B,$B40,ConfirmedRaw!BL:BL)</f>
        <v>294</v>
      </c>
      <c r="BK40">
        <f>SUMIF(ConfirmedRaw!$B:$B,$B40,ConfirmedRaw!BM:BM)</f>
        <v>327</v>
      </c>
      <c r="BL40">
        <f>SUMIF(ConfirmedRaw!$B:$B,$B40,ConfirmedRaw!BN:BN)</f>
        <v>366</v>
      </c>
      <c r="BM40">
        <f>SUMIF(ConfirmedRaw!$B:$B,$B40,ConfirmedRaw!BO:BO)</f>
        <v>402</v>
      </c>
      <c r="BN40">
        <f>SUMIF(ConfirmedRaw!$B:$B,$B40,ConfirmedRaw!BP:BP)</f>
        <v>456</v>
      </c>
      <c r="BO40">
        <f>SUMIF(ConfirmedRaw!$B:$B,$B40,ConfirmedRaw!BQ:BQ)</f>
        <v>495</v>
      </c>
      <c r="BP40">
        <f>SUMIF(ConfirmedRaw!$B:$B,$B40,ConfirmedRaw!BR:BR)</f>
        <v>536</v>
      </c>
      <c r="BQ40">
        <f>SUMIF(ConfirmedRaw!$B:$B,$B40,ConfirmedRaw!BS:BS)</f>
        <v>576</v>
      </c>
      <c r="BR40">
        <f>SUMIF(ConfirmedRaw!$B:$B,$B40,ConfirmedRaw!BT:BT)</f>
        <v>0</v>
      </c>
      <c r="BS40">
        <f>SUMIF(ConfirmedRaw!$B:$B,$B40,ConfirmedRaw!BU:BU)</f>
        <v>0</v>
      </c>
      <c r="BT40">
        <f>SUMIF(ConfirmedRaw!$B:$B,$B40,ConfirmedRaw!BV:BV)</f>
        <v>0</v>
      </c>
      <c r="BU40">
        <f>SUMIF(ConfirmedRaw!$B:$B,$B40,ConfirmedRaw!BW:BW)</f>
        <v>0</v>
      </c>
    </row>
    <row r="41" spans="1:73" ht="15" thickBot="1" x14ac:dyDescent="0.35">
      <c r="A41" s="97" t="str">
        <f>VLOOKUP(B41,Country_Data!B:Q,16,FALSE)</f>
        <v>Middle East</v>
      </c>
      <c r="B41" s="3" t="s">
        <v>74</v>
      </c>
      <c r="C41">
        <f>SUMIF(ConfirmedRaw!$B:$B,$B41,ConfirmedRaw!E:E)</f>
        <v>0</v>
      </c>
      <c r="D41">
        <f>SUMIF(ConfirmedRaw!$B:$B,$B41,ConfirmedRaw!F:F)</f>
        <v>0</v>
      </c>
      <c r="E41">
        <f>SUMIF(ConfirmedRaw!$B:$B,$B41,ConfirmedRaw!G:G)</f>
        <v>0</v>
      </c>
      <c r="F41">
        <f>SUMIF(ConfirmedRaw!$B:$B,$B41,ConfirmedRaw!H:H)</f>
        <v>0</v>
      </c>
      <c r="G41">
        <f>SUMIF(ConfirmedRaw!$B:$B,$B41,ConfirmedRaw!I:I)</f>
        <v>0</v>
      </c>
      <c r="H41">
        <f>SUMIF(ConfirmedRaw!$B:$B,$B41,ConfirmedRaw!J:J)</f>
        <v>0</v>
      </c>
      <c r="I41">
        <f>SUMIF(ConfirmedRaw!$B:$B,$B41,ConfirmedRaw!K:K)</f>
        <v>0</v>
      </c>
      <c r="J41">
        <f>SUMIF(ConfirmedRaw!$B:$B,$B41,ConfirmedRaw!L:L)</f>
        <v>0</v>
      </c>
      <c r="K41">
        <f>SUMIF(ConfirmedRaw!$B:$B,$B41,ConfirmedRaw!M:M)</f>
        <v>0</v>
      </c>
      <c r="L41">
        <f>SUMIF(ConfirmedRaw!$B:$B,$B41,ConfirmedRaw!N:N)</f>
        <v>0</v>
      </c>
      <c r="M41">
        <f>SUMIF(ConfirmedRaw!$B:$B,$B41,ConfirmedRaw!O:O)</f>
        <v>0</v>
      </c>
      <c r="N41">
        <f>SUMIF(ConfirmedRaw!$B:$B,$B41,ConfirmedRaw!P:P)</f>
        <v>0</v>
      </c>
      <c r="O41">
        <f>SUMIF(ConfirmedRaw!$B:$B,$B41,ConfirmedRaw!Q:Q)</f>
        <v>0</v>
      </c>
      <c r="P41">
        <f>SUMIF(ConfirmedRaw!$B:$B,$B41,ConfirmedRaw!R:R)</f>
        <v>0</v>
      </c>
      <c r="Q41">
        <f>SUMIF(ConfirmedRaw!$B:$B,$B41,ConfirmedRaw!S:S)</f>
        <v>0</v>
      </c>
      <c r="R41">
        <f>SUMIF(ConfirmedRaw!$B:$B,$B41,ConfirmedRaw!T:T)</f>
        <v>0</v>
      </c>
      <c r="S41">
        <f>SUMIF(ConfirmedRaw!$B:$B,$B41,ConfirmedRaw!U:U)</f>
        <v>0</v>
      </c>
      <c r="T41">
        <f>SUMIF(ConfirmedRaw!$B:$B,$B41,ConfirmedRaw!V:V)</f>
        <v>0</v>
      </c>
      <c r="U41">
        <f>SUMIF(ConfirmedRaw!$B:$B,$B41,ConfirmedRaw!W:W)</f>
        <v>0</v>
      </c>
      <c r="V41">
        <f>SUMIF(ConfirmedRaw!$B:$B,$B41,ConfirmedRaw!X:X)</f>
        <v>0</v>
      </c>
      <c r="W41">
        <f>SUMIF(ConfirmedRaw!$B:$B,$B41,ConfirmedRaw!Y:Y)</f>
        <v>0</v>
      </c>
      <c r="X41">
        <f>SUMIF(ConfirmedRaw!$B:$B,$B41,ConfirmedRaw!Z:Z)</f>
        <v>0</v>
      </c>
      <c r="Y41">
        <f>SUMIF(ConfirmedRaw!$B:$B,$B41,ConfirmedRaw!AA:AA)</f>
        <v>0</v>
      </c>
      <c r="Z41">
        <f>SUMIF(ConfirmedRaw!$B:$B,$B41,ConfirmedRaw!AB:AB)</f>
        <v>0</v>
      </c>
      <c r="AA41">
        <f>SUMIF(ConfirmedRaw!$B:$B,$B41,ConfirmedRaw!AC:AC)</f>
        <v>0</v>
      </c>
      <c r="AB41">
        <f>SUMIF(ConfirmedRaw!$B:$B,$B41,ConfirmedRaw!AD:AD)</f>
        <v>0</v>
      </c>
      <c r="AC41">
        <f>SUMIF(ConfirmedRaw!$B:$B,$B41,ConfirmedRaw!AE:AE)</f>
        <v>0</v>
      </c>
      <c r="AD41">
        <f>SUMIF(ConfirmedRaw!$B:$B,$B41,ConfirmedRaw!AF:AF)</f>
        <v>0</v>
      </c>
      <c r="AE41">
        <f>SUMIF(ConfirmedRaw!$B:$B,$B41,ConfirmedRaw!AG:AG)</f>
        <v>0</v>
      </c>
      <c r="AF41">
        <f>SUMIF(ConfirmedRaw!$B:$B,$B41,ConfirmedRaw!AH:AH)</f>
        <v>0</v>
      </c>
      <c r="AG41">
        <f>SUMIF(ConfirmedRaw!$B:$B,$B41,ConfirmedRaw!AI:AI)</f>
        <v>0</v>
      </c>
      <c r="AH41">
        <f>SUMIF(ConfirmedRaw!$B:$B,$B41,ConfirmedRaw!AJ:AJ)</f>
        <v>0</v>
      </c>
      <c r="AI41">
        <f>SUMIF(ConfirmedRaw!$B:$B,$B41,ConfirmedRaw!AK:AK)</f>
        <v>0</v>
      </c>
      <c r="AJ41">
        <f>SUMIF(ConfirmedRaw!$B:$B,$B41,ConfirmedRaw!AL:AL)</f>
        <v>1</v>
      </c>
      <c r="AK41">
        <f>SUMIF(ConfirmedRaw!$B:$B,$B41,ConfirmedRaw!AM:AM)</f>
        <v>11</v>
      </c>
      <c r="AL41">
        <f>SUMIF(ConfirmedRaw!$B:$B,$B41,ConfirmedRaw!AN:AN)</f>
        <v>26</v>
      </c>
      <c r="AM41">
        <f>SUMIF(ConfirmedRaw!$B:$B,$B41,ConfirmedRaw!AO:AO)</f>
        <v>43</v>
      </c>
      <c r="AN41">
        <f>SUMIF(ConfirmedRaw!$B:$B,$B41,ConfirmedRaw!AP:AP)</f>
        <v>45</v>
      </c>
      <c r="AO41">
        <f>SUMIF(ConfirmedRaw!$B:$B,$B41,ConfirmedRaw!AQ:AQ)</f>
        <v>45</v>
      </c>
      <c r="AP41">
        <f>SUMIF(ConfirmedRaw!$B:$B,$B41,ConfirmedRaw!AR:AR)</f>
        <v>45</v>
      </c>
      <c r="AQ41">
        <f>SUMIF(ConfirmedRaw!$B:$B,$B41,ConfirmedRaw!AS:AS)</f>
        <v>56</v>
      </c>
      <c r="AR41">
        <f>SUMIF(ConfirmedRaw!$B:$B,$B41,ConfirmedRaw!AT:AT)</f>
        <v>56</v>
      </c>
      <c r="AS41">
        <f>SUMIF(ConfirmedRaw!$B:$B,$B41,ConfirmedRaw!AU:AU)</f>
        <v>56</v>
      </c>
      <c r="AT41">
        <f>SUMIF(ConfirmedRaw!$B:$B,$B41,ConfirmedRaw!AV:AV)</f>
        <v>58</v>
      </c>
      <c r="AU41">
        <f>SUMIF(ConfirmedRaw!$B:$B,$B41,ConfirmedRaw!AW:AW)</f>
        <v>58</v>
      </c>
      <c r="AV41">
        <f>SUMIF(ConfirmedRaw!$B:$B,$B41,ConfirmedRaw!AX:AX)</f>
        <v>61</v>
      </c>
      <c r="AW41">
        <f>SUMIF(ConfirmedRaw!$B:$B,$B41,ConfirmedRaw!AY:AY)</f>
        <v>64</v>
      </c>
      <c r="AX41">
        <f>SUMIF(ConfirmedRaw!$B:$B,$B41,ConfirmedRaw!AZ:AZ)</f>
        <v>64</v>
      </c>
      <c r="AY41">
        <f>SUMIF(ConfirmedRaw!$B:$B,$B41,ConfirmedRaw!BA:BA)</f>
        <v>69</v>
      </c>
      <c r="AZ41">
        <f>SUMIF(ConfirmedRaw!$B:$B,$B41,ConfirmedRaw!BB:BB)</f>
        <v>72</v>
      </c>
      <c r="BA41">
        <f>SUMIF(ConfirmedRaw!$B:$B,$B41,ConfirmedRaw!BC:BC)</f>
        <v>80</v>
      </c>
      <c r="BB41">
        <f>SUMIF(ConfirmedRaw!$B:$B,$B41,ConfirmedRaw!BD:BD)</f>
        <v>80</v>
      </c>
      <c r="BC41">
        <f>SUMIF(ConfirmedRaw!$B:$B,$B41,ConfirmedRaw!BE:BE)</f>
        <v>104</v>
      </c>
      <c r="BD41">
        <f>SUMIF(ConfirmedRaw!$B:$B,$B41,ConfirmedRaw!BF:BF)</f>
        <v>112</v>
      </c>
      <c r="BE41">
        <f>SUMIF(ConfirmedRaw!$B:$B,$B41,ConfirmedRaw!BG:BG)</f>
        <v>123</v>
      </c>
      <c r="BF41">
        <f>SUMIF(ConfirmedRaw!$B:$B,$B41,ConfirmedRaw!BH:BH)</f>
        <v>130</v>
      </c>
      <c r="BG41">
        <f>SUMIF(ConfirmedRaw!$B:$B,$B41,ConfirmedRaw!BI:BI)</f>
        <v>142</v>
      </c>
      <c r="BH41">
        <f>SUMIF(ConfirmedRaw!$B:$B,$B41,ConfirmedRaw!BJ:BJ)</f>
        <v>148</v>
      </c>
      <c r="BI41">
        <f>SUMIF(ConfirmedRaw!$B:$B,$B41,ConfirmedRaw!BK:BK)</f>
        <v>159</v>
      </c>
      <c r="BJ41">
        <f>SUMIF(ConfirmedRaw!$B:$B,$B41,ConfirmedRaw!BL:BL)</f>
        <v>176</v>
      </c>
      <c r="BK41">
        <f>SUMIF(ConfirmedRaw!$B:$B,$B41,ConfirmedRaw!BM:BM)</f>
        <v>188</v>
      </c>
      <c r="BL41">
        <f>SUMIF(ConfirmedRaw!$B:$B,$B41,ConfirmedRaw!BN:BN)</f>
        <v>189</v>
      </c>
      <c r="BM41">
        <f>SUMIF(ConfirmedRaw!$B:$B,$B41,ConfirmedRaw!BO:BO)</f>
        <v>191</v>
      </c>
      <c r="BN41">
        <f>SUMIF(ConfirmedRaw!$B:$B,$B41,ConfirmedRaw!BP:BP)</f>
        <v>195</v>
      </c>
      <c r="BO41">
        <f>SUMIF(ConfirmedRaw!$B:$B,$B41,ConfirmedRaw!BQ:BQ)</f>
        <v>208</v>
      </c>
      <c r="BP41">
        <f>SUMIF(ConfirmedRaw!$B:$B,$B41,ConfirmedRaw!BR:BR)</f>
        <v>225</v>
      </c>
      <c r="BQ41">
        <f>SUMIF(ConfirmedRaw!$B:$B,$B41,ConfirmedRaw!BS:BS)</f>
        <v>235</v>
      </c>
      <c r="BR41">
        <f>SUMIF(ConfirmedRaw!$B:$B,$B41,ConfirmedRaw!BT:BT)</f>
        <v>0</v>
      </c>
      <c r="BS41">
        <f>SUMIF(ConfirmedRaw!$B:$B,$B41,ConfirmedRaw!BU:BU)</f>
        <v>0</v>
      </c>
      <c r="BT41">
        <f>SUMIF(ConfirmedRaw!$B:$B,$B41,ConfirmedRaw!BV:BV)</f>
        <v>0</v>
      </c>
      <c r="BU41">
        <f>SUMIF(ConfirmedRaw!$B:$B,$B41,ConfirmedRaw!BW:BW)</f>
        <v>0</v>
      </c>
    </row>
    <row r="42" spans="1:73" ht="15" thickBot="1" x14ac:dyDescent="0.35">
      <c r="A42" s="97" t="str">
        <f>VLOOKUP(B42,Country_Data!B:Q,16,FALSE)</f>
        <v>Europe</v>
      </c>
      <c r="B42" s="4" t="s">
        <v>90</v>
      </c>
      <c r="C42">
        <f>SUMIF(ConfirmedRaw!$B:$B,$B42,ConfirmedRaw!E:E)</f>
        <v>0</v>
      </c>
      <c r="D42">
        <f>SUMIF(ConfirmedRaw!$B:$B,$B42,ConfirmedRaw!F:F)</f>
        <v>0</v>
      </c>
      <c r="E42">
        <f>SUMIF(ConfirmedRaw!$B:$B,$B42,ConfirmedRaw!G:G)</f>
        <v>0</v>
      </c>
      <c r="F42">
        <f>SUMIF(ConfirmedRaw!$B:$B,$B42,ConfirmedRaw!H:H)</f>
        <v>0</v>
      </c>
      <c r="G42">
        <f>SUMIF(ConfirmedRaw!$B:$B,$B42,ConfirmedRaw!I:I)</f>
        <v>0</v>
      </c>
      <c r="H42">
        <f>SUMIF(ConfirmedRaw!$B:$B,$B42,ConfirmedRaw!J:J)</f>
        <v>0</v>
      </c>
      <c r="I42">
        <f>SUMIF(ConfirmedRaw!$B:$B,$B42,ConfirmedRaw!K:K)</f>
        <v>0</v>
      </c>
      <c r="J42">
        <f>SUMIF(ConfirmedRaw!$B:$B,$B42,ConfirmedRaw!L:L)</f>
        <v>0</v>
      </c>
      <c r="K42">
        <f>SUMIF(ConfirmedRaw!$B:$B,$B42,ConfirmedRaw!M:M)</f>
        <v>0</v>
      </c>
      <c r="L42">
        <f>SUMIF(ConfirmedRaw!$B:$B,$B42,ConfirmedRaw!N:N)</f>
        <v>0</v>
      </c>
      <c r="M42">
        <f>SUMIF(ConfirmedRaw!$B:$B,$B42,ConfirmedRaw!O:O)</f>
        <v>0</v>
      </c>
      <c r="N42">
        <f>SUMIF(ConfirmedRaw!$B:$B,$B42,ConfirmedRaw!P:P)</f>
        <v>0</v>
      </c>
      <c r="O42">
        <f>SUMIF(ConfirmedRaw!$B:$B,$B42,ConfirmedRaw!Q:Q)</f>
        <v>0</v>
      </c>
      <c r="P42">
        <f>SUMIF(ConfirmedRaw!$B:$B,$B42,ConfirmedRaw!R:R)</f>
        <v>0</v>
      </c>
      <c r="Q42">
        <f>SUMIF(ConfirmedRaw!$B:$B,$B42,ConfirmedRaw!S:S)</f>
        <v>0</v>
      </c>
      <c r="R42">
        <f>SUMIF(ConfirmedRaw!$B:$B,$B42,ConfirmedRaw!T:T)</f>
        <v>0</v>
      </c>
      <c r="S42">
        <f>SUMIF(ConfirmedRaw!$B:$B,$B42,ConfirmedRaw!U:U)</f>
        <v>0</v>
      </c>
      <c r="T42">
        <f>SUMIF(ConfirmedRaw!$B:$B,$B42,ConfirmedRaw!V:V)</f>
        <v>0</v>
      </c>
      <c r="U42">
        <f>SUMIF(ConfirmedRaw!$B:$B,$B42,ConfirmedRaw!W:W)</f>
        <v>0</v>
      </c>
      <c r="V42">
        <f>SUMIF(ConfirmedRaw!$B:$B,$B42,ConfirmedRaw!X:X)</f>
        <v>0</v>
      </c>
      <c r="W42">
        <f>SUMIF(ConfirmedRaw!$B:$B,$B42,ConfirmedRaw!Y:Y)</f>
        <v>0</v>
      </c>
      <c r="X42">
        <f>SUMIF(ConfirmedRaw!$B:$B,$B42,ConfirmedRaw!Z:Z)</f>
        <v>0</v>
      </c>
      <c r="Y42">
        <f>SUMIF(ConfirmedRaw!$B:$B,$B42,ConfirmedRaw!AA:AA)</f>
        <v>0</v>
      </c>
      <c r="Z42">
        <f>SUMIF(ConfirmedRaw!$B:$B,$B42,ConfirmedRaw!AB:AB)</f>
        <v>0</v>
      </c>
      <c r="AA42">
        <f>SUMIF(ConfirmedRaw!$B:$B,$B42,ConfirmedRaw!AC:AC)</f>
        <v>0</v>
      </c>
      <c r="AB42">
        <f>SUMIF(ConfirmedRaw!$B:$B,$B42,ConfirmedRaw!AD:AD)</f>
        <v>0</v>
      </c>
      <c r="AC42">
        <f>SUMIF(ConfirmedRaw!$B:$B,$B42,ConfirmedRaw!AE:AE)</f>
        <v>0</v>
      </c>
      <c r="AD42">
        <f>SUMIF(ConfirmedRaw!$B:$B,$B42,ConfirmedRaw!AF:AF)</f>
        <v>0</v>
      </c>
      <c r="AE42">
        <f>SUMIF(ConfirmedRaw!$B:$B,$B42,ConfirmedRaw!AG:AG)</f>
        <v>0</v>
      </c>
      <c r="AF42">
        <f>SUMIF(ConfirmedRaw!$B:$B,$B42,ConfirmedRaw!AH:AH)</f>
        <v>0</v>
      </c>
      <c r="AG42">
        <f>SUMIF(ConfirmedRaw!$B:$B,$B42,ConfirmedRaw!AI:AI)</f>
        <v>0</v>
      </c>
      <c r="AH42">
        <f>SUMIF(ConfirmedRaw!$B:$B,$B42,ConfirmedRaw!AJ:AJ)</f>
        <v>0</v>
      </c>
      <c r="AI42">
        <f>SUMIF(ConfirmedRaw!$B:$B,$B42,ConfirmedRaw!AK:AK)</f>
        <v>0</v>
      </c>
      <c r="AJ42">
        <f>SUMIF(ConfirmedRaw!$B:$B,$B42,ConfirmedRaw!AL:AL)</f>
        <v>0</v>
      </c>
      <c r="AK42">
        <f>SUMIF(ConfirmedRaw!$B:$B,$B42,ConfirmedRaw!AM:AM)</f>
        <v>0</v>
      </c>
      <c r="AL42">
        <f>SUMIF(ConfirmedRaw!$B:$B,$B42,ConfirmedRaw!AN:AN)</f>
        <v>0</v>
      </c>
      <c r="AM42">
        <f>SUMIF(ConfirmedRaw!$B:$B,$B42,ConfirmedRaw!AO:AO)</f>
        <v>1</v>
      </c>
      <c r="AN42">
        <f>SUMIF(ConfirmedRaw!$B:$B,$B42,ConfirmedRaw!AP:AP)</f>
        <v>1</v>
      </c>
      <c r="AO42">
        <f>SUMIF(ConfirmedRaw!$B:$B,$B42,ConfirmedRaw!AQ:AQ)</f>
        <v>1</v>
      </c>
      <c r="AP42">
        <f>SUMIF(ConfirmedRaw!$B:$B,$B42,ConfirmedRaw!AR:AR)</f>
        <v>1</v>
      </c>
      <c r="AQ42">
        <f>SUMIF(ConfirmedRaw!$B:$B,$B42,ConfirmedRaw!AS:AS)</f>
        <v>8</v>
      </c>
      <c r="AR42">
        <f>SUMIF(ConfirmedRaw!$B:$B,$B42,ConfirmedRaw!AT:AT)</f>
        <v>10</v>
      </c>
      <c r="AS42">
        <f>SUMIF(ConfirmedRaw!$B:$B,$B42,ConfirmedRaw!AU:AU)</f>
        <v>16</v>
      </c>
      <c r="AT42">
        <f>SUMIF(ConfirmedRaw!$B:$B,$B42,ConfirmedRaw!AV:AV)</f>
        <v>21</v>
      </c>
      <c r="AU42">
        <f>SUMIF(ConfirmedRaw!$B:$B,$B42,ConfirmedRaw!AW:AW)</f>
        <v>21</v>
      </c>
      <c r="AV42">
        <f>SUMIF(ConfirmedRaw!$B:$B,$B42,ConfirmedRaw!AX:AX)</f>
        <v>23</v>
      </c>
      <c r="AW42">
        <f>SUMIF(ConfirmedRaw!$B:$B,$B42,ConfirmedRaw!AY:AY)</f>
        <v>36</v>
      </c>
      <c r="AX42">
        <f>SUMIF(ConfirmedRaw!$B:$B,$B42,ConfirmedRaw!AZ:AZ)</f>
        <v>36</v>
      </c>
      <c r="AY42">
        <f>SUMIF(ConfirmedRaw!$B:$B,$B42,ConfirmedRaw!BA:BA)</f>
        <v>51</v>
      </c>
      <c r="AZ42">
        <f>SUMIF(ConfirmedRaw!$B:$B,$B42,ConfirmedRaw!BB:BB)</f>
        <v>62</v>
      </c>
      <c r="BA42">
        <f>SUMIF(ConfirmedRaw!$B:$B,$B42,ConfirmedRaw!BC:BC)</f>
        <v>69</v>
      </c>
      <c r="BB42">
        <f>SUMIF(ConfirmedRaw!$B:$B,$B42,ConfirmedRaw!BD:BD)</f>
        <v>80</v>
      </c>
      <c r="BC42">
        <f>SUMIF(ConfirmedRaw!$B:$B,$B42,ConfirmedRaw!BE:BE)</f>
        <v>80</v>
      </c>
      <c r="BD42">
        <f>SUMIF(ConfirmedRaw!$B:$B,$B42,ConfirmedRaw!BF:BF)</f>
        <v>101</v>
      </c>
      <c r="BE42">
        <f>SUMIF(ConfirmedRaw!$B:$B,$B42,ConfirmedRaw!BG:BG)</f>
        <v>109</v>
      </c>
      <c r="BF42">
        <f>SUMIF(ConfirmedRaw!$B:$B,$B42,ConfirmedRaw!BH:BH)</f>
        <v>109</v>
      </c>
      <c r="BG42">
        <f>SUMIF(ConfirmedRaw!$B:$B,$B42,ConfirmedRaw!BI:BI)</f>
        <v>119</v>
      </c>
      <c r="BH42">
        <f>SUMIF(ConfirmedRaw!$B:$B,$B42,ConfirmedRaw!BJ:BJ)</f>
        <v>119</v>
      </c>
      <c r="BI42">
        <f>SUMIF(ConfirmedRaw!$B:$B,$B42,ConfirmedRaw!BK:BK)</f>
        <v>144</v>
      </c>
      <c r="BJ42">
        <f>SUMIF(ConfirmedRaw!$B:$B,$B42,ConfirmedRaw!BL:BL)</f>
        <v>144</v>
      </c>
      <c r="BK42">
        <f>SUMIF(ConfirmedRaw!$B:$B,$B42,ConfirmedRaw!BM:BM)</f>
        <v>175</v>
      </c>
      <c r="BL42">
        <f>SUMIF(ConfirmedRaw!$B:$B,$B42,ConfirmedRaw!BN:BN)</f>
        <v>187</v>
      </c>
      <c r="BM42">
        <f>SUMIF(ConfirmedRaw!$B:$B,$B42,ConfirmedRaw!BO:BO)</f>
        <v>187</v>
      </c>
      <c r="BN42">
        <f>SUMIF(ConfirmedRaw!$B:$B,$B42,ConfirmedRaw!BP:BP)</f>
        <v>208</v>
      </c>
      <c r="BO42">
        <f>SUMIF(ConfirmedRaw!$B:$B,$B42,ConfirmedRaw!BQ:BQ)</f>
        <v>208</v>
      </c>
      <c r="BP42">
        <f>SUMIF(ConfirmedRaw!$B:$B,$B42,ConfirmedRaw!BR:BR)</f>
        <v>223</v>
      </c>
      <c r="BQ42">
        <f>SUMIF(ConfirmedRaw!$B:$B,$B42,ConfirmedRaw!BS:BS)</f>
        <v>224</v>
      </c>
      <c r="BR42">
        <f>SUMIF(ConfirmedRaw!$B:$B,$B42,ConfirmedRaw!BT:BT)</f>
        <v>0</v>
      </c>
      <c r="BS42">
        <f>SUMIF(ConfirmedRaw!$B:$B,$B42,ConfirmedRaw!BU:BU)</f>
        <v>0</v>
      </c>
      <c r="BT42">
        <f>SUMIF(ConfirmedRaw!$B:$B,$B42,ConfirmedRaw!BV:BV)</f>
        <v>0</v>
      </c>
      <c r="BU42">
        <f>SUMIF(ConfirmedRaw!$B:$B,$B42,ConfirmedRaw!BW:BW)</f>
        <v>0</v>
      </c>
    </row>
    <row r="43" spans="1:73" ht="15" thickBot="1" x14ac:dyDescent="0.35">
      <c r="A43" s="97" t="str">
        <f>VLOOKUP(B43,Country_Data!B:Q,16,FALSE)</f>
        <v>Europe</v>
      </c>
      <c r="B43" s="4" t="s">
        <v>88</v>
      </c>
      <c r="C43">
        <f>SUMIF(ConfirmedRaw!$B:$B,$B43,ConfirmedRaw!E:E)</f>
        <v>0</v>
      </c>
      <c r="D43">
        <f>SUMIF(ConfirmedRaw!$B:$B,$B43,ConfirmedRaw!F:F)</f>
        <v>0</v>
      </c>
      <c r="E43">
        <f>SUMIF(ConfirmedRaw!$B:$B,$B43,ConfirmedRaw!G:G)</f>
        <v>0</v>
      </c>
      <c r="F43">
        <f>SUMIF(ConfirmedRaw!$B:$B,$B43,ConfirmedRaw!H:H)</f>
        <v>0</v>
      </c>
      <c r="G43">
        <f>SUMIF(ConfirmedRaw!$B:$B,$B43,ConfirmedRaw!I:I)</f>
        <v>0</v>
      </c>
      <c r="H43">
        <f>SUMIF(ConfirmedRaw!$B:$B,$B43,ConfirmedRaw!J:J)</f>
        <v>0</v>
      </c>
      <c r="I43">
        <f>SUMIF(ConfirmedRaw!$B:$B,$B43,ConfirmedRaw!K:K)</f>
        <v>0</v>
      </c>
      <c r="J43">
        <f>SUMIF(ConfirmedRaw!$B:$B,$B43,ConfirmedRaw!L:L)</f>
        <v>0</v>
      </c>
      <c r="K43">
        <f>SUMIF(ConfirmedRaw!$B:$B,$B43,ConfirmedRaw!M:M)</f>
        <v>0</v>
      </c>
      <c r="L43">
        <f>SUMIF(ConfirmedRaw!$B:$B,$B43,ConfirmedRaw!N:N)</f>
        <v>0</v>
      </c>
      <c r="M43">
        <f>SUMIF(ConfirmedRaw!$B:$B,$B43,ConfirmedRaw!O:O)</f>
        <v>0</v>
      </c>
      <c r="N43">
        <f>SUMIF(ConfirmedRaw!$B:$B,$B43,ConfirmedRaw!P:P)</f>
        <v>0</v>
      </c>
      <c r="O43">
        <f>SUMIF(ConfirmedRaw!$B:$B,$B43,ConfirmedRaw!Q:Q)</f>
        <v>0</v>
      </c>
      <c r="P43">
        <f>SUMIF(ConfirmedRaw!$B:$B,$B43,ConfirmedRaw!R:R)</f>
        <v>0</v>
      </c>
      <c r="Q43">
        <f>SUMIF(ConfirmedRaw!$B:$B,$B43,ConfirmedRaw!S:S)</f>
        <v>0</v>
      </c>
      <c r="R43">
        <f>SUMIF(ConfirmedRaw!$B:$B,$B43,ConfirmedRaw!T:T)</f>
        <v>0</v>
      </c>
      <c r="S43">
        <f>SUMIF(ConfirmedRaw!$B:$B,$B43,ConfirmedRaw!U:U)</f>
        <v>0</v>
      </c>
      <c r="T43">
        <f>SUMIF(ConfirmedRaw!$B:$B,$B43,ConfirmedRaw!V:V)</f>
        <v>0</v>
      </c>
      <c r="U43">
        <f>SUMIF(ConfirmedRaw!$B:$B,$B43,ConfirmedRaw!W:W)</f>
        <v>0</v>
      </c>
      <c r="V43">
        <f>SUMIF(ConfirmedRaw!$B:$B,$B43,ConfirmedRaw!X:X)</f>
        <v>0</v>
      </c>
      <c r="W43">
        <f>SUMIF(ConfirmedRaw!$B:$B,$B43,ConfirmedRaw!Y:Y)</f>
        <v>0</v>
      </c>
      <c r="X43">
        <f>SUMIF(ConfirmedRaw!$B:$B,$B43,ConfirmedRaw!Z:Z)</f>
        <v>0</v>
      </c>
      <c r="Y43">
        <f>SUMIF(ConfirmedRaw!$B:$B,$B43,ConfirmedRaw!AA:AA)</f>
        <v>0</v>
      </c>
      <c r="Z43">
        <f>SUMIF(ConfirmedRaw!$B:$B,$B43,ConfirmedRaw!AB:AB)</f>
        <v>0</v>
      </c>
      <c r="AA43">
        <f>SUMIF(ConfirmedRaw!$B:$B,$B43,ConfirmedRaw!AC:AC)</f>
        <v>0</v>
      </c>
      <c r="AB43">
        <f>SUMIF(ConfirmedRaw!$B:$B,$B43,ConfirmedRaw!AD:AD)</f>
        <v>0</v>
      </c>
      <c r="AC43">
        <f>SUMIF(ConfirmedRaw!$B:$B,$B43,ConfirmedRaw!AE:AE)</f>
        <v>0</v>
      </c>
      <c r="AD43">
        <f>SUMIF(ConfirmedRaw!$B:$B,$B43,ConfirmedRaw!AF:AF)</f>
        <v>0</v>
      </c>
      <c r="AE43">
        <f>SUMIF(ConfirmedRaw!$B:$B,$B43,ConfirmedRaw!AG:AG)</f>
        <v>0</v>
      </c>
      <c r="AF43">
        <f>SUMIF(ConfirmedRaw!$B:$B,$B43,ConfirmedRaw!AH:AH)</f>
        <v>0</v>
      </c>
      <c r="AG43">
        <f>SUMIF(ConfirmedRaw!$B:$B,$B43,ConfirmedRaw!AI:AI)</f>
        <v>0</v>
      </c>
      <c r="AH43">
        <f>SUMIF(ConfirmedRaw!$B:$B,$B43,ConfirmedRaw!AJ:AJ)</f>
        <v>0</v>
      </c>
      <c r="AI43">
        <f>SUMIF(ConfirmedRaw!$B:$B,$B43,ConfirmedRaw!AK:AK)</f>
        <v>0</v>
      </c>
      <c r="AJ43">
        <f>SUMIF(ConfirmedRaw!$B:$B,$B43,ConfirmedRaw!AL:AL)</f>
        <v>0</v>
      </c>
      <c r="AK43">
        <f>SUMIF(ConfirmedRaw!$B:$B,$B43,ConfirmedRaw!AM:AM)</f>
        <v>0</v>
      </c>
      <c r="AL43">
        <f>SUMIF(ConfirmedRaw!$B:$B,$B43,ConfirmedRaw!AN:AN)</f>
        <v>0</v>
      </c>
      <c r="AM43">
        <f>SUMIF(ConfirmedRaw!$B:$B,$B43,ConfirmedRaw!AO:AO)</f>
        <v>1</v>
      </c>
      <c r="AN43">
        <f>SUMIF(ConfirmedRaw!$B:$B,$B43,ConfirmedRaw!AP:AP)</f>
        <v>1</v>
      </c>
      <c r="AO43">
        <f>SUMIF(ConfirmedRaw!$B:$B,$B43,ConfirmedRaw!AQ:AQ)</f>
        <v>1</v>
      </c>
      <c r="AP43">
        <f>SUMIF(ConfirmedRaw!$B:$B,$B43,ConfirmedRaw!AR:AR)</f>
        <v>1</v>
      </c>
      <c r="AQ43">
        <f>SUMIF(ConfirmedRaw!$B:$B,$B43,ConfirmedRaw!AS:AS)</f>
        <v>1</v>
      </c>
      <c r="AR43">
        <f>SUMIF(ConfirmedRaw!$B:$B,$B43,ConfirmedRaw!AT:AT)</f>
        <v>2</v>
      </c>
      <c r="AS43">
        <f>SUMIF(ConfirmedRaw!$B:$B,$B43,ConfirmedRaw!AU:AU)</f>
        <v>2</v>
      </c>
      <c r="AT43">
        <f>SUMIF(ConfirmedRaw!$B:$B,$B43,ConfirmedRaw!AV:AV)</f>
        <v>3</v>
      </c>
      <c r="AU43">
        <f>SUMIF(ConfirmedRaw!$B:$B,$B43,ConfirmedRaw!AW:AW)</f>
        <v>10</v>
      </c>
      <c r="AV43">
        <f>SUMIF(ConfirmedRaw!$B:$B,$B43,ConfirmedRaw!AX:AX)</f>
        <v>10</v>
      </c>
      <c r="AW43">
        <f>SUMIF(ConfirmedRaw!$B:$B,$B43,ConfirmedRaw!AY:AY)</f>
        <v>10</v>
      </c>
      <c r="AX43">
        <f>SUMIF(ConfirmedRaw!$B:$B,$B43,ConfirmedRaw!AZ:AZ)</f>
        <v>10</v>
      </c>
      <c r="AY43">
        <f>SUMIF(ConfirmedRaw!$B:$B,$B43,ConfirmedRaw!BA:BA)</f>
        <v>12</v>
      </c>
      <c r="AZ43">
        <f>SUMIF(ConfirmedRaw!$B:$B,$B43,ConfirmedRaw!BB:BB)</f>
        <v>16</v>
      </c>
      <c r="BA43">
        <f>SUMIF(ConfirmedRaw!$B:$B,$B43,ConfirmedRaw!BC:BC)</f>
        <v>16</v>
      </c>
      <c r="BB43">
        <f>SUMIF(ConfirmedRaw!$B:$B,$B43,ConfirmedRaw!BD:BD)</f>
        <v>79</v>
      </c>
      <c r="BC43">
        <f>SUMIF(ConfirmedRaw!$B:$B,$B43,ConfirmedRaw!BE:BE)</f>
        <v>115</v>
      </c>
      <c r="BD43">
        <f>SUMIF(ConfirmedRaw!$B:$B,$B43,ConfirmedRaw!BF:BF)</f>
        <v>171</v>
      </c>
      <c r="BE43">
        <f>SUMIF(ConfirmedRaw!$B:$B,$B43,ConfirmedRaw!BG:BG)</f>
        <v>205</v>
      </c>
      <c r="BF43">
        <f>SUMIF(ConfirmedRaw!$B:$B,$B43,ConfirmedRaw!BH:BH)</f>
        <v>225</v>
      </c>
      <c r="BG43">
        <f>SUMIF(ConfirmedRaw!$B:$B,$B43,ConfirmedRaw!BI:BI)</f>
        <v>258</v>
      </c>
      <c r="BH43">
        <f>SUMIF(ConfirmedRaw!$B:$B,$B43,ConfirmedRaw!BJ:BJ)</f>
        <v>267</v>
      </c>
      <c r="BI43">
        <f>SUMIF(ConfirmedRaw!$B:$B,$B43,ConfirmedRaw!BK:BK)</f>
        <v>283</v>
      </c>
      <c r="BJ43">
        <f>SUMIF(ConfirmedRaw!$B:$B,$B43,ConfirmedRaw!BL:BL)</f>
        <v>306</v>
      </c>
      <c r="BK43">
        <f>SUMIF(ConfirmedRaw!$B:$B,$B43,ConfirmedRaw!BM:BM)</f>
        <v>326</v>
      </c>
      <c r="BL43">
        <f>SUMIF(ConfirmedRaw!$B:$B,$B43,ConfirmedRaw!BN:BN)</f>
        <v>352</v>
      </c>
      <c r="BM43">
        <f>SUMIF(ConfirmedRaw!$B:$B,$B43,ConfirmedRaw!BO:BO)</f>
        <v>369</v>
      </c>
      <c r="BN43">
        <f>SUMIF(ConfirmedRaw!$B:$B,$B43,ConfirmedRaw!BP:BP)</f>
        <v>404</v>
      </c>
      <c r="BO43">
        <f>SUMIF(ConfirmedRaw!$B:$B,$B43,ConfirmedRaw!BQ:BQ)</f>
        <v>538</v>
      </c>
      <c r="BP43">
        <f>SUMIF(ConfirmedRaw!$B:$B,$B43,ConfirmedRaw!BR:BR)</f>
        <v>575</v>
      </c>
      <c r="BQ43">
        <f>SUMIF(ConfirmedRaw!$B:$B,$B43,ConfirmedRaw!BS:BS)</f>
        <v>645</v>
      </c>
      <c r="BR43">
        <f>SUMIF(ConfirmedRaw!$B:$B,$B43,ConfirmedRaw!BT:BT)</f>
        <v>0</v>
      </c>
      <c r="BS43">
        <f>SUMIF(ConfirmedRaw!$B:$B,$B43,ConfirmedRaw!BU:BU)</f>
        <v>0</v>
      </c>
      <c r="BT43">
        <f>SUMIF(ConfirmedRaw!$B:$B,$B43,ConfirmedRaw!BV:BV)</f>
        <v>0</v>
      </c>
      <c r="BU43">
        <f>SUMIF(ConfirmedRaw!$B:$B,$B43,ConfirmedRaw!BW:BW)</f>
        <v>0</v>
      </c>
    </row>
    <row r="44" spans="1:73" ht="15" thickBot="1" x14ac:dyDescent="0.35">
      <c r="A44" s="97" t="str">
        <f>VLOOKUP(B44,Country_Data!B:Q,16,FALSE)</f>
        <v>Middle East</v>
      </c>
      <c r="B44" s="4" t="s">
        <v>67</v>
      </c>
      <c r="C44">
        <f>SUMIF(ConfirmedRaw!$B:$B,$B44,ConfirmedRaw!E:E)</f>
        <v>0</v>
      </c>
      <c r="D44">
        <f>SUMIF(ConfirmedRaw!$B:$B,$B44,ConfirmedRaw!F:F)</f>
        <v>0</v>
      </c>
      <c r="E44">
        <f>SUMIF(ConfirmedRaw!$B:$B,$B44,ConfirmedRaw!G:G)</f>
        <v>0</v>
      </c>
      <c r="F44">
        <f>SUMIF(ConfirmedRaw!$B:$B,$B44,ConfirmedRaw!H:H)</f>
        <v>0</v>
      </c>
      <c r="G44">
        <f>SUMIF(ConfirmedRaw!$B:$B,$B44,ConfirmedRaw!I:I)</f>
        <v>0</v>
      </c>
      <c r="H44">
        <f>SUMIF(ConfirmedRaw!$B:$B,$B44,ConfirmedRaw!J:J)</f>
        <v>0</v>
      </c>
      <c r="I44">
        <f>SUMIF(ConfirmedRaw!$B:$B,$B44,ConfirmedRaw!K:K)</f>
        <v>0</v>
      </c>
      <c r="J44">
        <f>SUMIF(ConfirmedRaw!$B:$B,$B44,ConfirmedRaw!L:L)</f>
        <v>0</v>
      </c>
      <c r="K44">
        <f>SUMIF(ConfirmedRaw!$B:$B,$B44,ConfirmedRaw!M:M)</f>
        <v>0</v>
      </c>
      <c r="L44">
        <f>SUMIF(ConfirmedRaw!$B:$B,$B44,ConfirmedRaw!N:N)</f>
        <v>0</v>
      </c>
      <c r="M44">
        <f>SUMIF(ConfirmedRaw!$B:$B,$B44,ConfirmedRaw!O:O)</f>
        <v>0</v>
      </c>
      <c r="N44">
        <f>SUMIF(ConfirmedRaw!$B:$B,$B44,ConfirmedRaw!P:P)</f>
        <v>0</v>
      </c>
      <c r="O44">
        <f>SUMIF(ConfirmedRaw!$B:$B,$B44,ConfirmedRaw!Q:Q)</f>
        <v>0</v>
      </c>
      <c r="P44">
        <f>SUMIF(ConfirmedRaw!$B:$B,$B44,ConfirmedRaw!R:R)</f>
        <v>0</v>
      </c>
      <c r="Q44">
        <f>SUMIF(ConfirmedRaw!$B:$B,$B44,ConfirmedRaw!S:S)</f>
        <v>0</v>
      </c>
      <c r="R44">
        <f>SUMIF(ConfirmedRaw!$B:$B,$B44,ConfirmedRaw!T:T)</f>
        <v>0</v>
      </c>
      <c r="S44">
        <f>SUMIF(ConfirmedRaw!$B:$B,$B44,ConfirmedRaw!U:U)</f>
        <v>0</v>
      </c>
      <c r="T44">
        <f>SUMIF(ConfirmedRaw!$B:$B,$B44,ConfirmedRaw!V:V)</f>
        <v>0</v>
      </c>
      <c r="U44">
        <f>SUMIF(ConfirmedRaw!$B:$B,$B44,ConfirmedRaw!W:W)</f>
        <v>0</v>
      </c>
      <c r="V44">
        <f>SUMIF(ConfirmedRaw!$B:$B,$B44,ConfirmedRaw!X:X)</f>
        <v>0</v>
      </c>
      <c r="W44">
        <f>SUMIF(ConfirmedRaw!$B:$B,$B44,ConfirmedRaw!Y:Y)</f>
        <v>0</v>
      </c>
      <c r="X44">
        <f>SUMIF(ConfirmedRaw!$B:$B,$B44,ConfirmedRaw!Z:Z)</f>
        <v>0</v>
      </c>
      <c r="Y44">
        <f>SUMIF(ConfirmedRaw!$B:$B,$B44,ConfirmedRaw!AA:AA)</f>
        <v>0</v>
      </c>
      <c r="Z44">
        <f>SUMIF(ConfirmedRaw!$B:$B,$B44,ConfirmedRaw!AB:AB)</f>
        <v>0</v>
      </c>
      <c r="AA44">
        <f>SUMIF(ConfirmedRaw!$B:$B,$B44,ConfirmedRaw!AC:AC)</f>
        <v>0</v>
      </c>
      <c r="AB44">
        <f>SUMIF(ConfirmedRaw!$B:$B,$B44,ConfirmedRaw!AD:AD)</f>
        <v>0</v>
      </c>
      <c r="AC44">
        <f>SUMIF(ConfirmedRaw!$B:$B,$B44,ConfirmedRaw!AE:AE)</f>
        <v>0</v>
      </c>
      <c r="AD44">
        <f>SUMIF(ConfirmedRaw!$B:$B,$B44,ConfirmedRaw!AF:AF)</f>
        <v>0</v>
      </c>
      <c r="AE44">
        <f>SUMIF(ConfirmedRaw!$B:$B,$B44,ConfirmedRaw!AG:AG)</f>
        <v>0</v>
      </c>
      <c r="AF44">
        <f>SUMIF(ConfirmedRaw!$B:$B,$B44,ConfirmedRaw!AH:AH)</f>
        <v>0</v>
      </c>
      <c r="AG44">
        <f>SUMIF(ConfirmedRaw!$B:$B,$B44,ConfirmedRaw!AI:AI)</f>
        <v>1</v>
      </c>
      <c r="AH44">
        <f>SUMIF(ConfirmedRaw!$B:$B,$B44,ConfirmedRaw!AJ:AJ)</f>
        <v>1</v>
      </c>
      <c r="AI44">
        <f>SUMIF(ConfirmedRaw!$B:$B,$B44,ConfirmedRaw!AK:AK)</f>
        <v>1</v>
      </c>
      <c r="AJ44">
        <f>SUMIF(ConfirmedRaw!$B:$B,$B44,ConfirmedRaw!AL:AL)</f>
        <v>1</v>
      </c>
      <c r="AK44">
        <f>SUMIF(ConfirmedRaw!$B:$B,$B44,ConfirmedRaw!AM:AM)</f>
        <v>1</v>
      </c>
      <c r="AL44">
        <f>SUMIF(ConfirmedRaw!$B:$B,$B44,ConfirmedRaw!AN:AN)</f>
        <v>2</v>
      </c>
      <c r="AM44">
        <f>SUMIF(ConfirmedRaw!$B:$B,$B44,ConfirmedRaw!AO:AO)</f>
        <v>2</v>
      </c>
      <c r="AN44">
        <f>SUMIF(ConfirmedRaw!$B:$B,$B44,ConfirmedRaw!AP:AP)</f>
        <v>2</v>
      </c>
      <c r="AO44">
        <f>SUMIF(ConfirmedRaw!$B:$B,$B44,ConfirmedRaw!AQ:AQ)</f>
        <v>4</v>
      </c>
      <c r="AP44">
        <f>SUMIF(ConfirmedRaw!$B:$B,$B44,ConfirmedRaw!AR:AR)</f>
        <v>10</v>
      </c>
      <c r="AQ44">
        <f>SUMIF(ConfirmedRaw!$B:$B,$B44,ConfirmedRaw!AS:AS)</f>
        <v>13</v>
      </c>
      <c r="AR44">
        <f>SUMIF(ConfirmedRaw!$B:$B,$B44,ConfirmedRaw!AT:AT)</f>
        <v>13</v>
      </c>
      <c r="AS44">
        <f>SUMIF(ConfirmedRaw!$B:$B,$B44,ConfirmedRaw!AU:AU)</f>
        <v>13</v>
      </c>
      <c r="AT44">
        <f>SUMIF(ConfirmedRaw!$B:$B,$B44,ConfirmedRaw!AV:AV)</f>
        <v>16</v>
      </c>
      <c r="AU44">
        <f>SUMIF(ConfirmedRaw!$B:$B,$B44,ConfirmedRaw!AW:AW)</f>
        <v>22</v>
      </c>
      <c r="AV44">
        <f>SUMIF(ConfirmedRaw!$B:$B,$B44,ConfirmedRaw!AX:AX)</f>
        <v>22</v>
      </c>
      <c r="AW44">
        <f>SUMIF(ConfirmedRaw!$B:$B,$B44,ConfirmedRaw!AY:AY)</f>
        <v>32</v>
      </c>
      <c r="AX44">
        <f>SUMIF(ConfirmedRaw!$B:$B,$B44,ConfirmedRaw!AZ:AZ)</f>
        <v>32</v>
      </c>
      <c r="AY44">
        <f>SUMIF(ConfirmedRaw!$B:$B,$B44,ConfirmedRaw!BA:BA)</f>
        <v>41</v>
      </c>
      <c r="AZ44">
        <f>SUMIF(ConfirmedRaw!$B:$B,$B44,ConfirmedRaw!BB:BB)</f>
        <v>61</v>
      </c>
      <c r="BA44">
        <f>SUMIF(ConfirmedRaw!$B:$B,$B44,ConfirmedRaw!BC:BC)</f>
        <v>61</v>
      </c>
      <c r="BB44">
        <f>SUMIF(ConfirmedRaw!$B:$B,$B44,ConfirmedRaw!BD:BD)</f>
        <v>77</v>
      </c>
      <c r="BC44">
        <f>SUMIF(ConfirmedRaw!$B:$B,$B44,ConfirmedRaw!BE:BE)</f>
        <v>93</v>
      </c>
      <c r="BD44">
        <f>SUMIF(ConfirmedRaw!$B:$B,$B44,ConfirmedRaw!BF:BF)</f>
        <v>110</v>
      </c>
      <c r="BE44">
        <f>SUMIF(ConfirmedRaw!$B:$B,$B44,ConfirmedRaw!BG:BG)</f>
        <v>110</v>
      </c>
      <c r="BF44">
        <f>SUMIF(ConfirmedRaw!$B:$B,$B44,ConfirmedRaw!BH:BH)</f>
        <v>120</v>
      </c>
      <c r="BG44">
        <f>SUMIF(ConfirmedRaw!$B:$B,$B44,ConfirmedRaw!BI:BI)</f>
        <v>133</v>
      </c>
      <c r="BH44">
        <f>SUMIF(ConfirmedRaw!$B:$B,$B44,ConfirmedRaw!BJ:BJ)</f>
        <v>157</v>
      </c>
      <c r="BI44">
        <f>SUMIF(ConfirmedRaw!$B:$B,$B44,ConfirmedRaw!BK:BK)</f>
        <v>163</v>
      </c>
      <c r="BJ44">
        <f>SUMIF(ConfirmedRaw!$B:$B,$B44,ConfirmedRaw!BL:BL)</f>
        <v>187</v>
      </c>
      <c r="BK44">
        <f>SUMIF(ConfirmedRaw!$B:$B,$B44,ConfirmedRaw!BM:BM)</f>
        <v>248</v>
      </c>
      <c r="BL44">
        <f>SUMIF(ConfirmedRaw!$B:$B,$B44,ConfirmedRaw!BN:BN)</f>
        <v>267</v>
      </c>
      <c r="BM44">
        <f>SUMIF(ConfirmedRaw!$B:$B,$B44,ConfirmedRaw!BO:BO)</f>
        <v>318</v>
      </c>
      <c r="BN44">
        <f>SUMIF(ConfirmedRaw!$B:$B,$B44,ConfirmedRaw!BP:BP)</f>
        <v>333</v>
      </c>
      <c r="BO44">
        <f>SUMIF(ConfirmedRaw!$B:$B,$B44,ConfirmedRaw!BQ:BQ)</f>
        <v>368</v>
      </c>
      <c r="BP44">
        <f>SUMIF(ConfirmedRaw!$B:$B,$B44,ConfirmedRaw!BR:BR)</f>
        <v>391</v>
      </c>
      <c r="BQ44">
        <f>SUMIF(ConfirmedRaw!$B:$B,$B44,ConfirmedRaw!BS:BS)</f>
        <v>412</v>
      </c>
      <c r="BR44">
        <f>SUMIF(ConfirmedRaw!$B:$B,$B44,ConfirmedRaw!BT:BT)</f>
        <v>0</v>
      </c>
      <c r="BS44">
        <f>SUMIF(ConfirmedRaw!$B:$B,$B44,ConfirmedRaw!BU:BU)</f>
        <v>0</v>
      </c>
      <c r="BT44">
        <f>SUMIF(ConfirmedRaw!$B:$B,$B44,ConfirmedRaw!BV:BV)</f>
        <v>0</v>
      </c>
      <c r="BU44">
        <f>SUMIF(ConfirmedRaw!$B:$B,$B44,ConfirmedRaw!BW:BW)</f>
        <v>0</v>
      </c>
    </row>
    <row r="45" spans="1:73" ht="15" thickBot="1" x14ac:dyDescent="0.35">
      <c r="A45" s="97" t="str">
        <f>VLOOKUP(B45,Country_Data!B:Q,16,FALSE)</f>
        <v>Asia</v>
      </c>
      <c r="B45" s="3" t="s">
        <v>35</v>
      </c>
      <c r="C45">
        <f>SUMIF(ConfirmedRaw!$B:$B,$B45,ConfirmedRaw!E:E)</f>
        <v>2</v>
      </c>
      <c r="D45">
        <f>SUMIF(ConfirmedRaw!$B:$B,$B45,ConfirmedRaw!F:F)</f>
        <v>3</v>
      </c>
      <c r="E45">
        <f>SUMIF(ConfirmedRaw!$B:$B,$B45,ConfirmedRaw!G:G)</f>
        <v>5</v>
      </c>
      <c r="F45">
        <f>SUMIF(ConfirmedRaw!$B:$B,$B45,ConfirmedRaw!H:H)</f>
        <v>7</v>
      </c>
      <c r="G45">
        <f>SUMIF(ConfirmedRaw!$B:$B,$B45,ConfirmedRaw!I:I)</f>
        <v>8</v>
      </c>
      <c r="H45">
        <f>SUMIF(ConfirmedRaw!$B:$B,$B45,ConfirmedRaw!J:J)</f>
        <v>8</v>
      </c>
      <c r="I45">
        <f>SUMIF(ConfirmedRaw!$B:$B,$B45,ConfirmedRaw!K:K)</f>
        <v>14</v>
      </c>
      <c r="J45">
        <f>SUMIF(ConfirmedRaw!$B:$B,$B45,ConfirmedRaw!L:L)</f>
        <v>14</v>
      </c>
      <c r="K45">
        <f>SUMIF(ConfirmedRaw!$B:$B,$B45,ConfirmedRaw!M:M)</f>
        <v>14</v>
      </c>
      <c r="L45">
        <f>SUMIF(ConfirmedRaw!$B:$B,$B45,ConfirmedRaw!N:N)</f>
        <v>19</v>
      </c>
      <c r="M45">
        <f>SUMIF(ConfirmedRaw!$B:$B,$B45,ConfirmedRaw!O:O)</f>
        <v>19</v>
      </c>
      <c r="N45">
        <f>SUMIF(ConfirmedRaw!$B:$B,$B45,ConfirmedRaw!P:P)</f>
        <v>19</v>
      </c>
      <c r="O45">
        <f>SUMIF(ConfirmedRaw!$B:$B,$B45,ConfirmedRaw!Q:Q)</f>
        <v>19</v>
      </c>
      <c r="P45">
        <f>SUMIF(ConfirmedRaw!$B:$B,$B45,ConfirmedRaw!R:R)</f>
        <v>25</v>
      </c>
      <c r="Q45">
        <f>SUMIF(ConfirmedRaw!$B:$B,$B45,ConfirmedRaw!S:S)</f>
        <v>25</v>
      </c>
      <c r="R45">
        <f>SUMIF(ConfirmedRaw!$B:$B,$B45,ConfirmedRaw!T:T)</f>
        <v>25</v>
      </c>
      <c r="S45">
        <f>SUMIF(ConfirmedRaw!$B:$B,$B45,ConfirmedRaw!U:U)</f>
        <v>25</v>
      </c>
      <c r="T45">
        <f>SUMIF(ConfirmedRaw!$B:$B,$B45,ConfirmedRaw!V:V)</f>
        <v>32</v>
      </c>
      <c r="U45">
        <f>SUMIF(ConfirmedRaw!$B:$B,$B45,ConfirmedRaw!W:W)</f>
        <v>32</v>
      </c>
      <c r="V45">
        <f>SUMIF(ConfirmedRaw!$B:$B,$B45,ConfirmedRaw!X:X)</f>
        <v>32</v>
      </c>
      <c r="W45">
        <f>SUMIF(ConfirmedRaw!$B:$B,$B45,ConfirmedRaw!Y:Y)</f>
        <v>33</v>
      </c>
      <c r="X45">
        <f>SUMIF(ConfirmedRaw!$B:$B,$B45,ConfirmedRaw!Z:Z)</f>
        <v>33</v>
      </c>
      <c r="Y45">
        <f>SUMIF(ConfirmedRaw!$B:$B,$B45,ConfirmedRaw!AA:AA)</f>
        <v>33</v>
      </c>
      <c r="Z45">
        <f>SUMIF(ConfirmedRaw!$B:$B,$B45,ConfirmedRaw!AB:AB)</f>
        <v>33</v>
      </c>
      <c r="AA45">
        <f>SUMIF(ConfirmedRaw!$B:$B,$B45,ConfirmedRaw!AC:AC)</f>
        <v>33</v>
      </c>
      <c r="AB45">
        <f>SUMIF(ConfirmedRaw!$B:$B,$B45,ConfirmedRaw!AD:AD)</f>
        <v>34</v>
      </c>
      <c r="AC45">
        <f>SUMIF(ConfirmedRaw!$B:$B,$B45,ConfirmedRaw!AE:AE)</f>
        <v>35</v>
      </c>
      <c r="AD45">
        <f>SUMIF(ConfirmedRaw!$B:$B,$B45,ConfirmedRaw!AF:AF)</f>
        <v>35</v>
      </c>
      <c r="AE45">
        <f>SUMIF(ConfirmedRaw!$B:$B,$B45,ConfirmedRaw!AG:AG)</f>
        <v>35</v>
      </c>
      <c r="AF45">
        <f>SUMIF(ConfirmedRaw!$B:$B,$B45,ConfirmedRaw!AH:AH)</f>
        <v>35</v>
      </c>
      <c r="AG45">
        <f>SUMIF(ConfirmedRaw!$B:$B,$B45,ConfirmedRaw!AI:AI)</f>
        <v>35</v>
      </c>
      <c r="AH45">
        <f>SUMIF(ConfirmedRaw!$B:$B,$B45,ConfirmedRaw!AJ:AJ)</f>
        <v>35</v>
      </c>
      <c r="AI45">
        <f>SUMIF(ConfirmedRaw!$B:$B,$B45,ConfirmedRaw!AK:AK)</f>
        <v>35</v>
      </c>
      <c r="AJ45">
        <f>SUMIF(ConfirmedRaw!$B:$B,$B45,ConfirmedRaw!AL:AL)</f>
        <v>35</v>
      </c>
      <c r="AK45">
        <f>SUMIF(ConfirmedRaw!$B:$B,$B45,ConfirmedRaw!AM:AM)</f>
        <v>37</v>
      </c>
      <c r="AL45">
        <f>SUMIF(ConfirmedRaw!$B:$B,$B45,ConfirmedRaw!AN:AN)</f>
        <v>40</v>
      </c>
      <c r="AM45">
        <f>SUMIF(ConfirmedRaw!$B:$B,$B45,ConfirmedRaw!AO:AO)</f>
        <v>40</v>
      </c>
      <c r="AN45">
        <f>SUMIF(ConfirmedRaw!$B:$B,$B45,ConfirmedRaw!AP:AP)</f>
        <v>41</v>
      </c>
      <c r="AO45">
        <f>SUMIF(ConfirmedRaw!$B:$B,$B45,ConfirmedRaw!AQ:AQ)</f>
        <v>42</v>
      </c>
      <c r="AP45">
        <f>SUMIF(ConfirmedRaw!$B:$B,$B45,ConfirmedRaw!AR:AR)</f>
        <v>42</v>
      </c>
      <c r="AQ45">
        <f>SUMIF(ConfirmedRaw!$B:$B,$B45,ConfirmedRaw!AS:AS)</f>
        <v>43</v>
      </c>
      <c r="AR45">
        <f>SUMIF(ConfirmedRaw!$B:$B,$B45,ConfirmedRaw!AT:AT)</f>
        <v>43</v>
      </c>
      <c r="AS45">
        <f>SUMIF(ConfirmedRaw!$B:$B,$B45,ConfirmedRaw!AU:AU)</f>
        <v>43</v>
      </c>
      <c r="AT45">
        <f>SUMIF(ConfirmedRaw!$B:$B,$B45,ConfirmedRaw!AV:AV)</f>
        <v>47</v>
      </c>
      <c r="AU45">
        <f>SUMIF(ConfirmedRaw!$B:$B,$B45,ConfirmedRaw!AW:AW)</f>
        <v>48</v>
      </c>
      <c r="AV45">
        <f>SUMIF(ConfirmedRaw!$B:$B,$B45,ConfirmedRaw!AX:AX)</f>
        <v>50</v>
      </c>
      <c r="AW45">
        <f>SUMIF(ConfirmedRaw!$B:$B,$B45,ConfirmedRaw!AY:AY)</f>
        <v>50</v>
      </c>
      <c r="AX45">
        <f>SUMIF(ConfirmedRaw!$B:$B,$B45,ConfirmedRaw!AZ:AZ)</f>
        <v>50</v>
      </c>
      <c r="AY45">
        <f>SUMIF(ConfirmedRaw!$B:$B,$B45,ConfirmedRaw!BA:BA)</f>
        <v>53</v>
      </c>
      <c r="AZ45">
        <f>SUMIF(ConfirmedRaw!$B:$B,$B45,ConfirmedRaw!BB:BB)</f>
        <v>59</v>
      </c>
      <c r="BA45">
        <f>SUMIF(ConfirmedRaw!$B:$B,$B45,ConfirmedRaw!BC:BC)</f>
        <v>70</v>
      </c>
      <c r="BB45">
        <f>SUMIF(ConfirmedRaw!$B:$B,$B45,ConfirmedRaw!BD:BD)</f>
        <v>75</v>
      </c>
      <c r="BC45">
        <f>SUMIF(ConfirmedRaw!$B:$B,$B45,ConfirmedRaw!BE:BE)</f>
        <v>82</v>
      </c>
      <c r="BD45">
        <f>SUMIF(ConfirmedRaw!$B:$B,$B45,ConfirmedRaw!BF:BF)</f>
        <v>114</v>
      </c>
      <c r="BE45">
        <f>SUMIF(ConfirmedRaw!$B:$B,$B45,ConfirmedRaw!BG:BG)</f>
        <v>147</v>
      </c>
      <c r="BF45">
        <f>SUMIF(ConfirmedRaw!$B:$B,$B45,ConfirmedRaw!BH:BH)</f>
        <v>177</v>
      </c>
      <c r="BG45">
        <f>SUMIF(ConfirmedRaw!$B:$B,$B45,ConfirmedRaw!BI:BI)</f>
        <v>212</v>
      </c>
      <c r="BH45">
        <f>SUMIF(ConfirmedRaw!$B:$B,$B45,ConfirmedRaw!BJ:BJ)</f>
        <v>272</v>
      </c>
      <c r="BI45">
        <f>SUMIF(ConfirmedRaw!$B:$B,$B45,ConfirmedRaw!BK:BK)</f>
        <v>322</v>
      </c>
      <c r="BJ45">
        <f>SUMIF(ConfirmedRaw!$B:$B,$B45,ConfirmedRaw!BL:BL)</f>
        <v>411</v>
      </c>
      <c r="BK45">
        <f>SUMIF(ConfirmedRaw!$B:$B,$B45,ConfirmedRaw!BM:BM)</f>
        <v>599</v>
      </c>
      <c r="BL45">
        <f>SUMIF(ConfirmedRaw!$B:$B,$B45,ConfirmedRaw!BN:BN)</f>
        <v>721</v>
      </c>
      <c r="BM45">
        <f>SUMIF(ConfirmedRaw!$B:$B,$B45,ConfirmedRaw!BO:BO)</f>
        <v>827</v>
      </c>
      <c r="BN45">
        <f>SUMIF(ConfirmedRaw!$B:$B,$B45,ConfirmedRaw!BP:BP)</f>
        <v>934</v>
      </c>
      <c r="BO45">
        <f>SUMIF(ConfirmedRaw!$B:$B,$B45,ConfirmedRaw!BQ:BQ)</f>
        <v>1045</v>
      </c>
      <c r="BP45">
        <f>SUMIF(ConfirmedRaw!$B:$B,$B45,ConfirmedRaw!BR:BR)</f>
        <v>1136</v>
      </c>
      <c r="BQ45">
        <f>SUMIF(ConfirmedRaw!$B:$B,$B45,ConfirmedRaw!BS:BS)</f>
        <v>1245</v>
      </c>
      <c r="BR45">
        <f>SUMIF(ConfirmedRaw!$B:$B,$B45,ConfirmedRaw!BT:BT)</f>
        <v>0</v>
      </c>
      <c r="BS45">
        <f>SUMIF(ConfirmedRaw!$B:$B,$B45,ConfirmedRaw!BU:BU)</f>
        <v>0</v>
      </c>
      <c r="BT45">
        <f>SUMIF(ConfirmedRaw!$B:$B,$B45,ConfirmedRaw!BV:BV)</f>
        <v>0</v>
      </c>
      <c r="BU45">
        <f>SUMIF(ConfirmedRaw!$B:$B,$B45,ConfirmedRaw!BW:BW)</f>
        <v>0</v>
      </c>
    </row>
    <row r="46" spans="1:73" ht="15" thickBot="1" x14ac:dyDescent="0.35">
      <c r="A46" s="97" t="str">
        <f>VLOOKUP(B46,Country_Data!B:Q,16,FALSE)</f>
        <v>Asia</v>
      </c>
      <c r="B46" s="4" t="s">
        <v>107</v>
      </c>
      <c r="C46">
        <f>SUMIF(ConfirmedRaw!$B:$B,$B46,ConfirmedRaw!E:E)</f>
        <v>0</v>
      </c>
      <c r="D46">
        <f>SUMIF(ConfirmedRaw!$B:$B,$B46,ConfirmedRaw!F:F)</f>
        <v>0</v>
      </c>
      <c r="E46">
        <f>SUMIF(ConfirmedRaw!$B:$B,$B46,ConfirmedRaw!G:G)</f>
        <v>0</v>
      </c>
      <c r="F46">
        <f>SUMIF(ConfirmedRaw!$B:$B,$B46,ConfirmedRaw!H:H)</f>
        <v>0</v>
      </c>
      <c r="G46">
        <f>SUMIF(ConfirmedRaw!$B:$B,$B46,ConfirmedRaw!I:I)</f>
        <v>0</v>
      </c>
      <c r="H46">
        <f>SUMIF(ConfirmedRaw!$B:$B,$B46,ConfirmedRaw!J:J)</f>
        <v>0</v>
      </c>
      <c r="I46">
        <f>SUMIF(ConfirmedRaw!$B:$B,$B46,ConfirmedRaw!K:K)</f>
        <v>0</v>
      </c>
      <c r="J46">
        <f>SUMIF(ConfirmedRaw!$B:$B,$B46,ConfirmedRaw!L:L)</f>
        <v>0</v>
      </c>
      <c r="K46">
        <f>SUMIF(ConfirmedRaw!$B:$B,$B46,ConfirmedRaw!M:M)</f>
        <v>0</v>
      </c>
      <c r="L46">
        <f>SUMIF(ConfirmedRaw!$B:$B,$B46,ConfirmedRaw!N:N)</f>
        <v>0</v>
      </c>
      <c r="M46">
        <f>SUMIF(ConfirmedRaw!$B:$B,$B46,ConfirmedRaw!O:O)</f>
        <v>0</v>
      </c>
      <c r="N46">
        <f>SUMIF(ConfirmedRaw!$B:$B,$B46,ConfirmedRaw!P:P)</f>
        <v>0</v>
      </c>
      <c r="O46">
        <f>SUMIF(ConfirmedRaw!$B:$B,$B46,ConfirmedRaw!Q:Q)</f>
        <v>0</v>
      </c>
      <c r="P46">
        <f>SUMIF(ConfirmedRaw!$B:$B,$B46,ConfirmedRaw!R:R)</f>
        <v>0</v>
      </c>
      <c r="Q46">
        <f>SUMIF(ConfirmedRaw!$B:$B,$B46,ConfirmedRaw!S:S)</f>
        <v>0</v>
      </c>
      <c r="R46">
        <f>SUMIF(ConfirmedRaw!$B:$B,$B46,ConfirmedRaw!T:T)</f>
        <v>0</v>
      </c>
      <c r="S46">
        <f>SUMIF(ConfirmedRaw!$B:$B,$B46,ConfirmedRaw!U:U)</f>
        <v>0</v>
      </c>
      <c r="T46">
        <f>SUMIF(ConfirmedRaw!$B:$B,$B46,ConfirmedRaw!V:V)</f>
        <v>0</v>
      </c>
      <c r="U46">
        <f>SUMIF(ConfirmedRaw!$B:$B,$B46,ConfirmedRaw!W:W)</f>
        <v>0</v>
      </c>
      <c r="V46">
        <f>SUMIF(ConfirmedRaw!$B:$B,$B46,ConfirmedRaw!X:X)</f>
        <v>0</v>
      </c>
      <c r="W46">
        <f>SUMIF(ConfirmedRaw!$B:$B,$B46,ConfirmedRaw!Y:Y)</f>
        <v>0</v>
      </c>
      <c r="X46">
        <f>SUMIF(ConfirmedRaw!$B:$B,$B46,ConfirmedRaw!Z:Z)</f>
        <v>0</v>
      </c>
      <c r="Y46">
        <f>SUMIF(ConfirmedRaw!$B:$B,$B46,ConfirmedRaw!AA:AA)</f>
        <v>0</v>
      </c>
      <c r="Z46">
        <f>SUMIF(ConfirmedRaw!$B:$B,$B46,ConfirmedRaw!AB:AB)</f>
        <v>0</v>
      </c>
      <c r="AA46">
        <f>SUMIF(ConfirmedRaw!$B:$B,$B46,ConfirmedRaw!AC:AC)</f>
        <v>0</v>
      </c>
      <c r="AB46">
        <f>SUMIF(ConfirmedRaw!$B:$B,$B46,ConfirmedRaw!AD:AD)</f>
        <v>0</v>
      </c>
      <c r="AC46">
        <f>SUMIF(ConfirmedRaw!$B:$B,$B46,ConfirmedRaw!AE:AE)</f>
        <v>0</v>
      </c>
      <c r="AD46">
        <f>SUMIF(ConfirmedRaw!$B:$B,$B46,ConfirmedRaw!AF:AF)</f>
        <v>0</v>
      </c>
      <c r="AE46">
        <f>SUMIF(ConfirmedRaw!$B:$B,$B46,ConfirmedRaw!AG:AG)</f>
        <v>0</v>
      </c>
      <c r="AF46">
        <f>SUMIF(ConfirmedRaw!$B:$B,$B46,ConfirmedRaw!AH:AH)</f>
        <v>0</v>
      </c>
      <c r="AG46">
        <f>SUMIF(ConfirmedRaw!$B:$B,$B46,ConfirmedRaw!AI:AI)</f>
        <v>0</v>
      </c>
      <c r="AH46">
        <f>SUMIF(ConfirmedRaw!$B:$B,$B46,ConfirmedRaw!AJ:AJ)</f>
        <v>0</v>
      </c>
      <c r="AI46">
        <f>SUMIF(ConfirmedRaw!$B:$B,$B46,ConfirmedRaw!AK:AK)</f>
        <v>0</v>
      </c>
      <c r="AJ46">
        <f>SUMIF(ConfirmedRaw!$B:$B,$B46,ConfirmedRaw!AL:AL)</f>
        <v>0</v>
      </c>
      <c r="AK46">
        <f>SUMIF(ConfirmedRaw!$B:$B,$B46,ConfirmedRaw!AM:AM)</f>
        <v>0</v>
      </c>
      <c r="AL46">
        <f>SUMIF(ConfirmedRaw!$B:$B,$B46,ConfirmedRaw!AN:AN)</f>
        <v>0</v>
      </c>
      <c r="AM46">
        <f>SUMIF(ConfirmedRaw!$B:$B,$B46,ConfirmedRaw!AO:AO)</f>
        <v>0</v>
      </c>
      <c r="AN46">
        <f>SUMIF(ConfirmedRaw!$B:$B,$B46,ConfirmedRaw!AP:AP)</f>
        <v>0</v>
      </c>
      <c r="AO46">
        <f>SUMIF(ConfirmedRaw!$B:$B,$B46,ConfirmedRaw!AQ:AQ)</f>
        <v>0</v>
      </c>
      <c r="AP46">
        <f>SUMIF(ConfirmedRaw!$B:$B,$B46,ConfirmedRaw!AR:AR)</f>
        <v>0</v>
      </c>
      <c r="AQ46">
        <f>SUMIF(ConfirmedRaw!$B:$B,$B46,ConfirmedRaw!AS:AS)</f>
        <v>2</v>
      </c>
      <c r="AR46">
        <f>SUMIF(ConfirmedRaw!$B:$B,$B46,ConfirmedRaw!AT:AT)</f>
        <v>2</v>
      </c>
      <c r="AS46">
        <f>SUMIF(ConfirmedRaw!$B:$B,$B46,ConfirmedRaw!AU:AU)</f>
        <v>2</v>
      </c>
      <c r="AT46">
        <f>SUMIF(ConfirmedRaw!$B:$B,$B46,ConfirmedRaw!AV:AV)</f>
        <v>2</v>
      </c>
      <c r="AU46">
        <f>SUMIF(ConfirmedRaw!$B:$B,$B46,ConfirmedRaw!AW:AW)</f>
        <v>4</v>
      </c>
      <c r="AV46">
        <f>SUMIF(ConfirmedRaw!$B:$B,$B46,ConfirmedRaw!AX:AX)</f>
        <v>4</v>
      </c>
      <c r="AW46">
        <f>SUMIF(ConfirmedRaw!$B:$B,$B46,ConfirmedRaw!AY:AY)</f>
        <v>6</v>
      </c>
      <c r="AX46">
        <f>SUMIF(ConfirmedRaw!$B:$B,$B46,ConfirmedRaw!AZ:AZ)</f>
        <v>19</v>
      </c>
      <c r="AY46">
        <f>SUMIF(ConfirmedRaw!$B:$B,$B46,ConfirmedRaw!BA:BA)</f>
        <v>27</v>
      </c>
      <c r="AZ46">
        <f>SUMIF(ConfirmedRaw!$B:$B,$B46,ConfirmedRaw!BB:BB)</f>
        <v>34</v>
      </c>
      <c r="BA46">
        <f>SUMIF(ConfirmedRaw!$B:$B,$B46,ConfirmedRaw!BC:BC)</f>
        <v>34</v>
      </c>
      <c r="BB46">
        <f>SUMIF(ConfirmedRaw!$B:$B,$B46,ConfirmedRaw!BD:BD)</f>
        <v>69</v>
      </c>
      <c r="BC46">
        <f>SUMIF(ConfirmedRaw!$B:$B,$B46,ConfirmedRaw!BE:BE)</f>
        <v>96</v>
      </c>
      <c r="BD46">
        <f>SUMIF(ConfirmedRaw!$B:$B,$B46,ConfirmedRaw!BF:BF)</f>
        <v>117</v>
      </c>
      <c r="BE46">
        <f>SUMIF(ConfirmedRaw!$B:$B,$B46,ConfirmedRaw!BG:BG)</f>
        <v>134</v>
      </c>
      <c r="BF46">
        <f>SUMIF(ConfirmedRaw!$B:$B,$B46,ConfirmedRaw!BH:BH)</f>
        <v>172</v>
      </c>
      <c r="BG46">
        <f>SUMIF(ConfirmedRaw!$B:$B,$B46,ConfirmedRaw!BI:BI)</f>
        <v>227</v>
      </c>
      <c r="BH46">
        <f>SUMIF(ConfirmedRaw!$B:$B,$B46,ConfirmedRaw!BJ:BJ)</f>
        <v>311</v>
      </c>
      <c r="BI46">
        <f>SUMIF(ConfirmedRaw!$B:$B,$B46,ConfirmedRaw!BK:BK)</f>
        <v>369</v>
      </c>
      <c r="BJ46">
        <f>SUMIF(ConfirmedRaw!$B:$B,$B46,ConfirmedRaw!BL:BL)</f>
        <v>450</v>
      </c>
      <c r="BK46">
        <f>SUMIF(ConfirmedRaw!$B:$B,$B46,ConfirmedRaw!BM:BM)</f>
        <v>514</v>
      </c>
      <c r="BL46">
        <f>SUMIF(ConfirmedRaw!$B:$B,$B46,ConfirmedRaw!BN:BN)</f>
        <v>579</v>
      </c>
      <c r="BM46">
        <f>SUMIF(ConfirmedRaw!$B:$B,$B46,ConfirmedRaw!BO:BO)</f>
        <v>686</v>
      </c>
      <c r="BN46">
        <f>SUMIF(ConfirmedRaw!$B:$B,$B46,ConfirmedRaw!BP:BP)</f>
        <v>790</v>
      </c>
      <c r="BO46">
        <f>SUMIF(ConfirmedRaw!$B:$B,$B46,ConfirmedRaw!BQ:BQ)</f>
        <v>893</v>
      </c>
      <c r="BP46">
        <f>SUMIF(ConfirmedRaw!$B:$B,$B46,ConfirmedRaw!BR:BR)</f>
        <v>1046</v>
      </c>
      <c r="BQ46">
        <f>SUMIF(ConfirmedRaw!$B:$B,$B46,ConfirmedRaw!BS:BS)</f>
        <v>1155</v>
      </c>
      <c r="BR46">
        <f>SUMIF(ConfirmedRaw!$B:$B,$B46,ConfirmedRaw!BT:BT)</f>
        <v>0</v>
      </c>
      <c r="BS46">
        <f>SUMIF(ConfirmedRaw!$B:$B,$B46,ConfirmedRaw!BU:BU)</f>
        <v>0</v>
      </c>
      <c r="BT46">
        <f>SUMIF(ConfirmedRaw!$B:$B,$B46,ConfirmedRaw!BV:BV)</f>
        <v>0</v>
      </c>
      <c r="BU46">
        <f>SUMIF(ConfirmedRaw!$B:$B,$B46,ConfirmedRaw!BW:BW)</f>
        <v>0</v>
      </c>
    </row>
    <row r="47" spans="1:73" ht="15" thickBot="1" x14ac:dyDescent="0.35">
      <c r="A47" s="97" t="str">
        <f>VLOOKUP(B47,Country_Data!B:Q,16,FALSE)</f>
        <v>Europe</v>
      </c>
      <c r="B47" s="3" t="s">
        <v>137</v>
      </c>
      <c r="C47">
        <f>SUMIF(ConfirmedRaw!$B:$B,$B47,ConfirmedRaw!E:E)</f>
        <v>0</v>
      </c>
      <c r="D47">
        <f>SUMIF(ConfirmedRaw!$B:$B,$B47,ConfirmedRaw!F:F)</f>
        <v>0</v>
      </c>
      <c r="E47">
        <f>SUMIF(ConfirmedRaw!$B:$B,$B47,ConfirmedRaw!G:G)</f>
        <v>0</v>
      </c>
      <c r="F47">
        <f>SUMIF(ConfirmedRaw!$B:$B,$B47,ConfirmedRaw!H:H)</f>
        <v>0</v>
      </c>
      <c r="G47">
        <f>SUMIF(ConfirmedRaw!$B:$B,$B47,ConfirmedRaw!I:I)</f>
        <v>0</v>
      </c>
      <c r="H47">
        <f>SUMIF(ConfirmedRaw!$B:$B,$B47,ConfirmedRaw!J:J)</f>
        <v>0</v>
      </c>
      <c r="I47">
        <f>SUMIF(ConfirmedRaw!$B:$B,$B47,ConfirmedRaw!K:K)</f>
        <v>0</v>
      </c>
      <c r="J47">
        <f>SUMIF(ConfirmedRaw!$B:$B,$B47,ConfirmedRaw!L:L)</f>
        <v>0</v>
      </c>
      <c r="K47">
        <f>SUMIF(ConfirmedRaw!$B:$B,$B47,ConfirmedRaw!M:M)</f>
        <v>0</v>
      </c>
      <c r="L47">
        <f>SUMIF(ConfirmedRaw!$B:$B,$B47,ConfirmedRaw!N:N)</f>
        <v>0</v>
      </c>
      <c r="M47">
        <f>SUMIF(ConfirmedRaw!$B:$B,$B47,ConfirmedRaw!O:O)</f>
        <v>0</v>
      </c>
      <c r="N47">
        <f>SUMIF(ConfirmedRaw!$B:$B,$B47,ConfirmedRaw!P:P)</f>
        <v>0</v>
      </c>
      <c r="O47">
        <f>SUMIF(ConfirmedRaw!$B:$B,$B47,ConfirmedRaw!Q:Q)</f>
        <v>0</v>
      </c>
      <c r="P47">
        <f>SUMIF(ConfirmedRaw!$B:$B,$B47,ConfirmedRaw!R:R)</f>
        <v>0</v>
      </c>
      <c r="Q47">
        <f>SUMIF(ConfirmedRaw!$B:$B,$B47,ConfirmedRaw!S:S)</f>
        <v>0</v>
      </c>
      <c r="R47">
        <f>SUMIF(ConfirmedRaw!$B:$B,$B47,ConfirmedRaw!T:T)</f>
        <v>0</v>
      </c>
      <c r="S47">
        <f>SUMIF(ConfirmedRaw!$B:$B,$B47,ConfirmedRaw!U:U)</f>
        <v>0</v>
      </c>
      <c r="T47">
        <f>SUMIF(ConfirmedRaw!$B:$B,$B47,ConfirmedRaw!V:V)</f>
        <v>0</v>
      </c>
      <c r="U47">
        <f>SUMIF(ConfirmedRaw!$B:$B,$B47,ConfirmedRaw!W:W)</f>
        <v>0</v>
      </c>
      <c r="V47">
        <f>SUMIF(ConfirmedRaw!$B:$B,$B47,ConfirmedRaw!X:X)</f>
        <v>0</v>
      </c>
      <c r="W47">
        <f>SUMIF(ConfirmedRaw!$B:$B,$B47,ConfirmedRaw!Y:Y)</f>
        <v>0</v>
      </c>
      <c r="X47">
        <f>SUMIF(ConfirmedRaw!$B:$B,$B47,ConfirmedRaw!Z:Z)</f>
        <v>0</v>
      </c>
      <c r="Y47">
        <f>SUMIF(ConfirmedRaw!$B:$B,$B47,ConfirmedRaw!AA:AA)</f>
        <v>0</v>
      </c>
      <c r="Z47">
        <f>SUMIF(ConfirmedRaw!$B:$B,$B47,ConfirmedRaw!AB:AB)</f>
        <v>0</v>
      </c>
      <c r="AA47">
        <f>SUMIF(ConfirmedRaw!$B:$B,$B47,ConfirmedRaw!AC:AC)</f>
        <v>0</v>
      </c>
      <c r="AB47">
        <f>SUMIF(ConfirmedRaw!$B:$B,$B47,ConfirmedRaw!AD:AD)</f>
        <v>0</v>
      </c>
      <c r="AC47">
        <f>SUMIF(ConfirmedRaw!$B:$B,$B47,ConfirmedRaw!AE:AE)</f>
        <v>0</v>
      </c>
      <c r="AD47">
        <f>SUMIF(ConfirmedRaw!$B:$B,$B47,ConfirmedRaw!AF:AF)</f>
        <v>0</v>
      </c>
      <c r="AE47">
        <f>SUMIF(ConfirmedRaw!$B:$B,$B47,ConfirmedRaw!AG:AG)</f>
        <v>0</v>
      </c>
      <c r="AF47">
        <f>SUMIF(ConfirmedRaw!$B:$B,$B47,ConfirmedRaw!AH:AH)</f>
        <v>0</v>
      </c>
      <c r="AG47">
        <f>SUMIF(ConfirmedRaw!$B:$B,$B47,ConfirmedRaw!AI:AI)</f>
        <v>0</v>
      </c>
      <c r="AH47">
        <f>SUMIF(ConfirmedRaw!$B:$B,$B47,ConfirmedRaw!AJ:AJ)</f>
        <v>0</v>
      </c>
      <c r="AI47">
        <f>SUMIF(ConfirmedRaw!$B:$B,$B47,ConfirmedRaw!AK:AK)</f>
        <v>0</v>
      </c>
      <c r="AJ47">
        <f>SUMIF(ConfirmedRaw!$B:$B,$B47,ConfirmedRaw!AL:AL)</f>
        <v>0</v>
      </c>
      <c r="AK47">
        <f>SUMIF(ConfirmedRaw!$B:$B,$B47,ConfirmedRaw!AM:AM)</f>
        <v>0</v>
      </c>
      <c r="AL47">
        <f>SUMIF(ConfirmedRaw!$B:$B,$B47,ConfirmedRaw!AN:AN)</f>
        <v>0</v>
      </c>
      <c r="AM47">
        <f>SUMIF(ConfirmedRaw!$B:$B,$B47,ConfirmedRaw!AO:AO)</f>
        <v>0</v>
      </c>
      <c r="AN47">
        <f>SUMIF(ConfirmedRaw!$B:$B,$B47,ConfirmedRaw!AP:AP)</f>
        <v>0</v>
      </c>
      <c r="AO47">
        <f>SUMIF(ConfirmedRaw!$B:$B,$B47,ConfirmedRaw!AQ:AQ)</f>
        <v>0</v>
      </c>
      <c r="AP47">
        <f>SUMIF(ConfirmedRaw!$B:$B,$B47,ConfirmedRaw!AR:AR)</f>
        <v>0</v>
      </c>
      <c r="AQ47">
        <f>SUMIF(ConfirmedRaw!$B:$B,$B47,ConfirmedRaw!AS:AS)</f>
        <v>0</v>
      </c>
      <c r="AR47">
        <f>SUMIF(ConfirmedRaw!$B:$B,$B47,ConfirmedRaw!AT:AT)</f>
        <v>0</v>
      </c>
      <c r="AS47">
        <f>SUMIF(ConfirmedRaw!$B:$B,$B47,ConfirmedRaw!AU:AU)</f>
        <v>1</v>
      </c>
      <c r="AT47">
        <f>SUMIF(ConfirmedRaw!$B:$B,$B47,ConfirmedRaw!AV:AV)</f>
        <v>1</v>
      </c>
      <c r="AU47">
        <f>SUMIF(ConfirmedRaw!$B:$B,$B47,ConfirmedRaw!AW:AW)</f>
        <v>5</v>
      </c>
      <c r="AV47">
        <f>SUMIF(ConfirmedRaw!$B:$B,$B47,ConfirmedRaw!AX:AX)</f>
        <v>5</v>
      </c>
      <c r="AW47">
        <f>SUMIF(ConfirmedRaw!$B:$B,$B47,ConfirmedRaw!AY:AY)</f>
        <v>11</v>
      </c>
      <c r="AX47">
        <f>SUMIF(ConfirmedRaw!$B:$B,$B47,ConfirmedRaw!AZ:AZ)</f>
        <v>16</v>
      </c>
      <c r="AY47">
        <f>SUMIF(ConfirmedRaw!$B:$B,$B47,ConfirmedRaw!BA:BA)</f>
        <v>22</v>
      </c>
      <c r="AZ47">
        <f>SUMIF(ConfirmedRaw!$B:$B,$B47,ConfirmedRaw!BB:BB)</f>
        <v>31</v>
      </c>
      <c r="BA47">
        <f>SUMIF(ConfirmedRaw!$B:$B,$B47,ConfirmedRaw!BC:BC)</f>
        <v>49</v>
      </c>
      <c r="BB47">
        <f>SUMIF(ConfirmedRaw!$B:$B,$B47,ConfirmedRaw!BD:BD)</f>
        <v>68</v>
      </c>
      <c r="BC47">
        <f>SUMIF(ConfirmedRaw!$B:$B,$B47,ConfirmedRaw!BE:BE)</f>
        <v>103</v>
      </c>
      <c r="BD47">
        <f>SUMIF(ConfirmedRaw!$B:$B,$B47,ConfirmedRaw!BF:BF)</f>
        <v>119</v>
      </c>
      <c r="BE47">
        <f>SUMIF(ConfirmedRaw!$B:$B,$B47,ConfirmedRaw!BG:BG)</f>
        <v>177</v>
      </c>
      <c r="BF47">
        <f>SUMIF(ConfirmedRaw!$B:$B,$B47,ConfirmedRaw!BH:BH)</f>
        <v>238</v>
      </c>
      <c r="BG47">
        <f>SUMIF(ConfirmedRaw!$B:$B,$B47,ConfirmedRaw!BI:BI)</f>
        <v>251</v>
      </c>
      <c r="BH47">
        <f>SUMIF(ConfirmedRaw!$B:$B,$B47,ConfirmedRaw!BJ:BJ)</f>
        <v>355</v>
      </c>
      <c r="BI47">
        <f>SUMIF(ConfirmedRaw!$B:$B,$B47,ConfirmedRaw!BK:BK)</f>
        <v>425</v>
      </c>
      <c r="BJ47">
        <f>SUMIF(ConfirmedRaw!$B:$B,$B47,ConfirmedRaw!BL:BL)</f>
        <v>536</v>
      </c>
      <c r="BK47">
        <f>SUMIF(ConfirmedRaw!$B:$B,$B47,ConfirmedRaw!BM:BM)</f>
        <v>634</v>
      </c>
      <c r="BL47">
        <f>SUMIF(ConfirmedRaw!$B:$B,$B47,ConfirmedRaw!BN:BN)</f>
        <v>749</v>
      </c>
      <c r="BM47">
        <f>SUMIF(ConfirmedRaw!$B:$B,$B47,ConfirmedRaw!BO:BO)</f>
        <v>901</v>
      </c>
      <c r="BN47">
        <f>SUMIF(ConfirmedRaw!$B:$B,$B47,ConfirmedRaw!BP:BP)</f>
        <v>1051</v>
      </c>
      <c r="BO47">
        <f>SUMIF(ConfirmedRaw!$B:$B,$B47,ConfirmedRaw!BQ:BQ)</f>
        <v>1221</v>
      </c>
      <c r="BP47">
        <f>SUMIF(ConfirmedRaw!$B:$B,$B47,ConfirmedRaw!BR:BR)</f>
        <v>1389</v>
      </c>
      <c r="BQ47">
        <f>SUMIF(ConfirmedRaw!$B:$B,$B47,ConfirmedRaw!BS:BS)</f>
        <v>1638</v>
      </c>
      <c r="BR47">
        <f>SUMIF(ConfirmedRaw!$B:$B,$B47,ConfirmedRaw!BT:BT)</f>
        <v>0</v>
      </c>
      <c r="BS47">
        <f>SUMIF(ConfirmedRaw!$B:$B,$B47,ConfirmedRaw!BU:BU)</f>
        <v>0</v>
      </c>
      <c r="BT47">
        <f>SUMIF(ConfirmedRaw!$B:$B,$B47,ConfirmedRaw!BV:BV)</f>
        <v>0</v>
      </c>
      <c r="BU47">
        <f>SUMIF(ConfirmedRaw!$B:$B,$B47,ConfirmedRaw!BW:BW)</f>
        <v>0</v>
      </c>
    </row>
    <row r="48" spans="1:73" ht="15" thickBot="1" x14ac:dyDescent="0.35">
      <c r="A48" s="97" t="str">
        <f>VLOOKUP(B48,Country_Data!B:Q,16,FALSE)</f>
        <v>Asia</v>
      </c>
      <c r="B48" s="3" t="s">
        <v>56</v>
      </c>
      <c r="C48">
        <f>SUMIF(ConfirmedRaw!$B:$B,$B48,ConfirmedRaw!E:E)</f>
        <v>0</v>
      </c>
      <c r="D48">
        <f>SUMIF(ConfirmedRaw!$B:$B,$B48,ConfirmedRaw!F:F)</f>
        <v>0</v>
      </c>
      <c r="E48">
        <f>SUMIF(ConfirmedRaw!$B:$B,$B48,ConfirmedRaw!G:G)</f>
        <v>0</v>
      </c>
      <c r="F48">
        <f>SUMIF(ConfirmedRaw!$B:$B,$B48,ConfirmedRaw!H:H)</f>
        <v>0</v>
      </c>
      <c r="G48">
        <f>SUMIF(ConfirmedRaw!$B:$B,$B48,ConfirmedRaw!I:I)</f>
        <v>0</v>
      </c>
      <c r="H48">
        <f>SUMIF(ConfirmedRaw!$B:$B,$B48,ConfirmedRaw!J:J)</f>
        <v>0</v>
      </c>
      <c r="I48">
        <f>SUMIF(ConfirmedRaw!$B:$B,$B48,ConfirmedRaw!K:K)</f>
        <v>0</v>
      </c>
      <c r="J48">
        <f>SUMIF(ConfirmedRaw!$B:$B,$B48,ConfirmedRaw!L:L)</f>
        <v>0</v>
      </c>
      <c r="K48">
        <f>SUMIF(ConfirmedRaw!$B:$B,$B48,ConfirmedRaw!M:M)</f>
        <v>1</v>
      </c>
      <c r="L48">
        <f>SUMIF(ConfirmedRaw!$B:$B,$B48,ConfirmedRaw!N:N)</f>
        <v>1</v>
      </c>
      <c r="M48">
        <f>SUMIF(ConfirmedRaw!$B:$B,$B48,ConfirmedRaw!O:O)</f>
        <v>1</v>
      </c>
      <c r="N48">
        <f>SUMIF(ConfirmedRaw!$B:$B,$B48,ConfirmedRaw!P:P)</f>
        <v>2</v>
      </c>
      <c r="O48">
        <f>SUMIF(ConfirmedRaw!$B:$B,$B48,ConfirmedRaw!Q:Q)</f>
        <v>2</v>
      </c>
      <c r="P48">
        <f>SUMIF(ConfirmedRaw!$B:$B,$B48,ConfirmedRaw!R:R)</f>
        <v>2</v>
      </c>
      <c r="Q48">
        <f>SUMIF(ConfirmedRaw!$B:$B,$B48,ConfirmedRaw!S:S)</f>
        <v>2</v>
      </c>
      <c r="R48">
        <f>SUMIF(ConfirmedRaw!$B:$B,$B48,ConfirmedRaw!T:T)</f>
        <v>2</v>
      </c>
      <c r="S48">
        <f>SUMIF(ConfirmedRaw!$B:$B,$B48,ConfirmedRaw!U:U)</f>
        <v>3</v>
      </c>
      <c r="T48">
        <f>SUMIF(ConfirmedRaw!$B:$B,$B48,ConfirmedRaw!V:V)</f>
        <v>3</v>
      </c>
      <c r="U48">
        <f>SUMIF(ConfirmedRaw!$B:$B,$B48,ConfirmedRaw!W:W)</f>
        <v>3</v>
      </c>
      <c r="V48">
        <f>SUMIF(ConfirmedRaw!$B:$B,$B48,ConfirmedRaw!X:X)</f>
        <v>3</v>
      </c>
      <c r="W48">
        <f>SUMIF(ConfirmedRaw!$B:$B,$B48,ConfirmedRaw!Y:Y)</f>
        <v>3</v>
      </c>
      <c r="X48">
        <f>SUMIF(ConfirmedRaw!$B:$B,$B48,ConfirmedRaw!Z:Z)</f>
        <v>3</v>
      </c>
      <c r="Y48">
        <f>SUMIF(ConfirmedRaw!$B:$B,$B48,ConfirmedRaw!AA:AA)</f>
        <v>3</v>
      </c>
      <c r="Z48">
        <f>SUMIF(ConfirmedRaw!$B:$B,$B48,ConfirmedRaw!AB:AB)</f>
        <v>3</v>
      </c>
      <c r="AA48">
        <f>SUMIF(ConfirmedRaw!$B:$B,$B48,ConfirmedRaw!AC:AC)</f>
        <v>3</v>
      </c>
      <c r="AB48">
        <f>SUMIF(ConfirmedRaw!$B:$B,$B48,ConfirmedRaw!AD:AD)</f>
        <v>3</v>
      </c>
      <c r="AC48">
        <f>SUMIF(ConfirmedRaw!$B:$B,$B48,ConfirmedRaw!AE:AE)</f>
        <v>3</v>
      </c>
      <c r="AD48">
        <f>SUMIF(ConfirmedRaw!$B:$B,$B48,ConfirmedRaw!AF:AF)</f>
        <v>3</v>
      </c>
      <c r="AE48">
        <f>SUMIF(ConfirmedRaw!$B:$B,$B48,ConfirmedRaw!AG:AG)</f>
        <v>3</v>
      </c>
      <c r="AF48">
        <f>SUMIF(ConfirmedRaw!$B:$B,$B48,ConfirmedRaw!AH:AH)</f>
        <v>3</v>
      </c>
      <c r="AG48">
        <f>SUMIF(ConfirmedRaw!$B:$B,$B48,ConfirmedRaw!AI:AI)</f>
        <v>3</v>
      </c>
      <c r="AH48">
        <f>SUMIF(ConfirmedRaw!$B:$B,$B48,ConfirmedRaw!AJ:AJ)</f>
        <v>3</v>
      </c>
      <c r="AI48">
        <f>SUMIF(ConfirmedRaw!$B:$B,$B48,ConfirmedRaw!AK:AK)</f>
        <v>3</v>
      </c>
      <c r="AJ48">
        <f>SUMIF(ConfirmedRaw!$B:$B,$B48,ConfirmedRaw!AL:AL)</f>
        <v>3</v>
      </c>
      <c r="AK48">
        <f>SUMIF(ConfirmedRaw!$B:$B,$B48,ConfirmedRaw!AM:AM)</f>
        <v>3</v>
      </c>
      <c r="AL48">
        <f>SUMIF(ConfirmedRaw!$B:$B,$B48,ConfirmedRaw!AN:AN)</f>
        <v>3</v>
      </c>
      <c r="AM48">
        <f>SUMIF(ConfirmedRaw!$B:$B,$B48,ConfirmedRaw!AO:AO)</f>
        <v>3</v>
      </c>
      <c r="AN48">
        <f>SUMIF(ConfirmedRaw!$B:$B,$B48,ConfirmedRaw!AP:AP)</f>
        <v>3</v>
      </c>
      <c r="AO48">
        <f>SUMIF(ConfirmedRaw!$B:$B,$B48,ConfirmedRaw!AQ:AQ)</f>
        <v>3</v>
      </c>
      <c r="AP48">
        <f>SUMIF(ConfirmedRaw!$B:$B,$B48,ConfirmedRaw!AR:AR)</f>
        <v>3</v>
      </c>
      <c r="AQ48">
        <f>SUMIF(ConfirmedRaw!$B:$B,$B48,ConfirmedRaw!AS:AS)</f>
        <v>3</v>
      </c>
      <c r="AR48">
        <f>SUMIF(ConfirmedRaw!$B:$B,$B48,ConfirmedRaw!AT:AT)</f>
        <v>3</v>
      </c>
      <c r="AS48">
        <f>SUMIF(ConfirmedRaw!$B:$B,$B48,ConfirmedRaw!AU:AU)</f>
        <v>3</v>
      </c>
      <c r="AT48">
        <f>SUMIF(ConfirmedRaw!$B:$B,$B48,ConfirmedRaw!AV:AV)</f>
        <v>3</v>
      </c>
      <c r="AU48">
        <f>SUMIF(ConfirmedRaw!$B:$B,$B48,ConfirmedRaw!AW:AW)</f>
        <v>5</v>
      </c>
      <c r="AV48">
        <f>SUMIF(ConfirmedRaw!$B:$B,$B48,ConfirmedRaw!AX:AX)</f>
        <v>6</v>
      </c>
      <c r="AW48">
        <f>SUMIF(ConfirmedRaw!$B:$B,$B48,ConfirmedRaw!AY:AY)</f>
        <v>10</v>
      </c>
      <c r="AX48">
        <f>SUMIF(ConfirmedRaw!$B:$B,$B48,ConfirmedRaw!AZ:AZ)</f>
        <v>20</v>
      </c>
      <c r="AY48">
        <f>SUMIF(ConfirmedRaw!$B:$B,$B48,ConfirmedRaw!BA:BA)</f>
        <v>33</v>
      </c>
      <c r="AZ48">
        <f>SUMIF(ConfirmedRaw!$B:$B,$B48,ConfirmedRaw!BB:BB)</f>
        <v>49</v>
      </c>
      <c r="BA48">
        <f>SUMIF(ConfirmedRaw!$B:$B,$B48,ConfirmedRaw!BC:BC)</f>
        <v>52</v>
      </c>
      <c r="BB48">
        <f>SUMIF(ConfirmedRaw!$B:$B,$B48,ConfirmedRaw!BD:BD)</f>
        <v>64</v>
      </c>
      <c r="BC48">
        <f>SUMIF(ConfirmedRaw!$B:$B,$B48,ConfirmedRaw!BE:BE)</f>
        <v>111</v>
      </c>
      <c r="BD48">
        <f>SUMIF(ConfirmedRaw!$B:$B,$B48,ConfirmedRaw!BF:BF)</f>
        <v>140</v>
      </c>
      <c r="BE48">
        <f>SUMIF(ConfirmedRaw!$B:$B,$B48,ConfirmedRaw!BG:BG)</f>
        <v>142</v>
      </c>
      <c r="BF48">
        <f>SUMIF(ConfirmedRaw!$B:$B,$B48,ConfirmedRaw!BH:BH)</f>
        <v>187</v>
      </c>
      <c r="BG48">
        <f>SUMIF(ConfirmedRaw!$B:$B,$B48,ConfirmedRaw!BI:BI)</f>
        <v>202</v>
      </c>
      <c r="BH48">
        <f>SUMIF(ConfirmedRaw!$B:$B,$B48,ConfirmedRaw!BJ:BJ)</f>
        <v>217</v>
      </c>
      <c r="BI48">
        <f>SUMIF(ConfirmedRaw!$B:$B,$B48,ConfirmedRaw!BK:BK)</f>
        <v>230</v>
      </c>
      <c r="BJ48">
        <f>SUMIF(ConfirmedRaw!$B:$B,$B48,ConfirmedRaw!BL:BL)</f>
        <v>307</v>
      </c>
      <c r="BK48">
        <f>SUMIF(ConfirmedRaw!$B:$B,$B48,ConfirmedRaw!BM:BM)</f>
        <v>380</v>
      </c>
      <c r="BL48">
        <f>SUMIF(ConfirmedRaw!$B:$B,$B48,ConfirmedRaw!BN:BN)</f>
        <v>462</v>
      </c>
      <c r="BM48">
        <f>SUMIF(ConfirmedRaw!$B:$B,$B48,ConfirmedRaw!BO:BO)</f>
        <v>552</v>
      </c>
      <c r="BN48">
        <f>SUMIF(ConfirmedRaw!$B:$B,$B48,ConfirmedRaw!BP:BP)</f>
        <v>636</v>
      </c>
      <c r="BO48">
        <f>SUMIF(ConfirmedRaw!$B:$B,$B48,ConfirmedRaw!BQ:BQ)</f>
        <v>707</v>
      </c>
      <c r="BP48">
        <f>SUMIF(ConfirmedRaw!$B:$B,$B48,ConfirmedRaw!BR:BR)</f>
        <v>803</v>
      </c>
      <c r="BQ48">
        <f>SUMIF(ConfirmedRaw!$B:$B,$B48,ConfirmedRaw!BS:BS)</f>
        <v>1075</v>
      </c>
      <c r="BR48">
        <f>SUMIF(ConfirmedRaw!$B:$B,$B48,ConfirmedRaw!BT:BT)</f>
        <v>0</v>
      </c>
      <c r="BS48">
        <f>SUMIF(ConfirmedRaw!$B:$B,$B48,ConfirmedRaw!BU:BU)</f>
        <v>0</v>
      </c>
      <c r="BT48">
        <f>SUMIF(ConfirmedRaw!$B:$B,$B48,ConfirmedRaw!BV:BV)</f>
        <v>0</v>
      </c>
      <c r="BU48">
        <f>SUMIF(ConfirmedRaw!$B:$B,$B48,ConfirmedRaw!BW:BW)</f>
        <v>0</v>
      </c>
    </row>
    <row r="49" spans="1:73" ht="15" thickBot="1" x14ac:dyDescent="0.35">
      <c r="A49" s="97" t="str">
        <f>VLOOKUP(B49,Country_Data!B:Q,16,FALSE)</f>
        <v>Asia</v>
      </c>
      <c r="B49" s="3" t="s">
        <v>342</v>
      </c>
      <c r="C49">
        <f>SUMIF(ConfirmedRaw!$B:$B,$B49,ConfirmedRaw!E:E)</f>
        <v>1</v>
      </c>
      <c r="D49">
        <f>SUMIF(ConfirmedRaw!$B:$B,$B49,ConfirmedRaw!F:F)</f>
        <v>1</v>
      </c>
      <c r="E49">
        <f>SUMIF(ConfirmedRaw!$B:$B,$B49,ConfirmedRaw!G:G)</f>
        <v>3</v>
      </c>
      <c r="F49">
        <f>SUMIF(ConfirmedRaw!$B:$B,$B49,ConfirmedRaw!H:H)</f>
        <v>3</v>
      </c>
      <c r="G49">
        <f>SUMIF(ConfirmedRaw!$B:$B,$B49,ConfirmedRaw!I:I)</f>
        <v>4</v>
      </c>
      <c r="H49">
        <f>SUMIF(ConfirmedRaw!$B:$B,$B49,ConfirmedRaw!J:J)</f>
        <v>5</v>
      </c>
      <c r="I49">
        <f>SUMIF(ConfirmedRaw!$B:$B,$B49,ConfirmedRaw!K:K)</f>
        <v>8</v>
      </c>
      <c r="J49">
        <f>SUMIF(ConfirmedRaw!$B:$B,$B49,ConfirmedRaw!L:L)</f>
        <v>8</v>
      </c>
      <c r="K49">
        <f>SUMIF(ConfirmedRaw!$B:$B,$B49,ConfirmedRaw!M:M)</f>
        <v>9</v>
      </c>
      <c r="L49">
        <f>SUMIF(ConfirmedRaw!$B:$B,$B49,ConfirmedRaw!N:N)</f>
        <v>10</v>
      </c>
      <c r="M49">
        <f>SUMIF(ConfirmedRaw!$B:$B,$B49,ConfirmedRaw!O:O)</f>
        <v>10</v>
      </c>
      <c r="N49">
        <f>SUMIF(ConfirmedRaw!$B:$B,$B49,ConfirmedRaw!P:P)</f>
        <v>10</v>
      </c>
      <c r="O49">
        <f>SUMIF(ConfirmedRaw!$B:$B,$B49,ConfirmedRaw!Q:Q)</f>
        <v>10</v>
      </c>
      <c r="P49">
        <f>SUMIF(ConfirmedRaw!$B:$B,$B49,ConfirmedRaw!R:R)</f>
        <v>11</v>
      </c>
      <c r="Q49">
        <f>SUMIF(ConfirmedRaw!$B:$B,$B49,ConfirmedRaw!S:S)</f>
        <v>11</v>
      </c>
      <c r="R49">
        <f>SUMIF(ConfirmedRaw!$B:$B,$B49,ConfirmedRaw!T:T)</f>
        <v>16</v>
      </c>
      <c r="S49">
        <f>SUMIF(ConfirmedRaw!$B:$B,$B49,ConfirmedRaw!U:U)</f>
        <v>16</v>
      </c>
      <c r="T49">
        <f>SUMIF(ConfirmedRaw!$B:$B,$B49,ConfirmedRaw!V:V)</f>
        <v>17</v>
      </c>
      <c r="U49">
        <f>SUMIF(ConfirmedRaw!$B:$B,$B49,ConfirmedRaw!W:W)</f>
        <v>18</v>
      </c>
      <c r="V49">
        <f>SUMIF(ConfirmedRaw!$B:$B,$B49,ConfirmedRaw!X:X)</f>
        <v>18</v>
      </c>
      <c r="W49">
        <f>SUMIF(ConfirmedRaw!$B:$B,$B49,ConfirmedRaw!Y:Y)</f>
        <v>18</v>
      </c>
      <c r="X49">
        <f>SUMIF(ConfirmedRaw!$B:$B,$B49,ConfirmedRaw!Z:Z)</f>
        <v>18</v>
      </c>
      <c r="Y49">
        <f>SUMIF(ConfirmedRaw!$B:$B,$B49,ConfirmedRaw!AA:AA)</f>
        <v>18</v>
      </c>
      <c r="Z49">
        <f>SUMIF(ConfirmedRaw!$B:$B,$B49,ConfirmedRaw!AB:AB)</f>
        <v>18</v>
      </c>
      <c r="AA49">
        <f>SUMIF(ConfirmedRaw!$B:$B,$B49,ConfirmedRaw!AC:AC)</f>
        <v>18</v>
      </c>
      <c r="AB49">
        <f>SUMIF(ConfirmedRaw!$B:$B,$B49,ConfirmedRaw!AD:AD)</f>
        <v>20</v>
      </c>
      <c r="AC49">
        <f>SUMIF(ConfirmedRaw!$B:$B,$B49,ConfirmedRaw!AE:AE)</f>
        <v>22</v>
      </c>
      <c r="AD49">
        <f>SUMIF(ConfirmedRaw!$B:$B,$B49,ConfirmedRaw!AF:AF)</f>
        <v>22</v>
      </c>
      <c r="AE49">
        <f>SUMIF(ConfirmedRaw!$B:$B,$B49,ConfirmedRaw!AG:AG)</f>
        <v>23</v>
      </c>
      <c r="AF49">
        <f>SUMIF(ConfirmedRaw!$B:$B,$B49,ConfirmedRaw!AH:AH)</f>
        <v>24</v>
      </c>
      <c r="AG49">
        <f>SUMIF(ConfirmedRaw!$B:$B,$B49,ConfirmedRaw!AI:AI)</f>
        <v>26</v>
      </c>
      <c r="AH49">
        <f>SUMIF(ConfirmedRaw!$B:$B,$B49,ConfirmedRaw!AJ:AJ)</f>
        <v>26</v>
      </c>
      <c r="AI49">
        <f>SUMIF(ConfirmedRaw!$B:$B,$B49,ConfirmedRaw!AK:AK)</f>
        <v>28</v>
      </c>
      <c r="AJ49">
        <f>SUMIF(ConfirmedRaw!$B:$B,$B49,ConfirmedRaw!AL:AL)</f>
        <v>30</v>
      </c>
      <c r="AK49">
        <f>SUMIF(ConfirmedRaw!$B:$B,$B49,ConfirmedRaw!AM:AM)</f>
        <v>31</v>
      </c>
      <c r="AL49">
        <f>SUMIF(ConfirmedRaw!$B:$B,$B49,ConfirmedRaw!AN:AN)</f>
        <v>32</v>
      </c>
      <c r="AM49">
        <f>SUMIF(ConfirmedRaw!$B:$B,$B49,ConfirmedRaw!AO:AO)</f>
        <v>32</v>
      </c>
      <c r="AN49">
        <f>SUMIF(ConfirmedRaw!$B:$B,$B49,ConfirmedRaw!AP:AP)</f>
        <v>34</v>
      </c>
      <c r="AO49">
        <f>SUMIF(ConfirmedRaw!$B:$B,$B49,ConfirmedRaw!AQ:AQ)</f>
        <v>39</v>
      </c>
      <c r="AP49">
        <f>SUMIF(ConfirmedRaw!$B:$B,$B49,ConfirmedRaw!AR:AR)</f>
        <v>40</v>
      </c>
      <c r="AQ49">
        <f>SUMIF(ConfirmedRaw!$B:$B,$B49,ConfirmedRaw!AS:AS)</f>
        <v>41</v>
      </c>
      <c r="AR49">
        <f>SUMIF(ConfirmedRaw!$B:$B,$B49,ConfirmedRaw!AT:AT)</f>
        <v>42</v>
      </c>
      <c r="AS49">
        <f>SUMIF(ConfirmedRaw!$B:$B,$B49,ConfirmedRaw!AU:AU)</f>
        <v>42</v>
      </c>
      <c r="AT49">
        <f>SUMIF(ConfirmedRaw!$B:$B,$B49,ConfirmedRaw!AV:AV)</f>
        <v>44</v>
      </c>
      <c r="AU49">
        <f>SUMIF(ConfirmedRaw!$B:$B,$B49,ConfirmedRaw!AW:AW)</f>
        <v>45</v>
      </c>
      <c r="AV49">
        <f>SUMIF(ConfirmedRaw!$B:$B,$B49,ConfirmedRaw!AX:AX)</f>
        <v>45</v>
      </c>
      <c r="AW49">
        <f>SUMIF(ConfirmedRaw!$B:$B,$B49,ConfirmedRaw!AY:AY)</f>
        <v>45</v>
      </c>
      <c r="AX49">
        <f>SUMIF(ConfirmedRaw!$B:$B,$B49,ConfirmedRaw!AZ:AZ)</f>
        <v>45</v>
      </c>
      <c r="AY49">
        <f>SUMIF(ConfirmedRaw!$B:$B,$B49,ConfirmedRaw!BA:BA)</f>
        <v>47</v>
      </c>
      <c r="AZ49">
        <f>SUMIF(ConfirmedRaw!$B:$B,$B49,ConfirmedRaw!BB:BB)</f>
        <v>48</v>
      </c>
      <c r="BA49">
        <f>SUMIF(ConfirmedRaw!$B:$B,$B49,ConfirmedRaw!BC:BC)</f>
        <v>49</v>
      </c>
      <c r="BB49">
        <f>SUMIF(ConfirmedRaw!$B:$B,$B49,ConfirmedRaw!BD:BD)</f>
        <v>50</v>
      </c>
      <c r="BC49">
        <f>SUMIF(ConfirmedRaw!$B:$B,$B49,ConfirmedRaw!BE:BE)</f>
        <v>53</v>
      </c>
      <c r="BD49">
        <f>SUMIF(ConfirmedRaw!$B:$B,$B49,ConfirmedRaw!BF:BF)</f>
        <v>59</v>
      </c>
      <c r="BE49">
        <f>SUMIF(ConfirmedRaw!$B:$B,$B49,ConfirmedRaw!BG:BG)</f>
        <v>67</v>
      </c>
      <c r="BF49">
        <f>SUMIF(ConfirmedRaw!$B:$B,$B49,ConfirmedRaw!BH:BH)</f>
        <v>77</v>
      </c>
      <c r="BG49">
        <f>SUMIF(ConfirmedRaw!$B:$B,$B49,ConfirmedRaw!BI:BI)</f>
        <v>100</v>
      </c>
      <c r="BH49">
        <f>SUMIF(ConfirmedRaw!$B:$B,$B49,ConfirmedRaw!BJ:BJ)</f>
        <v>108</v>
      </c>
      <c r="BI49">
        <f>SUMIF(ConfirmedRaw!$B:$B,$B49,ConfirmedRaw!BK:BK)</f>
        <v>135</v>
      </c>
      <c r="BJ49">
        <f>SUMIF(ConfirmedRaw!$B:$B,$B49,ConfirmedRaw!BL:BL)</f>
        <v>153</v>
      </c>
      <c r="BK49">
        <f>SUMIF(ConfirmedRaw!$B:$B,$B49,ConfirmedRaw!BM:BM)</f>
        <v>169</v>
      </c>
      <c r="BL49">
        <f>SUMIF(ConfirmedRaw!$B:$B,$B49,ConfirmedRaw!BN:BN)</f>
        <v>195</v>
      </c>
      <c r="BM49">
        <f>SUMIF(ConfirmedRaw!$B:$B,$B49,ConfirmedRaw!BO:BO)</f>
        <v>215</v>
      </c>
      <c r="BN49">
        <f>SUMIF(ConfirmedRaw!$B:$B,$B49,ConfirmedRaw!BP:BP)</f>
        <v>235</v>
      </c>
      <c r="BO49">
        <f>SUMIF(ConfirmedRaw!$B:$B,$B49,ConfirmedRaw!BQ:BQ)</f>
        <v>252</v>
      </c>
      <c r="BP49">
        <f>SUMIF(ConfirmedRaw!$B:$B,$B49,ConfirmedRaw!BR:BR)</f>
        <v>267</v>
      </c>
      <c r="BQ49">
        <f>SUMIF(ConfirmedRaw!$B:$B,$B49,ConfirmedRaw!BS:BS)</f>
        <v>283</v>
      </c>
      <c r="BR49">
        <f>SUMIF(ConfirmedRaw!$B:$B,$B49,ConfirmedRaw!BT:BT)</f>
        <v>0</v>
      </c>
      <c r="BS49">
        <f>SUMIF(ConfirmedRaw!$B:$B,$B49,ConfirmedRaw!BU:BU)</f>
        <v>0</v>
      </c>
      <c r="BT49">
        <f>SUMIF(ConfirmedRaw!$B:$B,$B49,ConfirmedRaw!BV:BV)</f>
        <v>0</v>
      </c>
      <c r="BU49">
        <f>SUMIF(ConfirmedRaw!$B:$B,$B49,ConfirmedRaw!BW:BW)</f>
        <v>0</v>
      </c>
    </row>
    <row r="50" spans="1:73" ht="15" thickBot="1" x14ac:dyDescent="0.35">
      <c r="A50" s="97" t="str">
        <f>VLOOKUP(B50,Country_Data!B:Q,16,FALSE)</f>
        <v>Asia</v>
      </c>
      <c r="B50" s="4" t="s">
        <v>343</v>
      </c>
      <c r="C50">
        <f>SUMIF(ConfirmedRaw!$B:$B,$B50,ConfirmedRaw!E:E)</f>
        <v>0</v>
      </c>
      <c r="D50">
        <f>SUMIF(ConfirmedRaw!$B:$B,$B50,ConfirmedRaw!F:F)</f>
        <v>2</v>
      </c>
      <c r="E50">
        <f>SUMIF(ConfirmedRaw!$B:$B,$B50,ConfirmedRaw!G:G)</f>
        <v>2</v>
      </c>
      <c r="F50">
        <f>SUMIF(ConfirmedRaw!$B:$B,$B50,ConfirmedRaw!H:H)</f>
        <v>2</v>
      </c>
      <c r="G50">
        <f>SUMIF(ConfirmedRaw!$B:$B,$B50,ConfirmedRaw!I:I)</f>
        <v>2</v>
      </c>
      <c r="H50">
        <f>SUMIF(ConfirmedRaw!$B:$B,$B50,ConfirmedRaw!J:J)</f>
        <v>2</v>
      </c>
      <c r="I50">
        <f>SUMIF(ConfirmedRaw!$B:$B,$B50,ConfirmedRaw!K:K)</f>
        <v>2</v>
      </c>
      <c r="J50">
        <f>SUMIF(ConfirmedRaw!$B:$B,$B50,ConfirmedRaw!L:L)</f>
        <v>2</v>
      </c>
      <c r="K50">
        <f>SUMIF(ConfirmedRaw!$B:$B,$B50,ConfirmedRaw!M:M)</f>
        <v>2</v>
      </c>
      <c r="L50">
        <f>SUMIF(ConfirmedRaw!$B:$B,$B50,ConfirmedRaw!N:N)</f>
        <v>2</v>
      </c>
      <c r="M50">
        <f>SUMIF(ConfirmedRaw!$B:$B,$B50,ConfirmedRaw!O:O)</f>
        <v>6</v>
      </c>
      <c r="N50">
        <f>SUMIF(ConfirmedRaw!$B:$B,$B50,ConfirmedRaw!P:P)</f>
        <v>6</v>
      </c>
      <c r="O50">
        <f>SUMIF(ConfirmedRaw!$B:$B,$B50,ConfirmedRaw!Q:Q)</f>
        <v>8</v>
      </c>
      <c r="P50">
        <f>SUMIF(ConfirmedRaw!$B:$B,$B50,ConfirmedRaw!R:R)</f>
        <v>8</v>
      </c>
      <c r="Q50">
        <f>SUMIF(ConfirmedRaw!$B:$B,$B50,ConfirmedRaw!S:S)</f>
        <v>8</v>
      </c>
      <c r="R50">
        <f>SUMIF(ConfirmedRaw!$B:$B,$B50,ConfirmedRaw!T:T)</f>
        <v>10</v>
      </c>
      <c r="S50">
        <f>SUMIF(ConfirmedRaw!$B:$B,$B50,ConfirmedRaw!U:U)</f>
        <v>10</v>
      </c>
      <c r="T50">
        <f>SUMIF(ConfirmedRaw!$B:$B,$B50,ConfirmedRaw!V:V)</f>
        <v>13</v>
      </c>
      <c r="U50">
        <f>SUMIF(ConfirmedRaw!$B:$B,$B50,ConfirmedRaw!W:W)</f>
        <v>13</v>
      </c>
      <c r="V50">
        <f>SUMIF(ConfirmedRaw!$B:$B,$B50,ConfirmedRaw!X:X)</f>
        <v>14</v>
      </c>
      <c r="W50">
        <f>SUMIF(ConfirmedRaw!$B:$B,$B50,ConfirmedRaw!Y:Y)</f>
        <v>15</v>
      </c>
      <c r="X50">
        <f>SUMIF(ConfirmedRaw!$B:$B,$B50,ConfirmedRaw!Z:Z)</f>
        <v>15</v>
      </c>
      <c r="Y50">
        <f>SUMIF(ConfirmedRaw!$B:$B,$B50,ConfirmedRaw!AA:AA)</f>
        <v>16</v>
      </c>
      <c r="Z50">
        <f>SUMIF(ConfirmedRaw!$B:$B,$B50,ConfirmedRaw!AB:AB)</f>
        <v>16</v>
      </c>
      <c r="AA50">
        <f>SUMIF(ConfirmedRaw!$B:$B,$B50,ConfirmedRaw!AC:AC)</f>
        <v>16</v>
      </c>
      <c r="AB50">
        <f>SUMIF(ConfirmedRaw!$B:$B,$B50,ConfirmedRaw!AD:AD)</f>
        <v>16</v>
      </c>
      <c r="AC50">
        <f>SUMIF(ConfirmedRaw!$B:$B,$B50,ConfirmedRaw!AE:AE)</f>
        <v>16</v>
      </c>
      <c r="AD50">
        <f>SUMIF(ConfirmedRaw!$B:$B,$B50,ConfirmedRaw!AF:AF)</f>
        <v>16</v>
      </c>
      <c r="AE50">
        <f>SUMIF(ConfirmedRaw!$B:$B,$B50,ConfirmedRaw!AG:AG)</f>
        <v>16</v>
      </c>
      <c r="AF50">
        <f>SUMIF(ConfirmedRaw!$B:$B,$B50,ConfirmedRaw!AH:AH)</f>
        <v>16</v>
      </c>
      <c r="AG50">
        <f>SUMIF(ConfirmedRaw!$B:$B,$B50,ConfirmedRaw!AI:AI)</f>
        <v>16</v>
      </c>
      <c r="AH50">
        <f>SUMIF(ConfirmedRaw!$B:$B,$B50,ConfirmedRaw!AJ:AJ)</f>
        <v>16</v>
      </c>
      <c r="AI50">
        <f>SUMIF(ConfirmedRaw!$B:$B,$B50,ConfirmedRaw!AK:AK)</f>
        <v>16</v>
      </c>
      <c r="AJ50">
        <f>SUMIF(ConfirmedRaw!$B:$B,$B50,ConfirmedRaw!AL:AL)</f>
        <v>16</v>
      </c>
      <c r="AK50">
        <f>SUMIF(ConfirmedRaw!$B:$B,$B50,ConfirmedRaw!AM:AM)</f>
        <v>16</v>
      </c>
      <c r="AL50">
        <f>SUMIF(ConfirmedRaw!$B:$B,$B50,ConfirmedRaw!AN:AN)</f>
        <v>16</v>
      </c>
      <c r="AM50">
        <f>SUMIF(ConfirmedRaw!$B:$B,$B50,ConfirmedRaw!AO:AO)</f>
        <v>16</v>
      </c>
      <c r="AN50">
        <f>SUMIF(ConfirmedRaw!$B:$B,$B50,ConfirmedRaw!AP:AP)</f>
        <v>16</v>
      </c>
      <c r="AO50">
        <f>SUMIF(ConfirmedRaw!$B:$B,$B50,ConfirmedRaw!AQ:AQ)</f>
        <v>16</v>
      </c>
      <c r="AP50">
        <f>SUMIF(ConfirmedRaw!$B:$B,$B50,ConfirmedRaw!AR:AR)</f>
        <v>16</v>
      </c>
      <c r="AQ50">
        <f>SUMIF(ConfirmedRaw!$B:$B,$B50,ConfirmedRaw!AS:AS)</f>
        <v>16</v>
      </c>
      <c r="AR50">
        <f>SUMIF(ConfirmedRaw!$B:$B,$B50,ConfirmedRaw!AT:AT)</f>
        <v>16</v>
      </c>
      <c r="AS50">
        <f>SUMIF(ConfirmedRaw!$B:$B,$B50,ConfirmedRaw!AU:AU)</f>
        <v>16</v>
      </c>
      <c r="AT50">
        <f>SUMIF(ConfirmedRaw!$B:$B,$B50,ConfirmedRaw!AV:AV)</f>
        <v>16</v>
      </c>
      <c r="AU50">
        <f>SUMIF(ConfirmedRaw!$B:$B,$B50,ConfirmedRaw!AW:AW)</f>
        <v>16</v>
      </c>
      <c r="AV50">
        <f>SUMIF(ConfirmedRaw!$B:$B,$B50,ConfirmedRaw!AX:AX)</f>
        <v>18</v>
      </c>
      <c r="AW50">
        <f>SUMIF(ConfirmedRaw!$B:$B,$B50,ConfirmedRaw!AY:AY)</f>
        <v>30</v>
      </c>
      <c r="AX50">
        <f>SUMIF(ConfirmedRaw!$B:$B,$B50,ConfirmedRaw!AZ:AZ)</f>
        <v>30</v>
      </c>
      <c r="AY50">
        <f>SUMIF(ConfirmedRaw!$B:$B,$B50,ConfirmedRaw!BA:BA)</f>
        <v>31</v>
      </c>
      <c r="AZ50">
        <f>SUMIF(ConfirmedRaw!$B:$B,$B50,ConfirmedRaw!BB:BB)</f>
        <v>38</v>
      </c>
      <c r="BA50">
        <f>SUMIF(ConfirmedRaw!$B:$B,$B50,ConfirmedRaw!BC:BC)</f>
        <v>39</v>
      </c>
      <c r="BB50">
        <f>SUMIF(ConfirmedRaw!$B:$B,$B50,ConfirmedRaw!BD:BD)</f>
        <v>47</v>
      </c>
      <c r="BC50">
        <f>SUMIF(ConfirmedRaw!$B:$B,$B50,ConfirmedRaw!BE:BE)</f>
        <v>53</v>
      </c>
      <c r="BD50">
        <f>SUMIF(ConfirmedRaw!$B:$B,$B50,ConfirmedRaw!BF:BF)</f>
        <v>56</v>
      </c>
      <c r="BE50">
        <f>SUMIF(ConfirmedRaw!$B:$B,$B50,ConfirmedRaw!BG:BG)</f>
        <v>61</v>
      </c>
      <c r="BF50">
        <f>SUMIF(ConfirmedRaw!$B:$B,$B50,ConfirmedRaw!BH:BH)</f>
        <v>66</v>
      </c>
      <c r="BG50">
        <f>SUMIF(ConfirmedRaw!$B:$B,$B50,ConfirmedRaw!BI:BI)</f>
        <v>75</v>
      </c>
      <c r="BH50">
        <f>SUMIF(ConfirmedRaw!$B:$B,$B50,ConfirmedRaw!BJ:BJ)</f>
        <v>85</v>
      </c>
      <c r="BI50">
        <f>SUMIF(ConfirmedRaw!$B:$B,$B50,ConfirmedRaw!BK:BK)</f>
        <v>91</v>
      </c>
      <c r="BJ50">
        <f>SUMIF(ConfirmedRaw!$B:$B,$B50,ConfirmedRaw!BL:BL)</f>
        <v>94</v>
      </c>
      <c r="BK50">
        <f>SUMIF(ConfirmedRaw!$B:$B,$B50,ConfirmedRaw!BM:BM)</f>
        <v>113</v>
      </c>
      <c r="BL50">
        <f>SUMIF(ConfirmedRaw!$B:$B,$B50,ConfirmedRaw!BN:BN)</f>
        <v>123</v>
      </c>
      <c r="BM50">
        <f>SUMIF(ConfirmedRaw!$B:$B,$B50,ConfirmedRaw!BO:BO)</f>
        <v>134</v>
      </c>
      <c r="BN50">
        <f>SUMIF(ConfirmedRaw!$B:$B,$B50,ConfirmedRaw!BP:BP)</f>
        <v>141</v>
      </c>
      <c r="BO50">
        <f>SUMIF(ConfirmedRaw!$B:$B,$B50,ConfirmedRaw!BQ:BQ)</f>
        <v>153</v>
      </c>
      <c r="BP50">
        <f>SUMIF(ConfirmedRaw!$B:$B,$B50,ConfirmedRaw!BR:BR)</f>
        <v>163</v>
      </c>
      <c r="BQ50">
        <f>SUMIF(ConfirmedRaw!$B:$B,$B50,ConfirmedRaw!BS:BS)</f>
        <v>174</v>
      </c>
      <c r="BR50">
        <f>SUMIF(ConfirmedRaw!$B:$B,$B50,ConfirmedRaw!BT:BT)</f>
        <v>0</v>
      </c>
      <c r="BS50">
        <f>SUMIF(ConfirmedRaw!$B:$B,$B50,ConfirmedRaw!BU:BU)</f>
        <v>0</v>
      </c>
      <c r="BT50">
        <f>SUMIF(ConfirmedRaw!$B:$B,$B50,ConfirmedRaw!BV:BV)</f>
        <v>0</v>
      </c>
      <c r="BU50">
        <f>SUMIF(ConfirmedRaw!$B:$B,$B50,ConfirmedRaw!BW:BW)</f>
        <v>0</v>
      </c>
    </row>
    <row r="51" spans="1:73" ht="15" thickBot="1" x14ac:dyDescent="0.35">
      <c r="A51" s="97" t="str">
        <f>VLOOKUP(B51,Country_Data!B:Q,16,FALSE)</f>
        <v>Asia</v>
      </c>
      <c r="B51" s="3" t="s">
        <v>344</v>
      </c>
      <c r="C51">
        <f>SUMIF(ConfirmedRaw!$B:$B,$B51,ConfirmedRaw!E:E)</f>
        <v>0</v>
      </c>
      <c r="D51">
        <f>SUMIF(ConfirmedRaw!$B:$B,$B51,ConfirmedRaw!F:F)</f>
        <v>0</v>
      </c>
      <c r="E51">
        <f>SUMIF(ConfirmedRaw!$B:$B,$B51,ConfirmedRaw!G:G)</f>
        <v>0</v>
      </c>
      <c r="F51">
        <f>SUMIF(ConfirmedRaw!$B:$B,$B51,ConfirmedRaw!H:H)</f>
        <v>0</v>
      </c>
      <c r="G51">
        <f>SUMIF(ConfirmedRaw!$B:$B,$B51,ConfirmedRaw!I:I)</f>
        <v>0</v>
      </c>
      <c r="H51">
        <f>SUMIF(ConfirmedRaw!$B:$B,$B51,ConfirmedRaw!J:J)</f>
        <v>0</v>
      </c>
      <c r="I51">
        <f>SUMIF(ConfirmedRaw!$B:$B,$B51,ConfirmedRaw!K:K)</f>
        <v>0</v>
      </c>
      <c r="J51">
        <f>SUMIF(ConfirmedRaw!$B:$B,$B51,ConfirmedRaw!L:L)</f>
        <v>0</v>
      </c>
      <c r="K51">
        <f>SUMIF(ConfirmedRaw!$B:$B,$B51,ConfirmedRaw!M:M)</f>
        <v>0</v>
      </c>
      <c r="L51">
        <f>SUMIF(ConfirmedRaw!$B:$B,$B51,ConfirmedRaw!N:N)</f>
        <v>2</v>
      </c>
      <c r="M51">
        <f>SUMIF(ConfirmedRaw!$B:$B,$B51,ConfirmedRaw!O:O)</f>
        <v>2</v>
      </c>
      <c r="N51">
        <f>SUMIF(ConfirmedRaw!$B:$B,$B51,ConfirmedRaw!P:P)</f>
        <v>2</v>
      </c>
      <c r="O51">
        <f>SUMIF(ConfirmedRaw!$B:$B,$B51,ConfirmedRaw!Q:Q)</f>
        <v>2</v>
      </c>
      <c r="P51">
        <f>SUMIF(ConfirmedRaw!$B:$B,$B51,ConfirmedRaw!R:R)</f>
        <v>2</v>
      </c>
      <c r="Q51">
        <f>SUMIF(ConfirmedRaw!$B:$B,$B51,ConfirmedRaw!S:S)</f>
        <v>2</v>
      </c>
      <c r="R51">
        <f>SUMIF(ConfirmedRaw!$B:$B,$B51,ConfirmedRaw!T:T)</f>
        <v>2</v>
      </c>
      <c r="S51">
        <f>SUMIF(ConfirmedRaw!$B:$B,$B51,ConfirmedRaw!U:U)</f>
        <v>2</v>
      </c>
      <c r="T51">
        <f>SUMIF(ConfirmedRaw!$B:$B,$B51,ConfirmedRaw!V:V)</f>
        <v>2</v>
      </c>
      <c r="U51">
        <f>SUMIF(ConfirmedRaw!$B:$B,$B51,ConfirmedRaw!W:W)</f>
        <v>2</v>
      </c>
      <c r="V51">
        <f>SUMIF(ConfirmedRaw!$B:$B,$B51,ConfirmedRaw!X:X)</f>
        <v>2</v>
      </c>
      <c r="W51">
        <f>SUMIF(ConfirmedRaw!$B:$B,$B51,ConfirmedRaw!Y:Y)</f>
        <v>2</v>
      </c>
      <c r="X51">
        <f>SUMIF(ConfirmedRaw!$B:$B,$B51,ConfirmedRaw!Z:Z)</f>
        <v>2</v>
      </c>
      <c r="Y51">
        <f>SUMIF(ConfirmedRaw!$B:$B,$B51,ConfirmedRaw!AA:AA)</f>
        <v>2</v>
      </c>
      <c r="Z51">
        <f>SUMIF(ConfirmedRaw!$B:$B,$B51,ConfirmedRaw!AB:AB)</f>
        <v>2</v>
      </c>
      <c r="AA51">
        <f>SUMIF(ConfirmedRaw!$B:$B,$B51,ConfirmedRaw!AC:AC)</f>
        <v>2</v>
      </c>
      <c r="AB51">
        <f>SUMIF(ConfirmedRaw!$B:$B,$B51,ConfirmedRaw!AD:AD)</f>
        <v>2</v>
      </c>
      <c r="AC51">
        <f>SUMIF(ConfirmedRaw!$B:$B,$B51,ConfirmedRaw!AE:AE)</f>
        <v>2</v>
      </c>
      <c r="AD51">
        <f>SUMIF(ConfirmedRaw!$B:$B,$B51,ConfirmedRaw!AF:AF)</f>
        <v>2</v>
      </c>
      <c r="AE51">
        <f>SUMIF(ConfirmedRaw!$B:$B,$B51,ConfirmedRaw!AG:AG)</f>
        <v>2</v>
      </c>
      <c r="AF51">
        <f>SUMIF(ConfirmedRaw!$B:$B,$B51,ConfirmedRaw!AH:AH)</f>
        <v>2</v>
      </c>
      <c r="AG51">
        <f>SUMIF(ConfirmedRaw!$B:$B,$B51,ConfirmedRaw!AI:AI)</f>
        <v>2</v>
      </c>
      <c r="AH51">
        <f>SUMIF(ConfirmedRaw!$B:$B,$B51,ConfirmedRaw!AJ:AJ)</f>
        <v>2</v>
      </c>
      <c r="AI51">
        <f>SUMIF(ConfirmedRaw!$B:$B,$B51,ConfirmedRaw!AK:AK)</f>
        <v>2</v>
      </c>
      <c r="AJ51">
        <f>SUMIF(ConfirmedRaw!$B:$B,$B51,ConfirmedRaw!AL:AL)</f>
        <v>2</v>
      </c>
      <c r="AK51">
        <f>SUMIF(ConfirmedRaw!$B:$B,$B51,ConfirmedRaw!AM:AM)</f>
        <v>2</v>
      </c>
      <c r="AL51">
        <f>SUMIF(ConfirmedRaw!$B:$B,$B51,ConfirmedRaw!AN:AN)</f>
        <v>2</v>
      </c>
      <c r="AM51">
        <f>SUMIF(ConfirmedRaw!$B:$B,$B51,ConfirmedRaw!AO:AO)</f>
        <v>2</v>
      </c>
      <c r="AN51">
        <f>SUMIF(ConfirmedRaw!$B:$B,$B51,ConfirmedRaw!AP:AP)</f>
        <v>2</v>
      </c>
      <c r="AO51">
        <f>SUMIF(ConfirmedRaw!$B:$B,$B51,ConfirmedRaw!AQ:AQ)</f>
        <v>2</v>
      </c>
      <c r="AP51">
        <f>SUMIF(ConfirmedRaw!$B:$B,$B51,ConfirmedRaw!AR:AR)</f>
        <v>2</v>
      </c>
      <c r="AQ51">
        <f>SUMIF(ConfirmedRaw!$B:$B,$B51,ConfirmedRaw!AS:AS)</f>
        <v>3</v>
      </c>
      <c r="AR51">
        <f>SUMIF(ConfirmedRaw!$B:$B,$B51,ConfirmedRaw!AT:AT)</f>
        <v>3</v>
      </c>
      <c r="AS51">
        <f>SUMIF(ConfirmedRaw!$B:$B,$B51,ConfirmedRaw!AU:AU)</f>
        <v>3</v>
      </c>
      <c r="AT51">
        <f>SUMIF(ConfirmedRaw!$B:$B,$B51,ConfirmedRaw!AV:AV)</f>
        <v>4</v>
      </c>
      <c r="AU51">
        <f>SUMIF(ConfirmedRaw!$B:$B,$B51,ConfirmedRaw!AW:AW)</f>
        <v>13</v>
      </c>
      <c r="AV51">
        <f>SUMIF(ConfirmedRaw!$B:$B,$B51,ConfirmedRaw!AX:AX)</f>
        <v>13</v>
      </c>
      <c r="AW51">
        <f>SUMIF(ConfirmedRaw!$B:$B,$B51,ConfirmedRaw!AY:AY)</f>
        <v>17</v>
      </c>
      <c r="AX51">
        <f>SUMIF(ConfirmedRaw!$B:$B,$B51,ConfirmedRaw!AZ:AZ)</f>
        <v>17</v>
      </c>
      <c r="AY51">
        <f>SUMIF(ConfirmedRaw!$B:$B,$B51,ConfirmedRaw!BA:BA)</f>
        <v>20</v>
      </c>
      <c r="AZ51">
        <f>SUMIF(ConfirmedRaw!$B:$B,$B51,ConfirmedRaw!BB:BB)</f>
        <v>20</v>
      </c>
      <c r="BA51">
        <f>SUMIF(ConfirmedRaw!$B:$B,$B51,ConfirmedRaw!BC:BC)</f>
        <v>28</v>
      </c>
      <c r="BB51">
        <f>SUMIF(ConfirmedRaw!$B:$B,$B51,ConfirmedRaw!BD:BD)</f>
        <v>45</v>
      </c>
      <c r="BC51">
        <f>SUMIF(ConfirmedRaw!$B:$B,$B51,ConfirmedRaw!BE:BE)</f>
        <v>59</v>
      </c>
      <c r="BD51">
        <f>SUMIF(ConfirmedRaw!$B:$B,$B51,ConfirmedRaw!BF:BF)</f>
        <v>63</v>
      </c>
      <c r="BE51">
        <f>SUMIF(ConfirmedRaw!$B:$B,$B51,ConfirmedRaw!BG:BG)</f>
        <v>90</v>
      </c>
      <c r="BF51">
        <f>SUMIF(ConfirmedRaw!$B:$B,$B51,ConfirmedRaw!BH:BH)</f>
        <v>114</v>
      </c>
      <c r="BG51">
        <f>SUMIF(ConfirmedRaw!$B:$B,$B51,ConfirmedRaw!BI:BI)</f>
        <v>147</v>
      </c>
      <c r="BH51">
        <f>SUMIF(ConfirmedRaw!$B:$B,$B51,ConfirmedRaw!BJ:BJ)</f>
        <v>199</v>
      </c>
      <c r="BI51">
        <f>SUMIF(ConfirmedRaw!$B:$B,$B51,ConfirmedRaw!BK:BK)</f>
        <v>253</v>
      </c>
      <c r="BJ51">
        <f>SUMIF(ConfirmedRaw!$B:$B,$B51,ConfirmedRaw!BL:BL)</f>
        <v>306</v>
      </c>
      <c r="BK51">
        <f>SUMIF(ConfirmedRaw!$B:$B,$B51,ConfirmedRaw!BM:BM)</f>
        <v>367</v>
      </c>
      <c r="BL51">
        <f>SUMIF(ConfirmedRaw!$B:$B,$B51,ConfirmedRaw!BN:BN)</f>
        <v>438</v>
      </c>
      <c r="BM51">
        <f>SUMIF(ConfirmedRaw!$B:$B,$B51,ConfirmedRaw!BO:BO)</f>
        <v>495</v>
      </c>
      <c r="BN51">
        <f>SUMIF(ConfirmedRaw!$B:$B,$B51,ConfirmedRaw!BP:BP)</f>
        <v>658</v>
      </c>
      <c r="BO51">
        <f>SUMIF(ConfirmedRaw!$B:$B,$B51,ConfirmedRaw!BQ:BQ)</f>
        <v>840</v>
      </c>
      <c r="BP51">
        <f>SUMIF(ConfirmedRaw!$B:$B,$B51,ConfirmedRaw!BR:BR)</f>
        <v>1036</v>
      </c>
      <c r="BQ51">
        <f>SUMIF(ConfirmedRaw!$B:$B,$B51,ConfirmedRaw!BS:BS)</f>
        <v>1264</v>
      </c>
      <c r="BR51">
        <f>SUMIF(ConfirmedRaw!$B:$B,$B51,ConfirmedRaw!BT:BT)</f>
        <v>0</v>
      </c>
      <c r="BS51">
        <f>SUMIF(ConfirmedRaw!$B:$B,$B51,ConfirmedRaw!BU:BU)</f>
        <v>0</v>
      </c>
      <c r="BT51">
        <f>SUMIF(ConfirmedRaw!$B:$B,$B51,ConfirmedRaw!BV:BV)</f>
        <v>0</v>
      </c>
      <c r="BU51">
        <f>SUMIF(ConfirmedRaw!$B:$B,$B51,ConfirmedRaw!BW:BW)</f>
        <v>0</v>
      </c>
    </row>
    <row r="52" spans="1:73" ht="15" thickBot="1" x14ac:dyDescent="0.35">
      <c r="A52" s="97" t="str">
        <f>VLOOKUP(B52,Country_Data!B:Q,16,FALSE)</f>
        <v>South America</v>
      </c>
      <c r="B52" s="3" t="s">
        <v>124</v>
      </c>
      <c r="C52">
        <f>SUMIF(ConfirmedRaw!$B:$B,$B52,ConfirmedRaw!E:E)</f>
        <v>0</v>
      </c>
      <c r="D52">
        <f>SUMIF(ConfirmedRaw!$B:$B,$B52,ConfirmedRaw!F:F)</f>
        <v>0</v>
      </c>
      <c r="E52">
        <f>SUMIF(ConfirmedRaw!$B:$B,$B52,ConfirmedRaw!G:G)</f>
        <v>0</v>
      </c>
      <c r="F52">
        <f>SUMIF(ConfirmedRaw!$B:$B,$B52,ConfirmedRaw!H:H)</f>
        <v>0</v>
      </c>
      <c r="G52">
        <f>SUMIF(ConfirmedRaw!$B:$B,$B52,ConfirmedRaw!I:I)</f>
        <v>0</v>
      </c>
      <c r="H52">
        <f>SUMIF(ConfirmedRaw!$B:$B,$B52,ConfirmedRaw!J:J)</f>
        <v>0</v>
      </c>
      <c r="I52">
        <f>SUMIF(ConfirmedRaw!$B:$B,$B52,ConfirmedRaw!K:K)</f>
        <v>0</v>
      </c>
      <c r="J52">
        <f>SUMIF(ConfirmedRaw!$B:$B,$B52,ConfirmedRaw!L:L)</f>
        <v>0</v>
      </c>
      <c r="K52">
        <f>SUMIF(ConfirmedRaw!$B:$B,$B52,ConfirmedRaw!M:M)</f>
        <v>0</v>
      </c>
      <c r="L52">
        <f>SUMIF(ConfirmedRaw!$B:$B,$B52,ConfirmedRaw!N:N)</f>
        <v>0</v>
      </c>
      <c r="M52">
        <f>SUMIF(ConfirmedRaw!$B:$B,$B52,ConfirmedRaw!O:O)</f>
        <v>0</v>
      </c>
      <c r="N52">
        <f>SUMIF(ConfirmedRaw!$B:$B,$B52,ConfirmedRaw!P:P)</f>
        <v>0</v>
      </c>
      <c r="O52">
        <f>SUMIF(ConfirmedRaw!$B:$B,$B52,ConfirmedRaw!Q:Q)</f>
        <v>0</v>
      </c>
      <c r="P52">
        <f>SUMIF(ConfirmedRaw!$B:$B,$B52,ConfirmedRaw!R:R)</f>
        <v>0</v>
      </c>
      <c r="Q52">
        <f>SUMIF(ConfirmedRaw!$B:$B,$B52,ConfirmedRaw!S:S)</f>
        <v>0</v>
      </c>
      <c r="R52">
        <f>SUMIF(ConfirmedRaw!$B:$B,$B52,ConfirmedRaw!T:T)</f>
        <v>0</v>
      </c>
      <c r="S52">
        <f>SUMIF(ConfirmedRaw!$B:$B,$B52,ConfirmedRaw!U:U)</f>
        <v>0</v>
      </c>
      <c r="T52">
        <f>SUMIF(ConfirmedRaw!$B:$B,$B52,ConfirmedRaw!V:V)</f>
        <v>0</v>
      </c>
      <c r="U52">
        <f>SUMIF(ConfirmedRaw!$B:$B,$B52,ConfirmedRaw!W:W)</f>
        <v>0</v>
      </c>
      <c r="V52">
        <f>SUMIF(ConfirmedRaw!$B:$B,$B52,ConfirmedRaw!X:X)</f>
        <v>0</v>
      </c>
      <c r="W52">
        <f>SUMIF(ConfirmedRaw!$B:$B,$B52,ConfirmedRaw!Y:Y)</f>
        <v>0</v>
      </c>
      <c r="X52">
        <f>SUMIF(ConfirmedRaw!$B:$B,$B52,ConfirmedRaw!Z:Z)</f>
        <v>0</v>
      </c>
      <c r="Y52">
        <f>SUMIF(ConfirmedRaw!$B:$B,$B52,ConfirmedRaw!AA:AA)</f>
        <v>0</v>
      </c>
      <c r="Z52">
        <f>SUMIF(ConfirmedRaw!$B:$B,$B52,ConfirmedRaw!AB:AB)</f>
        <v>0</v>
      </c>
      <c r="AA52">
        <f>SUMIF(ConfirmedRaw!$B:$B,$B52,ConfirmedRaw!AC:AC)</f>
        <v>0</v>
      </c>
      <c r="AB52">
        <f>SUMIF(ConfirmedRaw!$B:$B,$B52,ConfirmedRaw!AD:AD)</f>
        <v>0</v>
      </c>
      <c r="AC52">
        <f>SUMIF(ConfirmedRaw!$B:$B,$B52,ConfirmedRaw!AE:AE)</f>
        <v>0</v>
      </c>
      <c r="AD52">
        <f>SUMIF(ConfirmedRaw!$B:$B,$B52,ConfirmedRaw!AF:AF)</f>
        <v>0</v>
      </c>
      <c r="AE52">
        <f>SUMIF(ConfirmedRaw!$B:$B,$B52,ConfirmedRaw!AG:AG)</f>
        <v>0</v>
      </c>
      <c r="AF52">
        <f>SUMIF(ConfirmedRaw!$B:$B,$B52,ConfirmedRaw!AH:AH)</f>
        <v>0</v>
      </c>
      <c r="AG52">
        <f>SUMIF(ConfirmedRaw!$B:$B,$B52,ConfirmedRaw!AI:AI)</f>
        <v>0</v>
      </c>
      <c r="AH52">
        <f>SUMIF(ConfirmedRaw!$B:$B,$B52,ConfirmedRaw!AJ:AJ)</f>
        <v>0</v>
      </c>
      <c r="AI52">
        <f>SUMIF(ConfirmedRaw!$B:$B,$B52,ConfirmedRaw!AK:AK)</f>
        <v>0</v>
      </c>
      <c r="AJ52">
        <f>SUMIF(ConfirmedRaw!$B:$B,$B52,ConfirmedRaw!AL:AL)</f>
        <v>0</v>
      </c>
      <c r="AK52">
        <f>SUMIF(ConfirmedRaw!$B:$B,$B52,ConfirmedRaw!AM:AM)</f>
        <v>0</v>
      </c>
      <c r="AL52">
        <f>SUMIF(ConfirmedRaw!$B:$B,$B52,ConfirmedRaw!AN:AN)</f>
        <v>0</v>
      </c>
      <c r="AM52">
        <f>SUMIF(ConfirmedRaw!$B:$B,$B52,ConfirmedRaw!AO:AO)</f>
        <v>0</v>
      </c>
      <c r="AN52">
        <f>SUMIF(ConfirmedRaw!$B:$B,$B52,ConfirmedRaw!AP:AP)</f>
        <v>0</v>
      </c>
      <c r="AO52">
        <f>SUMIF(ConfirmedRaw!$B:$B,$B52,ConfirmedRaw!AQ:AQ)</f>
        <v>0</v>
      </c>
      <c r="AP52">
        <f>SUMIF(ConfirmedRaw!$B:$B,$B52,ConfirmedRaw!AR:AR)</f>
        <v>0</v>
      </c>
      <c r="AQ52">
        <f>SUMIF(ConfirmedRaw!$B:$B,$B52,ConfirmedRaw!AS:AS)</f>
        <v>0</v>
      </c>
      <c r="AR52">
        <f>SUMIF(ConfirmedRaw!$B:$B,$B52,ConfirmedRaw!AT:AT)</f>
        <v>1</v>
      </c>
      <c r="AS52">
        <f>SUMIF(ConfirmedRaw!$B:$B,$B52,ConfirmedRaw!AU:AU)</f>
        <v>1</v>
      </c>
      <c r="AT52">
        <f>SUMIF(ConfirmedRaw!$B:$B,$B52,ConfirmedRaw!AV:AV)</f>
        <v>4</v>
      </c>
      <c r="AU52">
        <f>SUMIF(ConfirmedRaw!$B:$B,$B52,ConfirmedRaw!AW:AW)</f>
        <v>4</v>
      </c>
      <c r="AV52">
        <f>SUMIF(ConfirmedRaw!$B:$B,$B52,ConfirmedRaw!AX:AX)</f>
        <v>4</v>
      </c>
      <c r="AW52">
        <f>SUMIF(ConfirmedRaw!$B:$B,$B52,ConfirmedRaw!AY:AY)</f>
        <v>8</v>
      </c>
      <c r="AX52">
        <f>SUMIF(ConfirmedRaw!$B:$B,$B52,ConfirmedRaw!AZ:AZ)</f>
        <v>8</v>
      </c>
      <c r="AY52">
        <f>SUMIF(ConfirmedRaw!$B:$B,$B52,ConfirmedRaw!BA:BA)</f>
        <v>13</v>
      </c>
      <c r="AZ52">
        <f>SUMIF(ConfirmedRaw!$B:$B,$B52,ConfirmedRaw!BB:BB)</f>
        <v>23</v>
      </c>
      <c r="BA52">
        <f>SUMIF(ConfirmedRaw!$B:$B,$B52,ConfirmedRaw!BC:BC)</f>
        <v>23</v>
      </c>
      <c r="BB52">
        <f>SUMIF(ConfirmedRaw!$B:$B,$B52,ConfirmedRaw!BD:BD)</f>
        <v>43</v>
      </c>
      <c r="BC52">
        <f>SUMIF(ConfirmedRaw!$B:$B,$B52,ConfirmedRaw!BE:BE)</f>
        <v>61</v>
      </c>
      <c r="BD52">
        <f>SUMIF(ConfirmedRaw!$B:$B,$B52,ConfirmedRaw!BF:BF)</f>
        <v>74</v>
      </c>
      <c r="BE52">
        <f>SUMIF(ConfirmedRaw!$B:$B,$B52,ConfirmedRaw!BG:BG)</f>
        <v>155</v>
      </c>
      <c r="BF52">
        <f>SUMIF(ConfirmedRaw!$B:$B,$B52,ConfirmedRaw!BH:BH)</f>
        <v>201</v>
      </c>
      <c r="BG52">
        <f>SUMIF(ConfirmedRaw!$B:$B,$B52,ConfirmedRaw!BI:BI)</f>
        <v>238</v>
      </c>
      <c r="BH52">
        <f>SUMIF(ConfirmedRaw!$B:$B,$B52,ConfirmedRaw!BJ:BJ)</f>
        <v>238</v>
      </c>
      <c r="BI52">
        <f>SUMIF(ConfirmedRaw!$B:$B,$B52,ConfirmedRaw!BK:BK)</f>
        <v>434</v>
      </c>
      <c r="BJ52">
        <f>SUMIF(ConfirmedRaw!$B:$B,$B52,ConfirmedRaw!BL:BL)</f>
        <v>537</v>
      </c>
      <c r="BK52">
        <f>SUMIF(ConfirmedRaw!$B:$B,$B52,ConfirmedRaw!BM:BM)</f>
        <v>632</v>
      </c>
      <c r="BL52">
        <f>SUMIF(ConfirmedRaw!$B:$B,$B52,ConfirmedRaw!BN:BN)</f>
        <v>746</v>
      </c>
      <c r="BM52">
        <f>SUMIF(ConfirmedRaw!$B:$B,$B52,ConfirmedRaw!BO:BO)</f>
        <v>922</v>
      </c>
      <c r="BN52">
        <f>SUMIF(ConfirmedRaw!$B:$B,$B52,ConfirmedRaw!BP:BP)</f>
        <v>1142</v>
      </c>
      <c r="BO52">
        <f>SUMIF(ConfirmedRaw!$B:$B,$B52,ConfirmedRaw!BQ:BQ)</f>
        <v>1306</v>
      </c>
      <c r="BP52">
        <f>SUMIF(ConfirmedRaw!$B:$B,$B52,ConfirmedRaw!BR:BR)</f>
        <v>1610</v>
      </c>
      <c r="BQ52">
        <f>SUMIF(ConfirmedRaw!$B:$B,$B52,ConfirmedRaw!BS:BS)</f>
        <v>1909</v>
      </c>
      <c r="BR52">
        <f>SUMIF(ConfirmedRaw!$B:$B,$B52,ConfirmedRaw!BT:BT)</f>
        <v>0</v>
      </c>
      <c r="BS52">
        <f>SUMIF(ConfirmedRaw!$B:$B,$B52,ConfirmedRaw!BU:BU)</f>
        <v>0</v>
      </c>
      <c r="BT52">
        <f>SUMIF(ConfirmedRaw!$B:$B,$B52,ConfirmedRaw!BV:BV)</f>
        <v>0</v>
      </c>
      <c r="BU52">
        <f>SUMIF(ConfirmedRaw!$B:$B,$B52,ConfirmedRaw!BW:BW)</f>
        <v>0</v>
      </c>
    </row>
    <row r="53" spans="1:73" ht="15" thickBot="1" x14ac:dyDescent="0.35">
      <c r="A53" s="97" t="str">
        <f>VLOOKUP(B53,Country_Data!B:Q,16,FALSE)</f>
        <v>Asia</v>
      </c>
      <c r="B53" s="4" t="s">
        <v>233</v>
      </c>
      <c r="C53">
        <f>SUMIF(ConfirmedRaw!$B:$B,$B53,ConfirmedRaw!E:E)</f>
        <v>0</v>
      </c>
      <c r="D53">
        <f>SUMIF(ConfirmedRaw!$B:$B,$B53,ConfirmedRaw!F:F)</f>
        <v>0</v>
      </c>
      <c r="E53">
        <f>SUMIF(ConfirmedRaw!$B:$B,$B53,ConfirmedRaw!G:G)</f>
        <v>0</v>
      </c>
      <c r="F53">
        <f>SUMIF(ConfirmedRaw!$B:$B,$B53,ConfirmedRaw!H:H)</f>
        <v>0</v>
      </c>
      <c r="G53">
        <f>SUMIF(ConfirmedRaw!$B:$B,$B53,ConfirmedRaw!I:I)</f>
        <v>0</v>
      </c>
      <c r="H53">
        <f>SUMIF(ConfirmedRaw!$B:$B,$B53,ConfirmedRaw!J:J)</f>
        <v>0</v>
      </c>
      <c r="I53">
        <f>SUMIF(ConfirmedRaw!$B:$B,$B53,ConfirmedRaw!K:K)</f>
        <v>0</v>
      </c>
      <c r="J53">
        <f>SUMIF(ConfirmedRaw!$B:$B,$B53,ConfirmedRaw!L:L)</f>
        <v>0</v>
      </c>
      <c r="K53">
        <f>SUMIF(ConfirmedRaw!$B:$B,$B53,ConfirmedRaw!M:M)</f>
        <v>0</v>
      </c>
      <c r="L53">
        <f>SUMIF(ConfirmedRaw!$B:$B,$B53,ConfirmedRaw!N:N)</f>
        <v>0</v>
      </c>
      <c r="M53">
        <f>SUMIF(ConfirmedRaw!$B:$B,$B53,ConfirmedRaw!O:O)</f>
        <v>0</v>
      </c>
      <c r="N53">
        <f>SUMIF(ConfirmedRaw!$B:$B,$B53,ConfirmedRaw!P:P)</f>
        <v>0</v>
      </c>
      <c r="O53">
        <f>SUMIF(ConfirmedRaw!$B:$B,$B53,ConfirmedRaw!Q:Q)</f>
        <v>0</v>
      </c>
      <c r="P53">
        <f>SUMIF(ConfirmedRaw!$B:$B,$B53,ConfirmedRaw!R:R)</f>
        <v>0</v>
      </c>
      <c r="Q53">
        <f>SUMIF(ConfirmedRaw!$B:$B,$B53,ConfirmedRaw!S:S)</f>
        <v>0</v>
      </c>
      <c r="R53">
        <f>SUMIF(ConfirmedRaw!$B:$B,$B53,ConfirmedRaw!T:T)</f>
        <v>0</v>
      </c>
      <c r="S53">
        <f>SUMIF(ConfirmedRaw!$B:$B,$B53,ConfirmedRaw!U:U)</f>
        <v>0</v>
      </c>
      <c r="T53">
        <f>SUMIF(ConfirmedRaw!$B:$B,$B53,ConfirmedRaw!V:V)</f>
        <v>0</v>
      </c>
      <c r="U53">
        <f>SUMIF(ConfirmedRaw!$B:$B,$B53,ConfirmedRaw!W:W)</f>
        <v>0</v>
      </c>
      <c r="V53">
        <f>SUMIF(ConfirmedRaw!$B:$B,$B53,ConfirmedRaw!X:X)</f>
        <v>0</v>
      </c>
      <c r="W53">
        <f>SUMIF(ConfirmedRaw!$B:$B,$B53,ConfirmedRaw!Y:Y)</f>
        <v>0</v>
      </c>
      <c r="X53">
        <f>SUMIF(ConfirmedRaw!$B:$B,$B53,ConfirmedRaw!Z:Z)</f>
        <v>0</v>
      </c>
      <c r="Y53">
        <f>SUMIF(ConfirmedRaw!$B:$B,$B53,ConfirmedRaw!AA:AA)</f>
        <v>0</v>
      </c>
      <c r="Z53">
        <f>SUMIF(ConfirmedRaw!$B:$B,$B53,ConfirmedRaw!AB:AB)</f>
        <v>0</v>
      </c>
      <c r="AA53">
        <f>SUMIF(ConfirmedRaw!$B:$B,$B53,ConfirmedRaw!AC:AC)</f>
        <v>0</v>
      </c>
      <c r="AB53">
        <f>SUMIF(ConfirmedRaw!$B:$B,$B53,ConfirmedRaw!AD:AD)</f>
        <v>0</v>
      </c>
      <c r="AC53">
        <f>SUMIF(ConfirmedRaw!$B:$B,$B53,ConfirmedRaw!AE:AE)</f>
        <v>0</v>
      </c>
      <c r="AD53">
        <f>SUMIF(ConfirmedRaw!$B:$B,$B53,ConfirmedRaw!AF:AF)</f>
        <v>0</v>
      </c>
      <c r="AE53">
        <f>SUMIF(ConfirmedRaw!$B:$B,$B53,ConfirmedRaw!AG:AG)</f>
        <v>0</v>
      </c>
      <c r="AF53">
        <f>SUMIF(ConfirmedRaw!$B:$B,$B53,ConfirmedRaw!AH:AH)</f>
        <v>0</v>
      </c>
      <c r="AG53">
        <f>SUMIF(ConfirmedRaw!$B:$B,$B53,ConfirmedRaw!AI:AI)</f>
        <v>0</v>
      </c>
      <c r="AH53">
        <f>SUMIF(ConfirmedRaw!$B:$B,$B53,ConfirmedRaw!AJ:AJ)</f>
        <v>0</v>
      </c>
      <c r="AI53">
        <f>SUMIF(ConfirmedRaw!$B:$B,$B53,ConfirmedRaw!AK:AK)</f>
        <v>0</v>
      </c>
      <c r="AJ53">
        <f>SUMIF(ConfirmedRaw!$B:$B,$B53,ConfirmedRaw!AL:AL)</f>
        <v>0</v>
      </c>
      <c r="AK53">
        <f>SUMIF(ConfirmedRaw!$B:$B,$B53,ConfirmedRaw!AM:AM)</f>
        <v>0</v>
      </c>
      <c r="AL53">
        <f>SUMIF(ConfirmedRaw!$B:$B,$B53,ConfirmedRaw!AN:AN)</f>
        <v>0</v>
      </c>
      <c r="AM53">
        <f>SUMIF(ConfirmedRaw!$B:$B,$B53,ConfirmedRaw!AO:AO)</f>
        <v>0</v>
      </c>
      <c r="AN53">
        <f>SUMIF(ConfirmedRaw!$B:$B,$B53,ConfirmedRaw!AP:AP)</f>
        <v>0</v>
      </c>
      <c r="AO53">
        <f>SUMIF(ConfirmedRaw!$B:$B,$B53,ConfirmedRaw!AQ:AQ)</f>
        <v>0</v>
      </c>
      <c r="AP53">
        <f>SUMIF(ConfirmedRaw!$B:$B,$B53,ConfirmedRaw!AR:AR)</f>
        <v>0</v>
      </c>
      <c r="AQ53">
        <f>SUMIF(ConfirmedRaw!$B:$B,$B53,ConfirmedRaw!AS:AS)</f>
        <v>0</v>
      </c>
      <c r="AR53">
        <f>SUMIF(ConfirmedRaw!$B:$B,$B53,ConfirmedRaw!AT:AT)</f>
        <v>0</v>
      </c>
      <c r="AS53">
        <f>SUMIF(ConfirmedRaw!$B:$B,$B53,ConfirmedRaw!AU:AU)</f>
        <v>0</v>
      </c>
      <c r="AT53">
        <f>SUMIF(ConfirmedRaw!$B:$B,$B53,ConfirmedRaw!AV:AV)</f>
        <v>0</v>
      </c>
      <c r="AU53">
        <f>SUMIF(ConfirmedRaw!$B:$B,$B53,ConfirmedRaw!AW:AW)</f>
        <v>0</v>
      </c>
      <c r="AV53">
        <f>SUMIF(ConfirmedRaw!$B:$B,$B53,ConfirmedRaw!AX:AX)</f>
        <v>0</v>
      </c>
      <c r="AW53">
        <f>SUMIF(ConfirmedRaw!$B:$B,$B53,ConfirmedRaw!AY:AY)</f>
        <v>0</v>
      </c>
      <c r="AX53">
        <f>SUMIF(ConfirmedRaw!$B:$B,$B53,ConfirmedRaw!AZ:AZ)</f>
        <v>1</v>
      </c>
      <c r="AY53">
        <f>SUMIF(ConfirmedRaw!$B:$B,$B53,ConfirmedRaw!BA:BA)</f>
        <v>1</v>
      </c>
      <c r="AZ53">
        <f>SUMIF(ConfirmedRaw!$B:$B,$B53,ConfirmedRaw!BB:BB)</f>
        <v>11</v>
      </c>
      <c r="BA53">
        <f>SUMIF(ConfirmedRaw!$B:$B,$B53,ConfirmedRaw!BC:BC)</f>
        <v>11</v>
      </c>
      <c r="BB53">
        <f>SUMIF(ConfirmedRaw!$B:$B,$B53,ConfirmedRaw!BD:BD)</f>
        <v>37</v>
      </c>
      <c r="BC53">
        <f>SUMIF(ConfirmedRaw!$B:$B,$B53,ConfirmedRaw!BE:BE)</f>
        <v>40</v>
      </c>
      <c r="BD53">
        <f>SUMIF(ConfirmedRaw!$B:$B,$B53,ConfirmedRaw!BF:BF)</f>
        <v>50</v>
      </c>
      <c r="BE53">
        <f>SUMIF(ConfirmedRaw!$B:$B,$B53,ConfirmedRaw!BG:BG)</f>
        <v>54</v>
      </c>
      <c r="BF53">
        <f>SUMIF(ConfirmedRaw!$B:$B,$B53,ConfirmedRaw!BH:BH)</f>
        <v>56</v>
      </c>
      <c r="BG53">
        <f>SUMIF(ConfirmedRaw!$B:$B,$B53,ConfirmedRaw!BI:BI)</f>
        <v>68</v>
      </c>
      <c r="BH53">
        <f>SUMIF(ConfirmedRaw!$B:$B,$B53,ConfirmedRaw!BJ:BJ)</f>
        <v>75</v>
      </c>
      <c r="BI53">
        <f>SUMIF(ConfirmedRaw!$B:$B,$B53,ConfirmedRaw!BK:BK)</f>
        <v>78</v>
      </c>
      <c r="BJ53">
        <f>SUMIF(ConfirmedRaw!$B:$B,$B53,ConfirmedRaw!BL:BL)</f>
        <v>83</v>
      </c>
      <c r="BK53">
        <f>SUMIF(ConfirmedRaw!$B:$B,$B53,ConfirmedRaw!BM:BM)</f>
        <v>88</v>
      </c>
      <c r="BL53">
        <f>SUMIF(ConfirmedRaw!$B:$B,$B53,ConfirmedRaw!BN:BN)</f>
        <v>91</v>
      </c>
      <c r="BM53">
        <f>SUMIF(ConfirmedRaw!$B:$B,$B53,ConfirmedRaw!BO:BO)</f>
        <v>104</v>
      </c>
      <c r="BN53">
        <f>SUMIF(ConfirmedRaw!$B:$B,$B53,ConfirmedRaw!BP:BP)</f>
        <v>109</v>
      </c>
      <c r="BO53">
        <f>SUMIF(ConfirmedRaw!$B:$B,$B53,ConfirmedRaw!BQ:BQ)</f>
        <v>114</v>
      </c>
      <c r="BP53">
        <f>SUMIF(ConfirmedRaw!$B:$B,$B53,ConfirmedRaw!BR:BR)</f>
        <v>115</v>
      </c>
      <c r="BQ53">
        <f>SUMIF(ConfirmedRaw!$B:$B,$B53,ConfirmedRaw!BS:BS)</f>
        <v>120</v>
      </c>
      <c r="BR53">
        <f>SUMIF(ConfirmedRaw!$B:$B,$B53,ConfirmedRaw!BT:BT)</f>
        <v>0</v>
      </c>
      <c r="BS53">
        <f>SUMIF(ConfirmedRaw!$B:$B,$B53,ConfirmedRaw!BU:BU)</f>
        <v>0</v>
      </c>
      <c r="BT53">
        <f>SUMIF(ConfirmedRaw!$B:$B,$B53,ConfirmedRaw!BV:BV)</f>
        <v>0</v>
      </c>
      <c r="BU53">
        <f>SUMIF(ConfirmedRaw!$B:$B,$B53,ConfirmedRaw!BW:BW)</f>
        <v>0</v>
      </c>
    </row>
    <row r="54" spans="1:73" ht="15" thickBot="1" x14ac:dyDescent="0.35">
      <c r="A54" s="97" t="str">
        <f>VLOOKUP(B54,Country_Data!B:Q,16,FALSE)</f>
        <v>Europe</v>
      </c>
      <c r="B54" s="3" t="s">
        <v>161</v>
      </c>
      <c r="C54">
        <f>SUMIF(ConfirmedRaw!$B:$B,$B54,ConfirmedRaw!E:E)</f>
        <v>0</v>
      </c>
      <c r="D54">
        <f>SUMIF(ConfirmedRaw!$B:$B,$B54,ConfirmedRaw!F:F)</f>
        <v>0</v>
      </c>
      <c r="E54">
        <f>SUMIF(ConfirmedRaw!$B:$B,$B54,ConfirmedRaw!G:G)</f>
        <v>0</v>
      </c>
      <c r="F54">
        <f>SUMIF(ConfirmedRaw!$B:$B,$B54,ConfirmedRaw!H:H)</f>
        <v>0</v>
      </c>
      <c r="G54">
        <f>SUMIF(ConfirmedRaw!$B:$B,$B54,ConfirmedRaw!I:I)</f>
        <v>0</v>
      </c>
      <c r="H54">
        <f>SUMIF(ConfirmedRaw!$B:$B,$B54,ConfirmedRaw!J:J)</f>
        <v>0</v>
      </c>
      <c r="I54">
        <f>SUMIF(ConfirmedRaw!$B:$B,$B54,ConfirmedRaw!K:K)</f>
        <v>0</v>
      </c>
      <c r="J54">
        <f>SUMIF(ConfirmedRaw!$B:$B,$B54,ConfirmedRaw!L:L)</f>
        <v>0</v>
      </c>
      <c r="K54">
        <f>SUMIF(ConfirmedRaw!$B:$B,$B54,ConfirmedRaw!M:M)</f>
        <v>0</v>
      </c>
      <c r="L54">
        <f>SUMIF(ConfirmedRaw!$B:$B,$B54,ConfirmedRaw!N:N)</f>
        <v>0</v>
      </c>
      <c r="M54">
        <f>SUMIF(ConfirmedRaw!$B:$B,$B54,ConfirmedRaw!O:O)</f>
        <v>0</v>
      </c>
      <c r="N54">
        <f>SUMIF(ConfirmedRaw!$B:$B,$B54,ConfirmedRaw!P:P)</f>
        <v>0</v>
      </c>
      <c r="O54">
        <f>SUMIF(ConfirmedRaw!$B:$B,$B54,ConfirmedRaw!Q:Q)</f>
        <v>0</v>
      </c>
      <c r="P54">
        <f>SUMIF(ConfirmedRaw!$B:$B,$B54,ConfirmedRaw!R:R)</f>
        <v>0</v>
      </c>
      <c r="Q54">
        <f>SUMIF(ConfirmedRaw!$B:$B,$B54,ConfirmedRaw!S:S)</f>
        <v>0</v>
      </c>
      <c r="R54">
        <f>SUMIF(ConfirmedRaw!$B:$B,$B54,ConfirmedRaw!T:T)</f>
        <v>0</v>
      </c>
      <c r="S54">
        <f>SUMIF(ConfirmedRaw!$B:$B,$B54,ConfirmedRaw!U:U)</f>
        <v>0</v>
      </c>
      <c r="T54">
        <f>SUMIF(ConfirmedRaw!$B:$B,$B54,ConfirmedRaw!V:V)</f>
        <v>0</v>
      </c>
      <c r="U54">
        <f>SUMIF(ConfirmedRaw!$B:$B,$B54,ConfirmedRaw!W:W)</f>
        <v>0</v>
      </c>
      <c r="V54">
        <f>SUMIF(ConfirmedRaw!$B:$B,$B54,ConfirmedRaw!X:X)</f>
        <v>0</v>
      </c>
      <c r="W54">
        <f>SUMIF(ConfirmedRaw!$B:$B,$B54,ConfirmedRaw!Y:Y)</f>
        <v>0</v>
      </c>
      <c r="X54">
        <f>SUMIF(ConfirmedRaw!$B:$B,$B54,ConfirmedRaw!Z:Z)</f>
        <v>0</v>
      </c>
      <c r="Y54">
        <f>SUMIF(ConfirmedRaw!$B:$B,$B54,ConfirmedRaw!AA:AA)</f>
        <v>0</v>
      </c>
      <c r="Z54">
        <f>SUMIF(ConfirmedRaw!$B:$B,$B54,ConfirmedRaw!AB:AB)</f>
        <v>0</v>
      </c>
      <c r="AA54">
        <f>SUMIF(ConfirmedRaw!$B:$B,$B54,ConfirmedRaw!AC:AC)</f>
        <v>0</v>
      </c>
      <c r="AB54">
        <f>SUMIF(ConfirmedRaw!$B:$B,$B54,ConfirmedRaw!AD:AD)</f>
        <v>0</v>
      </c>
      <c r="AC54">
        <f>SUMIF(ConfirmedRaw!$B:$B,$B54,ConfirmedRaw!AE:AE)</f>
        <v>0</v>
      </c>
      <c r="AD54">
        <f>SUMIF(ConfirmedRaw!$B:$B,$B54,ConfirmedRaw!AF:AF)</f>
        <v>0</v>
      </c>
      <c r="AE54">
        <f>SUMIF(ConfirmedRaw!$B:$B,$B54,ConfirmedRaw!AG:AG)</f>
        <v>0</v>
      </c>
      <c r="AF54">
        <f>SUMIF(ConfirmedRaw!$B:$B,$B54,ConfirmedRaw!AH:AH)</f>
        <v>0</v>
      </c>
      <c r="AG54">
        <f>SUMIF(ConfirmedRaw!$B:$B,$B54,ConfirmedRaw!AI:AI)</f>
        <v>0</v>
      </c>
      <c r="AH54">
        <f>SUMIF(ConfirmedRaw!$B:$B,$B54,ConfirmedRaw!AJ:AJ)</f>
        <v>0</v>
      </c>
      <c r="AI54">
        <f>SUMIF(ConfirmedRaw!$B:$B,$B54,ConfirmedRaw!AK:AK)</f>
        <v>0</v>
      </c>
      <c r="AJ54">
        <f>SUMIF(ConfirmedRaw!$B:$B,$B54,ConfirmedRaw!AL:AL)</f>
        <v>0</v>
      </c>
      <c r="AK54">
        <f>SUMIF(ConfirmedRaw!$B:$B,$B54,ConfirmedRaw!AM:AM)</f>
        <v>0</v>
      </c>
      <c r="AL54">
        <f>SUMIF(ConfirmedRaw!$B:$B,$B54,ConfirmedRaw!AN:AN)</f>
        <v>0</v>
      </c>
      <c r="AM54">
        <f>SUMIF(ConfirmedRaw!$B:$B,$B54,ConfirmedRaw!AO:AO)</f>
        <v>0</v>
      </c>
      <c r="AN54">
        <f>SUMIF(ConfirmedRaw!$B:$B,$B54,ConfirmedRaw!AP:AP)</f>
        <v>0</v>
      </c>
      <c r="AO54">
        <f>SUMIF(ConfirmedRaw!$B:$B,$B54,ConfirmedRaw!AQ:AQ)</f>
        <v>0</v>
      </c>
      <c r="AP54">
        <f>SUMIF(ConfirmedRaw!$B:$B,$B54,ConfirmedRaw!AR:AR)</f>
        <v>0</v>
      </c>
      <c r="AQ54">
        <f>SUMIF(ConfirmedRaw!$B:$B,$B54,ConfirmedRaw!AS:AS)</f>
        <v>0</v>
      </c>
      <c r="AR54">
        <f>SUMIF(ConfirmedRaw!$B:$B,$B54,ConfirmedRaw!AT:AT)</f>
        <v>0</v>
      </c>
      <c r="AS54">
        <f>SUMIF(ConfirmedRaw!$B:$B,$B54,ConfirmedRaw!AU:AU)</f>
        <v>0</v>
      </c>
      <c r="AT54">
        <f>SUMIF(ConfirmedRaw!$B:$B,$B54,ConfirmedRaw!AV:AV)</f>
        <v>0</v>
      </c>
      <c r="AU54">
        <f>SUMIF(ConfirmedRaw!$B:$B,$B54,ConfirmedRaw!AW:AW)</f>
        <v>1</v>
      </c>
      <c r="AV54">
        <f>SUMIF(ConfirmedRaw!$B:$B,$B54,ConfirmedRaw!AX:AX)</f>
        <v>1</v>
      </c>
      <c r="AW54">
        <f>SUMIF(ConfirmedRaw!$B:$B,$B54,ConfirmedRaw!AY:AY)</f>
        <v>1</v>
      </c>
      <c r="AX54">
        <f>SUMIF(ConfirmedRaw!$B:$B,$B54,ConfirmedRaw!AZ:AZ)</f>
        <v>1</v>
      </c>
      <c r="AY54">
        <f>SUMIF(ConfirmedRaw!$B:$B,$B54,ConfirmedRaw!BA:BA)</f>
        <v>5</v>
      </c>
      <c r="AZ54">
        <f>SUMIF(ConfirmedRaw!$B:$B,$B54,ConfirmedRaw!BB:BB)</f>
        <v>12</v>
      </c>
      <c r="BA54">
        <f>SUMIF(ConfirmedRaw!$B:$B,$B54,ConfirmedRaw!BC:BC)</f>
        <v>19</v>
      </c>
      <c r="BB54">
        <f>SUMIF(ConfirmedRaw!$B:$B,$B54,ConfirmedRaw!BD:BD)</f>
        <v>35</v>
      </c>
      <c r="BC54">
        <f>SUMIF(ConfirmedRaw!$B:$B,$B54,ConfirmedRaw!BE:BE)</f>
        <v>46</v>
      </c>
      <c r="BD54">
        <f>SUMIF(ConfirmedRaw!$B:$B,$B54,ConfirmedRaw!BF:BF)</f>
        <v>48</v>
      </c>
      <c r="BE54">
        <f>SUMIF(ConfirmedRaw!$B:$B,$B54,ConfirmedRaw!BG:BG)</f>
        <v>55</v>
      </c>
      <c r="BF54">
        <f>SUMIF(ConfirmedRaw!$B:$B,$B54,ConfirmedRaw!BH:BH)</f>
        <v>65</v>
      </c>
      <c r="BG54">
        <f>SUMIF(ConfirmedRaw!$B:$B,$B54,ConfirmedRaw!BI:BI)</f>
        <v>83</v>
      </c>
      <c r="BH54">
        <f>SUMIF(ConfirmedRaw!$B:$B,$B54,ConfirmedRaw!BJ:BJ)</f>
        <v>103</v>
      </c>
      <c r="BI54">
        <f>SUMIF(ConfirmedRaw!$B:$B,$B54,ConfirmedRaw!BK:BK)</f>
        <v>135</v>
      </c>
      <c r="BJ54">
        <f>SUMIF(ConfirmedRaw!$B:$B,$B54,ConfirmedRaw!BL:BL)</f>
        <v>171</v>
      </c>
      <c r="BK54">
        <f>SUMIF(ConfirmedRaw!$B:$B,$B54,ConfirmedRaw!BM:BM)</f>
        <v>222</v>
      </c>
      <c r="BL54">
        <f>SUMIF(ConfirmedRaw!$B:$B,$B54,ConfirmedRaw!BN:BN)</f>
        <v>249</v>
      </c>
      <c r="BM54">
        <f>SUMIF(ConfirmedRaw!$B:$B,$B54,ConfirmedRaw!BO:BO)</f>
        <v>303</v>
      </c>
      <c r="BN54">
        <f>SUMIF(ConfirmedRaw!$B:$B,$B54,ConfirmedRaw!BP:BP)</f>
        <v>384</v>
      </c>
      <c r="BO54">
        <f>SUMIF(ConfirmedRaw!$B:$B,$B54,ConfirmedRaw!BQ:BQ)</f>
        <v>384</v>
      </c>
      <c r="BP54">
        <f>SUMIF(ConfirmedRaw!$B:$B,$B54,ConfirmedRaw!BR:BR)</f>
        <v>457</v>
      </c>
      <c r="BQ54">
        <f>SUMIF(ConfirmedRaw!$B:$B,$B54,ConfirmedRaw!BS:BS)</f>
        <v>659</v>
      </c>
      <c r="BR54">
        <f>SUMIF(ConfirmedRaw!$B:$B,$B54,ConfirmedRaw!BT:BT)</f>
        <v>0</v>
      </c>
      <c r="BS54">
        <f>SUMIF(ConfirmedRaw!$B:$B,$B54,ConfirmedRaw!BU:BU)</f>
        <v>0</v>
      </c>
      <c r="BT54">
        <f>SUMIF(ConfirmedRaw!$B:$B,$B54,ConfirmedRaw!BV:BV)</f>
        <v>0</v>
      </c>
      <c r="BU54">
        <f>SUMIF(ConfirmedRaw!$B:$B,$B54,ConfirmedRaw!BW:BW)</f>
        <v>0</v>
      </c>
    </row>
    <row r="55" spans="1:73" ht="15" thickBot="1" x14ac:dyDescent="0.35">
      <c r="A55" s="97" t="str">
        <f>VLOOKUP(B55,Country_Data!B:Q,16,FALSE)</f>
        <v>Europe</v>
      </c>
      <c r="B55" s="3" t="s">
        <v>99</v>
      </c>
      <c r="C55">
        <f>SUMIF(ConfirmedRaw!$B:$B,$B55,ConfirmedRaw!E:E)</f>
        <v>0</v>
      </c>
      <c r="D55">
        <f>SUMIF(ConfirmedRaw!$B:$B,$B55,ConfirmedRaw!F:F)</f>
        <v>0</v>
      </c>
      <c r="E55">
        <f>SUMIF(ConfirmedRaw!$B:$B,$B55,ConfirmedRaw!G:G)</f>
        <v>0</v>
      </c>
      <c r="F55">
        <f>SUMIF(ConfirmedRaw!$B:$B,$B55,ConfirmedRaw!H:H)</f>
        <v>0</v>
      </c>
      <c r="G55">
        <f>SUMIF(ConfirmedRaw!$B:$B,$B55,ConfirmedRaw!I:I)</f>
        <v>0</v>
      </c>
      <c r="H55">
        <f>SUMIF(ConfirmedRaw!$B:$B,$B55,ConfirmedRaw!J:J)</f>
        <v>0</v>
      </c>
      <c r="I55">
        <f>SUMIF(ConfirmedRaw!$B:$B,$B55,ConfirmedRaw!K:K)</f>
        <v>0</v>
      </c>
      <c r="J55">
        <f>SUMIF(ConfirmedRaw!$B:$B,$B55,ConfirmedRaw!L:L)</f>
        <v>0</v>
      </c>
      <c r="K55">
        <f>SUMIF(ConfirmedRaw!$B:$B,$B55,ConfirmedRaw!M:M)</f>
        <v>0</v>
      </c>
      <c r="L55">
        <f>SUMIF(ConfirmedRaw!$B:$B,$B55,ConfirmedRaw!N:N)</f>
        <v>0</v>
      </c>
      <c r="M55">
        <f>SUMIF(ConfirmedRaw!$B:$B,$B55,ConfirmedRaw!O:O)</f>
        <v>0</v>
      </c>
      <c r="N55">
        <f>SUMIF(ConfirmedRaw!$B:$B,$B55,ConfirmedRaw!P:P)</f>
        <v>0</v>
      </c>
      <c r="O55">
        <f>SUMIF(ConfirmedRaw!$B:$B,$B55,ConfirmedRaw!Q:Q)</f>
        <v>0</v>
      </c>
      <c r="P55">
        <f>SUMIF(ConfirmedRaw!$B:$B,$B55,ConfirmedRaw!R:R)</f>
        <v>0</v>
      </c>
      <c r="Q55">
        <f>SUMIF(ConfirmedRaw!$B:$B,$B55,ConfirmedRaw!S:S)</f>
        <v>0</v>
      </c>
      <c r="R55">
        <f>SUMIF(ConfirmedRaw!$B:$B,$B55,ConfirmedRaw!T:T)</f>
        <v>0</v>
      </c>
      <c r="S55">
        <f>SUMIF(ConfirmedRaw!$B:$B,$B55,ConfirmedRaw!U:U)</f>
        <v>0</v>
      </c>
      <c r="T55">
        <f>SUMIF(ConfirmedRaw!$B:$B,$B55,ConfirmedRaw!V:V)</f>
        <v>0</v>
      </c>
      <c r="U55">
        <f>SUMIF(ConfirmedRaw!$B:$B,$B55,ConfirmedRaw!W:W)</f>
        <v>0</v>
      </c>
      <c r="V55">
        <f>SUMIF(ConfirmedRaw!$B:$B,$B55,ConfirmedRaw!X:X)</f>
        <v>0</v>
      </c>
      <c r="W55">
        <f>SUMIF(ConfirmedRaw!$B:$B,$B55,ConfirmedRaw!Y:Y)</f>
        <v>0</v>
      </c>
      <c r="X55">
        <f>SUMIF(ConfirmedRaw!$B:$B,$B55,ConfirmedRaw!Z:Z)</f>
        <v>0</v>
      </c>
      <c r="Y55">
        <f>SUMIF(ConfirmedRaw!$B:$B,$B55,ConfirmedRaw!AA:AA)</f>
        <v>0</v>
      </c>
      <c r="Z55">
        <f>SUMIF(ConfirmedRaw!$B:$B,$B55,ConfirmedRaw!AB:AB)</f>
        <v>0</v>
      </c>
      <c r="AA55">
        <f>SUMIF(ConfirmedRaw!$B:$B,$B55,ConfirmedRaw!AC:AC)</f>
        <v>0</v>
      </c>
      <c r="AB55">
        <f>SUMIF(ConfirmedRaw!$B:$B,$B55,ConfirmedRaw!AD:AD)</f>
        <v>0</v>
      </c>
      <c r="AC55">
        <f>SUMIF(ConfirmedRaw!$B:$B,$B55,ConfirmedRaw!AE:AE)</f>
        <v>0</v>
      </c>
      <c r="AD55">
        <f>SUMIF(ConfirmedRaw!$B:$B,$B55,ConfirmedRaw!AF:AF)</f>
        <v>0</v>
      </c>
      <c r="AE55">
        <f>SUMIF(ConfirmedRaw!$B:$B,$B55,ConfirmedRaw!AG:AG)</f>
        <v>0</v>
      </c>
      <c r="AF55">
        <f>SUMIF(ConfirmedRaw!$B:$B,$B55,ConfirmedRaw!AH:AH)</f>
        <v>0</v>
      </c>
      <c r="AG55">
        <f>SUMIF(ConfirmedRaw!$B:$B,$B55,ConfirmedRaw!AI:AI)</f>
        <v>0</v>
      </c>
      <c r="AH55">
        <f>SUMIF(ConfirmedRaw!$B:$B,$B55,ConfirmedRaw!AJ:AJ)</f>
        <v>0</v>
      </c>
      <c r="AI55">
        <f>SUMIF(ConfirmedRaw!$B:$B,$B55,ConfirmedRaw!AK:AK)</f>
        <v>0</v>
      </c>
      <c r="AJ55">
        <f>SUMIF(ConfirmedRaw!$B:$B,$B55,ConfirmedRaw!AL:AL)</f>
        <v>0</v>
      </c>
      <c r="AK55">
        <f>SUMIF(ConfirmedRaw!$B:$B,$B55,ConfirmedRaw!AM:AM)</f>
        <v>0</v>
      </c>
      <c r="AL55">
        <f>SUMIF(ConfirmedRaw!$B:$B,$B55,ConfirmedRaw!AN:AN)</f>
        <v>0</v>
      </c>
      <c r="AM55">
        <f>SUMIF(ConfirmedRaw!$B:$B,$B55,ConfirmedRaw!AO:AO)</f>
        <v>0</v>
      </c>
      <c r="AN55">
        <f>SUMIF(ConfirmedRaw!$B:$B,$B55,ConfirmedRaw!AP:AP)</f>
        <v>0</v>
      </c>
      <c r="AO55">
        <f>SUMIF(ConfirmedRaw!$B:$B,$B55,ConfirmedRaw!AQ:AQ)</f>
        <v>1</v>
      </c>
      <c r="AP55">
        <f>SUMIF(ConfirmedRaw!$B:$B,$B55,ConfirmedRaw!AR:AR)</f>
        <v>1</v>
      </c>
      <c r="AQ55">
        <f>SUMIF(ConfirmedRaw!$B:$B,$B55,ConfirmedRaw!AS:AS)</f>
        <v>1</v>
      </c>
      <c r="AR55">
        <f>SUMIF(ConfirmedRaw!$B:$B,$B55,ConfirmedRaw!AT:AT)</f>
        <v>1</v>
      </c>
      <c r="AS55">
        <f>SUMIF(ConfirmedRaw!$B:$B,$B55,ConfirmedRaw!AU:AU)</f>
        <v>1</v>
      </c>
      <c r="AT55">
        <f>SUMIF(ConfirmedRaw!$B:$B,$B55,ConfirmedRaw!AV:AV)</f>
        <v>1</v>
      </c>
      <c r="AU55">
        <f>SUMIF(ConfirmedRaw!$B:$B,$B55,ConfirmedRaw!AW:AW)</f>
        <v>2</v>
      </c>
      <c r="AV55">
        <f>SUMIF(ConfirmedRaw!$B:$B,$B55,ConfirmedRaw!AX:AX)</f>
        <v>2</v>
      </c>
      <c r="AW55">
        <f>SUMIF(ConfirmedRaw!$B:$B,$B55,ConfirmedRaw!AY:AY)</f>
        <v>3</v>
      </c>
      <c r="AX55">
        <f>SUMIF(ConfirmedRaw!$B:$B,$B55,ConfirmedRaw!AZ:AZ)</f>
        <v>3</v>
      </c>
      <c r="AY55">
        <f>SUMIF(ConfirmedRaw!$B:$B,$B55,ConfirmedRaw!BA:BA)</f>
        <v>5</v>
      </c>
      <c r="AZ55">
        <f>SUMIF(ConfirmedRaw!$B:$B,$B55,ConfirmedRaw!BB:BB)</f>
        <v>7</v>
      </c>
      <c r="BA55">
        <f>SUMIF(ConfirmedRaw!$B:$B,$B55,ConfirmedRaw!BC:BC)</f>
        <v>19</v>
      </c>
      <c r="BB55">
        <f>SUMIF(ConfirmedRaw!$B:$B,$B55,ConfirmedRaw!BD:BD)</f>
        <v>34</v>
      </c>
      <c r="BC55">
        <f>SUMIF(ConfirmedRaw!$B:$B,$B55,ConfirmedRaw!BE:BE)</f>
        <v>51</v>
      </c>
      <c r="BD55">
        <f>SUMIF(ConfirmedRaw!$B:$B,$B55,ConfirmedRaw!BF:BF)</f>
        <v>59</v>
      </c>
      <c r="BE55">
        <f>SUMIF(ConfirmedRaw!$B:$B,$B55,ConfirmedRaw!BG:BG)</f>
        <v>77</v>
      </c>
      <c r="BF55">
        <f>SUMIF(ConfirmedRaw!$B:$B,$B55,ConfirmedRaw!BH:BH)</f>
        <v>140</v>
      </c>
      <c r="BG55">
        <f>SUMIF(ConfirmedRaw!$B:$B,$B55,ConfirmedRaw!BI:BI)</f>
        <v>203</v>
      </c>
      <c r="BH55">
        <f>SUMIF(ConfirmedRaw!$B:$B,$B55,ConfirmedRaw!BJ:BJ)</f>
        <v>335</v>
      </c>
      <c r="BI55">
        <f>SUMIF(ConfirmedRaw!$B:$B,$B55,ConfirmedRaw!BK:BK)</f>
        <v>484</v>
      </c>
      <c r="BJ55">
        <f>SUMIF(ConfirmedRaw!$B:$B,$B55,ConfirmedRaw!BL:BL)</f>
        <v>670</v>
      </c>
      <c r="BK55">
        <f>SUMIF(ConfirmedRaw!$B:$B,$B55,ConfirmedRaw!BM:BM)</f>
        <v>798</v>
      </c>
      <c r="BL55">
        <f>SUMIF(ConfirmedRaw!$B:$B,$B55,ConfirmedRaw!BN:BN)</f>
        <v>875</v>
      </c>
      <c r="BM55">
        <f>SUMIF(ConfirmedRaw!$B:$B,$B55,ConfirmedRaw!BO:BO)</f>
        <v>1099</v>
      </c>
      <c r="BN55">
        <f>SUMIF(ConfirmedRaw!$B:$B,$B55,ConfirmedRaw!BP:BP)</f>
        <v>1333</v>
      </c>
      <c r="BO55">
        <f>SUMIF(ConfirmedRaw!$B:$B,$B55,ConfirmedRaw!BQ:BQ)</f>
        <v>1453</v>
      </c>
      <c r="BP55">
        <f>SUMIF(ConfirmedRaw!$B:$B,$B55,ConfirmedRaw!BR:BR)</f>
        <v>1605</v>
      </c>
      <c r="BQ55">
        <f>SUMIF(ConfirmedRaw!$B:$B,$B55,ConfirmedRaw!BS:BS)</f>
        <v>1831</v>
      </c>
      <c r="BR55">
        <f>SUMIF(ConfirmedRaw!$B:$B,$B55,ConfirmedRaw!BT:BT)</f>
        <v>0</v>
      </c>
      <c r="BS55">
        <f>SUMIF(ConfirmedRaw!$B:$B,$B55,ConfirmedRaw!BU:BU)</f>
        <v>0</v>
      </c>
      <c r="BT55">
        <f>SUMIF(ConfirmedRaw!$B:$B,$B55,ConfirmedRaw!BV:BV)</f>
        <v>0</v>
      </c>
      <c r="BU55">
        <f>SUMIF(ConfirmedRaw!$B:$B,$B55,ConfirmedRaw!BW:BW)</f>
        <v>0</v>
      </c>
    </row>
    <row r="56" spans="1:73" ht="15" thickBot="1" x14ac:dyDescent="0.35">
      <c r="A56" s="97" t="str">
        <f>VLOOKUP(B56,Country_Data!B:Q,16,FALSE)</f>
        <v>Europe</v>
      </c>
      <c r="B56" s="4" t="s">
        <v>230</v>
      </c>
      <c r="C56">
        <f>SUMIF(ConfirmedRaw!$B:$B,$B56,ConfirmedRaw!E:E)</f>
        <v>0</v>
      </c>
      <c r="D56">
        <f>SUMIF(ConfirmedRaw!$B:$B,$B56,ConfirmedRaw!F:F)</f>
        <v>0</v>
      </c>
      <c r="E56">
        <f>SUMIF(ConfirmedRaw!$B:$B,$B56,ConfirmedRaw!G:G)</f>
        <v>0</v>
      </c>
      <c r="F56">
        <f>SUMIF(ConfirmedRaw!$B:$B,$B56,ConfirmedRaw!H:H)</f>
        <v>0</v>
      </c>
      <c r="G56">
        <f>SUMIF(ConfirmedRaw!$B:$B,$B56,ConfirmedRaw!I:I)</f>
        <v>0</v>
      </c>
      <c r="H56">
        <f>SUMIF(ConfirmedRaw!$B:$B,$B56,ConfirmedRaw!J:J)</f>
        <v>0</v>
      </c>
      <c r="I56">
        <f>SUMIF(ConfirmedRaw!$B:$B,$B56,ConfirmedRaw!K:K)</f>
        <v>0</v>
      </c>
      <c r="J56">
        <f>SUMIF(ConfirmedRaw!$B:$B,$B56,ConfirmedRaw!L:L)</f>
        <v>0</v>
      </c>
      <c r="K56">
        <f>SUMIF(ConfirmedRaw!$B:$B,$B56,ConfirmedRaw!M:M)</f>
        <v>0</v>
      </c>
      <c r="L56">
        <f>SUMIF(ConfirmedRaw!$B:$B,$B56,ConfirmedRaw!N:N)</f>
        <v>0</v>
      </c>
      <c r="M56">
        <f>SUMIF(ConfirmedRaw!$B:$B,$B56,ConfirmedRaw!O:O)</f>
        <v>0</v>
      </c>
      <c r="N56">
        <f>SUMIF(ConfirmedRaw!$B:$B,$B56,ConfirmedRaw!P:P)</f>
        <v>0</v>
      </c>
      <c r="O56">
        <f>SUMIF(ConfirmedRaw!$B:$B,$B56,ConfirmedRaw!Q:Q)</f>
        <v>0</v>
      </c>
      <c r="P56">
        <f>SUMIF(ConfirmedRaw!$B:$B,$B56,ConfirmedRaw!R:R)</f>
        <v>0</v>
      </c>
      <c r="Q56">
        <f>SUMIF(ConfirmedRaw!$B:$B,$B56,ConfirmedRaw!S:S)</f>
        <v>0</v>
      </c>
      <c r="R56">
        <f>SUMIF(ConfirmedRaw!$B:$B,$B56,ConfirmedRaw!T:T)</f>
        <v>0</v>
      </c>
      <c r="S56">
        <f>SUMIF(ConfirmedRaw!$B:$B,$B56,ConfirmedRaw!U:U)</f>
        <v>0</v>
      </c>
      <c r="T56">
        <f>SUMIF(ConfirmedRaw!$B:$B,$B56,ConfirmedRaw!V:V)</f>
        <v>0</v>
      </c>
      <c r="U56">
        <f>SUMIF(ConfirmedRaw!$B:$B,$B56,ConfirmedRaw!W:W)</f>
        <v>0</v>
      </c>
      <c r="V56">
        <f>SUMIF(ConfirmedRaw!$B:$B,$B56,ConfirmedRaw!X:X)</f>
        <v>0</v>
      </c>
      <c r="W56">
        <f>SUMIF(ConfirmedRaw!$B:$B,$B56,ConfirmedRaw!Y:Y)</f>
        <v>0</v>
      </c>
      <c r="X56">
        <f>SUMIF(ConfirmedRaw!$B:$B,$B56,ConfirmedRaw!Z:Z)</f>
        <v>0</v>
      </c>
      <c r="Y56">
        <f>SUMIF(ConfirmedRaw!$B:$B,$B56,ConfirmedRaw!AA:AA)</f>
        <v>0</v>
      </c>
      <c r="Z56">
        <f>SUMIF(ConfirmedRaw!$B:$B,$B56,ConfirmedRaw!AB:AB)</f>
        <v>0</v>
      </c>
      <c r="AA56">
        <f>SUMIF(ConfirmedRaw!$B:$B,$B56,ConfirmedRaw!AC:AC)</f>
        <v>0</v>
      </c>
      <c r="AB56">
        <f>SUMIF(ConfirmedRaw!$B:$B,$B56,ConfirmedRaw!AD:AD)</f>
        <v>0</v>
      </c>
      <c r="AC56">
        <f>SUMIF(ConfirmedRaw!$B:$B,$B56,ConfirmedRaw!AE:AE)</f>
        <v>0</v>
      </c>
      <c r="AD56">
        <f>SUMIF(ConfirmedRaw!$B:$B,$B56,ConfirmedRaw!AF:AF)</f>
        <v>0</v>
      </c>
      <c r="AE56">
        <f>SUMIF(ConfirmedRaw!$B:$B,$B56,ConfirmedRaw!AG:AG)</f>
        <v>0</v>
      </c>
      <c r="AF56">
        <f>SUMIF(ConfirmedRaw!$B:$B,$B56,ConfirmedRaw!AH:AH)</f>
        <v>0</v>
      </c>
      <c r="AG56">
        <f>SUMIF(ConfirmedRaw!$B:$B,$B56,ConfirmedRaw!AI:AI)</f>
        <v>0</v>
      </c>
      <c r="AH56">
        <f>SUMIF(ConfirmedRaw!$B:$B,$B56,ConfirmedRaw!AJ:AJ)</f>
        <v>0</v>
      </c>
      <c r="AI56">
        <f>SUMIF(ConfirmedRaw!$B:$B,$B56,ConfirmedRaw!AK:AK)</f>
        <v>0</v>
      </c>
      <c r="AJ56">
        <f>SUMIF(ConfirmedRaw!$B:$B,$B56,ConfirmedRaw!AL:AL)</f>
        <v>0</v>
      </c>
      <c r="AK56">
        <f>SUMIF(ConfirmedRaw!$B:$B,$B56,ConfirmedRaw!AM:AM)</f>
        <v>0</v>
      </c>
      <c r="AL56">
        <f>SUMIF(ConfirmedRaw!$B:$B,$B56,ConfirmedRaw!AN:AN)</f>
        <v>0</v>
      </c>
      <c r="AM56">
        <f>SUMIF(ConfirmedRaw!$B:$B,$B56,ConfirmedRaw!AO:AO)</f>
        <v>0</v>
      </c>
      <c r="AN56">
        <f>SUMIF(ConfirmedRaw!$B:$B,$B56,ConfirmedRaw!AP:AP)</f>
        <v>0</v>
      </c>
      <c r="AO56">
        <f>SUMIF(ConfirmedRaw!$B:$B,$B56,ConfirmedRaw!AQ:AQ)</f>
        <v>0</v>
      </c>
      <c r="AP56">
        <f>SUMIF(ConfirmedRaw!$B:$B,$B56,ConfirmedRaw!AR:AR)</f>
        <v>0</v>
      </c>
      <c r="AQ56">
        <f>SUMIF(ConfirmedRaw!$B:$B,$B56,ConfirmedRaw!AS:AS)</f>
        <v>0</v>
      </c>
      <c r="AR56">
        <f>SUMIF(ConfirmedRaw!$B:$B,$B56,ConfirmedRaw!AT:AT)</f>
        <v>0</v>
      </c>
      <c r="AS56">
        <f>SUMIF(ConfirmedRaw!$B:$B,$B56,ConfirmedRaw!AU:AU)</f>
        <v>0</v>
      </c>
      <c r="AT56">
        <f>SUMIF(ConfirmedRaw!$B:$B,$B56,ConfirmedRaw!AV:AV)</f>
        <v>0</v>
      </c>
      <c r="AU56">
        <f>SUMIF(ConfirmedRaw!$B:$B,$B56,ConfirmedRaw!AW:AW)</f>
        <v>0</v>
      </c>
      <c r="AV56">
        <f>SUMIF(ConfirmedRaw!$B:$B,$B56,ConfirmedRaw!AX:AX)</f>
        <v>0</v>
      </c>
      <c r="AW56">
        <f>SUMIF(ConfirmedRaw!$B:$B,$B56,ConfirmedRaw!AY:AY)</f>
        <v>0</v>
      </c>
      <c r="AX56">
        <f>SUMIF(ConfirmedRaw!$B:$B,$B56,ConfirmedRaw!AZ:AZ)</f>
        <v>2</v>
      </c>
      <c r="AY56">
        <f>SUMIF(ConfirmedRaw!$B:$B,$B56,ConfirmedRaw!BA:BA)</f>
        <v>10</v>
      </c>
      <c r="AZ56">
        <f>SUMIF(ConfirmedRaw!$B:$B,$B56,ConfirmedRaw!BB:BB)</f>
        <v>12</v>
      </c>
      <c r="BA56">
        <f>SUMIF(ConfirmedRaw!$B:$B,$B56,ConfirmedRaw!BC:BC)</f>
        <v>23</v>
      </c>
      <c r="BB56">
        <f>SUMIF(ConfirmedRaw!$B:$B,$B56,ConfirmedRaw!BD:BD)</f>
        <v>33</v>
      </c>
      <c r="BC56">
        <f>SUMIF(ConfirmedRaw!$B:$B,$B56,ConfirmedRaw!BE:BE)</f>
        <v>38</v>
      </c>
      <c r="BD56">
        <f>SUMIF(ConfirmedRaw!$B:$B,$B56,ConfirmedRaw!BF:BF)</f>
        <v>42</v>
      </c>
      <c r="BE56">
        <f>SUMIF(ConfirmedRaw!$B:$B,$B56,ConfirmedRaw!BG:BG)</f>
        <v>51</v>
      </c>
      <c r="BF56">
        <f>SUMIF(ConfirmedRaw!$B:$B,$B56,ConfirmedRaw!BH:BH)</f>
        <v>55</v>
      </c>
      <c r="BG56">
        <f>SUMIF(ConfirmedRaw!$B:$B,$B56,ConfirmedRaw!BI:BI)</f>
        <v>59</v>
      </c>
      <c r="BH56">
        <f>SUMIF(ConfirmedRaw!$B:$B,$B56,ConfirmedRaw!BJ:BJ)</f>
        <v>64</v>
      </c>
      <c r="BI56">
        <f>SUMIF(ConfirmedRaw!$B:$B,$B56,ConfirmedRaw!BK:BK)</f>
        <v>70</v>
      </c>
      <c r="BJ56">
        <f>SUMIF(ConfirmedRaw!$B:$B,$B56,ConfirmedRaw!BL:BL)</f>
        <v>76</v>
      </c>
      <c r="BK56">
        <f>SUMIF(ConfirmedRaw!$B:$B,$B56,ConfirmedRaw!BM:BM)</f>
        <v>89</v>
      </c>
      <c r="BL56">
        <f>SUMIF(ConfirmedRaw!$B:$B,$B56,ConfirmedRaw!BN:BN)</f>
        <v>104</v>
      </c>
      <c r="BM56">
        <f>SUMIF(ConfirmedRaw!$B:$B,$B56,ConfirmedRaw!BO:BO)</f>
        <v>123</v>
      </c>
      <c r="BN56">
        <f>SUMIF(ConfirmedRaw!$B:$B,$B56,ConfirmedRaw!BP:BP)</f>
        <v>146</v>
      </c>
      <c r="BO56">
        <f>SUMIF(ConfirmedRaw!$B:$B,$B56,ConfirmedRaw!BQ:BQ)</f>
        <v>174</v>
      </c>
      <c r="BP56">
        <f>SUMIF(ConfirmedRaw!$B:$B,$B56,ConfirmedRaw!BR:BR)</f>
        <v>186</v>
      </c>
      <c r="BQ56">
        <f>SUMIF(ConfirmedRaw!$B:$B,$B56,ConfirmedRaw!BS:BS)</f>
        <v>197</v>
      </c>
      <c r="BR56">
        <f>SUMIF(ConfirmedRaw!$B:$B,$B56,ConfirmedRaw!BT:BT)</f>
        <v>0</v>
      </c>
      <c r="BS56">
        <f>SUMIF(ConfirmedRaw!$B:$B,$B56,ConfirmedRaw!BU:BU)</f>
        <v>0</v>
      </c>
      <c r="BT56">
        <f>SUMIF(ConfirmedRaw!$B:$B,$B56,ConfirmedRaw!BV:BV)</f>
        <v>0</v>
      </c>
      <c r="BU56">
        <f>SUMIF(ConfirmedRaw!$B:$B,$B56,ConfirmedRaw!BW:BW)</f>
        <v>0</v>
      </c>
    </row>
    <row r="57" spans="1:73" ht="15" thickBot="1" x14ac:dyDescent="0.35">
      <c r="A57" s="97" t="str">
        <f>VLOOKUP(B57,Country_Data!B:Q,16,FALSE)</f>
        <v>Europe</v>
      </c>
      <c r="B57" s="3" t="s">
        <v>76</v>
      </c>
      <c r="C57">
        <f>SUMIF(ConfirmedRaw!$B:$B,$B57,ConfirmedRaw!E:E)</f>
        <v>0</v>
      </c>
      <c r="D57">
        <f>SUMIF(ConfirmedRaw!$B:$B,$B57,ConfirmedRaw!F:F)</f>
        <v>0</v>
      </c>
      <c r="E57">
        <f>SUMIF(ConfirmedRaw!$B:$B,$B57,ConfirmedRaw!G:G)</f>
        <v>0</v>
      </c>
      <c r="F57">
        <f>SUMIF(ConfirmedRaw!$B:$B,$B57,ConfirmedRaw!H:H)</f>
        <v>0</v>
      </c>
      <c r="G57">
        <f>SUMIF(ConfirmedRaw!$B:$B,$B57,ConfirmedRaw!I:I)</f>
        <v>0</v>
      </c>
      <c r="H57">
        <f>SUMIF(ConfirmedRaw!$B:$B,$B57,ConfirmedRaw!J:J)</f>
        <v>0</v>
      </c>
      <c r="I57">
        <f>SUMIF(ConfirmedRaw!$B:$B,$B57,ConfirmedRaw!K:K)</f>
        <v>0</v>
      </c>
      <c r="J57">
        <f>SUMIF(ConfirmedRaw!$B:$B,$B57,ConfirmedRaw!L:L)</f>
        <v>0</v>
      </c>
      <c r="K57">
        <f>SUMIF(ConfirmedRaw!$B:$B,$B57,ConfirmedRaw!M:M)</f>
        <v>0</v>
      </c>
      <c r="L57">
        <f>SUMIF(ConfirmedRaw!$B:$B,$B57,ConfirmedRaw!N:N)</f>
        <v>0</v>
      </c>
      <c r="M57">
        <f>SUMIF(ConfirmedRaw!$B:$B,$B57,ConfirmedRaw!O:O)</f>
        <v>0</v>
      </c>
      <c r="N57">
        <f>SUMIF(ConfirmedRaw!$B:$B,$B57,ConfirmedRaw!P:P)</f>
        <v>0</v>
      </c>
      <c r="O57">
        <f>SUMIF(ConfirmedRaw!$B:$B,$B57,ConfirmedRaw!Q:Q)</f>
        <v>0</v>
      </c>
      <c r="P57">
        <f>SUMIF(ConfirmedRaw!$B:$B,$B57,ConfirmedRaw!R:R)</f>
        <v>0</v>
      </c>
      <c r="Q57">
        <f>SUMIF(ConfirmedRaw!$B:$B,$B57,ConfirmedRaw!S:S)</f>
        <v>0</v>
      </c>
      <c r="R57">
        <f>SUMIF(ConfirmedRaw!$B:$B,$B57,ConfirmedRaw!T:T)</f>
        <v>0</v>
      </c>
      <c r="S57">
        <f>SUMIF(ConfirmedRaw!$B:$B,$B57,ConfirmedRaw!U:U)</f>
        <v>0</v>
      </c>
      <c r="T57">
        <f>SUMIF(ConfirmedRaw!$B:$B,$B57,ConfirmedRaw!V:V)</f>
        <v>0</v>
      </c>
      <c r="U57">
        <f>SUMIF(ConfirmedRaw!$B:$B,$B57,ConfirmedRaw!W:W)</f>
        <v>0</v>
      </c>
      <c r="V57">
        <f>SUMIF(ConfirmedRaw!$B:$B,$B57,ConfirmedRaw!X:X)</f>
        <v>0</v>
      </c>
      <c r="W57">
        <f>SUMIF(ConfirmedRaw!$B:$B,$B57,ConfirmedRaw!Y:Y)</f>
        <v>0</v>
      </c>
      <c r="X57">
        <f>SUMIF(ConfirmedRaw!$B:$B,$B57,ConfirmedRaw!Z:Z)</f>
        <v>0</v>
      </c>
      <c r="Y57">
        <f>SUMIF(ConfirmedRaw!$B:$B,$B57,ConfirmedRaw!AA:AA)</f>
        <v>0</v>
      </c>
      <c r="Z57">
        <f>SUMIF(ConfirmedRaw!$B:$B,$B57,ConfirmedRaw!AB:AB)</f>
        <v>0</v>
      </c>
      <c r="AA57">
        <f>SUMIF(ConfirmedRaw!$B:$B,$B57,ConfirmedRaw!AC:AC)</f>
        <v>0</v>
      </c>
      <c r="AB57">
        <f>SUMIF(ConfirmedRaw!$B:$B,$B57,ConfirmedRaw!AD:AD)</f>
        <v>0</v>
      </c>
      <c r="AC57">
        <f>SUMIF(ConfirmedRaw!$B:$B,$B57,ConfirmedRaw!AE:AE)</f>
        <v>0</v>
      </c>
      <c r="AD57">
        <f>SUMIF(ConfirmedRaw!$B:$B,$B57,ConfirmedRaw!AF:AF)</f>
        <v>0</v>
      </c>
      <c r="AE57">
        <f>SUMIF(ConfirmedRaw!$B:$B,$B57,ConfirmedRaw!AG:AG)</f>
        <v>0</v>
      </c>
      <c r="AF57">
        <f>SUMIF(ConfirmedRaw!$B:$B,$B57,ConfirmedRaw!AH:AH)</f>
        <v>0</v>
      </c>
      <c r="AG57">
        <f>SUMIF(ConfirmedRaw!$B:$B,$B57,ConfirmedRaw!AI:AI)</f>
        <v>0</v>
      </c>
      <c r="AH57">
        <f>SUMIF(ConfirmedRaw!$B:$B,$B57,ConfirmedRaw!AJ:AJ)</f>
        <v>0</v>
      </c>
      <c r="AI57">
        <f>SUMIF(ConfirmedRaw!$B:$B,$B57,ConfirmedRaw!AK:AK)</f>
        <v>0</v>
      </c>
      <c r="AJ57">
        <f>SUMIF(ConfirmedRaw!$B:$B,$B57,ConfirmedRaw!AL:AL)</f>
        <v>0</v>
      </c>
      <c r="AK57">
        <f>SUMIF(ConfirmedRaw!$B:$B,$B57,ConfirmedRaw!AM:AM)</f>
        <v>1</v>
      </c>
      <c r="AL57">
        <f>SUMIF(ConfirmedRaw!$B:$B,$B57,ConfirmedRaw!AN:AN)</f>
        <v>3</v>
      </c>
      <c r="AM57">
        <f>SUMIF(ConfirmedRaw!$B:$B,$B57,ConfirmedRaw!AO:AO)</f>
        <v>3</v>
      </c>
      <c r="AN57">
        <f>SUMIF(ConfirmedRaw!$B:$B,$B57,ConfirmedRaw!AP:AP)</f>
        <v>5</v>
      </c>
      <c r="AO57">
        <f>SUMIF(ConfirmedRaw!$B:$B,$B57,ConfirmedRaw!AQ:AQ)</f>
        <v>6</v>
      </c>
      <c r="AP57">
        <f>SUMIF(ConfirmedRaw!$B:$B,$B57,ConfirmedRaw!AR:AR)</f>
        <v>7</v>
      </c>
      <c r="AQ57">
        <f>SUMIF(ConfirmedRaw!$B:$B,$B57,ConfirmedRaw!AS:AS)</f>
        <v>7</v>
      </c>
      <c r="AR57">
        <f>SUMIF(ConfirmedRaw!$B:$B,$B57,ConfirmedRaw!AT:AT)</f>
        <v>9</v>
      </c>
      <c r="AS57">
        <f>SUMIF(ConfirmedRaw!$B:$B,$B57,ConfirmedRaw!AU:AU)</f>
        <v>10</v>
      </c>
      <c r="AT57">
        <f>SUMIF(ConfirmedRaw!$B:$B,$B57,ConfirmedRaw!AV:AV)</f>
        <v>10</v>
      </c>
      <c r="AU57">
        <f>SUMIF(ConfirmedRaw!$B:$B,$B57,ConfirmedRaw!AW:AW)</f>
        <v>11</v>
      </c>
      <c r="AV57">
        <f>SUMIF(ConfirmedRaw!$B:$B,$B57,ConfirmedRaw!AX:AX)</f>
        <v>12</v>
      </c>
      <c r="AW57">
        <f>SUMIF(ConfirmedRaw!$B:$B,$B57,ConfirmedRaw!AY:AY)</f>
        <v>12</v>
      </c>
      <c r="AX57">
        <f>SUMIF(ConfirmedRaw!$B:$B,$B57,ConfirmedRaw!AZ:AZ)</f>
        <v>12</v>
      </c>
      <c r="AY57">
        <f>SUMIF(ConfirmedRaw!$B:$B,$B57,ConfirmedRaw!BA:BA)</f>
        <v>14</v>
      </c>
      <c r="AZ57">
        <f>SUMIF(ConfirmedRaw!$B:$B,$B57,ConfirmedRaw!BB:BB)</f>
        <v>19</v>
      </c>
      <c r="BA57">
        <f>SUMIF(ConfirmedRaw!$B:$B,$B57,ConfirmedRaw!BC:BC)</f>
        <v>19</v>
      </c>
      <c r="BB57">
        <f>SUMIF(ConfirmedRaw!$B:$B,$B57,ConfirmedRaw!BD:BD)</f>
        <v>32</v>
      </c>
      <c r="BC57">
        <f>SUMIF(ConfirmedRaw!$B:$B,$B57,ConfirmedRaw!BE:BE)</f>
        <v>38</v>
      </c>
      <c r="BD57">
        <f>SUMIF(ConfirmedRaw!$B:$B,$B57,ConfirmedRaw!BF:BF)</f>
        <v>49</v>
      </c>
      <c r="BE57">
        <f>SUMIF(ConfirmedRaw!$B:$B,$B57,ConfirmedRaw!BG:BG)</f>
        <v>57</v>
      </c>
      <c r="BF57">
        <f>SUMIF(ConfirmedRaw!$B:$B,$B57,ConfirmedRaw!BH:BH)</f>
        <v>65</v>
      </c>
      <c r="BG57">
        <f>SUMIF(ConfirmedRaw!$B:$B,$B57,ConfirmedRaw!BI:BI)</f>
        <v>81</v>
      </c>
      <c r="BH57">
        <f>SUMIF(ConfirmedRaw!$B:$B,$B57,ConfirmedRaw!BJ:BJ)</f>
        <v>105</v>
      </c>
      <c r="BI57">
        <f>SUMIF(ConfirmedRaw!$B:$B,$B57,ConfirmedRaw!BK:BK)</f>
        <v>128</v>
      </c>
      <c r="BJ57">
        <f>SUMIF(ConfirmedRaw!$B:$B,$B57,ConfirmedRaw!BL:BL)</f>
        <v>206</v>
      </c>
      <c r="BK57">
        <f>SUMIF(ConfirmedRaw!$B:$B,$B57,ConfirmedRaw!BM:BM)</f>
        <v>254</v>
      </c>
      <c r="BL57">
        <f>SUMIF(ConfirmedRaw!$B:$B,$B57,ConfirmedRaw!BN:BN)</f>
        <v>315</v>
      </c>
      <c r="BM57">
        <f>SUMIF(ConfirmedRaw!$B:$B,$B57,ConfirmedRaw!BO:BO)</f>
        <v>382</v>
      </c>
      <c r="BN57">
        <f>SUMIF(ConfirmedRaw!$B:$B,$B57,ConfirmedRaw!BP:BP)</f>
        <v>442</v>
      </c>
      <c r="BO57">
        <f>SUMIF(ConfirmedRaw!$B:$B,$B57,ConfirmedRaw!BQ:BQ)</f>
        <v>495</v>
      </c>
      <c r="BP57">
        <f>SUMIF(ConfirmedRaw!$B:$B,$B57,ConfirmedRaw!BR:BR)</f>
        <v>586</v>
      </c>
      <c r="BQ57">
        <f>SUMIF(ConfirmedRaw!$B:$B,$B57,ConfirmedRaw!BS:BS)</f>
        <v>657</v>
      </c>
      <c r="BR57">
        <f>SUMIF(ConfirmedRaw!$B:$B,$B57,ConfirmedRaw!BT:BT)</f>
        <v>0</v>
      </c>
      <c r="BS57">
        <f>SUMIF(ConfirmedRaw!$B:$B,$B57,ConfirmedRaw!BU:BU)</f>
        <v>0</v>
      </c>
      <c r="BT57">
        <f>SUMIF(ConfirmedRaw!$B:$B,$B57,ConfirmedRaw!BV:BV)</f>
        <v>0</v>
      </c>
      <c r="BU57">
        <f>SUMIF(ConfirmedRaw!$B:$B,$B57,ConfirmedRaw!BW:BW)</f>
        <v>0</v>
      </c>
    </row>
    <row r="58" spans="1:73" ht="15" thickBot="1" x14ac:dyDescent="0.35">
      <c r="A58" s="97" t="str">
        <f>VLOOKUP(B58,Country_Data!B:Q,16,FALSE)</f>
        <v>Europe</v>
      </c>
      <c r="B58" s="4" t="s">
        <v>162</v>
      </c>
      <c r="C58">
        <f>SUMIF(ConfirmedRaw!$B:$B,$B58,ConfirmedRaw!E:E)</f>
        <v>0</v>
      </c>
      <c r="D58">
        <f>SUMIF(ConfirmedRaw!$B:$B,$B58,ConfirmedRaw!F:F)</f>
        <v>0</v>
      </c>
      <c r="E58">
        <f>SUMIF(ConfirmedRaw!$B:$B,$B58,ConfirmedRaw!G:G)</f>
        <v>0</v>
      </c>
      <c r="F58">
        <f>SUMIF(ConfirmedRaw!$B:$B,$B58,ConfirmedRaw!H:H)</f>
        <v>0</v>
      </c>
      <c r="G58">
        <f>SUMIF(ConfirmedRaw!$B:$B,$B58,ConfirmedRaw!I:I)</f>
        <v>0</v>
      </c>
      <c r="H58">
        <f>SUMIF(ConfirmedRaw!$B:$B,$B58,ConfirmedRaw!J:J)</f>
        <v>0</v>
      </c>
      <c r="I58">
        <f>SUMIF(ConfirmedRaw!$B:$B,$B58,ConfirmedRaw!K:K)</f>
        <v>0</v>
      </c>
      <c r="J58">
        <f>SUMIF(ConfirmedRaw!$B:$B,$B58,ConfirmedRaw!L:L)</f>
        <v>0</v>
      </c>
      <c r="K58">
        <f>SUMIF(ConfirmedRaw!$B:$B,$B58,ConfirmedRaw!M:M)</f>
        <v>0</v>
      </c>
      <c r="L58">
        <f>SUMIF(ConfirmedRaw!$B:$B,$B58,ConfirmedRaw!N:N)</f>
        <v>0</v>
      </c>
      <c r="M58">
        <f>SUMIF(ConfirmedRaw!$B:$B,$B58,ConfirmedRaw!O:O)</f>
        <v>0</v>
      </c>
      <c r="N58">
        <f>SUMIF(ConfirmedRaw!$B:$B,$B58,ConfirmedRaw!P:P)</f>
        <v>0</v>
      </c>
      <c r="O58">
        <f>SUMIF(ConfirmedRaw!$B:$B,$B58,ConfirmedRaw!Q:Q)</f>
        <v>0</v>
      </c>
      <c r="P58">
        <f>SUMIF(ConfirmedRaw!$B:$B,$B58,ConfirmedRaw!R:R)</f>
        <v>0</v>
      </c>
      <c r="Q58">
        <f>SUMIF(ConfirmedRaw!$B:$B,$B58,ConfirmedRaw!S:S)</f>
        <v>0</v>
      </c>
      <c r="R58">
        <f>SUMIF(ConfirmedRaw!$B:$B,$B58,ConfirmedRaw!T:T)</f>
        <v>0</v>
      </c>
      <c r="S58">
        <f>SUMIF(ConfirmedRaw!$B:$B,$B58,ConfirmedRaw!U:U)</f>
        <v>0</v>
      </c>
      <c r="T58">
        <f>SUMIF(ConfirmedRaw!$B:$B,$B58,ConfirmedRaw!V:V)</f>
        <v>0</v>
      </c>
      <c r="U58">
        <f>SUMIF(ConfirmedRaw!$B:$B,$B58,ConfirmedRaw!W:W)</f>
        <v>0</v>
      </c>
      <c r="V58">
        <f>SUMIF(ConfirmedRaw!$B:$B,$B58,ConfirmedRaw!X:X)</f>
        <v>0</v>
      </c>
      <c r="W58">
        <f>SUMIF(ConfirmedRaw!$B:$B,$B58,ConfirmedRaw!Y:Y)</f>
        <v>0</v>
      </c>
      <c r="X58">
        <f>SUMIF(ConfirmedRaw!$B:$B,$B58,ConfirmedRaw!Z:Z)</f>
        <v>0</v>
      </c>
      <c r="Y58">
        <f>SUMIF(ConfirmedRaw!$B:$B,$B58,ConfirmedRaw!AA:AA)</f>
        <v>0</v>
      </c>
      <c r="Z58">
        <f>SUMIF(ConfirmedRaw!$B:$B,$B58,ConfirmedRaw!AB:AB)</f>
        <v>0</v>
      </c>
      <c r="AA58">
        <f>SUMIF(ConfirmedRaw!$B:$B,$B58,ConfirmedRaw!AC:AC)</f>
        <v>0</v>
      </c>
      <c r="AB58">
        <f>SUMIF(ConfirmedRaw!$B:$B,$B58,ConfirmedRaw!AD:AD)</f>
        <v>0</v>
      </c>
      <c r="AC58">
        <f>SUMIF(ConfirmedRaw!$B:$B,$B58,ConfirmedRaw!AE:AE)</f>
        <v>0</v>
      </c>
      <c r="AD58">
        <f>SUMIF(ConfirmedRaw!$B:$B,$B58,ConfirmedRaw!AF:AF)</f>
        <v>0</v>
      </c>
      <c r="AE58">
        <f>SUMIF(ConfirmedRaw!$B:$B,$B58,ConfirmedRaw!AG:AG)</f>
        <v>0</v>
      </c>
      <c r="AF58">
        <f>SUMIF(ConfirmedRaw!$B:$B,$B58,ConfirmedRaw!AH:AH)</f>
        <v>0</v>
      </c>
      <c r="AG58">
        <f>SUMIF(ConfirmedRaw!$B:$B,$B58,ConfirmedRaw!AI:AI)</f>
        <v>0</v>
      </c>
      <c r="AH58">
        <f>SUMIF(ConfirmedRaw!$B:$B,$B58,ConfirmedRaw!AJ:AJ)</f>
        <v>0</v>
      </c>
      <c r="AI58">
        <f>SUMIF(ConfirmedRaw!$B:$B,$B58,ConfirmedRaw!AK:AK)</f>
        <v>0</v>
      </c>
      <c r="AJ58">
        <f>SUMIF(ConfirmedRaw!$B:$B,$B58,ConfirmedRaw!AL:AL)</f>
        <v>0</v>
      </c>
      <c r="AK58">
        <f>SUMIF(ConfirmedRaw!$B:$B,$B58,ConfirmedRaw!AM:AM)</f>
        <v>0</v>
      </c>
      <c r="AL58">
        <f>SUMIF(ConfirmedRaw!$B:$B,$B58,ConfirmedRaw!AN:AN)</f>
        <v>0</v>
      </c>
      <c r="AM58">
        <f>SUMIF(ConfirmedRaw!$B:$B,$B58,ConfirmedRaw!AO:AO)</f>
        <v>0</v>
      </c>
      <c r="AN58">
        <f>SUMIF(ConfirmedRaw!$B:$B,$B58,ConfirmedRaw!AP:AP)</f>
        <v>0</v>
      </c>
      <c r="AO58">
        <f>SUMIF(ConfirmedRaw!$B:$B,$B58,ConfirmedRaw!AQ:AQ)</f>
        <v>0</v>
      </c>
      <c r="AP58">
        <f>SUMIF(ConfirmedRaw!$B:$B,$B58,ConfirmedRaw!AR:AR)</f>
        <v>0</v>
      </c>
      <c r="AQ58">
        <f>SUMIF(ConfirmedRaw!$B:$B,$B58,ConfirmedRaw!AS:AS)</f>
        <v>0</v>
      </c>
      <c r="AR58">
        <f>SUMIF(ConfirmedRaw!$B:$B,$B58,ConfirmedRaw!AT:AT)</f>
        <v>0</v>
      </c>
      <c r="AS58">
        <f>SUMIF(ConfirmedRaw!$B:$B,$B58,ConfirmedRaw!AU:AU)</f>
        <v>0</v>
      </c>
      <c r="AT58">
        <f>SUMIF(ConfirmedRaw!$B:$B,$B58,ConfirmedRaw!AV:AV)</f>
        <v>0</v>
      </c>
      <c r="AU58">
        <f>SUMIF(ConfirmedRaw!$B:$B,$B58,ConfirmedRaw!AW:AW)</f>
        <v>1</v>
      </c>
      <c r="AV58">
        <f>SUMIF(ConfirmedRaw!$B:$B,$B58,ConfirmedRaw!AX:AX)</f>
        <v>1</v>
      </c>
      <c r="AW58">
        <f>SUMIF(ConfirmedRaw!$B:$B,$B58,ConfirmedRaw!AY:AY)</f>
        <v>3</v>
      </c>
      <c r="AX58">
        <f>SUMIF(ConfirmedRaw!$B:$B,$B58,ConfirmedRaw!AZ:AZ)</f>
        <v>3</v>
      </c>
      <c r="AY58">
        <f>SUMIF(ConfirmedRaw!$B:$B,$B58,ConfirmedRaw!BA:BA)</f>
        <v>7</v>
      </c>
      <c r="AZ58">
        <f>SUMIF(ConfirmedRaw!$B:$B,$B58,ConfirmedRaw!BB:BB)</f>
        <v>10</v>
      </c>
      <c r="BA58">
        <f>SUMIF(ConfirmedRaw!$B:$B,$B58,ConfirmedRaw!BC:BC)</f>
        <v>16</v>
      </c>
      <c r="BB58">
        <f>SUMIF(ConfirmedRaw!$B:$B,$B58,ConfirmedRaw!BD:BD)</f>
        <v>32</v>
      </c>
      <c r="BC58">
        <f>SUMIF(ConfirmedRaw!$B:$B,$B58,ConfirmedRaw!BE:BE)</f>
        <v>44</v>
      </c>
      <c r="BD58">
        <f>SUMIF(ConfirmedRaw!$B:$B,$B58,ConfirmedRaw!BF:BF)</f>
        <v>54</v>
      </c>
      <c r="BE58">
        <f>SUMIF(ConfirmedRaw!$B:$B,$B58,ConfirmedRaw!BG:BG)</f>
        <v>63</v>
      </c>
      <c r="BF58">
        <f>SUMIF(ConfirmedRaw!$B:$B,$B58,ConfirmedRaw!BH:BH)</f>
        <v>72</v>
      </c>
      <c r="BG58">
        <f>SUMIF(ConfirmedRaw!$B:$B,$B58,ConfirmedRaw!BI:BI)</f>
        <v>105</v>
      </c>
      <c r="BH58">
        <f>SUMIF(ConfirmedRaw!$B:$B,$B58,ConfirmedRaw!BJ:BJ)</f>
        <v>123</v>
      </c>
      <c r="BI58">
        <f>SUMIF(ConfirmedRaw!$B:$B,$B58,ConfirmedRaw!BK:BK)</f>
        <v>137</v>
      </c>
      <c r="BJ58">
        <f>SUMIF(ConfirmedRaw!$B:$B,$B58,ConfirmedRaw!BL:BL)</f>
        <v>178</v>
      </c>
      <c r="BK58">
        <f>SUMIF(ConfirmedRaw!$B:$B,$B58,ConfirmedRaw!BM:BM)</f>
        <v>185</v>
      </c>
      <c r="BL58">
        <f>SUMIF(ConfirmedRaw!$B:$B,$B58,ConfirmedRaw!BN:BN)</f>
        <v>186</v>
      </c>
      <c r="BM58">
        <f>SUMIF(ConfirmedRaw!$B:$B,$B58,ConfirmedRaw!BO:BO)</f>
        <v>204</v>
      </c>
      <c r="BN58">
        <f>SUMIF(ConfirmedRaw!$B:$B,$B58,ConfirmedRaw!BP:BP)</f>
        <v>216</v>
      </c>
      <c r="BO58">
        <f>SUMIF(ConfirmedRaw!$B:$B,$B58,ConfirmedRaw!BQ:BQ)</f>
        <v>226</v>
      </c>
      <c r="BP58">
        <f>SUMIF(ConfirmedRaw!$B:$B,$B58,ConfirmedRaw!BR:BR)</f>
        <v>269</v>
      </c>
      <c r="BQ58">
        <f>SUMIF(ConfirmedRaw!$B:$B,$B58,ConfirmedRaw!BS:BS)</f>
        <v>292</v>
      </c>
      <c r="BR58">
        <f>SUMIF(ConfirmedRaw!$B:$B,$B58,ConfirmedRaw!BT:BT)</f>
        <v>0</v>
      </c>
      <c r="BS58">
        <f>SUMIF(ConfirmedRaw!$B:$B,$B58,ConfirmedRaw!BU:BU)</f>
        <v>0</v>
      </c>
      <c r="BT58">
        <f>SUMIF(ConfirmedRaw!$B:$B,$B58,ConfirmedRaw!BV:BV)</f>
        <v>0</v>
      </c>
      <c r="BU58">
        <f>SUMIF(ConfirmedRaw!$B:$B,$B58,ConfirmedRaw!BW:BW)</f>
        <v>0</v>
      </c>
    </row>
    <row r="59" spans="1:73" ht="15" thickBot="1" x14ac:dyDescent="0.35">
      <c r="A59" s="97" t="str">
        <f>VLOOKUP(B59,Country_Data!B:Q,16,FALSE)</f>
        <v>South America</v>
      </c>
      <c r="B59" s="4" t="s">
        <v>123</v>
      </c>
      <c r="C59">
        <f>SUMIF(ConfirmedRaw!$B:$B,$B59,ConfirmedRaw!E:E)</f>
        <v>0</v>
      </c>
      <c r="D59">
        <f>SUMIF(ConfirmedRaw!$B:$B,$B59,ConfirmedRaw!F:F)</f>
        <v>0</v>
      </c>
      <c r="E59">
        <f>SUMIF(ConfirmedRaw!$B:$B,$B59,ConfirmedRaw!G:G)</f>
        <v>0</v>
      </c>
      <c r="F59">
        <f>SUMIF(ConfirmedRaw!$B:$B,$B59,ConfirmedRaw!H:H)</f>
        <v>0</v>
      </c>
      <c r="G59">
        <f>SUMIF(ConfirmedRaw!$B:$B,$B59,ConfirmedRaw!I:I)</f>
        <v>0</v>
      </c>
      <c r="H59">
        <f>SUMIF(ConfirmedRaw!$B:$B,$B59,ConfirmedRaw!J:J)</f>
        <v>0</v>
      </c>
      <c r="I59">
        <f>SUMIF(ConfirmedRaw!$B:$B,$B59,ConfirmedRaw!K:K)</f>
        <v>0</v>
      </c>
      <c r="J59">
        <f>SUMIF(ConfirmedRaw!$B:$B,$B59,ConfirmedRaw!L:L)</f>
        <v>0</v>
      </c>
      <c r="K59">
        <f>SUMIF(ConfirmedRaw!$B:$B,$B59,ConfirmedRaw!M:M)</f>
        <v>0</v>
      </c>
      <c r="L59">
        <f>SUMIF(ConfirmedRaw!$B:$B,$B59,ConfirmedRaw!N:N)</f>
        <v>0</v>
      </c>
      <c r="M59">
        <f>SUMIF(ConfirmedRaw!$B:$B,$B59,ConfirmedRaw!O:O)</f>
        <v>0</v>
      </c>
      <c r="N59">
        <f>SUMIF(ConfirmedRaw!$B:$B,$B59,ConfirmedRaw!P:P)</f>
        <v>0</v>
      </c>
      <c r="O59">
        <f>SUMIF(ConfirmedRaw!$B:$B,$B59,ConfirmedRaw!Q:Q)</f>
        <v>0</v>
      </c>
      <c r="P59">
        <f>SUMIF(ConfirmedRaw!$B:$B,$B59,ConfirmedRaw!R:R)</f>
        <v>0</v>
      </c>
      <c r="Q59">
        <f>SUMIF(ConfirmedRaw!$B:$B,$B59,ConfirmedRaw!S:S)</f>
        <v>0</v>
      </c>
      <c r="R59">
        <f>SUMIF(ConfirmedRaw!$B:$B,$B59,ConfirmedRaw!T:T)</f>
        <v>0</v>
      </c>
      <c r="S59">
        <f>SUMIF(ConfirmedRaw!$B:$B,$B59,ConfirmedRaw!U:U)</f>
        <v>0</v>
      </c>
      <c r="T59">
        <f>SUMIF(ConfirmedRaw!$B:$B,$B59,ConfirmedRaw!V:V)</f>
        <v>0</v>
      </c>
      <c r="U59">
        <f>SUMIF(ConfirmedRaw!$B:$B,$B59,ConfirmedRaw!W:W)</f>
        <v>0</v>
      </c>
      <c r="V59">
        <f>SUMIF(ConfirmedRaw!$B:$B,$B59,ConfirmedRaw!X:X)</f>
        <v>0</v>
      </c>
      <c r="W59">
        <f>SUMIF(ConfirmedRaw!$B:$B,$B59,ConfirmedRaw!Y:Y)</f>
        <v>0</v>
      </c>
      <c r="X59">
        <f>SUMIF(ConfirmedRaw!$B:$B,$B59,ConfirmedRaw!Z:Z)</f>
        <v>0</v>
      </c>
      <c r="Y59">
        <f>SUMIF(ConfirmedRaw!$B:$B,$B59,ConfirmedRaw!AA:AA)</f>
        <v>0</v>
      </c>
      <c r="Z59">
        <f>SUMIF(ConfirmedRaw!$B:$B,$B59,ConfirmedRaw!AB:AB)</f>
        <v>0</v>
      </c>
      <c r="AA59">
        <f>SUMIF(ConfirmedRaw!$B:$B,$B59,ConfirmedRaw!AC:AC)</f>
        <v>0</v>
      </c>
      <c r="AB59">
        <f>SUMIF(ConfirmedRaw!$B:$B,$B59,ConfirmedRaw!AD:AD)</f>
        <v>0</v>
      </c>
      <c r="AC59">
        <f>SUMIF(ConfirmedRaw!$B:$B,$B59,ConfirmedRaw!AE:AE)</f>
        <v>0</v>
      </c>
      <c r="AD59">
        <f>SUMIF(ConfirmedRaw!$B:$B,$B59,ConfirmedRaw!AF:AF)</f>
        <v>0</v>
      </c>
      <c r="AE59">
        <f>SUMIF(ConfirmedRaw!$B:$B,$B59,ConfirmedRaw!AG:AG)</f>
        <v>0</v>
      </c>
      <c r="AF59">
        <f>SUMIF(ConfirmedRaw!$B:$B,$B59,ConfirmedRaw!AH:AH)</f>
        <v>0</v>
      </c>
      <c r="AG59">
        <f>SUMIF(ConfirmedRaw!$B:$B,$B59,ConfirmedRaw!AI:AI)</f>
        <v>0</v>
      </c>
      <c r="AH59">
        <f>SUMIF(ConfirmedRaw!$B:$B,$B59,ConfirmedRaw!AJ:AJ)</f>
        <v>0</v>
      </c>
      <c r="AI59">
        <f>SUMIF(ConfirmedRaw!$B:$B,$B59,ConfirmedRaw!AK:AK)</f>
        <v>0</v>
      </c>
      <c r="AJ59">
        <f>SUMIF(ConfirmedRaw!$B:$B,$B59,ConfirmedRaw!AL:AL)</f>
        <v>0</v>
      </c>
      <c r="AK59">
        <f>SUMIF(ConfirmedRaw!$B:$B,$B59,ConfirmedRaw!AM:AM)</f>
        <v>0</v>
      </c>
      <c r="AL59">
        <f>SUMIF(ConfirmedRaw!$B:$B,$B59,ConfirmedRaw!AN:AN)</f>
        <v>0</v>
      </c>
      <c r="AM59">
        <f>SUMIF(ConfirmedRaw!$B:$B,$B59,ConfirmedRaw!AO:AO)</f>
        <v>0</v>
      </c>
      <c r="AN59">
        <f>SUMIF(ConfirmedRaw!$B:$B,$B59,ConfirmedRaw!AP:AP)</f>
        <v>0</v>
      </c>
      <c r="AO59">
        <f>SUMIF(ConfirmedRaw!$B:$B,$B59,ConfirmedRaw!AQ:AQ)</f>
        <v>0</v>
      </c>
      <c r="AP59">
        <f>SUMIF(ConfirmedRaw!$B:$B,$B59,ConfirmedRaw!AR:AR)</f>
        <v>0</v>
      </c>
      <c r="AQ59">
        <f>SUMIF(ConfirmedRaw!$B:$B,$B59,ConfirmedRaw!AS:AS)</f>
        <v>0</v>
      </c>
      <c r="AR59">
        <f>SUMIF(ConfirmedRaw!$B:$B,$B59,ConfirmedRaw!AT:AT)</f>
        <v>1</v>
      </c>
      <c r="AS59">
        <f>SUMIF(ConfirmedRaw!$B:$B,$B59,ConfirmedRaw!AU:AU)</f>
        <v>1</v>
      </c>
      <c r="AT59">
        <f>SUMIF(ConfirmedRaw!$B:$B,$B59,ConfirmedRaw!AV:AV)</f>
        <v>1</v>
      </c>
      <c r="AU59">
        <f>SUMIF(ConfirmedRaw!$B:$B,$B59,ConfirmedRaw!AW:AW)</f>
        <v>2</v>
      </c>
      <c r="AV59">
        <f>SUMIF(ConfirmedRaw!$B:$B,$B59,ConfirmedRaw!AX:AX)</f>
        <v>8</v>
      </c>
      <c r="AW59">
        <f>SUMIF(ConfirmedRaw!$B:$B,$B59,ConfirmedRaw!AY:AY)</f>
        <v>12</v>
      </c>
      <c r="AX59">
        <f>SUMIF(ConfirmedRaw!$B:$B,$B59,ConfirmedRaw!AZ:AZ)</f>
        <v>12</v>
      </c>
      <c r="AY59">
        <f>SUMIF(ConfirmedRaw!$B:$B,$B59,ConfirmedRaw!BA:BA)</f>
        <v>17</v>
      </c>
      <c r="AZ59">
        <f>SUMIF(ConfirmedRaw!$B:$B,$B59,ConfirmedRaw!BB:BB)</f>
        <v>19</v>
      </c>
      <c r="BA59">
        <f>SUMIF(ConfirmedRaw!$B:$B,$B59,ConfirmedRaw!BC:BC)</f>
        <v>19</v>
      </c>
      <c r="BB59">
        <f>SUMIF(ConfirmedRaw!$B:$B,$B59,ConfirmedRaw!BD:BD)</f>
        <v>31</v>
      </c>
      <c r="BC59">
        <f>SUMIF(ConfirmedRaw!$B:$B,$B59,ConfirmedRaw!BE:BE)</f>
        <v>34</v>
      </c>
      <c r="BD59">
        <f>SUMIF(ConfirmedRaw!$B:$B,$B59,ConfirmedRaw!BF:BF)</f>
        <v>45</v>
      </c>
      <c r="BE59">
        <f>SUMIF(ConfirmedRaw!$B:$B,$B59,ConfirmedRaw!BG:BG)</f>
        <v>56</v>
      </c>
      <c r="BF59">
        <f>SUMIF(ConfirmedRaw!$B:$B,$B59,ConfirmedRaw!BH:BH)</f>
        <v>68</v>
      </c>
      <c r="BG59">
        <f>SUMIF(ConfirmedRaw!$B:$B,$B59,ConfirmedRaw!BI:BI)</f>
        <v>79</v>
      </c>
      <c r="BH59">
        <f>SUMIF(ConfirmedRaw!$B:$B,$B59,ConfirmedRaw!BJ:BJ)</f>
        <v>97</v>
      </c>
      <c r="BI59">
        <f>SUMIF(ConfirmedRaw!$B:$B,$B59,ConfirmedRaw!BK:BK)</f>
        <v>128</v>
      </c>
      <c r="BJ59">
        <f>SUMIF(ConfirmedRaw!$B:$B,$B59,ConfirmedRaw!BL:BL)</f>
        <v>158</v>
      </c>
      <c r="BK59">
        <f>SUMIF(ConfirmedRaw!$B:$B,$B59,ConfirmedRaw!BM:BM)</f>
        <v>266</v>
      </c>
      <c r="BL59">
        <f>SUMIF(ConfirmedRaw!$B:$B,$B59,ConfirmedRaw!BN:BN)</f>
        <v>301</v>
      </c>
      <c r="BM59">
        <f>SUMIF(ConfirmedRaw!$B:$B,$B59,ConfirmedRaw!BO:BO)</f>
        <v>387</v>
      </c>
      <c r="BN59">
        <f>SUMIF(ConfirmedRaw!$B:$B,$B59,ConfirmedRaw!BP:BP)</f>
        <v>387</v>
      </c>
      <c r="BO59">
        <f>SUMIF(ConfirmedRaw!$B:$B,$B59,ConfirmedRaw!BQ:BQ)</f>
        <v>502</v>
      </c>
      <c r="BP59">
        <f>SUMIF(ConfirmedRaw!$B:$B,$B59,ConfirmedRaw!BR:BR)</f>
        <v>589</v>
      </c>
      <c r="BQ59">
        <f>SUMIF(ConfirmedRaw!$B:$B,$B59,ConfirmedRaw!BS:BS)</f>
        <v>690</v>
      </c>
      <c r="BR59">
        <f>SUMIF(ConfirmedRaw!$B:$B,$B59,ConfirmedRaw!BT:BT)</f>
        <v>0</v>
      </c>
      <c r="BS59">
        <f>SUMIF(ConfirmedRaw!$B:$B,$B59,ConfirmedRaw!BU:BU)</f>
        <v>0</v>
      </c>
      <c r="BT59">
        <f>SUMIF(ConfirmedRaw!$B:$B,$B59,ConfirmedRaw!BV:BV)</f>
        <v>0</v>
      </c>
      <c r="BU59">
        <f>SUMIF(ConfirmedRaw!$B:$B,$B59,ConfirmedRaw!BW:BW)</f>
        <v>0</v>
      </c>
    </row>
    <row r="60" spans="1:73" ht="15" thickBot="1" x14ac:dyDescent="0.35">
      <c r="A60" s="97" t="str">
        <f>VLOOKUP(B60,Country_Data!B:Q,16,FALSE)</f>
        <v>Asia</v>
      </c>
      <c r="B60" s="3" t="s">
        <v>80</v>
      </c>
      <c r="C60">
        <f>SUMIF(ConfirmedRaw!$B:$B,$B60,ConfirmedRaw!E:E)</f>
        <v>0</v>
      </c>
      <c r="D60">
        <f>SUMIF(ConfirmedRaw!$B:$B,$B60,ConfirmedRaw!F:F)</f>
        <v>0</v>
      </c>
      <c r="E60">
        <f>SUMIF(ConfirmedRaw!$B:$B,$B60,ConfirmedRaw!G:G)</f>
        <v>0</v>
      </c>
      <c r="F60">
        <f>SUMIF(ConfirmedRaw!$B:$B,$B60,ConfirmedRaw!H:H)</f>
        <v>0</v>
      </c>
      <c r="G60">
        <f>SUMIF(ConfirmedRaw!$B:$B,$B60,ConfirmedRaw!I:I)</f>
        <v>0</v>
      </c>
      <c r="H60">
        <f>SUMIF(ConfirmedRaw!$B:$B,$B60,ConfirmedRaw!J:J)</f>
        <v>0</v>
      </c>
      <c r="I60">
        <f>SUMIF(ConfirmedRaw!$B:$B,$B60,ConfirmedRaw!K:K)</f>
        <v>0</v>
      </c>
      <c r="J60">
        <f>SUMIF(ConfirmedRaw!$B:$B,$B60,ConfirmedRaw!L:L)</f>
        <v>0</v>
      </c>
      <c r="K60">
        <f>SUMIF(ConfirmedRaw!$B:$B,$B60,ConfirmedRaw!M:M)</f>
        <v>0</v>
      </c>
      <c r="L60">
        <f>SUMIF(ConfirmedRaw!$B:$B,$B60,ConfirmedRaw!N:N)</f>
        <v>0</v>
      </c>
      <c r="M60">
        <f>SUMIF(ConfirmedRaw!$B:$B,$B60,ConfirmedRaw!O:O)</f>
        <v>0</v>
      </c>
      <c r="N60">
        <f>SUMIF(ConfirmedRaw!$B:$B,$B60,ConfirmedRaw!P:P)</f>
        <v>0</v>
      </c>
      <c r="O60">
        <f>SUMIF(ConfirmedRaw!$B:$B,$B60,ConfirmedRaw!Q:Q)</f>
        <v>0</v>
      </c>
      <c r="P60">
        <f>SUMIF(ConfirmedRaw!$B:$B,$B60,ConfirmedRaw!R:R)</f>
        <v>0</v>
      </c>
      <c r="Q60">
        <f>SUMIF(ConfirmedRaw!$B:$B,$B60,ConfirmedRaw!S:S)</f>
        <v>0</v>
      </c>
      <c r="R60">
        <f>SUMIF(ConfirmedRaw!$B:$B,$B60,ConfirmedRaw!T:T)</f>
        <v>0</v>
      </c>
      <c r="S60">
        <f>SUMIF(ConfirmedRaw!$B:$B,$B60,ConfirmedRaw!U:U)</f>
        <v>0</v>
      </c>
      <c r="T60">
        <f>SUMIF(ConfirmedRaw!$B:$B,$B60,ConfirmedRaw!V:V)</f>
        <v>0</v>
      </c>
      <c r="U60">
        <f>SUMIF(ConfirmedRaw!$B:$B,$B60,ConfirmedRaw!W:W)</f>
        <v>0</v>
      </c>
      <c r="V60">
        <f>SUMIF(ConfirmedRaw!$B:$B,$B60,ConfirmedRaw!X:X)</f>
        <v>0</v>
      </c>
      <c r="W60">
        <f>SUMIF(ConfirmedRaw!$B:$B,$B60,ConfirmedRaw!Y:Y)</f>
        <v>0</v>
      </c>
      <c r="X60">
        <f>SUMIF(ConfirmedRaw!$B:$B,$B60,ConfirmedRaw!Z:Z)</f>
        <v>0</v>
      </c>
      <c r="Y60">
        <f>SUMIF(ConfirmedRaw!$B:$B,$B60,ConfirmedRaw!AA:AA)</f>
        <v>0</v>
      </c>
      <c r="Z60">
        <f>SUMIF(ConfirmedRaw!$B:$B,$B60,ConfirmedRaw!AB:AB)</f>
        <v>0</v>
      </c>
      <c r="AA60">
        <f>SUMIF(ConfirmedRaw!$B:$B,$B60,ConfirmedRaw!AC:AC)</f>
        <v>0</v>
      </c>
      <c r="AB60">
        <f>SUMIF(ConfirmedRaw!$B:$B,$B60,ConfirmedRaw!AD:AD)</f>
        <v>0</v>
      </c>
      <c r="AC60">
        <f>SUMIF(ConfirmedRaw!$B:$B,$B60,ConfirmedRaw!AE:AE)</f>
        <v>0</v>
      </c>
      <c r="AD60">
        <f>SUMIF(ConfirmedRaw!$B:$B,$B60,ConfirmedRaw!AF:AF)</f>
        <v>0</v>
      </c>
      <c r="AE60">
        <f>SUMIF(ConfirmedRaw!$B:$B,$B60,ConfirmedRaw!AG:AG)</f>
        <v>0</v>
      </c>
      <c r="AF60">
        <f>SUMIF(ConfirmedRaw!$B:$B,$B60,ConfirmedRaw!AH:AH)</f>
        <v>0</v>
      </c>
      <c r="AG60">
        <f>SUMIF(ConfirmedRaw!$B:$B,$B60,ConfirmedRaw!AI:AI)</f>
        <v>0</v>
      </c>
      <c r="AH60">
        <f>SUMIF(ConfirmedRaw!$B:$B,$B60,ConfirmedRaw!AJ:AJ)</f>
        <v>0</v>
      </c>
      <c r="AI60">
        <f>SUMIF(ConfirmedRaw!$B:$B,$B60,ConfirmedRaw!AK:AK)</f>
        <v>0</v>
      </c>
      <c r="AJ60">
        <f>SUMIF(ConfirmedRaw!$B:$B,$B60,ConfirmedRaw!AL:AL)</f>
        <v>0</v>
      </c>
      <c r="AK60">
        <f>SUMIF(ConfirmedRaw!$B:$B,$B60,ConfirmedRaw!AM:AM)</f>
        <v>0</v>
      </c>
      <c r="AL60">
        <f>SUMIF(ConfirmedRaw!$B:$B,$B60,ConfirmedRaw!AN:AN)</f>
        <v>2</v>
      </c>
      <c r="AM60">
        <f>SUMIF(ConfirmedRaw!$B:$B,$B60,ConfirmedRaw!AO:AO)</f>
        <v>2</v>
      </c>
      <c r="AN60">
        <f>SUMIF(ConfirmedRaw!$B:$B,$B60,ConfirmedRaw!AP:AP)</f>
        <v>2</v>
      </c>
      <c r="AO60">
        <f>SUMIF(ConfirmedRaw!$B:$B,$B60,ConfirmedRaw!AQ:AQ)</f>
        <v>4</v>
      </c>
      <c r="AP60">
        <f>SUMIF(ConfirmedRaw!$B:$B,$B60,ConfirmedRaw!AR:AR)</f>
        <v>4</v>
      </c>
      <c r="AQ60">
        <f>SUMIF(ConfirmedRaw!$B:$B,$B60,ConfirmedRaw!AS:AS)</f>
        <v>4</v>
      </c>
      <c r="AR60">
        <f>SUMIF(ConfirmedRaw!$B:$B,$B60,ConfirmedRaw!AT:AT)</f>
        <v>5</v>
      </c>
      <c r="AS60">
        <f>SUMIF(ConfirmedRaw!$B:$B,$B60,ConfirmedRaw!AU:AU)</f>
        <v>5</v>
      </c>
      <c r="AT60">
        <f>SUMIF(ConfirmedRaw!$B:$B,$B60,ConfirmedRaw!AV:AV)</f>
        <v>5</v>
      </c>
      <c r="AU60">
        <f>SUMIF(ConfirmedRaw!$B:$B,$B60,ConfirmedRaw!AW:AW)</f>
        <v>6</v>
      </c>
      <c r="AV60">
        <f>SUMIF(ConfirmedRaw!$B:$B,$B60,ConfirmedRaw!AX:AX)</f>
        <v>6</v>
      </c>
      <c r="AW60">
        <f>SUMIF(ConfirmedRaw!$B:$B,$B60,ConfirmedRaw!AY:AY)</f>
        <v>6</v>
      </c>
      <c r="AX60">
        <f>SUMIF(ConfirmedRaw!$B:$B,$B60,ConfirmedRaw!AZ:AZ)</f>
        <v>6</v>
      </c>
      <c r="AY60">
        <f>SUMIF(ConfirmedRaw!$B:$B,$B60,ConfirmedRaw!BA:BA)</f>
        <v>16</v>
      </c>
      <c r="AZ60">
        <f>SUMIF(ConfirmedRaw!$B:$B,$B60,ConfirmedRaw!BB:BB)</f>
        <v>19</v>
      </c>
      <c r="BA60">
        <f>SUMIF(ConfirmedRaw!$B:$B,$B60,ConfirmedRaw!BC:BC)</f>
        <v>20</v>
      </c>
      <c r="BB60">
        <f>SUMIF(ConfirmedRaw!$B:$B,$B60,ConfirmedRaw!BD:BD)</f>
        <v>28</v>
      </c>
      <c r="BC60">
        <f>SUMIF(ConfirmedRaw!$B:$B,$B60,ConfirmedRaw!BE:BE)</f>
        <v>31</v>
      </c>
      <c r="BD60">
        <f>SUMIF(ConfirmedRaw!$B:$B,$B60,ConfirmedRaw!BF:BF)</f>
        <v>53</v>
      </c>
      <c r="BE60">
        <f>SUMIF(ConfirmedRaw!$B:$B,$B60,ConfirmedRaw!BG:BG)</f>
        <v>136</v>
      </c>
      <c r="BF60">
        <f>SUMIF(ConfirmedRaw!$B:$B,$B60,ConfirmedRaw!BH:BH)</f>
        <v>236</v>
      </c>
      <c r="BG60">
        <f>SUMIF(ConfirmedRaw!$B:$B,$B60,ConfirmedRaw!BI:BI)</f>
        <v>299</v>
      </c>
      <c r="BH60">
        <f>SUMIF(ConfirmedRaw!$B:$B,$B60,ConfirmedRaw!BJ:BJ)</f>
        <v>454</v>
      </c>
      <c r="BI60">
        <f>SUMIF(ConfirmedRaw!$B:$B,$B60,ConfirmedRaw!BK:BK)</f>
        <v>501</v>
      </c>
      <c r="BJ60">
        <f>SUMIF(ConfirmedRaw!$B:$B,$B60,ConfirmedRaw!BL:BL)</f>
        <v>730</v>
      </c>
      <c r="BK60">
        <f>SUMIF(ConfirmedRaw!$B:$B,$B60,ConfirmedRaw!BM:BM)</f>
        <v>776</v>
      </c>
      <c r="BL60">
        <f>SUMIF(ConfirmedRaw!$B:$B,$B60,ConfirmedRaw!BN:BN)</f>
        <v>875</v>
      </c>
      <c r="BM60">
        <f>SUMIF(ConfirmedRaw!$B:$B,$B60,ConfirmedRaw!BO:BO)</f>
        <v>972</v>
      </c>
      <c r="BN60">
        <f>SUMIF(ConfirmedRaw!$B:$B,$B60,ConfirmedRaw!BP:BP)</f>
        <v>1063</v>
      </c>
      <c r="BO60">
        <f>SUMIF(ConfirmedRaw!$B:$B,$B60,ConfirmedRaw!BQ:BQ)</f>
        <v>1201</v>
      </c>
      <c r="BP60">
        <f>SUMIF(ConfirmedRaw!$B:$B,$B60,ConfirmedRaw!BR:BR)</f>
        <v>1373</v>
      </c>
      <c r="BQ60">
        <f>SUMIF(ConfirmedRaw!$B:$B,$B60,ConfirmedRaw!BS:BS)</f>
        <v>1495</v>
      </c>
      <c r="BR60">
        <f>SUMIF(ConfirmedRaw!$B:$B,$B60,ConfirmedRaw!BT:BT)</f>
        <v>0</v>
      </c>
      <c r="BS60">
        <f>SUMIF(ConfirmedRaw!$B:$B,$B60,ConfirmedRaw!BU:BU)</f>
        <v>0</v>
      </c>
      <c r="BT60">
        <f>SUMIF(ConfirmedRaw!$B:$B,$B60,ConfirmedRaw!BV:BV)</f>
        <v>0</v>
      </c>
      <c r="BU60">
        <f>SUMIF(ConfirmedRaw!$B:$B,$B60,ConfirmedRaw!BW:BW)</f>
        <v>0</v>
      </c>
    </row>
    <row r="61" spans="1:73" ht="15" thickBot="1" x14ac:dyDescent="0.35">
      <c r="A61" s="97" t="str">
        <f>VLOOKUP(B61,Country_Data!B:Q,16,FALSE)</f>
        <v>South America</v>
      </c>
      <c r="B61" s="4" t="s">
        <v>160</v>
      </c>
      <c r="C61">
        <f>SUMIF(ConfirmedRaw!$B:$B,$B61,ConfirmedRaw!E:E)</f>
        <v>0</v>
      </c>
      <c r="D61">
        <f>SUMIF(ConfirmedRaw!$B:$B,$B61,ConfirmedRaw!F:F)</f>
        <v>0</v>
      </c>
      <c r="E61">
        <f>SUMIF(ConfirmedRaw!$B:$B,$B61,ConfirmedRaw!G:G)</f>
        <v>0</v>
      </c>
      <c r="F61">
        <f>SUMIF(ConfirmedRaw!$B:$B,$B61,ConfirmedRaw!H:H)</f>
        <v>0</v>
      </c>
      <c r="G61">
        <f>SUMIF(ConfirmedRaw!$B:$B,$B61,ConfirmedRaw!I:I)</f>
        <v>0</v>
      </c>
      <c r="H61">
        <f>SUMIF(ConfirmedRaw!$B:$B,$B61,ConfirmedRaw!J:J)</f>
        <v>0</v>
      </c>
      <c r="I61">
        <f>SUMIF(ConfirmedRaw!$B:$B,$B61,ConfirmedRaw!K:K)</f>
        <v>0</v>
      </c>
      <c r="J61">
        <f>SUMIF(ConfirmedRaw!$B:$B,$B61,ConfirmedRaw!L:L)</f>
        <v>0</v>
      </c>
      <c r="K61">
        <f>SUMIF(ConfirmedRaw!$B:$B,$B61,ConfirmedRaw!M:M)</f>
        <v>0</v>
      </c>
      <c r="L61">
        <f>SUMIF(ConfirmedRaw!$B:$B,$B61,ConfirmedRaw!N:N)</f>
        <v>0</v>
      </c>
      <c r="M61">
        <f>SUMIF(ConfirmedRaw!$B:$B,$B61,ConfirmedRaw!O:O)</f>
        <v>0</v>
      </c>
      <c r="N61">
        <f>SUMIF(ConfirmedRaw!$B:$B,$B61,ConfirmedRaw!P:P)</f>
        <v>0</v>
      </c>
      <c r="O61">
        <f>SUMIF(ConfirmedRaw!$B:$B,$B61,ConfirmedRaw!Q:Q)</f>
        <v>0</v>
      </c>
      <c r="P61">
        <f>SUMIF(ConfirmedRaw!$B:$B,$B61,ConfirmedRaw!R:R)</f>
        <v>0</v>
      </c>
      <c r="Q61">
        <f>SUMIF(ConfirmedRaw!$B:$B,$B61,ConfirmedRaw!S:S)</f>
        <v>0</v>
      </c>
      <c r="R61">
        <f>SUMIF(ConfirmedRaw!$B:$B,$B61,ConfirmedRaw!T:T)</f>
        <v>0</v>
      </c>
      <c r="S61">
        <f>SUMIF(ConfirmedRaw!$B:$B,$B61,ConfirmedRaw!U:U)</f>
        <v>0</v>
      </c>
      <c r="T61">
        <f>SUMIF(ConfirmedRaw!$B:$B,$B61,ConfirmedRaw!V:V)</f>
        <v>0</v>
      </c>
      <c r="U61">
        <f>SUMIF(ConfirmedRaw!$B:$B,$B61,ConfirmedRaw!W:W)</f>
        <v>0</v>
      </c>
      <c r="V61">
        <f>SUMIF(ConfirmedRaw!$B:$B,$B61,ConfirmedRaw!X:X)</f>
        <v>0</v>
      </c>
      <c r="W61">
        <f>SUMIF(ConfirmedRaw!$B:$B,$B61,ConfirmedRaw!Y:Y)</f>
        <v>0</v>
      </c>
      <c r="X61">
        <f>SUMIF(ConfirmedRaw!$B:$B,$B61,ConfirmedRaw!Z:Z)</f>
        <v>0</v>
      </c>
      <c r="Y61">
        <f>SUMIF(ConfirmedRaw!$B:$B,$B61,ConfirmedRaw!AA:AA)</f>
        <v>0</v>
      </c>
      <c r="Z61">
        <f>SUMIF(ConfirmedRaw!$B:$B,$B61,ConfirmedRaw!AB:AB)</f>
        <v>0</v>
      </c>
      <c r="AA61">
        <f>SUMIF(ConfirmedRaw!$B:$B,$B61,ConfirmedRaw!AC:AC)</f>
        <v>0</v>
      </c>
      <c r="AB61">
        <f>SUMIF(ConfirmedRaw!$B:$B,$B61,ConfirmedRaw!AD:AD)</f>
        <v>0</v>
      </c>
      <c r="AC61">
        <f>SUMIF(ConfirmedRaw!$B:$B,$B61,ConfirmedRaw!AE:AE)</f>
        <v>0</v>
      </c>
      <c r="AD61">
        <f>SUMIF(ConfirmedRaw!$B:$B,$B61,ConfirmedRaw!AF:AF)</f>
        <v>0</v>
      </c>
      <c r="AE61">
        <f>SUMIF(ConfirmedRaw!$B:$B,$B61,ConfirmedRaw!AG:AG)</f>
        <v>0</v>
      </c>
      <c r="AF61">
        <f>SUMIF(ConfirmedRaw!$B:$B,$B61,ConfirmedRaw!AH:AH)</f>
        <v>0</v>
      </c>
      <c r="AG61">
        <f>SUMIF(ConfirmedRaw!$B:$B,$B61,ConfirmedRaw!AI:AI)</f>
        <v>0</v>
      </c>
      <c r="AH61">
        <f>SUMIF(ConfirmedRaw!$B:$B,$B61,ConfirmedRaw!AJ:AJ)</f>
        <v>0</v>
      </c>
      <c r="AI61">
        <f>SUMIF(ConfirmedRaw!$B:$B,$B61,ConfirmedRaw!AK:AK)</f>
        <v>0</v>
      </c>
      <c r="AJ61">
        <f>SUMIF(ConfirmedRaw!$B:$B,$B61,ConfirmedRaw!AL:AL)</f>
        <v>0</v>
      </c>
      <c r="AK61">
        <f>SUMIF(ConfirmedRaw!$B:$B,$B61,ConfirmedRaw!AM:AM)</f>
        <v>0</v>
      </c>
      <c r="AL61">
        <f>SUMIF(ConfirmedRaw!$B:$B,$B61,ConfirmedRaw!AN:AN)</f>
        <v>0</v>
      </c>
      <c r="AM61">
        <f>SUMIF(ConfirmedRaw!$B:$B,$B61,ConfirmedRaw!AO:AO)</f>
        <v>0</v>
      </c>
      <c r="AN61">
        <f>SUMIF(ConfirmedRaw!$B:$B,$B61,ConfirmedRaw!AP:AP)</f>
        <v>0</v>
      </c>
      <c r="AO61">
        <f>SUMIF(ConfirmedRaw!$B:$B,$B61,ConfirmedRaw!AQ:AQ)</f>
        <v>0</v>
      </c>
      <c r="AP61">
        <f>SUMIF(ConfirmedRaw!$B:$B,$B61,ConfirmedRaw!AR:AR)</f>
        <v>0</v>
      </c>
      <c r="AQ61">
        <f>SUMIF(ConfirmedRaw!$B:$B,$B61,ConfirmedRaw!AS:AS)</f>
        <v>0</v>
      </c>
      <c r="AR61">
        <f>SUMIF(ConfirmedRaw!$B:$B,$B61,ConfirmedRaw!AT:AT)</f>
        <v>0</v>
      </c>
      <c r="AS61">
        <f>SUMIF(ConfirmedRaw!$B:$B,$B61,ConfirmedRaw!AU:AU)</f>
        <v>0</v>
      </c>
      <c r="AT61">
        <f>SUMIF(ConfirmedRaw!$B:$B,$B61,ConfirmedRaw!AV:AV)</f>
        <v>0</v>
      </c>
      <c r="AU61">
        <f>SUMIF(ConfirmedRaw!$B:$B,$B61,ConfirmedRaw!AW:AW)</f>
        <v>1</v>
      </c>
      <c r="AV61">
        <f>SUMIF(ConfirmedRaw!$B:$B,$B61,ConfirmedRaw!AX:AX)</f>
        <v>1</v>
      </c>
      <c r="AW61">
        <f>SUMIF(ConfirmedRaw!$B:$B,$B61,ConfirmedRaw!AY:AY)</f>
        <v>6</v>
      </c>
      <c r="AX61">
        <f>SUMIF(ConfirmedRaw!$B:$B,$B61,ConfirmedRaw!AZ:AZ)</f>
        <v>7</v>
      </c>
      <c r="AY61">
        <f>SUMIF(ConfirmedRaw!$B:$B,$B61,ConfirmedRaw!BA:BA)</f>
        <v>11</v>
      </c>
      <c r="AZ61">
        <f>SUMIF(ConfirmedRaw!$B:$B,$B61,ConfirmedRaw!BB:BB)</f>
        <v>11</v>
      </c>
      <c r="BA61">
        <f>SUMIF(ConfirmedRaw!$B:$B,$B61,ConfirmedRaw!BC:BC)</f>
        <v>15</v>
      </c>
      <c r="BB61">
        <f>SUMIF(ConfirmedRaw!$B:$B,$B61,ConfirmedRaw!BD:BD)</f>
        <v>28</v>
      </c>
      <c r="BC61">
        <f>SUMIF(ConfirmedRaw!$B:$B,$B61,ConfirmedRaw!BE:BE)</f>
        <v>38</v>
      </c>
      <c r="BD61">
        <f>SUMIF(ConfirmedRaw!$B:$B,$B61,ConfirmedRaw!BF:BF)</f>
        <v>43</v>
      </c>
      <c r="BE61">
        <f>SUMIF(ConfirmedRaw!$B:$B,$B61,ConfirmedRaw!BG:BG)</f>
        <v>86</v>
      </c>
      <c r="BF61">
        <f>SUMIF(ConfirmedRaw!$B:$B,$B61,ConfirmedRaw!BH:BH)</f>
        <v>117</v>
      </c>
      <c r="BG61">
        <f>SUMIF(ConfirmedRaw!$B:$B,$B61,ConfirmedRaw!BI:BI)</f>
        <v>145</v>
      </c>
      <c r="BH61">
        <f>SUMIF(ConfirmedRaw!$B:$B,$B61,ConfirmedRaw!BJ:BJ)</f>
        <v>234</v>
      </c>
      <c r="BI61">
        <f>SUMIF(ConfirmedRaw!$B:$B,$B61,ConfirmedRaw!BK:BK)</f>
        <v>234</v>
      </c>
      <c r="BJ61">
        <f>SUMIF(ConfirmedRaw!$B:$B,$B61,ConfirmedRaw!BL:BL)</f>
        <v>318</v>
      </c>
      <c r="BK61">
        <f>SUMIF(ConfirmedRaw!$B:$B,$B61,ConfirmedRaw!BM:BM)</f>
        <v>363</v>
      </c>
      <c r="BL61">
        <f>SUMIF(ConfirmedRaw!$B:$B,$B61,ConfirmedRaw!BN:BN)</f>
        <v>395</v>
      </c>
      <c r="BM61">
        <f>SUMIF(ConfirmedRaw!$B:$B,$B61,ConfirmedRaw!BO:BO)</f>
        <v>416</v>
      </c>
      <c r="BN61">
        <f>SUMIF(ConfirmedRaw!$B:$B,$B61,ConfirmedRaw!BP:BP)</f>
        <v>480</v>
      </c>
      <c r="BO61">
        <f>SUMIF(ConfirmedRaw!$B:$B,$B61,ConfirmedRaw!BQ:BQ)</f>
        <v>580</v>
      </c>
      <c r="BP61">
        <f>SUMIF(ConfirmedRaw!$B:$B,$B61,ConfirmedRaw!BR:BR)</f>
        <v>635</v>
      </c>
      <c r="BQ61">
        <f>SUMIF(ConfirmedRaw!$B:$B,$B61,ConfirmedRaw!BS:BS)</f>
        <v>671</v>
      </c>
      <c r="BR61">
        <f>SUMIF(ConfirmedRaw!$B:$B,$B61,ConfirmedRaw!BT:BT)</f>
        <v>0</v>
      </c>
      <c r="BS61">
        <f>SUMIF(ConfirmedRaw!$B:$B,$B61,ConfirmedRaw!BU:BU)</f>
        <v>0</v>
      </c>
      <c r="BT61">
        <f>SUMIF(ConfirmedRaw!$B:$B,$B61,ConfirmedRaw!BV:BV)</f>
        <v>0</v>
      </c>
      <c r="BU61">
        <f>SUMIF(ConfirmedRaw!$B:$B,$B61,ConfirmedRaw!BW:BW)</f>
        <v>0</v>
      </c>
    </row>
    <row r="62" spans="1:73" ht="15" thickBot="1" x14ac:dyDescent="0.35">
      <c r="A62" s="97" t="str">
        <f>VLOOKUP(B62,Country_Data!B:Q,16,FALSE)</f>
        <v>Europe</v>
      </c>
      <c r="B62" s="3" t="s">
        <v>91</v>
      </c>
      <c r="C62">
        <f>SUMIF(ConfirmedRaw!$B:$B,$B62,ConfirmedRaw!E:E)</f>
        <v>0</v>
      </c>
      <c r="D62">
        <f>SUMIF(ConfirmedRaw!$B:$B,$B62,ConfirmedRaw!F:F)</f>
        <v>0</v>
      </c>
      <c r="E62">
        <f>SUMIF(ConfirmedRaw!$B:$B,$B62,ConfirmedRaw!G:G)</f>
        <v>0</v>
      </c>
      <c r="F62">
        <f>SUMIF(ConfirmedRaw!$B:$B,$B62,ConfirmedRaw!H:H)</f>
        <v>0</v>
      </c>
      <c r="G62">
        <f>SUMIF(ConfirmedRaw!$B:$B,$B62,ConfirmedRaw!I:I)</f>
        <v>0</v>
      </c>
      <c r="H62">
        <f>SUMIF(ConfirmedRaw!$B:$B,$B62,ConfirmedRaw!J:J)</f>
        <v>0</v>
      </c>
      <c r="I62">
        <f>SUMIF(ConfirmedRaw!$B:$B,$B62,ConfirmedRaw!K:K)</f>
        <v>0</v>
      </c>
      <c r="J62">
        <f>SUMIF(ConfirmedRaw!$B:$B,$B62,ConfirmedRaw!L:L)</f>
        <v>0</v>
      </c>
      <c r="K62">
        <f>SUMIF(ConfirmedRaw!$B:$B,$B62,ConfirmedRaw!M:M)</f>
        <v>0</v>
      </c>
      <c r="L62">
        <f>SUMIF(ConfirmedRaw!$B:$B,$B62,ConfirmedRaw!N:N)</f>
        <v>0</v>
      </c>
      <c r="M62">
        <f>SUMIF(ConfirmedRaw!$B:$B,$B62,ConfirmedRaw!O:O)</f>
        <v>0</v>
      </c>
      <c r="N62">
        <f>SUMIF(ConfirmedRaw!$B:$B,$B62,ConfirmedRaw!P:P)</f>
        <v>0</v>
      </c>
      <c r="O62">
        <f>SUMIF(ConfirmedRaw!$B:$B,$B62,ConfirmedRaw!Q:Q)</f>
        <v>0</v>
      </c>
      <c r="P62">
        <f>SUMIF(ConfirmedRaw!$B:$B,$B62,ConfirmedRaw!R:R)</f>
        <v>0</v>
      </c>
      <c r="Q62">
        <f>SUMIF(ConfirmedRaw!$B:$B,$B62,ConfirmedRaw!S:S)</f>
        <v>0</v>
      </c>
      <c r="R62">
        <f>SUMIF(ConfirmedRaw!$B:$B,$B62,ConfirmedRaw!T:T)</f>
        <v>0</v>
      </c>
      <c r="S62">
        <f>SUMIF(ConfirmedRaw!$B:$B,$B62,ConfirmedRaw!U:U)</f>
        <v>0</v>
      </c>
      <c r="T62">
        <f>SUMIF(ConfirmedRaw!$B:$B,$B62,ConfirmedRaw!V:V)</f>
        <v>0</v>
      </c>
      <c r="U62">
        <f>SUMIF(ConfirmedRaw!$B:$B,$B62,ConfirmedRaw!W:W)</f>
        <v>0</v>
      </c>
      <c r="V62">
        <f>SUMIF(ConfirmedRaw!$B:$B,$B62,ConfirmedRaw!X:X)</f>
        <v>0</v>
      </c>
      <c r="W62">
        <f>SUMIF(ConfirmedRaw!$B:$B,$B62,ConfirmedRaw!Y:Y)</f>
        <v>0</v>
      </c>
      <c r="X62">
        <f>SUMIF(ConfirmedRaw!$B:$B,$B62,ConfirmedRaw!Z:Z)</f>
        <v>0</v>
      </c>
      <c r="Y62">
        <f>SUMIF(ConfirmedRaw!$B:$B,$B62,ConfirmedRaw!AA:AA)</f>
        <v>0</v>
      </c>
      <c r="Z62">
        <f>SUMIF(ConfirmedRaw!$B:$B,$B62,ConfirmedRaw!AB:AB)</f>
        <v>0</v>
      </c>
      <c r="AA62">
        <f>SUMIF(ConfirmedRaw!$B:$B,$B62,ConfirmedRaw!AC:AC)</f>
        <v>0</v>
      </c>
      <c r="AB62">
        <f>SUMIF(ConfirmedRaw!$B:$B,$B62,ConfirmedRaw!AD:AD)</f>
        <v>0</v>
      </c>
      <c r="AC62">
        <f>SUMIF(ConfirmedRaw!$B:$B,$B62,ConfirmedRaw!AE:AE)</f>
        <v>0</v>
      </c>
      <c r="AD62">
        <f>SUMIF(ConfirmedRaw!$B:$B,$B62,ConfirmedRaw!AF:AF)</f>
        <v>0</v>
      </c>
      <c r="AE62">
        <f>SUMIF(ConfirmedRaw!$B:$B,$B62,ConfirmedRaw!AG:AG)</f>
        <v>0</v>
      </c>
      <c r="AF62">
        <f>SUMIF(ConfirmedRaw!$B:$B,$B62,ConfirmedRaw!AH:AH)</f>
        <v>0</v>
      </c>
      <c r="AG62">
        <f>SUMIF(ConfirmedRaw!$B:$B,$B62,ConfirmedRaw!AI:AI)</f>
        <v>0</v>
      </c>
      <c r="AH62">
        <f>SUMIF(ConfirmedRaw!$B:$B,$B62,ConfirmedRaw!AJ:AJ)</f>
        <v>0</v>
      </c>
      <c r="AI62">
        <f>SUMIF(ConfirmedRaw!$B:$B,$B62,ConfirmedRaw!AK:AK)</f>
        <v>0</v>
      </c>
      <c r="AJ62">
        <f>SUMIF(ConfirmedRaw!$B:$B,$B62,ConfirmedRaw!AL:AL)</f>
        <v>0</v>
      </c>
      <c r="AK62">
        <f>SUMIF(ConfirmedRaw!$B:$B,$B62,ConfirmedRaw!AM:AM)</f>
        <v>0</v>
      </c>
      <c r="AL62">
        <f>SUMIF(ConfirmedRaw!$B:$B,$B62,ConfirmedRaw!AN:AN)</f>
        <v>0</v>
      </c>
      <c r="AM62">
        <f>SUMIF(ConfirmedRaw!$B:$B,$B62,ConfirmedRaw!AO:AO)</f>
        <v>0</v>
      </c>
      <c r="AN62">
        <f>SUMIF(ConfirmedRaw!$B:$B,$B62,ConfirmedRaw!AP:AP)</f>
        <v>1</v>
      </c>
      <c r="AO62">
        <f>SUMIF(ConfirmedRaw!$B:$B,$B62,ConfirmedRaw!AQ:AQ)</f>
        <v>1</v>
      </c>
      <c r="AP62">
        <f>SUMIF(ConfirmedRaw!$B:$B,$B62,ConfirmedRaw!AR:AR)</f>
        <v>1</v>
      </c>
      <c r="AQ62">
        <f>SUMIF(ConfirmedRaw!$B:$B,$B62,ConfirmedRaw!AS:AS)</f>
        <v>1</v>
      </c>
      <c r="AR62">
        <f>SUMIF(ConfirmedRaw!$B:$B,$B62,ConfirmedRaw!AT:AT)</f>
        <v>1</v>
      </c>
      <c r="AS62">
        <f>SUMIF(ConfirmedRaw!$B:$B,$B62,ConfirmedRaw!AU:AU)</f>
        <v>6</v>
      </c>
      <c r="AT62">
        <f>SUMIF(ConfirmedRaw!$B:$B,$B62,ConfirmedRaw!AV:AV)</f>
        <v>6</v>
      </c>
      <c r="AU62">
        <f>SUMIF(ConfirmedRaw!$B:$B,$B62,ConfirmedRaw!AW:AW)</f>
        <v>6</v>
      </c>
      <c r="AV62">
        <f>SUMIF(ConfirmedRaw!$B:$B,$B62,ConfirmedRaw!AX:AX)</f>
        <v>6</v>
      </c>
      <c r="AW62">
        <f>SUMIF(ConfirmedRaw!$B:$B,$B62,ConfirmedRaw!AY:AY)</f>
        <v>6</v>
      </c>
      <c r="AX62">
        <f>SUMIF(ConfirmedRaw!$B:$B,$B62,ConfirmedRaw!AZ:AZ)</f>
        <v>6</v>
      </c>
      <c r="AY62">
        <f>SUMIF(ConfirmedRaw!$B:$B,$B62,ConfirmedRaw!BA:BA)</f>
        <v>9</v>
      </c>
      <c r="AZ62">
        <f>SUMIF(ConfirmedRaw!$B:$B,$B62,ConfirmedRaw!BB:BB)</f>
        <v>9</v>
      </c>
      <c r="BA62">
        <f>SUMIF(ConfirmedRaw!$B:$B,$B62,ConfirmedRaw!BC:BC)</f>
        <v>12</v>
      </c>
      <c r="BB62">
        <f>SUMIF(ConfirmedRaw!$B:$B,$B62,ConfirmedRaw!BD:BD)</f>
        <v>27</v>
      </c>
      <c r="BC62">
        <f>SUMIF(ConfirmedRaw!$B:$B,$B62,ConfirmedRaw!BE:BE)</f>
        <v>27</v>
      </c>
      <c r="BD62">
        <f>SUMIF(ConfirmedRaw!$B:$B,$B62,ConfirmedRaw!BF:BF)</f>
        <v>27</v>
      </c>
      <c r="BE62">
        <f>SUMIF(ConfirmedRaw!$B:$B,$B62,ConfirmedRaw!BG:BG)</f>
        <v>36</v>
      </c>
      <c r="BF62">
        <f>SUMIF(ConfirmedRaw!$B:$B,$B62,ConfirmedRaw!BH:BH)</f>
        <v>36</v>
      </c>
      <c r="BG62">
        <f>SUMIF(ConfirmedRaw!$B:$B,$B62,ConfirmedRaw!BI:BI)</f>
        <v>51</v>
      </c>
      <c r="BH62">
        <f>SUMIF(ConfirmedRaw!$B:$B,$B62,ConfirmedRaw!BJ:BJ)</f>
        <v>51</v>
      </c>
      <c r="BI62">
        <f>SUMIF(ConfirmedRaw!$B:$B,$B62,ConfirmedRaw!BK:BK)</f>
        <v>69</v>
      </c>
      <c r="BJ62">
        <f>SUMIF(ConfirmedRaw!$B:$B,$B62,ConfirmedRaw!BL:BL)</f>
        <v>76</v>
      </c>
      <c r="BK62">
        <f>SUMIF(ConfirmedRaw!$B:$B,$B62,ConfirmedRaw!BM:BM)</f>
        <v>76</v>
      </c>
      <c r="BL62">
        <f>SUMIF(ConfirmedRaw!$B:$B,$B62,ConfirmedRaw!BN:BN)</f>
        <v>81</v>
      </c>
      <c r="BM62">
        <f>SUMIF(ConfirmedRaw!$B:$B,$B62,ConfirmedRaw!BO:BO)</f>
        <v>81</v>
      </c>
      <c r="BN62">
        <f>SUMIF(ConfirmedRaw!$B:$B,$B62,ConfirmedRaw!BP:BP)</f>
        <v>86</v>
      </c>
      <c r="BO62">
        <f>SUMIF(ConfirmedRaw!$B:$B,$B62,ConfirmedRaw!BQ:BQ)</f>
        <v>86</v>
      </c>
      <c r="BP62">
        <f>SUMIF(ConfirmedRaw!$B:$B,$B62,ConfirmedRaw!BR:BR)</f>
        <v>94</v>
      </c>
      <c r="BQ62">
        <f>SUMIF(ConfirmedRaw!$B:$B,$B62,ConfirmedRaw!BS:BS)</f>
        <v>94</v>
      </c>
      <c r="BR62">
        <f>SUMIF(ConfirmedRaw!$B:$B,$B62,ConfirmedRaw!BT:BT)</f>
        <v>0</v>
      </c>
      <c r="BS62">
        <f>SUMIF(ConfirmedRaw!$B:$B,$B62,ConfirmedRaw!BU:BU)</f>
        <v>0</v>
      </c>
      <c r="BT62">
        <f>SUMIF(ConfirmedRaw!$B:$B,$B62,ConfirmedRaw!BV:BV)</f>
        <v>0</v>
      </c>
      <c r="BU62">
        <f>SUMIF(ConfirmedRaw!$B:$B,$B62,ConfirmedRaw!BW:BW)</f>
        <v>0</v>
      </c>
    </row>
    <row r="63" spans="1:73" ht="15" thickBot="1" x14ac:dyDescent="0.35">
      <c r="A63" s="97" t="str">
        <f>VLOOKUP(B63,Country_Data!B:Q,16,FALSE)</f>
        <v>North America</v>
      </c>
      <c r="B63" s="3" t="s">
        <v>283</v>
      </c>
      <c r="C63">
        <f>SUMIF(ConfirmedRaw!$B:$B,$B63,ConfirmedRaw!E:E)</f>
        <v>0</v>
      </c>
      <c r="D63">
        <f>SUMIF(ConfirmedRaw!$B:$B,$B63,ConfirmedRaw!F:F)</f>
        <v>0</v>
      </c>
      <c r="E63">
        <f>SUMIF(ConfirmedRaw!$B:$B,$B63,ConfirmedRaw!G:G)</f>
        <v>0</v>
      </c>
      <c r="F63">
        <f>SUMIF(ConfirmedRaw!$B:$B,$B63,ConfirmedRaw!H:H)</f>
        <v>0</v>
      </c>
      <c r="G63">
        <f>SUMIF(ConfirmedRaw!$B:$B,$B63,ConfirmedRaw!I:I)</f>
        <v>0</v>
      </c>
      <c r="H63">
        <f>SUMIF(ConfirmedRaw!$B:$B,$B63,ConfirmedRaw!J:J)</f>
        <v>0</v>
      </c>
      <c r="I63">
        <f>SUMIF(ConfirmedRaw!$B:$B,$B63,ConfirmedRaw!K:K)</f>
        <v>0</v>
      </c>
      <c r="J63">
        <f>SUMIF(ConfirmedRaw!$B:$B,$B63,ConfirmedRaw!L:L)</f>
        <v>0</v>
      </c>
      <c r="K63">
        <f>SUMIF(ConfirmedRaw!$B:$B,$B63,ConfirmedRaw!M:M)</f>
        <v>0</v>
      </c>
      <c r="L63">
        <f>SUMIF(ConfirmedRaw!$B:$B,$B63,ConfirmedRaw!N:N)</f>
        <v>0</v>
      </c>
      <c r="M63">
        <f>SUMIF(ConfirmedRaw!$B:$B,$B63,ConfirmedRaw!O:O)</f>
        <v>0</v>
      </c>
      <c r="N63">
        <f>SUMIF(ConfirmedRaw!$B:$B,$B63,ConfirmedRaw!P:P)</f>
        <v>0</v>
      </c>
      <c r="O63">
        <f>SUMIF(ConfirmedRaw!$B:$B,$B63,ConfirmedRaw!Q:Q)</f>
        <v>0</v>
      </c>
      <c r="P63">
        <f>SUMIF(ConfirmedRaw!$B:$B,$B63,ConfirmedRaw!R:R)</f>
        <v>0</v>
      </c>
      <c r="Q63">
        <f>SUMIF(ConfirmedRaw!$B:$B,$B63,ConfirmedRaw!S:S)</f>
        <v>0</v>
      </c>
      <c r="R63">
        <f>SUMIF(ConfirmedRaw!$B:$B,$B63,ConfirmedRaw!T:T)</f>
        <v>0</v>
      </c>
      <c r="S63">
        <f>SUMIF(ConfirmedRaw!$B:$B,$B63,ConfirmedRaw!U:U)</f>
        <v>0</v>
      </c>
      <c r="T63">
        <f>SUMIF(ConfirmedRaw!$B:$B,$B63,ConfirmedRaw!V:V)</f>
        <v>0</v>
      </c>
      <c r="U63">
        <f>SUMIF(ConfirmedRaw!$B:$B,$B63,ConfirmedRaw!W:W)</f>
        <v>0</v>
      </c>
      <c r="V63">
        <f>SUMIF(ConfirmedRaw!$B:$B,$B63,ConfirmedRaw!X:X)</f>
        <v>0</v>
      </c>
      <c r="W63">
        <f>SUMIF(ConfirmedRaw!$B:$B,$B63,ConfirmedRaw!Y:Y)</f>
        <v>0</v>
      </c>
      <c r="X63">
        <f>SUMIF(ConfirmedRaw!$B:$B,$B63,ConfirmedRaw!Z:Z)</f>
        <v>0</v>
      </c>
      <c r="Y63">
        <f>SUMIF(ConfirmedRaw!$B:$B,$B63,ConfirmedRaw!AA:AA)</f>
        <v>0</v>
      </c>
      <c r="Z63">
        <f>SUMIF(ConfirmedRaw!$B:$B,$B63,ConfirmedRaw!AB:AB)</f>
        <v>0</v>
      </c>
      <c r="AA63">
        <f>SUMIF(ConfirmedRaw!$B:$B,$B63,ConfirmedRaw!AC:AC)</f>
        <v>0</v>
      </c>
      <c r="AB63">
        <f>SUMIF(ConfirmedRaw!$B:$B,$B63,ConfirmedRaw!AD:AD)</f>
        <v>0</v>
      </c>
      <c r="AC63">
        <f>SUMIF(ConfirmedRaw!$B:$B,$B63,ConfirmedRaw!AE:AE)</f>
        <v>0</v>
      </c>
      <c r="AD63">
        <f>SUMIF(ConfirmedRaw!$B:$B,$B63,ConfirmedRaw!AF:AF)</f>
        <v>0</v>
      </c>
      <c r="AE63">
        <f>SUMIF(ConfirmedRaw!$B:$B,$B63,ConfirmedRaw!AG:AG)</f>
        <v>0</v>
      </c>
      <c r="AF63">
        <f>SUMIF(ConfirmedRaw!$B:$B,$B63,ConfirmedRaw!AH:AH)</f>
        <v>0</v>
      </c>
      <c r="AG63">
        <f>SUMIF(ConfirmedRaw!$B:$B,$B63,ConfirmedRaw!AI:AI)</f>
        <v>0</v>
      </c>
      <c r="AH63">
        <f>SUMIF(ConfirmedRaw!$B:$B,$B63,ConfirmedRaw!AJ:AJ)</f>
        <v>0</v>
      </c>
      <c r="AI63">
        <f>SUMIF(ConfirmedRaw!$B:$B,$B63,ConfirmedRaw!AK:AK)</f>
        <v>0</v>
      </c>
      <c r="AJ63">
        <f>SUMIF(ConfirmedRaw!$B:$B,$B63,ConfirmedRaw!AL:AL)</f>
        <v>0</v>
      </c>
      <c r="AK63">
        <f>SUMIF(ConfirmedRaw!$B:$B,$B63,ConfirmedRaw!AM:AM)</f>
        <v>0</v>
      </c>
      <c r="AL63">
        <f>SUMIF(ConfirmedRaw!$B:$B,$B63,ConfirmedRaw!AN:AN)</f>
        <v>0</v>
      </c>
      <c r="AM63">
        <f>SUMIF(ConfirmedRaw!$B:$B,$B63,ConfirmedRaw!AO:AO)</f>
        <v>0</v>
      </c>
      <c r="AN63">
        <f>SUMIF(ConfirmedRaw!$B:$B,$B63,ConfirmedRaw!AP:AP)</f>
        <v>0</v>
      </c>
      <c r="AO63">
        <f>SUMIF(ConfirmedRaw!$B:$B,$B63,ConfirmedRaw!AQ:AQ)</f>
        <v>0</v>
      </c>
      <c r="AP63">
        <f>SUMIF(ConfirmedRaw!$B:$B,$B63,ConfirmedRaw!AR:AR)</f>
        <v>0</v>
      </c>
      <c r="AQ63">
        <f>SUMIF(ConfirmedRaw!$B:$B,$B63,ConfirmedRaw!AS:AS)</f>
        <v>0</v>
      </c>
      <c r="AR63">
        <f>SUMIF(ConfirmedRaw!$B:$B,$B63,ConfirmedRaw!AT:AT)</f>
        <v>0</v>
      </c>
      <c r="AS63">
        <f>SUMIF(ConfirmedRaw!$B:$B,$B63,ConfirmedRaw!AU:AU)</f>
        <v>0</v>
      </c>
      <c r="AT63">
        <f>SUMIF(ConfirmedRaw!$B:$B,$B63,ConfirmedRaw!AV:AV)</f>
        <v>0</v>
      </c>
      <c r="AU63">
        <f>SUMIF(ConfirmedRaw!$B:$B,$B63,ConfirmedRaw!AW:AW)</f>
        <v>0</v>
      </c>
      <c r="AV63">
        <f>SUMIF(ConfirmedRaw!$B:$B,$B63,ConfirmedRaw!AX:AX)</f>
        <v>0</v>
      </c>
      <c r="AW63">
        <f>SUMIF(ConfirmedRaw!$B:$B,$B63,ConfirmedRaw!AY:AY)</f>
        <v>0</v>
      </c>
      <c r="AX63">
        <f>SUMIF(ConfirmedRaw!$B:$B,$B63,ConfirmedRaw!AZ:AZ)</f>
        <v>0</v>
      </c>
      <c r="AY63">
        <f>SUMIF(ConfirmedRaw!$B:$B,$B63,ConfirmedRaw!BA:BA)</f>
        <v>1</v>
      </c>
      <c r="AZ63">
        <f>SUMIF(ConfirmedRaw!$B:$B,$B63,ConfirmedRaw!BB:BB)</f>
        <v>8</v>
      </c>
      <c r="BA63">
        <f>SUMIF(ConfirmedRaw!$B:$B,$B63,ConfirmedRaw!BC:BC)</f>
        <v>11</v>
      </c>
      <c r="BB63">
        <f>SUMIF(ConfirmedRaw!$B:$B,$B63,ConfirmedRaw!BD:BD)</f>
        <v>27</v>
      </c>
      <c r="BC63">
        <f>SUMIF(ConfirmedRaw!$B:$B,$B63,ConfirmedRaw!BE:BE)</f>
        <v>36</v>
      </c>
      <c r="BD63">
        <f>SUMIF(ConfirmedRaw!$B:$B,$B63,ConfirmedRaw!BF:BF)</f>
        <v>43</v>
      </c>
      <c r="BE63">
        <f>SUMIF(ConfirmedRaw!$B:$B,$B63,ConfirmedRaw!BG:BG)</f>
        <v>55</v>
      </c>
      <c r="BF63">
        <f>SUMIF(ConfirmedRaw!$B:$B,$B63,ConfirmedRaw!BH:BH)</f>
        <v>69</v>
      </c>
      <c r="BG63">
        <f>SUMIF(ConfirmedRaw!$B:$B,$B63,ConfirmedRaw!BI:BI)</f>
        <v>86</v>
      </c>
      <c r="BH63">
        <f>SUMIF(ConfirmedRaw!$B:$B,$B63,ConfirmedRaw!BJ:BJ)</f>
        <v>109</v>
      </c>
      <c r="BI63">
        <f>SUMIF(ConfirmedRaw!$B:$B,$B63,ConfirmedRaw!BK:BK)</f>
        <v>137</v>
      </c>
      <c r="BJ63">
        <f>SUMIF(ConfirmedRaw!$B:$B,$B63,ConfirmedRaw!BL:BL)</f>
        <v>200</v>
      </c>
      <c r="BK63">
        <f>SUMIF(ConfirmedRaw!$B:$B,$B63,ConfirmedRaw!BM:BM)</f>
        <v>313</v>
      </c>
      <c r="BL63">
        <f>SUMIF(ConfirmedRaw!$B:$B,$B63,ConfirmedRaw!BN:BN)</f>
        <v>345</v>
      </c>
      <c r="BM63">
        <f>SUMIF(ConfirmedRaw!$B:$B,$B63,ConfirmedRaw!BO:BO)</f>
        <v>345</v>
      </c>
      <c r="BN63">
        <f>SUMIF(ConfirmedRaw!$B:$B,$B63,ConfirmedRaw!BP:BP)</f>
        <v>443</v>
      </c>
      <c r="BO63">
        <f>SUMIF(ConfirmedRaw!$B:$B,$B63,ConfirmedRaw!BQ:BQ)</f>
        <v>558</v>
      </c>
      <c r="BP63">
        <f>SUMIF(ConfirmedRaw!$B:$B,$B63,ConfirmedRaw!BR:BR)</f>
        <v>674</v>
      </c>
      <c r="BQ63">
        <f>SUMIF(ConfirmedRaw!$B:$B,$B63,ConfirmedRaw!BS:BS)</f>
        <v>786</v>
      </c>
      <c r="BR63">
        <f>SUMIF(ConfirmedRaw!$B:$B,$B63,ConfirmedRaw!BT:BT)</f>
        <v>0</v>
      </c>
      <c r="BS63">
        <f>SUMIF(ConfirmedRaw!$B:$B,$B63,ConfirmedRaw!BU:BU)</f>
        <v>0</v>
      </c>
      <c r="BT63">
        <f>SUMIF(ConfirmedRaw!$B:$B,$B63,ConfirmedRaw!BV:BV)</f>
        <v>0</v>
      </c>
      <c r="BU63">
        <f>SUMIF(ConfirmedRaw!$B:$B,$B63,ConfirmedRaw!BW:BW)</f>
        <v>0</v>
      </c>
    </row>
    <row r="64" spans="1:73" ht="15" thickBot="1" x14ac:dyDescent="0.35">
      <c r="A64" s="97" t="str">
        <f>VLOOKUP(B64,Country_Data!B:Q,16,FALSE)</f>
        <v>Africa</v>
      </c>
      <c r="B64" s="4" t="s">
        <v>75</v>
      </c>
      <c r="C64">
        <f>SUMIF(ConfirmedRaw!$B:$B,$B64,ConfirmedRaw!E:E)</f>
        <v>0</v>
      </c>
      <c r="D64">
        <f>SUMIF(ConfirmedRaw!$B:$B,$B64,ConfirmedRaw!F:F)</f>
        <v>0</v>
      </c>
      <c r="E64">
        <f>SUMIF(ConfirmedRaw!$B:$B,$B64,ConfirmedRaw!G:G)</f>
        <v>0</v>
      </c>
      <c r="F64">
        <f>SUMIF(ConfirmedRaw!$B:$B,$B64,ConfirmedRaw!H:H)</f>
        <v>0</v>
      </c>
      <c r="G64">
        <f>SUMIF(ConfirmedRaw!$B:$B,$B64,ConfirmedRaw!I:I)</f>
        <v>0</v>
      </c>
      <c r="H64">
        <f>SUMIF(ConfirmedRaw!$B:$B,$B64,ConfirmedRaw!J:J)</f>
        <v>0</v>
      </c>
      <c r="I64">
        <f>SUMIF(ConfirmedRaw!$B:$B,$B64,ConfirmedRaw!K:K)</f>
        <v>0</v>
      </c>
      <c r="J64">
        <f>SUMIF(ConfirmedRaw!$B:$B,$B64,ConfirmedRaw!L:L)</f>
        <v>0</v>
      </c>
      <c r="K64">
        <f>SUMIF(ConfirmedRaw!$B:$B,$B64,ConfirmedRaw!M:M)</f>
        <v>0</v>
      </c>
      <c r="L64">
        <f>SUMIF(ConfirmedRaw!$B:$B,$B64,ConfirmedRaw!N:N)</f>
        <v>0</v>
      </c>
      <c r="M64">
        <f>SUMIF(ConfirmedRaw!$B:$B,$B64,ConfirmedRaw!O:O)</f>
        <v>0</v>
      </c>
      <c r="N64">
        <f>SUMIF(ConfirmedRaw!$B:$B,$B64,ConfirmedRaw!P:P)</f>
        <v>0</v>
      </c>
      <c r="O64">
        <f>SUMIF(ConfirmedRaw!$B:$B,$B64,ConfirmedRaw!Q:Q)</f>
        <v>0</v>
      </c>
      <c r="P64">
        <f>SUMIF(ConfirmedRaw!$B:$B,$B64,ConfirmedRaw!R:R)</f>
        <v>0</v>
      </c>
      <c r="Q64">
        <f>SUMIF(ConfirmedRaw!$B:$B,$B64,ConfirmedRaw!S:S)</f>
        <v>0</v>
      </c>
      <c r="R64">
        <f>SUMIF(ConfirmedRaw!$B:$B,$B64,ConfirmedRaw!T:T)</f>
        <v>0</v>
      </c>
      <c r="S64">
        <f>SUMIF(ConfirmedRaw!$B:$B,$B64,ConfirmedRaw!U:U)</f>
        <v>0</v>
      </c>
      <c r="T64">
        <f>SUMIF(ConfirmedRaw!$B:$B,$B64,ConfirmedRaw!V:V)</f>
        <v>0</v>
      </c>
      <c r="U64">
        <f>SUMIF(ConfirmedRaw!$B:$B,$B64,ConfirmedRaw!W:W)</f>
        <v>0</v>
      </c>
      <c r="V64">
        <f>SUMIF(ConfirmedRaw!$B:$B,$B64,ConfirmedRaw!X:X)</f>
        <v>0</v>
      </c>
      <c r="W64">
        <f>SUMIF(ConfirmedRaw!$B:$B,$B64,ConfirmedRaw!Y:Y)</f>
        <v>0</v>
      </c>
      <c r="X64">
        <f>SUMIF(ConfirmedRaw!$B:$B,$B64,ConfirmedRaw!Z:Z)</f>
        <v>0</v>
      </c>
      <c r="Y64">
        <f>SUMIF(ConfirmedRaw!$B:$B,$B64,ConfirmedRaw!AA:AA)</f>
        <v>0</v>
      </c>
      <c r="Z64">
        <f>SUMIF(ConfirmedRaw!$B:$B,$B64,ConfirmedRaw!AB:AB)</f>
        <v>0</v>
      </c>
      <c r="AA64">
        <f>SUMIF(ConfirmedRaw!$B:$B,$B64,ConfirmedRaw!AC:AC)</f>
        <v>0</v>
      </c>
      <c r="AB64">
        <f>SUMIF(ConfirmedRaw!$B:$B,$B64,ConfirmedRaw!AD:AD)</f>
        <v>0</v>
      </c>
      <c r="AC64">
        <f>SUMIF(ConfirmedRaw!$B:$B,$B64,ConfirmedRaw!AE:AE)</f>
        <v>0</v>
      </c>
      <c r="AD64">
        <f>SUMIF(ConfirmedRaw!$B:$B,$B64,ConfirmedRaw!AF:AF)</f>
        <v>0</v>
      </c>
      <c r="AE64">
        <f>SUMIF(ConfirmedRaw!$B:$B,$B64,ConfirmedRaw!AG:AG)</f>
        <v>0</v>
      </c>
      <c r="AF64">
        <f>SUMIF(ConfirmedRaw!$B:$B,$B64,ConfirmedRaw!AH:AH)</f>
        <v>0</v>
      </c>
      <c r="AG64">
        <f>SUMIF(ConfirmedRaw!$B:$B,$B64,ConfirmedRaw!AI:AI)</f>
        <v>0</v>
      </c>
      <c r="AH64">
        <f>SUMIF(ConfirmedRaw!$B:$B,$B64,ConfirmedRaw!AJ:AJ)</f>
        <v>0</v>
      </c>
      <c r="AI64">
        <f>SUMIF(ConfirmedRaw!$B:$B,$B64,ConfirmedRaw!AK:AK)</f>
        <v>0</v>
      </c>
      <c r="AJ64">
        <f>SUMIF(ConfirmedRaw!$B:$B,$B64,ConfirmedRaw!AL:AL)</f>
        <v>0</v>
      </c>
      <c r="AK64">
        <f>SUMIF(ConfirmedRaw!$B:$B,$B64,ConfirmedRaw!AM:AM)</f>
        <v>1</v>
      </c>
      <c r="AL64">
        <f>SUMIF(ConfirmedRaw!$B:$B,$B64,ConfirmedRaw!AN:AN)</f>
        <v>1</v>
      </c>
      <c r="AM64">
        <f>SUMIF(ConfirmedRaw!$B:$B,$B64,ConfirmedRaw!AO:AO)</f>
        <v>1</v>
      </c>
      <c r="AN64">
        <f>SUMIF(ConfirmedRaw!$B:$B,$B64,ConfirmedRaw!AP:AP)</f>
        <v>1</v>
      </c>
      <c r="AO64">
        <f>SUMIF(ConfirmedRaw!$B:$B,$B64,ConfirmedRaw!AQ:AQ)</f>
        <v>1</v>
      </c>
      <c r="AP64">
        <f>SUMIF(ConfirmedRaw!$B:$B,$B64,ConfirmedRaw!AR:AR)</f>
        <v>1</v>
      </c>
      <c r="AQ64">
        <f>SUMIF(ConfirmedRaw!$B:$B,$B64,ConfirmedRaw!AS:AS)</f>
        <v>3</v>
      </c>
      <c r="AR64">
        <f>SUMIF(ConfirmedRaw!$B:$B,$B64,ConfirmedRaw!AT:AT)</f>
        <v>5</v>
      </c>
      <c r="AS64">
        <f>SUMIF(ConfirmedRaw!$B:$B,$B64,ConfirmedRaw!AU:AU)</f>
        <v>12</v>
      </c>
      <c r="AT64">
        <f>SUMIF(ConfirmedRaw!$B:$B,$B64,ConfirmedRaw!AV:AV)</f>
        <v>12</v>
      </c>
      <c r="AU64">
        <f>SUMIF(ConfirmedRaw!$B:$B,$B64,ConfirmedRaw!AW:AW)</f>
        <v>17</v>
      </c>
      <c r="AV64">
        <f>SUMIF(ConfirmedRaw!$B:$B,$B64,ConfirmedRaw!AX:AX)</f>
        <v>17</v>
      </c>
      <c r="AW64">
        <f>SUMIF(ConfirmedRaw!$B:$B,$B64,ConfirmedRaw!AY:AY)</f>
        <v>19</v>
      </c>
      <c r="AX64">
        <f>SUMIF(ConfirmedRaw!$B:$B,$B64,ConfirmedRaw!AZ:AZ)</f>
        <v>20</v>
      </c>
      <c r="AY64">
        <f>SUMIF(ConfirmedRaw!$B:$B,$B64,ConfirmedRaw!BA:BA)</f>
        <v>20</v>
      </c>
      <c r="AZ64">
        <f>SUMIF(ConfirmedRaw!$B:$B,$B64,ConfirmedRaw!BB:BB)</f>
        <v>20</v>
      </c>
      <c r="BA64">
        <f>SUMIF(ConfirmedRaw!$B:$B,$B64,ConfirmedRaw!BC:BC)</f>
        <v>24</v>
      </c>
      <c r="BB64">
        <f>SUMIF(ConfirmedRaw!$B:$B,$B64,ConfirmedRaw!BD:BD)</f>
        <v>26</v>
      </c>
      <c r="BC64">
        <f>SUMIF(ConfirmedRaw!$B:$B,$B64,ConfirmedRaw!BE:BE)</f>
        <v>37</v>
      </c>
      <c r="BD64">
        <f>SUMIF(ConfirmedRaw!$B:$B,$B64,ConfirmedRaw!BF:BF)</f>
        <v>48</v>
      </c>
      <c r="BE64">
        <f>SUMIF(ConfirmedRaw!$B:$B,$B64,ConfirmedRaw!BG:BG)</f>
        <v>54</v>
      </c>
      <c r="BF64">
        <f>SUMIF(ConfirmedRaw!$B:$B,$B64,ConfirmedRaw!BH:BH)</f>
        <v>60</v>
      </c>
      <c r="BG64">
        <f>SUMIF(ConfirmedRaw!$B:$B,$B64,ConfirmedRaw!BI:BI)</f>
        <v>74</v>
      </c>
      <c r="BH64">
        <f>SUMIF(ConfirmedRaw!$B:$B,$B64,ConfirmedRaw!BJ:BJ)</f>
        <v>87</v>
      </c>
      <c r="BI64">
        <f>SUMIF(ConfirmedRaw!$B:$B,$B64,ConfirmedRaw!BK:BK)</f>
        <v>90</v>
      </c>
      <c r="BJ64">
        <f>SUMIF(ConfirmedRaw!$B:$B,$B64,ConfirmedRaw!BL:BL)</f>
        <v>139</v>
      </c>
      <c r="BK64">
        <f>SUMIF(ConfirmedRaw!$B:$B,$B64,ConfirmedRaw!BM:BM)</f>
        <v>201</v>
      </c>
      <c r="BL64">
        <f>SUMIF(ConfirmedRaw!$B:$B,$B64,ConfirmedRaw!BN:BN)</f>
        <v>230</v>
      </c>
      <c r="BM64">
        <f>SUMIF(ConfirmedRaw!$B:$B,$B64,ConfirmedRaw!BO:BO)</f>
        <v>264</v>
      </c>
      <c r="BN64">
        <f>SUMIF(ConfirmedRaw!$B:$B,$B64,ConfirmedRaw!BP:BP)</f>
        <v>302</v>
      </c>
      <c r="BO64">
        <f>SUMIF(ConfirmedRaw!$B:$B,$B64,ConfirmedRaw!BQ:BQ)</f>
        <v>367</v>
      </c>
      <c r="BP64">
        <f>SUMIF(ConfirmedRaw!$B:$B,$B64,ConfirmedRaw!BR:BR)</f>
        <v>409</v>
      </c>
      <c r="BQ64">
        <f>SUMIF(ConfirmedRaw!$B:$B,$B64,ConfirmedRaw!BS:BS)</f>
        <v>454</v>
      </c>
      <c r="BR64">
        <f>SUMIF(ConfirmedRaw!$B:$B,$B64,ConfirmedRaw!BT:BT)</f>
        <v>0</v>
      </c>
      <c r="BS64">
        <f>SUMIF(ConfirmedRaw!$B:$B,$B64,ConfirmedRaw!BU:BU)</f>
        <v>0</v>
      </c>
      <c r="BT64">
        <f>SUMIF(ConfirmedRaw!$B:$B,$B64,ConfirmedRaw!BV:BV)</f>
        <v>0</v>
      </c>
      <c r="BU64">
        <f>SUMIF(ConfirmedRaw!$B:$B,$B64,ConfirmedRaw!BW:BW)</f>
        <v>0</v>
      </c>
    </row>
    <row r="65" spans="1:73" ht="15" thickBot="1" x14ac:dyDescent="0.35">
      <c r="A65" s="97" t="str">
        <f>VLOOKUP(B65,Country_Data!B:Q,16,FALSE)</f>
        <v>Europe</v>
      </c>
      <c r="B65" s="3" t="s">
        <v>82</v>
      </c>
      <c r="C65">
        <f>SUMIF(ConfirmedRaw!$B:$B,$B65,ConfirmedRaw!E:E)</f>
        <v>0</v>
      </c>
      <c r="D65">
        <f>SUMIF(ConfirmedRaw!$B:$B,$B65,ConfirmedRaw!F:F)</f>
        <v>0</v>
      </c>
      <c r="E65">
        <f>SUMIF(ConfirmedRaw!$B:$B,$B65,ConfirmedRaw!G:G)</f>
        <v>0</v>
      </c>
      <c r="F65">
        <f>SUMIF(ConfirmedRaw!$B:$B,$B65,ConfirmedRaw!H:H)</f>
        <v>0</v>
      </c>
      <c r="G65">
        <f>SUMIF(ConfirmedRaw!$B:$B,$B65,ConfirmedRaw!I:I)</f>
        <v>0</v>
      </c>
      <c r="H65">
        <f>SUMIF(ConfirmedRaw!$B:$B,$B65,ConfirmedRaw!J:J)</f>
        <v>0</v>
      </c>
      <c r="I65">
        <f>SUMIF(ConfirmedRaw!$B:$B,$B65,ConfirmedRaw!K:K)</f>
        <v>0</v>
      </c>
      <c r="J65">
        <f>SUMIF(ConfirmedRaw!$B:$B,$B65,ConfirmedRaw!L:L)</f>
        <v>0</v>
      </c>
      <c r="K65">
        <f>SUMIF(ConfirmedRaw!$B:$B,$B65,ConfirmedRaw!M:M)</f>
        <v>0</v>
      </c>
      <c r="L65">
        <f>SUMIF(ConfirmedRaw!$B:$B,$B65,ConfirmedRaw!N:N)</f>
        <v>0</v>
      </c>
      <c r="M65">
        <f>SUMIF(ConfirmedRaw!$B:$B,$B65,ConfirmedRaw!O:O)</f>
        <v>0</v>
      </c>
      <c r="N65">
        <f>SUMIF(ConfirmedRaw!$B:$B,$B65,ConfirmedRaw!P:P)</f>
        <v>0</v>
      </c>
      <c r="O65">
        <f>SUMIF(ConfirmedRaw!$B:$B,$B65,ConfirmedRaw!Q:Q)</f>
        <v>0</v>
      </c>
      <c r="P65">
        <f>SUMIF(ConfirmedRaw!$B:$B,$B65,ConfirmedRaw!R:R)</f>
        <v>0</v>
      </c>
      <c r="Q65">
        <f>SUMIF(ConfirmedRaw!$B:$B,$B65,ConfirmedRaw!S:S)</f>
        <v>0</v>
      </c>
      <c r="R65">
        <f>SUMIF(ConfirmedRaw!$B:$B,$B65,ConfirmedRaw!T:T)</f>
        <v>0</v>
      </c>
      <c r="S65">
        <f>SUMIF(ConfirmedRaw!$B:$B,$B65,ConfirmedRaw!U:U)</f>
        <v>0</v>
      </c>
      <c r="T65">
        <f>SUMIF(ConfirmedRaw!$B:$B,$B65,ConfirmedRaw!V:V)</f>
        <v>0</v>
      </c>
      <c r="U65">
        <f>SUMIF(ConfirmedRaw!$B:$B,$B65,ConfirmedRaw!W:W)</f>
        <v>0</v>
      </c>
      <c r="V65">
        <f>SUMIF(ConfirmedRaw!$B:$B,$B65,ConfirmedRaw!X:X)</f>
        <v>0</v>
      </c>
      <c r="W65">
        <f>SUMIF(ConfirmedRaw!$B:$B,$B65,ConfirmedRaw!Y:Y)</f>
        <v>0</v>
      </c>
      <c r="X65">
        <f>SUMIF(ConfirmedRaw!$B:$B,$B65,ConfirmedRaw!Z:Z)</f>
        <v>0</v>
      </c>
      <c r="Y65">
        <f>SUMIF(ConfirmedRaw!$B:$B,$B65,ConfirmedRaw!AA:AA)</f>
        <v>0</v>
      </c>
      <c r="Z65">
        <f>SUMIF(ConfirmedRaw!$B:$B,$B65,ConfirmedRaw!AB:AB)</f>
        <v>0</v>
      </c>
      <c r="AA65">
        <f>SUMIF(ConfirmedRaw!$B:$B,$B65,ConfirmedRaw!AC:AC)</f>
        <v>0</v>
      </c>
      <c r="AB65">
        <f>SUMIF(ConfirmedRaw!$B:$B,$B65,ConfirmedRaw!AD:AD)</f>
        <v>0</v>
      </c>
      <c r="AC65">
        <f>SUMIF(ConfirmedRaw!$B:$B,$B65,ConfirmedRaw!AE:AE)</f>
        <v>0</v>
      </c>
      <c r="AD65">
        <f>SUMIF(ConfirmedRaw!$B:$B,$B65,ConfirmedRaw!AF:AF)</f>
        <v>0</v>
      </c>
      <c r="AE65">
        <f>SUMIF(ConfirmedRaw!$B:$B,$B65,ConfirmedRaw!AG:AG)</f>
        <v>0</v>
      </c>
      <c r="AF65">
        <f>SUMIF(ConfirmedRaw!$B:$B,$B65,ConfirmedRaw!AH:AH)</f>
        <v>0</v>
      </c>
      <c r="AG65">
        <f>SUMIF(ConfirmedRaw!$B:$B,$B65,ConfirmedRaw!AI:AI)</f>
        <v>0</v>
      </c>
      <c r="AH65">
        <f>SUMIF(ConfirmedRaw!$B:$B,$B65,ConfirmedRaw!AJ:AJ)</f>
        <v>0</v>
      </c>
      <c r="AI65">
        <f>SUMIF(ConfirmedRaw!$B:$B,$B65,ConfirmedRaw!AK:AK)</f>
        <v>0</v>
      </c>
      <c r="AJ65">
        <f>SUMIF(ConfirmedRaw!$B:$B,$B65,ConfirmedRaw!AL:AL)</f>
        <v>0</v>
      </c>
      <c r="AK65">
        <f>SUMIF(ConfirmedRaw!$B:$B,$B65,ConfirmedRaw!AM:AM)</f>
        <v>0</v>
      </c>
      <c r="AL65">
        <f>SUMIF(ConfirmedRaw!$B:$B,$B65,ConfirmedRaw!AN:AN)</f>
        <v>1</v>
      </c>
      <c r="AM65">
        <f>SUMIF(ConfirmedRaw!$B:$B,$B65,ConfirmedRaw!AO:AO)</f>
        <v>1</v>
      </c>
      <c r="AN65">
        <f>SUMIF(ConfirmedRaw!$B:$B,$B65,ConfirmedRaw!AP:AP)</f>
        <v>1</v>
      </c>
      <c r="AO65">
        <f>SUMIF(ConfirmedRaw!$B:$B,$B65,ConfirmedRaw!AQ:AQ)</f>
        <v>1</v>
      </c>
      <c r="AP65">
        <f>SUMIF(ConfirmedRaw!$B:$B,$B65,ConfirmedRaw!AR:AR)</f>
        <v>3</v>
      </c>
      <c r="AQ65">
        <f>SUMIF(ConfirmedRaw!$B:$B,$B65,ConfirmedRaw!AS:AS)</f>
        <v>3</v>
      </c>
      <c r="AR65">
        <f>SUMIF(ConfirmedRaw!$B:$B,$B65,ConfirmedRaw!AT:AT)</f>
        <v>3</v>
      </c>
      <c r="AS65">
        <f>SUMIF(ConfirmedRaw!$B:$B,$B65,ConfirmedRaw!AU:AU)</f>
        <v>3</v>
      </c>
      <c r="AT65">
        <f>SUMIF(ConfirmedRaw!$B:$B,$B65,ConfirmedRaw!AV:AV)</f>
        <v>4</v>
      </c>
      <c r="AU65">
        <f>SUMIF(ConfirmedRaw!$B:$B,$B65,ConfirmedRaw!AW:AW)</f>
        <v>4</v>
      </c>
      <c r="AV65">
        <f>SUMIF(ConfirmedRaw!$B:$B,$B65,ConfirmedRaw!AX:AX)</f>
        <v>4</v>
      </c>
      <c r="AW65">
        <f>SUMIF(ConfirmedRaw!$B:$B,$B65,ConfirmedRaw!AY:AY)</f>
        <v>13</v>
      </c>
      <c r="AX65">
        <f>SUMIF(ConfirmedRaw!$B:$B,$B65,ConfirmedRaw!AZ:AZ)</f>
        <v>15</v>
      </c>
      <c r="AY65">
        <f>SUMIF(ConfirmedRaw!$B:$B,$B65,ConfirmedRaw!BA:BA)</f>
        <v>15</v>
      </c>
      <c r="AZ65">
        <f>SUMIF(ConfirmedRaw!$B:$B,$B65,ConfirmedRaw!BB:BB)</f>
        <v>24</v>
      </c>
      <c r="BA65">
        <f>SUMIF(ConfirmedRaw!$B:$B,$B65,ConfirmedRaw!BC:BC)</f>
        <v>24</v>
      </c>
      <c r="BB65">
        <f>SUMIF(ConfirmedRaw!$B:$B,$B65,ConfirmedRaw!BD:BD)</f>
        <v>25</v>
      </c>
      <c r="BC65">
        <f>SUMIF(ConfirmedRaw!$B:$B,$B65,ConfirmedRaw!BE:BE)</f>
        <v>30</v>
      </c>
      <c r="BD65">
        <f>SUMIF(ConfirmedRaw!$B:$B,$B65,ConfirmedRaw!BF:BF)</f>
        <v>33</v>
      </c>
      <c r="BE65">
        <f>SUMIF(ConfirmedRaw!$B:$B,$B65,ConfirmedRaw!BG:BG)</f>
        <v>33</v>
      </c>
      <c r="BF65">
        <f>SUMIF(ConfirmedRaw!$B:$B,$B65,ConfirmedRaw!BH:BH)</f>
        <v>34</v>
      </c>
      <c r="BG65">
        <f>SUMIF(ConfirmedRaw!$B:$B,$B65,ConfirmedRaw!BI:BI)</f>
        <v>38</v>
      </c>
      <c r="BH65">
        <f>SUMIF(ConfirmedRaw!$B:$B,$B65,ConfirmedRaw!BJ:BJ)</f>
        <v>40</v>
      </c>
      <c r="BI65">
        <f>SUMIF(ConfirmedRaw!$B:$B,$B65,ConfirmedRaw!BK:BK)</f>
        <v>43</v>
      </c>
      <c r="BJ65">
        <f>SUMIF(ConfirmedRaw!$B:$B,$B65,ConfirmedRaw!BL:BL)</f>
        <v>49</v>
      </c>
      <c r="BK65">
        <f>SUMIF(ConfirmedRaw!$B:$B,$B65,ConfirmedRaw!BM:BM)</f>
        <v>54</v>
      </c>
      <c r="BL65">
        <f>SUMIF(ConfirmedRaw!$B:$B,$B65,ConfirmedRaw!BN:BN)</f>
        <v>61</v>
      </c>
      <c r="BM65">
        <f>SUMIF(ConfirmedRaw!$B:$B,$B65,ConfirmedRaw!BO:BO)</f>
        <v>70</v>
      </c>
      <c r="BN65">
        <f>SUMIF(ConfirmedRaw!$B:$B,$B65,ConfirmedRaw!BP:BP)</f>
        <v>75</v>
      </c>
      <c r="BO65">
        <f>SUMIF(ConfirmedRaw!$B:$B,$B65,ConfirmedRaw!BQ:BQ)</f>
        <v>79</v>
      </c>
      <c r="BP65">
        <f>SUMIF(ConfirmedRaw!$B:$B,$B65,ConfirmedRaw!BR:BR)</f>
        <v>83</v>
      </c>
      <c r="BQ65">
        <f>SUMIF(ConfirmedRaw!$B:$B,$B65,ConfirmedRaw!BS:BS)</f>
        <v>90</v>
      </c>
      <c r="BR65">
        <f>SUMIF(ConfirmedRaw!$B:$B,$B65,ConfirmedRaw!BT:BT)</f>
        <v>0</v>
      </c>
      <c r="BS65">
        <f>SUMIF(ConfirmedRaw!$B:$B,$B65,ConfirmedRaw!BU:BU)</f>
        <v>0</v>
      </c>
      <c r="BT65">
        <f>SUMIF(ConfirmedRaw!$B:$B,$B65,ConfirmedRaw!BV:BV)</f>
        <v>0</v>
      </c>
      <c r="BU65">
        <f>SUMIF(ConfirmedRaw!$B:$B,$B65,ConfirmedRaw!BW:BW)</f>
        <v>0</v>
      </c>
    </row>
    <row r="66" spans="1:73" ht="15" thickBot="1" x14ac:dyDescent="0.35">
      <c r="A66" s="97" t="str">
        <f>VLOOKUP(B66,Country_Data!B:Q,16,FALSE)</f>
        <v>Africa</v>
      </c>
      <c r="B66" s="3" t="s">
        <v>145</v>
      </c>
      <c r="C66">
        <f>SUMIF(ConfirmedRaw!$B:$B,$B66,ConfirmedRaw!E:E)</f>
        <v>0</v>
      </c>
      <c r="D66">
        <f>SUMIF(ConfirmedRaw!$B:$B,$B66,ConfirmedRaw!F:F)</f>
        <v>0</v>
      </c>
      <c r="E66">
        <f>SUMIF(ConfirmedRaw!$B:$B,$B66,ConfirmedRaw!G:G)</f>
        <v>0</v>
      </c>
      <c r="F66">
        <f>SUMIF(ConfirmedRaw!$B:$B,$B66,ConfirmedRaw!H:H)</f>
        <v>0</v>
      </c>
      <c r="G66">
        <f>SUMIF(ConfirmedRaw!$B:$B,$B66,ConfirmedRaw!I:I)</f>
        <v>0</v>
      </c>
      <c r="H66">
        <f>SUMIF(ConfirmedRaw!$B:$B,$B66,ConfirmedRaw!J:J)</f>
        <v>0</v>
      </c>
      <c r="I66">
        <f>SUMIF(ConfirmedRaw!$B:$B,$B66,ConfirmedRaw!K:K)</f>
        <v>0</v>
      </c>
      <c r="J66">
        <f>SUMIF(ConfirmedRaw!$B:$B,$B66,ConfirmedRaw!L:L)</f>
        <v>0</v>
      </c>
      <c r="K66">
        <f>SUMIF(ConfirmedRaw!$B:$B,$B66,ConfirmedRaw!M:M)</f>
        <v>0</v>
      </c>
      <c r="L66">
        <f>SUMIF(ConfirmedRaw!$B:$B,$B66,ConfirmedRaw!N:N)</f>
        <v>0</v>
      </c>
      <c r="M66">
        <f>SUMIF(ConfirmedRaw!$B:$B,$B66,ConfirmedRaw!O:O)</f>
        <v>0</v>
      </c>
      <c r="N66">
        <f>SUMIF(ConfirmedRaw!$B:$B,$B66,ConfirmedRaw!P:P)</f>
        <v>0</v>
      </c>
      <c r="O66">
        <f>SUMIF(ConfirmedRaw!$B:$B,$B66,ConfirmedRaw!Q:Q)</f>
        <v>0</v>
      </c>
      <c r="P66">
        <f>SUMIF(ConfirmedRaw!$B:$B,$B66,ConfirmedRaw!R:R)</f>
        <v>0</v>
      </c>
      <c r="Q66">
        <f>SUMIF(ConfirmedRaw!$B:$B,$B66,ConfirmedRaw!S:S)</f>
        <v>0</v>
      </c>
      <c r="R66">
        <f>SUMIF(ConfirmedRaw!$B:$B,$B66,ConfirmedRaw!T:T)</f>
        <v>0</v>
      </c>
      <c r="S66">
        <f>SUMIF(ConfirmedRaw!$B:$B,$B66,ConfirmedRaw!U:U)</f>
        <v>0</v>
      </c>
      <c r="T66">
        <f>SUMIF(ConfirmedRaw!$B:$B,$B66,ConfirmedRaw!V:V)</f>
        <v>0</v>
      </c>
      <c r="U66">
        <f>SUMIF(ConfirmedRaw!$B:$B,$B66,ConfirmedRaw!W:W)</f>
        <v>0</v>
      </c>
      <c r="V66">
        <f>SUMIF(ConfirmedRaw!$B:$B,$B66,ConfirmedRaw!X:X)</f>
        <v>0</v>
      </c>
      <c r="W66">
        <f>SUMIF(ConfirmedRaw!$B:$B,$B66,ConfirmedRaw!Y:Y)</f>
        <v>0</v>
      </c>
      <c r="X66">
        <f>SUMIF(ConfirmedRaw!$B:$B,$B66,ConfirmedRaw!Z:Z)</f>
        <v>0</v>
      </c>
      <c r="Y66">
        <f>SUMIF(ConfirmedRaw!$B:$B,$B66,ConfirmedRaw!AA:AA)</f>
        <v>0</v>
      </c>
      <c r="Z66">
        <f>SUMIF(ConfirmedRaw!$B:$B,$B66,ConfirmedRaw!AB:AB)</f>
        <v>0</v>
      </c>
      <c r="AA66">
        <f>SUMIF(ConfirmedRaw!$B:$B,$B66,ConfirmedRaw!AC:AC)</f>
        <v>0</v>
      </c>
      <c r="AB66">
        <f>SUMIF(ConfirmedRaw!$B:$B,$B66,ConfirmedRaw!AD:AD)</f>
        <v>0</v>
      </c>
      <c r="AC66">
        <f>SUMIF(ConfirmedRaw!$B:$B,$B66,ConfirmedRaw!AE:AE)</f>
        <v>0</v>
      </c>
      <c r="AD66">
        <f>SUMIF(ConfirmedRaw!$B:$B,$B66,ConfirmedRaw!AF:AF)</f>
        <v>0</v>
      </c>
      <c r="AE66">
        <f>SUMIF(ConfirmedRaw!$B:$B,$B66,ConfirmedRaw!AG:AG)</f>
        <v>0</v>
      </c>
      <c r="AF66">
        <f>SUMIF(ConfirmedRaw!$B:$B,$B66,ConfirmedRaw!AH:AH)</f>
        <v>0</v>
      </c>
      <c r="AG66">
        <f>SUMIF(ConfirmedRaw!$B:$B,$B66,ConfirmedRaw!AI:AI)</f>
        <v>0</v>
      </c>
      <c r="AH66">
        <f>SUMIF(ConfirmedRaw!$B:$B,$B66,ConfirmedRaw!AJ:AJ)</f>
        <v>0</v>
      </c>
      <c r="AI66">
        <f>SUMIF(ConfirmedRaw!$B:$B,$B66,ConfirmedRaw!AK:AK)</f>
        <v>0</v>
      </c>
      <c r="AJ66">
        <f>SUMIF(ConfirmedRaw!$B:$B,$B66,ConfirmedRaw!AL:AL)</f>
        <v>0</v>
      </c>
      <c r="AK66">
        <f>SUMIF(ConfirmedRaw!$B:$B,$B66,ConfirmedRaw!AM:AM)</f>
        <v>0</v>
      </c>
      <c r="AL66">
        <f>SUMIF(ConfirmedRaw!$B:$B,$B66,ConfirmedRaw!AN:AN)</f>
        <v>0</v>
      </c>
      <c r="AM66">
        <f>SUMIF(ConfirmedRaw!$B:$B,$B66,ConfirmedRaw!AO:AO)</f>
        <v>0</v>
      </c>
      <c r="AN66">
        <f>SUMIF(ConfirmedRaw!$B:$B,$B66,ConfirmedRaw!AP:AP)</f>
        <v>0</v>
      </c>
      <c r="AO66">
        <f>SUMIF(ConfirmedRaw!$B:$B,$B66,ConfirmedRaw!AQ:AQ)</f>
        <v>0</v>
      </c>
      <c r="AP66">
        <f>SUMIF(ConfirmedRaw!$B:$B,$B66,ConfirmedRaw!AR:AR)</f>
        <v>0</v>
      </c>
      <c r="AQ66">
        <f>SUMIF(ConfirmedRaw!$B:$B,$B66,ConfirmedRaw!AS:AS)</f>
        <v>0</v>
      </c>
      <c r="AR66">
        <f>SUMIF(ConfirmedRaw!$B:$B,$B66,ConfirmedRaw!AT:AT)</f>
        <v>0</v>
      </c>
      <c r="AS66">
        <f>SUMIF(ConfirmedRaw!$B:$B,$B66,ConfirmedRaw!AU:AU)</f>
        <v>0</v>
      </c>
      <c r="AT66">
        <f>SUMIF(ConfirmedRaw!$B:$B,$B66,ConfirmedRaw!AV:AV)</f>
        <v>1</v>
      </c>
      <c r="AU66">
        <f>SUMIF(ConfirmedRaw!$B:$B,$B66,ConfirmedRaw!AW:AW)</f>
        <v>1</v>
      </c>
      <c r="AV66">
        <f>SUMIF(ConfirmedRaw!$B:$B,$B66,ConfirmedRaw!AX:AX)</f>
        <v>1</v>
      </c>
      <c r="AW66">
        <f>SUMIF(ConfirmedRaw!$B:$B,$B66,ConfirmedRaw!AY:AY)</f>
        <v>3</v>
      </c>
      <c r="AX66">
        <f>SUMIF(ConfirmedRaw!$B:$B,$B66,ConfirmedRaw!AZ:AZ)</f>
        <v>3</v>
      </c>
      <c r="AY66">
        <f>SUMIF(ConfirmedRaw!$B:$B,$B66,ConfirmedRaw!BA:BA)</f>
        <v>7</v>
      </c>
      <c r="AZ66">
        <f>SUMIF(ConfirmedRaw!$B:$B,$B66,ConfirmedRaw!BB:BB)</f>
        <v>13</v>
      </c>
      <c r="BA66">
        <f>SUMIF(ConfirmedRaw!$B:$B,$B66,ConfirmedRaw!BC:BC)</f>
        <v>17</v>
      </c>
      <c r="BB66">
        <f>SUMIF(ConfirmedRaw!$B:$B,$B66,ConfirmedRaw!BD:BD)</f>
        <v>24</v>
      </c>
      <c r="BC66">
        <f>SUMIF(ConfirmedRaw!$B:$B,$B66,ConfirmedRaw!BE:BE)</f>
        <v>38</v>
      </c>
      <c r="BD66">
        <f>SUMIF(ConfirmedRaw!$B:$B,$B66,ConfirmedRaw!BF:BF)</f>
        <v>51</v>
      </c>
      <c r="BE66">
        <f>SUMIF(ConfirmedRaw!$B:$B,$B66,ConfirmedRaw!BG:BG)</f>
        <v>62</v>
      </c>
      <c r="BF66">
        <f>SUMIF(ConfirmedRaw!$B:$B,$B66,ConfirmedRaw!BH:BH)</f>
        <v>62</v>
      </c>
      <c r="BG66">
        <f>SUMIF(ConfirmedRaw!$B:$B,$B66,ConfirmedRaw!BI:BI)</f>
        <v>116</v>
      </c>
      <c r="BH66">
        <f>SUMIF(ConfirmedRaw!$B:$B,$B66,ConfirmedRaw!BJ:BJ)</f>
        <v>150</v>
      </c>
      <c r="BI66">
        <f>SUMIF(ConfirmedRaw!$B:$B,$B66,ConfirmedRaw!BK:BK)</f>
        <v>202</v>
      </c>
      <c r="BJ66">
        <f>SUMIF(ConfirmedRaw!$B:$B,$B66,ConfirmedRaw!BL:BL)</f>
        <v>240</v>
      </c>
      <c r="BK66">
        <f>SUMIF(ConfirmedRaw!$B:$B,$B66,ConfirmedRaw!BM:BM)</f>
        <v>274</v>
      </c>
      <c r="BL66">
        <f>SUMIF(ConfirmedRaw!$B:$B,$B66,ConfirmedRaw!BN:BN)</f>
        <v>402</v>
      </c>
      <c r="BM66">
        <f>SUMIF(ConfirmedRaw!$B:$B,$B66,ConfirmedRaw!BO:BO)</f>
        <v>554</v>
      </c>
      <c r="BN66">
        <f>SUMIF(ConfirmedRaw!$B:$B,$B66,ConfirmedRaw!BP:BP)</f>
        <v>709</v>
      </c>
      <c r="BO66">
        <f>SUMIF(ConfirmedRaw!$B:$B,$B66,ConfirmedRaw!BQ:BQ)</f>
        <v>927</v>
      </c>
      <c r="BP66">
        <f>SUMIF(ConfirmedRaw!$B:$B,$B66,ConfirmedRaw!BR:BR)</f>
        <v>1170</v>
      </c>
      <c r="BQ66">
        <f>SUMIF(ConfirmedRaw!$B:$B,$B66,ConfirmedRaw!BS:BS)</f>
        <v>1187</v>
      </c>
      <c r="BR66">
        <f>SUMIF(ConfirmedRaw!$B:$B,$B66,ConfirmedRaw!BT:BT)</f>
        <v>0</v>
      </c>
      <c r="BS66">
        <f>SUMIF(ConfirmedRaw!$B:$B,$B66,ConfirmedRaw!BU:BU)</f>
        <v>0</v>
      </c>
      <c r="BT66">
        <f>SUMIF(ConfirmedRaw!$B:$B,$B66,ConfirmedRaw!BV:BV)</f>
        <v>0</v>
      </c>
      <c r="BU66">
        <f>SUMIF(ConfirmedRaw!$B:$B,$B66,ConfirmedRaw!BW:BW)</f>
        <v>0</v>
      </c>
    </row>
    <row r="67" spans="1:73" ht="15" thickBot="1" x14ac:dyDescent="0.35">
      <c r="A67" s="97" t="str">
        <f>VLOOKUP(B67,Country_Data!B:Q,16,FALSE)</f>
        <v>Europe</v>
      </c>
      <c r="B67" s="3" t="s">
        <v>199</v>
      </c>
      <c r="C67">
        <f>SUMIF(ConfirmedRaw!$B:$B,$B67,ConfirmedRaw!E:E)</f>
        <v>0</v>
      </c>
      <c r="D67">
        <f>SUMIF(ConfirmedRaw!$B:$B,$B67,ConfirmedRaw!F:F)</f>
        <v>0</v>
      </c>
      <c r="E67">
        <f>SUMIF(ConfirmedRaw!$B:$B,$B67,ConfirmedRaw!G:G)</f>
        <v>0</v>
      </c>
      <c r="F67">
        <f>SUMIF(ConfirmedRaw!$B:$B,$B67,ConfirmedRaw!H:H)</f>
        <v>0</v>
      </c>
      <c r="G67">
        <f>SUMIF(ConfirmedRaw!$B:$B,$B67,ConfirmedRaw!I:I)</f>
        <v>0</v>
      </c>
      <c r="H67">
        <f>SUMIF(ConfirmedRaw!$B:$B,$B67,ConfirmedRaw!J:J)</f>
        <v>0</v>
      </c>
      <c r="I67">
        <f>SUMIF(ConfirmedRaw!$B:$B,$B67,ConfirmedRaw!K:K)</f>
        <v>0</v>
      </c>
      <c r="J67">
        <f>SUMIF(ConfirmedRaw!$B:$B,$B67,ConfirmedRaw!L:L)</f>
        <v>0</v>
      </c>
      <c r="K67">
        <f>SUMIF(ConfirmedRaw!$B:$B,$B67,ConfirmedRaw!M:M)</f>
        <v>0</v>
      </c>
      <c r="L67">
        <f>SUMIF(ConfirmedRaw!$B:$B,$B67,ConfirmedRaw!N:N)</f>
        <v>0</v>
      </c>
      <c r="M67">
        <f>SUMIF(ConfirmedRaw!$B:$B,$B67,ConfirmedRaw!O:O)</f>
        <v>0</v>
      </c>
      <c r="N67">
        <f>SUMIF(ConfirmedRaw!$B:$B,$B67,ConfirmedRaw!P:P)</f>
        <v>0</v>
      </c>
      <c r="O67">
        <f>SUMIF(ConfirmedRaw!$B:$B,$B67,ConfirmedRaw!Q:Q)</f>
        <v>0</v>
      </c>
      <c r="P67">
        <f>SUMIF(ConfirmedRaw!$B:$B,$B67,ConfirmedRaw!R:R)</f>
        <v>0</v>
      </c>
      <c r="Q67">
        <f>SUMIF(ConfirmedRaw!$B:$B,$B67,ConfirmedRaw!S:S)</f>
        <v>0</v>
      </c>
      <c r="R67">
        <f>SUMIF(ConfirmedRaw!$B:$B,$B67,ConfirmedRaw!T:T)</f>
        <v>0</v>
      </c>
      <c r="S67">
        <f>SUMIF(ConfirmedRaw!$B:$B,$B67,ConfirmedRaw!U:U)</f>
        <v>0</v>
      </c>
      <c r="T67">
        <f>SUMIF(ConfirmedRaw!$B:$B,$B67,ConfirmedRaw!V:V)</f>
        <v>0</v>
      </c>
      <c r="U67">
        <f>SUMIF(ConfirmedRaw!$B:$B,$B67,ConfirmedRaw!W:W)</f>
        <v>0</v>
      </c>
      <c r="V67">
        <f>SUMIF(ConfirmedRaw!$B:$B,$B67,ConfirmedRaw!X:X)</f>
        <v>0</v>
      </c>
      <c r="W67">
        <f>SUMIF(ConfirmedRaw!$B:$B,$B67,ConfirmedRaw!Y:Y)</f>
        <v>0</v>
      </c>
      <c r="X67">
        <f>SUMIF(ConfirmedRaw!$B:$B,$B67,ConfirmedRaw!Z:Z)</f>
        <v>0</v>
      </c>
      <c r="Y67">
        <f>SUMIF(ConfirmedRaw!$B:$B,$B67,ConfirmedRaw!AA:AA)</f>
        <v>0</v>
      </c>
      <c r="Z67">
        <f>SUMIF(ConfirmedRaw!$B:$B,$B67,ConfirmedRaw!AB:AB)</f>
        <v>0</v>
      </c>
      <c r="AA67">
        <f>SUMIF(ConfirmedRaw!$B:$B,$B67,ConfirmedRaw!AC:AC)</f>
        <v>0</v>
      </c>
      <c r="AB67">
        <f>SUMIF(ConfirmedRaw!$B:$B,$B67,ConfirmedRaw!AD:AD)</f>
        <v>0</v>
      </c>
      <c r="AC67">
        <f>SUMIF(ConfirmedRaw!$B:$B,$B67,ConfirmedRaw!AE:AE)</f>
        <v>0</v>
      </c>
      <c r="AD67">
        <f>SUMIF(ConfirmedRaw!$B:$B,$B67,ConfirmedRaw!AF:AF)</f>
        <v>0</v>
      </c>
      <c r="AE67">
        <f>SUMIF(ConfirmedRaw!$B:$B,$B67,ConfirmedRaw!AG:AG)</f>
        <v>0</v>
      </c>
      <c r="AF67">
        <f>SUMIF(ConfirmedRaw!$B:$B,$B67,ConfirmedRaw!AH:AH)</f>
        <v>0</v>
      </c>
      <c r="AG67">
        <f>SUMIF(ConfirmedRaw!$B:$B,$B67,ConfirmedRaw!AI:AI)</f>
        <v>0</v>
      </c>
      <c r="AH67">
        <f>SUMIF(ConfirmedRaw!$B:$B,$B67,ConfirmedRaw!AJ:AJ)</f>
        <v>0</v>
      </c>
      <c r="AI67">
        <f>SUMIF(ConfirmedRaw!$B:$B,$B67,ConfirmedRaw!AK:AK)</f>
        <v>0</v>
      </c>
      <c r="AJ67">
        <f>SUMIF(ConfirmedRaw!$B:$B,$B67,ConfirmedRaw!AL:AL)</f>
        <v>0</v>
      </c>
      <c r="AK67">
        <f>SUMIF(ConfirmedRaw!$B:$B,$B67,ConfirmedRaw!AM:AM)</f>
        <v>0</v>
      </c>
      <c r="AL67">
        <f>SUMIF(ConfirmedRaw!$B:$B,$B67,ConfirmedRaw!AN:AN)</f>
        <v>0</v>
      </c>
      <c r="AM67">
        <f>SUMIF(ConfirmedRaw!$B:$B,$B67,ConfirmedRaw!AO:AO)</f>
        <v>0</v>
      </c>
      <c r="AN67">
        <f>SUMIF(ConfirmedRaw!$B:$B,$B67,ConfirmedRaw!AP:AP)</f>
        <v>0</v>
      </c>
      <c r="AO67">
        <f>SUMIF(ConfirmedRaw!$B:$B,$B67,ConfirmedRaw!AQ:AQ)</f>
        <v>0</v>
      </c>
      <c r="AP67">
        <f>SUMIF(ConfirmedRaw!$B:$B,$B67,ConfirmedRaw!AR:AR)</f>
        <v>0</v>
      </c>
      <c r="AQ67">
        <f>SUMIF(ConfirmedRaw!$B:$B,$B67,ConfirmedRaw!AS:AS)</f>
        <v>0</v>
      </c>
      <c r="AR67">
        <f>SUMIF(ConfirmedRaw!$B:$B,$B67,ConfirmedRaw!AT:AT)</f>
        <v>0</v>
      </c>
      <c r="AS67">
        <f>SUMIF(ConfirmedRaw!$B:$B,$B67,ConfirmedRaw!AU:AU)</f>
        <v>0</v>
      </c>
      <c r="AT67">
        <f>SUMIF(ConfirmedRaw!$B:$B,$B67,ConfirmedRaw!AV:AV)</f>
        <v>0</v>
      </c>
      <c r="AU67">
        <f>SUMIF(ConfirmedRaw!$B:$B,$B67,ConfirmedRaw!AW:AW)</f>
        <v>0</v>
      </c>
      <c r="AV67">
        <f>SUMIF(ConfirmedRaw!$B:$B,$B67,ConfirmedRaw!AX:AX)</f>
        <v>0</v>
      </c>
      <c r="AW67">
        <f>SUMIF(ConfirmedRaw!$B:$B,$B67,ConfirmedRaw!AY:AY)</f>
        <v>4</v>
      </c>
      <c r="AX67">
        <f>SUMIF(ConfirmedRaw!$B:$B,$B67,ConfirmedRaw!AZ:AZ)</f>
        <v>4</v>
      </c>
      <c r="AY67">
        <f>SUMIF(ConfirmedRaw!$B:$B,$B67,ConfirmedRaw!BA:BA)</f>
        <v>4</v>
      </c>
      <c r="AZ67">
        <f>SUMIF(ConfirmedRaw!$B:$B,$B67,ConfirmedRaw!BB:BB)</f>
        <v>7</v>
      </c>
      <c r="BA67">
        <f>SUMIF(ConfirmedRaw!$B:$B,$B67,ConfirmedRaw!BC:BC)</f>
        <v>7</v>
      </c>
      <c r="BB67">
        <f>SUMIF(ConfirmedRaw!$B:$B,$B67,ConfirmedRaw!BD:BD)</f>
        <v>23</v>
      </c>
      <c r="BC67">
        <f>SUMIF(ConfirmedRaw!$B:$B,$B67,ConfirmedRaw!BE:BE)</f>
        <v>41</v>
      </c>
      <c r="BD67">
        <f>SUMIF(ConfirmedRaw!$B:$B,$B67,ConfirmedRaw!BF:BF)</f>
        <v>51</v>
      </c>
      <c r="BE67">
        <f>SUMIF(ConfirmedRaw!$B:$B,$B67,ConfirmedRaw!BG:BG)</f>
        <v>52</v>
      </c>
      <c r="BF67">
        <f>SUMIF(ConfirmedRaw!$B:$B,$B67,ConfirmedRaw!BH:BH)</f>
        <v>67</v>
      </c>
      <c r="BG67">
        <f>SUMIF(ConfirmedRaw!$B:$B,$B67,ConfirmedRaw!BI:BI)</f>
        <v>92</v>
      </c>
      <c r="BH67">
        <f>SUMIF(ConfirmedRaw!$B:$B,$B67,ConfirmedRaw!BJ:BJ)</f>
        <v>94</v>
      </c>
      <c r="BI67">
        <f>SUMIF(ConfirmedRaw!$B:$B,$B67,ConfirmedRaw!BK:BK)</f>
        <v>127</v>
      </c>
      <c r="BJ67">
        <f>SUMIF(ConfirmedRaw!$B:$B,$B67,ConfirmedRaw!BL:BL)</f>
        <v>163</v>
      </c>
      <c r="BK67">
        <f>SUMIF(ConfirmedRaw!$B:$B,$B67,ConfirmedRaw!BM:BM)</f>
        <v>187</v>
      </c>
      <c r="BL67">
        <f>SUMIF(ConfirmedRaw!$B:$B,$B67,ConfirmedRaw!BN:BN)</f>
        <v>201</v>
      </c>
      <c r="BM67">
        <f>SUMIF(ConfirmedRaw!$B:$B,$B67,ConfirmedRaw!BO:BO)</f>
        <v>218</v>
      </c>
      <c r="BN67">
        <f>SUMIF(ConfirmedRaw!$B:$B,$B67,ConfirmedRaw!BP:BP)</f>
        <v>242</v>
      </c>
      <c r="BO67">
        <f>SUMIF(ConfirmedRaw!$B:$B,$B67,ConfirmedRaw!BQ:BQ)</f>
        <v>264</v>
      </c>
      <c r="BP67">
        <f>SUMIF(ConfirmedRaw!$B:$B,$B67,ConfirmedRaw!BR:BR)</f>
        <v>293</v>
      </c>
      <c r="BQ67">
        <f>SUMIF(ConfirmedRaw!$B:$B,$B67,ConfirmedRaw!BS:BS)</f>
        <v>331</v>
      </c>
      <c r="BR67">
        <f>SUMIF(ConfirmedRaw!$B:$B,$B67,ConfirmedRaw!BT:BT)</f>
        <v>0</v>
      </c>
      <c r="BS67">
        <f>SUMIF(ConfirmedRaw!$B:$B,$B67,ConfirmedRaw!BU:BU)</f>
        <v>0</v>
      </c>
      <c r="BT67">
        <f>SUMIF(ConfirmedRaw!$B:$B,$B67,ConfirmedRaw!BV:BV)</f>
        <v>0</v>
      </c>
      <c r="BU67">
        <f>SUMIF(ConfirmedRaw!$B:$B,$B67,ConfirmedRaw!BW:BW)</f>
        <v>0</v>
      </c>
    </row>
    <row r="68" spans="1:73" ht="15" thickBot="1" x14ac:dyDescent="0.35">
      <c r="A68" s="97" t="str">
        <f>VLOOKUP(B68,Country_Data!B:Q,16,FALSE)</f>
        <v>North America</v>
      </c>
      <c r="B68" s="3" t="s">
        <v>159</v>
      </c>
      <c r="C68">
        <f>SUMIF(ConfirmedRaw!$B:$B,$B68,ConfirmedRaw!E:E)</f>
        <v>0</v>
      </c>
      <c r="D68">
        <f>SUMIF(ConfirmedRaw!$B:$B,$B68,ConfirmedRaw!F:F)</f>
        <v>0</v>
      </c>
      <c r="E68">
        <f>SUMIF(ConfirmedRaw!$B:$B,$B68,ConfirmedRaw!G:G)</f>
        <v>0</v>
      </c>
      <c r="F68">
        <f>SUMIF(ConfirmedRaw!$B:$B,$B68,ConfirmedRaw!H:H)</f>
        <v>0</v>
      </c>
      <c r="G68">
        <f>SUMIF(ConfirmedRaw!$B:$B,$B68,ConfirmedRaw!I:I)</f>
        <v>0</v>
      </c>
      <c r="H68">
        <f>SUMIF(ConfirmedRaw!$B:$B,$B68,ConfirmedRaw!J:J)</f>
        <v>0</v>
      </c>
      <c r="I68">
        <f>SUMIF(ConfirmedRaw!$B:$B,$B68,ConfirmedRaw!K:K)</f>
        <v>0</v>
      </c>
      <c r="J68">
        <f>SUMIF(ConfirmedRaw!$B:$B,$B68,ConfirmedRaw!L:L)</f>
        <v>0</v>
      </c>
      <c r="K68">
        <f>SUMIF(ConfirmedRaw!$B:$B,$B68,ConfirmedRaw!M:M)</f>
        <v>0</v>
      </c>
      <c r="L68">
        <f>SUMIF(ConfirmedRaw!$B:$B,$B68,ConfirmedRaw!N:N)</f>
        <v>0</v>
      </c>
      <c r="M68">
        <f>SUMIF(ConfirmedRaw!$B:$B,$B68,ConfirmedRaw!O:O)</f>
        <v>0</v>
      </c>
      <c r="N68">
        <f>SUMIF(ConfirmedRaw!$B:$B,$B68,ConfirmedRaw!P:P)</f>
        <v>0</v>
      </c>
      <c r="O68">
        <f>SUMIF(ConfirmedRaw!$B:$B,$B68,ConfirmedRaw!Q:Q)</f>
        <v>0</v>
      </c>
      <c r="P68">
        <f>SUMIF(ConfirmedRaw!$B:$B,$B68,ConfirmedRaw!R:R)</f>
        <v>0</v>
      </c>
      <c r="Q68">
        <f>SUMIF(ConfirmedRaw!$B:$B,$B68,ConfirmedRaw!S:S)</f>
        <v>0</v>
      </c>
      <c r="R68">
        <f>SUMIF(ConfirmedRaw!$B:$B,$B68,ConfirmedRaw!T:T)</f>
        <v>0</v>
      </c>
      <c r="S68">
        <f>SUMIF(ConfirmedRaw!$B:$B,$B68,ConfirmedRaw!U:U)</f>
        <v>0</v>
      </c>
      <c r="T68">
        <f>SUMIF(ConfirmedRaw!$B:$B,$B68,ConfirmedRaw!V:V)</f>
        <v>0</v>
      </c>
      <c r="U68">
        <f>SUMIF(ConfirmedRaw!$B:$B,$B68,ConfirmedRaw!W:W)</f>
        <v>0</v>
      </c>
      <c r="V68">
        <f>SUMIF(ConfirmedRaw!$B:$B,$B68,ConfirmedRaw!X:X)</f>
        <v>0</v>
      </c>
      <c r="W68">
        <f>SUMIF(ConfirmedRaw!$B:$B,$B68,ConfirmedRaw!Y:Y)</f>
        <v>0</v>
      </c>
      <c r="X68">
        <f>SUMIF(ConfirmedRaw!$B:$B,$B68,ConfirmedRaw!Z:Z)</f>
        <v>0</v>
      </c>
      <c r="Y68">
        <f>SUMIF(ConfirmedRaw!$B:$B,$B68,ConfirmedRaw!AA:AA)</f>
        <v>0</v>
      </c>
      <c r="Z68">
        <f>SUMIF(ConfirmedRaw!$B:$B,$B68,ConfirmedRaw!AB:AB)</f>
        <v>0</v>
      </c>
      <c r="AA68">
        <f>SUMIF(ConfirmedRaw!$B:$B,$B68,ConfirmedRaw!AC:AC)</f>
        <v>0</v>
      </c>
      <c r="AB68">
        <f>SUMIF(ConfirmedRaw!$B:$B,$B68,ConfirmedRaw!AD:AD)</f>
        <v>0</v>
      </c>
      <c r="AC68">
        <f>SUMIF(ConfirmedRaw!$B:$B,$B68,ConfirmedRaw!AE:AE)</f>
        <v>0</v>
      </c>
      <c r="AD68">
        <f>SUMIF(ConfirmedRaw!$B:$B,$B68,ConfirmedRaw!AF:AF)</f>
        <v>0</v>
      </c>
      <c r="AE68">
        <f>SUMIF(ConfirmedRaw!$B:$B,$B68,ConfirmedRaw!AG:AG)</f>
        <v>0</v>
      </c>
      <c r="AF68">
        <f>SUMIF(ConfirmedRaw!$B:$B,$B68,ConfirmedRaw!AH:AH)</f>
        <v>0</v>
      </c>
      <c r="AG68">
        <f>SUMIF(ConfirmedRaw!$B:$B,$B68,ConfirmedRaw!AI:AI)</f>
        <v>0</v>
      </c>
      <c r="AH68">
        <f>SUMIF(ConfirmedRaw!$B:$B,$B68,ConfirmedRaw!AJ:AJ)</f>
        <v>0</v>
      </c>
      <c r="AI68">
        <f>SUMIF(ConfirmedRaw!$B:$B,$B68,ConfirmedRaw!AK:AK)</f>
        <v>0</v>
      </c>
      <c r="AJ68">
        <f>SUMIF(ConfirmedRaw!$B:$B,$B68,ConfirmedRaw!AL:AL)</f>
        <v>0</v>
      </c>
      <c r="AK68">
        <f>SUMIF(ConfirmedRaw!$B:$B,$B68,ConfirmedRaw!AM:AM)</f>
        <v>0</v>
      </c>
      <c r="AL68">
        <f>SUMIF(ConfirmedRaw!$B:$B,$B68,ConfirmedRaw!AN:AN)</f>
        <v>0</v>
      </c>
      <c r="AM68">
        <f>SUMIF(ConfirmedRaw!$B:$B,$B68,ConfirmedRaw!AO:AO)</f>
        <v>0</v>
      </c>
      <c r="AN68">
        <f>SUMIF(ConfirmedRaw!$B:$B,$B68,ConfirmedRaw!AP:AP)</f>
        <v>0</v>
      </c>
      <c r="AO68">
        <f>SUMIF(ConfirmedRaw!$B:$B,$B68,ConfirmedRaw!AQ:AQ)</f>
        <v>0</v>
      </c>
      <c r="AP68">
        <f>SUMIF(ConfirmedRaw!$B:$B,$B68,ConfirmedRaw!AR:AR)</f>
        <v>0</v>
      </c>
      <c r="AQ68">
        <f>SUMIF(ConfirmedRaw!$B:$B,$B68,ConfirmedRaw!AS:AS)</f>
        <v>0</v>
      </c>
      <c r="AR68">
        <f>SUMIF(ConfirmedRaw!$B:$B,$B68,ConfirmedRaw!AT:AT)</f>
        <v>0</v>
      </c>
      <c r="AS68">
        <f>SUMIF(ConfirmedRaw!$B:$B,$B68,ConfirmedRaw!AU:AU)</f>
        <v>0</v>
      </c>
      <c r="AT68">
        <f>SUMIF(ConfirmedRaw!$B:$B,$B68,ConfirmedRaw!AV:AV)</f>
        <v>0</v>
      </c>
      <c r="AU68">
        <f>SUMIF(ConfirmedRaw!$B:$B,$B68,ConfirmedRaw!AW:AW)</f>
        <v>1</v>
      </c>
      <c r="AV68">
        <f>SUMIF(ConfirmedRaw!$B:$B,$B68,ConfirmedRaw!AX:AX)</f>
        <v>1</v>
      </c>
      <c r="AW68">
        <f>SUMIF(ConfirmedRaw!$B:$B,$B68,ConfirmedRaw!AY:AY)</f>
        <v>5</v>
      </c>
      <c r="AX68">
        <f>SUMIF(ConfirmedRaw!$B:$B,$B68,ConfirmedRaw!AZ:AZ)</f>
        <v>9</v>
      </c>
      <c r="AY68">
        <f>SUMIF(ConfirmedRaw!$B:$B,$B68,ConfirmedRaw!BA:BA)</f>
        <v>9</v>
      </c>
      <c r="AZ68">
        <f>SUMIF(ConfirmedRaw!$B:$B,$B68,ConfirmedRaw!BB:BB)</f>
        <v>13</v>
      </c>
      <c r="BA68">
        <f>SUMIF(ConfirmedRaw!$B:$B,$B68,ConfirmedRaw!BC:BC)</f>
        <v>22</v>
      </c>
      <c r="BB68">
        <f>SUMIF(ConfirmedRaw!$B:$B,$B68,ConfirmedRaw!BD:BD)</f>
        <v>23</v>
      </c>
      <c r="BC68">
        <f>SUMIF(ConfirmedRaw!$B:$B,$B68,ConfirmedRaw!BE:BE)</f>
        <v>26</v>
      </c>
      <c r="BD68">
        <f>SUMIF(ConfirmedRaw!$B:$B,$B68,ConfirmedRaw!BF:BF)</f>
        <v>27</v>
      </c>
      <c r="BE68">
        <f>SUMIF(ConfirmedRaw!$B:$B,$B68,ConfirmedRaw!BG:BG)</f>
        <v>35</v>
      </c>
      <c r="BF68">
        <f>SUMIF(ConfirmedRaw!$B:$B,$B68,ConfirmedRaw!BH:BH)</f>
        <v>41</v>
      </c>
      <c r="BG68">
        <f>SUMIF(ConfirmedRaw!$B:$B,$B68,ConfirmedRaw!BI:BI)</f>
        <v>50</v>
      </c>
      <c r="BH68">
        <f>SUMIF(ConfirmedRaw!$B:$B,$B68,ConfirmedRaw!BJ:BJ)</f>
        <v>69</v>
      </c>
      <c r="BI68">
        <f>SUMIF(ConfirmedRaw!$B:$B,$B68,ConfirmedRaw!BK:BK)</f>
        <v>89</v>
      </c>
      <c r="BJ68">
        <f>SUMIF(ConfirmedRaw!$B:$B,$B68,ConfirmedRaw!BL:BL)</f>
        <v>117</v>
      </c>
      <c r="BK68">
        <f>SUMIF(ConfirmedRaw!$B:$B,$B68,ConfirmedRaw!BM:BM)</f>
        <v>134</v>
      </c>
      <c r="BL68">
        <f>SUMIF(ConfirmedRaw!$B:$B,$B68,ConfirmedRaw!BN:BN)</f>
        <v>158</v>
      </c>
      <c r="BM68">
        <f>SUMIF(ConfirmedRaw!$B:$B,$B68,ConfirmedRaw!BO:BO)</f>
        <v>177</v>
      </c>
      <c r="BN68">
        <f>SUMIF(ConfirmedRaw!$B:$B,$B68,ConfirmedRaw!BP:BP)</f>
        <v>201</v>
      </c>
      <c r="BO68">
        <f>SUMIF(ConfirmedRaw!$B:$B,$B68,ConfirmedRaw!BQ:BQ)</f>
        <v>231</v>
      </c>
      <c r="BP68">
        <f>SUMIF(ConfirmedRaw!$B:$B,$B68,ConfirmedRaw!BR:BR)</f>
        <v>263</v>
      </c>
      <c r="BQ68">
        <f>SUMIF(ConfirmedRaw!$B:$B,$B68,ConfirmedRaw!BS:BS)</f>
        <v>295</v>
      </c>
      <c r="BR68">
        <f>SUMIF(ConfirmedRaw!$B:$B,$B68,ConfirmedRaw!BT:BT)</f>
        <v>0</v>
      </c>
      <c r="BS68">
        <f>SUMIF(ConfirmedRaw!$B:$B,$B68,ConfirmedRaw!BU:BU)</f>
        <v>0</v>
      </c>
      <c r="BT68">
        <f>SUMIF(ConfirmedRaw!$B:$B,$B68,ConfirmedRaw!BV:BV)</f>
        <v>0</v>
      </c>
      <c r="BU68">
        <f>SUMIF(ConfirmedRaw!$B:$B,$B68,ConfirmedRaw!BW:BW)</f>
        <v>0</v>
      </c>
    </row>
    <row r="69" spans="1:73" ht="15" thickBot="1" x14ac:dyDescent="0.35">
      <c r="A69" s="97" t="str">
        <f>VLOOKUP(B69,Country_Data!B:Q,16,FALSE)</f>
        <v>Europe</v>
      </c>
      <c r="B69" s="4" t="s">
        <v>132</v>
      </c>
      <c r="C69">
        <f>SUMIF(ConfirmedRaw!$B:$B,$B69,ConfirmedRaw!E:E)</f>
        <v>0</v>
      </c>
      <c r="D69">
        <f>SUMIF(ConfirmedRaw!$B:$B,$B69,ConfirmedRaw!F:F)</f>
        <v>0</v>
      </c>
      <c r="E69">
        <f>SUMIF(ConfirmedRaw!$B:$B,$B69,ConfirmedRaw!G:G)</f>
        <v>0</v>
      </c>
      <c r="F69">
        <f>SUMIF(ConfirmedRaw!$B:$B,$B69,ConfirmedRaw!H:H)</f>
        <v>0</v>
      </c>
      <c r="G69">
        <f>SUMIF(ConfirmedRaw!$B:$B,$B69,ConfirmedRaw!I:I)</f>
        <v>0</v>
      </c>
      <c r="H69">
        <f>SUMIF(ConfirmedRaw!$B:$B,$B69,ConfirmedRaw!J:J)</f>
        <v>0</v>
      </c>
      <c r="I69">
        <f>SUMIF(ConfirmedRaw!$B:$B,$B69,ConfirmedRaw!K:K)</f>
        <v>0</v>
      </c>
      <c r="J69">
        <f>SUMIF(ConfirmedRaw!$B:$B,$B69,ConfirmedRaw!L:L)</f>
        <v>0</v>
      </c>
      <c r="K69">
        <f>SUMIF(ConfirmedRaw!$B:$B,$B69,ConfirmedRaw!M:M)</f>
        <v>0</v>
      </c>
      <c r="L69">
        <f>SUMIF(ConfirmedRaw!$B:$B,$B69,ConfirmedRaw!N:N)</f>
        <v>0</v>
      </c>
      <c r="M69">
        <f>SUMIF(ConfirmedRaw!$B:$B,$B69,ConfirmedRaw!O:O)</f>
        <v>0</v>
      </c>
      <c r="N69">
        <f>SUMIF(ConfirmedRaw!$B:$B,$B69,ConfirmedRaw!P:P)</f>
        <v>0</v>
      </c>
      <c r="O69">
        <f>SUMIF(ConfirmedRaw!$B:$B,$B69,ConfirmedRaw!Q:Q)</f>
        <v>0</v>
      </c>
      <c r="P69">
        <f>SUMIF(ConfirmedRaw!$B:$B,$B69,ConfirmedRaw!R:R)</f>
        <v>0</v>
      </c>
      <c r="Q69">
        <f>SUMIF(ConfirmedRaw!$B:$B,$B69,ConfirmedRaw!S:S)</f>
        <v>0</v>
      </c>
      <c r="R69">
        <f>SUMIF(ConfirmedRaw!$B:$B,$B69,ConfirmedRaw!T:T)</f>
        <v>0</v>
      </c>
      <c r="S69">
        <f>SUMIF(ConfirmedRaw!$B:$B,$B69,ConfirmedRaw!U:U)</f>
        <v>0</v>
      </c>
      <c r="T69">
        <f>SUMIF(ConfirmedRaw!$B:$B,$B69,ConfirmedRaw!V:V)</f>
        <v>0</v>
      </c>
      <c r="U69">
        <f>SUMIF(ConfirmedRaw!$B:$B,$B69,ConfirmedRaw!W:W)</f>
        <v>0</v>
      </c>
      <c r="V69">
        <f>SUMIF(ConfirmedRaw!$B:$B,$B69,ConfirmedRaw!X:X)</f>
        <v>0</v>
      </c>
      <c r="W69">
        <f>SUMIF(ConfirmedRaw!$B:$B,$B69,ConfirmedRaw!Y:Y)</f>
        <v>0</v>
      </c>
      <c r="X69">
        <f>SUMIF(ConfirmedRaw!$B:$B,$B69,ConfirmedRaw!Z:Z)</f>
        <v>0</v>
      </c>
      <c r="Y69">
        <f>SUMIF(ConfirmedRaw!$B:$B,$B69,ConfirmedRaw!AA:AA)</f>
        <v>0</v>
      </c>
      <c r="Z69">
        <f>SUMIF(ConfirmedRaw!$B:$B,$B69,ConfirmedRaw!AB:AB)</f>
        <v>0</v>
      </c>
      <c r="AA69">
        <f>SUMIF(ConfirmedRaw!$B:$B,$B69,ConfirmedRaw!AC:AC)</f>
        <v>0</v>
      </c>
      <c r="AB69">
        <f>SUMIF(ConfirmedRaw!$B:$B,$B69,ConfirmedRaw!AD:AD)</f>
        <v>0</v>
      </c>
      <c r="AC69">
        <f>SUMIF(ConfirmedRaw!$B:$B,$B69,ConfirmedRaw!AE:AE)</f>
        <v>0</v>
      </c>
      <c r="AD69">
        <f>SUMIF(ConfirmedRaw!$B:$B,$B69,ConfirmedRaw!AF:AF)</f>
        <v>0</v>
      </c>
      <c r="AE69">
        <f>SUMIF(ConfirmedRaw!$B:$B,$B69,ConfirmedRaw!AG:AG)</f>
        <v>0</v>
      </c>
      <c r="AF69">
        <f>SUMIF(ConfirmedRaw!$B:$B,$B69,ConfirmedRaw!AH:AH)</f>
        <v>0</v>
      </c>
      <c r="AG69">
        <f>SUMIF(ConfirmedRaw!$B:$B,$B69,ConfirmedRaw!AI:AI)</f>
        <v>0</v>
      </c>
      <c r="AH69">
        <f>SUMIF(ConfirmedRaw!$B:$B,$B69,ConfirmedRaw!AJ:AJ)</f>
        <v>0</v>
      </c>
      <c r="AI69">
        <f>SUMIF(ConfirmedRaw!$B:$B,$B69,ConfirmedRaw!AK:AK)</f>
        <v>0</v>
      </c>
      <c r="AJ69">
        <f>SUMIF(ConfirmedRaw!$B:$B,$B69,ConfirmedRaw!AL:AL)</f>
        <v>0</v>
      </c>
      <c r="AK69">
        <f>SUMIF(ConfirmedRaw!$B:$B,$B69,ConfirmedRaw!AM:AM)</f>
        <v>0</v>
      </c>
      <c r="AL69">
        <f>SUMIF(ConfirmedRaw!$B:$B,$B69,ConfirmedRaw!AN:AN)</f>
        <v>0</v>
      </c>
      <c r="AM69">
        <f>SUMIF(ConfirmedRaw!$B:$B,$B69,ConfirmedRaw!AO:AO)</f>
        <v>0</v>
      </c>
      <c r="AN69">
        <f>SUMIF(ConfirmedRaw!$B:$B,$B69,ConfirmedRaw!AP:AP)</f>
        <v>0</v>
      </c>
      <c r="AO69">
        <f>SUMIF(ConfirmedRaw!$B:$B,$B69,ConfirmedRaw!AQ:AQ)</f>
        <v>0</v>
      </c>
      <c r="AP69">
        <f>SUMIF(ConfirmedRaw!$B:$B,$B69,ConfirmedRaw!AR:AR)</f>
        <v>0</v>
      </c>
      <c r="AQ69">
        <f>SUMIF(ConfirmedRaw!$B:$B,$B69,ConfirmedRaw!AS:AS)</f>
        <v>0</v>
      </c>
      <c r="AR69">
        <f>SUMIF(ConfirmedRaw!$B:$B,$B69,ConfirmedRaw!AT:AT)</f>
        <v>0</v>
      </c>
      <c r="AS69">
        <f>SUMIF(ConfirmedRaw!$B:$B,$B69,ConfirmedRaw!AU:AU)</f>
        <v>2</v>
      </c>
      <c r="AT69">
        <f>SUMIF(ConfirmedRaw!$B:$B,$B69,ConfirmedRaw!AV:AV)</f>
        <v>2</v>
      </c>
      <c r="AU69">
        <f>SUMIF(ConfirmedRaw!$B:$B,$B69,ConfirmedRaw!AW:AW)</f>
        <v>2</v>
      </c>
      <c r="AV69">
        <f>SUMIF(ConfirmedRaw!$B:$B,$B69,ConfirmedRaw!AX:AX)</f>
        <v>4</v>
      </c>
      <c r="AW69">
        <f>SUMIF(ConfirmedRaw!$B:$B,$B69,ConfirmedRaw!AY:AY)</f>
        <v>7</v>
      </c>
      <c r="AX69">
        <f>SUMIF(ConfirmedRaw!$B:$B,$B69,ConfirmedRaw!AZ:AZ)</f>
        <v>9</v>
      </c>
      <c r="AY69">
        <f>SUMIF(ConfirmedRaw!$B:$B,$B69,ConfirmedRaw!BA:BA)</f>
        <v>9</v>
      </c>
      <c r="AZ69">
        <f>SUMIF(ConfirmedRaw!$B:$B,$B69,ConfirmedRaw!BB:BB)</f>
        <v>13</v>
      </c>
      <c r="BA69">
        <f>SUMIF(ConfirmedRaw!$B:$B,$B69,ConfirmedRaw!BC:BC)</f>
        <v>13</v>
      </c>
      <c r="BB69">
        <f>SUMIF(ConfirmedRaw!$B:$B,$B69,ConfirmedRaw!BD:BD)</f>
        <v>19</v>
      </c>
      <c r="BC69">
        <f>SUMIF(ConfirmedRaw!$B:$B,$B69,ConfirmedRaw!BE:BE)</f>
        <v>30</v>
      </c>
      <c r="BD69">
        <f>SUMIF(ConfirmedRaw!$B:$B,$B69,ConfirmedRaw!BF:BF)</f>
        <v>32</v>
      </c>
      <c r="BE69">
        <f>SUMIF(ConfirmedRaw!$B:$B,$B69,ConfirmedRaw!BG:BG)</f>
        <v>39</v>
      </c>
      <c r="BF69">
        <f>SUMIF(ConfirmedRaw!$B:$B,$B69,ConfirmedRaw!BH:BH)</f>
        <v>50</v>
      </c>
      <c r="BG69">
        <f>SUMIF(ConfirmedRaw!$B:$B,$B69,ConfirmedRaw!BI:BI)</f>
        <v>58</v>
      </c>
      <c r="BH69">
        <f>SUMIF(ConfirmedRaw!$B:$B,$B69,ConfirmedRaw!BJ:BJ)</f>
        <v>73</v>
      </c>
      <c r="BI69">
        <f>SUMIF(ConfirmedRaw!$B:$B,$B69,ConfirmedRaw!BK:BK)</f>
        <v>85</v>
      </c>
      <c r="BJ69">
        <f>SUMIF(ConfirmedRaw!$B:$B,$B69,ConfirmedRaw!BL:BL)</f>
        <v>103</v>
      </c>
      <c r="BK69">
        <f>SUMIF(ConfirmedRaw!$B:$B,$B69,ConfirmedRaw!BM:BM)</f>
        <v>131</v>
      </c>
      <c r="BL69">
        <f>SUMIF(ConfirmedRaw!$B:$B,$B69,ConfirmedRaw!BN:BN)</f>
        <v>167</v>
      </c>
      <c r="BM69">
        <f>SUMIF(ConfirmedRaw!$B:$B,$B69,ConfirmedRaw!BO:BO)</f>
        <v>187</v>
      </c>
      <c r="BN69">
        <f>SUMIF(ConfirmedRaw!$B:$B,$B69,ConfirmedRaw!BP:BP)</f>
        <v>226</v>
      </c>
      <c r="BO69">
        <f>SUMIF(ConfirmedRaw!$B:$B,$B69,ConfirmedRaw!BQ:BQ)</f>
        <v>261</v>
      </c>
      <c r="BP69">
        <f>SUMIF(ConfirmedRaw!$B:$B,$B69,ConfirmedRaw!BR:BR)</f>
        <v>300</v>
      </c>
      <c r="BQ69">
        <f>SUMIF(ConfirmedRaw!$B:$B,$B69,ConfirmedRaw!BS:BS)</f>
        <v>343</v>
      </c>
      <c r="BR69">
        <f>SUMIF(ConfirmedRaw!$B:$B,$B69,ConfirmedRaw!BT:BT)</f>
        <v>0</v>
      </c>
      <c r="BS69">
        <f>SUMIF(ConfirmedRaw!$B:$B,$B69,ConfirmedRaw!BU:BU)</f>
        <v>0</v>
      </c>
      <c r="BT69">
        <f>SUMIF(ConfirmedRaw!$B:$B,$B69,ConfirmedRaw!BV:BV)</f>
        <v>0</v>
      </c>
      <c r="BU69">
        <f>SUMIF(ConfirmedRaw!$B:$B,$B69,ConfirmedRaw!BW:BW)</f>
        <v>0</v>
      </c>
    </row>
    <row r="70" spans="1:73" ht="15" thickBot="1" x14ac:dyDescent="0.35">
      <c r="A70" s="97" t="str">
        <f>VLOOKUP(B70,Country_Data!B:Q,16,FALSE)</f>
        <v>Middle East</v>
      </c>
      <c r="B70" s="4" t="s">
        <v>71</v>
      </c>
      <c r="C70">
        <f>SUMIF(ConfirmedRaw!$B:$B,$B70,ConfirmedRaw!E:E)</f>
        <v>0</v>
      </c>
      <c r="D70">
        <f>SUMIF(ConfirmedRaw!$B:$B,$B70,ConfirmedRaw!F:F)</f>
        <v>0</v>
      </c>
      <c r="E70">
        <f>SUMIF(ConfirmedRaw!$B:$B,$B70,ConfirmedRaw!G:G)</f>
        <v>0</v>
      </c>
      <c r="F70">
        <f>SUMIF(ConfirmedRaw!$B:$B,$B70,ConfirmedRaw!H:H)</f>
        <v>0</v>
      </c>
      <c r="G70">
        <f>SUMIF(ConfirmedRaw!$B:$B,$B70,ConfirmedRaw!I:I)</f>
        <v>0</v>
      </c>
      <c r="H70">
        <f>SUMIF(ConfirmedRaw!$B:$B,$B70,ConfirmedRaw!J:J)</f>
        <v>0</v>
      </c>
      <c r="I70">
        <f>SUMIF(ConfirmedRaw!$B:$B,$B70,ConfirmedRaw!K:K)</f>
        <v>0</v>
      </c>
      <c r="J70">
        <f>SUMIF(ConfirmedRaw!$B:$B,$B70,ConfirmedRaw!L:L)</f>
        <v>0</v>
      </c>
      <c r="K70">
        <f>SUMIF(ConfirmedRaw!$B:$B,$B70,ConfirmedRaw!M:M)</f>
        <v>0</v>
      </c>
      <c r="L70">
        <f>SUMIF(ConfirmedRaw!$B:$B,$B70,ConfirmedRaw!N:N)</f>
        <v>0</v>
      </c>
      <c r="M70">
        <f>SUMIF(ConfirmedRaw!$B:$B,$B70,ConfirmedRaw!O:O)</f>
        <v>0</v>
      </c>
      <c r="N70">
        <f>SUMIF(ConfirmedRaw!$B:$B,$B70,ConfirmedRaw!P:P)</f>
        <v>0</v>
      </c>
      <c r="O70">
        <f>SUMIF(ConfirmedRaw!$B:$B,$B70,ConfirmedRaw!Q:Q)</f>
        <v>0</v>
      </c>
      <c r="P70">
        <f>SUMIF(ConfirmedRaw!$B:$B,$B70,ConfirmedRaw!R:R)</f>
        <v>0</v>
      </c>
      <c r="Q70">
        <f>SUMIF(ConfirmedRaw!$B:$B,$B70,ConfirmedRaw!S:S)</f>
        <v>0</v>
      </c>
      <c r="R70">
        <f>SUMIF(ConfirmedRaw!$B:$B,$B70,ConfirmedRaw!T:T)</f>
        <v>0</v>
      </c>
      <c r="S70">
        <f>SUMIF(ConfirmedRaw!$B:$B,$B70,ConfirmedRaw!U:U)</f>
        <v>0</v>
      </c>
      <c r="T70">
        <f>SUMIF(ConfirmedRaw!$B:$B,$B70,ConfirmedRaw!V:V)</f>
        <v>0</v>
      </c>
      <c r="U70">
        <f>SUMIF(ConfirmedRaw!$B:$B,$B70,ConfirmedRaw!W:W)</f>
        <v>0</v>
      </c>
      <c r="V70">
        <f>SUMIF(ConfirmedRaw!$B:$B,$B70,ConfirmedRaw!X:X)</f>
        <v>0</v>
      </c>
      <c r="W70">
        <f>SUMIF(ConfirmedRaw!$B:$B,$B70,ConfirmedRaw!Y:Y)</f>
        <v>0</v>
      </c>
      <c r="X70">
        <f>SUMIF(ConfirmedRaw!$B:$B,$B70,ConfirmedRaw!Z:Z)</f>
        <v>0</v>
      </c>
      <c r="Y70">
        <f>SUMIF(ConfirmedRaw!$B:$B,$B70,ConfirmedRaw!AA:AA)</f>
        <v>0</v>
      </c>
      <c r="Z70">
        <f>SUMIF(ConfirmedRaw!$B:$B,$B70,ConfirmedRaw!AB:AB)</f>
        <v>0</v>
      </c>
      <c r="AA70">
        <f>SUMIF(ConfirmedRaw!$B:$B,$B70,ConfirmedRaw!AC:AC)</f>
        <v>0</v>
      </c>
      <c r="AB70">
        <f>SUMIF(ConfirmedRaw!$B:$B,$B70,ConfirmedRaw!AD:AD)</f>
        <v>0</v>
      </c>
      <c r="AC70">
        <f>SUMIF(ConfirmedRaw!$B:$B,$B70,ConfirmedRaw!AE:AE)</f>
        <v>0</v>
      </c>
      <c r="AD70">
        <f>SUMIF(ConfirmedRaw!$B:$B,$B70,ConfirmedRaw!AF:AF)</f>
        <v>0</v>
      </c>
      <c r="AE70">
        <f>SUMIF(ConfirmedRaw!$B:$B,$B70,ConfirmedRaw!AG:AG)</f>
        <v>0</v>
      </c>
      <c r="AF70">
        <f>SUMIF(ConfirmedRaw!$B:$B,$B70,ConfirmedRaw!AH:AH)</f>
        <v>0</v>
      </c>
      <c r="AG70">
        <f>SUMIF(ConfirmedRaw!$B:$B,$B70,ConfirmedRaw!AI:AI)</f>
        <v>0</v>
      </c>
      <c r="AH70">
        <f>SUMIF(ConfirmedRaw!$B:$B,$B70,ConfirmedRaw!AJ:AJ)</f>
        <v>0</v>
      </c>
      <c r="AI70">
        <f>SUMIF(ConfirmedRaw!$B:$B,$B70,ConfirmedRaw!AK:AK)</f>
        <v>0</v>
      </c>
      <c r="AJ70">
        <f>SUMIF(ConfirmedRaw!$B:$B,$B70,ConfirmedRaw!AL:AL)</f>
        <v>2</v>
      </c>
      <c r="AK70">
        <f>SUMIF(ConfirmedRaw!$B:$B,$B70,ConfirmedRaw!AM:AM)</f>
        <v>2</v>
      </c>
      <c r="AL70">
        <f>SUMIF(ConfirmedRaw!$B:$B,$B70,ConfirmedRaw!AN:AN)</f>
        <v>4</v>
      </c>
      <c r="AM70">
        <f>SUMIF(ConfirmedRaw!$B:$B,$B70,ConfirmedRaw!AO:AO)</f>
        <v>4</v>
      </c>
      <c r="AN70">
        <f>SUMIF(ConfirmedRaw!$B:$B,$B70,ConfirmedRaw!AP:AP)</f>
        <v>4</v>
      </c>
      <c r="AO70">
        <f>SUMIF(ConfirmedRaw!$B:$B,$B70,ConfirmedRaw!AQ:AQ)</f>
        <v>6</v>
      </c>
      <c r="AP70">
        <f>SUMIF(ConfirmedRaw!$B:$B,$B70,ConfirmedRaw!AR:AR)</f>
        <v>6</v>
      </c>
      <c r="AQ70">
        <f>SUMIF(ConfirmedRaw!$B:$B,$B70,ConfirmedRaw!AS:AS)</f>
        <v>6</v>
      </c>
      <c r="AR70">
        <f>SUMIF(ConfirmedRaw!$B:$B,$B70,ConfirmedRaw!AT:AT)</f>
        <v>12</v>
      </c>
      <c r="AS70">
        <f>SUMIF(ConfirmedRaw!$B:$B,$B70,ConfirmedRaw!AU:AU)</f>
        <v>15</v>
      </c>
      <c r="AT70">
        <f>SUMIF(ConfirmedRaw!$B:$B,$B70,ConfirmedRaw!AV:AV)</f>
        <v>16</v>
      </c>
      <c r="AU70">
        <f>SUMIF(ConfirmedRaw!$B:$B,$B70,ConfirmedRaw!AW:AW)</f>
        <v>16</v>
      </c>
      <c r="AV70">
        <f>SUMIF(ConfirmedRaw!$B:$B,$B70,ConfirmedRaw!AX:AX)</f>
        <v>16</v>
      </c>
      <c r="AW70">
        <f>SUMIF(ConfirmedRaw!$B:$B,$B70,ConfirmedRaw!AY:AY)</f>
        <v>16</v>
      </c>
      <c r="AX70">
        <f>SUMIF(ConfirmedRaw!$B:$B,$B70,ConfirmedRaw!AZ:AZ)</f>
        <v>16</v>
      </c>
      <c r="AY70">
        <f>SUMIF(ConfirmedRaw!$B:$B,$B70,ConfirmedRaw!BA:BA)</f>
        <v>18</v>
      </c>
      <c r="AZ70">
        <f>SUMIF(ConfirmedRaw!$B:$B,$B70,ConfirmedRaw!BB:BB)</f>
        <v>18</v>
      </c>
      <c r="BA70">
        <f>SUMIF(ConfirmedRaw!$B:$B,$B70,ConfirmedRaw!BC:BC)</f>
        <v>18</v>
      </c>
      <c r="BB70">
        <f>SUMIF(ConfirmedRaw!$B:$B,$B70,ConfirmedRaw!BD:BD)</f>
        <v>19</v>
      </c>
      <c r="BC70">
        <f>SUMIF(ConfirmedRaw!$B:$B,$B70,ConfirmedRaw!BE:BE)</f>
        <v>19</v>
      </c>
      <c r="BD70">
        <f>SUMIF(ConfirmedRaw!$B:$B,$B70,ConfirmedRaw!BF:BF)</f>
        <v>22</v>
      </c>
      <c r="BE70">
        <f>SUMIF(ConfirmedRaw!$B:$B,$B70,ConfirmedRaw!BG:BG)</f>
        <v>22</v>
      </c>
      <c r="BF70">
        <f>SUMIF(ConfirmedRaw!$B:$B,$B70,ConfirmedRaw!BH:BH)</f>
        <v>24</v>
      </c>
      <c r="BG70">
        <f>SUMIF(ConfirmedRaw!$B:$B,$B70,ConfirmedRaw!BI:BI)</f>
        <v>39</v>
      </c>
      <c r="BH70">
        <f>SUMIF(ConfirmedRaw!$B:$B,$B70,ConfirmedRaw!BJ:BJ)</f>
        <v>48</v>
      </c>
      <c r="BI70">
        <f>SUMIF(ConfirmedRaw!$B:$B,$B70,ConfirmedRaw!BK:BK)</f>
        <v>48</v>
      </c>
      <c r="BJ70">
        <f>SUMIF(ConfirmedRaw!$B:$B,$B70,ConfirmedRaw!BL:BL)</f>
        <v>52</v>
      </c>
      <c r="BK70">
        <f>SUMIF(ConfirmedRaw!$B:$B,$B70,ConfirmedRaw!BM:BM)</f>
        <v>55</v>
      </c>
      <c r="BL70">
        <f>SUMIF(ConfirmedRaw!$B:$B,$B70,ConfirmedRaw!BN:BN)</f>
        <v>66</v>
      </c>
      <c r="BM70">
        <f>SUMIF(ConfirmedRaw!$B:$B,$B70,ConfirmedRaw!BO:BO)</f>
        <v>84</v>
      </c>
      <c r="BN70">
        <f>SUMIF(ConfirmedRaw!$B:$B,$B70,ConfirmedRaw!BP:BP)</f>
        <v>99</v>
      </c>
      <c r="BO70">
        <f>SUMIF(ConfirmedRaw!$B:$B,$B70,ConfirmedRaw!BQ:BQ)</f>
        <v>109</v>
      </c>
      <c r="BP70">
        <f>SUMIF(ConfirmedRaw!$B:$B,$B70,ConfirmedRaw!BR:BR)</f>
        <v>131</v>
      </c>
      <c r="BQ70">
        <f>SUMIF(ConfirmedRaw!$B:$B,$B70,ConfirmedRaw!BS:BS)</f>
        <v>152</v>
      </c>
      <c r="BR70">
        <f>SUMIF(ConfirmedRaw!$B:$B,$B70,ConfirmedRaw!BT:BT)</f>
        <v>0</v>
      </c>
      <c r="BS70">
        <f>SUMIF(ConfirmedRaw!$B:$B,$B70,ConfirmedRaw!BU:BU)</f>
        <v>0</v>
      </c>
      <c r="BT70">
        <f>SUMIF(ConfirmedRaw!$B:$B,$B70,ConfirmedRaw!BV:BV)</f>
        <v>0</v>
      </c>
      <c r="BU70">
        <f>SUMIF(ConfirmedRaw!$B:$B,$B70,ConfirmedRaw!BW:BW)</f>
        <v>0</v>
      </c>
    </row>
    <row r="71" spans="1:73" ht="15" thickBot="1" x14ac:dyDescent="0.35">
      <c r="A71" s="97" t="str">
        <f>VLOOKUP(B71,Country_Data!B:Q,16,FALSE)</f>
        <v>South America</v>
      </c>
      <c r="B71" s="4" t="s">
        <v>103</v>
      </c>
      <c r="C71">
        <f>SUMIF(ConfirmedRaw!$B:$B,$B71,ConfirmedRaw!E:E)</f>
        <v>0</v>
      </c>
      <c r="D71">
        <f>SUMIF(ConfirmedRaw!$B:$B,$B71,ConfirmedRaw!F:F)</f>
        <v>0</v>
      </c>
      <c r="E71">
        <f>SUMIF(ConfirmedRaw!$B:$B,$B71,ConfirmedRaw!G:G)</f>
        <v>0</v>
      </c>
      <c r="F71">
        <f>SUMIF(ConfirmedRaw!$B:$B,$B71,ConfirmedRaw!H:H)</f>
        <v>0</v>
      </c>
      <c r="G71">
        <f>SUMIF(ConfirmedRaw!$B:$B,$B71,ConfirmedRaw!I:I)</f>
        <v>0</v>
      </c>
      <c r="H71">
        <f>SUMIF(ConfirmedRaw!$B:$B,$B71,ConfirmedRaw!J:J)</f>
        <v>0</v>
      </c>
      <c r="I71">
        <f>SUMIF(ConfirmedRaw!$B:$B,$B71,ConfirmedRaw!K:K)</f>
        <v>0</v>
      </c>
      <c r="J71">
        <f>SUMIF(ConfirmedRaw!$B:$B,$B71,ConfirmedRaw!L:L)</f>
        <v>0</v>
      </c>
      <c r="K71">
        <f>SUMIF(ConfirmedRaw!$B:$B,$B71,ConfirmedRaw!M:M)</f>
        <v>0</v>
      </c>
      <c r="L71">
        <f>SUMIF(ConfirmedRaw!$B:$B,$B71,ConfirmedRaw!N:N)</f>
        <v>0</v>
      </c>
      <c r="M71">
        <f>SUMIF(ConfirmedRaw!$B:$B,$B71,ConfirmedRaw!O:O)</f>
        <v>0</v>
      </c>
      <c r="N71">
        <f>SUMIF(ConfirmedRaw!$B:$B,$B71,ConfirmedRaw!P:P)</f>
        <v>0</v>
      </c>
      <c r="O71">
        <f>SUMIF(ConfirmedRaw!$B:$B,$B71,ConfirmedRaw!Q:Q)</f>
        <v>0</v>
      </c>
      <c r="P71">
        <f>SUMIF(ConfirmedRaw!$B:$B,$B71,ConfirmedRaw!R:R)</f>
        <v>0</v>
      </c>
      <c r="Q71">
        <f>SUMIF(ConfirmedRaw!$B:$B,$B71,ConfirmedRaw!S:S)</f>
        <v>0</v>
      </c>
      <c r="R71">
        <f>SUMIF(ConfirmedRaw!$B:$B,$B71,ConfirmedRaw!T:T)</f>
        <v>0</v>
      </c>
      <c r="S71">
        <f>SUMIF(ConfirmedRaw!$B:$B,$B71,ConfirmedRaw!U:U)</f>
        <v>0</v>
      </c>
      <c r="T71">
        <f>SUMIF(ConfirmedRaw!$B:$B,$B71,ConfirmedRaw!V:V)</f>
        <v>0</v>
      </c>
      <c r="U71">
        <f>SUMIF(ConfirmedRaw!$B:$B,$B71,ConfirmedRaw!W:W)</f>
        <v>0</v>
      </c>
      <c r="V71">
        <f>SUMIF(ConfirmedRaw!$B:$B,$B71,ConfirmedRaw!X:X)</f>
        <v>0</v>
      </c>
      <c r="W71">
        <f>SUMIF(ConfirmedRaw!$B:$B,$B71,ConfirmedRaw!Y:Y)</f>
        <v>0</v>
      </c>
      <c r="X71">
        <f>SUMIF(ConfirmedRaw!$B:$B,$B71,ConfirmedRaw!Z:Z)</f>
        <v>0</v>
      </c>
      <c r="Y71">
        <f>SUMIF(ConfirmedRaw!$B:$B,$B71,ConfirmedRaw!AA:AA)</f>
        <v>0</v>
      </c>
      <c r="Z71">
        <f>SUMIF(ConfirmedRaw!$B:$B,$B71,ConfirmedRaw!AB:AB)</f>
        <v>0</v>
      </c>
      <c r="AA71">
        <f>SUMIF(ConfirmedRaw!$B:$B,$B71,ConfirmedRaw!AC:AC)</f>
        <v>0</v>
      </c>
      <c r="AB71">
        <f>SUMIF(ConfirmedRaw!$B:$B,$B71,ConfirmedRaw!AD:AD)</f>
        <v>0</v>
      </c>
      <c r="AC71">
        <f>SUMIF(ConfirmedRaw!$B:$B,$B71,ConfirmedRaw!AE:AE)</f>
        <v>0</v>
      </c>
      <c r="AD71">
        <f>SUMIF(ConfirmedRaw!$B:$B,$B71,ConfirmedRaw!AF:AF)</f>
        <v>0</v>
      </c>
      <c r="AE71">
        <f>SUMIF(ConfirmedRaw!$B:$B,$B71,ConfirmedRaw!AG:AG)</f>
        <v>0</v>
      </c>
      <c r="AF71">
        <f>SUMIF(ConfirmedRaw!$B:$B,$B71,ConfirmedRaw!AH:AH)</f>
        <v>0</v>
      </c>
      <c r="AG71">
        <f>SUMIF(ConfirmedRaw!$B:$B,$B71,ConfirmedRaw!AI:AI)</f>
        <v>0</v>
      </c>
      <c r="AH71">
        <f>SUMIF(ConfirmedRaw!$B:$B,$B71,ConfirmedRaw!AJ:AJ)</f>
        <v>0</v>
      </c>
      <c r="AI71">
        <f>SUMIF(ConfirmedRaw!$B:$B,$B71,ConfirmedRaw!AK:AK)</f>
        <v>0</v>
      </c>
      <c r="AJ71">
        <f>SUMIF(ConfirmedRaw!$B:$B,$B71,ConfirmedRaw!AL:AL)</f>
        <v>0</v>
      </c>
      <c r="AK71">
        <f>SUMIF(ConfirmedRaw!$B:$B,$B71,ConfirmedRaw!AM:AM)</f>
        <v>0</v>
      </c>
      <c r="AL71">
        <f>SUMIF(ConfirmedRaw!$B:$B,$B71,ConfirmedRaw!AN:AN)</f>
        <v>0</v>
      </c>
      <c r="AM71">
        <f>SUMIF(ConfirmedRaw!$B:$B,$B71,ConfirmedRaw!AO:AO)</f>
        <v>0</v>
      </c>
      <c r="AN71">
        <f>SUMIF(ConfirmedRaw!$B:$B,$B71,ConfirmedRaw!AP:AP)</f>
        <v>0</v>
      </c>
      <c r="AO71">
        <f>SUMIF(ConfirmedRaw!$B:$B,$B71,ConfirmedRaw!AQ:AQ)</f>
        <v>0</v>
      </c>
      <c r="AP71">
        <f>SUMIF(ConfirmedRaw!$B:$B,$B71,ConfirmedRaw!AR:AR)</f>
        <v>6</v>
      </c>
      <c r="AQ71">
        <f>SUMIF(ConfirmedRaw!$B:$B,$B71,ConfirmedRaw!AS:AS)</f>
        <v>6</v>
      </c>
      <c r="AR71">
        <f>SUMIF(ConfirmedRaw!$B:$B,$B71,ConfirmedRaw!AT:AT)</f>
        <v>7</v>
      </c>
      <c r="AS71">
        <f>SUMIF(ConfirmedRaw!$B:$B,$B71,ConfirmedRaw!AU:AU)</f>
        <v>10</v>
      </c>
      <c r="AT71">
        <f>SUMIF(ConfirmedRaw!$B:$B,$B71,ConfirmedRaw!AV:AV)</f>
        <v>13</v>
      </c>
      <c r="AU71">
        <f>SUMIF(ConfirmedRaw!$B:$B,$B71,ConfirmedRaw!AW:AW)</f>
        <v>13</v>
      </c>
      <c r="AV71">
        <f>SUMIF(ConfirmedRaw!$B:$B,$B71,ConfirmedRaw!AX:AX)</f>
        <v>13</v>
      </c>
      <c r="AW71">
        <f>SUMIF(ConfirmedRaw!$B:$B,$B71,ConfirmedRaw!AY:AY)</f>
        <v>14</v>
      </c>
      <c r="AX71">
        <f>SUMIF(ConfirmedRaw!$B:$B,$B71,ConfirmedRaw!AZ:AZ)</f>
        <v>15</v>
      </c>
      <c r="AY71">
        <f>SUMIF(ConfirmedRaw!$B:$B,$B71,ConfirmedRaw!BA:BA)</f>
        <v>15</v>
      </c>
      <c r="AZ71">
        <f>SUMIF(ConfirmedRaw!$B:$B,$B71,ConfirmedRaw!BB:BB)</f>
        <v>17</v>
      </c>
      <c r="BA71">
        <f>SUMIF(ConfirmedRaw!$B:$B,$B71,ConfirmedRaw!BC:BC)</f>
        <v>17</v>
      </c>
      <c r="BB71">
        <f>SUMIF(ConfirmedRaw!$B:$B,$B71,ConfirmedRaw!BD:BD)</f>
        <v>17</v>
      </c>
      <c r="BC71">
        <f>SUMIF(ConfirmedRaw!$B:$B,$B71,ConfirmedRaw!BE:BE)</f>
        <v>28</v>
      </c>
      <c r="BD71">
        <f>SUMIF(ConfirmedRaw!$B:$B,$B71,ConfirmedRaw!BF:BF)</f>
        <v>28</v>
      </c>
      <c r="BE71">
        <f>SUMIF(ConfirmedRaw!$B:$B,$B71,ConfirmedRaw!BG:BG)</f>
        <v>37</v>
      </c>
      <c r="BF71">
        <f>SUMIF(ConfirmedRaw!$B:$B,$B71,ConfirmedRaw!BH:BH)</f>
        <v>58</v>
      </c>
      <c r="BG71">
        <f>SUMIF(ConfirmedRaw!$B:$B,$B71,ConfirmedRaw!BI:BI)</f>
        <v>111</v>
      </c>
      <c r="BH71">
        <f>SUMIF(ConfirmedRaw!$B:$B,$B71,ConfirmedRaw!BJ:BJ)</f>
        <v>199</v>
      </c>
      <c r="BI71">
        <f>SUMIF(ConfirmedRaw!$B:$B,$B71,ConfirmedRaw!BK:BK)</f>
        <v>367</v>
      </c>
      <c r="BJ71">
        <f>SUMIF(ConfirmedRaw!$B:$B,$B71,ConfirmedRaw!BL:BL)</f>
        <v>506</v>
      </c>
      <c r="BK71">
        <f>SUMIF(ConfirmedRaw!$B:$B,$B71,ConfirmedRaw!BM:BM)</f>
        <v>789</v>
      </c>
      <c r="BL71">
        <f>SUMIF(ConfirmedRaw!$B:$B,$B71,ConfirmedRaw!BN:BN)</f>
        <v>981</v>
      </c>
      <c r="BM71">
        <f>SUMIF(ConfirmedRaw!$B:$B,$B71,ConfirmedRaw!BO:BO)</f>
        <v>1082</v>
      </c>
      <c r="BN71">
        <f>SUMIF(ConfirmedRaw!$B:$B,$B71,ConfirmedRaw!BP:BP)</f>
        <v>1173</v>
      </c>
      <c r="BO71">
        <f>SUMIF(ConfirmedRaw!$B:$B,$B71,ConfirmedRaw!BQ:BQ)</f>
        <v>1403</v>
      </c>
      <c r="BP71">
        <f>SUMIF(ConfirmedRaw!$B:$B,$B71,ConfirmedRaw!BR:BR)</f>
        <v>1595</v>
      </c>
      <c r="BQ71">
        <f>SUMIF(ConfirmedRaw!$B:$B,$B71,ConfirmedRaw!BS:BS)</f>
        <v>1823</v>
      </c>
      <c r="BR71">
        <f>SUMIF(ConfirmedRaw!$B:$B,$B71,ConfirmedRaw!BT:BT)</f>
        <v>0</v>
      </c>
      <c r="BS71">
        <f>SUMIF(ConfirmedRaw!$B:$B,$B71,ConfirmedRaw!BU:BU)</f>
        <v>0</v>
      </c>
      <c r="BT71">
        <f>SUMIF(ConfirmedRaw!$B:$B,$B71,ConfirmedRaw!BV:BV)</f>
        <v>0</v>
      </c>
      <c r="BU71">
        <f>SUMIF(ConfirmedRaw!$B:$B,$B71,ConfirmedRaw!BW:BW)</f>
        <v>0</v>
      </c>
    </row>
    <row r="72" spans="1:73" ht="15" thickBot="1" x14ac:dyDescent="0.35">
      <c r="A72" s="97" t="str">
        <f>VLOOKUP(B72,Country_Data!B:Q,16,FALSE)</f>
        <v>Europe</v>
      </c>
      <c r="B72" s="4" t="s">
        <v>111</v>
      </c>
      <c r="C72">
        <f>SUMIF(ConfirmedRaw!$B:$B,$B72,ConfirmedRaw!E:E)</f>
        <v>0</v>
      </c>
      <c r="D72">
        <f>SUMIF(ConfirmedRaw!$B:$B,$B72,ConfirmedRaw!F:F)</f>
        <v>0</v>
      </c>
      <c r="E72">
        <f>SUMIF(ConfirmedRaw!$B:$B,$B72,ConfirmedRaw!G:G)</f>
        <v>0</v>
      </c>
      <c r="F72">
        <f>SUMIF(ConfirmedRaw!$B:$B,$B72,ConfirmedRaw!H:H)</f>
        <v>0</v>
      </c>
      <c r="G72">
        <f>SUMIF(ConfirmedRaw!$B:$B,$B72,ConfirmedRaw!I:I)</f>
        <v>0</v>
      </c>
      <c r="H72">
        <f>SUMIF(ConfirmedRaw!$B:$B,$B72,ConfirmedRaw!J:J)</f>
        <v>0</v>
      </c>
      <c r="I72">
        <f>SUMIF(ConfirmedRaw!$B:$B,$B72,ConfirmedRaw!K:K)</f>
        <v>0</v>
      </c>
      <c r="J72">
        <f>SUMIF(ConfirmedRaw!$B:$B,$B72,ConfirmedRaw!L:L)</f>
        <v>0</v>
      </c>
      <c r="K72">
        <f>SUMIF(ConfirmedRaw!$B:$B,$B72,ConfirmedRaw!M:M)</f>
        <v>0</v>
      </c>
      <c r="L72">
        <f>SUMIF(ConfirmedRaw!$B:$B,$B72,ConfirmedRaw!N:N)</f>
        <v>0</v>
      </c>
      <c r="M72">
        <f>SUMIF(ConfirmedRaw!$B:$B,$B72,ConfirmedRaw!O:O)</f>
        <v>0</v>
      </c>
      <c r="N72">
        <f>SUMIF(ConfirmedRaw!$B:$B,$B72,ConfirmedRaw!P:P)</f>
        <v>0</v>
      </c>
      <c r="O72">
        <f>SUMIF(ConfirmedRaw!$B:$B,$B72,ConfirmedRaw!Q:Q)</f>
        <v>0</v>
      </c>
      <c r="P72">
        <f>SUMIF(ConfirmedRaw!$B:$B,$B72,ConfirmedRaw!R:R)</f>
        <v>0</v>
      </c>
      <c r="Q72">
        <f>SUMIF(ConfirmedRaw!$B:$B,$B72,ConfirmedRaw!S:S)</f>
        <v>0</v>
      </c>
      <c r="R72">
        <f>SUMIF(ConfirmedRaw!$B:$B,$B72,ConfirmedRaw!T:T)</f>
        <v>0</v>
      </c>
      <c r="S72">
        <f>SUMIF(ConfirmedRaw!$B:$B,$B72,ConfirmedRaw!U:U)</f>
        <v>0</v>
      </c>
      <c r="T72">
        <f>SUMIF(ConfirmedRaw!$B:$B,$B72,ConfirmedRaw!V:V)</f>
        <v>0</v>
      </c>
      <c r="U72">
        <f>SUMIF(ConfirmedRaw!$B:$B,$B72,ConfirmedRaw!W:W)</f>
        <v>0</v>
      </c>
      <c r="V72">
        <f>SUMIF(ConfirmedRaw!$B:$B,$B72,ConfirmedRaw!X:X)</f>
        <v>0</v>
      </c>
      <c r="W72">
        <f>SUMIF(ConfirmedRaw!$B:$B,$B72,ConfirmedRaw!Y:Y)</f>
        <v>0</v>
      </c>
      <c r="X72">
        <f>SUMIF(ConfirmedRaw!$B:$B,$B72,ConfirmedRaw!Z:Z)</f>
        <v>0</v>
      </c>
      <c r="Y72">
        <f>SUMIF(ConfirmedRaw!$B:$B,$B72,ConfirmedRaw!AA:AA)</f>
        <v>0</v>
      </c>
      <c r="Z72">
        <f>SUMIF(ConfirmedRaw!$B:$B,$B72,ConfirmedRaw!AB:AB)</f>
        <v>0</v>
      </c>
      <c r="AA72">
        <f>SUMIF(ConfirmedRaw!$B:$B,$B72,ConfirmedRaw!AC:AC)</f>
        <v>0</v>
      </c>
      <c r="AB72">
        <f>SUMIF(ConfirmedRaw!$B:$B,$B72,ConfirmedRaw!AD:AD)</f>
        <v>0</v>
      </c>
      <c r="AC72">
        <f>SUMIF(ConfirmedRaw!$B:$B,$B72,ConfirmedRaw!AE:AE)</f>
        <v>0</v>
      </c>
      <c r="AD72">
        <f>SUMIF(ConfirmedRaw!$B:$B,$B72,ConfirmedRaw!AF:AF)</f>
        <v>0</v>
      </c>
      <c r="AE72">
        <f>SUMIF(ConfirmedRaw!$B:$B,$B72,ConfirmedRaw!AG:AG)</f>
        <v>0</v>
      </c>
      <c r="AF72">
        <f>SUMIF(ConfirmedRaw!$B:$B,$B72,ConfirmedRaw!AH:AH)</f>
        <v>0</v>
      </c>
      <c r="AG72">
        <f>SUMIF(ConfirmedRaw!$B:$B,$B72,ConfirmedRaw!AI:AI)</f>
        <v>0</v>
      </c>
      <c r="AH72">
        <f>SUMIF(ConfirmedRaw!$B:$B,$B72,ConfirmedRaw!AJ:AJ)</f>
        <v>0</v>
      </c>
      <c r="AI72">
        <f>SUMIF(ConfirmedRaw!$B:$B,$B72,ConfirmedRaw!AK:AK)</f>
        <v>0</v>
      </c>
      <c r="AJ72">
        <f>SUMIF(ConfirmedRaw!$B:$B,$B72,ConfirmedRaw!AL:AL)</f>
        <v>0</v>
      </c>
      <c r="AK72">
        <f>SUMIF(ConfirmedRaw!$B:$B,$B72,ConfirmedRaw!AM:AM)</f>
        <v>0</v>
      </c>
      <c r="AL72">
        <f>SUMIF(ConfirmedRaw!$B:$B,$B72,ConfirmedRaw!AN:AN)</f>
        <v>0</v>
      </c>
      <c r="AM72">
        <f>SUMIF(ConfirmedRaw!$B:$B,$B72,ConfirmedRaw!AO:AO)</f>
        <v>0</v>
      </c>
      <c r="AN72">
        <f>SUMIF(ConfirmedRaw!$B:$B,$B72,ConfirmedRaw!AP:AP)</f>
        <v>0</v>
      </c>
      <c r="AO72">
        <f>SUMIF(ConfirmedRaw!$B:$B,$B72,ConfirmedRaw!AQ:AQ)</f>
        <v>0</v>
      </c>
      <c r="AP72">
        <f>SUMIF(ConfirmedRaw!$B:$B,$B72,ConfirmedRaw!AR:AR)</f>
        <v>0</v>
      </c>
      <c r="AQ72">
        <f>SUMIF(ConfirmedRaw!$B:$B,$B72,ConfirmedRaw!AS:AS)</f>
        <v>1</v>
      </c>
      <c r="AR72">
        <f>SUMIF(ConfirmedRaw!$B:$B,$B72,ConfirmedRaw!AT:AT)</f>
        <v>1</v>
      </c>
      <c r="AS72">
        <f>SUMIF(ConfirmedRaw!$B:$B,$B72,ConfirmedRaw!AU:AU)</f>
        <v>1</v>
      </c>
      <c r="AT72">
        <f>SUMIF(ConfirmedRaw!$B:$B,$B72,ConfirmedRaw!AV:AV)</f>
        <v>1</v>
      </c>
      <c r="AU72">
        <f>SUMIF(ConfirmedRaw!$B:$B,$B72,ConfirmedRaw!AW:AW)</f>
        <v>1</v>
      </c>
      <c r="AV72">
        <f>SUMIF(ConfirmedRaw!$B:$B,$B72,ConfirmedRaw!AX:AX)</f>
        <v>1</v>
      </c>
      <c r="AW72">
        <f>SUMIF(ConfirmedRaw!$B:$B,$B72,ConfirmedRaw!AY:AY)</f>
        <v>2</v>
      </c>
      <c r="AX72">
        <f>SUMIF(ConfirmedRaw!$B:$B,$B72,ConfirmedRaw!AZ:AZ)</f>
        <v>6</v>
      </c>
      <c r="AY72">
        <f>SUMIF(ConfirmedRaw!$B:$B,$B72,ConfirmedRaw!BA:BA)</f>
        <v>8</v>
      </c>
      <c r="AZ72">
        <f>SUMIF(ConfirmedRaw!$B:$B,$B72,ConfirmedRaw!BB:BB)</f>
        <v>10</v>
      </c>
      <c r="BA72">
        <f>SUMIF(ConfirmedRaw!$B:$B,$B72,ConfirmedRaw!BC:BC)</f>
        <v>10</v>
      </c>
      <c r="BB72">
        <f>SUMIF(ConfirmedRaw!$B:$B,$B72,ConfirmedRaw!BD:BD)</f>
        <v>17</v>
      </c>
      <c r="BC72">
        <f>SUMIF(ConfirmedRaw!$B:$B,$B72,ConfirmedRaw!BE:BE)</f>
        <v>26</v>
      </c>
      <c r="BD72">
        <f>SUMIF(ConfirmedRaw!$B:$B,$B72,ConfirmedRaw!BF:BF)</f>
        <v>30</v>
      </c>
      <c r="BE72">
        <f>SUMIF(ConfirmedRaw!$B:$B,$B72,ConfirmedRaw!BG:BG)</f>
        <v>34</v>
      </c>
      <c r="BF72">
        <f>SUMIF(ConfirmedRaw!$B:$B,$B72,ConfirmedRaw!BH:BH)</f>
        <v>49</v>
      </c>
      <c r="BG72">
        <f>SUMIF(ConfirmedRaw!$B:$B,$B72,ConfirmedRaw!BI:BI)</f>
        <v>71</v>
      </c>
      <c r="BH72">
        <f>SUMIF(ConfirmedRaw!$B:$B,$B72,ConfirmedRaw!BJ:BJ)</f>
        <v>86</v>
      </c>
      <c r="BI72">
        <f>SUMIF(ConfirmedRaw!$B:$B,$B72,ConfirmedRaw!BK:BK)</f>
        <v>111</v>
      </c>
      <c r="BJ72">
        <f>SUMIF(ConfirmedRaw!$B:$B,$B72,ConfirmedRaw!BL:BL)</f>
        <v>124</v>
      </c>
      <c r="BK72">
        <f>SUMIF(ConfirmedRaw!$B:$B,$B72,ConfirmedRaw!BM:BM)</f>
        <v>139</v>
      </c>
      <c r="BL72">
        <f>SUMIF(ConfirmedRaw!$B:$B,$B72,ConfirmedRaw!BN:BN)</f>
        <v>180</v>
      </c>
      <c r="BM72">
        <f>SUMIF(ConfirmedRaw!$B:$B,$B72,ConfirmedRaw!BO:BO)</f>
        <v>197</v>
      </c>
      <c r="BN72">
        <f>SUMIF(ConfirmedRaw!$B:$B,$B72,ConfirmedRaw!BP:BP)</f>
        <v>221</v>
      </c>
      <c r="BO72">
        <f>SUMIF(ConfirmedRaw!$B:$B,$B72,ConfirmedRaw!BQ:BQ)</f>
        <v>244</v>
      </c>
      <c r="BP72">
        <f>SUMIF(ConfirmedRaw!$B:$B,$B72,ConfirmedRaw!BR:BR)</f>
        <v>280</v>
      </c>
      <c r="BQ72">
        <f>SUMIF(ConfirmedRaw!$B:$B,$B72,ConfirmedRaw!BS:BS)</f>
        <v>305</v>
      </c>
      <c r="BR72">
        <f>SUMIF(ConfirmedRaw!$B:$B,$B72,ConfirmedRaw!BT:BT)</f>
        <v>0</v>
      </c>
      <c r="BS72">
        <f>SUMIF(ConfirmedRaw!$B:$B,$B72,ConfirmedRaw!BU:BU)</f>
        <v>0</v>
      </c>
      <c r="BT72">
        <f>SUMIF(ConfirmedRaw!$B:$B,$B72,ConfirmedRaw!BV:BV)</f>
        <v>0</v>
      </c>
      <c r="BU72">
        <f>SUMIF(ConfirmedRaw!$B:$B,$B72,ConfirmedRaw!BW:BW)</f>
        <v>0</v>
      </c>
    </row>
    <row r="73" spans="1:73" ht="15" thickBot="1" x14ac:dyDescent="0.35">
      <c r="A73" s="97" t="str">
        <f>VLOOKUP(B73,Country_Data!B:Q,16,FALSE)</f>
        <v>Africa</v>
      </c>
      <c r="B73" s="4" t="s">
        <v>138</v>
      </c>
      <c r="C73">
        <f>SUMIF(ConfirmedRaw!$B:$B,$B73,ConfirmedRaw!E:E)</f>
        <v>0</v>
      </c>
      <c r="D73">
        <f>SUMIF(ConfirmedRaw!$B:$B,$B73,ConfirmedRaw!F:F)</f>
        <v>0</v>
      </c>
      <c r="E73">
        <f>SUMIF(ConfirmedRaw!$B:$B,$B73,ConfirmedRaw!G:G)</f>
        <v>0</v>
      </c>
      <c r="F73">
        <f>SUMIF(ConfirmedRaw!$B:$B,$B73,ConfirmedRaw!H:H)</f>
        <v>0</v>
      </c>
      <c r="G73">
        <f>SUMIF(ConfirmedRaw!$B:$B,$B73,ConfirmedRaw!I:I)</f>
        <v>0</v>
      </c>
      <c r="H73">
        <f>SUMIF(ConfirmedRaw!$B:$B,$B73,ConfirmedRaw!J:J)</f>
        <v>0</v>
      </c>
      <c r="I73">
        <f>SUMIF(ConfirmedRaw!$B:$B,$B73,ConfirmedRaw!K:K)</f>
        <v>0</v>
      </c>
      <c r="J73">
        <f>SUMIF(ConfirmedRaw!$B:$B,$B73,ConfirmedRaw!L:L)</f>
        <v>0</v>
      </c>
      <c r="K73">
        <f>SUMIF(ConfirmedRaw!$B:$B,$B73,ConfirmedRaw!M:M)</f>
        <v>0</v>
      </c>
      <c r="L73">
        <f>SUMIF(ConfirmedRaw!$B:$B,$B73,ConfirmedRaw!N:N)</f>
        <v>0</v>
      </c>
      <c r="M73">
        <f>SUMIF(ConfirmedRaw!$B:$B,$B73,ConfirmedRaw!O:O)</f>
        <v>0</v>
      </c>
      <c r="N73">
        <f>SUMIF(ConfirmedRaw!$B:$B,$B73,ConfirmedRaw!P:P)</f>
        <v>0</v>
      </c>
      <c r="O73">
        <f>SUMIF(ConfirmedRaw!$B:$B,$B73,ConfirmedRaw!Q:Q)</f>
        <v>0</v>
      </c>
      <c r="P73">
        <f>SUMIF(ConfirmedRaw!$B:$B,$B73,ConfirmedRaw!R:R)</f>
        <v>0</v>
      </c>
      <c r="Q73">
        <f>SUMIF(ConfirmedRaw!$B:$B,$B73,ConfirmedRaw!S:S)</f>
        <v>0</v>
      </c>
      <c r="R73">
        <f>SUMIF(ConfirmedRaw!$B:$B,$B73,ConfirmedRaw!T:T)</f>
        <v>0</v>
      </c>
      <c r="S73">
        <f>SUMIF(ConfirmedRaw!$B:$B,$B73,ConfirmedRaw!U:U)</f>
        <v>0</v>
      </c>
      <c r="T73">
        <f>SUMIF(ConfirmedRaw!$B:$B,$B73,ConfirmedRaw!V:V)</f>
        <v>0</v>
      </c>
      <c r="U73">
        <f>SUMIF(ConfirmedRaw!$B:$B,$B73,ConfirmedRaw!W:W)</f>
        <v>0</v>
      </c>
      <c r="V73">
        <f>SUMIF(ConfirmedRaw!$B:$B,$B73,ConfirmedRaw!X:X)</f>
        <v>0</v>
      </c>
      <c r="W73">
        <f>SUMIF(ConfirmedRaw!$B:$B,$B73,ConfirmedRaw!Y:Y)</f>
        <v>0</v>
      </c>
      <c r="X73">
        <f>SUMIF(ConfirmedRaw!$B:$B,$B73,ConfirmedRaw!Z:Z)</f>
        <v>0</v>
      </c>
      <c r="Y73">
        <f>SUMIF(ConfirmedRaw!$B:$B,$B73,ConfirmedRaw!AA:AA)</f>
        <v>0</v>
      </c>
      <c r="Z73">
        <f>SUMIF(ConfirmedRaw!$B:$B,$B73,ConfirmedRaw!AB:AB)</f>
        <v>0</v>
      </c>
      <c r="AA73">
        <f>SUMIF(ConfirmedRaw!$B:$B,$B73,ConfirmedRaw!AC:AC)</f>
        <v>0</v>
      </c>
      <c r="AB73">
        <f>SUMIF(ConfirmedRaw!$B:$B,$B73,ConfirmedRaw!AD:AD)</f>
        <v>0</v>
      </c>
      <c r="AC73">
        <f>SUMIF(ConfirmedRaw!$B:$B,$B73,ConfirmedRaw!AE:AE)</f>
        <v>0</v>
      </c>
      <c r="AD73">
        <f>SUMIF(ConfirmedRaw!$B:$B,$B73,ConfirmedRaw!AF:AF)</f>
        <v>0</v>
      </c>
      <c r="AE73">
        <f>SUMIF(ConfirmedRaw!$B:$B,$B73,ConfirmedRaw!AG:AG)</f>
        <v>0</v>
      </c>
      <c r="AF73">
        <f>SUMIF(ConfirmedRaw!$B:$B,$B73,ConfirmedRaw!AH:AH)</f>
        <v>0</v>
      </c>
      <c r="AG73">
        <f>SUMIF(ConfirmedRaw!$B:$B,$B73,ConfirmedRaw!AI:AI)</f>
        <v>0</v>
      </c>
      <c r="AH73">
        <f>SUMIF(ConfirmedRaw!$B:$B,$B73,ConfirmedRaw!AJ:AJ)</f>
        <v>0</v>
      </c>
      <c r="AI73">
        <f>SUMIF(ConfirmedRaw!$B:$B,$B73,ConfirmedRaw!AK:AK)</f>
        <v>0</v>
      </c>
      <c r="AJ73">
        <f>SUMIF(ConfirmedRaw!$B:$B,$B73,ConfirmedRaw!AL:AL)</f>
        <v>0</v>
      </c>
      <c r="AK73">
        <f>SUMIF(ConfirmedRaw!$B:$B,$B73,ConfirmedRaw!AM:AM)</f>
        <v>0</v>
      </c>
      <c r="AL73">
        <f>SUMIF(ConfirmedRaw!$B:$B,$B73,ConfirmedRaw!AN:AN)</f>
        <v>0</v>
      </c>
      <c r="AM73">
        <f>SUMIF(ConfirmedRaw!$B:$B,$B73,ConfirmedRaw!AO:AO)</f>
        <v>0</v>
      </c>
      <c r="AN73">
        <f>SUMIF(ConfirmedRaw!$B:$B,$B73,ConfirmedRaw!AP:AP)</f>
        <v>0</v>
      </c>
      <c r="AO73">
        <f>SUMIF(ConfirmedRaw!$B:$B,$B73,ConfirmedRaw!AQ:AQ)</f>
        <v>0</v>
      </c>
      <c r="AP73">
        <f>SUMIF(ConfirmedRaw!$B:$B,$B73,ConfirmedRaw!AR:AR)</f>
        <v>0</v>
      </c>
      <c r="AQ73">
        <f>SUMIF(ConfirmedRaw!$B:$B,$B73,ConfirmedRaw!AS:AS)</f>
        <v>0</v>
      </c>
      <c r="AR73">
        <f>SUMIF(ConfirmedRaw!$B:$B,$B73,ConfirmedRaw!AT:AT)</f>
        <v>0</v>
      </c>
      <c r="AS73">
        <f>SUMIF(ConfirmedRaw!$B:$B,$B73,ConfirmedRaw!AU:AU)</f>
        <v>1</v>
      </c>
      <c r="AT73">
        <f>SUMIF(ConfirmedRaw!$B:$B,$B73,ConfirmedRaw!AV:AV)</f>
        <v>1</v>
      </c>
      <c r="AU73">
        <f>SUMIF(ConfirmedRaw!$B:$B,$B73,ConfirmedRaw!AW:AW)</f>
        <v>1</v>
      </c>
      <c r="AV73">
        <f>SUMIF(ConfirmedRaw!$B:$B,$B73,ConfirmedRaw!AX:AX)</f>
        <v>1</v>
      </c>
      <c r="AW73">
        <f>SUMIF(ConfirmedRaw!$B:$B,$B73,ConfirmedRaw!AY:AY)</f>
        <v>2</v>
      </c>
      <c r="AX73">
        <f>SUMIF(ConfirmedRaw!$B:$B,$B73,ConfirmedRaw!AZ:AZ)</f>
        <v>2</v>
      </c>
      <c r="AY73">
        <f>SUMIF(ConfirmedRaw!$B:$B,$B73,ConfirmedRaw!BA:BA)</f>
        <v>5</v>
      </c>
      <c r="AZ73">
        <f>SUMIF(ConfirmedRaw!$B:$B,$B73,ConfirmedRaw!BB:BB)</f>
        <v>7</v>
      </c>
      <c r="BA73">
        <f>SUMIF(ConfirmedRaw!$B:$B,$B73,ConfirmedRaw!BC:BC)</f>
        <v>7</v>
      </c>
      <c r="BB73">
        <f>SUMIF(ConfirmedRaw!$B:$B,$B73,ConfirmedRaw!BD:BD)</f>
        <v>16</v>
      </c>
      <c r="BC73">
        <f>SUMIF(ConfirmedRaw!$B:$B,$B73,ConfirmedRaw!BE:BE)</f>
        <v>18</v>
      </c>
      <c r="BD73">
        <f>SUMIF(ConfirmedRaw!$B:$B,$B73,ConfirmedRaw!BF:BF)</f>
        <v>18</v>
      </c>
      <c r="BE73">
        <f>SUMIF(ConfirmedRaw!$B:$B,$B73,ConfirmedRaw!BG:BG)</f>
        <v>20</v>
      </c>
      <c r="BF73">
        <f>SUMIF(ConfirmedRaw!$B:$B,$B73,ConfirmedRaw!BH:BH)</f>
        <v>24</v>
      </c>
      <c r="BG73">
        <f>SUMIF(ConfirmedRaw!$B:$B,$B73,ConfirmedRaw!BI:BI)</f>
        <v>29</v>
      </c>
      <c r="BH73">
        <f>SUMIF(ConfirmedRaw!$B:$B,$B73,ConfirmedRaw!BJ:BJ)</f>
        <v>39</v>
      </c>
      <c r="BI73">
        <f>SUMIF(ConfirmedRaw!$B:$B,$B73,ConfirmedRaw!BK:BK)</f>
        <v>54</v>
      </c>
      <c r="BJ73">
        <f>SUMIF(ConfirmedRaw!$B:$B,$B73,ConfirmedRaw!BL:BL)</f>
        <v>60</v>
      </c>
      <c r="BK73">
        <f>SUMIF(ConfirmedRaw!$B:$B,$B73,ConfirmedRaw!BM:BM)</f>
        <v>75</v>
      </c>
      <c r="BL73">
        <f>SUMIF(ConfirmedRaw!$B:$B,$B73,ConfirmedRaw!BN:BN)</f>
        <v>89</v>
      </c>
      <c r="BM73">
        <f>SUMIF(ConfirmedRaw!$B:$B,$B73,ConfirmedRaw!BO:BO)</f>
        <v>114</v>
      </c>
      <c r="BN73">
        <f>SUMIF(ConfirmedRaw!$B:$B,$B73,ConfirmedRaw!BP:BP)</f>
        <v>173</v>
      </c>
      <c r="BO73">
        <f>SUMIF(ConfirmedRaw!$B:$B,$B73,ConfirmedRaw!BQ:BQ)</f>
        <v>197</v>
      </c>
      <c r="BP73">
        <f>SUMIF(ConfirmedRaw!$B:$B,$B73,ConfirmedRaw!BR:BR)</f>
        <v>227</v>
      </c>
      <c r="BQ73">
        <f>SUMIF(ConfirmedRaw!$B:$B,$B73,ConfirmedRaw!BS:BS)</f>
        <v>278</v>
      </c>
      <c r="BR73">
        <f>SUMIF(ConfirmedRaw!$B:$B,$B73,ConfirmedRaw!BT:BT)</f>
        <v>0</v>
      </c>
      <c r="BS73">
        <f>SUMIF(ConfirmedRaw!$B:$B,$B73,ConfirmedRaw!BU:BU)</f>
        <v>0</v>
      </c>
      <c r="BT73">
        <f>SUMIF(ConfirmedRaw!$B:$B,$B73,ConfirmedRaw!BV:BV)</f>
        <v>0</v>
      </c>
      <c r="BU73">
        <f>SUMIF(ConfirmedRaw!$B:$B,$B73,ConfirmedRaw!BW:BW)</f>
        <v>0</v>
      </c>
    </row>
    <row r="74" spans="1:73" ht="15" thickBot="1" x14ac:dyDescent="0.35">
      <c r="A74" s="97" t="str">
        <f>VLOOKUP(B74,Country_Data!B:Q,16,FALSE)</f>
        <v>Asia</v>
      </c>
      <c r="B74" s="3" t="s">
        <v>104</v>
      </c>
      <c r="C74">
        <f>SUMIF(ConfirmedRaw!$B:$B,$B74,ConfirmedRaw!E:E)</f>
        <v>0</v>
      </c>
      <c r="D74">
        <f>SUMIF(ConfirmedRaw!$B:$B,$B74,ConfirmedRaw!F:F)</f>
        <v>0</v>
      </c>
      <c r="E74">
        <f>SUMIF(ConfirmedRaw!$B:$B,$B74,ConfirmedRaw!G:G)</f>
        <v>0</v>
      </c>
      <c r="F74">
        <f>SUMIF(ConfirmedRaw!$B:$B,$B74,ConfirmedRaw!H:H)</f>
        <v>0</v>
      </c>
      <c r="G74">
        <f>SUMIF(ConfirmedRaw!$B:$B,$B74,ConfirmedRaw!I:I)</f>
        <v>0</v>
      </c>
      <c r="H74">
        <f>SUMIF(ConfirmedRaw!$B:$B,$B74,ConfirmedRaw!J:J)</f>
        <v>0</v>
      </c>
      <c r="I74">
        <f>SUMIF(ConfirmedRaw!$B:$B,$B74,ConfirmedRaw!K:K)</f>
        <v>0</v>
      </c>
      <c r="J74">
        <f>SUMIF(ConfirmedRaw!$B:$B,$B74,ConfirmedRaw!L:L)</f>
        <v>0</v>
      </c>
      <c r="K74">
        <f>SUMIF(ConfirmedRaw!$B:$B,$B74,ConfirmedRaw!M:M)</f>
        <v>0</v>
      </c>
      <c r="L74">
        <f>SUMIF(ConfirmedRaw!$B:$B,$B74,ConfirmedRaw!N:N)</f>
        <v>0</v>
      </c>
      <c r="M74">
        <f>SUMIF(ConfirmedRaw!$B:$B,$B74,ConfirmedRaw!O:O)</f>
        <v>0</v>
      </c>
      <c r="N74">
        <f>SUMIF(ConfirmedRaw!$B:$B,$B74,ConfirmedRaw!P:P)</f>
        <v>0</v>
      </c>
      <c r="O74">
        <f>SUMIF(ConfirmedRaw!$B:$B,$B74,ConfirmedRaw!Q:Q)</f>
        <v>0</v>
      </c>
      <c r="P74">
        <f>SUMIF(ConfirmedRaw!$B:$B,$B74,ConfirmedRaw!R:R)</f>
        <v>0</v>
      </c>
      <c r="Q74">
        <f>SUMIF(ConfirmedRaw!$B:$B,$B74,ConfirmedRaw!S:S)</f>
        <v>0</v>
      </c>
      <c r="R74">
        <f>SUMIF(ConfirmedRaw!$B:$B,$B74,ConfirmedRaw!T:T)</f>
        <v>0</v>
      </c>
      <c r="S74">
        <f>SUMIF(ConfirmedRaw!$B:$B,$B74,ConfirmedRaw!U:U)</f>
        <v>0</v>
      </c>
      <c r="T74">
        <f>SUMIF(ConfirmedRaw!$B:$B,$B74,ConfirmedRaw!V:V)</f>
        <v>0</v>
      </c>
      <c r="U74">
        <f>SUMIF(ConfirmedRaw!$B:$B,$B74,ConfirmedRaw!W:W)</f>
        <v>0</v>
      </c>
      <c r="V74">
        <f>SUMIF(ConfirmedRaw!$B:$B,$B74,ConfirmedRaw!X:X)</f>
        <v>0</v>
      </c>
      <c r="W74">
        <f>SUMIF(ConfirmedRaw!$B:$B,$B74,ConfirmedRaw!Y:Y)</f>
        <v>0</v>
      </c>
      <c r="X74">
        <f>SUMIF(ConfirmedRaw!$B:$B,$B74,ConfirmedRaw!Z:Z)</f>
        <v>0</v>
      </c>
      <c r="Y74">
        <f>SUMIF(ConfirmedRaw!$B:$B,$B74,ConfirmedRaw!AA:AA)</f>
        <v>0</v>
      </c>
      <c r="Z74">
        <f>SUMIF(ConfirmedRaw!$B:$B,$B74,ConfirmedRaw!AB:AB)</f>
        <v>0</v>
      </c>
      <c r="AA74">
        <f>SUMIF(ConfirmedRaw!$B:$B,$B74,ConfirmedRaw!AC:AC)</f>
        <v>0</v>
      </c>
      <c r="AB74">
        <f>SUMIF(ConfirmedRaw!$B:$B,$B74,ConfirmedRaw!AD:AD)</f>
        <v>0</v>
      </c>
      <c r="AC74">
        <f>SUMIF(ConfirmedRaw!$B:$B,$B74,ConfirmedRaw!AE:AE)</f>
        <v>0</v>
      </c>
      <c r="AD74">
        <f>SUMIF(ConfirmedRaw!$B:$B,$B74,ConfirmedRaw!AF:AF)</f>
        <v>0</v>
      </c>
      <c r="AE74">
        <f>SUMIF(ConfirmedRaw!$B:$B,$B74,ConfirmedRaw!AG:AG)</f>
        <v>0</v>
      </c>
      <c r="AF74">
        <f>SUMIF(ConfirmedRaw!$B:$B,$B74,ConfirmedRaw!AH:AH)</f>
        <v>0</v>
      </c>
      <c r="AG74">
        <f>SUMIF(ConfirmedRaw!$B:$B,$B74,ConfirmedRaw!AI:AI)</f>
        <v>0</v>
      </c>
      <c r="AH74">
        <f>SUMIF(ConfirmedRaw!$B:$B,$B74,ConfirmedRaw!AJ:AJ)</f>
        <v>0</v>
      </c>
      <c r="AI74">
        <f>SUMIF(ConfirmedRaw!$B:$B,$B74,ConfirmedRaw!AK:AK)</f>
        <v>0</v>
      </c>
      <c r="AJ74">
        <f>SUMIF(ConfirmedRaw!$B:$B,$B74,ConfirmedRaw!AL:AL)</f>
        <v>0</v>
      </c>
      <c r="AK74">
        <f>SUMIF(ConfirmedRaw!$B:$B,$B74,ConfirmedRaw!AM:AM)</f>
        <v>0</v>
      </c>
      <c r="AL74">
        <f>SUMIF(ConfirmedRaw!$B:$B,$B74,ConfirmedRaw!AN:AN)</f>
        <v>0</v>
      </c>
      <c r="AM74">
        <f>SUMIF(ConfirmedRaw!$B:$B,$B74,ConfirmedRaw!AO:AO)</f>
        <v>0</v>
      </c>
      <c r="AN74">
        <f>SUMIF(ConfirmedRaw!$B:$B,$B74,ConfirmedRaw!AP:AP)</f>
        <v>0</v>
      </c>
      <c r="AO74">
        <f>SUMIF(ConfirmedRaw!$B:$B,$B74,ConfirmedRaw!AQ:AQ)</f>
        <v>0</v>
      </c>
      <c r="AP74">
        <f>SUMIF(ConfirmedRaw!$B:$B,$B74,ConfirmedRaw!AR:AR)</f>
        <v>3</v>
      </c>
      <c r="AQ74">
        <f>SUMIF(ConfirmedRaw!$B:$B,$B74,ConfirmedRaw!AS:AS)</f>
        <v>3</v>
      </c>
      <c r="AR74">
        <f>SUMIF(ConfirmedRaw!$B:$B,$B74,ConfirmedRaw!AT:AT)</f>
        <v>3</v>
      </c>
      <c r="AS74">
        <f>SUMIF(ConfirmedRaw!$B:$B,$B74,ConfirmedRaw!AU:AU)</f>
        <v>3</v>
      </c>
      <c r="AT74">
        <f>SUMIF(ConfirmedRaw!$B:$B,$B74,ConfirmedRaw!AV:AV)</f>
        <v>6</v>
      </c>
      <c r="AU74">
        <f>SUMIF(ConfirmedRaw!$B:$B,$B74,ConfirmedRaw!AW:AW)</f>
        <v>6</v>
      </c>
      <c r="AV74">
        <f>SUMIF(ConfirmedRaw!$B:$B,$B74,ConfirmedRaw!AX:AX)</f>
        <v>9</v>
      </c>
      <c r="AW74">
        <f>SUMIF(ConfirmedRaw!$B:$B,$B74,ConfirmedRaw!AY:AY)</f>
        <v>9</v>
      </c>
      <c r="AX74">
        <f>SUMIF(ConfirmedRaw!$B:$B,$B74,ConfirmedRaw!AZ:AZ)</f>
        <v>9</v>
      </c>
      <c r="AY74">
        <f>SUMIF(ConfirmedRaw!$B:$B,$B74,ConfirmedRaw!BA:BA)</f>
        <v>11</v>
      </c>
      <c r="AZ74">
        <f>SUMIF(ConfirmedRaw!$B:$B,$B74,ConfirmedRaw!BB:BB)</f>
        <v>11</v>
      </c>
      <c r="BA74">
        <f>SUMIF(ConfirmedRaw!$B:$B,$B74,ConfirmedRaw!BC:BC)</f>
        <v>11</v>
      </c>
      <c r="BB74">
        <f>SUMIF(ConfirmedRaw!$B:$B,$B74,ConfirmedRaw!BD:BD)</f>
        <v>15</v>
      </c>
      <c r="BC74">
        <f>SUMIF(ConfirmedRaw!$B:$B,$B74,ConfirmedRaw!BE:BE)</f>
        <v>15</v>
      </c>
      <c r="BD74">
        <f>SUMIF(ConfirmedRaw!$B:$B,$B74,ConfirmedRaw!BF:BF)</f>
        <v>23</v>
      </c>
      <c r="BE74">
        <f>SUMIF(ConfirmedRaw!$B:$B,$B74,ConfirmedRaw!BG:BG)</f>
        <v>28</v>
      </c>
      <c r="BF74">
        <f>SUMIF(ConfirmedRaw!$B:$B,$B74,ConfirmedRaw!BH:BH)</f>
        <v>28</v>
      </c>
      <c r="BG74">
        <f>SUMIF(ConfirmedRaw!$B:$B,$B74,ConfirmedRaw!BI:BI)</f>
        <v>28</v>
      </c>
      <c r="BH74">
        <f>SUMIF(ConfirmedRaw!$B:$B,$B74,ConfirmedRaw!BJ:BJ)</f>
        <v>44</v>
      </c>
      <c r="BI74">
        <f>SUMIF(ConfirmedRaw!$B:$B,$B74,ConfirmedRaw!BK:BK)</f>
        <v>44</v>
      </c>
      <c r="BJ74">
        <f>SUMIF(ConfirmedRaw!$B:$B,$B74,ConfirmedRaw!BL:BL)</f>
        <v>53</v>
      </c>
      <c r="BK74">
        <f>SUMIF(ConfirmedRaw!$B:$B,$B74,ConfirmedRaw!BM:BM)</f>
        <v>65</v>
      </c>
      <c r="BL74">
        <f>SUMIF(ConfirmedRaw!$B:$B,$B74,ConfirmedRaw!BN:BN)</f>
        <v>72</v>
      </c>
      <c r="BM74">
        <f>SUMIF(ConfirmedRaw!$B:$B,$B74,ConfirmedRaw!BO:BO)</f>
        <v>87</v>
      </c>
      <c r="BN74">
        <f>SUMIF(ConfirmedRaw!$B:$B,$B74,ConfirmedRaw!BP:BP)</f>
        <v>93</v>
      </c>
      <c r="BO74">
        <f>SUMIF(ConfirmedRaw!$B:$B,$B74,ConfirmedRaw!BQ:BQ)</f>
        <v>122</v>
      </c>
      <c r="BP74">
        <f>SUMIF(ConfirmedRaw!$B:$B,$B74,ConfirmedRaw!BR:BR)</f>
        <v>165</v>
      </c>
      <c r="BQ74">
        <f>SUMIF(ConfirmedRaw!$B:$B,$B74,ConfirmedRaw!BS:BS)</f>
        <v>182</v>
      </c>
      <c r="BR74">
        <f>SUMIF(ConfirmedRaw!$B:$B,$B74,ConfirmedRaw!BT:BT)</f>
        <v>0</v>
      </c>
      <c r="BS74">
        <f>SUMIF(ConfirmedRaw!$B:$B,$B74,ConfirmedRaw!BU:BU)</f>
        <v>0</v>
      </c>
      <c r="BT74">
        <f>SUMIF(ConfirmedRaw!$B:$B,$B74,ConfirmedRaw!BV:BV)</f>
        <v>0</v>
      </c>
      <c r="BU74">
        <f>SUMIF(ConfirmedRaw!$B:$B,$B74,ConfirmedRaw!BW:BW)</f>
        <v>0</v>
      </c>
    </row>
    <row r="75" spans="1:73" ht="15" thickBot="1" x14ac:dyDescent="0.35">
      <c r="A75" s="97" t="str">
        <f>VLOOKUP(B75,Country_Data!B:Q,16,FALSE)</f>
        <v>Europe</v>
      </c>
      <c r="B75" s="3" t="s">
        <v>231</v>
      </c>
      <c r="C75">
        <f>SUMIF(ConfirmedRaw!$B:$B,$B75,ConfirmedRaw!E:E)</f>
        <v>0</v>
      </c>
      <c r="D75">
        <f>SUMIF(ConfirmedRaw!$B:$B,$B75,ConfirmedRaw!F:F)</f>
        <v>0</v>
      </c>
      <c r="E75">
        <f>SUMIF(ConfirmedRaw!$B:$B,$B75,ConfirmedRaw!G:G)</f>
        <v>0</v>
      </c>
      <c r="F75">
        <f>SUMIF(ConfirmedRaw!$B:$B,$B75,ConfirmedRaw!H:H)</f>
        <v>0</v>
      </c>
      <c r="G75">
        <f>SUMIF(ConfirmedRaw!$B:$B,$B75,ConfirmedRaw!I:I)</f>
        <v>0</v>
      </c>
      <c r="H75">
        <f>SUMIF(ConfirmedRaw!$B:$B,$B75,ConfirmedRaw!J:J)</f>
        <v>0</v>
      </c>
      <c r="I75">
        <f>SUMIF(ConfirmedRaw!$B:$B,$B75,ConfirmedRaw!K:K)</f>
        <v>0</v>
      </c>
      <c r="J75">
        <f>SUMIF(ConfirmedRaw!$B:$B,$B75,ConfirmedRaw!L:L)</f>
        <v>0</v>
      </c>
      <c r="K75">
        <f>SUMIF(ConfirmedRaw!$B:$B,$B75,ConfirmedRaw!M:M)</f>
        <v>0</v>
      </c>
      <c r="L75">
        <f>SUMIF(ConfirmedRaw!$B:$B,$B75,ConfirmedRaw!N:N)</f>
        <v>0</v>
      </c>
      <c r="M75">
        <f>SUMIF(ConfirmedRaw!$B:$B,$B75,ConfirmedRaw!O:O)</f>
        <v>0</v>
      </c>
      <c r="N75">
        <f>SUMIF(ConfirmedRaw!$B:$B,$B75,ConfirmedRaw!P:P)</f>
        <v>0</v>
      </c>
      <c r="O75">
        <f>SUMIF(ConfirmedRaw!$B:$B,$B75,ConfirmedRaw!Q:Q)</f>
        <v>0</v>
      </c>
      <c r="P75">
        <f>SUMIF(ConfirmedRaw!$B:$B,$B75,ConfirmedRaw!R:R)</f>
        <v>0</v>
      </c>
      <c r="Q75">
        <f>SUMIF(ConfirmedRaw!$B:$B,$B75,ConfirmedRaw!S:S)</f>
        <v>0</v>
      </c>
      <c r="R75">
        <f>SUMIF(ConfirmedRaw!$B:$B,$B75,ConfirmedRaw!T:T)</f>
        <v>0</v>
      </c>
      <c r="S75">
        <f>SUMIF(ConfirmedRaw!$B:$B,$B75,ConfirmedRaw!U:U)</f>
        <v>0</v>
      </c>
      <c r="T75">
        <f>SUMIF(ConfirmedRaw!$B:$B,$B75,ConfirmedRaw!V:V)</f>
        <v>0</v>
      </c>
      <c r="U75">
        <f>SUMIF(ConfirmedRaw!$B:$B,$B75,ConfirmedRaw!W:W)</f>
        <v>0</v>
      </c>
      <c r="V75">
        <f>SUMIF(ConfirmedRaw!$B:$B,$B75,ConfirmedRaw!X:X)</f>
        <v>0</v>
      </c>
      <c r="W75">
        <f>SUMIF(ConfirmedRaw!$B:$B,$B75,ConfirmedRaw!Y:Y)</f>
        <v>0</v>
      </c>
      <c r="X75">
        <f>SUMIF(ConfirmedRaw!$B:$B,$B75,ConfirmedRaw!Z:Z)</f>
        <v>0</v>
      </c>
      <c r="Y75">
        <f>SUMIF(ConfirmedRaw!$B:$B,$B75,ConfirmedRaw!AA:AA)</f>
        <v>0</v>
      </c>
      <c r="Z75">
        <f>SUMIF(ConfirmedRaw!$B:$B,$B75,ConfirmedRaw!AB:AB)</f>
        <v>0</v>
      </c>
      <c r="AA75">
        <f>SUMIF(ConfirmedRaw!$B:$B,$B75,ConfirmedRaw!AC:AC)</f>
        <v>0</v>
      </c>
      <c r="AB75">
        <f>SUMIF(ConfirmedRaw!$B:$B,$B75,ConfirmedRaw!AD:AD)</f>
        <v>0</v>
      </c>
      <c r="AC75">
        <f>SUMIF(ConfirmedRaw!$B:$B,$B75,ConfirmedRaw!AE:AE)</f>
        <v>0</v>
      </c>
      <c r="AD75">
        <f>SUMIF(ConfirmedRaw!$B:$B,$B75,ConfirmedRaw!AF:AF)</f>
        <v>0</v>
      </c>
      <c r="AE75">
        <f>SUMIF(ConfirmedRaw!$B:$B,$B75,ConfirmedRaw!AG:AG)</f>
        <v>0</v>
      </c>
      <c r="AF75">
        <f>SUMIF(ConfirmedRaw!$B:$B,$B75,ConfirmedRaw!AH:AH)</f>
        <v>0</v>
      </c>
      <c r="AG75">
        <f>SUMIF(ConfirmedRaw!$B:$B,$B75,ConfirmedRaw!AI:AI)</f>
        <v>0</v>
      </c>
      <c r="AH75">
        <f>SUMIF(ConfirmedRaw!$B:$B,$B75,ConfirmedRaw!AJ:AJ)</f>
        <v>0</v>
      </c>
      <c r="AI75">
        <f>SUMIF(ConfirmedRaw!$B:$B,$B75,ConfirmedRaw!AK:AK)</f>
        <v>0</v>
      </c>
      <c r="AJ75">
        <f>SUMIF(ConfirmedRaw!$B:$B,$B75,ConfirmedRaw!AL:AL)</f>
        <v>0</v>
      </c>
      <c r="AK75">
        <f>SUMIF(ConfirmedRaw!$B:$B,$B75,ConfirmedRaw!AM:AM)</f>
        <v>0</v>
      </c>
      <c r="AL75">
        <f>SUMIF(ConfirmedRaw!$B:$B,$B75,ConfirmedRaw!AN:AN)</f>
        <v>0</v>
      </c>
      <c r="AM75">
        <f>SUMIF(ConfirmedRaw!$B:$B,$B75,ConfirmedRaw!AO:AO)</f>
        <v>0</v>
      </c>
      <c r="AN75">
        <f>SUMIF(ConfirmedRaw!$B:$B,$B75,ConfirmedRaw!AP:AP)</f>
        <v>0</v>
      </c>
      <c r="AO75">
        <f>SUMIF(ConfirmedRaw!$B:$B,$B75,ConfirmedRaw!AQ:AQ)</f>
        <v>0</v>
      </c>
      <c r="AP75">
        <f>SUMIF(ConfirmedRaw!$B:$B,$B75,ConfirmedRaw!AR:AR)</f>
        <v>0</v>
      </c>
      <c r="AQ75">
        <f>SUMIF(ConfirmedRaw!$B:$B,$B75,ConfirmedRaw!AS:AS)</f>
        <v>0</v>
      </c>
      <c r="AR75">
        <f>SUMIF(ConfirmedRaw!$B:$B,$B75,ConfirmedRaw!AT:AT)</f>
        <v>0</v>
      </c>
      <c r="AS75">
        <f>SUMIF(ConfirmedRaw!$B:$B,$B75,ConfirmedRaw!AU:AU)</f>
        <v>0</v>
      </c>
      <c r="AT75">
        <f>SUMIF(ConfirmedRaw!$B:$B,$B75,ConfirmedRaw!AV:AV)</f>
        <v>0</v>
      </c>
      <c r="AU75">
        <f>SUMIF(ConfirmedRaw!$B:$B,$B75,ConfirmedRaw!AW:AW)</f>
        <v>0</v>
      </c>
      <c r="AV75">
        <f>SUMIF(ConfirmedRaw!$B:$B,$B75,ConfirmedRaw!AX:AX)</f>
        <v>0</v>
      </c>
      <c r="AW75">
        <f>SUMIF(ConfirmedRaw!$B:$B,$B75,ConfirmedRaw!AY:AY)</f>
        <v>0</v>
      </c>
      <c r="AX75">
        <f>SUMIF(ConfirmedRaw!$B:$B,$B75,ConfirmedRaw!AZ:AZ)</f>
        <v>2</v>
      </c>
      <c r="AY75">
        <f>SUMIF(ConfirmedRaw!$B:$B,$B75,ConfirmedRaw!BA:BA)</f>
        <v>3</v>
      </c>
      <c r="AZ75">
        <f>SUMIF(ConfirmedRaw!$B:$B,$B75,ConfirmedRaw!BB:BB)</f>
        <v>6</v>
      </c>
      <c r="BA75">
        <f>SUMIF(ConfirmedRaw!$B:$B,$B75,ConfirmedRaw!BC:BC)</f>
        <v>6</v>
      </c>
      <c r="BB75">
        <f>SUMIF(ConfirmedRaw!$B:$B,$B75,ConfirmedRaw!BD:BD)</f>
        <v>14</v>
      </c>
      <c r="BC75">
        <f>SUMIF(ConfirmedRaw!$B:$B,$B75,ConfirmedRaw!BE:BE)</f>
        <v>26</v>
      </c>
      <c r="BD75">
        <f>SUMIF(ConfirmedRaw!$B:$B,$B75,ConfirmedRaw!BF:BF)</f>
        <v>26</v>
      </c>
      <c r="BE75">
        <f>SUMIF(ConfirmedRaw!$B:$B,$B75,ConfirmedRaw!BG:BG)</f>
        <v>33</v>
      </c>
      <c r="BF75">
        <f>SUMIF(ConfirmedRaw!$B:$B,$B75,ConfirmedRaw!BH:BH)</f>
        <v>46</v>
      </c>
      <c r="BG75">
        <f>SUMIF(ConfirmedRaw!$B:$B,$B75,ConfirmedRaw!BI:BI)</f>
        <v>49</v>
      </c>
      <c r="BH75">
        <f>SUMIF(ConfirmedRaw!$B:$B,$B75,ConfirmedRaw!BJ:BJ)</f>
        <v>67</v>
      </c>
      <c r="BI75">
        <f>SUMIF(ConfirmedRaw!$B:$B,$B75,ConfirmedRaw!BK:BK)</f>
        <v>67</v>
      </c>
      <c r="BJ75">
        <f>SUMIF(ConfirmedRaw!$B:$B,$B75,ConfirmedRaw!BL:BL)</f>
        <v>84</v>
      </c>
      <c r="BK75">
        <f>SUMIF(ConfirmedRaw!$B:$B,$B75,ConfirmedRaw!BM:BM)</f>
        <v>95</v>
      </c>
      <c r="BL75">
        <f>SUMIF(ConfirmedRaw!$B:$B,$B75,ConfirmedRaw!BN:BN)</f>
        <v>116</v>
      </c>
      <c r="BM75">
        <f>SUMIF(ConfirmedRaw!$B:$B,$B75,ConfirmedRaw!BO:BO)</f>
        <v>124</v>
      </c>
      <c r="BN75">
        <f>SUMIF(ConfirmedRaw!$B:$B,$B75,ConfirmedRaw!BP:BP)</f>
        <v>132</v>
      </c>
      <c r="BO75">
        <f>SUMIF(ConfirmedRaw!$B:$B,$B75,ConfirmedRaw!BQ:BQ)</f>
        <v>146</v>
      </c>
      <c r="BP75">
        <f>SUMIF(ConfirmedRaw!$B:$B,$B75,ConfirmedRaw!BR:BR)</f>
        <v>162</v>
      </c>
      <c r="BQ75">
        <f>SUMIF(ConfirmedRaw!$B:$B,$B75,ConfirmedRaw!BS:BS)</f>
        <v>179</v>
      </c>
      <c r="BR75">
        <f>SUMIF(ConfirmedRaw!$B:$B,$B75,ConfirmedRaw!BT:BT)</f>
        <v>0</v>
      </c>
      <c r="BS75">
        <f>SUMIF(ConfirmedRaw!$B:$B,$B75,ConfirmedRaw!BU:BU)</f>
        <v>0</v>
      </c>
      <c r="BT75">
        <f>SUMIF(ConfirmedRaw!$B:$B,$B75,ConfirmedRaw!BV:BV)</f>
        <v>0</v>
      </c>
      <c r="BU75">
        <f>SUMIF(ConfirmedRaw!$B:$B,$B75,ConfirmedRaw!BW:BW)</f>
        <v>0</v>
      </c>
    </row>
    <row r="76" spans="1:73" ht="15" thickBot="1" x14ac:dyDescent="0.35">
      <c r="A76" s="97" t="str">
        <f>VLOOKUP(B76,Country_Data!B:Q,16,FALSE)</f>
        <v>Europe</v>
      </c>
      <c r="B76" s="3" t="s">
        <v>84</v>
      </c>
      <c r="C76">
        <f>SUMIF(ConfirmedRaw!$B:$B,$B76,ConfirmedRaw!E:E)</f>
        <v>0</v>
      </c>
      <c r="D76">
        <f>SUMIF(ConfirmedRaw!$B:$B,$B76,ConfirmedRaw!F:F)</f>
        <v>0</v>
      </c>
      <c r="E76">
        <f>SUMIF(ConfirmedRaw!$B:$B,$B76,ConfirmedRaw!G:G)</f>
        <v>0</v>
      </c>
      <c r="F76">
        <f>SUMIF(ConfirmedRaw!$B:$B,$B76,ConfirmedRaw!H:H)</f>
        <v>0</v>
      </c>
      <c r="G76">
        <f>SUMIF(ConfirmedRaw!$B:$B,$B76,ConfirmedRaw!I:I)</f>
        <v>0</v>
      </c>
      <c r="H76">
        <f>SUMIF(ConfirmedRaw!$B:$B,$B76,ConfirmedRaw!J:J)</f>
        <v>0</v>
      </c>
      <c r="I76">
        <f>SUMIF(ConfirmedRaw!$B:$B,$B76,ConfirmedRaw!K:K)</f>
        <v>0</v>
      </c>
      <c r="J76">
        <f>SUMIF(ConfirmedRaw!$B:$B,$B76,ConfirmedRaw!L:L)</f>
        <v>0</v>
      </c>
      <c r="K76">
        <f>SUMIF(ConfirmedRaw!$B:$B,$B76,ConfirmedRaw!M:M)</f>
        <v>0</v>
      </c>
      <c r="L76">
        <f>SUMIF(ConfirmedRaw!$B:$B,$B76,ConfirmedRaw!N:N)</f>
        <v>0</v>
      </c>
      <c r="M76">
        <f>SUMIF(ConfirmedRaw!$B:$B,$B76,ConfirmedRaw!O:O)</f>
        <v>0</v>
      </c>
      <c r="N76">
        <f>SUMIF(ConfirmedRaw!$B:$B,$B76,ConfirmedRaw!P:P)</f>
        <v>0</v>
      </c>
      <c r="O76">
        <f>SUMIF(ConfirmedRaw!$B:$B,$B76,ConfirmedRaw!Q:Q)</f>
        <v>0</v>
      </c>
      <c r="P76">
        <f>SUMIF(ConfirmedRaw!$B:$B,$B76,ConfirmedRaw!R:R)</f>
        <v>0</v>
      </c>
      <c r="Q76">
        <f>SUMIF(ConfirmedRaw!$B:$B,$B76,ConfirmedRaw!S:S)</f>
        <v>0</v>
      </c>
      <c r="R76">
        <f>SUMIF(ConfirmedRaw!$B:$B,$B76,ConfirmedRaw!T:T)</f>
        <v>0</v>
      </c>
      <c r="S76">
        <f>SUMIF(ConfirmedRaw!$B:$B,$B76,ConfirmedRaw!U:U)</f>
        <v>0</v>
      </c>
      <c r="T76">
        <f>SUMIF(ConfirmedRaw!$B:$B,$B76,ConfirmedRaw!V:V)</f>
        <v>0</v>
      </c>
      <c r="U76">
        <f>SUMIF(ConfirmedRaw!$B:$B,$B76,ConfirmedRaw!W:W)</f>
        <v>0</v>
      </c>
      <c r="V76">
        <f>SUMIF(ConfirmedRaw!$B:$B,$B76,ConfirmedRaw!X:X)</f>
        <v>0</v>
      </c>
      <c r="W76">
        <f>SUMIF(ConfirmedRaw!$B:$B,$B76,ConfirmedRaw!Y:Y)</f>
        <v>0</v>
      </c>
      <c r="X76">
        <f>SUMIF(ConfirmedRaw!$B:$B,$B76,ConfirmedRaw!Z:Z)</f>
        <v>0</v>
      </c>
      <c r="Y76">
        <f>SUMIF(ConfirmedRaw!$B:$B,$B76,ConfirmedRaw!AA:AA)</f>
        <v>0</v>
      </c>
      <c r="Z76">
        <f>SUMIF(ConfirmedRaw!$B:$B,$B76,ConfirmedRaw!AB:AB)</f>
        <v>0</v>
      </c>
      <c r="AA76">
        <f>SUMIF(ConfirmedRaw!$B:$B,$B76,ConfirmedRaw!AC:AC)</f>
        <v>0</v>
      </c>
      <c r="AB76">
        <f>SUMIF(ConfirmedRaw!$B:$B,$B76,ConfirmedRaw!AD:AD)</f>
        <v>0</v>
      </c>
      <c r="AC76">
        <f>SUMIF(ConfirmedRaw!$B:$B,$B76,ConfirmedRaw!AE:AE)</f>
        <v>0</v>
      </c>
      <c r="AD76">
        <f>SUMIF(ConfirmedRaw!$B:$B,$B76,ConfirmedRaw!AF:AF)</f>
        <v>0</v>
      </c>
      <c r="AE76">
        <f>SUMIF(ConfirmedRaw!$B:$B,$B76,ConfirmedRaw!AG:AG)</f>
        <v>0</v>
      </c>
      <c r="AF76">
        <f>SUMIF(ConfirmedRaw!$B:$B,$B76,ConfirmedRaw!AH:AH)</f>
        <v>0</v>
      </c>
      <c r="AG76">
        <f>SUMIF(ConfirmedRaw!$B:$B,$B76,ConfirmedRaw!AI:AI)</f>
        <v>0</v>
      </c>
      <c r="AH76">
        <f>SUMIF(ConfirmedRaw!$B:$B,$B76,ConfirmedRaw!AJ:AJ)</f>
        <v>0</v>
      </c>
      <c r="AI76">
        <f>SUMIF(ConfirmedRaw!$B:$B,$B76,ConfirmedRaw!AK:AK)</f>
        <v>0</v>
      </c>
      <c r="AJ76">
        <f>SUMIF(ConfirmedRaw!$B:$B,$B76,ConfirmedRaw!AL:AL)</f>
        <v>0</v>
      </c>
      <c r="AK76">
        <f>SUMIF(ConfirmedRaw!$B:$B,$B76,ConfirmedRaw!AM:AM)</f>
        <v>0</v>
      </c>
      <c r="AL76">
        <f>SUMIF(ConfirmedRaw!$B:$B,$B76,ConfirmedRaw!AN:AN)</f>
        <v>1</v>
      </c>
      <c r="AM76">
        <f>SUMIF(ConfirmedRaw!$B:$B,$B76,ConfirmedRaw!AO:AO)</f>
        <v>1</v>
      </c>
      <c r="AN76">
        <f>SUMIF(ConfirmedRaw!$B:$B,$B76,ConfirmedRaw!AP:AP)</f>
        <v>1</v>
      </c>
      <c r="AO76">
        <f>SUMIF(ConfirmedRaw!$B:$B,$B76,ConfirmedRaw!AQ:AQ)</f>
        <v>1</v>
      </c>
      <c r="AP76">
        <f>SUMIF(ConfirmedRaw!$B:$B,$B76,ConfirmedRaw!AR:AR)</f>
        <v>1</v>
      </c>
      <c r="AQ76">
        <f>SUMIF(ConfirmedRaw!$B:$B,$B76,ConfirmedRaw!AS:AS)</f>
        <v>1</v>
      </c>
      <c r="AR76">
        <f>SUMIF(ConfirmedRaw!$B:$B,$B76,ConfirmedRaw!AT:AT)</f>
        <v>1</v>
      </c>
      <c r="AS76">
        <f>SUMIF(ConfirmedRaw!$B:$B,$B76,ConfirmedRaw!AU:AU)</f>
        <v>1</v>
      </c>
      <c r="AT76">
        <f>SUMIF(ConfirmedRaw!$B:$B,$B76,ConfirmedRaw!AV:AV)</f>
        <v>1</v>
      </c>
      <c r="AU76">
        <f>SUMIF(ConfirmedRaw!$B:$B,$B76,ConfirmedRaw!AW:AW)</f>
        <v>3</v>
      </c>
      <c r="AV76">
        <f>SUMIF(ConfirmedRaw!$B:$B,$B76,ConfirmedRaw!AX:AX)</f>
        <v>3</v>
      </c>
      <c r="AW76">
        <f>SUMIF(ConfirmedRaw!$B:$B,$B76,ConfirmedRaw!AY:AY)</f>
        <v>3</v>
      </c>
      <c r="AX76">
        <f>SUMIF(ConfirmedRaw!$B:$B,$B76,ConfirmedRaw!AZ:AZ)</f>
        <v>3</v>
      </c>
      <c r="AY76">
        <f>SUMIF(ConfirmedRaw!$B:$B,$B76,ConfirmedRaw!BA:BA)</f>
        <v>7</v>
      </c>
      <c r="AZ76">
        <f>SUMIF(ConfirmedRaw!$B:$B,$B76,ConfirmedRaw!BB:BB)</f>
        <v>7</v>
      </c>
      <c r="BA76">
        <f>SUMIF(ConfirmedRaw!$B:$B,$B76,ConfirmedRaw!BC:BC)</f>
        <v>7</v>
      </c>
      <c r="BB76">
        <f>SUMIF(ConfirmedRaw!$B:$B,$B76,ConfirmedRaw!BD:BD)</f>
        <v>14</v>
      </c>
      <c r="BC76">
        <f>SUMIF(ConfirmedRaw!$B:$B,$B76,ConfirmedRaw!BE:BE)</f>
        <v>14</v>
      </c>
      <c r="BD76">
        <f>SUMIF(ConfirmedRaw!$B:$B,$B76,ConfirmedRaw!BF:BF)</f>
        <v>14</v>
      </c>
      <c r="BE76">
        <f>SUMIF(ConfirmedRaw!$B:$B,$B76,ConfirmedRaw!BG:BG)</f>
        <v>18</v>
      </c>
      <c r="BF76">
        <f>SUMIF(ConfirmedRaw!$B:$B,$B76,ConfirmedRaw!BH:BH)</f>
        <v>26</v>
      </c>
      <c r="BG76">
        <f>SUMIF(ConfirmedRaw!$B:$B,$B76,ConfirmedRaw!BI:BI)</f>
        <v>35</v>
      </c>
      <c r="BH76">
        <f>SUMIF(ConfirmedRaw!$B:$B,$B76,ConfirmedRaw!BJ:BJ)</f>
        <v>48</v>
      </c>
      <c r="BI76">
        <f>SUMIF(ConfirmedRaw!$B:$B,$B76,ConfirmedRaw!BK:BK)</f>
        <v>67</v>
      </c>
      <c r="BJ76">
        <f>SUMIF(ConfirmedRaw!$B:$B,$B76,ConfirmedRaw!BL:BL)</f>
        <v>85</v>
      </c>
      <c r="BK76">
        <f>SUMIF(ConfirmedRaw!$B:$B,$B76,ConfirmedRaw!BM:BM)</f>
        <v>115</v>
      </c>
      <c r="BL76">
        <f>SUMIF(ConfirmedRaw!$B:$B,$B76,ConfirmedRaw!BN:BN)</f>
        <v>136</v>
      </c>
      <c r="BM76">
        <f>SUMIF(ConfirmedRaw!$B:$B,$B76,ConfirmedRaw!BO:BO)</f>
        <v>148</v>
      </c>
      <c r="BN76">
        <f>SUMIF(ConfirmedRaw!$B:$B,$B76,ConfirmedRaw!BP:BP)</f>
        <v>177</v>
      </c>
      <c r="BO76">
        <f>SUMIF(ConfirmedRaw!$B:$B,$B76,ConfirmedRaw!BQ:BQ)</f>
        <v>201</v>
      </c>
      <c r="BP76">
        <f>SUMIF(ConfirmedRaw!$B:$B,$B76,ConfirmedRaw!BR:BR)</f>
        <v>219</v>
      </c>
      <c r="BQ76">
        <f>SUMIF(ConfirmedRaw!$B:$B,$B76,ConfirmedRaw!BS:BS)</f>
        <v>241</v>
      </c>
      <c r="BR76">
        <f>SUMIF(ConfirmedRaw!$B:$B,$B76,ConfirmedRaw!BT:BT)</f>
        <v>0</v>
      </c>
      <c r="BS76">
        <f>SUMIF(ConfirmedRaw!$B:$B,$B76,ConfirmedRaw!BU:BU)</f>
        <v>0</v>
      </c>
      <c r="BT76">
        <f>SUMIF(ConfirmedRaw!$B:$B,$B76,ConfirmedRaw!BV:BV)</f>
        <v>0</v>
      </c>
      <c r="BU76">
        <f>SUMIF(ConfirmedRaw!$B:$B,$B76,ConfirmedRaw!BW:BW)</f>
        <v>0</v>
      </c>
    </row>
    <row r="77" spans="1:73" ht="15" thickBot="1" x14ac:dyDescent="0.35">
      <c r="A77" s="97" t="str">
        <f>VLOOKUP(B77,Country_Data!B:Q,16,FALSE)</f>
        <v>Europe</v>
      </c>
      <c r="B77" s="3" t="s">
        <v>140</v>
      </c>
      <c r="C77">
        <f>SUMIF(ConfirmedRaw!$B:$B,$B77,ConfirmedRaw!E:E)</f>
        <v>0</v>
      </c>
      <c r="D77">
        <f>SUMIF(ConfirmedRaw!$B:$B,$B77,ConfirmedRaw!F:F)</f>
        <v>0</v>
      </c>
      <c r="E77">
        <f>SUMIF(ConfirmedRaw!$B:$B,$B77,ConfirmedRaw!G:G)</f>
        <v>0</v>
      </c>
      <c r="F77">
        <f>SUMIF(ConfirmedRaw!$B:$B,$B77,ConfirmedRaw!H:H)</f>
        <v>0</v>
      </c>
      <c r="G77">
        <f>SUMIF(ConfirmedRaw!$B:$B,$B77,ConfirmedRaw!I:I)</f>
        <v>0</v>
      </c>
      <c r="H77">
        <f>SUMIF(ConfirmedRaw!$B:$B,$B77,ConfirmedRaw!J:J)</f>
        <v>0</v>
      </c>
      <c r="I77">
        <f>SUMIF(ConfirmedRaw!$B:$B,$B77,ConfirmedRaw!K:K)</f>
        <v>0</v>
      </c>
      <c r="J77">
        <f>SUMIF(ConfirmedRaw!$B:$B,$B77,ConfirmedRaw!L:L)</f>
        <v>0</v>
      </c>
      <c r="K77">
        <f>SUMIF(ConfirmedRaw!$B:$B,$B77,ConfirmedRaw!M:M)</f>
        <v>0</v>
      </c>
      <c r="L77">
        <f>SUMIF(ConfirmedRaw!$B:$B,$B77,ConfirmedRaw!N:N)</f>
        <v>0</v>
      </c>
      <c r="M77">
        <f>SUMIF(ConfirmedRaw!$B:$B,$B77,ConfirmedRaw!O:O)</f>
        <v>0</v>
      </c>
      <c r="N77">
        <f>SUMIF(ConfirmedRaw!$B:$B,$B77,ConfirmedRaw!P:P)</f>
        <v>0</v>
      </c>
      <c r="O77">
        <f>SUMIF(ConfirmedRaw!$B:$B,$B77,ConfirmedRaw!Q:Q)</f>
        <v>0</v>
      </c>
      <c r="P77">
        <f>SUMIF(ConfirmedRaw!$B:$B,$B77,ConfirmedRaw!R:R)</f>
        <v>0</v>
      </c>
      <c r="Q77">
        <f>SUMIF(ConfirmedRaw!$B:$B,$B77,ConfirmedRaw!S:S)</f>
        <v>0</v>
      </c>
      <c r="R77">
        <f>SUMIF(ConfirmedRaw!$B:$B,$B77,ConfirmedRaw!T:T)</f>
        <v>0</v>
      </c>
      <c r="S77">
        <f>SUMIF(ConfirmedRaw!$B:$B,$B77,ConfirmedRaw!U:U)</f>
        <v>0</v>
      </c>
      <c r="T77">
        <f>SUMIF(ConfirmedRaw!$B:$B,$B77,ConfirmedRaw!V:V)</f>
        <v>0</v>
      </c>
      <c r="U77">
        <f>SUMIF(ConfirmedRaw!$B:$B,$B77,ConfirmedRaw!W:W)</f>
        <v>0</v>
      </c>
      <c r="V77">
        <f>SUMIF(ConfirmedRaw!$B:$B,$B77,ConfirmedRaw!X:X)</f>
        <v>0</v>
      </c>
      <c r="W77">
        <f>SUMIF(ConfirmedRaw!$B:$B,$B77,ConfirmedRaw!Y:Y)</f>
        <v>0</v>
      </c>
      <c r="X77">
        <f>SUMIF(ConfirmedRaw!$B:$B,$B77,ConfirmedRaw!Z:Z)</f>
        <v>0</v>
      </c>
      <c r="Y77">
        <f>SUMIF(ConfirmedRaw!$B:$B,$B77,ConfirmedRaw!AA:AA)</f>
        <v>0</v>
      </c>
      <c r="Z77">
        <f>SUMIF(ConfirmedRaw!$B:$B,$B77,ConfirmedRaw!AB:AB)</f>
        <v>0</v>
      </c>
      <c r="AA77">
        <f>SUMIF(ConfirmedRaw!$B:$B,$B77,ConfirmedRaw!AC:AC)</f>
        <v>0</v>
      </c>
      <c r="AB77">
        <f>SUMIF(ConfirmedRaw!$B:$B,$B77,ConfirmedRaw!AD:AD)</f>
        <v>0</v>
      </c>
      <c r="AC77">
        <f>SUMIF(ConfirmedRaw!$B:$B,$B77,ConfirmedRaw!AE:AE)</f>
        <v>0</v>
      </c>
      <c r="AD77">
        <f>SUMIF(ConfirmedRaw!$B:$B,$B77,ConfirmedRaw!AF:AF)</f>
        <v>0</v>
      </c>
      <c r="AE77">
        <f>SUMIF(ConfirmedRaw!$B:$B,$B77,ConfirmedRaw!AG:AG)</f>
        <v>0</v>
      </c>
      <c r="AF77">
        <f>SUMIF(ConfirmedRaw!$B:$B,$B77,ConfirmedRaw!AH:AH)</f>
        <v>0</v>
      </c>
      <c r="AG77">
        <f>SUMIF(ConfirmedRaw!$B:$B,$B77,ConfirmedRaw!AI:AI)</f>
        <v>0</v>
      </c>
      <c r="AH77">
        <f>SUMIF(ConfirmedRaw!$B:$B,$B77,ConfirmedRaw!AJ:AJ)</f>
        <v>0</v>
      </c>
      <c r="AI77">
        <f>SUMIF(ConfirmedRaw!$B:$B,$B77,ConfirmedRaw!AK:AK)</f>
        <v>0</v>
      </c>
      <c r="AJ77">
        <f>SUMIF(ConfirmedRaw!$B:$B,$B77,ConfirmedRaw!AL:AL)</f>
        <v>0</v>
      </c>
      <c r="AK77">
        <f>SUMIF(ConfirmedRaw!$B:$B,$B77,ConfirmedRaw!AM:AM)</f>
        <v>0</v>
      </c>
      <c r="AL77">
        <f>SUMIF(ConfirmedRaw!$B:$B,$B77,ConfirmedRaw!AN:AN)</f>
        <v>0</v>
      </c>
      <c r="AM77">
        <f>SUMIF(ConfirmedRaw!$B:$B,$B77,ConfirmedRaw!AO:AO)</f>
        <v>0</v>
      </c>
      <c r="AN77">
        <f>SUMIF(ConfirmedRaw!$B:$B,$B77,ConfirmedRaw!AP:AP)</f>
        <v>0</v>
      </c>
      <c r="AO77">
        <f>SUMIF(ConfirmedRaw!$B:$B,$B77,ConfirmedRaw!AQ:AQ)</f>
        <v>0</v>
      </c>
      <c r="AP77">
        <f>SUMIF(ConfirmedRaw!$B:$B,$B77,ConfirmedRaw!AR:AR)</f>
        <v>0</v>
      </c>
      <c r="AQ77">
        <f>SUMIF(ConfirmedRaw!$B:$B,$B77,ConfirmedRaw!AS:AS)</f>
        <v>0</v>
      </c>
      <c r="AR77">
        <f>SUMIF(ConfirmedRaw!$B:$B,$B77,ConfirmedRaw!AT:AT)</f>
        <v>0</v>
      </c>
      <c r="AS77">
        <f>SUMIF(ConfirmedRaw!$B:$B,$B77,ConfirmedRaw!AU:AU)</f>
        <v>0</v>
      </c>
      <c r="AT77">
        <f>SUMIF(ConfirmedRaw!$B:$B,$B77,ConfirmedRaw!AV:AV)</f>
        <v>2</v>
      </c>
      <c r="AU77">
        <f>SUMIF(ConfirmedRaw!$B:$B,$B77,ConfirmedRaw!AW:AW)</f>
        <v>2</v>
      </c>
      <c r="AV77">
        <f>SUMIF(ConfirmedRaw!$B:$B,$B77,ConfirmedRaw!AX:AX)</f>
        <v>3</v>
      </c>
      <c r="AW77">
        <f>SUMIF(ConfirmedRaw!$B:$B,$B77,ConfirmedRaw!AY:AY)</f>
        <v>3</v>
      </c>
      <c r="AX77">
        <f>SUMIF(ConfirmedRaw!$B:$B,$B77,ConfirmedRaw!AZ:AZ)</f>
        <v>3</v>
      </c>
      <c r="AY77">
        <f>SUMIF(ConfirmedRaw!$B:$B,$B77,ConfirmedRaw!BA:BA)</f>
        <v>5</v>
      </c>
      <c r="AZ77">
        <f>SUMIF(ConfirmedRaw!$B:$B,$B77,ConfirmedRaw!BB:BB)</f>
        <v>7</v>
      </c>
      <c r="BA77">
        <f>SUMIF(ConfirmedRaw!$B:$B,$B77,ConfirmedRaw!BC:BC)</f>
        <v>11</v>
      </c>
      <c r="BB77">
        <f>SUMIF(ConfirmedRaw!$B:$B,$B77,ConfirmedRaw!BD:BD)</f>
        <v>13</v>
      </c>
      <c r="BC77">
        <f>SUMIF(ConfirmedRaw!$B:$B,$B77,ConfirmedRaw!BE:BE)</f>
        <v>18</v>
      </c>
      <c r="BD77">
        <f>SUMIF(ConfirmedRaw!$B:$B,$B77,ConfirmedRaw!BF:BF)</f>
        <v>24</v>
      </c>
      <c r="BE77">
        <f>SUMIF(ConfirmedRaw!$B:$B,$B77,ConfirmedRaw!BG:BG)</f>
        <v>25</v>
      </c>
      <c r="BF77">
        <f>SUMIF(ConfirmedRaw!$B:$B,$B77,ConfirmedRaw!BH:BH)</f>
        <v>26</v>
      </c>
      <c r="BG77">
        <f>SUMIF(ConfirmedRaw!$B:$B,$B77,ConfirmedRaw!BI:BI)</f>
        <v>38</v>
      </c>
      <c r="BH77">
        <f>SUMIF(ConfirmedRaw!$B:$B,$B77,ConfirmedRaw!BJ:BJ)</f>
        <v>63</v>
      </c>
      <c r="BI77">
        <f>SUMIF(ConfirmedRaw!$B:$B,$B77,ConfirmedRaw!BK:BK)</f>
        <v>89</v>
      </c>
      <c r="BJ77">
        <f>SUMIF(ConfirmedRaw!$B:$B,$B77,ConfirmedRaw!BL:BL)</f>
        <v>93</v>
      </c>
      <c r="BK77">
        <f>SUMIF(ConfirmedRaw!$B:$B,$B77,ConfirmedRaw!BM:BM)</f>
        <v>126</v>
      </c>
      <c r="BL77">
        <f>SUMIF(ConfirmedRaw!$B:$B,$B77,ConfirmedRaw!BN:BN)</f>
        <v>136</v>
      </c>
      <c r="BM77">
        <f>SUMIF(ConfirmedRaw!$B:$B,$B77,ConfirmedRaw!BO:BO)</f>
        <v>166</v>
      </c>
      <c r="BN77">
        <f>SUMIF(ConfirmedRaw!$B:$B,$B77,ConfirmedRaw!BP:BP)</f>
        <v>176</v>
      </c>
      <c r="BO77">
        <f>SUMIF(ConfirmedRaw!$B:$B,$B77,ConfirmedRaw!BQ:BQ)</f>
        <v>191</v>
      </c>
      <c r="BP77">
        <f>SUMIF(ConfirmedRaw!$B:$B,$B77,ConfirmedRaw!BR:BR)</f>
        <v>237</v>
      </c>
      <c r="BQ77">
        <f>SUMIF(ConfirmedRaw!$B:$B,$B77,ConfirmedRaw!BS:BS)</f>
        <v>258</v>
      </c>
      <c r="BR77">
        <f>SUMIF(ConfirmedRaw!$B:$B,$B77,ConfirmedRaw!BT:BT)</f>
        <v>0</v>
      </c>
      <c r="BS77">
        <f>SUMIF(ConfirmedRaw!$B:$B,$B77,ConfirmedRaw!BU:BU)</f>
        <v>0</v>
      </c>
      <c r="BT77">
        <f>SUMIF(ConfirmedRaw!$B:$B,$B77,ConfirmedRaw!BV:BV)</f>
        <v>0</v>
      </c>
      <c r="BU77">
        <f>SUMIF(ConfirmedRaw!$B:$B,$B77,ConfirmedRaw!BW:BW)</f>
        <v>0</v>
      </c>
    </row>
    <row r="78" spans="1:73" ht="15" thickBot="1" x14ac:dyDescent="0.35">
      <c r="A78" s="97" t="str">
        <f>VLOOKUP(B78,Country_Data!B:Q,16,FALSE)</f>
        <v>South America</v>
      </c>
      <c r="B78" s="4" t="s">
        <v>158</v>
      </c>
      <c r="C78">
        <f>SUMIF(ConfirmedRaw!$B:$B,$B78,ConfirmedRaw!E:E)</f>
        <v>0</v>
      </c>
      <c r="D78">
        <f>SUMIF(ConfirmedRaw!$B:$B,$B78,ConfirmedRaw!F:F)</f>
        <v>0</v>
      </c>
      <c r="E78">
        <f>SUMIF(ConfirmedRaw!$B:$B,$B78,ConfirmedRaw!G:G)</f>
        <v>0</v>
      </c>
      <c r="F78">
        <f>SUMIF(ConfirmedRaw!$B:$B,$B78,ConfirmedRaw!H:H)</f>
        <v>0</v>
      </c>
      <c r="G78">
        <f>SUMIF(ConfirmedRaw!$B:$B,$B78,ConfirmedRaw!I:I)</f>
        <v>0</v>
      </c>
      <c r="H78">
        <f>SUMIF(ConfirmedRaw!$B:$B,$B78,ConfirmedRaw!J:J)</f>
        <v>0</v>
      </c>
      <c r="I78">
        <f>SUMIF(ConfirmedRaw!$B:$B,$B78,ConfirmedRaw!K:K)</f>
        <v>0</v>
      </c>
      <c r="J78">
        <f>SUMIF(ConfirmedRaw!$B:$B,$B78,ConfirmedRaw!L:L)</f>
        <v>0</v>
      </c>
      <c r="K78">
        <f>SUMIF(ConfirmedRaw!$B:$B,$B78,ConfirmedRaw!M:M)</f>
        <v>0</v>
      </c>
      <c r="L78">
        <f>SUMIF(ConfirmedRaw!$B:$B,$B78,ConfirmedRaw!N:N)</f>
        <v>0</v>
      </c>
      <c r="M78">
        <f>SUMIF(ConfirmedRaw!$B:$B,$B78,ConfirmedRaw!O:O)</f>
        <v>0</v>
      </c>
      <c r="N78">
        <f>SUMIF(ConfirmedRaw!$B:$B,$B78,ConfirmedRaw!P:P)</f>
        <v>0</v>
      </c>
      <c r="O78">
        <f>SUMIF(ConfirmedRaw!$B:$B,$B78,ConfirmedRaw!Q:Q)</f>
        <v>0</v>
      </c>
      <c r="P78">
        <f>SUMIF(ConfirmedRaw!$B:$B,$B78,ConfirmedRaw!R:R)</f>
        <v>0</v>
      </c>
      <c r="Q78">
        <f>SUMIF(ConfirmedRaw!$B:$B,$B78,ConfirmedRaw!S:S)</f>
        <v>0</v>
      </c>
      <c r="R78">
        <f>SUMIF(ConfirmedRaw!$B:$B,$B78,ConfirmedRaw!T:T)</f>
        <v>0</v>
      </c>
      <c r="S78">
        <f>SUMIF(ConfirmedRaw!$B:$B,$B78,ConfirmedRaw!U:U)</f>
        <v>0</v>
      </c>
      <c r="T78">
        <f>SUMIF(ConfirmedRaw!$B:$B,$B78,ConfirmedRaw!V:V)</f>
        <v>0</v>
      </c>
      <c r="U78">
        <f>SUMIF(ConfirmedRaw!$B:$B,$B78,ConfirmedRaw!W:W)</f>
        <v>0</v>
      </c>
      <c r="V78">
        <f>SUMIF(ConfirmedRaw!$B:$B,$B78,ConfirmedRaw!X:X)</f>
        <v>0</v>
      </c>
      <c r="W78">
        <f>SUMIF(ConfirmedRaw!$B:$B,$B78,ConfirmedRaw!Y:Y)</f>
        <v>0</v>
      </c>
      <c r="X78">
        <f>SUMIF(ConfirmedRaw!$B:$B,$B78,ConfirmedRaw!Z:Z)</f>
        <v>0</v>
      </c>
      <c r="Y78">
        <f>SUMIF(ConfirmedRaw!$B:$B,$B78,ConfirmedRaw!AA:AA)</f>
        <v>0</v>
      </c>
      <c r="Z78">
        <f>SUMIF(ConfirmedRaw!$B:$B,$B78,ConfirmedRaw!AB:AB)</f>
        <v>0</v>
      </c>
      <c r="AA78">
        <f>SUMIF(ConfirmedRaw!$B:$B,$B78,ConfirmedRaw!AC:AC)</f>
        <v>0</v>
      </c>
      <c r="AB78">
        <f>SUMIF(ConfirmedRaw!$B:$B,$B78,ConfirmedRaw!AD:AD)</f>
        <v>0</v>
      </c>
      <c r="AC78">
        <f>SUMIF(ConfirmedRaw!$B:$B,$B78,ConfirmedRaw!AE:AE)</f>
        <v>0</v>
      </c>
      <c r="AD78">
        <f>SUMIF(ConfirmedRaw!$B:$B,$B78,ConfirmedRaw!AF:AF)</f>
        <v>0</v>
      </c>
      <c r="AE78">
        <f>SUMIF(ConfirmedRaw!$B:$B,$B78,ConfirmedRaw!AG:AG)</f>
        <v>0</v>
      </c>
      <c r="AF78">
        <f>SUMIF(ConfirmedRaw!$B:$B,$B78,ConfirmedRaw!AH:AH)</f>
        <v>0</v>
      </c>
      <c r="AG78">
        <f>SUMIF(ConfirmedRaw!$B:$B,$B78,ConfirmedRaw!AI:AI)</f>
        <v>0</v>
      </c>
      <c r="AH78">
        <f>SUMIF(ConfirmedRaw!$B:$B,$B78,ConfirmedRaw!AJ:AJ)</f>
        <v>0</v>
      </c>
      <c r="AI78">
        <f>SUMIF(ConfirmedRaw!$B:$B,$B78,ConfirmedRaw!AK:AK)</f>
        <v>0</v>
      </c>
      <c r="AJ78">
        <f>SUMIF(ConfirmedRaw!$B:$B,$B78,ConfirmedRaw!AL:AL)</f>
        <v>0</v>
      </c>
      <c r="AK78">
        <f>SUMIF(ConfirmedRaw!$B:$B,$B78,ConfirmedRaw!AM:AM)</f>
        <v>0</v>
      </c>
      <c r="AL78">
        <f>SUMIF(ConfirmedRaw!$B:$B,$B78,ConfirmedRaw!AN:AN)</f>
        <v>0</v>
      </c>
      <c r="AM78">
        <f>SUMIF(ConfirmedRaw!$B:$B,$B78,ConfirmedRaw!AO:AO)</f>
        <v>0</v>
      </c>
      <c r="AN78">
        <f>SUMIF(ConfirmedRaw!$B:$B,$B78,ConfirmedRaw!AP:AP)</f>
        <v>0</v>
      </c>
      <c r="AO78">
        <f>SUMIF(ConfirmedRaw!$B:$B,$B78,ConfirmedRaw!AQ:AQ)</f>
        <v>0</v>
      </c>
      <c r="AP78">
        <f>SUMIF(ConfirmedRaw!$B:$B,$B78,ConfirmedRaw!AR:AR)</f>
        <v>0</v>
      </c>
      <c r="AQ78">
        <f>SUMIF(ConfirmedRaw!$B:$B,$B78,ConfirmedRaw!AS:AS)</f>
        <v>0</v>
      </c>
      <c r="AR78">
        <f>SUMIF(ConfirmedRaw!$B:$B,$B78,ConfirmedRaw!AT:AT)</f>
        <v>0</v>
      </c>
      <c r="AS78">
        <f>SUMIF(ConfirmedRaw!$B:$B,$B78,ConfirmedRaw!AU:AU)</f>
        <v>0</v>
      </c>
      <c r="AT78">
        <f>SUMIF(ConfirmedRaw!$B:$B,$B78,ConfirmedRaw!AV:AV)</f>
        <v>0</v>
      </c>
      <c r="AU78">
        <f>SUMIF(ConfirmedRaw!$B:$B,$B78,ConfirmedRaw!AW:AW)</f>
        <v>1</v>
      </c>
      <c r="AV78">
        <f>SUMIF(ConfirmedRaw!$B:$B,$B78,ConfirmedRaw!AX:AX)</f>
        <v>1</v>
      </c>
      <c r="AW78">
        <f>SUMIF(ConfirmedRaw!$B:$B,$B78,ConfirmedRaw!AY:AY)</f>
        <v>1</v>
      </c>
      <c r="AX78">
        <f>SUMIF(ConfirmedRaw!$B:$B,$B78,ConfirmedRaw!AZ:AZ)</f>
        <v>1</v>
      </c>
      <c r="AY78">
        <f>SUMIF(ConfirmedRaw!$B:$B,$B78,ConfirmedRaw!BA:BA)</f>
        <v>3</v>
      </c>
      <c r="AZ78">
        <f>SUMIF(ConfirmedRaw!$B:$B,$B78,ConfirmedRaw!BB:BB)</f>
        <v>9</v>
      </c>
      <c r="BA78">
        <f>SUMIF(ConfirmedRaw!$B:$B,$B78,ConfirmedRaw!BC:BC)</f>
        <v>9</v>
      </c>
      <c r="BB78">
        <f>SUMIF(ConfirmedRaw!$B:$B,$B78,ConfirmedRaw!BD:BD)</f>
        <v>13</v>
      </c>
      <c r="BC78">
        <f>SUMIF(ConfirmedRaw!$B:$B,$B78,ConfirmedRaw!BE:BE)</f>
        <v>22</v>
      </c>
      <c r="BD78">
        <f>SUMIF(ConfirmedRaw!$B:$B,$B78,ConfirmedRaw!BF:BF)</f>
        <v>34</v>
      </c>
      <c r="BE78">
        <f>SUMIF(ConfirmedRaw!$B:$B,$B78,ConfirmedRaw!BG:BG)</f>
        <v>54</v>
      </c>
      <c r="BF78">
        <f>SUMIF(ConfirmedRaw!$B:$B,$B78,ConfirmedRaw!BH:BH)</f>
        <v>65</v>
      </c>
      <c r="BG78">
        <f>SUMIF(ConfirmedRaw!$B:$B,$B78,ConfirmedRaw!BI:BI)</f>
        <v>93</v>
      </c>
      <c r="BH78">
        <f>SUMIF(ConfirmedRaw!$B:$B,$B78,ConfirmedRaw!BJ:BJ)</f>
        <v>102</v>
      </c>
      <c r="BI78">
        <f>SUMIF(ConfirmedRaw!$B:$B,$B78,ConfirmedRaw!BK:BK)</f>
        <v>128</v>
      </c>
      <c r="BJ78">
        <f>SUMIF(ConfirmedRaw!$B:$B,$B78,ConfirmedRaw!BL:BL)</f>
        <v>196</v>
      </c>
      <c r="BK78">
        <f>SUMIF(ConfirmedRaw!$B:$B,$B78,ConfirmedRaw!BM:BM)</f>
        <v>231</v>
      </c>
      <c r="BL78">
        <f>SUMIF(ConfirmedRaw!$B:$B,$B78,ConfirmedRaw!BN:BN)</f>
        <v>277</v>
      </c>
      <c r="BM78">
        <f>SUMIF(ConfirmedRaw!$B:$B,$B78,ConfirmedRaw!BO:BO)</f>
        <v>378</v>
      </c>
      <c r="BN78">
        <f>SUMIF(ConfirmedRaw!$B:$B,$B78,ConfirmedRaw!BP:BP)</f>
        <v>470</v>
      </c>
      <c r="BO78">
        <f>SUMIF(ConfirmedRaw!$B:$B,$B78,ConfirmedRaw!BQ:BQ)</f>
        <v>491</v>
      </c>
      <c r="BP78">
        <f>SUMIF(ConfirmedRaw!$B:$B,$B78,ConfirmedRaw!BR:BR)</f>
        <v>539</v>
      </c>
      <c r="BQ78">
        <f>SUMIF(ConfirmedRaw!$B:$B,$B78,ConfirmedRaw!BS:BS)</f>
        <v>608</v>
      </c>
      <c r="BR78">
        <f>SUMIF(ConfirmedRaw!$B:$B,$B78,ConfirmedRaw!BT:BT)</f>
        <v>0</v>
      </c>
      <c r="BS78">
        <f>SUMIF(ConfirmedRaw!$B:$B,$B78,ConfirmedRaw!BU:BU)</f>
        <v>0</v>
      </c>
      <c r="BT78">
        <f>SUMIF(ConfirmedRaw!$B:$B,$B78,ConfirmedRaw!BV:BV)</f>
        <v>0</v>
      </c>
      <c r="BU78">
        <f>SUMIF(ConfirmedRaw!$B:$B,$B78,ConfirmedRaw!BW:BW)</f>
        <v>0</v>
      </c>
    </row>
    <row r="79" spans="1:73" ht="15" thickBot="1" x14ac:dyDescent="0.35">
      <c r="A79" s="97" t="str">
        <f>VLOOKUP(B79,Country_Data!B:Q,16,FALSE)</f>
        <v>Europe</v>
      </c>
      <c r="B79" s="3" t="s">
        <v>177</v>
      </c>
      <c r="C79">
        <f>SUMIF(ConfirmedRaw!$B:$B,$B79,ConfirmedRaw!E:E)</f>
        <v>0</v>
      </c>
      <c r="D79">
        <f>SUMIF(ConfirmedRaw!$B:$B,$B79,ConfirmedRaw!F:F)</f>
        <v>0</v>
      </c>
      <c r="E79">
        <f>SUMIF(ConfirmedRaw!$B:$B,$B79,ConfirmedRaw!G:G)</f>
        <v>0</v>
      </c>
      <c r="F79">
        <f>SUMIF(ConfirmedRaw!$B:$B,$B79,ConfirmedRaw!H:H)</f>
        <v>0</v>
      </c>
      <c r="G79">
        <f>SUMIF(ConfirmedRaw!$B:$B,$B79,ConfirmedRaw!I:I)</f>
        <v>0</v>
      </c>
      <c r="H79">
        <f>SUMIF(ConfirmedRaw!$B:$B,$B79,ConfirmedRaw!J:J)</f>
        <v>0</v>
      </c>
      <c r="I79">
        <f>SUMIF(ConfirmedRaw!$B:$B,$B79,ConfirmedRaw!K:K)</f>
        <v>0</v>
      </c>
      <c r="J79">
        <f>SUMIF(ConfirmedRaw!$B:$B,$B79,ConfirmedRaw!L:L)</f>
        <v>0</v>
      </c>
      <c r="K79">
        <f>SUMIF(ConfirmedRaw!$B:$B,$B79,ConfirmedRaw!M:M)</f>
        <v>0</v>
      </c>
      <c r="L79">
        <f>SUMIF(ConfirmedRaw!$B:$B,$B79,ConfirmedRaw!N:N)</f>
        <v>0</v>
      </c>
      <c r="M79">
        <f>SUMIF(ConfirmedRaw!$B:$B,$B79,ConfirmedRaw!O:O)</f>
        <v>0</v>
      </c>
      <c r="N79">
        <f>SUMIF(ConfirmedRaw!$B:$B,$B79,ConfirmedRaw!P:P)</f>
        <v>0</v>
      </c>
      <c r="O79">
        <f>SUMIF(ConfirmedRaw!$B:$B,$B79,ConfirmedRaw!Q:Q)</f>
        <v>0</v>
      </c>
      <c r="P79">
        <f>SUMIF(ConfirmedRaw!$B:$B,$B79,ConfirmedRaw!R:R)</f>
        <v>0</v>
      </c>
      <c r="Q79">
        <f>SUMIF(ConfirmedRaw!$B:$B,$B79,ConfirmedRaw!S:S)</f>
        <v>0</v>
      </c>
      <c r="R79">
        <f>SUMIF(ConfirmedRaw!$B:$B,$B79,ConfirmedRaw!T:T)</f>
        <v>0</v>
      </c>
      <c r="S79">
        <f>SUMIF(ConfirmedRaw!$B:$B,$B79,ConfirmedRaw!U:U)</f>
        <v>0</v>
      </c>
      <c r="T79">
        <f>SUMIF(ConfirmedRaw!$B:$B,$B79,ConfirmedRaw!V:V)</f>
        <v>0</v>
      </c>
      <c r="U79">
        <f>SUMIF(ConfirmedRaw!$B:$B,$B79,ConfirmedRaw!W:W)</f>
        <v>0</v>
      </c>
      <c r="V79">
        <f>SUMIF(ConfirmedRaw!$B:$B,$B79,ConfirmedRaw!X:X)</f>
        <v>0</v>
      </c>
      <c r="W79">
        <f>SUMIF(ConfirmedRaw!$B:$B,$B79,ConfirmedRaw!Y:Y)</f>
        <v>0</v>
      </c>
      <c r="X79">
        <f>SUMIF(ConfirmedRaw!$B:$B,$B79,ConfirmedRaw!Z:Z)</f>
        <v>0</v>
      </c>
      <c r="Y79">
        <f>SUMIF(ConfirmedRaw!$B:$B,$B79,ConfirmedRaw!AA:AA)</f>
        <v>0</v>
      </c>
      <c r="Z79">
        <f>SUMIF(ConfirmedRaw!$B:$B,$B79,ConfirmedRaw!AB:AB)</f>
        <v>0</v>
      </c>
      <c r="AA79">
        <f>SUMIF(ConfirmedRaw!$B:$B,$B79,ConfirmedRaw!AC:AC)</f>
        <v>0</v>
      </c>
      <c r="AB79">
        <f>SUMIF(ConfirmedRaw!$B:$B,$B79,ConfirmedRaw!AD:AD)</f>
        <v>0</v>
      </c>
      <c r="AC79">
        <f>SUMIF(ConfirmedRaw!$B:$B,$B79,ConfirmedRaw!AE:AE)</f>
        <v>0</v>
      </c>
      <c r="AD79">
        <f>SUMIF(ConfirmedRaw!$B:$B,$B79,ConfirmedRaw!AF:AF)</f>
        <v>0</v>
      </c>
      <c r="AE79">
        <f>SUMIF(ConfirmedRaw!$B:$B,$B79,ConfirmedRaw!AG:AG)</f>
        <v>0</v>
      </c>
      <c r="AF79">
        <f>SUMIF(ConfirmedRaw!$B:$B,$B79,ConfirmedRaw!AH:AH)</f>
        <v>0</v>
      </c>
      <c r="AG79">
        <f>SUMIF(ConfirmedRaw!$B:$B,$B79,ConfirmedRaw!AI:AI)</f>
        <v>0</v>
      </c>
      <c r="AH79">
        <f>SUMIF(ConfirmedRaw!$B:$B,$B79,ConfirmedRaw!AJ:AJ)</f>
        <v>0</v>
      </c>
      <c r="AI79">
        <f>SUMIF(ConfirmedRaw!$B:$B,$B79,ConfirmedRaw!AK:AK)</f>
        <v>0</v>
      </c>
      <c r="AJ79">
        <f>SUMIF(ConfirmedRaw!$B:$B,$B79,ConfirmedRaw!AL:AL)</f>
        <v>0</v>
      </c>
      <c r="AK79">
        <f>SUMIF(ConfirmedRaw!$B:$B,$B79,ConfirmedRaw!AM:AM)</f>
        <v>0</v>
      </c>
      <c r="AL79">
        <f>SUMIF(ConfirmedRaw!$B:$B,$B79,ConfirmedRaw!AN:AN)</f>
        <v>0</v>
      </c>
      <c r="AM79">
        <f>SUMIF(ConfirmedRaw!$B:$B,$B79,ConfirmedRaw!AO:AO)</f>
        <v>0</v>
      </c>
      <c r="AN79">
        <f>SUMIF(ConfirmedRaw!$B:$B,$B79,ConfirmedRaw!AP:AP)</f>
        <v>0</v>
      </c>
      <c r="AO79">
        <f>SUMIF(ConfirmedRaw!$B:$B,$B79,ConfirmedRaw!AQ:AQ)</f>
        <v>0</v>
      </c>
      <c r="AP79">
        <f>SUMIF(ConfirmedRaw!$B:$B,$B79,ConfirmedRaw!AR:AR)</f>
        <v>0</v>
      </c>
      <c r="AQ79">
        <f>SUMIF(ConfirmedRaw!$B:$B,$B79,ConfirmedRaw!AS:AS)</f>
        <v>0</v>
      </c>
      <c r="AR79">
        <f>SUMIF(ConfirmedRaw!$B:$B,$B79,ConfirmedRaw!AT:AT)</f>
        <v>0</v>
      </c>
      <c r="AS79">
        <f>SUMIF(ConfirmedRaw!$B:$B,$B79,ConfirmedRaw!AU:AU)</f>
        <v>0</v>
      </c>
      <c r="AT79">
        <f>SUMIF(ConfirmedRaw!$B:$B,$B79,ConfirmedRaw!AV:AV)</f>
        <v>0</v>
      </c>
      <c r="AU79">
        <f>SUMIF(ConfirmedRaw!$B:$B,$B79,ConfirmedRaw!AW:AW)</f>
        <v>0</v>
      </c>
      <c r="AV79">
        <f>SUMIF(ConfirmedRaw!$B:$B,$B79,ConfirmedRaw!AX:AX)</f>
        <v>3</v>
      </c>
      <c r="AW79">
        <f>SUMIF(ConfirmedRaw!$B:$B,$B79,ConfirmedRaw!AY:AY)</f>
        <v>3</v>
      </c>
      <c r="AX79">
        <f>SUMIF(ConfirmedRaw!$B:$B,$B79,ConfirmedRaw!AZ:AZ)</f>
        <v>3</v>
      </c>
      <c r="AY79">
        <f>SUMIF(ConfirmedRaw!$B:$B,$B79,ConfirmedRaw!BA:BA)</f>
        <v>5</v>
      </c>
      <c r="AZ79">
        <f>SUMIF(ConfirmedRaw!$B:$B,$B79,ConfirmedRaw!BB:BB)</f>
        <v>6</v>
      </c>
      <c r="BA79">
        <f>SUMIF(ConfirmedRaw!$B:$B,$B79,ConfirmedRaw!BC:BC)</f>
        <v>6</v>
      </c>
      <c r="BB79">
        <f>SUMIF(ConfirmedRaw!$B:$B,$B79,ConfirmedRaw!BD:BD)</f>
        <v>12</v>
      </c>
      <c r="BC79">
        <f>SUMIF(ConfirmedRaw!$B:$B,$B79,ConfirmedRaw!BE:BE)</f>
        <v>18</v>
      </c>
      <c r="BD79">
        <f>SUMIF(ConfirmedRaw!$B:$B,$B79,ConfirmedRaw!BF:BF)</f>
        <v>21</v>
      </c>
      <c r="BE79">
        <f>SUMIF(ConfirmedRaw!$B:$B,$B79,ConfirmedRaw!BG:BG)</f>
        <v>30</v>
      </c>
      <c r="BF79">
        <f>SUMIF(ConfirmedRaw!$B:$B,$B79,ConfirmedRaw!BH:BH)</f>
        <v>38</v>
      </c>
      <c r="BG79">
        <f>SUMIF(ConfirmedRaw!$B:$B,$B79,ConfirmedRaw!BI:BI)</f>
        <v>38</v>
      </c>
      <c r="BH79">
        <f>SUMIF(ConfirmedRaw!$B:$B,$B79,ConfirmedRaw!BJ:BJ)</f>
        <v>53</v>
      </c>
      <c r="BI79">
        <f>SUMIF(ConfirmedRaw!$B:$B,$B79,ConfirmedRaw!BK:BK)</f>
        <v>64</v>
      </c>
      <c r="BJ79">
        <f>SUMIF(ConfirmedRaw!$B:$B,$B79,ConfirmedRaw!BL:BL)</f>
        <v>73</v>
      </c>
      <c r="BK79">
        <f>SUMIF(ConfirmedRaw!$B:$B,$B79,ConfirmedRaw!BM:BM)</f>
        <v>90</v>
      </c>
      <c r="BL79">
        <f>SUMIF(ConfirmedRaw!$B:$B,$B79,ConfirmedRaw!BN:BN)</f>
        <v>107</v>
      </c>
      <c r="BM79">
        <f>SUMIF(ConfirmedRaw!$B:$B,$B79,ConfirmedRaw!BO:BO)</f>
        <v>110</v>
      </c>
      <c r="BN79">
        <f>SUMIF(ConfirmedRaw!$B:$B,$B79,ConfirmedRaw!BP:BP)</f>
        <v>129</v>
      </c>
      <c r="BO79">
        <f>SUMIF(ConfirmedRaw!$B:$B,$B79,ConfirmedRaw!BQ:BQ)</f>
        <v>134</v>
      </c>
      <c r="BP79">
        <f>SUMIF(ConfirmedRaw!$B:$B,$B79,ConfirmedRaw!BR:BR)</f>
        <v>139</v>
      </c>
      <c r="BQ79">
        <f>SUMIF(ConfirmedRaw!$B:$B,$B79,ConfirmedRaw!BS:BS)</f>
        <v>149</v>
      </c>
      <c r="BR79">
        <f>SUMIF(ConfirmedRaw!$B:$B,$B79,ConfirmedRaw!BT:BT)</f>
        <v>0</v>
      </c>
      <c r="BS79">
        <f>SUMIF(ConfirmedRaw!$B:$B,$B79,ConfirmedRaw!BU:BU)</f>
        <v>0</v>
      </c>
      <c r="BT79">
        <f>SUMIF(ConfirmedRaw!$B:$B,$B79,ConfirmedRaw!BV:BV)</f>
        <v>0</v>
      </c>
      <c r="BU79">
        <f>SUMIF(ConfirmedRaw!$B:$B,$B79,ConfirmedRaw!BW:BW)</f>
        <v>0</v>
      </c>
    </row>
    <row r="80" spans="1:73" ht="15" thickBot="1" x14ac:dyDescent="0.35">
      <c r="A80" s="97" t="str">
        <f>VLOOKUP(B80,Country_Data!B:Q,16,FALSE)</f>
        <v>North America</v>
      </c>
      <c r="B80" s="4" t="s">
        <v>94</v>
      </c>
      <c r="C80">
        <f>SUMIF(ConfirmedRaw!$B:$B,$B80,ConfirmedRaw!E:E)</f>
        <v>0</v>
      </c>
      <c r="D80">
        <f>SUMIF(ConfirmedRaw!$B:$B,$B80,ConfirmedRaw!F:F)</f>
        <v>0</v>
      </c>
      <c r="E80">
        <f>SUMIF(ConfirmedRaw!$B:$B,$B80,ConfirmedRaw!G:G)</f>
        <v>0</v>
      </c>
      <c r="F80">
        <f>SUMIF(ConfirmedRaw!$B:$B,$B80,ConfirmedRaw!H:H)</f>
        <v>0</v>
      </c>
      <c r="G80">
        <f>SUMIF(ConfirmedRaw!$B:$B,$B80,ConfirmedRaw!I:I)</f>
        <v>0</v>
      </c>
      <c r="H80">
        <f>SUMIF(ConfirmedRaw!$B:$B,$B80,ConfirmedRaw!J:J)</f>
        <v>0</v>
      </c>
      <c r="I80">
        <f>SUMIF(ConfirmedRaw!$B:$B,$B80,ConfirmedRaw!K:K)</f>
        <v>0</v>
      </c>
      <c r="J80">
        <f>SUMIF(ConfirmedRaw!$B:$B,$B80,ConfirmedRaw!L:L)</f>
        <v>0</v>
      </c>
      <c r="K80">
        <f>SUMIF(ConfirmedRaw!$B:$B,$B80,ConfirmedRaw!M:M)</f>
        <v>0</v>
      </c>
      <c r="L80">
        <f>SUMIF(ConfirmedRaw!$B:$B,$B80,ConfirmedRaw!N:N)</f>
        <v>0</v>
      </c>
      <c r="M80">
        <f>SUMIF(ConfirmedRaw!$B:$B,$B80,ConfirmedRaw!O:O)</f>
        <v>0</v>
      </c>
      <c r="N80">
        <f>SUMIF(ConfirmedRaw!$B:$B,$B80,ConfirmedRaw!P:P)</f>
        <v>0</v>
      </c>
      <c r="O80">
        <f>SUMIF(ConfirmedRaw!$B:$B,$B80,ConfirmedRaw!Q:Q)</f>
        <v>0</v>
      </c>
      <c r="P80">
        <f>SUMIF(ConfirmedRaw!$B:$B,$B80,ConfirmedRaw!R:R)</f>
        <v>0</v>
      </c>
      <c r="Q80">
        <f>SUMIF(ConfirmedRaw!$B:$B,$B80,ConfirmedRaw!S:S)</f>
        <v>0</v>
      </c>
      <c r="R80">
        <f>SUMIF(ConfirmedRaw!$B:$B,$B80,ConfirmedRaw!T:T)</f>
        <v>0</v>
      </c>
      <c r="S80">
        <f>SUMIF(ConfirmedRaw!$B:$B,$B80,ConfirmedRaw!U:U)</f>
        <v>0</v>
      </c>
      <c r="T80">
        <f>SUMIF(ConfirmedRaw!$B:$B,$B80,ConfirmedRaw!V:V)</f>
        <v>0</v>
      </c>
      <c r="U80">
        <f>SUMIF(ConfirmedRaw!$B:$B,$B80,ConfirmedRaw!W:W)</f>
        <v>0</v>
      </c>
      <c r="V80">
        <f>SUMIF(ConfirmedRaw!$B:$B,$B80,ConfirmedRaw!X:X)</f>
        <v>0</v>
      </c>
      <c r="W80">
        <f>SUMIF(ConfirmedRaw!$B:$B,$B80,ConfirmedRaw!Y:Y)</f>
        <v>0</v>
      </c>
      <c r="X80">
        <f>SUMIF(ConfirmedRaw!$B:$B,$B80,ConfirmedRaw!Z:Z)</f>
        <v>0</v>
      </c>
      <c r="Y80">
        <f>SUMIF(ConfirmedRaw!$B:$B,$B80,ConfirmedRaw!AA:AA)</f>
        <v>0</v>
      </c>
      <c r="Z80">
        <f>SUMIF(ConfirmedRaw!$B:$B,$B80,ConfirmedRaw!AB:AB)</f>
        <v>0</v>
      </c>
      <c r="AA80">
        <f>SUMIF(ConfirmedRaw!$B:$B,$B80,ConfirmedRaw!AC:AC)</f>
        <v>0</v>
      </c>
      <c r="AB80">
        <f>SUMIF(ConfirmedRaw!$B:$B,$B80,ConfirmedRaw!AD:AD)</f>
        <v>0</v>
      </c>
      <c r="AC80">
        <f>SUMIF(ConfirmedRaw!$B:$B,$B80,ConfirmedRaw!AE:AE)</f>
        <v>0</v>
      </c>
      <c r="AD80">
        <f>SUMIF(ConfirmedRaw!$B:$B,$B80,ConfirmedRaw!AF:AF)</f>
        <v>0</v>
      </c>
      <c r="AE80">
        <f>SUMIF(ConfirmedRaw!$B:$B,$B80,ConfirmedRaw!AG:AG)</f>
        <v>0</v>
      </c>
      <c r="AF80">
        <f>SUMIF(ConfirmedRaw!$B:$B,$B80,ConfirmedRaw!AH:AH)</f>
        <v>0</v>
      </c>
      <c r="AG80">
        <f>SUMIF(ConfirmedRaw!$B:$B,$B80,ConfirmedRaw!AI:AI)</f>
        <v>0</v>
      </c>
      <c r="AH80">
        <f>SUMIF(ConfirmedRaw!$B:$B,$B80,ConfirmedRaw!AJ:AJ)</f>
        <v>0</v>
      </c>
      <c r="AI80">
        <f>SUMIF(ConfirmedRaw!$B:$B,$B80,ConfirmedRaw!AK:AK)</f>
        <v>0</v>
      </c>
      <c r="AJ80">
        <f>SUMIF(ConfirmedRaw!$B:$B,$B80,ConfirmedRaw!AL:AL)</f>
        <v>0</v>
      </c>
      <c r="AK80">
        <f>SUMIF(ConfirmedRaw!$B:$B,$B80,ConfirmedRaw!AM:AM)</f>
        <v>0</v>
      </c>
      <c r="AL80">
        <f>SUMIF(ConfirmedRaw!$B:$B,$B80,ConfirmedRaw!AN:AN)</f>
        <v>0</v>
      </c>
      <c r="AM80">
        <f>SUMIF(ConfirmedRaw!$B:$B,$B80,ConfirmedRaw!AO:AO)</f>
        <v>0</v>
      </c>
      <c r="AN80">
        <f>SUMIF(ConfirmedRaw!$B:$B,$B80,ConfirmedRaw!AP:AP)</f>
        <v>1</v>
      </c>
      <c r="AO80">
        <f>SUMIF(ConfirmedRaw!$B:$B,$B80,ConfirmedRaw!AQ:AQ)</f>
        <v>4</v>
      </c>
      <c r="AP80">
        <f>SUMIF(ConfirmedRaw!$B:$B,$B80,ConfirmedRaw!AR:AR)</f>
        <v>5</v>
      </c>
      <c r="AQ80">
        <f>SUMIF(ConfirmedRaw!$B:$B,$B80,ConfirmedRaw!AS:AS)</f>
        <v>5</v>
      </c>
      <c r="AR80">
        <f>SUMIF(ConfirmedRaw!$B:$B,$B80,ConfirmedRaw!AT:AT)</f>
        <v>5</v>
      </c>
      <c r="AS80">
        <f>SUMIF(ConfirmedRaw!$B:$B,$B80,ConfirmedRaw!AU:AU)</f>
        <v>5</v>
      </c>
      <c r="AT80">
        <f>SUMIF(ConfirmedRaw!$B:$B,$B80,ConfirmedRaw!AV:AV)</f>
        <v>5</v>
      </c>
      <c r="AU80">
        <f>SUMIF(ConfirmedRaw!$B:$B,$B80,ConfirmedRaw!AW:AW)</f>
        <v>6</v>
      </c>
      <c r="AV80">
        <f>SUMIF(ConfirmedRaw!$B:$B,$B80,ConfirmedRaw!AX:AX)</f>
        <v>6</v>
      </c>
      <c r="AW80">
        <f>SUMIF(ConfirmedRaw!$B:$B,$B80,ConfirmedRaw!AY:AY)</f>
        <v>7</v>
      </c>
      <c r="AX80">
        <f>SUMIF(ConfirmedRaw!$B:$B,$B80,ConfirmedRaw!AZ:AZ)</f>
        <v>7</v>
      </c>
      <c r="AY80">
        <f>SUMIF(ConfirmedRaw!$B:$B,$B80,ConfirmedRaw!BA:BA)</f>
        <v>7</v>
      </c>
      <c r="AZ80">
        <f>SUMIF(ConfirmedRaw!$B:$B,$B80,ConfirmedRaw!BB:BB)</f>
        <v>8</v>
      </c>
      <c r="BA80">
        <f>SUMIF(ConfirmedRaw!$B:$B,$B80,ConfirmedRaw!BC:BC)</f>
        <v>12</v>
      </c>
      <c r="BB80">
        <f>SUMIF(ConfirmedRaw!$B:$B,$B80,ConfirmedRaw!BD:BD)</f>
        <v>12</v>
      </c>
      <c r="BC80">
        <f>SUMIF(ConfirmedRaw!$B:$B,$B80,ConfirmedRaw!BE:BE)</f>
        <v>26</v>
      </c>
      <c r="BD80">
        <f>SUMIF(ConfirmedRaw!$B:$B,$B80,ConfirmedRaw!BF:BF)</f>
        <v>41</v>
      </c>
      <c r="BE80">
        <f>SUMIF(ConfirmedRaw!$B:$B,$B80,ConfirmedRaw!BG:BG)</f>
        <v>53</v>
      </c>
      <c r="BF80">
        <f>SUMIF(ConfirmedRaw!$B:$B,$B80,ConfirmedRaw!BH:BH)</f>
        <v>82</v>
      </c>
      <c r="BG80">
        <f>SUMIF(ConfirmedRaw!$B:$B,$B80,ConfirmedRaw!BI:BI)</f>
        <v>93</v>
      </c>
      <c r="BH80">
        <f>SUMIF(ConfirmedRaw!$B:$B,$B80,ConfirmedRaw!BJ:BJ)</f>
        <v>118</v>
      </c>
      <c r="BI80">
        <f>SUMIF(ConfirmedRaw!$B:$B,$B80,ConfirmedRaw!BK:BK)</f>
        <v>164</v>
      </c>
      <c r="BJ80">
        <f>SUMIF(ConfirmedRaw!$B:$B,$B80,ConfirmedRaw!BL:BL)</f>
        <v>203</v>
      </c>
      <c r="BK80">
        <f>SUMIF(ConfirmedRaw!$B:$B,$B80,ConfirmedRaw!BM:BM)</f>
        <v>251</v>
      </c>
      <c r="BL80">
        <f>SUMIF(ConfirmedRaw!$B:$B,$B80,ConfirmedRaw!BN:BN)</f>
        <v>316</v>
      </c>
      <c r="BM80">
        <f>SUMIF(ConfirmedRaw!$B:$B,$B80,ConfirmedRaw!BO:BO)</f>
        <v>367</v>
      </c>
      <c r="BN80">
        <f>SUMIF(ConfirmedRaw!$B:$B,$B80,ConfirmedRaw!BP:BP)</f>
        <v>405</v>
      </c>
      <c r="BO80">
        <f>SUMIF(ConfirmedRaw!$B:$B,$B80,ConfirmedRaw!BQ:BQ)</f>
        <v>475</v>
      </c>
      <c r="BP80">
        <f>SUMIF(ConfirmedRaw!$B:$B,$B80,ConfirmedRaw!BR:BR)</f>
        <v>585</v>
      </c>
      <c r="BQ80">
        <f>SUMIF(ConfirmedRaw!$B:$B,$B80,ConfirmedRaw!BS:BS)</f>
        <v>717</v>
      </c>
      <c r="BR80">
        <f>SUMIF(ConfirmedRaw!$B:$B,$B80,ConfirmedRaw!BT:BT)</f>
        <v>0</v>
      </c>
      <c r="BS80">
        <f>SUMIF(ConfirmedRaw!$B:$B,$B80,ConfirmedRaw!BU:BU)</f>
        <v>0</v>
      </c>
      <c r="BT80">
        <f>SUMIF(ConfirmedRaw!$B:$B,$B80,ConfirmedRaw!BV:BV)</f>
        <v>0</v>
      </c>
      <c r="BU80">
        <f>SUMIF(ConfirmedRaw!$B:$B,$B80,ConfirmedRaw!BW:BW)</f>
        <v>0</v>
      </c>
    </row>
    <row r="81" spans="1:73" ht="15" thickBot="1" x14ac:dyDescent="0.35">
      <c r="A81" s="97" t="str">
        <f>VLOOKUP(B81,Country_Data!B:Q,16,FALSE)</f>
        <v>Africa</v>
      </c>
      <c r="B81" s="3" t="s">
        <v>114</v>
      </c>
      <c r="C81">
        <f>SUMIF(ConfirmedRaw!$B:$B,$B81,ConfirmedRaw!E:E)</f>
        <v>0</v>
      </c>
      <c r="D81">
        <f>SUMIF(ConfirmedRaw!$B:$B,$B81,ConfirmedRaw!F:F)</f>
        <v>0</v>
      </c>
      <c r="E81">
        <f>SUMIF(ConfirmedRaw!$B:$B,$B81,ConfirmedRaw!G:G)</f>
        <v>0</v>
      </c>
      <c r="F81">
        <f>SUMIF(ConfirmedRaw!$B:$B,$B81,ConfirmedRaw!H:H)</f>
        <v>0</v>
      </c>
      <c r="G81">
        <f>SUMIF(ConfirmedRaw!$B:$B,$B81,ConfirmedRaw!I:I)</f>
        <v>0</v>
      </c>
      <c r="H81">
        <f>SUMIF(ConfirmedRaw!$B:$B,$B81,ConfirmedRaw!J:J)</f>
        <v>0</v>
      </c>
      <c r="I81">
        <f>SUMIF(ConfirmedRaw!$B:$B,$B81,ConfirmedRaw!K:K)</f>
        <v>0</v>
      </c>
      <c r="J81">
        <f>SUMIF(ConfirmedRaw!$B:$B,$B81,ConfirmedRaw!L:L)</f>
        <v>0</v>
      </c>
      <c r="K81">
        <f>SUMIF(ConfirmedRaw!$B:$B,$B81,ConfirmedRaw!M:M)</f>
        <v>0</v>
      </c>
      <c r="L81">
        <f>SUMIF(ConfirmedRaw!$B:$B,$B81,ConfirmedRaw!N:N)</f>
        <v>0</v>
      </c>
      <c r="M81">
        <f>SUMIF(ConfirmedRaw!$B:$B,$B81,ConfirmedRaw!O:O)</f>
        <v>0</v>
      </c>
      <c r="N81">
        <f>SUMIF(ConfirmedRaw!$B:$B,$B81,ConfirmedRaw!P:P)</f>
        <v>0</v>
      </c>
      <c r="O81">
        <f>SUMIF(ConfirmedRaw!$B:$B,$B81,ConfirmedRaw!Q:Q)</f>
        <v>0</v>
      </c>
      <c r="P81">
        <f>SUMIF(ConfirmedRaw!$B:$B,$B81,ConfirmedRaw!R:R)</f>
        <v>0</v>
      </c>
      <c r="Q81">
        <f>SUMIF(ConfirmedRaw!$B:$B,$B81,ConfirmedRaw!S:S)</f>
        <v>0</v>
      </c>
      <c r="R81">
        <f>SUMIF(ConfirmedRaw!$B:$B,$B81,ConfirmedRaw!T:T)</f>
        <v>0</v>
      </c>
      <c r="S81">
        <f>SUMIF(ConfirmedRaw!$B:$B,$B81,ConfirmedRaw!U:U)</f>
        <v>0</v>
      </c>
      <c r="T81">
        <f>SUMIF(ConfirmedRaw!$B:$B,$B81,ConfirmedRaw!V:V)</f>
        <v>0</v>
      </c>
      <c r="U81">
        <f>SUMIF(ConfirmedRaw!$B:$B,$B81,ConfirmedRaw!W:W)</f>
        <v>0</v>
      </c>
      <c r="V81">
        <f>SUMIF(ConfirmedRaw!$B:$B,$B81,ConfirmedRaw!X:X)</f>
        <v>0</v>
      </c>
      <c r="W81">
        <f>SUMIF(ConfirmedRaw!$B:$B,$B81,ConfirmedRaw!Y:Y)</f>
        <v>0</v>
      </c>
      <c r="X81">
        <f>SUMIF(ConfirmedRaw!$B:$B,$B81,ConfirmedRaw!Z:Z)</f>
        <v>0</v>
      </c>
      <c r="Y81">
        <f>SUMIF(ConfirmedRaw!$B:$B,$B81,ConfirmedRaw!AA:AA)</f>
        <v>0</v>
      </c>
      <c r="Z81">
        <f>SUMIF(ConfirmedRaw!$B:$B,$B81,ConfirmedRaw!AB:AB)</f>
        <v>0</v>
      </c>
      <c r="AA81">
        <f>SUMIF(ConfirmedRaw!$B:$B,$B81,ConfirmedRaw!AC:AC)</f>
        <v>0</v>
      </c>
      <c r="AB81">
        <f>SUMIF(ConfirmedRaw!$B:$B,$B81,ConfirmedRaw!AD:AD)</f>
        <v>0</v>
      </c>
      <c r="AC81">
        <f>SUMIF(ConfirmedRaw!$B:$B,$B81,ConfirmedRaw!AE:AE)</f>
        <v>0</v>
      </c>
      <c r="AD81">
        <f>SUMIF(ConfirmedRaw!$B:$B,$B81,ConfirmedRaw!AF:AF)</f>
        <v>0</v>
      </c>
      <c r="AE81">
        <f>SUMIF(ConfirmedRaw!$B:$B,$B81,ConfirmedRaw!AG:AG)</f>
        <v>0</v>
      </c>
      <c r="AF81">
        <f>SUMIF(ConfirmedRaw!$B:$B,$B81,ConfirmedRaw!AH:AH)</f>
        <v>0</v>
      </c>
      <c r="AG81">
        <f>SUMIF(ConfirmedRaw!$B:$B,$B81,ConfirmedRaw!AI:AI)</f>
        <v>0</v>
      </c>
      <c r="AH81">
        <f>SUMIF(ConfirmedRaw!$B:$B,$B81,ConfirmedRaw!AJ:AJ)</f>
        <v>0</v>
      </c>
      <c r="AI81">
        <f>SUMIF(ConfirmedRaw!$B:$B,$B81,ConfirmedRaw!AK:AK)</f>
        <v>0</v>
      </c>
      <c r="AJ81">
        <f>SUMIF(ConfirmedRaw!$B:$B,$B81,ConfirmedRaw!AL:AL)</f>
        <v>0</v>
      </c>
      <c r="AK81">
        <f>SUMIF(ConfirmedRaw!$B:$B,$B81,ConfirmedRaw!AM:AM)</f>
        <v>0</v>
      </c>
      <c r="AL81">
        <f>SUMIF(ConfirmedRaw!$B:$B,$B81,ConfirmedRaw!AN:AN)</f>
        <v>0</v>
      </c>
      <c r="AM81">
        <f>SUMIF(ConfirmedRaw!$B:$B,$B81,ConfirmedRaw!AO:AO)</f>
        <v>0</v>
      </c>
      <c r="AN81">
        <f>SUMIF(ConfirmedRaw!$B:$B,$B81,ConfirmedRaw!AP:AP)</f>
        <v>0</v>
      </c>
      <c r="AO81">
        <f>SUMIF(ConfirmedRaw!$B:$B,$B81,ConfirmedRaw!AQ:AQ)</f>
        <v>0</v>
      </c>
      <c r="AP81">
        <f>SUMIF(ConfirmedRaw!$B:$B,$B81,ConfirmedRaw!AR:AR)</f>
        <v>0</v>
      </c>
      <c r="AQ81">
        <f>SUMIF(ConfirmedRaw!$B:$B,$B81,ConfirmedRaw!AS:AS)</f>
        <v>1</v>
      </c>
      <c r="AR81">
        <f>SUMIF(ConfirmedRaw!$B:$B,$B81,ConfirmedRaw!AT:AT)</f>
        <v>2</v>
      </c>
      <c r="AS81">
        <f>SUMIF(ConfirmedRaw!$B:$B,$B81,ConfirmedRaw!AU:AU)</f>
        <v>4</v>
      </c>
      <c r="AT81">
        <f>SUMIF(ConfirmedRaw!$B:$B,$B81,ConfirmedRaw!AV:AV)</f>
        <v>4</v>
      </c>
      <c r="AU81">
        <f>SUMIF(ConfirmedRaw!$B:$B,$B81,ConfirmedRaw!AW:AW)</f>
        <v>4</v>
      </c>
      <c r="AV81">
        <f>SUMIF(ConfirmedRaw!$B:$B,$B81,ConfirmedRaw!AX:AX)</f>
        <v>4</v>
      </c>
      <c r="AW81">
        <f>SUMIF(ConfirmedRaw!$B:$B,$B81,ConfirmedRaw!AY:AY)</f>
        <v>4</v>
      </c>
      <c r="AX81">
        <f>SUMIF(ConfirmedRaw!$B:$B,$B81,ConfirmedRaw!AZ:AZ)</f>
        <v>4</v>
      </c>
      <c r="AY81">
        <f>SUMIF(ConfirmedRaw!$B:$B,$B81,ConfirmedRaw!BA:BA)</f>
        <v>4</v>
      </c>
      <c r="AZ81">
        <f>SUMIF(ConfirmedRaw!$B:$B,$B81,ConfirmedRaw!BB:BB)</f>
        <v>4</v>
      </c>
      <c r="BA81">
        <f>SUMIF(ConfirmedRaw!$B:$B,$B81,ConfirmedRaw!BC:BC)</f>
        <v>4</v>
      </c>
      <c r="BB81">
        <f>SUMIF(ConfirmedRaw!$B:$B,$B81,ConfirmedRaw!BD:BD)</f>
        <v>10</v>
      </c>
      <c r="BC81">
        <f>SUMIF(ConfirmedRaw!$B:$B,$B81,ConfirmedRaw!BE:BE)</f>
        <v>10</v>
      </c>
      <c r="BD81">
        <f>SUMIF(ConfirmedRaw!$B:$B,$B81,ConfirmedRaw!BF:BF)</f>
        <v>24</v>
      </c>
      <c r="BE81">
        <f>SUMIF(ConfirmedRaw!$B:$B,$B81,ConfirmedRaw!BG:BG)</f>
        <v>24</v>
      </c>
      <c r="BF81">
        <f>SUMIF(ConfirmedRaw!$B:$B,$B81,ConfirmedRaw!BH:BH)</f>
        <v>26</v>
      </c>
      <c r="BG81">
        <f>SUMIF(ConfirmedRaw!$B:$B,$B81,ConfirmedRaw!BI:BI)</f>
        <v>31</v>
      </c>
      <c r="BH81">
        <f>SUMIF(ConfirmedRaw!$B:$B,$B81,ConfirmedRaw!BJ:BJ)</f>
        <v>31</v>
      </c>
      <c r="BI81">
        <f>SUMIF(ConfirmedRaw!$B:$B,$B81,ConfirmedRaw!BK:BK)</f>
        <v>38</v>
      </c>
      <c r="BJ81">
        <f>SUMIF(ConfirmedRaw!$B:$B,$B81,ConfirmedRaw!BL:BL)</f>
        <v>47</v>
      </c>
      <c r="BK81">
        <f>SUMIF(ConfirmedRaw!$B:$B,$B81,ConfirmedRaw!BM:BM)</f>
        <v>67</v>
      </c>
      <c r="BL81">
        <f>SUMIF(ConfirmedRaw!$B:$B,$B81,ConfirmedRaw!BN:BN)</f>
        <v>79</v>
      </c>
      <c r="BM81">
        <f>SUMIF(ConfirmedRaw!$B:$B,$B81,ConfirmedRaw!BO:BO)</f>
        <v>86</v>
      </c>
      <c r="BN81">
        <f>SUMIF(ConfirmedRaw!$B:$B,$B81,ConfirmedRaw!BP:BP)</f>
        <v>99</v>
      </c>
      <c r="BO81">
        <f>SUMIF(ConfirmedRaw!$B:$B,$B81,ConfirmedRaw!BQ:BQ)</f>
        <v>105</v>
      </c>
      <c r="BP81">
        <f>SUMIF(ConfirmedRaw!$B:$B,$B81,ConfirmedRaw!BR:BR)</f>
        <v>119</v>
      </c>
      <c r="BQ81">
        <f>SUMIF(ConfirmedRaw!$B:$B,$B81,ConfirmedRaw!BS:BS)</f>
        <v>130</v>
      </c>
      <c r="BR81">
        <f>SUMIF(ConfirmedRaw!$B:$B,$B81,ConfirmedRaw!BT:BT)</f>
        <v>0</v>
      </c>
      <c r="BS81">
        <f>SUMIF(ConfirmedRaw!$B:$B,$B81,ConfirmedRaw!BU:BU)</f>
        <v>0</v>
      </c>
      <c r="BT81">
        <f>SUMIF(ConfirmedRaw!$B:$B,$B81,ConfirmedRaw!BV:BV)</f>
        <v>0</v>
      </c>
      <c r="BU81">
        <f>SUMIF(ConfirmedRaw!$B:$B,$B81,ConfirmedRaw!BW:BW)</f>
        <v>0</v>
      </c>
    </row>
    <row r="82" spans="1:73" ht="15" thickBot="1" x14ac:dyDescent="0.35">
      <c r="A82" s="97" t="str">
        <f>VLOOKUP(B82,Country_Data!B:Q,16,FALSE)</f>
        <v>Asia</v>
      </c>
      <c r="B82" s="4" t="s">
        <v>200</v>
      </c>
      <c r="C82">
        <f>SUMIF(ConfirmedRaw!$B:$B,$B82,ConfirmedRaw!E:E)</f>
        <v>0</v>
      </c>
      <c r="D82">
        <f>SUMIF(ConfirmedRaw!$B:$B,$B82,ConfirmedRaw!F:F)</f>
        <v>0</v>
      </c>
      <c r="E82">
        <f>SUMIF(ConfirmedRaw!$B:$B,$B82,ConfirmedRaw!G:G)</f>
        <v>0</v>
      </c>
      <c r="F82">
        <f>SUMIF(ConfirmedRaw!$B:$B,$B82,ConfirmedRaw!H:H)</f>
        <v>0</v>
      </c>
      <c r="G82">
        <f>SUMIF(ConfirmedRaw!$B:$B,$B82,ConfirmedRaw!I:I)</f>
        <v>0</v>
      </c>
      <c r="H82">
        <f>SUMIF(ConfirmedRaw!$B:$B,$B82,ConfirmedRaw!J:J)</f>
        <v>0</v>
      </c>
      <c r="I82">
        <f>SUMIF(ConfirmedRaw!$B:$B,$B82,ConfirmedRaw!K:K)</f>
        <v>0</v>
      </c>
      <c r="J82">
        <f>SUMIF(ConfirmedRaw!$B:$B,$B82,ConfirmedRaw!L:L)</f>
        <v>0</v>
      </c>
      <c r="K82">
        <f>SUMIF(ConfirmedRaw!$B:$B,$B82,ConfirmedRaw!M:M)</f>
        <v>0</v>
      </c>
      <c r="L82">
        <f>SUMIF(ConfirmedRaw!$B:$B,$B82,ConfirmedRaw!N:N)</f>
        <v>0</v>
      </c>
      <c r="M82">
        <f>SUMIF(ConfirmedRaw!$B:$B,$B82,ConfirmedRaw!O:O)</f>
        <v>0</v>
      </c>
      <c r="N82">
        <f>SUMIF(ConfirmedRaw!$B:$B,$B82,ConfirmedRaw!P:P)</f>
        <v>0</v>
      </c>
      <c r="O82">
        <f>SUMIF(ConfirmedRaw!$B:$B,$B82,ConfirmedRaw!Q:Q)</f>
        <v>0</v>
      </c>
      <c r="P82">
        <f>SUMIF(ConfirmedRaw!$B:$B,$B82,ConfirmedRaw!R:R)</f>
        <v>0</v>
      </c>
      <c r="Q82">
        <f>SUMIF(ConfirmedRaw!$B:$B,$B82,ConfirmedRaw!S:S)</f>
        <v>0</v>
      </c>
      <c r="R82">
        <f>SUMIF(ConfirmedRaw!$B:$B,$B82,ConfirmedRaw!T:T)</f>
        <v>0</v>
      </c>
      <c r="S82">
        <f>SUMIF(ConfirmedRaw!$B:$B,$B82,ConfirmedRaw!U:U)</f>
        <v>0</v>
      </c>
      <c r="T82">
        <f>SUMIF(ConfirmedRaw!$B:$B,$B82,ConfirmedRaw!V:V)</f>
        <v>0</v>
      </c>
      <c r="U82">
        <f>SUMIF(ConfirmedRaw!$B:$B,$B82,ConfirmedRaw!W:W)</f>
        <v>0</v>
      </c>
      <c r="V82">
        <f>SUMIF(ConfirmedRaw!$B:$B,$B82,ConfirmedRaw!X:X)</f>
        <v>0</v>
      </c>
      <c r="W82">
        <f>SUMIF(ConfirmedRaw!$B:$B,$B82,ConfirmedRaw!Y:Y)</f>
        <v>0</v>
      </c>
      <c r="X82">
        <f>SUMIF(ConfirmedRaw!$B:$B,$B82,ConfirmedRaw!Z:Z)</f>
        <v>0</v>
      </c>
      <c r="Y82">
        <f>SUMIF(ConfirmedRaw!$B:$B,$B82,ConfirmedRaw!AA:AA)</f>
        <v>0</v>
      </c>
      <c r="Z82">
        <f>SUMIF(ConfirmedRaw!$B:$B,$B82,ConfirmedRaw!AB:AB)</f>
        <v>0</v>
      </c>
      <c r="AA82">
        <f>SUMIF(ConfirmedRaw!$B:$B,$B82,ConfirmedRaw!AC:AC)</f>
        <v>0</v>
      </c>
      <c r="AB82">
        <f>SUMIF(ConfirmedRaw!$B:$B,$B82,ConfirmedRaw!AD:AD)</f>
        <v>0</v>
      </c>
      <c r="AC82">
        <f>SUMIF(ConfirmedRaw!$B:$B,$B82,ConfirmedRaw!AE:AE)</f>
        <v>0</v>
      </c>
      <c r="AD82">
        <f>SUMIF(ConfirmedRaw!$B:$B,$B82,ConfirmedRaw!AF:AF)</f>
        <v>0</v>
      </c>
      <c r="AE82">
        <f>SUMIF(ConfirmedRaw!$B:$B,$B82,ConfirmedRaw!AG:AG)</f>
        <v>0</v>
      </c>
      <c r="AF82">
        <f>SUMIF(ConfirmedRaw!$B:$B,$B82,ConfirmedRaw!AH:AH)</f>
        <v>0</v>
      </c>
      <c r="AG82">
        <f>SUMIF(ConfirmedRaw!$B:$B,$B82,ConfirmedRaw!AI:AI)</f>
        <v>0</v>
      </c>
      <c r="AH82">
        <f>SUMIF(ConfirmedRaw!$B:$B,$B82,ConfirmedRaw!AJ:AJ)</f>
        <v>0</v>
      </c>
      <c r="AI82">
        <f>SUMIF(ConfirmedRaw!$B:$B,$B82,ConfirmedRaw!AK:AK)</f>
        <v>0</v>
      </c>
      <c r="AJ82">
        <f>SUMIF(ConfirmedRaw!$B:$B,$B82,ConfirmedRaw!AL:AL)</f>
        <v>0</v>
      </c>
      <c r="AK82">
        <f>SUMIF(ConfirmedRaw!$B:$B,$B82,ConfirmedRaw!AM:AM)</f>
        <v>0</v>
      </c>
      <c r="AL82">
        <f>SUMIF(ConfirmedRaw!$B:$B,$B82,ConfirmedRaw!AN:AN)</f>
        <v>0</v>
      </c>
      <c r="AM82">
        <f>SUMIF(ConfirmedRaw!$B:$B,$B82,ConfirmedRaw!AO:AO)</f>
        <v>0</v>
      </c>
      <c r="AN82">
        <f>SUMIF(ConfirmedRaw!$B:$B,$B82,ConfirmedRaw!AP:AP)</f>
        <v>0</v>
      </c>
      <c r="AO82">
        <f>SUMIF(ConfirmedRaw!$B:$B,$B82,ConfirmedRaw!AQ:AQ)</f>
        <v>0</v>
      </c>
      <c r="AP82">
        <f>SUMIF(ConfirmedRaw!$B:$B,$B82,ConfirmedRaw!AR:AR)</f>
        <v>0</v>
      </c>
      <c r="AQ82">
        <f>SUMIF(ConfirmedRaw!$B:$B,$B82,ConfirmedRaw!AS:AS)</f>
        <v>0</v>
      </c>
      <c r="AR82">
        <f>SUMIF(ConfirmedRaw!$B:$B,$B82,ConfirmedRaw!AT:AT)</f>
        <v>0</v>
      </c>
      <c r="AS82">
        <f>SUMIF(ConfirmedRaw!$B:$B,$B82,ConfirmedRaw!AU:AU)</f>
        <v>0</v>
      </c>
      <c r="AT82">
        <f>SUMIF(ConfirmedRaw!$B:$B,$B82,ConfirmedRaw!AV:AV)</f>
        <v>0</v>
      </c>
      <c r="AU82">
        <f>SUMIF(ConfirmedRaw!$B:$B,$B82,ConfirmedRaw!AW:AW)</f>
        <v>0</v>
      </c>
      <c r="AV82">
        <f>SUMIF(ConfirmedRaw!$B:$B,$B82,ConfirmedRaw!AX:AX)</f>
        <v>0</v>
      </c>
      <c r="AW82">
        <f>SUMIF(ConfirmedRaw!$B:$B,$B82,ConfirmedRaw!AY:AY)</f>
        <v>4</v>
      </c>
      <c r="AX82">
        <f>SUMIF(ConfirmedRaw!$B:$B,$B82,ConfirmedRaw!AZ:AZ)</f>
        <v>4</v>
      </c>
      <c r="AY82">
        <f>SUMIF(ConfirmedRaw!$B:$B,$B82,ConfirmedRaw!BA:BA)</f>
        <v>6</v>
      </c>
      <c r="AZ82">
        <f>SUMIF(ConfirmedRaw!$B:$B,$B82,ConfirmedRaw!BB:BB)</f>
        <v>8</v>
      </c>
      <c r="BA82">
        <f>SUMIF(ConfirmedRaw!$B:$B,$B82,ConfirmedRaw!BC:BC)</f>
        <v>8</v>
      </c>
      <c r="BB82">
        <f>SUMIF(ConfirmedRaw!$B:$B,$B82,ConfirmedRaw!BD:BD)</f>
        <v>9</v>
      </c>
      <c r="BC82">
        <f>SUMIF(ConfirmedRaw!$B:$B,$B82,ConfirmedRaw!BE:BE)</f>
        <v>10</v>
      </c>
      <c r="BD82">
        <f>SUMIF(ConfirmedRaw!$B:$B,$B82,ConfirmedRaw!BF:BF)</f>
        <v>13</v>
      </c>
      <c r="BE82">
        <f>SUMIF(ConfirmedRaw!$B:$B,$B82,ConfirmedRaw!BG:BG)</f>
        <v>13</v>
      </c>
      <c r="BF82">
        <f>SUMIF(ConfirmedRaw!$B:$B,$B82,ConfirmedRaw!BH:BH)</f>
        <v>13</v>
      </c>
      <c r="BG82">
        <f>SUMIF(ConfirmedRaw!$B:$B,$B82,ConfirmedRaw!BI:BI)</f>
        <v>13</v>
      </c>
      <c r="BH82">
        <f>SUMIF(ConfirmedRaw!$B:$B,$B82,ConfirmedRaw!BJ:BJ)</f>
        <v>13</v>
      </c>
      <c r="BI82">
        <f>SUMIF(ConfirmedRaw!$B:$B,$B82,ConfirmedRaw!BK:BK)</f>
        <v>13</v>
      </c>
      <c r="BJ82">
        <f>SUMIF(ConfirmedRaw!$B:$B,$B82,ConfirmedRaw!BL:BL)</f>
        <v>13</v>
      </c>
      <c r="BK82">
        <f>SUMIF(ConfirmedRaw!$B:$B,$B82,ConfirmedRaw!BM:BM)</f>
        <v>13</v>
      </c>
      <c r="BL82">
        <f>SUMIF(ConfirmedRaw!$B:$B,$B82,ConfirmedRaw!BN:BN)</f>
        <v>13</v>
      </c>
      <c r="BM82">
        <f>SUMIF(ConfirmedRaw!$B:$B,$B82,ConfirmedRaw!BO:BO)</f>
        <v>13</v>
      </c>
      <c r="BN82">
        <f>SUMIF(ConfirmedRaw!$B:$B,$B82,ConfirmedRaw!BP:BP)</f>
        <v>13</v>
      </c>
      <c r="BO82">
        <f>SUMIF(ConfirmedRaw!$B:$B,$B82,ConfirmedRaw!BQ:BQ)</f>
        <v>13</v>
      </c>
      <c r="BP82">
        <f>SUMIF(ConfirmedRaw!$B:$B,$B82,ConfirmedRaw!BR:BR)</f>
        <v>16</v>
      </c>
      <c r="BQ82">
        <f>SUMIF(ConfirmedRaw!$B:$B,$B82,ConfirmedRaw!BS:BS)</f>
        <v>16</v>
      </c>
      <c r="BR82">
        <f>SUMIF(ConfirmedRaw!$B:$B,$B82,ConfirmedRaw!BT:BT)</f>
        <v>0</v>
      </c>
      <c r="BS82">
        <f>SUMIF(ConfirmedRaw!$B:$B,$B82,ConfirmedRaw!BU:BU)</f>
        <v>0</v>
      </c>
      <c r="BT82">
        <f>SUMIF(ConfirmedRaw!$B:$B,$B82,ConfirmedRaw!BV:BV)</f>
        <v>0</v>
      </c>
      <c r="BU82">
        <f>SUMIF(ConfirmedRaw!$B:$B,$B82,ConfirmedRaw!BW:BW)</f>
        <v>0</v>
      </c>
    </row>
    <row r="83" spans="1:73" ht="15" thickBot="1" x14ac:dyDescent="0.35">
      <c r="A83" s="97" t="str">
        <f>VLOOKUP(B83,Country_Data!B:Q,16,FALSE)</f>
        <v>Europe</v>
      </c>
      <c r="B83" s="4" t="s">
        <v>105</v>
      </c>
      <c r="C83">
        <f>SUMIF(ConfirmedRaw!$B:$B,$B83,ConfirmedRaw!E:E)</f>
        <v>0</v>
      </c>
      <c r="D83">
        <f>SUMIF(ConfirmedRaw!$B:$B,$B83,ConfirmedRaw!F:F)</f>
        <v>0</v>
      </c>
      <c r="E83">
        <f>SUMIF(ConfirmedRaw!$B:$B,$B83,ConfirmedRaw!G:G)</f>
        <v>0</v>
      </c>
      <c r="F83">
        <f>SUMIF(ConfirmedRaw!$B:$B,$B83,ConfirmedRaw!H:H)</f>
        <v>0</v>
      </c>
      <c r="G83">
        <f>SUMIF(ConfirmedRaw!$B:$B,$B83,ConfirmedRaw!I:I)</f>
        <v>0</v>
      </c>
      <c r="H83">
        <f>SUMIF(ConfirmedRaw!$B:$B,$B83,ConfirmedRaw!J:J)</f>
        <v>0</v>
      </c>
      <c r="I83">
        <f>SUMIF(ConfirmedRaw!$B:$B,$B83,ConfirmedRaw!K:K)</f>
        <v>0</v>
      </c>
      <c r="J83">
        <f>SUMIF(ConfirmedRaw!$B:$B,$B83,ConfirmedRaw!L:L)</f>
        <v>0</v>
      </c>
      <c r="K83">
        <f>SUMIF(ConfirmedRaw!$B:$B,$B83,ConfirmedRaw!M:M)</f>
        <v>0</v>
      </c>
      <c r="L83">
        <f>SUMIF(ConfirmedRaw!$B:$B,$B83,ConfirmedRaw!N:N)</f>
        <v>0</v>
      </c>
      <c r="M83">
        <f>SUMIF(ConfirmedRaw!$B:$B,$B83,ConfirmedRaw!O:O)</f>
        <v>0</v>
      </c>
      <c r="N83">
        <f>SUMIF(ConfirmedRaw!$B:$B,$B83,ConfirmedRaw!P:P)</f>
        <v>0</v>
      </c>
      <c r="O83">
        <f>SUMIF(ConfirmedRaw!$B:$B,$B83,ConfirmedRaw!Q:Q)</f>
        <v>0</v>
      </c>
      <c r="P83">
        <f>SUMIF(ConfirmedRaw!$B:$B,$B83,ConfirmedRaw!R:R)</f>
        <v>0</v>
      </c>
      <c r="Q83">
        <f>SUMIF(ConfirmedRaw!$B:$B,$B83,ConfirmedRaw!S:S)</f>
        <v>0</v>
      </c>
      <c r="R83">
        <f>SUMIF(ConfirmedRaw!$B:$B,$B83,ConfirmedRaw!T:T)</f>
        <v>0</v>
      </c>
      <c r="S83">
        <f>SUMIF(ConfirmedRaw!$B:$B,$B83,ConfirmedRaw!U:U)</f>
        <v>0</v>
      </c>
      <c r="T83">
        <f>SUMIF(ConfirmedRaw!$B:$B,$B83,ConfirmedRaw!V:V)</f>
        <v>0</v>
      </c>
      <c r="U83">
        <f>SUMIF(ConfirmedRaw!$B:$B,$B83,ConfirmedRaw!W:W)</f>
        <v>0</v>
      </c>
      <c r="V83">
        <f>SUMIF(ConfirmedRaw!$B:$B,$B83,ConfirmedRaw!X:X)</f>
        <v>0</v>
      </c>
      <c r="W83">
        <f>SUMIF(ConfirmedRaw!$B:$B,$B83,ConfirmedRaw!Y:Y)</f>
        <v>0</v>
      </c>
      <c r="X83">
        <f>SUMIF(ConfirmedRaw!$B:$B,$B83,ConfirmedRaw!Z:Z)</f>
        <v>0</v>
      </c>
      <c r="Y83">
        <f>SUMIF(ConfirmedRaw!$B:$B,$B83,ConfirmedRaw!AA:AA)</f>
        <v>0</v>
      </c>
      <c r="Z83">
        <f>SUMIF(ConfirmedRaw!$B:$B,$B83,ConfirmedRaw!AB:AB)</f>
        <v>0</v>
      </c>
      <c r="AA83">
        <f>SUMIF(ConfirmedRaw!$B:$B,$B83,ConfirmedRaw!AC:AC)</f>
        <v>0</v>
      </c>
      <c r="AB83">
        <f>SUMIF(ConfirmedRaw!$B:$B,$B83,ConfirmedRaw!AD:AD)</f>
        <v>0</v>
      </c>
      <c r="AC83">
        <f>SUMIF(ConfirmedRaw!$B:$B,$B83,ConfirmedRaw!AE:AE)</f>
        <v>0</v>
      </c>
      <c r="AD83">
        <f>SUMIF(ConfirmedRaw!$B:$B,$B83,ConfirmedRaw!AF:AF)</f>
        <v>0</v>
      </c>
      <c r="AE83">
        <f>SUMIF(ConfirmedRaw!$B:$B,$B83,ConfirmedRaw!AG:AG)</f>
        <v>0</v>
      </c>
      <c r="AF83">
        <f>SUMIF(ConfirmedRaw!$B:$B,$B83,ConfirmedRaw!AH:AH)</f>
        <v>0</v>
      </c>
      <c r="AG83">
        <f>SUMIF(ConfirmedRaw!$B:$B,$B83,ConfirmedRaw!AI:AI)</f>
        <v>0</v>
      </c>
      <c r="AH83">
        <f>SUMIF(ConfirmedRaw!$B:$B,$B83,ConfirmedRaw!AJ:AJ)</f>
        <v>0</v>
      </c>
      <c r="AI83">
        <f>SUMIF(ConfirmedRaw!$B:$B,$B83,ConfirmedRaw!AK:AK)</f>
        <v>0</v>
      </c>
      <c r="AJ83">
        <f>SUMIF(ConfirmedRaw!$B:$B,$B83,ConfirmedRaw!AL:AL)</f>
        <v>0</v>
      </c>
      <c r="AK83">
        <f>SUMIF(ConfirmedRaw!$B:$B,$B83,ConfirmedRaw!AM:AM)</f>
        <v>0</v>
      </c>
      <c r="AL83">
        <f>SUMIF(ConfirmedRaw!$B:$B,$B83,ConfirmedRaw!AN:AN)</f>
        <v>0</v>
      </c>
      <c r="AM83">
        <f>SUMIF(ConfirmedRaw!$B:$B,$B83,ConfirmedRaw!AO:AO)</f>
        <v>0</v>
      </c>
      <c r="AN83">
        <f>SUMIF(ConfirmedRaw!$B:$B,$B83,ConfirmedRaw!AP:AP)</f>
        <v>0</v>
      </c>
      <c r="AO83">
        <f>SUMIF(ConfirmedRaw!$B:$B,$B83,ConfirmedRaw!AQ:AQ)</f>
        <v>0</v>
      </c>
      <c r="AP83">
        <f>SUMIF(ConfirmedRaw!$B:$B,$B83,ConfirmedRaw!AR:AR)</f>
        <v>1</v>
      </c>
      <c r="AQ83">
        <f>SUMIF(ConfirmedRaw!$B:$B,$B83,ConfirmedRaw!AS:AS)</f>
        <v>1</v>
      </c>
      <c r="AR83">
        <f>SUMIF(ConfirmedRaw!$B:$B,$B83,ConfirmedRaw!AT:AT)</f>
        <v>1</v>
      </c>
      <c r="AS83">
        <f>SUMIF(ConfirmedRaw!$B:$B,$B83,ConfirmedRaw!AU:AU)</f>
        <v>1</v>
      </c>
      <c r="AT83">
        <f>SUMIF(ConfirmedRaw!$B:$B,$B83,ConfirmedRaw!AV:AV)</f>
        <v>1</v>
      </c>
      <c r="AU83">
        <f>SUMIF(ConfirmedRaw!$B:$B,$B83,ConfirmedRaw!AW:AW)</f>
        <v>1</v>
      </c>
      <c r="AV83">
        <f>SUMIF(ConfirmedRaw!$B:$B,$B83,ConfirmedRaw!AX:AX)</f>
        <v>1</v>
      </c>
      <c r="AW83">
        <f>SUMIF(ConfirmedRaw!$B:$B,$B83,ConfirmedRaw!AY:AY)</f>
        <v>1</v>
      </c>
      <c r="AX83">
        <f>SUMIF(ConfirmedRaw!$B:$B,$B83,ConfirmedRaw!AZ:AZ)</f>
        <v>1</v>
      </c>
      <c r="AY83">
        <f>SUMIF(ConfirmedRaw!$B:$B,$B83,ConfirmedRaw!BA:BA)</f>
        <v>1</v>
      </c>
      <c r="AZ83">
        <f>SUMIF(ConfirmedRaw!$B:$B,$B83,ConfirmedRaw!BB:BB)</f>
        <v>1</v>
      </c>
      <c r="BA83">
        <f>SUMIF(ConfirmedRaw!$B:$B,$B83,ConfirmedRaw!BC:BC)</f>
        <v>4</v>
      </c>
      <c r="BB83">
        <f>SUMIF(ConfirmedRaw!$B:$B,$B83,ConfirmedRaw!BD:BD)</f>
        <v>8</v>
      </c>
      <c r="BC83">
        <f>SUMIF(ConfirmedRaw!$B:$B,$B83,ConfirmedRaw!BE:BE)</f>
        <v>18</v>
      </c>
      <c r="BD83">
        <f>SUMIF(ConfirmedRaw!$B:$B,$B83,ConfirmedRaw!BF:BF)</f>
        <v>26</v>
      </c>
      <c r="BE83">
        <f>SUMIF(ConfirmedRaw!$B:$B,$B83,ConfirmedRaw!BG:BG)</f>
        <v>52</v>
      </c>
      <c r="BF83">
        <f>SUMIF(ConfirmedRaw!$B:$B,$B83,ConfirmedRaw!BH:BH)</f>
        <v>78</v>
      </c>
      <c r="BG83">
        <f>SUMIF(ConfirmedRaw!$B:$B,$B83,ConfirmedRaw!BI:BI)</f>
        <v>84</v>
      </c>
      <c r="BH83">
        <f>SUMIF(ConfirmedRaw!$B:$B,$B83,ConfirmedRaw!BJ:BJ)</f>
        <v>115</v>
      </c>
      <c r="BI83">
        <f>SUMIF(ConfirmedRaw!$B:$B,$B83,ConfirmedRaw!BK:BK)</f>
        <v>136</v>
      </c>
      <c r="BJ83">
        <f>SUMIF(ConfirmedRaw!$B:$B,$B83,ConfirmedRaw!BL:BL)</f>
        <v>160</v>
      </c>
      <c r="BK83">
        <f>SUMIF(ConfirmedRaw!$B:$B,$B83,ConfirmedRaw!BM:BM)</f>
        <v>194</v>
      </c>
      <c r="BL83">
        <f>SUMIF(ConfirmedRaw!$B:$B,$B83,ConfirmedRaw!BN:BN)</f>
        <v>235</v>
      </c>
      <c r="BM83">
        <f>SUMIF(ConfirmedRaw!$B:$B,$B83,ConfirmedRaw!BO:BO)</f>
        <v>249</v>
      </c>
      <c r="BN83">
        <f>SUMIF(ConfirmedRaw!$B:$B,$B83,ConfirmedRaw!BP:BP)</f>
        <v>265</v>
      </c>
      <c r="BO83">
        <f>SUMIF(ConfirmedRaw!$B:$B,$B83,ConfirmedRaw!BQ:BQ)</f>
        <v>290</v>
      </c>
      <c r="BP83">
        <f>SUMIF(ConfirmedRaw!$B:$B,$B83,ConfirmedRaw!BR:BR)</f>
        <v>329</v>
      </c>
      <c r="BQ83">
        <f>SUMIF(ConfirmedRaw!$B:$B,$B83,ConfirmedRaw!BS:BS)</f>
        <v>407</v>
      </c>
      <c r="BR83">
        <f>SUMIF(ConfirmedRaw!$B:$B,$B83,ConfirmedRaw!BT:BT)</f>
        <v>0</v>
      </c>
      <c r="BS83">
        <f>SUMIF(ConfirmedRaw!$B:$B,$B83,ConfirmedRaw!BU:BU)</f>
        <v>0</v>
      </c>
      <c r="BT83">
        <f>SUMIF(ConfirmedRaw!$B:$B,$B83,ConfirmedRaw!BV:BV)</f>
        <v>0</v>
      </c>
      <c r="BU83">
        <f>SUMIF(ConfirmedRaw!$B:$B,$B83,ConfirmedRaw!BW:BW)</f>
        <v>0</v>
      </c>
    </row>
    <row r="84" spans="1:73" ht="15" thickBot="1" x14ac:dyDescent="0.35">
      <c r="A84" s="97" t="str">
        <f>VLOOKUP(B84,Country_Data!B:Q,16,FALSE)</f>
        <v>North America</v>
      </c>
      <c r="B84" s="3" t="s">
        <v>353</v>
      </c>
      <c r="C84">
        <f>SUMIF(ConfirmedRaw!$B:$B,$B84,ConfirmedRaw!E:E)</f>
        <v>0</v>
      </c>
      <c r="D84">
        <f>SUMIF(ConfirmedRaw!$B:$B,$B84,ConfirmedRaw!F:F)</f>
        <v>0</v>
      </c>
      <c r="E84">
        <f>SUMIF(ConfirmedRaw!$B:$B,$B84,ConfirmedRaw!G:G)</f>
        <v>0</v>
      </c>
      <c r="F84">
        <f>SUMIF(ConfirmedRaw!$B:$B,$B84,ConfirmedRaw!H:H)</f>
        <v>0</v>
      </c>
      <c r="G84">
        <f>SUMIF(ConfirmedRaw!$B:$B,$B84,ConfirmedRaw!I:I)</f>
        <v>0</v>
      </c>
      <c r="H84">
        <f>SUMIF(ConfirmedRaw!$B:$B,$B84,ConfirmedRaw!J:J)</f>
        <v>0</v>
      </c>
      <c r="I84">
        <f>SUMIF(ConfirmedRaw!$B:$B,$B84,ConfirmedRaw!K:K)</f>
        <v>0</v>
      </c>
      <c r="J84">
        <f>SUMIF(ConfirmedRaw!$B:$B,$B84,ConfirmedRaw!L:L)</f>
        <v>0</v>
      </c>
      <c r="K84">
        <f>SUMIF(ConfirmedRaw!$B:$B,$B84,ConfirmedRaw!M:M)</f>
        <v>0</v>
      </c>
      <c r="L84">
        <f>SUMIF(ConfirmedRaw!$B:$B,$B84,ConfirmedRaw!N:N)</f>
        <v>0</v>
      </c>
      <c r="M84">
        <f>SUMIF(ConfirmedRaw!$B:$B,$B84,ConfirmedRaw!O:O)</f>
        <v>0</v>
      </c>
      <c r="N84">
        <f>SUMIF(ConfirmedRaw!$B:$B,$B84,ConfirmedRaw!P:P)</f>
        <v>0</v>
      </c>
      <c r="O84">
        <f>SUMIF(ConfirmedRaw!$B:$B,$B84,ConfirmedRaw!Q:Q)</f>
        <v>0</v>
      </c>
      <c r="P84">
        <f>SUMIF(ConfirmedRaw!$B:$B,$B84,ConfirmedRaw!R:R)</f>
        <v>0</v>
      </c>
      <c r="Q84">
        <f>SUMIF(ConfirmedRaw!$B:$B,$B84,ConfirmedRaw!S:S)</f>
        <v>0</v>
      </c>
      <c r="R84">
        <f>SUMIF(ConfirmedRaw!$B:$B,$B84,ConfirmedRaw!T:T)</f>
        <v>0</v>
      </c>
      <c r="S84">
        <f>SUMIF(ConfirmedRaw!$B:$B,$B84,ConfirmedRaw!U:U)</f>
        <v>0</v>
      </c>
      <c r="T84">
        <f>SUMIF(ConfirmedRaw!$B:$B,$B84,ConfirmedRaw!V:V)</f>
        <v>0</v>
      </c>
      <c r="U84">
        <f>SUMIF(ConfirmedRaw!$B:$B,$B84,ConfirmedRaw!W:W)</f>
        <v>0</v>
      </c>
      <c r="V84">
        <f>SUMIF(ConfirmedRaw!$B:$B,$B84,ConfirmedRaw!X:X)</f>
        <v>0</v>
      </c>
      <c r="W84">
        <f>SUMIF(ConfirmedRaw!$B:$B,$B84,ConfirmedRaw!Y:Y)</f>
        <v>0</v>
      </c>
      <c r="X84">
        <f>SUMIF(ConfirmedRaw!$B:$B,$B84,ConfirmedRaw!Z:Z)</f>
        <v>0</v>
      </c>
      <c r="Y84">
        <f>SUMIF(ConfirmedRaw!$B:$B,$B84,ConfirmedRaw!AA:AA)</f>
        <v>0</v>
      </c>
      <c r="Z84">
        <f>SUMIF(ConfirmedRaw!$B:$B,$B84,ConfirmedRaw!AB:AB)</f>
        <v>0</v>
      </c>
      <c r="AA84">
        <f>SUMIF(ConfirmedRaw!$B:$B,$B84,ConfirmedRaw!AC:AC)</f>
        <v>0</v>
      </c>
      <c r="AB84">
        <f>SUMIF(ConfirmedRaw!$B:$B,$B84,ConfirmedRaw!AD:AD)</f>
        <v>0</v>
      </c>
      <c r="AC84">
        <f>SUMIF(ConfirmedRaw!$B:$B,$B84,ConfirmedRaw!AE:AE)</f>
        <v>0</v>
      </c>
      <c r="AD84">
        <f>SUMIF(ConfirmedRaw!$B:$B,$B84,ConfirmedRaw!AF:AF)</f>
        <v>0</v>
      </c>
      <c r="AE84">
        <f>SUMIF(ConfirmedRaw!$B:$B,$B84,ConfirmedRaw!AG:AG)</f>
        <v>0</v>
      </c>
      <c r="AF84">
        <f>SUMIF(ConfirmedRaw!$B:$B,$B84,ConfirmedRaw!AH:AH)</f>
        <v>0</v>
      </c>
      <c r="AG84">
        <f>SUMIF(ConfirmedRaw!$B:$B,$B84,ConfirmedRaw!AI:AI)</f>
        <v>0</v>
      </c>
      <c r="AH84">
        <f>SUMIF(ConfirmedRaw!$B:$B,$B84,ConfirmedRaw!AJ:AJ)</f>
        <v>0</v>
      </c>
      <c r="AI84">
        <f>SUMIF(ConfirmedRaw!$B:$B,$B84,ConfirmedRaw!AK:AK)</f>
        <v>0</v>
      </c>
      <c r="AJ84">
        <f>SUMIF(ConfirmedRaw!$B:$B,$B84,ConfirmedRaw!AL:AL)</f>
        <v>0</v>
      </c>
      <c r="AK84">
        <f>SUMIF(ConfirmedRaw!$B:$B,$B84,ConfirmedRaw!AM:AM)</f>
        <v>0</v>
      </c>
      <c r="AL84">
        <f>SUMIF(ConfirmedRaw!$B:$B,$B84,ConfirmedRaw!AN:AN)</f>
        <v>0</v>
      </c>
      <c r="AM84">
        <f>SUMIF(ConfirmedRaw!$B:$B,$B84,ConfirmedRaw!AO:AO)</f>
        <v>0</v>
      </c>
      <c r="AN84">
        <f>SUMIF(ConfirmedRaw!$B:$B,$B84,ConfirmedRaw!AP:AP)</f>
        <v>0</v>
      </c>
      <c r="AO84">
        <f>SUMIF(ConfirmedRaw!$B:$B,$B84,ConfirmedRaw!AQ:AQ)</f>
        <v>0</v>
      </c>
      <c r="AP84">
        <f>SUMIF(ConfirmedRaw!$B:$B,$B84,ConfirmedRaw!AR:AR)</f>
        <v>0</v>
      </c>
      <c r="AQ84">
        <f>SUMIF(ConfirmedRaw!$B:$B,$B84,ConfirmedRaw!AS:AS)</f>
        <v>0</v>
      </c>
      <c r="AR84">
        <f>SUMIF(ConfirmedRaw!$B:$B,$B84,ConfirmedRaw!AT:AT)</f>
        <v>0</v>
      </c>
      <c r="AS84">
        <f>SUMIF(ConfirmedRaw!$B:$B,$B84,ConfirmedRaw!AU:AU)</f>
        <v>0</v>
      </c>
      <c r="AT84">
        <f>SUMIF(ConfirmedRaw!$B:$B,$B84,ConfirmedRaw!AV:AV)</f>
        <v>0</v>
      </c>
      <c r="AU84">
        <f>SUMIF(ConfirmedRaw!$B:$B,$B84,ConfirmedRaw!AW:AW)</f>
        <v>0</v>
      </c>
      <c r="AV84">
        <f>SUMIF(ConfirmedRaw!$B:$B,$B84,ConfirmedRaw!AX:AX)</f>
        <v>0</v>
      </c>
      <c r="AW84">
        <f>SUMIF(ConfirmedRaw!$B:$B,$B84,ConfirmedRaw!AY:AY)</f>
        <v>0</v>
      </c>
      <c r="AX84">
        <f>SUMIF(ConfirmedRaw!$B:$B,$B84,ConfirmedRaw!AZ:AZ)</f>
        <v>0</v>
      </c>
      <c r="AY84">
        <f>SUMIF(ConfirmedRaw!$B:$B,$B84,ConfirmedRaw!BA:BA)</f>
        <v>0</v>
      </c>
      <c r="AZ84">
        <f>SUMIF(ConfirmedRaw!$B:$B,$B84,ConfirmedRaw!BB:BB)</f>
        <v>1</v>
      </c>
      <c r="BA84">
        <f>SUMIF(ConfirmedRaw!$B:$B,$B84,ConfirmedRaw!BC:BC)</f>
        <v>2</v>
      </c>
      <c r="BB84">
        <f>SUMIF(ConfirmedRaw!$B:$B,$B84,ConfirmedRaw!BD:BD)</f>
        <v>8</v>
      </c>
      <c r="BC84">
        <f>SUMIF(ConfirmedRaw!$B:$B,$B84,ConfirmedRaw!BE:BE)</f>
        <v>8</v>
      </c>
      <c r="BD84">
        <f>SUMIF(ConfirmedRaw!$B:$B,$B84,ConfirmedRaw!BF:BF)</f>
        <v>10</v>
      </c>
      <c r="BE84">
        <f>SUMIF(ConfirmedRaw!$B:$B,$B84,ConfirmedRaw!BG:BG)</f>
        <v>10</v>
      </c>
      <c r="BF84">
        <f>SUMIF(ConfirmedRaw!$B:$B,$B84,ConfirmedRaw!BH:BH)</f>
        <v>12</v>
      </c>
      <c r="BG84">
        <f>SUMIF(ConfirmedRaw!$B:$B,$B84,ConfirmedRaw!BI:BI)</f>
        <v>13</v>
      </c>
      <c r="BH84">
        <f>SUMIF(ConfirmedRaw!$B:$B,$B84,ConfirmedRaw!BJ:BJ)</f>
        <v>15</v>
      </c>
      <c r="BI84">
        <f>SUMIF(ConfirmedRaw!$B:$B,$B84,ConfirmedRaw!BK:BK)</f>
        <v>16</v>
      </c>
      <c r="BJ84">
        <f>SUMIF(ConfirmedRaw!$B:$B,$B84,ConfirmedRaw!BL:BL)</f>
        <v>16</v>
      </c>
      <c r="BK84">
        <f>SUMIF(ConfirmedRaw!$B:$B,$B84,ConfirmedRaw!BM:BM)</f>
        <v>19</v>
      </c>
      <c r="BL84">
        <f>SUMIF(ConfirmedRaw!$B:$B,$B84,ConfirmedRaw!BN:BN)</f>
        <v>19</v>
      </c>
      <c r="BM84">
        <f>SUMIF(ConfirmedRaw!$B:$B,$B84,ConfirmedRaw!BO:BO)</f>
        <v>21</v>
      </c>
      <c r="BN84">
        <f>SUMIF(ConfirmedRaw!$B:$B,$B84,ConfirmedRaw!BP:BP)</f>
        <v>26</v>
      </c>
      <c r="BO84">
        <f>SUMIF(ConfirmedRaw!$B:$B,$B84,ConfirmedRaw!BQ:BQ)</f>
        <v>26</v>
      </c>
      <c r="BP84">
        <f>SUMIF(ConfirmedRaw!$B:$B,$B84,ConfirmedRaw!BR:BR)</f>
        <v>26</v>
      </c>
      <c r="BQ84">
        <f>SUMIF(ConfirmedRaw!$B:$B,$B84,ConfirmedRaw!BS:BS)</f>
        <v>30</v>
      </c>
      <c r="BR84">
        <f>SUMIF(ConfirmedRaw!$B:$B,$B84,ConfirmedRaw!BT:BT)</f>
        <v>0</v>
      </c>
      <c r="BS84">
        <f>SUMIF(ConfirmedRaw!$B:$B,$B84,ConfirmedRaw!BU:BU)</f>
        <v>0</v>
      </c>
      <c r="BT84">
        <f>SUMIF(ConfirmedRaw!$B:$B,$B84,ConfirmedRaw!BV:BV)</f>
        <v>0</v>
      </c>
      <c r="BU84">
        <f>SUMIF(ConfirmedRaw!$B:$B,$B84,ConfirmedRaw!BW:BW)</f>
        <v>0</v>
      </c>
    </row>
    <row r="85" spans="1:73" ht="15" thickBot="1" x14ac:dyDescent="0.35">
      <c r="A85" s="97" t="str">
        <f>VLOOKUP(B85,Country_Data!B:Q,16,FALSE)</f>
        <v>Middle East</v>
      </c>
      <c r="B85" s="3" t="s">
        <v>72</v>
      </c>
      <c r="C85">
        <f>SUMIF(ConfirmedRaw!$B:$B,$B85,ConfirmedRaw!E:E)</f>
        <v>0</v>
      </c>
      <c r="D85">
        <f>SUMIF(ConfirmedRaw!$B:$B,$B85,ConfirmedRaw!F:F)</f>
        <v>0</v>
      </c>
      <c r="E85">
        <f>SUMIF(ConfirmedRaw!$B:$B,$B85,ConfirmedRaw!G:G)</f>
        <v>0</v>
      </c>
      <c r="F85">
        <f>SUMIF(ConfirmedRaw!$B:$B,$B85,ConfirmedRaw!H:H)</f>
        <v>0</v>
      </c>
      <c r="G85">
        <f>SUMIF(ConfirmedRaw!$B:$B,$B85,ConfirmedRaw!I:I)</f>
        <v>0</v>
      </c>
      <c r="H85">
        <f>SUMIF(ConfirmedRaw!$B:$B,$B85,ConfirmedRaw!J:J)</f>
        <v>0</v>
      </c>
      <c r="I85">
        <f>SUMIF(ConfirmedRaw!$B:$B,$B85,ConfirmedRaw!K:K)</f>
        <v>0</v>
      </c>
      <c r="J85">
        <f>SUMIF(ConfirmedRaw!$B:$B,$B85,ConfirmedRaw!L:L)</f>
        <v>0</v>
      </c>
      <c r="K85">
        <f>SUMIF(ConfirmedRaw!$B:$B,$B85,ConfirmedRaw!M:M)</f>
        <v>0</v>
      </c>
      <c r="L85">
        <f>SUMIF(ConfirmedRaw!$B:$B,$B85,ConfirmedRaw!N:N)</f>
        <v>0</v>
      </c>
      <c r="M85">
        <f>SUMIF(ConfirmedRaw!$B:$B,$B85,ConfirmedRaw!O:O)</f>
        <v>0</v>
      </c>
      <c r="N85">
        <f>SUMIF(ConfirmedRaw!$B:$B,$B85,ConfirmedRaw!P:P)</f>
        <v>0</v>
      </c>
      <c r="O85">
        <f>SUMIF(ConfirmedRaw!$B:$B,$B85,ConfirmedRaw!Q:Q)</f>
        <v>0</v>
      </c>
      <c r="P85">
        <f>SUMIF(ConfirmedRaw!$B:$B,$B85,ConfirmedRaw!R:R)</f>
        <v>0</v>
      </c>
      <c r="Q85">
        <f>SUMIF(ConfirmedRaw!$B:$B,$B85,ConfirmedRaw!S:S)</f>
        <v>0</v>
      </c>
      <c r="R85">
        <f>SUMIF(ConfirmedRaw!$B:$B,$B85,ConfirmedRaw!T:T)</f>
        <v>0</v>
      </c>
      <c r="S85">
        <f>SUMIF(ConfirmedRaw!$B:$B,$B85,ConfirmedRaw!U:U)</f>
        <v>0</v>
      </c>
      <c r="T85">
        <f>SUMIF(ConfirmedRaw!$B:$B,$B85,ConfirmedRaw!V:V)</f>
        <v>0</v>
      </c>
      <c r="U85">
        <f>SUMIF(ConfirmedRaw!$B:$B,$B85,ConfirmedRaw!W:W)</f>
        <v>0</v>
      </c>
      <c r="V85">
        <f>SUMIF(ConfirmedRaw!$B:$B,$B85,ConfirmedRaw!X:X)</f>
        <v>0</v>
      </c>
      <c r="W85">
        <f>SUMIF(ConfirmedRaw!$B:$B,$B85,ConfirmedRaw!Y:Y)</f>
        <v>0</v>
      </c>
      <c r="X85">
        <f>SUMIF(ConfirmedRaw!$B:$B,$B85,ConfirmedRaw!Z:Z)</f>
        <v>0</v>
      </c>
      <c r="Y85">
        <f>SUMIF(ConfirmedRaw!$B:$B,$B85,ConfirmedRaw!AA:AA)</f>
        <v>0</v>
      </c>
      <c r="Z85">
        <f>SUMIF(ConfirmedRaw!$B:$B,$B85,ConfirmedRaw!AB:AB)</f>
        <v>0</v>
      </c>
      <c r="AA85">
        <f>SUMIF(ConfirmedRaw!$B:$B,$B85,ConfirmedRaw!AC:AC)</f>
        <v>0</v>
      </c>
      <c r="AB85">
        <f>SUMIF(ConfirmedRaw!$B:$B,$B85,ConfirmedRaw!AD:AD)</f>
        <v>0</v>
      </c>
      <c r="AC85">
        <f>SUMIF(ConfirmedRaw!$B:$B,$B85,ConfirmedRaw!AE:AE)</f>
        <v>0</v>
      </c>
      <c r="AD85">
        <f>SUMIF(ConfirmedRaw!$B:$B,$B85,ConfirmedRaw!AF:AF)</f>
        <v>0</v>
      </c>
      <c r="AE85">
        <f>SUMIF(ConfirmedRaw!$B:$B,$B85,ConfirmedRaw!AG:AG)</f>
        <v>0</v>
      </c>
      <c r="AF85">
        <f>SUMIF(ConfirmedRaw!$B:$B,$B85,ConfirmedRaw!AH:AH)</f>
        <v>0</v>
      </c>
      <c r="AG85">
        <f>SUMIF(ConfirmedRaw!$B:$B,$B85,ConfirmedRaw!AI:AI)</f>
        <v>0</v>
      </c>
      <c r="AH85">
        <f>SUMIF(ConfirmedRaw!$B:$B,$B85,ConfirmedRaw!AJ:AJ)</f>
        <v>0</v>
      </c>
      <c r="AI85">
        <f>SUMIF(ConfirmedRaw!$B:$B,$B85,ConfirmedRaw!AK:AK)</f>
        <v>0</v>
      </c>
      <c r="AJ85">
        <f>SUMIF(ConfirmedRaw!$B:$B,$B85,ConfirmedRaw!AL:AL)</f>
        <v>1</v>
      </c>
      <c r="AK85">
        <f>SUMIF(ConfirmedRaw!$B:$B,$B85,ConfirmedRaw!AM:AM)</f>
        <v>1</v>
      </c>
      <c r="AL85">
        <f>SUMIF(ConfirmedRaw!$B:$B,$B85,ConfirmedRaw!AN:AN)</f>
        <v>1</v>
      </c>
      <c r="AM85">
        <f>SUMIF(ConfirmedRaw!$B:$B,$B85,ConfirmedRaw!AO:AO)</f>
        <v>1</v>
      </c>
      <c r="AN85">
        <f>SUMIF(ConfirmedRaw!$B:$B,$B85,ConfirmedRaw!AP:AP)</f>
        <v>1</v>
      </c>
      <c r="AO85">
        <f>SUMIF(ConfirmedRaw!$B:$B,$B85,ConfirmedRaw!AQ:AQ)</f>
        <v>1</v>
      </c>
      <c r="AP85">
        <f>SUMIF(ConfirmedRaw!$B:$B,$B85,ConfirmedRaw!AR:AR)</f>
        <v>1</v>
      </c>
      <c r="AQ85">
        <f>SUMIF(ConfirmedRaw!$B:$B,$B85,ConfirmedRaw!AS:AS)</f>
        <v>1</v>
      </c>
      <c r="AR85">
        <f>SUMIF(ConfirmedRaw!$B:$B,$B85,ConfirmedRaw!AT:AT)</f>
        <v>1</v>
      </c>
      <c r="AS85">
        <f>SUMIF(ConfirmedRaw!$B:$B,$B85,ConfirmedRaw!AU:AU)</f>
        <v>1</v>
      </c>
      <c r="AT85">
        <f>SUMIF(ConfirmedRaw!$B:$B,$B85,ConfirmedRaw!AV:AV)</f>
        <v>1</v>
      </c>
      <c r="AU85">
        <f>SUMIF(ConfirmedRaw!$B:$B,$B85,ConfirmedRaw!AW:AW)</f>
        <v>1</v>
      </c>
      <c r="AV85">
        <f>SUMIF(ConfirmedRaw!$B:$B,$B85,ConfirmedRaw!AX:AX)</f>
        <v>1</v>
      </c>
      <c r="AW85">
        <f>SUMIF(ConfirmedRaw!$B:$B,$B85,ConfirmedRaw!AY:AY)</f>
        <v>4</v>
      </c>
      <c r="AX85">
        <f>SUMIF(ConfirmedRaw!$B:$B,$B85,ConfirmedRaw!AZ:AZ)</f>
        <v>4</v>
      </c>
      <c r="AY85">
        <f>SUMIF(ConfirmedRaw!$B:$B,$B85,ConfirmedRaw!BA:BA)</f>
        <v>5</v>
      </c>
      <c r="AZ85">
        <f>SUMIF(ConfirmedRaw!$B:$B,$B85,ConfirmedRaw!BB:BB)</f>
        <v>7</v>
      </c>
      <c r="BA85">
        <f>SUMIF(ConfirmedRaw!$B:$B,$B85,ConfirmedRaw!BC:BC)</f>
        <v>7</v>
      </c>
      <c r="BB85">
        <f>SUMIF(ConfirmedRaw!$B:$B,$B85,ConfirmedRaw!BD:BD)</f>
        <v>7</v>
      </c>
      <c r="BC85">
        <f>SUMIF(ConfirmedRaw!$B:$B,$B85,ConfirmedRaw!BE:BE)</f>
        <v>11</v>
      </c>
      <c r="BD85">
        <f>SUMIF(ConfirmedRaw!$B:$B,$B85,ConfirmedRaw!BF:BF)</f>
        <v>16</v>
      </c>
      <c r="BE85">
        <f>SUMIF(ConfirmedRaw!$B:$B,$B85,ConfirmedRaw!BG:BG)</f>
        <v>21</v>
      </c>
      <c r="BF85">
        <f>SUMIF(ConfirmedRaw!$B:$B,$B85,ConfirmedRaw!BH:BH)</f>
        <v>22</v>
      </c>
      <c r="BG85">
        <f>SUMIF(ConfirmedRaw!$B:$B,$B85,ConfirmedRaw!BI:BI)</f>
        <v>22</v>
      </c>
      <c r="BH85">
        <f>SUMIF(ConfirmedRaw!$B:$B,$B85,ConfirmedRaw!BJ:BJ)</f>
        <v>22</v>
      </c>
      <c r="BI85">
        <f>SUMIF(ConfirmedRaw!$B:$B,$B85,ConfirmedRaw!BK:BK)</f>
        <v>24</v>
      </c>
      <c r="BJ85">
        <f>SUMIF(ConfirmedRaw!$B:$B,$B85,ConfirmedRaw!BL:BL)</f>
        <v>24</v>
      </c>
      <c r="BK85">
        <f>SUMIF(ConfirmedRaw!$B:$B,$B85,ConfirmedRaw!BM:BM)</f>
        <v>40</v>
      </c>
      <c r="BL85">
        <f>SUMIF(ConfirmedRaw!$B:$B,$B85,ConfirmedRaw!BN:BN)</f>
        <v>40</v>
      </c>
      <c r="BM85">
        <f>SUMIF(ConfirmedRaw!$B:$B,$B85,ConfirmedRaw!BO:BO)</f>
        <v>74</v>
      </c>
      <c r="BN85">
        <f>SUMIF(ConfirmedRaw!$B:$B,$B85,ConfirmedRaw!BP:BP)</f>
        <v>84</v>
      </c>
      <c r="BO85">
        <f>SUMIF(ConfirmedRaw!$B:$B,$B85,ConfirmedRaw!BQ:BQ)</f>
        <v>94</v>
      </c>
      <c r="BP85">
        <f>SUMIF(ConfirmedRaw!$B:$B,$B85,ConfirmedRaw!BR:BR)</f>
        <v>110</v>
      </c>
      <c r="BQ85">
        <f>SUMIF(ConfirmedRaw!$B:$B,$B85,ConfirmedRaw!BS:BS)</f>
        <v>110</v>
      </c>
      <c r="BR85">
        <f>SUMIF(ConfirmedRaw!$B:$B,$B85,ConfirmedRaw!BT:BT)</f>
        <v>0</v>
      </c>
      <c r="BS85">
        <f>SUMIF(ConfirmedRaw!$B:$B,$B85,ConfirmedRaw!BU:BU)</f>
        <v>0</v>
      </c>
      <c r="BT85">
        <f>SUMIF(ConfirmedRaw!$B:$B,$B85,ConfirmedRaw!BV:BV)</f>
        <v>0</v>
      </c>
      <c r="BU85">
        <f>SUMIF(ConfirmedRaw!$B:$B,$B85,ConfirmedRaw!BW:BW)</f>
        <v>0</v>
      </c>
    </row>
    <row r="86" spans="1:73" ht="15" thickBot="1" x14ac:dyDescent="0.35">
      <c r="A86" s="97" t="str">
        <f>VLOOKUP(B86,Country_Data!B:Q,16,FALSE)</f>
        <v>Africa</v>
      </c>
      <c r="B86" s="3" t="s">
        <v>112</v>
      </c>
      <c r="C86">
        <f>SUMIF(ConfirmedRaw!$B:$B,$B86,ConfirmedRaw!E:E)</f>
        <v>0</v>
      </c>
      <c r="D86">
        <f>SUMIF(ConfirmedRaw!$B:$B,$B86,ConfirmedRaw!F:F)</f>
        <v>0</v>
      </c>
      <c r="E86">
        <f>SUMIF(ConfirmedRaw!$B:$B,$B86,ConfirmedRaw!G:G)</f>
        <v>0</v>
      </c>
      <c r="F86">
        <f>SUMIF(ConfirmedRaw!$B:$B,$B86,ConfirmedRaw!H:H)</f>
        <v>0</v>
      </c>
      <c r="G86">
        <f>SUMIF(ConfirmedRaw!$B:$B,$B86,ConfirmedRaw!I:I)</f>
        <v>0</v>
      </c>
      <c r="H86">
        <f>SUMIF(ConfirmedRaw!$B:$B,$B86,ConfirmedRaw!J:J)</f>
        <v>0</v>
      </c>
      <c r="I86">
        <f>SUMIF(ConfirmedRaw!$B:$B,$B86,ConfirmedRaw!K:K)</f>
        <v>0</v>
      </c>
      <c r="J86">
        <f>SUMIF(ConfirmedRaw!$B:$B,$B86,ConfirmedRaw!L:L)</f>
        <v>0</v>
      </c>
      <c r="K86">
        <f>SUMIF(ConfirmedRaw!$B:$B,$B86,ConfirmedRaw!M:M)</f>
        <v>0</v>
      </c>
      <c r="L86">
        <f>SUMIF(ConfirmedRaw!$B:$B,$B86,ConfirmedRaw!N:N)</f>
        <v>0</v>
      </c>
      <c r="M86">
        <f>SUMIF(ConfirmedRaw!$B:$B,$B86,ConfirmedRaw!O:O)</f>
        <v>0</v>
      </c>
      <c r="N86">
        <f>SUMIF(ConfirmedRaw!$B:$B,$B86,ConfirmedRaw!P:P)</f>
        <v>0</v>
      </c>
      <c r="O86">
        <f>SUMIF(ConfirmedRaw!$B:$B,$B86,ConfirmedRaw!Q:Q)</f>
        <v>0</v>
      </c>
      <c r="P86">
        <f>SUMIF(ConfirmedRaw!$B:$B,$B86,ConfirmedRaw!R:R)</f>
        <v>0</v>
      </c>
      <c r="Q86">
        <f>SUMIF(ConfirmedRaw!$B:$B,$B86,ConfirmedRaw!S:S)</f>
        <v>0</v>
      </c>
      <c r="R86">
        <f>SUMIF(ConfirmedRaw!$B:$B,$B86,ConfirmedRaw!T:T)</f>
        <v>0</v>
      </c>
      <c r="S86">
        <f>SUMIF(ConfirmedRaw!$B:$B,$B86,ConfirmedRaw!U:U)</f>
        <v>0</v>
      </c>
      <c r="T86">
        <f>SUMIF(ConfirmedRaw!$B:$B,$B86,ConfirmedRaw!V:V)</f>
        <v>0</v>
      </c>
      <c r="U86">
        <f>SUMIF(ConfirmedRaw!$B:$B,$B86,ConfirmedRaw!W:W)</f>
        <v>0</v>
      </c>
      <c r="V86">
        <f>SUMIF(ConfirmedRaw!$B:$B,$B86,ConfirmedRaw!X:X)</f>
        <v>0</v>
      </c>
      <c r="W86">
        <f>SUMIF(ConfirmedRaw!$B:$B,$B86,ConfirmedRaw!Y:Y)</f>
        <v>0</v>
      </c>
      <c r="X86">
        <f>SUMIF(ConfirmedRaw!$B:$B,$B86,ConfirmedRaw!Z:Z)</f>
        <v>0</v>
      </c>
      <c r="Y86">
        <f>SUMIF(ConfirmedRaw!$B:$B,$B86,ConfirmedRaw!AA:AA)</f>
        <v>0</v>
      </c>
      <c r="Z86">
        <f>SUMIF(ConfirmedRaw!$B:$B,$B86,ConfirmedRaw!AB:AB)</f>
        <v>0</v>
      </c>
      <c r="AA86">
        <f>SUMIF(ConfirmedRaw!$B:$B,$B86,ConfirmedRaw!AC:AC)</f>
        <v>0</v>
      </c>
      <c r="AB86">
        <f>SUMIF(ConfirmedRaw!$B:$B,$B86,ConfirmedRaw!AD:AD)</f>
        <v>0</v>
      </c>
      <c r="AC86">
        <f>SUMIF(ConfirmedRaw!$B:$B,$B86,ConfirmedRaw!AE:AE)</f>
        <v>0</v>
      </c>
      <c r="AD86">
        <f>SUMIF(ConfirmedRaw!$B:$B,$B86,ConfirmedRaw!AF:AF)</f>
        <v>0</v>
      </c>
      <c r="AE86">
        <f>SUMIF(ConfirmedRaw!$B:$B,$B86,ConfirmedRaw!AG:AG)</f>
        <v>0</v>
      </c>
      <c r="AF86">
        <f>SUMIF(ConfirmedRaw!$B:$B,$B86,ConfirmedRaw!AH:AH)</f>
        <v>0</v>
      </c>
      <c r="AG86">
        <f>SUMIF(ConfirmedRaw!$B:$B,$B86,ConfirmedRaw!AI:AI)</f>
        <v>0</v>
      </c>
      <c r="AH86">
        <f>SUMIF(ConfirmedRaw!$B:$B,$B86,ConfirmedRaw!AJ:AJ)</f>
        <v>0</v>
      </c>
      <c r="AI86">
        <f>SUMIF(ConfirmedRaw!$B:$B,$B86,ConfirmedRaw!AK:AK)</f>
        <v>0</v>
      </c>
      <c r="AJ86">
        <f>SUMIF(ConfirmedRaw!$B:$B,$B86,ConfirmedRaw!AL:AL)</f>
        <v>0</v>
      </c>
      <c r="AK86">
        <f>SUMIF(ConfirmedRaw!$B:$B,$B86,ConfirmedRaw!AM:AM)</f>
        <v>0</v>
      </c>
      <c r="AL86">
        <f>SUMIF(ConfirmedRaw!$B:$B,$B86,ConfirmedRaw!AN:AN)</f>
        <v>0</v>
      </c>
      <c r="AM86">
        <f>SUMIF(ConfirmedRaw!$B:$B,$B86,ConfirmedRaw!AO:AO)</f>
        <v>0</v>
      </c>
      <c r="AN86">
        <f>SUMIF(ConfirmedRaw!$B:$B,$B86,ConfirmedRaw!AP:AP)</f>
        <v>0</v>
      </c>
      <c r="AO86">
        <f>SUMIF(ConfirmedRaw!$B:$B,$B86,ConfirmedRaw!AQ:AQ)</f>
        <v>0</v>
      </c>
      <c r="AP86">
        <f>SUMIF(ConfirmedRaw!$B:$B,$B86,ConfirmedRaw!AR:AR)</f>
        <v>0</v>
      </c>
      <c r="AQ86">
        <f>SUMIF(ConfirmedRaw!$B:$B,$B86,ConfirmedRaw!AS:AS)</f>
        <v>1</v>
      </c>
      <c r="AR86">
        <f>SUMIF(ConfirmedRaw!$B:$B,$B86,ConfirmedRaw!AT:AT)</f>
        <v>1</v>
      </c>
      <c r="AS86">
        <f>SUMIF(ConfirmedRaw!$B:$B,$B86,ConfirmedRaw!AU:AU)</f>
        <v>1</v>
      </c>
      <c r="AT86">
        <f>SUMIF(ConfirmedRaw!$B:$B,$B86,ConfirmedRaw!AV:AV)</f>
        <v>2</v>
      </c>
      <c r="AU86">
        <f>SUMIF(ConfirmedRaw!$B:$B,$B86,ConfirmedRaw!AW:AW)</f>
        <v>2</v>
      </c>
      <c r="AV86">
        <f>SUMIF(ConfirmedRaw!$B:$B,$B86,ConfirmedRaw!AX:AX)</f>
        <v>2</v>
      </c>
      <c r="AW86">
        <f>SUMIF(ConfirmedRaw!$B:$B,$B86,ConfirmedRaw!AY:AY)</f>
        <v>2</v>
      </c>
      <c r="AX86">
        <f>SUMIF(ConfirmedRaw!$B:$B,$B86,ConfirmedRaw!AZ:AZ)</f>
        <v>2</v>
      </c>
      <c r="AY86">
        <f>SUMIF(ConfirmedRaw!$B:$B,$B86,ConfirmedRaw!BA:BA)</f>
        <v>3</v>
      </c>
      <c r="AZ86">
        <f>SUMIF(ConfirmedRaw!$B:$B,$B86,ConfirmedRaw!BB:BB)</f>
        <v>5</v>
      </c>
      <c r="BA86">
        <f>SUMIF(ConfirmedRaw!$B:$B,$B86,ConfirmedRaw!BC:BC)</f>
        <v>6</v>
      </c>
      <c r="BB86">
        <f>SUMIF(ConfirmedRaw!$B:$B,$B86,ConfirmedRaw!BD:BD)</f>
        <v>7</v>
      </c>
      <c r="BC86">
        <f>SUMIF(ConfirmedRaw!$B:$B,$B86,ConfirmedRaw!BE:BE)</f>
        <v>17</v>
      </c>
      <c r="BD86">
        <f>SUMIF(ConfirmedRaw!$B:$B,$B86,ConfirmedRaw!BF:BF)</f>
        <v>28</v>
      </c>
      <c r="BE86">
        <f>SUMIF(ConfirmedRaw!$B:$B,$B86,ConfirmedRaw!BG:BG)</f>
        <v>29</v>
      </c>
      <c r="BF86">
        <f>SUMIF(ConfirmedRaw!$B:$B,$B86,ConfirmedRaw!BH:BH)</f>
        <v>38</v>
      </c>
      <c r="BG86">
        <f>SUMIF(ConfirmedRaw!$B:$B,$B86,ConfirmedRaw!BI:BI)</f>
        <v>49</v>
      </c>
      <c r="BH86">
        <f>SUMIF(ConfirmedRaw!$B:$B,$B86,ConfirmedRaw!BJ:BJ)</f>
        <v>63</v>
      </c>
      <c r="BI86">
        <f>SUMIF(ConfirmedRaw!$B:$B,$B86,ConfirmedRaw!BK:BK)</f>
        <v>77</v>
      </c>
      <c r="BJ86">
        <f>SUMIF(ConfirmedRaw!$B:$B,$B86,ConfirmedRaw!BL:BL)</f>
        <v>96</v>
      </c>
      <c r="BK86">
        <f>SUMIF(ConfirmedRaw!$B:$B,$B86,ConfirmedRaw!BM:BM)</f>
        <v>115</v>
      </c>
      <c r="BL86">
        <f>SUMIF(ConfirmedRaw!$B:$B,$B86,ConfirmedRaw!BN:BN)</f>
        <v>143</v>
      </c>
      <c r="BM86">
        <f>SUMIF(ConfirmedRaw!$B:$B,$B86,ConfirmedRaw!BO:BO)</f>
        <v>170</v>
      </c>
      <c r="BN86">
        <f>SUMIF(ConfirmedRaw!$B:$B,$B86,ConfirmedRaw!BP:BP)</f>
        <v>225</v>
      </c>
      <c r="BO86">
        <f>SUMIF(ConfirmedRaw!$B:$B,$B86,ConfirmedRaw!BQ:BQ)</f>
        <v>275</v>
      </c>
      <c r="BP86">
        <f>SUMIF(ConfirmedRaw!$B:$B,$B86,ConfirmedRaw!BR:BR)</f>
        <v>345</v>
      </c>
      <c r="BQ86">
        <f>SUMIF(ConfirmedRaw!$B:$B,$B86,ConfirmedRaw!BS:BS)</f>
        <v>402</v>
      </c>
      <c r="BR86">
        <f>SUMIF(ConfirmedRaw!$B:$B,$B86,ConfirmedRaw!BT:BT)</f>
        <v>0</v>
      </c>
      <c r="BS86">
        <f>SUMIF(ConfirmedRaw!$B:$B,$B86,ConfirmedRaw!BU:BU)</f>
        <v>0</v>
      </c>
      <c r="BT86">
        <f>SUMIF(ConfirmedRaw!$B:$B,$B86,ConfirmedRaw!BV:BV)</f>
        <v>0</v>
      </c>
      <c r="BU86">
        <f>SUMIF(ConfirmedRaw!$B:$B,$B86,ConfirmedRaw!BW:BW)</f>
        <v>0</v>
      </c>
    </row>
    <row r="87" spans="1:73" ht="15" thickBot="1" x14ac:dyDescent="0.35">
      <c r="A87" s="97" t="str">
        <f>VLOOKUP(B87,Country_Data!B:Q,16,FALSE)</f>
        <v>Europe</v>
      </c>
      <c r="B87" s="3" t="s">
        <v>93</v>
      </c>
      <c r="C87">
        <f>SUMIF(ConfirmedRaw!$B:$B,$B87,ConfirmedRaw!E:E)</f>
        <v>0</v>
      </c>
      <c r="D87">
        <f>SUMIF(ConfirmedRaw!$B:$B,$B87,ConfirmedRaw!F:F)</f>
        <v>0</v>
      </c>
      <c r="E87">
        <f>SUMIF(ConfirmedRaw!$B:$B,$B87,ConfirmedRaw!G:G)</f>
        <v>0</v>
      </c>
      <c r="F87">
        <f>SUMIF(ConfirmedRaw!$B:$B,$B87,ConfirmedRaw!H:H)</f>
        <v>0</v>
      </c>
      <c r="G87">
        <f>SUMIF(ConfirmedRaw!$B:$B,$B87,ConfirmedRaw!I:I)</f>
        <v>0</v>
      </c>
      <c r="H87">
        <f>SUMIF(ConfirmedRaw!$B:$B,$B87,ConfirmedRaw!J:J)</f>
        <v>0</v>
      </c>
      <c r="I87">
        <f>SUMIF(ConfirmedRaw!$B:$B,$B87,ConfirmedRaw!K:K)</f>
        <v>0</v>
      </c>
      <c r="J87">
        <f>SUMIF(ConfirmedRaw!$B:$B,$B87,ConfirmedRaw!L:L)</f>
        <v>0</v>
      </c>
      <c r="K87">
        <f>SUMIF(ConfirmedRaw!$B:$B,$B87,ConfirmedRaw!M:M)</f>
        <v>0</v>
      </c>
      <c r="L87">
        <f>SUMIF(ConfirmedRaw!$B:$B,$B87,ConfirmedRaw!N:N)</f>
        <v>0</v>
      </c>
      <c r="M87">
        <f>SUMIF(ConfirmedRaw!$B:$B,$B87,ConfirmedRaw!O:O)</f>
        <v>0</v>
      </c>
      <c r="N87">
        <f>SUMIF(ConfirmedRaw!$B:$B,$B87,ConfirmedRaw!P:P)</f>
        <v>0</v>
      </c>
      <c r="O87">
        <f>SUMIF(ConfirmedRaw!$B:$B,$B87,ConfirmedRaw!Q:Q)</f>
        <v>0</v>
      </c>
      <c r="P87">
        <f>SUMIF(ConfirmedRaw!$B:$B,$B87,ConfirmedRaw!R:R)</f>
        <v>0</v>
      </c>
      <c r="Q87">
        <f>SUMIF(ConfirmedRaw!$B:$B,$B87,ConfirmedRaw!S:S)</f>
        <v>0</v>
      </c>
      <c r="R87">
        <f>SUMIF(ConfirmedRaw!$B:$B,$B87,ConfirmedRaw!T:T)</f>
        <v>0</v>
      </c>
      <c r="S87">
        <f>SUMIF(ConfirmedRaw!$B:$B,$B87,ConfirmedRaw!U:U)</f>
        <v>0</v>
      </c>
      <c r="T87">
        <f>SUMIF(ConfirmedRaw!$B:$B,$B87,ConfirmedRaw!V:V)</f>
        <v>0</v>
      </c>
      <c r="U87">
        <f>SUMIF(ConfirmedRaw!$B:$B,$B87,ConfirmedRaw!W:W)</f>
        <v>0</v>
      </c>
      <c r="V87">
        <f>SUMIF(ConfirmedRaw!$B:$B,$B87,ConfirmedRaw!X:X)</f>
        <v>0</v>
      </c>
      <c r="W87">
        <f>SUMIF(ConfirmedRaw!$B:$B,$B87,ConfirmedRaw!Y:Y)</f>
        <v>0</v>
      </c>
      <c r="X87">
        <f>SUMIF(ConfirmedRaw!$B:$B,$B87,ConfirmedRaw!Z:Z)</f>
        <v>0</v>
      </c>
      <c r="Y87">
        <f>SUMIF(ConfirmedRaw!$B:$B,$B87,ConfirmedRaw!AA:AA)</f>
        <v>0</v>
      </c>
      <c r="Z87">
        <f>SUMIF(ConfirmedRaw!$B:$B,$B87,ConfirmedRaw!AB:AB)</f>
        <v>0</v>
      </c>
      <c r="AA87">
        <f>SUMIF(ConfirmedRaw!$B:$B,$B87,ConfirmedRaw!AC:AC)</f>
        <v>0</v>
      </c>
      <c r="AB87">
        <f>SUMIF(ConfirmedRaw!$B:$B,$B87,ConfirmedRaw!AD:AD)</f>
        <v>0</v>
      </c>
      <c r="AC87">
        <f>SUMIF(ConfirmedRaw!$B:$B,$B87,ConfirmedRaw!AE:AE)</f>
        <v>0</v>
      </c>
      <c r="AD87">
        <f>SUMIF(ConfirmedRaw!$B:$B,$B87,ConfirmedRaw!AF:AF)</f>
        <v>0</v>
      </c>
      <c r="AE87">
        <f>SUMIF(ConfirmedRaw!$B:$B,$B87,ConfirmedRaw!AG:AG)</f>
        <v>0</v>
      </c>
      <c r="AF87">
        <f>SUMIF(ConfirmedRaw!$B:$B,$B87,ConfirmedRaw!AH:AH)</f>
        <v>0</v>
      </c>
      <c r="AG87">
        <f>SUMIF(ConfirmedRaw!$B:$B,$B87,ConfirmedRaw!AI:AI)</f>
        <v>0</v>
      </c>
      <c r="AH87">
        <f>SUMIF(ConfirmedRaw!$B:$B,$B87,ConfirmedRaw!AJ:AJ)</f>
        <v>0</v>
      </c>
      <c r="AI87">
        <f>SUMIF(ConfirmedRaw!$B:$B,$B87,ConfirmedRaw!AK:AK)</f>
        <v>0</v>
      </c>
      <c r="AJ87">
        <f>SUMIF(ConfirmedRaw!$B:$B,$B87,ConfirmedRaw!AL:AL)</f>
        <v>0</v>
      </c>
      <c r="AK87">
        <f>SUMIF(ConfirmedRaw!$B:$B,$B87,ConfirmedRaw!AM:AM)</f>
        <v>0</v>
      </c>
      <c r="AL87">
        <f>SUMIF(ConfirmedRaw!$B:$B,$B87,ConfirmedRaw!AN:AN)</f>
        <v>0</v>
      </c>
      <c r="AM87">
        <f>SUMIF(ConfirmedRaw!$B:$B,$B87,ConfirmedRaw!AO:AO)</f>
        <v>0</v>
      </c>
      <c r="AN87">
        <f>SUMIF(ConfirmedRaw!$B:$B,$B87,ConfirmedRaw!AP:AP)</f>
        <v>1</v>
      </c>
      <c r="AO87">
        <f>SUMIF(ConfirmedRaw!$B:$B,$B87,ConfirmedRaw!AQ:AQ)</f>
        <v>1</v>
      </c>
      <c r="AP87">
        <f>SUMIF(ConfirmedRaw!$B:$B,$B87,ConfirmedRaw!AR:AR)</f>
        <v>1</v>
      </c>
      <c r="AQ87">
        <f>SUMIF(ConfirmedRaw!$B:$B,$B87,ConfirmedRaw!AS:AS)</f>
        <v>1</v>
      </c>
      <c r="AR87">
        <f>SUMIF(ConfirmedRaw!$B:$B,$B87,ConfirmedRaw!AT:AT)</f>
        <v>1</v>
      </c>
      <c r="AS87">
        <f>SUMIF(ConfirmedRaw!$B:$B,$B87,ConfirmedRaw!AU:AU)</f>
        <v>1</v>
      </c>
      <c r="AT87">
        <f>SUMIF(ConfirmedRaw!$B:$B,$B87,ConfirmedRaw!AV:AV)</f>
        <v>1</v>
      </c>
      <c r="AU87">
        <f>SUMIF(ConfirmedRaw!$B:$B,$B87,ConfirmedRaw!AW:AW)</f>
        <v>1</v>
      </c>
      <c r="AV87">
        <f>SUMIF(ConfirmedRaw!$B:$B,$B87,ConfirmedRaw!AX:AX)</f>
        <v>1</v>
      </c>
      <c r="AW87">
        <f>SUMIF(ConfirmedRaw!$B:$B,$B87,ConfirmedRaw!AY:AY)</f>
        <v>1</v>
      </c>
      <c r="AX87">
        <f>SUMIF(ConfirmedRaw!$B:$B,$B87,ConfirmedRaw!AZ:AZ)</f>
        <v>1</v>
      </c>
      <c r="AY87">
        <f>SUMIF(ConfirmedRaw!$B:$B,$B87,ConfirmedRaw!BA:BA)</f>
        <v>1</v>
      </c>
      <c r="AZ87">
        <f>SUMIF(ConfirmedRaw!$B:$B,$B87,ConfirmedRaw!BB:BB)</f>
        <v>3</v>
      </c>
      <c r="BA87">
        <f>SUMIF(ConfirmedRaw!$B:$B,$B87,ConfirmedRaw!BC:BC)</f>
        <v>3</v>
      </c>
      <c r="BB87">
        <f>SUMIF(ConfirmedRaw!$B:$B,$B87,ConfirmedRaw!BD:BD)</f>
        <v>6</v>
      </c>
      <c r="BC87">
        <f>SUMIF(ConfirmedRaw!$B:$B,$B87,ConfirmedRaw!BE:BE)</f>
        <v>8</v>
      </c>
      <c r="BD87">
        <f>SUMIF(ConfirmedRaw!$B:$B,$B87,ConfirmedRaw!BF:BF)</f>
        <v>12</v>
      </c>
      <c r="BE87">
        <f>SUMIF(ConfirmedRaw!$B:$B,$B87,ConfirmedRaw!BG:BG)</f>
        <v>17</v>
      </c>
      <c r="BF87">
        <f>SUMIF(ConfirmedRaw!$B:$B,$B87,ConfirmedRaw!BH:BH)</f>
        <v>25</v>
      </c>
      <c r="BG87">
        <f>SUMIF(ConfirmedRaw!$B:$B,$B87,ConfirmedRaw!BI:BI)</f>
        <v>27</v>
      </c>
      <c r="BH87">
        <f>SUMIF(ConfirmedRaw!$B:$B,$B87,ConfirmedRaw!BJ:BJ)</f>
        <v>36</v>
      </c>
      <c r="BI87">
        <f>SUMIF(ConfirmedRaw!$B:$B,$B87,ConfirmedRaw!BK:BK)</f>
        <v>49</v>
      </c>
      <c r="BJ87">
        <f>SUMIF(ConfirmedRaw!$B:$B,$B87,ConfirmedRaw!BL:BL)</f>
        <v>83</v>
      </c>
      <c r="BK87">
        <f>SUMIF(ConfirmedRaw!$B:$B,$B87,ConfirmedRaw!BM:BM)</f>
        <v>143</v>
      </c>
      <c r="BL87">
        <f>SUMIF(ConfirmedRaw!$B:$B,$B87,ConfirmedRaw!BN:BN)</f>
        <v>179</v>
      </c>
      <c r="BM87">
        <f>SUMIF(ConfirmedRaw!$B:$B,$B87,ConfirmedRaw!BO:BO)</f>
        <v>209</v>
      </c>
      <c r="BN87">
        <f>SUMIF(ConfirmedRaw!$B:$B,$B87,ConfirmedRaw!BP:BP)</f>
        <v>274</v>
      </c>
      <c r="BO87">
        <f>SUMIF(ConfirmedRaw!$B:$B,$B87,ConfirmedRaw!BQ:BQ)</f>
        <v>299</v>
      </c>
      <c r="BP87">
        <f>SUMIF(ConfirmedRaw!$B:$B,$B87,ConfirmedRaw!BR:BR)</f>
        <v>358</v>
      </c>
      <c r="BQ87">
        <f>SUMIF(ConfirmedRaw!$B:$B,$B87,ConfirmedRaw!BS:BS)</f>
        <v>394</v>
      </c>
      <c r="BR87">
        <f>SUMIF(ConfirmedRaw!$B:$B,$B87,ConfirmedRaw!BT:BT)</f>
        <v>0</v>
      </c>
      <c r="BS87">
        <f>SUMIF(ConfirmedRaw!$B:$B,$B87,ConfirmedRaw!BU:BU)</f>
        <v>0</v>
      </c>
      <c r="BT87">
        <f>SUMIF(ConfirmedRaw!$B:$B,$B87,ConfirmedRaw!BV:BV)</f>
        <v>0</v>
      </c>
      <c r="BU87">
        <f>SUMIF(ConfirmedRaw!$B:$B,$B87,ConfirmedRaw!BW:BW)</f>
        <v>0</v>
      </c>
    </row>
    <row r="88" spans="1:73" ht="15" thickBot="1" x14ac:dyDescent="0.35">
      <c r="A88" s="97" t="str">
        <f>VLOOKUP(B88,Country_Data!B:Q,16,FALSE)</f>
        <v>Europe</v>
      </c>
      <c r="B88" s="4" t="s">
        <v>345</v>
      </c>
      <c r="C88">
        <f>SUMIF(ConfirmedRaw!$B:$B,$B88,ConfirmedRaw!E:E)</f>
        <v>0</v>
      </c>
      <c r="D88">
        <f>SUMIF(ConfirmedRaw!$B:$B,$B88,ConfirmedRaw!F:F)</f>
        <v>0</v>
      </c>
      <c r="E88">
        <f>SUMIF(ConfirmedRaw!$B:$B,$B88,ConfirmedRaw!G:G)</f>
        <v>0</v>
      </c>
      <c r="F88">
        <f>SUMIF(ConfirmedRaw!$B:$B,$B88,ConfirmedRaw!H:H)</f>
        <v>0</v>
      </c>
      <c r="G88">
        <f>SUMIF(ConfirmedRaw!$B:$B,$B88,ConfirmedRaw!I:I)</f>
        <v>0</v>
      </c>
      <c r="H88">
        <f>SUMIF(ConfirmedRaw!$B:$B,$B88,ConfirmedRaw!J:J)</f>
        <v>0</v>
      </c>
      <c r="I88">
        <f>SUMIF(ConfirmedRaw!$B:$B,$B88,ConfirmedRaw!K:K)</f>
        <v>0</v>
      </c>
      <c r="J88">
        <f>SUMIF(ConfirmedRaw!$B:$B,$B88,ConfirmedRaw!L:L)</f>
        <v>0</v>
      </c>
      <c r="K88">
        <f>SUMIF(ConfirmedRaw!$B:$B,$B88,ConfirmedRaw!M:M)</f>
        <v>0</v>
      </c>
      <c r="L88">
        <f>SUMIF(ConfirmedRaw!$B:$B,$B88,ConfirmedRaw!N:N)</f>
        <v>0</v>
      </c>
      <c r="M88">
        <f>SUMIF(ConfirmedRaw!$B:$B,$B88,ConfirmedRaw!O:O)</f>
        <v>0</v>
      </c>
      <c r="N88">
        <f>SUMIF(ConfirmedRaw!$B:$B,$B88,ConfirmedRaw!P:P)</f>
        <v>0</v>
      </c>
      <c r="O88">
        <f>SUMIF(ConfirmedRaw!$B:$B,$B88,ConfirmedRaw!Q:Q)</f>
        <v>0</v>
      </c>
      <c r="P88">
        <f>SUMIF(ConfirmedRaw!$B:$B,$B88,ConfirmedRaw!R:R)</f>
        <v>0</v>
      </c>
      <c r="Q88">
        <f>SUMIF(ConfirmedRaw!$B:$B,$B88,ConfirmedRaw!S:S)</f>
        <v>0</v>
      </c>
      <c r="R88">
        <f>SUMIF(ConfirmedRaw!$B:$B,$B88,ConfirmedRaw!T:T)</f>
        <v>0</v>
      </c>
      <c r="S88">
        <f>SUMIF(ConfirmedRaw!$B:$B,$B88,ConfirmedRaw!U:U)</f>
        <v>0</v>
      </c>
      <c r="T88">
        <f>SUMIF(ConfirmedRaw!$B:$B,$B88,ConfirmedRaw!V:V)</f>
        <v>0</v>
      </c>
      <c r="U88">
        <f>SUMIF(ConfirmedRaw!$B:$B,$B88,ConfirmedRaw!W:W)</f>
        <v>0</v>
      </c>
      <c r="V88">
        <f>SUMIF(ConfirmedRaw!$B:$B,$B88,ConfirmedRaw!X:X)</f>
        <v>0</v>
      </c>
      <c r="W88">
        <f>SUMIF(ConfirmedRaw!$B:$B,$B88,ConfirmedRaw!Y:Y)</f>
        <v>0</v>
      </c>
      <c r="X88">
        <f>SUMIF(ConfirmedRaw!$B:$B,$B88,ConfirmedRaw!Z:Z)</f>
        <v>0</v>
      </c>
      <c r="Y88">
        <f>SUMIF(ConfirmedRaw!$B:$B,$B88,ConfirmedRaw!AA:AA)</f>
        <v>0</v>
      </c>
      <c r="Z88">
        <f>SUMIF(ConfirmedRaw!$B:$B,$B88,ConfirmedRaw!AB:AB)</f>
        <v>0</v>
      </c>
      <c r="AA88">
        <f>SUMIF(ConfirmedRaw!$B:$B,$B88,ConfirmedRaw!AC:AC)</f>
        <v>0</v>
      </c>
      <c r="AB88">
        <f>SUMIF(ConfirmedRaw!$B:$B,$B88,ConfirmedRaw!AD:AD)</f>
        <v>0</v>
      </c>
      <c r="AC88">
        <f>SUMIF(ConfirmedRaw!$B:$B,$B88,ConfirmedRaw!AE:AE)</f>
        <v>0</v>
      </c>
      <c r="AD88">
        <f>SUMIF(ConfirmedRaw!$B:$B,$B88,ConfirmedRaw!AF:AF)</f>
        <v>0</v>
      </c>
      <c r="AE88">
        <f>SUMIF(ConfirmedRaw!$B:$B,$B88,ConfirmedRaw!AG:AG)</f>
        <v>0</v>
      </c>
      <c r="AF88">
        <f>SUMIF(ConfirmedRaw!$B:$B,$B88,ConfirmedRaw!AH:AH)</f>
        <v>0</v>
      </c>
      <c r="AG88">
        <f>SUMIF(ConfirmedRaw!$B:$B,$B88,ConfirmedRaw!AI:AI)</f>
        <v>0</v>
      </c>
      <c r="AH88">
        <f>SUMIF(ConfirmedRaw!$B:$B,$B88,ConfirmedRaw!AJ:AJ)</f>
        <v>0</v>
      </c>
      <c r="AI88">
        <f>SUMIF(ConfirmedRaw!$B:$B,$B88,ConfirmedRaw!AK:AK)</f>
        <v>0</v>
      </c>
      <c r="AJ88">
        <f>SUMIF(ConfirmedRaw!$B:$B,$B88,ConfirmedRaw!AL:AL)</f>
        <v>0</v>
      </c>
      <c r="AK88">
        <f>SUMIF(ConfirmedRaw!$B:$B,$B88,ConfirmedRaw!AM:AM)</f>
        <v>0</v>
      </c>
      <c r="AL88">
        <f>SUMIF(ConfirmedRaw!$B:$B,$B88,ConfirmedRaw!AN:AN)</f>
        <v>0</v>
      </c>
      <c r="AM88">
        <f>SUMIF(ConfirmedRaw!$B:$B,$B88,ConfirmedRaw!AO:AO)</f>
        <v>0</v>
      </c>
      <c r="AN88">
        <f>SUMIF(ConfirmedRaw!$B:$B,$B88,ConfirmedRaw!AP:AP)</f>
        <v>0</v>
      </c>
      <c r="AO88">
        <f>SUMIF(ConfirmedRaw!$B:$B,$B88,ConfirmedRaw!AQ:AQ)</f>
        <v>0</v>
      </c>
      <c r="AP88">
        <f>SUMIF(ConfirmedRaw!$B:$B,$B88,ConfirmedRaw!AR:AR)</f>
        <v>0</v>
      </c>
      <c r="AQ88">
        <f>SUMIF(ConfirmedRaw!$B:$B,$B88,ConfirmedRaw!AS:AS)</f>
        <v>0</v>
      </c>
      <c r="AR88">
        <f>SUMIF(ConfirmedRaw!$B:$B,$B88,ConfirmedRaw!AT:AT)</f>
        <v>0</v>
      </c>
      <c r="AS88">
        <f>SUMIF(ConfirmedRaw!$B:$B,$B88,ConfirmedRaw!AU:AU)</f>
        <v>0</v>
      </c>
      <c r="AT88">
        <f>SUMIF(ConfirmedRaw!$B:$B,$B88,ConfirmedRaw!AV:AV)</f>
        <v>0</v>
      </c>
      <c r="AU88">
        <f>SUMIF(ConfirmedRaw!$B:$B,$B88,ConfirmedRaw!AW:AW)</f>
        <v>0</v>
      </c>
      <c r="AV88">
        <f>SUMIF(ConfirmedRaw!$B:$B,$B88,ConfirmedRaw!AX:AX)</f>
        <v>0</v>
      </c>
      <c r="AW88">
        <f>SUMIF(ConfirmedRaw!$B:$B,$B88,ConfirmedRaw!AY:AY)</f>
        <v>1</v>
      </c>
      <c r="AX88">
        <f>SUMIF(ConfirmedRaw!$B:$B,$B88,ConfirmedRaw!AZ:AZ)</f>
        <v>1</v>
      </c>
      <c r="AY88">
        <f>SUMIF(ConfirmedRaw!$B:$B,$B88,ConfirmedRaw!BA:BA)</f>
        <v>3</v>
      </c>
      <c r="AZ88">
        <f>SUMIF(ConfirmedRaw!$B:$B,$B88,ConfirmedRaw!BB:BB)</f>
        <v>3</v>
      </c>
      <c r="BA88">
        <f>SUMIF(ConfirmedRaw!$B:$B,$B88,ConfirmedRaw!BC:BC)</f>
        <v>3</v>
      </c>
      <c r="BB88">
        <f>SUMIF(ConfirmedRaw!$B:$B,$B88,ConfirmedRaw!BD:BD)</f>
        <v>6</v>
      </c>
      <c r="BC88">
        <f>SUMIF(ConfirmedRaw!$B:$B,$B88,ConfirmedRaw!BE:BE)</f>
        <v>12</v>
      </c>
      <c r="BD88">
        <f>SUMIF(ConfirmedRaw!$B:$B,$B88,ConfirmedRaw!BF:BF)</f>
        <v>23</v>
      </c>
      <c r="BE88">
        <f>SUMIF(ConfirmedRaw!$B:$B,$B88,ConfirmedRaw!BG:BG)</f>
        <v>23</v>
      </c>
      <c r="BF88">
        <f>SUMIF(ConfirmedRaw!$B:$B,$B88,ConfirmedRaw!BH:BH)</f>
        <v>30</v>
      </c>
      <c r="BG88">
        <f>SUMIF(ConfirmedRaw!$B:$B,$B88,ConfirmedRaw!BI:BI)</f>
        <v>30</v>
      </c>
      <c r="BH88">
        <f>SUMIF(ConfirmedRaw!$B:$B,$B88,ConfirmedRaw!BJ:BJ)</f>
        <v>49</v>
      </c>
      <c r="BI88">
        <f>SUMIF(ConfirmedRaw!$B:$B,$B88,ConfirmedRaw!BK:BK)</f>
        <v>66</v>
      </c>
      <c r="BJ88">
        <f>SUMIF(ConfirmedRaw!$B:$B,$B88,ConfirmedRaw!BL:BL)</f>
        <v>80</v>
      </c>
      <c r="BK88">
        <f>SUMIF(ConfirmedRaw!$B:$B,$B88,ConfirmedRaw!BM:BM)</f>
        <v>94</v>
      </c>
      <c r="BL88">
        <f>SUMIF(ConfirmedRaw!$B:$B,$B88,ConfirmedRaw!BN:BN)</f>
        <v>109</v>
      </c>
      <c r="BM88">
        <f>SUMIF(ConfirmedRaw!$B:$B,$B88,ConfirmedRaw!BO:BO)</f>
        <v>125</v>
      </c>
      <c r="BN88">
        <f>SUMIF(ConfirmedRaw!$B:$B,$B88,ConfirmedRaw!BP:BP)</f>
        <v>149</v>
      </c>
      <c r="BO88">
        <f>SUMIF(ConfirmedRaw!$B:$B,$B88,ConfirmedRaw!BQ:BQ)</f>
        <v>177</v>
      </c>
      <c r="BP88">
        <f>SUMIF(ConfirmedRaw!$B:$B,$B88,ConfirmedRaw!BR:BR)</f>
        <v>199</v>
      </c>
      <c r="BQ88">
        <f>SUMIF(ConfirmedRaw!$B:$B,$B88,ConfirmedRaw!BS:BS)</f>
        <v>231</v>
      </c>
      <c r="BR88">
        <f>SUMIF(ConfirmedRaw!$B:$B,$B88,ConfirmedRaw!BT:BT)</f>
        <v>0</v>
      </c>
      <c r="BS88">
        <f>SUMIF(ConfirmedRaw!$B:$B,$B88,ConfirmedRaw!BU:BU)</f>
        <v>0</v>
      </c>
      <c r="BT88">
        <f>SUMIF(ConfirmedRaw!$B:$B,$B88,ConfirmedRaw!BV:BV)</f>
        <v>0</v>
      </c>
      <c r="BU88">
        <f>SUMIF(ConfirmedRaw!$B:$B,$B88,ConfirmedRaw!BW:BW)</f>
        <v>0</v>
      </c>
    </row>
    <row r="89" spans="1:73" ht="15" thickBot="1" x14ac:dyDescent="0.35">
      <c r="A89" s="97" t="str">
        <f>VLOOKUP(B89,Country_Data!B:Q,16,FALSE)</f>
        <v>South America</v>
      </c>
      <c r="B89" s="4" t="s">
        <v>206</v>
      </c>
      <c r="C89">
        <f>SUMIF(ConfirmedRaw!$B:$B,$B89,ConfirmedRaw!E:E)</f>
        <v>0</v>
      </c>
      <c r="D89">
        <f>SUMIF(ConfirmedRaw!$B:$B,$B89,ConfirmedRaw!F:F)</f>
        <v>0</v>
      </c>
      <c r="E89">
        <f>SUMIF(ConfirmedRaw!$B:$B,$B89,ConfirmedRaw!G:G)</f>
        <v>0</v>
      </c>
      <c r="F89">
        <f>SUMIF(ConfirmedRaw!$B:$B,$B89,ConfirmedRaw!H:H)</f>
        <v>0</v>
      </c>
      <c r="G89">
        <f>SUMIF(ConfirmedRaw!$B:$B,$B89,ConfirmedRaw!I:I)</f>
        <v>0</v>
      </c>
      <c r="H89">
        <f>SUMIF(ConfirmedRaw!$B:$B,$B89,ConfirmedRaw!J:J)</f>
        <v>0</v>
      </c>
      <c r="I89">
        <f>SUMIF(ConfirmedRaw!$B:$B,$B89,ConfirmedRaw!K:K)</f>
        <v>0</v>
      </c>
      <c r="J89">
        <f>SUMIF(ConfirmedRaw!$B:$B,$B89,ConfirmedRaw!L:L)</f>
        <v>0</v>
      </c>
      <c r="K89">
        <f>SUMIF(ConfirmedRaw!$B:$B,$B89,ConfirmedRaw!M:M)</f>
        <v>0</v>
      </c>
      <c r="L89">
        <f>SUMIF(ConfirmedRaw!$B:$B,$B89,ConfirmedRaw!N:N)</f>
        <v>0</v>
      </c>
      <c r="M89">
        <f>SUMIF(ConfirmedRaw!$B:$B,$B89,ConfirmedRaw!O:O)</f>
        <v>0</v>
      </c>
      <c r="N89">
        <f>SUMIF(ConfirmedRaw!$B:$B,$B89,ConfirmedRaw!P:P)</f>
        <v>0</v>
      </c>
      <c r="O89">
        <f>SUMIF(ConfirmedRaw!$B:$B,$B89,ConfirmedRaw!Q:Q)</f>
        <v>0</v>
      </c>
      <c r="P89">
        <f>SUMIF(ConfirmedRaw!$B:$B,$B89,ConfirmedRaw!R:R)</f>
        <v>0</v>
      </c>
      <c r="Q89">
        <f>SUMIF(ConfirmedRaw!$B:$B,$B89,ConfirmedRaw!S:S)</f>
        <v>0</v>
      </c>
      <c r="R89">
        <f>SUMIF(ConfirmedRaw!$B:$B,$B89,ConfirmedRaw!T:T)</f>
        <v>0</v>
      </c>
      <c r="S89">
        <f>SUMIF(ConfirmedRaw!$B:$B,$B89,ConfirmedRaw!U:U)</f>
        <v>0</v>
      </c>
      <c r="T89">
        <f>SUMIF(ConfirmedRaw!$B:$B,$B89,ConfirmedRaw!V:V)</f>
        <v>0</v>
      </c>
      <c r="U89">
        <f>SUMIF(ConfirmedRaw!$B:$B,$B89,ConfirmedRaw!W:W)</f>
        <v>0</v>
      </c>
      <c r="V89">
        <f>SUMIF(ConfirmedRaw!$B:$B,$B89,ConfirmedRaw!X:X)</f>
        <v>0</v>
      </c>
      <c r="W89">
        <f>SUMIF(ConfirmedRaw!$B:$B,$B89,ConfirmedRaw!Y:Y)</f>
        <v>0</v>
      </c>
      <c r="X89">
        <f>SUMIF(ConfirmedRaw!$B:$B,$B89,ConfirmedRaw!Z:Z)</f>
        <v>0</v>
      </c>
      <c r="Y89">
        <f>SUMIF(ConfirmedRaw!$B:$B,$B89,ConfirmedRaw!AA:AA)</f>
        <v>0</v>
      </c>
      <c r="Z89">
        <f>SUMIF(ConfirmedRaw!$B:$B,$B89,ConfirmedRaw!AB:AB)</f>
        <v>0</v>
      </c>
      <c r="AA89">
        <f>SUMIF(ConfirmedRaw!$B:$B,$B89,ConfirmedRaw!AC:AC)</f>
        <v>0</v>
      </c>
      <c r="AB89">
        <f>SUMIF(ConfirmedRaw!$B:$B,$B89,ConfirmedRaw!AD:AD)</f>
        <v>0</v>
      </c>
      <c r="AC89">
        <f>SUMIF(ConfirmedRaw!$B:$B,$B89,ConfirmedRaw!AE:AE)</f>
        <v>0</v>
      </c>
      <c r="AD89">
        <f>SUMIF(ConfirmedRaw!$B:$B,$B89,ConfirmedRaw!AF:AF)</f>
        <v>0</v>
      </c>
      <c r="AE89">
        <f>SUMIF(ConfirmedRaw!$B:$B,$B89,ConfirmedRaw!AG:AG)</f>
        <v>0</v>
      </c>
      <c r="AF89">
        <f>SUMIF(ConfirmedRaw!$B:$B,$B89,ConfirmedRaw!AH:AH)</f>
        <v>0</v>
      </c>
      <c r="AG89">
        <f>SUMIF(ConfirmedRaw!$B:$B,$B89,ConfirmedRaw!AI:AI)</f>
        <v>0</v>
      </c>
      <c r="AH89">
        <f>SUMIF(ConfirmedRaw!$B:$B,$B89,ConfirmedRaw!AJ:AJ)</f>
        <v>0</v>
      </c>
      <c r="AI89">
        <f>SUMIF(ConfirmedRaw!$B:$B,$B89,ConfirmedRaw!AK:AK)</f>
        <v>0</v>
      </c>
      <c r="AJ89">
        <f>SUMIF(ConfirmedRaw!$B:$B,$B89,ConfirmedRaw!AL:AL)</f>
        <v>0</v>
      </c>
      <c r="AK89">
        <f>SUMIF(ConfirmedRaw!$B:$B,$B89,ConfirmedRaw!AM:AM)</f>
        <v>0</v>
      </c>
      <c r="AL89">
        <f>SUMIF(ConfirmedRaw!$B:$B,$B89,ConfirmedRaw!AN:AN)</f>
        <v>0</v>
      </c>
      <c r="AM89">
        <f>SUMIF(ConfirmedRaw!$B:$B,$B89,ConfirmedRaw!AO:AO)</f>
        <v>0</v>
      </c>
      <c r="AN89">
        <f>SUMIF(ConfirmedRaw!$B:$B,$B89,ConfirmedRaw!AP:AP)</f>
        <v>0</v>
      </c>
      <c r="AO89">
        <f>SUMIF(ConfirmedRaw!$B:$B,$B89,ConfirmedRaw!AQ:AQ)</f>
        <v>0</v>
      </c>
      <c r="AP89">
        <f>SUMIF(ConfirmedRaw!$B:$B,$B89,ConfirmedRaw!AR:AR)</f>
        <v>0</v>
      </c>
      <c r="AQ89">
        <f>SUMIF(ConfirmedRaw!$B:$B,$B89,ConfirmedRaw!AS:AS)</f>
        <v>0</v>
      </c>
      <c r="AR89">
        <f>SUMIF(ConfirmedRaw!$B:$B,$B89,ConfirmedRaw!AT:AT)</f>
        <v>0</v>
      </c>
      <c r="AS89">
        <f>SUMIF(ConfirmedRaw!$B:$B,$B89,ConfirmedRaw!AU:AU)</f>
        <v>0</v>
      </c>
      <c r="AT89">
        <f>SUMIF(ConfirmedRaw!$B:$B,$B89,ConfirmedRaw!AV:AV)</f>
        <v>0</v>
      </c>
      <c r="AU89">
        <f>SUMIF(ConfirmedRaw!$B:$B,$B89,ConfirmedRaw!AW:AW)</f>
        <v>0</v>
      </c>
      <c r="AV89">
        <f>SUMIF(ConfirmedRaw!$B:$B,$B89,ConfirmedRaw!AX:AX)</f>
        <v>0</v>
      </c>
      <c r="AW89">
        <f>SUMIF(ConfirmedRaw!$B:$B,$B89,ConfirmedRaw!AY:AY)</f>
        <v>1</v>
      </c>
      <c r="AX89">
        <f>SUMIF(ConfirmedRaw!$B:$B,$B89,ConfirmedRaw!AZ:AZ)</f>
        <v>1</v>
      </c>
      <c r="AY89">
        <f>SUMIF(ConfirmedRaw!$B:$B,$B89,ConfirmedRaw!BA:BA)</f>
        <v>1</v>
      </c>
      <c r="AZ89">
        <f>SUMIF(ConfirmedRaw!$B:$B,$B89,ConfirmedRaw!BB:BB)</f>
        <v>5</v>
      </c>
      <c r="BA89">
        <f>SUMIF(ConfirmedRaw!$B:$B,$B89,ConfirmedRaw!BC:BC)</f>
        <v>5</v>
      </c>
      <c r="BB89">
        <f>SUMIF(ConfirmedRaw!$B:$B,$B89,ConfirmedRaw!BD:BD)</f>
        <v>6</v>
      </c>
      <c r="BC89">
        <f>SUMIF(ConfirmedRaw!$B:$B,$B89,ConfirmedRaw!BE:BE)</f>
        <v>6</v>
      </c>
      <c r="BD89">
        <f>SUMIF(ConfirmedRaw!$B:$B,$B89,ConfirmedRaw!BF:BF)</f>
        <v>6</v>
      </c>
      <c r="BE89">
        <f>SUMIF(ConfirmedRaw!$B:$B,$B89,ConfirmedRaw!BG:BG)</f>
        <v>8</v>
      </c>
      <c r="BF89">
        <f>SUMIF(ConfirmedRaw!$B:$B,$B89,ConfirmedRaw!BH:BH)</f>
        <v>9</v>
      </c>
      <c r="BG89">
        <f>SUMIF(ConfirmedRaw!$B:$B,$B89,ConfirmedRaw!BI:BI)</f>
        <v>11</v>
      </c>
      <c r="BH89">
        <f>SUMIF(ConfirmedRaw!$B:$B,$B89,ConfirmedRaw!BJ:BJ)</f>
        <v>11</v>
      </c>
      <c r="BI89">
        <f>SUMIF(ConfirmedRaw!$B:$B,$B89,ConfirmedRaw!BK:BK)</f>
        <v>13</v>
      </c>
      <c r="BJ89">
        <f>SUMIF(ConfirmedRaw!$B:$B,$B89,ConfirmedRaw!BL:BL)</f>
        <v>18</v>
      </c>
      <c r="BK89">
        <f>SUMIF(ConfirmedRaw!$B:$B,$B89,ConfirmedRaw!BM:BM)</f>
        <v>22</v>
      </c>
      <c r="BL89">
        <f>SUMIF(ConfirmedRaw!$B:$B,$B89,ConfirmedRaw!BN:BN)</f>
        <v>22</v>
      </c>
      <c r="BM89">
        <f>SUMIF(ConfirmedRaw!$B:$B,$B89,ConfirmedRaw!BO:BO)</f>
        <v>27</v>
      </c>
      <c r="BN89">
        <f>SUMIF(ConfirmedRaw!$B:$B,$B89,ConfirmedRaw!BP:BP)</f>
        <v>37</v>
      </c>
      <c r="BO89">
        <f>SUMIF(ConfirmedRaw!$B:$B,$B89,ConfirmedRaw!BQ:BQ)</f>
        <v>41</v>
      </c>
      <c r="BP89">
        <f>SUMIF(ConfirmedRaw!$B:$B,$B89,ConfirmedRaw!BR:BR)</f>
        <v>52</v>
      </c>
      <c r="BQ89">
        <f>SUMIF(ConfirmedRaw!$B:$B,$B89,ConfirmedRaw!BS:BS)</f>
        <v>56</v>
      </c>
      <c r="BR89">
        <f>SUMIF(ConfirmedRaw!$B:$B,$B89,ConfirmedRaw!BT:BT)</f>
        <v>0</v>
      </c>
      <c r="BS89">
        <f>SUMIF(ConfirmedRaw!$B:$B,$B89,ConfirmedRaw!BU:BU)</f>
        <v>0</v>
      </c>
      <c r="BT89">
        <f>SUMIF(ConfirmedRaw!$B:$B,$B89,ConfirmedRaw!BV:BV)</f>
        <v>0</v>
      </c>
      <c r="BU89">
        <f>SUMIF(ConfirmedRaw!$B:$B,$B89,ConfirmedRaw!BW:BW)</f>
        <v>0</v>
      </c>
    </row>
    <row r="90" spans="1:73" ht="15" thickBot="1" x14ac:dyDescent="0.35">
      <c r="A90" s="97" t="str">
        <f>VLOOKUP(B90,Country_Data!B:Q,16,FALSE)</f>
        <v>Asia</v>
      </c>
      <c r="B90" s="3" t="s">
        <v>52</v>
      </c>
      <c r="C90">
        <f>SUMIF(ConfirmedRaw!$B:$B,$B90,ConfirmedRaw!E:E)</f>
        <v>0</v>
      </c>
      <c r="D90">
        <f>SUMIF(ConfirmedRaw!$B:$B,$B90,ConfirmedRaw!F:F)</f>
        <v>0</v>
      </c>
      <c r="E90">
        <f>SUMIF(ConfirmedRaw!$B:$B,$B90,ConfirmedRaw!G:G)</f>
        <v>0</v>
      </c>
      <c r="F90">
        <f>SUMIF(ConfirmedRaw!$B:$B,$B90,ConfirmedRaw!H:H)</f>
        <v>0</v>
      </c>
      <c r="G90">
        <f>SUMIF(ConfirmedRaw!$B:$B,$B90,ConfirmedRaw!I:I)</f>
        <v>0</v>
      </c>
      <c r="H90">
        <f>SUMIF(ConfirmedRaw!$B:$B,$B90,ConfirmedRaw!J:J)</f>
        <v>1</v>
      </c>
      <c r="I90">
        <f>SUMIF(ConfirmedRaw!$B:$B,$B90,ConfirmedRaw!K:K)</f>
        <v>1</v>
      </c>
      <c r="J90">
        <f>SUMIF(ConfirmedRaw!$B:$B,$B90,ConfirmedRaw!L:L)</f>
        <v>1</v>
      </c>
      <c r="K90">
        <f>SUMIF(ConfirmedRaw!$B:$B,$B90,ConfirmedRaw!M:M)</f>
        <v>1</v>
      </c>
      <c r="L90">
        <f>SUMIF(ConfirmedRaw!$B:$B,$B90,ConfirmedRaw!N:N)</f>
        <v>1</v>
      </c>
      <c r="M90">
        <f>SUMIF(ConfirmedRaw!$B:$B,$B90,ConfirmedRaw!O:O)</f>
        <v>1</v>
      </c>
      <c r="N90">
        <f>SUMIF(ConfirmedRaw!$B:$B,$B90,ConfirmedRaw!P:P)</f>
        <v>1</v>
      </c>
      <c r="O90">
        <f>SUMIF(ConfirmedRaw!$B:$B,$B90,ConfirmedRaw!Q:Q)</f>
        <v>1</v>
      </c>
      <c r="P90">
        <f>SUMIF(ConfirmedRaw!$B:$B,$B90,ConfirmedRaw!R:R)</f>
        <v>1</v>
      </c>
      <c r="Q90">
        <f>SUMIF(ConfirmedRaw!$B:$B,$B90,ConfirmedRaw!S:S)</f>
        <v>1</v>
      </c>
      <c r="R90">
        <f>SUMIF(ConfirmedRaw!$B:$B,$B90,ConfirmedRaw!T:T)</f>
        <v>1</v>
      </c>
      <c r="S90">
        <f>SUMIF(ConfirmedRaw!$B:$B,$B90,ConfirmedRaw!U:U)</f>
        <v>1</v>
      </c>
      <c r="T90">
        <f>SUMIF(ConfirmedRaw!$B:$B,$B90,ConfirmedRaw!V:V)</f>
        <v>1</v>
      </c>
      <c r="U90">
        <f>SUMIF(ConfirmedRaw!$B:$B,$B90,ConfirmedRaw!W:W)</f>
        <v>1</v>
      </c>
      <c r="V90">
        <f>SUMIF(ConfirmedRaw!$B:$B,$B90,ConfirmedRaw!X:X)</f>
        <v>1</v>
      </c>
      <c r="W90">
        <f>SUMIF(ConfirmedRaw!$B:$B,$B90,ConfirmedRaw!Y:Y)</f>
        <v>1</v>
      </c>
      <c r="X90">
        <f>SUMIF(ConfirmedRaw!$B:$B,$B90,ConfirmedRaw!Z:Z)</f>
        <v>1</v>
      </c>
      <c r="Y90">
        <f>SUMIF(ConfirmedRaw!$B:$B,$B90,ConfirmedRaw!AA:AA)</f>
        <v>1</v>
      </c>
      <c r="Z90">
        <f>SUMIF(ConfirmedRaw!$B:$B,$B90,ConfirmedRaw!AB:AB)</f>
        <v>1</v>
      </c>
      <c r="AA90">
        <f>SUMIF(ConfirmedRaw!$B:$B,$B90,ConfirmedRaw!AC:AC)</f>
        <v>1</v>
      </c>
      <c r="AB90">
        <f>SUMIF(ConfirmedRaw!$B:$B,$B90,ConfirmedRaw!AD:AD)</f>
        <v>1</v>
      </c>
      <c r="AC90">
        <f>SUMIF(ConfirmedRaw!$B:$B,$B90,ConfirmedRaw!AE:AE)</f>
        <v>1</v>
      </c>
      <c r="AD90">
        <f>SUMIF(ConfirmedRaw!$B:$B,$B90,ConfirmedRaw!AF:AF)</f>
        <v>1</v>
      </c>
      <c r="AE90">
        <f>SUMIF(ConfirmedRaw!$B:$B,$B90,ConfirmedRaw!AG:AG)</f>
        <v>1</v>
      </c>
      <c r="AF90">
        <f>SUMIF(ConfirmedRaw!$B:$B,$B90,ConfirmedRaw!AH:AH)</f>
        <v>1</v>
      </c>
      <c r="AG90">
        <f>SUMIF(ConfirmedRaw!$B:$B,$B90,ConfirmedRaw!AI:AI)</f>
        <v>1</v>
      </c>
      <c r="AH90">
        <f>SUMIF(ConfirmedRaw!$B:$B,$B90,ConfirmedRaw!AJ:AJ)</f>
        <v>1</v>
      </c>
      <c r="AI90">
        <f>SUMIF(ConfirmedRaw!$B:$B,$B90,ConfirmedRaw!AK:AK)</f>
        <v>1</v>
      </c>
      <c r="AJ90">
        <f>SUMIF(ConfirmedRaw!$B:$B,$B90,ConfirmedRaw!AL:AL)</f>
        <v>1</v>
      </c>
      <c r="AK90">
        <f>SUMIF(ConfirmedRaw!$B:$B,$B90,ConfirmedRaw!AM:AM)</f>
        <v>1</v>
      </c>
      <c r="AL90">
        <f>SUMIF(ConfirmedRaw!$B:$B,$B90,ConfirmedRaw!AN:AN)</f>
        <v>1</v>
      </c>
      <c r="AM90">
        <f>SUMIF(ConfirmedRaw!$B:$B,$B90,ConfirmedRaw!AO:AO)</f>
        <v>1</v>
      </c>
      <c r="AN90">
        <f>SUMIF(ConfirmedRaw!$B:$B,$B90,ConfirmedRaw!AP:AP)</f>
        <v>1</v>
      </c>
      <c r="AO90">
        <f>SUMIF(ConfirmedRaw!$B:$B,$B90,ConfirmedRaw!AQ:AQ)</f>
        <v>1</v>
      </c>
      <c r="AP90">
        <f>SUMIF(ConfirmedRaw!$B:$B,$B90,ConfirmedRaw!AR:AR)</f>
        <v>1</v>
      </c>
      <c r="AQ90">
        <f>SUMIF(ConfirmedRaw!$B:$B,$B90,ConfirmedRaw!AS:AS)</f>
        <v>1</v>
      </c>
      <c r="AR90">
        <f>SUMIF(ConfirmedRaw!$B:$B,$B90,ConfirmedRaw!AT:AT)</f>
        <v>1</v>
      </c>
      <c r="AS90">
        <f>SUMIF(ConfirmedRaw!$B:$B,$B90,ConfirmedRaw!AU:AU)</f>
        <v>1</v>
      </c>
      <c r="AT90">
        <f>SUMIF(ConfirmedRaw!$B:$B,$B90,ConfirmedRaw!AV:AV)</f>
        <v>1</v>
      </c>
      <c r="AU90">
        <f>SUMIF(ConfirmedRaw!$B:$B,$B90,ConfirmedRaw!AW:AW)</f>
        <v>1</v>
      </c>
      <c r="AV90">
        <f>SUMIF(ConfirmedRaw!$B:$B,$B90,ConfirmedRaw!AX:AX)</f>
        <v>1</v>
      </c>
      <c r="AW90">
        <f>SUMIF(ConfirmedRaw!$B:$B,$B90,ConfirmedRaw!AY:AY)</f>
        <v>1</v>
      </c>
      <c r="AX90">
        <f>SUMIF(ConfirmedRaw!$B:$B,$B90,ConfirmedRaw!AZ:AZ)</f>
        <v>1</v>
      </c>
      <c r="AY90">
        <f>SUMIF(ConfirmedRaw!$B:$B,$B90,ConfirmedRaw!BA:BA)</f>
        <v>1</v>
      </c>
      <c r="AZ90">
        <f>SUMIF(ConfirmedRaw!$B:$B,$B90,ConfirmedRaw!BB:BB)</f>
        <v>2</v>
      </c>
      <c r="BA90">
        <f>SUMIF(ConfirmedRaw!$B:$B,$B90,ConfirmedRaw!BC:BC)</f>
        <v>2</v>
      </c>
      <c r="BB90">
        <f>SUMIF(ConfirmedRaw!$B:$B,$B90,ConfirmedRaw!BD:BD)</f>
        <v>6</v>
      </c>
      <c r="BC90">
        <f>SUMIF(ConfirmedRaw!$B:$B,$B90,ConfirmedRaw!BE:BE)</f>
        <v>10</v>
      </c>
      <c r="BD90">
        <f>SUMIF(ConfirmedRaw!$B:$B,$B90,ConfirmedRaw!BF:BF)</f>
        <v>18</v>
      </c>
      <c r="BE90">
        <f>SUMIF(ConfirmedRaw!$B:$B,$B90,ConfirmedRaw!BG:BG)</f>
        <v>28</v>
      </c>
      <c r="BF90">
        <f>SUMIF(ConfirmedRaw!$B:$B,$B90,ConfirmedRaw!BH:BH)</f>
        <v>44</v>
      </c>
      <c r="BG90">
        <f>SUMIF(ConfirmedRaw!$B:$B,$B90,ConfirmedRaw!BI:BI)</f>
        <v>51</v>
      </c>
      <c r="BH90">
        <f>SUMIF(ConfirmedRaw!$B:$B,$B90,ConfirmedRaw!BJ:BJ)</f>
        <v>60</v>
      </c>
      <c r="BI90">
        <f>SUMIF(ConfirmedRaw!$B:$B,$B90,ConfirmedRaw!BK:BK)</f>
        <v>73</v>
      </c>
      <c r="BJ90">
        <f>SUMIF(ConfirmedRaw!$B:$B,$B90,ConfirmedRaw!BL:BL)</f>
        <v>77</v>
      </c>
      <c r="BK90">
        <f>SUMIF(ConfirmedRaw!$B:$B,$B90,ConfirmedRaw!BM:BM)</f>
        <v>82</v>
      </c>
      <c r="BL90">
        <f>SUMIF(ConfirmedRaw!$B:$B,$B90,ConfirmedRaw!BN:BN)</f>
        <v>97</v>
      </c>
      <c r="BM90">
        <f>SUMIF(ConfirmedRaw!$B:$B,$B90,ConfirmedRaw!BO:BO)</f>
        <v>102</v>
      </c>
      <c r="BN90">
        <f>SUMIF(ConfirmedRaw!$B:$B,$B90,ConfirmedRaw!BP:BP)</f>
        <v>102</v>
      </c>
      <c r="BO90">
        <f>SUMIF(ConfirmedRaw!$B:$B,$B90,ConfirmedRaw!BQ:BQ)</f>
        <v>106</v>
      </c>
      <c r="BP90">
        <f>SUMIF(ConfirmedRaw!$B:$B,$B90,ConfirmedRaw!BR:BR)</f>
        <v>106</v>
      </c>
      <c r="BQ90">
        <f>SUMIF(ConfirmedRaw!$B:$B,$B90,ConfirmedRaw!BS:BS)</f>
        <v>113</v>
      </c>
      <c r="BR90">
        <f>SUMIF(ConfirmedRaw!$B:$B,$B90,ConfirmedRaw!BT:BT)</f>
        <v>0</v>
      </c>
      <c r="BS90">
        <f>SUMIF(ConfirmedRaw!$B:$B,$B90,ConfirmedRaw!BU:BU)</f>
        <v>0</v>
      </c>
      <c r="BT90">
        <f>SUMIF(ConfirmedRaw!$B:$B,$B90,ConfirmedRaw!BV:BV)</f>
        <v>0</v>
      </c>
      <c r="BU90">
        <f>SUMIF(ConfirmedRaw!$B:$B,$B90,ConfirmedRaw!BW:BW)</f>
        <v>0</v>
      </c>
    </row>
    <row r="91" spans="1:73" ht="15" thickBot="1" x14ac:dyDescent="0.35">
      <c r="A91" s="97" t="str">
        <f>VLOOKUP(B91,Country_Data!B:Q,16,FALSE)</f>
        <v>South America</v>
      </c>
      <c r="B91" s="4" t="s">
        <v>51</v>
      </c>
      <c r="C91">
        <f>SUMIF(ConfirmedRaw!$B:$B,$B91,ConfirmedRaw!E:E)</f>
        <v>0</v>
      </c>
      <c r="D91">
        <f>SUMIF(ConfirmedRaw!$B:$B,$B91,ConfirmedRaw!F:F)</f>
        <v>0</v>
      </c>
      <c r="E91">
        <f>SUMIF(ConfirmedRaw!$B:$B,$B91,ConfirmedRaw!G:G)</f>
        <v>0</v>
      </c>
      <c r="F91">
        <f>SUMIF(ConfirmedRaw!$B:$B,$B91,ConfirmedRaw!H:H)</f>
        <v>0</v>
      </c>
      <c r="G91">
        <f>SUMIF(ConfirmedRaw!$B:$B,$B91,ConfirmedRaw!I:I)</f>
        <v>0</v>
      </c>
      <c r="H91">
        <f>SUMIF(ConfirmedRaw!$B:$B,$B91,ConfirmedRaw!J:J)</f>
        <v>1</v>
      </c>
      <c r="I91">
        <f>SUMIF(ConfirmedRaw!$B:$B,$B91,ConfirmedRaw!K:K)</f>
        <v>1</v>
      </c>
      <c r="J91">
        <f>SUMIF(ConfirmedRaw!$B:$B,$B91,ConfirmedRaw!L:L)</f>
        <v>1</v>
      </c>
      <c r="K91">
        <f>SUMIF(ConfirmedRaw!$B:$B,$B91,ConfirmedRaw!M:M)</f>
        <v>1</v>
      </c>
      <c r="L91">
        <f>SUMIF(ConfirmedRaw!$B:$B,$B91,ConfirmedRaw!N:N)</f>
        <v>1</v>
      </c>
      <c r="M91">
        <f>SUMIF(ConfirmedRaw!$B:$B,$B91,ConfirmedRaw!O:O)</f>
        <v>1</v>
      </c>
      <c r="N91">
        <f>SUMIF(ConfirmedRaw!$B:$B,$B91,ConfirmedRaw!P:P)</f>
        <v>1</v>
      </c>
      <c r="O91">
        <f>SUMIF(ConfirmedRaw!$B:$B,$B91,ConfirmedRaw!Q:Q)</f>
        <v>1</v>
      </c>
      <c r="P91">
        <f>SUMIF(ConfirmedRaw!$B:$B,$B91,ConfirmedRaw!R:R)</f>
        <v>1</v>
      </c>
      <c r="Q91">
        <f>SUMIF(ConfirmedRaw!$B:$B,$B91,ConfirmedRaw!S:S)</f>
        <v>1</v>
      </c>
      <c r="R91">
        <f>SUMIF(ConfirmedRaw!$B:$B,$B91,ConfirmedRaw!T:T)</f>
        <v>1</v>
      </c>
      <c r="S91">
        <f>SUMIF(ConfirmedRaw!$B:$B,$B91,ConfirmedRaw!U:U)</f>
        <v>1</v>
      </c>
      <c r="T91">
        <f>SUMIF(ConfirmedRaw!$B:$B,$B91,ConfirmedRaw!V:V)</f>
        <v>1</v>
      </c>
      <c r="U91">
        <f>SUMIF(ConfirmedRaw!$B:$B,$B91,ConfirmedRaw!W:W)</f>
        <v>1</v>
      </c>
      <c r="V91">
        <f>SUMIF(ConfirmedRaw!$B:$B,$B91,ConfirmedRaw!X:X)</f>
        <v>1</v>
      </c>
      <c r="W91">
        <f>SUMIF(ConfirmedRaw!$B:$B,$B91,ConfirmedRaw!Y:Y)</f>
        <v>1</v>
      </c>
      <c r="X91">
        <f>SUMIF(ConfirmedRaw!$B:$B,$B91,ConfirmedRaw!Z:Z)</f>
        <v>1</v>
      </c>
      <c r="Y91">
        <f>SUMIF(ConfirmedRaw!$B:$B,$B91,ConfirmedRaw!AA:AA)</f>
        <v>1</v>
      </c>
      <c r="Z91">
        <f>SUMIF(ConfirmedRaw!$B:$B,$B91,ConfirmedRaw!AB:AB)</f>
        <v>1</v>
      </c>
      <c r="AA91">
        <f>SUMIF(ConfirmedRaw!$B:$B,$B91,ConfirmedRaw!AC:AC)</f>
        <v>1</v>
      </c>
      <c r="AB91">
        <f>SUMIF(ConfirmedRaw!$B:$B,$B91,ConfirmedRaw!AD:AD)</f>
        <v>1</v>
      </c>
      <c r="AC91">
        <f>SUMIF(ConfirmedRaw!$B:$B,$B91,ConfirmedRaw!AE:AE)</f>
        <v>1</v>
      </c>
      <c r="AD91">
        <f>SUMIF(ConfirmedRaw!$B:$B,$B91,ConfirmedRaw!AF:AF)</f>
        <v>1</v>
      </c>
      <c r="AE91">
        <f>SUMIF(ConfirmedRaw!$B:$B,$B91,ConfirmedRaw!AG:AG)</f>
        <v>1</v>
      </c>
      <c r="AF91">
        <f>SUMIF(ConfirmedRaw!$B:$B,$B91,ConfirmedRaw!AH:AH)</f>
        <v>1</v>
      </c>
      <c r="AG91">
        <f>SUMIF(ConfirmedRaw!$B:$B,$B91,ConfirmedRaw!AI:AI)</f>
        <v>1</v>
      </c>
      <c r="AH91">
        <f>SUMIF(ConfirmedRaw!$B:$B,$B91,ConfirmedRaw!AJ:AJ)</f>
        <v>1</v>
      </c>
      <c r="AI91">
        <f>SUMIF(ConfirmedRaw!$B:$B,$B91,ConfirmedRaw!AK:AK)</f>
        <v>1</v>
      </c>
      <c r="AJ91">
        <f>SUMIF(ConfirmedRaw!$B:$B,$B91,ConfirmedRaw!AL:AL)</f>
        <v>1</v>
      </c>
      <c r="AK91">
        <f>SUMIF(ConfirmedRaw!$B:$B,$B91,ConfirmedRaw!AM:AM)</f>
        <v>1</v>
      </c>
      <c r="AL91">
        <f>SUMIF(ConfirmedRaw!$B:$B,$B91,ConfirmedRaw!AN:AN)</f>
        <v>1</v>
      </c>
      <c r="AM91">
        <f>SUMIF(ConfirmedRaw!$B:$B,$B91,ConfirmedRaw!AO:AO)</f>
        <v>1</v>
      </c>
      <c r="AN91">
        <f>SUMIF(ConfirmedRaw!$B:$B,$B91,ConfirmedRaw!AP:AP)</f>
        <v>1</v>
      </c>
      <c r="AO91">
        <f>SUMIF(ConfirmedRaw!$B:$B,$B91,ConfirmedRaw!AQ:AQ)</f>
        <v>1</v>
      </c>
      <c r="AP91">
        <f>SUMIF(ConfirmedRaw!$B:$B,$B91,ConfirmedRaw!AR:AR)</f>
        <v>1</v>
      </c>
      <c r="AQ91">
        <f>SUMIF(ConfirmedRaw!$B:$B,$B91,ConfirmedRaw!AS:AS)</f>
        <v>1</v>
      </c>
      <c r="AR91">
        <f>SUMIF(ConfirmedRaw!$B:$B,$B91,ConfirmedRaw!AT:AT)</f>
        <v>1</v>
      </c>
      <c r="AS91">
        <f>SUMIF(ConfirmedRaw!$B:$B,$B91,ConfirmedRaw!AU:AU)</f>
        <v>1</v>
      </c>
      <c r="AT91">
        <f>SUMIF(ConfirmedRaw!$B:$B,$B91,ConfirmedRaw!AV:AV)</f>
        <v>1</v>
      </c>
      <c r="AU91">
        <f>SUMIF(ConfirmedRaw!$B:$B,$B91,ConfirmedRaw!AW:AW)</f>
        <v>1</v>
      </c>
      <c r="AV91">
        <f>SUMIF(ConfirmedRaw!$B:$B,$B91,ConfirmedRaw!AX:AX)</f>
        <v>1</v>
      </c>
      <c r="AW91">
        <f>SUMIF(ConfirmedRaw!$B:$B,$B91,ConfirmedRaw!AY:AY)</f>
        <v>2</v>
      </c>
      <c r="AX91">
        <f>SUMIF(ConfirmedRaw!$B:$B,$B91,ConfirmedRaw!AZ:AZ)</f>
        <v>2</v>
      </c>
      <c r="AY91">
        <f>SUMIF(ConfirmedRaw!$B:$B,$B91,ConfirmedRaw!BA:BA)</f>
        <v>2</v>
      </c>
      <c r="AZ91">
        <f>SUMIF(ConfirmedRaw!$B:$B,$B91,ConfirmedRaw!BB:BB)</f>
        <v>3</v>
      </c>
      <c r="BA91">
        <f>SUMIF(ConfirmedRaw!$B:$B,$B91,ConfirmedRaw!BC:BC)</f>
        <v>3</v>
      </c>
      <c r="BB91">
        <f>SUMIF(ConfirmedRaw!$B:$B,$B91,ConfirmedRaw!BD:BD)</f>
        <v>5</v>
      </c>
      <c r="BC91">
        <f>SUMIF(ConfirmedRaw!$B:$B,$B91,ConfirmedRaw!BE:BE)</f>
        <v>7</v>
      </c>
      <c r="BD91">
        <f>SUMIF(ConfirmedRaw!$B:$B,$B91,ConfirmedRaw!BF:BF)</f>
        <v>7</v>
      </c>
      <c r="BE91">
        <f>SUMIF(ConfirmedRaw!$B:$B,$B91,ConfirmedRaw!BG:BG)</f>
        <v>7</v>
      </c>
      <c r="BF91">
        <f>SUMIF(ConfirmedRaw!$B:$B,$B91,ConfirmedRaw!BH:BH)</f>
        <v>33</v>
      </c>
      <c r="BG91">
        <f>SUMIF(ConfirmedRaw!$B:$B,$B91,ConfirmedRaw!BI:BI)</f>
        <v>35</v>
      </c>
      <c r="BH91">
        <f>SUMIF(ConfirmedRaw!$B:$B,$B91,ConfirmedRaw!BJ:BJ)</f>
        <v>37</v>
      </c>
      <c r="BI91">
        <f>SUMIF(ConfirmedRaw!$B:$B,$B91,ConfirmedRaw!BK:BK)</f>
        <v>51</v>
      </c>
      <c r="BJ91">
        <f>SUMIF(ConfirmedRaw!$B:$B,$B91,ConfirmedRaw!BL:BL)</f>
        <v>53</v>
      </c>
      <c r="BK91">
        <f>SUMIF(ConfirmedRaw!$B:$B,$B91,ConfirmedRaw!BM:BM)</f>
        <v>84</v>
      </c>
      <c r="BL91">
        <f>SUMIF(ConfirmedRaw!$B:$B,$B91,ConfirmedRaw!BN:BN)</f>
        <v>87</v>
      </c>
      <c r="BM91">
        <f>SUMIF(ConfirmedRaw!$B:$B,$B91,ConfirmedRaw!BO:BO)</f>
        <v>91</v>
      </c>
      <c r="BN91">
        <f>SUMIF(ConfirmedRaw!$B:$B,$B91,ConfirmedRaw!BP:BP)</f>
        <v>96</v>
      </c>
      <c r="BO91">
        <f>SUMIF(ConfirmedRaw!$B:$B,$B91,ConfirmedRaw!BQ:BQ)</f>
        <v>96</v>
      </c>
      <c r="BP91">
        <f>SUMIF(ConfirmedRaw!$B:$B,$B91,ConfirmedRaw!BR:BR)</f>
        <v>99</v>
      </c>
      <c r="BQ91">
        <f>SUMIF(ConfirmedRaw!$B:$B,$B91,ConfirmedRaw!BS:BS)</f>
        <v>99</v>
      </c>
      <c r="BR91">
        <f>SUMIF(ConfirmedRaw!$B:$B,$B91,ConfirmedRaw!BT:BT)</f>
        <v>0</v>
      </c>
      <c r="BS91">
        <f>SUMIF(ConfirmedRaw!$B:$B,$B91,ConfirmedRaw!BU:BU)</f>
        <v>0</v>
      </c>
      <c r="BT91">
        <f>SUMIF(ConfirmedRaw!$B:$B,$B91,ConfirmedRaw!BV:BV)</f>
        <v>0</v>
      </c>
      <c r="BU91">
        <f>SUMIF(ConfirmedRaw!$B:$B,$B91,ConfirmedRaw!BW:BW)</f>
        <v>0</v>
      </c>
    </row>
    <row r="92" spans="1:73" ht="15" thickBot="1" x14ac:dyDescent="0.35">
      <c r="A92" s="97" t="str">
        <f>VLOOKUP(B92,Country_Data!B:Q,16,FALSE)</f>
        <v>South America</v>
      </c>
      <c r="B92" s="3" t="s">
        <v>106</v>
      </c>
      <c r="C92">
        <f>SUMIF(ConfirmedRaw!$B:$B,$B92,ConfirmedRaw!E:E)</f>
        <v>0</v>
      </c>
      <c r="D92">
        <f>SUMIF(ConfirmedRaw!$B:$B,$B92,ConfirmedRaw!F:F)</f>
        <v>0</v>
      </c>
      <c r="E92">
        <f>SUMIF(ConfirmedRaw!$B:$B,$B92,ConfirmedRaw!G:G)</f>
        <v>0</v>
      </c>
      <c r="F92">
        <f>SUMIF(ConfirmedRaw!$B:$B,$B92,ConfirmedRaw!H:H)</f>
        <v>0</v>
      </c>
      <c r="G92">
        <f>SUMIF(ConfirmedRaw!$B:$B,$B92,ConfirmedRaw!I:I)</f>
        <v>0</v>
      </c>
      <c r="H92">
        <f>SUMIF(ConfirmedRaw!$B:$B,$B92,ConfirmedRaw!J:J)</f>
        <v>0</v>
      </c>
      <c r="I92">
        <f>SUMIF(ConfirmedRaw!$B:$B,$B92,ConfirmedRaw!K:K)</f>
        <v>0</v>
      </c>
      <c r="J92">
        <f>SUMIF(ConfirmedRaw!$B:$B,$B92,ConfirmedRaw!L:L)</f>
        <v>0</v>
      </c>
      <c r="K92">
        <f>SUMIF(ConfirmedRaw!$B:$B,$B92,ConfirmedRaw!M:M)</f>
        <v>0</v>
      </c>
      <c r="L92">
        <f>SUMIF(ConfirmedRaw!$B:$B,$B92,ConfirmedRaw!N:N)</f>
        <v>0</v>
      </c>
      <c r="M92">
        <f>SUMIF(ConfirmedRaw!$B:$B,$B92,ConfirmedRaw!O:O)</f>
        <v>0</v>
      </c>
      <c r="N92">
        <f>SUMIF(ConfirmedRaw!$B:$B,$B92,ConfirmedRaw!P:P)</f>
        <v>0</v>
      </c>
      <c r="O92">
        <f>SUMIF(ConfirmedRaw!$B:$B,$B92,ConfirmedRaw!Q:Q)</f>
        <v>0</v>
      </c>
      <c r="P92">
        <f>SUMIF(ConfirmedRaw!$B:$B,$B92,ConfirmedRaw!R:R)</f>
        <v>0</v>
      </c>
      <c r="Q92">
        <f>SUMIF(ConfirmedRaw!$B:$B,$B92,ConfirmedRaw!S:S)</f>
        <v>0</v>
      </c>
      <c r="R92">
        <f>SUMIF(ConfirmedRaw!$B:$B,$B92,ConfirmedRaw!T:T)</f>
        <v>0</v>
      </c>
      <c r="S92">
        <f>SUMIF(ConfirmedRaw!$B:$B,$B92,ConfirmedRaw!U:U)</f>
        <v>0</v>
      </c>
      <c r="T92">
        <f>SUMIF(ConfirmedRaw!$B:$B,$B92,ConfirmedRaw!V:V)</f>
        <v>0</v>
      </c>
      <c r="U92">
        <f>SUMIF(ConfirmedRaw!$B:$B,$B92,ConfirmedRaw!W:W)</f>
        <v>0</v>
      </c>
      <c r="V92">
        <f>SUMIF(ConfirmedRaw!$B:$B,$B92,ConfirmedRaw!X:X)</f>
        <v>0</v>
      </c>
      <c r="W92">
        <f>SUMIF(ConfirmedRaw!$B:$B,$B92,ConfirmedRaw!Y:Y)</f>
        <v>0</v>
      </c>
      <c r="X92">
        <f>SUMIF(ConfirmedRaw!$B:$B,$B92,ConfirmedRaw!Z:Z)</f>
        <v>0</v>
      </c>
      <c r="Y92">
        <f>SUMIF(ConfirmedRaw!$B:$B,$B92,ConfirmedRaw!AA:AA)</f>
        <v>0</v>
      </c>
      <c r="Z92">
        <f>SUMIF(ConfirmedRaw!$B:$B,$B92,ConfirmedRaw!AB:AB)</f>
        <v>0</v>
      </c>
      <c r="AA92">
        <f>SUMIF(ConfirmedRaw!$B:$B,$B92,ConfirmedRaw!AC:AC)</f>
        <v>0</v>
      </c>
      <c r="AB92">
        <f>SUMIF(ConfirmedRaw!$B:$B,$B92,ConfirmedRaw!AD:AD)</f>
        <v>0</v>
      </c>
      <c r="AC92">
        <f>SUMIF(ConfirmedRaw!$B:$B,$B92,ConfirmedRaw!AE:AE)</f>
        <v>0</v>
      </c>
      <c r="AD92">
        <f>SUMIF(ConfirmedRaw!$B:$B,$B92,ConfirmedRaw!AF:AF)</f>
        <v>0</v>
      </c>
      <c r="AE92">
        <f>SUMIF(ConfirmedRaw!$B:$B,$B92,ConfirmedRaw!AG:AG)</f>
        <v>0</v>
      </c>
      <c r="AF92">
        <f>SUMIF(ConfirmedRaw!$B:$B,$B92,ConfirmedRaw!AH:AH)</f>
        <v>0</v>
      </c>
      <c r="AG92">
        <f>SUMIF(ConfirmedRaw!$B:$B,$B92,ConfirmedRaw!AI:AI)</f>
        <v>0</v>
      </c>
      <c r="AH92">
        <f>SUMIF(ConfirmedRaw!$B:$B,$B92,ConfirmedRaw!AJ:AJ)</f>
        <v>0</v>
      </c>
      <c r="AI92">
        <f>SUMIF(ConfirmedRaw!$B:$B,$B92,ConfirmedRaw!AK:AK)</f>
        <v>0</v>
      </c>
      <c r="AJ92">
        <f>SUMIF(ConfirmedRaw!$B:$B,$B92,ConfirmedRaw!AL:AL)</f>
        <v>0</v>
      </c>
      <c r="AK92">
        <f>SUMIF(ConfirmedRaw!$B:$B,$B92,ConfirmedRaw!AM:AM)</f>
        <v>0</v>
      </c>
      <c r="AL92">
        <f>SUMIF(ConfirmedRaw!$B:$B,$B92,ConfirmedRaw!AN:AN)</f>
        <v>0</v>
      </c>
      <c r="AM92">
        <f>SUMIF(ConfirmedRaw!$B:$B,$B92,ConfirmedRaw!AO:AO)</f>
        <v>0</v>
      </c>
      <c r="AN92">
        <f>SUMIF(ConfirmedRaw!$B:$B,$B92,ConfirmedRaw!AP:AP)</f>
        <v>0</v>
      </c>
      <c r="AO92">
        <f>SUMIF(ConfirmedRaw!$B:$B,$B92,ConfirmedRaw!AQ:AQ)</f>
        <v>0</v>
      </c>
      <c r="AP92">
        <f>SUMIF(ConfirmedRaw!$B:$B,$B92,ConfirmedRaw!AR:AR)</f>
        <v>1</v>
      </c>
      <c r="AQ92">
        <f>SUMIF(ConfirmedRaw!$B:$B,$B92,ConfirmedRaw!AS:AS)</f>
        <v>1</v>
      </c>
      <c r="AR92">
        <f>SUMIF(ConfirmedRaw!$B:$B,$B92,ConfirmedRaw!AT:AT)</f>
        <v>1</v>
      </c>
      <c r="AS92">
        <f>SUMIF(ConfirmedRaw!$B:$B,$B92,ConfirmedRaw!AU:AU)</f>
        <v>1</v>
      </c>
      <c r="AT92">
        <f>SUMIF(ConfirmedRaw!$B:$B,$B92,ConfirmedRaw!AV:AV)</f>
        <v>1</v>
      </c>
      <c r="AU92">
        <f>SUMIF(ConfirmedRaw!$B:$B,$B92,ConfirmedRaw!AW:AW)</f>
        <v>2</v>
      </c>
      <c r="AV92">
        <f>SUMIF(ConfirmedRaw!$B:$B,$B92,ConfirmedRaw!AX:AX)</f>
        <v>2</v>
      </c>
      <c r="AW92">
        <f>SUMIF(ConfirmedRaw!$B:$B,$B92,ConfirmedRaw!AY:AY)</f>
        <v>5</v>
      </c>
      <c r="AX92">
        <f>SUMIF(ConfirmedRaw!$B:$B,$B92,ConfirmedRaw!AZ:AZ)</f>
        <v>5</v>
      </c>
      <c r="AY92">
        <f>SUMIF(ConfirmedRaw!$B:$B,$B92,ConfirmedRaw!BA:BA)</f>
        <v>5</v>
      </c>
      <c r="AZ92">
        <f>SUMIF(ConfirmedRaw!$B:$B,$B92,ConfirmedRaw!BB:BB)</f>
        <v>5</v>
      </c>
      <c r="BA92">
        <f>SUMIF(ConfirmedRaw!$B:$B,$B92,ConfirmedRaw!BC:BC)</f>
        <v>5</v>
      </c>
      <c r="BB92">
        <f>SUMIF(ConfirmedRaw!$B:$B,$B92,ConfirmedRaw!BD:BD)</f>
        <v>5</v>
      </c>
      <c r="BC92">
        <f>SUMIF(ConfirmedRaw!$B:$B,$B92,ConfirmedRaw!BE:BE)</f>
        <v>11</v>
      </c>
      <c r="BD92">
        <f>SUMIF(ConfirmedRaw!$B:$B,$B92,ConfirmedRaw!BF:BF)</f>
        <v>11</v>
      </c>
      <c r="BE92">
        <f>SUMIF(ConfirmedRaw!$B:$B,$B92,ConfirmedRaw!BG:BG)</f>
        <v>11</v>
      </c>
      <c r="BF92">
        <f>SUMIF(ConfirmedRaw!$B:$B,$B92,ConfirmedRaw!BH:BH)</f>
        <v>21</v>
      </c>
      <c r="BG92">
        <f>SUMIF(ConfirmedRaw!$B:$B,$B92,ConfirmedRaw!BI:BI)</f>
        <v>21</v>
      </c>
      <c r="BH92">
        <f>SUMIF(ConfirmedRaw!$B:$B,$B92,ConfirmedRaw!BJ:BJ)</f>
        <v>34</v>
      </c>
      <c r="BI92">
        <f>SUMIF(ConfirmedRaw!$B:$B,$B92,ConfirmedRaw!BK:BK)</f>
        <v>72</v>
      </c>
      <c r="BJ92">
        <f>SUMIF(ConfirmedRaw!$B:$B,$B92,ConfirmedRaw!BL:BL)</f>
        <v>112</v>
      </c>
      <c r="BK92">
        <f>SUMIF(ConfirmedRaw!$B:$B,$B92,ConfirmedRaw!BM:BM)</f>
        <v>202</v>
      </c>
      <c r="BL92">
        <f>SUMIF(ConfirmedRaw!$B:$B,$B92,ConfirmedRaw!BN:BN)</f>
        <v>245</v>
      </c>
      <c r="BM92">
        <f>SUMIF(ConfirmedRaw!$B:$B,$B92,ConfirmedRaw!BO:BO)</f>
        <v>312</v>
      </c>
      <c r="BN92">
        <f>SUMIF(ConfirmedRaw!$B:$B,$B92,ConfirmedRaw!BP:BP)</f>
        <v>392</v>
      </c>
      <c r="BO92">
        <f>SUMIF(ConfirmedRaw!$B:$B,$B92,ConfirmedRaw!BQ:BQ)</f>
        <v>488</v>
      </c>
      <c r="BP92">
        <f>SUMIF(ConfirmedRaw!$B:$B,$B92,ConfirmedRaw!BR:BR)</f>
        <v>581</v>
      </c>
      <c r="BQ92">
        <f>SUMIF(ConfirmedRaw!$B:$B,$B92,ConfirmedRaw!BS:BS)</f>
        <v>719</v>
      </c>
      <c r="BR92">
        <f>SUMIF(ConfirmedRaw!$B:$B,$B92,ConfirmedRaw!BT:BT)</f>
        <v>0</v>
      </c>
      <c r="BS92">
        <f>SUMIF(ConfirmedRaw!$B:$B,$B92,ConfirmedRaw!BU:BU)</f>
        <v>0</v>
      </c>
      <c r="BT92">
        <f>SUMIF(ConfirmedRaw!$B:$B,$B92,ConfirmedRaw!BV:BV)</f>
        <v>0</v>
      </c>
      <c r="BU92">
        <f>SUMIF(ConfirmedRaw!$B:$B,$B92,ConfirmedRaw!BW:BW)</f>
        <v>0</v>
      </c>
    </row>
    <row r="93" spans="1:73" ht="15" thickBot="1" x14ac:dyDescent="0.35">
      <c r="A93" s="97" t="str">
        <f>VLOOKUP(B93,Country_Data!B:Q,16,FALSE)</f>
        <v>Africa</v>
      </c>
      <c r="B93" s="4" t="s">
        <v>176</v>
      </c>
      <c r="C93">
        <f>SUMIF(ConfirmedRaw!$B:$B,$B93,ConfirmedRaw!E:E)</f>
        <v>0</v>
      </c>
      <c r="D93">
        <f>SUMIF(ConfirmedRaw!$B:$B,$B93,ConfirmedRaw!F:F)</f>
        <v>0</v>
      </c>
      <c r="E93">
        <f>SUMIF(ConfirmedRaw!$B:$B,$B93,ConfirmedRaw!G:G)</f>
        <v>0</v>
      </c>
      <c r="F93">
        <f>SUMIF(ConfirmedRaw!$B:$B,$B93,ConfirmedRaw!H:H)</f>
        <v>0</v>
      </c>
      <c r="G93">
        <f>SUMIF(ConfirmedRaw!$B:$B,$B93,ConfirmedRaw!I:I)</f>
        <v>0</v>
      </c>
      <c r="H93">
        <f>SUMIF(ConfirmedRaw!$B:$B,$B93,ConfirmedRaw!J:J)</f>
        <v>0</v>
      </c>
      <c r="I93">
        <f>SUMIF(ConfirmedRaw!$B:$B,$B93,ConfirmedRaw!K:K)</f>
        <v>0</v>
      </c>
      <c r="J93">
        <f>SUMIF(ConfirmedRaw!$B:$B,$B93,ConfirmedRaw!L:L)</f>
        <v>0</v>
      </c>
      <c r="K93">
        <f>SUMIF(ConfirmedRaw!$B:$B,$B93,ConfirmedRaw!M:M)</f>
        <v>0</v>
      </c>
      <c r="L93">
        <f>SUMIF(ConfirmedRaw!$B:$B,$B93,ConfirmedRaw!N:N)</f>
        <v>0</v>
      </c>
      <c r="M93">
        <f>SUMIF(ConfirmedRaw!$B:$B,$B93,ConfirmedRaw!O:O)</f>
        <v>0</v>
      </c>
      <c r="N93">
        <f>SUMIF(ConfirmedRaw!$B:$B,$B93,ConfirmedRaw!P:P)</f>
        <v>0</v>
      </c>
      <c r="O93">
        <f>SUMIF(ConfirmedRaw!$B:$B,$B93,ConfirmedRaw!Q:Q)</f>
        <v>0</v>
      </c>
      <c r="P93">
        <f>SUMIF(ConfirmedRaw!$B:$B,$B93,ConfirmedRaw!R:R)</f>
        <v>0</v>
      </c>
      <c r="Q93">
        <f>SUMIF(ConfirmedRaw!$B:$B,$B93,ConfirmedRaw!S:S)</f>
        <v>0</v>
      </c>
      <c r="R93">
        <f>SUMIF(ConfirmedRaw!$B:$B,$B93,ConfirmedRaw!T:T)</f>
        <v>0</v>
      </c>
      <c r="S93">
        <f>SUMIF(ConfirmedRaw!$B:$B,$B93,ConfirmedRaw!U:U)</f>
        <v>0</v>
      </c>
      <c r="T93">
        <f>SUMIF(ConfirmedRaw!$B:$B,$B93,ConfirmedRaw!V:V)</f>
        <v>0</v>
      </c>
      <c r="U93">
        <f>SUMIF(ConfirmedRaw!$B:$B,$B93,ConfirmedRaw!W:W)</f>
        <v>0</v>
      </c>
      <c r="V93">
        <f>SUMIF(ConfirmedRaw!$B:$B,$B93,ConfirmedRaw!X:X)</f>
        <v>0</v>
      </c>
      <c r="W93">
        <f>SUMIF(ConfirmedRaw!$B:$B,$B93,ConfirmedRaw!Y:Y)</f>
        <v>0</v>
      </c>
      <c r="X93">
        <f>SUMIF(ConfirmedRaw!$B:$B,$B93,ConfirmedRaw!Z:Z)</f>
        <v>0</v>
      </c>
      <c r="Y93">
        <f>SUMIF(ConfirmedRaw!$B:$B,$B93,ConfirmedRaw!AA:AA)</f>
        <v>0</v>
      </c>
      <c r="Z93">
        <f>SUMIF(ConfirmedRaw!$B:$B,$B93,ConfirmedRaw!AB:AB)</f>
        <v>0</v>
      </c>
      <c r="AA93">
        <f>SUMIF(ConfirmedRaw!$B:$B,$B93,ConfirmedRaw!AC:AC)</f>
        <v>0</v>
      </c>
      <c r="AB93">
        <f>SUMIF(ConfirmedRaw!$B:$B,$B93,ConfirmedRaw!AD:AD)</f>
        <v>0</v>
      </c>
      <c r="AC93">
        <f>SUMIF(ConfirmedRaw!$B:$B,$B93,ConfirmedRaw!AE:AE)</f>
        <v>0</v>
      </c>
      <c r="AD93">
        <f>SUMIF(ConfirmedRaw!$B:$B,$B93,ConfirmedRaw!AF:AF)</f>
        <v>0</v>
      </c>
      <c r="AE93">
        <f>SUMIF(ConfirmedRaw!$B:$B,$B93,ConfirmedRaw!AG:AG)</f>
        <v>0</v>
      </c>
      <c r="AF93">
        <f>SUMIF(ConfirmedRaw!$B:$B,$B93,ConfirmedRaw!AH:AH)</f>
        <v>0</v>
      </c>
      <c r="AG93">
        <f>SUMIF(ConfirmedRaw!$B:$B,$B93,ConfirmedRaw!AI:AI)</f>
        <v>0</v>
      </c>
      <c r="AH93">
        <f>SUMIF(ConfirmedRaw!$B:$B,$B93,ConfirmedRaw!AJ:AJ)</f>
        <v>0</v>
      </c>
      <c r="AI93">
        <f>SUMIF(ConfirmedRaw!$B:$B,$B93,ConfirmedRaw!AK:AK)</f>
        <v>0</v>
      </c>
      <c r="AJ93">
        <f>SUMIF(ConfirmedRaw!$B:$B,$B93,ConfirmedRaw!AL:AL)</f>
        <v>0</v>
      </c>
      <c r="AK93">
        <f>SUMIF(ConfirmedRaw!$B:$B,$B93,ConfirmedRaw!AM:AM)</f>
        <v>0</v>
      </c>
      <c r="AL93">
        <f>SUMIF(ConfirmedRaw!$B:$B,$B93,ConfirmedRaw!AN:AN)</f>
        <v>0</v>
      </c>
      <c r="AM93">
        <f>SUMIF(ConfirmedRaw!$B:$B,$B93,ConfirmedRaw!AO:AO)</f>
        <v>0</v>
      </c>
      <c r="AN93">
        <f>SUMIF(ConfirmedRaw!$B:$B,$B93,ConfirmedRaw!AP:AP)</f>
        <v>0</v>
      </c>
      <c r="AO93">
        <f>SUMIF(ConfirmedRaw!$B:$B,$B93,ConfirmedRaw!AQ:AQ)</f>
        <v>0</v>
      </c>
      <c r="AP93">
        <f>SUMIF(ConfirmedRaw!$B:$B,$B93,ConfirmedRaw!AR:AR)</f>
        <v>0</v>
      </c>
      <c r="AQ93">
        <f>SUMIF(ConfirmedRaw!$B:$B,$B93,ConfirmedRaw!AS:AS)</f>
        <v>0</v>
      </c>
      <c r="AR93">
        <f>SUMIF(ConfirmedRaw!$B:$B,$B93,ConfirmedRaw!AT:AT)</f>
        <v>0</v>
      </c>
      <c r="AS93">
        <f>SUMIF(ConfirmedRaw!$B:$B,$B93,ConfirmedRaw!AU:AU)</f>
        <v>0</v>
      </c>
      <c r="AT93">
        <f>SUMIF(ConfirmedRaw!$B:$B,$B93,ConfirmedRaw!AV:AV)</f>
        <v>0</v>
      </c>
      <c r="AU93">
        <f>SUMIF(ConfirmedRaw!$B:$B,$B93,ConfirmedRaw!AW:AW)</f>
        <v>0</v>
      </c>
      <c r="AV93">
        <f>SUMIF(ConfirmedRaw!$B:$B,$B93,ConfirmedRaw!AX:AX)</f>
        <v>0</v>
      </c>
      <c r="AW93">
        <f>SUMIF(ConfirmedRaw!$B:$B,$B93,ConfirmedRaw!AY:AY)</f>
        <v>0</v>
      </c>
      <c r="AX93">
        <f>SUMIF(ConfirmedRaw!$B:$B,$B93,ConfirmedRaw!AZ:AZ)</f>
        <v>0</v>
      </c>
      <c r="AY93">
        <f>SUMIF(ConfirmedRaw!$B:$B,$B93,ConfirmedRaw!BA:BA)</f>
        <v>0</v>
      </c>
      <c r="AZ93">
        <f>SUMIF(ConfirmedRaw!$B:$B,$B93,ConfirmedRaw!BB:BB)</f>
        <v>0</v>
      </c>
      <c r="BA93">
        <f>SUMIF(ConfirmedRaw!$B:$B,$B93,ConfirmedRaw!BC:BC)</f>
        <v>0</v>
      </c>
      <c r="BB93">
        <f>SUMIF(ConfirmedRaw!$B:$B,$B93,ConfirmedRaw!BD:BD)</f>
        <v>0</v>
      </c>
      <c r="BC93">
        <f>SUMIF(ConfirmedRaw!$B:$B,$B93,ConfirmedRaw!BE:BE)</f>
        <v>0</v>
      </c>
      <c r="BD93">
        <f>SUMIF(ConfirmedRaw!$B:$B,$B93,ConfirmedRaw!BF:BF)</f>
        <v>0</v>
      </c>
      <c r="BE93">
        <f>SUMIF(ConfirmedRaw!$B:$B,$B93,ConfirmedRaw!BG:BG)</f>
        <v>0</v>
      </c>
      <c r="BF93">
        <f>SUMIF(ConfirmedRaw!$B:$B,$B93,ConfirmedRaw!BH:BH)</f>
        <v>0</v>
      </c>
      <c r="BG93">
        <f>SUMIF(ConfirmedRaw!$B:$B,$B93,ConfirmedRaw!BI:BI)</f>
        <v>0</v>
      </c>
      <c r="BH93">
        <f>SUMIF(ConfirmedRaw!$B:$B,$B93,ConfirmedRaw!BJ:BJ)</f>
        <v>0</v>
      </c>
      <c r="BI93">
        <f>SUMIF(ConfirmedRaw!$B:$B,$B93,ConfirmedRaw!BK:BK)</f>
        <v>0</v>
      </c>
      <c r="BJ93">
        <f>SUMIF(ConfirmedRaw!$B:$B,$B93,ConfirmedRaw!BL:BL)</f>
        <v>0</v>
      </c>
      <c r="BK93">
        <f>SUMIF(ConfirmedRaw!$B:$B,$B93,ConfirmedRaw!BM:BM)</f>
        <v>0</v>
      </c>
      <c r="BL93">
        <f>SUMIF(ConfirmedRaw!$B:$B,$B93,ConfirmedRaw!BN:BN)</f>
        <v>0</v>
      </c>
      <c r="BM93">
        <f>SUMIF(ConfirmedRaw!$B:$B,$B93,ConfirmedRaw!BO:BO)</f>
        <v>0</v>
      </c>
      <c r="BN93">
        <f>SUMIF(ConfirmedRaw!$B:$B,$B93,ConfirmedRaw!BP:BP)</f>
        <v>0</v>
      </c>
      <c r="BO93">
        <f>SUMIF(ConfirmedRaw!$B:$B,$B93,ConfirmedRaw!BQ:BQ)</f>
        <v>0</v>
      </c>
      <c r="BP93">
        <f>SUMIF(ConfirmedRaw!$B:$B,$B93,ConfirmedRaw!BR:BR)</f>
        <v>0</v>
      </c>
      <c r="BQ93">
        <f>SUMIF(ConfirmedRaw!$B:$B,$B93,ConfirmedRaw!BS:BS)</f>
        <v>0</v>
      </c>
      <c r="BR93">
        <f>SUMIF(ConfirmedRaw!$B:$B,$B93,ConfirmedRaw!BT:BT)</f>
        <v>0</v>
      </c>
      <c r="BS93">
        <f>SUMIF(ConfirmedRaw!$B:$B,$B93,ConfirmedRaw!BU:BU)</f>
        <v>0</v>
      </c>
      <c r="BT93">
        <f>SUMIF(ConfirmedRaw!$B:$B,$B93,ConfirmedRaw!BV:BV)</f>
        <v>0</v>
      </c>
      <c r="BU93">
        <f>SUMIF(ConfirmedRaw!$B:$B,$B93,ConfirmedRaw!BW:BW)</f>
        <v>0</v>
      </c>
    </row>
    <row r="94" spans="1:73" ht="15" thickBot="1" x14ac:dyDescent="0.35">
      <c r="A94" s="97" t="str">
        <f>VLOOKUP(B94,Country_Data!B:Q,16,FALSE)</f>
        <v>Australasia</v>
      </c>
      <c r="B94" s="3" t="s">
        <v>95</v>
      </c>
      <c r="C94">
        <f>SUMIF(ConfirmedRaw!$B:$B,$B94,ConfirmedRaw!E:E)</f>
        <v>0</v>
      </c>
      <c r="D94">
        <f>SUMIF(ConfirmedRaw!$B:$B,$B94,ConfirmedRaw!F:F)</f>
        <v>0</v>
      </c>
      <c r="E94">
        <f>SUMIF(ConfirmedRaw!$B:$B,$B94,ConfirmedRaw!G:G)</f>
        <v>0</v>
      </c>
      <c r="F94">
        <f>SUMIF(ConfirmedRaw!$B:$B,$B94,ConfirmedRaw!H:H)</f>
        <v>0</v>
      </c>
      <c r="G94">
        <f>SUMIF(ConfirmedRaw!$B:$B,$B94,ConfirmedRaw!I:I)</f>
        <v>0</v>
      </c>
      <c r="H94">
        <f>SUMIF(ConfirmedRaw!$B:$B,$B94,ConfirmedRaw!J:J)</f>
        <v>0</v>
      </c>
      <c r="I94">
        <f>SUMIF(ConfirmedRaw!$B:$B,$B94,ConfirmedRaw!K:K)</f>
        <v>0</v>
      </c>
      <c r="J94">
        <f>SUMIF(ConfirmedRaw!$B:$B,$B94,ConfirmedRaw!L:L)</f>
        <v>0</v>
      </c>
      <c r="K94">
        <f>SUMIF(ConfirmedRaw!$B:$B,$B94,ConfirmedRaw!M:M)</f>
        <v>0</v>
      </c>
      <c r="L94">
        <f>SUMIF(ConfirmedRaw!$B:$B,$B94,ConfirmedRaw!N:N)</f>
        <v>0</v>
      </c>
      <c r="M94">
        <f>SUMIF(ConfirmedRaw!$B:$B,$B94,ConfirmedRaw!O:O)</f>
        <v>0</v>
      </c>
      <c r="N94">
        <f>SUMIF(ConfirmedRaw!$B:$B,$B94,ConfirmedRaw!P:P)</f>
        <v>0</v>
      </c>
      <c r="O94">
        <f>SUMIF(ConfirmedRaw!$B:$B,$B94,ConfirmedRaw!Q:Q)</f>
        <v>0</v>
      </c>
      <c r="P94">
        <f>SUMIF(ConfirmedRaw!$B:$B,$B94,ConfirmedRaw!R:R)</f>
        <v>0</v>
      </c>
      <c r="Q94">
        <f>SUMIF(ConfirmedRaw!$B:$B,$B94,ConfirmedRaw!S:S)</f>
        <v>0</v>
      </c>
      <c r="R94">
        <f>SUMIF(ConfirmedRaw!$B:$B,$B94,ConfirmedRaw!T:T)</f>
        <v>0</v>
      </c>
      <c r="S94">
        <f>SUMIF(ConfirmedRaw!$B:$B,$B94,ConfirmedRaw!U:U)</f>
        <v>0</v>
      </c>
      <c r="T94">
        <f>SUMIF(ConfirmedRaw!$B:$B,$B94,ConfirmedRaw!V:V)</f>
        <v>0</v>
      </c>
      <c r="U94">
        <f>SUMIF(ConfirmedRaw!$B:$B,$B94,ConfirmedRaw!W:W)</f>
        <v>0</v>
      </c>
      <c r="V94">
        <f>SUMIF(ConfirmedRaw!$B:$B,$B94,ConfirmedRaw!X:X)</f>
        <v>0</v>
      </c>
      <c r="W94">
        <f>SUMIF(ConfirmedRaw!$B:$B,$B94,ConfirmedRaw!Y:Y)</f>
        <v>0</v>
      </c>
      <c r="X94">
        <f>SUMIF(ConfirmedRaw!$B:$B,$B94,ConfirmedRaw!Z:Z)</f>
        <v>0</v>
      </c>
      <c r="Y94">
        <f>SUMIF(ConfirmedRaw!$B:$B,$B94,ConfirmedRaw!AA:AA)</f>
        <v>0</v>
      </c>
      <c r="Z94">
        <f>SUMIF(ConfirmedRaw!$B:$B,$B94,ConfirmedRaw!AB:AB)</f>
        <v>0</v>
      </c>
      <c r="AA94">
        <f>SUMIF(ConfirmedRaw!$B:$B,$B94,ConfirmedRaw!AC:AC)</f>
        <v>0</v>
      </c>
      <c r="AB94">
        <f>SUMIF(ConfirmedRaw!$B:$B,$B94,ConfirmedRaw!AD:AD)</f>
        <v>0</v>
      </c>
      <c r="AC94">
        <f>SUMIF(ConfirmedRaw!$B:$B,$B94,ConfirmedRaw!AE:AE)</f>
        <v>0</v>
      </c>
      <c r="AD94">
        <f>SUMIF(ConfirmedRaw!$B:$B,$B94,ConfirmedRaw!AF:AF)</f>
        <v>0</v>
      </c>
      <c r="AE94">
        <f>SUMIF(ConfirmedRaw!$B:$B,$B94,ConfirmedRaw!AG:AG)</f>
        <v>0</v>
      </c>
      <c r="AF94">
        <f>SUMIF(ConfirmedRaw!$B:$B,$B94,ConfirmedRaw!AH:AH)</f>
        <v>0</v>
      </c>
      <c r="AG94">
        <f>SUMIF(ConfirmedRaw!$B:$B,$B94,ConfirmedRaw!AI:AI)</f>
        <v>0</v>
      </c>
      <c r="AH94">
        <f>SUMIF(ConfirmedRaw!$B:$B,$B94,ConfirmedRaw!AJ:AJ)</f>
        <v>0</v>
      </c>
      <c r="AI94">
        <f>SUMIF(ConfirmedRaw!$B:$B,$B94,ConfirmedRaw!AK:AK)</f>
        <v>0</v>
      </c>
      <c r="AJ94">
        <f>SUMIF(ConfirmedRaw!$B:$B,$B94,ConfirmedRaw!AL:AL)</f>
        <v>0</v>
      </c>
      <c r="AK94">
        <f>SUMIF(ConfirmedRaw!$B:$B,$B94,ConfirmedRaw!AM:AM)</f>
        <v>0</v>
      </c>
      <c r="AL94">
        <f>SUMIF(ConfirmedRaw!$B:$B,$B94,ConfirmedRaw!AN:AN)</f>
        <v>0</v>
      </c>
      <c r="AM94">
        <f>SUMIF(ConfirmedRaw!$B:$B,$B94,ConfirmedRaw!AO:AO)</f>
        <v>0</v>
      </c>
      <c r="AN94">
        <f>SUMIF(ConfirmedRaw!$B:$B,$B94,ConfirmedRaw!AP:AP)</f>
        <v>1</v>
      </c>
      <c r="AO94">
        <f>SUMIF(ConfirmedRaw!$B:$B,$B94,ConfirmedRaw!AQ:AQ)</f>
        <v>1</v>
      </c>
      <c r="AP94">
        <f>SUMIF(ConfirmedRaw!$B:$B,$B94,ConfirmedRaw!AR:AR)</f>
        <v>1</v>
      </c>
      <c r="AQ94">
        <f>SUMIF(ConfirmedRaw!$B:$B,$B94,ConfirmedRaw!AS:AS)</f>
        <v>1</v>
      </c>
      <c r="AR94">
        <f>SUMIF(ConfirmedRaw!$B:$B,$B94,ConfirmedRaw!AT:AT)</f>
        <v>1</v>
      </c>
      <c r="AS94">
        <f>SUMIF(ConfirmedRaw!$B:$B,$B94,ConfirmedRaw!AU:AU)</f>
        <v>3</v>
      </c>
      <c r="AT94">
        <f>SUMIF(ConfirmedRaw!$B:$B,$B94,ConfirmedRaw!AV:AV)</f>
        <v>3</v>
      </c>
      <c r="AU94">
        <f>SUMIF(ConfirmedRaw!$B:$B,$B94,ConfirmedRaw!AW:AW)</f>
        <v>4</v>
      </c>
      <c r="AV94">
        <f>SUMIF(ConfirmedRaw!$B:$B,$B94,ConfirmedRaw!AX:AX)</f>
        <v>5</v>
      </c>
      <c r="AW94">
        <f>SUMIF(ConfirmedRaw!$B:$B,$B94,ConfirmedRaw!AY:AY)</f>
        <v>5</v>
      </c>
      <c r="AX94">
        <f>SUMIF(ConfirmedRaw!$B:$B,$B94,ConfirmedRaw!AZ:AZ)</f>
        <v>5</v>
      </c>
      <c r="AY94">
        <f>SUMIF(ConfirmedRaw!$B:$B,$B94,ConfirmedRaw!BA:BA)</f>
        <v>5</v>
      </c>
      <c r="AZ94">
        <f>SUMIF(ConfirmedRaw!$B:$B,$B94,ConfirmedRaw!BB:BB)</f>
        <v>5</v>
      </c>
      <c r="BA94">
        <f>SUMIF(ConfirmedRaw!$B:$B,$B94,ConfirmedRaw!BC:BC)</f>
        <v>5</v>
      </c>
      <c r="BB94">
        <f>SUMIF(ConfirmedRaw!$B:$B,$B94,ConfirmedRaw!BD:BD)</f>
        <v>5</v>
      </c>
      <c r="BC94">
        <f>SUMIF(ConfirmedRaw!$B:$B,$B94,ConfirmedRaw!BE:BE)</f>
        <v>6</v>
      </c>
      <c r="BD94">
        <f>SUMIF(ConfirmedRaw!$B:$B,$B94,ConfirmedRaw!BF:BF)</f>
        <v>8</v>
      </c>
      <c r="BE94">
        <f>SUMIF(ConfirmedRaw!$B:$B,$B94,ConfirmedRaw!BG:BG)</f>
        <v>8</v>
      </c>
      <c r="BF94">
        <f>SUMIF(ConfirmedRaw!$B:$B,$B94,ConfirmedRaw!BH:BH)</f>
        <v>12</v>
      </c>
      <c r="BG94">
        <f>SUMIF(ConfirmedRaw!$B:$B,$B94,ConfirmedRaw!BI:BI)</f>
        <v>20</v>
      </c>
      <c r="BH94">
        <f>SUMIF(ConfirmedRaw!$B:$B,$B94,ConfirmedRaw!BJ:BJ)</f>
        <v>28</v>
      </c>
      <c r="BI94">
        <f>SUMIF(ConfirmedRaw!$B:$B,$B94,ConfirmedRaw!BK:BK)</f>
        <v>39</v>
      </c>
      <c r="BJ94">
        <f>SUMIF(ConfirmedRaw!$B:$B,$B94,ConfirmedRaw!BL:BL)</f>
        <v>52</v>
      </c>
      <c r="BK94">
        <f>SUMIF(ConfirmedRaw!$B:$B,$B94,ConfirmedRaw!BM:BM)</f>
        <v>102</v>
      </c>
      <c r="BL94">
        <f>SUMIF(ConfirmedRaw!$B:$B,$B94,ConfirmedRaw!BN:BN)</f>
        <v>102</v>
      </c>
      <c r="BM94">
        <f>SUMIF(ConfirmedRaw!$B:$B,$B94,ConfirmedRaw!BO:BO)</f>
        <v>155</v>
      </c>
      <c r="BN94">
        <f>SUMIF(ConfirmedRaw!$B:$B,$B94,ConfirmedRaw!BP:BP)</f>
        <v>205</v>
      </c>
      <c r="BO94">
        <f>SUMIF(ConfirmedRaw!$B:$B,$B94,ConfirmedRaw!BQ:BQ)</f>
        <v>283</v>
      </c>
      <c r="BP94">
        <f>SUMIF(ConfirmedRaw!$B:$B,$B94,ConfirmedRaw!BR:BR)</f>
        <v>368</v>
      </c>
      <c r="BQ94">
        <f>SUMIF(ConfirmedRaw!$B:$B,$B94,ConfirmedRaw!BS:BS)</f>
        <v>451</v>
      </c>
      <c r="BR94">
        <f>SUMIF(ConfirmedRaw!$B:$B,$B94,ConfirmedRaw!BT:BT)</f>
        <v>0</v>
      </c>
      <c r="BS94">
        <f>SUMIF(ConfirmedRaw!$B:$B,$B94,ConfirmedRaw!BU:BU)</f>
        <v>0</v>
      </c>
      <c r="BT94">
        <f>SUMIF(ConfirmedRaw!$B:$B,$B94,ConfirmedRaw!BV:BV)</f>
        <v>0</v>
      </c>
      <c r="BU94">
        <f>SUMIF(ConfirmedRaw!$B:$B,$B94,ConfirmedRaw!BW:BW)</f>
        <v>0</v>
      </c>
    </row>
    <row r="95" spans="1:73" ht="15" thickBot="1" x14ac:dyDescent="0.35">
      <c r="A95" s="97" t="str">
        <f>VLOOKUP(B95,Country_Data!B:Q,16,FALSE)</f>
        <v>Africa</v>
      </c>
      <c r="B95" s="4" t="s">
        <v>354</v>
      </c>
      <c r="C95">
        <f>SUMIF(ConfirmedRaw!$B:$B,$B95,ConfirmedRaw!E:E)</f>
        <v>0</v>
      </c>
      <c r="D95">
        <f>SUMIF(ConfirmedRaw!$B:$B,$B95,ConfirmedRaw!F:F)</f>
        <v>0</v>
      </c>
      <c r="E95">
        <f>SUMIF(ConfirmedRaw!$B:$B,$B95,ConfirmedRaw!G:G)</f>
        <v>0</v>
      </c>
      <c r="F95">
        <f>SUMIF(ConfirmedRaw!$B:$B,$B95,ConfirmedRaw!H:H)</f>
        <v>0</v>
      </c>
      <c r="G95">
        <f>SUMIF(ConfirmedRaw!$B:$B,$B95,ConfirmedRaw!I:I)</f>
        <v>0</v>
      </c>
      <c r="H95">
        <f>SUMIF(ConfirmedRaw!$B:$B,$B95,ConfirmedRaw!J:J)</f>
        <v>0</v>
      </c>
      <c r="I95">
        <f>SUMIF(ConfirmedRaw!$B:$B,$B95,ConfirmedRaw!K:K)</f>
        <v>0</v>
      </c>
      <c r="J95">
        <f>SUMIF(ConfirmedRaw!$B:$B,$B95,ConfirmedRaw!L:L)</f>
        <v>0</v>
      </c>
      <c r="K95">
        <f>SUMIF(ConfirmedRaw!$B:$B,$B95,ConfirmedRaw!M:M)</f>
        <v>0</v>
      </c>
      <c r="L95">
        <f>SUMIF(ConfirmedRaw!$B:$B,$B95,ConfirmedRaw!N:N)</f>
        <v>0</v>
      </c>
      <c r="M95">
        <f>SUMIF(ConfirmedRaw!$B:$B,$B95,ConfirmedRaw!O:O)</f>
        <v>0</v>
      </c>
      <c r="N95">
        <f>SUMIF(ConfirmedRaw!$B:$B,$B95,ConfirmedRaw!P:P)</f>
        <v>0</v>
      </c>
      <c r="O95">
        <f>SUMIF(ConfirmedRaw!$B:$B,$B95,ConfirmedRaw!Q:Q)</f>
        <v>0</v>
      </c>
      <c r="P95">
        <f>SUMIF(ConfirmedRaw!$B:$B,$B95,ConfirmedRaw!R:R)</f>
        <v>0</v>
      </c>
      <c r="Q95">
        <f>SUMIF(ConfirmedRaw!$B:$B,$B95,ConfirmedRaw!S:S)</f>
        <v>0</v>
      </c>
      <c r="R95">
        <f>SUMIF(ConfirmedRaw!$B:$B,$B95,ConfirmedRaw!T:T)</f>
        <v>0</v>
      </c>
      <c r="S95">
        <f>SUMIF(ConfirmedRaw!$B:$B,$B95,ConfirmedRaw!U:U)</f>
        <v>0</v>
      </c>
      <c r="T95">
        <f>SUMIF(ConfirmedRaw!$B:$B,$B95,ConfirmedRaw!V:V)</f>
        <v>0</v>
      </c>
      <c r="U95">
        <f>SUMIF(ConfirmedRaw!$B:$B,$B95,ConfirmedRaw!W:W)</f>
        <v>0</v>
      </c>
      <c r="V95">
        <f>SUMIF(ConfirmedRaw!$B:$B,$B95,ConfirmedRaw!X:X)</f>
        <v>0</v>
      </c>
      <c r="W95">
        <f>SUMIF(ConfirmedRaw!$B:$B,$B95,ConfirmedRaw!Y:Y)</f>
        <v>0</v>
      </c>
      <c r="X95">
        <f>SUMIF(ConfirmedRaw!$B:$B,$B95,ConfirmedRaw!Z:Z)</f>
        <v>0</v>
      </c>
      <c r="Y95">
        <f>SUMIF(ConfirmedRaw!$B:$B,$B95,ConfirmedRaw!AA:AA)</f>
        <v>0</v>
      </c>
      <c r="Z95">
        <f>SUMIF(ConfirmedRaw!$B:$B,$B95,ConfirmedRaw!AB:AB)</f>
        <v>0</v>
      </c>
      <c r="AA95">
        <f>SUMIF(ConfirmedRaw!$B:$B,$B95,ConfirmedRaw!AC:AC)</f>
        <v>0</v>
      </c>
      <c r="AB95">
        <f>SUMIF(ConfirmedRaw!$B:$B,$B95,ConfirmedRaw!AD:AD)</f>
        <v>0</v>
      </c>
      <c r="AC95">
        <f>SUMIF(ConfirmedRaw!$B:$B,$B95,ConfirmedRaw!AE:AE)</f>
        <v>0</v>
      </c>
      <c r="AD95">
        <f>SUMIF(ConfirmedRaw!$B:$B,$B95,ConfirmedRaw!AF:AF)</f>
        <v>0</v>
      </c>
      <c r="AE95">
        <f>SUMIF(ConfirmedRaw!$B:$B,$B95,ConfirmedRaw!AG:AG)</f>
        <v>0</v>
      </c>
      <c r="AF95">
        <f>SUMIF(ConfirmedRaw!$B:$B,$B95,ConfirmedRaw!AH:AH)</f>
        <v>0</v>
      </c>
      <c r="AG95">
        <f>SUMIF(ConfirmedRaw!$B:$B,$B95,ConfirmedRaw!AI:AI)</f>
        <v>0</v>
      </c>
      <c r="AH95">
        <f>SUMIF(ConfirmedRaw!$B:$B,$B95,ConfirmedRaw!AJ:AJ)</f>
        <v>0</v>
      </c>
      <c r="AI95">
        <f>SUMIF(ConfirmedRaw!$B:$B,$B95,ConfirmedRaw!AK:AK)</f>
        <v>0</v>
      </c>
      <c r="AJ95">
        <f>SUMIF(ConfirmedRaw!$B:$B,$B95,ConfirmedRaw!AL:AL)</f>
        <v>0</v>
      </c>
      <c r="AK95">
        <f>SUMIF(ConfirmedRaw!$B:$B,$B95,ConfirmedRaw!AM:AM)</f>
        <v>0</v>
      </c>
      <c r="AL95">
        <f>SUMIF(ConfirmedRaw!$B:$B,$B95,ConfirmedRaw!AN:AN)</f>
        <v>0</v>
      </c>
      <c r="AM95">
        <f>SUMIF(ConfirmedRaw!$B:$B,$B95,ConfirmedRaw!AO:AO)</f>
        <v>0</v>
      </c>
      <c r="AN95">
        <f>SUMIF(ConfirmedRaw!$B:$B,$B95,ConfirmedRaw!AP:AP)</f>
        <v>0</v>
      </c>
      <c r="AO95">
        <f>SUMIF(ConfirmedRaw!$B:$B,$B95,ConfirmedRaw!AQ:AQ)</f>
        <v>0</v>
      </c>
      <c r="AP95">
        <f>SUMIF(ConfirmedRaw!$B:$B,$B95,ConfirmedRaw!AR:AR)</f>
        <v>0</v>
      </c>
      <c r="AQ95">
        <f>SUMIF(ConfirmedRaw!$B:$B,$B95,ConfirmedRaw!AS:AS)</f>
        <v>0</v>
      </c>
      <c r="AR95">
        <f>SUMIF(ConfirmedRaw!$B:$B,$B95,ConfirmedRaw!AT:AT)</f>
        <v>0</v>
      </c>
      <c r="AS95">
        <f>SUMIF(ConfirmedRaw!$B:$B,$B95,ConfirmedRaw!AU:AU)</f>
        <v>0</v>
      </c>
      <c r="AT95">
        <f>SUMIF(ConfirmedRaw!$B:$B,$B95,ConfirmedRaw!AV:AV)</f>
        <v>0</v>
      </c>
      <c r="AU95">
        <f>SUMIF(ConfirmedRaw!$B:$B,$B95,ConfirmedRaw!AW:AW)</f>
        <v>0</v>
      </c>
      <c r="AV95">
        <f>SUMIF(ConfirmedRaw!$B:$B,$B95,ConfirmedRaw!AX:AX)</f>
        <v>0</v>
      </c>
      <c r="AW95">
        <f>SUMIF(ConfirmedRaw!$B:$B,$B95,ConfirmedRaw!AY:AY)</f>
        <v>0</v>
      </c>
      <c r="AX95">
        <f>SUMIF(ConfirmedRaw!$B:$B,$B95,ConfirmedRaw!AZ:AZ)</f>
        <v>0</v>
      </c>
      <c r="AY95">
        <f>SUMIF(ConfirmedRaw!$B:$B,$B95,ConfirmedRaw!BA:BA)</f>
        <v>0</v>
      </c>
      <c r="AZ95">
        <f>SUMIF(ConfirmedRaw!$B:$B,$B95,ConfirmedRaw!BB:BB)</f>
        <v>0</v>
      </c>
      <c r="BA95">
        <f>SUMIF(ConfirmedRaw!$B:$B,$B95,ConfirmedRaw!BC:BC)</f>
        <v>0</v>
      </c>
      <c r="BB95">
        <f>SUMIF(ConfirmedRaw!$B:$B,$B95,ConfirmedRaw!BD:BD)</f>
        <v>0</v>
      </c>
      <c r="BC95">
        <f>SUMIF(ConfirmedRaw!$B:$B,$B95,ConfirmedRaw!BE:BE)</f>
        <v>0</v>
      </c>
      <c r="BD95">
        <f>SUMIF(ConfirmedRaw!$B:$B,$B95,ConfirmedRaw!BF:BF)</f>
        <v>0</v>
      </c>
      <c r="BE95">
        <f>SUMIF(ConfirmedRaw!$B:$B,$B95,ConfirmedRaw!BG:BG)</f>
        <v>0</v>
      </c>
      <c r="BF95">
        <f>SUMIF(ConfirmedRaw!$B:$B,$B95,ConfirmedRaw!BH:BH)</f>
        <v>0</v>
      </c>
      <c r="BG95">
        <f>SUMIF(ConfirmedRaw!$B:$B,$B95,ConfirmedRaw!BI:BI)</f>
        <v>0</v>
      </c>
      <c r="BH95">
        <f>SUMIF(ConfirmedRaw!$B:$B,$B95,ConfirmedRaw!BJ:BJ)</f>
        <v>0</v>
      </c>
      <c r="BI95">
        <f>SUMIF(ConfirmedRaw!$B:$B,$B95,ConfirmedRaw!BK:BK)</f>
        <v>0</v>
      </c>
      <c r="BJ95">
        <f>SUMIF(ConfirmedRaw!$B:$B,$B95,ConfirmedRaw!BL:BL)</f>
        <v>0</v>
      </c>
      <c r="BK95">
        <f>SUMIF(ConfirmedRaw!$B:$B,$B95,ConfirmedRaw!BM:BM)</f>
        <v>0</v>
      </c>
      <c r="BL95">
        <f>SUMIF(ConfirmedRaw!$B:$B,$B95,ConfirmedRaw!BN:BN)</f>
        <v>0</v>
      </c>
      <c r="BM95">
        <f>SUMIF(ConfirmedRaw!$B:$B,$B95,ConfirmedRaw!BO:BO)</f>
        <v>0</v>
      </c>
      <c r="BN95">
        <f>SUMIF(ConfirmedRaw!$B:$B,$B95,ConfirmedRaw!BP:BP)</f>
        <v>0</v>
      </c>
      <c r="BO95">
        <f>SUMIF(ConfirmedRaw!$B:$B,$B95,ConfirmedRaw!BQ:BQ)</f>
        <v>0</v>
      </c>
      <c r="BP95">
        <f>SUMIF(ConfirmedRaw!$B:$B,$B95,ConfirmedRaw!BR:BR)</f>
        <v>0</v>
      </c>
      <c r="BQ95">
        <f>SUMIF(ConfirmedRaw!$B:$B,$B95,ConfirmedRaw!BS:BS)</f>
        <v>0</v>
      </c>
      <c r="BR95">
        <f>SUMIF(ConfirmedRaw!$B:$B,$B95,ConfirmedRaw!BT:BT)</f>
        <v>0</v>
      </c>
      <c r="BS95">
        <f>SUMIF(ConfirmedRaw!$B:$B,$B95,ConfirmedRaw!BU:BU)</f>
        <v>0</v>
      </c>
      <c r="BT95">
        <f>SUMIF(ConfirmedRaw!$B:$B,$B95,ConfirmedRaw!BV:BV)</f>
        <v>0</v>
      </c>
      <c r="BU95">
        <f>SUMIF(ConfirmedRaw!$B:$B,$B95,ConfirmedRaw!BW:BW)</f>
        <v>0</v>
      </c>
    </row>
    <row r="96" spans="1:73" ht="15" thickBot="1" x14ac:dyDescent="0.35">
      <c r="A96" s="97" t="str">
        <f>VLOOKUP(B96,Country_Data!B:Q,16,FALSE)</f>
        <v>Europe</v>
      </c>
      <c r="B96" s="3" t="s">
        <v>355</v>
      </c>
      <c r="C96">
        <f>SUMIF(ConfirmedRaw!$B:$B,$B96,ConfirmedRaw!E:E)</f>
        <v>0</v>
      </c>
      <c r="D96">
        <f>SUMIF(ConfirmedRaw!$B:$B,$B96,ConfirmedRaw!F:F)</f>
        <v>0</v>
      </c>
      <c r="E96">
        <f>SUMIF(ConfirmedRaw!$B:$B,$B96,ConfirmedRaw!G:G)</f>
        <v>0</v>
      </c>
      <c r="F96">
        <f>SUMIF(ConfirmedRaw!$B:$B,$B96,ConfirmedRaw!H:H)</f>
        <v>0</v>
      </c>
      <c r="G96">
        <f>SUMIF(ConfirmedRaw!$B:$B,$B96,ConfirmedRaw!I:I)</f>
        <v>0</v>
      </c>
      <c r="H96">
        <f>SUMIF(ConfirmedRaw!$B:$B,$B96,ConfirmedRaw!J:J)</f>
        <v>0</v>
      </c>
      <c r="I96">
        <f>SUMIF(ConfirmedRaw!$B:$B,$B96,ConfirmedRaw!K:K)</f>
        <v>0</v>
      </c>
      <c r="J96">
        <f>SUMIF(ConfirmedRaw!$B:$B,$B96,ConfirmedRaw!L:L)</f>
        <v>0</v>
      </c>
      <c r="K96">
        <f>SUMIF(ConfirmedRaw!$B:$B,$B96,ConfirmedRaw!M:M)</f>
        <v>0</v>
      </c>
      <c r="L96">
        <f>SUMIF(ConfirmedRaw!$B:$B,$B96,ConfirmedRaw!N:N)</f>
        <v>0</v>
      </c>
      <c r="M96">
        <f>SUMIF(ConfirmedRaw!$B:$B,$B96,ConfirmedRaw!O:O)</f>
        <v>0</v>
      </c>
      <c r="N96">
        <f>SUMIF(ConfirmedRaw!$B:$B,$B96,ConfirmedRaw!P:P)</f>
        <v>0</v>
      </c>
      <c r="O96">
        <f>SUMIF(ConfirmedRaw!$B:$B,$B96,ConfirmedRaw!Q:Q)</f>
        <v>0</v>
      </c>
      <c r="P96">
        <f>SUMIF(ConfirmedRaw!$B:$B,$B96,ConfirmedRaw!R:R)</f>
        <v>0</v>
      </c>
      <c r="Q96">
        <f>SUMIF(ConfirmedRaw!$B:$B,$B96,ConfirmedRaw!S:S)</f>
        <v>0</v>
      </c>
      <c r="R96">
        <f>SUMIF(ConfirmedRaw!$B:$B,$B96,ConfirmedRaw!T:T)</f>
        <v>0</v>
      </c>
      <c r="S96">
        <f>SUMIF(ConfirmedRaw!$B:$B,$B96,ConfirmedRaw!U:U)</f>
        <v>0</v>
      </c>
      <c r="T96">
        <f>SUMIF(ConfirmedRaw!$B:$B,$B96,ConfirmedRaw!V:V)</f>
        <v>0</v>
      </c>
      <c r="U96">
        <f>SUMIF(ConfirmedRaw!$B:$B,$B96,ConfirmedRaw!W:W)</f>
        <v>0</v>
      </c>
      <c r="V96">
        <f>SUMIF(ConfirmedRaw!$B:$B,$B96,ConfirmedRaw!X:X)</f>
        <v>0</v>
      </c>
      <c r="W96">
        <f>SUMIF(ConfirmedRaw!$B:$B,$B96,ConfirmedRaw!Y:Y)</f>
        <v>0</v>
      </c>
      <c r="X96">
        <f>SUMIF(ConfirmedRaw!$B:$B,$B96,ConfirmedRaw!Z:Z)</f>
        <v>0</v>
      </c>
      <c r="Y96">
        <f>SUMIF(ConfirmedRaw!$B:$B,$B96,ConfirmedRaw!AA:AA)</f>
        <v>0</v>
      </c>
      <c r="Z96">
        <f>SUMIF(ConfirmedRaw!$B:$B,$B96,ConfirmedRaw!AB:AB)</f>
        <v>0</v>
      </c>
      <c r="AA96">
        <f>SUMIF(ConfirmedRaw!$B:$B,$B96,ConfirmedRaw!AC:AC)</f>
        <v>0</v>
      </c>
      <c r="AB96">
        <f>SUMIF(ConfirmedRaw!$B:$B,$B96,ConfirmedRaw!AD:AD)</f>
        <v>0</v>
      </c>
      <c r="AC96">
        <f>SUMIF(ConfirmedRaw!$B:$B,$B96,ConfirmedRaw!AE:AE)</f>
        <v>0</v>
      </c>
      <c r="AD96">
        <f>SUMIF(ConfirmedRaw!$B:$B,$B96,ConfirmedRaw!AF:AF)</f>
        <v>0</v>
      </c>
      <c r="AE96">
        <f>SUMIF(ConfirmedRaw!$B:$B,$B96,ConfirmedRaw!AG:AG)</f>
        <v>0</v>
      </c>
      <c r="AF96">
        <f>SUMIF(ConfirmedRaw!$B:$B,$B96,ConfirmedRaw!AH:AH)</f>
        <v>0</v>
      </c>
      <c r="AG96">
        <f>SUMIF(ConfirmedRaw!$B:$B,$B96,ConfirmedRaw!AI:AI)</f>
        <v>0</v>
      </c>
      <c r="AH96">
        <f>SUMIF(ConfirmedRaw!$B:$B,$B96,ConfirmedRaw!AJ:AJ)</f>
        <v>0</v>
      </c>
      <c r="AI96">
        <f>SUMIF(ConfirmedRaw!$B:$B,$B96,ConfirmedRaw!AK:AK)</f>
        <v>0</v>
      </c>
      <c r="AJ96">
        <f>SUMIF(ConfirmedRaw!$B:$B,$B96,ConfirmedRaw!AL:AL)</f>
        <v>0</v>
      </c>
      <c r="AK96">
        <f>SUMIF(ConfirmedRaw!$B:$B,$B96,ConfirmedRaw!AM:AM)</f>
        <v>0</v>
      </c>
      <c r="AL96">
        <f>SUMIF(ConfirmedRaw!$B:$B,$B96,ConfirmedRaw!AN:AN)</f>
        <v>0</v>
      </c>
      <c r="AM96">
        <f>SUMIF(ConfirmedRaw!$B:$B,$B96,ConfirmedRaw!AO:AO)</f>
        <v>0</v>
      </c>
      <c r="AN96">
        <f>SUMIF(ConfirmedRaw!$B:$B,$B96,ConfirmedRaw!AP:AP)</f>
        <v>0</v>
      </c>
      <c r="AO96">
        <f>SUMIF(ConfirmedRaw!$B:$B,$B96,ConfirmedRaw!AQ:AQ)</f>
        <v>0</v>
      </c>
      <c r="AP96">
        <f>SUMIF(ConfirmedRaw!$B:$B,$B96,ConfirmedRaw!AR:AR)</f>
        <v>0</v>
      </c>
      <c r="AQ96">
        <f>SUMIF(ConfirmedRaw!$B:$B,$B96,ConfirmedRaw!AS:AS)</f>
        <v>0</v>
      </c>
      <c r="AR96">
        <f>SUMIF(ConfirmedRaw!$B:$B,$B96,ConfirmedRaw!AT:AT)</f>
        <v>0</v>
      </c>
      <c r="AS96">
        <f>SUMIF(ConfirmedRaw!$B:$B,$B96,ConfirmedRaw!AU:AU)</f>
        <v>0</v>
      </c>
      <c r="AT96">
        <f>SUMIF(ConfirmedRaw!$B:$B,$B96,ConfirmedRaw!AV:AV)</f>
        <v>0</v>
      </c>
      <c r="AU96">
        <f>SUMIF(ConfirmedRaw!$B:$B,$B96,ConfirmedRaw!AW:AW)</f>
        <v>0</v>
      </c>
      <c r="AV96">
        <f>SUMIF(ConfirmedRaw!$B:$B,$B96,ConfirmedRaw!AX:AX)</f>
        <v>0</v>
      </c>
      <c r="AW96">
        <f>SUMIF(ConfirmedRaw!$B:$B,$B96,ConfirmedRaw!AY:AY)</f>
        <v>0</v>
      </c>
      <c r="AX96">
        <f>SUMIF(ConfirmedRaw!$B:$B,$B96,ConfirmedRaw!AZ:AZ)</f>
        <v>0</v>
      </c>
      <c r="AY96">
        <f>SUMIF(ConfirmedRaw!$B:$B,$B96,ConfirmedRaw!BA:BA)</f>
        <v>0</v>
      </c>
      <c r="AZ96">
        <f>SUMIF(ConfirmedRaw!$B:$B,$B96,ConfirmedRaw!BB:BB)</f>
        <v>1</v>
      </c>
      <c r="BA96">
        <f>SUMIF(ConfirmedRaw!$B:$B,$B96,ConfirmedRaw!BC:BC)</f>
        <v>1</v>
      </c>
      <c r="BB96">
        <f>SUMIF(ConfirmedRaw!$B:$B,$B96,ConfirmedRaw!BD:BD)</f>
        <v>5</v>
      </c>
      <c r="BC96">
        <f>SUMIF(ConfirmedRaw!$B:$B,$B96,ConfirmedRaw!BE:BE)</f>
        <v>5</v>
      </c>
      <c r="BD96">
        <f>SUMIF(ConfirmedRaw!$B:$B,$B96,ConfirmedRaw!BF:BF)</f>
        <v>6</v>
      </c>
      <c r="BE96">
        <f>SUMIF(ConfirmedRaw!$B:$B,$B96,ConfirmedRaw!BG:BG)</f>
        <v>18</v>
      </c>
      <c r="BF96">
        <f>SUMIF(ConfirmedRaw!$B:$B,$B96,ConfirmedRaw!BH:BH)</f>
        <v>47</v>
      </c>
      <c r="BG96">
        <f>SUMIF(ConfirmedRaw!$B:$B,$B96,ConfirmedRaw!BI:BI)</f>
        <v>98</v>
      </c>
      <c r="BH96">
        <f>SUMIF(ConfirmedRaw!$B:$B,$B96,ConfirmedRaw!BJ:BJ)</f>
        <v>192</v>
      </c>
      <c r="BI96">
        <f>SUMIF(ConfirmedRaw!$B:$B,$B96,ConfirmedRaw!BK:BK)</f>
        <v>359</v>
      </c>
      <c r="BJ96">
        <f>SUMIF(ConfirmedRaw!$B:$B,$B96,ConfirmedRaw!BL:BL)</f>
        <v>670</v>
      </c>
      <c r="BK96">
        <f>SUMIF(ConfirmedRaw!$B:$B,$B96,ConfirmedRaw!BM:BM)</f>
        <v>1236</v>
      </c>
      <c r="BL96">
        <f>SUMIF(ConfirmedRaw!$B:$B,$B96,ConfirmedRaw!BN:BN)</f>
        <v>1529</v>
      </c>
      <c r="BM96">
        <f>SUMIF(ConfirmedRaw!$B:$B,$B96,ConfirmedRaw!BO:BO)</f>
        <v>1872</v>
      </c>
      <c r="BN96">
        <f>SUMIF(ConfirmedRaw!$B:$B,$B96,ConfirmedRaw!BP:BP)</f>
        <v>2433</v>
      </c>
      <c r="BO96">
        <f>SUMIF(ConfirmedRaw!$B:$B,$B96,ConfirmedRaw!BQ:BQ)</f>
        <v>3629</v>
      </c>
      <c r="BP96">
        <f>SUMIF(ConfirmedRaw!$B:$B,$B96,ConfirmedRaw!BR:BR)</f>
        <v>5698</v>
      </c>
      <c r="BQ96">
        <f>SUMIF(ConfirmedRaw!$B:$B,$B96,ConfirmedRaw!BS:BS)</f>
        <v>7402</v>
      </c>
      <c r="BR96">
        <f>SUMIF(ConfirmedRaw!$B:$B,$B96,ConfirmedRaw!BT:BT)</f>
        <v>0</v>
      </c>
      <c r="BS96">
        <f>SUMIF(ConfirmedRaw!$B:$B,$B96,ConfirmedRaw!BU:BU)</f>
        <v>0</v>
      </c>
      <c r="BT96">
        <f>SUMIF(ConfirmedRaw!$B:$B,$B96,ConfirmedRaw!BV:BV)</f>
        <v>0</v>
      </c>
      <c r="BU96">
        <f>SUMIF(ConfirmedRaw!$B:$B,$B96,ConfirmedRaw!BW:BW)</f>
        <v>0</v>
      </c>
    </row>
    <row r="97" spans="1:73" ht="15" thickBot="1" x14ac:dyDescent="0.35">
      <c r="A97" s="97" t="str">
        <f>VLOOKUP(B97,Country_Data!B:Q,16,FALSE)</f>
        <v>North America</v>
      </c>
      <c r="B97" s="4" t="s">
        <v>410</v>
      </c>
      <c r="C97">
        <f>SUMIF(ConfirmedRaw!$B:$B,$B97,ConfirmedRaw!E:E)</f>
        <v>0</v>
      </c>
      <c r="D97">
        <f>SUMIF(ConfirmedRaw!$B:$B,$B97,ConfirmedRaw!F:F)</f>
        <v>0</v>
      </c>
      <c r="E97">
        <f>SUMIF(ConfirmedRaw!$B:$B,$B97,ConfirmedRaw!G:G)</f>
        <v>0</v>
      </c>
      <c r="F97">
        <f>SUMIF(ConfirmedRaw!$B:$B,$B97,ConfirmedRaw!H:H)</f>
        <v>0</v>
      </c>
      <c r="G97">
        <f>SUMIF(ConfirmedRaw!$B:$B,$B97,ConfirmedRaw!I:I)</f>
        <v>0</v>
      </c>
      <c r="H97">
        <f>SUMIF(ConfirmedRaw!$B:$B,$B97,ConfirmedRaw!J:J)</f>
        <v>0</v>
      </c>
      <c r="I97">
        <f>SUMIF(ConfirmedRaw!$B:$B,$B97,ConfirmedRaw!K:K)</f>
        <v>0</v>
      </c>
      <c r="J97">
        <f>SUMIF(ConfirmedRaw!$B:$B,$B97,ConfirmedRaw!L:L)</f>
        <v>0</v>
      </c>
      <c r="K97">
        <f>SUMIF(ConfirmedRaw!$B:$B,$B97,ConfirmedRaw!M:M)</f>
        <v>0</v>
      </c>
      <c r="L97">
        <f>SUMIF(ConfirmedRaw!$B:$B,$B97,ConfirmedRaw!N:N)</f>
        <v>0</v>
      </c>
      <c r="M97">
        <f>SUMIF(ConfirmedRaw!$B:$B,$B97,ConfirmedRaw!O:O)</f>
        <v>0</v>
      </c>
      <c r="N97">
        <f>SUMIF(ConfirmedRaw!$B:$B,$B97,ConfirmedRaw!P:P)</f>
        <v>0</v>
      </c>
      <c r="O97">
        <f>SUMIF(ConfirmedRaw!$B:$B,$B97,ConfirmedRaw!Q:Q)</f>
        <v>0</v>
      </c>
      <c r="P97">
        <f>SUMIF(ConfirmedRaw!$B:$B,$B97,ConfirmedRaw!R:R)</f>
        <v>0</v>
      </c>
      <c r="Q97">
        <f>SUMIF(ConfirmedRaw!$B:$B,$B97,ConfirmedRaw!S:S)</f>
        <v>0</v>
      </c>
      <c r="R97">
        <f>SUMIF(ConfirmedRaw!$B:$B,$B97,ConfirmedRaw!T:T)</f>
        <v>0</v>
      </c>
      <c r="S97">
        <f>SUMIF(ConfirmedRaw!$B:$B,$B97,ConfirmedRaw!U:U)</f>
        <v>0</v>
      </c>
      <c r="T97">
        <f>SUMIF(ConfirmedRaw!$B:$B,$B97,ConfirmedRaw!V:V)</f>
        <v>0</v>
      </c>
      <c r="U97">
        <f>SUMIF(ConfirmedRaw!$B:$B,$B97,ConfirmedRaw!W:W)</f>
        <v>0</v>
      </c>
      <c r="V97">
        <f>SUMIF(ConfirmedRaw!$B:$B,$B97,ConfirmedRaw!X:X)</f>
        <v>0</v>
      </c>
      <c r="W97">
        <f>SUMIF(ConfirmedRaw!$B:$B,$B97,ConfirmedRaw!Y:Y)</f>
        <v>0</v>
      </c>
      <c r="X97">
        <f>SUMIF(ConfirmedRaw!$B:$B,$B97,ConfirmedRaw!Z:Z)</f>
        <v>0</v>
      </c>
      <c r="Y97">
        <f>SUMIF(ConfirmedRaw!$B:$B,$B97,ConfirmedRaw!AA:AA)</f>
        <v>0</v>
      </c>
      <c r="Z97">
        <f>SUMIF(ConfirmedRaw!$B:$B,$B97,ConfirmedRaw!AB:AB)</f>
        <v>0</v>
      </c>
      <c r="AA97">
        <f>SUMIF(ConfirmedRaw!$B:$B,$B97,ConfirmedRaw!AC:AC)</f>
        <v>0</v>
      </c>
      <c r="AB97">
        <f>SUMIF(ConfirmedRaw!$B:$B,$B97,ConfirmedRaw!AD:AD)</f>
        <v>0</v>
      </c>
      <c r="AC97">
        <f>SUMIF(ConfirmedRaw!$B:$B,$B97,ConfirmedRaw!AE:AE)</f>
        <v>0</v>
      </c>
      <c r="AD97">
        <f>SUMIF(ConfirmedRaw!$B:$B,$B97,ConfirmedRaw!AF:AF)</f>
        <v>0</v>
      </c>
      <c r="AE97">
        <f>SUMIF(ConfirmedRaw!$B:$B,$B97,ConfirmedRaw!AG:AG)</f>
        <v>0</v>
      </c>
      <c r="AF97">
        <f>SUMIF(ConfirmedRaw!$B:$B,$B97,ConfirmedRaw!AH:AH)</f>
        <v>0</v>
      </c>
      <c r="AG97">
        <f>SUMIF(ConfirmedRaw!$B:$B,$B97,ConfirmedRaw!AI:AI)</f>
        <v>0</v>
      </c>
      <c r="AH97">
        <f>SUMIF(ConfirmedRaw!$B:$B,$B97,ConfirmedRaw!AJ:AJ)</f>
        <v>0</v>
      </c>
      <c r="AI97">
        <f>SUMIF(ConfirmedRaw!$B:$B,$B97,ConfirmedRaw!AK:AK)</f>
        <v>0</v>
      </c>
      <c r="AJ97">
        <f>SUMIF(ConfirmedRaw!$B:$B,$B97,ConfirmedRaw!AL:AL)</f>
        <v>0</v>
      </c>
      <c r="AK97">
        <f>SUMIF(ConfirmedRaw!$B:$B,$B97,ConfirmedRaw!AM:AM)</f>
        <v>0</v>
      </c>
      <c r="AL97">
        <f>SUMIF(ConfirmedRaw!$B:$B,$B97,ConfirmedRaw!AN:AN)</f>
        <v>0</v>
      </c>
      <c r="AM97">
        <f>SUMIF(ConfirmedRaw!$B:$B,$B97,ConfirmedRaw!AO:AO)</f>
        <v>0</v>
      </c>
      <c r="AN97">
        <f>SUMIF(ConfirmedRaw!$B:$B,$B97,ConfirmedRaw!AP:AP)</f>
        <v>0</v>
      </c>
      <c r="AO97">
        <f>SUMIF(ConfirmedRaw!$B:$B,$B97,ConfirmedRaw!AQ:AQ)</f>
        <v>0</v>
      </c>
      <c r="AP97">
        <f>SUMIF(ConfirmedRaw!$B:$B,$B97,ConfirmedRaw!AR:AR)</f>
        <v>0</v>
      </c>
      <c r="AQ97">
        <f>SUMIF(ConfirmedRaw!$B:$B,$B97,ConfirmedRaw!AS:AS)</f>
        <v>0</v>
      </c>
      <c r="AR97">
        <f>SUMIF(ConfirmedRaw!$B:$B,$B97,ConfirmedRaw!AT:AT)</f>
        <v>0</v>
      </c>
      <c r="AS97">
        <f>SUMIF(ConfirmedRaw!$B:$B,$B97,ConfirmedRaw!AU:AU)</f>
        <v>0</v>
      </c>
      <c r="AT97">
        <f>SUMIF(ConfirmedRaw!$B:$B,$B97,ConfirmedRaw!AV:AV)</f>
        <v>0</v>
      </c>
      <c r="AU97">
        <f>SUMIF(ConfirmedRaw!$B:$B,$B97,ConfirmedRaw!AW:AW)</f>
        <v>0</v>
      </c>
      <c r="AV97">
        <f>SUMIF(ConfirmedRaw!$B:$B,$B97,ConfirmedRaw!AX:AX)</f>
        <v>0</v>
      </c>
      <c r="AW97">
        <f>SUMIF(ConfirmedRaw!$B:$B,$B97,ConfirmedRaw!AY:AY)</f>
        <v>0</v>
      </c>
      <c r="AX97">
        <f>SUMIF(ConfirmedRaw!$B:$B,$B97,ConfirmedRaw!AZ:AZ)</f>
        <v>0</v>
      </c>
      <c r="AY97">
        <f>SUMIF(ConfirmedRaw!$B:$B,$B97,ConfirmedRaw!BA:BA)</f>
        <v>0</v>
      </c>
      <c r="AZ97">
        <f>SUMIF(ConfirmedRaw!$B:$B,$B97,ConfirmedRaw!BB:BB)</f>
        <v>0</v>
      </c>
      <c r="BA97">
        <f>SUMIF(ConfirmedRaw!$B:$B,$B97,ConfirmedRaw!BC:BC)</f>
        <v>3</v>
      </c>
      <c r="BB97">
        <f>SUMIF(ConfirmedRaw!$B:$B,$B97,ConfirmedRaw!BD:BD)</f>
        <v>4</v>
      </c>
      <c r="BC97">
        <f>SUMIF(ConfirmedRaw!$B:$B,$B97,ConfirmedRaw!BE:BE)</f>
        <v>4</v>
      </c>
      <c r="BD97">
        <f>SUMIF(ConfirmedRaw!$B:$B,$B97,ConfirmedRaw!BF:BF)</f>
        <v>4</v>
      </c>
      <c r="BE97">
        <f>SUMIF(ConfirmedRaw!$B:$B,$B97,ConfirmedRaw!BG:BG)</f>
        <v>4</v>
      </c>
      <c r="BF97">
        <f>SUMIF(ConfirmedRaw!$B:$B,$B97,ConfirmedRaw!BH:BH)</f>
        <v>5</v>
      </c>
      <c r="BG97">
        <f>SUMIF(ConfirmedRaw!$B:$B,$B97,ConfirmedRaw!BI:BI)</f>
        <v>7</v>
      </c>
      <c r="BH97">
        <f>SUMIF(ConfirmedRaw!$B:$B,$B97,ConfirmedRaw!BJ:BJ)</f>
        <v>11</v>
      </c>
      <c r="BI97">
        <f>SUMIF(ConfirmedRaw!$B:$B,$B97,ConfirmedRaw!BK:BK)</f>
        <v>16</v>
      </c>
      <c r="BJ97">
        <f>SUMIF(ConfirmedRaw!$B:$B,$B97,ConfirmedRaw!BL:BL)</f>
        <v>21</v>
      </c>
      <c r="BK97">
        <f>SUMIF(ConfirmedRaw!$B:$B,$B97,ConfirmedRaw!BM:BM)</f>
        <v>35</v>
      </c>
      <c r="BL97">
        <f>SUMIF(ConfirmedRaw!$B:$B,$B97,ConfirmedRaw!BN:BN)</f>
        <v>40</v>
      </c>
      <c r="BM97">
        <f>SUMIF(ConfirmedRaw!$B:$B,$B97,ConfirmedRaw!BO:BO)</f>
        <v>48</v>
      </c>
      <c r="BN97">
        <f>SUMIF(ConfirmedRaw!$B:$B,$B97,ConfirmedRaw!BP:BP)</f>
        <v>57</v>
      </c>
      <c r="BO97">
        <f>SUMIF(ConfirmedRaw!$B:$B,$B97,ConfirmedRaw!BQ:BQ)</f>
        <v>67</v>
      </c>
      <c r="BP97">
        <f>SUMIF(ConfirmedRaw!$B:$B,$B97,ConfirmedRaw!BR:BR)</f>
        <v>80</v>
      </c>
      <c r="BQ97">
        <f>SUMIF(ConfirmedRaw!$B:$B,$B97,ConfirmedRaw!BS:BS)</f>
        <v>119</v>
      </c>
      <c r="BR97">
        <f>SUMIF(ConfirmedRaw!$B:$B,$B97,ConfirmedRaw!BT:BT)</f>
        <v>0</v>
      </c>
      <c r="BS97">
        <f>SUMIF(ConfirmedRaw!$B:$B,$B97,ConfirmedRaw!BU:BU)</f>
        <v>0</v>
      </c>
      <c r="BT97">
        <f>SUMIF(ConfirmedRaw!$B:$B,$B97,ConfirmedRaw!BV:BV)</f>
        <v>0</v>
      </c>
      <c r="BU97">
        <f>SUMIF(ConfirmedRaw!$B:$B,$B97,ConfirmedRaw!BW:BW)</f>
        <v>0</v>
      </c>
    </row>
    <row r="98" spans="1:73" ht="15" thickBot="1" x14ac:dyDescent="0.35">
      <c r="A98" s="97" t="str">
        <f>VLOOKUP(B98,Country_Data!B:Q,16,FALSE)</f>
        <v>Asia</v>
      </c>
      <c r="B98" s="4" t="s">
        <v>413</v>
      </c>
      <c r="C98">
        <f>SUMIF(ConfirmedRaw!$B:$B,$B98,ConfirmedRaw!E:E)</f>
        <v>0</v>
      </c>
      <c r="D98">
        <f>SUMIF(ConfirmedRaw!$B:$B,$B98,ConfirmedRaw!F:F)</f>
        <v>0</v>
      </c>
      <c r="E98">
        <f>SUMIF(ConfirmedRaw!$B:$B,$B98,ConfirmedRaw!G:G)</f>
        <v>0</v>
      </c>
      <c r="F98">
        <f>SUMIF(ConfirmedRaw!$B:$B,$B98,ConfirmedRaw!H:H)</f>
        <v>0</v>
      </c>
      <c r="G98">
        <f>SUMIF(ConfirmedRaw!$B:$B,$B98,ConfirmedRaw!I:I)</f>
        <v>0</v>
      </c>
      <c r="H98">
        <f>SUMIF(ConfirmedRaw!$B:$B,$B98,ConfirmedRaw!J:J)</f>
        <v>0</v>
      </c>
      <c r="I98">
        <f>SUMIF(ConfirmedRaw!$B:$B,$B98,ConfirmedRaw!K:K)</f>
        <v>0</v>
      </c>
      <c r="J98">
        <f>SUMIF(ConfirmedRaw!$B:$B,$B98,ConfirmedRaw!L:L)</f>
        <v>0</v>
      </c>
      <c r="K98">
        <f>SUMIF(ConfirmedRaw!$B:$B,$B98,ConfirmedRaw!M:M)</f>
        <v>0</v>
      </c>
      <c r="L98">
        <f>SUMIF(ConfirmedRaw!$B:$B,$B98,ConfirmedRaw!N:N)</f>
        <v>0</v>
      </c>
      <c r="M98">
        <f>SUMIF(ConfirmedRaw!$B:$B,$B98,ConfirmedRaw!O:O)</f>
        <v>0</v>
      </c>
      <c r="N98">
        <f>SUMIF(ConfirmedRaw!$B:$B,$B98,ConfirmedRaw!P:P)</f>
        <v>0</v>
      </c>
      <c r="O98">
        <f>SUMIF(ConfirmedRaw!$B:$B,$B98,ConfirmedRaw!Q:Q)</f>
        <v>0</v>
      </c>
      <c r="P98">
        <f>SUMIF(ConfirmedRaw!$B:$B,$B98,ConfirmedRaw!R:R)</f>
        <v>0</v>
      </c>
      <c r="Q98">
        <f>SUMIF(ConfirmedRaw!$B:$B,$B98,ConfirmedRaw!S:S)</f>
        <v>0</v>
      </c>
      <c r="R98">
        <f>SUMIF(ConfirmedRaw!$B:$B,$B98,ConfirmedRaw!T:T)</f>
        <v>0</v>
      </c>
      <c r="S98">
        <f>SUMIF(ConfirmedRaw!$B:$B,$B98,ConfirmedRaw!U:U)</f>
        <v>0</v>
      </c>
      <c r="T98">
        <f>SUMIF(ConfirmedRaw!$B:$B,$B98,ConfirmedRaw!V:V)</f>
        <v>0</v>
      </c>
      <c r="U98">
        <f>SUMIF(ConfirmedRaw!$B:$B,$B98,ConfirmedRaw!W:W)</f>
        <v>0</v>
      </c>
      <c r="V98">
        <f>SUMIF(ConfirmedRaw!$B:$B,$B98,ConfirmedRaw!X:X)</f>
        <v>0</v>
      </c>
      <c r="W98">
        <f>SUMIF(ConfirmedRaw!$B:$B,$B98,ConfirmedRaw!Y:Y)</f>
        <v>0</v>
      </c>
      <c r="X98">
        <f>SUMIF(ConfirmedRaw!$B:$B,$B98,ConfirmedRaw!Z:Z)</f>
        <v>0</v>
      </c>
      <c r="Y98">
        <f>SUMIF(ConfirmedRaw!$B:$B,$B98,ConfirmedRaw!AA:AA)</f>
        <v>0</v>
      </c>
      <c r="Z98">
        <f>SUMIF(ConfirmedRaw!$B:$B,$B98,ConfirmedRaw!AB:AB)</f>
        <v>0</v>
      </c>
      <c r="AA98">
        <f>SUMIF(ConfirmedRaw!$B:$B,$B98,ConfirmedRaw!AC:AC)</f>
        <v>0</v>
      </c>
      <c r="AB98">
        <f>SUMIF(ConfirmedRaw!$B:$B,$B98,ConfirmedRaw!AD:AD)</f>
        <v>0</v>
      </c>
      <c r="AC98">
        <f>SUMIF(ConfirmedRaw!$B:$B,$B98,ConfirmedRaw!AE:AE)</f>
        <v>0</v>
      </c>
      <c r="AD98">
        <f>SUMIF(ConfirmedRaw!$B:$B,$B98,ConfirmedRaw!AF:AF)</f>
        <v>0</v>
      </c>
      <c r="AE98">
        <f>SUMIF(ConfirmedRaw!$B:$B,$B98,ConfirmedRaw!AG:AG)</f>
        <v>0</v>
      </c>
      <c r="AF98">
        <f>SUMIF(ConfirmedRaw!$B:$B,$B98,ConfirmedRaw!AH:AH)</f>
        <v>0</v>
      </c>
      <c r="AG98">
        <f>SUMIF(ConfirmedRaw!$B:$B,$B98,ConfirmedRaw!AI:AI)</f>
        <v>0</v>
      </c>
      <c r="AH98">
        <f>SUMIF(ConfirmedRaw!$B:$B,$B98,ConfirmedRaw!AJ:AJ)</f>
        <v>0</v>
      </c>
      <c r="AI98">
        <f>SUMIF(ConfirmedRaw!$B:$B,$B98,ConfirmedRaw!AK:AK)</f>
        <v>0</v>
      </c>
      <c r="AJ98">
        <f>SUMIF(ConfirmedRaw!$B:$B,$B98,ConfirmedRaw!AL:AL)</f>
        <v>0</v>
      </c>
      <c r="AK98">
        <f>SUMIF(ConfirmedRaw!$B:$B,$B98,ConfirmedRaw!AM:AM)</f>
        <v>0</v>
      </c>
      <c r="AL98">
        <f>SUMIF(ConfirmedRaw!$B:$B,$B98,ConfirmedRaw!AN:AN)</f>
        <v>0</v>
      </c>
      <c r="AM98">
        <f>SUMIF(ConfirmedRaw!$B:$B,$B98,ConfirmedRaw!AO:AO)</f>
        <v>0</v>
      </c>
      <c r="AN98">
        <f>SUMIF(ConfirmedRaw!$B:$B,$B98,ConfirmedRaw!AP:AP)</f>
        <v>0</v>
      </c>
      <c r="AO98">
        <f>SUMIF(ConfirmedRaw!$B:$B,$B98,ConfirmedRaw!AQ:AQ)</f>
        <v>0</v>
      </c>
      <c r="AP98">
        <f>SUMIF(ConfirmedRaw!$B:$B,$B98,ConfirmedRaw!AR:AR)</f>
        <v>0</v>
      </c>
      <c r="AQ98">
        <f>SUMIF(ConfirmedRaw!$B:$B,$B98,ConfirmedRaw!AS:AS)</f>
        <v>0</v>
      </c>
      <c r="AR98">
        <f>SUMIF(ConfirmedRaw!$B:$B,$B98,ConfirmedRaw!AT:AT)</f>
        <v>0</v>
      </c>
      <c r="AS98">
        <f>SUMIF(ConfirmedRaw!$B:$B,$B98,ConfirmedRaw!AU:AU)</f>
        <v>0</v>
      </c>
      <c r="AT98">
        <f>SUMIF(ConfirmedRaw!$B:$B,$B98,ConfirmedRaw!AV:AV)</f>
        <v>0</v>
      </c>
      <c r="AU98">
        <f>SUMIF(ConfirmedRaw!$B:$B,$B98,ConfirmedRaw!AW:AW)</f>
        <v>0</v>
      </c>
      <c r="AV98">
        <f>SUMIF(ConfirmedRaw!$B:$B,$B98,ConfirmedRaw!AX:AX)</f>
        <v>0</v>
      </c>
      <c r="AW98">
        <f>SUMIF(ConfirmedRaw!$B:$B,$B98,ConfirmedRaw!AY:AY)</f>
        <v>0</v>
      </c>
      <c r="AX98">
        <f>SUMIF(ConfirmedRaw!$B:$B,$B98,ConfirmedRaw!AZ:AZ)</f>
        <v>0</v>
      </c>
      <c r="AY98">
        <f>SUMIF(ConfirmedRaw!$B:$B,$B98,ConfirmedRaw!BA:BA)</f>
        <v>0</v>
      </c>
      <c r="AZ98">
        <f>SUMIF(ConfirmedRaw!$B:$B,$B98,ConfirmedRaw!BB:BB)</f>
        <v>0</v>
      </c>
      <c r="BA98">
        <f>SUMIF(ConfirmedRaw!$B:$B,$B98,ConfirmedRaw!BC:BC)</f>
        <v>0</v>
      </c>
      <c r="BB98">
        <f>SUMIF(ConfirmedRaw!$B:$B,$B98,ConfirmedRaw!BD:BD)</f>
        <v>4</v>
      </c>
      <c r="BC98">
        <f>SUMIF(ConfirmedRaw!$B:$B,$B98,ConfirmedRaw!BE:BE)</f>
        <v>6</v>
      </c>
      <c r="BD98">
        <f>SUMIF(ConfirmedRaw!$B:$B,$B98,ConfirmedRaw!BF:BF)</f>
        <v>9</v>
      </c>
      <c r="BE98">
        <f>SUMIF(ConfirmedRaw!$B:$B,$B98,ConfirmedRaw!BG:BG)</f>
        <v>10</v>
      </c>
      <c r="BF98">
        <f>SUMIF(ConfirmedRaw!$B:$B,$B98,ConfirmedRaw!BH:BH)</f>
        <v>33</v>
      </c>
      <c r="BG98">
        <f>SUMIF(ConfirmedRaw!$B:$B,$B98,ConfirmedRaw!BI:BI)</f>
        <v>35</v>
      </c>
      <c r="BH98">
        <f>SUMIF(ConfirmedRaw!$B:$B,$B98,ConfirmedRaw!BJ:BJ)</f>
        <v>44</v>
      </c>
      <c r="BI98">
        <f>SUMIF(ConfirmedRaw!$B:$B,$B98,ConfirmedRaw!BK:BK)</f>
        <v>49</v>
      </c>
      <c r="BJ98">
        <f>SUMIF(ConfirmedRaw!$B:$B,$B98,ConfirmedRaw!BL:BL)</f>
        <v>53</v>
      </c>
      <c r="BK98">
        <f>SUMIF(ConfirmedRaw!$B:$B,$B98,ConfirmedRaw!BM:BM)</f>
        <v>60</v>
      </c>
      <c r="BL98">
        <f>SUMIF(ConfirmedRaw!$B:$B,$B98,ConfirmedRaw!BN:BN)</f>
        <v>62</v>
      </c>
      <c r="BM98">
        <f>SUMIF(ConfirmedRaw!$B:$B,$B98,ConfirmedRaw!BO:BO)</f>
        <v>72</v>
      </c>
      <c r="BN98">
        <f>SUMIF(ConfirmedRaw!$B:$B,$B98,ConfirmedRaw!BP:BP)</f>
        <v>81</v>
      </c>
      <c r="BO98">
        <f>SUMIF(ConfirmedRaw!$B:$B,$B98,ConfirmedRaw!BQ:BQ)</f>
        <v>111</v>
      </c>
      <c r="BP98">
        <f>SUMIF(ConfirmedRaw!$B:$B,$B98,ConfirmedRaw!BR:BR)</f>
        <v>150</v>
      </c>
      <c r="BQ98">
        <f>SUMIF(ConfirmedRaw!$B:$B,$B98,ConfirmedRaw!BS:BS)</f>
        <v>228</v>
      </c>
      <c r="BR98">
        <f>SUMIF(ConfirmedRaw!$B:$B,$B98,ConfirmedRaw!BT:BT)</f>
        <v>0</v>
      </c>
      <c r="BS98">
        <f>SUMIF(ConfirmedRaw!$B:$B,$B98,ConfirmedRaw!BU:BU)</f>
        <v>0</v>
      </c>
      <c r="BT98">
        <f>SUMIF(ConfirmedRaw!$B:$B,$B98,ConfirmedRaw!BV:BV)</f>
        <v>0</v>
      </c>
      <c r="BU98">
        <f>SUMIF(ConfirmedRaw!$B:$B,$B98,ConfirmedRaw!BW:BW)</f>
        <v>0</v>
      </c>
    </row>
    <row r="99" spans="1:73" ht="15" thickBot="1" x14ac:dyDescent="0.35">
      <c r="A99" s="97" t="str">
        <f>VLOOKUP(B99,Country_Data!B:Q,16,FALSE)</f>
        <v>Asia</v>
      </c>
      <c r="B99" s="3" t="s">
        <v>202</v>
      </c>
      <c r="C99">
        <f>SUMIF(ConfirmedRaw!$B:$B,$B99,ConfirmedRaw!E:E)</f>
        <v>0</v>
      </c>
      <c r="D99">
        <f>SUMIF(ConfirmedRaw!$B:$B,$B99,ConfirmedRaw!F:F)</f>
        <v>0</v>
      </c>
      <c r="E99">
        <f>SUMIF(ConfirmedRaw!$B:$B,$B99,ConfirmedRaw!G:G)</f>
        <v>0</v>
      </c>
      <c r="F99">
        <f>SUMIF(ConfirmedRaw!$B:$B,$B99,ConfirmedRaw!H:H)</f>
        <v>0</v>
      </c>
      <c r="G99">
        <f>SUMIF(ConfirmedRaw!$B:$B,$B99,ConfirmedRaw!I:I)</f>
        <v>0</v>
      </c>
      <c r="H99">
        <f>SUMIF(ConfirmedRaw!$B:$B,$B99,ConfirmedRaw!J:J)</f>
        <v>0</v>
      </c>
      <c r="I99">
        <f>SUMIF(ConfirmedRaw!$B:$B,$B99,ConfirmedRaw!K:K)</f>
        <v>0</v>
      </c>
      <c r="J99">
        <f>SUMIF(ConfirmedRaw!$B:$B,$B99,ConfirmedRaw!L:L)</f>
        <v>0</v>
      </c>
      <c r="K99">
        <f>SUMIF(ConfirmedRaw!$B:$B,$B99,ConfirmedRaw!M:M)</f>
        <v>0</v>
      </c>
      <c r="L99">
        <f>SUMIF(ConfirmedRaw!$B:$B,$B99,ConfirmedRaw!N:N)</f>
        <v>0</v>
      </c>
      <c r="M99">
        <f>SUMIF(ConfirmedRaw!$B:$B,$B99,ConfirmedRaw!O:O)</f>
        <v>0</v>
      </c>
      <c r="N99">
        <f>SUMIF(ConfirmedRaw!$B:$B,$B99,ConfirmedRaw!P:P)</f>
        <v>0</v>
      </c>
      <c r="O99">
        <f>SUMIF(ConfirmedRaw!$B:$B,$B99,ConfirmedRaw!Q:Q)</f>
        <v>0</v>
      </c>
      <c r="P99">
        <f>SUMIF(ConfirmedRaw!$B:$B,$B99,ConfirmedRaw!R:R)</f>
        <v>0</v>
      </c>
      <c r="Q99">
        <f>SUMIF(ConfirmedRaw!$B:$B,$B99,ConfirmedRaw!S:S)</f>
        <v>0</v>
      </c>
      <c r="R99">
        <f>SUMIF(ConfirmedRaw!$B:$B,$B99,ConfirmedRaw!T:T)</f>
        <v>0</v>
      </c>
      <c r="S99">
        <f>SUMIF(ConfirmedRaw!$B:$B,$B99,ConfirmedRaw!U:U)</f>
        <v>0</v>
      </c>
      <c r="T99">
        <f>SUMIF(ConfirmedRaw!$B:$B,$B99,ConfirmedRaw!V:V)</f>
        <v>0</v>
      </c>
      <c r="U99">
        <f>SUMIF(ConfirmedRaw!$B:$B,$B99,ConfirmedRaw!W:W)</f>
        <v>0</v>
      </c>
      <c r="V99">
        <f>SUMIF(ConfirmedRaw!$B:$B,$B99,ConfirmedRaw!X:X)</f>
        <v>0</v>
      </c>
      <c r="W99">
        <f>SUMIF(ConfirmedRaw!$B:$B,$B99,ConfirmedRaw!Y:Y)</f>
        <v>0</v>
      </c>
      <c r="X99">
        <f>SUMIF(ConfirmedRaw!$B:$B,$B99,ConfirmedRaw!Z:Z)</f>
        <v>0</v>
      </c>
      <c r="Y99">
        <f>SUMIF(ConfirmedRaw!$B:$B,$B99,ConfirmedRaw!AA:AA)</f>
        <v>0</v>
      </c>
      <c r="Z99">
        <f>SUMIF(ConfirmedRaw!$B:$B,$B99,ConfirmedRaw!AB:AB)</f>
        <v>0</v>
      </c>
      <c r="AA99">
        <f>SUMIF(ConfirmedRaw!$B:$B,$B99,ConfirmedRaw!AC:AC)</f>
        <v>0</v>
      </c>
      <c r="AB99">
        <f>SUMIF(ConfirmedRaw!$B:$B,$B99,ConfirmedRaw!AD:AD)</f>
        <v>0</v>
      </c>
      <c r="AC99">
        <f>SUMIF(ConfirmedRaw!$B:$B,$B99,ConfirmedRaw!AE:AE)</f>
        <v>0</v>
      </c>
      <c r="AD99">
        <f>SUMIF(ConfirmedRaw!$B:$B,$B99,ConfirmedRaw!AF:AF)</f>
        <v>0</v>
      </c>
      <c r="AE99">
        <f>SUMIF(ConfirmedRaw!$B:$B,$B99,ConfirmedRaw!AG:AG)</f>
        <v>0</v>
      </c>
      <c r="AF99">
        <f>SUMIF(ConfirmedRaw!$B:$B,$B99,ConfirmedRaw!AH:AH)</f>
        <v>0</v>
      </c>
      <c r="AG99">
        <f>SUMIF(ConfirmedRaw!$B:$B,$B99,ConfirmedRaw!AI:AI)</f>
        <v>0</v>
      </c>
      <c r="AH99">
        <f>SUMIF(ConfirmedRaw!$B:$B,$B99,ConfirmedRaw!AJ:AJ)</f>
        <v>0</v>
      </c>
      <c r="AI99">
        <f>SUMIF(ConfirmedRaw!$B:$B,$B99,ConfirmedRaw!AK:AK)</f>
        <v>0</v>
      </c>
      <c r="AJ99">
        <f>SUMIF(ConfirmedRaw!$B:$B,$B99,ConfirmedRaw!AL:AL)</f>
        <v>0</v>
      </c>
      <c r="AK99">
        <f>SUMIF(ConfirmedRaw!$B:$B,$B99,ConfirmedRaw!AM:AM)</f>
        <v>0</v>
      </c>
      <c r="AL99">
        <f>SUMIF(ConfirmedRaw!$B:$B,$B99,ConfirmedRaw!AN:AN)</f>
        <v>0</v>
      </c>
      <c r="AM99">
        <f>SUMIF(ConfirmedRaw!$B:$B,$B99,ConfirmedRaw!AO:AO)</f>
        <v>0</v>
      </c>
      <c r="AN99">
        <f>SUMIF(ConfirmedRaw!$B:$B,$B99,ConfirmedRaw!AP:AP)</f>
        <v>0</v>
      </c>
      <c r="AO99">
        <f>SUMIF(ConfirmedRaw!$B:$B,$B99,ConfirmedRaw!AQ:AQ)</f>
        <v>0</v>
      </c>
      <c r="AP99">
        <f>SUMIF(ConfirmedRaw!$B:$B,$B99,ConfirmedRaw!AR:AR)</f>
        <v>0</v>
      </c>
      <c r="AQ99">
        <f>SUMIF(ConfirmedRaw!$B:$B,$B99,ConfirmedRaw!AS:AS)</f>
        <v>0</v>
      </c>
      <c r="AR99">
        <f>SUMIF(ConfirmedRaw!$B:$B,$B99,ConfirmedRaw!AT:AT)</f>
        <v>0</v>
      </c>
      <c r="AS99">
        <f>SUMIF(ConfirmedRaw!$B:$B,$B99,ConfirmedRaw!AU:AU)</f>
        <v>0</v>
      </c>
      <c r="AT99">
        <f>SUMIF(ConfirmedRaw!$B:$B,$B99,ConfirmedRaw!AV:AV)</f>
        <v>0</v>
      </c>
      <c r="AU99">
        <f>SUMIF(ConfirmedRaw!$B:$B,$B99,ConfirmedRaw!AW:AW)</f>
        <v>0</v>
      </c>
      <c r="AV99">
        <f>SUMIF(ConfirmedRaw!$B:$B,$B99,ConfirmedRaw!AX:AX)</f>
        <v>0</v>
      </c>
      <c r="AW99">
        <f>SUMIF(ConfirmedRaw!$B:$B,$B99,ConfirmedRaw!AY:AY)</f>
        <v>3</v>
      </c>
      <c r="AX99">
        <f>SUMIF(ConfirmedRaw!$B:$B,$B99,ConfirmedRaw!AZ:AZ)</f>
        <v>3</v>
      </c>
      <c r="AY99">
        <f>SUMIF(ConfirmedRaw!$B:$B,$B99,ConfirmedRaw!BA:BA)</f>
        <v>3</v>
      </c>
      <c r="AZ99">
        <f>SUMIF(ConfirmedRaw!$B:$B,$B99,ConfirmedRaw!BB:BB)</f>
        <v>3</v>
      </c>
      <c r="BA99">
        <f>SUMIF(ConfirmedRaw!$B:$B,$B99,ConfirmedRaw!BC:BC)</f>
        <v>3</v>
      </c>
      <c r="BB99">
        <f>SUMIF(ConfirmedRaw!$B:$B,$B99,ConfirmedRaw!BD:BD)</f>
        <v>3</v>
      </c>
      <c r="BC99">
        <f>SUMIF(ConfirmedRaw!$B:$B,$B99,ConfirmedRaw!BE:BE)</f>
        <v>3</v>
      </c>
      <c r="BD99">
        <f>SUMIF(ConfirmedRaw!$B:$B,$B99,ConfirmedRaw!BF:BF)</f>
        <v>5</v>
      </c>
      <c r="BE99">
        <f>SUMIF(ConfirmedRaw!$B:$B,$B99,ConfirmedRaw!BG:BG)</f>
        <v>8</v>
      </c>
      <c r="BF99">
        <f>SUMIF(ConfirmedRaw!$B:$B,$B99,ConfirmedRaw!BH:BH)</f>
        <v>10</v>
      </c>
      <c r="BG99">
        <f>SUMIF(ConfirmedRaw!$B:$B,$B99,ConfirmedRaw!BI:BI)</f>
        <v>14</v>
      </c>
      <c r="BH99">
        <f>SUMIF(ConfirmedRaw!$B:$B,$B99,ConfirmedRaw!BJ:BJ)</f>
        <v>17</v>
      </c>
      <c r="BI99">
        <f>SUMIF(ConfirmedRaw!$B:$B,$B99,ConfirmedRaw!BK:BK)</f>
        <v>20</v>
      </c>
      <c r="BJ99">
        <f>SUMIF(ConfirmedRaw!$B:$B,$B99,ConfirmedRaw!BL:BL)</f>
        <v>25</v>
      </c>
      <c r="BK99">
        <f>SUMIF(ConfirmedRaw!$B:$B,$B99,ConfirmedRaw!BM:BM)</f>
        <v>27</v>
      </c>
      <c r="BL99">
        <f>SUMIF(ConfirmedRaw!$B:$B,$B99,ConfirmedRaw!BN:BN)</f>
        <v>33</v>
      </c>
      <c r="BM99">
        <f>SUMIF(ConfirmedRaw!$B:$B,$B99,ConfirmedRaw!BO:BO)</f>
        <v>39</v>
      </c>
      <c r="BN99">
        <f>SUMIF(ConfirmedRaw!$B:$B,$B99,ConfirmedRaw!BP:BP)</f>
        <v>39</v>
      </c>
      <c r="BO99">
        <f>SUMIF(ConfirmedRaw!$B:$B,$B99,ConfirmedRaw!BQ:BQ)</f>
        <v>44</v>
      </c>
      <c r="BP99">
        <f>SUMIF(ConfirmedRaw!$B:$B,$B99,ConfirmedRaw!BR:BR)</f>
        <v>48</v>
      </c>
      <c r="BQ99">
        <f>SUMIF(ConfirmedRaw!$B:$B,$B99,ConfirmedRaw!BS:BS)</f>
        <v>48</v>
      </c>
      <c r="BR99">
        <f>SUMIF(ConfirmedRaw!$B:$B,$B99,ConfirmedRaw!BT:BT)</f>
        <v>0</v>
      </c>
      <c r="BS99">
        <f>SUMIF(ConfirmedRaw!$B:$B,$B99,ConfirmedRaw!BU:BU)</f>
        <v>0</v>
      </c>
      <c r="BT99">
        <f>SUMIF(ConfirmedRaw!$B:$B,$B99,ConfirmedRaw!BV:BV)</f>
        <v>0</v>
      </c>
      <c r="BU99">
        <f>SUMIF(ConfirmedRaw!$B:$B,$B99,ConfirmedRaw!BW:BW)</f>
        <v>0</v>
      </c>
    </row>
    <row r="100" spans="1:73" ht="15" thickBot="1" x14ac:dyDescent="0.35">
      <c r="A100" s="97" t="str">
        <f>VLOOKUP(B100,Country_Data!B:Q,16,FALSE)</f>
        <v>South America</v>
      </c>
      <c r="B100" s="3" t="s">
        <v>346</v>
      </c>
      <c r="C100">
        <f>SUMIF(ConfirmedRaw!$B:$B,$B100,ConfirmedRaw!E:E)</f>
        <v>0</v>
      </c>
      <c r="D100">
        <f>SUMIF(ConfirmedRaw!$B:$B,$B100,ConfirmedRaw!F:F)</f>
        <v>0</v>
      </c>
      <c r="E100">
        <f>SUMIF(ConfirmedRaw!$B:$B,$B100,ConfirmedRaw!G:G)</f>
        <v>0</v>
      </c>
      <c r="F100">
        <f>SUMIF(ConfirmedRaw!$B:$B,$B100,ConfirmedRaw!H:H)</f>
        <v>0</v>
      </c>
      <c r="G100">
        <f>SUMIF(ConfirmedRaw!$B:$B,$B100,ConfirmedRaw!I:I)</f>
        <v>0</v>
      </c>
      <c r="H100">
        <f>SUMIF(ConfirmedRaw!$B:$B,$B100,ConfirmedRaw!J:J)</f>
        <v>0</v>
      </c>
      <c r="I100">
        <f>SUMIF(ConfirmedRaw!$B:$B,$B100,ConfirmedRaw!K:K)</f>
        <v>0</v>
      </c>
      <c r="J100">
        <f>SUMIF(ConfirmedRaw!$B:$B,$B100,ConfirmedRaw!L:L)</f>
        <v>0</v>
      </c>
      <c r="K100">
        <f>SUMIF(ConfirmedRaw!$B:$B,$B100,ConfirmedRaw!M:M)</f>
        <v>0</v>
      </c>
      <c r="L100">
        <f>SUMIF(ConfirmedRaw!$B:$B,$B100,ConfirmedRaw!N:N)</f>
        <v>0</v>
      </c>
      <c r="M100">
        <f>SUMIF(ConfirmedRaw!$B:$B,$B100,ConfirmedRaw!O:O)</f>
        <v>0</v>
      </c>
      <c r="N100">
        <f>SUMIF(ConfirmedRaw!$B:$B,$B100,ConfirmedRaw!P:P)</f>
        <v>0</v>
      </c>
      <c r="O100">
        <f>SUMIF(ConfirmedRaw!$B:$B,$B100,ConfirmedRaw!Q:Q)</f>
        <v>0</v>
      </c>
      <c r="P100">
        <f>SUMIF(ConfirmedRaw!$B:$B,$B100,ConfirmedRaw!R:R)</f>
        <v>0</v>
      </c>
      <c r="Q100">
        <f>SUMIF(ConfirmedRaw!$B:$B,$B100,ConfirmedRaw!S:S)</f>
        <v>0</v>
      </c>
      <c r="R100">
        <f>SUMIF(ConfirmedRaw!$B:$B,$B100,ConfirmedRaw!T:T)</f>
        <v>0</v>
      </c>
      <c r="S100">
        <f>SUMIF(ConfirmedRaw!$B:$B,$B100,ConfirmedRaw!U:U)</f>
        <v>0</v>
      </c>
      <c r="T100">
        <f>SUMIF(ConfirmedRaw!$B:$B,$B100,ConfirmedRaw!V:V)</f>
        <v>0</v>
      </c>
      <c r="U100">
        <f>SUMIF(ConfirmedRaw!$B:$B,$B100,ConfirmedRaw!W:W)</f>
        <v>0</v>
      </c>
      <c r="V100">
        <f>SUMIF(ConfirmedRaw!$B:$B,$B100,ConfirmedRaw!X:X)</f>
        <v>0</v>
      </c>
      <c r="W100">
        <f>SUMIF(ConfirmedRaw!$B:$B,$B100,ConfirmedRaw!Y:Y)</f>
        <v>0</v>
      </c>
      <c r="X100">
        <f>SUMIF(ConfirmedRaw!$B:$B,$B100,ConfirmedRaw!Z:Z)</f>
        <v>0</v>
      </c>
      <c r="Y100">
        <f>SUMIF(ConfirmedRaw!$B:$B,$B100,ConfirmedRaw!AA:AA)</f>
        <v>0</v>
      </c>
      <c r="Z100">
        <f>SUMIF(ConfirmedRaw!$B:$B,$B100,ConfirmedRaw!AB:AB)</f>
        <v>0</v>
      </c>
      <c r="AA100">
        <f>SUMIF(ConfirmedRaw!$B:$B,$B100,ConfirmedRaw!AC:AC)</f>
        <v>0</v>
      </c>
      <c r="AB100">
        <f>SUMIF(ConfirmedRaw!$B:$B,$B100,ConfirmedRaw!AD:AD)</f>
        <v>0</v>
      </c>
      <c r="AC100">
        <f>SUMIF(ConfirmedRaw!$B:$B,$B100,ConfirmedRaw!AE:AE)</f>
        <v>0</v>
      </c>
      <c r="AD100">
        <f>SUMIF(ConfirmedRaw!$B:$B,$B100,ConfirmedRaw!AF:AF)</f>
        <v>0</v>
      </c>
      <c r="AE100">
        <f>SUMIF(ConfirmedRaw!$B:$B,$B100,ConfirmedRaw!AG:AG)</f>
        <v>0</v>
      </c>
      <c r="AF100">
        <f>SUMIF(ConfirmedRaw!$B:$B,$B100,ConfirmedRaw!AH:AH)</f>
        <v>0</v>
      </c>
      <c r="AG100">
        <f>SUMIF(ConfirmedRaw!$B:$B,$B100,ConfirmedRaw!AI:AI)</f>
        <v>0</v>
      </c>
      <c r="AH100">
        <f>SUMIF(ConfirmedRaw!$B:$B,$B100,ConfirmedRaw!AJ:AJ)</f>
        <v>0</v>
      </c>
      <c r="AI100">
        <f>SUMIF(ConfirmedRaw!$B:$B,$B100,ConfirmedRaw!AK:AK)</f>
        <v>0</v>
      </c>
      <c r="AJ100">
        <f>SUMIF(ConfirmedRaw!$B:$B,$B100,ConfirmedRaw!AL:AL)</f>
        <v>0</v>
      </c>
      <c r="AK100">
        <f>SUMIF(ConfirmedRaw!$B:$B,$B100,ConfirmedRaw!AM:AM)</f>
        <v>0</v>
      </c>
      <c r="AL100">
        <f>SUMIF(ConfirmedRaw!$B:$B,$B100,ConfirmedRaw!AN:AN)</f>
        <v>0</v>
      </c>
      <c r="AM100">
        <f>SUMIF(ConfirmedRaw!$B:$B,$B100,ConfirmedRaw!AO:AO)</f>
        <v>0</v>
      </c>
      <c r="AN100">
        <f>SUMIF(ConfirmedRaw!$B:$B,$B100,ConfirmedRaw!AP:AP)</f>
        <v>0</v>
      </c>
      <c r="AO100">
        <f>SUMIF(ConfirmedRaw!$B:$B,$B100,ConfirmedRaw!AQ:AQ)</f>
        <v>0</v>
      </c>
      <c r="AP100">
        <f>SUMIF(ConfirmedRaw!$B:$B,$B100,ConfirmedRaw!AR:AR)</f>
        <v>0</v>
      </c>
      <c r="AQ100">
        <f>SUMIF(ConfirmedRaw!$B:$B,$B100,ConfirmedRaw!AS:AS)</f>
        <v>0</v>
      </c>
      <c r="AR100">
        <f>SUMIF(ConfirmedRaw!$B:$B,$B100,ConfirmedRaw!AT:AT)</f>
        <v>0</v>
      </c>
      <c r="AS100">
        <f>SUMIF(ConfirmedRaw!$B:$B,$B100,ConfirmedRaw!AU:AU)</f>
        <v>0</v>
      </c>
      <c r="AT100">
        <f>SUMIF(ConfirmedRaw!$B:$B,$B100,ConfirmedRaw!AV:AV)</f>
        <v>0</v>
      </c>
      <c r="AU100">
        <f>SUMIF(ConfirmedRaw!$B:$B,$B100,ConfirmedRaw!AW:AW)</f>
        <v>0</v>
      </c>
      <c r="AV100">
        <f>SUMIF(ConfirmedRaw!$B:$B,$B100,ConfirmedRaw!AX:AX)</f>
        <v>0</v>
      </c>
      <c r="AW100">
        <f>SUMIF(ConfirmedRaw!$B:$B,$B100,ConfirmedRaw!AY:AY)</f>
        <v>0</v>
      </c>
      <c r="AX100">
        <f>SUMIF(ConfirmedRaw!$B:$B,$B100,ConfirmedRaw!AZ:AZ)</f>
        <v>0</v>
      </c>
      <c r="AY100">
        <f>SUMIF(ConfirmedRaw!$B:$B,$B100,ConfirmedRaw!BA:BA)</f>
        <v>0</v>
      </c>
      <c r="AZ100">
        <f>SUMIF(ConfirmedRaw!$B:$B,$B100,ConfirmedRaw!BB:BB)</f>
        <v>2</v>
      </c>
      <c r="BA100">
        <f>SUMIF(ConfirmedRaw!$B:$B,$B100,ConfirmedRaw!BC:BC)</f>
        <v>2</v>
      </c>
      <c r="BB100">
        <f>SUMIF(ConfirmedRaw!$B:$B,$B100,ConfirmedRaw!BD:BD)</f>
        <v>3</v>
      </c>
      <c r="BC100">
        <f>SUMIF(ConfirmedRaw!$B:$B,$B100,ConfirmedRaw!BE:BE)</f>
        <v>10</v>
      </c>
      <c r="BD100">
        <f>SUMIF(ConfirmedRaw!$B:$B,$B100,ConfirmedRaw!BF:BF)</f>
        <v>10</v>
      </c>
      <c r="BE100">
        <f>SUMIF(ConfirmedRaw!$B:$B,$B100,ConfirmedRaw!BG:BG)</f>
        <v>11</v>
      </c>
      <c r="BF100">
        <f>SUMIF(ConfirmedRaw!$B:$B,$B100,ConfirmedRaw!BH:BH)</f>
        <v>11</v>
      </c>
      <c r="BG100">
        <f>SUMIF(ConfirmedRaw!$B:$B,$B100,ConfirmedRaw!BI:BI)</f>
        <v>12</v>
      </c>
      <c r="BH100">
        <f>SUMIF(ConfirmedRaw!$B:$B,$B100,ConfirmedRaw!BJ:BJ)</f>
        <v>12</v>
      </c>
      <c r="BI100">
        <f>SUMIF(ConfirmedRaw!$B:$B,$B100,ConfirmedRaw!BK:BK)</f>
        <v>15</v>
      </c>
      <c r="BJ100">
        <f>SUMIF(ConfirmedRaw!$B:$B,$B100,ConfirmedRaw!BL:BL)</f>
        <v>19</v>
      </c>
      <c r="BK100">
        <f>SUMIF(ConfirmedRaw!$B:$B,$B100,ConfirmedRaw!BM:BM)</f>
        <v>24</v>
      </c>
      <c r="BL100">
        <f>SUMIF(ConfirmedRaw!$B:$B,$B100,ConfirmedRaw!BN:BN)</f>
        <v>27</v>
      </c>
      <c r="BM100">
        <f>SUMIF(ConfirmedRaw!$B:$B,$B100,ConfirmedRaw!BO:BO)</f>
        <v>29</v>
      </c>
      <c r="BN100">
        <f>SUMIF(ConfirmedRaw!$B:$B,$B100,ConfirmedRaw!BP:BP)</f>
        <v>32</v>
      </c>
      <c r="BO100">
        <f>SUMIF(ConfirmedRaw!$B:$B,$B100,ConfirmedRaw!BQ:BQ)</f>
        <v>43</v>
      </c>
      <c r="BP100">
        <f>SUMIF(ConfirmedRaw!$B:$B,$B100,ConfirmedRaw!BR:BR)</f>
        <v>61</v>
      </c>
      <c r="BQ100">
        <f>SUMIF(ConfirmedRaw!$B:$B,$B100,ConfirmedRaw!BS:BS)</f>
        <v>74</v>
      </c>
      <c r="BR100">
        <f>SUMIF(ConfirmedRaw!$B:$B,$B100,ConfirmedRaw!BT:BT)</f>
        <v>0</v>
      </c>
      <c r="BS100">
        <f>SUMIF(ConfirmedRaw!$B:$B,$B100,ConfirmedRaw!BU:BU)</f>
        <v>0</v>
      </c>
      <c r="BT100">
        <f>SUMIF(ConfirmedRaw!$B:$B,$B100,ConfirmedRaw!BV:BV)</f>
        <v>0</v>
      </c>
      <c r="BU100">
        <f>SUMIF(ConfirmedRaw!$B:$B,$B100,ConfirmedRaw!BW:BW)</f>
        <v>0</v>
      </c>
    </row>
    <row r="101" spans="1:73" ht="15" thickBot="1" x14ac:dyDescent="0.35">
      <c r="A101" s="97" t="str">
        <f>VLOOKUP(B101,Country_Data!B:Q,16,FALSE)</f>
        <v>Africa</v>
      </c>
      <c r="B101" s="4" t="s">
        <v>180</v>
      </c>
      <c r="C101">
        <f>SUMIF(ConfirmedRaw!$B:$B,$B101,ConfirmedRaw!E:E)</f>
        <v>0</v>
      </c>
      <c r="D101">
        <f>SUMIF(ConfirmedRaw!$B:$B,$B101,ConfirmedRaw!F:F)</f>
        <v>0</v>
      </c>
      <c r="E101">
        <f>SUMIF(ConfirmedRaw!$B:$B,$B101,ConfirmedRaw!G:G)</f>
        <v>0</v>
      </c>
      <c r="F101">
        <f>SUMIF(ConfirmedRaw!$B:$B,$B101,ConfirmedRaw!H:H)</f>
        <v>0</v>
      </c>
      <c r="G101">
        <f>SUMIF(ConfirmedRaw!$B:$B,$B101,ConfirmedRaw!I:I)</f>
        <v>0</v>
      </c>
      <c r="H101">
        <f>SUMIF(ConfirmedRaw!$B:$B,$B101,ConfirmedRaw!J:J)</f>
        <v>0</v>
      </c>
      <c r="I101">
        <f>SUMIF(ConfirmedRaw!$B:$B,$B101,ConfirmedRaw!K:K)</f>
        <v>0</v>
      </c>
      <c r="J101">
        <f>SUMIF(ConfirmedRaw!$B:$B,$B101,ConfirmedRaw!L:L)</f>
        <v>0</v>
      </c>
      <c r="K101">
        <f>SUMIF(ConfirmedRaw!$B:$B,$B101,ConfirmedRaw!M:M)</f>
        <v>0</v>
      </c>
      <c r="L101">
        <f>SUMIF(ConfirmedRaw!$B:$B,$B101,ConfirmedRaw!N:N)</f>
        <v>0</v>
      </c>
      <c r="M101">
        <f>SUMIF(ConfirmedRaw!$B:$B,$B101,ConfirmedRaw!O:O)</f>
        <v>0</v>
      </c>
      <c r="N101">
        <f>SUMIF(ConfirmedRaw!$B:$B,$B101,ConfirmedRaw!P:P)</f>
        <v>0</v>
      </c>
      <c r="O101">
        <f>SUMIF(ConfirmedRaw!$B:$B,$B101,ConfirmedRaw!Q:Q)</f>
        <v>0</v>
      </c>
      <c r="P101">
        <f>SUMIF(ConfirmedRaw!$B:$B,$B101,ConfirmedRaw!R:R)</f>
        <v>0</v>
      </c>
      <c r="Q101">
        <f>SUMIF(ConfirmedRaw!$B:$B,$B101,ConfirmedRaw!S:S)</f>
        <v>0</v>
      </c>
      <c r="R101">
        <f>SUMIF(ConfirmedRaw!$B:$B,$B101,ConfirmedRaw!T:T)</f>
        <v>0</v>
      </c>
      <c r="S101">
        <f>SUMIF(ConfirmedRaw!$B:$B,$B101,ConfirmedRaw!U:U)</f>
        <v>0</v>
      </c>
      <c r="T101">
        <f>SUMIF(ConfirmedRaw!$B:$B,$B101,ConfirmedRaw!V:V)</f>
        <v>0</v>
      </c>
      <c r="U101">
        <f>SUMIF(ConfirmedRaw!$B:$B,$B101,ConfirmedRaw!W:W)</f>
        <v>0</v>
      </c>
      <c r="V101">
        <f>SUMIF(ConfirmedRaw!$B:$B,$B101,ConfirmedRaw!X:X)</f>
        <v>0</v>
      </c>
      <c r="W101">
        <f>SUMIF(ConfirmedRaw!$B:$B,$B101,ConfirmedRaw!Y:Y)</f>
        <v>0</v>
      </c>
      <c r="X101">
        <f>SUMIF(ConfirmedRaw!$B:$B,$B101,ConfirmedRaw!Z:Z)</f>
        <v>0</v>
      </c>
      <c r="Y101">
        <f>SUMIF(ConfirmedRaw!$B:$B,$B101,ConfirmedRaw!AA:AA)</f>
        <v>0</v>
      </c>
      <c r="Z101">
        <f>SUMIF(ConfirmedRaw!$B:$B,$B101,ConfirmedRaw!AB:AB)</f>
        <v>0</v>
      </c>
      <c r="AA101">
        <f>SUMIF(ConfirmedRaw!$B:$B,$B101,ConfirmedRaw!AC:AC)</f>
        <v>0</v>
      </c>
      <c r="AB101">
        <f>SUMIF(ConfirmedRaw!$B:$B,$B101,ConfirmedRaw!AD:AD)</f>
        <v>0</v>
      </c>
      <c r="AC101">
        <f>SUMIF(ConfirmedRaw!$B:$B,$B101,ConfirmedRaw!AE:AE)</f>
        <v>0</v>
      </c>
      <c r="AD101">
        <f>SUMIF(ConfirmedRaw!$B:$B,$B101,ConfirmedRaw!AF:AF)</f>
        <v>0</v>
      </c>
      <c r="AE101">
        <f>SUMIF(ConfirmedRaw!$B:$B,$B101,ConfirmedRaw!AG:AG)</f>
        <v>0</v>
      </c>
      <c r="AF101">
        <f>SUMIF(ConfirmedRaw!$B:$B,$B101,ConfirmedRaw!AH:AH)</f>
        <v>0</v>
      </c>
      <c r="AG101">
        <f>SUMIF(ConfirmedRaw!$B:$B,$B101,ConfirmedRaw!AI:AI)</f>
        <v>0</v>
      </c>
      <c r="AH101">
        <f>SUMIF(ConfirmedRaw!$B:$B,$B101,ConfirmedRaw!AJ:AJ)</f>
        <v>0</v>
      </c>
      <c r="AI101">
        <f>SUMIF(ConfirmedRaw!$B:$B,$B101,ConfirmedRaw!AK:AK)</f>
        <v>0</v>
      </c>
      <c r="AJ101">
        <f>SUMIF(ConfirmedRaw!$B:$B,$B101,ConfirmedRaw!AL:AL)</f>
        <v>0</v>
      </c>
      <c r="AK101">
        <f>SUMIF(ConfirmedRaw!$B:$B,$B101,ConfirmedRaw!AM:AM)</f>
        <v>0</v>
      </c>
      <c r="AL101">
        <f>SUMIF(ConfirmedRaw!$B:$B,$B101,ConfirmedRaw!AN:AN)</f>
        <v>0</v>
      </c>
      <c r="AM101">
        <f>SUMIF(ConfirmedRaw!$B:$B,$B101,ConfirmedRaw!AO:AO)</f>
        <v>0</v>
      </c>
      <c r="AN101">
        <f>SUMIF(ConfirmedRaw!$B:$B,$B101,ConfirmedRaw!AP:AP)</f>
        <v>0</v>
      </c>
      <c r="AO101">
        <f>SUMIF(ConfirmedRaw!$B:$B,$B101,ConfirmedRaw!AQ:AQ)</f>
        <v>0</v>
      </c>
      <c r="AP101">
        <f>SUMIF(ConfirmedRaw!$B:$B,$B101,ConfirmedRaw!AR:AR)</f>
        <v>0</v>
      </c>
      <c r="AQ101">
        <f>SUMIF(ConfirmedRaw!$B:$B,$B101,ConfirmedRaw!AS:AS)</f>
        <v>0</v>
      </c>
      <c r="AR101">
        <f>SUMIF(ConfirmedRaw!$B:$B,$B101,ConfirmedRaw!AT:AT)</f>
        <v>0</v>
      </c>
      <c r="AS101">
        <f>SUMIF(ConfirmedRaw!$B:$B,$B101,ConfirmedRaw!AU:AU)</f>
        <v>0</v>
      </c>
      <c r="AT101">
        <f>SUMIF(ConfirmedRaw!$B:$B,$B101,ConfirmedRaw!AV:AV)</f>
        <v>0</v>
      </c>
      <c r="AU101">
        <f>SUMIF(ConfirmedRaw!$B:$B,$B101,ConfirmedRaw!AW:AW)</f>
        <v>0</v>
      </c>
      <c r="AV101">
        <f>SUMIF(ConfirmedRaw!$B:$B,$B101,ConfirmedRaw!AX:AX)</f>
        <v>0</v>
      </c>
      <c r="AW101">
        <f>SUMIF(ConfirmedRaw!$B:$B,$B101,ConfirmedRaw!AY:AY)</f>
        <v>0</v>
      </c>
      <c r="AX101">
        <f>SUMIF(ConfirmedRaw!$B:$B,$B101,ConfirmedRaw!AZ:AZ)</f>
        <v>0</v>
      </c>
      <c r="AY101">
        <f>SUMIF(ConfirmedRaw!$B:$B,$B101,ConfirmedRaw!BA:BA)</f>
        <v>0</v>
      </c>
      <c r="AZ101">
        <f>SUMIF(ConfirmedRaw!$B:$B,$B101,ConfirmedRaw!BB:BB)</f>
        <v>0</v>
      </c>
      <c r="BA101">
        <f>SUMIF(ConfirmedRaw!$B:$B,$B101,ConfirmedRaw!BC:BC)</f>
        <v>0</v>
      </c>
      <c r="BB101">
        <f>SUMIF(ConfirmedRaw!$B:$B,$B101,ConfirmedRaw!BD:BD)</f>
        <v>0</v>
      </c>
      <c r="BC101">
        <f>SUMIF(ConfirmedRaw!$B:$B,$B101,ConfirmedRaw!BE:BE)</f>
        <v>0</v>
      </c>
      <c r="BD101">
        <f>SUMIF(ConfirmedRaw!$B:$B,$B101,ConfirmedRaw!BF:BF)</f>
        <v>0</v>
      </c>
      <c r="BE101">
        <f>SUMIF(ConfirmedRaw!$B:$B,$B101,ConfirmedRaw!BG:BG)</f>
        <v>0</v>
      </c>
      <c r="BF101">
        <f>SUMIF(ConfirmedRaw!$B:$B,$B101,ConfirmedRaw!BH:BH)</f>
        <v>0</v>
      </c>
      <c r="BG101">
        <f>SUMIF(ConfirmedRaw!$B:$B,$B101,ConfirmedRaw!BI:BI)</f>
        <v>0</v>
      </c>
      <c r="BH101">
        <f>SUMIF(ConfirmedRaw!$B:$B,$B101,ConfirmedRaw!BJ:BJ)</f>
        <v>0</v>
      </c>
      <c r="BI101">
        <f>SUMIF(ConfirmedRaw!$B:$B,$B101,ConfirmedRaw!BK:BK)</f>
        <v>0</v>
      </c>
      <c r="BJ101">
        <f>SUMIF(ConfirmedRaw!$B:$B,$B101,ConfirmedRaw!BL:BL)</f>
        <v>0</v>
      </c>
      <c r="BK101">
        <f>SUMIF(ConfirmedRaw!$B:$B,$B101,ConfirmedRaw!BM:BM)</f>
        <v>0</v>
      </c>
      <c r="BL101">
        <f>SUMIF(ConfirmedRaw!$B:$B,$B101,ConfirmedRaw!BN:BN)</f>
        <v>0</v>
      </c>
      <c r="BM101">
        <f>SUMIF(ConfirmedRaw!$B:$B,$B101,ConfirmedRaw!BO:BO)</f>
        <v>0</v>
      </c>
      <c r="BN101">
        <f>SUMIF(ConfirmedRaw!$B:$B,$B101,ConfirmedRaw!BP:BP)</f>
        <v>0</v>
      </c>
      <c r="BO101">
        <f>SUMIF(ConfirmedRaw!$B:$B,$B101,ConfirmedRaw!BQ:BQ)</f>
        <v>0</v>
      </c>
      <c r="BP101">
        <f>SUMIF(ConfirmedRaw!$B:$B,$B101,ConfirmedRaw!BR:BR)</f>
        <v>0</v>
      </c>
      <c r="BQ101">
        <f>SUMIF(ConfirmedRaw!$B:$B,$B101,ConfirmedRaw!BS:BS)</f>
        <v>0</v>
      </c>
      <c r="BR101">
        <f>SUMIF(ConfirmedRaw!$B:$B,$B101,ConfirmedRaw!BT:BT)</f>
        <v>0</v>
      </c>
      <c r="BS101">
        <f>SUMIF(ConfirmedRaw!$B:$B,$B101,ConfirmedRaw!BU:BU)</f>
        <v>0</v>
      </c>
      <c r="BT101">
        <f>SUMIF(ConfirmedRaw!$B:$B,$B101,ConfirmedRaw!BV:BV)</f>
        <v>0</v>
      </c>
      <c r="BU101">
        <f>SUMIF(ConfirmedRaw!$B:$B,$B101,ConfirmedRaw!BW:BW)</f>
        <v>0</v>
      </c>
    </row>
    <row r="102" spans="1:73" ht="15" thickBot="1" x14ac:dyDescent="0.35">
      <c r="A102" s="97" t="str">
        <f>VLOOKUP(B102,Country_Data!B:Q,16,FALSE)</f>
        <v>Europe</v>
      </c>
      <c r="B102" s="3" t="s">
        <v>129</v>
      </c>
      <c r="C102">
        <f>SUMIF(ConfirmedRaw!$B:$B,$B102,ConfirmedRaw!E:E)</f>
        <v>0</v>
      </c>
      <c r="D102">
        <f>SUMIF(ConfirmedRaw!$B:$B,$B102,ConfirmedRaw!F:F)</f>
        <v>0</v>
      </c>
      <c r="E102">
        <f>SUMIF(ConfirmedRaw!$B:$B,$B102,ConfirmedRaw!G:G)</f>
        <v>0</v>
      </c>
      <c r="F102">
        <f>SUMIF(ConfirmedRaw!$B:$B,$B102,ConfirmedRaw!H:H)</f>
        <v>0</v>
      </c>
      <c r="G102">
        <f>SUMIF(ConfirmedRaw!$B:$B,$B102,ConfirmedRaw!I:I)</f>
        <v>0</v>
      </c>
      <c r="H102">
        <f>SUMIF(ConfirmedRaw!$B:$B,$B102,ConfirmedRaw!J:J)</f>
        <v>0</v>
      </c>
      <c r="I102">
        <f>SUMIF(ConfirmedRaw!$B:$B,$B102,ConfirmedRaw!K:K)</f>
        <v>0</v>
      </c>
      <c r="J102">
        <f>SUMIF(ConfirmedRaw!$B:$B,$B102,ConfirmedRaw!L:L)</f>
        <v>0</v>
      </c>
      <c r="K102">
        <f>SUMIF(ConfirmedRaw!$B:$B,$B102,ConfirmedRaw!M:M)</f>
        <v>0</v>
      </c>
      <c r="L102">
        <f>SUMIF(ConfirmedRaw!$B:$B,$B102,ConfirmedRaw!N:N)</f>
        <v>0</v>
      </c>
      <c r="M102">
        <f>SUMIF(ConfirmedRaw!$B:$B,$B102,ConfirmedRaw!O:O)</f>
        <v>0</v>
      </c>
      <c r="N102">
        <f>SUMIF(ConfirmedRaw!$B:$B,$B102,ConfirmedRaw!P:P)</f>
        <v>0</v>
      </c>
      <c r="O102">
        <f>SUMIF(ConfirmedRaw!$B:$B,$B102,ConfirmedRaw!Q:Q)</f>
        <v>0</v>
      </c>
      <c r="P102">
        <f>SUMIF(ConfirmedRaw!$B:$B,$B102,ConfirmedRaw!R:R)</f>
        <v>0</v>
      </c>
      <c r="Q102">
        <f>SUMIF(ConfirmedRaw!$B:$B,$B102,ConfirmedRaw!S:S)</f>
        <v>0</v>
      </c>
      <c r="R102">
        <f>SUMIF(ConfirmedRaw!$B:$B,$B102,ConfirmedRaw!T:T)</f>
        <v>0</v>
      </c>
      <c r="S102">
        <f>SUMIF(ConfirmedRaw!$B:$B,$B102,ConfirmedRaw!U:U)</f>
        <v>0</v>
      </c>
      <c r="T102">
        <f>SUMIF(ConfirmedRaw!$B:$B,$B102,ConfirmedRaw!V:V)</f>
        <v>0</v>
      </c>
      <c r="U102">
        <f>SUMIF(ConfirmedRaw!$B:$B,$B102,ConfirmedRaw!W:W)</f>
        <v>0</v>
      </c>
      <c r="V102">
        <f>SUMIF(ConfirmedRaw!$B:$B,$B102,ConfirmedRaw!X:X)</f>
        <v>0</v>
      </c>
      <c r="W102">
        <f>SUMIF(ConfirmedRaw!$B:$B,$B102,ConfirmedRaw!Y:Y)</f>
        <v>0</v>
      </c>
      <c r="X102">
        <f>SUMIF(ConfirmedRaw!$B:$B,$B102,ConfirmedRaw!Z:Z)</f>
        <v>0</v>
      </c>
      <c r="Y102">
        <f>SUMIF(ConfirmedRaw!$B:$B,$B102,ConfirmedRaw!AA:AA)</f>
        <v>0</v>
      </c>
      <c r="Z102">
        <f>SUMIF(ConfirmedRaw!$B:$B,$B102,ConfirmedRaw!AB:AB)</f>
        <v>0</v>
      </c>
      <c r="AA102">
        <f>SUMIF(ConfirmedRaw!$B:$B,$B102,ConfirmedRaw!AC:AC)</f>
        <v>0</v>
      </c>
      <c r="AB102">
        <f>SUMIF(ConfirmedRaw!$B:$B,$B102,ConfirmedRaw!AD:AD)</f>
        <v>0</v>
      </c>
      <c r="AC102">
        <f>SUMIF(ConfirmedRaw!$B:$B,$B102,ConfirmedRaw!AE:AE)</f>
        <v>0</v>
      </c>
      <c r="AD102">
        <f>SUMIF(ConfirmedRaw!$B:$B,$B102,ConfirmedRaw!AF:AF)</f>
        <v>0</v>
      </c>
      <c r="AE102">
        <f>SUMIF(ConfirmedRaw!$B:$B,$B102,ConfirmedRaw!AG:AG)</f>
        <v>0</v>
      </c>
      <c r="AF102">
        <f>SUMIF(ConfirmedRaw!$B:$B,$B102,ConfirmedRaw!AH:AH)</f>
        <v>0</v>
      </c>
      <c r="AG102">
        <f>SUMIF(ConfirmedRaw!$B:$B,$B102,ConfirmedRaw!AI:AI)</f>
        <v>0</v>
      </c>
      <c r="AH102">
        <f>SUMIF(ConfirmedRaw!$B:$B,$B102,ConfirmedRaw!AJ:AJ)</f>
        <v>0</v>
      </c>
      <c r="AI102">
        <f>SUMIF(ConfirmedRaw!$B:$B,$B102,ConfirmedRaw!AK:AK)</f>
        <v>0</v>
      </c>
      <c r="AJ102">
        <f>SUMIF(ConfirmedRaw!$B:$B,$B102,ConfirmedRaw!AL:AL)</f>
        <v>0</v>
      </c>
      <c r="AK102">
        <f>SUMIF(ConfirmedRaw!$B:$B,$B102,ConfirmedRaw!AM:AM)</f>
        <v>0</v>
      </c>
      <c r="AL102">
        <f>SUMIF(ConfirmedRaw!$B:$B,$B102,ConfirmedRaw!AN:AN)</f>
        <v>0</v>
      </c>
      <c r="AM102">
        <f>SUMIF(ConfirmedRaw!$B:$B,$B102,ConfirmedRaw!AO:AO)</f>
        <v>0</v>
      </c>
      <c r="AN102">
        <f>SUMIF(ConfirmedRaw!$B:$B,$B102,ConfirmedRaw!AP:AP)</f>
        <v>0</v>
      </c>
      <c r="AO102">
        <f>SUMIF(ConfirmedRaw!$B:$B,$B102,ConfirmedRaw!AQ:AQ)</f>
        <v>0</v>
      </c>
      <c r="AP102">
        <f>SUMIF(ConfirmedRaw!$B:$B,$B102,ConfirmedRaw!AR:AR)</f>
        <v>0</v>
      </c>
      <c r="AQ102">
        <f>SUMIF(ConfirmedRaw!$B:$B,$B102,ConfirmedRaw!AS:AS)</f>
        <v>0</v>
      </c>
      <c r="AR102">
        <f>SUMIF(ConfirmedRaw!$B:$B,$B102,ConfirmedRaw!AT:AT)</f>
        <v>1</v>
      </c>
      <c r="AS102">
        <f>SUMIF(ConfirmedRaw!$B:$B,$B102,ConfirmedRaw!AU:AU)</f>
        <v>1</v>
      </c>
      <c r="AT102">
        <f>SUMIF(ConfirmedRaw!$B:$B,$B102,ConfirmedRaw!AV:AV)</f>
        <v>1</v>
      </c>
      <c r="AU102">
        <f>SUMIF(ConfirmedRaw!$B:$B,$B102,ConfirmedRaw!AW:AW)</f>
        <v>1</v>
      </c>
      <c r="AV102">
        <f>SUMIF(ConfirmedRaw!$B:$B,$B102,ConfirmedRaw!AX:AX)</f>
        <v>1</v>
      </c>
      <c r="AW102">
        <f>SUMIF(ConfirmedRaw!$B:$B,$B102,ConfirmedRaw!AY:AY)</f>
        <v>1</v>
      </c>
      <c r="AX102">
        <f>SUMIF(ConfirmedRaw!$B:$B,$B102,ConfirmedRaw!AZ:AZ)</f>
        <v>1</v>
      </c>
      <c r="AY102">
        <f>SUMIF(ConfirmedRaw!$B:$B,$B102,ConfirmedRaw!BA:BA)</f>
        <v>1</v>
      </c>
      <c r="AZ102">
        <f>SUMIF(ConfirmedRaw!$B:$B,$B102,ConfirmedRaw!BB:BB)</f>
        <v>1</v>
      </c>
      <c r="BA102">
        <f>SUMIF(ConfirmedRaw!$B:$B,$B102,ConfirmedRaw!BC:BC)</f>
        <v>1</v>
      </c>
      <c r="BB102">
        <f>SUMIF(ConfirmedRaw!$B:$B,$B102,ConfirmedRaw!BD:BD)</f>
        <v>3</v>
      </c>
      <c r="BC102">
        <f>SUMIF(ConfirmedRaw!$B:$B,$B102,ConfirmedRaw!BE:BE)</f>
        <v>3</v>
      </c>
      <c r="BD102">
        <f>SUMIF(ConfirmedRaw!$B:$B,$B102,ConfirmedRaw!BF:BF)</f>
        <v>3</v>
      </c>
      <c r="BE102">
        <f>SUMIF(ConfirmedRaw!$B:$B,$B102,ConfirmedRaw!BG:BG)</f>
        <v>7</v>
      </c>
      <c r="BF102">
        <f>SUMIF(ConfirmedRaw!$B:$B,$B102,ConfirmedRaw!BH:BH)</f>
        <v>14</v>
      </c>
      <c r="BG102">
        <f>SUMIF(ConfirmedRaw!$B:$B,$B102,ConfirmedRaw!BI:BI)</f>
        <v>14</v>
      </c>
      <c r="BH102">
        <f>SUMIF(ConfirmedRaw!$B:$B,$B102,ConfirmedRaw!BJ:BJ)</f>
        <v>16</v>
      </c>
      <c r="BI102">
        <f>SUMIF(ConfirmedRaw!$B:$B,$B102,ConfirmedRaw!BK:BK)</f>
        <v>29</v>
      </c>
      <c r="BJ102">
        <f>SUMIF(ConfirmedRaw!$B:$B,$B102,ConfirmedRaw!BL:BL)</f>
        <v>47</v>
      </c>
      <c r="BK102">
        <f>SUMIF(ConfirmedRaw!$B:$B,$B102,ConfirmedRaw!BM:BM)</f>
        <v>73</v>
      </c>
      <c r="BL102">
        <f>SUMIF(ConfirmedRaw!$B:$B,$B102,ConfirmedRaw!BN:BN)</f>
        <v>73</v>
      </c>
      <c r="BM102">
        <f>SUMIF(ConfirmedRaw!$B:$B,$B102,ConfirmedRaw!BO:BO)</f>
        <v>97</v>
      </c>
      <c r="BN102">
        <f>SUMIF(ConfirmedRaw!$B:$B,$B102,ConfirmedRaw!BP:BP)</f>
        <v>145</v>
      </c>
      <c r="BO102">
        <f>SUMIF(ConfirmedRaw!$B:$B,$B102,ConfirmedRaw!BQ:BQ)</f>
        <v>196</v>
      </c>
      <c r="BP102">
        <f>SUMIF(ConfirmedRaw!$B:$B,$B102,ConfirmedRaw!BR:BR)</f>
        <v>310</v>
      </c>
      <c r="BQ102">
        <f>SUMIF(ConfirmedRaw!$B:$B,$B102,ConfirmedRaw!BS:BS)</f>
        <v>356</v>
      </c>
      <c r="BR102">
        <f>SUMIF(ConfirmedRaw!$B:$B,$B102,ConfirmedRaw!BT:BT)</f>
        <v>0</v>
      </c>
      <c r="BS102">
        <f>SUMIF(ConfirmedRaw!$B:$B,$B102,ConfirmedRaw!BU:BU)</f>
        <v>0</v>
      </c>
      <c r="BT102">
        <f>SUMIF(ConfirmedRaw!$B:$B,$B102,ConfirmedRaw!BV:BV)</f>
        <v>0</v>
      </c>
      <c r="BU102">
        <f>SUMIF(ConfirmedRaw!$B:$B,$B102,ConfirmedRaw!BW:BW)</f>
        <v>0</v>
      </c>
    </row>
    <row r="103" spans="1:73" ht="15" thickBot="1" x14ac:dyDescent="0.35">
      <c r="A103" s="97" t="str">
        <f>VLOOKUP(B103,Country_Data!B:Q,16,FALSE)</f>
        <v>Africa</v>
      </c>
      <c r="B103" s="3" t="s">
        <v>422</v>
      </c>
      <c r="C103">
        <f>SUMIF(ConfirmedRaw!$B:$B,$B103,ConfirmedRaw!E:E)</f>
        <v>0</v>
      </c>
      <c r="D103">
        <f>SUMIF(ConfirmedRaw!$B:$B,$B103,ConfirmedRaw!F:F)</f>
        <v>0</v>
      </c>
      <c r="E103">
        <f>SUMIF(ConfirmedRaw!$B:$B,$B103,ConfirmedRaw!G:G)</f>
        <v>0</v>
      </c>
      <c r="F103">
        <f>SUMIF(ConfirmedRaw!$B:$B,$B103,ConfirmedRaw!H:H)</f>
        <v>0</v>
      </c>
      <c r="G103">
        <f>SUMIF(ConfirmedRaw!$B:$B,$B103,ConfirmedRaw!I:I)</f>
        <v>0</v>
      </c>
      <c r="H103">
        <f>SUMIF(ConfirmedRaw!$B:$B,$B103,ConfirmedRaw!J:J)</f>
        <v>0</v>
      </c>
      <c r="I103">
        <f>SUMIF(ConfirmedRaw!$B:$B,$B103,ConfirmedRaw!K:K)</f>
        <v>0</v>
      </c>
      <c r="J103">
        <f>SUMIF(ConfirmedRaw!$B:$B,$B103,ConfirmedRaw!L:L)</f>
        <v>0</v>
      </c>
      <c r="K103">
        <f>SUMIF(ConfirmedRaw!$B:$B,$B103,ConfirmedRaw!M:M)</f>
        <v>0</v>
      </c>
      <c r="L103">
        <f>SUMIF(ConfirmedRaw!$B:$B,$B103,ConfirmedRaw!N:N)</f>
        <v>0</v>
      </c>
      <c r="M103">
        <f>SUMIF(ConfirmedRaw!$B:$B,$B103,ConfirmedRaw!O:O)</f>
        <v>0</v>
      </c>
      <c r="N103">
        <f>SUMIF(ConfirmedRaw!$B:$B,$B103,ConfirmedRaw!P:P)</f>
        <v>0</v>
      </c>
      <c r="O103">
        <f>SUMIF(ConfirmedRaw!$B:$B,$B103,ConfirmedRaw!Q:Q)</f>
        <v>0</v>
      </c>
      <c r="P103">
        <f>SUMIF(ConfirmedRaw!$B:$B,$B103,ConfirmedRaw!R:R)</f>
        <v>0</v>
      </c>
      <c r="Q103">
        <f>SUMIF(ConfirmedRaw!$B:$B,$B103,ConfirmedRaw!S:S)</f>
        <v>0</v>
      </c>
      <c r="R103">
        <f>SUMIF(ConfirmedRaw!$B:$B,$B103,ConfirmedRaw!T:T)</f>
        <v>0</v>
      </c>
      <c r="S103">
        <f>SUMIF(ConfirmedRaw!$B:$B,$B103,ConfirmedRaw!U:U)</f>
        <v>0</v>
      </c>
      <c r="T103">
        <f>SUMIF(ConfirmedRaw!$B:$B,$B103,ConfirmedRaw!V:V)</f>
        <v>0</v>
      </c>
      <c r="U103">
        <f>SUMIF(ConfirmedRaw!$B:$B,$B103,ConfirmedRaw!W:W)</f>
        <v>0</v>
      </c>
      <c r="V103">
        <f>SUMIF(ConfirmedRaw!$B:$B,$B103,ConfirmedRaw!X:X)</f>
        <v>0</v>
      </c>
      <c r="W103">
        <f>SUMIF(ConfirmedRaw!$B:$B,$B103,ConfirmedRaw!Y:Y)</f>
        <v>0</v>
      </c>
      <c r="X103">
        <f>SUMIF(ConfirmedRaw!$B:$B,$B103,ConfirmedRaw!Z:Z)</f>
        <v>0</v>
      </c>
      <c r="Y103">
        <f>SUMIF(ConfirmedRaw!$B:$B,$B103,ConfirmedRaw!AA:AA)</f>
        <v>0</v>
      </c>
      <c r="Z103">
        <f>SUMIF(ConfirmedRaw!$B:$B,$B103,ConfirmedRaw!AB:AB)</f>
        <v>0</v>
      </c>
      <c r="AA103">
        <f>SUMIF(ConfirmedRaw!$B:$B,$B103,ConfirmedRaw!AC:AC)</f>
        <v>0</v>
      </c>
      <c r="AB103">
        <f>SUMIF(ConfirmedRaw!$B:$B,$B103,ConfirmedRaw!AD:AD)</f>
        <v>0</v>
      </c>
      <c r="AC103">
        <f>SUMIF(ConfirmedRaw!$B:$B,$B103,ConfirmedRaw!AE:AE)</f>
        <v>0</v>
      </c>
      <c r="AD103">
        <f>SUMIF(ConfirmedRaw!$B:$B,$B103,ConfirmedRaw!AF:AF)</f>
        <v>0</v>
      </c>
      <c r="AE103">
        <f>SUMIF(ConfirmedRaw!$B:$B,$B103,ConfirmedRaw!AG:AG)</f>
        <v>0</v>
      </c>
      <c r="AF103">
        <f>SUMIF(ConfirmedRaw!$B:$B,$B103,ConfirmedRaw!AH:AH)</f>
        <v>0</v>
      </c>
      <c r="AG103">
        <f>SUMIF(ConfirmedRaw!$B:$B,$B103,ConfirmedRaw!AI:AI)</f>
        <v>0</v>
      </c>
      <c r="AH103">
        <f>SUMIF(ConfirmedRaw!$B:$B,$B103,ConfirmedRaw!AJ:AJ)</f>
        <v>0</v>
      </c>
      <c r="AI103">
        <f>SUMIF(ConfirmedRaw!$B:$B,$B103,ConfirmedRaw!AK:AK)</f>
        <v>0</v>
      </c>
      <c r="AJ103">
        <f>SUMIF(ConfirmedRaw!$B:$B,$B103,ConfirmedRaw!AL:AL)</f>
        <v>0</v>
      </c>
      <c r="AK103">
        <f>SUMIF(ConfirmedRaw!$B:$B,$B103,ConfirmedRaw!AM:AM)</f>
        <v>0</v>
      </c>
      <c r="AL103">
        <f>SUMIF(ConfirmedRaw!$B:$B,$B103,ConfirmedRaw!AN:AN)</f>
        <v>0</v>
      </c>
      <c r="AM103">
        <f>SUMIF(ConfirmedRaw!$B:$B,$B103,ConfirmedRaw!AO:AO)</f>
        <v>0</v>
      </c>
      <c r="AN103">
        <f>SUMIF(ConfirmedRaw!$B:$B,$B103,ConfirmedRaw!AP:AP)</f>
        <v>0</v>
      </c>
      <c r="AO103">
        <f>SUMIF(ConfirmedRaw!$B:$B,$B103,ConfirmedRaw!AQ:AQ)</f>
        <v>0</v>
      </c>
      <c r="AP103">
        <f>SUMIF(ConfirmedRaw!$B:$B,$B103,ConfirmedRaw!AR:AR)</f>
        <v>0</v>
      </c>
      <c r="AQ103">
        <f>SUMIF(ConfirmedRaw!$B:$B,$B103,ConfirmedRaw!AS:AS)</f>
        <v>0</v>
      </c>
      <c r="AR103">
        <f>SUMIF(ConfirmedRaw!$B:$B,$B103,ConfirmedRaw!AT:AT)</f>
        <v>0</v>
      </c>
      <c r="AS103">
        <f>SUMIF(ConfirmedRaw!$B:$B,$B103,ConfirmedRaw!AU:AU)</f>
        <v>0</v>
      </c>
      <c r="AT103">
        <f>SUMIF(ConfirmedRaw!$B:$B,$B103,ConfirmedRaw!AV:AV)</f>
        <v>0</v>
      </c>
      <c r="AU103">
        <f>SUMIF(ConfirmedRaw!$B:$B,$B103,ConfirmedRaw!AW:AW)</f>
        <v>0</v>
      </c>
      <c r="AV103">
        <f>SUMIF(ConfirmedRaw!$B:$B,$B103,ConfirmedRaw!AX:AX)</f>
        <v>0</v>
      </c>
      <c r="AW103">
        <f>SUMIF(ConfirmedRaw!$B:$B,$B103,ConfirmedRaw!AY:AY)</f>
        <v>0</v>
      </c>
      <c r="AX103">
        <f>SUMIF(ConfirmedRaw!$B:$B,$B103,ConfirmedRaw!AZ:AZ)</f>
        <v>0</v>
      </c>
      <c r="AY103">
        <f>SUMIF(ConfirmedRaw!$B:$B,$B103,ConfirmedRaw!BA:BA)</f>
        <v>0</v>
      </c>
      <c r="AZ103">
        <f>SUMIF(ConfirmedRaw!$B:$B,$B103,ConfirmedRaw!BB:BB)</f>
        <v>0</v>
      </c>
      <c r="BA103">
        <f>SUMIF(ConfirmedRaw!$B:$B,$B103,ConfirmedRaw!BC:BC)</f>
        <v>0</v>
      </c>
      <c r="BB103">
        <f>SUMIF(ConfirmedRaw!$B:$B,$B103,ConfirmedRaw!BD:BD)</f>
        <v>0</v>
      </c>
      <c r="BC103">
        <f>SUMIF(ConfirmedRaw!$B:$B,$B103,ConfirmedRaw!BE:BE)</f>
        <v>0</v>
      </c>
      <c r="BD103">
        <f>SUMIF(ConfirmedRaw!$B:$B,$B103,ConfirmedRaw!BF:BF)</f>
        <v>0</v>
      </c>
      <c r="BE103">
        <f>SUMIF(ConfirmedRaw!$B:$B,$B103,ConfirmedRaw!BG:BG)</f>
        <v>0</v>
      </c>
      <c r="BF103">
        <f>SUMIF(ConfirmedRaw!$B:$B,$B103,ConfirmedRaw!BH:BH)</f>
        <v>0</v>
      </c>
      <c r="BG103">
        <f>SUMIF(ConfirmedRaw!$B:$B,$B103,ConfirmedRaw!BI:BI)</f>
        <v>0</v>
      </c>
      <c r="BH103">
        <f>SUMIF(ConfirmedRaw!$B:$B,$B103,ConfirmedRaw!BJ:BJ)</f>
        <v>0</v>
      </c>
      <c r="BI103">
        <f>SUMIF(ConfirmedRaw!$B:$B,$B103,ConfirmedRaw!BK:BK)</f>
        <v>0</v>
      </c>
      <c r="BJ103">
        <f>SUMIF(ConfirmedRaw!$B:$B,$B103,ConfirmedRaw!BL:BL)</f>
        <v>0</v>
      </c>
      <c r="BK103">
        <f>SUMIF(ConfirmedRaw!$B:$B,$B103,ConfirmedRaw!BM:BM)</f>
        <v>0</v>
      </c>
      <c r="BL103">
        <f>SUMIF(ConfirmedRaw!$B:$B,$B103,ConfirmedRaw!BN:BN)</f>
        <v>0</v>
      </c>
      <c r="BM103">
        <f>SUMIF(ConfirmedRaw!$B:$B,$B103,ConfirmedRaw!BO:BO)</f>
        <v>0</v>
      </c>
      <c r="BN103">
        <f>SUMIF(ConfirmedRaw!$B:$B,$B103,ConfirmedRaw!BP:BP)</f>
        <v>0</v>
      </c>
      <c r="BO103">
        <f>SUMIF(ConfirmedRaw!$B:$B,$B103,ConfirmedRaw!BQ:BQ)</f>
        <v>0</v>
      </c>
      <c r="BP103">
        <f>SUMIF(ConfirmedRaw!$B:$B,$B103,ConfirmedRaw!BR:BR)</f>
        <v>0</v>
      </c>
      <c r="BQ103">
        <f>SUMIF(ConfirmedRaw!$B:$B,$B103,ConfirmedRaw!BS:BS)</f>
        <v>0</v>
      </c>
      <c r="BR103">
        <f>SUMIF(ConfirmedRaw!$B:$B,$B103,ConfirmedRaw!BT:BT)</f>
        <v>0</v>
      </c>
      <c r="BS103">
        <f>SUMIF(ConfirmedRaw!$B:$B,$B103,ConfirmedRaw!BU:BU)</f>
        <v>0</v>
      </c>
      <c r="BT103">
        <f>SUMIF(ConfirmedRaw!$B:$B,$B103,ConfirmedRaw!BV:BV)</f>
        <v>0</v>
      </c>
      <c r="BU103">
        <f>SUMIF(ConfirmedRaw!$B:$B,$B103,ConfirmedRaw!BW:BW)</f>
        <v>0</v>
      </c>
    </row>
    <row r="104" spans="1:73" ht="15" thickBot="1" x14ac:dyDescent="0.35">
      <c r="A104" s="97" t="str">
        <f>VLOOKUP(B104,Country_Data!B:Q,16,FALSE)</f>
        <v>Africa</v>
      </c>
      <c r="B104" s="4" t="s">
        <v>279</v>
      </c>
      <c r="C104">
        <f>SUMIF(ConfirmedRaw!$B:$B,$B104,ConfirmedRaw!E:E)</f>
        <v>0</v>
      </c>
      <c r="D104">
        <f>SUMIF(ConfirmedRaw!$B:$B,$B104,ConfirmedRaw!F:F)</f>
        <v>0</v>
      </c>
      <c r="E104">
        <f>SUMIF(ConfirmedRaw!$B:$B,$B104,ConfirmedRaw!G:G)</f>
        <v>0</v>
      </c>
      <c r="F104">
        <f>SUMIF(ConfirmedRaw!$B:$B,$B104,ConfirmedRaw!H:H)</f>
        <v>0</v>
      </c>
      <c r="G104">
        <f>SUMIF(ConfirmedRaw!$B:$B,$B104,ConfirmedRaw!I:I)</f>
        <v>0</v>
      </c>
      <c r="H104">
        <f>SUMIF(ConfirmedRaw!$B:$B,$B104,ConfirmedRaw!J:J)</f>
        <v>0</v>
      </c>
      <c r="I104">
        <f>SUMIF(ConfirmedRaw!$B:$B,$B104,ConfirmedRaw!K:K)</f>
        <v>0</v>
      </c>
      <c r="J104">
        <f>SUMIF(ConfirmedRaw!$B:$B,$B104,ConfirmedRaw!L:L)</f>
        <v>0</v>
      </c>
      <c r="K104">
        <f>SUMIF(ConfirmedRaw!$B:$B,$B104,ConfirmedRaw!M:M)</f>
        <v>0</v>
      </c>
      <c r="L104">
        <f>SUMIF(ConfirmedRaw!$B:$B,$B104,ConfirmedRaw!N:N)</f>
        <v>0</v>
      </c>
      <c r="M104">
        <f>SUMIF(ConfirmedRaw!$B:$B,$B104,ConfirmedRaw!O:O)</f>
        <v>0</v>
      </c>
      <c r="N104">
        <f>SUMIF(ConfirmedRaw!$B:$B,$B104,ConfirmedRaw!P:P)</f>
        <v>0</v>
      </c>
      <c r="O104">
        <f>SUMIF(ConfirmedRaw!$B:$B,$B104,ConfirmedRaw!Q:Q)</f>
        <v>0</v>
      </c>
      <c r="P104">
        <f>SUMIF(ConfirmedRaw!$B:$B,$B104,ConfirmedRaw!R:R)</f>
        <v>0</v>
      </c>
      <c r="Q104">
        <f>SUMIF(ConfirmedRaw!$B:$B,$B104,ConfirmedRaw!S:S)</f>
        <v>0</v>
      </c>
      <c r="R104">
        <f>SUMIF(ConfirmedRaw!$B:$B,$B104,ConfirmedRaw!T:T)</f>
        <v>0</v>
      </c>
      <c r="S104">
        <f>SUMIF(ConfirmedRaw!$B:$B,$B104,ConfirmedRaw!U:U)</f>
        <v>0</v>
      </c>
      <c r="T104">
        <f>SUMIF(ConfirmedRaw!$B:$B,$B104,ConfirmedRaw!V:V)</f>
        <v>0</v>
      </c>
      <c r="U104">
        <f>SUMIF(ConfirmedRaw!$B:$B,$B104,ConfirmedRaw!W:W)</f>
        <v>0</v>
      </c>
      <c r="V104">
        <f>SUMIF(ConfirmedRaw!$B:$B,$B104,ConfirmedRaw!X:X)</f>
        <v>0</v>
      </c>
      <c r="W104">
        <f>SUMIF(ConfirmedRaw!$B:$B,$B104,ConfirmedRaw!Y:Y)</f>
        <v>0</v>
      </c>
      <c r="X104">
        <f>SUMIF(ConfirmedRaw!$B:$B,$B104,ConfirmedRaw!Z:Z)</f>
        <v>0</v>
      </c>
      <c r="Y104">
        <f>SUMIF(ConfirmedRaw!$B:$B,$B104,ConfirmedRaw!AA:AA)</f>
        <v>0</v>
      </c>
      <c r="Z104">
        <f>SUMIF(ConfirmedRaw!$B:$B,$B104,ConfirmedRaw!AB:AB)</f>
        <v>0</v>
      </c>
      <c r="AA104">
        <f>SUMIF(ConfirmedRaw!$B:$B,$B104,ConfirmedRaw!AC:AC)</f>
        <v>0</v>
      </c>
      <c r="AB104">
        <f>SUMIF(ConfirmedRaw!$B:$B,$B104,ConfirmedRaw!AD:AD)</f>
        <v>0</v>
      </c>
      <c r="AC104">
        <f>SUMIF(ConfirmedRaw!$B:$B,$B104,ConfirmedRaw!AE:AE)</f>
        <v>0</v>
      </c>
      <c r="AD104">
        <f>SUMIF(ConfirmedRaw!$B:$B,$B104,ConfirmedRaw!AF:AF)</f>
        <v>0</v>
      </c>
      <c r="AE104">
        <f>SUMIF(ConfirmedRaw!$B:$B,$B104,ConfirmedRaw!AG:AG)</f>
        <v>0</v>
      </c>
      <c r="AF104">
        <f>SUMIF(ConfirmedRaw!$B:$B,$B104,ConfirmedRaw!AH:AH)</f>
        <v>0</v>
      </c>
      <c r="AG104">
        <f>SUMIF(ConfirmedRaw!$B:$B,$B104,ConfirmedRaw!AI:AI)</f>
        <v>0</v>
      </c>
      <c r="AH104">
        <f>SUMIF(ConfirmedRaw!$B:$B,$B104,ConfirmedRaw!AJ:AJ)</f>
        <v>0</v>
      </c>
      <c r="AI104">
        <f>SUMIF(ConfirmedRaw!$B:$B,$B104,ConfirmedRaw!AK:AK)</f>
        <v>0</v>
      </c>
      <c r="AJ104">
        <f>SUMIF(ConfirmedRaw!$B:$B,$B104,ConfirmedRaw!AL:AL)</f>
        <v>0</v>
      </c>
      <c r="AK104">
        <f>SUMIF(ConfirmedRaw!$B:$B,$B104,ConfirmedRaw!AM:AM)</f>
        <v>0</v>
      </c>
      <c r="AL104">
        <f>SUMIF(ConfirmedRaw!$B:$B,$B104,ConfirmedRaw!AN:AN)</f>
        <v>0</v>
      </c>
      <c r="AM104">
        <f>SUMIF(ConfirmedRaw!$B:$B,$B104,ConfirmedRaw!AO:AO)</f>
        <v>0</v>
      </c>
      <c r="AN104">
        <f>SUMIF(ConfirmedRaw!$B:$B,$B104,ConfirmedRaw!AP:AP)</f>
        <v>0</v>
      </c>
      <c r="AO104">
        <f>SUMIF(ConfirmedRaw!$B:$B,$B104,ConfirmedRaw!AQ:AQ)</f>
        <v>0</v>
      </c>
      <c r="AP104">
        <f>SUMIF(ConfirmedRaw!$B:$B,$B104,ConfirmedRaw!AR:AR)</f>
        <v>0</v>
      </c>
      <c r="AQ104">
        <f>SUMIF(ConfirmedRaw!$B:$B,$B104,ConfirmedRaw!AS:AS)</f>
        <v>0</v>
      </c>
      <c r="AR104">
        <f>SUMIF(ConfirmedRaw!$B:$B,$B104,ConfirmedRaw!AT:AT)</f>
        <v>0</v>
      </c>
      <c r="AS104">
        <f>SUMIF(ConfirmedRaw!$B:$B,$B104,ConfirmedRaw!AU:AU)</f>
        <v>0</v>
      </c>
      <c r="AT104">
        <f>SUMIF(ConfirmedRaw!$B:$B,$B104,ConfirmedRaw!AV:AV)</f>
        <v>0</v>
      </c>
      <c r="AU104">
        <f>SUMIF(ConfirmedRaw!$B:$B,$B104,ConfirmedRaw!AW:AW)</f>
        <v>0</v>
      </c>
      <c r="AV104">
        <f>SUMIF(ConfirmedRaw!$B:$B,$B104,ConfirmedRaw!AX:AX)</f>
        <v>0</v>
      </c>
      <c r="AW104">
        <f>SUMIF(ConfirmedRaw!$B:$B,$B104,ConfirmedRaw!AY:AY)</f>
        <v>0</v>
      </c>
      <c r="AX104">
        <f>SUMIF(ConfirmedRaw!$B:$B,$B104,ConfirmedRaw!AZ:AZ)</f>
        <v>0</v>
      </c>
      <c r="AY104">
        <f>SUMIF(ConfirmedRaw!$B:$B,$B104,ConfirmedRaw!BA:BA)</f>
        <v>1</v>
      </c>
      <c r="AZ104">
        <f>SUMIF(ConfirmedRaw!$B:$B,$B104,ConfirmedRaw!BB:BB)</f>
        <v>2</v>
      </c>
      <c r="BA104">
        <f>SUMIF(ConfirmedRaw!$B:$B,$B104,ConfirmedRaw!BC:BC)</f>
        <v>2</v>
      </c>
      <c r="BB104">
        <f>SUMIF(ConfirmedRaw!$B:$B,$B104,ConfirmedRaw!BD:BD)</f>
        <v>2</v>
      </c>
      <c r="BC104">
        <f>SUMIF(ConfirmedRaw!$B:$B,$B104,ConfirmedRaw!BE:BE)</f>
        <v>2</v>
      </c>
      <c r="BD104">
        <f>SUMIF(ConfirmedRaw!$B:$B,$B104,ConfirmedRaw!BF:BF)</f>
        <v>3</v>
      </c>
      <c r="BE104">
        <f>SUMIF(ConfirmedRaw!$B:$B,$B104,ConfirmedRaw!BG:BG)</f>
        <v>15</v>
      </c>
      <c r="BF104">
        <f>SUMIF(ConfirmedRaw!$B:$B,$B104,ConfirmedRaw!BH:BH)</f>
        <v>15</v>
      </c>
      <c r="BG104">
        <f>SUMIF(ConfirmedRaw!$B:$B,$B104,ConfirmedRaw!BI:BI)</f>
        <v>20</v>
      </c>
      <c r="BH104">
        <f>SUMIF(ConfirmedRaw!$B:$B,$B104,ConfirmedRaw!BJ:BJ)</f>
        <v>33</v>
      </c>
      <c r="BI104">
        <f>SUMIF(ConfirmedRaw!$B:$B,$B104,ConfirmedRaw!BK:BK)</f>
        <v>40</v>
      </c>
      <c r="BJ104">
        <f>SUMIF(ConfirmedRaw!$B:$B,$B104,ConfirmedRaw!BL:BL)</f>
        <v>64</v>
      </c>
      <c r="BK104">
        <f>SUMIF(ConfirmedRaw!$B:$B,$B104,ConfirmedRaw!BM:BM)</f>
        <v>75</v>
      </c>
      <c r="BL104">
        <f>SUMIF(ConfirmedRaw!$B:$B,$B104,ConfirmedRaw!BN:BN)</f>
        <v>99</v>
      </c>
      <c r="BM104">
        <f>SUMIF(ConfirmedRaw!$B:$B,$B104,ConfirmedRaw!BO:BO)</f>
        <v>114</v>
      </c>
      <c r="BN104">
        <f>SUMIF(ConfirmedRaw!$B:$B,$B104,ConfirmedRaw!BP:BP)</f>
        <v>146</v>
      </c>
      <c r="BO104">
        <f>SUMIF(ConfirmedRaw!$B:$B,$B104,ConfirmedRaw!BQ:BQ)</f>
        <v>152</v>
      </c>
      <c r="BP104">
        <f>SUMIF(ConfirmedRaw!$B:$B,$B104,ConfirmedRaw!BR:BR)</f>
        <v>180</v>
      </c>
      <c r="BQ104">
        <f>SUMIF(ConfirmedRaw!$B:$B,$B104,ConfirmedRaw!BS:BS)</f>
        <v>207</v>
      </c>
      <c r="BR104">
        <f>SUMIF(ConfirmedRaw!$B:$B,$B104,ConfirmedRaw!BT:BT)</f>
        <v>0</v>
      </c>
      <c r="BS104">
        <f>SUMIF(ConfirmedRaw!$B:$B,$B104,ConfirmedRaw!BU:BU)</f>
        <v>0</v>
      </c>
      <c r="BT104">
        <f>SUMIF(ConfirmedRaw!$B:$B,$B104,ConfirmedRaw!BV:BV)</f>
        <v>0</v>
      </c>
      <c r="BU104">
        <f>SUMIF(ConfirmedRaw!$B:$B,$B104,ConfirmedRaw!BW:BW)</f>
        <v>0</v>
      </c>
    </row>
    <row r="105" spans="1:73" ht="15" thickBot="1" x14ac:dyDescent="0.35">
      <c r="A105" s="97" t="str">
        <f>VLOOKUP(B105,Country_Data!B:Q,16,FALSE)</f>
        <v>Africa</v>
      </c>
      <c r="B105" s="3" t="s">
        <v>157</v>
      </c>
      <c r="C105">
        <f>SUMIF(ConfirmedRaw!$B:$B,$B105,ConfirmedRaw!E:E)</f>
        <v>0</v>
      </c>
      <c r="D105">
        <f>SUMIF(ConfirmedRaw!$B:$B,$B105,ConfirmedRaw!F:F)</f>
        <v>0</v>
      </c>
      <c r="E105">
        <f>SUMIF(ConfirmedRaw!$B:$B,$B105,ConfirmedRaw!G:G)</f>
        <v>0</v>
      </c>
      <c r="F105">
        <f>SUMIF(ConfirmedRaw!$B:$B,$B105,ConfirmedRaw!H:H)</f>
        <v>0</v>
      </c>
      <c r="G105">
        <f>SUMIF(ConfirmedRaw!$B:$B,$B105,ConfirmedRaw!I:I)</f>
        <v>0</v>
      </c>
      <c r="H105">
        <f>SUMIF(ConfirmedRaw!$B:$B,$B105,ConfirmedRaw!J:J)</f>
        <v>0</v>
      </c>
      <c r="I105">
        <f>SUMIF(ConfirmedRaw!$B:$B,$B105,ConfirmedRaw!K:K)</f>
        <v>0</v>
      </c>
      <c r="J105">
        <f>SUMIF(ConfirmedRaw!$B:$B,$B105,ConfirmedRaw!L:L)</f>
        <v>0</v>
      </c>
      <c r="K105">
        <f>SUMIF(ConfirmedRaw!$B:$B,$B105,ConfirmedRaw!M:M)</f>
        <v>0</v>
      </c>
      <c r="L105">
        <f>SUMIF(ConfirmedRaw!$B:$B,$B105,ConfirmedRaw!N:N)</f>
        <v>0</v>
      </c>
      <c r="M105">
        <f>SUMIF(ConfirmedRaw!$B:$B,$B105,ConfirmedRaw!O:O)</f>
        <v>0</v>
      </c>
      <c r="N105">
        <f>SUMIF(ConfirmedRaw!$B:$B,$B105,ConfirmedRaw!P:P)</f>
        <v>0</v>
      </c>
      <c r="O105">
        <f>SUMIF(ConfirmedRaw!$B:$B,$B105,ConfirmedRaw!Q:Q)</f>
        <v>0</v>
      </c>
      <c r="P105">
        <f>SUMIF(ConfirmedRaw!$B:$B,$B105,ConfirmedRaw!R:R)</f>
        <v>0</v>
      </c>
      <c r="Q105">
        <f>SUMIF(ConfirmedRaw!$B:$B,$B105,ConfirmedRaw!S:S)</f>
        <v>0</v>
      </c>
      <c r="R105">
        <f>SUMIF(ConfirmedRaw!$B:$B,$B105,ConfirmedRaw!T:T)</f>
        <v>0</v>
      </c>
      <c r="S105">
        <f>SUMIF(ConfirmedRaw!$B:$B,$B105,ConfirmedRaw!U:U)</f>
        <v>0</v>
      </c>
      <c r="T105">
        <f>SUMIF(ConfirmedRaw!$B:$B,$B105,ConfirmedRaw!V:V)</f>
        <v>0</v>
      </c>
      <c r="U105">
        <f>SUMIF(ConfirmedRaw!$B:$B,$B105,ConfirmedRaw!W:W)</f>
        <v>0</v>
      </c>
      <c r="V105">
        <f>SUMIF(ConfirmedRaw!$B:$B,$B105,ConfirmedRaw!X:X)</f>
        <v>0</v>
      </c>
      <c r="W105">
        <f>SUMIF(ConfirmedRaw!$B:$B,$B105,ConfirmedRaw!Y:Y)</f>
        <v>0</v>
      </c>
      <c r="X105">
        <f>SUMIF(ConfirmedRaw!$B:$B,$B105,ConfirmedRaw!Z:Z)</f>
        <v>0</v>
      </c>
      <c r="Y105">
        <f>SUMIF(ConfirmedRaw!$B:$B,$B105,ConfirmedRaw!AA:AA)</f>
        <v>0</v>
      </c>
      <c r="Z105">
        <f>SUMIF(ConfirmedRaw!$B:$B,$B105,ConfirmedRaw!AB:AB)</f>
        <v>0</v>
      </c>
      <c r="AA105">
        <f>SUMIF(ConfirmedRaw!$B:$B,$B105,ConfirmedRaw!AC:AC)</f>
        <v>0</v>
      </c>
      <c r="AB105">
        <f>SUMIF(ConfirmedRaw!$B:$B,$B105,ConfirmedRaw!AD:AD)</f>
        <v>0</v>
      </c>
      <c r="AC105">
        <f>SUMIF(ConfirmedRaw!$B:$B,$B105,ConfirmedRaw!AE:AE)</f>
        <v>0</v>
      </c>
      <c r="AD105">
        <f>SUMIF(ConfirmedRaw!$B:$B,$B105,ConfirmedRaw!AF:AF)</f>
        <v>0</v>
      </c>
      <c r="AE105">
        <f>SUMIF(ConfirmedRaw!$B:$B,$B105,ConfirmedRaw!AG:AG)</f>
        <v>0</v>
      </c>
      <c r="AF105">
        <f>SUMIF(ConfirmedRaw!$B:$B,$B105,ConfirmedRaw!AH:AH)</f>
        <v>0</v>
      </c>
      <c r="AG105">
        <f>SUMIF(ConfirmedRaw!$B:$B,$B105,ConfirmedRaw!AI:AI)</f>
        <v>0</v>
      </c>
      <c r="AH105">
        <f>SUMIF(ConfirmedRaw!$B:$B,$B105,ConfirmedRaw!AJ:AJ)</f>
        <v>0</v>
      </c>
      <c r="AI105">
        <f>SUMIF(ConfirmedRaw!$B:$B,$B105,ConfirmedRaw!AK:AK)</f>
        <v>0</v>
      </c>
      <c r="AJ105">
        <f>SUMIF(ConfirmedRaw!$B:$B,$B105,ConfirmedRaw!AL:AL)</f>
        <v>0</v>
      </c>
      <c r="AK105">
        <f>SUMIF(ConfirmedRaw!$B:$B,$B105,ConfirmedRaw!AM:AM)</f>
        <v>0</v>
      </c>
      <c r="AL105">
        <f>SUMIF(ConfirmedRaw!$B:$B,$B105,ConfirmedRaw!AN:AN)</f>
        <v>0</v>
      </c>
      <c r="AM105">
        <f>SUMIF(ConfirmedRaw!$B:$B,$B105,ConfirmedRaw!AO:AO)</f>
        <v>0</v>
      </c>
      <c r="AN105">
        <f>SUMIF(ConfirmedRaw!$B:$B,$B105,ConfirmedRaw!AP:AP)</f>
        <v>0</v>
      </c>
      <c r="AO105">
        <f>SUMIF(ConfirmedRaw!$B:$B,$B105,ConfirmedRaw!AQ:AQ)</f>
        <v>0</v>
      </c>
      <c r="AP105">
        <f>SUMIF(ConfirmedRaw!$B:$B,$B105,ConfirmedRaw!AR:AR)</f>
        <v>0</v>
      </c>
      <c r="AQ105">
        <f>SUMIF(ConfirmedRaw!$B:$B,$B105,ConfirmedRaw!AS:AS)</f>
        <v>0</v>
      </c>
      <c r="AR105">
        <f>SUMIF(ConfirmedRaw!$B:$B,$B105,ConfirmedRaw!AT:AT)</f>
        <v>0</v>
      </c>
      <c r="AS105">
        <f>SUMIF(ConfirmedRaw!$B:$B,$B105,ConfirmedRaw!AU:AU)</f>
        <v>0</v>
      </c>
      <c r="AT105">
        <f>SUMIF(ConfirmedRaw!$B:$B,$B105,ConfirmedRaw!AV:AV)</f>
        <v>0</v>
      </c>
      <c r="AU105">
        <f>SUMIF(ConfirmedRaw!$B:$B,$B105,ConfirmedRaw!AW:AW)</f>
        <v>1</v>
      </c>
      <c r="AV105">
        <f>SUMIF(ConfirmedRaw!$B:$B,$B105,ConfirmedRaw!AX:AX)</f>
        <v>1</v>
      </c>
      <c r="AW105">
        <f>SUMIF(ConfirmedRaw!$B:$B,$B105,ConfirmedRaw!AY:AY)</f>
        <v>2</v>
      </c>
      <c r="AX105">
        <f>SUMIF(ConfirmedRaw!$B:$B,$B105,ConfirmedRaw!AZ:AZ)</f>
        <v>2</v>
      </c>
      <c r="AY105">
        <f>SUMIF(ConfirmedRaw!$B:$B,$B105,ConfirmedRaw!BA:BA)</f>
        <v>2</v>
      </c>
      <c r="AZ105">
        <f>SUMIF(ConfirmedRaw!$B:$B,$B105,ConfirmedRaw!BB:BB)</f>
        <v>2</v>
      </c>
      <c r="BA105">
        <f>SUMIF(ConfirmedRaw!$B:$B,$B105,ConfirmedRaw!BC:BC)</f>
        <v>2</v>
      </c>
      <c r="BB105">
        <f>SUMIF(ConfirmedRaw!$B:$B,$B105,ConfirmedRaw!BD:BD)</f>
        <v>2</v>
      </c>
      <c r="BC105">
        <f>SUMIF(ConfirmedRaw!$B:$B,$B105,ConfirmedRaw!BE:BE)</f>
        <v>2</v>
      </c>
      <c r="BD105">
        <f>SUMIF(ConfirmedRaw!$B:$B,$B105,ConfirmedRaw!BF:BF)</f>
        <v>2</v>
      </c>
      <c r="BE105">
        <f>SUMIF(ConfirmedRaw!$B:$B,$B105,ConfirmedRaw!BG:BG)</f>
        <v>4</v>
      </c>
      <c r="BF105">
        <f>SUMIF(ConfirmedRaw!$B:$B,$B105,ConfirmedRaw!BH:BH)</f>
        <v>10</v>
      </c>
      <c r="BG105">
        <f>SUMIF(ConfirmedRaw!$B:$B,$B105,ConfirmedRaw!BI:BI)</f>
        <v>10</v>
      </c>
      <c r="BH105">
        <f>SUMIF(ConfirmedRaw!$B:$B,$B105,ConfirmedRaw!BJ:BJ)</f>
        <v>13</v>
      </c>
      <c r="BI105">
        <f>SUMIF(ConfirmedRaw!$B:$B,$B105,ConfirmedRaw!BK:BK)</f>
        <v>20</v>
      </c>
      <c r="BJ105">
        <f>SUMIF(ConfirmedRaw!$B:$B,$B105,ConfirmedRaw!BL:BL)</f>
        <v>27</v>
      </c>
      <c r="BK105">
        <f>SUMIF(ConfirmedRaw!$B:$B,$B105,ConfirmedRaw!BM:BM)</f>
        <v>40</v>
      </c>
      <c r="BL105">
        <f>SUMIF(ConfirmedRaw!$B:$B,$B105,ConfirmedRaw!BN:BN)</f>
        <v>56</v>
      </c>
      <c r="BM105">
        <f>SUMIF(ConfirmedRaw!$B:$B,$B105,ConfirmedRaw!BO:BO)</f>
        <v>66</v>
      </c>
      <c r="BN105">
        <f>SUMIF(ConfirmedRaw!$B:$B,$B105,ConfirmedRaw!BP:BP)</f>
        <v>75</v>
      </c>
      <c r="BO105">
        <f>SUMIF(ConfirmedRaw!$B:$B,$B105,ConfirmedRaw!BQ:BQ)</f>
        <v>75</v>
      </c>
      <c r="BP105">
        <f>SUMIF(ConfirmedRaw!$B:$B,$B105,ConfirmedRaw!BR:BR)</f>
        <v>91</v>
      </c>
      <c r="BQ105">
        <f>SUMIF(ConfirmedRaw!$B:$B,$B105,ConfirmedRaw!BS:BS)</f>
        <v>91</v>
      </c>
      <c r="BR105">
        <f>SUMIF(ConfirmedRaw!$B:$B,$B105,ConfirmedRaw!BT:BT)</f>
        <v>0</v>
      </c>
      <c r="BS105">
        <f>SUMIF(ConfirmedRaw!$B:$B,$B105,ConfirmedRaw!BU:BU)</f>
        <v>0</v>
      </c>
      <c r="BT105">
        <f>SUMIF(ConfirmedRaw!$B:$B,$B105,ConfirmedRaw!BV:BV)</f>
        <v>0</v>
      </c>
      <c r="BU105">
        <f>SUMIF(ConfirmedRaw!$B:$B,$B105,ConfirmedRaw!BW:BW)</f>
        <v>0</v>
      </c>
    </row>
    <row r="106" spans="1:73" ht="15" thickBot="1" x14ac:dyDescent="0.35">
      <c r="A106" s="97" t="str">
        <f>VLOOKUP(B106,Country_Data!B:Q,16,FALSE)</f>
        <v>Africa</v>
      </c>
      <c r="B106" s="4" t="s">
        <v>351</v>
      </c>
      <c r="C106">
        <f>SUMIF(ConfirmedRaw!$B:$B,$B106,ConfirmedRaw!E:E)</f>
        <v>0</v>
      </c>
      <c r="D106">
        <f>SUMIF(ConfirmedRaw!$B:$B,$B106,ConfirmedRaw!F:F)</f>
        <v>0</v>
      </c>
      <c r="E106">
        <f>SUMIF(ConfirmedRaw!$B:$B,$B106,ConfirmedRaw!G:G)</f>
        <v>0</v>
      </c>
      <c r="F106">
        <f>SUMIF(ConfirmedRaw!$B:$B,$B106,ConfirmedRaw!H:H)</f>
        <v>0</v>
      </c>
      <c r="G106">
        <f>SUMIF(ConfirmedRaw!$B:$B,$B106,ConfirmedRaw!I:I)</f>
        <v>0</v>
      </c>
      <c r="H106">
        <f>SUMIF(ConfirmedRaw!$B:$B,$B106,ConfirmedRaw!J:J)</f>
        <v>0</v>
      </c>
      <c r="I106">
        <f>SUMIF(ConfirmedRaw!$B:$B,$B106,ConfirmedRaw!K:K)</f>
        <v>0</v>
      </c>
      <c r="J106">
        <f>SUMIF(ConfirmedRaw!$B:$B,$B106,ConfirmedRaw!L:L)</f>
        <v>0</v>
      </c>
      <c r="K106">
        <f>SUMIF(ConfirmedRaw!$B:$B,$B106,ConfirmedRaw!M:M)</f>
        <v>0</v>
      </c>
      <c r="L106">
        <f>SUMIF(ConfirmedRaw!$B:$B,$B106,ConfirmedRaw!N:N)</f>
        <v>0</v>
      </c>
      <c r="M106">
        <f>SUMIF(ConfirmedRaw!$B:$B,$B106,ConfirmedRaw!O:O)</f>
        <v>0</v>
      </c>
      <c r="N106">
        <f>SUMIF(ConfirmedRaw!$B:$B,$B106,ConfirmedRaw!P:P)</f>
        <v>0</v>
      </c>
      <c r="O106">
        <f>SUMIF(ConfirmedRaw!$B:$B,$B106,ConfirmedRaw!Q:Q)</f>
        <v>0</v>
      </c>
      <c r="P106">
        <f>SUMIF(ConfirmedRaw!$B:$B,$B106,ConfirmedRaw!R:R)</f>
        <v>0</v>
      </c>
      <c r="Q106">
        <f>SUMIF(ConfirmedRaw!$B:$B,$B106,ConfirmedRaw!S:S)</f>
        <v>0</v>
      </c>
      <c r="R106">
        <f>SUMIF(ConfirmedRaw!$B:$B,$B106,ConfirmedRaw!T:T)</f>
        <v>0</v>
      </c>
      <c r="S106">
        <f>SUMIF(ConfirmedRaw!$B:$B,$B106,ConfirmedRaw!U:U)</f>
        <v>0</v>
      </c>
      <c r="T106">
        <f>SUMIF(ConfirmedRaw!$B:$B,$B106,ConfirmedRaw!V:V)</f>
        <v>0</v>
      </c>
      <c r="U106">
        <f>SUMIF(ConfirmedRaw!$B:$B,$B106,ConfirmedRaw!W:W)</f>
        <v>0</v>
      </c>
      <c r="V106">
        <f>SUMIF(ConfirmedRaw!$B:$B,$B106,ConfirmedRaw!X:X)</f>
        <v>0</v>
      </c>
      <c r="W106">
        <f>SUMIF(ConfirmedRaw!$B:$B,$B106,ConfirmedRaw!Y:Y)</f>
        <v>0</v>
      </c>
      <c r="X106">
        <f>SUMIF(ConfirmedRaw!$B:$B,$B106,ConfirmedRaw!Z:Z)</f>
        <v>0</v>
      </c>
      <c r="Y106">
        <f>SUMIF(ConfirmedRaw!$B:$B,$B106,ConfirmedRaw!AA:AA)</f>
        <v>0</v>
      </c>
      <c r="Z106">
        <f>SUMIF(ConfirmedRaw!$B:$B,$B106,ConfirmedRaw!AB:AB)</f>
        <v>0</v>
      </c>
      <c r="AA106">
        <f>SUMIF(ConfirmedRaw!$B:$B,$B106,ConfirmedRaw!AC:AC)</f>
        <v>0</v>
      </c>
      <c r="AB106">
        <f>SUMIF(ConfirmedRaw!$B:$B,$B106,ConfirmedRaw!AD:AD)</f>
        <v>0</v>
      </c>
      <c r="AC106">
        <f>SUMIF(ConfirmedRaw!$B:$B,$B106,ConfirmedRaw!AE:AE)</f>
        <v>0</v>
      </c>
      <c r="AD106">
        <f>SUMIF(ConfirmedRaw!$B:$B,$B106,ConfirmedRaw!AF:AF)</f>
        <v>0</v>
      </c>
      <c r="AE106">
        <f>SUMIF(ConfirmedRaw!$B:$B,$B106,ConfirmedRaw!AG:AG)</f>
        <v>0</v>
      </c>
      <c r="AF106">
        <f>SUMIF(ConfirmedRaw!$B:$B,$B106,ConfirmedRaw!AH:AH)</f>
        <v>0</v>
      </c>
      <c r="AG106">
        <f>SUMIF(ConfirmedRaw!$B:$B,$B106,ConfirmedRaw!AI:AI)</f>
        <v>0</v>
      </c>
      <c r="AH106">
        <f>SUMIF(ConfirmedRaw!$B:$B,$B106,ConfirmedRaw!AJ:AJ)</f>
        <v>0</v>
      </c>
      <c r="AI106">
        <f>SUMIF(ConfirmedRaw!$B:$B,$B106,ConfirmedRaw!AK:AK)</f>
        <v>0</v>
      </c>
      <c r="AJ106">
        <f>SUMIF(ConfirmedRaw!$B:$B,$B106,ConfirmedRaw!AL:AL)</f>
        <v>0</v>
      </c>
      <c r="AK106">
        <f>SUMIF(ConfirmedRaw!$B:$B,$B106,ConfirmedRaw!AM:AM)</f>
        <v>0</v>
      </c>
      <c r="AL106">
        <f>SUMIF(ConfirmedRaw!$B:$B,$B106,ConfirmedRaw!AN:AN)</f>
        <v>0</v>
      </c>
      <c r="AM106">
        <f>SUMIF(ConfirmedRaw!$B:$B,$B106,ConfirmedRaw!AO:AO)</f>
        <v>0</v>
      </c>
      <c r="AN106">
        <f>SUMIF(ConfirmedRaw!$B:$B,$B106,ConfirmedRaw!AP:AP)</f>
        <v>0</v>
      </c>
      <c r="AO106">
        <f>SUMIF(ConfirmedRaw!$B:$B,$B106,ConfirmedRaw!AQ:AQ)</f>
        <v>0</v>
      </c>
      <c r="AP106">
        <f>SUMIF(ConfirmedRaw!$B:$B,$B106,ConfirmedRaw!AR:AR)</f>
        <v>0</v>
      </c>
      <c r="AQ106">
        <f>SUMIF(ConfirmedRaw!$B:$B,$B106,ConfirmedRaw!AS:AS)</f>
        <v>0</v>
      </c>
      <c r="AR106">
        <f>SUMIF(ConfirmedRaw!$B:$B,$B106,ConfirmedRaw!AT:AT)</f>
        <v>0</v>
      </c>
      <c r="AS106">
        <f>SUMIF(ConfirmedRaw!$B:$B,$B106,ConfirmedRaw!AU:AU)</f>
        <v>0</v>
      </c>
      <c r="AT106">
        <f>SUMIF(ConfirmedRaw!$B:$B,$B106,ConfirmedRaw!AV:AV)</f>
        <v>0</v>
      </c>
      <c r="AU106">
        <f>SUMIF(ConfirmedRaw!$B:$B,$B106,ConfirmedRaw!AW:AW)</f>
        <v>0</v>
      </c>
      <c r="AV106">
        <f>SUMIF(ConfirmedRaw!$B:$B,$B106,ConfirmedRaw!AX:AX)</f>
        <v>0</v>
      </c>
      <c r="AW106">
        <f>SUMIF(ConfirmedRaw!$B:$B,$B106,ConfirmedRaw!AY:AY)</f>
        <v>0</v>
      </c>
      <c r="AX106">
        <f>SUMIF(ConfirmedRaw!$B:$B,$B106,ConfirmedRaw!AZ:AZ)</f>
        <v>0</v>
      </c>
      <c r="AY106">
        <f>SUMIF(ConfirmedRaw!$B:$B,$B106,ConfirmedRaw!BA:BA)</f>
        <v>0</v>
      </c>
      <c r="AZ106">
        <f>SUMIF(ConfirmedRaw!$B:$B,$B106,ConfirmedRaw!BB:BB)</f>
        <v>1</v>
      </c>
      <c r="BA106">
        <f>SUMIF(ConfirmedRaw!$B:$B,$B106,ConfirmedRaw!BC:BC)</f>
        <v>1</v>
      </c>
      <c r="BB106">
        <f>SUMIF(ConfirmedRaw!$B:$B,$B106,ConfirmedRaw!BD:BD)</f>
        <v>2</v>
      </c>
      <c r="BC106">
        <f>SUMIF(ConfirmedRaw!$B:$B,$B106,ConfirmedRaw!BE:BE)</f>
        <v>2</v>
      </c>
      <c r="BD106">
        <f>SUMIF(ConfirmedRaw!$B:$B,$B106,ConfirmedRaw!BF:BF)</f>
        <v>2</v>
      </c>
      <c r="BE106">
        <f>SUMIF(ConfirmedRaw!$B:$B,$B106,ConfirmedRaw!BG:BG)</f>
        <v>2</v>
      </c>
      <c r="BF106">
        <f>SUMIF(ConfirmedRaw!$B:$B,$B106,ConfirmedRaw!BH:BH)</f>
        <v>3</v>
      </c>
      <c r="BG106">
        <f>SUMIF(ConfirmedRaw!$B:$B,$B106,ConfirmedRaw!BI:BI)</f>
        <v>4</v>
      </c>
      <c r="BH106">
        <f>SUMIF(ConfirmedRaw!$B:$B,$B106,ConfirmedRaw!BJ:BJ)</f>
        <v>14</v>
      </c>
      <c r="BI106">
        <f>SUMIF(ConfirmedRaw!$B:$B,$B106,ConfirmedRaw!BK:BK)</f>
        <v>18</v>
      </c>
      <c r="BJ106">
        <f>SUMIF(ConfirmedRaw!$B:$B,$B106,ConfirmedRaw!BL:BL)</f>
        <v>23</v>
      </c>
      <c r="BK106">
        <f>SUMIF(ConfirmedRaw!$B:$B,$B106,ConfirmedRaw!BM:BM)</f>
        <v>30</v>
      </c>
      <c r="BL106">
        <f>SUMIF(ConfirmedRaw!$B:$B,$B106,ConfirmedRaw!BN:BN)</f>
        <v>36</v>
      </c>
      <c r="BM106">
        <f>SUMIF(ConfirmedRaw!$B:$B,$B106,ConfirmedRaw!BO:BO)</f>
        <v>45</v>
      </c>
      <c r="BN106">
        <f>SUMIF(ConfirmedRaw!$B:$B,$B106,ConfirmedRaw!BP:BP)</f>
        <v>48</v>
      </c>
      <c r="BO106">
        <f>SUMIF(ConfirmedRaw!$B:$B,$B106,ConfirmedRaw!BQ:BQ)</f>
        <v>51</v>
      </c>
      <c r="BP106">
        <f>SUMIF(ConfirmedRaw!$B:$B,$B106,ConfirmedRaw!BR:BR)</f>
        <v>51</v>
      </c>
      <c r="BQ106">
        <f>SUMIF(ConfirmedRaw!$B:$B,$B106,ConfirmedRaw!BS:BS)</f>
        <v>65</v>
      </c>
      <c r="BR106">
        <f>SUMIF(ConfirmedRaw!$B:$B,$B106,ConfirmedRaw!BT:BT)</f>
        <v>0</v>
      </c>
      <c r="BS106">
        <f>SUMIF(ConfirmedRaw!$B:$B,$B106,ConfirmedRaw!BU:BU)</f>
        <v>0</v>
      </c>
      <c r="BT106">
        <f>SUMIF(ConfirmedRaw!$B:$B,$B106,ConfirmedRaw!BV:BV)</f>
        <v>0</v>
      </c>
      <c r="BU106">
        <f>SUMIF(ConfirmedRaw!$B:$B,$B106,ConfirmedRaw!BW:BW)</f>
        <v>0</v>
      </c>
    </row>
    <row r="107" spans="1:73" ht="15" thickBot="1" x14ac:dyDescent="0.35">
      <c r="A107" s="97" t="str">
        <f>VLOOKUP(B107,Country_Data!B:Q,16,FALSE)</f>
        <v>South America</v>
      </c>
      <c r="B107" s="4" t="s">
        <v>348</v>
      </c>
      <c r="C107">
        <f>SUMIF(ConfirmedRaw!$B:$B,$B107,ConfirmedRaw!E:E)</f>
        <v>0</v>
      </c>
      <c r="D107">
        <f>SUMIF(ConfirmedRaw!$B:$B,$B107,ConfirmedRaw!F:F)</f>
        <v>0</v>
      </c>
      <c r="E107">
        <f>SUMIF(ConfirmedRaw!$B:$B,$B107,ConfirmedRaw!G:G)</f>
        <v>0</v>
      </c>
      <c r="F107">
        <f>SUMIF(ConfirmedRaw!$B:$B,$B107,ConfirmedRaw!H:H)</f>
        <v>0</v>
      </c>
      <c r="G107">
        <f>SUMIF(ConfirmedRaw!$B:$B,$B107,ConfirmedRaw!I:I)</f>
        <v>0</v>
      </c>
      <c r="H107">
        <f>SUMIF(ConfirmedRaw!$B:$B,$B107,ConfirmedRaw!J:J)</f>
        <v>0</v>
      </c>
      <c r="I107">
        <f>SUMIF(ConfirmedRaw!$B:$B,$B107,ConfirmedRaw!K:K)</f>
        <v>0</v>
      </c>
      <c r="J107">
        <f>SUMIF(ConfirmedRaw!$B:$B,$B107,ConfirmedRaw!L:L)</f>
        <v>0</v>
      </c>
      <c r="K107">
        <f>SUMIF(ConfirmedRaw!$B:$B,$B107,ConfirmedRaw!M:M)</f>
        <v>0</v>
      </c>
      <c r="L107">
        <f>SUMIF(ConfirmedRaw!$B:$B,$B107,ConfirmedRaw!N:N)</f>
        <v>0</v>
      </c>
      <c r="M107">
        <f>SUMIF(ConfirmedRaw!$B:$B,$B107,ConfirmedRaw!O:O)</f>
        <v>0</v>
      </c>
      <c r="N107">
        <f>SUMIF(ConfirmedRaw!$B:$B,$B107,ConfirmedRaw!P:P)</f>
        <v>0</v>
      </c>
      <c r="O107">
        <f>SUMIF(ConfirmedRaw!$B:$B,$B107,ConfirmedRaw!Q:Q)</f>
        <v>0</v>
      </c>
      <c r="P107">
        <f>SUMIF(ConfirmedRaw!$B:$B,$B107,ConfirmedRaw!R:R)</f>
        <v>0</v>
      </c>
      <c r="Q107">
        <f>SUMIF(ConfirmedRaw!$B:$B,$B107,ConfirmedRaw!S:S)</f>
        <v>0</v>
      </c>
      <c r="R107">
        <f>SUMIF(ConfirmedRaw!$B:$B,$B107,ConfirmedRaw!T:T)</f>
        <v>0</v>
      </c>
      <c r="S107">
        <f>SUMIF(ConfirmedRaw!$B:$B,$B107,ConfirmedRaw!U:U)</f>
        <v>0</v>
      </c>
      <c r="T107">
        <f>SUMIF(ConfirmedRaw!$B:$B,$B107,ConfirmedRaw!V:V)</f>
        <v>0</v>
      </c>
      <c r="U107">
        <f>SUMIF(ConfirmedRaw!$B:$B,$B107,ConfirmedRaw!W:W)</f>
        <v>0</v>
      </c>
      <c r="V107">
        <f>SUMIF(ConfirmedRaw!$B:$B,$B107,ConfirmedRaw!X:X)</f>
        <v>0</v>
      </c>
      <c r="W107">
        <f>SUMIF(ConfirmedRaw!$B:$B,$B107,ConfirmedRaw!Y:Y)</f>
        <v>0</v>
      </c>
      <c r="X107">
        <f>SUMIF(ConfirmedRaw!$B:$B,$B107,ConfirmedRaw!Z:Z)</f>
        <v>0</v>
      </c>
      <c r="Y107">
        <f>SUMIF(ConfirmedRaw!$B:$B,$B107,ConfirmedRaw!AA:AA)</f>
        <v>0</v>
      </c>
      <c r="Z107">
        <f>SUMIF(ConfirmedRaw!$B:$B,$B107,ConfirmedRaw!AB:AB)</f>
        <v>0</v>
      </c>
      <c r="AA107">
        <f>SUMIF(ConfirmedRaw!$B:$B,$B107,ConfirmedRaw!AC:AC)</f>
        <v>0</v>
      </c>
      <c r="AB107">
        <f>SUMIF(ConfirmedRaw!$B:$B,$B107,ConfirmedRaw!AD:AD)</f>
        <v>0</v>
      </c>
      <c r="AC107">
        <f>SUMIF(ConfirmedRaw!$B:$B,$B107,ConfirmedRaw!AE:AE)</f>
        <v>0</v>
      </c>
      <c r="AD107">
        <f>SUMIF(ConfirmedRaw!$B:$B,$B107,ConfirmedRaw!AF:AF)</f>
        <v>0</v>
      </c>
      <c r="AE107">
        <f>SUMIF(ConfirmedRaw!$B:$B,$B107,ConfirmedRaw!AG:AG)</f>
        <v>0</v>
      </c>
      <c r="AF107">
        <f>SUMIF(ConfirmedRaw!$B:$B,$B107,ConfirmedRaw!AH:AH)</f>
        <v>0</v>
      </c>
      <c r="AG107">
        <f>SUMIF(ConfirmedRaw!$B:$B,$B107,ConfirmedRaw!AI:AI)</f>
        <v>0</v>
      </c>
      <c r="AH107">
        <f>SUMIF(ConfirmedRaw!$B:$B,$B107,ConfirmedRaw!AJ:AJ)</f>
        <v>0</v>
      </c>
      <c r="AI107">
        <f>SUMIF(ConfirmedRaw!$B:$B,$B107,ConfirmedRaw!AK:AK)</f>
        <v>0</v>
      </c>
      <c r="AJ107">
        <f>SUMIF(ConfirmedRaw!$B:$B,$B107,ConfirmedRaw!AL:AL)</f>
        <v>0</v>
      </c>
      <c r="AK107">
        <f>SUMIF(ConfirmedRaw!$B:$B,$B107,ConfirmedRaw!AM:AM)</f>
        <v>0</v>
      </c>
      <c r="AL107">
        <f>SUMIF(ConfirmedRaw!$B:$B,$B107,ConfirmedRaw!AN:AN)</f>
        <v>0</v>
      </c>
      <c r="AM107">
        <f>SUMIF(ConfirmedRaw!$B:$B,$B107,ConfirmedRaw!AO:AO)</f>
        <v>0</v>
      </c>
      <c r="AN107">
        <f>SUMIF(ConfirmedRaw!$B:$B,$B107,ConfirmedRaw!AP:AP)</f>
        <v>0</v>
      </c>
      <c r="AO107">
        <f>SUMIF(ConfirmedRaw!$B:$B,$B107,ConfirmedRaw!AQ:AQ)</f>
        <v>0</v>
      </c>
      <c r="AP107">
        <f>SUMIF(ConfirmedRaw!$B:$B,$B107,ConfirmedRaw!AR:AR)</f>
        <v>0</v>
      </c>
      <c r="AQ107">
        <f>SUMIF(ConfirmedRaw!$B:$B,$B107,ConfirmedRaw!AS:AS)</f>
        <v>0</v>
      </c>
      <c r="AR107">
        <f>SUMIF(ConfirmedRaw!$B:$B,$B107,ConfirmedRaw!AT:AT)</f>
        <v>0</v>
      </c>
      <c r="AS107">
        <f>SUMIF(ConfirmedRaw!$B:$B,$B107,ConfirmedRaw!AU:AU)</f>
        <v>0</v>
      </c>
      <c r="AT107">
        <f>SUMIF(ConfirmedRaw!$B:$B,$B107,ConfirmedRaw!AV:AV)</f>
        <v>0</v>
      </c>
      <c r="AU107">
        <f>SUMIF(ConfirmedRaw!$B:$B,$B107,ConfirmedRaw!AW:AW)</f>
        <v>0</v>
      </c>
      <c r="AV107">
        <f>SUMIF(ConfirmedRaw!$B:$B,$B107,ConfirmedRaw!AX:AX)</f>
        <v>0</v>
      </c>
      <c r="AW107">
        <f>SUMIF(ConfirmedRaw!$B:$B,$B107,ConfirmedRaw!AY:AY)</f>
        <v>0</v>
      </c>
      <c r="AX107">
        <f>SUMIF(ConfirmedRaw!$B:$B,$B107,ConfirmedRaw!AZ:AZ)</f>
        <v>0</v>
      </c>
      <c r="AY107">
        <f>SUMIF(ConfirmedRaw!$B:$B,$B107,ConfirmedRaw!BA:BA)</f>
        <v>0</v>
      </c>
      <c r="AZ107">
        <f>SUMIF(ConfirmedRaw!$B:$B,$B107,ConfirmedRaw!BB:BB)</f>
        <v>2</v>
      </c>
      <c r="BA107">
        <f>SUMIF(ConfirmedRaw!$B:$B,$B107,ConfirmedRaw!BC:BC)</f>
        <v>2</v>
      </c>
      <c r="BB107">
        <f>SUMIF(ConfirmedRaw!$B:$B,$B107,ConfirmedRaw!BD:BD)</f>
        <v>2</v>
      </c>
      <c r="BC107">
        <f>SUMIF(ConfirmedRaw!$B:$B,$B107,ConfirmedRaw!BE:BE)</f>
        <v>2</v>
      </c>
      <c r="BD107">
        <f>SUMIF(ConfirmedRaw!$B:$B,$B107,ConfirmedRaw!BF:BF)</f>
        <v>3</v>
      </c>
      <c r="BE107">
        <f>SUMIF(ConfirmedRaw!$B:$B,$B107,ConfirmedRaw!BG:BG)</f>
        <v>6</v>
      </c>
      <c r="BF107">
        <f>SUMIF(ConfirmedRaw!$B:$B,$B107,ConfirmedRaw!BH:BH)</f>
        <v>8</v>
      </c>
      <c r="BG107">
        <f>SUMIF(ConfirmedRaw!$B:$B,$B107,ConfirmedRaw!BI:BI)</f>
        <v>9</v>
      </c>
      <c r="BH107">
        <f>SUMIF(ConfirmedRaw!$B:$B,$B107,ConfirmedRaw!BJ:BJ)</f>
        <v>12</v>
      </c>
      <c r="BI107">
        <f>SUMIF(ConfirmedRaw!$B:$B,$B107,ConfirmedRaw!BK:BK)</f>
        <v>24</v>
      </c>
      <c r="BJ107">
        <f>SUMIF(ConfirmedRaw!$B:$B,$B107,ConfirmedRaw!BL:BL)</f>
        <v>24</v>
      </c>
      <c r="BK107">
        <f>SUMIF(ConfirmedRaw!$B:$B,$B107,ConfirmedRaw!BM:BM)</f>
        <v>26</v>
      </c>
      <c r="BL107">
        <f>SUMIF(ConfirmedRaw!$B:$B,$B107,ConfirmedRaw!BN:BN)</f>
        <v>30</v>
      </c>
      <c r="BM107">
        <f>SUMIF(ConfirmedRaw!$B:$B,$B107,ConfirmedRaw!BO:BO)</f>
        <v>30</v>
      </c>
      <c r="BN107">
        <f>SUMIF(ConfirmedRaw!$B:$B,$B107,ConfirmedRaw!BP:BP)</f>
        <v>36</v>
      </c>
      <c r="BO107">
        <f>SUMIF(ConfirmedRaw!$B:$B,$B107,ConfirmedRaw!BQ:BQ)</f>
        <v>52</v>
      </c>
      <c r="BP107">
        <f>SUMIF(ConfirmedRaw!$B:$B,$B107,ConfirmedRaw!BR:BR)</f>
        <v>68</v>
      </c>
      <c r="BQ107">
        <f>SUMIF(ConfirmedRaw!$B:$B,$B107,ConfirmedRaw!BS:BS)</f>
        <v>95</v>
      </c>
      <c r="BR107">
        <f>SUMIF(ConfirmedRaw!$B:$B,$B107,ConfirmedRaw!BT:BT)</f>
        <v>0</v>
      </c>
      <c r="BS107">
        <f>SUMIF(ConfirmedRaw!$B:$B,$B107,ConfirmedRaw!BU:BU)</f>
        <v>0</v>
      </c>
      <c r="BT107">
        <f>SUMIF(ConfirmedRaw!$B:$B,$B107,ConfirmedRaw!BV:BV)</f>
        <v>0</v>
      </c>
      <c r="BU107">
        <f>SUMIF(ConfirmedRaw!$B:$B,$B107,ConfirmedRaw!BW:BW)</f>
        <v>0</v>
      </c>
    </row>
    <row r="108" spans="1:73" ht="15" thickBot="1" x14ac:dyDescent="0.35">
      <c r="A108" s="97" t="str">
        <f>VLOOKUP(B108,Country_Data!B:Q,16,FALSE)</f>
        <v>Europe</v>
      </c>
      <c r="B108" s="4" t="s">
        <v>100</v>
      </c>
      <c r="C108">
        <f>SUMIF(ConfirmedRaw!$B:$B,$B108,ConfirmedRaw!E:E)</f>
        <v>0</v>
      </c>
      <c r="D108">
        <f>SUMIF(ConfirmedRaw!$B:$B,$B108,ConfirmedRaw!F:F)</f>
        <v>0</v>
      </c>
      <c r="E108">
        <f>SUMIF(ConfirmedRaw!$B:$B,$B108,ConfirmedRaw!G:G)</f>
        <v>0</v>
      </c>
      <c r="F108">
        <f>SUMIF(ConfirmedRaw!$B:$B,$B108,ConfirmedRaw!H:H)</f>
        <v>0</v>
      </c>
      <c r="G108">
        <f>SUMIF(ConfirmedRaw!$B:$B,$B108,ConfirmedRaw!I:I)</f>
        <v>0</v>
      </c>
      <c r="H108">
        <f>SUMIF(ConfirmedRaw!$B:$B,$B108,ConfirmedRaw!J:J)</f>
        <v>0</v>
      </c>
      <c r="I108">
        <f>SUMIF(ConfirmedRaw!$B:$B,$B108,ConfirmedRaw!K:K)</f>
        <v>0</v>
      </c>
      <c r="J108">
        <f>SUMIF(ConfirmedRaw!$B:$B,$B108,ConfirmedRaw!L:L)</f>
        <v>0</v>
      </c>
      <c r="K108">
        <f>SUMIF(ConfirmedRaw!$B:$B,$B108,ConfirmedRaw!M:M)</f>
        <v>0</v>
      </c>
      <c r="L108">
        <f>SUMIF(ConfirmedRaw!$B:$B,$B108,ConfirmedRaw!N:N)</f>
        <v>0</v>
      </c>
      <c r="M108">
        <f>SUMIF(ConfirmedRaw!$B:$B,$B108,ConfirmedRaw!O:O)</f>
        <v>0</v>
      </c>
      <c r="N108">
        <f>SUMIF(ConfirmedRaw!$B:$B,$B108,ConfirmedRaw!P:P)</f>
        <v>0</v>
      </c>
      <c r="O108">
        <f>SUMIF(ConfirmedRaw!$B:$B,$B108,ConfirmedRaw!Q:Q)</f>
        <v>0</v>
      </c>
      <c r="P108">
        <f>SUMIF(ConfirmedRaw!$B:$B,$B108,ConfirmedRaw!R:R)</f>
        <v>0</v>
      </c>
      <c r="Q108">
        <f>SUMIF(ConfirmedRaw!$B:$B,$B108,ConfirmedRaw!S:S)</f>
        <v>0</v>
      </c>
      <c r="R108">
        <f>SUMIF(ConfirmedRaw!$B:$B,$B108,ConfirmedRaw!T:T)</f>
        <v>0</v>
      </c>
      <c r="S108">
        <f>SUMIF(ConfirmedRaw!$B:$B,$B108,ConfirmedRaw!U:U)</f>
        <v>0</v>
      </c>
      <c r="T108">
        <f>SUMIF(ConfirmedRaw!$B:$B,$B108,ConfirmedRaw!V:V)</f>
        <v>0</v>
      </c>
      <c r="U108">
        <f>SUMIF(ConfirmedRaw!$B:$B,$B108,ConfirmedRaw!W:W)</f>
        <v>0</v>
      </c>
      <c r="V108">
        <f>SUMIF(ConfirmedRaw!$B:$B,$B108,ConfirmedRaw!X:X)</f>
        <v>0</v>
      </c>
      <c r="W108">
        <f>SUMIF(ConfirmedRaw!$B:$B,$B108,ConfirmedRaw!Y:Y)</f>
        <v>0</v>
      </c>
      <c r="X108">
        <f>SUMIF(ConfirmedRaw!$B:$B,$B108,ConfirmedRaw!Z:Z)</f>
        <v>0</v>
      </c>
      <c r="Y108">
        <f>SUMIF(ConfirmedRaw!$B:$B,$B108,ConfirmedRaw!AA:AA)</f>
        <v>0</v>
      </c>
      <c r="Z108">
        <f>SUMIF(ConfirmedRaw!$B:$B,$B108,ConfirmedRaw!AB:AB)</f>
        <v>0</v>
      </c>
      <c r="AA108">
        <f>SUMIF(ConfirmedRaw!$B:$B,$B108,ConfirmedRaw!AC:AC)</f>
        <v>0</v>
      </c>
      <c r="AB108">
        <f>SUMIF(ConfirmedRaw!$B:$B,$B108,ConfirmedRaw!AD:AD)</f>
        <v>0</v>
      </c>
      <c r="AC108">
        <f>SUMIF(ConfirmedRaw!$B:$B,$B108,ConfirmedRaw!AE:AE)</f>
        <v>0</v>
      </c>
      <c r="AD108">
        <f>SUMIF(ConfirmedRaw!$B:$B,$B108,ConfirmedRaw!AF:AF)</f>
        <v>0</v>
      </c>
      <c r="AE108">
        <f>SUMIF(ConfirmedRaw!$B:$B,$B108,ConfirmedRaw!AG:AG)</f>
        <v>0</v>
      </c>
      <c r="AF108">
        <f>SUMIF(ConfirmedRaw!$B:$B,$B108,ConfirmedRaw!AH:AH)</f>
        <v>0</v>
      </c>
      <c r="AG108">
        <f>SUMIF(ConfirmedRaw!$B:$B,$B108,ConfirmedRaw!AI:AI)</f>
        <v>0</v>
      </c>
      <c r="AH108">
        <f>SUMIF(ConfirmedRaw!$B:$B,$B108,ConfirmedRaw!AJ:AJ)</f>
        <v>0</v>
      </c>
      <c r="AI108">
        <f>SUMIF(ConfirmedRaw!$B:$B,$B108,ConfirmedRaw!AK:AK)</f>
        <v>0</v>
      </c>
      <c r="AJ108">
        <f>SUMIF(ConfirmedRaw!$B:$B,$B108,ConfirmedRaw!AL:AL)</f>
        <v>0</v>
      </c>
      <c r="AK108">
        <f>SUMIF(ConfirmedRaw!$B:$B,$B108,ConfirmedRaw!AM:AM)</f>
        <v>0</v>
      </c>
      <c r="AL108">
        <f>SUMIF(ConfirmedRaw!$B:$B,$B108,ConfirmedRaw!AN:AN)</f>
        <v>0</v>
      </c>
      <c r="AM108">
        <f>SUMIF(ConfirmedRaw!$B:$B,$B108,ConfirmedRaw!AO:AO)</f>
        <v>0</v>
      </c>
      <c r="AN108">
        <f>SUMIF(ConfirmedRaw!$B:$B,$B108,ConfirmedRaw!AP:AP)</f>
        <v>0</v>
      </c>
      <c r="AO108">
        <f>SUMIF(ConfirmedRaw!$B:$B,$B108,ConfirmedRaw!AQ:AQ)</f>
        <v>1</v>
      </c>
      <c r="AP108">
        <f>SUMIF(ConfirmedRaw!$B:$B,$B108,ConfirmedRaw!AR:AR)</f>
        <v>1</v>
      </c>
      <c r="AQ108">
        <f>SUMIF(ConfirmedRaw!$B:$B,$B108,ConfirmedRaw!AS:AS)</f>
        <v>1</v>
      </c>
      <c r="AR108">
        <f>SUMIF(ConfirmedRaw!$B:$B,$B108,ConfirmedRaw!AT:AT)</f>
        <v>1</v>
      </c>
      <c r="AS108">
        <f>SUMIF(ConfirmedRaw!$B:$B,$B108,ConfirmedRaw!AU:AU)</f>
        <v>1</v>
      </c>
      <c r="AT108">
        <f>SUMIF(ConfirmedRaw!$B:$B,$B108,ConfirmedRaw!AV:AV)</f>
        <v>1</v>
      </c>
      <c r="AU108">
        <f>SUMIF(ConfirmedRaw!$B:$B,$B108,ConfirmedRaw!AW:AW)</f>
        <v>1</v>
      </c>
      <c r="AV108">
        <f>SUMIF(ConfirmedRaw!$B:$B,$B108,ConfirmedRaw!AX:AX)</f>
        <v>1</v>
      </c>
      <c r="AW108">
        <f>SUMIF(ConfirmedRaw!$B:$B,$B108,ConfirmedRaw!AY:AY)</f>
        <v>1</v>
      </c>
      <c r="AX108">
        <f>SUMIF(ConfirmedRaw!$B:$B,$B108,ConfirmedRaw!AZ:AZ)</f>
        <v>1</v>
      </c>
      <c r="AY108">
        <f>SUMIF(ConfirmedRaw!$B:$B,$B108,ConfirmedRaw!BA:BA)</f>
        <v>1</v>
      </c>
      <c r="AZ108">
        <f>SUMIF(ConfirmedRaw!$B:$B,$B108,ConfirmedRaw!BB:BB)</f>
        <v>1</v>
      </c>
      <c r="BA108">
        <f>SUMIF(ConfirmedRaw!$B:$B,$B108,ConfirmedRaw!BC:BC)</f>
        <v>2</v>
      </c>
      <c r="BB108">
        <f>SUMIF(ConfirmedRaw!$B:$B,$B108,ConfirmedRaw!BD:BD)</f>
        <v>2</v>
      </c>
      <c r="BC108">
        <f>SUMIF(ConfirmedRaw!$B:$B,$B108,ConfirmedRaw!BE:BE)</f>
        <v>2</v>
      </c>
      <c r="BD108">
        <f>SUMIF(ConfirmedRaw!$B:$B,$B108,ConfirmedRaw!BF:BF)</f>
        <v>2</v>
      </c>
      <c r="BE108">
        <f>SUMIF(ConfirmedRaw!$B:$B,$B108,ConfirmedRaw!BG:BG)</f>
        <v>7</v>
      </c>
      <c r="BF108">
        <f>SUMIF(ConfirmedRaw!$B:$B,$B108,ConfirmedRaw!BH:BH)</f>
        <v>7</v>
      </c>
      <c r="BG108">
        <f>SUMIF(ConfirmedRaw!$B:$B,$B108,ConfirmedRaw!BI:BI)</f>
        <v>7</v>
      </c>
      <c r="BH108">
        <f>SUMIF(ConfirmedRaw!$B:$B,$B108,ConfirmedRaw!BJ:BJ)</f>
        <v>7</v>
      </c>
      <c r="BI108">
        <f>SUMIF(ConfirmedRaw!$B:$B,$B108,ConfirmedRaw!BK:BK)</f>
        <v>11</v>
      </c>
      <c r="BJ108">
        <f>SUMIF(ConfirmedRaw!$B:$B,$B108,ConfirmedRaw!BL:BL)</f>
        <v>11</v>
      </c>
      <c r="BK108">
        <f>SUMIF(ConfirmedRaw!$B:$B,$B108,ConfirmedRaw!BM:BM)</f>
        <v>23</v>
      </c>
      <c r="BL108">
        <f>SUMIF(ConfirmedRaw!$B:$B,$B108,ConfirmedRaw!BN:BN)</f>
        <v>23</v>
      </c>
      <c r="BM108">
        <f>SUMIF(ConfirmedRaw!$B:$B,$B108,ConfirmedRaw!BO:BO)</f>
        <v>23</v>
      </c>
      <c r="BN108">
        <f>SUMIF(ConfirmedRaw!$B:$B,$B108,ConfirmedRaw!BP:BP)</f>
        <v>31</v>
      </c>
      <c r="BO108">
        <f>SUMIF(ConfirmedRaw!$B:$B,$B108,ConfirmedRaw!BQ:BQ)</f>
        <v>33</v>
      </c>
      <c r="BP108">
        <f>SUMIF(ConfirmedRaw!$B:$B,$B108,ConfirmedRaw!BR:BR)</f>
        <v>42</v>
      </c>
      <c r="BQ108">
        <f>SUMIF(ConfirmedRaw!$B:$B,$B108,ConfirmedRaw!BS:BS)</f>
        <v>42</v>
      </c>
      <c r="BR108">
        <f>SUMIF(ConfirmedRaw!$B:$B,$B108,ConfirmedRaw!BT:BT)</f>
        <v>0</v>
      </c>
      <c r="BS108">
        <f>SUMIF(ConfirmedRaw!$B:$B,$B108,ConfirmedRaw!BU:BU)</f>
        <v>0</v>
      </c>
      <c r="BT108">
        <f>SUMIF(ConfirmedRaw!$B:$B,$B108,ConfirmedRaw!BV:BV)</f>
        <v>0</v>
      </c>
      <c r="BU108">
        <f>SUMIF(ConfirmedRaw!$B:$B,$B108,ConfirmedRaw!BW:BW)</f>
        <v>0</v>
      </c>
    </row>
    <row r="109" spans="1:73" ht="15" thickBot="1" x14ac:dyDescent="0.35">
      <c r="A109" s="97" t="str">
        <f>VLOOKUP(B109,Country_Data!B:Q,16,FALSE)</f>
        <v>Africa</v>
      </c>
      <c r="B109" s="4" t="s">
        <v>96</v>
      </c>
      <c r="C109">
        <f>SUMIF(ConfirmedRaw!$B:$B,$B109,ConfirmedRaw!E:E)</f>
        <v>0</v>
      </c>
      <c r="D109">
        <f>SUMIF(ConfirmedRaw!$B:$B,$B109,ConfirmedRaw!F:F)</f>
        <v>0</v>
      </c>
      <c r="E109">
        <f>SUMIF(ConfirmedRaw!$B:$B,$B109,ConfirmedRaw!G:G)</f>
        <v>0</v>
      </c>
      <c r="F109">
        <f>SUMIF(ConfirmedRaw!$B:$B,$B109,ConfirmedRaw!H:H)</f>
        <v>0</v>
      </c>
      <c r="G109">
        <f>SUMIF(ConfirmedRaw!$B:$B,$B109,ConfirmedRaw!I:I)</f>
        <v>0</v>
      </c>
      <c r="H109">
        <f>SUMIF(ConfirmedRaw!$B:$B,$B109,ConfirmedRaw!J:J)</f>
        <v>0</v>
      </c>
      <c r="I109">
        <f>SUMIF(ConfirmedRaw!$B:$B,$B109,ConfirmedRaw!K:K)</f>
        <v>0</v>
      </c>
      <c r="J109">
        <f>SUMIF(ConfirmedRaw!$B:$B,$B109,ConfirmedRaw!L:L)</f>
        <v>0</v>
      </c>
      <c r="K109">
        <f>SUMIF(ConfirmedRaw!$B:$B,$B109,ConfirmedRaw!M:M)</f>
        <v>0</v>
      </c>
      <c r="L109">
        <f>SUMIF(ConfirmedRaw!$B:$B,$B109,ConfirmedRaw!N:N)</f>
        <v>0</v>
      </c>
      <c r="M109">
        <f>SUMIF(ConfirmedRaw!$B:$B,$B109,ConfirmedRaw!O:O)</f>
        <v>0</v>
      </c>
      <c r="N109">
        <f>SUMIF(ConfirmedRaw!$B:$B,$B109,ConfirmedRaw!P:P)</f>
        <v>0</v>
      </c>
      <c r="O109">
        <f>SUMIF(ConfirmedRaw!$B:$B,$B109,ConfirmedRaw!Q:Q)</f>
        <v>0</v>
      </c>
      <c r="P109">
        <f>SUMIF(ConfirmedRaw!$B:$B,$B109,ConfirmedRaw!R:R)</f>
        <v>0</v>
      </c>
      <c r="Q109">
        <f>SUMIF(ConfirmedRaw!$B:$B,$B109,ConfirmedRaw!S:S)</f>
        <v>0</v>
      </c>
      <c r="R109">
        <f>SUMIF(ConfirmedRaw!$B:$B,$B109,ConfirmedRaw!T:T)</f>
        <v>0</v>
      </c>
      <c r="S109">
        <f>SUMIF(ConfirmedRaw!$B:$B,$B109,ConfirmedRaw!U:U)</f>
        <v>0</v>
      </c>
      <c r="T109">
        <f>SUMIF(ConfirmedRaw!$B:$B,$B109,ConfirmedRaw!V:V)</f>
        <v>0</v>
      </c>
      <c r="U109">
        <f>SUMIF(ConfirmedRaw!$B:$B,$B109,ConfirmedRaw!W:W)</f>
        <v>0</v>
      </c>
      <c r="V109">
        <f>SUMIF(ConfirmedRaw!$B:$B,$B109,ConfirmedRaw!X:X)</f>
        <v>0</v>
      </c>
      <c r="W109">
        <f>SUMIF(ConfirmedRaw!$B:$B,$B109,ConfirmedRaw!Y:Y)</f>
        <v>0</v>
      </c>
      <c r="X109">
        <f>SUMIF(ConfirmedRaw!$B:$B,$B109,ConfirmedRaw!Z:Z)</f>
        <v>0</v>
      </c>
      <c r="Y109">
        <f>SUMIF(ConfirmedRaw!$B:$B,$B109,ConfirmedRaw!AA:AA)</f>
        <v>0</v>
      </c>
      <c r="Z109">
        <f>SUMIF(ConfirmedRaw!$B:$B,$B109,ConfirmedRaw!AB:AB)</f>
        <v>0</v>
      </c>
      <c r="AA109">
        <f>SUMIF(ConfirmedRaw!$B:$B,$B109,ConfirmedRaw!AC:AC)</f>
        <v>0</v>
      </c>
      <c r="AB109">
        <f>SUMIF(ConfirmedRaw!$B:$B,$B109,ConfirmedRaw!AD:AD)</f>
        <v>0</v>
      </c>
      <c r="AC109">
        <f>SUMIF(ConfirmedRaw!$B:$B,$B109,ConfirmedRaw!AE:AE)</f>
        <v>0</v>
      </c>
      <c r="AD109">
        <f>SUMIF(ConfirmedRaw!$B:$B,$B109,ConfirmedRaw!AF:AF)</f>
        <v>0</v>
      </c>
      <c r="AE109">
        <f>SUMIF(ConfirmedRaw!$B:$B,$B109,ConfirmedRaw!AG:AG)</f>
        <v>0</v>
      </c>
      <c r="AF109">
        <f>SUMIF(ConfirmedRaw!$B:$B,$B109,ConfirmedRaw!AH:AH)</f>
        <v>0</v>
      </c>
      <c r="AG109">
        <f>SUMIF(ConfirmedRaw!$B:$B,$B109,ConfirmedRaw!AI:AI)</f>
        <v>0</v>
      </c>
      <c r="AH109">
        <f>SUMIF(ConfirmedRaw!$B:$B,$B109,ConfirmedRaw!AJ:AJ)</f>
        <v>0</v>
      </c>
      <c r="AI109">
        <f>SUMIF(ConfirmedRaw!$B:$B,$B109,ConfirmedRaw!AK:AK)</f>
        <v>0</v>
      </c>
      <c r="AJ109">
        <f>SUMIF(ConfirmedRaw!$B:$B,$B109,ConfirmedRaw!AL:AL)</f>
        <v>0</v>
      </c>
      <c r="AK109">
        <f>SUMIF(ConfirmedRaw!$B:$B,$B109,ConfirmedRaw!AM:AM)</f>
        <v>0</v>
      </c>
      <c r="AL109">
        <f>SUMIF(ConfirmedRaw!$B:$B,$B109,ConfirmedRaw!AN:AN)</f>
        <v>0</v>
      </c>
      <c r="AM109">
        <f>SUMIF(ConfirmedRaw!$B:$B,$B109,ConfirmedRaw!AO:AO)</f>
        <v>0</v>
      </c>
      <c r="AN109">
        <f>SUMIF(ConfirmedRaw!$B:$B,$B109,ConfirmedRaw!AP:AP)</f>
        <v>1</v>
      </c>
      <c r="AO109">
        <f>SUMIF(ConfirmedRaw!$B:$B,$B109,ConfirmedRaw!AQ:AQ)</f>
        <v>1</v>
      </c>
      <c r="AP109">
        <f>SUMIF(ConfirmedRaw!$B:$B,$B109,ConfirmedRaw!AR:AR)</f>
        <v>1</v>
      </c>
      <c r="AQ109">
        <f>SUMIF(ConfirmedRaw!$B:$B,$B109,ConfirmedRaw!AS:AS)</f>
        <v>1</v>
      </c>
      <c r="AR109">
        <f>SUMIF(ConfirmedRaw!$B:$B,$B109,ConfirmedRaw!AT:AT)</f>
        <v>1</v>
      </c>
      <c r="AS109">
        <f>SUMIF(ConfirmedRaw!$B:$B,$B109,ConfirmedRaw!AU:AU)</f>
        <v>1</v>
      </c>
      <c r="AT109">
        <f>SUMIF(ConfirmedRaw!$B:$B,$B109,ConfirmedRaw!AV:AV)</f>
        <v>1</v>
      </c>
      <c r="AU109">
        <f>SUMIF(ConfirmedRaw!$B:$B,$B109,ConfirmedRaw!AW:AW)</f>
        <v>1</v>
      </c>
      <c r="AV109">
        <f>SUMIF(ConfirmedRaw!$B:$B,$B109,ConfirmedRaw!AX:AX)</f>
        <v>1</v>
      </c>
      <c r="AW109">
        <f>SUMIF(ConfirmedRaw!$B:$B,$B109,ConfirmedRaw!AY:AY)</f>
        <v>1</v>
      </c>
      <c r="AX109">
        <f>SUMIF(ConfirmedRaw!$B:$B,$B109,ConfirmedRaw!AZ:AZ)</f>
        <v>2</v>
      </c>
      <c r="AY109">
        <f>SUMIF(ConfirmedRaw!$B:$B,$B109,ConfirmedRaw!BA:BA)</f>
        <v>2</v>
      </c>
      <c r="AZ109">
        <f>SUMIF(ConfirmedRaw!$B:$B,$B109,ConfirmedRaw!BB:BB)</f>
        <v>2</v>
      </c>
      <c r="BA109">
        <f>SUMIF(ConfirmedRaw!$B:$B,$B109,ConfirmedRaw!BC:BC)</f>
        <v>2</v>
      </c>
      <c r="BB109">
        <f>SUMIF(ConfirmedRaw!$B:$B,$B109,ConfirmedRaw!BD:BD)</f>
        <v>2</v>
      </c>
      <c r="BC109">
        <f>SUMIF(ConfirmedRaw!$B:$B,$B109,ConfirmedRaw!BE:BE)</f>
        <v>2</v>
      </c>
      <c r="BD109">
        <f>SUMIF(ConfirmedRaw!$B:$B,$B109,ConfirmedRaw!BF:BF)</f>
        <v>2</v>
      </c>
      <c r="BE109">
        <f>SUMIF(ConfirmedRaw!$B:$B,$B109,ConfirmedRaw!BG:BG)</f>
        <v>2</v>
      </c>
      <c r="BF109">
        <f>SUMIF(ConfirmedRaw!$B:$B,$B109,ConfirmedRaw!BH:BH)</f>
        <v>3</v>
      </c>
      <c r="BG109">
        <f>SUMIF(ConfirmedRaw!$B:$B,$B109,ConfirmedRaw!BI:BI)</f>
        <v>8</v>
      </c>
      <c r="BH109">
        <f>SUMIF(ConfirmedRaw!$B:$B,$B109,ConfirmedRaw!BJ:BJ)</f>
        <v>8</v>
      </c>
      <c r="BI109">
        <f>SUMIF(ConfirmedRaw!$B:$B,$B109,ConfirmedRaw!BK:BK)</f>
        <v>12</v>
      </c>
      <c r="BJ109">
        <f>SUMIF(ConfirmedRaw!$B:$B,$B109,ConfirmedRaw!BL:BL)</f>
        <v>22</v>
      </c>
      <c r="BK109">
        <f>SUMIF(ConfirmedRaw!$B:$B,$B109,ConfirmedRaw!BM:BM)</f>
        <v>30</v>
      </c>
      <c r="BL109">
        <f>SUMIF(ConfirmedRaw!$B:$B,$B109,ConfirmedRaw!BN:BN)</f>
        <v>40</v>
      </c>
      <c r="BM109">
        <f>SUMIF(ConfirmedRaw!$B:$B,$B109,ConfirmedRaw!BO:BO)</f>
        <v>44</v>
      </c>
      <c r="BN109">
        <f>SUMIF(ConfirmedRaw!$B:$B,$B109,ConfirmedRaw!BP:BP)</f>
        <v>51</v>
      </c>
      <c r="BO109">
        <f>SUMIF(ConfirmedRaw!$B:$B,$B109,ConfirmedRaw!BQ:BQ)</f>
        <v>65</v>
      </c>
      <c r="BP109">
        <f>SUMIF(ConfirmedRaw!$B:$B,$B109,ConfirmedRaw!BR:BR)</f>
        <v>70</v>
      </c>
      <c r="BQ109">
        <f>SUMIF(ConfirmedRaw!$B:$B,$B109,ConfirmedRaw!BS:BS)</f>
        <v>89</v>
      </c>
      <c r="BR109">
        <f>SUMIF(ConfirmedRaw!$B:$B,$B109,ConfirmedRaw!BT:BT)</f>
        <v>0</v>
      </c>
      <c r="BS109">
        <f>SUMIF(ConfirmedRaw!$B:$B,$B109,ConfirmedRaw!BU:BU)</f>
        <v>0</v>
      </c>
      <c r="BT109">
        <f>SUMIF(ConfirmedRaw!$B:$B,$B109,ConfirmedRaw!BV:BV)</f>
        <v>0</v>
      </c>
      <c r="BU109">
        <f>SUMIF(ConfirmedRaw!$B:$B,$B109,ConfirmedRaw!BW:BW)</f>
        <v>0</v>
      </c>
    </row>
    <row r="110" spans="1:73" ht="15" thickBot="1" x14ac:dyDescent="0.35">
      <c r="A110" s="97" t="str">
        <f>VLOOKUP(B110,Country_Data!B:Q,16,FALSE)</f>
        <v>Europe</v>
      </c>
      <c r="B110" s="4" t="s">
        <v>109</v>
      </c>
      <c r="C110">
        <f>SUMIF(ConfirmedRaw!$B:$B,$B110,ConfirmedRaw!E:E)</f>
        <v>0</v>
      </c>
      <c r="D110">
        <f>SUMIF(ConfirmedRaw!$B:$B,$B110,ConfirmedRaw!F:F)</f>
        <v>0</v>
      </c>
      <c r="E110">
        <f>SUMIF(ConfirmedRaw!$B:$B,$B110,ConfirmedRaw!G:G)</f>
        <v>0</v>
      </c>
      <c r="F110">
        <f>SUMIF(ConfirmedRaw!$B:$B,$B110,ConfirmedRaw!H:H)</f>
        <v>0</v>
      </c>
      <c r="G110">
        <f>SUMIF(ConfirmedRaw!$B:$B,$B110,ConfirmedRaw!I:I)</f>
        <v>0</v>
      </c>
      <c r="H110">
        <f>SUMIF(ConfirmedRaw!$B:$B,$B110,ConfirmedRaw!J:J)</f>
        <v>0</v>
      </c>
      <c r="I110">
        <f>SUMIF(ConfirmedRaw!$B:$B,$B110,ConfirmedRaw!K:K)</f>
        <v>0</v>
      </c>
      <c r="J110">
        <f>SUMIF(ConfirmedRaw!$B:$B,$B110,ConfirmedRaw!L:L)</f>
        <v>0</v>
      </c>
      <c r="K110">
        <f>SUMIF(ConfirmedRaw!$B:$B,$B110,ConfirmedRaw!M:M)</f>
        <v>0</v>
      </c>
      <c r="L110">
        <f>SUMIF(ConfirmedRaw!$B:$B,$B110,ConfirmedRaw!N:N)</f>
        <v>0</v>
      </c>
      <c r="M110">
        <f>SUMIF(ConfirmedRaw!$B:$B,$B110,ConfirmedRaw!O:O)</f>
        <v>0</v>
      </c>
      <c r="N110">
        <f>SUMIF(ConfirmedRaw!$B:$B,$B110,ConfirmedRaw!P:P)</f>
        <v>0</v>
      </c>
      <c r="O110">
        <f>SUMIF(ConfirmedRaw!$B:$B,$B110,ConfirmedRaw!Q:Q)</f>
        <v>0</v>
      </c>
      <c r="P110">
        <f>SUMIF(ConfirmedRaw!$B:$B,$B110,ConfirmedRaw!R:R)</f>
        <v>0</v>
      </c>
      <c r="Q110">
        <f>SUMIF(ConfirmedRaw!$B:$B,$B110,ConfirmedRaw!S:S)</f>
        <v>0</v>
      </c>
      <c r="R110">
        <f>SUMIF(ConfirmedRaw!$B:$B,$B110,ConfirmedRaw!T:T)</f>
        <v>0</v>
      </c>
      <c r="S110">
        <f>SUMIF(ConfirmedRaw!$B:$B,$B110,ConfirmedRaw!U:U)</f>
        <v>0</v>
      </c>
      <c r="T110">
        <f>SUMIF(ConfirmedRaw!$B:$B,$B110,ConfirmedRaw!V:V)</f>
        <v>0</v>
      </c>
      <c r="U110">
        <f>SUMIF(ConfirmedRaw!$B:$B,$B110,ConfirmedRaw!W:W)</f>
        <v>0</v>
      </c>
      <c r="V110">
        <f>SUMIF(ConfirmedRaw!$B:$B,$B110,ConfirmedRaw!X:X)</f>
        <v>0</v>
      </c>
      <c r="W110">
        <f>SUMIF(ConfirmedRaw!$B:$B,$B110,ConfirmedRaw!Y:Y)</f>
        <v>0</v>
      </c>
      <c r="X110">
        <f>SUMIF(ConfirmedRaw!$B:$B,$B110,ConfirmedRaw!Z:Z)</f>
        <v>0</v>
      </c>
      <c r="Y110">
        <f>SUMIF(ConfirmedRaw!$B:$B,$B110,ConfirmedRaw!AA:AA)</f>
        <v>0</v>
      </c>
      <c r="Z110">
        <f>SUMIF(ConfirmedRaw!$B:$B,$B110,ConfirmedRaw!AB:AB)</f>
        <v>0</v>
      </c>
      <c r="AA110">
        <f>SUMIF(ConfirmedRaw!$B:$B,$B110,ConfirmedRaw!AC:AC)</f>
        <v>0</v>
      </c>
      <c r="AB110">
        <f>SUMIF(ConfirmedRaw!$B:$B,$B110,ConfirmedRaw!AD:AD)</f>
        <v>0</v>
      </c>
      <c r="AC110">
        <f>SUMIF(ConfirmedRaw!$B:$B,$B110,ConfirmedRaw!AE:AE)</f>
        <v>0</v>
      </c>
      <c r="AD110">
        <f>SUMIF(ConfirmedRaw!$B:$B,$B110,ConfirmedRaw!AF:AF)</f>
        <v>0</v>
      </c>
      <c r="AE110">
        <f>SUMIF(ConfirmedRaw!$B:$B,$B110,ConfirmedRaw!AG:AG)</f>
        <v>0</v>
      </c>
      <c r="AF110">
        <f>SUMIF(ConfirmedRaw!$B:$B,$B110,ConfirmedRaw!AH:AH)</f>
        <v>0</v>
      </c>
      <c r="AG110">
        <f>SUMIF(ConfirmedRaw!$B:$B,$B110,ConfirmedRaw!AI:AI)</f>
        <v>0</v>
      </c>
      <c r="AH110">
        <f>SUMIF(ConfirmedRaw!$B:$B,$B110,ConfirmedRaw!AJ:AJ)</f>
        <v>0</v>
      </c>
      <c r="AI110">
        <f>SUMIF(ConfirmedRaw!$B:$B,$B110,ConfirmedRaw!AK:AK)</f>
        <v>0</v>
      </c>
      <c r="AJ110">
        <f>SUMIF(ConfirmedRaw!$B:$B,$B110,ConfirmedRaw!AL:AL)</f>
        <v>0</v>
      </c>
      <c r="AK110">
        <f>SUMIF(ConfirmedRaw!$B:$B,$B110,ConfirmedRaw!AM:AM)</f>
        <v>0</v>
      </c>
      <c r="AL110">
        <f>SUMIF(ConfirmedRaw!$B:$B,$B110,ConfirmedRaw!AN:AN)</f>
        <v>0</v>
      </c>
      <c r="AM110">
        <f>SUMIF(ConfirmedRaw!$B:$B,$B110,ConfirmedRaw!AO:AO)</f>
        <v>0</v>
      </c>
      <c r="AN110">
        <f>SUMIF(ConfirmedRaw!$B:$B,$B110,ConfirmedRaw!AP:AP)</f>
        <v>0</v>
      </c>
      <c r="AO110">
        <f>SUMIF(ConfirmedRaw!$B:$B,$B110,ConfirmedRaw!AQ:AQ)</f>
        <v>0</v>
      </c>
      <c r="AP110">
        <f>SUMIF(ConfirmedRaw!$B:$B,$B110,ConfirmedRaw!AR:AR)</f>
        <v>0</v>
      </c>
      <c r="AQ110">
        <f>SUMIF(ConfirmedRaw!$B:$B,$B110,ConfirmedRaw!AS:AS)</f>
        <v>1</v>
      </c>
      <c r="AR110">
        <f>SUMIF(ConfirmedRaw!$B:$B,$B110,ConfirmedRaw!AT:AT)</f>
        <v>1</v>
      </c>
      <c r="AS110">
        <f>SUMIF(ConfirmedRaw!$B:$B,$B110,ConfirmedRaw!AU:AU)</f>
        <v>1</v>
      </c>
      <c r="AT110">
        <f>SUMIF(ConfirmedRaw!$B:$B,$B110,ConfirmedRaw!AV:AV)</f>
        <v>1</v>
      </c>
      <c r="AU110">
        <f>SUMIF(ConfirmedRaw!$B:$B,$B110,ConfirmedRaw!AW:AW)</f>
        <v>1</v>
      </c>
      <c r="AV110">
        <f>SUMIF(ConfirmedRaw!$B:$B,$B110,ConfirmedRaw!AX:AX)</f>
        <v>1</v>
      </c>
      <c r="AW110">
        <f>SUMIF(ConfirmedRaw!$B:$B,$B110,ConfirmedRaw!AY:AY)</f>
        <v>1</v>
      </c>
      <c r="AX110">
        <f>SUMIF(ConfirmedRaw!$B:$B,$B110,ConfirmedRaw!AZ:AZ)</f>
        <v>1</v>
      </c>
      <c r="AY110">
        <f>SUMIF(ConfirmedRaw!$B:$B,$B110,ConfirmedRaw!BA:BA)</f>
        <v>1</v>
      </c>
      <c r="AZ110">
        <f>SUMIF(ConfirmedRaw!$B:$B,$B110,ConfirmedRaw!BB:BB)</f>
        <v>1</v>
      </c>
      <c r="BA110">
        <f>SUMIF(ConfirmedRaw!$B:$B,$B110,ConfirmedRaw!BC:BC)</f>
        <v>1</v>
      </c>
      <c r="BB110">
        <f>SUMIF(ConfirmedRaw!$B:$B,$B110,ConfirmedRaw!BD:BD)</f>
        <v>1</v>
      </c>
      <c r="BC110">
        <f>SUMIF(ConfirmedRaw!$B:$B,$B110,ConfirmedRaw!BE:BE)</f>
        <v>1</v>
      </c>
      <c r="BD110">
        <f>SUMIF(ConfirmedRaw!$B:$B,$B110,ConfirmedRaw!BF:BF)</f>
        <v>1</v>
      </c>
      <c r="BE110">
        <f>SUMIF(ConfirmedRaw!$B:$B,$B110,ConfirmedRaw!BG:BG)</f>
        <v>2</v>
      </c>
      <c r="BF110">
        <f>SUMIF(ConfirmedRaw!$B:$B,$B110,ConfirmedRaw!BH:BH)</f>
        <v>39</v>
      </c>
      <c r="BG110">
        <f>SUMIF(ConfirmedRaw!$B:$B,$B110,ConfirmedRaw!BI:BI)</f>
        <v>39</v>
      </c>
      <c r="BH110">
        <f>SUMIF(ConfirmedRaw!$B:$B,$B110,ConfirmedRaw!BJ:BJ)</f>
        <v>53</v>
      </c>
      <c r="BI110">
        <f>SUMIF(ConfirmedRaw!$B:$B,$B110,ConfirmedRaw!BK:BK)</f>
        <v>75</v>
      </c>
      <c r="BJ110">
        <f>SUMIF(ConfirmedRaw!$B:$B,$B110,ConfirmedRaw!BL:BL)</f>
        <v>88</v>
      </c>
      <c r="BK110">
        <f>SUMIF(ConfirmedRaw!$B:$B,$B110,ConfirmedRaw!BM:BM)</f>
        <v>113</v>
      </c>
      <c r="BL110">
        <f>SUMIF(ConfirmedRaw!$B:$B,$B110,ConfirmedRaw!BN:BN)</f>
        <v>133</v>
      </c>
      <c r="BM110">
        <f>SUMIF(ConfirmedRaw!$B:$B,$B110,ConfirmedRaw!BO:BO)</f>
        <v>164</v>
      </c>
      <c r="BN110">
        <f>SUMIF(ConfirmedRaw!$B:$B,$B110,ConfirmedRaw!BP:BP)</f>
        <v>188</v>
      </c>
      <c r="BO110">
        <f>SUMIF(ConfirmedRaw!$B:$B,$B110,ConfirmedRaw!BQ:BQ)</f>
        <v>224</v>
      </c>
      <c r="BP110">
        <f>SUMIF(ConfirmedRaw!$B:$B,$B110,ConfirmedRaw!BR:BR)</f>
        <v>267</v>
      </c>
      <c r="BQ110">
        <f>SUMIF(ConfirmedRaw!$B:$B,$B110,ConfirmedRaw!BS:BS)</f>
        <v>308</v>
      </c>
      <c r="BR110">
        <f>SUMIF(ConfirmedRaw!$B:$B,$B110,ConfirmedRaw!BT:BT)</f>
        <v>0</v>
      </c>
      <c r="BS110">
        <f>SUMIF(ConfirmedRaw!$B:$B,$B110,ConfirmedRaw!BU:BU)</f>
        <v>0</v>
      </c>
      <c r="BT110">
        <f>SUMIF(ConfirmedRaw!$B:$B,$B110,ConfirmedRaw!BV:BV)</f>
        <v>0</v>
      </c>
      <c r="BU110">
        <f>SUMIF(ConfirmedRaw!$B:$B,$B110,ConfirmedRaw!BW:BW)</f>
        <v>0</v>
      </c>
    </row>
    <row r="111" spans="1:73" ht="15" thickBot="1" x14ac:dyDescent="0.35">
      <c r="A111" s="97" t="str">
        <f>VLOOKUP(B111,Country_Data!B:Q,16,FALSE)</f>
        <v>North America</v>
      </c>
      <c r="B111" s="4" t="s">
        <v>424</v>
      </c>
      <c r="C111">
        <f>SUMIF(ConfirmedRaw!$B:$B,$B111,ConfirmedRaw!E:E)</f>
        <v>0</v>
      </c>
      <c r="D111">
        <f>SUMIF(ConfirmedRaw!$B:$B,$B111,ConfirmedRaw!F:F)</f>
        <v>0</v>
      </c>
      <c r="E111">
        <f>SUMIF(ConfirmedRaw!$B:$B,$B111,ConfirmedRaw!G:G)</f>
        <v>0</v>
      </c>
      <c r="F111">
        <f>SUMIF(ConfirmedRaw!$B:$B,$B111,ConfirmedRaw!H:H)</f>
        <v>0</v>
      </c>
      <c r="G111">
        <f>SUMIF(ConfirmedRaw!$B:$B,$B111,ConfirmedRaw!I:I)</f>
        <v>0</v>
      </c>
      <c r="H111">
        <f>SUMIF(ConfirmedRaw!$B:$B,$B111,ConfirmedRaw!J:J)</f>
        <v>0</v>
      </c>
      <c r="I111">
        <f>SUMIF(ConfirmedRaw!$B:$B,$B111,ConfirmedRaw!K:K)</f>
        <v>0</v>
      </c>
      <c r="J111">
        <f>SUMIF(ConfirmedRaw!$B:$B,$B111,ConfirmedRaw!L:L)</f>
        <v>0</v>
      </c>
      <c r="K111">
        <f>SUMIF(ConfirmedRaw!$B:$B,$B111,ConfirmedRaw!M:M)</f>
        <v>0</v>
      </c>
      <c r="L111">
        <f>SUMIF(ConfirmedRaw!$B:$B,$B111,ConfirmedRaw!N:N)</f>
        <v>0</v>
      </c>
      <c r="M111">
        <f>SUMIF(ConfirmedRaw!$B:$B,$B111,ConfirmedRaw!O:O)</f>
        <v>0</v>
      </c>
      <c r="N111">
        <f>SUMIF(ConfirmedRaw!$B:$B,$B111,ConfirmedRaw!P:P)</f>
        <v>0</v>
      </c>
      <c r="O111">
        <f>SUMIF(ConfirmedRaw!$B:$B,$B111,ConfirmedRaw!Q:Q)</f>
        <v>0</v>
      </c>
      <c r="P111">
        <f>SUMIF(ConfirmedRaw!$B:$B,$B111,ConfirmedRaw!R:R)</f>
        <v>0</v>
      </c>
      <c r="Q111">
        <f>SUMIF(ConfirmedRaw!$B:$B,$B111,ConfirmedRaw!S:S)</f>
        <v>0</v>
      </c>
      <c r="R111">
        <f>SUMIF(ConfirmedRaw!$B:$B,$B111,ConfirmedRaw!T:T)</f>
        <v>0</v>
      </c>
      <c r="S111">
        <f>SUMIF(ConfirmedRaw!$B:$B,$B111,ConfirmedRaw!U:U)</f>
        <v>0</v>
      </c>
      <c r="T111">
        <f>SUMIF(ConfirmedRaw!$B:$B,$B111,ConfirmedRaw!V:V)</f>
        <v>0</v>
      </c>
      <c r="U111">
        <f>SUMIF(ConfirmedRaw!$B:$B,$B111,ConfirmedRaw!W:W)</f>
        <v>0</v>
      </c>
      <c r="V111">
        <f>SUMIF(ConfirmedRaw!$B:$B,$B111,ConfirmedRaw!X:X)</f>
        <v>0</v>
      </c>
      <c r="W111">
        <f>SUMIF(ConfirmedRaw!$B:$B,$B111,ConfirmedRaw!Y:Y)</f>
        <v>0</v>
      </c>
      <c r="X111">
        <f>SUMIF(ConfirmedRaw!$B:$B,$B111,ConfirmedRaw!Z:Z)</f>
        <v>0</v>
      </c>
      <c r="Y111">
        <f>SUMIF(ConfirmedRaw!$B:$B,$B111,ConfirmedRaw!AA:AA)</f>
        <v>0</v>
      </c>
      <c r="Z111">
        <f>SUMIF(ConfirmedRaw!$B:$B,$B111,ConfirmedRaw!AB:AB)</f>
        <v>0</v>
      </c>
      <c r="AA111">
        <f>SUMIF(ConfirmedRaw!$B:$B,$B111,ConfirmedRaw!AC:AC)</f>
        <v>0</v>
      </c>
      <c r="AB111">
        <f>SUMIF(ConfirmedRaw!$B:$B,$B111,ConfirmedRaw!AD:AD)</f>
        <v>0</v>
      </c>
      <c r="AC111">
        <f>SUMIF(ConfirmedRaw!$B:$B,$B111,ConfirmedRaw!AE:AE)</f>
        <v>0</v>
      </c>
      <c r="AD111">
        <f>SUMIF(ConfirmedRaw!$B:$B,$B111,ConfirmedRaw!AF:AF)</f>
        <v>0</v>
      </c>
      <c r="AE111">
        <f>SUMIF(ConfirmedRaw!$B:$B,$B111,ConfirmedRaw!AG:AG)</f>
        <v>0</v>
      </c>
      <c r="AF111">
        <f>SUMIF(ConfirmedRaw!$B:$B,$B111,ConfirmedRaw!AH:AH)</f>
        <v>0</v>
      </c>
      <c r="AG111">
        <f>SUMIF(ConfirmedRaw!$B:$B,$B111,ConfirmedRaw!AI:AI)</f>
        <v>0</v>
      </c>
      <c r="AH111">
        <f>SUMIF(ConfirmedRaw!$B:$B,$B111,ConfirmedRaw!AJ:AJ)</f>
        <v>0</v>
      </c>
      <c r="AI111">
        <f>SUMIF(ConfirmedRaw!$B:$B,$B111,ConfirmedRaw!AK:AK)</f>
        <v>0</v>
      </c>
      <c r="AJ111">
        <f>SUMIF(ConfirmedRaw!$B:$B,$B111,ConfirmedRaw!AL:AL)</f>
        <v>0</v>
      </c>
      <c r="AK111">
        <f>SUMIF(ConfirmedRaw!$B:$B,$B111,ConfirmedRaw!AM:AM)</f>
        <v>0</v>
      </c>
      <c r="AL111">
        <f>SUMIF(ConfirmedRaw!$B:$B,$B111,ConfirmedRaw!AN:AN)</f>
        <v>0</v>
      </c>
      <c r="AM111">
        <f>SUMIF(ConfirmedRaw!$B:$B,$B111,ConfirmedRaw!AO:AO)</f>
        <v>0</v>
      </c>
      <c r="AN111">
        <f>SUMIF(ConfirmedRaw!$B:$B,$B111,ConfirmedRaw!AP:AP)</f>
        <v>0</v>
      </c>
      <c r="AO111">
        <f>SUMIF(ConfirmedRaw!$B:$B,$B111,ConfirmedRaw!AQ:AQ)</f>
        <v>0</v>
      </c>
      <c r="AP111">
        <f>SUMIF(ConfirmedRaw!$B:$B,$B111,ConfirmedRaw!AR:AR)</f>
        <v>0</v>
      </c>
      <c r="AQ111">
        <f>SUMIF(ConfirmedRaw!$B:$B,$B111,ConfirmedRaw!AS:AS)</f>
        <v>0</v>
      </c>
      <c r="AR111">
        <f>SUMIF(ConfirmedRaw!$B:$B,$B111,ConfirmedRaw!AT:AT)</f>
        <v>0</v>
      </c>
      <c r="AS111">
        <f>SUMIF(ConfirmedRaw!$B:$B,$B111,ConfirmedRaw!AU:AU)</f>
        <v>0</v>
      </c>
      <c r="AT111">
        <f>SUMIF(ConfirmedRaw!$B:$B,$B111,ConfirmedRaw!AV:AV)</f>
        <v>0</v>
      </c>
      <c r="AU111">
        <f>SUMIF(ConfirmedRaw!$B:$B,$B111,ConfirmedRaw!AW:AW)</f>
        <v>0</v>
      </c>
      <c r="AV111">
        <f>SUMIF(ConfirmedRaw!$B:$B,$B111,ConfirmedRaw!AX:AX)</f>
        <v>0</v>
      </c>
      <c r="AW111">
        <f>SUMIF(ConfirmedRaw!$B:$B,$B111,ConfirmedRaw!AY:AY)</f>
        <v>0</v>
      </c>
      <c r="AX111">
        <f>SUMIF(ConfirmedRaw!$B:$B,$B111,ConfirmedRaw!AZ:AZ)</f>
        <v>0</v>
      </c>
      <c r="AY111">
        <f>SUMIF(ConfirmedRaw!$B:$B,$B111,ConfirmedRaw!BA:BA)</f>
        <v>0</v>
      </c>
      <c r="AZ111">
        <f>SUMIF(ConfirmedRaw!$B:$B,$B111,ConfirmedRaw!BB:BB)</f>
        <v>0</v>
      </c>
      <c r="BA111">
        <f>SUMIF(ConfirmedRaw!$B:$B,$B111,ConfirmedRaw!BC:BC)</f>
        <v>0</v>
      </c>
      <c r="BB111">
        <f>SUMIF(ConfirmedRaw!$B:$B,$B111,ConfirmedRaw!BD:BD)</f>
        <v>1</v>
      </c>
      <c r="BC111">
        <f>SUMIF(ConfirmedRaw!$B:$B,$B111,ConfirmedRaw!BE:BE)</f>
        <v>1</v>
      </c>
      <c r="BD111">
        <f>SUMIF(ConfirmedRaw!$B:$B,$B111,ConfirmedRaw!BF:BF)</f>
        <v>1</v>
      </c>
      <c r="BE111">
        <f>SUMIF(ConfirmedRaw!$B:$B,$B111,ConfirmedRaw!BG:BG)</f>
        <v>1</v>
      </c>
      <c r="BF111">
        <f>SUMIF(ConfirmedRaw!$B:$B,$B111,ConfirmedRaw!BH:BH)</f>
        <v>1</v>
      </c>
      <c r="BG111">
        <f>SUMIF(ConfirmedRaw!$B:$B,$B111,ConfirmedRaw!BI:BI)</f>
        <v>1</v>
      </c>
      <c r="BH111">
        <f>SUMIF(ConfirmedRaw!$B:$B,$B111,ConfirmedRaw!BJ:BJ)</f>
        <v>1</v>
      </c>
      <c r="BI111">
        <f>SUMIF(ConfirmedRaw!$B:$B,$B111,ConfirmedRaw!BK:BK)</f>
        <v>1</v>
      </c>
      <c r="BJ111">
        <f>SUMIF(ConfirmedRaw!$B:$B,$B111,ConfirmedRaw!BL:BL)</f>
        <v>1</v>
      </c>
      <c r="BK111">
        <f>SUMIF(ConfirmedRaw!$B:$B,$B111,ConfirmedRaw!BM:BM)</f>
        <v>1</v>
      </c>
      <c r="BL111">
        <f>SUMIF(ConfirmedRaw!$B:$B,$B111,ConfirmedRaw!BN:BN)</f>
        <v>3</v>
      </c>
      <c r="BM111">
        <f>SUMIF(ConfirmedRaw!$B:$B,$B111,ConfirmedRaw!BO:BO)</f>
        <v>3</v>
      </c>
      <c r="BN111">
        <f>SUMIF(ConfirmedRaw!$B:$B,$B111,ConfirmedRaw!BP:BP)</f>
        <v>3</v>
      </c>
      <c r="BO111">
        <f>SUMIF(ConfirmedRaw!$B:$B,$B111,ConfirmedRaw!BQ:BQ)</f>
        <v>7</v>
      </c>
      <c r="BP111">
        <f>SUMIF(ConfirmedRaw!$B:$B,$B111,ConfirmedRaw!BR:BR)</f>
        <v>7</v>
      </c>
      <c r="BQ111">
        <f>SUMIF(ConfirmedRaw!$B:$B,$B111,ConfirmedRaw!BS:BS)</f>
        <v>7</v>
      </c>
      <c r="BR111">
        <f>SUMIF(ConfirmedRaw!$B:$B,$B111,ConfirmedRaw!BT:BT)</f>
        <v>0</v>
      </c>
      <c r="BS111">
        <f>SUMIF(ConfirmedRaw!$B:$B,$B111,ConfirmedRaw!BU:BU)</f>
        <v>0</v>
      </c>
      <c r="BT111">
        <f>SUMIF(ConfirmedRaw!$B:$B,$B111,ConfirmedRaw!BV:BV)</f>
        <v>0</v>
      </c>
      <c r="BU111">
        <f>SUMIF(ConfirmedRaw!$B:$B,$B111,ConfirmedRaw!BW:BW)</f>
        <v>0</v>
      </c>
    </row>
    <row r="112" spans="1:73" ht="15" thickBot="1" x14ac:dyDescent="0.35">
      <c r="A112" s="97" t="str">
        <f>VLOOKUP(B112,Country_Data!B:Q,16,FALSE)</f>
        <v>Asia</v>
      </c>
      <c r="B112" s="4" t="s">
        <v>156</v>
      </c>
      <c r="C112">
        <f>SUMIF(ConfirmedRaw!$B:$B,$B112,ConfirmedRaw!E:E)</f>
        <v>0</v>
      </c>
      <c r="D112">
        <f>SUMIF(ConfirmedRaw!$B:$B,$B112,ConfirmedRaw!F:F)</f>
        <v>0</v>
      </c>
      <c r="E112">
        <f>SUMIF(ConfirmedRaw!$B:$B,$B112,ConfirmedRaw!G:G)</f>
        <v>0</v>
      </c>
      <c r="F112">
        <f>SUMIF(ConfirmedRaw!$B:$B,$B112,ConfirmedRaw!H:H)</f>
        <v>0</v>
      </c>
      <c r="G112">
        <f>SUMIF(ConfirmedRaw!$B:$B,$B112,ConfirmedRaw!I:I)</f>
        <v>0</v>
      </c>
      <c r="H112">
        <f>SUMIF(ConfirmedRaw!$B:$B,$B112,ConfirmedRaw!J:J)</f>
        <v>0</v>
      </c>
      <c r="I112">
        <f>SUMIF(ConfirmedRaw!$B:$B,$B112,ConfirmedRaw!K:K)</f>
        <v>0</v>
      </c>
      <c r="J112">
        <f>SUMIF(ConfirmedRaw!$B:$B,$B112,ConfirmedRaw!L:L)</f>
        <v>0</v>
      </c>
      <c r="K112">
        <f>SUMIF(ConfirmedRaw!$B:$B,$B112,ConfirmedRaw!M:M)</f>
        <v>0</v>
      </c>
      <c r="L112">
        <f>SUMIF(ConfirmedRaw!$B:$B,$B112,ConfirmedRaw!N:N)</f>
        <v>0</v>
      </c>
      <c r="M112">
        <f>SUMIF(ConfirmedRaw!$B:$B,$B112,ConfirmedRaw!O:O)</f>
        <v>0</v>
      </c>
      <c r="N112">
        <f>SUMIF(ConfirmedRaw!$B:$B,$B112,ConfirmedRaw!P:P)</f>
        <v>0</v>
      </c>
      <c r="O112">
        <f>SUMIF(ConfirmedRaw!$B:$B,$B112,ConfirmedRaw!Q:Q)</f>
        <v>0</v>
      </c>
      <c r="P112">
        <f>SUMIF(ConfirmedRaw!$B:$B,$B112,ConfirmedRaw!R:R)</f>
        <v>0</v>
      </c>
      <c r="Q112">
        <f>SUMIF(ConfirmedRaw!$B:$B,$B112,ConfirmedRaw!S:S)</f>
        <v>0</v>
      </c>
      <c r="R112">
        <f>SUMIF(ConfirmedRaw!$B:$B,$B112,ConfirmedRaw!T:T)</f>
        <v>0</v>
      </c>
      <c r="S112">
        <f>SUMIF(ConfirmedRaw!$B:$B,$B112,ConfirmedRaw!U:U)</f>
        <v>0</v>
      </c>
      <c r="T112">
        <f>SUMIF(ConfirmedRaw!$B:$B,$B112,ConfirmedRaw!V:V)</f>
        <v>0</v>
      </c>
      <c r="U112">
        <f>SUMIF(ConfirmedRaw!$B:$B,$B112,ConfirmedRaw!W:W)</f>
        <v>0</v>
      </c>
      <c r="V112">
        <f>SUMIF(ConfirmedRaw!$B:$B,$B112,ConfirmedRaw!X:X)</f>
        <v>0</v>
      </c>
      <c r="W112">
        <f>SUMIF(ConfirmedRaw!$B:$B,$B112,ConfirmedRaw!Y:Y)</f>
        <v>0</v>
      </c>
      <c r="X112">
        <f>SUMIF(ConfirmedRaw!$B:$B,$B112,ConfirmedRaw!Z:Z)</f>
        <v>0</v>
      </c>
      <c r="Y112">
        <f>SUMIF(ConfirmedRaw!$B:$B,$B112,ConfirmedRaw!AA:AA)</f>
        <v>0</v>
      </c>
      <c r="Z112">
        <f>SUMIF(ConfirmedRaw!$B:$B,$B112,ConfirmedRaw!AB:AB)</f>
        <v>0</v>
      </c>
      <c r="AA112">
        <f>SUMIF(ConfirmedRaw!$B:$B,$B112,ConfirmedRaw!AC:AC)</f>
        <v>0</v>
      </c>
      <c r="AB112">
        <f>SUMIF(ConfirmedRaw!$B:$B,$B112,ConfirmedRaw!AD:AD)</f>
        <v>0</v>
      </c>
      <c r="AC112">
        <f>SUMIF(ConfirmedRaw!$B:$B,$B112,ConfirmedRaw!AE:AE)</f>
        <v>0</v>
      </c>
      <c r="AD112">
        <f>SUMIF(ConfirmedRaw!$B:$B,$B112,ConfirmedRaw!AF:AF)</f>
        <v>0</v>
      </c>
      <c r="AE112">
        <f>SUMIF(ConfirmedRaw!$B:$B,$B112,ConfirmedRaw!AG:AG)</f>
        <v>0</v>
      </c>
      <c r="AF112">
        <f>SUMIF(ConfirmedRaw!$B:$B,$B112,ConfirmedRaw!AH:AH)</f>
        <v>0</v>
      </c>
      <c r="AG112">
        <f>SUMIF(ConfirmedRaw!$B:$B,$B112,ConfirmedRaw!AI:AI)</f>
        <v>0</v>
      </c>
      <c r="AH112">
        <f>SUMIF(ConfirmedRaw!$B:$B,$B112,ConfirmedRaw!AJ:AJ)</f>
        <v>0</v>
      </c>
      <c r="AI112">
        <f>SUMIF(ConfirmedRaw!$B:$B,$B112,ConfirmedRaw!AK:AK)</f>
        <v>0</v>
      </c>
      <c r="AJ112">
        <f>SUMIF(ConfirmedRaw!$B:$B,$B112,ConfirmedRaw!AL:AL)</f>
        <v>0</v>
      </c>
      <c r="AK112">
        <f>SUMIF(ConfirmedRaw!$B:$B,$B112,ConfirmedRaw!AM:AM)</f>
        <v>0</v>
      </c>
      <c r="AL112">
        <f>SUMIF(ConfirmedRaw!$B:$B,$B112,ConfirmedRaw!AN:AN)</f>
        <v>0</v>
      </c>
      <c r="AM112">
        <f>SUMIF(ConfirmedRaw!$B:$B,$B112,ConfirmedRaw!AO:AO)</f>
        <v>0</v>
      </c>
      <c r="AN112">
        <f>SUMIF(ConfirmedRaw!$B:$B,$B112,ConfirmedRaw!AP:AP)</f>
        <v>0</v>
      </c>
      <c r="AO112">
        <f>SUMIF(ConfirmedRaw!$B:$B,$B112,ConfirmedRaw!AQ:AQ)</f>
        <v>0</v>
      </c>
      <c r="AP112">
        <f>SUMIF(ConfirmedRaw!$B:$B,$B112,ConfirmedRaw!AR:AR)</f>
        <v>0</v>
      </c>
      <c r="AQ112">
        <f>SUMIF(ConfirmedRaw!$B:$B,$B112,ConfirmedRaw!AS:AS)</f>
        <v>0</v>
      </c>
      <c r="AR112">
        <f>SUMIF(ConfirmedRaw!$B:$B,$B112,ConfirmedRaw!AT:AT)</f>
        <v>0</v>
      </c>
      <c r="AS112">
        <f>SUMIF(ConfirmedRaw!$B:$B,$B112,ConfirmedRaw!AU:AU)</f>
        <v>0</v>
      </c>
      <c r="AT112">
        <f>SUMIF(ConfirmedRaw!$B:$B,$B112,ConfirmedRaw!AV:AV)</f>
        <v>0</v>
      </c>
      <c r="AU112">
        <f>SUMIF(ConfirmedRaw!$B:$B,$B112,ConfirmedRaw!AW:AW)</f>
        <v>1</v>
      </c>
      <c r="AV112">
        <f>SUMIF(ConfirmedRaw!$B:$B,$B112,ConfirmedRaw!AX:AX)</f>
        <v>1</v>
      </c>
      <c r="AW112">
        <f>SUMIF(ConfirmedRaw!$B:$B,$B112,ConfirmedRaw!AY:AY)</f>
        <v>1</v>
      </c>
      <c r="AX112">
        <f>SUMIF(ConfirmedRaw!$B:$B,$B112,ConfirmedRaw!AZ:AZ)</f>
        <v>1</v>
      </c>
      <c r="AY112">
        <f>SUMIF(ConfirmedRaw!$B:$B,$B112,ConfirmedRaw!BA:BA)</f>
        <v>1</v>
      </c>
      <c r="AZ112">
        <f>SUMIF(ConfirmedRaw!$B:$B,$B112,ConfirmedRaw!BB:BB)</f>
        <v>1</v>
      </c>
      <c r="BA112">
        <f>SUMIF(ConfirmedRaw!$B:$B,$B112,ConfirmedRaw!BC:BC)</f>
        <v>1</v>
      </c>
      <c r="BB112">
        <f>SUMIF(ConfirmedRaw!$B:$B,$B112,ConfirmedRaw!BD:BD)</f>
        <v>1</v>
      </c>
      <c r="BC112">
        <f>SUMIF(ConfirmedRaw!$B:$B,$B112,ConfirmedRaw!BE:BE)</f>
        <v>1</v>
      </c>
      <c r="BD112">
        <f>SUMIF(ConfirmedRaw!$B:$B,$B112,ConfirmedRaw!BF:BF)</f>
        <v>1</v>
      </c>
      <c r="BE112">
        <f>SUMIF(ConfirmedRaw!$B:$B,$B112,ConfirmedRaw!BG:BG)</f>
        <v>1</v>
      </c>
      <c r="BF112">
        <f>SUMIF(ConfirmedRaw!$B:$B,$B112,ConfirmedRaw!BH:BH)</f>
        <v>1</v>
      </c>
      <c r="BG112">
        <f>SUMIF(ConfirmedRaw!$B:$B,$B112,ConfirmedRaw!BI:BI)</f>
        <v>1</v>
      </c>
      <c r="BH112">
        <f>SUMIF(ConfirmedRaw!$B:$B,$B112,ConfirmedRaw!BJ:BJ)</f>
        <v>1</v>
      </c>
      <c r="BI112">
        <f>SUMIF(ConfirmedRaw!$B:$B,$B112,ConfirmedRaw!BK:BK)</f>
        <v>2</v>
      </c>
      <c r="BJ112">
        <f>SUMIF(ConfirmedRaw!$B:$B,$B112,ConfirmedRaw!BL:BL)</f>
        <v>2</v>
      </c>
      <c r="BK112">
        <f>SUMIF(ConfirmedRaw!$B:$B,$B112,ConfirmedRaw!BM:BM)</f>
        <v>2</v>
      </c>
      <c r="BL112">
        <f>SUMIF(ConfirmedRaw!$B:$B,$B112,ConfirmedRaw!BN:BN)</f>
        <v>2</v>
      </c>
      <c r="BM112">
        <f>SUMIF(ConfirmedRaw!$B:$B,$B112,ConfirmedRaw!BO:BO)</f>
        <v>2</v>
      </c>
      <c r="BN112">
        <f>SUMIF(ConfirmedRaw!$B:$B,$B112,ConfirmedRaw!BP:BP)</f>
        <v>2</v>
      </c>
      <c r="BO112">
        <f>SUMIF(ConfirmedRaw!$B:$B,$B112,ConfirmedRaw!BQ:BQ)</f>
        <v>2</v>
      </c>
      <c r="BP112">
        <f>SUMIF(ConfirmedRaw!$B:$B,$B112,ConfirmedRaw!BR:BR)</f>
        <v>3</v>
      </c>
      <c r="BQ112">
        <f>SUMIF(ConfirmedRaw!$B:$B,$B112,ConfirmedRaw!BS:BS)</f>
        <v>3</v>
      </c>
      <c r="BR112">
        <f>SUMIF(ConfirmedRaw!$B:$B,$B112,ConfirmedRaw!BT:BT)</f>
        <v>0</v>
      </c>
      <c r="BS112">
        <f>SUMIF(ConfirmedRaw!$B:$B,$B112,ConfirmedRaw!BU:BU)</f>
        <v>0</v>
      </c>
      <c r="BT112">
        <f>SUMIF(ConfirmedRaw!$B:$B,$B112,ConfirmedRaw!BV:BV)</f>
        <v>0</v>
      </c>
      <c r="BU112">
        <f>SUMIF(ConfirmedRaw!$B:$B,$B112,ConfirmedRaw!BW:BW)</f>
        <v>0</v>
      </c>
    </row>
    <row r="113" spans="1:73" ht="15" thickBot="1" x14ac:dyDescent="0.35">
      <c r="A113" s="97" t="str">
        <f>VLOOKUP(B113,Country_Data!B:Q,16,FALSE)</f>
        <v>North America</v>
      </c>
      <c r="B113" s="4" t="s">
        <v>415</v>
      </c>
      <c r="C113">
        <f>SUMIF(ConfirmedRaw!$B:$B,$B113,ConfirmedRaw!E:E)</f>
        <v>0</v>
      </c>
      <c r="D113">
        <f>SUMIF(ConfirmedRaw!$B:$B,$B113,ConfirmedRaw!F:F)</f>
        <v>0</v>
      </c>
      <c r="E113">
        <f>SUMIF(ConfirmedRaw!$B:$B,$B113,ConfirmedRaw!G:G)</f>
        <v>0</v>
      </c>
      <c r="F113">
        <f>SUMIF(ConfirmedRaw!$B:$B,$B113,ConfirmedRaw!H:H)</f>
        <v>0</v>
      </c>
      <c r="G113">
        <f>SUMIF(ConfirmedRaw!$B:$B,$B113,ConfirmedRaw!I:I)</f>
        <v>0</v>
      </c>
      <c r="H113">
        <f>SUMIF(ConfirmedRaw!$B:$B,$B113,ConfirmedRaw!J:J)</f>
        <v>0</v>
      </c>
      <c r="I113">
        <f>SUMIF(ConfirmedRaw!$B:$B,$B113,ConfirmedRaw!K:K)</f>
        <v>0</v>
      </c>
      <c r="J113">
        <f>SUMIF(ConfirmedRaw!$B:$B,$B113,ConfirmedRaw!L:L)</f>
        <v>0</v>
      </c>
      <c r="K113">
        <f>SUMIF(ConfirmedRaw!$B:$B,$B113,ConfirmedRaw!M:M)</f>
        <v>0</v>
      </c>
      <c r="L113">
        <f>SUMIF(ConfirmedRaw!$B:$B,$B113,ConfirmedRaw!N:N)</f>
        <v>0</v>
      </c>
      <c r="M113">
        <f>SUMIF(ConfirmedRaw!$B:$B,$B113,ConfirmedRaw!O:O)</f>
        <v>0</v>
      </c>
      <c r="N113">
        <f>SUMIF(ConfirmedRaw!$B:$B,$B113,ConfirmedRaw!P:P)</f>
        <v>0</v>
      </c>
      <c r="O113">
        <f>SUMIF(ConfirmedRaw!$B:$B,$B113,ConfirmedRaw!Q:Q)</f>
        <v>0</v>
      </c>
      <c r="P113">
        <f>SUMIF(ConfirmedRaw!$B:$B,$B113,ConfirmedRaw!R:R)</f>
        <v>0</v>
      </c>
      <c r="Q113">
        <f>SUMIF(ConfirmedRaw!$B:$B,$B113,ConfirmedRaw!S:S)</f>
        <v>0</v>
      </c>
      <c r="R113">
        <f>SUMIF(ConfirmedRaw!$B:$B,$B113,ConfirmedRaw!T:T)</f>
        <v>0</v>
      </c>
      <c r="S113">
        <f>SUMIF(ConfirmedRaw!$B:$B,$B113,ConfirmedRaw!U:U)</f>
        <v>0</v>
      </c>
      <c r="T113">
        <f>SUMIF(ConfirmedRaw!$B:$B,$B113,ConfirmedRaw!V:V)</f>
        <v>0</v>
      </c>
      <c r="U113">
        <f>SUMIF(ConfirmedRaw!$B:$B,$B113,ConfirmedRaw!W:W)</f>
        <v>0</v>
      </c>
      <c r="V113">
        <f>SUMIF(ConfirmedRaw!$B:$B,$B113,ConfirmedRaw!X:X)</f>
        <v>0</v>
      </c>
      <c r="W113">
        <f>SUMIF(ConfirmedRaw!$B:$B,$B113,ConfirmedRaw!Y:Y)</f>
        <v>0</v>
      </c>
      <c r="X113">
        <f>SUMIF(ConfirmedRaw!$B:$B,$B113,ConfirmedRaw!Z:Z)</f>
        <v>0</v>
      </c>
      <c r="Y113">
        <f>SUMIF(ConfirmedRaw!$B:$B,$B113,ConfirmedRaw!AA:AA)</f>
        <v>0</v>
      </c>
      <c r="Z113">
        <f>SUMIF(ConfirmedRaw!$B:$B,$B113,ConfirmedRaw!AB:AB)</f>
        <v>0</v>
      </c>
      <c r="AA113">
        <f>SUMIF(ConfirmedRaw!$B:$B,$B113,ConfirmedRaw!AC:AC)</f>
        <v>0</v>
      </c>
      <c r="AB113">
        <f>SUMIF(ConfirmedRaw!$B:$B,$B113,ConfirmedRaw!AD:AD)</f>
        <v>0</v>
      </c>
      <c r="AC113">
        <f>SUMIF(ConfirmedRaw!$B:$B,$B113,ConfirmedRaw!AE:AE)</f>
        <v>0</v>
      </c>
      <c r="AD113">
        <f>SUMIF(ConfirmedRaw!$B:$B,$B113,ConfirmedRaw!AF:AF)</f>
        <v>0</v>
      </c>
      <c r="AE113">
        <f>SUMIF(ConfirmedRaw!$B:$B,$B113,ConfirmedRaw!AG:AG)</f>
        <v>0</v>
      </c>
      <c r="AF113">
        <f>SUMIF(ConfirmedRaw!$B:$B,$B113,ConfirmedRaw!AH:AH)</f>
        <v>0</v>
      </c>
      <c r="AG113">
        <f>SUMIF(ConfirmedRaw!$B:$B,$B113,ConfirmedRaw!AI:AI)</f>
        <v>0</v>
      </c>
      <c r="AH113">
        <f>SUMIF(ConfirmedRaw!$B:$B,$B113,ConfirmedRaw!AJ:AJ)</f>
        <v>0</v>
      </c>
      <c r="AI113">
        <f>SUMIF(ConfirmedRaw!$B:$B,$B113,ConfirmedRaw!AK:AK)</f>
        <v>0</v>
      </c>
      <c r="AJ113">
        <f>SUMIF(ConfirmedRaw!$B:$B,$B113,ConfirmedRaw!AL:AL)</f>
        <v>0</v>
      </c>
      <c r="AK113">
        <f>SUMIF(ConfirmedRaw!$B:$B,$B113,ConfirmedRaw!AM:AM)</f>
        <v>0</v>
      </c>
      <c r="AL113">
        <f>SUMIF(ConfirmedRaw!$B:$B,$B113,ConfirmedRaw!AN:AN)</f>
        <v>0</v>
      </c>
      <c r="AM113">
        <f>SUMIF(ConfirmedRaw!$B:$B,$B113,ConfirmedRaw!AO:AO)</f>
        <v>0</v>
      </c>
      <c r="AN113">
        <f>SUMIF(ConfirmedRaw!$B:$B,$B113,ConfirmedRaw!AP:AP)</f>
        <v>0</v>
      </c>
      <c r="AO113">
        <f>SUMIF(ConfirmedRaw!$B:$B,$B113,ConfirmedRaw!AQ:AQ)</f>
        <v>0</v>
      </c>
      <c r="AP113">
        <f>SUMIF(ConfirmedRaw!$B:$B,$B113,ConfirmedRaw!AR:AR)</f>
        <v>0</v>
      </c>
      <c r="AQ113">
        <f>SUMIF(ConfirmedRaw!$B:$B,$B113,ConfirmedRaw!AS:AS)</f>
        <v>0</v>
      </c>
      <c r="AR113">
        <f>SUMIF(ConfirmedRaw!$B:$B,$B113,ConfirmedRaw!AT:AT)</f>
        <v>0</v>
      </c>
      <c r="AS113">
        <f>SUMIF(ConfirmedRaw!$B:$B,$B113,ConfirmedRaw!AU:AU)</f>
        <v>0</v>
      </c>
      <c r="AT113">
        <f>SUMIF(ConfirmedRaw!$B:$B,$B113,ConfirmedRaw!AV:AV)</f>
        <v>0</v>
      </c>
      <c r="AU113">
        <f>SUMIF(ConfirmedRaw!$B:$B,$B113,ConfirmedRaw!AW:AW)</f>
        <v>0</v>
      </c>
      <c r="AV113">
        <f>SUMIF(ConfirmedRaw!$B:$B,$B113,ConfirmedRaw!AX:AX)</f>
        <v>0</v>
      </c>
      <c r="AW113">
        <f>SUMIF(ConfirmedRaw!$B:$B,$B113,ConfirmedRaw!AY:AY)</f>
        <v>0</v>
      </c>
      <c r="AX113">
        <f>SUMIF(ConfirmedRaw!$B:$B,$B113,ConfirmedRaw!AZ:AZ)</f>
        <v>0</v>
      </c>
      <c r="AY113">
        <f>SUMIF(ConfirmedRaw!$B:$B,$B113,ConfirmedRaw!BA:BA)</f>
        <v>0</v>
      </c>
      <c r="AZ113">
        <f>SUMIF(ConfirmedRaw!$B:$B,$B113,ConfirmedRaw!BB:BB)</f>
        <v>0</v>
      </c>
      <c r="BA113">
        <f>SUMIF(ConfirmedRaw!$B:$B,$B113,ConfirmedRaw!BC:BC)</f>
        <v>0</v>
      </c>
      <c r="BB113">
        <f>SUMIF(ConfirmedRaw!$B:$B,$B113,ConfirmedRaw!BD:BD)</f>
        <v>0</v>
      </c>
      <c r="BC113">
        <f>SUMIF(ConfirmedRaw!$B:$B,$B113,ConfirmedRaw!BE:BE)</f>
        <v>0</v>
      </c>
      <c r="BD113">
        <f>SUMIF(ConfirmedRaw!$B:$B,$B113,ConfirmedRaw!BF:BF)</f>
        <v>0</v>
      </c>
      <c r="BE113">
        <f>SUMIF(ConfirmedRaw!$B:$B,$B113,ConfirmedRaw!BG:BG)</f>
        <v>0</v>
      </c>
      <c r="BF113">
        <f>SUMIF(ConfirmedRaw!$B:$B,$B113,ConfirmedRaw!BH:BH)</f>
        <v>0</v>
      </c>
      <c r="BG113">
        <f>SUMIF(ConfirmedRaw!$B:$B,$B113,ConfirmedRaw!BI:BI)</f>
        <v>0</v>
      </c>
      <c r="BH113">
        <f>SUMIF(ConfirmedRaw!$B:$B,$B113,ConfirmedRaw!BJ:BJ)</f>
        <v>0</v>
      </c>
      <c r="BI113">
        <f>SUMIF(ConfirmedRaw!$B:$B,$B113,ConfirmedRaw!BK:BK)</f>
        <v>0</v>
      </c>
      <c r="BJ113">
        <f>SUMIF(ConfirmedRaw!$B:$B,$B113,ConfirmedRaw!BL:BL)</f>
        <v>0</v>
      </c>
      <c r="BK113">
        <f>SUMIF(ConfirmedRaw!$B:$B,$B113,ConfirmedRaw!BM:BM)</f>
        <v>0</v>
      </c>
      <c r="BL113">
        <f>SUMIF(ConfirmedRaw!$B:$B,$B113,ConfirmedRaw!BN:BN)</f>
        <v>0</v>
      </c>
      <c r="BM113">
        <f>SUMIF(ConfirmedRaw!$B:$B,$B113,ConfirmedRaw!BO:BO)</f>
        <v>0</v>
      </c>
      <c r="BN113">
        <f>SUMIF(ConfirmedRaw!$B:$B,$B113,ConfirmedRaw!BP:BP)</f>
        <v>0</v>
      </c>
      <c r="BO113">
        <f>SUMIF(ConfirmedRaw!$B:$B,$B113,ConfirmedRaw!BQ:BQ)</f>
        <v>0</v>
      </c>
      <c r="BP113">
        <f>SUMIF(ConfirmedRaw!$B:$B,$B113,ConfirmedRaw!BR:BR)</f>
        <v>0</v>
      </c>
      <c r="BQ113">
        <f>SUMIF(ConfirmedRaw!$B:$B,$B113,ConfirmedRaw!BS:BS)</f>
        <v>0</v>
      </c>
      <c r="BR113">
        <f>SUMIF(ConfirmedRaw!$B:$B,$B113,ConfirmedRaw!BT:BT)</f>
        <v>0</v>
      </c>
      <c r="BS113">
        <f>SUMIF(ConfirmedRaw!$B:$B,$B113,ConfirmedRaw!BU:BU)</f>
        <v>0</v>
      </c>
      <c r="BT113">
        <f>SUMIF(ConfirmedRaw!$B:$B,$B113,ConfirmedRaw!BV:BV)</f>
        <v>0</v>
      </c>
      <c r="BU113">
        <f>SUMIF(ConfirmedRaw!$B:$B,$B113,ConfirmedRaw!BW:BW)</f>
        <v>0</v>
      </c>
    </row>
    <row r="114" spans="1:73" ht="15" thickBot="1" x14ac:dyDescent="0.35">
      <c r="A114" s="97" t="str">
        <f>VLOOKUP(B114,Country_Data!B:Q,16,FALSE)</f>
        <v>Africa</v>
      </c>
      <c r="B114" s="3" t="s">
        <v>352</v>
      </c>
      <c r="C114">
        <f>SUMIF(ConfirmedRaw!$B:$B,$B114,ConfirmedRaw!E:E)</f>
        <v>0</v>
      </c>
      <c r="D114">
        <f>SUMIF(ConfirmedRaw!$B:$B,$B114,ConfirmedRaw!F:F)</f>
        <v>0</v>
      </c>
      <c r="E114">
        <f>SUMIF(ConfirmedRaw!$B:$B,$B114,ConfirmedRaw!G:G)</f>
        <v>0</v>
      </c>
      <c r="F114">
        <f>SUMIF(ConfirmedRaw!$B:$B,$B114,ConfirmedRaw!H:H)</f>
        <v>0</v>
      </c>
      <c r="G114">
        <f>SUMIF(ConfirmedRaw!$B:$B,$B114,ConfirmedRaw!I:I)</f>
        <v>0</v>
      </c>
      <c r="H114">
        <f>SUMIF(ConfirmedRaw!$B:$B,$B114,ConfirmedRaw!J:J)</f>
        <v>0</v>
      </c>
      <c r="I114">
        <f>SUMIF(ConfirmedRaw!$B:$B,$B114,ConfirmedRaw!K:K)</f>
        <v>0</v>
      </c>
      <c r="J114">
        <f>SUMIF(ConfirmedRaw!$B:$B,$B114,ConfirmedRaw!L:L)</f>
        <v>0</v>
      </c>
      <c r="K114">
        <f>SUMIF(ConfirmedRaw!$B:$B,$B114,ConfirmedRaw!M:M)</f>
        <v>0</v>
      </c>
      <c r="L114">
        <f>SUMIF(ConfirmedRaw!$B:$B,$B114,ConfirmedRaw!N:N)</f>
        <v>0</v>
      </c>
      <c r="M114">
        <f>SUMIF(ConfirmedRaw!$B:$B,$B114,ConfirmedRaw!O:O)</f>
        <v>0</v>
      </c>
      <c r="N114">
        <f>SUMIF(ConfirmedRaw!$B:$B,$B114,ConfirmedRaw!P:P)</f>
        <v>0</v>
      </c>
      <c r="O114">
        <f>SUMIF(ConfirmedRaw!$B:$B,$B114,ConfirmedRaw!Q:Q)</f>
        <v>0</v>
      </c>
      <c r="P114">
        <f>SUMIF(ConfirmedRaw!$B:$B,$B114,ConfirmedRaw!R:R)</f>
        <v>0</v>
      </c>
      <c r="Q114">
        <f>SUMIF(ConfirmedRaw!$B:$B,$B114,ConfirmedRaw!S:S)</f>
        <v>0</v>
      </c>
      <c r="R114">
        <f>SUMIF(ConfirmedRaw!$B:$B,$B114,ConfirmedRaw!T:T)</f>
        <v>0</v>
      </c>
      <c r="S114">
        <f>SUMIF(ConfirmedRaw!$B:$B,$B114,ConfirmedRaw!U:U)</f>
        <v>0</v>
      </c>
      <c r="T114">
        <f>SUMIF(ConfirmedRaw!$B:$B,$B114,ConfirmedRaw!V:V)</f>
        <v>0</v>
      </c>
      <c r="U114">
        <f>SUMIF(ConfirmedRaw!$B:$B,$B114,ConfirmedRaw!W:W)</f>
        <v>0</v>
      </c>
      <c r="V114">
        <f>SUMIF(ConfirmedRaw!$B:$B,$B114,ConfirmedRaw!X:X)</f>
        <v>0</v>
      </c>
      <c r="W114">
        <f>SUMIF(ConfirmedRaw!$B:$B,$B114,ConfirmedRaw!Y:Y)</f>
        <v>0</v>
      </c>
      <c r="X114">
        <f>SUMIF(ConfirmedRaw!$B:$B,$B114,ConfirmedRaw!Z:Z)</f>
        <v>0</v>
      </c>
      <c r="Y114">
        <f>SUMIF(ConfirmedRaw!$B:$B,$B114,ConfirmedRaw!AA:AA)</f>
        <v>0</v>
      </c>
      <c r="Z114">
        <f>SUMIF(ConfirmedRaw!$B:$B,$B114,ConfirmedRaw!AB:AB)</f>
        <v>0</v>
      </c>
      <c r="AA114">
        <f>SUMIF(ConfirmedRaw!$B:$B,$B114,ConfirmedRaw!AC:AC)</f>
        <v>0</v>
      </c>
      <c r="AB114">
        <f>SUMIF(ConfirmedRaw!$B:$B,$B114,ConfirmedRaw!AD:AD)</f>
        <v>0</v>
      </c>
      <c r="AC114">
        <f>SUMIF(ConfirmedRaw!$B:$B,$B114,ConfirmedRaw!AE:AE)</f>
        <v>0</v>
      </c>
      <c r="AD114">
        <f>SUMIF(ConfirmedRaw!$B:$B,$B114,ConfirmedRaw!AF:AF)</f>
        <v>0</v>
      </c>
      <c r="AE114">
        <f>SUMIF(ConfirmedRaw!$B:$B,$B114,ConfirmedRaw!AG:AG)</f>
        <v>0</v>
      </c>
      <c r="AF114">
        <f>SUMIF(ConfirmedRaw!$B:$B,$B114,ConfirmedRaw!AH:AH)</f>
        <v>0</v>
      </c>
      <c r="AG114">
        <f>SUMIF(ConfirmedRaw!$B:$B,$B114,ConfirmedRaw!AI:AI)</f>
        <v>0</v>
      </c>
      <c r="AH114">
        <f>SUMIF(ConfirmedRaw!$B:$B,$B114,ConfirmedRaw!AJ:AJ)</f>
        <v>0</v>
      </c>
      <c r="AI114">
        <f>SUMIF(ConfirmedRaw!$B:$B,$B114,ConfirmedRaw!AK:AK)</f>
        <v>0</v>
      </c>
      <c r="AJ114">
        <f>SUMIF(ConfirmedRaw!$B:$B,$B114,ConfirmedRaw!AL:AL)</f>
        <v>0</v>
      </c>
      <c r="AK114">
        <f>SUMIF(ConfirmedRaw!$B:$B,$B114,ConfirmedRaw!AM:AM)</f>
        <v>0</v>
      </c>
      <c r="AL114">
        <f>SUMIF(ConfirmedRaw!$B:$B,$B114,ConfirmedRaw!AN:AN)</f>
        <v>0</v>
      </c>
      <c r="AM114">
        <f>SUMIF(ConfirmedRaw!$B:$B,$B114,ConfirmedRaw!AO:AO)</f>
        <v>0</v>
      </c>
      <c r="AN114">
        <f>SUMIF(ConfirmedRaw!$B:$B,$B114,ConfirmedRaw!AP:AP)</f>
        <v>0</v>
      </c>
      <c r="AO114">
        <f>SUMIF(ConfirmedRaw!$B:$B,$B114,ConfirmedRaw!AQ:AQ)</f>
        <v>0</v>
      </c>
      <c r="AP114">
        <f>SUMIF(ConfirmedRaw!$B:$B,$B114,ConfirmedRaw!AR:AR)</f>
        <v>0</v>
      </c>
      <c r="AQ114">
        <f>SUMIF(ConfirmedRaw!$B:$B,$B114,ConfirmedRaw!AS:AS)</f>
        <v>0</v>
      </c>
      <c r="AR114">
        <f>SUMIF(ConfirmedRaw!$B:$B,$B114,ConfirmedRaw!AT:AT)</f>
        <v>0</v>
      </c>
      <c r="AS114">
        <f>SUMIF(ConfirmedRaw!$B:$B,$B114,ConfirmedRaw!AU:AU)</f>
        <v>0</v>
      </c>
      <c r="AT114">
        <f>SUMIF(ConfirmedRaw!$B:$B,$B114,ConfirmedRaw!AV:AV)</f>
        <v>0</v>
      </c>
      <c r="AU114">
        <f>SUMIF(ConfirmedRaw!$B:$B,$B114,ConfirmedRaw!AW:AW)</f>
        <v>0</v>
      </c>
      <c r="AV114">
        <f>SUMIF(ConfirmedRaw!$B:$B,$B114,ConfirmedRaw!AX:AX)</f>
        <v>0</v>
      </c>
      <c r="AW114">
        <f>SUMIF(ConfirmedRaw!$B:$B,$B114,ConfirmedRaw!AY:AY)</f>
        <v>0</v>
      </c>
      <c r="AX114">
        <f>SUMIF(ConfirmedRaw!$B:$B,$B114,ConfirmedRaw!AZ:AZ)</f>
        <v>0</v>
      </c>
      <c r="AY114">
        <f>SUMIF(ConfirmedRaw!$B:$B,$B114,ConfirmedRaw!BA:BA)</f>
        <v>0</v>
      </c>
      <c r="AZ114">
        <f>SUMIF(ConfirmedRaw!$B:$B,$B114,ConfirmedRaw!BB:BB)</f>
        <v>1</v>
      </c>
      <c r="BA114">
        <f>SUMIF(ConfirmedRaw!$B:$B,$B114,ConfirmedRaw!BC:BC)</f>
        <v>1</v>
      </c>
      <c r="BB114">
        <f>SUMIF(ConfirmedRaw!$B:$B,$B114,ConfirmedRaw!BD:BD)</f>
        <v>1</v>
      </c>
      <c r="BC114">
        <f>SUMIF(ConfirmedRaw!$B:$B,$B114,ConfirmedRaw!BE:BE)</f>
        <v>1</v>
      </c>
      <c r="BD114">
        <f>SUMIF(ConfirmedRaw!$B:$B,$B114,ConfirmedRaw!BF:BF)</f>
        <v>1</v>
      </c>
      <c r="BE114">
        <f>SUMIF(ConfirmedRaw!$B:$B,$B114,ConfirmedRaw!BG:BG)</f>
        <v>1</v>
      </c>
      <c r="BF114">
        <f>SUMIF(ConfirmedRaw!$B:$B,$B114,ConfirmedRaw!BH:BH)</f>
        <v>5</v>
      </c>
      <c r="BG114">
        <f>SUMIF(ConfirmedRaw!$B:$B,$B114,ConfirmedRaw!BI:BI)</f>
        <v>6</v>
      </c>
      <c r="BH114">
        <f>SUMIF(ConfirmedRaw!$B:$B,$B114,ConfirmedRaw!BJ:BJ)</f>
        <v>9</v>
      </c>
      <c r="BI114">
        <f>SUMIF(ConfirmedRaw!$B:$B,$B114,ConfirmedRaw!BK:BK)</f>
        <v>9</v>
      </c>
      <c r="BJ114">
        <f>SUMIF(ConfirmedRaw!$B:$B,$B114,ConfirmedRaw!BL:BL)</f>
        <v>14</v>
      </c>
      <c r="BK114">
        <f>SUMIF(ConfirmedRaw!$B:$B,$B114,ConfirmedRaw!BM:BM)</f>
        <v>14</v>
      </c>
      <c r="BL114">
        <f>SUMIF(ConfirmedRaw!$B:$B,$B114,ConfirmedRaw!BN:BN)</f>
        <v>25</v>
      </c>
      <c r="BM114">
        <f>SUMIF(ConfirmedRaw!$B:$B,$B114,ConfirmedRaw!BO:BO)</f>
        <v>73</v>
      </c>
      <c r="BN114">
        <f>SUMIF(ConfirmedRaw!$B:$B,$B114,ConfirmedRaw!BP:BP)</f>
        <v>80</v>
      </c>
      <c r="BO114">
        <f>SUMIF(ConfirmedRaw!$B:$B,$B114,ConfirmedRaw!BQ:BQ)</f>
        <v>96</v>
      </c>
      <c r="BP114">
        <f>SUMIF(ConfirmedRaw!$B:$B,$B114,ConfirmedRaw!BR:BR)</f>
        <v>101</v>
      </c>
      <c r="BQ114">
        <f>SUMIF(ConfirmedRaw!$B:$B,$B114,ConfirmedRaw!BS:BS)</f>
        <v>101</v>
      </c>
      <c r="BR114">
        <f>SUMIF(ConfirmedRaw!$B:$B,$B114,ConfirmedRaw!BT:BT)</f>
        <v>0</v>
      </c>
      <c r="BS114">
        <f>SUMIF(ConfirmedRaw!$B:$B,$B114,ConfirmedRaw!BU:BU)</f>
        <v>0</v>
      </c>
      <c r="BT114">
        <f>SUMIF(ConfirmedRaw!$B:$B,$B114,ConfirmedRaw!BV:BV)</f>
        <v>0</v>
      </c>
      <c r="BU114">
        <f>SUMIF(ConfirmedRaw!$B:$B,$B114,ConfirmedRaw!BW:BW)</f>
        <v>0</v>
      </c>
    </row>
    <row r="115" spans="1:73" ht="15" thickBot="1" x14ac:dyDescent="0.35">
      <c r="A115" s="97" t="str">
        <f>VLOOKUP(B115,Country_Data!B:Q,16,FALSE)</f>
        <v>Africa</v>
      </c>
      <c r="B115" s="4" t="s">
        <v>419</v>
      </c>
      <c r="C115">
        <f>SUMIF(ConfirmedRaw!$B:$B,$B115,ConfirmedRaw!E:E)</f>
        <v>0</v>
      </c>
      <c r="D115">
        <f>SUMIF(ConfirmedRaw!$B:$B,$B115,ConfirmedRaw!F:F)</f>
        <v>0</v>
      </c>
      <c r="E115">
        <f>SUMIF(ConfirmedRaw!$B:$B,$B115,ConfirmedRaw!G:G)</f>
        <v>0</v>
      </c>
      <c r="F115">
        <f>SUMIF(ConfirmedRaw!$B:$B,$B115,ConfirmedRaw!H:H)</f>
        <v>0</v>
      </c>
      <c r="G115">
        <f>SUMIF(ConfirmedRaw!$B:$B,$B115,ConfirmedRaw!I:I)</f>
        <v>0</v>
      </c>
      <c r="H115">
        <f>SUMIF(ConfirmedRaw!$B:$B,$B115,ConfirmedRaw!J:J)</f>
        <v>0</v>
      </c>
      <c r="I115">
        <f>SUMIF(ConfirmedRaw!$B:$B,$B115,ConfirmedRaw!K:K)</f>
        <v>0</v>
      </c>
      <c r="J115">
        <f>SUMIF(ConfirmedRaw!$B:$B,$B115,ConfirmedRaw!L:L)</f>
        <v>0</v>
      </c>
      <c r="K115">
        <f>SUMIF(ConfirmedRaw!$B:$B,$B115,ConfirmedRaw!M:M)</f>
        <v>0</v>
      </c>
      <c r="L115">
        <f>SUMIF(ConfirmedRaw!$B:$B,$B115,ConfirmedRaw!N:N)</f>
        <v>0</v>
      </c>
      <c r="M115">
        <f>SUMIF(ConfirmedRaw!$B:$B,$B115,ConfirmedRaw!O:O)</f>
        <v>0</v>
      </c>
      <c r="N115">
        <f>SUMIF(ConfirmedRaw!$B:$B,$B115,ConfirmedRaw!P:P)</f>
        <v>0</v>
      </c>
      <c r="O115">
        <f>SUMIF(ConfirmedRaw!$B:$B,$B115,ConfirmedRaw!Q:Q)</f>
        <v>0</v>
      </c>
      <c r="P115">
        <f>SUMIF(ConfirmedRaw!$B:$B,$B115,ConfirmedRaw!R:R)</f>
        <v>0</v>
      </c>
      <c r="Q115">
        <f>SUMIF(ConfirmedRaw!$B:$B,$B115,ConfirmedRaw!S:S)</f>
        <v>0</v>
      </c>
      <c r="R115">
        <f>SUMIF(ConfirmedRaw!$B:$B,$B115,ConfirmedRaw!T:T)</f>
        <v>0</v>
      </c>
      <c r="S115">
        <f>SUMIF(ConfirmedRaw!$B:$B,$B115,ConfirmedRaw!U:U)</f>
        <v>0</v>
      </c>
      <c r="T115">
        <f>SUMIF(ConfirmedRaw!$B:$B,$B115,ConfirmedRaw!V:V)</f>
        <v>0</v>
      </c>
      <c r="U115">
        <f>SUMIF(ConfirmedRaw!$B:$B,$B115,ConfirmedRaw!W:W)</f>
        <v>0</v>
      </c>
      <c r="V115">
        <f>SUMIF(ConfirmedRaw!$B:$B,$B115,ConfirmedRaw!X:X)</f>
        <v>0</v>
      </c>
      <c r="W115">
        <f>SUMIF(ConfirmedRaw!$B:$B,$B115,ConfirmedRaw!Y:Y)</f>
        <v>0</v>
      </c>
      <c r="X115">
        <f>SUMIF(ConfirmedRaw!$B:$B,$B115,ConfirmedRaw!Z:Z)</f>
        <v>0</v>
      </c>
      <c r="Y115">
        <f>SUMIF(ConfirmedRaw!$B:$B,$B115,ConfirmedRaw!AA:AA)</f>
        <v>0</v>
      </c>
      <c r="Z115">
        <f>SUMIF(ConfirmedRaw!$B:$B,$B115,ConfirmedRaw!AB:AB)</f>
        <v>0</v>
      </c>
      <c r="AA115">
        <f>SUMIF(ConfirmedRaw!$B:$B,$B115,ConfirmedRaw!AC:AC)</f>
        <v>0</v>
      </c>
      <c r="AB115">
        <f>SUMIF(ConfirmedRaw!$B:$B,$B115,ConfirmedRaw!AD:AD)</f>
        <v>0</v>
      </c>
      <c r="AC115">
        <f>SUMIF(ConfirmedRaw!$B:$B,$B115,ConfirmedRaw!AE:AE)</f>
        <v>0</v>
      </c>
      <c r="AD115">
        <f>SUMIF(ConfirmedRaw!$B:$B,$B115,ConfirmedRaw!AF:AF)</f>
        <v>0</v>
      </c>
      <c r="AE115">
        <f>SUMIF(ConfirmedRaw!$B:$B,$B115,ConfirmedRaw!AG:AG)</f>
        <v>0</v>
      </c>
      <c r="AF115">
        <f>SUMIF(ConfirmedRaw!$B:$B,$B115,ConfirmedRaw!AH:AH)</f>
        <v>0</v>
      </c>
      <c r="AG115">
        <f>SUMIF(ConfirmedRaw!$B:$B,$B115,ConfirmedRaw!AI:AI)</f>
        <v>0</v>
      </c>
      <c r="AH115">
        <f>SUMIF(ConfirmedRaw!$B:$B,$B115,ConfirmedRaw!AJ:AJ)</f>
        <v>0</v>
      </c>
      <c r="AI115">
        <f>SUMIF(ConfirmedRaw!$B:$B,$B115,ConfirmedRaw!AK:AK)</f>
        <v>0</v>
      </c>
      <c r="AJ115">
        <f>SUMIF(ConfirmedRaw!$B:$B,$B115,ConfirmedRaw!AL:AL)</f>
        <v>0</v>
      </c>
      <c r="AK115">
        <f>SUMIF(ConfirmedRaw!$B:$B,$B115,ConfirmedRaw!AM:AM)</f>
        <v>0</v>
      </c>
      <c r="AL115">
        <f>SUMIF(ConfirmedRaw!$B:$B,$B115,ConfirmedRaw!AN:AN)</f>
        <v>0</v>
      </c>
      <c r="AM115">
        <f>SUMIF(ConfirmedRaw!$B:$B,$B115,ConfirmedRaw!AO:AO)</f>
        <v>0</v>
      </c>
      <c r="AN115">
        <f>SUMIF(ConfirmedRaw!$B:$B,$B115,ConfirmedRaw!AP:AP)</f>
        <v>0</v>
      </c>
      <c r="AO115">
        <f>SUMIF(ConfirmedRaw!$B:$B,$B115,ConfirmedRaw!AQ:AQ)</f>
        <v>0</v>
      </c>
      <c r="AP115">
        <f>SUMIF(ConfirmedRaw!$B:$B,$B115,ConfirmedRaw!AR:AR)</f>
        <v>0</v>
      </c>
      <c r="AQ115">
        <f>SUMIF(ConfirmedRaw!$B:$B,$B115,ConfirmedRaw!AS:AS)</f>
        <v>0</v>
      </c>
      <c r="AR115">
        <f>SUMIF(ConfirmedRaw!$B:$B,$B115,ConfirmedRaw!AT:AT)</f>
        <v>0</v>
      </c>
      <c r="AS115">
        <f>SUMIF(ConfirmedRaw!$B:$B,$B115,ConfirmedRaw!AU:AU)</f>
        <v>0</v>
      </c>
      <c r="AT115">
        <f>SUMIF(ConfirmedRaw!$B:$B,$B115,ConfirmedRaw!AV:AV)</f>
        <v>0</v>
      </c>
      <c r="AU115">
        <f>SUMIF(ConfirmedRaw!$B:$B,$B115,ConfirmedRaw!AW:AW)</f>
        <v>0</v>
      </c>
      <c r="AV115">
        <f>SUMIF(ConfirmedRaw!$B:$B,$B115,ConfirmedRaw!AX:AX)</f>
        <v>0</v>
      </c>
      <c r="AW115">
        <f>SUMIF(ConfirmedRaw!$B:$B,$B115,ConfirmedRaw!AY:AY)</f>
        <v>0</v>
      </c>
      <c r="AX115">
        <f>SUMIF(ConfirmedRaw!$B:$B,$B115,ConfirmedRaw!AZ:AZ)</f>
        <v>0</v>
      </c>
      <c r="AY115">
        <f>SUMIF(ConfirmedRaw!$B:$B,$B115,ConfirmedRaw!BA:BA)</f>
        <v>0</v>
      </c>
      <c r="AZ115">
        <f>SUMIF(ConfirmedRaw!$B:$B,$B115,ConfirmedRaw!BB:BB)</f>
        <v>0</v>
      </c>
      <c r="BA115">
        <f>SUMIF(ConfirmedRaw!$B:$B,$B115,ConfirmedRaw!BC:BC)</f>
        <v>0</v>
      </c>
      <c r="BB115">
        <f>SUMIF(ConfirmedRaw!$B:$B,$B115,ConfirmedRaw!BD:BD)</f>
        <v>1</v>
      </c>
      <c r="BC115">
        <f>SUMIF(ConfirmedRaw!$B:$B,$B115,ConfirmedRaw!BE:BE)</f>
        <v>1</v>
      </c>
      <c r="BD115">
        <f>SUMIF(ConfirmedRaw!$B:$B,$B115,ConfirmedRaw!BF:BF)</f>
        <v>1</v>
      </c>
      <c r="BE115">
        <f>SUMIF(ConfirmedRaw!$B:$B,$B115,ConfirmedRaw!BG:BG)</f>
        <v>5</v>
      </c>
      <c r="BF115">
        <f>SUMIF(ConfirmedRaw!$B:$B,$B115,ConfirmedRaw!BH:BH)</f>
        <v>5</v>
      </c>
      <c r="BG115">
        <f>SUMIF(ConfirmedRaw!$B:$B,$B115,ConfirmedRaw!BI:BI)</f>
        <v>6</v>
      </c>
      <c r="BH115">
        <f>SUMIF(ConfirmedRaw!$B:$B,$B115,ConfirmedRaw!BJ:BJ)</f>
        <v>6</v>
      </c>
      <c r="BI115">
        <f>SUMIF(ConfirmedRaw!$B:$B,$B115,ConfirmedRaw!BK:BK)</f>
        <v>9</v>
      </c>
      <c r="BJ115">
        <f>SUMIF(ConfirmedRaw!$B:$B,$B115,ConfirmedRaw!BL:BL)</f>
        <v>9</v>
      </c>
      <c r="BK115">
        <f>SUMIF(ConfirmedRaw!$B:$B,$B115,ConfirmedRaw!BM:BM)</f>
        <v>11</v>
      </c>
      <c r="BL115">
        <f>SUMIF(ConfirmedRaw!$B:$B,$B115,ConfirmedRaw!BN:BN)</f>
        <v>11</v>
      </c>
      <c r="BM115">
        <f>SUMIF(ConfirmedRaw!$B:$B,$B115,ConfirmedRaw!BO:BO)</f>
        <v>12</v>
      </c>
      <c r="BN115">
        <f>SUMIF(ConfirmedRaw!$B:$B,$B115,ConfirmedRaw!BP:BP)</f>
        <v>12</v>
      </c>
      <c r="BO115">
        <f>SUMIF(ConfirmedRaw!$B:$B,$B115,ConfirmedRaw!BQ:BQ)</f>
        <v>12</v>
      </c>
      <c r="BP115">
        <f>SUMIF(ConfirmedRaw!$B:$B,$B115,ConfirmedRaw!BR:BR)</f>
        <v>16</v>
      </c>
      <c r="BQ115">
        <f>SUMIF(ConfirmedRaw!$B:$B,$B115,ConfirmedRaw!BS:BS)</f>
        <v>16</v>
      </c>
      <c r="BR115">
        <f>SUMIF(ConfirmedRaw!$B:$B,$B115,ConfirmedRaw!BT:BT)</f>
        <v>0</v>
      </c>
      <c r="BS115">
        <f>SUMIF(ConfirmedRaw!$B:$B,$B115,ConfirmedRaw!BU:BU)</f>
        <v>0</v>
      </c>
      <c r="BT115">
        <f>SUMIF(ConfirmedRaw!$B:$B,$B115,ConfirmedRaw!BV:BV)</f>
        <v>0</v>
      </c>
      <c r="BU115">
        <f>SUMIF(ConfirmedRaw!$B:$B,$B115,ConfirmedRaw!BW:BW)</f>
        <v>0</v>
      </c>
    </row>
    <row r="116" spans="1:73" ht="15" thickBot="1" x14ac:dyDescent="0.35">
      <c r="A116" s="97" t="str">
        <f>VLOOKUP(B116,Country_Data!B:Q,16,FALSE)</f>
        <v>South America</v>
      </c>
      <c r="B116" s="3" t="s">
        <v>416</v>
      </c>
      <c r="C116">
        <f>SUMIF(ConfirmedRaw!$B:$B,$B116,ConfirmedRaw!E:E)</f>
        <v>0</v>
      </c>
      <c r="D116">
        <f>SUMIF(ConfirmedRaw!$B:$B,$B116,ConfirmedRaw!F:F)</f>
        <v>0</v>
      </c>
      <c r="E116">
        <f>SUMIF(ConfirmedRaw!$B:$B,$B116,ConfirmedRaw!G:G)</f>
        <v>0</v>
      </c>
      <c r="F116">
        <f>SUMIF(ConfirmedRaw!$B:$B,$B116,ConfirmedRaw!H:H)</f>
        <v>0</v>
      </c>
      <c r="G116">
        <f>SUMIF(ConfirmedRaw!$B:$B,$B116,ConfirmedRaw!I:I)</f>
        <v>0</v>
      </c>
      <c r="H116">
        <f>SUMIF(ConfirmedRaw!$B:$B,$B116,ConfirmedRaw!J:J)</f>
        <v>0</v>
      </c>
      <c r="I116">
        <f>SUMIF(ConfirmedRaw!$B:$B,$B116,ConfirmedRaw!K:K)</f>
        <v>0</v>
      </c>
      <c r="J116">
        <f>SUMIF(ConfirmedRaw!$B:$B,$B116,ConfirmedRaw!L:L)</f>
        <v>0</v>
      </c>
      <c r="K116">
        <f>SUMIF(ConfirmedRaw!$B:$B,$B116,ConfirmedRaw!M:M)</f>
        <v>0</v>
      </c>
      <c r="L116">
        <f>SUMIF(ConfirmedRaw!$B:$B,$B116,ConfirmedRaw!N:N)</f>
        <v>0</v>
      </c>
      <c r="M116">
        <f>SUMIF(ConfirmedRaw!$B:$B,$B116,ConfirmedRaw!O:O)</f>
        <v>0</v>
      </c>
      <c r="N116">
        <f>SUMIF(ConfirmedRaw!$B:$B,$B116,ConfirmedRaw!P:P)</f>
        <v>0</v>
      </c>
      <c r="O116">
        <f>SUMIF(ConfirmedRaw!$B:$B,$B116,ConfirmedRaw!Q:Q)</f>
        <v>0</v>
      </c>
      <c r="P116">
        <f>SUMIF(ConfirmedRaw!$B:$B,$B116,ConfirmedRaw!R:R)</f>
        <v>0</v>
      </c>
      <c r="Q116">
        <f>SUMIF(ConfirmedRaw!$B:$B,$B116,ConfirmedRaw!S:S)</f>
        <v>0</v>
      </c>
      <c r="R116">
        <f>SUMIF(ConfirmedRaw!$B:$B,$B116,ConfirmedRaw!T:T)</f>
        <v>0</v>
      </c>
      <c r="S116">
        <f>SUMIF(ConfirmedRaw!$B:$B,$B116,ConfirmedRaw!U:U)</f>
        <v>0</v>
      </c>
      <c r="T116">
        <f>SUMIF(ConfirmedRaw!$B:$B,$B116,ConfirmedRaw!V:V)</f>
        <v>0</v>
      </c>
      <c r="U116">
        <f>SUMIF(ConfirmedRaw!$B:$B,$B116,ConfirmedRaw!W:W)</f>
        <v>0</v>
      </c>
      <c r="V116">
        <f>SUMIF(ConfirmedRaw!$B:$B,$B116,ConfirmedRaw!X:X)</f>
        <v>0</v>
      </c>
      <c r="W116">
        <f>SUMIF(ConfirmedRaw!$B:$B,$B116,ConfirmedRaw!Y:Y)</f>
        <v>0</v>
      </c>
      <c r="X116">
        <f>SUMIF(ConfirmedRaw!$B:$B,$B116,ConfirmedRaw!Z:Z)</f>
        <v>0</v>
      </c>
      <c r="Y116">
        <f>SUMIF(ConfirmedRaw!$B:$B,$B116,ConfirmedRaw!AA:AA)</f>
        <v>0</v>
      </c>
      <c r="Z116">
        <f>SUMIF(ConfirmedRaw!$B:$B,$B116,ConfirmedRaw!AB:AB)</f>
        <v>0</v>
      </c>
      <c r="AA116">
        <f>SUMIF(ConfirmedRaw!$B:$B,$B116,ConfirmedRaw!AC:AC)</f>
        <v>0</v>
      </c>
      <c r="AB116">
        <f>SUMIF(ConfirmedRaw!$B:$B,$B116,ConfirmedRaw!AD:AD)</f>
        <v>0</v>
      </c>
      <c r="AC116">
        <f>SUMIF(ConfirmedRaw!$B:$B,$B116,ConfirmedRaw!AE:AE)</f>
        <v>0</v>
      </c>
      <c r="AD116">
        <f>SUMIF(ConfirmedRaw!$B:$B,$B116,ConfirmedRaw!AF:AF)</f>
        <v>0</v>
      </c>
      <c r="AE116">
        <f>SUMIF(ConfirmedRaw!$B:$B,$B116,ConfirmedRaw!AG:AG)</f>
        <v>0</v>
      </c>
      <c r="AF116">
        <f>SUMIF(ConfirmedRaw!$B:$B,$B116,ConfirmedRaw!AH:AH)</f>
        <v>0</v>
      </c>
      <c r="AG116">
        <f>SUMIF(ConfirmedRaw!$B:$B,$B116,ConfirmedRaw!AI:AI)</f>
        <v>0</v>
      </c>
      <c r="AH116">
        <f>SUMIF(ConfirmedRaw!$B:$B,$B116,ConfirmedRaw!AJ:AJ)</f>
        <v>0</v>
      </c>
      <c r="AI116">
        <f>SUMIF(ConfirmedRaw!$B:$B,$B116,ConfirmedRaw!AK:AK)</f>
        <v>0</v>
      </c>
      <c r="AJ116">
        <f>SUMIF(ConfirmedRaw!$B:$B,$B116,ConfirmedRaw!AL:AL)</f>
        <v>0</v>
      </c>
      <c r="AK116">
        <f>SUMIF(ConfirmedRaw!$B:$B,$B116,ConfirmedRaw!AM:AM)</f>
        <v>0</v>
      </c>
      <c r="AL116">
        <f>SUMIF(ConfirmedRaw!$B:$B,$B116,ConfirmedRaw!AN:AN)</f>
        <v>0</v>
      </c>
      <c r="AM116">
        <f>SUMIF(ConfirmedRaw!$B:$B,$B116,ConfirmedRaw!AO:AO)</f>
        <v>0</v>
      </c>
      <c r="AN116">
        <f>SUMIF(ConfirmedRaw!$B:$B,$B116,ConfirmedRaw!AP:AP)</f>
        <v>0</v>
      </c>
      <c r="AO116">
        <f>SUMIF(ConfirmedRaw!$B:$B,$B116,ConfirmedRaw!AQ:AQ)</f>
        <v>0</v>
      </c>
      <c r="AP116">
        <f>SUMIF(ConfirmedRaw!$B:$B,$B116,ConfirmedRaw!AR:AR)</f>
        <v>0</v>
      </c>
      <c r="AQ116">
        <f>SUMIF(ConfirmedRaw!$B:$B,$B116,ConfirmedRaw!AS:AS)</f>
        <v>0</v>
      </c>
      <c r="AR116">
        <f>SUMIF(ConfirmedRaw!$B:$B,$B116,ConfirmedRaw!AT:AT)</f>
        <v>0</v>
      </c>
      <c r="AS116">
        <f>SUMIF(ConfirmedRaw!$B:$B,$B116,ConfirmedRaw!AU:AU)</f>
        <v>0</v>
      </c>
      <c r="AT116">
        <f>SUMIF(ConfirmedRaw!$B:$B,$B116,ConfirmedRaw!AV:AV)</f>
        <v>0</v>
      </c>
      <c r="AU116">
        <f>SUMIF(ConfirmedRaw!$B:$B,$B116,ConfirmedRaw!AW:AW)</f>
        <v>0</v>
      </c>
      <c r="AV116">
        <f>SUMIF(ConfirmedRaw!$B:$B,$B116,ConfirmedRaw!AX:AX)</f>
        <v>0</v>
      </c>
      <c r="AW116">
        <f>SUMIF(ConfirmedRaw!$B:$B,$B116,ConfirmedRaw!AY:AY)</f>
        <v>0</v>
      </c>
      <c r="AX116">
        <f>SUMIF(ConfirmedRaw!$B:$B,$B116,ConfirmedRaw!AZ:AZ)</f>
        <v>0</v>
      </c>
      <c r="AY116">
        <f>SUMIF(ConfirmedRaw!$B:$B,$B116,ConfirmedRaw!BA:BA)</f>
        <v>0</v>
      </c>
      <c r="AZ116">
        <f>SUMIF(ConfirmedRaw!$B:$B,$B116,ConfirmedRaw!BB:BB)</f>
        <v>0</v>
      </c>
      <c r="BA116">
        <f>SUMIF(ConfirmedRaw!$B:$B,$B116,ConfirmedRaw!BC:BC)</f>
        <v>0</v>
      </c>
      <c r="BB116">
        <f>SUMIF(ConfirmedRaw!$B:$B,$B116,ConfirmedRaw!BD:BD)</f>
        <v>0</v>
      </c>
      <c r="BC116">
        <f>SUMIF(ConfirmedRaw!$B:$B,$B116,ConfirmedRaw!BE:BE)</f>
        <v>0</v>
      </c>
      <c r="BD116">
        <f>SUMIF(ConfirmedRaw!$B:$B,$B116,ConfirmedRaw!BF:BF)</f>
        <v>0</v>
      </c>
      <c r="BE116">
        <f>SUMIF(ConfirmedRaw!$B:$B,$B116,ConfirmedRaw!BG:BG)</f>
        <v>0</v>
      </c>
      <c r="BF116">
        <f>SUMIF(ConfirmedRaw!$B:$B,$B116,ConfirmedRaw!BH:BH)</f>
        <v>0</v>
      </c>
      <c r="BG116">
        <f>SUMIF(ConfirmedRaw!$B:$B,$B116,ConfirmedRaw!BI:BI)</f>
        <v>0</v>
      </c>
      <c r="BH116">
        <f>SUMIF(ConfirmedRaw!$B:$B,$B116,ConfirmedRaw!BJ:BJ)</f>
        <v>0</v>
      </c>
      <c r="BI116">
        <f>SUMIF(ConfirmedRaw!$B:$B,$B116,ConfirmedRaw!BK:BK)</f>
        <v>0</v>
      </c>
      <c r="BJ116">
        <f>SUMIF(ConfirmedRaw!$B:$B,$B116,ConfirmedRaw!BL:BL)</f>
        <v>0</v>
      </c>
      <c r="BK116">
        <f>SUMIF(ConfirmedRaw!$B:$B,$B116,ConfirmedRaw!BM:BM)</f>
        <v>0</v>
      </c>
      <c r="BL116">
        <f>SUMIF(ConfirmedRaw!$B:$B,$B116,ConfirmedRaw!BN:BN)</f>
        <v>0</v>
      </c>
      <c r="BM116">
        <f>SUMIF(ConfirmedRaw!$B:$B,$B116,ConfirmedRaw!BO:BO)</f>
        <v>0</v>
      </c>
      <c r="BN116">
        <f>SUMIF(ConfirmedRaw!$B:$B,$B116,ConfirmedRaw!BP:BP)</f>
        <v>0</v>
      </c>
      <c r="BO116">
        <f>SUMIF(ConfirmedRaw!$B:$B,$B116,ConfirmedRaw!BQ:BQ)</f>
        <v>0</v>
      </c>
      <c r="BP116">
        <f>SUMIF(ConfirmedRaw!$B:$B,$B116,ConfirmedRaw!BR:BR)</f>
        <v>0</v>
      </c>
      <c r="BQ116">
        <f>SUMIF(ConfirmedRaw!$B:$B,$B116,ConfirmedRaw!BS:BS)</f>
        <v>0</v>
      </c>
      <c r="BR116">
        <f>SUMIF(ConfirmedRaw!$B:$B,$B116,ConfirmedRaw!BT:BT)</f>
        <v>0</v>
      </c>
      <c r="BS116">
        <f>SUMIF(ConfirmedRaw!$B:$B,$B116,ConfirmedRaw!BU:BU)</f>
        <v>0</v>
      </c>
      <c r="BT116">
        <f>SUMIF(ConfirmedRaw!$B:$B,$B116,ConfirmedRaw!BV:BV)</f>
        <v>0</v>
      </c>
      <c r="BU116">
        <f>SUMIF(ConfirmedRaw!$B:$B,$B116,ConfirmedRaw!BW:BW)</f>
        <v>0</v>
      </c>
    </row>
    <row r="117" spans="1:73" ht="15" thickBot="1" x14ac:dyDescent="0.35">
      <c r="A117" s="97" t="str">
        <f>VLOOKUP(B117,Country_Data!B:Q,16,FALSE)</f>
        <v>Africa</v>
      </c>
      <c r="B117" s="4" t="s">
        <v>421</v>
      </c>
      <c r="C117">
        <f>SUMIF(ConfirmedRaw!$B:$B,$B117,ConfirmedRaw!E:E)</f>
        <v>0</v>
      </c>
      <c r="D117">
        <f>SUMIF(ConfirmedRaw!$B:$B,$B117,ConfirmedRaw!F:F)</f>
        <v>0</v>
      </c>
      <c r="E117">
        <f>SUMIF(ConfirmedRaw!$B:$B,$B117,ConfirmedRaw!G:G)</f>
        <v>0</v>
      </c>
      <c r="F117">
        <f>SUMIF(ConfirmedRaw!$B:$B,$B117,ConfirmedRaw!H:H)</f>
        <v>0</v>
      </c>
      <c r="G117">
        <f>SUMIF(ConfirmedRaw!$B:$B,$B117,ConfirmedRaw!I:I)</f>
        <v>0</v>
      </c>
      <c r="H117">
        <f>SUMIF(ConfirmedRaw!$B:$B,$B117,ConfirmedRaw!J:J)</f>
        <v>0</v>
      </c>
      <c r="I117">
        <f>SUMIF(ConfirmedRaw!$B:$B,$B117,ConfirmedRaw!K:K)</f>
        <v>0</v>
      </c>
      <c r="J117">
        <f>SUMIF(ConfirmedRaw!$B:$B,$B117,ConfirmedRaw!L:L)</f>
        <v>0</v>
      </c>
      <c r="K117">
        <f>SUMIF(ConfirmedRaw!$B:$B,$B117,ConfirmedRaw!M:M)</f>
        <v>0</v>
      </c>
      <c r="L117">
        <f>SUMIF(ConfirmedRaw!$B:$B,$B117,ConfirmedRaw!N:N)</f>
        <v>0</v>
      </c>
      <c r="M117">
        <f>SUMIF(ConfirmedRaw!$B:$B,$B117,ConfirmedRaw!O:O)</f>
        <v>0</v>
      </c>
      <c r="N117">
        <f>SUMIF(ConfirmedRaw!$B:$B,$B117,ConfirmedRaw!P:P)</f>
        <v>0</v>
      </c>
      <c r="O117">
        <f>SUMIF(ConfirmedRaw!$B:$B,$B117,ConfirmedRaw!Q:Q)</f>
        <v>0</v>
      </c>
      <c r="P117">
        <f>SUMIF(ConfirmedRaw!$B:$B,$B117,ConfirmedRaw!R:R)</f>
        <v>0</v>
      </c>
      <c r="Q117">
        <f>SUMIF(ConfirmedRaw!$B:$B,$B117,ConfirmedRaw!S:S)</f>
        <v>0</v>
      </c>
      <c r="R117">
        <f>SUMIF(ConfirmedRaw!$B:$B,$B117,ConfirmedRaw!T:T)</f>
        <v>0</v>
      </c>
      <c r="S117">
        <f>SUMIF(ConfirmedRaw!$B:$B,$B117,ConfirmedRaw!U:U)</f>
        <v>0</v>
      </c>
      <c r="T117">
        <f>SUMIF(ConfirmedRaw!$B:$B,$B117,ConfirmedRaw!V:V)</f>
        <v>0</v>
      </c>
      <c r="U117">
        <f>SUMIF(ConfirmedRaw!$B:$B,$B117,ConfirmedRaw!W:W)</f>
        <v>0</v>
      </c>
      <c r="V117">
        <f>SUMIF(ConfirmedRaw!$B:$B,$B117,ConfirmedRaw!X:X)</f>
        <v>0</v>
      </c>
      <c r="W117">
        <f>SUMIF(ConfirmedRaw!$B:$B,$B117,ConfirmedRaw!Y:Y)</f>
        <v>0</v>
      </c>
      <c r="X117">
        <f>SUMIF(ConfirmedRaw!$B:$B,$B117,ConfirmedRaw!Z:Z)</f>
        <v>0</v>
      </c>
      <c r="Y117">
        <f>SUMIF(ConfirmedRaw!$B:$B,$B117,ConfirmedRaw!AA:AA)</f>
        <v>0</v>
      </c>
      <c r="Z117">
        <f>SUMIF(ConfirmedRaw!$B:$B,$B117,ConfirmedRaw!AB:AB)</f>
        <v>0</v>
      </c>
      <c r="AA117">
        <f>SUMIF(ConfirmedRaw!$B:$B,$B117,ConfirmedRaw!AC:AC)</f>
        <v>0</v>
      </c>
      <c r="AB117">
        <f>SUMIF(ConfirmedRaw!$B:$B,$B117,ConfirmedRaw!AD:AD)</f>
        <v>0</v>
      </c>
      <c r="AC117">
        <f>SUMIF(ConfirmedRaw!$B:$B,$B117,ConfirmedRaw!AE:AE)</f>
        <v>0</v>
      </c>
      <c r="AD117">
        <f>SUMIF(ConfirmedRaw!$B:$B,$B117,ConfirmedRaw!AF:AF)</f>
        <v>0</v>
      </c>
      <c r="AE117">
        <f>SUMIF(ConfirmedRaw!$B:$B,$B117,ConfirmedRaw!AG:AG)</f>
        <v>0</v>
      </c>
      <c r="AF117">
        <f>SUMIF(ConfirmedRaw!$B:$B,$B117,ConfirmedRaw!AH:AH)</f>
        <v>0</v>
      </c>
      <c r="AG117">
        <f>SUMIF(ConfirmedRaw!$B:$B,$B117,ConfirmedRaw!AI:AI)</f>
        <v>0</v>
      </c>
      <c r="AH117">
        <f>SUMIF(ConfirmedRaw!$B:$B,$B117,ConfirmedRaw!AJ:AJ)</f>
        <v>0</v>
      </c>
      <c r="AI117">
        <f>SUMIF(ConfirmedRaw!$B:$B,$B117,ConfirmedRaw!AK:AK)</f>
        <v>0</v>
      </c>
      <c r="AJ117">
        <f>SUMIF(ConfirmedRaw!$B:$B,$B117,ConfirmedRaw!AL:AL)</f>
        <v>0</v>
      </c>
      <c r="AK117">
        <f>SUMIF(ConfirmedRaw!$B:$B,$B117,ConfirmedRaw!AM:AM)</f>
        <v>0</v>
      </c>
      <c r="AL117">
        <f>SUMIF(ConfirmedRaw!$B:$B,$B117,ConfirmedRaw!AN:AN)</f>
        <v>0</v>
      </c>
      <c r="AM117">
        <f>SUMIF(ConfirmedRaw!$B:$B,$B117,ConfirmedRaw!AO:AO)</f>
        <v>0</v>
      </c>
      <c r="AN117">
        <f>SUMIF(ConfirmedRaw!$B:$B,$B117,ConfirmedRaw!AP:AP)</f>
        <v>0</v>
      </c>
      <c r="AO117">
        <f>SUMIF(ConfirmedRaw!$B:$B,$B117,ConfirmedRaw!AQ:AQ)</f>
        <v>0</v>
      </c>
      <c r="AP117">
        <f>SUMIF(ConfirmedRaw!$B:$B,$B117,ConfirmedRaw!AR:AR)</f>
        <v>0</v>
      </c>
      <c r="AQ117">
        <f>SUMIF(ConfirmedRaw!$B:$B,$B117,ConfirmedRaw!AS:AS)</f>
        <v>0</v>
      </c>
      <c r="AR117">
        <f>SUMIF(ConfirmedRaw!$B:$B,$B117,ConfirmedRaw!AT:AT)</f>
        <v>0</v>
      </c>
      <c r="AS117">
        <f>SUMIF(ConfirmedRaw!$B:$B,$B117,ConfirmedRaw!AU:AU)</f>
        <v>0</v>
      </c>
      <c r="AT117">
        <f>SUMIF(ConfirmedRaw!$B:$B,$B117,ConfirmedRaw!AV:AV)</f>
        <v>0</v>
      </c>
      <c r="AU117">
        <f>SUMIF(ConfirmedRaw!$B:$B,$B117,ConfirmedRaw!AW:AW)</f>
        <v>0</v>
      </c>
      <c r="AV117">
        <f>SUMIF(ConfirmedRaw!$B:$B,$B117,ConfirmedRaw!AX:AX)</f>
        <v>0</v>
      </c>
      <c r="AW117">
        <f>SUMIF(ConfirmedRaw!$B:$B,$B117,ConfirmedRaw!AY:AY)</f>
        <v>0</v>
      </c>
      <c r="AX117">
        <f>SUMIF(ConfirmedRaw!$B:$B,$B117,ConfirmedRaw!AZ:AZ)</f>
        <v>0</v>
      </c>
      <c r="AY117">
        <f>SUMIF(ConfirmedRaw!$B:$B,$B117,ConfirmedRaw!BA:BA)</f>
        <v>0</v>
      </c>
      <c r="AZ117">
        <f>SUMIF(ConfirmedRaw!$B:$B,$B117,ConfirmedRaw!BB:BB)</f>
        <v>0</v>
      </c>
      <c r="BA117">
        <f>SUMIF(ConfirmedRaw!$B:$B,$B117,ConfirmedRaw!BC:BC)</f>
        <v>0</v>
      </c>
      <c r="BB117">
        <f>SUMIF(ConfirmedRaw!$B:$B,$B117,ConfirmedRaw!BD:BD)</f>
        <v>1</v>
      </c>
      <c r="BC117">
        <f>SUMIF(ConfirmedRaw!$B:$B,$B117,ConfirmedRaw!BE:BE)</f>
        <v>1</v>
      </c>
      <c r="BD117">
        <f>SUMIF(ConfirmedRaw!$B:$B,$B117,ConfirmedRaw!BF:BF)</f>
        <v>1</v>
      </c>
      <c r="BE117">
        <f>SUMIF(ConfirmedRaw!$B:$B,$B117,ConfirmedRaw!BG:BG)</f>
        <v>1</v>
      </c>
      <c r="BF117">
        <f>SUMIF(ConfirmedRaw!$B:$B,$B117,ConfirmedRaw!BH:BH)</f>
        <v>1</v>
      </c>
      <c r="BG117">
        <f>SUMIF(ConfirmedRaw!$B:$B,$B117,ConfirmedRaw!BI:BI)</f>
        <v>1</v>
      </c>
      <c r="BH117">
        <f>SUMIF(ConfirmedRaw!$B:$B,$B117,ConfirmedRaw!BJ:BJ)</f>
        <v>1</v>
      </c>
      <c r="BI117">
        <f>SUMIF(ConfirmedRaw!$B:$B,$B117,ConfirmedRaw!BK:BK)</f>
        <v>1</v>
      </c>
      <c r="BJ117">
        <f>SUMIF(ConfirmedRaw!$B:$B,$B117,ConfirmedRaw!BL:BL)</f>
        <v>2</v>
      </c>
      <c r="BK117">
        <f>SUMIF(ConfirmedRaw!$B:$B,$B117,ConfirmedRaw!BM:BM)</f>
        <v>2</v>
      </c>
      <c r="BL117">
        <f>SUMIF(ConfirmedRaw!$B:$B,$B117,ConfirmedRaw!BN:BN)</f>
        <v>4</v>
      </c>
      <c r="BM117">
        <f>SUMIF(ConfirmedRaw!$B:$B,$B117,ConfirmedRaw!BO:BO)</f>
        <v>4</v>
      </c>
      <c r="BN117">
        <f>SUMIF(ConfirmedRaw!$B:$B,$B117,ConfirmedRaw!BP:BP)</f>
        <v>4</v>
      </c>
      <c r="BO117">
        <f>SUMIF(ConfirmedRaw!$B:$B,$B117,ConfirmedRaw!BQ:BQ)</f>
        <v>4</v>
      </c>
      <c r="BP117">
        <f>SUMIF(ConfirmedRaw!$B:$B,$B117,ConfirmedRaw!BR:BR)</f>
        <v>8</v>
      </c>
      <c r="BQ117">
        <f>SUMIF(ConfirmedRaw!$B:$B,$B117,ConfirmedRaw!BS:BS)</f>
        <v>8</v>
      </c>
      <c r="BR117">
        <f>SUMIF(ConfirmedRaw!$B:$B,$B117,ConfirmedRaw!BT:BT)</f>
        <v>0</v>
      </c>
      <c r="BS117">
        <f>SUMIF(ConfirmedRaw!$B:$B,$B117,ConfirmedRaw!BU:BU)</f>
        <v>0</v>
      </c>
      <c r="BT117">
        <f>SUMIF(ConfirmedRaw!$B:$B,$B117,ConfirmedRaw!BV:BV)</f>
        <v>0</v>
      </c>
      <c r="BU117">
        <f>SUMIF(ConfirmedRaw!$B:$B,$B117,ConfirmedRaw!BW:BW)</f>
        <v>0</v>
      </c>
    </row>
    <row r="118" spans="1:73" ht="15" thickBot="1" x14ac:dyDescent="0.35">
      <c r="A118" s="97" t="str">
        <f>VLOOKUP(B118,Country_Data!B:Q,16,FALSE)</f>
        <v>South America</v>
      </c>
      <c r="B118" s="3" t="s">
        <v>411</v>
      </c>
      <c r="C118">
        <f>SUMIF(ConfirmedRaw!$B:$B,$B118,ConfirmedRaw!E:E)</f>
        <v>0</v>
      </c>
      <c r="D118">
        <f>SUMIF(ConfirmedRaw!$B:$B,$B118,ConfirmedRaw!F:F)</f>
        <v>0</v>
      </c>
      <c r="E118">
        <f>SUMIF(ConfirmedRaw!$B:$B,$B118,ConfirmedRaw!G:G)</f>
        <v>0</v>
      </c>
      <c r="F118">
        <f>SUMIF(ConfirmedRaw!$B:$B,$B118,ConfirmedRaw!H:H)</f>
        <v>0</v>
      </c>
      <c r="G118">
        <f>SUMIF(ConfirmedRaw!$B:$B,$B118,ConfirmedRaw!I:I)</f>
        <v>0</v>
      </c>
      <c r="H118">
        <f>SUMIF(ConfirmedRaw!$B:$B,$B118,ConfirmedRaw!J:J)</f>
        <v>0</v>
      </c>
      <c r="I118">
        <f>SUMIF(ConfirmedRaw!$B:$B,$B118,ConfirmedRaw!K:K)</f>
        <v>0</v>
      </c>
      <c r="J118">
        <f>SUMIF(ConfirmedRaw!$B:$B,$B118,ConfirmedRaw!L:L)</f>
        <v>0</v>
      </c>
      <c r="K118">
        <f>SUMIF(ConfirmedRaw!$B:$B,$B118,ConfirmedRaw!M:M)</f>
        <v>0</v>
      </c>
      <c r="L118">
        <f>SUMIF(ConfirmedRaw!$B:$B,$B118,ConfirmedRaw!N:N)</f>
        <v>0</v>
      </c>
      <c r="M118">
        <f>SUMIF(ConfirmedRaw!$B:$B,$B118,ConfirmedRaw!O:O)</f>
        <v>0</v>
      </c>
      <c r="N118">
        <f>SUMIF(ConfirmedRaw!$B:$B,$B118,ConfirmedRaw!P:P)</f>
        <v>0</v>
      </c>
      <c r="O118">
        <f>SUMIF(ConfirmedRaw!$B:$B,$B118,ConfirmedRaw!Q:Q)</f>
        <v>0</v>
      </c>
      <c r="P118">
        <f>SUMIF(ConfirmedRaw!$B:$B,$B118,ConfirmedRaw!R:R)</f>
        <v>0</v>
      </c>
      <c r="Q118">
        <f>SUMIF(ConfirmedRaw!$B:$B,$B118,ConfirmedRaw!S:S)</f>
        <v>0</v>
      </c>
      <c r="R118">
        <f>SUMIF(ConfirmedRaw!$B:$B,$B118,ConfirmedRaw!T:T)</f>
        <v>0</v>
      </c>
      <c r="S118">
        <f>SUMIF(ConfirmedRaw!$B:$B,$B118,ConfirmedRaw!U:U)</f>
        <v>0</v>
      </c>
      <c r="T118">
        <f>SUMIF(ConfirmedRaw!$B:$B,$B118,ConfirmedRaw!V:V)</f>
        <v>0</v>
      </c>
      <c r="U118">
        <f>SUMIF(ConfirmedRaw!$B:$B,$B118,ConfirmedRaw!W:W)</f>
        <v>0</v>
      </c>
      <c r="V118">
        <f>SUMIF(ConfirmedRaw!$B:$B,$B118,ConfirmedRaw!X:X)</f>
        <v>0</v>
      </c>
      <c r="W118">
        <f>SUMIF(ConfirmedRaw!$B:$B,$B118,ConfirmedRaw!Y:Y)</f>
        <v>0</v>
      </c>
      <c r="X118">
        <f>SUMIF(ConfirmedRaw!$B:$B,$B118,ConfirmedRaw!Z:Z)</f>
        <v>0</v>
      </c>
      <c r="Y118">
        <f>SUMIF(ConfirmedRaw!$B:$B,$B118,ConfirmedRaw!AA:AA)</f>
        <v>0</v>
      </c>
      <c r="Z118">
        <f>SUMIF(ConfirmedRaw!$B:$B,$B118,ConfirmedRaw!AB:AB)</f>
        <v>0</v>
      </c>
      <c r="AA118">
        <f>SUMIF(ConfirmedRaw!$B:$B,$B118,ConfirmedRaw!AC:AC)</f>
        <v>0</v>
      </c>
      <c r="AB118">
        <f>SUMIF(ConfirmedRaw!$B:$B,$B118,ConfirmedRaw!AD:AD)</f>
        <v>0</v>
      </c>
      <c r="AC118">
        <f>SUMIF(ConfirmedRaw!$B:$B,$B118,ConfirmedRaw!AE:AE)</f>
        <v>0</v>
      </c>
      <c r="AD118">
        <f>SUMIF(ConfirmedRaw!$B:$B,$B118,ConfirmedRaw!AF:AF)</f>
        <v>0</v>
      </c>
      <c r="AE118">
        <f>SUMIF(ConfirmedRaw!$B:$B,$B118,ConfirmedRaw!AG:AG)</f>
        <v>0</v>
      </c>
      <c r="AF118">
        <f>SUMIF(ConfirmedRaw!$B:$B,$B118,ConfirmedRaw!AH:AH)</f>
        <v>0</v>
      </c>
      <c r="AG118">
        <f>SUMIF(ConfirmedRaw!$B:$B,$B118,ConfirmedRaw!AI:AI)</f>
        <v>0</v>
      </c>
      <c r="AH118">
        <f>SUMIF(ConfirmedRaw!$B:$B,$B118,ConfirmedRaw!AJ:AJ)</f>
        <v>0</v>
      </c>
      <c r="AI118">
        <f>SUMIF(ConfirmedRaw!$B:$B,$B118,ConfirmedRaw!AK:AK)</f>
        <v>0</v>
      </c>
      <c r="AJ118">
        <f>SUMIF(ConfirmedRaw!$B:$B,$B118,ConfirmedRaw!AL:AL)</f>
        <v>0</v>
      </c>
      <c r="AK118">
        <f>SUMIF(ConfirmedRaw!$B:$B,$B118,ConfirmedRaw!AM:AM)</f>
        <v>0</v>
      </c>
      <c r="AL118">
        <f>SUMIF(ConfirmedRaw!$B:$B,$B118,ConfirmedRaw!AN:AN)</f>
        <v>0</v>
      </c>
      <c r="AM118">
        <f>SUMIF(ConfirmedRaw!$B:$B,$B118,ConfirmedRaw!AO:AO)</f>
        <v>0</v>
      </c>
      <c r="AN118">
        <f>SUMIF(ConfirmedRaw!$B:$B,$B118,ConfirmedRaw!AP:AP)</f>
        <v>0</v>
      </c>
      <c r="AO118">
        <f>SUMIF(ConfirmedRaw!$B:$B,$B118,ConfirmedRaw!AQ:AQ)</f>
        <v>0</v>
      </c>
      <c r="AP118">
        <f>SUMIF(ConfirmedRaw!$B:$B,$B118,ConfirmedRaw!AR:AR)</f>
        <v>0</v>
      </c>
      <c r="AQ118">
        <f>SUMIF(ConfirmedRaw!$B:$B,$B118,ConfirmedRaw!AS:AS)</f>
        <v>0</v>
      </c>
      <c r="AR118">
        <f>SUMIF(ConfirmedRaw!$B:$B,$B118,ConfirmedRaw!AT:AT)</f>
        <v>0</v>
      </c>
      <c r="AS118">
        <f>SUMIF(ConfirmedRaw!$B:$B,$B118,ConfirmedRaw!AU:AU)</f>
        <v>0</v>
      </c>
      <c r="AT118">
        <f>SUMIF(ConfirmedRaw!$B:$B,$B118,ConfirmedRaw!AV:AV)</f>
        <v>0</v>
      </c>
      <c r="AU118">
        <f>SUMIF(ConfirmedRaw!$B:$B,$B118,ConfirmedRaw!AW:AW)</f>
        <v>0</v>
      </c>
      <c r="AV118">
        <f>SUMIF(ConfirmedRaw!$B:$B,$B118,ConfirmedRaw!AX:AX)</f>
        <v>0</v>
      </c>
      <c r="AW118">
        <f>SUMIF(ConfirmedRaw!$B:$B,$B118,ConfirmedRaw!AY:AY)</f>
        <v>0</v>
      </c>
      <c r="AX118">
        <f>SUMIF(ConfirmedRaw!$B:$B,$B118,ConfirmedRaw!AZ:AZ)</f>
        <v>0</v>
      </c>
      <c r="AY118">
        <f>SUMIF(ConfirmedRaw!$B:$B,$B118,ConfirmedRaw!BA:BA)</f>
        <v>0</v>
      </c>
      <c r="AZ118">
        <f>SUMIF(ConfirmedRaw!$B:$B,$B118,ConfirmedRaw!BB:BB)</f>
        <v>0</v>
      </c>
      <c r="BA118">
        <f>SUMIF(ConfirmedRaw!$B:$B,$B118,ConfirmedRaw!BC:BC)</f>
        <v>1</v>
      </c>
      <c r="BB118">
        <f>SUMIF(ConfirmedRaw!$B:$B,$B118,ConfirmedRaw!BD:BD)</f>
        <v>1</v>
      </c>
      <c r="BC118">
        <f>SUMIF(ConfirmedRaw!$B:$B,$B118,ConfirmedRaw!BE:BE)</f>
        <v>1</v>
      </c>
      <c r="BD118">
        <f>SUMIF(ConfirmedRaw!$B:$B,$B118,ConfirmedRaw!BF:BF)</f>
        <v>4</v>
      </c>
      <c r="BE118">
        <f>SUMIF(ConfirmedRaw!$B:$B,$B118,ConfirmedRaw!BG:BG)</f>
        <v>4</v>
      </c>
      <c r="BF118">
        <f>SUMIF(ConfirmedRaw!$B:$B,$B118,ConfirmedRaw!BH:BH)</f>
        <v>7</v>
      </c>
      <c r="BG118">
        <f>SUMIF(ConfirmedRaw!$B:$B,$B118,ConfirmedRaw!BI:BI)</f>
        <v>7</v>
      </c>
      <c r="BH118">
        <f>SUMIF(ConfirmedRaw!$B:$B,$B118,ConfirmedRaw!BJ:BJ)</f>
        <v>7</v>
      </c>
      <c r="BI118">
        <f>SUMIF(ConfirmedRaw!$B:$B,$B118,ConfirmedRaw!BK:BK)</f>
        <v>7</v>
      </c>
      <c r="BJ118">
        <f>SUMIF(ConfirmedRaw!$B:$B,$B118,ConfirmedRaw!BL:BL)</f>
        <v>7</v>
      </c>
      <c r="BK118">
        <f>SUMIF(ConfirmedRaw!$B:$B,$B118,ConfirmedRaw!BM:BM)</f>
        <v>19</v>
      </c>
      <c r="BL118">
        <f>SUMIF(ConfirmedRaw!$B:$B,$B118,ConfirmedRaw!BN:BN)</f>
        <v>20</v>
      </c>
      <c r="BM118">
        <f>SUMIF(ConfirmedRaw!$B:$B,$B118,ConfirmedRaw!BO:BO)</f>
        <v>5</v>
      </c>
      <c r="BN118">
        <f>SUMIF(ConfirmedRaw!$B:$B,$B118,ConfirmedRaw!BP:BP)</f>
        <v>5</v>
      </c>
      <c r="BO118">
        <f>SUMIF(ConfirmedRaw!$B:$B,$B118,ConfirmedRaw!BQ:BQ)</f>
        <v>5</v>
      </c>
      <c r="BP118">
        <f>SUMIF(ConfirmedRaw!$B:$B,$B118,ConfirmedRaw!BR:BR)</f>
        <v>5</v>
      </c>
      <c r="BQ118">
        <f>SUMIF(ConfirmedRaw!$B:$B,$B118,ConfirmedRaw!BS:BS)</f>
        <v>8</v>
      </c>
      <c r="BR118">
        <f>SUMIF(ConfirmedRaw!$B:$B,$B118,ConfirmedRaw!BT:BT)</f>
        <v>0</v>
      </c>
      <c r="BS118">
        <f>SUMIF(ConfirmedRaw!$B:$B,$B118,ConfirmedRaw!BU:BU)</f>
        <v>0</v>
      </c>
      <c r="BT118">
        <f>SUMIF(ConfirmedRaw!$B:$B,$B118,ConfirmedRaw!BV:BV)</f>
        <v>0</v>
      </c>
      <c r="BU118">
        <f>SUMIF(ConfirmedRaw!$B:$B,$B118,ConfirmedRaw!BW:BW)</f>
        <v>0</v>
      </c>
    </row>
    <row r="119" spans="1:73" ht="15" thickBot="1" x14ac:dyDescent="0.35">
      <c r="A119" s="97" t="str">
        <f>VLOOKUP(B119,Country_Data!B:Q,16,FALSE)</f>
        <v>Europe</v>
      </c>
      <c r="B119" s="3" t="s">
        <v>281</v>
      </c>
      <c r="C119">
        <f>SUMIF(ConfirmedRaw!$B:$B,$B119,ConfirmedRaw!E:E)</f>
        <v>0</v>
      </c>
      <c r="D119">
        <f>SUMIF(ConfirmedRaw!$B:$B,$B119,ConfirmedRaw!F:F)</f>
        <v>0</v>
      </c>
      <c r="E119">
        <f>SUMIF(ConfirmedRaw!$B:$B,$B119,ConfirmedRaw!G:G)</f>
        <v>0</v>
      </c>
      <c r="F119">
        <f>SUMIF(ConfirmedRaw!$B:$B,$B119,ConfirmedRaw!H:H)</f>
        <v>0</v>
      </c>
      <c r="G119">
        <f>SUMIF(ConfirmedRaw!$B:$B,$B119,ConfirmedRaw!I:I)</f>
        <v>0</v>
      </c>
      <c r="H119">
        <f>SUMIF(ConfirmedRaw!$B:$B,$B119,ConfirmedRaw!J:J)</f>
        <v>0</v>
      </c>
      <c r="I119">
        <f>SUMIF(ConfirmedRaw!$B:$B,$B119,ConfirmedRaw!K:K)</f>
        <v>0</v>
      </c>
      <c r="J119">
        <f>SUMIF(ConfirmedRaw!$B:$B,$B119,ConfirmedRaw!L:L)</f>
        <v>0</v>
      </c>
      <c r="K119">
        <f>SUMIF(ConfirmedRaw!$B:$B,$B119,ConfirmedRaw!M:M)</f>
        <v>0</v>
      </c>
      <c r="L119">
        <f>SUMIF(ConfirmedRaw!$B:$B,$B119,ConfirmedRaw!N:N)</f>
        <v>0</v>
      </c>
      <c r="M119">
        <f>SUMIF(ConfirmedRaw!$B:$B,$B119,ConfirmedRaw!O:O)</f>
        <v>0</v>
      </c>
      <c r="N119">
        <f>SUMIF(ConfirmedRaw!$B:$B,$B119,ConfirmedRaw!P:P)</f>
        <v>0</v>
      </c>
      <c r="O119">
        <f>SUMIF(ConfirmedRaw!$B:$B,$B119,ConfirmedRaw!Q:Q)</f>
        <v>0</v>
      </c>
      <c r="P119">
        <f>SUMIF(ConfirmedRaw!$B:$B,$B119,ConfirmedRaw!R:R)</f>
        <v>0</v>
      </c>
      <c r="Q119">
        <f>SUMIF(ConfirmedRaw!$B:$B,$B119,ConfirmedRaw!S:S)</f>
        <v>0</v>
      </c>
      <c r="R119">
        <f>SUMIF(ConfirmedRaw!$B:$B,$B119,ConfirmedRaw!T:T)</f>
        <v>0</v>
      </c>
      <c r="S119">
        <f>SUMIF(ConfirmedRaw!$B:$B,$B119,ConfirmedRaw!U:U)</f>
        <v>0</v>
      </c>
      <c r="T119">
        <f>SUMIF(ConfirmedRaw!$B:$B,$B119,ConfirmedRaw!V:V)</f>
        <v>0</v>
      </c>
      <c r="U119">
        <f>SUMIF(ConfirmedRaw!$B:$B,$B119,ConfirmedRaw!W:W)</f>
        <v>0</v>
      </c>
      <c r="V119">
        <f>SUMIF(ConfirmedRaw!$B:$B,$B119,ConfirmedRaw!X:X)</f>
        <v>0</v>
      </c>
      <c r="W119">
        <f>SUMIF(ConfirmedRaw!$B:$B,$B119,ConfirmedRaw!Y:Y)</f>
        <v>0</v>
      </c>
      <c r="X119">
        <f>SUMIF(ConfirmedRaw!$B:$B,$B119,ConfirmedRaw!Z:Z)</f>
        <v>0</v>
      </c>
      <c r="Y119">
        <f>SUMIF(ConfirmedRaw!$B:$B,$B119,ConfirmedRaw!AA:AA)</f>
        <v>0</v>
      </c>
      <c r="Z119">
        <f>SUMIF(ConfirmedRaw!$B:$B,$B119,ConfirmedRaw!AB:AB)</f>
        <v>0</v>
      </c>
      <c r="AA119">
        <f>SUMIF(ConfirmedRaw!$B:$B,$B119,ConfirmedRaw!AC:AC)</f>
        <v>0</v>
      </c>
      <c r="AB119">
        <f>SUMIF(ConfirmedRaw!$B:$B,$B119,ConfirmedRaw!AD:AD)</f>
        <v>0</v>
      </c>
      <c r="AC119">
        <f>SUMIF(ConfirmedRaw!$B:$B,$B119,ConfirmedRaw!AE:AE)</f>
        <v>0</v>
      </c>
      <c r="AD119">
        <f>SUMIF(ConfirmedRaw!$B:$B,$B119,ConfirmedRaw!AF:AF)</f>
        <v>0</v>
      </c>
      <c r="AE119">
        <f>SUMIF(ConfirmedRaw!$B:$B,$B119,ConfirmedRaw!AG:AG)</f>
        <v>0</v>
      </c>
      <c r="AF119">
        <f>SUMIF(ConfirmedRaw!$B:$B,$B119,ConfirmedRaw!AH:AH)</f>
        <v>0</v>
      </c>
      <c r="AG119">
        <f>SUMIF(ConfirmedRaw!$B:$B,$B119,ConfirmedRaw!AI:AI)</f>
        <v>0</v>
      </c>
      <c r="AH119">
        <f>SUMIF(ConfirmedRaw!$B:$B,$B119,ConfirmedRaw!AJ:AJ)</f>
        <v>0</v>
      </c>
      <c r="AI119">
        <f>SUMIF(ConfirmedRaw!$B:$B,$B119,ConfirmedRaw!AK:AK)</f>
        <v>0</v>
      </c>
      <c r="AJ119">
        <f>SUMIF(ConfirmedRaw!$B:$B,$B119,ConfirmedRaw!AL:AL)</f>
        <v>0</v>
      </c>
      <c r="AK119">
        <f>SUMIF(ConfirmedRaw!$B:$B,$B119,ConfirmedRaw!AM:AM)</f>
        <v>0</v>
      </c>
      <c r="AL119">
        <f>SUMIF(ConfirmedRaw!$B:$B,$B119,ConfirmedRaw!AN:AN)</f>
        <v>0</v>
      </c>
      <c r="AM119">
        <f>SUMIF(ConfirmedRaw!$B:$B,$B119,ConfirmedRaw!AO:AO)</f>
        <v>0</v>
      </c>
      <c r="AN119">
        <f>SUMIF(ConfirmedRaw!$B:$B,$B119,ConfirmedRaw!AP:AP)</f>
        <v>0</v>
      </c>
      <c r="AO119">
        <f>SUMIF(ConfirmedRaw!$B:$B,$B119,ConfirmedRaw!AQ:AQ)</f>
        <v>0</v>
      </c>
      <c r="AP119">
        <f>SUMIF(ConfirmedRaw!$B:$B,$B119,ConfirmedRaw!AR:AR)</f>
        <v>0</v>
      </c>
      <c r="AQ119">
        <f>SUMIF(ConfirmedRaw!$B:$B,$B119,ConfirmedRaw!AS:AS)</f>
        <v>0</v>
      </c>
      <c r="AR119">
        <f>SUMIF(ConfirmedRaw!$B:$B,$B119,ConfirmedRaw!AT:AT)</f>
        <v>0</v>
      </c>
      <c r="AS119">
        <f>SUMIF(ConfirmedRaw!$B:$B,$B119,ConfirmedRaw!AU:AU)</f>
        <v>0</v>
      </c>
      <c r="AT119">
        <f>SUMIF(ConfirmedRaw!$B:$B,$B119,ConfirmedRaw!AV:AV)</f>
        <v>0</v>
      </c>
      <c r="AU119">
        <f>SUMIF(ConfirmedRaw!$B:$B,$B119,ConfirmedRaw!AW:AW)</f>
        <v>1</v>
      </c>
      <c r="AV119">
        <f>SUMIF(ConfirmedRaw!$B:$B,$B119,ConfirmedRaw!AX:AX)</f>
        <v>1</v>
      </c>
      <c r="AW119">
        <f>SUMIF(ConfirmedRaw!$B:$B,$B119,ConfirmedRaw!AY:AY)</f>
        <v>1</v>
      </c>
      <c r="AX119">
        <f>SUMIF(ConfirmedRaw!$B:$B,$B119,ConfirmedRaw!AZ:AZ)</f>
        <v>1</v>
      </c>
      <c r="AY119">
        <f>SUMIF(ConfirmedRaw!$B:$B,$B119,ConfirmedRaw!BA:BA)</f>
        <v>1</v>
      </c>
      <c r="AZ119">
        <f>SUMIF(ConfirmedRaw!$B:$B,$B119,ConfirmedRaw!BB:BB)</f>
        <v>1</v>
      </c>
      <c r="BA119">
        <f>SUMIF(ConfirmedRaw!$B:$B,$B119,ConfirmedRaw!BC:BC)</f>
        <v>1</v>
      </c>
      <c r="BB119">
        <f>SUMIF(ConfirmedRaw!$B:$B,$B119,ConfirmedRaw!BD:BD)</f>
        <v>1</v>
      </c>
      <c r="BC119">
        <f>SUMIF(ConfirmedRaw!$B:$B,$B119,ConfirmedRaw!BE:BE)</f>
        <v>1</v>
      </c>
      <c r="BD119">
        <f>SUMIF(ConfirmedRaw!$B:$B,$B119,ConfirmedRaw!BF:BF)</f>
        <v>1</v>
      </c>
      <c r="BE119">
        <f>SUMIF(ConfirmedRaw!$B:$B,$B119,ConfirmedRaw!BG:BG)</f>
        <v>1</v>
      </c>
      <c r="BF119">
        <f>SUMIF(ConfirmedRaw!$B:$B,$B119,ConfirmedRaw!BH:BH)</f>
        <v>1</v>
      </c>
      <c r="BG119">
        <f>SUMIF(ConfirmedRaw!$B:$B,$B119,ConfirmedRaw!BI:BI)</f>
        <v>1</v>
      </c>
      <c r="BH119">
        <f>SUMIF(ConfirmedRaw!$B:$B,$B119,ConfirmedRaw!BJ:BJ)</f>
        <v>1</v>
      </c>
      <c r="BI119">
        <f>SUMIF(ConfirmedRaw!$B:$B,$B119,ConfirmedRaw!BK:BK)</f>
        <v>1</v>
      </c>
      <c r="BJ119">
        <f>SUMIF(ConfirmedRaw!$B:$B,$B119,ConfirmedRaw!BL:BL)</f>
        <v>1</v>
      </c>
      <c r="BK119">
        <f>SUMIF(ConfirmedRaw!$B:$B,$B119,ConfirmedRaw!BM:BM)</f>
        <v>1</v>
      </c>
      <c r="BL119">
        <f>SUMIF(ConfirmedRaw!$B:$B,$B119,ConfirmedRaw!BN:BN)</f>
        <v>1</v>
      </c>
      <c r="BM119">
        <f>SUMIF(ConfirmedRaw!$B:$B,$B119,ConfirmedRaw!BO:BO)</f>
        <v>4</v>
      </c>
      <c r="BN119">
        <f>SUMIF(ConfirmedRaw!$B:$B,$B119,ConfirmedRaw!BP:BP)</f>
        <v>4</v>
      </c>
      <c r="BO119">
        <f>SUMIF(ConfirmedRaw!$B:$B,$B119,ConfirmedRaw!BQ:BQ)</f>
        <v>4</v>
      </c>
      <c r="BP119">
        <f>SUMIF(ConfirmedRaw!$B:$B,$B119,ConfirmedRaw!BR:BR)</f>
        <v>4</v>
      </c>
      <c r="BQ119">
        <f>SUMIF(ConfirmedRaw!$B:$B,$B119,ConfirmedRaw!BS:BS)</f>
        <v>6</v>
      </c>
      <c r="BR119">
        <f>SUMIF(ConfirmedRaw!$B:$B,$B119,ConfirmedRaw!BT:BT)</f>
        <v>0</v>
      </c>
      <c r="BS119">
        <f>SUMIF(ConfirmedRaw!$B:$B,$B119,ConfirmedRaw!BU:BU)</f>
        <v>0</v>
      </c>
      <c r="BT119">
        <f>SUMIF(ConfirmedRaw!$B:$B,$B119,ConfirmedRaw!BV:BV)</f>
        <v>0</v>
      </c>
      <c r="BU119">
        <f>SUMIF(ConfirmedRaw!$B:$B,$B119,ConfirmedRaw!BW:BW)</f>
        <v>0</v>
      </c>
    </row>
    <row r="120" spans="1:73" ht="15" thickBot="1" x14ac:dyDescent="0.35">
      <c r="A120" s="97" t="str">
        <f>VLOOKUP(B120,Country_Data!B:Q,16,FALSE)</f>
        <v>Middle East</v>
      </c>
      <c r="B120" s="4" t="s">
        <v>125</v>
      </c>
      <c r="C120">
        <f>SUMIF(ConfirmedRaw!$B:$B,$B120,ConfirmedRaw!E:E)</f>
        <v>0</v>
      </c>
      <c r="D120">
        <f>SUMIF(ConfirmedRaw!$B:$B,$B120,ConfirmedRaw!F:F)</f>
        <v>0</v>
      </c>
      <c r="E120">
        <f>SUMIF(ConfirmedRaw!$B:$B,$B120,ConfirmedRaw!G:G)</f>
        <v>0</v>
      </c>
      <c r="F120">
        <f>SUMIF(ConfirmedRaw!$B:$B,$B120,ConfirmedRaw!H:H)</f>
        <v>0</v>
      </c>
      <c r="G120">
        <f>SUMIF(ConfirmedRaw!$B:$B,$B120,ConfirmedRaw!I:I)</f>
        <v>0</v>
      </c>
      <c r="H120">
        <f>SUMIF(ConfirmedRaw!$B:$B,$B120,ConfirmedRaw!J:J)</f>
        <v>0</v>
      </c>
      <c r="I120">
        <f>SUMIF(ConfirmedRaw!$B:$B,$B120,ConfirmedRaw!K:K)</f>
        <v>0</v>
      </c>
      <c r="J120">
        <f>SUMIF(ConfirmedRaw!$B:$B,$B120,ConfirmedRaw!L:L)</f>
        <v>0</v>
      </c>
      <c r="K120">
        <f>SUMIF(ConfirmedRaw!$B:$B,$B120,ConfirmedRaw!M:M)</f>
        <v>0</v>
      </c>
      <c r="L120">
        <f>SUMIF(ConfirmedRaw!$B:$B,$B120,ConfirmedRaw!N:N)</f>
        <v>0</v>
      </c>
      <c r="M120">
        <f>SUMIF(ConfirmedRaw!$B:$B,$B120,ConfirmedRaw!O:O)</f>
        <v>0</v>
      </c>
      <c r="N120">
        <f>SUMIF(ConfirmedRaw!$B:$B,$B120,ConfirmedRaw!P:P)</f>
        <v>0</v>
      </c>
      <c r="O120">
        <f>SUMIF(ConfirmedRaw!$B:$B,$B120,ConfirmedRaw!Q:Q)</f>
        <v>0</v>
      </c>
      <c r="P120">
        <f>SUMIF(ConfirmedRaw!$B:$B,$B120,ConfirmedRaw!R:R)</f>
        <v>0</v>
      </c>
      <c r="Q120">
        <f>SUMIF(ConfirmedRaw!$B:$B,$B120,ConfirmedRaw!S:S)</f>
        <v>0</v>
      </c>
      <c r="R120">
        <f>SUMIF(ConfirmedRaw!$B:$B,$B120,ConfirmedRaw!T:T)</f>
        <v>0</v>
      </c>
      <c r="S120">
        <f>SUMIF(ConfirmedRaw!$B:$B,$B120,ConfirmedRaw!U:U)</f>
        <v>0</v>
      </c>
      <c r="T120">
        <f>SUMIF(ConfirmedRaw!$B:$B,$B120,ConfirmedRaw!V:V)</f>
        <v>0</v>
      </c>
      <c r="U120">
        <f>SUMIF(ConfirmedRaw!$B:$B,$B120,ConfirmedRaw!W:W)</f>
        <v>0</v>
      </c>
      <c r="V120">
        <f>SUMIF(ConfirmedRaw!$B:$B,$B120,ConfirmedRaw!X:X)</f>
        <v>0</v>
      </c>
      <c r="W120">
        <f>SUMIF(ConfirmedRaw!$B:$B,$B120,ConfirmedRaw!Y:Y)</f>
        <v>0</v>
      </c>
      <c r="X120">
        <f>SUMIF(ConfirmedRaw!$B:$B,$B120,ConfirmedRaw!Z:Z)</f>
        <v>0</v>
      </c>
      <c r="Y120">
        <f>SUMIF(ConfirmedRaw!$B:$B,$B120,ConfirmedRaw!AA:AA)</f>
        <v>0</v>
      </c>
      <c r="Z120">
        <f>SUMIF(ConfirmedRaw!$B:$B,$B120,ConfirmedRaw!AB:AB)</f>
        <v>0</v>
      </c>
      <c r="AA120">
        <f>SUMIF(ConfirmedRaw!$B:$B,$B120,ConfirmedRaw!AC:AC)</f>
        <v>0</v>
      </c>
      <c r="AB120">
        <f>SUMIF(ConfirmedRaw!$B:$B,$B120,ConfirmedRaw!AD:AD)</f>
        <v>0</v>
      </c>
      <c r="AC120">
        <f>SUMIF(ConfirmedRaw!$B:$B,$B120,ConfirmedRaw!AE:AE)</f>
        <v>0</v>
      </c>
      <c r="AD120">
        <f>SUMIF(ConfirmedRaw!$B:$B,$B120,ConfirmedRaw!AF:AF)</f>
        <v>0</v>
      </c>
      <c r="AE120">
        <f>SUMIF(ConfirmedRaw!$B:$B,$B120,ConfirmedRaw!AG:AG)</f>
        <v>0</v>
      </c>
      <c r="AF120">
        <f>SUMIF(ConfirmedRaw!$B:$B,$B120,ConfirmedRaw!AH:AH)</f>
        <v>0</v>
      </c>
      <c r="AG120">
        <f>SUMIF(ConfirmedRaw!$B:$B,$B120,ConfirmedRaw!AI:AI)</f>
        <v>0</v>
      </c>
      <c r="AH120">
        <f>SUMIF(ConfirmedRaw!$B:$B,$B120,ConfirmedRaw!AJ:AJ)</f>
        <v>0</v>
      </c>
      <c r="AI120">
        <f>SUMIF(ConfirmedRaw!$B:$B,$B120,ConfirmedRaw!AK:AK)</f>
        <v>0</v>
      </c>
      <c r="AJ120">
        <f>SUMIF(ConfirmedRaw!$B:$B,$B120,ConfirmedRaw!AL:AL)</f>
        <v>0</v>
      </c>
      <c r="AK120">
        <f>SUMIF(ConfirmedRaw!$B:$B,$B120,ConfirmedRaw!AM:AM)</f>
        <v>0</v>
      </c>
      <c r="AL120">
        <f>SUMIF(ConfirmedRaw!$B:$B,$B120,ConfirmedRaw!AN:AN)</f>
        <v>0</v>
      </c>
      <c r="AM120">
        <f>SUMIF(ConfirmedRaw!$B:$B,$B120,ConfirmedRaw!AO:AO)</f>
        <v>0</v>
      </c>
      <c r="AN120">
        <f>SUMIF(ConfirmedRaw!$B:$B,$B120,ConfirmedRaw!AP:AP)</f>
        <v>0</v>
      </c>
      <c r="AO120">
        <f>SUMIF(ConfirmedRaw!$B:$B,$B120,ConfirmedRaw!AQ:AQ)</f>
        <v>0</v>
      </c>
      <c r="AP120">
        <f>SUMIF(ConfirmedRaw!$B:$B,$B120,ConfirmedRaw!AR:AR)</f>
        <v>0</v>
      </c>
      <c r="AQ120">
        <f>SUMIF(ConfirmedRaw!$B:$B,$B120,ConfirmedRaw!AS:AS)</f>
        <v>0</v>
      </c>
      <c r="AR120">
        <f>SUMIF(ConfirmedRaw!$B:$B,$B120,ConfirmedRaw!AT:AT)</f>
        <v>1</v>
      </c>
      <c r="AS120">
        <f>SUMIF(ConfirmedRaw!$B:$B,$B120,ConfirmedRaw!AU:AU)</f>
        <v>1</v>
      </c>
      <c r="AT120">
        <f>SUMIF(ConfirmedRaw!$B:$B,$B120,ConfirmedRaw!AV:AV)</f>
        <v>1</v>
      </c>
      <c r="AU120">
        <f>SUMIF(ConfirmedRaw!$B:$B,$B120,ConfirmedRaw!AW:AW)</f>
        <v>1</v>
      </c>
      <c r="AV120">
        <f>SUMIF(ConfirmedRaw!$B:$B,$B120,ConfirmedRaw!AX:AX)</f>
        <v>1</v>
      </c>
      <c r="AW120">
        <f>SUMIF(ConfirmedRaw!$B:$B,$B120,ConfirmedRaw!AY:AY)</f>
        <v>1</v>
      </c>
      <c r="AX120">
        <f>SUMIF(ConfirmedRaw!$B:$B,$B120,ConfirmedRaw!AZ:AZ)</f>
        <v>1</v>
      </c>
      <c r="AY120">
        <f>SUMIF(ConfirmedRaw!$B:$B,$B120,ConfirmedRaw!BA:BA)</f>
        <v>1</v>
      </c>
      <c r="AZ120">
        <f>SUMIF(ConfirmedRaw!$B:$B,$B120,ConfirmedRaw!BB:BB)</f>
        <v>1</v>
      </c>
      <c r="BA120">
        <f>SUMIF(ConfirmedRaw!$B:$B,$B120,ConfirmedRaw!BC:BC)</f>
        <v>1</v>
      </c>
      <c r="BB120">
        <f>SUMIF(ConfirmedRaw!$B:$B,$B120,ConfirmedRaw!BD:BD)</f>
        <v>1</v>
      </c>
      <c r="BC120">
        <f>SUMIF(ConfirmedRaw!$B:$B,$B120,ConfirmedRaw!BE:BE)</f>
        <v>1</v>
      </c>
      <c r="BD120">
        <f>SUMIF(ConfirmedRaw!$B:$B,$B120,ConfirmedRaw!BF:BF)</f>
        <v>8</v>
      </c>
      <c r="BE120">
        <f>SUMIF(ConfirmedRaw!$B:$B,$B120,ConfirmedRaw!BG:BG)</f>
        <v>17</v>
      </c>
      <c r="BF120">
        <f>SUMIF(ConfirmedRaw!$B:$B,$B120,ConfirmedRaw!BH:BH)</f>
        <v>34</v>
      </c>
      <c r="BG120">
        <f>SUMIF(ConfirmedRaw!$B:$B,$B120,ConfirmedRaw!BI:BI)</f>
        <v>52</v>
      </c>
      <c r="BH120">
        <f>SUMIF(ConfirmedRaw!$B:$B,$B120,ConfirmedRaw!BJ:BJ)</f>
        <v>69</v>
      </c>
      <c r="BI120">
        <f>SUMIF(ConfirmedRaw!$B:$B,$B120,ConfirmedRaw!BK:BK)</f>
        <v>85</v>
      </c>
      <c r="BJ120">
        <f>SUMIF(ConfirmedRaw!$B:$B,$B120,ConfirmedRaw!BL:BL)</f>
        <v>85</v>
      </c>
      <c r="BK120">
        <f>SUMIF(ConfirmedRaw!$B:$B,$B120,ConfirmedRaw!BM:BM)</f>
        <v>112</v>
      </c>
      <c r="BL120">
        <f>SUMIF(ConfirmedRaw!$B:$B,$B120,ConfirmedRaw!BN:BN)</f>
        <v>127</v>
      </c>
      <c r="BM120">
        <f>SUMIF(ConfirmedRaw!$B:$B,$B120,ConfirmedRaw!BO:BO)</f>
        <v>154</v>
      </c>
      <c r="BN120">
        <f>SUMIF(ConfirmedRaw!$B:$B,$B120,ConfirmedRaw!BP:BP)</f>
        <v>172</v>
      </c>
      <c r="BO120">
        <f>SUMIF(ConfirmedRaw!$B:$B,$B120,ConfirmedRaw!BQ:BQ)</f>
        <v>212</v>
      </c>
      <c r="BP120">
        <f>SUMIF(ConfirmedRaw!$B:$B,$B120,ConfirmedRaw!BR:BR)</f>
        <v>235</v>
      </c>
      <c r="BQ120">
        <f>SUMIF(ConfirmedRaw!$B:$B,$B120,ConfirmedRaw!BS:BS)</f>
        <v>246</v>
      </c>
      <c r="BR120">
        <f>SUMIF(ConfirmedRaw!$B:$B,$B120,ConfirmedRaw!BT:BT)</f>
        <v>0</v>
      </c>
      <c r="BS120">
        <f>SUMIF(ConfirmedRaw!$B:$B,$B120,ConfirmedRaw!BU:BU)</f>
        <v>0</v>
      </c>
      <c r="BT120">
        <f>SUMIF(ConfirmedRaw!$B:$B,$B120,ConfirmedRaw!BV:BV)</f>
        <v>0</v>
      </c>
      <c r="BU120">
        <f>SUMIF(ConfirmedRaw!$B:$B,$B120,ConfirmedRaw!BW:BW)</f>
        <v>0</v>
      </c>
    </row>
    <row r="121" spans="1:73" ht="15" thickBot="1" x14ac:dyDescent="0.35">
      <c r="A121" s="97" t="str">
        <f>VLOOKUP(B121,Country_Data!B:Q,16,FALSE)</f>
        <v>Africa</v>
      </c>
      <c r="B121" s="3" t="s">
        <v>423</v>
      </c>
      <c r="C121">
        <f>SUMIF(ConfirmedRaw!$B:$B,$B121,ConfirmedRaw!E:E)</f>
        <v>0</v>
      </c>
      <c r="D121">
        <f>SUMIF(ConfirmedRaw!$B:$B,$B121,ConfirmedRaw!F:F)</f>
        <v>0</v>
      </c>
      <c r="E121">
        <f>SUMIF(ConfirmedRaw!$B:$B,$B121,ConfirmedRaw!G:G)</f>
        <v>0</v>
      </c>
      <c r="F121">
        <f>SUMIF(ConfirmedRaw!$B:$B,$B121,ConfirmedRaw!H:H)</f>
        <v>0</v>
      </c>
      <c r="G121">
        <f>SUMIF(ConfirmedRaw!$B:$B,$B121,ConfirmedRaw!I:I)</f>
        <v>0</v>
      </c>
      <c r="H121">
        <f>SUMIF(ConfirmedRaw!$B:$B,$B121,ConfirmedRaw!J:J)</f>
        <v>0</v>
      </c>
      <c r="I121">
        <f>SUMIF(ConfirmedRaw!$B:$B,$B121,ConfirmedRaw!K:K)</f>
        <v>0</v>
      </c>
      <c r="J121">
        <f>SUMIF(ConfirmedRaw!$B:$B,$B121,ConfirmedRaw!L:L)</f>
        <v>0</v>
      </c>
      <c r="K121">
        <f>SUMIF(ConfirmedRaw!$B:$B,$B121,ConfirmedRaw!M:M)</f>
        <v>0</v>
      </c>
      <c r="L121">
        <f>SUMIF(ConfirmedRaw!$B:$B,$B121,ConfirmedRaw!N:N)</f>
        <v>0</v>
      </c>
      <c r="M121">
        <f>SUMIF(ConfirmedRaw!$B:$B,$B121,ConfirmedRaw!O:O)</f>
        <v>0</v>
      </c>
      <c r="N121">
        <f>SUMIF(ConfirmedRaw!$B:$B,$B121,ConfirmedRaw!P:P)</f>
        <v>0</v>
      </c>
      <c r="O121">
        <f>SUMIF(ConfirmedRaw!$B:$B,$B121,ConfirmedRaw!Q:Q)</f>
        <v>0</v>
      </c>
      <c r="P121">
        <f>SUMIF(ConfirmedRaw!$B:$B,$B121,ConfirmedRaw!R:R)</f>
        <v>0</v>
      </c>
      <c r="Q121">
        <f>SUMIF(ConfirmedRaw!$B:$B,$B121,ConfirmedRaw!S:S)</f>
        <v>0</v>
      </c>
      <c r="R121">
        <f>SUMIF(ConfirmedRaw!$B:$B,$B121,ConfirmedRaw!T:T)</f>
        <v>0</v>
      </c>
      <c r="S121">
        <f>SUMIF(ConfirmedRaw!$B:$B,$B121,ConfirmedRaw!U:U)</f>
        <v>0</v>
      </c>
      <c r="T121">
        <f>SUMIF(ConfirmedRaw!$B:$B,$B121,ConfirmedRaw!V:V)</f>
        <v>0</v>
      </c>
      <c r="U121">
        <f>SUMIF(ConfirmedRaw!$B:$B,$B121,ConfirmedRaw!W:W)</f>
        <v>0</v>
      </c>
      <c r="V121">
        <f>SUMIF(ConfirmedRaw!$B:$B,$B121,ConfirmedRaw!X:X)</f>
        <v>0</v>
      </c>
      <c r="W121">
        <f>SUMIF(ConfirmedRaw!$B:$B,$B121,ConfirmedRaw!Y:Y)</f>
        <v>0</v>
      </c>
      <c r="X121">
        <f>SUMIF(ConfirmedRaw!$B:$B,$B121,ConfirmedRaw!Z:Z)</f>
        <v>0</v>
      </c>
      <c r="Y121">
        <f>SUMIF(ConfirmedRaw!$B:$B,$B121,ConfirmedRaw!AA:AA)</f>
        <v>0</v>
      </c>
      <c r="Z121">
        <f>SUMIF(ConfirmedRaw!$B:$B,$B121,ConfirmedRaw!AB:AB)</f>
        <v>0</v>
      </c>
      <c r="AA121">
        <f>SUMIF(ConfirmedRaw!$B:$B,$B121,ConfirmedRaw!AC:AC)</f>
        <v>0</v>
      </c>
      <c r="AB121">
        <f>SUMIF(ConfirmedRaw!$B:$B,$B121,ConfirmedRaw!AD:AD)</f>
        <v>0</v>
      </c>
      <c r="AC121">
        <f>SUMIF(ConfirmedRaw!$B:$B,$B121,ConfirmedRaw!AE:AE)</f>
        <v>0</v>
      </c>
      <c r="AD121">
        <f>SUMIF(ConfirmedRaw!$B:$B,$B121,ConfirmedRaw!AF:AF)</f>
        <v>0</v>
      </c>
      <c r="AE121">
        <f>SUMIF(ConfirmedRaw!$B:$B,$B121,ConfirmedRaw!AG:AG)</f>
        <v>0</v>
      </c>
      <c r="AF121">
        <f>SUMIF(ConfirmedRaw!$B:$B,$B121,ConfirmedRaw!AH:AH)</f>
        <v>0</v>
      </c>
      <c r="AG121">
        <f>SUMIF(ConfirmedRaw!$B:$B,$B121,ConfirmedRaw!AI:AI)</f>
        <v>0</v>
      </c>
      <c r="AH121">
        <f>SUMIF(ConfirmedRaw!$B:$B,$B121,ConfirmedRaw!AJ:AJ)</f>
        <v>0</v>
      </c>
      <c r="AI121">
        <f>SUMIF(ConfirmedRaw!$B:$B,$B121,ConfirmedRaw!AK:AK)</f>
        <v>0</v>
      </c>
      <c r="AJ121">
        <f>SUMIF(ConfirmedRaw!$B:$B,$B121,ConfirmedRaw!AL:AL)</f>
        <v>0</v>
      </c>
      <c r="AK121">
        <f>SUMIF(ConfirmedRaw!$B:$B,$B121,ConfirmedRaw!AM:AM)</f>
        <v>0</v>
      </c>
      <c r="AL121">
        <f>SUMIF(ConfirmedRaw!$B:$B,$B121,ConfirmedRaw!AN:AN)</f>
        <v>0</v>
      </c>
      <c r="AM121">
        <f>SUMIF(ConfirmedRaw!$B:$B,$B121,ConfirmedRaw!AO:AO)</f>
        <v>0</v>
      </c>
      <c r="AN121">
        <f>SUMIF(ConfirmedRaw!$B:$B,$B121,ConfirmedRaw!AP:AP)</f>
        <v>0</v>
      </c>
      <c r="AO121">
        <f>SUMIF(ConfirmedRaw!$B:$B,$B121,ConfirmedRaw!AQ:AQ)</f>
        <v>0</v>
      </c>
      <c r="AP121">
        <f>SUMIF(ConfirmedRaw!$B:$B,$B121,ConfirmedRaw!AR:AR)</f>
        <v>0</v>
      </c>
      <c r="AQ121">
        <f>SUMIF(ConfirmedRaw!$B:$B,$B121,ConfirmedRaw!AS:AS)</f>
        <v>0</v>
      </c>
      <c r="AR121">
        <f>SUMIF(ConfirmedRaw!$B:$B,$B121,ConfirmedRaw!AT:AT)</f>
        <v>0</v>
      </c>
      <c r="AS121">
        <f>SUMIF(ConfirmedRaw!$B:$B,$B121,ConfirmedRaw!AU:AU)</f>
        <v>0</v>
      </c>
      <c r="AT121">
        <f>SUMIF(ConfirmedRaw!$B:$B,$B121,ConfirmedRaw!AV:AV)</f>
        <v>0</v>
      </c>
      <c r="AU121">
        <f>SUMIF(ConfirmedRaw!$B:$B,$B121,ConfirmedRaw!AW:AW)</f>
        <v>0</v>
      </c>
      <c r="AV121">
        <f>SUMIF(ConfirmedRaw!$B:$B,$B121,ConfirmedRaw!AX:AX)</f>
        <v>0</v>
      </c>
      <c r="AW121">
        <f>SUMIF(ConfirmedRaw!$B:$B,$B121,ConfirmedRaw!AY:AY)</f>
        <v>0</v>
      </c>
      <c r="AX121">
        <f>SUMIF(ConfirmedRaw!$B:$B,$B121,ConfirmedRaw!AZ:AZ)</f>
        <v>0</v>
      </c>
      <c r="AY121">
        <f>SUMIF(ConfirmedRaw!$B:$B,$B121,ConfirmedRaw!BA:BA)</f>
        <v>0</v>
      </c>
      <c r="AZ121">
        <f>SUMIF(ConfirmedRaw!$B:$B,$B121,ConfirmedRaw!BB:BB)</f>
        <v>0</v>
      </c>
      <c r="BA121">
        <f>SUMIF(ConfirmedRaw!$B:$B,$B121,ConfirmedRaw!BC:BC)</f>
        <v>0</v>
      </c>
      <c r="BB121">
        <f>SUMIF(ConfirmedRaw!$B:$B,$B121,ConfirmedRaw!BD:BD)</f>
        <v>1</v>
      </c>
      <c r="BC121">
        <f>SUMIF(ConfirmedRaw!$B:$B,$B121,ConfirmedRaw!BE:BE)</f>
        <v>1</v>
      </c>
      <c r="BD121">
        <f>SUMIF(ConfirmedRaw!$B:$B,$B121,ConfirmedRaw!BF:BF)</f>
        <v>3</v>
      </c>
      <c r="BE121">
        <f>SUMIF(ConfirmedRaw!$B:$B,$B121,ConfirmedRaw!BG:BG)</f>
        <v>3</v>
      </c>
      <c r="BF121">
        <f>SUMIF(ConfirmedRaw!$B:$B,$B121,ConfirmedRaw!BH:BH)</f>
        <v>3</v>
      </c>
      <c r="BG121">
        <f>SUMIF(ConfirmedRaw!$B:$B,$B121,ConfirmedRaw!BI:BI)</f>
        <v>3</v>
      </c>
      <c r="BH121">
        <f>SUMIF(ConfirmedRaw!$B:$B,$B121,ConfirmedRaw!BJ:BJ)</f>
        <v>7</v>
      </c>
      <c r="BI121">
        <f>SUMIF(ConfirmedRaw!$B:$B,$B121,ConfirmedRaw!BK:BK)</f>
        <v>7</v>
      </c>
      <c r="BJ121">
        <f>SUMIF(ConfirmedRaw!$B:$B,$B121,ConfirmedRaw!BL:BL)</f>
        <v>7</v>
      </c>
      <c r="BK121">
        <f>SUMIF(ConfirmedRaw!$B:$B,$B121,ConfirmedRaw!BM:BM)</f>
        <v>15</v>
      </c>
      <c r="BL121">
        <f>SUMIF(ConfirmedRaw!$B:$B,$B121,ConfirmedRaw!BN:BN)</f>
        <v>16</v>
      </c>
      <c r="BM121">
        <f>SUMIF(ConfirmedRaw!$B:$B,$B121,ConfirmedRaw!BO:BO)</f>
        <v>25</v>
      </c>
      <c r="BN121">
        <f>SUMIF(ConfirmedRaw!$B:$B,$B121,ConfirmedRaw!BP:BP)</f>
        <v>28</v>
      </c>
      <c r="BO121">
        <f>SUMIF(ConfirmedRaw!$B:$B,$B121,ConfirmedRaw!BQ:BQ)</f>
        <v>31</v>
      </c>
      <c r="BP121">
        <f>SUMIF(ConfirmedRaw!$B:$B,$B121,ConfirmedRaw!BR:BR)</f>
        <v>31</v>
      </c>
      <c r="BQ121">
        <f>SUMIF(ConfirmedRaw!$B:$B,$B121,ConfirmedRaw!BS:BS)</f>
        <v>38</v>
      </c>
      <c r="BR121">
        <f>SUMIF(ConfirmedRaw!$B:$B,$B121,ConfirmedRaw!BT:BT)</f>
        <v>0</v>
      </c>
      <c r="BS121">
        <f>SUMIF(ConfirmedRaw!$B:$B,$B121,ConfirmedRaw!BU:BU)</f>
        <v>0</v>
      </c>
      <c r="BT121">
        <f>SUMIF(ConfirmedRaw!$B:$B,$B121,ConfirmedRaw!BV:BV)</f>
        <v>0</v>
      </c>
      <c r="BU121">
        <f>SUMIF(ConfirmedRaw!$B:$B,$B121,ConfirmedRaw!BW:BW)</f>
        <v>0</v>
      </c>
    </row>
    <row r="122" spans="1:73" ht="15" thickBot="1" x14ac:dyDescent="0.35">
      <c r="A122" s="97" t="str">
        <f>VLOOKUP(B122,Country_Data!B:Q,16,FALSE)</f>
        <v>Europe</v>
      </c>
      <c r="B122" s="4" t="s">
        <v>136</v>
      </c>
      <c r="C122">
        <f>SUMIF(ConfirmedRaw!$B:$B,$B122,ConfirmedRaw!E:E)</f>
        <v>0</v>
      </c>
      <c r="D122">
        <f>SUMIF(ConfirmedRaw!$B:$B,$B122,ConfirmedRaw!F:F)</f>
        <v>0</v>
      </c>
      <c r="E122">
        <f>SUMIF(ConfirmedRaw!$B:$B,$B122,ConfirmedRaw!G:G)</f>
        <v>0</v>
      </c>
      <c r="F122">
        <f>SUMIF(ConfirmedRaw!$B:$B,$B122,ConfirmedRaw!H:H)</f>
        <v>0</v>
      </c>
      <c r="G122">
        <f>SUMIF(ConfirmedRaw!$B:$B,$B122,ConfirmedRaw!I:I)</f>
        <v>0</v>
      </c>
      <c r="H122">
        <f>SUMIF(ConfirmedRaw!$B:$B,$B122,ConfirmedRaw!J:J)</f>
        <v>0</v>
      </c>
      <c r="I122">
        <f>SUMIF(ConfirmedRaw!$B:$B,$B122,ConfirmedRaw!K:K)</f>
        <v>0</v>
      </c>
      <c r="J122">
        <f>SUMIF(ConfirmedRaw!$B:$B,$B122,ConfirmedRaw!L:L)</f>
        <v>0</v>
      </c>
      <c r="K122">
        <f>SUMIF(ConfirmedRaw!$B:$B,$B122,ConfirmedRaw!M:M)</f>
        <v>0</v>
      </c>
      <c r="L122">
        <f>SUMIF(ConfirmedRaw!$B:$B,$B122,ConfirmedRaw!N:N)</f>
        <v>0</v>
      </c>
      <c r="M122">
        <f>SUMIF(ConfirmedRaw!$B:$B,$B122,ConfirmedRaw!O:O)</f>
        <v>0</v>
      </c>
      <c r="N122">
        <f>SUMIF(ConfirmedRaw!$B:$B,$B122,ConfirmedRaw!P:P)</f>
        <v>0</v>
      </c>
      <c r="O122">
        <f>SUMIF(ConfirmedRaw!$B:$B,$B122,ConfirmedRaw!Q:Q)</f>
        <v>0</v>
      </c>
      <c r="P122">
        <f>SUMIF(ConfirmedRaw!$B:$B,$B122,ConfirmedRaw!R:R)</f>
        <v>0</v>
      </c>
      <c r="Q122">
        <f>SUMIF(ConfirmedRaw!$B:$B,$B122,ConfirmedRaw!S:S)</f>
        <v>0</v>
      </c>
      <c r="R122">
        <f>SUMIF(ConfirmedRaw!$B:$B,$B122,ConfirmedRaw!T:T)</f>
        <v>0</v>
      </c>
      <c r="S122">
        <f>SUMIF(ConfirmedRaw!$B:$B,$B122,ConfirmedRaw!U:U)</f>
        <v>0</v>
      </c>
      <c r="T122">
        <f>SUMIF(ConfirmedRaw!$B:$B,$B122,ConfirmedRaw!V:V)</f>
        <v>0</v>
      </c>
      <c r="U122">
        <f>SUMIF(ConfirmedRaw!$B:$B,$B122,ConfirmedRaw!W:W)</f>
        <v>0</v>
      </c>
      <c r="V122">
        <f>SUMIF(ConfirmedRaw!$B:$B,$B122,ConfirmedRaw!X:X)</f>
        <v>0</v>
      </c>
      <c r="W122">
        <f>SUMIF(ConfirmedRaw!$B:$B,$B122,ConfirmedRaw!Y:Y)</f>
        <v>0</v>
      </c>
      <c r="X122">
        <f>SUMIF(ConfirmedRaw!$B:$B,$B122,ConfirmedRaw!Z:Z)</f>
        <v>0</v>
      </c>
      <c r="Y122">
        <f>SUMIF(ConfirmedRaw!$B:$B,$B122,ConfirmedRaw!AA:AA)</f>
        <v>0</v>
      </c>
      <c r="Z122">
        <f>SUMIF(ConfirmedRaw!$B:$B,$B122,ConfirmedRaw!AB:AB)</f>
        <v>0</v>
      </c>
      <c r="AA122">
        <f>SUMIF(ConfirmedRaw!$B:$B,$B122,ConfirmedRaw!AC:AC)</f>
        <v>0</v>
      </c>
      <c r="AB122">
        <f>SUMIF(ConfirmedRaw!$B:$B,$B122,ConfirmedRaw!AD:AD)</f>
        <v>0</v>
      </c>
      <c r="AC122">
        <f>SUMIF(ConfirmedRaw!$B:$B,$B122,ConfirmedRaw!AE:AE)</f>
        <v>0</v>
      </c>
      <c r="AD122">
        <f>SUMIF(ConfirmedRaw!$B:$B,$B122,ConfirmedRaw!AF:AF)</f>
        <v>0</v>
      </c>
      <c r="AE122">
        <f>SUMIF(ConfirmedRaw!$B:$B,$B122,ConfirmedRaw!AG:AG)</f>
        <v>0</v>
      </c>
      <c r="AF122">
        <f>SUMIF(ConfirmedRaw!$B:$B,$B122,ConfirmedRaw!AH:AH)</f>
        <v>0</v>
      </c>
      <c r="AG122">
        <f>SUMIF(ConfirmedRaw!$B:$B,$B122,ConfirmedRaw!AI:AI)</f>
        <v>0</v>
      </c>
      <c r="AH122">
        <f>SUMIF(ConfirmedRaw!$B:$B,$B122,ConfirmedRaw!AJ:AJ)</f>
        <v>0</v>
      </c>
      <c r="AI122">
        <f>SUMIF(ConfirmedRaw!$B:$B,$B122,ConfirmedRaw!AK:AK)</f>
        <v>0</v>
      </c>
      <c r="AJ122">
        <f>SUMIF(ConfirmedRaw!$B:$B,$B122,ConfirmedRaw!AL:AL)</f>
        <v>0</v>
      </c>
      <c r="AK122">
        <f>SUMIF(ConfirmedRaw!$B:$B,$B122,ConfirmedRaw!AM:AM)</f>
        <v>0</v>
      </c>
      <c r="AL122">
        <f>SUMIF(ConfirmedRaw!$B:$B,$B122,ConfirmedRaw!AN:AN)</f>
        <v>0</v>
      </c>
      <c r="AM122">
        <f>SUMIF(ConfirmedRaw!$B:$B,$B122,ConfirmedRaw!AO:AO)</f>
        <v>0</v>
      </c>
      <c r="AN122">
        <f>SUMIF(ConfirmedRaw!$B:$B,$B122,ConfirmedRaw!AP:AP)</f>
        <v>0</v>
      </c>
      <c r="AO122">
        <f>SUMIF(ConfirmedRaw!$B:$B,$B122,ConfirmedRaw!AQ:AQ)</f>
        <v>0</v>
      </c>
      <c r="AP122">
        <f>SUMIF(ConfirmedRaw!$B:$B,$B122,ConfirmedRaw!AR:AR)</f>
        <v>0</v>
      </c>
      <c r="AQ122">
        <f>SUMIF(ConfirmedRaw!$B:$B,$B122,ConfirmedRaw!AS:AS)</f>
        <v>0</v>
      </c>
      <c r="AR122">
        <f>SUMIF(ConfirmedRaw!$B:$B,$B122,ConfirmedRaw!AT:AT)</f>
        <v>0</v>
      </c>
      <c r="AS122">
        <f>SUMIF(ConfirmedRaw!$B:$B,$B122,ConfirmedRaw!AU:AU)</f>
        <v>1</v>
      </c>
      <c r="AT122">
        <f>SUMIF(ConfirmedRaw!$B:$B,$B122,ConfirmedRaw!AV:AV)</f>
        <v>1</v>
      </c>
      <c r="AU122">
        <f>SUMIF(ConfirmedRaw!$B:$B,$B122,ConfirmedRaw!AW:AW)</f>
        <v>1</v>
      </c>
      <c r="AV122">
        <f>SUMIF(ConfirmedRaw!$B:$B,$B122,ConfirmedRaw!AX:AX)</f>
        <v>1</v>
      </c>
      <c r="AW122">
        <f>SUMIF(ConfirmedRaw!$B:$B,$B122,ConfirmedRaw!AY:AY)</f>
        <v>1</v>
      </c>
      <c r="AX122">
        <f>SUMIF(ConfirmedRaw!$B:$B,$B122,ConfirmedRaw!AZ:AZ)</f>
        <v>1</v>
      </c>
      <c r="AY122">
        <f>SUMIF(ConfirmedRaw!$B:$B,$B122,ConfirmedRaw!BA:BA)</f>
        <v>1</v>
      </c>
      <c r="AZ122">
        <f>SUMIF(ConfirmedRaw!$B:$B,$B122,ConfirmedRaw!BB:BB)</f>
        <v>1</v>
      </c>
      <c r="BA122">
        <f>SUMIF(ConfirmedRaw!$B:$B,$B122,ConfirmedRaw!BC:BC)</f>
        <v>1</v>
      </c>
      <c r="BB122">
        <f>SUMIF(ConfirmedRaw!$B:$B,$B122,ConfirmedRaw!BD:BD)</f>
        <v>1</v>
      </c>
      <c r="BC122">
        <f>SUMIF(ConfirmedRaw!$B:$B,$B122,ConfirmedRaw!BE:BE)</f>
        <v>4</v>
      </c>
      <c r="BD122">
        <f>SUMIF(ConfirmedRaw!$B:$B,$B122,ConfirmedRaw!BF:BF)</f>
        <v>4</v>
      </c>
      <c r="BE122">
        <f>SUMIF(ConfirmedRaw!$B:$B,$B122,ConfirmedRaw!BG:BG)</f>
        <v>4</v>
      </c>
      <c r="BF122">
        <f>SUMIF(ConfirmedRaw!$B:$B,$B122,ConfirmedRaw!BH:BH)</f>
        <v>7</v>
      </c>
      <c r="BG122">
        <f>SUMIF(ConfirmedRaw!$B:$B,$B122,ConfirmedRaw!BI:BI)</f>
        <v>28</v>
      </c>
      <c r="BH122">
        <f>SUMIF(ConfirmedRaw!$B:$B,$B122,ConfirmedRaw!BJ:BJ)</f>
        <v>28</v>
      </c>
      <c r="BI122">
        <f>SUMIF(ConfirmedRaw!$B:$B,$B122,ConfirmedRaw!BK:BK)</f>
        <v>28</v>
      </c>
      <c r="BJ122">
        <f>SUMIF(ConfirmedRaw!$B:$B,$B122,ConfirmedRaw!BL:BL)</f>
        <v>37</v>
      </c>
      <c r="BK122">
        <f>SUMIF(ConfirmedRaw!$B:$B,$B122,ConfirmedRaw!BM:BM)</f>
        <v>37</v>
      </c>
      <c r="BL122">
        <f>SUMIF(ConfirmedRaw!$B:$B,$B122,ConfirmedRaw!BN:BN)</f>
        <v>51</v>
      </c>
      <c r="BM122">
        <f>SUMIF(ConfirmedRaw!$B:$B,$B122,ConfirmedRaw!BO:BO)</f>
        <v>51</v>
      </c>
      <c r="BN122">
        <f>SUMIF(ConfirmedRaw!$B:$B,$B122,ConfirmedRaw!BP:BP)</f>
        <v>51</v>
      </c>
      <c r="BO122">
        <f>SUMIF(ConfirmedRaw!$B:$B,$B122,ConfirmedRaw!BQ:BQ)</f>
        <v>56</v>
      </c>
      <c r="BP122">
        <f>SUMIF(ConfirmedRaw!$B:$B,$B122,ConfirmedRaw!BR:BR)</f>
        <v>56</v>
      </c>
      <c r="BQ122">
        <f>SUMIF(ConfirmedRaw!$B:$B,$B122,ConfirmedRaw!BS:BS)</f>
        <v>56</v>
      </c>
      <c r="BR122">
        <f>SUMIF(ConfirmedRaw!$B:$B,$B122,ConfirmedRaw!BT:BT)</f>
        <v>0</v>
      </c>
      <c r="BS122">
        <f>SUMIF(ConfirmedRaw!$B:$B,$B122,ConfirmedRaw!BU:BU)</f>
        <v>0</v>
      </c>
      <c r="BT122">
        <f>SUMIF(ConfirmedRaw!$B:$B,$B122,ConfirmedRaw!BV:BV)</f>
        <v>0</v>
      </c>
      <c r="BU122">
        <f>SUMIF(ConfirmedRaw!$B:$B,$B122,ConfirmedRaw!BW:BW)</f>
        <v>0</v>
      </c>
    </row>
    <row r="123" spans="1:73" ht="15" thickBot="1" x14ac:dyDescent="0.35">
      <c r="A123" s="97" t="str">
        <f>VLOOKUP(B123,Country_Data!B:Q,16,FALSE)</f>
        <v>Asia</v>
      </c>
      <c r="B123" s="4" t="s">
        <v>282</v>
      </c>
      <c r="C123">
        <f>SUMIF(ConfirmedRaw!$B:$B,$B123,ConfirmedRaw!E:E)</f>
        <v>0</v>
      </c>
      <c r="D123">
        <f>SUMIF(ConfirmedRaw!$B:$B,$B123,ConfirmedRaw!F:F)</f>
        <v>0</v>
      </c>
      <c r="E123">
        <f>SUMIF(ConfirmedRaw!$B:$B,$B123,ConfirmedRaw!G:G)</f>
        <v>0</v>
      </c>
      <c r="F123">
        <f>SUMIF(ConfirmedRaw!$B:$B,$B123,ConfirmedRaw!H:H)</f>
        <v>0</v>
      </c>
      <c r="G123">
        <f>SUMIF(ConfirmedRaw!$B:$B,$B123,ConfirmedRaw!I:I)</f>
        <v>0</v>
      </c>
      <c r="H123">
        <f>SUMIF(ConfirmedRaw!$B:$B,$B123,ConfirmedRaw!J:J)</f>
        <v>0</v>
      </c>
      <c r="I123">
        <f>SUMIF(ConfirmedRaw!$B:$B,$B123,ConfirmedRaw!K:K)</f>
        <v>0</v>
      </c>
      <c r="J123">
        <f>SUMIF(ConfirmedRaw!$B:$B,$B123,ConfirmedRaw!L:L)</f>
        <v>0</v>
      </c>
      <c r="K123">
        <f>SUMIF(ConfirmedRaw!$B:$B,$B123,ConfirmedRaw!M:M)</f>
        <v>0</v>
      </c>
      <c r="L123">
        <f>SUMIF(ConfirmedRaw!$B:$B,$B123,ConfirmedRaw!N:N)</f>
        <v>0</v>
      </c>
      <c r="M123">
        <f>SUMIF(ConfirmedRaw!$B:$B,$B123,ConfirmedRaw!O:O)</f>
        <v>0</v>
      </c>
      <c r="N123">
        <f>SUMIF(ConfirmedRaw!$B:$B,$B123,ConfirmedRaw!P:P)</f>
        <v>0</v>
      </c>
      <c r="O123">
        <f>SUMIF(ConfirmedRaw!$B:$B,$B123,ConfirmedRaw!Q:Q)</f>
        <v>0</v>
      </c>
      <c r="P123">
        <f>SUMIF(ConfirmedRaw!$B:$B,$B123,ConfirmedRaw!R:R)</f>
        <v>0</v>
      </c>
      <c r="Q123">
        <f>SUMIF(ConfirmedRaw!$B:$B,$B123,ConfirmedRaw!S:S)</f>
        <v>0</v>
      </c>
      <c r="R123">
        <f>SUMIF(ConfirmedRaw!$B:$B,$B123,ConfirmedRaw!T:T)</f>
        <v>0</v>
      </c>
      <c r="S123">
        <f>SUMIF(ConfirmedRaw!$B:$B,$B123,ConfirmedRaw!U:U)</f>
        <v>0</v>
      </c>
      <c r="T123">
        <f>SUMIF(ConfirmedRaw!$B:$B,$B123,ConfirmedRaw!V:V)</f>
        <v>0</v>
      </c>
      <c r="U123">
        <f>SUMIF(ConfirmedRaw!$B:$B,$B123,ConfirmedRaw!W:W)</f>
        <v>0</v>
      </c>
      <c r="V123">
        <f>SUMIF(ConfirmedRaw!$B:$B,$B123,ConfirmedRaw!X:X)</f>
        <v>0</v>
      </c>
      <c r="W123">
        <f>SUMIF(ConfirmedRaw!$B:$B,$B123,ConfirmedRaw!Y:Y)</f>
        <v>0</v>
      </c>
      <c r="X123">
        <f>SUMIF(ConfirmedRaw!$B:$B,$B123,ConfirmedRaw!Z:Z)</f>
        <v>0</v>
      </c>
      <c r="Y123">
        <f>SUMIF(ConfirmedRaw!$B:$B,$B123,ConfirmedRaw!AA:AA)</f>
        <v>0</v>
      </c>
      <c r="Z123">
        <f>SUMIF(ConfirmedRaw!$B:$B,$B123,ConfirmedRaw!AB:AB)</f>
        <v>0</v>
      </c>
      <c r="AA123">
        <f>SUMIF(ConfirmedRaw!$B:$B,$B123,ConfirmedRaw!AC:AC)</f>
        <v>0</v>
      </c>
      <c r="AB123">
        <f>SUMIF(ConfirmedRaw!$B:$B,$B123,ConfirmedRaw!AD:AD)</f>
        <v>0</v>
      </c>
      <c r="AC123">
        <f>SUMIF(ConfirmedRaw!$B:$B,$B123,ConfirmedRaw!AE:AE)</f>
        <v>0</v>
      </c>
      <c r="AD123">
        <f>SUMIF(ConfirmedRaw!$B:$B,$B123,ConfirmedRaw!AF:AF)</f>
        <v>0</v>
      </c>
      <c r="AE123">
        <f>SUMIF(ConfirmedRaw!$B:$B,$B123,ConfirmedRaw!AG:AG)</f>
        <v>0</v>
      </c>
      <c r="AF123">
        <f>SUMIF(ConfirmedRaw!$B:$B,$B123,ConfirmedRaw!AH:AH)</f>
        <v>0</v>
      </c>
      <c r="AG123">
        <f>SUMIF(ConfirmedRaw!$B:$B,$B123,ConfirmedRaw!AI:AI)</f>
        <v>0</v>
      </c>
      <c r="AH123">
        <f>SUMIF(ConfirmedRaw!$B:$B,$B123,ConfirmedRaw!AJ:AJ)</f>
        <v>0</v>
      </c>
      <c r="AI123">
        <f>SUMIF(ConfirmedRaw!$B:$B,$B123,ConfirmedRaw!AK:AK)</f>
        <v>0</v>
      </c>
      <c r="AJ123">
        <f>SUMIF(ConfirmedRaw!$B:$B,$B123,ConfirmedRaw!AL:AL)</f>
        <v>0</v>
      </c>
      <c r="AK123">
        <f>SUMIF(ConfirmedRaw!$B:$B,$B123,ConfirmedRaw!AM:AM)</f>
        <v>0</v>
      </c>
      <c r="AL123">
        <f>SUMIF(ConfirmedRaw!$B:$B,$B123,ConfirmedRaw!AN:AN)</f>
        <v>0</v>
      </c>
      <c r="AM123">
        <f>SUMIF(ConfirmedRaw!$B:$B,$B123,ConfirmedRaw!AO:AO)</f>
        <v>0</v>
      </c>
      <c r="AN123">
        <f>SUMIF(ConfirmedRaw!$B:$B,$B123,ConfirmedRaw!AP:AP)</f>
        <v>0</v>
      </c>
      <c r="AO123">
        <f>SUMIF(ConfirmedRaw!$B:$B,$B123,ConfirmedRaw!AQ:AQ)</f>
        <v>0</v>
      </c>
      <c r="AP123">
        <f>SUMIF(ConfirmedRaw!$B:$B,$B123,ConfirmedRaw!AR:AR)</f>
        <v>0</v>
      </c>
      <c r="AQ123">
        <f>SUMIF(ConfirmedRaw!$B:$B,$B123,ConfirmedRaw!AS:AS)</f>
        <v>0</v>
      </c>
      <c r="AR123">
        <f>SUMIF(ConfirmedRaw!$B:$B,$B123,ConfirmedRaw!AT:AT)</f>
        <v>0</v>
      </c>
      <c r="AS123">
        <f>SUMIF(ConfirmedRaw!$B:$B,$B123,ConfirmedRaw!AU:AU)</f>
        <v>0</v>
      </c>
      <c r="AT123">
        <f>SUMIF(ConfirmedRaw!$B:$B,$B123,ConfirmedRaw!AV:AV)</f>
        <v>0</v>
      </c>
      <c r="AU123">
        <f>SUMIF(ConfirmedRaw!$B:$B,$B123,ConfirmedRaw!AW:AW)</f>
        <v>0</v>
      </c>
      <c r="AV123">
        <f>SUMIF(ConfirmedRaw!$B:$B,$B123,ConfirmedRaw!AX:AX)</f>
        <v>0</v>
      </c>
      <c r="AW123">
        <f>SUMIF(ConfirmedRaw!$B:$B,$B123,ConfirmedRaw!AY:AY)</f>
        <v>0</v>
      </c>
      <c r="AX123">
        <f>SUMIF(ConfirmedRaw!$B:$B,$B123,ConfirmedRaw!AZ:AZ)</f>
        <v>0</v>
      </c>
      <c r="AY123">
        <f>SUMIF(ConfirmedRaw!$B:$B,$B123,ConfirmedRaw!BA:BA)</f>
        <v>1</v>
      </c>
      <c r="AZ123">
        <f>SUMIF(ConfirmedRaw!$B:$B,$B123,ConfirmedRaw!BB:BB)</f>
        <v>1</v>
      </c>
      <c r="BA123">
        <f>SUMIF(ConfirmedRaw!$B:$B,$B123,ConfirmedRaw!BC:BC)</f>
        <v>1</v>
      </c>
      <c r="BB123">
        <f>SUMIF(ConfirmedRaw!$B:$B,$B123,ConfirmedRaw!BD:BD)</f>
        <v>1</v>
      </c>
      <c r="BC123">
        <f>SUMIF(ConfirmedRaw!$B:$B,$B123,ConfirmedRaw!BE:BE)</f>
        <v>1</v>
      </c>
      <c r="BD123">
        <f>SUMIF(ConfirmedRaw!$B:$B,$B123,ConfirmedRaw!BF:BF)</f>
        <v>1</v>
      </c>
      <c r="BE123">
        <f>SUMIF(ConfirmedRaw!$B:$B,$B123,ConfirmedRaw!BG:BG)</f>
        <v>1</v>
      </c>
      <c r="BF123">
        <f>SUMIF(ConfirmedRaw!$B:$B,$B123,ConfirmedRaw!BH:BH)</f>
        <v>5</v>
      </c>
      <c r="BG123">
        <f>SUMIF(ConfirmedRaw!$B:$B,$B123,ConfirmedRaw!BI:BI)</f>
        <v>6</v>
      </c>
      <c r="BH123">
        <f>SUMIF(ConfirmedRaw!$B:$B,$B123,ConfirmedRaw!BJ:BJ)</f>
        <v>6</v>
      </c>
      <c r="BI123">
        <f>SUMIF(ConfirmedRaw!$B:$B,$B123,ConfirmedRaw!BK:BK)</f>
        <v>6</v>
      </c>
      <c r="BJ123">
        <f>SUMIF(ConfirmedRaw!$B:$B,$B123,ConfirmedRaw!BL:BL)</f>
        <v>10</v>
      </c>
      <c r="BK123">
        <f>SUMIF(ConfirmedRaw!$B:$B,$B123,ConfirmedRaw!BM:BM)</f>
        <v>10</v>
      </c>
      <c r="BL123">
        <f>SUMIF(ConfirmedRaw!$B:$B,$B123,ConfirmedRaw!BN:BN)</f>
        <v>10</v>
      </c>
      <c r="BM123">
        <f>SUMIF(ConfirmedRaw!$B:$B,$B123,ConfirmedRaw!BO:BO)</f>
        <v>10</v>
      </c>
      <c r="BN123">
        <f>SUMIF(ConfirmedRaw!$B:$B,$B123,ConfirmedRaw!BP:BP)</f>
        <v>10</v>
      </c>
      <c r="BO123">
        <f>SUMIF(ConfirmedRaw!$B:$B,$B123,ConfirmedRaw!BQ:BQ)</f>
        <v>11</v>
      </c>
      <c r="BP123">
        <f>SUMIF(ConfirmedRaw!$B:$B,$B123,ConfirmedRaw!BR:BR)</f>
        <v>11</v>
      </c>
      <c r="BQ123">
        <f>SUMIF(ConfirmedRaw!$B:$B,$B123,ConfirmedRaw!BS:BS)</f>
        <v>12</v>
      </c>
      <c r="BR123">
        <f>SUMIF(ConfirmedRaw!$B:$B,$B123,ConfirmedRaw!BT:BT)</f>
        <v>0</v>
      </c>
      <c r="BS123">
        <f>SUMIF(ConfirmedRaw!$B:$B,$B123,ConfirmedRaw!BU:BU)</f>
        <v>0</v>
      </c>
      <c r="BT123">
        <f>SUMIF(ConfirmedRaw!$B:$B,$B123,ConfirmedRaw!BV:BV)</f>
        <v>0</v>
      </c>
      <c r="BU123">
        <f>SUMIF(ConfirmedRaw!$B:$B,$B123,ConfirmedRaw!BW:BW)</f>
        <v>0</v>
      </c>
    </row>
    <row r="124" spans="1:73" ht="15" thickBot="1" x14ac:dyDescent="0.35">
      <c r="A124" s="97" t="str">
        <f>VLOOKUP(B124,Country_Data!B:Q,16,FALSE)</f>
        <v>Asia</v>
      </c>
      <c r="B124" s="4" t="s">
        <v>42</v>
      </c>
      <c r="C124">
        <f>SUMIF(ConfirmedRaw!$B:$B,$B124,ConfirmedRaw!E:E)</f>
        <v>0</v>
      </c>
      <c r="D124">
        <f>SUMIF(ConfirmedRaw!$B:$B,$B124,ConfirmedRaw!F:F)</f>
        <v>0</v>
      </c>
      <c r="E124">
        <f>SUMIF(ConfirmedRaw!$B:$B,$B124,ConfirmedRaw!G:G)</f>
        <v>0</v>
      </c>
      <c r="F124">
        <f>SUMIF(ConfirmedRaw!$B:$B,$B124,ConfirmedRaw!H:H)</f>
        <v>1</v>
      </c>
      <c r="G124">
        <f>SUMIF(ConfirmedRaw!$B:$B,$B124,ConfirmedRaw!I:I)</f>
        <v>1</v>
      </c>
      <c r="H124">
        <f>SUMIF(ConfirmedRaw!$B:$B,$B124,ConfirmedRaw!J:J)</f>
        <v>1</v>
      </c>
      <c r="I124">
        <f>SUMIF(ConfirmedRaw!$B:$B,$B124,ConfirmedRaw!K:K)</f>
        <v>1</v>
      </c>
      <c r="J124">
        <f>SUMIF(ConfirmedRaw!$B:$B,$B124,ConfirmedRaw!L:L)</f>
        <v>1</v>
      </c>
      <c r="K124">
        <f>SUMIF(ConfirmedRaw!$B:$B,$B124,ConfirmedRaw!M:M)</f>
        <v>1</v>
      </c>
      <c r="L124">
        <f>SUMIF(ConfirmedRaw!$B:$B,$B124,ConfirmedRaw!N:N)</f>
        <v>1</v>
      </c>
      <c r="M124">
        <f>SUMIF(ConfirmedRaw!$B:$B,$B124,ConfirmedRaw!O:O)</f>
        <v>1</v>
      </c>
      <c r="N124">
        <f>SUMIF(ConfirmedRaw!$B:$B,$B124,ConfirmedRaw!P:P)</f>
        <v>1</v>
      </c>
      <c r="O124">
        <f>SUMIF(ConfirmedRaw!$B:$B,$B124,ConfirmedRaw!Q:Q)</f>
        <v>1</v>
      </c>
      <c r="P124">
        <f>SUMIF(ConfirmedRaw!$B:$B,$B124,ConfirmedRaw!R:R)</f>
        <v>1</v>
      </c>
      <c r="Q124">
        <f>SUMIF(ConfirmedRaw!$B:$B,$B124,ConfirmedRaw!S:S)</f>
        <v>1</v>
      </c>
      <c r="R124">
        <f>SUMIF(ConfirmedRaw!$B:$B,$B124,ConfirmedRaw!T:T)</f>
        <v>1</v>
      </c>
      <c r="S124">
        <f>SUMIF(ConfirmedRaw!$B:$B,$B124,ConfirmedRaw!U:U)</f>
        <v>1</v>
      </c>
      <c r="T124">
        <f>SUMIF(ConfirmedRaw!$B:$B,$B124,ConfirmedRaw!V:V)</f>
        <v>1</v>
      </c>
      <c r="U124">
        <f>SUMIF(ConfirmedRaw!$B:$B,$B124,ConfirmedRaw!W:W)</f>
        <v>1</v>
      </c>
      <c r="V124">
        <f>SUMIF(ConfirmedRaw!$B:$B,$B124,ConfirmedRaw!X:X)</f>
        <v>1</v>
      </c>
      <c r="W124">
        <f>SUMIF(ConfirmedRaw!$B:$B,$B124,ConfirmedRaw!Y:Y)</f>
        <v>1</v>
      </c>
      <c r="X124">
        <f>SUMIF(ConfirmedRaw!$B:$B,$B124,ConfirmedRaw!Z:Z)</f>
        <v>1</v>
      </c>
      <c r="Y124">
        <f>SUMIF(ConfirmedRaw!$B:$B,$B124,ConfirmedRaw!AA:AA)</f>
        <v>1</v>
      </c>
      <c r="Z124">
        <f>SUMIF(ConfirmedRaw!$B:$B,$B124,ConfirmedRaw!AB:AB)</f>
        <v>1</v>
      </c>
      <c r="AA124">
        <f>SUMIF(ConfirmedRaw!$B:$B,$B124,ConfirmedRaw!AC:AC)</f>
        <v>1</v>
      </c>
      <c r="AB124">
        <f>SUMIF(ConfirmedRaw!$B:$B,$B124,ConfirmedRaw!AD:AD)</f>
        <v>1</v>
      </c>
      <c r="AC124">
        <f>SUMIF(ConfirmedRaw!$B:$B,$B124,ConfirmedRaw!AE:AE)</f>
        <v>1</v>
      </c>
      <c r="AD124">
        <f>SUMIF(ConfirmedRaw!$B:$B,$B124,ConfirmedRaw!AF:AF)</f>
        <v>1</v>
      </c>
      <c r="AE124">
        <f>SUMIF(ConfirmedRaw!$B:$B,$B124,ConfirmedRaw!AG:AG)</f>
        <v>1</v>
      </c>
      <c r="AF124">
        <f>SUMIF(ConfirmedRaw!$B:$B,$B124,ConfirmedRaw!AH:AH)</f>
        <v>1</v>
      </c>
      <c r="AG124">
        <f>SUMIF(ConfirmedRaw!$B:$B,$B124,ConfirmedRaw!AI:AI)</f>
        <v>1</v>
      </c>
      <c r="AH124">
        <f>SUMIF(ConfirmedRaw!$B:$B,$B124,ConfirmedRaw!AJ:AJ)</f>
        <v>1</v>
      </c>
      <c r="AI124">
        <f>SUMIF(ConfirmedRaw!$B:$B,$B124,ConfirmedRaw!AK:AK)</f>
        <v>1</v>
      </c>
      <c r="AJ124">
        <f>SUMIF(ConfirmedRaw!$B:$B,$B124,ConfirmedRaw!AL:AL)</f>
        <v>1</v>
      </c>
      <c r="AK124">
        <f>SUMIF(ConfirmedRaw!$B:$B,$B124,ConfirmedRaw!AM:AM)</f>
        <v>1</v>
      </c>
      <c r="AL124">
        <f>SUMIF(ConfirmedRaw!$B:$B,$B124,ConfirmedRaw!AN:AN)</f>
        <v>1</v>
      </c>
      <c r="AM124">
        <f>SUMIF(ConfirmedRaw!$B:$B,$B124,ConfirmedRaw!AO:AO)</f>
        <v>1</v>
      </c>
      <c r="AN124">
        <f>SUMIF(ConfirmedRaw!$B:$B,$B124,ConfirmedRaw!AP:AP)</f>
        <v>1</v>
      </c>
      <c r="AO124">
        <f>SUMIF(ConfirmedRaw!$B:$B,$B124,ConfirmedRaw!AQ:AQ)</f>
        <v>1</v>
      </c>
      <c r="AP124">
        <f>SUMIF(ConfirmedRaw!$B:$B,$B124,ConfirmedRaw!AR:AR)</f>
        <v>1</v>
      </c>
      <c r="AQ124">
        <f>SUMIF(ConfirmedRaw!$B:$B,$B124,ConfirmedRaw!AS:AS)</f>
        <v>1</v>
      </c>
      <c r="AR124">
        <f>SUMIF(ConfirmedRaw!$B:$B,$B124,ConfirmedRaw!AT:AT)</f>
        <v>1</v>
      </c>
      <c r="AS124">
        <f>SUMIF(ConfirmedRaw!$B:$B,$B124,ConfirmedRaw!AU:AU)</f>
        <v>1</v>
      </c>
      <c r="AT124">
        <f>SUMIF(ConfirmedRaw!$B:$B,$B124,ConfirmedRaw!AV:AV)</f>
        <v>1</v>
      </c>
      <c r="AU124">
        <f>SUMIF(ConfirmedRaw!$B:$B,$B124,ConfirmedRaw!AW:AW)</f>
        <v>1</v>
      </c>
      <c r="AV124">
        <f>SUMIF(ConfirmedRaw!$B:$B,$B124,ConfirmedRaw!AX:AX)</f>
        <v>1</v>
      </c>
      <c r="AW124">
        <f>SUMIF(ConfirmedRaw!$B:$B,$B124,ConfirmedRaw!AY:AY)</f>
        <v>1</v>
      </c>
      <c r="AX124">
        <f>SUMIF(ConfirmedRaw!$B:$B,$B124,ConfirmedRaw!AZ:AZ)</f>
        <v>1</v>
      </c>
      <c r="AY124">
        <f>SUMIF(ConfirmedRaw!$B:$B,$B124,ConfirmedRaw!BA:BA)</f>
        <v>1</v>
      </c>
      <c r="AZ124">
        <f>SUMIF(ConfirmedRaw!$B:$B,$B124,ConfirmedRaw!BB:BB)</f>
        <v>1</v>
      </c>
      <c r="BA124">
        <f>SUMIF(ConfirmedRaw!$B:$B,$B124,ConfirmedRaw!BC:BC)</f>
        <v>1</v>
      </c>
      <c r="BB124">
        <f>SUMIF(ConfirmedRaw!$B:$B,$B124,ConfirmedRaw!BD:BD)</f>
        <v>1</v>
      </c>
      <c r="BC124">
        <f>SUMIF(ConfirmedRaw!$B:$B,$B124,ConfirmedRaw!BE:BE)</f>
        <v>1</v>
      </c>
      <c r="BD124">
        <f>SUMIF(ConfirmedRaw!$B:$B,$B124,ConfirmedRaw!BF:BF)</f>
        <v>1</v>
      </c>
      <c r="BE124">
        <f>SUMIF(ConfirmedRaw!$B:$B,$B124,ConfirmedRaw!BG:BG)</f>
        <v>1</v>
      </c>
      <c r="BF124">
        <f>SUMIF(ConfirmedRaw!$B:$B,$B124,ConfirmedRaw!BH:BH)</f>
        <v>1</v>
      </c>
      <c r="BG124">
        <f>SUMIF(ConfirmedRaw!$B:$B,$B124,ConfirmedRaw!BI:BI)</f>
        <v>1</v>
      </c>
      <c r="BH124">
        <f>SUMIF(ConfirmedRaw!$B:$B,$B124,ConfirmedRaw!BJ:BJ)</f>
        <v>1</v>
      </c>
      <c r="BI124">
        <f>SUMIF(ConfirmedRaw!$B:$B,$B124,ConfirmedRaw!BK:BK)</f>
        <v>1</v>
      </c>
      <c r="BJ124">
        <f>SUMIF(ConfirmedRaw!$B:$B,$B124,ConfirmedRaw!BL:BL)</f>
        <v>1</v>
      </c>
      <c r="BK124">
        <f>SUMIF(ConfirmedRaw!$B:$B,$B124,ConfirmedRaw!BM:BM)</f>
        <v>1</v>
      </c>
      <c r="BL124">
        <f>SUMIF(ConfirmedRaw!$B:$B,$B124,ConfirmedRaw!BN:BN)</f>
        <v>2</v>
      </c>
      <c r="BM124">
        <f>SUMIF(ConfirmedRaw!$B:$B,$B124,ConfirmedRaw!BO:BO)</f>
        <v>2</v>
      </c>
      <c r="BN124">
        <f>SUMIF(ConfirmedRaw!$B:$B,$B124,ConfirmedRaw!BP:BP)</f>
        <v>3</v>
      </c>
      <c r="BO124">
        <f>SUMIF(ConfirmedRaw!$B:$B,$B124,ConfirmedRaw!BQ:BQ)</f>
        <v>3</v>
      </c>
      <c r="BP124">
        <f>SUMIF(ConfirmedRaw!$B:$B,$B124,ConfirmedRaw!BR:BR)</f>
        <v>4</v>
      </c>
      <c r="BQ124">
        <f>SUMIF(ConfirmedRaw!$B:$B,$B124,ConfirmedRaw!BS:BS)</f>
        <v>5</v>
      </c>
      <c r="BR124">
        <f>SUMIF(ConfirmedRaw!$B:$B,$B124,ConfirmedRaw!BT:BT)</f>
        <v>0</v>
      </c>
      <c r="BS124">
        <f>SUMIF(ConfirmedRaw!$B:$B,$B124,ConfirmedRaw!BU:BU)</f>
        <v>0</v>
      </c>
      <c r="BT124">
        <f>SUMIF(ConfirmedRaw!$B:$B,$B124,ConfirmedRaw!BV:BV)</f>
        <v>0</v>
      </c>
      <c r="BU124">
        <f>SUMIF(ConfirmedRaw!$B:$B,$B124,ConfirmedRaw!BW:BW)</f>
        <v>0</v>
      </c>
    </row>
    <row r="125" spans="1:73" ht="15" thickBot="1" x14ac:dyDescent="0.35">
      <c r="A125" s="97" t="str">
        <f>VLOOKUP(B125,Country_Data!B:Q,16,FALSE)</f>
        <v>Africa</v>
      </c>
      <c r="B125" s="3" t="s">
        <v>420</v>
      </c>
      <c r="C125">
        <f>SUMIF(ConfirmedRaw!$B:$B,$B125,ConfirmedRaw!E:E)</f>
        <v>0</v>
      </c>
      <c r="D125">
        <f>SUMIF(ConfirmedRaw!$B:$B,$B125,ConfirmedRaw!F:F)</f>
        <v>0</v>
      </c>
      <c r="E125">
        <f>SUMIF(ConfirmedRaw!$B:$B,$B125,ConfirmedRaw!G:G)</f>
        <v>0</v>
      </c>
      <c r="F125">
        <f>SUMIF(ConfirmedRaw!$B:$B,$B125,ConfirmedRaw!H:H)</f>
        <v>0</v>
      </c>
      <c r="G125">
        <f>SUMIF(ConfirmedRaw!$B:$B,$B125,ConfirmedRaw!I:I)</f>
        <v>0</v>
      </c>
      <c r="H125">
        <f>SUMIF(ConfirmedRaw!$B:$B,$B125,ConfirmedRaw!J:J)</f>
        <v>0</v>
      </c>
      <c r="I125">
        <f>SUMIF(ConfirmedRaw!$B:$B,$B125,ConfirmedRaw!K:K)</f>
        <v>0</v>
      </c>
      <c r="J125">
        <f>SUMIF(ConfirmedRaw!$B:$B,$B125,ConfirmedRaw!L:L)</f>
        <v>0</v>
      </c>
      <c r="K125">
        <f>SUMIF(ConfirmedRaw!$B:$B,$B125,ConfirmedRaw!M:M)</f>
        <v>0</v>
      </c>
      <c r="L125">
        <f>SUMIF(ConfirmedRaw!$B:$B,$B125,ConfirmedRaw!N:N)</f>
        <v>0</v>
      </c>
      <c r="M125">
        <f>SUMIF(ConfirmedRaw!$B:$B,$B125,ConfirmedRaw!O:O)</f>
        <v>0</v>
      </c>
      <c r="N125">
        <f>SUMIF(ConfirmedRaw!$B:$B,$B125,ConfirmedRaw!P:P)</f>
        <v>0</v>
      </c>
      <c r="O125">
        <f>SUMIF(ConfirmedRaw!$B:$B,$B125,ConfirmedRaw!Q:Q)</f>
        <v>0</v>
      </c>
      <c r="P125">
        <f>SUMIF(ConfirmedRaw!$B:$B,$B125,ConfirmedRaw!R:R)</f>
        <v>0</v>
      </c>
      <c r="Q125">
        <f>SUMIF(ConfirmedRaw!$B:$B,$B125,ConfirmedRaw!S:S)</f>
        <v>0</v>
      </c>
      <c r="R125">
        <f>SUMIF(ConfirmedRaw!$B:$B,$B125,ConfirmedRaw!T:T)</f>
        <v>0</v>
      </c>
      <c r="S125">
        <f>SUMIF(ConfirmedRaw!$B:$B,$B125,ConfirmedRaw!U:U)</f>
        <v>0</v>
      </c>
      <c r="T125">
        <f>SUMIF(ConfirmedRaw!$B:$B,$B125,ConfirmedRaw!V:V)</f>
        <v>0</v>
      </c>
      <c r="U125">
        <f>SUMIF(ConfirmedRaw!$B:$B,$B125,ConfirmedRaw!W:W)</f>
        <v>0</v>
      </c>
      <c r="V125">
        <f>SUMIF(ConfirmedRaw!$B:$B,$B125,ConfirmedRaw!X:X)</f>
        <v>0</v>
      </c>
      <c r="W125">
        <f>SUMIF(ConfirmedRaw!$B:$B,$B125,ConfirmedRaw!Y:Y)</f>
        <v>0</v>
      </c>
      <c r="X125">
        <f>SUMIF(ConfirmedRaw!$B:$B,$B125,ConfirmedRaw!Z:Z)</f>
        <v>0</v>
      </c>
      <c r="Y125">
        <f>SUMIF(ConfirmedRaw!$B:$B,$B125,ConfirmedRaw!AA:AA)</f>
        <v>0</v>
      </c>
      <c r="Z125">
        <f>SUMIF(ConfirmedRaw!$B:$B,$B125,ConfirmedRaw!AB:AB)</f>
        <v>0</v>
      </c>
      <c r="AA125">
        <f>SUMIF(ConfirmedRaw!$B:$B,$B125,ConfirmedRaw!AC:AC)</f>
        <v>0</v>
      </c>
      <c r="AB125">
        <f>SUMIF(ConfirmedRaw!$B:$B,$B125,ConfirmedRaw!AD:AD)</f>
        <v>0</v>
      </c>
      <c r="AC125">
        <f>SUMIF(ConfirmedRaw!$B:$B,$B125,ConfirmedRaw!AE:AE)</f>
        <v>0</v>
      </c>
      <c r="AD125">
        <f>SUMIF(ConfirmedRaw!$B:$B,$B125,ConfirmedRaw!AF:AF)</f>
        <v>0</v>
      </c>
      <c r="AE125">
        <f>SUMIF(ConfirmedRaw!$B:$B,$B125,ConfirmedRaw!AG:AG)</f>
        <v>0</v>
      </c>
      <c r="AF125">
        <f>SUMIF(ConfirmedRaw!$B:$B,$B125,ConfirmedRaw!AH:AH)</f>
        <v>0</v>
      </c>
      <c r="AG125">
        <f>SUMIF(ConfirmedRaw!$B:$B,$B125,ConfirmedRaw!AI:AI)</f>
        <v>0</v>
      </c>
      <c r="AH125">
        <f>SUMIF(ConfirmedRaw!$B:$B,$B125,ConfirmedRaw!AJ:AJ)</f>
        <v>0</v>
      </c>
      <c r="AI125">
        <f>SUMIF(ConfirmedRaw!$B:$B,$B125,ConfirmedRaw!AK:AK)</f>
        <v>0</v>
      </c>
      <c r="AJ125">
        <f>SUMIF(ConfirmedRaw!$B:$B,$B125,ConfirmedRaw!AL:AL)</f>
        <v>0</v>
      </c>
      <c r="AK125">
        <f>SUMIF(ConfirmedRaw!$B:$B,$B125,ConfirmedRaw!AM:AM)</f>
        <v>0</v>
      </c>
      <c r="AL125">
        <f>SUMIF(ConfirmedRaw!$B:$B,$B125,ConfirmedRaw!AN:AN)</f>
        <v>0</v>
      </c>
      <c r="AM125">
        <f>SUMIF(ConfirmedRaw!$B:$B,$B125,ConfirmedRaw!AO:AO)</f>
        <v>0</v>
      </c>
      <c r="AN125">
        <f>SUMIF(ConfirmedRaw!$B:$B,$B125,ConfirmedRaw!AP:AP)</f>
        <v>0</v>
      </c>
      <c r="AO125">
        <f>SUMIF(ConfirmedRaw!$B:$B,$B125,ConfirmedRaw!AQ:AQ)</f>
        <v>0</v>
      </c>
      <c r="AP125">
        <f>SUMIF(ConfirmedRaw!$B:$B,$B125,ConfirmedRaw!AR:AR)</f>
        <v>0</v>
      </c>
      <c r="AQ125">
        <f>SUMIF(ConfirmedRaw!$B:$B,$B125,ConfirmedRaw!AS:AS)</f>
        <v>0</v>
      </c>
      <c r="AR125">
        <f>SUMIF(ConfirmedRaw!$B:$B,$B125,ConfirmedRaw!AT:AT)</f>
        <v>0</v>
      </c>
      <c r="AS125">
        <f>SUMIF(ConfirmedRaw!$B:$B,$B125,ConfirmedRaw!AU:AU)</f>
        <v>0</v>
      </c>
      <c r="AT125">
        <f>SUMIF(ConfirmedRaw!$B:$B,$B125,ConfirmedRaw!AV:AV)</f>
        <v>0</v>
      </c>
      <c r="AU125">
        <f>SUMIF(ConfirmedRaw!$B:$B,$B125,ConfirmedRaw!AW:AW)</f>
        <v>0</v>
      </c>
      <c r="AV125">
        <f>SUMIF(ConfirmedRaw!$B:$B,$B125,ConfirmedRaw!AX:AX)</f>
        <v>0</v>
      </c>
      <c r="AW125">
        <f>SUMIF(ConfirmedRaw!$B:$B,$B125,ConfirmedRaw!AY:AY)</f>
        <v>0</v>
      </c>
      <c r="AX125">
        <f>SUMIF(ConfirmedRaw!$B:$B,$B125,ConfirmedRaw!AZ:AZ)</f>
        <v>0</v>
      </c>
      <c r="AY125">
        <f>SUMIF(ConfirmedRaw!$B:$B,$B125,ConfirmedRaw!BA:BA)</f>
        <v>0</v>
      </c>
      <c r="AZ125">
        <f>SUMIF(ConfirmedRaw!$B:$B,$B125,ConfirmedRaw!BB:BB)</f>
        <v>0</v>
      </c>
      <c r="BA125">
        <f>SUMIF(ConfirmedRaw!$B:$B,$B125,ConfirmedRaw!BC:BC)</f>
        <v>0</v>
      </c>
      <c r="BB125">
        <f>SUMIF(ConfirmedRaw!$B:$B,$B125,ConfirmedRaw!BD:BD)</f>
        <v>1</v>
      </c>
      <c r="BC125">
        <f>SUMIF(ConfirmedRaw!$B:$B,$B125,ConfirmedRaw!BE:BE)</f>
        <v>1</v>
      </c>
      <c r="BD125">
        <f>SUMIF(ConfirmedRaw!$B:$B,$B125,ConfirmedRaw!BF:BF)</f>
        <v>1</v>
      </c>
      <c r="BE125">
        <f>SUMIF(ConfirmedRaw!$B:$B,$B125,ConfirmedRaw!BG:BG)</f>
        <v>1</v>
      </c>
      <c r="BF125">
        <f>SUMIF(ConfirmedRaw!$B:$B,$B125,ConfirmedRaw!BH:BH)</f>
        <v>1</v>
      </c>
      <c r="BG125">
        <f>SUMIF(ConfirmedRaw!$B:$B,$B125,ConfirmedRaw!BI:BI)</f>
        <v>2</v>
      </c>
      <c r="BH125">
        <f>SUMIF(ConfirmedRaw!$B:$B,$B125,ConfirmedRaw!BJ:BJ)</f>
        <v>2</v>
      </c>
      <c r="BI125">
        <f>SUMIF(ConfirmedRaw!$B:$B,$B125,ConfirmedRaw!BK:BK)</f>
        <v>2</v>
      </c>
      <c r="BJ125">
        <f>SUMIF(ConfirmedRaw!$B:$B,$B125,ConfirmedRaw!BL:BL)</f>
        <v>2</v>
      </c>
      <c r="BK125">
        <f>SUMIF(ConfirmedRaw!$B:$B,$B125,ConfirmedRaw!BM:BM)</f>
        <v>2</v>
      </c>
      <c r="BL125">
        <f>SUMIF(ConfirmedRaw!$B:$B,$B125,ConfirmedRaw!BN:BN)</f>
        <v>2</v>
      </c>
      <c r="BM125">
        <f>SUMIF(ConfirmedRaw!$B:$B,$B125,ConfirmedRaw!BO:BO)</f>
        <v>3</v>
      </c>
      <c r="BN125">
        <f>SUMIF(ConfirmedRaw!$B:$B,$B125,ConfirmedRaw!BP:BP)</f>
        <v>3</v>
      </c>
      <c r="BO125">
        <f>SUMIF(ConfirmedRaw!$B:$B,$B125,ConfirmedRaw!BQ:BQ)</f>
        <v>3</v>
      </c>
      <c r="BP125">
        <f>SUMIF(ConfirmedRaw!$B:$B,$B125,ConfirmedRaw!BR:BR)</f>
        <v>3</v>
      </c>
      <c r="BQ125">
        <f>SUMIF(ConfirmedRaw!$B:$B,$B125,ConfirmedRaw!BS:BS)</f>
        <v>5</v>
      </c>
      <c r="BR125">
        <f>SUMIF(ConfirmedRaw!$B:$B,$B125,ConfirmedRaw!BT:BT)</f>
        <v>0</v>
      </c>
      <c r="BS125">
        <f>SUMIF(ConfirmedRaw!$B:$B,$B125,ConfirmedRaw!BU:BU)</f>
        <v>0</v>
      </c>
      <c r="BT125">
        <f>SUMIF(ConfirmedRaw!$B:$B,$B125,ConfirmedRaw!BV:BV)</f>
        <v>0</v>
      </c>
      <c r="BU125">
        <f>SUMIF(ConfirmedRaw!$B:$B,$B125,ConfirmedRaw!BW:BW)</f>
        <v>0</v>
      </c>
    </row>
    <row r="126" spans="1:73" ht="15" thickBot="1" x14ac:dyDescent="0.35">
      <c r="A126" s="97" t="str">
        <f>VLOOKUP(B126,Country_Data!B:Q,16,FALSE)</f>
        <v>Africa</v>
      </c>
      <c r="B126" s="3" t="s">
        <v>163</v>
      </c>
      <c r="C126">
        <f>SUMIF(ConfirmedRaw!$B:$B,$B126,ConfirmedRaw!E:E)</f>
        <v>0</v>
      </c>
      <c r="D126">
        <f>SUMIF(ConfirmedRaw!$B:$B,$B126,ConfirmedRaw!F:F)</f>
        <v>0</v>
      </c>
      <c r="E126">
        <f>SUMIF(ConfirmedRaw!$B:$B,$B126,ConfirmedRaw!G:G)</f>
        <v>0</v>
      </c>
      <c r="F126">
        <f>SUMIF(ConfirmedRaw!$B:$B,$B126,ConfirmedRaw!H:H)</f>
        <v>0</v>
      </c>
      <c r="G126">
        <f>SUMIF(ConfirmedRaw!$B:$B,$B126,ConfirmedRaw!I:I)</f>
        <v>0</v>
      </c>
      <c r="H126">
        <f>SUMIF(ConfirmedRaw!$B:$B,$B126,ConfirmedRaw!J:J)</f>
        <v>0</v>
      </c>
      <c r="I126">
        <f>SUMIF(ConfirmedRaw!$B:$B,$B126,ConfirmedRaw!K:K)</f>
        <v>0</v>
      </c>
      <c r="J126">
        <f>SUMIF(ConfirmedRaw!$B:$B,$B126,ConfirmedRaw!L:L)</f>
        <v>0</v>
      </c>
      <c r="K126">
        <f>SUMIF(ConfirmedRaw!$B:$B,$B126,ConfirmedRaw!M:M)</f>
        <v>0</v>
      </c>
      <c r="L126">
        <f>SUMIF(ConfirmedRaw!$B:$B,$B126,ConfirmedRaw!N:N)</f>
        <v>0</v>
      </c>
      <c r="M126">
        <f>SUMIF(ConfirmedRaw!$B:$B,$B126,ConfirmedRaw!O:O)</f>
        <v>0</v>
      </c>
      <c r="N126">
        <f>SUMIF(ConfirmedRaw!$B:$B,$B126,ConfirmedRaw!P:P)</f>
        <v>0</v>
      </c>
      <c r="O126">
        <f>SUMIF(ConfirmedRaw!$B:$B,$B126,ConfirmedRaw!Q:Q)</f>
        <v>0</v>
      </c>
      <c r="P126">
        <f>SUMIF(ConfirmedRaw!$B:$B,$B126,ConfirmedRaw!R:R)</f>
        <v>0</v>
      </c>
      <c r="Q126">
        <f>SUMIF(ConfirmedRaw!$B:$B,$B126,ConfirmedRaw!S:S)</f>
        <v>0</v>
      </c>
      <c r="R126">
        <f>SUMIF(ConfirmedRaw!$B:$B,$B126,ConfirmedRaw!T:T)</f>
        <v>0</v>
      </c>
      <c r="S126">
        <f>SUMIF(ConfirmedRaw!$B:$B,$B126,ConfirmedRaw!U:U)</f>
        <v>0</v>
      </c>
      <c r="T126">
        <f>SUMIF(ConfirmedRaw!$B:$B,$B126,ConfirmedRaw!V:V)</f>
        <v>0</v>
      </c>
      <c r="U126">
        <f>SUMIF(ConfirmedRaw!$B:$B,$B126,ConfirmedRaw!W:W)</f>
        <v>0</v>
      </c>
      <c r="V126">
        <f>SUMIF(ConfirmedRaw!$B:$B,$B126,ConfirmedRaw!X:X)</f>
        <v>0</v>
      </c>
      <c r="W126">
        <f>SUMIF(ConfirmedRaw!$B:$B,$B126,ConfirmedRaw!Y:Y)</f>
        <v>0</v>
      </c>
      <c r="X126">
        <f>SUMIF(ConfirmedRaw!$B:$B,$B126,ConfirmedRaw!Z:Z)</f>
        <v>0</v>
      </c>
      <c r="Y126">
        <f>SUMIF(ConfirmedRaw!$B:$B,$B126,ConfirmedRaw!AA:AA)</f>
        <v>0</v>
      </c>
      <c r="Z126">
        <f>SUMIF(ConfirmedRaw!$B:$B,$B126,ConfirmedRaw!AB:AB)</f>
        <v>0</v>
      </c>
      <c r="AA126">
        <f>SUMIF(ConfirmedRaw!$B:$B,$B126,ConfirmedRaw!AC:AC)</f>
        <v>0</v>
      </c>
      <c r="AB126">
        <f>SUMIF(ConfirmedRaw!$B:$B,$B126,ConfirmedRaw!AD:AD)</f>
        <v>0</v>
      </c>
      <c r="AC126">
        <f>SUMIF(ConfirmedRaw!$B:$B,$B126,ConfirmedRaw!AE:AE)</f>
        <v>0</v>
      </c>
      <c r="AD126">
        <f>SUMIF(ConfirmedRaw!$B:$B,$B126,ConfirmedRaw!AF:AF)</f>
        <v>0</v>
      </c>
      <c r="AE126">
        <f>SUMIF(ConfirmedRaw!$B:$B,$B126,ConfirmedRaw!AG:AG)</f>
        <v>0</v>
      </c>
      <c r="AF126">
        <f>SUMIF(ConfirmedRaw!$B:$B,$B126,ConfirmedRaw!AH:AH)</f>
        <v>0</v>
      </c>
      <c r="AG126">
        <f>SUMIF(ConfirmedRaw!$B:$B,$B126,ConfirmedRaw!AI:AI)</f>
        <v>0</v>
      </c>
      <c r="AH126">
        <f>SUMIF(ConfirmedRaw!$B:$B,$B126,ConfirmedRaw!AJ:AJ)</f>
        <v>0</v>
      </c>
      <c r="AI126">
        <f>SUMIF(ConfirmedRaw!$B:$B,$B126,ConfirmedRaw!AK:AK)</f>
        <v>0</v>
      </c>
      <c r="AJ126">
        <f>SUMIF(ConfirmedRaw!$B:$B,$B126,ConfirmedRaw!AL:AL)</f>
        <v>0</v>
      </c>
      <c r="AK126">
        <f>SUMIF(ConfirmedRaw!$B:$B,$B126,ConfirmedRaw!AM:AM)</f>
        <v>0</v>
      </c>
      <c r="AL126">
        <f>SUMIF(ConfirmedRaw!$B:$B,$B126,ConfirmedRaw!AN:AN)</f>
        <v>0</v>
      </c>
      <c r="AM126">
        <f>SUMIF(ConfirmedRaw!$B:$B,$B126,ConfirmedRaw!AO:AO)</f>
        <v>0</v>
      </c>
      <c r="AN126">
        <f>SUMIF(ConfirmedRaw!$B:$B,$B126,ConfirmedRaw!AP:AP)</f>
        <v>0</v>
      </c>
      <c r="AO126">
        <f>SUMIF(ConfirmedRaw!$B:$B,$B126,ConfirmedRaw!AQ:AQ)</f>
        <v>0</v>
      </c>
      <c r="AP126">
        <f>SUMIF(ConfirmedRaw!$B:$B,$B126,ConfirmedRaw!AR:AR)</f>
        <v>0</v>
      </c>
      <c r="AQ126">
        <f>SUMIF(ConfirmedRaw!$B:$B,$B126,ConfirmedRaw!AS:AS)</f>
        <v>0</v>
      </c>
      <c r="AR126">
        <f>SUMIF(ConfirmedRaw!$B:$B,$B126,ConfirmedRaw!AT:AT)</f>
        <v>0</v>
      </c>
      <c r="AS126">
        <f>SUMIF(ConfirmedRaw!$B:$B,$B126,ConfirmedRaw!AU:AU)</f>
        <v>0</v>
      </c>
      <c r="AT126">
        <f>SUMIF(ConfirmedRaw!$B:$B,$B126,ConfirmedRaw!AV:AV)</f>
        <v>0</v>
      </c>
      <c r="AU126">
        <f>SUMIF(ConfirmedRaw!$B:$B,$B126,ConfirmedRaw!AW:AW)</f>
        <v>1</v>
      </c>
      <c r="AV126">
        <f>SUMIF(ConfirmedRaw!$B:$B,$B126,ConfirmedRaw!AX:AX)</f>
        <v>1</v>
      </c>
      <c r="AW126">
        <f>SUMIF(ConfirmedRaw!$B:$B,$B126,ConfirmedRaw!AY:AY)</f>
        <v>1</v>
      </c>
      <c r="AX126">
        <f>SUMIF(ConfirmedRaw!$B:$B,$B126,ConfirmedRaw!AZ:AZ)</f>
        <v>1</v>
      </c>
      <c r="AY126">
        <f>SUMIF(ConfirmedRaw!$B:$B,$B126,ConfirmedRaw!BA:BA)</f>
        <v>1</v>
      </c>
      <c r="AZ126">
        <f>SUMIF(ConfirmedRaw!$B:$B,$B126,ConfirmedRaw!BB:BB)</f>
        <v>1</v>
      </c>
      <c r="BA126">
        <f>SUMIF(ConfirmedRaw!$B:$B,$B126,ConfirmedRaw!BC:BC)</f>
        <v>1</v>
      </c>
      <c r="BB126">
        <f>SUMIF(ConfirmedRaw!$B:$B,$B126,ConfirmedRaw!BD:BD)</f>
        <v>1</v>
      </c>
      <c r="BC126">
        <f>SUMIF(ConfirmedRaw!$B:$B,$B126,ConfirmedRaw!BE:BE)</f>
        <v>1</v>
      </c>
      <c r="BD126">
        <f>SUMIF(ConfirmedRaw!$B:$B,$B126,ConfirmedRaw!BF:BF)</f>
        <v>1</v>
      </c>
      <c r="BE126">
        <f>SUMIF(ConfirmedRaw!$B:$B,$B126,ConfirmedRaw!BG:BG)</f>
        <v>1</v>
      </c>
      <c r="BF126">
        <f>SUMIF(ConfirmedRaw!$B:$B,$B126,ConfirmedRaw!BH:BH)</f>
        <v>1</v>
      </c>
      <c r="BG126">
        <f>SUMIF(ConfirmedRaw!$B:$B,$B126,ConfirmedRaw!BI:BI)</f>
        <v>1</v>
      </c>
      <c r="BH126">
        <f>SUMIF(ConfirmedRaw!$B:$B,$B126,ConfirmedRaw!BJ:BJ)</f>
        <v>1</v>
      </c>
      <c r="BI126">
        <f>SUMIF(ConfirmedRaw!$B:$B,$B126,ConfirmedRaw!BK:BK)</f>
        <v>9</v>
      </c>
      <c r="BJ126">
        <f>SUMIF(ConfirmedRaw!$B:$B,$B126,ConfirmedRaw!BL:BL)</f>
        <v>16</v>
      </c>
      <c r="BK126">
        <f>SUMIF(ConfirmedRaw!$B:$B,$B126,ConfirmedRaw!BM:BM)</f>
        <v>16</v>
      </c>
      <c r="BL126">
        <f>SUMIF(ConfirmedRaw!$B:$B,$B126,ConfirmedRaw!BN:BN)</f>
        <v>18</v>
      </c>
      <c r="BM126">
        <f>SUMIF(ConfirmedRaw!$B:$B,$B126,ConfirmedRaw!BO:BO)</f>
        <v>20</v>
      </c>
      <c r="BN126">
        <f>SUMIF(ConfirmedRaw!$B:$B,$B126,ConfirmedRaw!BP:BP)</f>
        <v>23</v>
      </c>
      <c r="BO126">
        <f>SUMIF(ConfirmedRaw!$B:$B,$B126,ConfirmedRaw!BQ:BQ)</f>
        <v>23</v>
      </c>
      <c r="BP126">
        <f>SUMIF(ConfirmedRaw!$B:$B,$B126,ConfirmedRaw!BR:BR)</f>
        <v>25</v>
      </c>
      <c r="BQ126">
        <f>SUMIF(ConfirmedRaw!$B:$B,$B126,ConfirmedRaw!BS:BS)</f>
        <v>25</v>
      </c>
      <c r="BR126">
        <f>SUMIF(ConfirmedRaw!$B:$B,$B126,ConfirmedRaw!BT:BT)</f>
        <v>0</v>
      </c>
      <c r="BS126">
        <f>SUMIF(ConfirmedRaw!$B:$B,$B126,ConfirmedRaw!BU:BU)</f>
        <v>0</v>
      </c>
      <c r="BT126">
        <f>SUMIF(ConfirmedRaw!$B:$B,$B126,ConfirmedRaw!BV:BV)</f>
        <v>0</v>
      </c>
      <c r="BU126">
        <f>SUMIF(ConfirmedRaw!$B:$B,$B126,ConfirmedRaw!BW:BW)</f>
        <v>0</v>
      </c>
    </row>
    <row r="127" spans="1:73" x14ac:dyDescent="0.3">
      <c r="A127" s="97"/>
      <c r="B127" s="2" t="s">
        <v>606</v>
      </c>
      <c r="C127">
        <f t="shared" ref="C127:AH127" si="0">SUM(C2:C126)</f>
        <v>555</v>
      </c>
      <c r="D127">
        <f t="shared" si="0"/>
        <v>654</v>
      </c>
      <c r="E127">
        <f t="shared" si="0"/>
        <v>941</v>
      </c>
      <c r="F127">
        <f t="shared" si="0"/>
        <v>1434</v>
      </c>
      <c r="G127">
        <f t="shared" si="0"/>
        <v>2118</v>
      </c>
      <c r="H127">
        <f t="shared" si="0"/>
        <v>2927</v>
      </c>
      <c r="I127">
        <f t="shared" si="0"/>
        <v>5578</v>
      </c>
      <c r="J127">
        <f t="shared" si="0"/>
        <v>6166</v>
      </c>
      <c r="K127">
        <f t="shared" si="0"/>
        <v>8234</v>
      </c>
      <c r="L127">
        <f t="shared" si="0"/>
        <v>9927</v>
      </c>
      <c r="M127">
        <f t="shared" si="0"/>
        <v>12038</v>
      </c>
      <c r="N127">
        <f t="shared" si="0"/>
        <v>16787</v>
      </c>
      <c r="O127">
        <f t="shared" si="0"/>
        <v>19881</v>
      </c>
      <c r="P127">
        <f t="shared" si="0"/>
        <v>23892</v>
      </c>
      <c r="Q127">
        <f t="shared" si="0"/>
        <v>27635</v>
      </c>
      <c r="R127">
        <f t="shared" si="0"/>
        <v>30794</v>
      </c>
      <c r="S127">
        <f t="shared" si="0"/>
        <v>34330</v>
      </c>
      <c r="T127">
        <f t="shared" si="0"/>
        <v>37059</v>
      </c>
      <c r="U127">
        <f t="shared" si="0"/>
        <v>40086</v>
      </c>
      <c r="V127">
        <f t="shared" si="0"/>
        <v>42627</v>
      </c>
      <c r="W127">
        <f t="shared" si="0"/>
        <v>44667</v>
      </c>
      <c r="X127">
        <f t="shared" si="0"/>
        <v>50287</v>
      </c>
      <c r="Y127">
        <f t="shared" si="0"/>
        <v>60193</v>
      </c>
      <c r="Z127">
        <f t="shared" si="0"/>
        <v>66667</v>
      </c>
      <c r="AA127">
        <f t="shared" si="0"/>
        <v>68745</v>
      </c>
      <c r="AB127">
        <f t="shared" si="0"/>
        <v>70869</v>
      </c>
      <c r="AC127">
        <f t="shared" si="0"/>
        <v>72804</v>
      </c>
      <c r="AD127">
        <f t="shared" si="0"/>
        <v>74594</v>
      </c>
      <c r="AE127">
        <f t="shared" si="0"/>
        <v>75018</v>
      </c>
      <c r="AF127">
        <f t="shared" si="0"/>
        <v>75563</v>
      </c>
      <c r="AG127">
        <f t="shared" si="0"/>
        <v>76185</v>
      </c>
      <c r="AH127">
        <f t="shared" si="0"/>
        <v>77938</v>
      </c>
      <c r="AI127">
        <f t="shared" ref="AI127:BN127" si="1">SUM(AI2:AI126)</f>
        <v>78267</v>
      </c>
      <c r="AJ127">
        <f t="shared" si="1"/>
        <v>78870</v>
      </c>
      <c r="AK127">
        <f t="shared" si="1"/>
        <v>79715</v>
      </c>
      <c r="AL127">
        <f t="shared" si="1"/>
        <v>80683</v>
      </c>
      <c r="AM127">
        <f t="shared" si="1"/>
        <v>82041</v>
      </c>
      <c r="AN127">
        <f t="shared" si="1"/>
        <v>83407</v>
      </c>
      <c r="AO127">
        <f t="shared" si="1"/>
        <v>85306</v>
      </c>
      <c r="AP127">
        <f t="shared" si="1"/>
        <v>87664</v>
      </c>
      <c r="AQ127">
        <f t="shared" si="1"/>
        <v>89601</v>
      </c>
      <c r="AR127">
        <f t="shared" si="1"/>
        <v>92134</v>
      </c>
      <c r="AS127">
        <f t="shared" si="1"/>
        <v>94414</v>
      </c>
      <c r="AT127">
        <f t="shared" si="1"/>
        <v>97176</v>
      </c>
      <c r="AU127">
        <f t="shared" si="1"/>
        <v>101088</v>
      </c>
      <c r="AV127">
        <f t="shared" si="1"/>
        <v>105125</v>
      </c>
      <c r="AW127">
        <f t="shared" si="1"/>
        <v>109099</v>
      </c>
      <c r="AX127">
        <f t="shared" si="1"/>
        <v>112865</v>
      </c>
      <c r="AY127">
        <f t="shared" si="1"/>
        <v>117888</v>
      </c>
      <c r="AZ127">
        <f t="shared" si="1"/>
        <v>125139</v>
      </c>
      <c r="BA127">
        <f t="shared" si="1"/>
        <v>132517</v>
      </c>
      <c r="BB127">
        <f t="shared" si="1"/>
        <v>144468</v>
      </c>
      <c r="BC127">
        <f t="shared" si="1"/>
        <v>155337</v>
      </c>
      <c r="BD127">
        <f t="shared" si="1"/>
        <v>167781</v>
      </c>
      <c r="BE127">
        <f t="shared" si="1"/>
        <v>180762</v>
      </c>
      <c r="BF127">
        <f t="shared" si="1"/>
        <v>196234</v>
      </c>
      <c r="BG127">
        <f t="shared" si="1"/>
        <v>213897</v>
      </c>
      <c r="BH127">
        <f t="shared" si="1"/>
        <v>241500</v>
      </c>
      <c r="BI127">
        <f t="shared" si="1"/>
        <v>270949</v>
      </c>
      <c r="BJ127">
        <f t="shared" si="1"/>
        <v>303183</v>
      </c>
      <c r="BK127">
        <f t="shared" si="1"/>
        <v>335631</v>
      </c>
      <c r="BL127">
        <f t="shared" si="1"/>
        <v>376812</v>
      </c>
      <c r="BM127">
        <f t="shared" si="1"/>
        <v>416496</v>
      </c>
      <c r="BN127">
        <f t="shared" si="1"/>
        <v>465942</v>
      </c>
      <c r="BO127">
        <f t="shared" ref="BO127:BU127" si="2">SUM(BO2:BO126)</f>
        <v>527572</v>
      </c>
      <c r="BP127">
        <f t="shared" si="2"/>
        <v>591115</v>
      </c>
      <c r="BQ127">
        <f t="shared" si="2"/>
        <v>658374</v>
      </c>
      <c r="BR127">
        <f t="shared" si="2"/>
        <v>0</v>
      </c>
      <c r="BS127">
        <f t="shared" si="2"/>
        <v>0</v>
      </c>
      <c r="BT127">
        <f t="shared" si="2"/>
        <v>0</v>
      </c>
      <c r="BU127">
        <f t="shared" si="2"/>
        <v>0</v>
      </c>
    </row>
    <row r="128" spans="1:73" x14ac:dyDescent="0.3">
      <c r="A128" s="97"/>
      <c r="B128" s="2" t="s">
        <v>608</v>
      </c>
      <c r="C128">
        <f t="shared" ref="C128:L133" si="3">SUMIFS(C$2:C$126,$A$2:$A$126,$B128)</f>
        <v>554</v>
      </c>
      <c r="D128">
        <f t="shared" si="3"/>
        <v>653</v>
      </c>
      <c r="E128">
        <f t="shared" si="3"/>
        <v>937</v>
      </c>
      <c r="F128">
        <f t="shared" si="3"/>
        <v>1429</v>
      </c>
      <c r="G128">
        <f t="shared" si="3"/>
        <v>2105</v>
      </c>
      <c r="H128">
        <f t="shared" si="3"/>
        <v>2911</v>
      </c>
      <c r="I128">
        <f t="shared" si="3"/>
        <v>5557</v>
      </c>
      <c r="J128">
        <f t="shared" si="3"/>
        <v>6138</v>
      </c>
      <c r="K128">
        <f t="shared" si="3"/>
        <v>8203</v>
      </c>
      <c r="L128">
        <f t="shared" si="3"/>
        <v>9886</v>
      </c>
      <c r="M128">
        <f t="shared" ref="M128:V133" si="4">SUMIFS(M$2:M$126,$A$2:$A$126,$B128)</f>
        <v>11988</v>
      </c>
      <c r="N128">
        <f t="shared" si="4"/>
        <v>16734</v>
      </c>
      <c r="O128">
        <f t="shared" si="4"/>
        <v>19823</v>
      </c>
      <c r="P128">
        <f t="shared" si="4"/>
        <v>23832</v>
      </c>
      <c r="Q128">
        <f t="shared" si="4"/>
        <v>27574</v>
      </c>
      <c r="R128">
        <f t="shared" si="4"/>
        <v>30732</v>
      </c>
      <c r="S128">
        <f t="shared" si="4"/>
        <v>34262</v>
      </c>
      <c r="T128">
        <f t="shared" si="4"/>
        <v>36984</v>
      </c>
      <c r="U128">
        <f t="shared" si="4"/>
        <v>40009</v>
      </c>
      <c r="V128">
        <f t="shared" si="4"/>
        <v>42544</v>
      </c>
      <c r="W128">
        <f t="shared" ref="W128:AF133" si="5">SUMIFS(W$2:W$126,$A$2:$A$126,$B128)</f>
        <v>44581</v>
      </c>
      <c r="X128">
        <f t="shared" si="5"/>
        <v>50200</v>
      </c>
      <c r="Y128">
        <f t="shared" si="5"/>
        <v>60105</v>
      </c>
      <c r="Z128">
        <f t="shared" si="5"/>
        <v>66578</v>
      </c>
      <c r="AA128">
        <f t="shared" si="5"/>
        <v>68655</v>
      </c>
      <c r="AB128">
        <f t="shared" si="5"/>
        <v>70778</v>
      </c>
      <c r="AC128">
        <f t="shared" si="5"/>
        <v>72712</v>
      </c>
      <c r="AD128">
        <f t="shared" si="5"/>
        <v>74502</v>
      </c>
      <c r="AE128">
        <f t="shared" si="5"/>
        <v>74924</v>
      </c>
      <c r="AF128">
        <f t="shared" si="5"/>
        <v>75466</v>
      </c>
      <c r="AG128">
        <f t="shared" ref="AG128:AP133" si="6">SUMIFS(AG$2:AG$126,$A$2:$A$126,$B128)</f>
        <v>76053</v>
      </c>
      <c r="AH128">
        <f t="shared" si="6"/>
        <v>77750</v>
      </c>
      <c r="AI128">
        <f t="shared" si="6"/>
        <v>77971</v>
      </c>
      <c r="AJ128">
        <f t="shared" si="6"/>
        <v>78435</v>
      </c>
      <c r="AK128">
        <f t="shared" si="6"/>
        <v>79108</v>
      </c>
      <c r="AL128">
        <f t="shared" si="6"/>
        <v>79831</v>
      </c>
      <c r="AM128">
        <f t="shared" si="6"/>
        <v>80796</v>
      </c>
      <c r="AN128">
        <f t="shared" si="6"/>
        <v>81712</v>
      </c>
      <c r="AO128">
        <f t="shared" si="6"/>
        <v>82985</v>
      </c>
      <c r="AP128">
        <f t="shared" si="6"/>
        <v>84174</v>
      </c>
      <c r="AQ128">
        <f t="shared" ref="AQ128:AZ133" si="7">SUMIFS(AQ$2:AQ$126,$A$2:$A$126,$B128)</f>
        <v>85004</v>
      </c>
      <c r="AR128">
        <f t="shared" si="7"/>
        <v>86010</v>
      </c>
      <c r="AS128">
        <f t="shared" si="7"/>
        <v>86645</v>
      </c>
      <c r="AT128">
        <f t="shared" si="7"/>
        <v>87311</v>
      </c>
      <c r="AU128">
        <f t="shared" si="7"/>
        <v>88093</v>
      </c>
      <c r="AV128">
        <f t="shared" si="7"/>
        <v>88691</v>
      </c>
      <c r="AW128">
        <f t="shared" si="7"/>
        <v>89110</v>
      </c>
      <c r="AX128">
        <f t="shared" si="7"/>
        <v>89366</v>
      </c>
      <c r="AY128">
        <f t="shared" si="7"/>
        <v>89578</v>
      </c>
      <c r="AZ128">
        <f t="shared" si="7"/>
        <v>90009</v>
      </c>
      <c r="BA128">
        <f t="shared" ref="BA128:BJ133" si="8">SUMIFS(BA$2:BA$126,$A$2:$A$126,$B128)</f>
        <v>90170</v>
      </c>
      <c r="BB128">
        <f t="shared" si="8"/>
        <v>90559</v>
      </c>
      <c r="BC128">
        <f t="shared" si="8"/>
        <v>90960</v>
      </c>
      <c r="BD128">
        <f t="shared" si="8"/>
        <v>91494</v>
      </c>
      <c r="BE128">
        <f t="shared" si="8"/>
        <v>91957</v>
      </c>
      <c r="BF128">
        <f t="shared" si="8"/>
        <v>92557</v>
      </c>
      <c r="BG128">
        <f t="shared" si="8"/>
        <v>93142</v>
      </c>
      <c r="BH128">
        <f t="shared" si="8"/>
        <v>93991</v>
      </c>
      <c r="BI128">
        <f t="shared" si="8"/>
        <v>94711</v>
      </c>
      <c r="BJ128">
        <f t="shared" si="8"/>
        <v>95824</v>
      </c>
      <c r="BK128">
        <f t="shared" ref="BK128:BU133" si="9">SUMIFS(BK$2:BK$126,$A$2:$A$126,$B128)</f>
        <v>96920</v>
      </c>
      <c r="BL128">
        <f t="shared" si="9"/>
        <v>97888</v>
      </c>
      <c r="BM128">
        <f t="shared" si="9"/>
        <v>98851</v>
      </c>
      <c r="BN128">
        <f t="shared" si="9"/>
        <v>100098</v>
      </c>
      <c r="BO128">
        <f t="shared" si="9"/>
        <v>101468</v>
      </c>
      <c r="BP128">
        <f t="shared" si="9"/>
        <v>102919</v>
      </c>
      <c r="BQ128">
        <f t="shared" si="9"/>
        <v>104697</v>
      </c>
      <c r="BR128">
        <f t="shared" si="9"/>
        <v>0</v>
      </c>
      <c r="BS128">
        <f t="shared" si="9"/>
        <v>0</v>
      </c>
      <c r="BT128">
        <f t="shared" si="9"/>
        <v>0</v>
      </c>
      <c r="BU128">
        <f t="shared" si="9"/>
        <v>0</v>
      </c>
    </row>
    <row r="129" spans="1:73" x14ac:dyDescent="0.3">
      <c r="A129" s="97"/>
      <c r="B129" s="2" t="s">
        <v>609</v>
      </c>
      <c r="C129">
        <f t="shared" si="3"/>
        <v>0</v>
      </c>
      <c r="D129">
        <f t="shared" si="3"/>
        <v>0</v>
      </c>
      <c r="E129">
        <f t="shared" si="3"/>
        <v>2</v>
      </c>
      <c r="F129">
        <f t="shared" si="3"/>
        <v>3</v>
      </c>
      <c r="G129">
        <f t="shared" si="3"/>
        <v>3</v>
      </c>
      <c r="H129">
        <f t="shared" si="3"/>
        <v>4</v>
      </c>
      <c r="I129">
        <f t="shared" si="3"/>
        <v>8</v>
      </c>
      <c r="J129">
        <f t="shared" si="3"/>
        <v>10</v>
      </c>
      <c r="K129">
        <f t="shared" si="3"/>
        <v>10</v>
      </c>
      <c r="L129">
        <f t="shared" si="3"/>
        <v>16</v>
      </c>
      <c r="M129">
        <f t="shared" si="4"/>
        <v>21</v>
      </c>
      <c r="N129">
        <f t="shared" si="4"/>
        <v>23</v>
      </c>
      <c r="O129">
        <f t="shared" si="4"/>
        <v>25</v>
      </c>
      <c r="P129">
        <f t="shared" si="4"/>
        <v>26</v>
      </c>
      <c r="Q129">
        <f t="shared" si="4"/>
        <v>26</v>
      </c>
      <c r="R129">
        <f t="shared" si="4"/>
        <v>26</v>
      </c>
      <c r="S129">
        <f t="shared" si="4"/>
        <v>29</v>
      </c>
      <c r="T129">
        <f t="shared" si="4"/>
        <v>34</v>
      </c>
      <c r="U129">
        <f t="shared" si="4"/>
        <v>36</v>
      </c>
      <c r="V129">
        <f t="shared" si="4"/>
        <v>41</v>
      </c>
      <c r="W129">
        <f t="shared" si="5"/>
        <v>43</v>
      </c>
      <c r="X129">
        <f t="shared" si="5"/>
        <v>44</v>
      </c>
      <c r="Y129">
        <f t="shared" si="5"/>
        <v>44</v>
      </c>
      <c r="Z129">
        <f t="shared" si="5"/>
        <v>44</v>
      </c>
      <c r="AA129">
        <f t="shared" si="5"/>
        <v>45</v>
      </c>
      <c r="AB129">
        <f t="shared" si="5"/>
        <v>45</v>
      </c>
      <c r="AC129">
        <f t="shared" si="5"/>
        <v>45</v>
      </c>
      <c r="AD129">
        <f t="shared" si="5"/>
        <v>45</v>
      </c>
      <c r="AE129">
        <f t="shared" si="5"/>
        <v>45</v>
      </c>
      <c r="AF129">
        <f t="shared" si="5"/>
        <v>45</v>
      </c>
      <c r="AG129">
        <f t="shared" si="6"/>
        <v>62</v>
      </c>
      <c r="AH129">
        <f t="shared" si="6"/>
        <v>104</v>
      </c>
      <c r="AI129">
        <f t="shared" si="6"/>
        <v>197</v>
      </c>
      <c r="AJ129">
        <f t="shared" si="6"/>
        <v>275</v>
      </c>
      <c r="AK129">
        <f t="shared" si="6"/>
        <v>379</v>
      </c>
      <c r="AL129">
        <f t="shared" si="6"/>
        <v>540</v>
      </c>
      <c r="AM129">
        <f t="shared" si="6"/>
        <v>804</v>
      </c>
      <c r="AN129">
        <f t="shared" si="6"/>
        <v>1093</v>
      </c>
      <c r="AO129">
        <f t="shared" si="6"/>
        <v>1465</v>
      </c>
      <c r="AP129">
        <f t="shared" si="6"/>
        <v>2205</v>
      </c>
      <c r="AQ129">
        <f t="shared" si="7"/>
        <v>2731</v>
      </c>
      <c r="AR129">
        <f t="shared" si="7"/>
        <v>3360</v>
      </c>
      <c r="AS129">
        <f t="shared" si="7"/>
        <v>4342</v>
      </c>
      <c r="AT129">
        <f t="shared" si="7"/>
        <v>5743</v>
      </c>
      <c r="AU129">
        <f t="shared" si="7"/>
        <v>7509</v>
      </c>
      <c r="AV129">
        <f t="shared" si="7"/>
        <v>9653</v>
      </c>
      <c r="AW129">
        <f t="shared" si="7"/>
        <v>12202</v>
      </c>
      <c r="AX129">
        <f t="shared" si="7"/>
        <v>14988</v>
      </c>
      <c r="AY129">
        <f t="shared" si="7"/>
        <v>18391</v>
      </c>
      <c r="AZ129">
        <f t="shared" si="7"/>
        <v>23465</v>
      </c>
      <c r="BA129">
        <f t="shared" si="8"/>
        <v>29097</v>
      </c>
      <c r="BB129">
        <f t="shared" si="8"/>
        <v>38314</v>
      </c>
      <c r="BC129">
        <f t="shared" si="8"/>
        <v>46524</v>
      </c>
      <c r="BD129">
        <f t="shared" si="8"/>
        <v>56031</v>
      </c>
      <c r="BE129">
        <f t="shared" si="8"/>
        <v>65711</v>
      </c>
      <c r="BF129">
        <f t="shared" si="8"/>
        <v>76893</v>
      </c>
      <c r="BG129">
        <f t="shared" si="8"/>
        <v>90579</v>
      </c>
      <c r="BH129">
        <f t="shared" si="8"/>
        <v>109054</v>
      </c>
      <c r="BI129">
        <f t="shared" si="8"/>
        <v>129704</v>
      </c>
      <c r="BJ129">
        <f t="shared" si="8"/>
        <v>151490</v>
      </c>
      <c r="BK129">
        <f t="shared" si="9"/>
        <v>171175</v>
      </c>
      <c r="BL129">
        <f t="shared" si="9"/>
        <v>196940</v>
      </c>
      <c r="BM129">
        <f t="shared" si="9"/>
        <v>220914</v>
      </c>
      <c r="BN129">
        <f t="shared" si="9"/>
        <v>251069</v>
      </c>
      <c r="BO129">
        <f t="shared" si="9"/>
        <v>287075</v>
      </c>
      <c r="BP129">
        <f t="shared" si="9"/>
        <v>324624</v>
      </c>
      <c r="BQ129">
        <f t="shared" si="9"/>
        <v>362825</v>
      </c>
      <c r="BR129">
        <f t="shared" si="9"/>
        <v>0</v>
      </c>
      <c r="BS129">
        <f t="shared" si="9"/>
        <v>0</v>
      </c>
      <c r="BT129">
        <f t="shared" si="9"/>
        <v>0</v>
      </c>
      <c r="BU129">
        <f t="shared" si="9"/>
        <v>0</v>
      </c>
    </row>
    <row r="130" spans="1:73" x14ac:dyDescent="0.3">
      <c r="A130" s="97"/>
      <c r="B130" s="2" t="s">
        <v>611</v>
      </c>
      <c r="C130">
        <f t="shared" si="3"/>
        <v>1</v>
      </c>
      <c r="D130">
        <f t="shared" si="3"/>
        <v>1</v>
      </c>
      <c r="E130">
        <f t="shared" si="3"/>
        <v>2</v>
      </c>
      <c r="F130">
        <f t="shared" si="3"/>
        <v>2</v>
      </c>
      <c r="G130">
        <f t="shared" si="3"/>
        <v>6</v>
      </c>
      <c r="H130">
        <f t="shared" si="3"/>
        <v>6</v>
      </c>
      <c r="I130">
        <f t="shared" si="3"/>
        <v>7</v>
      </c>
      <c r="J130">
        <f t="shared" si="3"/>
        <v>7</v>
      </c>
      <c r="K130">
        <f t="shared" si="3"/>
        <v>7</v>
      </c>
      <c r="L130">
        <f t="shared" si="3"/>
        <v>11</v>
      </c>
      <c r="M130">
        <f t="shared" si="4"/>
        <v>12</v>
      </c>
      <c r="N130">
        <f t="shared" si="4"/>
        <v>12</v>
      </c>
      <c r="O130">
        <f t="shared" si="4"/>
        <v>15</v>
      </c>
      <c r="P130">
        <f t="shared" si="4"/>
        <v>15</v>
      </c>
      <c r="Q130">
        <f t="shared" si="4"/>
        <v>16</v>
      </c>
      <c r="R130">
        <f t="shared" si="4"/>
        <v>16</v>
      </c>
      <c r="S130">
        <f t="shared" si="4"/>
        <v>18</v>
      </c>
      <c r="T130">
        <f t="shared" si="4"/>
        <v>18</v>
      </c>
      <c r="U130">
        <f t="shared" si="4"/>
        <v>18</v>
      </c>
      <c r="V130">
        <f t="shared" si="4"/>
        <v>18</v>
      </c>
      <c r="W130">
        <f t="shared" si="5"/>
        <v>19</v>
      </c>
      <c r="X130">
        <f t="shared" si="5"/>
        <v>19</v>
      </c>
      <c r="Y130">
        <f t="shared" si="5"/>
        <v>20</v>
      </c>
      <c r="Z130">
        <f t="shared" si="5"/>
        <v>20</v>
      </c>
      <c r="AA130">
        <f t="shared" si="5"/>
        <v>20</v>
      </c>
      <c r="AB130">
        <f t="shared" si="5"/>
        <v>20</v>
      </c>
      <c r="AC130">
        <f t="shared" si="5"/>
        <v>21</v>
      </c>
      <c r="AD130">
        <f t="shared" si="5"/>
        <v>21</v>
      </c>
      <c r="AE130">
        <f t="shared" si="5"/>
        <v>21</v>
      </c>
      <c r="AF130">
        <f t="shared" si="5"/>
        <v>21</v>
      </c>
      <c r="AG130">
        <f t="shared" si="6"/>
        <v>24</v>
      </c>
      <c r="AH130">
        <f t="shared" si="6"/>
        <v>24</v>
      </c>
      <c r="AI130">
        <f t="shared" si="6"/>
        <v>24</v>
      </c>
      <c r="AJ130">
        <f t="shared" si="6"/>
        <v>61</v>
      </c>
      <c r="AK130">
        <f t="shared" si="6"/>
        <v>62</v>
      </c>
      <c r="AL130">
        <f t="shared" si="6"/>
        <v>68</v>
      </c>
      <c r="AM130">
        <f t="shared" si="6"/>
        <v>71</v>
      </c>
      <c r="AN130">
        <f t="shared" si="6"/>
        <v>75</v>
      </c>
      <c r="AO130">
        <f t="shared" si="6"/>
        <v>92</v>
      </c>
      <c r="AP130">
        <f t="shared" si="6"/>
        <v>103</v>
      </c>
      <c r="AQ130">
        <f t="shared" si="7"/>
        <v>130</v>
      </c>
      <c r="AR130">
        <f t="shared" si="7"/>
        <v>153</v>
      </c>
      <c r="AS130">
        <f t="shared" si="7"/>
        <v>187</v>
      </c>
      <c r="AT130">
        <f t="shared" si="7"/>
        <v>259</v>
      </c>
      <c r="AU130">
        <f t="shared" si="7"/>
        <v>318</v>
      </c>
      <c r="AV130">
        <f t="shared" si="7"/>
        <v>463</v>
      </c>
      <c r="AW130">
        <f t="shared" si="7"/>
        <v>594</v>
      </c>
      <c r="AX130">
        <f t="shared" si="7"/>
        <v>676</v>
      </c>
      <c r="AY130">
        <f t="shared" si="7"/>
        <v>1055</v>
      </c>
      <c r="AZ130">
        <f t="shared" si="7"/>
        <v>1419</v>
      </c>
      <c r="BA130">
        <f t="shared" si="8"/>
        <v>1830</v>
      </c>
      <c r="BB130">
        <f t="shared" si="8"/>
        <v>2447</v>
      </c>
      <c r="BC130">
        <f t="shared" si="8"/>
        <v>3026</v>
      </c>
      <c r="BD130">
        <f t="shared" si="8"/>
        <v>3877</v>
      </c>
      <c r="BE130">
        <f t="shared" si="8"/>
        <v>5205</v>
      </c>
      <c r="BF130">
        <f t="shared" si="8"/>
        <v>7109</v>
      </c>
      <c r="BG130">
        <f t="shared" si="8"/>
        <v>8690</v>
      </c>
      <c r="BH130">
        <f t="shared" si="8"/>
        <v>14800</v>
      </c>
      <c r="BI130">
        <f t="shared" si="8"/>
        <v>20466</v>
      </c>
      <c r="BJ130">
        <f t="shared" si="8"/>
        <v>27324</v>
      </c>
      <c r="BK130">
        <f t="shared" si="9"/>
        <v>35498</v>
      </c>
      <c r="BL130">
        <f t="shared" si="9"/>
        <v>46816</v>
      </c>
      <c r="BM130">
        <f t="shared" si="9"/>
        <v>57491</v>
      </c>
      <c r="BN130">
        <f t="shared" si="9"/>
        <v>70164</v>
      </c>
      <c r="BO130">
        <f t="shared" si="9"/>
        <v>89242</v>
      </c>
      <c r="BP130">
        <f t="shared" si="9"/>
        <v>107974</v>
      </c>
      <c r="BQ130">
        <f t="shared" si="9"/>
        <v>129008</v>
      </c>
      <c r="BR130">
        <f t="shared" si="9"/>
        <v>0</v>
      </c>
      <c r="BS130">
        <f t="shared" si="9"/>
        <v>0</v>
      </c>
      <c r="BT130">
        <f t="shared" si="9"/>
        <v>0</v>
      </c>
      <c r="BU130">
        <f t="shared" si="9"/>
        <v>0</v>
      </c>
    </row>
    <row r="131" spans="1:73" x14ac:dyDescent="0.3">
      <c r="A131" s="97"/>
      <c r="B131" s="2" t="s">
        <v>612</v>
      </c>
      <c r="C131">
        <f t="shared" si="3"/>
        <v>0</v>
      </c>
      <c r="D131">
        <f t="shared" si="3"/>
        <v>0</v>
      </c>
      <c r="E131">
        <f t="shared" si="3"/>
        <v>0</v>
      </c>
      <c r="F131">
        <f t="shared" si="3"/>
        <v>0</v>
      </c>
      <c r="G131">
        <f t="shared" si="3"/>
        <v>0</v>
      </c>
      <c r="H131">
        <f t="shared" si="3"/>
        <v>1</v>
      </c>
      <c r="I131">
        <f t="shared" si="3"/>
        <v>1</v>
      </c>
      <c r="J131">
        <f t="shared" si="3"/>
        <v>1</v>
      </c>
      <c r="K131">
        <f t="shared" si="3"/>
        <v>1</v>
      </c>
      <c r="L131">
        <f t="shared" si="3"/>
        <v>1</v>
      </c>
      <c r="M131">
        <f t="shared" si="4"/>
        <v>1</v>
      </c>
      <c r="N131">
        <f t="shared" si="4"/>
        <v>1</v>
      </c>
      <c r="O131">
        <f t="shared" si="4"/>
        <v>1</v>
      </c>
      <c r="P131">
        <f t="shared" si="4"/>
        <v>1</v>
      </c>
      <c r="Q131">
        <f t="shared" si="4"/>
        <v>1</v>
      </c>
      <c r="R131">
        <f t="shared" si="4"/>
        <v>1</v>
      </c>
      <c r="S131">
        <f t="shared" si="4"/>
        <v>1</v>
      </c>
      <c r="T131">
        <f t="shared" si="4"/>
        <v>1</v>
      </c>
      <c r="U131">
        <f t="shared" si="4"/>
        <v>1</v>
      </c>
      <c r="V131">
        <f t="shared" si="4"/>
        <v>1</v>
      </c>
      <c r="W131">
        <f t="shared" si="5"/>
        <v>1</v>
      </c>
      <c r="X131">
        <f t="shared" si="5"/>
        <v>1</v>
      </c>
      <c r="Y131">
        <f t="shared" si="5"/>
        <v>1</v>
      </c>
      <c r="Z131">
        <f t="shared" si="5"/>
        <v>1</v>
      </c>
      <c r="AA131">
        <f t="shared" si="5"/>
        <v>1</v>
      </c>
      <c r="AB131">
        <f t="shared" si="5"/>
        <v>1</v>
      </c>
      <c r="AC131">
        <f t="shared" si="5"/>
        <v>1</v>
      </c>
      <c r="AD131">
        <f t="shared" si="5"/>
        <v>1</v>
      </c>
      <c r="AE131">
        <f t="shared" si="5"/>
        <v>1</v>
      </c>
      <c r="AF131">
        <f t="shared" si="5"/>
        <v>1</v>
      </c>
      <c r="AG131">
        <f t="shared" si="6"/>
        <v>1</v>
      </c>
      <c r="AH131">
        <f t="shared" si="6"/>
        <v>1</v>
      </c>
      <c r="AI131">
        <f t="shared" si="6"/>
        <v>1</v>
      </c>
      <c r="AJ131">
        <f t="shared" si="6"/>
        <v>1</v>
      </c>
      <c r="AK131">
        <f t="shared" si="6"/>
        <v>1</v>
      </c>
      <c r="AL131">
        <f t="shared" si="6"/>
        <v>2</v>
      </c>
      <c r="AM131">
        <f t="shared" si="6"/>
        <v>2</v>
      </c>
      <c r="AN131">
        <f t="shared" si="6"/>
        <v>2</v>
      </c>
      <c r="AO131">
        <f t="shared" si="6"/>
        <v>3</v>
      </c>
      <c r="AP131">
        <f t="shared" si="6"/>
        <v>10</v>
      </c>
      <c r="AQ131">
        <f t="shared" si="7"/>
        <v>10</v>
      </c>
      <c r="AR131">
        <f t="shared" si="7"/>
        <v>13</v>
      </c>
      <c r="AS131">
        <f t="shared" si="7"/>
        <v>18</v>
      </c>
      <c r="AT131">
        <f t="shared" si="7"/>
        <v>24</v>
      </c>
      <c r="AU131">
        <f t="shared" si="7"/>
        <v>37</v>
      </c>
      <c r="AV131">
        <f t="shared" si="7"/>
        <v>43</v>
      </c>
      <c r="AW131">
        <f t="shared" si="7"/>
        <v>69</v>
      </c>
      <c r="AX131">
        <f t="shared" si="7"/>
        <v>76</v>
      </c>
      <c r="AY131">
        <f t="shared" si="7"/>
        <v>98</v>
      </c>
      <c r="AZ131">
        <f t="shared" si="7"/>
        <v>134</v>
      </c>
      <c r="BA131">
        <f t="shared" si="8"/>
        <v>153</v>
      </c>
      <c r="BB131">
        <f t="shared" si="8"/>
        <v>305</v>
      </c>
      <c r="BC131">
        <f t="shared" si="8"/>
        <v>371</v>
      </c>
      <c r="BD131">
        <f t="shared" si="8"/>
        <v>427</v>
      </c>
      <c r="BE131">
        <f t="shared" si="8"/>
        <v>635</v>
      </c>
      <c r="BF131">
        <f t="shared" si="8"/>
        <v>919</v>
      </c>
      <c r="BG131">
        <f t="shared" si="8"/>
        <v>1133</v>
      </c>
      <c r="BH131">
        <f t="shared" si="8"/>
        <v>1604</v>
      </c>
      <c r="BI131">
        <f t="shared" si="8"/>
        <v>2266</v>
      </c>
      <c r="BJ131">
        <f t="shared" si="8"/>
        <v>2969</v>
      </c>
      <c r="BK131">
        <f t="shared" si="9"/>
        <v>4204</v>
      </c>
      <c r="BL131">
        <f t="shared" si="9"/>
        <v>5055</v>
      </c>
      <c r="BM131">
        <f t="shared" si="9"/>
        <v>5926</v>
      </c>
      <c r="BN131">
        <f t="shared" si="9"/>
        <v>6804</v>
      </c>
      <c r="BO131">
        <f t="shared" si="9"/>
        <v>7992</v>
      </c>
      <c r="BP131">
        <f t="shared" si="9"/>
        <v>9251</v>
      </c>
      <c r="BQ131">
        <f t="shared" si="9"/>
        <v>10656</v>
      </c>
      <c r="BR131">
        <f t="shared" si="9"/>
        <v>0</v>
      </c>
      <c r="BS131">
        <f t="shared" si="9"/>
        <v>0</v>
      </c>
      <c r="BT131">
        <f t="shared" si="9"/>
        <v>0</v>
      </c>
      <c r="BU131">
        <f t="shared" si="9"/>
        <v>0</v>
      </c>
    </row>
    <row r="132" spans="1:73" x14ac:dyDescent="0.3">
      <c r="A132" s="97"/>
      <c r="B132" s="2" t="s">
        <v>613</v>
      </c>
      <c r="C132">
        <f t="shared" si="3"/>
        <v>0</v>
      </c>
      <c r="D132">
        <f t="shared" si="3"/>
        <v>0</v>
      </c>
      <c r="E132">
        <f t="shared" si="3"/>
        <v>0</v>
      </c>
      <c r="F132">
        <f t="shared" si="3"/>
        <v>0</v>
      </c>
      <c r="G132">
        <f t="shared" si="3"/>
        <v>0</v>
      </c>
      <c r="H132">
        <f t="shared" si="3"/>
        <v>0</v>
      </c>
      <c r="I132">
        <f t="shared" si="3"/>
        <v>0</v>
      </c>
      <c r="J132">
        <f t="shared" si="3"/>
        <v>0</v>
      </c>
      <c r="K132">
        <f t="shared" si="3"/>
        <v>0</v>
      </c>
      <c r="L132">
        <f t="shared" si="3"/>
        <v>0</v>
      </c>
      <c r="M132">
        <f t="shared" si="4"/>
        <v>0</v>
      </c>
      <c r="N132">
        <f t="shared" si="4"/>
        <v>0</v>
      </c>
      <c r="O132">
        <f t="shared" si="4"/>
        <v>0</v>
      </c>
      <c r="P132">
        <f t="shared" si="4"/>
        <v>0</v>
      </c>
      <c r="Q132">
        <f t="shared" si="4"/>
        <v>0</v>
      </c>
      <c r="R132">
        <f t="shared" si="4"/>
        <v>0</v>
      </c>
      <c r="S132">
        <f t="shared" si="4"/>
        <v>0</v>
      </c>
      <c r="T132">
        <f t="shared" si="4"/>
        <v>0</v>
      </c>
      <c r="U132">
        <f t="shared" si="4"/>
        <v>0</v>
      </c>
      <c r="V132">
        <f t="shared" si="4"/>
        <v>0</v>
      </c>
      <c r="W132">
        <f t="shared" si="5"/>
        <v>0</v>
      </c>
      <c r="X132">
        <f t="shared" si="5"/>
        <v>0</v>
      </c>
      <c r="Y132">
        <f t="shared" si="5"/>
        <v>0</v>
      </c>
      <c r="Z132">
        <f t="shared" si="5"/>
        <v>1</v>
      </c>
      <c r="AA132">
        <f t="shared" si="5"/>
        <v>1</v>
      </c>
      <c r="AB132">
        <f t="shared" si="5"/>
        <v>1</v>
      </c>
      <c r="AC132">
        <f t="shared" si="5"/>
        <v>1</v>
      </c>
      <c r="AD132">
        <f t="shared" si="5"/>
        <v>1</v>
      </c>
      <c r="AE132">
        <f t="shared" si="5"/>
        <v>1</v>
      </c>
      <c r="AF132">
        <f t="shared" si="5"/>
        <v>1</v>
      </c>
      <c r="AG132">
        <f t="shared" si="6"/>
        <v>1</v>
      </c>
      <c r="AH132">
        <f t="shared" si="6"/>
        <v>1</v>
      </c>
      <c r="AI132">
        <f t="shared" si="6"/>
        <v>1</v>
      </c>
      <c r="AJ132">
        <f t="shared" si="6"/>
        <v>1</v>
      </c>
      <c r="AK132">
        <f t="shared" si="6"/>
        <v>2</v>
      </c>
      <c r="AL132">
        <f t="shared" si="6"/>
        <v>2</v>
      </c>
      <c r="AM132">
        <f t="shared" si="6"/>
        <v>2</v>
      </c>
      <c r="AN132">
        <f t="shared" si="6"/>
        <v>3</v>
      </c>
      <c r="AO132">
        <f t="shared" si="6"/>
        <v>3</v>
      </c>
      <c r="AP132">
        <f t="shared" si="6"/>
        <v>4</v>
      </c>
      <c r="AQ132">
        <f t="shared" si="7"/>
        <v>8</v>
      </c>
      <c r="AR132">
        <f t="shared" si="7"/>
        <v>11</v>
      </c>
      <c r="AS132">
        <f t="shared" si="7"/>
        <v>21</v>
      </c>
      <c r="AT132">
        <f t="shared" si="7"/>
        <v>24</v>
      </c>
      <c r="AU132">
        <f t="shared" si="7"/>
        <v>43</v>
      </c>
      <c r="AV132">
        <f t="shared" si="7"/>
        <v>43</v>
      </c>
      <c r="AW132">
        <f t="shared" si="7"/>
        <v>83</v>
      </c>
      <c r="AX132">
        <f t="shared" si="7"/>
        <v>91</v>
      </c>
      <c r="AY132">
        <f t="shared" si="7"/>
        <v>104</v>
      </c>
      <c r="AZ132">
        <f t="shared" si="7"/>
        <v>118</v>
      </c>
      <c r="BA132">
        <f t="shared" si="8"/>
        <v>134</v>
      </c>
      <c r="BB132">
        <f t="shared" si="8"/>
        <v>177</v>
      </c>
      <c r="BC132">
        <f t="shared" si="8"/>
        <v>243</v>
      </c>
      <c r="BD132">
        <f t="shared" si="8"/>
        <v>296</v>
      </c>
      <c r="BE132">
        <f t="shared" si="8"/>
        <v>374</v>
      </c>
      <c r="BF132">
        <f t="shared" si="8"/>
        <v>453</v>
      </c>
      <c r="BG132">
        <f t="shared" si="8"/>
        <v>556</v>
      </c>
      <c r="BH132">
        <f t="shared" si="8"/>
        <v>720</v>
      </c>
      <c r="BI132">
        <f t="shared" si="8"/>
        <v>873</v>
      </c>
      <c r="BJ132">
        <f t="shared" si="8"/>
        <v>1062</v>
      </c>
      <c r="BK132">
        <f t="shared" si="9"/>
        <v>1294</v>
      </c>
      <c r="BL132">
        <f t="shared" si="9"/>
        <v>1616</v>
      </c>
      <c r="BM132">
        <f t="shared" si="9"/>
        <v>1996</v>
      </c>
      <c r="BN132">
        <f t="shared" si="9"/>
        <v>2434</v>
      </c>
      <c r="BO132">
        <f t="shared" si="9"/>
        <v>2878</v>
      </c>
      <c r="BP132">
        <f t="shared" si="9"/>
        <v>3382</v>
      </c>
      <c r="BQ132">
        <f t="shared" si="9"/>
        <v>3672</v>
      </c>
      <c r="BR132">
        <f t="shared" si="9"/>
        <v>0</v>
      </c>
      <c r="BS132">
        <f t="shared" si="9"/>
        <v>0</v>
      </c>
      <c r="BT132">
        <f t="shared" si="9"/>
        <v>0</v>
      </c>
      <c r="BU132">
        <f t="shared" si="9"/>
        <v>0</v>
      </c>
    </row>
    <row r="133" spans="1:73" x14ac:dyDescent="0.3">
      <c r="A133" s="97"/>
      <c r="B133" s="2" t="s">
        <v>610</v>
      </c>
      <c r="C133">
        <f t="shared" si="3"/>
        <v>0</v>
      </c>
      <c r="D133">
        <f t="shared" si="3"/>
        <v>0</v>
      </c>
      <c r="E133">
        <f t="shared" si="3"/>
        <v>0</v>
      </c>
      <c r="F133">
        <f t="shared" si="3"/>
        <v>0</v>
      </c>
      <c r="G133">
        <f t="shared" si="3"/>
        <v>0</v>
      </c>
      <c r="H133">
        <f t="shared" si="3"/>
        <v>0</v>
      </c>
      <c r="I133">
        <f t="shared" si="3"/>
        <v>0</v>
      </c>
      <c r="J133">
        <f t="shared" si="3"/>
        <v>4</v>
      </c>
      <c r="K133">
        <f t="shared" si="3"/>
        <v>4</v>
      </c>
      <c r="L133">
        <f t="shared" si="3"/>
        <v>4</v>
      </c>
      <c r="M133">
        <f t="shared" si="4"/>
        <v>4</v>
      </c>
      <c r="N133">
        <f t="shared" si="4"/>
        <v>5</v>
      </c>
      <c r="O133">
        <f t="shared" si="4"/>
        <v>5</v>
      </c>
      <c r="P133">
        <f t="shared" si="4"/>
        <v>5</v>
      </c>
      <c r="Q133">
        <f t="shared" si="4"/>
        <v>5</v>
      </c>
      <c r="R133">
        <f t="shared" si="4"/>
        <v>5</v>
      </c>
      <c r="S133">
        <f t="shared" si="4"/>
        <v>5</v>
      </c>
      <c r="T133">
        <f t="shared" si="4"/>
        <v>7</v>
      </c>
      <c r="U133">
        <f t="shared" si="4"/>
        <v>7</v>
      </c>
      <c r="V133">
        <f t="shared" si="4"/>
        <v>8</v>
      </c>
      <c r="W133">
        <f t="shared" si="5"/>
        <v>8</v>
      </c>
      <c r="X133">
        <f t="shared" si="5"/>
        <v>8</v>
      </c>
      <c r="Y133">
        <f t="shared" si="5"/>
        <v>8</v>
      </c>
      <c r="Z133">
        <f t="shared" si="5"/>
        <v>8</v>
      </c>
      <c r="AA133">
        <f t="shared" si="5"/>
        <v>8</v>
      </c>
      <c r="AB133">
        <f t="shared" si="5"/>
        <v>9</v>
      </c>
      <c r="AC133">
        <f t="shared" si="5"/>
        <v>9</v>
      </c>
      <c r="AD133">
        <f t="shared" si="5"/>
        <v>9</v>
      </c>
      <c r="AE133">
        <f t="shared" si="5"/>
        <v>11</v>
      </c>
      <c r="AF133">
        <f t="shared" si="5"/>
        <v>14</v>
      </c>
      <c r="AG133">
        <f t="shared" si="6"/>
        <v>29</v>
      </c>
      <c r="AH133">
        <f t="shared" si="6"/>
        <v>43</v>
      </c>
      <c r="AI133">
        <f t="shared" si="6"/>
        <v>58</v>
      </c>
      <c r="AJ133">
        <f t="shared" si="6"/>
        <v>82</v>
      </c>
      <c r="AK133">
        <f t="shared" si="6"/>
        <v>148</v>
      </c>
      <c r="AL133">
        <f t="shared" si="6"/>
        <v>225</v>
      </c>
      <c r="AM133">
        <f t="shared" si="6"/>
        <v>351</v>
      </c>
      <c r="AN133">
        <f t="shared" si="6"/>
        <v>506</v>
      </c>
      <c r="AO133">
        <f t="shared" si="6"/>
        <v>732</v>
      </c>
      <c r="AP133">
        <f t="shared" si="6"/>
        <v>1140</v>
      </c>
      <c r="AQ133">
        <f t="shared" si="7"/>
        <v>1687</v>
      </c>
      <c r="AR133">
        <f t="shared" si="7"/>
        <v>2547</v>
      </c>
      <c r="AS133">
        <f t="shared" si="7"/>
        <v>3146</v>
      </c>
      <c r="AT133">
        <f t="shared" si="7"/>
        <v>3757</v>
      </c>
      <c r="AU133">
        <f t="shared" si="7"/>
        <v>5024</v>
      </c>
      <c r="AV133">
        <f t="shared" si="7"/>
        <v>6164</v>
      </c>
      <c r="AW133">
        <f t="shared" si="7"/>
        <v>6960</v>
      </c>
      <c r="AX133">
        <f t="shared" si="7"/>
        <v>7572</v>
      </c>
      <c r="AY133">
        <f t="shared" si="7"/>
        <v>8550</v>
      </c>
      <c r="AZ133">
        <f t="shared" si="7"/>
        <v>9861</v>
      </c>
      <c r="BA133">
        <f t="shared" si="8"/>
        <v>11000</v>
      </c>
      <c r="BB133">
        <f t="shared" si="8"/>
        <v>12461</v>
      </c>
      <c r="BC133">
        <f t="shared" si="8"/>
        <v>13957</v>
      </c>
      <c r="BD133">
        <f t="shared" si="8"/>
        <v>15351</v>
      </c>
      <c r="BE133">
        <f t="shared" si="8"/>
        <v>16495</v>
      </c>
      <c r="BF133">
        <f t="shared" si="8"/>
        <v>17839</v>
      </c>
      <c r="BG133">
        <f t="shared" si="8"/>
        <v>19209</v>
      </c>
      <c r="BH133">
        <f t="shared" si="8"/>
        <v>20622</v>
      </c>
      <c r="BI133">
        <f t="shared" si="8"/>
        <v>22099</v>
      </c>
      <c r="BJ133">
        <f t="shared" si="8"/>
        <v>23391</v>
      </c>
      <c r="BK133">
        <f t="shared" si="9"/>
        <v>24889</v>
      </c>
      <c r="BL133">
        <f t="shared" si="9"/>
        <v>26713</v>
      </c>
      <c r="BM133">
        <f t="shared" si="9"/>
        <v>29119</v>
      </c>
      <c r="BN133">
        <f t="shared" si="9"/>
        <v>32804</v>
      </c>
      <c r="BO133">
        <f t="shared" si="9"/>
        <v>35824</v>
      </c>
      <c r="BP133">
        <f t="shared" si="9"/>
        <v>39454</v>
      </c>
      <c r="BQ133">
        <f t="shared" si="9"/>
        <v>43425</v>
      </c>
      <c r="BR133">
        <f t="shared" si="9"/>
        <v>0</v>
      </c>
      <c r="BS133">
        <f t="shared" si="9"/>
        <v>0</v>
      </c>
      <c r="BT133">
        <f t="shared" si="9"/>
        <v>0</v>
      </c>
      <c r="BU133">
        <f t="shared" si="9"/>
        <v>0</v>
      </c>
    </row>
  </sheetData>
  <autoFilter ref="B1:BB1" xr:uid="{00000000-0009-0000-0000-000003000000}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7B25F-3ECE-4EFC-8B4F-479246052528}">
  <sheetPr codeName="Sheet9"/>
  <dimension ref="A1:BU133"/>
  <sheetViews>
    <sheetView workbookViewId="0">
      <pane xSplit="2" ySplit="1" topLeftCell="AV2" activePane="bottomRight" state="frozen"/>
      <selection pane="topRight" activeCell="B1" sqref="B1"/>
      <selection pane="bottomLeft" activeCell="A2" sqref="A2"/>
      <selection pane="bottomRight" activeCell="B2" sqref="B2:BX133"/>
    </sheetView>
  </sheetViews>
  <sheetFormatPr defaultRowHeight="14.4" x14ac:dyDescent="0.3"/>
  <cols>
    <col min="1" max="1" width="13.77734375" style="2" customWidth="1"/>
    <col min="2" max="2" width="13.77734375" style="2" bestFit="1" customWidth="1"/>
  </cols>
  <sheetData>
    <row r="1" spans="1:73" ht="15" thickBot="1" x14ac:dyDescent="0.35">
      <c r="C1" s="1">
        <v>43852</v>
      </c>
      <c r="D1" s="1">
        <v>43853</v>
      </c>
      <c r="E1" s="1">
        <v>43854</v>
      </c>
      <c r="F1" s="1">
        <v>43855</v>
      </c>
      <c r="G1" s="1">
        <v>43856</v>
      </c>
      <c r="H1" s="1">
        <v>43857</v>
      </c>
      <c r="I1" s="1">
        <v>43858</v>
      </c>
      <c r="J1" s="1">
        <v>43859</v>
      </c>
      <c r="K1" s="1">
        <v>43860</v>
      </c>
      <c r="L1" s="1">
        <v>43861</v>
      </c>
      <c r="M1" s="1">
        <v>43862</v>
      </c>
      <c r="N1" s="1">
        <v>43863</v>
      </c>
      <c r="O1" s="1">
        <v>43864</v>
      </c>
      <c r="P1" s="1">
        <v>43865</v>
      </c>
      <c r="Q1" s="1">
        <v>43866</v>
      </c>
      <c r="R1" s="1">
        <v>43867</v>
      </c>
      <c r="S1" s="1">
        <v>43868</v>
      </c>
      <c r="T1" s="1">
        <v>43869</v>
      </c>
      <c r="U1" s="1">
        <v>43870</v>
      </c>
      <c r="V1" s="1">
        <v>43871</v>
      </c>
      <c r="W1" s="1">
        <v>43872</v>
      </c>
      <c r="X1" s="1">
        <v>43873</v>
      </c>
      <c r="Y1" s="1">
        <v>43874</v>
      </c>
      <c r="Z1" s="1">
        <v>43875</v>
      </c>
      <c r="AA1" s="1">
        <v>43876</v>
      </c>
      <c r="AB1" s="1">
        <v>43877</v>
      </c>
      <c r="AC1" s="1">
        <v>43878</v>
      </c>
      <c r="AD1" s="1">
        <v>43879</v>
      </c>
      <c r="AE1" s="1">
        <v>43880</v>
      </c>
      <c r="AF1" s="1">
        <v>43881</v>
      </c>
      <c r="AG1" s="1">
        <v>43882</v>
      </c>
      <c r="AH1" s="1">
        <v>43883</v>
      </c>
      <c r="AI1" s="1">
        <v>43884</v>
      </c>
      <c r="AJ1" s="1">
        <v>43885</v>
      </c>
      <c r="AK1" s="1">
        <v>43886</v>
      </c>
      <c r="AL1" s="1">
        <v>43887</v>
      </c>
      <c r="AM1" s="1">
        <v>43888</v>
      </c>
      <c r="AN1" s="1">
        <v>43889</v>
      </c>
      <c r="AO1" s="1">
        <v>43890</v>
      </c>
      <c r="AP1" s="1">
        <v>43891</v>
      </c>
      <c r="AQ1" s="1">
        <v>43892</v>
      </c>
      <c r="AR1" s="1">
        <v>43893</v>
      </c>
      <c r="AS1" s="1">
        <v>43894</v>
      </c>
      <c r="AT1" s="1">
        <v>43895</v>
      </c>
      <c r="AU1" s="1">
        <v>43896</v>
      </c>
      <c r="AV1" s="1">
        <v>43897</v>
      </c>
      <c r="AW1" s="1">
        <v>43898</v>
      </c>
      <c r="AX1" s="1">
        <v>43899</v>
      </c>
      <c r="AY1" s="1">
        <v>43900</v>
      </c>
      <c r="AZ1" s="1">
        <v>43901</v>
      </c>
      <c r="BA1" s="1">
        <v>43902</v>
      </c>
      <c r="BB1" s="1">
        <v>43903</v>
      </c>
      <c r="BC1" s="1">
        <v>43904</v>
      </c>
      <c r="BD1" s="1">
        <v>43905</v>
      </c>
      <c r="BE1" s="1">
        <v>43906</v>
      </c>
      <c r="BF1" s="1">
        <v>43907</v>
      </c>
      <c r="BG1" s="1">
        <v>43908</v>
      </c>
      <c r="BH1" s="1">
        <v>43909</v>
      </c>
      <c r="BI1" s="1">
        <v>43910</v>
      </c>
      <c r="BJ1" s="1">
        <v>43911</v>
      </c>
      <c r="BK1" s="1">
        <v>43912</v>
      </c>
      <c r="BL1" s="1">
        <v>43913</v>
      </c>
      <c r="BM1" s="1">
        <v>43914</v>
      </c>
      <c r="BN1" s="1">
        <v>43915</v>
      </c>
      <c r="BO1" s="1">
        <v>43916</v>
      </c>
      <c r="BP1" s="1">
        <v>43917</v>
      </c>
      <c r="BQ1" s="1">
        <v>43918</v>
      </c>
      <c r="BR1" s="1">
        <v>43919</v>
      </c>
      <c r="BS1" s="1">
        <v>43920</v>
      </c>
      <c r="BT1" s="1">
        <v>43921</v>
      </c>
      <c r="BU1" s="1">
        <v>43922</v>
      </c>
    </row>
    <row r="2" spans="1:73" ht="15" thickBot="1" x14ac:dyDescent="0.35">
      <c r="A2" s="97" t="str">
        <f>VLOOKUP(B2,Country_Data!B:Q,16,FALSE)</f>
        <v>Asia</v>
      </c>
      <c r="B2" s="3" t="s">
        <v>337</v>
      </c>
      <c r="C2">
        <f>SUMIF(DeadRaw!$B:$B,$B2,DeadRaw!E:E)</f>
        <v>17</v>
      </c>
      <c r="D2">
        <f>SUMIF(DeadRaw!$B:$B,$B2,DeadRaw!F:F)</f>
        <v>18</v>
      </c>
      <c r="E2">
        <f>SUMIF(DeadRaw!$B:$B,$B2,DeadRaw!G:G)</f>
        <v>26</v>
      </c>
      <c r="F2">
        <f>SUMIF(DeadRaw!$B:$B,$B2,DeadRaw!H:H)</f>
        <v>42</v>
      </c>
      <c r="G2">
        <f>SUMIF(DeadRaw!$B:$B,$B2,DeadRaw!I:I)</f>
        <v>56</v>
      </c>
      <c r="H2">
        <f>SUMIF(DeadRaw!$B:$B,$B2,DeadRaw!J:J)</f>
        <v>82</v>
      </c>
      <c r="I2">
        <f>SUMIF(DeadRaw!$B:$B,$B2,DeadRaw!K:K)</f>
        <v>131</v>
      </c>
      <c r="J2">
        <f>SUMIF(DeadRaw!$B:$B,$B2,DeadRaw!L:L)</f>
        <v>133</v>
      </c>
      <c r="K2">
        <f>SUMIF(DeadRaw!$B:$B,$B2,DeadRaw!M:M)</f>
        <v>171</v>
      </c>
      <c r="L2">
        <f>SUMIF(DeadRaw!$B:$B,$B2,DeadRaw!N:N)</f>
        <v>213</v>
      </c>
      <c r="M2">
        <f>SUMIF(DeadRaw!$B:$B,$B2,DeadRaw!O:O)</f>
        <v>259</v>
      </c>
      <c r="N2">
        <f>SUMIF(DeadRaw!$B:$B,$B2,DeadRaw!P:P)</f>
        <v>361</v>
      </c>
      <c r="O2">
        <f>SUMIF(DeadRaw!$B:$B,$B2,DeadRaw!Q:Q)</f>
        <v>425</v>
      </c>
      <c r="P2">
        <f>SUMIF(DeadRaw!$B:$B,$B2,DeadRaw!R:R)</f>
        <v>491</v>
      </c>
      <c r="Q2">
        <f>SUMIF(DeadRaw!$B:$B,$B2,DeadRaw!S:S)</f>
        <v>563</v>
      </c>
      <c r="R2">
        <f>SUMIF(DeadRaw!$B:$B,$B2,DeadRaw!T:T)</f>
        <v>633</v>
      </c>
      <c r="S2">
        <f>SUMIF(DeadRaw!$B:$B,$B2,DeadRaw!U:U)</f>
        <v>718</v>
      </c>
      <c r="T2">
        <f>SUMIF(DeadRaw!$B:$B,$B2,DeadRaw!V:V)</f>
        <v>805</v>
      </c>
      <c r="U2">
        <f>SUMIF(DeadRaw!$B:$B,$B2,DeadRaw!W:W)</f>
        <v>905</v>
      </c>
      <c r="V2">
        <f>SUMIF(DeadRaw!$B:$B,$B2,DeadRaw!X:X)</f>
        <v>1012</v>
      </c>
      <c r="W2">
        <f>SUMIF(DeadRaw!$B:$B,$B2,DeadRaw!Y:Y)</f>
        <v>1112</v>
      </c>
      <c r="X2">
        <f>SUMIF(DeadRaw!$B:$B,$B2,DeadRaw!Z:Z)</f>
        <v>1117</v>
      </c>
      <c r="Y2">
        <f>SUMIF(DeadRaw!$B:$B,$B2,DeadRaw!AA:AA)</f>
        <v>1369</v>
      </c>
      <c r="Z2">
        <f>SUMIF(DeadRaw!$B:$B,$B2,DeadRaw!AB:AB)</f>
        <v>1521</v>
      </c>
      <c r="AA2">
        <f>SUMIF(DeadRaw!$B:$B,$B2,DeadRaw!AC:AC)</f>
        <v>1663</v>
      </c>
      <c r="AB2">
        <f>SUMIF(DeadRaw!$B:$B,$B2,DeadRaw!AD:AD)</f>
        <v>1766</v>
      </c>
      <c r="AC2">
        <f>SUMIF(DeadRaw!$B:$B,$B2,DeadRaw!AE:AE)</f>
        <v>1864</v>
      </c>
      <c r="AD2">
        <f>SUMIF(DeadRaw!$B:$B,$B2,DeadRaw!AF:AF)</f>
        <v>2003</v>
      </c>
      <c r="AE2">
        <f>SUMIF(DeadRaw!$B:$B,$B2,DeadRaw!AG:AG)</f>
        <v>2116</v>
      </c>
      <c r="AF2">
        <f>SUMIF(DeadRaw!$B:$B,$B2,DeadRaw!AH:AH)</f>
        <v>2238</v>
      </c>
      <c r="AG2">
        <f>SUMIF(DeadRaw!$B:$B,$B2,DeadRaw!AI:AI)</f>
        <v>2238</v>
      </c>
      <c r="AH2">
        <f>SUMIF(DeadRaw!$B:$B,$B2,DeadRaw!AJ:AJ)</f>
        <v>2443</v>
      </c>
      <c r="AI2">
        <f>SUMIF(DeadRaw!$B:$B,$B2,DeadRaw!AK:AK)</f>
        <v>2445</v>
      </c>
      <c r="AJ2">
        <f>SUMIF(DeadRaw!$B:$B,$B2,DeadRaw!AL:AL)</f>
        <v>2595</v>
      </c>
      <c r="AK2">
        <f>SUMIF(DeadRaw!$B:$B,$B2,DeadRaw!AM:AM)</f>
        <v>2665</v>
      </c>
      <c r="AL2">
        <f>SUMIF(DeadRaw!$B:$B,$B2,DeadRaw!AN:AN)</f>
        <v>2717</v>
      </c>
      <c r="AM2">
        <f>SUMIF(DeadRaw!$B:$B,$B2,DeadRaw!AO:AO)</f>
        <v>2746</v>
      </c>
      <c r="AN2">
        <f>SUMIF(DeadRaw!$B:$B,$B2,DeadRaw!AP:AP)</f>
        <v>2790</v>
      </c>
      <c r="AO2">
        <f>SUMIF(DeadRaw!$B:$B,$B2,DeadRaw!AQ:AQ)</f>
        <v>2837</v>
      </c>
      <c r="AP2">
        <f>SUMIF(DeadRaw!$B:$B,$B2,DeadRaw!AR:AR)</f>
        <v>2872</v>
      </c>
      <c r="AQ2">
        <f>SUMIF(DeadRaw!$B:$B,$B2,DeadRaw!AS:AS)</f>
        <v>2914</v>
      </c>
      <c r="AR2">
        <f>SUMIF(DeadRaw!$B:$B,$B2,DeadRaw!AT:AT)</f>
        <v>2947</v>
      </c>
      <c r="AS2">
        <f>SUMIF(DeadRaw!$B:$B,$B2,DeadRaw!AU:AU)</f>
        <v>2983</v>
      </c>
      <c r="AT2">
        <f>SUMIF(DeadRaw!$B:$B,$B2,DeadRaw!AV:AV)</f>
        <v>3015</v>
      </c>
      <c r="AU2">
        <f>SUMIF(DeadRaw!$B:$B,$B2,DeadRaw!AW:AW)</f>
        <v>3044</v>
      </c>
      <c r="AV2">
        <f>SUMIF(DeadRaw!$B:$B,$B2,DeadRaw!AX:AX)</f>
        <v>3072</v>
      </c>
      <c r="AW2">
        <f>SUMIF(DeadRaw!$B:$B,$B2,DeadRaw!AY:AY)</f>
        <v>3100</v>
      </c>
      <c r="AX2">
        <f>SUMIF(DeadRaw!$B:$B,$B2,DeadRaw!AZ:AZ)</f>
        <v>3123</v>
      </c>
      <c r="AY2">
        <f>SUMIF(DeadRaw!$B:$B,$B2,DeadRaw!BA:BA)</f>
        <v>3139</v>
      </c>
      <c r="AZ2">
        <f>SUMIF(DeadRaw!$B:$B,$B2,DeadRaw!BB:BB)</f>
        <v>3161</v>
      </c>
      <c r="BA2">
        <f>SUMIF(DeadRaw!$B:$B,$B2,DeadRaw!BC:BC)</f>
        <v>3172</v>
      </c>
      <c r="BB2">
        <f>SUMIF(DeadRaw!$B:$B,$B2,DeadRaw!BD:BD)</f>
        <v>3180</v>
      </c>
      <c r="BC2">
        <f>SUMIF(DeadRaw!$B:$B,$B2,DeadRaw!BE:BE)</f>
        <v>3193</v>
      </c>
      <c r="BD2">
        <f>SUMIF(DeadRaw!$B:$B,$B2,DeadRaw!BF:BF)</f>
        <v>3203</v>
      </c>
      <c r="BE2">
        <f>SUMIF(DeadRaw!$B:$B,$B2,DeadRaw!BG:BG)</f>
        <v>3217</v>
      </c>
      <c r="BF2">
        <f>SUMIF(DeadRaw!$B:$B,$B2,DeadRaw!BH:BH)</f>
        <v>3230</v>
      </c>
      <c r="BG2">
        <f>SUMIF(DeadRaw!$B:$B,$B2,DeadRaw!BI:BI)</f>
        <v>3241</v>
      </c>
      <c r="BH2">
        <f>SUMIF(DeadRaw!$B:$B,$B2,DeadRaw!BJ:BJ)</f>
        <v>3249</v>
      </c>
      <c r="BI2">
        <f>SUMIF(DeadRaw!$B:$B,$B2,DeadRaw!BK:BK)</f>
        <v>3253</v>
      </c>
      <c r="BJ2">
        <f>SUMIF(DeadRaw!$B:$B,$B2,DeadRaw!BL:BL)</f>
        <v>3259</v>
      </c>
      <c r="BK2">
        <f>SUMIF(DeadRaw!$B:$B,$B2,DeadRaw!BM:BM)</f>
        <v>3274</v>
      </c>
      <c r="BL2">
        <f>SUMIF(DeadRaw!$B:$B,$B2,DeadRaw!BN:BN)</f>
        <v>3274</v>
      </c>
      <c r="BM2">
        <f>SUMIF(DeadRaw!$B:$B,$B2,DeadRaw!BO:BO)</f>
        <v>3281</v>
      </c>
      <c r="BN2">
        <f>SUMIF(DeadRaw!$B:$B,$B2,DeadRaw!BP:BP)</f>
        <v>3285</v>
      </c>
      <c r="BO2">
        <f>SUMIF(DeadRaw!$B:$B,$B2,DeadRaw!BQ:BQ)</f>
        <v>3291</v>
      </c>
      <c r="BP2">
        <f>SUMIF(DeadRaw!$B:$B,$B2,DeadRaw!BR:BR)</f>
        <v>3296</v>
      </c>
      <c r="BQ2">
        <f>SUMIF(DeadRaw!$B:$B,$B2,DeadRaw!BS:BS)</f>
        <v>3299</v>
      </c>
      <c r="BR2">
        <f>SUMIF(DeadRaw!$B:$B,$B2,DeadRaw!BT:BT)</f>
        <v>0</v>
      </c>
      <c r="BS2">
        <f>SUMIF(DeadRaw!$B:$B,$B2,DeadRaw!BU:BU)</f>
        <v>0</v>
      </c>
      <c r="BT2">
        <f>SUMIF(DeadRaw!$B:$B,$B2,DeadRaw!BV:BV)</f>
        <v>0</v>
      </c>
      <c r="BU2">
        <f>SUMIF(DeadRaw!$B:$B,$B2,DeadRaw!BW:BW)</f>
        <v>0</v>
      </c>
    </row>
    <row r="3" spans="1:73" ht="15" thickBot="1" x14ac:dyDescent="0.35">
      <c r="A3" s="97" t="str">
        <f>VLOOKUP(B3,Country_Data!B:Q,16,FALSE)</f>
        <v>Europe</v>
      </c>
      <c r="B3" s="3" t="s">
        <v>58</v>
      </c>
      <c r="C3">
        <f>SUMIF(DeadRaw!$B:$B,$B3,DeadRaw!E:E)</f>
        <v>0</v>
      </c>
      <c r="D3">
        <f>SUMIF(DeadRaw!$B:$B,$B3,DeadRaw!F:F)</f>
        <v>0</v>
      </c>
      <c r="E3">
        <f>SUMIF(DeadRaw!$B:$B,$B3,DeadRaw!G:G)</f>
        <v>0</v>
      </c>
      <c r="F3">
        <f>SUMIF(DeadRaw!$B:$B,$B3,DeadRaw!H:H)</f>
        <v>0</v>
      </c>
      <c r="G3">
        <f>SUMIF(DeadRaw!$B:$B,$B3,DeadRaw!I:I)</f>
        <v>0</v>
      </c>
      <c r="H3">
        <f>SUMIF(DeadRaw!$B:$B,$B3,DeadRaw!J:J)</f>
        <v>0</v>
      </c>
      <c r="I3">
        <f>SUMIF(DeadRaw!$B:$B,$B3,DeadRaw!K:K)</f>
        <v>0</v>
      </c>
      <c r="J3">
        <f>SUMIF(DeadRaw!$B:$B,$B3,DeadRaw!L:L)</f>
        <v>0</v>
      </c>
      <c r="K3">
        <f>SUMIF(DeadRaw!$B:$B,$B3,DeadRaw!M:M)</f>
        <v>0</v>
      </c>
      <c r="L3">
        <f>SUMIF(DeadRaw!$B:$B,$B3,DeadRaw!N:N)</f>
        <v>0</v>
      </c>
      <c r="M3">
        <f>SUMIF(DeadRaw!$B:$B,$B3,DeadRaw!O:O)</f>
        <v>0</v>
      </c>
      <c r="N3">
        <f>SUMIF(DeadRaw!$B:$B,$B3,DeadRaw!P:P)</f>
        <v>0</v>
      </c>
      <c r="O3">
        <f>SUMIF(DeadRaw!$B:$B,$B3,DeadRaw!Q:Q)</f>
        <v>0</v>
      </c>
      <c r="P3">
        <f>SUMIF(DeadRaw!$B:$B,$B3,DeadRaw!R:R)</f>
        <v>0</v>
      </c>
      <c r="Q3">
        <f>SUMIF(DeadRaw!$B:$B,$B3,DeadRaw!S:S)</f>
        <v>0</v>
      </c>
      <c r="R3">
        <f>SUMIF(DeadRaw!$B:$B,$B3,DeadRaw!T:T)</f>
        <v>0</v>
      </c>
      <c r="S3">
        <f>SUMIF(DeadRaw!$B:$B,$B3,DeadRaw!U:U)</f>
        <v>0</v>
      </c>
      <c r="T3">
        <f>SUMIF(DeadRaw!$B:$B,$B3,DeadRaw!V:V)</f>
        <v>0</v>
      </c>
      <c r="U3">
        <f>SUMIF(DeadRaw!$B:$B,$B3,DeadRaw!W:W)</f>
        <v>0</v>
      </c>
      <c r="V3">
        <f>SUMIF(DeadRaw!$B:$B,$B3,DeadRaw!X:X)</f>
        <v>0</v>
      </c>
      <c r="W3">
        <f>SUMIF(DeadRaw!$B:$B,$B3,DeadRaw!Y:Y)</f>
        <v>0</v>
      </c>
      <c r="X3">
        <f>SUMIF(DeadRaw!$B:$B,$B3,DeadRaw!Z:Z)</f>
        <v>0</v>
      </c>
      <c r="Y3">
        <f>SUMIF(DeadRaw!$B:$B,$B3,DeadRaw!AA:AA)</f>
        <v>0</v>
      </c>
      <c r="Z3">
        <f>SUMIF(DeadRaw!$B:$B,$B3,DeadRaw!AB:AB)</f>
        <v>0</v>
      </c>
      <c r="AA3">
        <f>SUMIF(DeadRaw!$B:$B,$B3,DeadRaw!AC:AC)</f>
        <v>0</v>
      </c>
      <c r="AB3">
        <f>SUMIF(DeadRaw!$B:$B,$B3,DeadRaw!AD:AD)</f>
        <v>0</v>
      </c>
      <c r="AC3">
        <f>SUMIF(DeadRaw!$B:$B,$B3,DeadRaw!AE:AE)</f>
        <v>0</v>
      </c>
      <c r="AD3">
        <f>SUMIF(DeadRaw!$B:$B,$B3,DeadRaw!AF:AF)</f>
        <v>0</v>
      </c>
      <c r="AE3">
        <f>SUMIF(DeadRaw!$B:$B,$B3,DeadRaw!AG:AG)</f>
        <v>0</v>
      </c>
      <c r="AF3">
        <f>SUMIF(DeadRaw!$B:$B,$B3,DeadRaw!AH:AH)</f>
        <v>0</v>
      </c>
      <c r="AG3">
        <f>SUMIF(DeadRaw!$B:$B,$B3,DeadRaw!AI:AI)</f>
        <v>1</v>
      </c>
      <c r="AH3">
        <f>SUMIF(DeadRaw!$B:$B,$B3,DeadRaw!AJ:AJ)</f>
        <v>2</v>
      </c>
      <c r="AI3">
        <f>SUMIF(DeadRaw!$B:$B,$B3,DeadRaw!AK:AK)</f>
        <v>3</v>
      </c>
      <c r="AJ3">
        <f>SUMIF(DeadRaw!$B:$B,$B3,DeadRaw!AL:AL)</f>
        <v>7</v>
      </c>
      <c r="AK3">
        <f>SUMIF(DeadRaw!$B:$B,$B3,DeadRaw!AM:AM)</f>
        <v>10</v>
      </c>
      <c r="AL3">
        <f>SUMIF(DeadRaw!$B:$B,$B3,DeadRaw!AN:AN)</f>
        <v>12</v>
      </c>
      <c r="AM3">
        <f>SUMIF(DeadRaw!$B:$B,$B3,DeadRaw!AO:AO)</f>
        <v>17</v>
      </c>
      <c r="AN3">
        <f>SUMIF(DeadRaw!$B:$B,$B3,DeadRaw!AP:AP)</f>
        <v>21</v>
      </c>
      <c r="AO3">
        <f>SUMIF(DeadRaw!$B:$B,$B3,DeadRaw!AQ:AQ)</f>
        <v>29</v>
      </c>
      <c r="AP3">
        <f>SUMIF(DeadRaw!$B:$B,$B3,DeadRaw!AR:AR)</f>
        <v>34</v>
      </c>
      <c r="AQ3">
        <f>SUMIF(DeadRaw!$B:$B,$B3,DeadRaw!AS:AS)</f>
        <v>52</v>
      </c>
      <c r="AR3">
        <f>SUMIF(DeadRaw!$B:$B,$B3,DeadRaw!AT:AT)</f>
        <v>79</v>
      </c>
      <c r="AS3">
        <f>SUMIF(DeadRaw!$B:$B,$B3,DeadRaw!AU:AU)</f>
        <v>107</v>
      </c>
      <c r="AT3">
        <f>SUMIF(DeadRaw!$B:$B,$B3,DeadRaw!AV:AV)</f>
        <v>148</v>
      </c>
      <c r="AU3">
        <f>SUMIF(DeadRaw!$B:$B,$B3,DeadRaw!AW:AW)</f>
        <v>197</v>
      </c>
      <c r="AV3">
        <f>SUMIF(DeadRaw!$B:$B,$B3,DeadRaw!AX:AX)</f>
        <v>233</v>
      </c>
      <c r="AW3">
        <f>SUMIF(DeadRaw!$B:$B,$B3,DeadRaw!AY:AY)</f>
        <v>366</v>
      </c>
      <c r="AX3">
        <f>SUMIF(DeadRaw!$B:$B,$B3,DeadRaw!AZ:AZ)</f>
        <v>463</v>
      </c>
      <c r="AY3">
        <f>SUMIF(DeadRaw!$B:$B,$B3,DeadRaw!BA:BA)</f>
        <v>631</v>
      </c>
      <c r="AZ3">
        <f>SUMIF(DeadRaw!$B:$B,$B3,DeadRaw!BB:BB)</f>
        <v>827</v>
      </c>
      <c r="BA3">
        <v>1016</v>
      </c>
      <c r="BB3">
        <f>SUMIF(DeadRaw!$B:$B,$B3,DeadRaw!BD:BD)</f>
        <v>1266</v>
      </c>
      <c r="BC3">
        <f>SUMIF(DeadRaw!$B:$B,$B3,DeadRaw!BE:BE)</f>
        <v>1441</v>
      </c>
      <c r="BD3">
        <f>SUMIF(DeadRaw!$B:$B,$B3,DeadRaw!BF:BF)</f>
        <v>1809</v>
      </c>
      <c r="BE3">
        <f>SUMIF(DeadRaw!$B:$B,$B3,DeadRaw!BG:BG)</f>
        <v>2158</v>
      </c>
      <c r="BF3">
        <f>SUMIF(DeadRaw!$B:$B,$B3,DeadRaw!BH:BH)</f>
        <v>2503</v>
      </c>
      <c r="BG3">
        <f>SUMIF(DeadRaw!$B:$B,$B3,DeadRaw!BI:BI)</f>
        <v>2978</v>
      </c>
      <c r="BH3">
        <f>SUMIF(DeadRaw!$B:$B,$B3,DeadRaw!BJ:BJ)</f>
        <v>3405</v>
      </c>
      <c r="BI3">
        <f>SUMIF(DeadRaw!$B:$B,$B3,DeadRaw!BK:BK)</f>
        <v>4032</v>
      </c>
      <c r="BJ3">
        <f>SUMIF(DeadRaw!$B:$B,$B3,DeadRaw!BL:BL)</f>
        <v>4825</v>
      </c>
      <c r="BK3">
        <f>SUMIF(DeadRaw!$B:$B,$B3,DeadRaw!BM:BM)</f>
        <v>5476</v>
      </c>
      <c r="BL3">
        <f>SUMIF(DeadRaw!$B:$B,$B3,DeadRaw!BN:BN)</f>
        <v>6077</v>
      </c>
      <c r="BM3">
        <f>SUMIF(DeadRaw!$B:$B,$B3,DeadRaw!BO:BO)</f>
        <v>6820</v>
      </c>
      <c r="BN3">
        <f>SUMIF(DeadRaw!$B:$B,$B3,DeadRaw!BP:BP)</f>
        <v>7503</v>
      </c>
      <c r="BO3">
        <f>SUMIF(DeadRaw!$B:$B,$B3,DeadRaw!BQ:BQ)</f>
        <v>8215</v>
      </c>
      <c r="BP3">
        <f>SUMIF(DeadRaw!$B:$B,$B3,DeadRaw!BR:BR)</f>
        <v>9134</v>
      </c>
      <c r="BQ3">
        <f>SUMIF(DeadRaw!$B:$B,$B3,DeadRaw!BS:BS)</f>
        <v>10023</v>
      </c>
      <c r="BR3">
        <f>SUMIF(DeadRaw!$B:$B,$B3,DeadRaw!BT:BT)</f>
        <v>0</v>
      </c>
      <c r="BS3">
        <f>SUMIF(DeadRaw!$B:$B,$B3,DeadRaw!BU:BU)</f>
        <v>0</v>
      </c>
      <c r="BT3">
        <f>SUMIF(DeadRaw!$B:$B,$B3,DeadRaw!BV:BV)</f>
        <v>0</v>
      </c>
      <c r="BU3">
        <f>SUMIF(DeadRaw!$B:$B,$B3,DeadRaw!BW:BW)</f>
        <v>0</v>
      </c>
    </row>
    <row r="4" spans="1:73" ht="15" thickBot="1" x14ac:dyDescent="0.35">
      <c r="A4" s="97" t="str">
        <f>VLOOKUP(B4,Country_Data!B:Q,16,FALSE)</f>
        <v>Middle East</v>
      </c>
      <c r="B4" s="4" t="s">
        <v>338</v>
      </c>
      <c r="C4">
        <f>SUMIF(DeadRaw!$B:$B,$B4,DeadRaw!E:E)</f>
        <v>0</v>
      </c>
      <c r="D4">
        <f>SUMIF(DeadRaw!$B:$B,$B4,DeadRaw!F:F)</f>
        <v>0</v>
      </c>
      <c r="E4">
        <f>SUMIF(DeadRaw!$B:$B,$B4,DeadRaw!G:G)</f>
        <v>0</v>
      </c>
      <c r="F4">
        <f>SUMIF(DeadRaw!$B:$B,$B4,DeadRaw!H:H)</f>
        <v>0</v>
      </c>
      <c r="G4">
        <f>SUMIF(DeadRaw!$B:$B,$B4,DeadRaw!I:I)</f>
        <v>0</v>
      </c>
      <c r="H4">
        <f>SUMIF(DeadRaw!$B:$B,$B4,DeadRaw!J:J)</f>
        <v>0</v>
      </c>
      <c r="I4">
        <f>SUMIF(DeadRaw!$B:$B,$B4,DeadRaw!K:K)</f>
        <v>0</v>
      </c>
      <c r="J4">
        <f>SUMIF(DeadRaw!$B:$B,$B4,DeadRaw!L:L)</f>
        <v>0</v>
      </c>
      <c r="K4">
        <f>SUMIF(DeadRaw!$B:$B,$B4,DeadRaw!M:M)</f>
        <v>0</v>
      </c>
      <c r="L4">
        <f>SUMIF(DeadRaw!$B:$B,$B4,DeadRaw!N:N)</f>
        <v>0</v>
      </c>
      <c r="M4">
        <f>SUMIF(DeadRaw!$B:$B,$B4,DeadRaw!O:O)</f>
        <v>0</v>
      </c>
      <c r="N4">
        <f>SUMIF(DeadRaw!$B:$B,$B4,DeadRaw!P:P)</f>
        <v>0</v>
      </c>
      <c r="O4">
        <f>SUMIF(DeadRaw!$B:$B,$B4,DeadRaw!Q:Q)</f>
        <v>0</v>
      </c>
      <c r="P4">
        <f>SUMIF(DeadRaw!$B:$B,$B4,DeadRaw!R:R)</f>
        <v>0</v>
      </c>
      <c r="Q4">
        <f>SUMIF(DeadRaw!$B:$B,$B4,DeadRaw!S:S)</f>
        <v>0</v>
      </c>
      <c r="R4">
        <f>SUMIF(DeadRaw!$B:$B,$B4,DeadRaw!T:T)</f>
        <v>0</v>
      </c>
      <c r="S4">
        <f>SUMIF(DeadRaw!$B:$B,$B4,DeadRaw!U:U)</f>
        <v>0</v>
      </c>
      <c r="T4">
        <f>SUMIF(DeadRaw!$B:$B,$B4,DeadRaw!V:V)</f>
        <v>0</v>
      </c>
      <c r="U4">
        <f>SUMIF(DeadRaw!$B:$B,$B4,DeadRaw!W:W)</f>
        <v>0</v>
      </c>
      <c r="V4">
        <f>SUMIF(DeadRaw!$B:$B,$B4,DeadRaw!X:X)</f>
        <v>0</v>
      </c>
      <c r="W4">
        <f>SUMIF(DeadRaw!$B:$B,$B4,DeadRaw!Y:Y)</f>
        <v>0</v>
      </c>
      <c r="X4">
        <f>SUMIF(DeadRaw!$B:$B,$B4,DeadRaw!Z:Z)</f>
        <v>0</v>
      </c>
      <c r="Y4">
        <f>SUMIF(DeadRaw!$B:$B,$B4,DeadRaw!AA:AA)</f>
        <v>0</v>
      </c>
      <c r="Z4">
        <f>SUMIF(DeadRaw!$B:$B,$B4,DeadRaw!AB:AB)</f>
        <v>0</v>
      </c>
      <c r="AA4">
        <f>SUMIF(DeadRaw!$B:$B,$B4,DeadRaw!AC:AC)</f>
        <v>0</v>
      </c>
      <c r="AB4">
        <f>SUMIF(DeadRaw!$B:$B,$B4,DeadRaw!AD:AD)</f>
        <v>0</v>
      </c>
      <c r="AC4">
        <f>SUMIF(DeadRaw!$B:$B,$B4,DeadRaw!AE:AE)</f>
        <v>0</v>
      </c>
      <c r="AD4">
        <f>SUMIF(DeadRaw!$B:$B,$B4,DeadRaw!AF:AF)</f>
        <v>0</v>
      </c>
      <c r="AE4">
        <f>SUMIF(DeadRaw!$B:$B,$B4,DeadRaw!AG:AG)</f>
        <v>2</v>
      </c>
      <c r="AF4">
        <f>SUMIF(DeadRaw!$B:$B,$B4,DeadRaw!AH:AH)</f>
        <v>2</v>
      </c>
      <c r="AG4">
        <f>SUMIF(DeadRaw!$B:$B,$B4,DeadRaw!AI:AI)</f>
        <v>4</v>
      </c>
      <c r="AH4">
        <f>SUMIF(DeadRaw!$B:$B,$B4,DeadRaw!AJ:AJ)</f>
        <v>5</v>
      </c>
      <c r="AI4">
        <f>SUMIF(DeadRaw!$B:$B,$B4,DeadRaw!AK:AK)</f>
        <v>8</v>
      </c>
      <c r="AJ4">
        <f>SUMIF(DeadRaw!$B:$B,$B4,DeadRaw!AL:AL)</f>
        <v>12</v>
      </c>
      <c r="AK4">
        <f>SUMIF(DeadRaw!$B:$B,$B4,DeadRaw!AM:AM)</f>
        <v>16</v>
      </c>
      <c r="AL4">
        <f>SUMIF(DeadRaw!$B:$B,$B4,DeadRaw!AN:AN)</f>
        <v>19</v>
      </c>
      <c r="AM4">
        <f>SUMIF(DeadRaw!$B:$B,$B4,DeadRaw!AO:AO)</f>
        <v>26</v>
      </c>
      <c r="AN4">
        <f>SUMIF(DeadRaw!$B:$B,$B4,DeadRaw!AP:AP)</f>
        <v>34</v>
      </c>
      <c r="AO4">
        <f>SUMIF(DeadRaw!$B:$B,$B4,DeadRaw!AQ:AQ)</f>
        <v>43</v>
      </c>
      <c r="AP4">
        <f>SUMIF(DeadRaw!$B:$B,$B4,DeadRaw!AR:AR)</f>
        <v>54</v>
      </c>
      <c r="AQ4">
        <f>SUMIF(DeadRaw!$B:$B,$B4,DeadRaw!AS:AS)</f>
        <v>66</v>
      </c>
      <c r="AR4">
        <f>SUMIF(DeadRaw!$B:$B,$B4,DeadRaw!AT:AT)</f>
        <v>77</v>
      </c>
      <c r="AS4">
        <f>SUMIF(DeadRaw!$B:$B,$B4,DeadRaw!AU:AU)</f>
        <v>92</v>
      </c>
      <c r="AT4">
        <f>SUMIF(DeadRaw!$B:$B,$B4,DeadRaw!AV:AV)</f>
        <v>107</v>
      </c>
      <c r="AU4">
        <f>SUMIF(DeadRaw!$B:$B,$B4,DeadRaw!AW:AW)</f>
        <v>124</v>
      </c>
      <c r="AV4">
        <f>SUMIF(DeadRaw!$B:$B,$B4,DeadRaw!AX:AX)</f>
        <v>145</v>
      </c>
      <c r="AW4">
        <f>SUMIF(DeadRaw!$B:$B,$B4,DeadRaw!AY:AY)</f>
        <v>194</v>
      </c>
      <c r="AX4">
        <f>SUMIF(DeadRaw!$B:$B,$B4,DeadRaw!AZ:AZ)</f>
        <v>237</v>
      </c>
      <c r="AY4">
        <f>SUMIF(DeadRaw!$B:$B,$B4,DeadRaw!BA:BA)</f>
        <v>291</v>
      </c>
      <c r="AZ4">
        <f>SUMIF(DeadRaw!$B:$B,$B4,DeadRaw!BB:BB)</f>
        <v>354</v>
      </c>
      <c r="BA4">
        <f>SUMIF(DeadRaw!$B:$B,$B4,DeadRaw!BC:BC)</f>
        <v>429</v>
      </c>
      <c r="BB4">
        <f>SUMIF(DeadRaw!$B:$B,$B4,DeadRaw!BD:BD)</f>
        <v>514</v>
      </c>
      <c r="BC4">
        <f>SUMIF(DeadRaw!$B:$B,$B4,DeadRaw!BE:BE)</f>
        <v>611</v>
      </c>
      <c r="BD4">
        <f>SUMIF(DeadRaw!$B:$B,$B4,DeadRaw!BF:BF)</f>
        <v>724</v>
      </c>
      <c r="BE4">
        <f>SUMIF(DeadRaw!$B:$B,$B4,DeadRaw!BG:BG)</f>
        <v>853</v>
      </c>
      <c r="BF4">
        <f>SUMIF(DeadRaw!$B:$B,$B4,DeadRaw!BH:BH)</f>
        <v>988</v>
      </c>
      <c r="BG4">
        <f>SUMIF(DeadRaw!$B:$B,$B4,DeadRaw!BI:BI)</f>
        <v>1135</v>
      </c>
      <c r="BH4">
        <f>SUMIF(DeadRaw!$B:$B,$B4,DeadRaw!BJ:BJ)</f>
        <v>1284</v>
      </c>
      <c r="BI4">
        <f>SUMIF(DeadRaw!$B:$B,$B4,DeadRaw!BK:BK)</f>
        <v>1433</v>
      </c>
      <c r="BJ4">
        <f>SUMIF(DeadRaw!$B:$B,$B4,DeadRaw!BL:BL)</f>
        <v>1556</v>
      </c>
      <c r="BK4">
        <f>SUMIF(DeadRaw!$B:$B,$B4,DeadRaw!BM:BM)</f>
        <v>1685</v>
      </c>
      <c r="BL4">
        <f>SUMIF(DeadRaw!$B:$B,$B4,DeadRaw!BN:BN)</f>
        <v>1812</v>
      </c>
      <c r="BM4">
        <f>SUMIF(DeadRaw!$B:$B,$B4,DeadRaw!BO:BO)</f>
        <v>1934</v>
      </c>
      <c r="BN4">
        <f>SUMIF(DeadRaw!$B:$B,$B4,DeadRaw!BP:BP)</f>
        <v>2077</v>
      </c>
      <c r="BO4">
        <f>SUMIF(DeadRaw!$B:$B,$B4,DeadRaw!BQ:BQ)</f>
        <v>2234</v>
      </c>
      <c r="BP4">
        <f>SUMIF(DeadRaw!$B:$B,$B4,DeadRaw!BR:BR)</f>
        <v>2378</v>
      </c>
      <c r="BQ4">
        <f>SUMIF(DeadRaw!$B:$B,$B4,DeadRaw!BS:BS)</f>
        <v>2517</v>
      </c>
      <c r="BR4">
        <f>SUMIF(DeadRaw!$B:$B,$B4,DeadRaw!BT:BT)</f>
        <v>0</v>
      </c>
      <c r="BS4">
        <f>SUMIF(DeadRaw!$B:$B,$B4,DeadRaw!BU:BU)</f>
        <v>0</v>
      </c>
      <c r="BT4">
        <f>SUMIF(DeadRaw!$B:$B,$B4,DeadRaw!BV:BV)</f>
        <v>0</v>
      </c>
      <c r="BU4">
        <f>SUMIF(DeadRaw!$B:$B,$B4,DeadRaw!BW:BW)</f>
        <v>0</v>
      </c>
    </row>
    <row r="5" spans="1:73" ht="15" thickBot="1" x14ac:dyDescent="0.35">
      <c r="A5" s="97" t="s">
        <v>608</v>
      </c>
      <c r="B5" s="3" t="s">
        <v>339</v>
      </c>
      <c r="C5">
        <f>SUMIF(DeadRaw!$B:$B,$B5,DeadRaw!E:E)</f>
        <v>0</v>
      </c>
      <c r="D5">
        <f>SUMIF(DeadRaw!$B:$B,$B5,DeadRaw!F:F)</f>
        <v>0</v>
      </c>
      <c r="E5">
        <f>SUMIF(DeadRaw!$B:$B,$B5,DeadRaw!G:G)</f>
        <v>0</v>
      </c>
      <c r="F5">
        <f>SUMIF(DeadRaw!$B:$B,$B5,DeadRaw!H:H)</f>
        <v>0</v>
      </c>
      <c r="G5">
        <f>SUMIF(DeadRaw!$B:$B,$B5,DeadRaw!I:I)</f>
        <v>0</v>
      </c>
      <c r="H5">
        <f>SUMIF(DeadRaw!$B:$B,$B5,DeadRaw!J:J)</f>
        <v>0</v>
      </c>
      <c r="I5">
        <f>SUMIF(DeadRaw!$B:$B,$B5,DeadRaw!K:K)</f>
        <v>0</v>
      </c>
      <c r="J5">
        <f>SUMIF(DeadRaw!$B:$B,$B5,DeadRaw!L:L)</f>
        <v>0</v>
      </c>
      <c r="K5">
        <f>SUMIF(DeadRaw!$B:$B,$B5,DeadRaw!M:M)</f>
        <v>0</v>
      </c>
      <c r="L5">
        <f>SUMIF(DeadRaw!$B:$B,$B5,DeadRaw!N:N)</f>
        <v>0</v>
      </c>
      <c r="M5">
        <f>SUMIF(DeadRaw!$B:$B,$B5,DeadRaw!O:O)</f>
        <v>0</v>
      </c>
      <c r="N5">
        <f>SUMIF(DeadRaw!$B:$B,$B5,DeadRaw!P:P)</f>
        <v>0</v>
      </c>
      <c r="O5">
        <f>SUMIF(DeadRaw!$B:$B,$B5,DeadRaw!Q:Q)</f>
        <v>0</v>
      </c>
      <c r="P5">
        <f>SUMIF(DeadRaw!$B:$B,$B5,DeadRaw!R:R)</f>
        <v>0</v>
      </c>
      <c r="Q5">
        <f>SUMIF(DeadRaw!$B:$B,$B5,DeadRaw!S:S)</f>
        <v>0</v>
      </c>
      <c r="R5">
        <f>SUMIF(DeadRaw!$B:$B,$B5,DeadRaw!T:T)</f>
        <v>0</v>
      </c>
      <c r="S5">
        <f>SUMIF(DeadRaw!$B:$B,$B5,DeadRaw!U:U)</f>
        <v>0</v>
      </c>
      <c r="T5">
        <f>SUMIF(DeadRaw!$B:$B,$B5,DeadRaw!V:V)</f>
        <v>0</v>
      </c>
      <c r="U5">
        <f>SUMIF(DeadRaw!$B:$B,$B5,DeadRaw!W:W)</f>
        <v>0</v>
      </c>
      <c r="V5">
        <f>SUMIF(DeadRaw!$B:$B,$B5,DeadRaw!X:X)</f>
        <v>0</v>
      </c>
      <c r="W5">
        <f>SUMIF(DeadRaw!$B:$B,$B5,DeadRaw!Y:Y)</f>
        <v>0</v>
      </c>
      <c r="X5">
        <f>SUMIF(DeadRaw!$B:$B,$B5,DeadRaw!Z:Z)</f>
        <v>0</v>
      </c>
      <c r="Y5">
        <f>SUMIF(DeadRaw!$B:$B,$B5,DeadRaw!AA:AA)</f>
        <v>0</v>
      </c>
      <c r="Z5">
        <f>SUMIF(DeadRaw!$B:$B,$B5,DeadRaw!AB:AB)</f>
        <v>0</v>
      </c>
      <c r="AA5">
        <f>SUMIF(DeadRaw!$B:$B,$B5,DeadRaw!AC:AC)</f>
        <v>0</v>
      </c>
      <c r="AB5">
        <f>SUMIF(DeadRaw!$B:$B,$B5,DeadRaw!AD:AD)</f>
        <v>0</v>
      </c>
      <c r="AC5">
        <f>SUMIF(DeadRaw!$B:$B,$B5,DeadRaw!AE:AE)</f>
        <v>0</v>
      </c>
      <c r="AD5">
        <f>SUMIF(DeadRaw!$B:$B,$B5,DeadRaw!AF:AF)</f>
        <v>0</v>
      </c>
      <c r="AE5">
        <f>SUMIF(DeadRaw!$B:$B,$B5,DeadRaw!AG:AG)</f>
        <v>0</v>
      </c>
      <c r="AF5">
        <f>SUMIF(DeadRaw!$B:$B,$B5,DeadRaw!AH:AH)</f>
        <v>1</v>
      </c>
      <c r="AG5">
        <f>SUMIF(DeadRaw!$B:$B,$B5,DeadRaw!AI:AI)</f>
        <v>2</v>
      </c>
      <c r="AH5">
        <f>SUMIF(DeadRaw!$B:$B,$B5,DeadRaw!AJ:AJ)</f>
        <v>2</v>
      </c>
      <c r="AI5">
        <f>SUMIF(DeadRaw!$B:$B,$B5,DeadRaw!AK:AK)</f>
        <v>6</v>
      </c>
      <c r="AJ5">
        <f>SUMIF(DeadRaw!$B:$B,$B5,DeadRaw!AL:AL)</f>
        <v>8</v>
      </c>
      <c r="AK5">
        <f>SUMIF(DeadRaw!$B:$B,$B5,DeadRaw!AM:AM)</f>
        <v>10</v>
      </c>
      <c r="AL5">
        <f>SUMIF(DeadRaw!$B:$B,$B5,DeadRaw!AN:AN)</f>
        <v>12</v>
      </c>
      <c r="AM5">
        <f>SUMIF(DeadRaw!$B:$B,$B5,DeadRaw!AO:AO)</f>
        <v>13</v>
      </c>
      <c r="AN5">
        <f>SUMIF(DeadRaw!$B:$B,$B5,DeadRaw!AP:AP)</f>
        <v>13</v>
      </c>
      <c r="AO5">
        <f>SUMIF(DeadRaw!$B:$B,$B5,DeadRaw!AQ:AQ)</f>
        <v>16</v>
      </c>
      <c r="AP5">
        <f>SUMIF(DeadRaw!$B:$B,$B5,DeadRaw!AR:AR)</f>
        <v>17</v>
      </c>
      <c r="AQ5">
        <f>SUMIF(DeadRaw!$B:$B,$B5,DeadRaw!AS:AS)</f>
        <v>28</v>
      </c>
      <c r="AR5">
        <f>SUMIF(DeadRaw!$B:$B,$B5,DeadRaw!AT:AT)</f>
        <v>28</v>
      </c>
      <c r="AS5">
        <f>SUMIF(DeadRaw!$B:$B,$B5,DeadRaw!AU:AU)</f>
        <v>35</v>
      </c>
      <c r="AT5">
        <f>SUMIF(DeadRaw!$B:$B,$B5,DeadRaw!AV:AV)</f>
        <v>35</v>
      </c>
      <c r="AU5">
        <f>SUMIF(DeadRaw!$B:$B,$B5,DeadRaw!AW:AW)</f>
        <v>42</v>
      </c>
      <c r="AV5">
        <f>SUMIF(DeadRaw!$B:$B,$B5,DeadRaw!AX:AX)</f>
        <v>44</v>
      </c>
      <c r="AW5">
        <f>SUMIF(DeadRaw!$B:$B,$B5,DeadRaw!AY:AY)</f>
        <v>50</v>
      </c>
      <c r="AX5">
        <f>SUMIF(DeadRaw!$B:$B,$B5,DeadRaw!AZ:AZ)</f>
        <v>53</v>
      </c>
      <c r="AY5">
        <f>SUMIF(DeadRaw!$B:$B,$B5,DeadRaw!BA:BA)</f>
        <v>54</v>
      </c>
      <c r="AZ5">
        <f>SUMIF(DeadRaw!$B:$B,$B5,DeadRaw!BB:BB)</f>
        <v>60</v>
      </c>
      <c r="BA5">
        <f>SUMIF(DeadRaw!$B:$B,$B5,DeadRaw!BC:BC)</f>
        <v>66</v>
      </c>
      <c r="BB5">
        <f>SUMIF(DeadRaw!$B:$B,$B5,DeadRaw!BD:BD)</f>
        <v>66</v>
      </c>
      <c r="BC5">
        <f>SUMIF(DeadRaw!$B:$B,$B5,DeadRaw!BE:BE)</f>
        <v>72</v>
      </c>
      <c r="BD5">
        <f>SUMIF(DeadRaw!$B:$B,$B5,DeadRaw!BF:BF)</f>
        <v>75</v>
      </c>
      <c r="BE5">
        <f>SUMIF(DeadRaw!$B:$B,$B5,DeadRaw!BG:BG)</f>
        <v>75</v>
      </c>
      <c r="BF5">
        <f>SUMIF(DeadRaw!$B:$B,$B5,DeadRaw!BH:BH)</f>
        <v>81</v>
      </c>
      <c r="BG5">
        <f>SUMIF(DeadRaw!$B:$B,$B5,DeadRaw!BI:BI)</f>
        <v>84</v>
      </c>
      <c r="BH5">
        <f>SUMIF(DeadRaw!$B:$B,$B5,DeadRaw!BJ:BJ)</f>
        <v>91</v>
      </c>
      <c r="BI5">
        <f>SUMIF(DeadRaw!$B:$B,$B5,DeadRaw!BK:BK)</f>
        <v>94</v>
      </c>
      <c r="BJ5">
        <f>SUMIF(DeadRaw!$B:$B,$B5,DeadRaw!BL:BL)</f>
        <v>102</v>
      </c>
      <c r="BK5">
        <f>SUMIF(DeadRaw!$B:$B,$B5,DeadRaw!BM:BM)</f>
        <v>111</v>
      </c>
      <c r="BL5">
        <f>SUMIF(DeadRaw!$B:$B,$B5,DeadRaw!BN:BN)</f>
        <v>111</v>
      </c>
      <c r="BM5">
        <f>SUMIF(DeadRaw!$B:$B,$B5,DeadRaw!BO:BO)</f>
        <v>120</v>
      </c>
      <c r="BN5">
        <f>SUMIF(DeadRaw!$B:$B,$B5,DeadRaw!BP:BP)</f>
        <v>126</v>
      </c>
      <c r="BO5">
        <f>SUMIF(DeadRaw!$B:$B,$B5,DeadRaw!BQ:BQ)</f>
        <v>131</v>
      </c>
      <c r="BP5">
        <f>SUMIF(DeadRaw!$B:$B,$B5,DeadRaw!BR:BR)</f>
        <v>139</v>
      </c>
      <c r="BQ5">
        <f>SUMIF(DeadRaw!$B:$B,$B5,DeadRaw!BS:BS)</f>
        <v>144</v>
      </c>
      <c r="BR5">
        <f>SUMIF(DeadRaw!$B:$B,$B5,DeadRaw!BT:BT)</f>
        <v>0</v>
      </c>
      <c r="BS5">
        <f>SUMIF(DeadRaw!$B:$B,$B5,DeadRaw!BU:BU)</f>
        <v>0</v>
      </c>
      <c r="BT5">
        <f>SUMIF(DeadRaw!$B:$B,$B5,DeadRaw!BV:BV)</f>
        <v>0</v>
      </c>
      <c r="BU5">
        <f>SUMIF(DeadRaw!$B:$B,$B5,DeadRaw!BW:BW)</f>
        <v>0</v>
      </c>
    </row>
    <row r="6" spans="1:73" ht="15" thickBot="1" x14ac:dyDescent="0.35">
      <c r="A6" s="97" t="str">
        <f>VLOOKUP(B6,Country_Data!B:Q,16,FALSE)</f>
        <v>Europe</v>
      </c>
      <c r="B6" s="3" t="s">
        <v>60</v>
      </c>
      <c r="C6">
        <f>SUMIF(DeadRaw!$B:$B,$B6,DeadRaw!E:E)</f>
        <v>0</v>
      </c>
      <c r="D6">
        <f>SUMIF(DeadRaw!$B:$B,$B6,DeadRaw!F:F)</f>
        <v>0</v>
      </c>
      <c r="E6">
        <f>SUMIF(DeadRaw!$B:$B,$B6,DeadRaw!G:G)</f>
        <v>0</v>
      </c>
      <c r="F6">
        <f>SUMIF(DeadRaw!$B:$B,$B6,DeadRaw!H:H)</f>
        <v>0</v>
      </c>
      <c r="G6">
        <f>SUMIF(DeadRaw!$B:$B,$B6,DeadRaw!I:I)</f>
        <v>0</v>
      </c>
      <c r="H6">
        <f>SUMIF(DeadRaw!$B:$B,$B6,DeadRaw!J:J)</f>
        <v>0</v>
      </c>
      <c r="I6">
        <f>SUMIF(DeadRaw!$B:$B,$B6,DeadRaw!K:K)</f>
        <v>0</v>
      </c>
      <c r="J6">
        <f>SUMIF(DeadRaw!$B:$B,$B6,DeadRaw!L:L)</f>
        <v>0</v>
      </c>
      <c r="K6">
        <f>SUMIF(DeadRaw!$B:$B,$B6,DeadRaw!M:M)</f>
        <v>0</v>
      </c>
      <c r="L6">
        <f>SUMIF(DeadRaw!$B:$B,$B6,DeadRaw!N:N)</f>
        <v>0</v>
      </c>
      <c r="M6">
        <f>SUMIF(DeadRaw!$B:$B,$B6,DeadRaw!O:O)</f>
        <v>0</v>
      </c>
      <c r="N6">
        <f>SUMIF(DeadRaw!$B:$B,$B6,DeadRaw!P:P)</f>
        <v>0</v>
      </c>
      <c r="O6">
        <f>SUMIF(DeadRaw!$B:$B,$B6,DeadRaw!Q:Q)</f>
        <v>0</v>
      </c>
      <c r="P6">
        <f>SUMIF(DeadRaw!$B:$B,$B6,DeadRaw!R:R)</f>
        <v>0</v>
      </c>
      <c r="Q6">
        <f>SUMIF(DeadRaw!$B:$B,$B6,DeadRaw!S:S)</f>
        <v>0</v>
      </c>
      <c r="R6">
        <f>SUMIF(DeadRaw!$B:$B,$B6,DeadRaw!T:T)</f>
        <v>0</v>
      </c>
      <c r="S6">
        <f>SUMIF(DeadRaw!$B:$B,$B6,DeadRaw!U:U)</f>
        <v>0</v>
      </c>
      <c r="T6">
        <f>SUMIF(DeadRaw!$B:$B,$B6,DeadRaw!V:V)</f>
        <v>0</v>
      </c>
      <c r="U6">
        <f>SUMIF(DeadRaw!$B:$B,$B6,DeadRaw!W:W)</f>
        <v>0</v>
      </c>
      <c r="V6">
        <f>SUMIF(DeadRaw!$B:$B,$B6,DeadRaw!X:X)</f>
        <v>0</v>
      </c>
      <c r="W6">
        <f>SUMIF(DeadRaw!$B:$B,$B6,DeadRaw!Y:Y)</f>
        <v>0</v>
      </c>
      <c r="X6">
        <f>SUMIF(DeadRaw!$B:$B,$B6,DeadRaw!Z:Z)</f>
        <v>0</v>
      </c>
      <c r="Y6">
        <f>SUMIF(DeadRaw!$B:$B,$B6,DeadRaw!AA:AA)</f>
        <v>0</v>
      </c>
      <c r="Z6">
        <f>SUMIF(DeadRaw!$B:$B,$B6,DeadRaw!AB:AB)</f>
        <v>0</v>
      </c>
      <c r="AA6">
        <f>SUMIF(DeadRaw!$B:$B,$B6,DeadRaw!AC:AC)</f>
        <v>0</v>
      </c>
      <c r="AB6">
        <f>SUMIF(DeadRaw!$B:$B,$B6,DeadRaw!AD:AD)</f>
        <v>0</v>
      </c>
      <c r="AC6">
        <f>SUMIF(DeadRaw!$B:$B,$B6,DeadRaw!AE:AE)</f>
        <v>0</v>
      </c>
      <c r="AD6">
        <f>SUMIF(DeadRaw!$B:$B,$B6,DeadRaw!AF:AF)</f>
        <v>0</v>
      </c>
      <c r="AE6">
        <f>SUMIF(DeadRaw!$B:$B,$B6,DeadRaw!AG:AG)</f>
        <v>0</v>
      </c>
      <c r="AF6">
        <f>SUMIF(DeadRaw!$B:$B,$B6,DeadRaw!AH:AH)</f>
        <v>0</v>
      </c>
      <c r="AG6">
        <f>SUMIF(DeadRaw!$B:$B,$B6,DeadRaw!AI:AI)</f>
        <v>0</v>
      </c>
      <c r="AH6">
        <f>SUMIF(DeadRaw!$B:$B,$B6,DeadRaw!AJ:AJ)</f>
        <v>0</v>
      </c>
      <c r="AI6">
        <f>SUMIF(DeadRaw!$B:$B,$B6,DeadRaw!AK:AK)</f>
        <v>0</v>
      </c>
      <c r="AJ6">
        <f>SUMIF(DeadRaw!$B:$B,$B6,DeadRaw!AL:AL)</f>
        <v>0</v>
      </c>
      <c r="AK6">
        <f>SUMIF(DeadRaw!$B:$B,$B6,DeadRaw!AM:AM)</f>
        <v>0</v>
      </c>
      <c r="AL6">
        <f>SUMIF(DeadRaw!$B:$B,$B6,DeadRaw!AN:AN)</f>
        <v>0</v>
      </c>
      <c r="AM6">
        <f>SUMIF(DeadRaw!$B:$B,$B6,DeadRaw!AO:AO)</f>
        <v>0</v>
      </c>
      <c r="AN6">
        <f>SUMIF(DeadRaw!$B:$B,$B6,DeadRaw!AP:AP)</f>
        <v>0</v>
      </c>
      <c r="AO6">
        <f>SUMIF(DeadRaw!$B:$B,$B6,DeadRaw!AQ:AQ)</f>
        <v>0</v>
      </c>
      <c r="AP6">
        <f>SUMIF(DeadRaw!$B:$B,$B6,DeadRaw!AR:AR)</f>
        <v>0</v>
      </c>
      <c r="AQ6">
        <f>SUMIF(DeadRaw!$B:$B,$B6,DeadRaw!AS:AS)</f>
        <v>0</v>
      </c>
      <c r="AR6">
        <f>SUMIF(DeadRaw!$B:$B,$B6,DeadRaw!AT:AT)</f>
        <v>1</v>
      </c>
      <c r="AS6">
        <f>SUMIF(DeadRaw!$B:$B,$B6,DeadRaw!AU:AU)</f>
        <v>2</v>
      </c>
      <c r="AT6">
        <f>SUMIF(DeadRaw!$B:$B,$B6,DeadRaw!AV:AV)</f>
        <v>3</v>
      </c>
      <c r="AU6">
        <f>SUMIF(DeadRaw!$B:$B,$B6,DeadRaw!AW:AW)</f>
        <v>5</v>
      </c>
      <c r="AV6">
        <f>SUMIF(DeadRaw!$B:$B,$B6,DeadRaw!AX:AX)</f>
        <v>10</v>
      </c>
      <c r="AW6">
        <f>SUMIF(DeadRaw!$B:$B,$B6,DeadRaw!AY:AY)</f>
        <v>17</v>
      </c>
      <c r="AX6">
        <f>SUMIF(DeadRaw!$B:$B,$B6,DeadRaw!AZ:AZ)</f>
        <v>28</v>
      </c>
      <c r="AY6">
        <f>SUMIF(DeadRaw!$B:$B,$B6,DeadRaw!BA:BA)</f>
        <v>35</v>
      </c>
      <c r="AZ6">
        <f>SUMIF(DeadRaw!$B:$B,$B6,DeadRaw!BB:BB)</f>
        <v>54</v>
      </c>
      <c r="BA6">
        <v>86</v>
      </c>
      <c r="BB6">
        <f>SUMIF(DeadRaw!$B:$B,$B6,DeadRaw!BD:BD)</f>
        <v>133</v>
      </c>
      <c r="BC6">
        <f>SUMIF(DeadRaw!$B:$B,$B6,DeadRaw!BE:BE)</f>
        <v>195</v>
      </c>
      <c r="BD6">
        <f>SUMIF(DeadRaw!$B:$B,$B6,DeadRaw!BF:BF)</f>
        <v>289</v>
      </c>
      <c r="BE6">
        <f>SUMIF(DeadRaw!$B:$B,$B6,DeadRaw!BG:BG)</f>
        <v>342</v>
      </c>
      <c r="BF6">
        <f>SUMIF(DeadRaw!$B:$B,$B6,DeadRaw!BH:BH)</f>
        <v>533</v>
      </c>
      <c r="BG6">
        <f>SUMIF(DeadRaw!$B:$B,$B6,DeadRaw!BI:BI)</f>
        <v>623</v>
      </c>
      <c r="BH6">
        <f>SUMIF(DeadRaw!$B:$B,$B6,DeadRaw!BJ:BJ)</f>
        <v>830</v>
      </c>
      <c r="BI6">
        <f>SUMIF(DeadRaw!$B:$B,$B6,DeadRaw!BK:BK)</f>
        <v>1043</v>
      </c>
      <c r="BJ6">
        <f>SUMIF(DeadRaw!$B:$B,$B6,DeadRaw!BL:BL)</f>
        <v>1375</v>
      </c>
      <c r="BK6">
        <f>SUMIF(DeadRaw!$B:$B,$B6,DeadRaw!BM:BM)</f>
        <v>1772</v>
      </c>
      <c r="BL6">
        <f>SUMIF(DeadRaw!$B:$B,$B6,DeadRaw!BN:BN)</f>
        <v>2311</v>
      </c>
      <c r="BM6">
        <f>SUMIF(DeadRaw!$B:$B,$B6,DeadRaw!BO:BO)</f>
        <v>2808</v>
      </c>
      <c r="BN6">
        <f>SUMIF(DeadRaw!$B:$B,$B6,DeadRaw!BP:BP)</f>
        <v>3647</v>
      </c>
      <c r="BO6">
        <f>SUMIF(DeadRaw!$B:$B,$B6,DeadRaw!BQ:BQ)</f>
        <v>4365</v>
      </c>
      <c r="BP6">
        <f>SUMIF(DeadRaw!$B:$B,$B6,DeadRaw!BR:BR)</f>
        <v>5138</v>
      </c>
      <c r="BQ6">
        <f>SUMIF(DeadRaw!$B:$B,$B6,DeadRaw!BS:BS)</f>
        <v>5982</v>
      </c>
      <c r="BR6">
        <f>SUMIF(DeadRaw!$B:$B,$B6,DeadRaw!BT:BT)</f>
        <v>0</v>
      </c>
      <c r="BS6">
        <f>SUMIF(DeadRaw!$B:$B,$B6,DeadRaw!BU:BU)</f>
        <v>0</v>
      </c>
      <c r="BT6">
        <f>SUMIF(DeadRaw!$B:$B,$B6,DeadRaw!BV:BV)</f>
        <v>0</v>
      </c>
      <c r="BU6">
        <f>SUMIF(DeadRaw!$B:$B,$B6,DeadRaw!BW:BW)</f>
        <v>0</v>
      </c>
    </row>
    <row r="7" spans="1:73" ht="15" thickBot="1" x14ac:dyDescent="0.35">
      <c r="A7" s="97" t="str">
        <f>VLOOKUP(B7,Country_Data!B:Q,16,FALSE)</f>
        <v>Europe</v>
      </c>
      <c r="B7" s="4" t="s">
        <v>53</v>
      </c>
      <c r="C7">
        <f>SUMIF(DeadRaw!$B:$B,$B7,DeadRaw!E:E)</f>
        <v>0</v>
      </c>
      <c r="D7">
        <f>SUMIF(DeadRaw!$B:$B,$B7,DeadRaw!F:F)</f>
        <v>0</v>
      </c>
      <c r="E7">
        <f>SUMIF(DeadRaw!$B:$B,$B7,DeadRaw!G:G)</f>
        <v>0</v>
      </c>
      <c r="F7">
        <f>SUMIF(DeadRaw!$B:$B,$B7,DeadRaw!H:H)</f>
        <v>0</v>
      </c>
      <c r="G7">
        <f>SUMIF(DeadRaw!$B:$B,$B7,DeadRaw!I:I)</f>
        <v>0</v>
      </c>
      <c r="H7">
        <f>SUMIF(DeadRaw!$B:$B,$B7,DeadRaw!J:J)</f>
        <v>0</v>
      </c>
      <c r="I7">
        <f>SUMIF(DeadRaw!$B:$B,$B7,DeadRaw!K:K)</f>
        <v>0</v>
      </c>
      <c r="J7">
        <f>SUMIF(DeadRaw!$B:$B,$B7,DeadRaw!L:L)</f>
        <v>0</v>
      </c>
      <c r="K7">
        <f>SUMIF(DeadRaw!$B:$B,$B7,DeadRaw!M:M)</f>
        <v>0</v>
      </c>
      <c r="L7">
        <f>SUMIF(DeadRaw!$B:$B,$B7,DeadRaw!N:N)</f>
        <v>0</v>
      </c>
      <c r="M7">
        <f>SUMIF(DeadRaw!$B:$B,$B7,DeadRaw!O:O)</f>
        <v>0</v>
      </c>
      <c r="N7">
        <f>SUMIF(DeadRaw!$B:$B,$B7,DeadRaw!P:P)</f>
        <v>0</v>
      </c>
      <c r="O7">
        <f>SUMIF(DeadRaw!$B:$B,$B7,DeadRaw!Q:Q)</f>
        <v>0</v>
      </c>
      <c r="P7">
        <f>SUMIF(DeadRaw!$B:$B,$B7,DeadRaw!R:R)</f>
        <v>0</v>
      </c>
      <c r="Q7">
        <f>SUMIF(DeadRaw!$B:$B,$B7,DeadRaw!S:S)</f>
        <v>0</v>
      </c>
      <c r="R7">
        <f>SUMIF(DeadRaw!$B:$B,$B7,DeadRaw!T:T)</f>
        <v>0</v>
      </c>
      <c r="S7">
        <f>SUMIF(DeadRaw!$B:$B,$B7,DeadRaw!U:U)</f>
        <v>0</v>
      </c>
      <c r="T7">
        <f>SUMIF(DeadRaw!$B:$B,$B7,DeadRaw!V:V)</f>
        <v>0</v>
      </c>
      <c r="U7">
        <f>SUMIF(DeadRaw!$B:$B,$B7,DeadRaw!W:W)</f>
        <v>0</v>
      </c>
      <c r="V7">
        <f>SUMIF(DeadRaw!$B:$B,$B7,DeadRaw!X:X)</f>
        <v>0</v>
      </c>
      <c r="W7">
        <f>SUMIF(DeadRaw!$B:$B,$B7,DeadRaw!Y:Y)</f>
        <v>0</v>
      </c>
      <c r="X7">
        <f>SUMIF(DeadRaw!$B:$B,$B7,DeadRaw!Z:Z)</f>
        <v>0</v>
      </c>
      <c r="Y7">
        <f>SUMIF(DeadRaw!$B:$B,$B7,DeadRaw!AA:AA)</f>
        <v>0</v>
      </c>
      <c r="Z7">
        <f>SUMIF(DeadRaw!$B:$B,$B7,DeadRaw!AB:AB)</f>
        <v>0</v>
      </c>
      <c r="AA7">
        <f>SUMIF(DeadRaw!$B:$B,$B7,DeadRaw!AC:AC)</f>
        <v>0</v>
      </c>
      <c r="AB7">
        <f>SUMIF(DeadRaw!$B:$B,$B7,DeadRaw!AD:AD)</f>
        <v>0</v>
      </c>
      <c r="AC7">
        <f>SUMIF(DeadRaw!$B:$B,$B7,DeadRaw!AE:AE)</f>
        <v>0</v>
      </c>
      <c r="AD7">
        <f>SUMIF(DeadRaw!$B:$B,$B7,DeadRaw!AF:AF)</f>
        <v>0</v>
      </c>
      <c r="AE7">
        <f>SUMIF(DeadRaw!$B:$B,$B7,DeadRaw!AG:AG)</f>
        <v>0</v>
      </c>
      <c r="AF7">
        <f>SUMIF(DeadRaw!$B:$B,$B7,DeadRaw!AH:AH)</f>
        <v>0</v>
      </c>
      <c r="AG7">
        <f>SUMIF(DeadRaw!$B:$B,$B7,DeadRaw!AI:AI)</f>
        <v>0</v>
      </c>
      <c r="AH7">
        <f>SUMIF(DeadRaw!$B:$B,$B7,DeadRaw!AJ:AJ)</f>
        <v>0</v>
      </c>
      <c r="AI7">
        <f>SUMIF(DeadRaw!$B:$B,$B7,DeadRaw!AK:AK)</f>
        <v>0</v>
      </c>
      <c r="AJ7">
        <f>SUMIF(DeadRaw!$B:$B,$B7,DeadRaw!AL:AL)</f>
        <v>0</v>
      </c>
      <c r="AK7">
        <f>SUMIF(DeadRaw!$B:$B,$B7,DeadRaw!AM:AM)</f>
        <v>0</v>
      </c>
      <c r="AL7">
        <f>SUMIF(DeadRaw!$B:$B,$B7,DeadRaw!AN:AN)</f>
        <v>0</v>
      </c>
      <c r="AM7">
        <f>SUMIF(DeadRaw!$B:$B,$B7,DeadRaw!AO:AO)</f>
        <v>0</v>
      </c>
      <c r="AN7">
        <f>SUMIF(DeadRaw!$B:$B,$B7,DeadRaw!AP:AP)</f>
        <v>0</v>
      </c>
      <c r="AO7">
        <f>SUMIF(DeadRaw!$B:$B,$B7,DeadRaw!AQ:AQ)</f>
        <v>0</v>
      </c>
      <c r="AP7">
        <f>SUMIF(DeadRaw!$B:$B,$B7,DeadRaw!AR:AR)</f>
        <v>0</v>
      </c>
      <c r="AQ7">
        <f>SUMIF(DeadRaw!$B:$B,$B7,DeadRaw!AS:AS)</f>
        <v>0</v>
      </c>
      <c r="AR7">
        <f>SUMIF(DeadRaw!$B:$B,$B7,DeadRaw!AT:AT)</f>
        <v>0</v>
      </c>
      <c r="AS7">
        <f>SUMIF(DeadRaw!$B:$B,$B7,DeadRaw!AU:AU)</f>
        <v>0</v>
      </c>
      <c r="AT7">
        <f>SUMIF(DeadRaw!$B:$B,$B7,DeadRaw!AV:AV)</f>
        <v>0</v>
      </c>
      <c r="AU7">
        <f>SUMIF(DeadRaw!$B:$B,$B7,DeadRaw!AW:AW)</f>
        <v>0</v>
      </c>
      <c r="AV7">
        <f>SUMIF(DeadRaw!$B:$B,$B7,DeadRaw!AX:AX)</f>
        <v>0</v>
      </c>
      <c r="AW7">
        <f>SUMIF(DeadRaw!$B:$B,$B7,DeadRaw!AY:AY)</f>
        <v>0</v>
      </c>
      <c r="AX7">
        <f>SUMIF(DeadRaw!$B:$B,$B7,DeadRaw!AZ:AZ)</f>
        <v>2</v>
      </c>
      <c r="AY7">
        <f>SUMIF(DeadRaw!$B:$B,$B7,DeadRaw!BA:BA)</f>
        <v>2</v>
      </c>
      <c r="AZ7">
        <f>SUMIF(DeadRaw!$B:$B,$B7,DeadRaw!BB:BB)</f>
        <v>3</v>
      </c>
      <c r="BA7">
        <f>SUMIF(DeadRaw!$B:$B,$B7,DeadRaw!BC:BC)</f>
        <v>3</v>
      </c>
      <c r="BB7">
        <f>SUMIF(DeadRaw!$B:$B,$B7,DeadRaw!BD:BD)</f>
        <v>7</v>
      </c>
      <c r="BC7">
        <f>SUMIF(DeadRaw!$B:$B,$B7,DeadRaw!BE:BE)</f>
        <v>9</v>
      </c>
      <c r="BD7">
        <f>SUMIF(DeadRaw!$B:$B,$B7,DeadRaw!BF:BF)</f>
        <v>11</v>
      </c>
      <c r="BE7">
        <f>SUMIF(DeadRaw!$B:$B,$B7,DeadRaw!BG:BG)</f>
        <v>17</v>
      </c>
      <c r="BF7">
        <f>SUMIF(DeadRaw!$B:$B,$B7,DeadRaw!BH:BH)</f>
        <v>24</v>
      </c>
      <c r="BG7">
        <f>SUMIF(DeadRaw!$B:$B,$B7,DeadRaw!BI:BI)</f>
        <v>28</v>
      </c>
      <c r="BH7">
        <f>SUMIF(DeadRaw!$B:$B,$B7,DeadRaw!BJ:BJ)</f>
        <v>44</v>
      </c>
      <c r="BI7">
        <f>SUMIF(DeadRaw!$B:$B,$B7,DeadRaw!BK:BK)</f>
        <v>67</v>
      </c>
      <c r="BJ7">
        <f>SUMIF(DeadRaw!$B:$B,$B7,DeadRaw!BL:BL)</f>
        <v>84</v>
      </c>
      <c r="BK7">
        <f>SUMIF(DeadRaw!$B:$B,$B7,DeadRaw!BM:BM)</f>
        <v>94</v>
      </c>
      <c r="BL7">
        <f>SUMIF(DeadRaw!$B:$B,$B7,DeadRaw!BN:BN)</f>
        <v>123</v>
      </c>
      <c r="BM7">
        <f>SUMIF(DeadRaw!$B:$B,$B7,DeadRaw!BO:BO)</f>
        <v>157</v>
      </c>
      <c r="BN7">
        <f>SUMIF(DeadRaw!$B:$B,$B7,DeadRaw!BP:BP)</f>
        <v>206</v>
      </c>
      <c r="BO7">
        <f>SUMIF(DeadRaw!$B:$B,$B7,DeadRaw!BQ:BQ)</f>
        <v>267</v>
      </c>
      <c r="BP7">
        <f>SUMIF(DeadRaw!$B:$B,$B7,DeadRaw!BR:BR)</f>
        <v>342</v>
      </c>
      <c r="BQ7">
        <f>SUMIF(DeadRaw!$B:$B,$B7,DeadRaw!BS:BS)</f>
        <v>433</v>
      </c>
      <c r="BR7">
        <f>SUMIF(DeadRaw!$B:$B,$B7,DeadRaw!BT:BT)</f>
        <v>0</v>
      </c>
      <c r="BS7">
        <f>SUMIF(DeadRaw!$B:$B,$B7,DeadRaw!BU:BU)</f>
        <v>0</v>
      </c>
      <c r="BT7">
        <f>SUMIF(DeadRaw!$B:$B,$B7,DeadRaw!BV:BV)</f>
        <v>0</v>
      </c>
      <c r="BU7">
        <f>SUMIF(DeadRaw!$B:$B,$B7,DeadRaw!BW:BW)</f>
        <v>0</v>
      </c>
    </row>
    <row r="8" spans="1:73" ht="15" thickBot="1" x14ac:dyDescent="0.35">
      <c r="A8" s="97" t="str">
        <f>VLOOKUP(B8,Country_Data!B:Q,16,FALSE)</f>
        <v>Europe</v>
      </c>
      <c r="B8" s="4" t="s">
        <v>41</v>
      </c>
      <c r="C8">
        <f>SUMIF(DeadRaw!$B:$B,$B8,DeadRaw!E:E)</f>
        <v>0</v>
      </c>
      <c r="D8">
        <f>SUMIF(DeadRaw!$B:$B,$B8,DeadRaw!F:F)</f>
        <v>0</v>
      </c>
      <c r="E8">
        <f>SUMIF(DeadRaw!$B:$B,$B8,DeadRaw!G:G)</f>
        <v>0</v>
      </c>
      <c r="F8">
        <f>SUMIF(DeadRaw!$B:$B,$B8,DeadRaw!H:H)</f>
        <v>0</v>
      </c>
      <c r="G8">
        <f>SUMIF(DeadRaw!$B:$B,$B8,DeadRaw!I:I)</f>
        <v>0</v>
      </c>
      <c r="H8">
        <f>SUMIF(DeadRaw!$B:$B,$B8,DeadRaw!J:J)</f>
        <v>0</v>
      </c>
      <c r="I8">
        <f>SUMIF(DeadRaw!$B:$B,$B8,DeadRaw!K:K)</f>
        <v>0</v>
      </c>
      <c r="J8">
        <f>SUMIF(DeadRaw!$B:$B,$B8,DeadRaw!L:L)</f>
        <v>0</v>
      </c>
      <c r="K8">
        <f>SUMIF(DeadRaw!$B:$B,$B8,DeadRaw!M:M)</f>
        <v>0</v>
      </c>
      <c r="L8">
        <f>SUMIF(DeadRaw!$B:$B,$B8,DeadRaw!N:N)</f>
        <v>0</v>
      </c>
      <c r="M8">
        <f>SUMIF(DeadRaw!$B:$B,$B8,DeadRaw!O:O)</f>
        <v>0</v>
      </c>
      <c r="N8">
        <f>SUMIF(DeadRaw!$B:$B,$B8,DeadRaw!P:P)</f>
        <v>0</v>
      </c>
      <c r="O8">
        <f>SUMIF(DeadRaw!$B:$B,$B8,DeadRaw!Q:Q)</f>
        <v>0</v>
      </c>
      <c r="P8">
        <f>SUMIF(DeadRaw!$B:$B,$B8,DeadRaw!R:R)</f>
        <v>0</v>
      </c>
      <c r="Q8">
        <f>SUMIF(DeadRaw!$B:$B,$B8,DeadRaw!S:S)</f>
        <v>0</v>
      </c>
      <c r="R8">
        <f>SUMIF(DeadRaw!$B:$B,$B8,DeadRaw!T:T)</f>
        <v>0</v>
      </c>
      <c r="S8">
        <f>SUMIF(DeadRaw!$B:$B,$B8,DeadRaw!U:U)</f>
        <v>0</v>
      </c>
      <c r="T8">
        <f>SUMIF(DeadRaw!$B:$B,$B8,DeadRaw!V:V)</f>
        <v>0</v>
      </c>
      <c r="U8">
        <f>SUMIF(DeadRaw!$B:$B,$B8,DeadRaw!W:W)</f>
        <v>0</v>
      </c>
      <c r="V8">
        <f>SUMIF(DeadRaw!$B:$B,$B8,DeadRaw!X:X)</f>
        <v>0</v>
      </c>
      <c r="W8">
        <f>SUMIF(DeadRaw!$B:$B,$B8,DeadRaw!Y:Y)</f>
        <v>0</v>
      </c>
      <c r="X8">
        <f>SUMIF(DeadRaw!$B:$B,$B8,DeadRaw!Z:Z)</f>
        <v>0</v>
      </c>
      <c r="Y8">
        <f>SUMIF(DeadRaw!$B:$B,$B8,DeadRaw!AA:AA)</f>
        <v>0</v>
      </c>
      <c r="Z8">
        <f>SUMIF(DeadRaw!$B:$B,$B8,DeadRaw!AB:AB)</f>
        <v>0</v>
      </c>
      <c r="AA8">
        <f>SUMIF(DeadRaw!$B:$B,$B8,DeadRaw!AC:AC)</f>
        <v>1</v>
      </c>
      <c r="AB8">
        <f>SUMIF(DeadRaw!$B:$B,$B8,DeadRaw!AD:AD)</f>
        <v>1</v>
      </c>
      <c r="AC8">
        <f>SUMIF(DeadRaw!$B:$B,$B8,DeadRaw!AE:AE)</f>
        <v>1</v>
      </c>
      <c r="AD8">
        <f>SUMIF(DeadRaw!$B:$B,$B8,DeadRaw!AF:AF)</f>
        <v>1</v>
      </c>
      <c r="AE8">
        <f>SUMIF(DeadRaw!$B:$B,$B8,DeadRaw!AG:AG)</f>
        <v>1</v>
      </c>
      <c r="AF8">
        <f>SUMIF(DeadRaw!$B:$B,$B8,DeadRaw!AH:AH)</f>
        <v>1</v>
      </c>
      <c r="AG8">
        <f>SUMIF(DeadRaw!$B:$B,$B8,DeadRaw!AI:AI)</f>
        <v>1</v>
      </c>
      <c r="AH8">
        <f>SUMIF(DeadRaw!$B:$B,$B8,DeadRaw!AJ:AJ)</f>
        <v>1</v>
      </c>
      <c r="AI8">
        <f>SUMIF(DeadRaw!$B:$B,$B8,DeadRaw!AK:AK)</f>
        <v>1</v>
      </c>
      <c r="AJ8">
        <f>SUMIF(DeadRaw!$B:$B,$B8,DeadRaw!AL:AL)</f>
        <v>1</v>
      </c>
      <c r="AK8">
        <f>SUMIF(DeadRaw!$B:$B,$B8,DeadRaw!AM:AM)</f>
        <v>1</v>
      </c>
      <c r="AL8">
        <f>SUMIF(DeadRaw!$B:$B,$B8,DeadRaw!AN:AN)</f>
        <v>2</v>
      </c>
      <c r="AM8">
        <f>SUMIF(DeadRaw!$B:$B,$B8,DeadRaw!AO:AO)</f>
        <v>2</v>
      </c>
      <c r="AN8">
        <f>SUMIF(DeadRaw!$B:$B,$B8,DeadRaw!AP:AP)</f>
        <v>2</v>
      </c>
      <c r="AO8">
        <f>SUMIF(DeadRaw!$B:$B,$B8,DeadRaw!AQ:AQ)</f>
        <v>2</v>
      </c>
      <c r="AP8">
        <f>SUMIF(DeadRaw!$B:$B,$B8,DeadRaw!AR:AR)</f>
        <v>2</v>
      </c>
      <c r="AQ8">
        <f>SUMIF(DeadRaw!$B:$B,$B8,DeadRaw!AS:AS)</f>
        <v>3</v>
      </c>
      <c r="AR8">
        <f>SUMIF(DeadRaw!$B:$B,$B8,DeadRaw!AT:AT)</f>
        <v>4</v>
      </c>
      <c r="AS8">
        <f>SUMIF(DeadRaw!$B:$B,$B8,DeadRaw!AU:AU)</f>
        <v>4</v>
      </c>
      <c r="AT8">
        <f>SUMIF(DeadRaw!$B:$B,$B8,DeadRaw!AV:AV)</f>
        <v>6</v>
      </c>
      <c r="AU8">
        <f>SUMIF(DeadRaw!$B:$B,$B8,DeadRaw!AW:AW)</f>
        <v>9</v>
      </c>
      <c r="AV8">
        <f>SUMIF(DeadRaw!$B:$B,$B8,DeadRaw!AX:AX)</f>
        <v>11</v>
      </c>
      <c r="AW8">
        <f>SUMIF(DeadRaw!$B:$B,$B8,DeadRaw!AY:AY)</f>
        <v>19</v>
      </c>
      <c r="AX8">
        <f>SUMIF(DeadRaw!$B:$B,$B8,DeadRaw!AZ:AZ)</f>
        <v>19</v>
      </c>
      <c r="AY8">
        <f>SUMIF(DeadRaw!$B:$B,$B8,DeadRaw!BA:BA)</f>
        <v>33</v>
      </c>
      <c r="AZ8">
        <f>SUMIF(DeadRaw!$B:$B,$B8,DeadRaw!BB:BB)</f>
        <v>48</v>
      </c>
      <c r="BA8">
        <v>61</v>
      </c>
      <c r="BB8">
        <f>SUMIF(DeadRaw!$B:$B,$B8,DeadRaw!BD:BD)</f>
        <v>79</v>
      </c>
      <c r="BC8">
        <f>SUMIF(DeadRaw!$B:$B,$B8,DeadRaw!BE:BE)</f>
        <v>91</v>
      </c>
      <c r="BD8">
        <v>127</v>
      </c>
      <c r="BE8">
        <f>SUMIF(DeadRaw!$B:$B,$B8,DeadRaw!BG:BG)</f>
        <v>149</v>
      </c>
      <c r="BF8">
        <v>175</v>
      </c>
      <c r="BG8">
        <v>264</v>
      </c>
      <c r="BH8">
        <v>372</v>
      </c>
      <c r="BI8">
        <f>SUMIF(DeadRaw!$B:$B,$B8,DeadRaw!BK:BK)</f>
        <v>451</v>
      </c>
      <c r="BJ8">
        <f>SUMIF(DeadRaw!$B:$B,$B8,DeadRaw!BL:BL)</f>
        <v>563</v>
      </c>
      <c r="BK8">
        <f>SUMIF(DeadRaw!$B:$B,$B8,DeadRaw!BM:BM)</f>
        <v>676</v>
      </c>
      <c r="BL8">
        <f>SUMIF(DeadRaw!$B:$B,$B8,DeadRaw!BN:BN)</f>
        <v>862</v>
      </c>
      <c r="BM8">
        <f>SUMIF(DeadRaw!$B:$B,$B8,DeadRaw!BO:BO)</f>
        <v>1102</v>
      </c>
      <c r="BN8">
        <f>SUMIF(DeadRaw!$B:$B,$B8,DeadRaw!BP:BP)</f>
        <v>1333</v>
      </c>
      <c r="BO8">
        <f>SUMIF(DeadRaw!$B:$B,$B8,DeadRaw!BQ:BQ)</f>
        <v>1698</v>
      </c>
      <c r="BP8">
        <f>SUMIF(DeadRaw!$B:$B,$B8,DeadRaw!BR:BR)</f>
        <v>1997</v>
      </c>
      <c r="BQ8">
        <f>SUMIF(DeadRaw!$B:$B,$B8,DeadRaw!BS:BS)</f>
        <v>2317</v>
      </c>
      <c r="BR8">
        <f>SUMIF(DeadRaw!$B:$B,$B8,DeadRaw!BT:BT)</f>
        <v>0</v>
      </c>
      <c r="BS8">
        <f>SUMIF(DeadRaw!$B:$B,$B8,DeadRaw!BU:BU)</f>
        <v>0</v>
      </c>
      <c r="BT8">
        <f>SUMIF(DeadRaw!$B:$B,$B8,DeadRaw!BV:BV)</f>
        <v>0</v>
      </c>
      <c r="BU8">
        <f>SUMIF(DeadRaw!$B:$B,$B8,DeadRaw!BW:BW)</f>
        <v>0</v>
      </c>
    </row>
    <row r="9" spans="1:73" ht="15" thickBot="1" x14ac:dyDescent="0.35">
      <c r="A9" s="97" t="str">
        <f>VLOOKUP(B9,Country_Data!B:Q,16,FALSE)</f>
        <v>North America</v>
      </c>
      <c r="B9" s="3" t="s">
        <v>38</v>
      </c>
      <c r="C9">
        <f>SUMIF(DeadRaw!$B:$B,$B9,DeadRaw!E:E)</f>
        <v>0</v>
      </c>
      <c r="D9">
        <f>SUMIF(DeadRaw!$B:$B,$B9,DeadRaw!F:F)</f>
        <v>0</v>
      </c>
      <c r="E9">
        <f>SUMIF(DeadRaw!$B:$B,$B9,DeadRaw!G:G)</f>
        <v>0</v>
      </c>
      <c r="F9">
        <f>SUMIF(DeadRaw!$B:$B,$B9,DeadRaw!H:H)</f>
        <v>0</v>
      </c>
      <c r="G9">
        <f>SUMIF(DeadRaw!$B:$B,$B9,DeadRaw!I:I)</f>
        <v>0</v>
      </c>
      <c r="H9">
        <f>SUMIF(DeadRaw!$B:$B,$B9,DeadRaw!J:J)</f>
        <v>0</v>
      </c>
      <c r="I9">
        <f>SUMIF(DeadRaw!$B:$B,$B9,DeadRaw!K:K)</f>
        <v>0</v>
      </c>
      <c r="J9">
        <f>SUMIF(DeadRaw!$B:$B,$B9,DeadRaw!L:L)</f>
        <v>0</v>
      </c>
      <c r="K9">
        <f>SUMIF(DeadRaw!$B:$B,$B9,DeadRaw!M:M)</f>
        <v>0</v>
      </c>
      <c r="L9">
        <f>SUMIF(DeadRaw!$B:$B,$B9,DeadRaw!N:N)</f>
        <v>0</v>
      </c>
      <c r="M9">
        <f>SUMIF(DeadRaw!$B:$B,$B9,DeadRaw!O:O)</f>
        <v>0</v>
      </c>
      <c r="N9">
        <f>SUMIF(DeadRaw!$B:$B,$B9,DeadRaw!P:P)</f>
        <v>0</v>
      </c>
      <c r="O9">
        <f>SUMIF(DeadRaw!$B:$B,$B9,DeadRaw!Q:Q)</f>
        <v>0</v>
      </c>
      <c r="P9">
        <f>SUMIF(DeadRaw!$B:$B,$B9,DeadRaw!R:R)</f>
        <v>0</v>
      </c>
      <c r="Q9">
        <f>SUMIF(DeadRaw!$B:$B,$B9,DeadRaw!S:S)</f>
        <v>0</v>
      </c>
      <c r="R9">
        <f>SUMIF(DeadRaw!$B:$B,$B9,DeadRaw!T:T)</f>
        <v>0</v>
      </c>
      <c r="S9">
        <f>SUMIF(DeadRaw!$B:$B,$B9,DeadRaw!U:U)</f>
        <v>0</v>
      </c>
      <c r="T9">
        <f>SUMIF(DeadRaw!$B:$B,$B9,DeadRaw!V:V)</f>
        <v>0</v>
      </c>
      <c r="U9">
        <f>SUMIF(DeadRaw!$B:$B,$B9,DeadRaw!W:W)</f>
        <v>0</v>
      </c>
      <c r="V9">
        <f>SUMIF(DeadRaw!$B:$B,$B9,DeadRaw!X:X)</f>
        <v>0</v>
      </c>
      <c r="W9">
        <f>SUMIF(DeadRaw!$B:$B,$B9,DeadRaw!Y:Y)</f>
        <v>0</v>
      </c>
      <c r="X9">
        <f>SUMIF(DeadRaw!$B:$B,$B9,DeadRaw!Z:Z)</f>
        <v>0</v>
      </c>
      <c r="Y9">
        <f>SUMIF(DeadRaw!$B:$B,$B9,DeadRaw!AA:AA)</f>
        <v>0</v>
      </c>
      <c r="Z9">
        <f>SUMIF(DeadRaw!$B:$B,$B9,DeadRaw!AB:AB)</f>
        <v>0</v>
      </c>
      <c r="AA9">
        <f>SUMIF(DeadRaw!$B:$B,$B9,DeadRaw!AC:AC)</f>
        <v>0</v>
      </c>
      <c r="AB9">
        <f>SUMIF(DeadRaw!$B:$B,$B9,DeadRaw!AD:AD)</f>
        <v>0</v>
      </c>
      <c r="AC9">
        <f>SUMIF(DeadRaw!$B:$B,$B9,DeadRaw!AE:AE)</f>
        <v>0</v>
      </c>
      <c r="AD9">
        <f>SUMIF(DeadRaw!$B:$B,$B9,DeadRaw!AF:AF)</f>
        <v>0</v>
      </c>
      <c r="AE9">
        <f>SUMIF(DeadRaw!$B:$B,$B9,DeadRaw!AG:AG)</f>
        <v>0</v>
      </c>
      <c r="AF9">
        <f>SUMIF(DeadRaw!$B:$B,$B9,DeadRaw!AH:AH)</f>
        <v>0</v>
      </c>
      <c r="AG9">
        <f>SUMIF(DeadRaw!$B:$B,$B9,DeadRaw!AI:AI)</f>
        <v>0</v>
      </c>
      <c r="AH9">
        <f>SUMIF(DeadRaw!$B:$B,$B9,DeadRaw!AJ:AJ)</f>
        <v>0</v>
      </c>
      <c r="AI9">
        <f>SUMIF(DeadRaw!$B:$B,$B9,DeadRaw!AK:AK)</f>
        <v>0</v>
      </c>
      <c r="AJ9">
        <f>SUMIF(DeadRaw!$B:$B,$B9,DeadRaw!AL:AL)</f>
        <v>0</v>
      </c>
      <c r="AK9">
        <f>SUMIF(DeadRaw!$B:$B,$B9,DeadRaw!AM:AM)</f>
        <v>0</v>
      </c>
      <c r="AL9">
        <f>SUMIF(DeadRaw!$B:$B,$B9,DeadRaw!AN:AN)</f>
        <v>0</v>
      </c>
      <c r="AM9">
        <f>SUMIF(DeadRaw!$B:$B,$B9,DeadRaw!AO:AO)</f>
        <v>0</v>
      </c>
      <c r="AN9">
        <f>SUMIF(DeadRaw!$B:$B,$B9,DeadRaw!AP:AP)</f>
        <v>0</v>
      </c>
      <c r="AO9">
        <f>SUMIF(DeadRaw!$B:$B,$B9,DeadRaw!AQ:AQ)</f>
        <v>1</v>
      </c>
      <c r="AP9">
        <f>SUMIF(DeadRaw!$B:$B,$B9,DeadRaw!AR:AR)</f>
        <v>1</v>
      </c>
      <c r="AQ9">
        <f>SUMIF(DeadRaw!$B:$B,$B9,DeadRaw!AS:AS)</f>
        <v>6</v>
      </c>
      <c r="AR9">
        <f>SUMIF(DeadRaw!$B:$B,$B9,DeadRaw!AT:AT)</f>
        <v>7</v>
      </c>
      <c r="AS9">
        <f>SUMIF(DeadRaw!$B:$B,$B9,DeadRaw!AU:AU)</f>
        <v>11</v>
      </c>
      <c r="AT9">
        <f>SUMIF(DeadRaw!$B:$B,$B9,DeadRaw!AV:AV)</f>
        <v>12</v>
      </c>
      <c r="AU9">
        <f>SUMIF(DeadRaw!$B:$B,$B9,DeadRaw!AW:AW)</f>
        <v>14</v>
      </c>
      <c r="AV9">
        <f>SUMIF(DeadRaw!$B:$B,$B9,DeadRaw!AX:AX)</f>
        <v>17</v>
      </c>
      <c r="AW9">
        <f>SUMIF(DeadRaw!$B:$B,$B9,DeadRaw!AY:AY)</f>
        <v>21</v>
      </c>
      <c r="AX9">
        <f>SUMIF(DeadRaw!$B:$B,$B9,DeadRaw!AZ:AZ)</f>
        <v>22</v>
      </c>
      <c r="AY9">
        <f>SUMIF(DeadRaw!$B:$B,$B9,DeadRaw!BA:BA)</f>
        <v>28</v>
      </c>
      <c r="AZ9">
        <f>SUMIF(DeadRaw!$B:$B,$B9,DeadRaw!BB:BB)</f>
        <v>36</v>
      </c>
      <c r="BA9">
        <f>SUMIF(DeadRaw!$B:$B,$B9,DeadRaw!BC:BC)</f>
        <v>40</v>
      </c>
      <c r="BB9">
        <f>SUMIF(DeadRaw!$B:$B,$B9,DeadRaw!BD:BD)</f>
        <v>47</v>
      </c>
      <c r="BC9">
        <f>SUMIF(DeadRaw!$B:$B,$B9,DeadRaw!BE:BE)</f>
        <v>54</v>
      </c>
      <c r="BD9">
        <f>SUMIF(DeadRaw!$B:$B,$B9,DeadRaw!BF:BF)</f>
        <v>63</v>
      </c>
      <c r="BE9">
        <f>SUMIF(DeadRaw!$B:$B,$B9,DeadRaw!BG:BG)</f>
        <v>85</v>
      </c>
      <c r="BF9">
        <f>SUMIF(DeadRaw!$B:$B,$B9,DeadRaw!BH:BH)</f>
        <v>108</v>
      </c>
      <c r="BG9">
        <f>SUMIF(DeadRaw!$B:$B,$B9,DeadRaw!BI:BI)</f>
        <v>118</v>
      </c>
      <c r="BH9">
        <f>SUMIF(DeadRaw!$B:$B,$B9,DeadRaw!BJ:BJ)</f>
        <v>200</v>
      </c>
      <c r="BI9">
        <f>SUMIF(DeadRaw!$B:$B,$B9,DeadRaw!BK:BK)</f>
        <v>244</v>
      </c>
      <c r="BJ9">
        <f>SUMIF(DeadRaw!$B:$B,$B9,DeadRaw!BL:BL)</f>
        <v>307</v>
      </c>
      <c r="BK9">
        <f>SUMIF(DeadRaw!$B:$B,$B9,DeadRaw!BM:BM)</f>
        <v>417</v>
      </c>
      <c r="BL9">
        <f>SUMIF(DeadRaw!$B:$B,$B9,DeadRaw!BN:BN)</f>
        <v>557</v>
      </c>
      <c r="BM9">
        <f>SUMIF(DeadRaw!$B:$B,$B9,DeadRaw!BO:BO)</f>
        <v>706</v>
      </c>
      <c r="BN9">
        <f>SUMIF(DeadRaw!$B:$B,$B9,DeadRaw!BP:BP)</f>
        <v>942</v>
      </c>
      <c r="BO9">
        <f>SUMIF(DeadRaw!$B:$B,$B9,DeadRaw!BQ:BQ)</f>
        <v>1209</v>
      </c>
      <c r="BP9">
        <f>SUMIF(DeadRaw!$B:$B,$B9,DeadRaw!BR:BR)</f>
        <v>1581</v>
      </c>
      <c r="BQ9">
        <f>SUMIF(DeadRaw!$B:$B,$B9,DeadRaw!BS:BS)</f>
        <v>2026</v>
      </c>
      <c r="BR9">
        <f>SUMIF(DeadRaw!$B:$B,$B9,DeadRaw!BT:BT)</f>
        <v>0</v>
      </c>
      <c r="BS9">
        <f>SUMIF(DeadRaw!$B:$B,$B9,DeadRaw!BU:BU)</f>
        <v>0</v>
      </c>
      <c r="BT9">
        <f>SUMIF(DeadRaw!$B:$B,$B9,DeadRaw!BV:BV)</f>
        <v>0</v>
      </c>
      <c r="BU9">
        <f>SUMIF(DeadRaw!$B:$B,$B9,DeadRaw!BW:BW)</f>
        <v>0</v>
      </c>
    </row>
    <row r="10" spans="1:73" ht="15" thickBot="1" x14ac:dyDescent="0.35">
      <c r="A10" s="97" t="str">
        <f>VLOOKUP(B10,Country_Data!B:Q,16,FALSE)</f>
        <v>Europe</v>
      </c>
      <c r="B10" s="4" t="s">
        <v>77</v>
      </c>
      <c r="C10">
        <f>SUMIF(DeadRaw!$B:$B,$B10,DeadRaw!E:E)</f>
        <v>0</v>
      </c>
      <c r="D10">
        <f>SUMIF(DeadRaw!$B:$B,$B10,DeadRaw!F:F)</f>
        <v>0</v>
      </c>
      <c r="E10">
        <f>SUMIF(DeadRaw!$B:$B,$B10,DeadRaw!G:G)</f>
        <v>0</v>
      </c>
      <c r="F10">
        <f>SUMIF(DeadRaw!$B:$B,$B10,DeadRaw!H:H)</f>
        <v>0</v>
      </c>
      <c r="G10">
        <f>SUMIF(DeadRaw!$B:$B,$B10,DeadRaw!I:I)</f>
        <v>0</v>
      </c>
      <c r="H10">
        <f>SUMIF(DeadRaw!$B:$B,$B10,DeadRaw!J:J)</f>
        <v>0</v>
      </c>
      <c r="I10">
        <f>SUMIF(DeadRaw!$B:$B,$B10,DeadRaw!K:K)</f>
        <v>0</v>
      </c>
      <c r="J10">
        <f>SUMIF(DeadRaw!$B:$B,$B10,DeadRaw!L:L)</f>
        <v>0</v>
      </c>
      <c r="K10">
        <f>SUMIF(DeadRaw!$B:$B,$B10,DeadRaw!M:M)</f>
        <v>0</v>
      </c>
      <c r="L10">
        <f>SUMIF(DeadRaw!$B:$B,$B10,DeadRaw!N:N)</f>
        <v>0</v>
      </c>
      <c r="M10">
        <f>SUMIF(DeadRaw!$B:$B,$B10,DeadRaw!O:O)</f>
        <v>0</v>
      </c>
      <c r="N10">
        <f>SUMIF(DeadRaw!$B:$B,$B10,DeadRaw!P:P)</f>
        <v>0</v>
      </c>
      <c r="O10">
        <f>SUMIF(DeadRaw!$B:$B,$B10,DeadRaw!Q:Q)</f>
        <v>0</v>
      </c>
      <c r="P10">
        <f>SUMIF(DeadRaw!$B:$B,$B10,DeadRaw!R:R)</f>
        <v>0</v>
      </c>
      <c r="Q10">
        <f>SUMIF(DeadRaw!$B:$B,$B10,DeadRaw!S:S)</f>
        <v>0</v>
      </c>
      <c r="R10">
        <f>SUMIF(DeadRaw!$B:$B,$B10,DeadRaw!T:T)</f>
        <v>0</v>
      </c>
      <c r="S10">
        <f>SUMIF(DeadRaw!$B:$B,$B10,DeadRaw!U:U)</f>
        <v>0</v>
      </c>
      <c r="T10">
        <f>SUMIF(DeadRaw!$B:$B,$B10,DeadRaw!V:V)</f>
        <v>0</v>
      </c>
      <c r="U10">
        <f>SUMIF(DeadRaw!$B:$B,$B10,DeadRaw!W:W)</f>
        <v>0</v>
      </c>
      <c r="V10">
        <f>SUMIF(DeadRaw!$B:$B,$B10,DeadRaw!X:X)</f>
        <v>0</v>
      </c>
      <c r="W10">
        <f>SUMIF(DeadRaw!$B:$B,$B10,DeadRaw!Y:Y)</f>
        <v>0</v>
      </c>
      <c r="X10">
        <f>SUMIF(DeadRaw!$B:$B,$B10,DeadRaw!Z:Z)</f>
        <v>0</v>
      </c>
      <c r="Y10">
        <f>SUMIF(DeadRaw!$B:$B,$B10,DeadRaw!AA:AA)</f>
        <v>0</v>
      </c>
      <c r="Z10">
        <f>SUMIF(DeadRaw!$B:$B,$B10,DeadRaw!AB:AB)</f>
        <v>0</v>
      </c>
      <c r="AA10">
        <f>SUMIF(DeadRaw!$B:$B,$B10,DeadRaw!AC:AC)</f>
        <v>0</v>
      </c>
      <c r="AB10">
        <f>SUMIF(DeadRaw!$B:$B,$B10,DeadRaw!AD:AD)</f>
        <v>0</v>
      </c>
      <c r="AC10">
        <f>SUMIF(DeadRaw!$B:$B,$B10,DeadRaw!AE:AE)</f>
        <v>0</v>
      </c>
      <c r="AD10">
        <f>SUMIF(DeadRaw!$B:$B,$B10,DeadRaw!AF:AF)</f>
        <v>0</v>
      </c>
      <c r="AE10">
        <f>SUMIF(DeadRaw!$B:$B,$B10,DeadRaw!AG:AG)</f>
        <v>0</v>
      </c>
      <c r="AF10">
        <f>SUMIF(DeadRaw!$B:$B,$B10,DeadRaw!AH:AH)</f>
        <v>0</v>
      </c>
      <c r="AG10">
        <f>SUMIF(DeadRaw!$B:$B,$B10,DeadRaw!AI:AI)</f>
        <v>0</v>
      </c>
      <c r="AH10">
        <f>SUMIF(DeadRaw!$B:$B,$B10,DeadRaw!AJ:AJ)</f>
        <v>0</v>
      </c>
      <c r="AI10">
        <f>SUMIF(DeadRaw!$B:$B,$B10,DeadRaw!AK:AK)</f>
        <v>0</v>
      </c>
      <c r="AJ10">
        <f>SUMIF(DeadRaw!$B:$B,$B10,DeadRaw!AL:AL)</f>
        <v>0</v>
      </c>
      <c r="AK10">
        <f>SUMIF(DeadRaw!$B:$B,$B10,DeadRaw!AM:AM)</f>
        <v>0</v>
      </c>
      <c r="AL10">
        <f>SUMIF(DeadRaw!$B:$B,$B10,DeadRaw!AN:AN)</f>
        <v>0</v>
      </c>
      <c r="AM10">
        <f>SUMIF(DeadRaw!$B:$B,$B10,DeadRaw!AO:AO)</f>
        <v>0</v>
      </c>
      <c r="AN10">
        <f>SUMIF(DeadRaw!$B:$B,$B10,DeadRaw!AP:AP)</f>
        <v>0</v>
      </c>
      <c r="AO10">
        <f>SUMIF(DeadRaw!$B:$B,$B10,DeadRaw!AQ:AQ)</f>
        <v>0</v>
      </c>
      <c r="AP10">
        <f>SUMIF(DeadRaw!$B:$B,$B10,DeadRaw!AR:AR)</f>
        <v>0</v>
      </c>
      <c r="AQ10">
        <f>SUMIF(DeadRaw!$B:$B,$B10,DeadRaw!AS:AS)</f>
        <v>0</v>
      </c>
      <c r="AR10">
        <f>SUMIF(DeadRaw!$B:$B,$B10,DeadRaw!AT:AT)</f>
        <v>0</v>
      </c>
      <c r="AS10">
        <f>SUMIF(DeadRaw!$B:$B,$B10,DeadRaw!AU:AU)</f>
        <v>0</v>
      </c>
      <c r="AT10">
        <f>SUMIF(DeadRaw!$B:$B,$B10,DeadRaw!AV:AV)</f>
        <v>1</v>
      </c>
      <c r="AU10">
        <f>SUMIF(DeadRaw!$B:$B,$B10,DeadRaw!AW:AW)</f>
        <v>1</v>
      </c>
      <c r="AV10">
        <f>SUMIF(DeadRaw!$B:$B,$B10,DeadRaw!AX:AX)</f>
        <v>1</v>
      </c>
      <c r="AW10">
        <f>SUMIF(DeadRaw!$B:$B,$B10,DeadRaw!AY:AY)</f>
        <v>2</v>
      </c>
      <c r="AX10">
        <f>SUMIF(DeadRaw!$B:$B,$B10,DeadRaw!AZ:AZ)</f>
        <v>2</v>
      </c>
      <c r="AY10">
        <f>SUMIF(DeadRaw!$B:$B,$B10,DeadRaw!BA:BA)</f>
        <v>3</v>
      </c>
      <c r="AZ10">
        <f>SUMIF(DeadRaw!$B:$B,$B10,DeadRaw!BB:BB)</f>
        <v>4</v>
      </c>
      <c r="BA10">
        <f>SUMIF(DeadRaw!$B:$B,$B10,DeadRaw!BC:BC)</f>
        <v>4</v>
      </c>
      <c r="BB10">
        <f>SUMIF(DeadRaw!$B:$B,$B10,DeadRaw!BD:BD)</f>
        <v>11</v>
      </c>
      <c r="BC10">
        <f>SUMIF(DeadRaw!$B:$B,$B10,DeadRaw!BE:BE)</f>
        <v>13</v>
      </c>
      <c r="BD10">
        <f>SUMIF(DeadRaw!$B:$B,$B10,DeadRaw!BF:BF)</f>
        <v>14</v>
      </c>
      <c r="BE10">
        <f>SUMIF(DeadRaw!$B:$B,$B10,DeadRaw!BG:BG)</f>
        <v>14</v>
      </c>
      <c r="BF10">
        <f>SUMIF(DeadRaw!$B:$B,$B10,DeadRaw!BH:BH)</f>
        <v>27</v>
      </c>
      <c r="BG10">
        <f>SUMIF(DeadRaw!$B:$B,$B10,DeadRaw!BI:BI)</f>
        <v>28</v>
      </c>
      <c r="BH10">
        <f>SUMIF(DeadRaw!$B:$B,$B10,DeadRaw!BJ:BJ)</f>
        <v>41</v>
      </c>
      <c r="BI10">
        <f>SUMIF(DeadRaw!$B:$B,$B10,DeadRaw!BK:BK)</f>
        <v>54</v>
      </c>
      <c r="BJ10">
        <f>SUMIF(DeadRaw!$B:$B,$B10,DeadRaw!BL:BL)</f>
        <v>75</v>
      </c>
      <c r="BK10">
        <f>SUMIF(DeadRaw!$B:$B,$B10,DeadRaw!BM:BM)</f>
        <v>98</v>
      </c>
      <c r="BL10">
        <f>SUMIF(DeadRaw!$B:$B,$B10,DeadRaw!BN:BN)</f>
        <v>120</v>
      </c>
      <c r="BM10">
        <f>SUMIF(DeadRaw!$B:$B,$B10,DeadRaw!BO:BO)</f>
        <v>122</v>
      </c>
      <c r="BN10">
        <f>SUMIF(DeadRaw!$B:$B,$B10,DeadRaw!BP:BP)</f>
        <v>153</v>
      </c>
      <c r="BO10">
        <f>SUMIF(DeadRaw!$B:$B,$B10,DeadRaw!BQ:BQ)</f>
        <v>191</v>
      </c>
      <c r="BP10">
        <f>SUMIF(DeadRaw!$B:$B,$B10,DeadRaw!BR:BR)</f>
        <v>231</v>
      </c>
      <c r="BQ10">
        <f>SUMIF(DeadRaw!$B:$B,$B10,DeadRaw!BS:BS)</f>
        <v>264</v>
      </c>
      <c r="BR10">
        <f>SUMIF(DeadRaw!$B:$B,$B10,DeadRaw!BT:BT)</f>
        <v>0</v>
      </c>
      <c r="BS10">
        <f>SUMIF(DeadRaw!$B:$B,$B10,DeadRaw!BU:BU)</f>
        <v>0</v>
      </c>
      <c r="BT10">
        <f>SUMIF(DeadRaw!$B:$B,$B10,DeadRaw!BV:BV)</f>
        <v>0</v>
      </c>
      <c r="BU10">
        <f>SUMIF(DeadRaw!$B:$B,$B10,DeadRaw!BW:BW)</f>
        <v>0</v>
      </c>
    </row>
    <row r="11" spans="1:73" ht="15" thickBot="1" x14ac:dyDescent="0.35">
      <c r="A11" s="97" t="str">
        <f>VLOOKUP(B11,Country_Data!B:Q,16,FALSE)</f>
        <v>Europe</v>
      </c>
      <c r="B11" s="4" t="s">
        <v>85</v>
      </c>
      <c r="C11">
        <f>SUMIF(DeadRaw!$B:$B,$B11,DeadRaw!E:E)</f>
        <v>0</v>
      </c>
      <c r="D11">
        <f>SUMIF(DeadRaw!$B:$B,$B11,DeadRaw!F:F)</f>
        <v>0</v>
      </c>
      <c r="E11">
        <f>SUMIF(DeadRaw!$B:$B,$B11,DeadRaw!G:G)</f>
        <v>0</v>
      </c>
      <c r="F11">
        <f>SUMIF(DeadRaw!$B:$B,$B11,DeadRaw!H:H)</f>
        <v>0</v>
      </c>
      <c r="G11">
        <f>SUMIF(DeadRaw!$B:$B,$B11,DeadRaw!I:I)</f>
        <v>0</v>
      </c>
      <c r="H11">
        <f>SUMIF(DeadRaw!$B:$B,$B11,DeadRaw!J:J)</f>
        <v>0</v>
      </c>
      <c r="I11">
        <f>SUMIF(DeadRaw!$B:$B,$B11,DeadRaw!K:K)</f>
        <v>0</v>
      </c>
      <c r="J11">
        <f>SUMIF(DeadRaw!$B:$B,$B11,DeadRaw!L:L)</f>
        <v>0</v>
      </c>
      <c r="K11">
        <f>SUMIF(DeadRaw!$B:$B,$B11,DeadRaw!M:M)</f>
        <v>0</v>
      </c>
      <c r="L11">
        <f>SUMIF(DeadRaw!$B:$B,$B11,DeadRaw!N:N)</f>
        <v>0</v>
      </c>
      <c r="M11">
        <f>SUMIF(DeadRaw!$B:$B,$B11,DeadRaw!O:O)</f>
        <v>0</v>
      </c>
      <c r="N11">
        <f>SUMIF(DeadRaw!$B:$B,$B11,DeadRaw!P:P)</f>
        <v>0</v>
      </c>
      <c r="O11">
        <f>SUMIF(DeadRaw!$B:$B,$B11,DeadRaw!Q:Q)</f>
        <v>0</v>
      </c>
      <c r="P11">
        <f>SUMIF(DeadRaw!$B:$B,$B11,DeadRaw!R:R)</f>
        <v>0</v>
      </c>
      <c r="Q11">
        <f>SUMIF(DeadRaw!$B:$B,$B11,DeadRaw!S:S)</f>
        <v>0</v>
      </c>
      <c r="R11">
        <f>SUMIF(DeadRaw!$B:$B,$B11,DeadRaw!T:T)</f>
        <v>0</v>
      </c>
      <c r="S11">
        <f>SUMIF(DeadRaw!$B:$B,$B11,DeadRaw!U:U)</f>
        <v>0</v>
      </c>
      <c r="T11">
        <f>SUMIF(DeadRaw!$B:$B,$B11,DeadRaw!V:V)</f>
        <v>0</v>
      </c>
      <c r="U11">
        <f>SUMIF(DeadRaw!$B:$B,$B11,DeadRaw!W:W)</f>
        <v>0</v>
      </c>
      <c r="V11">
        <f>SUMIF(DeadRaw!$B:$B,$B11,DeadRaw!X:X)</f>
        <v>0</v>
      </c>
      <c r="W11">
        <f>SUMIF(DeadRaw!$B:$B,$B11,DeadRaw!Y:Y)</f>
        <v>0</v>
      </c>
      <c r="X11">
        <f>SUMIF(DeadRaw!$B:$B,$B11,DeadRaw!Z:Z)</f>
        <v>0</v>
      </c>
      <c r="Y11">
        <f>SUMIF(DeadRaw!$B:$B,$B11,DeadRaw!AA:AA)</f>
        <v>0</v>
      </c>
      <c r="Z11">
        <f>SUMIF(DeadRaw!$B:$B,$B11,DeadRaw!AB:AB)</f>
        <v>0</v>
      </c>
      <c r="AA11">
        <f>SUMIF(DeadRaw!$B:$B,$B11,DeadRaw!AC:AC)</f>
        <v>0</v>
      </c>
      <c r="AB11">
        <f>SUMIF(DeadRaw!$B:$B,$B11,DeadRaw!AD:AD)</f>
        <v>0</v>
      </c>
      <c r="AC11">
        <f>SUMIF(DeadRaw!$B:$B,$B11,DeadRaw!AE:AE)</f>
        <v>0</v>
      </c>
      <c r="AD11">
        <f>SUMIF(DeadRaw!$B:$B,$B11,DeadRaw!AF:AF)</f>
        <v>0</v>
      </c>
      <c r="AE11">
        <f>SUMIF(DeadRaw!$B:$B,$B11,DeadRaw!AG:AG)</f>
        <v>0</v>
      </c>
      <c r="AF11">
        <f>SUMIF(DeadRaw!$B:$B,$B11,DeadRaw!AH:AH)</f>
        <v>0</v>
      </c>
      <c r="AG11">
        <f>SUMIF(DeadRaw!$B:$B,$B11,DeadRaw!AI:AI)</f>
        <v>0</v>
      </c>
      <c r="AH11">
        <f>SUMIF(DeadRaw!$B:$B,$B11,DeadRaw!AJ:AJ)</f>
        <v>0</v>
      </c>
      <c r="AI11">
        <f>SUMIF(DeadRaw!$B:$B,$B11,DeadRaw!AK:AK)</f>
        <v>0</v>
      </c>
      <c r="AJ11">
        <f>SUMIF(DeadRaw!$B:$B,$B11,DeadRaw!AL:AL)</f>
        <v>0</v>
      </c>
      <c r="AK11">
        <f>SUMIF(DeadRaw!$B:$B,$B11,DeadRaw!AM:AM)</f>
        <v>0</v>
      </c>
      <c r="AL11">
        <f>SUMIF(DeadRaw!$B:$B,$B11,DeadRaw!AN:AN)</f>
        <v>0</v>
      </c>
      <c r="AM11">
        <f>SUMIF(DeadRaw!$B:$B,$B11,DeadRaw!AO:AO)</f>
        <v>0</v>
      </c>
      <c r="AN11">
        <f>SUMIF(DeadRaw!$B:$B,$B11,DeadRaw!AP:AP)</f>
        <v>0</v>
      </c>
      <c r="AO11">
        <f>SUMIF(DeadRaw!$B:$B,$B11,DeadRaw!AQ:AQ)</f>
        <v>0</v>
      </c>
      <c r="AP11">
        <f>SUMIF(DeadRaw!$B:$B,$B11,DeadRaw!AR:AR)</f>
        <v>0</v>
      </c>
      <c r="AQ11">
        <f>SUMIF(DeadRaw!$B:$B,$B11,DeadRaw!AS:AS)</f>
        <v>0</v>
      </c>
      <c r="AR11">
        <f>SUMIF(DeadRaw!$B:$B,$B11,DeadRaw!AT:AT)</f>
        <v>0</v>
      </c>
      <c r="AS11">
        <f>SUMIF(DeadRaw!$B:$B,$B11,DeadRaw!AU:AU)</f>
        <v>0</v>
      </c>
      <c r="AT11">
        <f>SUMIF(DeadRaw!$B:$B,$B11,DeadRaw!AV:AV)</f>
        <v>0</v>
      </c>
      <c r="AU11">
        <f>SUMIF(DeadRaw!$B:$B,$B11,DeadRaw!AW:AW)</f>
        <v>0</v>
      </c>
      <c r="AV11">
        <f>SUMIF(DeadRaw!$B:$B,$B11,DeadRaw!AX:AX)</f>
        <v>0</v>
      </c>
      <c r="AW11">
        <f>SUMIF(DeadRaw!$B:$B,$B11,DeadRaw!AY:AY)</f>
        <v>0</v>
      </c>
      <c r="AX11">
        <f>SUMIF(DeadRaw!$B:$B,$B11,DeadRaw!AZ:AZ)</f>
        <v>0</v>
      </c>
      <c r="AY11">
        <f>SUMIF(DeadRaw!$B:$B,$B11,DeadRaw!BA:BA)</f>
        <v>0</v>
      </c>
      <c r="AZ11">
        <f>SUMIF(DeadRaw!$B:$B,$B11,DeadRaw!BB:BB)</f>
        <v>0</v>
      </c>
      <c r="BA11">
        <f>SUMIF(DeadRaw!$B:$B,$B11,DeadRaw!BC:BC)</f>
        <v>0</v>
      </c>
      <c r="BB11">
        <f>SUMIF(DeadRaw!$B:$B,$B11,DeadRaw!BD:BD)</f>
        <v>0</v>
      </c>
      <c r="BC11">
        <f>SUMIF(DeadRaw!$B:$B,$B11,DeadRaw!BE:BE)</f>
        <v>3</v>
      </c>
      <c r="BD11">
        <f>SUMIF(DeadRaw!$B:$B,$B11,DeadRaw!BF:BF)</f>
        <v>3</v>
      </c>
      <c r="BE11">
        <f>SUMIF(DeadRaw!$B:$B,$B11,DeadRaw!BG:BG)</f>
        <v>3</v>
      </c>
      <c r="BF11">
        <f>SUMIF(DeadRaw!$B:$B,$B11,DeadRaw!BH:BH)</f>
        <v>3</v>
      </c>
      <c r="BG11">
        <f>SUMIF(DeadRaw!$B:$B,$B11,DeadRaw!BI:BI)</f>
        <v>6</v>
      </c>
      <c r="BH11">
        <f>SUMIF(DeadRaw!$B:$B,$B11,DeadRaw!BJ:BJ)</f>
        <v>7</v>
      </c>
      <c r="BI11">
        <f>SUMIF(DeadRaw!$B:$B,$B11,DeadRaw!BK:BK)</f>
        <v>7</v>
      </c>
      <c r="BJ11">
        <f>SUMIF(DeadRaw!$B:$B,$B11,DeadRaw!BL:BL)</f>
        <v>7</v>
      </c>
      <c r="BK11">
        <f>SUMIF(DeadRaw!$B:$B,$B11,DeadRaw!BM:BM)</f>
        <v>7</v>
      </c>
      <c r="BL11">
        <f>SUMIF(DeadRaw!$B:$B,$B11,DeadRaw!BN:BN)</f>
        <v>10</v>
      </c>
      <c r="BM11">
        <f>SUMIF(DeadRaw!$B:$B,$B11,DeadRaw!BO:BO)</f>
        <v>12</v>
      </c>
      <c r="BN11">
        <f>SUMIF(DeadRaw!$B:$B,$B11,DeadRaw!BP:BP)</f>
        <v>14</v>
      </c>
      <c r="BO11">
        <f>SUMIF(DeadRaw!$B:$B,$B11,DeadRaw!BQ:BQ)</f>
        <v>14</v>
      </c>
      <c r="BP11">
        <f>SUMIF(DeadRaw!$B:$B,$B11,DeadRaw!BR:BR)</f>
        <v>19</v>
      </c>
      <c r="BQ11">
        <f>SUMIF(DeadRaw!$B:$B,$B11,DeadRaw!BS:BS)</f>
        <v>23</v>
      </c>
      <c r="BR11">
        <f>SUMIF(DeadRaw!$B:$B,$B11,DeadRaw!BT:BT)</f>
        <v>0</v>
      </c>
      <c r="BS11">
        <f>SUMIF(DeadRaw!$B:$B,$B11,DeadRaw!BU:BU)</f>
        <v>0</v>
      </c>
      <c r="BT11">
        <f>SUMIF(DeadRaw!$B:$B,$B11,DeadRaw!BV:BV)</f>
        <v>0</v>
      </c>
      <c r="BU11">
        <f>SUMIF(DeadRaw!$B:$B,$B11,DeadRaw!BW:BW)</f>
        <v>0</v>
      </c>
    </row>
    <row r="12" spans="1:73" ht="15" thickBot="1" x14ac:dyDescent="0.35">
      <c r="A12" s="97" t="str">
        <f>VLOOKUP(B12,Country_Data!B:Q,16,FALSE)</f>
        <v>Europe</v>
      </c>
      <c r="B12" s="4" t="s">
        <v>59</v>
      </c>
      <c r="C12">
        <f>SUMIF(DeadRaw!$B:$B,$B12,DeadRaw!E:E)</f>
        <v>0</v>
      </c>
      <c r="D12">
        <f>SUMIF(DeadRaw!$B:$B,$B12,DeadRaw!F:F)</f>
        <v>0</v>
      </c>
      <c r="E12">
        <f>SUMIF(DeadRaw!$B:$B,$B12,DeadRaw!G:G)</f>
        <v>0</v>
      </c>
      <c r="F12">
        <f>SUMIF(DeadRaw!$B:$B,$B12,DeadRaw!H:H)</f>
        <v>0</v>
      </c>
      <c r="G12">
        <f>SUMIF(DeadRaw!$B:$B,$B12,DeadRaw!I:I)</f>
        <v>0</v>
      </c>
      <c r="H12">
        <f>SUMIF(DeadRaw!$B:$B,$B12,DeadRaw!J:J)</f>
        <v>0</v>
      </c>
      <c r="I12">
        <f>SUMIF(DeadRaw!$B:$B,$B12,DeadRaw!K:K)</f>
        <v>0</v>
      </c>
      <c r="J12">
        <f>SUMIF(DeadRaw!$B:$B,$B12,DeadRaw!L:L)</f>
        <v>0</v>
      </c>
      <c r="K12">
        <f>SUMIF(DeadRaw!$B:$B,$B12,DeadRaw!M:M)</f>
        <v>0</v>
      </c>
      <c r="L12">
        <f>SUMIF(DeadRaw!$B:$B,$B12,DeadRaw!N:N)</f>
        <v>0</v>
      </c>
      <c r="M12">
        <f>SUMIF(DeadRaw!$B:$B,$B12,DeadRaw!O:O)</f>
        <v>0</v>
      </c>
      <c r="N12">
        <f>SUMIF(DeadRaw!$B:$B,$B12,DeadRaw!P:P)</f>
        <v>0</v>
      </c>
      <c r="O12">
        <f>SUMIF(DeadRaw!$B:$B,$B12,DeadRaw!Q:Q)</f>
        <v>0</v>
      </c>
      <c r="P12">
        <f>SUMIF(DeadRaw!$B:$B,$B12,DeadRaw!R:R)</f>
        <v>0</v>
      </c>
      <c r="Q12">
        <f>SUMIF(DeadRaw!$B:$B,$B12,DeadRaw!S:S)</f>
        <v>0</v>
      </c>
      <c r="R12">
        <f>SUMIF(DeadRaw!$B:$B,$B12,DeadRaw!T:T)</f>
        <v>0</v>
      </c>
      <c r="S12">
        <f>SUMIF(DeadRaw!$B:$B,$B12,DeadRaw!U:U)</f>
        <v>0</v>
      </c>
      <c r="T12">
        <f>SUMIF(DeadRaw!$B:$B,$B12,DeadRaw!V:V)</f>
        <v>0</v>
      </c>
      <c r="U12">
        <f>SUMIF(DeadRaw!$B:$B,$B12,DeadRaw!W:W)</f>
        <v>0</v>
      </c>
      <c r="V12">
        <f>SUMIF(DeadRaw!$B:$B,$B12,DeadRaw!X:X)</f>
        <v>0</v>
      </c>
      <c r="W12">
        <f>SUMIF(DeadRaw!$B:$B,$B12,DeadRaw!Y:Y)</f>
        <v>0</v>
      </c>
      <c r="X12">
        <f>SUMIF(DeadRaw!$B:$B,$B12,DeadRaw!Z:Z)</f>
        <v>0</v>
      </c>
      <c r="Y12">
        <f>SUMIF(DeadRaw!$B:$B,$B12,DeadRaw!AA:AA)</f>
        <v>0</v>
      </c>
      <c r="Z12">
        <f>SUMIF(DeadRaw!$B:$B,$B12,DeadRaw!AB:AB)</f>
        <v>0</v>
      </c>
      <c r="AA12">
        <f>SUMIF(DeadRaw!$B:$B,$B12,DeadRaw!AC:AC)</f>
        <v>0</v>
      </c>
      <c r="AB12">
        <f>SUMIF(DeadRaw!$B:$B,$B12,DeadRaw!AD:AD)</f>
        <v>0</v>
      </c>
      <c r="AC12">
        <f>SUMIF(DeadRaw!$B:$B,$B12,DeadRaw!AE:AE)</f>
        <v>0</v>
      </c>
      <c r="AD12">
        <f>SUMIF(DeadRaw!$B:$B,$B12,DeadRaw!AF:AF)</f>
        <v>0</v>
      </c>
      <c r="AE12">
        <f>SUMIF(DeadRaw!$B:$B,$B12,DeadRaw!AG:AG)</f>
        <v>0</v>
      </c>
      <c r="AF12">
        <f>SUMIF(DeadRaw!$B:$B,$B12,DeadRaw!AH:AH)</f>
        <v>0</v>
      </c>
      <c r="AG12">
        <f>SUMIF(DeadRaw!$B:$B,$B12,DeadRaw!AI:AI)</f>
        <v>0</v>
      </c>
      <c r="AH12">
        <f>SUMIF(DeadRaw!$B:$B,$B12,DeadRaw!AJ:AJ)</f>
        <v>0</v>
      </c>
      <c r="AI12">
        <f>SUMIF(DeadRaw!$B:$B,$B12,DeadRaw!AK:AK)</f>
        <v>0</v>
      </c>
      <c r="AJ12">
        <f>SUMIF(DeadRaw!$B:$B,$B12,DeadRaw!AL:AL)</f>
        <v>0</v>
      </c>
      <c r="AK12">
        <f>SUMIF(DeadRaw!$B:$B,$B12,DeadRaw!AM:AM)</f>
        <v>0</v>
      </c>
      <c r="AL12">
        <f>SUMIF(DeadRaw!$B:$B,$B12,DeadRaw!AN:AN)</f>
        <v>0</v>
      </c>
      <c r="AM12">
        <f>SUMIF(DeadRaw!$B:$B,$B12,DeadRaw!AO:AO)</f>
        <v>0</v>
      </c>
      <c r="AN12">
        <f>SUMIF(DeadRaw!$B:$B,$B12,DeadRaw!AP:AP)</f>
        <v>0</v>
      </c>
      <c r="AO12">
        <f>SUMIF(DeadRaw!$B:$B,$B12,DeadRaw!AQ:AQ)</f>
        <v>0</v>
      </c>
      <c r="AP12">
        <f>SUMIF(DeadRaw!$B:$B,$B12,DeadRaw!AR:AR)</f>
        <v>0</v>
      </c>
      <c r="AQ12">
        <f>SUMIF(DeadRaw!$B:$B,$B12,DeadRaw!AS:AS)</f>
        <v>0</v>
      </c>
      <c r="AR12">
        <f>SUMIF(DeadRaw!$B:$B,$B12,DeadRaw!AT:AT)</f>
        <v>0</v>
      </c>
      <c r="AS12">
        <f>SUMIF(DeadRaw!$B:$B,$B12,DeadRaw!AU:AU)</f>
        <v>0</v>
      </c>
      <c r="AT12">
        <f>SUMIF(DeadRaw!$B:$B,$B12,DeadRaw!AV:AV)</f>
        <v>0</v>
      </c>
      <c r="AU12">
        <f>SUMIF(DeadRaw!$B:$B,$B12,DeadRaw!AW:AW)</f>
        <v>0</v>
      </c>
      <c r="AV12">
        <f>SUMIF(DeadRaw!$B:$B,$B12,DeadRaw!AX:AX)</f>
        <v>0</v>
      </c>
      <c r="AW12">
        <f>SUMIF(DeadRaw!$B:$B,$B12,DeadRaw!AY:AY)</f>
        <v>0</v>
      </c>
      <c r="AX12">
        <f>SUMIF(DeadRaw!$B:$B,$B12,DeadRaw!AZ:AZ)</f>
        <v>0</v>
      </c>
      <c r="AY12">
        <f>SUMIF(DeadRaw!$B:$B,$B12,DeadRaw!BA:BA)</f>
        <v>0</v>
      </c>
      <c r="AZ12">
        <f>SUMIF(DeadRaw!$B:$B,$B12,DeadRaw!BB:BB)</f>
        <v>1</v>
      </c>
      <c r="BA12">
        <f>SUMIF(DeadRaw!$B:$B,$B12,DeadRaw!BC:BC)</f>
        <v>1</v>
      </c>
      <c r="BB12">
        <f>SUMIF(DeadRaw!$B:$B,$B12,DeadRaw!BD:BD)</f>
        <v>1</v>
      </c>
      <c r="BC12">
        <f>SUMIF(DeadRaw!$B:$B,$B12,DeadRaw!BE:BE)</f>
        <v>2</v>
      </c>
      <c r="BD12">
        <f>SUMIF(DeadRaw!$B:$B,$B12,DeadRaw!BF:BF)</f>
        <v>3</v>
      </c>
      <c r="BE12">
        <f>SUMIF(DeadRaw!$B:$B,$B12,DeadRaw!BG:BG)</f>
        <v>6</v>
      </c>
      <c r="BF12">
        <f>SUMIF(DeadRaw!$B:$B,$B12,DeadRaw!BH:BH)</f>
        <v>7</v>
      </c>
      <c r="BG12">
        <f>SUMIF(DeadRaw!$B:$B,$B12,DeadRaw!BI:BI)</f>
        <v>10</v>
      </c>
      <c r="BH12">
        <f>SUMIF(DeadRaw!$B:$B,$B12,DeadRaw!BJ:BJ)</f>
        <v>11</v>
      </c>
      <c r="BI12">
        <f>SUMIF(DeadRaw!$B:$B,$B12,DeadRaw!BK:BK)</f>
        <v>16</v>
      </c>
      <c r="BJ12">
        <f>SUMIF(DeadRaw!$B:$B,$B12,DeadRaw!BL:BL)</f>
        <v>20</v>
      </c>
      <c r="BK12">
        <f>SUMIF(DeadRaw!$B:$B,$B12,DeadRaw!BM:BM)</f>
        <v>21</v>
      </c>
      <c r="BL12">
        <f>SUMIF(DeadRaw!$B:$B,$B12,DeadRaw!BN:BN)</f>
        <v>25</v>
      </c>
      <c r="BM12">
        <f>SUMIF(DeadRaw!$B:$B,$B12,DeadRaw!BO:BO)</f>
        <v>36</v>
      </c>
      <c r="BN12">
        <f>SUMIF(DeadRaw!$B:$B,$B12,DeadRaw!BP:BP)</f>
        <v>62</v>
      </c>
      <c r="BO12">
        <f>SUMIF(DeadRaw!$B:$B,$B12,DeadRaw!BQ:BQ)</f>
        <v>77</v>
      </c>
      <c r="BP12">
        <f>SUMIF(DeadRaw!$B:$B,$B12,DeadRaw!BR:BR)</f>
        <v>105</v>
      </c>
      <c r="BQ12">
        <f>SUMIF(DeadRaw!$B:$B,$B12,DeadRaw!BS:BS)</f>
        <v>105</v>
      </c>
      <c r="BR12">
        <f>SUMIF(DeadRaw!$B:$B,$B12,DeadRaw!BT:BT)</f>
        <v>0</v>
      </c>
      <c r="BS12">
        <f>SUMIF(DeadRaw!$B:$B,$B12,DeadRaw!BU:BU)</f>
        <v>0</v>
      </c>
      <c r="BT12">
        <f>SUMIF(DeadRaw!$B:$B,$B12,DeadRaw!BV:BV)</f>
        <v>0</v>
      </c>
      <c r="BU12">
        <f>SUMIF(DeadRaw!$B:$B,$B12,DeadRaw!BW:BW)</f>
        <v>0</v>
      </c>
    </row>
    <row r="13" spans="1:73" ht="15" thickBot="1" x14ac:dyDescent="0.35">
      <c r="A13" s="97" t="str">
        <f>VLOOKUP(B13,Country_Data!B:Q,16,FALSE)</f>
        <v>Europe</v>
      </c>
      <c r="B13" s="3" t="s">
        <v>87</v>
      </c>
      <c r="C13">
        <f>SUMIF(DeadRaw!$B:$B,$B13,DeadRaw!E:E)</f>
        <v>0</v>
      </c>
      <c r="D13">
        <f>SUMIF(DeadRaw!$B:$B,$B13,DeadRaw!F:F)</f>
        <v>0</v>
      </c>
      <c r="E13">
        <f>SUMIF(DeadRaw!$B:$B,$B13,DeadRaw!G:G)</f>
        <v>0</v>
      </c>
      <c r="F13">
        <f>SUMIF(DeadRaw!$B:$B,$B13,DeadRaw!H:H)</f>
        <v>0</v>
      </c>
      <c r="G13">
        <f>SUMIF(DeadRaw!$B:$B,$B13,DeadRaw!I:I)</f>
        <v>0</v>
      </c>
      <c r="H13">
        <f>SUMIF(DeadRaw!$B:$B,$B13,DeadRaw!J:J)</f>
        <v>0</v>
      </c>
      <c r="I13">
        <f>SUMIF(DeadRaw!$B:$B,$B13,DeadRaw!K:K)</f>
        <v>0</v>
      </c>
      <c r="J13">
        <f>SUMIF(DeadRaw!$B:$B,$B13,DeadRaw!L:L)</f>
        <v>0</v>
      </c>
      <c r="K13">
        <f>SUMIF(DeadRaw!$B:$B,$B13,DeadRaw!M:M)</f>
        <v>0</v>
      </c>
      <c r="L13">
        <f>SUMIF(DeadRaw!$B:$B,$B13,DeadRaw!N:N)</f>
        <v>0</v>
      </c>
      <c r="M13">
        <f>SUMIF(DeadRaw!$B:$B,$B13,DeadRaw!O:O)</f>
        <v>0</v>
      </c>
      <c r="N13">
        <f>SUMIF(DeadRaw!$B:$B,$B13,DeadRaw!P:P)</f>
        <v>0</v>
      </c>
      <c r="O13">
        <f>SUMIF(DeadRaw!$B:$B,$B13,DeadRaw!Q:Q)</f>
        <v>0</v>
      </c>
      <c r="P13">
        <f>SUMIF(DeadRaw!$B:$B,$B13,DeadRaw!R:R)</f>
        <v>0</v>
      </c>
      <c r="Q13">
        <f>SUMIF(DeadRaw!$B:$B,$B13,DeadRaw!S:S)</f>
        <v>0</v>
      </c>
      <c r="R13">
        <f>SUMIF(DeadRaw!$B:$B,$B13,DeadRaw!T:T)</f>
        <v>0</v>
      </c>
      <c r="S13">
        <f>SUMIF(DeadRaw!$B:$B,$B13,DeadRaw!U:U)</f>
        <v>0</v>
      </c>
      <c r="T13">
        <f>SUMIF(DeadRaw!$B:$B,$B13,DeadRaw!V:V)</f>
        <v>0</v>
      </c>
      <c r="U13">
        <f>SUMIF(DeadRaw!$B:$B,$B13,DeadRaw!W:W)</f>
        <v>0</v>
      </c>
      <c r="V13">
        <f>SUMIF(DeadRaw!$B:$B,$B13,DeadRaw!X:X)</f>
        <v>0</v>
      </c>
      <c r="W13">
        <f>SUMIF(DeadRaw!$B:$B,$B13,DeadRaw!Y:Y)</f>
        <v>0</v>
      </c>
      <c r="X13">
        <f>SUMIF(DeadRaw!$B:$B,$B13,DeadRaw!Z:Z)</f>
        <v>0</v>
      </c>
      <c r="Y13">
        <f>SUMIF(DeadRaw!$B:$B,$B13,DeadRaw!AA:AA)</f>
        <v>0</v>
      </c>
      <c r="Z13">
        <f>SUMIF(DeadRaw!$B:$B,$B13,DeadRaw!AB:AB)</f>
        <v>0</v>
      </c>
      <c r="AA13">
        <f>SUMIF(DeadRaw!$B:$B,$B13,DeadRaw!AC:AC)</f>
        <v>0</v>
      </c>
      <c r="AB13">
        <f>SUMIF(DeadRaw!$B:$B,$B13,DeadRaw!AD:AD)</f>
        <v>0</v>
      </c>
      <c r="AC13">
        <f>SUMIF(DeadRaw!$B:$B,$B13,DeadRaw!AE:AE)</f>
        <v>0</v>
      </c>
      <c r="AD13">
        <f>SUMIF(DeadRaw!$B:$B,$B13,DeadRaw!AF:AF)</f>
        <v>0</v>
      </c>
      <c r="AE13">
        <f>SUMIF(DeadRaw!$B:$B,$B13,DeadRaw!AG:AG)</f>
        <v>0</v>
      </c>
      <c r="AF13">
        <f>SUMIF(DeadRaw!$B:$B,$B13,DeadRaw!AH:AH)</f>
        <v>0</v>
      </c>
      <c r="AG13">
        <f>SUMIF(DeadRaw!$B:$B,$B13,DeadRaw!AI:AI)</f>
        <v>0</v>
      </c>
      <c r="AH13">
        <f>SUMIF(DeadRaw!$B:$B,$B13,DeadRaw!AJ:AJ)</f>
        <v>0</v>
      </c>
      <c r="AI13">
        <f>SUMIF(DeadRaw!$B:$B,$B13,DeadRaw!AK:AK)</f>
        <v>0</v>
      </c>
      <c r="AJ13">
        <f>SUMIF(DeadRaw!$B:$B,$B13,DeadRaw!AL:AL)</f>
        <v>0</v>
      </c>
      <c r="AK13">
        <f>SUMIF(DeadRaw!$B:$B,$B13,DeadRaw!AM:AM)</f>
        <v>0</v>
      </c>
      <c r="AL13">
        <f>SUMIF(DeadRaw!$B:$B,$B13,DeadRaw!AN:AN)</f>
        <v>0</v>
      </c>
      <c r="AM13">
        <f>SUMIF(DeadRaw!$B:$B,$B13,DeadRaw!AO:AO)</f>
        <v>0</v>
      </c>
      <c r="AN13">
        <f>SUMIF(DeadRaw!$B:$B,$B13,DeadRaw!AP:AP)</f>
        <v>0</v>
      </c>
      <c r="AO13">
        <f>SUMIF(DeadRaw!$B:$B,$B13,DeadRaw!AQ:AQ)</f>
        <v>0</v>
      </c>
      <c r="AP13">
        <f>SUMIF(DeadRaw!$B:$B,$B13,DeadRaw!AR:AR)</f>
        <v>0</v>
      </c>
      <c r="AQ13">
        <f>SUMIF(DeadRaw!$B:$B,$B13,DeadRaw!AS:AS)</f>
        <v>0</v>
      </c>
      <c r="AR13">
        <f>SUMIF(DeadRaw!$B:$B,$B13,DeadRaw!AT:AT)</f>
        <v>0</v>
      </c>
      <c r="AS13">
        <f>SUMIF(DeadRaw!$B:$B,$B13,DeadRaw!AU:AU)</f>
        <v>0</v>
      </c>
      <c r="AT13">
        <f>SUMIF(DeadRaw!$B:$B,$B13,DeadRaw!AV:AV)</f>
        <v>0</v>
      </c>
      <c r="AU13">
        <f>SUMIF(DeadRaw!$B:$B,$B13,DeadRaw!AW:AW)</f>
        <v>0</v>
      </c>
      <c r="AV13">
        <f>SUMIF(DeadRaw!$B:$B,$B13,DeadRaw!AX:AX)</f>
        <v>0</v>
      </c>
      <c r="AW13">
        <f>SUMIF(DeadRaw!$B:$B,$B13,DeadRaw!AY:AY)</f>
        <v>0</v>
      </c>
      <c r="AX13">
        <f>SUMIF(DeadRaw!$B:$B,$B13,DeadRaw!AZ:AZ)</f>
        <v>0</v>
      </c>
      <c r="AY13">
        <f>SUMIF(DeadRaw!$B:$B,$B13,DeadRaw!BA:BA)</f>
        <v>0</v>
      </c>
      <c r="AZ13">
        <f>SUMIF(DeadRaw!$B:$B,$B13,DeadRaw!BB:BB)</f>
        <v>0</v>
      </c>
      <c r="BA13">
        <f>SUMIF(DeadRaw!$B:$B,$B13,DeadRaw!BC:BC)</f>
        <v>0</v>
      </c>
      <c r="BB13">
        <f>SUMIF(DeadRaw!$B:$B,$B13,DeadRaw!BD:BD)</f>
        <v>0</v>
      </c>
      <c r="BC13">
        <f>SUMIF(DeadRaw!$B:$B,$B13,DeadRaw!BE:BE)</f>
        <v>1</v>
      </c>
      <c r="BD13">
        <f>SUMIF(DeadRaw!$B:$B,$B13,DeadRaw!BF:BF)</f>
        <v>2</v>
      </c>
      <c r="BE13">
        <f>SUMIF(DeadRaw!$B:$B,$B13,DeadRaw!BG:BG)</f>
        <v>3</v>
      </c>
      <c r="BF13">
        <f>SUMIF(DeadRaw!$B:$B,$B13,DeadRaw!BH:BH)</f>
        <v>4</v>
      </c>
      <c r="BG13">
        <f>SUMIF(DeadRaw!$B:$B,$B13,DeadRaw!BI:BI)</f>
        <v>4</v>
      </c>
      <c r="BH13">
        <f>SUMIF(DeadRaw!$B:$B,$B13,DeadRaw!BJ:BJ)</f>
        <v>6</v>
      </c>
      <c r="BI13">
        <f>SUMIF(DeadRaw!$B:$B,$B13,DeadRaw!BK:BK)</f>
        <v>9</v>
      </c>
      <c r="BJ13">
        <f>SUMIF(DeadRaw!$B:$B,$B13,DeadRaw!BL:BL)</f>
        <v>13</v>
      </c>
      <c r="BK13">
        <f>SUMIF(DeadRaw!$B:$B,$B13,DeadRaw!BM:BM)</f>
        <v>13</v>
      </c>
      <c r="BL13">
        <f>SUMIF(DeadRaw!$B:$B,$B13,DeadRaw!BN:BN)</f>
        <v>24</v>
      </c>
      <c r="BM13">
        <f>SUMIF(DeadRaw!$B:$B,$B13,DeadRaw!BO:BO)</f>
        <v>32</v>
      </c>
      <c r="BN13">
        <f>SUMIF(DeadRaw!$B:$B,$B13,DeadRaw!BP:BP)</f>
        <v>34</v>
      </c>
      <c r="BO13">
        <f>SUMIF(DeadRaw!$B:$B,$B13,DeadRaw!BQ:BQ)</f>
        <v>41</v>
      </c>
      <c r="BP13">
        <f>SUMIF(DeadRaw!$B:$B,$B13,DeadRaw!BR:BR)</f>
        <v>52</v>
      </c>
      <c r="BQ13">
        <f>SUMIF(DeadRaw!$B:$B,$B13,DeadRaw!BS:BS)</f>
        <v>65</v>
      </c>
      <c r="BR13">
        <f>SUMIF(DeadRaw!$B:$B,$B13,DeadRaw!BT:BT)</f>
        <v>0</v>
      </c>
      <c r="BS13">
        <f>SUMIF(DeadRaw!$B:$B,$B13,DeadRaw!BU:BU)</f>
        <v>0</v>
      </c>
      <c r="BT13">
        <f>SUMIF(DeadRaw!$B:$B,$B13,DeadRaw!BV:BV)</f>
        <v>0</v>
      </c>
      <c r="BU13">
        <f>SUMIF(DeadRaw!$B:$B,$B13,DeadRaw!BW:BW)</f>
        <v>0</v>
      </c>
    </row>
    <row r="14" spans="1:73" ht="15" thickBot="1" x14ac:dyDescent="0.35">
      <c r="A14" s="97" t="str">
        <f>VLOOKUP(B14,Country_Data!B:Q,16,FALSE)</f>
        <v>Europe</v>
      </c>
      <c r="B14" s="3" t="s">
        <v>89</v>
      </c>
      <c r="C14">
        <f>SUMIF(DeadRaw!$B:$B,$B14,DeadRaw!E:E)</f>
        <v>0</v>
      </c>
      <c r="D14">
        <f>SUMIF(DeadRaw!$B:$B,$B14,DeadRaw!F:F)</f>
        <v>0</v>
      </c>
      <c r="E14">
        <f>SUMIF(DeadRaw!$B:$B,$B14,DeadRaw!G:G)</f>
        <v>0</v>
      </c>
      <c r="F14">
        <f>SUMIF(DeadRaw!$B:$B,$B14,DeadRaw!H:H)</f>
        <v>0</v>
      </c>
      <c r="G14">
        <f>SUMIF(DeadRaw!$B:$B,$B14,DeadRaw!I:I)</f>
        <v>0</v>
      </c>
      <c r="H14">
        <f>SUMIF(DeadRaw!$B:$B,$B14,DeadRaw!J:J)</f>
        <v>0</v>
      </c>
      <c r="I14">
        <f>SUMIF(DeadRaw!$B:$B,$B14,DeadRaw!K:K)</f>
        <v>0</v>
      </c>
      <c r="J14">
        <f>SUMIF(DeadRaw!$B:$B,$B14,DeadRaw!L:L)</f>
        <v>0</v>
      </c>
      <c r="K14">
        <f>SUMIF(DeadRaw!$B:$B,$B14,DeadRaw!M:M)</f>
        <v>0</v>
      </c>
      <c r="L14">
        <f>SUMIF(DeadRaw!$B:$B,$B14,DeadRaw!N:N)</f>
        <v>0</v>
      </c>
      <c r="M14">
        <f>SUMIF(DeadRaw!$B:$B,$B14,DeadRaw!O:O)</f>
        <v>0</v>
      </c>
      <c r="N14">
        <f>SUMIF(DeadRaw!$B:$B,$B14,DeadRaw!P:P)</f>
        <v>0</v>
      </c>
      <c r="O14">
        <f>SUMIF(DeadRaw!$B:$B,$B14,DeadRaw!Q:Q)</f>
        <v>0</v>
      </c>
      <c r="P14">
        <f>SUMIF(DeadRaw!$B:$B,$B14,DeadRaw!R:R)</f>
        <v>0</v>
      </c>
      <c r="Q14">
        <f>SUMIF(DeadRaw!$B:$B,$B14,DeadRaw!S:S)</f>
        <v>0</v>
      </c>
      <c r="R14">
        <f>SUMIF(DeadRaw!$B:$B,$B14,DeadRaw!T:T)</f>
        <v>0</v>
      </c>
      <c r="S14">
        <f>SUMIF(DeadRaw!$B:$B,$B14,DeadRaw!U:U)</f>
        <v>0</v>
      </c>
      <c r="T14">
        <f>SUMIF(DeadRaw!$B:$B,$B14,DeadRaw!V:V)</f>
        <v>0</v>
      </c>
      <c r="U14">
        <f>SUMIF(DeadRaw!$B:$B,$B14,DeadRaw!W:W)</f>
        <v>0</v>
      </c>
      <c r="V14">
        <f>SUMIF(DeadRaw!$B:$B,$B14,DeadRaw!X:X)</f>
        <v>0</v>
      </c>
      <c r="W14">
        <f>SUMIF(DeadRaw!$B:$B,$B14,DeadRaw!Y:Y)</f>
        <v>0</v>
      </c>
      <c r="X14">
        <f>SUMIF(DeadRaw!$B:$B,$B14,DeadRaw!Z:Z)</f>
        <v>0</v>
      </c>
      <c r="Y14">
        <f>SUMIF(DeadRaw!$B:$B,$B14,DeadRaw!AA:AA)</f>
        <v>0</v>
      </c>
      <c r="Z14">
        <f>SUMIF(DeadRaw!$B:$B,$B14,DeadRaw!AB:AB)</f>
        <v>0</v>
      </c>
      <c r="AA14">
        <f>SUMIF(DeadRaw!$B:$B,$B14,DeadRaw!AC:AC)</f>
        <v>0</v>
      </c>
      <c r="AB14">
        <f>SUMIF(DeadRaw!$B:$B,$B14,DeadRaw!AD:AD)</f>
        <v>0</v>
      </c>
      <c r="AC14">
        <f>SUMIF(DeadRaw!$B:$B,$B14,DeadRaw!AE:AE)</f>
        <v>0</v>
      </c>
      <c r="AD14">
        <f>SUMIF(DeadRaw!$B:$B,$B14,DeadRaw!AF:AF)</f>
        <v>0</v>
      </c>
      <c r="AE14">
        <f>SUMIF(DeadRaw!$B:$B,$B14,DeadRaw!AG:AG)</f>
        <v>0</v>
      </c>
      <c r="AF14">
        <f>SUMIF(DeadRaw!$B:$B,$B14,DeadRaw!AH:AH)</f>
        <v>0</v>
      </c>
      <c r="AG14">
        <f>SUMIF(DeadRaw!$B:$B,$B14,DeadRaw!AI:AI)</f>
        <v>0</v>
      </c>
      <c r="AH14">
        <f>SUMIF(DeadRaw!$B:$B,$B14,DeadRaw!AJ:AJ)</f>
        <v>0</v>
      </c>
      <c r="AI14">
        <f>SUMIF(DeadRaw!$B:$B,$B14,DeadRaw!AK:AK)</f>
        <v>0</v>
      </c>
      <c r="AJ14">
        <f>SUMIF(DeadRaw!$B:$B,$B14,DeadRaw!AL:AL)</f>
        <v>0</v>
      </c>
      <c r="AK14">
        <f>SUMIF(DeadRaw!$B:$B,$B14,DeadRaw!AM:AM)</f>
        <v>0</v>
      </c>
      <c r="AL14">
        <f>SUMIF(DeadRaw!$B:$B,$B14,DeadRaw!AN:AN)</f>
        <v>0</v>
      </c>
      <c r="AM14">
        <f>SUMIF(DeadRaw!$B:$B,$B14,DeadRaw!AO:AO)</f>
        <v>0</v>
      </c>
      <c r="AN14">
        <f>SUMIF(DeadRaw!$B:$B,$B14,DeadRaw!AP:AP)</f>
        <v>0</v>
      </c>
      <c r="AO14">
        <f>SUMIF(DeadRaw!$B:$B,$B14,DeadRaw!AQ:AQ)</f>
        <v>0</v>
      </c>
      <c r="AP14">
        <f>SUMIF(DeadRaw!$B:$B,$B14,DeadRaw!AR:AR)</f>
        <v>0</v>
      </c>
      <c r="AQ14">
        <f>SUMIF(DeadRaw!$B:$B,$B14,DeadRaw!AS:AS)</f>
        <v>0</v>
      </c>
      <c r="AR14">
        <f>SUMIF(DeadRaw!$B:$B,$B14,DeadRaw!AT:AT)</f>
        <v>0</v>
      </c>
      <c r="AS14">
        <f>SUMIF(DeadRaw!$B:$B,$B14,DeadRaw!AU:AU)</f>
        <v>0</v>
      </c>
      <c r="AT14">
        <f>SUMIF(DeadRaw!$B:$B,$B14,DeadRaw!AV:AV)</f>
        <v>0</v>
      </c>
      <c r="AU14">
        <f>SUMIF(DeadRaw!$B:$B,$B14,DeadRaw!AW:AW)</f>
        <v>1</v>
      </c>
      <c r="AV14">
        <f>SUMIF(DeadRaw!$B:$B,$B14,DeadRaw!AX:AX)</f>
        <v>1</v>
      </c>
      <c r="AW14">
        <f>SUMIF(DeadRaw!$B:$B,$B14,DeadRaw!AY:AY)</f>
        <v>3</v>
      </c>
      <c r="AX14">
        <f>SUMIF(DeadRaw!$B:$B,$B14,DeadRaw!AZ:AZ)</f>
        <v>3</v>
      </c>
      <c r="AY14">
        <f>SUMIF(DeadRaw!$B:$B,$B14,DeadRaw!BA:BA)</f>
        <v>4</v>
      </c>
      <c r="AZ14">
        <f>SUMIF(DeadRaw!$B:$B,$B14,DeadRaw!BB:BB)</f>
        <v>5</v>
      </c>
      <c r="BA14">
        <f>SUMIF(DeadRaw!$B:$B,$B14,DeadRaw!BC:BC)</f>
        <v>5</v>
      </c>
      <c r="BB14">
        <f>SUMIF(DeadRaw!$B:$B,$B14,DeadRaw!BD:BD)</f>
        <v>10</v>
      </c>
      <c r="BC14">
        <f>SUMIF(DeadRaw!$B:$B,$B14,DeadRaw!BE:BE)</f>
        <v>12</v>
      </c>
      <c r="BD14">
        <f>SUMIF(DeadRaw!$B:$B,$B14,DeadRaw!BF:BF)</f>
        <v>20</v>
      </c>
      <c r="BE14">
        <f>SUMIF(DeadRaw!$B:$B,$B14,DeadRaw!BG:BG)</f>
        <v>24</v>
      </c>
      <c r="BF14">
        <f>SUMIF(DeadRaw!$B:$B,$B14,DeadRaw!BH:BH)</f>
        <v>43</v>
      </c>
      <c r="BG14">
        <f>SUMIF(DeadRaw!$B:$B,$B14,DeadRaw!BI:BI)</f>
        <v>58</v>
      </c>
      <c r="BH14">
        <f>SUMIF(DeadRaw!$B:$B,$B14,DeadRaw!BJ:BJ)</f>
        <v>77</v>
      </c>
      <c r="BI14">
        <f>SUMIF(DeadRaw!$B:$B,$B14,DeadRaw!BK:BK)</f>
        <v>107</v>
      </c>
      <c r="BJ14">
        <f>SUMIF(DeadRaw!$B:$B,$B14,DeadRaw!BL:BL)</f>
        <v>137</v>
      </c>
      <c r="BK14">
        <f>SUMIF(DeadRaw!$B:$B,$B14,DeadRaw!BM:BM)</f>
        <v>180</v>
      </c>
      <c r="BL14">
        <f>SUMIF(DeadRaw!$B:$B,$B14,DeadRaw!BN:BN)</f>
        <v>214</v>
      </c>
      <c r="BM14">
        <f>SUMIF(DeadRaw!$B:$B,$B14,DeadRaw!BO:BO)</f>
        <v>277</v>
      </c>
      <c r="BN14">
        <f>SUMIF(DeadRaw!$B:$B,$B14,DeadRaw!BP:BP)</f>
        <v>357</v>
      </c>
      <c r="BO14">
        <f>SUMIF(DeadRaw!$B:$B,$B14,DeadRaw!BQ:BQ)</f>
        <v>435</v>
      </c>
      <c r="BP14">
        <f>SUMIF(DeadRaw!$B:$B,$B14,DeadRaw!BR:BR)</f>
        <v>547</v>
      </c>
      <c r="BQ14">
        <f>SUMIF(DeadRaw!$B:$B,$B14,DeadRaw!BS:BS)</f>
        <v>640</v>
      </c>
      <c r="BR14">
        <f>SUMIF(DeadRaw!$B:$B,$B14,DeadRaw!BT:BT)</f>
        <v>0</v>
      </c>
      <c r="BS14">
        <f>SUMIF(DeadRaw!$B:$B,$B14,DeadRaw!BU:BU)</f>
        <v>0</v>
      </c>
      <c r="BT14">
        <f>SUMIF(DeadRaw!$B:$B,$B14,DeadRaw!BV:BV)</f>
        <v>0</v>
      </c>
      <c r="BU14">
        <f>SUMIF(DeadRaw!$B:$B,$B14,DeadRaw!BW:BW)</f>
        <v>0</v>
      </c>
    </row>
    <row r="15" spans="1:73" ht="15" thickBot="1" x14ac:dyDescent="0.35">
      <c r="A15" s="97" t="str">
        <f>VLOOKUP(B15,Country_Data!B:Q,16,FALSE)</f>
        <v>Europe</v>
      </c>
      <c r="B15" s="3" t="s">
        <v>349</v>
      </c>
      <c r="C15">
        <f>SUMIF(DeadRaw!$B:$B,$B15,DeadRaw!E:E)</f>
        <v>0</v>
      </c>
      <c r="D15">
        <f>SUMIF(DeadRaw!$B:$B,$B15,DeadRaw!F:F)</f>
        <v>0</v>
      </c>
      <c r="E15">
        <f>SUMIF(DeadRaw!$B:$B,$B15,DeadRaw!G:G)</f>
        <v>0</v>
      </c>
      <c r="F15">
        <f>SUMIF(DeadRaw!$B:$B,$B15,DeadRaw!H:H)</f>
        <v>0</v>
      </c>
      <c r="G15">
        <f>SUMIF(DeadRaw!$B:$B,$B15,DeadRaw!I:I)</f>
        <v>0</v>
      </c>
      <c r="H15">
        <f>SUMIF(DeadRaw!$B:$B,$B15,DeadRaw!J:J)</f>
        <v>0</v>
      </c>
      <c r="I15">
        <f>SUMIF(DeadRaw!$B:$B,$B15,DeadRaw!K:K)</f>
        <v>0</v>
      </c>
      <c r="J15">
        <f>SUMIF(DeadRaw!$B:$B,$B15,DeadRaw!L:L)</f>
        <v>0</v>
      </c>
      <c r="K15">
        <f>SUMIF(DeadRaw!$B:$B,$B15,DeadRaw!M:M)</f>
        <v>0</v>
      </c>
      <c r="L15">
        <f>SUMIF(DeadRaw!$B:$B,$B15,DeadRaw!N:N)</f>
        <v>0</v>
      </c>
      <c r="M15">
        <f>SUMIF(DeadRaw!$B:$B,$B15,DeadRaw!O:O)</f>
        <v>0</v>
      </c>
      <c r="N15">
        <f>SUMIF(DeadRaw!$B:$B,$B15,DeadRaw!P:P)</f>
        <v>0</v>
      </c>
      <c r="O15">
        <f>SUMIF(DeadRaw!$B:$B,$B15,DeadRaw!Q:Q)</f>
        <v>0</v>
      </c>
      <c r="P15">
        <f>SUMIF(DeadRaw!$B:$B,$B15,DeadRaw!R:R)</f>
        <v>0</v>
      </c>
      <c r="Q15">
        <f>SUMIF(DeadRaw!$B:$B,$B15,DeadRaw!S:S)</f>
        <v>0</v>
      </c>
      <c r="R15">
        <f>SUMIF(DeadRaw!$B:$B,$B15,DeadRaw!T:T)</f>
        <v>0</v>
      </c>
      <c r="S15">
        <f>SUMIF(DeadRaw!$B:$B,$B15,DeadRaw!U:U)</f>
        <v>0</v>
      </c>
      <c r="T15">
        <f>SUMIF(DeadRaw!$B:$B,$B15,DeadRaw!V:V)</f>
        <v>0</v>
      </c>
      <c r="U15">
        <f>SUMIF(DeadRaw!$B:$B,$B15,DeadRaw!W:W)</f>
        <v>0</v>
      </c>
      <c r="V15">
        <f>SUMIF(DeadRaw!$B:$B,$B15,DeadRaw!X:X)</f>
        <v>0</v>
      </c>
      <c r="W15">
        <f>SUMIF(DeadRaw!$B:$B,$B15,DeadRaw!Y:Y)</f>
        <v>0</v>
      </c>
      <c r="X15">
        <f>SUMIF(DeadRaw!$B:$B,$B15,DeadRaw!Z:Z)</f>
        <v>0</v>
      </c>
      <c r="Y15">
        <f>SUMIF(DeadRaw!$B:$B,$B15,DeadRaw!AA:AA)</f>
        <v>0</v>
      </c>
      <c r="Z15">
        <f>SUMIF(DeadRaw!$B:$B,$B15,DeadRaw!AB:AB)</f>
        <v>0</v>
      </c>
      <c r="AA15">
        <f>SUMIF(DeadRaw!$B:$B,$B15,DeadRaw!AC:AC)</f>
        <v>0</v>
      </c>
      <c r="AB15">
        <f>SUMIF(DeadRaw!$B:$B,$B15,DeadRaw!AD:AD)</f>
        <v>0</v>
      </c>
      <c r="AC15">
        <f>SUMIF(DeadRaw!$B:$B,$B15,DeadRaw!AE:AE)</f>
        <v>0</v>
      </c>
      <c r="AD15">
        <f>SUMIF(DeadRaw!$B:$B,$B15,DeadRaw!AF:AF)</f>
        <v>0</v>
      </c>
      <c r="AE15">
        <f>SUMIF(DeadRaw!$B:$B,$B15,DeadRaw!AG:AG)</f>
        <v>0</v>
      </c>
      <c r="AF15">
        <f>SUMIF(DeadRaw!$B:$B,$B15,DeadRaw!AH:AH)</f>
        <v>0</v>
      </c>
      <c r="AG15">
        <f>SUMIF(DeadRaw!$B:$B,$B15,DeadRaw!AI:AI)</f>
        <v>0</v>
      </c>
      <c r="AH15">
        <f>SUMIF(DeadRaw!$B:$B,$B15,DeadRaw!AJ:AJ)</f>
        <v>0</v>
      </c>
      <c r="AI15">
        <f>SUMIF(DeadRaw!$B:$B,$B15,DeadRaw!AK:AK)</f>
        <v>0</v>
      </c>
      <c r="AJ15">
        <f>SUMIF(DeadRaw!$B:$B,$B15,DeadRaw!AL:AL)</f>
        <v>0</v>
      </c>
      <c r="AK15">
        <f>SUMIF(DeadRaw!$B:$B,$B15,DeadRaw!AM:AM)</f>
        <v>0</v>
      </c>
      <c r="AL15">
        <f>SUMIF(DeadRaw!$B:$B,$B15,DeadRaw!AN:AN)</f>
        <v>0</v>
      </c>
      <c r="AM15">
        <f>SUMIF(DeadRaw!$B:$B,$B15,DeadRaw!AO:AO)</f>
        <v>0</v>
      </c>
      <c r="AN15">
        <f>SUMIF(DeadRaw!$B:$B,$B15,DeadRaw!AP:AP)</f>
        <v>0</v>
      </c>
      <c r="AO15">
        <f>SUMIF(DeadRaw!$B:$B,$B15,DeadRaw!AQ:AQ)</f>
        <v>0</v>
      </c>
      <c r="AP15">
        <f>SUMIF(DeadRaw!$B:$B,$B15,DeadRaw!AR:AR)</f>
        <v>0</v>
      </c>
      <c r="AQ15">
        <f>SUMIF(DeadRaw!$B:$B,$B15,DeadRaw!AS:AS)</f>
        <v>0</v>
      </c>
      <c r="AR15">
        <f>SUMIF(DeadRaw!$B:$B,$B15,DeadRaw!AT:AT)</f>
        <v>0</v>
      </c>
      <c r="AS15">
        <f>SUMIF(DeadRaw!$B:$B,$B15,DeadRaw!AU:AU)</f>
        <v>0</v>
      </c>
      <c r="AT15">
        <f>SUMIF(DeadRaw!$B:$B,$B15,DeadRaw!AV:AV)</f>
        <v>1</v>
      </c>
      <c r="AU15">
        <f>SUMIF(DeadRaw!$B:$B,$B15,DeadRaw!AW:AW)</f>
        <v>2</v>
      </c>
      <c r="AV15">
        <f>SUMIF(DeadRaw!$B:$B,$B15,DeadRaw!AX:AX)</f>
        <v>2</v>
      </c>
      <c r="AW15">
        <f>SUMIF(DeadRaw!$B:$B,$B15,DeadRaw!AY:AY)</f>
        <v>3</v>
      </c>
      <c r="AX15">
        <f>SUMIF(DeadRaw!$B:$B,$B15,DeadRaw!AZ:AZ)</f>
        <v>4</v>
      </c>
      <c r="AY15">
        <f>SUMIF(DeadRaw!$B:$B,$B15,DeadRaw!BA:BA)</f>
        <v>6</v>
      </c>
      <c r="AZ15">
        <f>SUMIF(DeadRaw!$B:$B,$B15,DeadRaw!BB:BB)</f>
        <v>8</v>
      </c>
      <c r="BA15">
        <v>10</v>
      </c>
      <c r="BB15">
        <v>11</v>
      </c>
      <c r="BC15">
        <f>SUMIF(DeadRaw!$B:$B,$B15,DeadRaw!BE:BE)</f>
        <v>21</v>
      </c>
      <c r="BD15">
        <v>35</v>
      </c>
      <c r="BE15">
        <f>SUMIF(DeadRaw!$B:$B,$B15,DeadRaw!BG:BG)</f>
        <v>56</v>
      </c>
      <c r="BF15">
        <v>71</v>
      </c>
      <c r="BG15">
        <v>104</v>
      </c>
      <c r="BH15">
        <f>SUMIF(DeadRaw!$B:$B,$B15,DeadRaw!BJ:BJ)</f>
        <v>138</v>
      </c>
      <c r="BI15">
        <f>SUMIF(DeadRaw!$B:$B,$B15,DeadRaw!BK:BK)</f>
        <v>178</v>
      </c>
      <c r="BJ15">
        <f>SUMIF(DeadRaw!$B:$B,$B15,DeadRaw!BL:BL)</f>
        <v>234</v>
      </c>
      <c r="BK15">
        <f>SUMIF(DeadRaw!$B:$B,$B15,DeadRaw!BM:BM)</f>
        <v>282</v>
      </c>
      <c r="BL15">
        <f>SUMIF(DeadRaw!$B:$B,$B15,DeadRaw!BN:BN)</f>
        <v>336</v>
      </c>
      <c r="BM15">
        <f>SUMIF(DeadRaw!$B:$B,$B15,DeadRaw!BO:BO)</f>
        <v>423</v>
      </c>
      <c r="BN15">
        <f>SUMIF(DeadRaw!$B:$B,$B15,DeadRaw!BP:BP)</f>
        <v>466</v>
      </c>
      <c r="BO15">
        <f>SUMIF(DeadRaw!$B:$B,$B15,DeadRaw!BQ:BQ)</f>
        <v>580</v>
      </c>
      <c r="BP15">
        <f>SUMIF(DeadRaw!$B:$B,$B15,DeadRaw!BR:BR)</f>
        <v>761</v>
      </c>
      <c r="BQ15">
        <f>SUMIF(DeadRaw!$B:$B,$B15,DeadRaw!BS:BS)</f>
        <v>1021</v>
      </c>
      <c r="BR15">
        <f>SUMIF(DeadRaw!$B:$B,$B15,DeadRaw!BT:BT)</f>
        <v>0</v>
      </c>
      <c r="BS15">
        <f>SUMIF(DeadRaw!$B:$B,$B15,DeadRaw!BU:BU)</f>
        <v>0</v>
      </c>
      <c r="BT15">
        <f>SUMIF(DeadRaw!$B:$B,$B15,DeadRaw!BV:BV)</f>
        <v>0</v>
      </c>
      <c r="BU15">
        <f>SUMIF(DeadRaw!$B:$B,$B15,DeadRaw!BW:BW)</f>
        <v>0</v>
      </c>
    </row>
    <row r="16" spans="1:73" ht="15" thickBot="1" x14ac:dyDescent="0.35">
      <c r="A16" s="97" t="str">
        <f>VLOOKUP(B16,Country_Data!B:Q,16,FALSE)</f>
        <v>Asia</v>
      </c>
      <c r="B16" s="4" t="s">
        <v>36</v>
      </c>
      <c r="C16">
        <f>SUMIF(DeadRaw!$B:$B,$B16,DeadRaw!E:E)</f>
        <v>0</v>
      </c>
      <c r="D16">
        <f>SUMIF(DeadRaw!$B:$B,$B16,DeadRaw!F:F)</f>
        <v>0</v>
      </c>
      <c r="E16">
        <f>SUMIF(DeadRaw!$B:$B,$B16,DeadRaw!G:G)</f>
        <v>0</v>
      </c>
      <c r="F16">
        <f>SUMIF(DeadRaw!$B:$B,$B16,DeadRaw!H:H)</f>
        <v>0</v>
      </c>
      <c r="G16">
        <f>SUMIF(DeadRaw!$B:$B,$B16,DeadRaw!I:I)</f>
        <v>0</v>
      </c>
      <c r="H16">
        <f>SUMIF(DeadRaw!$B:$B,$B16,DeadRaw!J:J)</f>
        <v>0</v>
      </c>
      <c r="I16">
        <f>SUMIF(DeadRaw!$B:$B,$B16,DeadRaw!K:K)</f>
        <v>0</v>
      </c>
      <c r="J16">
        <f>SUMIF(DeadRaw!$B:$B,$B16,DeadRaw!L:L)</f>
        <v>0</v>
      </c>
      <c r="K16">
        <f>SUMIF(DeadRaw!$B:$B,$B16,DeadRaw!M:M)</f>
        <v>0</v>
      </c>
      <c r="L16">
        <f>SUMIF(DeadRaw!$B:$B,$B16,DeadRaw!N:N)</f>
        <v>0</v>
      </c>
      <c r="M16">
        <f>SUMIF(DeadRaw!$B:$B,$B16,DeadRaw!O:O)</f>
        <v>0</v>
      </c>
      <c r="N16">
        <f>SUMIF(DeadRaw!$B:$B,$B16,DeadRaw!P:P)</f>
        <v>0</v>
      </c>
      <c r="O16">
        <f>SUMIF(DeadRaw!$B:$B,$B16,DeadRaw!Q:Q)</f>
        <v>0</v>
      </c>
      <c r="P16">
        <f>SUMIF(DeadRaw!$B:$B,$B16,DeadRaw!R:R)</f>
        <v>0</v>
      </c>
      <c r="Q16">
        <f>SUMIF(DeadRaw!$B:$B,$B16,DeadRaw!S:S)</f>
        <v>0</v>
      </c>
      <c r="R16">
        <f>SUMIF(DeadRaw!$B:$B,$B16,DeadRaw!T:T)</f>
        <v>0</v>
      </c>
      <c r="S16">
        <f>SUMIF(DeadRaw!$B:$B,$B16,DeadRaw!U:U)</f>
        <v>0</v>
      </c>
      <c r="T16">
        <f>SUMIF(DeadRaw!$B:$B,$B16,DeadRaw!V:V)</f>
        <v>0</v>
      </c>
      <c r="U16">
        <f>SUMIF(DeadRaw!$B:$B,$B16,DeadRaw!W:W)</f>
        <v>0</v>
      </c>
      <c r="V16">
        <f>SUMIF(DeadRaw!$B:$B,$B16,DeadRaw!X:X)</f>
        <v>0</v>
      </c>
      <c r="W16">
        <f>SUMIF(DeadRaw!$B:$B,$B16,DeadRaw!Y:Y)</f>
        <v>0</v>
      </c>
      <c r="X16">
        <f>SUMIF(DeadRaw!$B:$B,$B16,DeadRaw!Z:Z)</f>
        <v>0</v>
      </c>
      <c r="Y16">
        <f>SUMIF(DeadRaw!$B:$B,$B16,DeadRaw!AA:AA)</f>
        <v>1</v>
      </c>
      <c r="Z16">
        <f>SUMIF(DeadRaw!$B:$B,$B16,DeadRaw!AB:AB)</f>
        <v>1</v>
      </c>
      <c r="AA16">
        <f>SUMIF(DeadRaw!$B:$B,$B16,DeadRaw!AC:AC)</f>
        <v>1</v>
      </c>
      <c r="AB16">
        <f>SUMIF(DeadRaw!$B:$B,$B16,DeadRaw!AD:AD)</f>
        <v>1</v>
      </c>
      <c r="AC16">
        <f>SUMIF(DeadRaw!$B:$B,$B16,DeadRaw!AE:AE)</f>
        <v>1</v>
      </c>
      <c r="AD16">
        <f>SUMIF(DeadRaw!$B:$B,$B16,DeadRaw!AF:AF)</f>
        <v>1</v>
      </c>
      <c r="AE16">
        <f>SUMIF(DeadRaw!$B:$B,$B16,DeadRaw!AG:AG)</f>
        <v>1</v>
      </c>
      <c r="AF16">
        <f>SUMIF(DeadRaw!$B:$B,$B16,DeadRaw!AH:AH)</f>
        <v>1</v>
      </c>
      <c r="AG16">
        <f>SUMIF(DeadRaw!$B:$B,$B16,DeadRaw!AI:AI)</f>
        <v>1</v>
      </c>
      <c r="AH16">
        <f>SUMIF(DeadRaw!$B:$B,$B16,DeadRaw!AJ:AJ)</f>
        <v>1</v>
      </c>
      <c r="AI16">
        <f>SUMIF(DeadRaw!$B:$B,$B16,DeadRaw!AK:AK)</f>
        <v>1</v>
      </c>
      <c r="AJ16">
        <f>SUMIF(DeadRaw!$B:$B,$B16,DeadRaw!AL:AL)</f>
        <v>1</v>
      </c>
      <c r="AK16">
        <f>SUMIF(DeadRaw!$B:$B,$B16,DeadRaw!AM:AM)</f>
        <v>1</v>
      </c>
      <c r="AL16">
        <f>SUMIF(DeadRaw!$B:$B,$B16,DeadRaw!AN:AN)</f>
        <v>2</v>
      </c>
      <c r="AM16">
        <f>SUMIF(DeadRaw!$B:$B,$B16,DeadRaw!AO:AO)</f>
        <v>4</v>
      </c>
      <c r="AN16">
        <f>SUMIF(DeadRaw!$B:$B,$B16,DeadRaw!AP:AP)</f>
        <v>4</v>
      </c>
      <c r="AO16">
        <f>SUMIF(DeadRaw!$B:$B,$B16,DeadRaw!AQ:AQ)</f>
        <v>5</v>
      </c>
      <c r="AP16">
        <f>SUMIF(DeadRaw!$B:$B,$B16,DeadRaw!AR:AR)</f>
        <v>6</v>
      </c>
      <c r="AQ16">
        <f>SUMIF(DeadRaw!$B:$B,$B16,DeadRaw!AS:AS)</f>
        <v>6</v>
      </c>
      <c r="AR16">
        <f>SUMIF(DeadRaw!$B:$B,$B16,DeadRaw!AT:AT)</f>
        <v>6</v>
      </c>
      <c r="AS16">
        <f>SUMIF(DeadRaw!$B:$B,$B16,DeadRaw!AU:AU)</f>
        <v>6</v>
      </c>
      <c r="AT16">
        <f>SUMIF(DeadRaw!$B:$B,$B16,DeadRaw!AV:AV)</f>
        <v>6</v>
      </c>
      <c r="AU16">
        <f>SUMIF(DeadRaw!$B:$B,$B16,DeadRaw!AW:AW)</f>
        <v>6</v>
      </c>
      <c r="AV16">
        <f>SUMIF(DeadRaw!$B:$B,$B16,DeadRaw!AX:AX)</f>
        <v>6</v>
      </c>
      <c r="AW16">
        <f>SUMIF(DeadRaw!$B:$B,$B16,DeadRaw!AY:AY)</f>
        <v>6</v>
      </c>
      <c r="AX16">
        <f>SUMIF(DeadRaw!$B:$B,$B16,DeadRaw!AZ:AZ)</f>
        <v>10</v>
      </c>
      <c r="AY16">
        <f>SUMIF(DeadRaw!$B:$B,$B16,DeadRaw!BA:BA)</f>
        <v>10</v>
      </c>
      <c r="AZ16">
        <f>SUMIF(DeadRaw!$B:$B,$B16,DeadRaw!BB:BB)</f>
        <v>15</v>
      </c>
      <c r="BA16">
        <f>SUMIF(DeadRaw!$B:$B,$B16,DeadRaw!BC:BC)</f>
        <v>16</v>
      </c>
      <c r="BB16">
        <f>SUMIF(DeadRaw!$B:$B,$B16,DeadRaw!BD:BD)</f>
        <v>19</v>
      </c>
      <c r="BC16">
        <f>SUMIF(DeadRaw!$B:$B,$B16,DeadRaw!BE:BE)</f>
        <v>22</v>
      </c>
      <c r="BD16">
        <f>SUMIF(DeadRaw!$B:$B,$B16,DeadRaw!BF:BF)</f>
        <v>22</v>
      </c>
      <c r="BE16">
        <f>SUMIF(DeadRaw!$B:$B,$B16,DeadRaw!BG:BG)</f>
        <v>27</v>
      </c>
      <c r="BF16">
        <f>SUMIF(DeadRaw!$B:$B,$B16,DeadRaw!BH:BH)</f>
        <v>29</v>
      </c>
      <c r="BG16">
        <f>SUMIF(DeadRaw!$B:$B,$B16,DeadRaw!BI:BI)</f>
        <v>29</v>
      </c>
      <c r="BH16">
        <f>SUMIF(DeadRaw!$B:$B,$B16,DeadRaw!BJ:BJ)</f>
        <v>29</v>
      </c>
      <c r="BI16">
        <f>SUMIF(DeadRaw!$B:$B,$B16,DeadRaw!BK:BK)</f>
        <v>33</v>
      </c>
      <c r="BJ16">
        <f>SUMIF(DeadRaw!$B:$B,$B16,DeadRaw!BL:BL)</f>
        <v>35</v>
      </c>
      <c r="BK16">
        <f>SUMIF(DeadRaw!$B:$B,$B16,DeadRaw!BM:BM)</f>
        <v>41</v>
      </c>
      <c r="BL16">
        <f>SUMIF(DeadRaw!$B:$B,$B16,DeadRaw!BN:BN)</f>
        <v>42</v>
      </c>
      <c r="BM16">
        <f>SUMIF(DeadRaw!$B:$B,$B16,DeadRaw!BO:BO)</f>
        <v>43</v>
      </c>
      <c r="BN16">
        <f>SUMIF(DeadRaw!$B:$B,$B16,DeadRaw!BP:BP)</f>
        <v>45</v>
      </c>
      <c r="BO16">
        <f>SUMIF(DeadRaw!$B:$B,$B16,DeadRaw!BQ:BQ)</f>
        <v>47</v>
      </c>
      <c r="BP16">
        <f>SUMIF(DeadRaw!$B:$B,$B16,DeadRaw!BR:BR)</f>
        <v>49</v>
      </c>
      <c r="BQ16">
        <f>SUMIF(DeadRaw!$B:$B,$B16,DeadRaw!BS:BS)</f>
        <v>52</v>
      </c>
      <c r="BR16">
        <f>SUMIF(DeadRaw!$B:$B,$B16,DeadRaw!BT:BT)</f>
        <v>0</v>
      </c>
      <c r="BS16">
        <f>SUMIF(DeadRaw!$B:$B,$B16,DeadRaw!BU:BU)</f>
        <v>0</v>
      </c>
      <c r="BT16">
        <f>SUMIF(DeadRaw!$B:$B,$B16,DeadRaw!BV:BV)</f>
        <v>0</v>
      </c>
      <c r="BU16">
        <f>SUMIF(DeadRaw!$B:$B,$B16,DeadRaw!BW:BW)</f>
        <v>0</v>
      </c>
    </row>
    <row r="17" spans="1:73" ht="15" thickBot="1" x14ac:dyDescent="0.35">
      <c r="A17" s="97">
        <f>VLOOKUP(B17,Country_Data!B:Q,16,FALSE)</f>
        <v>0</v>
      </c>
      <c r="B17" s="4" t="s">
        <v>340</v>
      </c>
      <c r="C17">
        <f>SUMIF(DeadRaw!$B:$B,$B17,DeadRaw!E:E)</f>
        <v>0</v>
      </c>
      <c r="D17">
        <f>SUMIF(DeadRaw!$B:$B,$B17,DeadRaw!F:F)</f>
        <v>0</v>
      </c>
      <c r="E17">
        <f>SUMIF(DeadRaw!$B:$B,$B17,DeadRaw!G:G)</f>
        <v>0</v>
      </c>
      <c r="F17">
        <f>SUMIF(DeadRaw!$B:$B,$B17,DeadRaw!H:H)</f>
        <v>0</v>
      </c>
      <c r="G17">
        <f>SUMIF(DeadRaw!$B:$B,$B17,DeadRaw!I:I)</f>
        <v>0</v>
      </c>
      <c r="H17">
        <f>SUMIF(DeadRaw!$B:$B,$B17,DeadRaw!J:J)</f>
        <v>0</v>
      </c>
      <c r="I17">
        <f>SUMIF(DeadRaw!$B:$B,$B17,DeadRaw!K:K)</f>
        <v>0</v>
      </c>
      <c r="J17">
        <f>SUMIF(DeadRaw!$B:$B,$B17,DeadRaw!L:L)</f>
        <v>0</v>
      </c>
      <c r="K17">
        <f>SUMIF(DeadRaw!$B:$B,$B17,DeadRaw!M:M)</f>
        <v>0</v>
      </c>
      <c r="L17">
        <f>SUMIF(DeadRaw!$B:$B,$B17,DeadRaw!N:N)</f>
        <v>0</v>
      </c>
      <c r="M17">
        <f>SUMIF(DeadRaw!$B:$B,$B17,DeadRaw!O:O)</f>
        <v>0</v>
      </c>
      <c r="N17">
        <f>SUMIF(DeadRaw!$B:$B,$B17,DeadRaw!P:P)</f>
        <v>0</v>
      </c>
      <c r="O17">
        <f>SUMIF(DeadRaw!$B:$B,$B17,DeadRaw!Q:Q)</f>
        <v>0</v>
      </c>
      <c r="P17">
        <f>SUMIF(DeadRaw!$B:$B,$B17,DeadRaw!R:R)</f>
        <v>0</v>
      </c>
      <c r="Q17">
        <f>SUMIF(DeadRaw!$B:$B,$B17,DeadRaw!S:S)</f>
        <v>0</v>
      </c>
      <c r="R17">
        <f>SUMIF(DeadRaw!$B:$B,$B17,DeadRaw!T:T)</f>
        <v>0</v>
      </c>
      <c r="S17">
        <f>SUMIF(DeadRaw!$B:$B,$B17,DeadRaw!U:U)</f>
        <v>0</v>
      </c>
      <c r="T17">
        <f>SUMIF(DeadRaw!$B:$B,$B17,DeadRaw!V:V)</f>
        <v>0</v>
      </c>
      <c r="U17">
        <f>SUMIF(DeadRaw!$B:$B,$B17,DeadRaw!W:W)</f>
        <v>0</v>
      </c>
      <c r="V17">
        <f>SUMIF(DeadRaw!$B:$B,$B17,DeadRaw!X:X)</f>
        <v>0</v>
      </c>
      <c r="W17">
        <f>SUMIF(DeadRaw!$B:$B,$B17,DeadRaw!Y:Y)</f>
        <v>0</v>
      </c>
      <c r="X17">
        <f>SUMIF(DeadRaw!$B:$B,$B17,DeadRaw!Z:Z)</f>
        <v>0</v>
      </c>
      <c r="Y17">
        <f>SUMIF(DeadRaw!$B:$B,$B17,DeadRaw!AA:AA)</f>
        <v>0</v>
      </c>
      <c r="Z17">
        <f>SUMIF(DeadRaw!$B:$B,$B17,DeadRaw!AB:AB)</f>
        <v>0</v>
      </c>
      <c r="AA17">
        <f>SUMIF(DeadRaw!$B:$B,$B17,DeadRaw!AC:AC)</f>
        <v>0</v>
      </c>
      <c r="AB17">
        <f>SUMIF(DeadRaw!$B:$B,$B17,DeadRaw!AD:AD)</f>
        <v>0</v>
      </c>
      <c r="AC17">
        <f>SUMIF(DeadRaw!$B:$B,$B17,DeadRaw!AE:AE)</f>
        <v>0</v>
      </c>
      <c r="AD17">
        <f>SUMIF(DeadRaw!$B:$B,$B17,DeadRaw!AF:AF)</f>
        <v>0</v>
      </c>
      <c r="AE17">
        <f>SUMIF(DeadRaw!$B:$B,$B17,DeadRaw!AG:AG)</f>
        <v>0</v>
      </c>
      <c r="AF17">
        <f>SUMIF(DeadRaw!$B:$B,$B17,DeadRaw!AH:AH)</f>
        <v>0</v>
      </c>
      <c r="AG17">
        <f>SUMIF(DeadRaw!$B:$B,$B17,DeadRaw!AI:AI)</f>
        <v>0</v>
      </c>
      <c r="AH17">
        <f>SUMIF(DeadRaw!$B:$B,$B17,DeadRaw!AJ:AJ)</f>
        <v>0</v>
      </c>
      <c r="AI17">
        <f>SUMIF(DeadRaw!$B:$B,$B17,DeadRaw!AK:AK)</f>
        <v>0</v>
      </c>
      <c r="AJ17">
        <f>SUMIF(DeadRaw!$B:$B,$B17,DeadRaw!AL:AL)</f>
        <v>0</v>
      </c>
      <c r="AK17">
        <f>SUMIF(DeadRaw!$B:$B,$B17,DeadRaw!AM:AM)</f>
        <v>0</v>
      </c>
      <c r="AL17">
        <f>SUMIF(DeadRaw!$B:$B,$B17,DeadRaw!AN:AN)</f>
        <v>0</v>
      </c>
      <c r="AM17">
        <f>SUMIF(DeadRaw!$B:$B,$B17,DeadRaw!AO:AO)</f>
        <v>0</v>
      </c>
      <c r="AN17">
        <f>SUMIF(DeadRaw!$B:$B,$B17,DeadRaw!AP:AP)</f>
        <v>0</v>
      </c>
      <c r="AO17">
        <f>SUMIF(DeadRaw!$B:$B,$B17,DeadRaw!AQ:AQ)</f>
        <v>0</v>
      </c>
      <c r="AP17">
        <f>SUMIF(DeadRaw!$B:$B,$B17,DeadRaw!AR:AR)</f>
        <v>0</v>
      </c>
      <c r="AQ17">
        <f>SUMIF(DeadRaw!$B:$B,$B17,DeadRaw!AS:AS)</f>
        <v>0</v>
      </c>
      <c r="AR17">
        <f>SUMIF(DeadRaw!$B:$B,$B17,DeadRaw!AT:AT)</f>
        <v>0</v>
      </c>
      <c r="AS17">
        <f>SUMIF(DeadRaw!$B:$B,$B17,DeadRaw!AU:AU)</f>
        <v>0</v>
      </c>
      <c r="AT17">
        <f>SUMIF(DeadRaw!$B:$B,$B17,DeadRaw!AV:AV)</f>
        <v>0</v>
      </c>
      <c r="AU17">
        <f>SUMIF(DeadRaw!$B:$B,$B17,DeadRaw!AW:AW)</f>
        <v>0</v>
      </c>
      <c r="AV17">
        <f>SUMIF(DeadRaw!$B:$B,$B17,DeadRaw!AX:AX)</f>
        <v>0</v>
      </c>
      <c r="AW17">
        <f>SUMIF(DeadRaw!$B:$B,$B17,DeadRaw!AY:AY)</f>
        <v>0</v>
      </c>
      <c r="AX17">
        <f>SUMIF(DeadRaw!$B:$B,$B17,DeadRaw!AZ:AZ)</f>
        <v>0</v>
      </c>
      <c r="AY17">
        <f>SUMIF(DeadRaw!$B:$B,$B17,DeadRaw!BA:BA)</f>
        <v>0</v>
      </c>
      <c r="AZ17">
        <f>SUMIF(DeadRaw!$B:$B,$B17,DeadRaw!BB:BB)</f>
        <v>0</v>
      </c>
      <c r="BA17">
        <f>SUMIF(DeadRaw!$B:$B,$B17,DeadRaw!BC:BC)</f>
        <v>0</v>
      </c>
      <c r="BB17">
        <f>SUMIF(DeadRaw!$B:$B,$B17,DeadRaw!BD:BD)</f>
        <v>0</v>
      </c>
      <c r="BC17">
        <f>SUMIF(DeadRaw!$B:$B,$B17,DeadRaw!BE:BE)</f>
        <v>0</v>
      </c>
      <c r="BD17">
        <f>SUMIF(DeadRaw!$B:$B,$B17,DeadRaw!BF:BF)</f>
        <v>0</v>
      </c>
      <c r="BE17">
        <f>SUMIF(DeadRaw!$B:$B,$B17,DeadRaw!BG:BG)</f>
        <v>0</v>
      </c>
      <c r="BF17">
        <f>SUMIF(DeadRaw!$B:$B,$B17,DeadRaw!BH:BH)</f>
        <v>0</v>
      </c>
      <c r="BG17">
        <f>SUMIF(DeadRaw!$B:$B,$B17,DeadRaw!BI:BI)</f>
        <v>0</v>
      </c>
      <c r="BH17">
        <f>SUMIF(DeadRaw!$B:$B,$B17,DeadRaw!BJ:BJ)</f>
        <v>0</v>
      </c>
      <c r="BI17">
        <f>SUMIF(DeadRaw!$B:$B,$B17,DeadRaw!BK:BK)</f>
        <v>0</v>
      </c>
      <c r="BJ17">
        <f>SUMIF(DeadRaw!$B:$B,$B17,DeadRaw!BL:BL)</f>
        <v>0</v>
      </c>
      <c r="BK17">
        <f>SUMIF(DeadRaw!$B:$B,$B17,DeadRaw!BM:BM)</f>
        <v>0</v>
      </c>
      <c r="BL17">
        <f>SUMIF(DeadRaw!$B:$B,$B17,DeadRaw!BN:BN)</f>
        <v>0</v>
      </c>
      <c r="BM17">
        <f>SUMIF(DeadRaw!$B:$B,$B17,DeadRaw!BO:BO)</f>
        <v>0</v>
      </c>
      <c r="BN17">
        <f>SUMIF(DeadRaw!$B:$B,$B17,DeadRaw!BP:BP)</f>
        <v>0</v>
      </c>
      <c r="BO17">
        <f>SUMIF(DeadRaw!$B:$B,$B17,DeadRaw!BQ:BQ)</f>
        <v>0</v>
      </c>
      <c r="BP17">
        <f>SUMIF(DeadRaw!$B:$B,$B17,DeadRaw!BR:BR)</f>
        <v>0</v>
      </c>
      <c r="BQ17">
        <f>SUMIF(DeadRaw!$B:$B,$B17,DeadRaw!BS:BS)</f>
        <v>0</v>
      </c>
      <c r="BR17">
        <f>SUMIF(DeadRaw!$B:$B,$B17,DeadRaw!BT:BT)</f>
        <v>0</v>
      </c>
      <c r="BS17">
        <f>SUMIF(DeadRaw!$B:$B,$B17,DeadRaw!BU:BU)</f>
        <v>0</v>
      </c>
      <c r="BT17">
        <f>SUMIF(DeadRaw!$B:$B,$B17,DeadRaw!BV:BV)</f>
        <v>0</v>
      </c>
      <c r="BU17">
        <f>SUMIF(DeadRaw!$B:$B,$B17,DeadRaw!BW:BW)</f>
        <v>0</v>
      </c>
    </row>
    <row r="18" spans="1:73" ht="15" thickBot="1" x14ac:dyDescent="0.35">
      <c r="A18" s="97" t="str">
        <f>VLOOKUP(B18,Country_Data!B:Q,16,FALSE)</f>
        <v>Europe</v>
      </c>
      <c r="B18" s="3" t="s">
        <v>63</v>
      </c>
      <c r="C18">
        <f>SUMIF(DeadRaw!$B:$B,$B18,DeadRaw!E:E)</f>
        <v>0</v>
      </c>
      <c r="D18">
        <f>SUMIF(DeadRaw!$B:$B,$B18,DeadRaw!F:F)</f>
        <v>0</v>
      </c>
      <c r="E18">
        <f>SUMIF(DeadRaw!$B:$B,$B18,DeadRaw!G:G)</f>
        <v>0</v>
      </c>
      <c r="F18">
        <f>SUMIF(DeadRaw!$B:$B,$B18,DeadRaw!H:H)</f>
        <v>0</v>
      </c>
      <c r="G18">
        <f>SUMIF(DeadRaw!$B:$B,$B18,DeadRaw!I:I)</f>
        <v>0</v>
      </c>
      <c r="H18">
        <f>SUMIF(DeadRaw!$B:$B,$B18,DeadRaw!J:J)</f>
        <v>0</v>
      </c>
      <c r="I18">
        <f>SUMIF(DeadRaw!$B:$B,$B18,DeadRaw!K:K)</f>
        <v>0</v>
      </c>
      <c r="J18">
        <f>SUMIF(DeadRaw!$B:$B,$B18,DeadRaw!L:L)</f>
        <v>0</v>
      </c>
      <c r="K18">
        <f>SUMIF(DeadRaw!$B:$B,$B18,DeadRaw!M:M)</f>
        <v>0</v>
      </c>
      <c r="L18">
        <f>SUMIF(DeadRaw!$B:$B,$B18,DeadRaw!N:N)</f>
        <v>0</v>
      </c>
      <c r="M18">
        <f>SUMIF(DeadRaw!$B:$B,$B18,DeadRaw!O:O)</f>
        <v>0</v>
      </c>
      <c r="N18">
        <f>SUMIF(DeadRaw!$B:$B,$B18,DeadRaw!P:P)</f>
        <v>0</v>
      </c>
      <c r="O18">
        <f>SUMIF(DeadRaw!$B:$B,$B18,DeadRaw!Q:Q)</f>
        <v>0</v>
      </c>
      <c r="P18">
        <f>SUMIF(DeadRaw!$B:$B,$B18,DeadRaw!R:R)</f>
        <v>0</v>
      </c>
      <c r="Q18">
        <f>SUMIF(DeadRaw!$B:$B,$B18,DeadRaw!S:S)</f>
        <v>0</v>
      </c>
      <c r="R18">
        <f>SUMIF(DeadRaw!$B:$B,$B18,DeadRaw!T:T)</f>
        <v>0</v>
      </c>
      <c r="S18">
        <f>SUMIF(DeadRaw!$B:$B,$B18,DeadRaw!U:U)</f>
        <v>0</v>
      </c>
      <c r="T18">
        <f>SUMIF(DeadRaw!$B:$B,$B18,DeadRaw!V:V)</f>
        <v>0</v>
      </c>
      <c r="U18">
        <f>SUMIF(DeadRaw!$B:$B,$B18,DeadRaw!W:W)</f>
        <v>0</v>
      </c>
      <c r="V18">
        <f>SUMIF(DeadRaw!$B:$B,$B18,DeadRaw!X:X)</f>
        <v>0</v>
      </c>
      <c r="W18">
        <f>SUMIF(DeadRaw!$B:$B,$B18,DeadRaw!Y:Y)</f>
        <v>0</v>
      </c>
      <c r="X18">
        <f>SUMIF(DeadRaw!$B:$B,$B18,DeadRaw!Z:Z)</f>
        <v>0</v>
      </c>
      <c r="Y18">
        <f>SUMIF(DeadRaw!$B:$B,$B18,DeadRaw!AA:AA)</f>
        <v>0</v>
      </c>
      <c r="Z18">
        <f>SUMIF(DeadRaw!$B:$B,$B18,DeadRaw!AB:AB)</f>
        <v>0</v>
      </c>
      <c r="AA18">
        <f>SUMIF(DeadRaw!$B:$B,$B18,DeadRaw!AC:AC)</f>
        <v>0</v>
      </c>
      <c r="AB18">
        <f>SUMIF(DeadRaw!$B:$B,$B18,DeadRaw!AD:AD)</f>
        <v>0</v>
      </c>
      <c r="AC18">
        <f>SUMIF(DeadRaw!$B:$B,$B18,DeadRaw!AE:AE)</f>
        <v>0</v>
      </c>
      <c r="AD18">
        <f>SUMIF(DeadRaw!$B:$B,$B18,DeadRaw!AF:AF)</f>
        <v>0</v>
      </c>
      <c r="AE18">
        <f>SUMIF(DeadRaw!$B:$B,$B18,DeadRaw!AG:AG)</f>
        <v>0</v>
      </c>
      <c r="AF18">
        <f>SUMIF(DeadRaw!$B:$B,$B18,DeadRaw!AH:AH)</f>
        <v>0</v>
      </c>
      <c r="AG18">
        <f>SUMIF(DeadRaw!$B:$B,$B18,DeadRaw!AI:AI)</f>
        <v>0</v>
      </c>
      <c r="AH18">
        <f>SUMIF(DeadRaw!$B:$B,$B18,DeadRaw!AJ:AJ)</f>
        <v>0</v>
      </c>
      <c r="AI18">
        <f>SUMIF(DeadRaw!$B:$B,$B18,DeadRaw!AK:AK)</f>
        <v>0</v>
      </c>
      <c r="AJ18">
        <f>SUMIF(DeadRaw!$B:$B,$B18,DeadRaw!AL:AL)</f>
        <v>0</v>
      </c>
      <c r="AK18">
        <f>SUMIF(DeadRaw!$B:$B,$B18,DeadRaw!AM:AM)</f>
        <v>0</v>
      </c>
      <c r="AL18">
        <f>SUMIF(DeadRaw!$B:$B,$B18,DeadRaw!AN:AN)</f>
        <v>0</v>
      </c>
      <c r="AM18">
        <f>SUMIF(DeadRaw!$B:$B,$B18,DeadRaw!AO:AO)</f>
        <v>0</v>
      </c>
      <c r="AN18">
        <f>SUMIF(DeadRaw!$B:$B,$B18,DeadRaw!AP:AP)</f>
        <v>0</v>
      </c>
      <c r="AO18">
        <f>SUMIF(DeadRaw!$B:$B,$B18,DeadRaw!AQ:AQ)</f>
        <v>0</v>
      </c>
      <c r="AP18">
        <f>SUMIF(DeadRaw!$B:$B,$B18,DeadRaw!AR:AR)</f>
        <v>0</v>
      </c>
      <c r="AQ18">
        <f>SUMIF(DeadRaw!$B:$B,$B18,DeadRaw!AS:AS)</f>
        <v>0</v>
      </c>
      <c r="AR18">
        <f>SUMIF(DeadRaw!$B:$B,$B18,DeadRaw!AT:AT)</f>
        <v>0</v>
      </c>
      <c r="AS18">
        <f>SUMIF(DeadRaw!$B:$B,$B18,DeadRaw!AU:AU)</f>
        <v>0</v>
      </c>
      <c r="AT18">
        <f>SUMIF(DeadRaw!$B:$B,$B18,DeadRaw!AV:AV)</f>
        <v>0</v>
      </c>
      <c r="AU18">
        <f>SUMIF(DeadRaw!$B:$B,$B18,DeadRaw!AW:AW)</f>
        <v>0</v>
      </c>
      <c r="AV18">
        <f>SUMIF(DeadRaw!$B:$B,$B18,DeadRaw!AX:AX)</f>
        <v>0</v>
      </c>
      <c r="AW18">
        <f>SUMIF(DeadRaw!$B:$B,$B18,DeadRaw!AY:AY)</f>
        <v>0</v>
      </c>
      <c r="AX18">
        <f>SUMIF(DeadRaw!$B:$B,$B18,DeadRaw!AZ:AZ)</f>
        <v>0</v>
      </c>
      <c r="AY18">
        <f>SUMIF(DeadRaw!$B:$B,$B18,DeadRaw!BA:BA)</f>
        <v>0</v>
      </c>
      <c r="AZ18">
        <f>SUMIF(DeadRaw!$B:$B,$B18,DeadRaw!BB:BB)</f>
        <v>3</v>
      </c>
      <c r="BA18">
        <f>SUMIF(DeadRaw!$B:$B,$B18,DeadRaw!BC:BC)</f>
        <v>3</v>
      </c>
      <c r="BB18">
        <f>SUMIF(DeadRaw!$B:$B,$B18,DeadRaw!BD:BD)</f>
        <v>3</v>
      </c>
      <c r="BC18">
        <f>SUMIF(DeadRaw!$B:$B,$B18,DeadRaw!BE:BE)</f>
        <v>4</v>
      </c>
      <c r="BD18">
        <f>SUMIF(DeadRaw!$B:$B,$B18,DeadRaw!BF:BF)</f>
        <v>4</v>
      </c>
      <c r="BE18">
        <f>SUMIF(DeadRaw!$B:$B,$B18,DeadRaw!BG:BG)</f>
        <v>5</v>
      </c>
      <c r="BF18">
        <f>SUMIF(DeadRaw!$B:$B,$B18,DeadRaw!BH:BH)</f>
        <v>10</v>
      </c>
      <c r="BG18">
        <f>SUMIF(DeadRaw!$B:$B,$B18,DeadRaw!BI:BI)</f>
        <v>14</v>
      </c>
      <c r="BH18">
        <f>SUMIF(DeadRaw!$B:$B,$B18,DeadRaw!BJ:BJ)</f>
        <v>21</v>
      </c>
      <c r="BI18">
        <f>SUMIF(DeadRaw!$B:$B,$B18,DeadRaw!BK:BK)</f>
        <v>37</v>
      </c>
      <c r="BJ18">
        <f>SUMIF(DeadRaw!$B:$B,$B18,DeadRaw!BL:BL)</f>
        <v>67</v>
      </c>
      <c r="BK18">
        <f>SUMIF(DeadRaw!$B:$B,$B18,DeadRaw!BM:BM)</f>
        <v>75</v>
      </c>
      <c r="BL18">
        <f>SUMIF(DeadRaw!$B:$B,$B18,DeadRaw!BN:BN)</f>
        <v>88</v>
      </c>
      <c r="BM18">
        <f>SUMIF(DeadRaw!$B:$B,$B18,DeadRaw!BO:BO)</f>
        <v>122</v>
      </c>
      <c r="BN18">
        <f>SUMIF(DeadRaw!$B:$B,$B18,DeadRaw!BP:BP)</f>
        <v>178</v>
      </c>
      <c r="BO18">
        <f>SUMIF(DeadRaw!$B:$B,$B18,DeadRaw!BQ:BQ)</f>
        <v>220</v>
      </c>
      <c r="BP18">
        <f>SUMIF(DeadRaw!$B:$B,$B18,DeadRaw!BR:BR)</f>
        <v>289</v>
      </c>
      <c r="BQ18">
        <f>SUMIF(DeadRaw!$B:$B,$B18,DeadRaw!BS:BS)</f>
        <v>353</v>
      </c>
      <c r="BR18">
        <f>SUMIF(DeadRaw!$B:$B,$B18,DeadRaw!BT:BT)</f>
        <v>0</v>
      </c>
      <c r="BS18">
        <f>SUMIF(DeadRaw!$B:$B,$B18,DeadRaw!BU:BU)</f>
        <v>0</v>
      </c>
      <c r="BT18">
        <f>SUMIF(DeadRaw!$B:$B,$B18,DeadRaw!BV:BV)</f>
        <v>0</v>
      </c>
      <c r="BU18">
        <f>SUMIF(DeadRaw!$B:$B,$B18,DeadRaw!BW:BW)</f>
        <v>0</v>
      </c>
    </row>
    <row r="19" spans="1:73" ht="15" thickBot="1" x14ac:dyDescent="0.35">
      <c r="A19" s="97" t="str">
        <f>VLOOKUP(B19,Country_Data!B:Q,16,FALSE)</f>
        <v>Europe</v>
      </c>
      <c r="B19" s="3" t="s">
        <v>78</v>
      </c>
      <c r="C19">
        <f>SUMIF(DeadRaw!$B:$B,$B19,DeadRaw!E:E)</f>
        <v>0</v>
      </c>
      <c r="D19">
        <f>SUMIF(DeadRaw!$B:$B,$B19,DeadRaw!F:F)</f>
        <v>0</v>
      </c>
      <c r="E19">
        <f>SUMIF(DeadRaw!$B:$B,$B19,DeadRaw!G:G)</f>
        <v>0</v>
      </c>
      <c r="F19">
        <f>SUMIF(DeadRaw!$B:$B,$B19,DeadRaw!H:H)</f>
        <v>0</v>
      </c>
      <c r="G19">
        <f>SUMIF(DeadRaw!$B:$B,$B19,DeadRaw!I:I)</f>
        <v>0</v>
      </c>
      <c r="H19">
        <f>SUMIF(DeadRaw!$B:$B,$B19,DeadRaw!J:J)</f>
        <v>0</v>
      </c>
      <c r="I19">
        <f>SUMIF(DeadRaw!$B:$B,$B19,DeadRaw!K:K)</f>
        <v>0</v>
      </c>
      <c r="J19">
        <f>SUMIF(DeadRaw!$B:$B,$B19,DeadRaw!L:L)</f>
        <v>0</v>
      </c>
      <c r="K19">
        <f>SUMIF(DeadRaw!$B:$B,$B19,DeadRaw!M:M)</f>
        <v>0</v>
      </c>
      <c r="L19">
        <f>SUMIF(DeadRaw!$B:$B,$B19,DeadRaw!N:N)</f>
        <v>0</v>
      </c>
      <c r="M19">
        <f>SUMIF(DeadRaw!$B:$B,$B19,DeadRaw!O:O)</f>
        <v>0</v>
      </c>
      <c r="N19">
        <f>SUMIF(DeadRaw!$B:$B,$B19,DeadRaw!P:P)</f>
        <v>0</v>
      </c>
      <c r="O19">
        <f>SUMIF(DeadRaw!$B:$B,$B19,DeadRaw!Q:Q)</f>
        <v>0</v>
      </c>
      <c r="P19">
        <f>SUMIF(DeadRaw!$B:$B,$B19,DeadRaw!R:R)</f>
        <v>0</v>
      </c>
      <c r="Q19">
        <f>SUMIF(DeadRaw!$B:$B,$B19,DeadRaw!S:S)</f>
        <v>0</v>
      </c>
      <c r="R19">
        <f>SUMIF(DeadRaw!$B:$B,$B19,DeadRaw!T:T)</f>
        <v>0</v>
      </c>
      <c r="S19">
        <f>SUMIF(DeadRaw!$B:$B,$B19,DeadRaw!U:U)</f>
        <v>0</v>
      </c>
      <c r="T19">
        <f>SUMIF(DeadRaw!$B:$B,$B19,DeadRaw!V:V)</f>
        <v>0</v>
      </c>
      <c r="U19">
        <f>SUMIF(DeadRaw!$B:$B,$B19,DeadRaw!W:W)</f>
        <v>0</v>
      </c>
      <c r="V19">
        <f>SUMIF(DeadRaw!$B:$B,$B19,DeadRaw!X:X)</f>
        <v>0</v>
      </c>
      <c r="W19">
        <f>SUMIF(DeadRaw!$B:$B,$B19,DeadRaw!Y:Y)</f>
        <v>0</v>
      </c>
      <c r="X19">
        <f>SUMIF(DeadRaw!$B:$B,$B19,DeadRaw!Z:Z)</f>
        <v>0</v>
      </c>
      <c r="Y19">
        <f>SUMIF(DeadRaw!$B:$B,$B19,DeadRaw!AA:AA)</f>
        <v>0</v>
      </c>
      <c r="Z19">
        <f>SUMIF(DeadRaw!$B:$B,$B19,DeadRaw!AB:AB)</f>
        <v>0</v>
      </c>
      <c r="AA19">
        <f>SUMIF(DeadRaw!$B:$B,$B19,DeadRaw!AC:AC)</f>
        <v>0</v>
      </c>
      <c r="AB19">
        <f>SUMIF(DeadRaw!$B:$B,$B19,DeadRaw!AD:AD)</f>
        <v>0</v>
      </c>
      <c r="AC19">
        <f>SUMIF(DeadRaw!$B:$B,$B19,DeadRaw!AE:AE)</f>
        <v>0</v>
      </c>
      <c r="AD19">
        <f>SUMIF(DeadRaw!$B:$B,$B19,DeadRaw!AF:AF)</f>
        <v>0</v>
      </c>
      <c r="AE19">
        <f>SUMIF(DeadRaw!$B:$B,$B19,DeadRaw!AG:AG)</f>
        <v>0</v>
      </c>
      <c r="AF19">
        <f>SUMIF(DeadRaw!$B:$B,$B19,DeadRaw!AH:AH)</f>
        <v>0</v>
      </c>
      <c r="AG19">
        <f>SUMIF(DeadRaw!$B:$B,$B19,DeadRaw!AI:AI)</f>
        <v>0</v>
      </c>
      <c r="AH19">
        <f>SUMIF(DeadRaw!$B:$B,$B19,DeadRaw!AJ:AJ)</f>
        <v>0</v>
      </c>
      <c r="AI19">
        <f>SUMIF(DeadRaw!$B:$B,$B19,DeadRaw!AK:AK)</f>
        <v>0</v>
      </c>
      <c r="AJ19">
        <f>SUMIF(DeadRaw!$B:$B,$B19,DeadRaw!AL:AL)</f>
        <v>0</v>
      </c>
      <c r="AK19">
        <f>SUMIF(DeadRaw!$B:$B,$B19,DeadRaw!AM:AM)</f>
        <v>0</v>
      </c>
      <c r="AL19">
        <f>SUMIF(DeadRaw!$B:$B,$B19,DeadRaw!AN:AN)</f>
        <v>0</v>
      </c>
      <c r="AM19">
        <f>SUMIF(DeadRaw!$B:$B,$B19,DeadRaw!AO:AO)</f>
        <v>0</v>
      </c>
      <c r="AN19">
        <f>SUMIF(DeadRaw!$B:$B,$B19,DeadRaw!AP:AP)</f>
        <v>0</v>
      </c>
      <c r="AO19">
        <f>SUMIF(DeadRaw!$B:$B,$B19,DeadRaw!AQ:AQ)</f>
        <v>0</v>
      </c>
      <c r="AP19">
        <f>SUMIF(DeadRaw!$B:$B,$B19,DeadRaw!AR:AR)</f>
        <v>0</v>
      </c>
      <c r="AQ19">
        <f>SUMIF(DeadRaw!$B:$B,$B19,DeadRaw!AS:AS)</f>
        <v>0</v>
      </c>
      <c r="AR19">
        <f>SUMIF(DeadRaw!$B:$B,$B19,DeadRaw!AT:AT)</f>
        <v>0</v>
      </c>
      <c r="AS19">
        <f>SUMIF(DeadRaw!$B:$B,$B19,DeadRaw!AU:AU)</f>
        <v>0</v>
      </c>
      <c r="AT19">
        <f>SUMIF(DeadRaw!$B:$B,$B19,DeadRaw!AV:AV)</f>
        <v>0</v>
      </c>
      <c r="AU19">
        <f>SUMIF(DeadRaw!$B:$B,$B19,DeadRaw!AW:AW)</f>
        <v>0</v>
      </c>
      <c r="AV19">
        <f>SUMIF(DeadRaw!$B:$B,$B19,DeadRaw!AX:AX)</f>
        <v>0</v>
      </c>
      <c r="AW19">
        <f>SUMIF(DeadRaw!$B:$B,$B19,DeadRaw!AY:AY)</f>
        <v>0</v>
      </c>
      <c r="AX19">
        <f>SUMIF(DeadRaw!$B:$B,$B19,DeadRaw!AZ:AZ)</f>
        <v>0</v>
      </c>
      <c r="AY19">
        <f>SUMIF(DeadRaw!$B:$B,$B19,DeadRaw!BA:BA)</f>
        <v>0</v>
      </c>
      <c r="AZ19">
        <f>SUMIF(DeadRaw!$B:$B,$B19,DeadRaw!BB:BB)</f>
        <v>0</v>
      </c>
      <c r="BA19">
        <f>SUMIF(DeadRaw!$B:$B,$B19,DeadRaw!BC:BC)</f>
        <v>1</v>
      </c>
      <c r="BB19">
        <f>SUMIF(DeadRaw!$B:$B,$B19,DeadRaw!BD:BD)</f>
        <v>1</v>
      </c>
      <c r="BC19">
        <f>SUMIF(DeadRaw!$B:$B,$B19,DeadRaw!BE:BE)</f>
        <v>1</v>
      </c>
      <c r="BD19">
        <f>SUMIF(DeadRaw!$B:$B,$B19,DeadRaw!BF:BF)</f>
        <v>1</v>
      </c>
      <c r="BE19">
        <f>SUMIF(DeadRaw!$B:$B,$B19,DeadRaw!BG:BG)</f>
        <v>3</v>
      </c>
      <c r="BF19">
        <f>SUMIF(DeadRaw!$B:$B,$B19,DeadRaw!BH:BH)</f>
        <v>3</v>
      </c>
      <c r="BG19">
        <f>SUMIF(DeadRaw!$B:$B,$B19,DeadRaw!BI:BI)</f>
        <v>4</v>
      </c>
      <c r="BH19">
        <f>SUMIF(DeadRaw!$B:$B,$B19,DeadRaw!BJ:BJ)</f>
        <v>6</v>
      </c>
      <c r="BI19">
        <f>SUMIF(DeadRaw!$B:$B,$B19,DeadRaw!BK:BK)</f>
        <v>6</v>
      </c>
      <c r="BJ19">
        <f>SUMIF(DeadRaw!$B:$B,$B19,DeadRaw!BL:BL)</f>
        <v>8</v>
      </c>
      <c r="BK19">
        <f>SUMIF(DeadRaw!$B:$B,$B19,DeadRaw!BM:BM)</f>
        <v>16</v>
      </c>
      <c r="BL19">
        <f>SUMIF(DeadRaw!$B:$B,$B19,DeadRaw!BN:BN)</f>
        <v>21</v>
      </c>
      <c r="BM19">
        <f>SUMIF(DeadRaw!$B:$B,$B19,DeadRaw!BO:BO)</f>
        <v>28</v>
      </c>
      <c r="BN19">
        <f>SUMIF(DeadRaw!$B:$B,$B19,DeadRaw!BP:BP)</f>
        <v>30</v>
      </c>
      <c r="BO19">
        <f>SUMIF(DeadRaw!$B:$B,$B19,DeadRaw!BQ:BQ)</f>
        <v>49</v>
      </c>
      <c r="BP19">
        <f>SUMIF(DeadRaw!$B:$B,$B19,DeadRaw!BR:BR)</f>
        <v>58</v>
      </c>
      <c r="BQ19">
        <f>SUMIF(DeadRaw!$B:$B,$B19,DeadRaw!BS:BS)</f>
        <v>68</v>
      </c>
      <c r="BR19">
        <f>SUMIF(DeadRaw!$B:$B,$B19,DeadRaw!BT:BT)</f>
        <v>0</v>
      </c>
      <c r="BS19">
        <f>SUMIF(DeadRaw!$B:$B,$B19,DeadRaw!BU:BU)</f>
        <v>0</v>
      </c>
      <c r="BT19">
        <f>SUMIF(DeadRaw!$B:$B,$B19,DeadRaw!BV:BV)</f>
        <v>0</v>
      </c>
      <c r="BU19">
        <f>SUMIF(DeadRaw!$B:$B,$B19,DeadRaw!BW:BW)</f>
        <v>0</v>
      </c>
    </row>
    <row r="20" spans="1:73" ht="15" thickBot="1" x14ac:dyDescent="0.35">
      <c r="A20" s="97" t="str">
        <f>VLOOKUP(B20,Country_Data!B:Q,16,FALSE)</f>
        <v>Middle East</v>
      </c>
      <c r="B20" s="3" t="s">
        <v>101</v>
      </c>
      <c r="C20">
        <f>SUMIF(DeadRaw!$B:$B,$B20,DeadRaw!E:E)</f>
        <v>0</v>
      </c>
      <c r="D20">
        <f>SUMIF(DeadRaw!$B:$B,$B20,DeadRaw!F:F)</f>
        <v>0</v>
      </c>
      <c r="E20">
        <f>SUMIF(DeadRaw!$B:$B,$B20,DeadRaw!G:G)</f>
        <v>0</v>
      </c>
      <c r="F20">
        <f>SUMIF(DeadRaw!$B:$B,$B20,DeadRaw!H:H)</f>
        <v>0</v>
      </c>
      <c r="G20">
        <f>SUMIF(DeadRaw!$B:$B,$B20,DeadRaw!I:I)</f>
        <v>0</v>
      </c>
      <c r="H20">
        <f>SUMIF(DeadRaw!$B:$B,$B20,DeadRaw!J:J)</f>
        <v>0</v>
      </c>
      <c r="I20">
        <f>SUMIF(DeadRaw!$B:$B,$B20,DeadRaw!K:K)</f>
        <v>0</v>
      </c>
      <c r="J20">
        <f>SUMIF(DeadRaw!$B:$B,$B20,DeadRaw!L:L)</f>
        <v>0</v>
      </c>
      <c r="K20">
        <f>SUMIF(DeadRaw!$B:$B,$B20,DeadRaw!M:M)</f>
        <v>0</v>
      </c>
      <c r="L20">
        <f>SUMIF(DeadRaw!$B:$B,$B20,DeadRaw!N:N)</f>
        <v>0</v>
      </c>
      <c r="M20">
        <f>SUMIF(DeadRaw!$B:$B,$B20,DeadRaw!O:O)</f>
        <v>0</v>
      </c>
      <c r="N20">
        <f>SUMIF(DeadRaw!$B:$B,$B20,DeadRaw!P:P)</f>
        <v>0</v>
      </c>
      <c r="O20">
        <f>SUMIF(DeadRaw!$B:$B,$B20,DeadRaw!Q:Q)</f>
        <v>0</v>
      </c>
      <c r="P20">
        <f>SUMIF(DeadRaw!$B:$B,$B20,DeadRaw!R:R)</f>
        <v>0</v>
      </c>
      <c r="Q20">
        <f>SUMIF(DeadRaw!$B:$B,$B20,DeadRaw!S:S)</f>
        <v>0</v>
      </c>
      <c r="R20">
        <f>SUMIF(DeadRaw!$B:$B,$B20,DeadRaw!T:T)</f>
        <v>0</v>
      </c>
      <c r="S20">
        <f>SUMIF(DeadRaw!$B:$B,$B20,DeadRaw!U:U)</f>
        <v>0</v>
      </c>
      <c r="T20">
        <f>SUMIF(DeadRaw!$B:$B,$B20,DeadRaw!V:V)</f>
        <v>0</v>
      </c>
      <c r="U20">
        <f>SUMIF(DeadRaw!$B:$B,$B20,DeadRaw!W:W)</f>
        <v>0</v>
      </c>
      <c r="V20">
        <f>SUMIF(DeadRaw!$B:$B,$B20,DeadRaw!X:X)</f>
        <v>0</v>
      </c>
      <c r="W20">
        <f>SUMIF(DeadRaw!$B:$B,$B20,DeadRaw!Y:Y)</f>
        <v>0</v>
      </c>
      <c r="X20">
        <f>SUMIF(DeadRaw!$B:$B,$B20,DeadRaw!Z:Z)</f>
        <v>0</v>
      </c>
      <c r="Y20">
        <f>SUMIF(DeadRaw!$B:$B,$B20,DeadRaw!AA:AA)</f>
        <v>0</v>
      </c>
      <c r="Z20">
        <f>SUMIF(DeadRaw!$B:$B,$B20,DeadRaw!AB:AB)</f>
        <v>0</v>
      </c>
      <c r="AA20">
        <f>SUMIF(DeadRaw!$B:$B,$B20,DeadRaw!AC:AC)</f>
        <v>0</v>
      </c>
      <c r="AB20">
        <f>SUMIF(DeadRaw!$B:$B,$B20,DeadRaw!AD:AD)</f>
        <v>0</v>
      </c>
      <c r="AC20">
        <f>SUMIF(DeadRaw!$B:$B,$B20,DeadRaw!AE:AE)</f>
        <v>0</v>
      </c>
      <c r="AD20">
        <f>SUMIF(DeadRaw!$B:$B,$B20,DeadRaw!AF:AF)</f>
        <v>0</v>
      </c>
      <c r="AE20">
        <f>SUMIF(DeadRaw!$B:$B,$B20,DeadRaw!AG:AG)</f>
        <v>0</v>
      </c>
      <c r="AF20">
        <f>SUMIF(DeadRaw!$B:$B,$B20,DeadRaw!AH:AH)</f>
        <v>0</v>
      </c>
      <c r="AG20">
        <f>SUMIF(DeadRaw!$B:$B,$B20,DeadRaw!AI:AI)</f>
        <v>0</v>
      </c>
      <c r="AH20">
        <f>SUMIF(DeadRaw!$B:$B,$B20,DeadRaw!AJ:AJ)</f>
        <v>0</v>
      </c>
      <c r="AI20">
        <f>SUMIF(DeadRaw!$B:$B,$B20,DeadRaw!AK:AK)</f>
        <v>0</v>
      </c>
      <c r="AJ20">
        <f>SUMIF(DeadRaw!$B:$B,$B20,DeadRaw!AL:AL)</f>
        <v>0</v>
      </c>
      <c r="AK20">
        <f>SUMIF(DeadRaw!$B:$B,$B20,DeadRaw!AM:AM)</f>
        <v>0</v>
      </c>
      <c r="AL20">
        <f>SUMIF(DeadRaw!$B:$B,$B20,DeadRaw!AN:AN)</f>
        <v>0</v>
      </c>
      <c r="AM20">
        <f>SUMIF(DeadRaw!$B:$B,$B20,DeadRaw!AO:AO)</f>
        <v>0</v>
      </c>
      <c r="AN20">
        <f>SUMIF(DeadRaw!$B:$B,$B20,DeadRaw!AP:AP)</f>
        <v>0</v>
      </c>
      <c r="AO20">
        <f>SUMIF(DeadRaw!$B:$B,$B20,DeadRaw!AQ:AQ)</f>
        <v>0</v>
      </c>
      <c r="AP20">
        <f>SUMIF(DeadRaw!$B:$B,$B20,DeadRaw!AR:AR)</f>
        <v>0</v>
      </c>
      <c r="AQ20">
        <f>SUMIF(DeadRaw!$B:$B,$B20,DeadRaw!AS:AS)</f>
        <v>0</v>
      </c>
      <c r="AR20">
        <f>SUMIF(DeadRaw!$B:$B,$B20,DeadRaw!AT:AT)</f>
        <v>0</v>
      </c>
      <c r="AS20">
        <f>SUMIF(DeadRaw!$B:$B,$B20,DeadRaw!AU:AU)</f>
        <v>0</v>
      </c>
      <c r="AT20">
        <f>SUMIF(DeadRaw!$B:$B,$B20,DeadRaw!AV:AV)</f>
        <v>0</v>
      </c>
      <c r="AU20">
        <f>SUMIF(DeadRaw!$B:$B,$B20,DeadRaw!AW:AW)</f>
        <v>0</v>
      </c>
      <c r="AV20">
        <f>SUMIF(DeadRaw!$B:$B,$B20,DeadRaw!AX:AX)</f>
        <v>0</v>
      </c>
      <c r="AW20">
        <f>SUMIF(DeadRaw!$B:$B,$B20,DeadRaw!AY:AY)</f>
        <v>0</v>
      </c>
      <c r="AX20">
        <f>SUMIF(DeadRaw!$B:$B,$B20,DeadRaw!AZ:AZ)</f>
        <v>0</v>
      </c>
      <c r="AY20">
        <f>SUMIF(DeadRaw!$B:$B,$B20,DeadRaw!BA:BA)</f>
        <v>0</v>
      </c>
      <c r="AZ20">
        <f>SUMIF(DeadRaw!$B:$B,$B20,DeadRaw!BB:BB)</f>
        <v>0</v>
      </c>
      <c r="BA20">
        <f>SUMIF(DeadRaw!$B:$B,$B20,DeadRaw!BC:BC)</f>
        <v>0</v>
      </c>
      <c r="BB20">
        <f>SUMIF(DeadRaw!$B:$B,$B20,DeadRaw!BD:BD)</f>
        <v>0</v>
      </c>
      <c r="BC20">
        <f>SUMIF(DeadRaw!$B:$B,$B20,DeadRaw!BE:BE)</f>
        <v>0</v>
      </c>
      <c r="BD20">
        <f>SUMIF(DeadRaw!$B:$B,$B20,DeadRaw!BF:BF)</f>
        <v>0</v>
      </c>
      <c r="BE20">
        <f>SUMIF(DeadRaw!$B:$B,$B20,DeadRaw!BG:BG)</f>
        <v>0</v>
      </c>
      <c r="BF20">
        <f>SUMIF(DeadRaw!$B:$B,$B20,DeadRaw!BH:BH)</f>
        <v>0</v>
      </c>
      <c r="BG20">
        <f>SUMIF(DeadRaw!$B:$B,$B20,DeadRaw!BI:BI)</f>
        <v>0</v>
      </c>
      <c r="BH20">
        <f>SUMIF(DeadRaw!$B:$B,$B20,DeadRaw!BJ:BJ)</f>
        <v>0</v>
      </c>
      <c r="BI20">
        <f>SUMIF(DeadRaw!$B:$B,$B20,DeadRaw!BK:BK)</f>
        <v>0</v>
      </c>
      <c r="BJ20">
        <f>SUMIF(DeadRaw!$B:$B,$B20,DeadRaw!BL:BL)</f>
        <v>0</v>
      </c>
      <c r="BK20">
        <f>SUMIF(DeadRaw!$B:$B,$B20,DeadRaw!BM:BM)</f>
        <v>0</v>
      </c>
      <c r="BL20">
        <f>SUMIF(DeadRaw!$B:$B,$B20,DeadRaw!BN:BN)</f>
        <v>0</v>
      </c>
      <c r="BM20">
        <f>SUMIF(DeadRaw!$B:$B,$B20,DeadRaw!BO:BO)</f>
        <v>0</v>
      </c>
      <c r="BN20">
        <f>SUMIF(DeadRaw!$B:$B,$B20,DeadRaw!BP:BP)</f>
        <v>0</v>
      </c>
      <c r="BO20">
        <f>SUMIF(DeadRaw!$B:$B,$B20,DeadRaw!BQ:BQ)</f>
        <v>0</v>
      </c>
      <c r="BP20">
        <f>SUMIF(DeadRaw!$B:$B,$B20,DeadRaw!BR:BR)</f>
        <v>0</v>
      </c>
      <c r="BQ20">
        <f>SUMIF(DeadRaw!$B:$B,$B20,DeadRaw!BS:BS)</f>
        <v>1</v>
      </c>
      <c r="BR20">
        <f>SUMIF(DeadRaw!$B:$B,$B20,DeadRaw!BT:BT)</f>
        <v>0</v>
      </c>
      <c r="BS20">
        <f>SUMIF(DeadRaw!$B:$B,$B20,DeadRaw!BU:BU)</f>
        <v>0</v>
      </c>
      <c r="BT20">
        <f>SUMIF(DeadRaw!$B:$B,$B20,DeadRaw!BV:BV)</f>
        <v>0</v>
      </c>
      <c r="BU20">
        <f>SUMIF(DeadRaw!$B:$B,$B20,DeadRaw!BW:BW)</f>
        <v>0</v>
      </c>
    </row>
    <row r="21" spans="1:73" ht="15" thickBot="1" x14ac:dyDescent="0.35">
      <c r="A21" s="97" t="str">
        <f>VLOOKUP(B21,Country_Data!B:Q,16,FALSE)</f>
        <v>Australasia</v>
      </c>
      <c r="B21" s="3" t="s">
        <v>48</v>
      </c>
      <c r="C21">
        <f>SUMIF(DeadRaw!$B:$B,$B21,DeadRaw!E:E)</f>
        <v>0</v>
      </c>
      <c r="D21">
        <f>SUMIF(DeadRaw!$B:$B,$B21,DeadRaw!F:F)</f>
        <v>0</v>
      </c>
      <c r="E21">
        <f>SUMIF(DeadRaw!$B:$B,$B21,DeadRaw!G:G)</f>
        <v>0</v>
      </c>
      <c r="F21">
        <f>SUMIF(DeadRaw!$B:$B,$B21,DeadRaw!H:H)</f>
        <v>0</v>
      </c>
      <c r="G21">
        <f>SUMIF(DeadRaw!$B:$B,$B21,DeadRaw!I:I)</f>
        <v>0</v>
      </c>
      <c r="H21">
        <f>SUMIF(DeadRaw!$B:$B,$B21,DeadRaw!J:J)</f>
        <v>0</v>
      </c>
      <c r="I21">
        <f>SUMIF(DeadRaw!$B:$B,$B21,DeadRaw!K:K)</f>
        <v>0</v>
      </c>
      <c r="J21">
        <f>SUMIF(DeadRaw!$B:$B,$B21,DeadRaw!L:L)</f>
        <v>0</v>
      </c>
      <c r="K21">
        <f>SUMIF(DeadRaw!$B:$B,$B21,DeadRaw!M:M)</f>
        <v>0</v>
      </c>
      <c r="L21">
        <f>SUMIF(DeadRaw!$B:$B,$B21,DeadRaw!N:N)</f>
        <v>0</v>
      </c>
      <c r="M21">
        <f>SUMIF(DeadRaw!$B:$B,$B21,DeadRaw!O:O)</f>
        <v>0</v>
      </c>
      <c r="N21">
        <f>SUMIF(DeadRaw!$B:$B,$B21,DeadRaw!P:P)</f>
        <v>0</v>
      </c>
      <c r="O21">
        <f>SUMIF(DeadRaw!$B:$B,$B21,DeadRaw!Q:Q)</f>
        <v>0</v>
      </c>
      <c r="P21">
        <f>SUMIF(DeadRaw!$B:$B,$B21,DeadRaw!R:R)</f>
        <v>0</v>
      </c>
      <c r="Q21">
        <f>SUMIF(DeadRaw!$B:$B,$B21,DeadRaw!S:S)</f>
        <v>0</v>
      </c>
      <c r="R21">
        <f>SUMIF(DeadRaw!$B:$B,$B21,DeadRaw!T:T)</f>
        <v>0</v>
      </c>
      <c r="S21">
        <f>SUMIF(DeadRaw!$B:$B,$B21,DeadRaw!U:U)</f>
        <v>0</v>
      </c>
      <c r="T21">
        <f>SUMIF(DeadRaw!$B:$B,$B21,DeadRaw!V:V)</f>
        <v>0</v>
      </c>
      <c r="U21">
        <f>SUMIF(DeadRaw!$B:$B,$B21,DeadRaw!W:W)</f>
        <v>0</v>
      </c>
      <c r="V21">
        <f>SUMIF(DeadRaw!$B:$B,$B21,DeadRaw!X:X)</f>
        <v>0</v>
      </c>
      <c r="W21">
        <f>SUMIF(DeadRaw!$B:$B,$B21,DeadRaw!Y:Y)</f>
        <v>0</v>
      </c>
      <c r="X21">
        <f>SUMIF(DeadRaw!$B:$B,$B21,DeadRaw!Z:Z)</f>
        <v>0</v>
      </c>
      <c r="Y21">
        <f>SUMIF(DeadRaw!$B:$B,$B21,DeadRaw!AA:AA)</f>
        <v>0</v>
      </c>
      <c r="Z21">
        <f>SUMIF(DeadRaw!$B:$B,$B21,DeadRaw!AB:AB)</f>
        <v>0</v>
      </c>
      <c r="AA21">
        <f>SUMIF(DeadRaw!$B:$B,$B21,DeadRaw!AC:AC)</f>
        <v>0</v>
      </c>
      <c r="AB21">
        <f>SUMIF(DeadRaw!$B:$B,$B21,DeadRaw!AD:AD)</f>
        <v>0</v>
      </c>
      <c r="AC21">
        <f>SUMIF(DeadRaw!$B:$B,$B21,DeadRaw!AE:AE)</f>
        <v>0</v>
      </c>
      <c r="AD21">
        <f>SUMIF(DeadRaw!$B:$B,$B21,DeadRaw!AF:AF)</f>
        <v>0</v>
      </c>
      <c r="AE21">
        <f>SUMIF(DeadRaw!$B:$B,$B21,DeadRaw!AG:AG)</f>
        <v>0</v>
      </c>
      <c r="AF21">
        <f>SUMIF(DeadRaw!$B:$B,$B21,DeadRaw!AH:AH)</f>
        <v>0</v>
      </c>
      <c r="AG21">
        <f>SUMIF(DeadRaw!$B:$B,$B21,DeadRaw!AI:AI)</f>
        <v>0</v>
      </c>
      <c r="AH21">
        <f>SUMIF(DeadRaw!$B:$B,$B21,DeadRaw!AJ:AJ)</f>
        <v>0</v>
      </c>
      <c r="AI21">
        <f>SUMIF(DeadRaw!$B:$B,$B21,DeadRaw!AK:AK)</f>
        <v>0</v>
      </c>
      <c r="AJ21">
        <f>SUMIF(DeadRaw!$B:$B,$B21,DeadRaw!AL:AL)</f>
        <v>0</v>
      </c>
      <c r="AK21">
        <f>SUMIF(DeadRaw!$B:$B,$B21,DeadRaw!AM:AM)</f>
        <v>0</v>
      </c>
      <c r="AL21">
        <f>SUMIF(DeadRaw!$B:$B,$B21,DeadRaw!AN:AN)</f>
        <v>0</v>
      </c>
      <c r="AM21">
        <f>SUMIF(DeadRaw!$B:$B,$B21,DeadRaw!AO:AO)</f>
        <v>0</v>
      </c>
      <c r="AN21">
        <f>SUMIF(DeadRaw!$B:$B,$B21,DeadRaw!AP:AP)</f>
        <v>0</v>
      </c>
      <c r="AO21">
        <f>SUMIF(DeadRaw!$B:$B,$B21,DeadRaw!AQ:AQ)</f>
        <v>0</v>
      </c>
      <c r="AP21">
        <f>SUMIF(DeadRaw!$B:$B,$B21,DeadRaw!AR:AR)</f>
        <v>1</v>
      </c>
      <c r="AQ21">
        <f>SUMIF(DeadRaw!$B:$B,$B21,DeadRaw!AS:AS)</f>
        <v>1</v>
      </c>
      <c r="AR21">
        <f>SUMIF(DeadRaw!$B:$B,$B21,DeadRaw!AT:AT)</f>
        <v>1</v>
      </c>
      <c r="AS21">
        <f>SUMIF(DeadRaw!$B:$B,$B21,DeadRaw!AU:AU)</f>
        <v>2</v>
      </c>
      <c r="AT21">
        <f>SUMIF(DeadRaw!$B:$B,$B21,DeadRaw!AV:AV)</f>
        <v>2</v>
      </c>
      <c r="AU21">
        <f>SUMIF(DeadRaw!$B:$B,$B21,DeadRaw!AW:AW)</f>
        <v>2</v>
      </c>
      <c r="AV21">
        <f>SUMIF(DeadRaw!$B:$B,$B21,DeadRaw!AX:AX)</f>
        <v>2</v>
      </c>
      <c r="AW21">
        <f>SUMIF(DeadRaw!$B:$B,$B21,DeadRaw!AY:AY)</f>
        <v>3</v>
      </c>
      <c r="AX21">
        <f>SUMIF(DeadRaw!$B:$B,$B21,DeadRaw!AZ:AZ)</f>
        <v>3</v>
      </c>
      <c r="AY21">
        <f>SUMIF(DeadRaw!$B:$B,$B21,DeadRaw!BA:BA)</f>
        <v>3</v>
      </c>
      <c r="AZ21">
        <f>SUMIF(DeadRaw!$B:$B,$B21,DeadRaw!BB:BB)</f>
        <v>3</v>
      </c>
      <c r="BA21">
        <f>SUMIF(DeadRaw!$B:$B,$B21,DeadRaw!BC:BC)</f>
        <v>3</v>
      </c>
      <c r="BB21">
        <f>SUMIF(DeadRaw!$B:$B,$B21,DeadRaw!BD:BD)</f>
        <v>3</v>
      </c>
      <c r="BC21">
        <f>SUMIF(DeadRaw!$B:$B,$B21,DeadRaw!BE:BE)</f>
        <v>3</v>
      </c>
      <c r="BD21">
        <f>SUMIF(DeadRaw!$B:$B,$B21,DeadRaw!BF:BF)</f>
        <v>3</v>
      </c>
      <c r="BE21">
        <f>SUMIF(DeadRaw!$B:$B,$B21,DeadRaw!BG:BG)</f>
        <v>3</v>
      </c>
      <c r="BF21">
        <f>SUMIF(DeadRaw!$B:$B,$B21,DeadRaw!BH:BH)</f>
        <v>5</v>
      </c>
      <c r="BG21">
        <f>SUMIF(DeadRaw!$B:$B,$B21,DeadRaw!BI:BI)</f>
        <v>6</v>
      </c>
      <c r="BH21">
        <f>SUMIF(DeadRaw!$B:$B,$B21,DeadRaw!BJ:BJ)</f>
        <v>6</v>
      </c>
      <c r="BI21">
        <f>SUMIF(DeadRaw!$B:$B,$B21,DeadRaw!BK:BK)</f>
        <v>7</v>
      </c>
      <c r="BJ21">
        <f>SUMIF(DeadRaw!$B:$B,$B21,DeadRaw!BL:BL)</f>
        <v>7</v>
      </c>
      <c r="BK21">
        <f>SUMIF(DeadRaw!$B:$B,$B21,DeadRaw!BM:BM)</f>
        <v>7</v>
      </c>
      <c r="BL21">
        <f>SUMIF(DeadRaw!$B:$B,$B21,DeadRaw!BN:BN)</f>
        <v>7</v>
      </c>
      <c r="BM21">
        <f>SUMIF(DeadRaw!$B:$B,$B21,DeadRaw!BO:BO)</f>
        <v>8</v>
      </c>
      <c r="BN21">
        <f>SUMIF(DeadRaw!$B:$B,$B21,DeadRaw!BP:BP)</f>
        <v>8</v>
      </c>
      <c r="BO21">
        <f>SUMIF(DeadRaw!$B:$B,$B21,DeadRaw!BQ:BQ)</f>
        <v>13</v>
      </c>
      <c r="BP21">
        <f>SUMIF(DeadRaw!$B:$B,$B21,DeadRaw!BR:BR)</f>
        <v>13</v>
      </c>
      <c r="BQ21">
        <f>SUMIF(DeadRaw!$B:$B,$B21,DeadRaw!BS:BS)</f>
        <v>14</v>
      </c>
      <c r="BR21">
        <f>SUMIF(DeadRaw!$B:$B,$B21,DeadRaw!BT:BT)</f>
        <v>0</v>
      </c>
      <c r="BS21">
        <f>SUMIF(DeadRaw!$B:$B,$B21,DeadRaw!BU:BU)</f>
        <v>0</v>
      </c>
      <c r="BT21">
        <f>SUMIF(DeadRaw!$B:$B,$B21,DeadRaw!BV:BV)</f>
        <v>0</v>
      </c>
      <c r="BU21">
        <f>SUMIF(DeadRaw!$B:$B,$B21,DeadRaw!BW:BW)</f>
        <v>0</v>
      </c>
    </row>
    <row r="22" spans="1:73" ht="15" thickBot="1" x14ac:dyDescent="0.35">
      <c r="A22" s="97" t="str">
        <f>VLOOKUP(B22,Country_Data!B:Q,16,FALSE)</f>
        <v>Asia</v>
      </c>
      <c r="B22" s="3" t="s">
        <v>40</v>
      </c>
      <c r="C22">
        <f>SUMIF(DeadRaw!$B:$B,$B22,DeadRaw!E:E)</f>
        <v>0</v>
      </c>
      <c r="D22">
        <f>SUMIF(DeadRaw!$B:$B,$B22,DeadRaw!F:F)</f>
        <v>0</v>
      </c>
      <c r="E22">
        <f>SUMIF(DeadRaw!$B:$B,$B22,DeadRaw!G:G)</f>
        <v>0</v>
      </c>
      <c r="F22">
        <f>SUMIF(DeadRaw!$B:$B,$B22,DeadRaw!H:H)</f>
        <v>0</v>
      </c>
      <c r="G22">
        <f>SUMIF(DeadRaw!$B:$B,$B22,DeadRaw!I:I)</f>
        <v>0</v>
      </c>
      <c r="H22">
        <f>SUMIF(DeadRaw!$B:$B,$B22,DeadRaw!J:J)</f>
        <v>0</v>
      </c>
      <c r="I22">
        <f>SUMIF(DeadRaw!$B:$B,$B22,DeadRaw!K:K)</f>
        <v>0</v>
      </c>
      <c r="J22">
        <f>SUMIF(DeadRaw!$B:$B,$B22,DeadRaw!L:L)</f>
        <v>0</v>
      </c>
      <c r="K22">
        <f>SUMIF(DeadRaw!$B:$B,$B22,DeadRaw!M:M)</f>
        <v>0</v>
      </c>
      <c r="L22">
        <f>SUMIF(DeadRaw!$B:$B,$B22,DeadRaw!N:N)</f>
        <v>0</v>
      </c>
      <c r="M22">
        <f>SUMIF(DeadRaw!$B:$B,$B22,DeadRaw!O:O)</f>
        <v>0</v>
      </c>
      <c r="N22">
        <f>SUMIF(DeadRaw!$B:$B,$B22,DeadRaw!P:P)</f>
        <v>0</v>
      </c>
      <c r="O22">
        <f>SUMIF(DeadRaw!$B:$B,$B22,DeadRaw!Q:Q)</f>
        <v>0</v>
      </c>
      <c r="P22">
        <f>SUMIF(DeadRaw!$B:$B,$B22,DeadRaw!R:R)</f>
        <v>0</v>
      </c>
      <c r="Q22">
        <f>SUMIF(DeadRaw!$B:$B,$B22,DeadRaw!S:S)</f>
        <v>0</v>
      </c>
      <c r="R22">
        <f>SUMIF(DeadRaw!$B:$B,$B22,DeadRaw!T:T)</f>
        <v>0</v>
      </c>
      <c r="S22">
        <f>SUMIF(DeadRaw!$B:$B,$B22,DeadRaw!U:U)</f>
        <v>0</v>
      </c>
      <c r="T22">
        <f>SUMIF(DeadRaw!$B:$B,$B22,DeadRaw!V:V)</f>
        <v>0</v>
      </c>
      <c r="U22">
        <f>SUMIF(DeadRaw!$B:$B,$B22,DeadRaw!W:W)</f>
        <v>0</v>
      </c>
      <c r="V22">
        <f>SUMIF(DeadRaw!$B:$B,$B22,DeadRaw!X:X)</f>
        <v>0</v>
      </c>
      <c r="W22">
        <f>SUMIF(DeadRaw!$B:$B,$B22,DeadRaw!Y:Y)</f>
        <v>0</v>
      </c>
      <c r="X22">
        <f>SUMIF(DeadRaw!$B:$B,$B22,DeadRaw!Z:Z)</f>
        <v>0</v>
      </c>
      <c r="Y22">
        <f>SUMIF(DeadRaw!$B:$B,$B22,DeadRaw!AA:AA)</f>
        <v>0</v>
      </c>
      <c r="Z22">
        <f>SUMIF(DeadRaw!$B:$B,$B22,DeadRaw!AB:AB)</f>
        <v>0</v>
      </c>
      <c r="AA22">
        <f>SUMIF(DeadRaw!$B:$B,$B22,DeadRaw!AC:AC)</f>
        <v>0</v>
      </c>
      <c r="AB22">
        <f>SUMIF(DeadRaw!$B:$B,$B22,DeadRaw!AD:AD)</f>
        <v>0</v>
      </c>
      <c r="AC22">
        <f>SUMIF(DeadRaw!$B:$B,$B22,DeadRaw!AE:AE)</f>
        <v>0</v>
      </c>
      <c r="AD22">
        <f>SUMIF(DeadRaw!$B:$B,$B22,DeadRaw!AF:AF)</f>
        <v>0</v>
      </c>
      <c r="AE22">
        <f>SUMIF(DeadRaw!$B:$B,$B22,DeadRaw!AG:AG)</f>
        <v>0</v>
      </c>
      <c r="AF22">
        <f>SUMIF(DeadRaw!$B:$B,$B22,DeadRaw!AH:AH)</f>
        <v>0</v>
      </c>
      <c r="AG22">
        <f>SUMIF(DeadRaw!$B:$B,$B22,DeadRaw!AI:AI)</f>
        <v>0</v>
      </c>
      <c r="AH22">
        <f>SUMIF(DeadRaw!$B:$B,$B22,DeadRaw!AJ:AJ)</f>
        <v>0</v>
      </c>
      <c r="AI22">
        <f>SUMIF(DeadRaw!$B:$B,$B22,DeadRaw!AK:AK)</f>
        <v>0</v>
      </c>
      <c r="AJ22">
        <f>SUMIF(DeadRaw!$B:$B,$B22,DeadRaw!AL:AL)</f>
        <v>0</v>
      </c>
      <c r="AK22">
        <f>SUMIF(DeadRaw!$B:$B,$B22,DeadRaw!AM:AM)</f>
        <v>0</v>
      </c>
      <c r="AL22">
        <f>SUMIF(DeadRaw!$B:$B,$B22,DeadRaw!AN:AN)</f>
        <v>0</v>
      </c>
      <c r="AM22">
        <f>SUMIF(DeadRaw!$B:$B,$B22,DeadRaw!AO:AO)</f>
        <v>0</v>
      </c>
      <c r="AN22">
        <f>SUMIF(DeadRaw!$B:$B,$B22,DeadRaw!AP:AP)</f>
        <v>0</v>
      </c>
      <c r="AO22">
        <f>SUMIF(DeadRaw!$B:$B,$B22,DeadRaw!AQ:AQ)</f>
        <v>0</v>
      </c>
      <c r="AP22">
        <f>SUMIF(DeadRaw!$B:$B,$B22,DeadRaw!AR:AR)</f>
        <v>0</v>
      </c>
      <c r="AQ22">
        <f>SUMIF(DeadRaw!$B:$B,$B22,DeadRaw!AS:AS)</f>
        <v>0</v>
      </c>
      <c r="AR22">
        <f>SUMIF(DeadRaw!$B:$B,$B22,DeadRaw!AT:AT)</f>
        <v>0</v>
      </c>
      <c r="AS22">
        <f>SUMIF(DeadRaw!$B:$B,$B22,DeadRaw!AU:AU)</f>
        <v>0</v>
      </c>
      <c r="AT22">
        <f>SUMIF(DeadRaw!$B:$B,$B22,DeadRaw!AV:AV)</f>
        <v>0</v>
      </c>
      <c r="AU22">
        <f>SUMIF(DeadRaw!$B:$B,$B22,DeadRaw!AW:AW)</f>
        <v>0</v>
      </c>
      <c r="AV22">
        <f>SUMIF(DeadRaw!$B:$B,$B22,DeadRaw!AX:AX)</f>
        <v>0</v>
      </c>
      <c r="AW22">
        <f>SUMIF(DeadRaw!$B:$B,$B22,DeadRaw!AY:AY)</f>
        <v>0</v>
      </c>
      <c r="AX22">
        <f>SUMIF(DeadRaw!$B:$B,$B22,DeadRaw!AZ:AZ)</f>
        <v>0</v>
      </c>
      <c r="AY22">
        <f>SUMIF(DeadRaw!$B:$B,$B22,DeadRaw!BA:BA)</f>
        <v>0</v>
      </c>
      <c r="AZ22">
        <f>SUMIF(DeadRaw!$B:$B,$B22,DeadRaw!BB:BB)</f>
        <v>0</v>
      </c>
      <c r="BA22">
        <f>SUMIF(DeadRaw!$B:$B,$B22,DeadRaw!BC:BC)</f>
        <v>0</v>
      </c>
      <c r="BB22">
        <f>SUMIF(DeadRaw!$B:$B,$B22,DeadRaw!BD:BD)</f>
        <v>0</v>
      </c>
      <c r="BC22">
        <f>SUMIF(DeadRaw!$B:$B,$B22,DeadRaw!BE:BE)</f>
        <v>0</v>
      </c>
      <c r="BD22">
        <f>SUMIF(DeadRaw!$B:$B,$B22,DeadRaw!BF:BF)</f>
        <v>0</v>
      </c>
      <c r="BE22">
        <f>SUMIF(DeadRaw!$B:$B,$B22,DeadRaw!BG:BG)</f>
        <v>0</v>
      </c>
      <c r="BF22">
        <f>SUMIF(DeadRaw!$B:$B,$B22,DeadRaw!BH:BH)</f>
        <v>0</v>
      </c>
      <c r="BG22">
        <f>SUMIF(DeadRaw!$B:$B,$B22,DeadRaw!BI:BI)</f>
        <v>0</v>
      </c>
      <c r="BH22">
        <f>SUMIF(DeadRaw!$B:$B,$B22,DeadRaw!BJ:BJ)</f>
        <v>0</v>
      </c>
      <c r="BI22">
        <f>SUMIF(DeadRaw!$B:$B,$B22,DeadRaw!BK:BK)</f>
        <v>0</v>
      </c>
      <c r="BJ22">
        <f>SUMIF(DeadRaw!$B:$B,$B22,DeadRaw!BL:BL)</f>
        <v>2</v>
      </c>
      <c r="BK22">
        <f>SUMIF(DeadRaw!$B:$B,$B22,DeadRaw!BM:BM)</f>
        <v>2</v>
      </c>
      <c r="BL22">
        <f>SUMIF(DeadRaw!$B:$B,$B22,DeadRaw!BN:BN)</f>
        <v>2</v>
      </c>
      <c r="BM22">
        <f>SUMIF(DeadRaw!$B:$B,$B22,DeadRaw!BO:BO)</f>
        <v>2</v>
      </c>
      <c r="BN22">
        <f>SUMIF(DeadRaw!$B:$B,$B22,DeadRaw!BP:BP)</f>
        <v>2</v>
      </c>
      <c r="BO22">
        <f>SUMIF(DeadRaw!$B:$B,$B22,DeadRaw!BQ:BQ)</f>
        <v>2</v>
      </c>
      <c r="BP22">
        <f>SUMIF(DeadRaw!$B:$B,$B22,DeadRaw!BR:BR)</f>
        <v>2</v>
      </c>
      <c r="BQ22">
        <f>SUMIF(DeadRaw!$B:$B,$B22,DeadRaw!BS:BS)</f>
        <v>2</v>
      </c>
      <c r="BR22">
        <f>SUMIF(DeadRaw!$B:$B,$B22,DeadRaw!BT:BT)</f>
        <v>0</v>
      </c>
      <c r="BS22">
        <f>SUMIF(DeadRaw!$B:$B,$B22,DeadRaw!BU:BU)</f>
        <v>0</v>
      </c>
      <c r="BT22">
        <f>SUMIF(DeadRaw!$B:$B,$B22,DeadRaw!BV:BV)</f>
        <v>0</v>
      </c>
      <c r="BU22">
        <f>SUMIF(DeadRaw!$B:$B,$B22,DeadRaw!BW:BW)</f>
        <v>0</v>
      </c>
    </row>
    <row r="23" spans="1:73" ht="15" thickBot="1" x14ac:dyDescent="0.35">
      <c r="A23" s="97" t="str">
        <f>VLOOKUP(B23,Country_Data!B:Q,16,FALSE)</f>
        <v>Asia</v>
      </c>
      <c r="B23" s="3" t="s">
        <v>43</v>
      </c>
      <c r="C23">
        <f>SUMIF(DeadRaw!$B:$B,$B23,DeadRaw!E:E)</f>
        <v>0</v>
      </c>
      <c r="D23">
        <f>SUMIF(DeadRaw!$B:$B,$B23,DeadRaw!F:F)</f>
        <v>0</v>
      </c>
      <c r="E23">
        <f>SUMIF(DeadRaw!$B:$B,$B23,DeadRaw!G:G)</f>
        <v>0</v>
      </c>
      <c r="F23">
        <f>SUMIF(DeadRaw!$B:$B,$B23,DeadRaw!H:H)</f>
        <v>0</v>
      </c>
      <c r="G23">
        <f>SUMIF(DeadRaw!$B:$B,$B23,DeadRaw!I:I)</f>
        <v>0</v>
      </c>
      <c r="H23">
        <f>SUMIF(DeadRaw!$B:$B,$B23,DeadRaw!J:J)</f>
        <v>0</v>
      </c>
      <c r="I23">
        <f>SUMIF(DeadRaw!$B:$B,$B23,DeadRaw!K:K)</f>
        <v>0</v>
      </c>
      <c r="J23">
        <f>SUMIF(DeadRaw!$B:$B,$B23,DeadRaw!L:L)</f>
        <v>0</v>
      </c>
      <c r="K23">
        <f>SUMIF(DeadRaw!$B:$B,$B23,DeadRaw!M:M)</f>
        <v>0</v>
      </c>
      <c r="L23">
        <f>SUMIF(DeadRaw!$B:$B,$B23,DeadRaw!N:N)</f>
        <v>0</v>
      </c>
      <c r="M23">
        <f>SUMIF(DeadRaw!$B:$B,$B23,DeadRaw!O:O)</f>
        <v>0</v>
      </c>
      <c r="N23">
        <f>SUMIF(DeadRaw!$B:$B,$B23,DeadRaw!P:P)</f>
        <v>0</v>
      </c>
      <c r="O23">
        <f>SUMIF(DeadRaw!$B:$B,$B23,DeadRaw!Q:Q)</f>
        <v>0</v>
      </c>
      <c r="P23">
        <f>SUMIF(DeadRaw!$B:$B,$B23,DeadRaw!R:R)</f>
        <v>0</v>
      </c>
      <c r="Q23">
        <f>SUMIF(DeadRaw!$B:$B,$B23,DeadRaw!S:S)</f>
        <v>0</v>
      </c>
      <c r="R23">
        <f>SUMIF(DeadRaw!$B:$B,$B23,DeadRaw!T:T)</f>
        <v>0</v>
      </c>
      <c r="S23">
        <f>SUMIF(DeadRaw!$B:$B,$B23,DeadRaw!U:U)</f>
        <v>0</v>
      </c>
      <c r="T23">
        <f>SUMIF(DeadRaw!$B:$B,$B23,DeadRaw!V:V)</f>
        <v>0</v>
      </c>
      <c r="U23">
        <f>SUMIF(DeadRaw!$B:$B,$B23,DeadRaw!W:W)</f>
        <v>0</v>
      </c>
      <c r="V23">
        <f>SUMIF(DeadRaw!$B:$B,$B23,DeadRaw!X:X)</f>
        <v>0</v>
      </c>
      <c r="W23">
        <f>SUMIF(DeadRaw!$B:$B,$B23,DeadRaw!Y:Y)</f>
        <v>0</v>
      </c>
      <c r="X23">
        <f>SUMIF(DeadRaw!$B:$B,$B23,DeadRaw!Z:Z)</f>
        <v>0</v>
      </c>
      <c r="Y23">
        <f>SUMIF(DeadRaw!$B:$B,$B23,DeadRaw!AA:AA)</f>
        <v>0</v>
      </c>
      <c r="Z23">
        <f>SUMIF(DeadRaw!$B:$B,$B23,DeadRaw!AB:AB)</f>
        <v>0</v>
      </c>
      <c r="AA23">
        <f>SUMIF(DeadRaw!$B:$B,$B23,DeadRaw!AC:AC)</f>
        <v>0</v>
      </c>
      <c r="AB23">
        <f>SUMIF(DeadRaw!$B:$B,$B23,DeadRaw!AD:AD)</f>
        <v>0</v>
      </c>
      <c r="AC23">
        <f>SUMIF(DeadRaw!$B:$B,$B23,DeadRaw!AE:AE)</f>
        <v>0</v>
      </c>
      <c r="AD23">
        <f>SUMIF(DeadRaw!$B:$B,$B23,DeadRaw!AF:AF)</f>
        <v>0</v>
      </c>
      <c r="AE23">
        <f>SUMIF(DeadRaw!$B:$B,$B23,DeadRaw!AG:AG)</f>
        <v>0</v>
      </c>
      <c r="AF23">
        <f>SUMIF(DeadRaw!$B:$B,$B23,DeadRaw!AH:AH)</f>
        <v>0</v>
      </c>
      <c r="AG23">
        <f>SUMIF(DeadRaw!$B:$B,$B23,DeadRaw!AI:AI)</f>
        <v>0</v>
      </c>
      <c r="AH23">
        <f>SUMIF(DeadRaw!$B:$B,$B23,DeadRaw!AJ:AJ)</f>
        <v>0</v>
      </c>
      <c r="AI23">
        <f>SUMIF(DeadRaw!$B:$B,$B23,DeadRaw!AK:AK)</f>
        <v>0</v>
      </c>
      <c r="AJ23">
        <f>SUMIF(DeadRaw!$B:$B,$B23,DeadRaw!AL:AL)</f>
        <v>0</v>
      </c>
      <c r="AK23">
        <f>SUMIF(DeadRaw!$B:$B,$B23,DeadRaw!AM:AM)</f>
        <v>0</v>
      </c>
      <c r="AL23">
        <f>SUMIF(DeadRaw!$B:$B,$B23,DeadRaw!AN:AN)</f>
        <v>0</v>
      </c>
      <c r="AM23">
        <f>SUMIF(DeadRaw!$B:$B,$B23,DeadRaw!AO:AO)</f>
        <v>0</v>
      </c>
      <c r="AN23">
        <f>SUMIF(DeadRaw!$B:$B,$B23,DeadRaw!AP:AP)</f>
        <v>0</v>
      </c>
      <c r="AO23">
        <f>SUMIF(DeadRaw!$B:$B,$B23,DeadRaw!AQ:AQ)</f>
        <v>0</v>
      </c>
      <c r="AP23">
        <f>SUMIF(DeadRaw!$B:$B,$B23,DeadRaw!AR:AR)</f>
        <v>0</v>
      </c>
      <c r="AQ23">
        <f>SUMIF(DeadRaw!$B:$B,$B23,DeadRaw!AS:AS)</f>
        <v>0</v>
      </c>
      <c r="AR23">
        <f>SUMIF(DeadRaw!$B:$B,$B23,DeadRaw!AT:AT)</f>
        <v>0</v>
      </c>
      <c r="AS23">
        <f>SUMIF(DeadRaw!$B:$B,$B23,DeadRaw!AU:AU)</f>
        <v>0</v>
      </c>
      <c r="AT23">
        <f>SUMIF(DeadRaw!$B:$B,$B23,DeadRaw!AV:AV)</f>
        <v>0</v>
      </c>
      <c r="AU23">
        <f>SUMIF(DeadRaw!$B:$B,$B23,DeadRaw!AW:AW)</f>
        <v>0</v>
      </c>
      <c r="AV23">
        <f>SUMIF(DeadRaw!$B:$B,$B23,DeadRaw!AX:AX)</f>
        <v>0</v>
      </c>
      <c r="AW23">
        <f>SUMIF(DeadRaw!$B:$B,$B23,DeadRaw!AY:AY)</f>
        <v>0</v>
      </c>
      <c r="AX23">
        <f>SUMIF(DeadRaw!$B:$B,$B23,DeadRaw!AZ:AZ)</f>
        <v>0</v>
      </c>
      <c r="AY23">
        <f>SUMIF(DeadRaw!$B:$B,$B23,DeadRaw!BA:BA)</f>
        <v>0</v>
      </c>
      <c r="AZ23">
        <f>SUMIF(DeadRaw!$B:$B,$B23,DeadRaw!BB:BB)</f>
        <v>0</v>
      </c>
      <c r="BA23">
        <f>SUMIF(DeadRaw!$B:$B,$B23,DeadRaw!BC:BC)</f>
        <v>0</v>
      </c>
      <c r="BB23">
        <f>SUMIF(DeadRaw!$B:$B,$B23,DeadRaw!BD:BD)</f>
        <v>0</v>
      </c>
      <c r="BC23">
        <f>SUMIF(DeadRaw!$B:$B,$B23,DeadRaw!BE:BE)</f>
        <v>0</v>
      </c>
      <c r="BD23">
        <f>SUMIF(DeadRaw!$B:$B,$B23,DeadRaw!BF:BF)</f>
        <v>0</v>
      </c>
      <c r="BE23">
        <f>SUMIF(DeadRaw!$B:$B,$B23,DeadRaw!BG:BG)</f>
        <v>0</v>
      </c>
      <c r="BF23">
        <f>SUMIF(DeadRaw!$B:$B,$B23,DeadRaw!BH:BH)</f>
        <v>2</v>
      </c>
      <c r="BG23">
        <f>SUMIF(DeadRaw!$B:$B,$B23,DeadRaw!BI:BI)</f>
        <v>2</v>
      </c>
      <c r="BH23">
        <f>SUMIF(DeadRaw!$B:$B,$B23,DeadRaw!BJ:BJ)</f>
        <v>2</v>
      </c>
      <c r="BI23">
        <f>SUMIF(DeadRaw!$B:$B,$B23,DeadRaw!BK:BK)</f>
        <v>3</v>
      </c>
      <c r="BJ23">
        <f>SUMIF(DeadRaw!$B:$B,$B23,DeadRaw!BL:BL)</f>
        <v>4</v>
      </c>
      <c r="BK23">
        <f>SUMIF(DeadRaw!$B:$B,$B23,DeadRaw!BM:BM)</f>
        <v>10</v>
      </c>
      <c r="BL23">
        <f>SUMIF(DeadRaw!$B:$B,$B23,DeadRaw!BN:BN)</f>
        <v>14</v>
      </c>
      <c r="BM23">
        <f>SUMIF(DeadRaw!$B:$B,$B23,DeadRaw!BO:BO)</f>
        <v>16</v>
      </c>
      <c r="BN23">
        <f>SUMIF(DeadRaw!$B:$B,$B23,DeadRaw!BP:BP)</f>
        <v>20</v>
      </c>
      <c r="BO23">
        <f>SUMIF(DeadRaw!$B:$B,$B23,DeadRaw!BQ:BQ)</f>
        <v>23</v>
      </c>
      <c r="BP23">
        <f>SUMIF(DeadRaw!$B:$B,$B23,DeadRaw!BR:BR)</f>
        <v>26</v>
      </c>
      <c r="BQ23">
        <f>SUMIF(DeadRaw!$B:$B,$B23,DeadRaw!BS:BS)</f>
        <v>27</v>
      </c>
      <c r="BR23">
        <f>SUMIF(DeadRaw!$B:$B,$B23,DeadRaw!BT:BT)</f>
        <v>0</v>
      </c>
      <c r="BS23">
        <f>SUMIF(DeadRaw!$B:$B,$B23,DeadRaw!BU:BU)</f>
        <v>0</v>
      </c>
      <c r="BT23">
        <f>SUMIF(DeadRaw!$B:$B,$B23,DeadRaw!BV:BV)</f>
        <v>0</v>
      </c>
      <c r="BU23">
        <f>SUMIF(DeadRaw!$B:$B,$B23,DeadRaw!BW:BW)</f>
        <v>0</v>
      </c>
    </row>
    <row r="24" spans="1:73" ht="15" thickBot="1" x14ac:dyDescent="0.35">
      <c r="A24" s="97" t="str">
        <f>VLOOKUP(B24,Country_Data!B:Q,16,FALSE)</f>
        <v>North America</v>
      </c>
      <c r="B24" s="4" t="s">
        <v>45</v>
      </c>
      <c r="C24">
        <f>SUMIF(DeadRaw!$B:$B,$B24,DeadRaw!E:E)</f>
        <v>0</v>
      </c>
      <c r="D24">
        <f>SUMIF(DeadRaw!$B:$B,$B24,DeadRaw!F:F)</f>
        <v>0</v>
      </c>
      <c r="E24">
        <f>SUMIF(DeadRaw!$B:$B,$B24,DeadRaw!G:G)</f>
        <v>0</v>
      </c>
      <c r="F24">
        <f>SUMIF(DeadRaw!$B:$B,$B24,DeadRaw!H:H)</f>
        <v>0</v>
      </c>
      <c r="G24">
        <f>SUMIF(DeadRaw!$B:$B,$B24,DeadRaw!I:I)</f>
        <v>0</v>
      </c>
      <c r="H24">
        <f>SUMIF(DeadRaw!$B:$B,$B24,DeadRaw!J:J)</f>
        <v>0</v>
      </c>
      <c r="I24">
        <f>SUMIF(DeadRaw!$B:$B,$B24,DeadRaw!K:K)</f>
        <v>0</v>
      </c>
      <c r="J24">
        <f>SUMIF(DeadRaw!$B:$B,$B24,DeadRaw!L:L)</f>
        <v>0</v>
      </c>
      <c r="K24">
        <f>SUMIF(DeadRaw!$B:$B,$B24,DeadRaw!M:M)</f>
        <v>0</v>
      </c>
      <c r="L24">
        <f>SUMIF(DeadRaw!$B:$B,$B24,DeadRaw!N:N)</f>
        <v>0</v>
      </c>
      <c r="M24">
        <f>SUMIF(DeadRaw!$B:$B,$B24,DeadRaw!O:O)</f>
        <v>0</v>
      </c>
      <c r="N24">
        <f>SUMIF(DeadRaw!$B:$B,$B24,DeadRaw!P:P)</f>
        <v>0</v>
      </c>
      <c r="O24">
        <f>SUMIF(DeadRaw!$B:$B,$B24,DeadRaw!Q:Q)</f>
        <v>0</v>
      </c>
      <c r="P24">
        <f>SUMIF(DeadRaw!$B:$B,$B24,DeadRaw!R:R)</f>
        <v>0</v>
      </c>
      <c r="Q24">
        <f>SUMIF(DeadRaw!$B:$B,$B24,DeadRaw!S:S)</f>
        <v>0</v>
      </c>
      <c r="R24">
        <f>SUMIF(DeadRaw!$B:$B,$B24,DeadRaw!T:T)</f>
        <v>0</v>
      </c>
      <c r="S24">
        <f>SUMIF(DeadRaw!$B:$B,$B24,DeadRaw!U:U)</f>
        <v>0</v>
      </c>
      <c r="T24">
        <f>SUMIF(DeadRaw!$B:$B,$B24,DeadRaw!V:V)</f>
        <v>0</v>
      </c>
      <c r="U24">
        <f>SUMIF(DeadRaw!$B:$B,$B24,DeadRaw!W:W)</f>
        <v>0</v>
      </c>
      <c r="V24">
        <f>SUMIF(DeadRaw!$B:$B,$B24,DeadRaw!X:X)</f>
        <v>0</v>
      </c>
      <c r="W24">
        <f>SUMIF(DeadRaw!$B:$B,$B24,DeadRaw!Y:Y)</f>
        <v>0</v>
      </c>
      <c r="X24">
        <f>SUMIF(DeadRaw!$B:$B,$B24,DeadRaw!Z:Z)</f>
        <v>0</v>
      </c>
      <c r="Y24">
        <f>SUMIF(DeadRaw!$B:$B,$B24,DeadRaw!AA:AA)</f>
        <v>0</v>
      </c>
      <c r="Z24">
        <f>SUMIF(DeadRaw!$B:$B,$B24,DeadRaw!AB:AB)</f>
        <v>0</v>
      </c>
      <c r="AA24">
        <f>SUMIF(DeadRaw!$B:$B,$B24,DeadRaw!AC:AC)</f>
        <v>0</v>
      </c>
      <c r="AB24">
        <f>SUMIF(DeadRaw!$B:$B,$B24,DeadRaw!AD:AD)</f>
        <v>0</v>
      </c>
      <c r="AC24">
        <f>SUMIF(DeadRaw!$B:$B,$B24,DeadRaw!AE:AE)</f>
        <v>0</v>
      </c>
      <c r="AD24">
        <f>SUMIF(DeadRaw!$B:$B,$B24,DeadRaw!AF:AF)</f>
        <v>0</v>
      </c>
      <c r="AE24">
        <f>SUMIF(DeadRaw!$B:$B,$B24,DeadRaw!AG:AG)</f>
        <v>0</v>
      </c>
      <c r="AF24">
        <f>SUMIF(DeadRaw!$B:$B,$B24,DeadRaw!AH:AH)</f>
        <v>0</v>
      </c>
      <c r="AG24">
        <f>SUMIF(DeadRaw!$B:$B,$B24,DeadRaw!AI:AI)</f>
        <v>0</v>
      </c>
      <c r="AH24">
        <f>SUMIF(DeadRaw!$B:$B,$B24,DeadRaw!AJ:AJ)</f>
        <v>0</v>
      </c>
      <c r="AI24">
        <f>SUMIF(DeadRaw!$B:$B,$B24,DeadRaw!AK:AK)</f>
        <v>0</v>
      </c>
      <c r="AJ24">
        <f>SUMIF(DeadRaw!$B:$B,$B24,DeadRaw!AL:AL)</f>
        <v>0</v>
      </c>
      <c r="AK24">
        <f>SUMIF(DeadRaw!$B:$B,$B24,DeadRaw!AM:AM)</f>
        <v>0</v>
      </c>
      <c r="AL24">
        <f>SUMIF(DeadRaw!$B:$B,$B24,DeadRaw!AN:AN)</f>
        <v>0</v>
      </c>
      <c r="AM24">
        <f>SUMIF(DeadRaw!$B:$B,$B24,DeadRaw!AO:AO)</f>
        <v>0</v>
      </c>
      <c r="AN24">
        <f>SUMIF(DeadRaw!$B:$B,$B24,DeadRaw!AP:AP)</f>
        <v>0</v>
      </c>
      <c r="AO24">
        <f>SUMIF(DeadRaw!$B:$B,$B24,DeadRaw!AQ:AQ)</f>
        <v>0</v>
      </c>
      <c r="AP24">
        <f>SUMIF(DeadRaw!$B:$B,$B24,DeadRaw!AR:AR)</f>
        <v>0</v>
      </c>
      <c r="AQ24">
        <f>SUMIF(DeadRaw!$B:$B,$B24,DeadRaw!AS:AS)</f>
        <v>0</v>
      </c>
      <c r="AR24">
        <f>SUMIF(DeadRaw!$B:$B,$B24,DeadRaw!AT:AT)</f>
        <v>0</v>
      </c>
      <c r="AS24">
        <f>SUMIF(DeadRaw!$B:$B,$B24,DeadRaw!AU:AU)</f>
        <v>0</v>
      </c>
      <c r="AT24">
        <f>SUMIF(DeadRaw!$B:$B,$B24,DeadRaw!AV:AV)</f>
        <v>0</v>
      </c>
      <c r="AU24">
        <f>SUMIF(DeadRaw!$B:$B,$B24,DeadRaw!AW:AW)</f>
        <v>0</v>
      </c>
      <c r="AV24">
        <f>SUMIF(DeadRaw!$B:$B,$B24,DeadRaw!AX:AX)</f>
        <v>0</v>
      </c>
      <c r="AW24">
        <f>SUMIF(DeadRaw!$B:$B,$B24,DeadRaw!AY:AY)</f>
        <v>0</v>
      </c>
      <c r="AX24">
        <f>SUMIF(DeadRaw!$B:$B,$B24,DeadRaw!AZ:AZ)</f>
        <v>1</v>
      </c>
      <c r="AY24">
        <f>SUMIF(DeadRaw!$B:$B,$B24,DeadRaw!BA:BA)</f>
        <v>1</v>
      </c>
      <c r="AZ24">
        <f>SUMIF(DeadRaw!$B:$B,$B24,DeadRaw!BB:BB)</f>
        <v>1</v>
      </c>
      <c r="BA24">
        <f>SUMIF(DeadRaw!$B:$B,$B24,DeadRaw!BC:BC)</f>
        <v>1</v>
      </c>
      <c r="BB24">
        <f>SUMIF(DeadRaw!$B:$B,$B24,DeadRaw!BD:BD)</f>
        <v>1</v>
      </c>
      <c r="BC24">
        <f>SUMIF(DeadRaw!$B:$B,$B24,DeadRaw!BE:BE)</f>
        <v>1</v>
      </c>
      <c r="BD24">
        <f>SUMIF(DeadRaw!$B:$B,$B24,DeadRaw!BF:BF)</f>
        <v>1</v>
      </c>
      <c r="BE24">
        <f>SUMIF(DeadRaw!$B:$B,$B24,DeadRaw!BG:BG)</f>
        <v>4</v>
      </c>
      <c r="BF24">
        <f>SUMIF(DeadRaw!$B:$B,$B24,DeadRaw!BH:BH)</f>
        <v>5</v>
      </c>
      <c r="BG24">
        <f>SUMIF(DeadRaw!$B:$B,$B24,DeadRaw!BI:BI)</f>
        <v>8</v>
      </c>
      <c r="BH24">
        <f>SUMIF(DeadRaw!$B:$B,$B24,DeadRaw!BJ:BJ)</f>
        <v>9</v>
      </c>
      <c r="BI24">
        <f>SUMIF(DeadRaw!$B:$B,$B24,DeadRaw!BK:BK)</f>
        <v>12</v>
      </c>
      <c r="BJ24">
        <f>SUMIF(DeadRaw!$B:$B,$B24,DeadRaw!BL:BL)</f>
        <v>19</v>
      </c>
      <c r="BK24">
        <f>SUMIF(DeadRaw!$B:$B,$B24,DeadRaw!BM:BM)</f>
        <v>21</v>
      </c>
      <c r="BL24">
        <f>SUMIF(DeadRaw!$B:$B,$B24,DeadRaw!BN:BN)</f>
        <v>25</v>
      </c>
      <c r="BM24">
        <f>SUMIF(DeadRaw!$B:$B,$B24,DeadRaw!BO:BO)</f>
        <v>26</v>
      </c>
      <c r="BN24">
        <f>SUMIF(DeadRaw!$B:$B,$B24,DeadRaw!BP:BP)</f>
        <v>30</v>
      </c>
      <c r="BO24">
        <f>SUMIF(DeadRaw!$B:$B,$B24,DeadRaw!BQ:BQ)</f>
        <v>38</v>
      </c>
      <c r="BP24">
        <f>SUMIF(DeadRaw!$B:$B,$B24,DeadRaw!BR:BR)</f>
        <v>54</v>
      </c>
      <c r="BQ24">
        <f>SUMIF(DeadRaw!$B:$B,$B24,DeadRaw!BS:BS)</f>
        <v>61</v>
      </c>
      <c r="BR24">
        <f>SUMIF(DeadRaw!$B:$B,$B24,DeadRaw!BT:BT)</f>
        <v>0</v>
      </c>
      <c r="BS24">
        <f>SUMIF(DeadRaw!$B:$B,$B24,DeadRaw!BU:BU)</f>
        <v>0</v>
      </c>
      <c r="BT24">
        <f>SUMIF(DeadRaw!$B:$B,$B24,DeadRaw!BV:BV)</f>
        <v>0</v>
      </c>
      <c r="BU24">
        <f>SUMIF(DeadRaw!$B:$B,$B24,DeadRaw!BW:BW)</f>
        <v>0</v>
      </c>
    </row>
    <row r="25" spans="1:73" ht="15" thickBot="1" x14ac:dyDescent="0.35">
      <c r="A25" s="97" t="str">
        <f>VLOOKUP(B25,Country_Data!B:Q,16,FALSE)</f>
        <v>Europe</v>
      </c>
      <c r="B25" s="4" t="s">
        <v>83</v>
      </c>
      <c r="C25">
        <f>SUMIF(DeadRaw!$B:$B,$B25,DeadRaw!E:E)</f>
        <v>0</v>
      </c>
      <c r="D25">
        <f>SUMIF(DeadRaw!$B:$B,$B25,DeadRaw!F:F)</f>
        <v>0</v>
      </c>
      <c r="E25">
        <f>SUMIF(DeadRaw!$B:$B,$B25,DeadRaw!G:G)</f>
        <v>0</v>
      </c>
      <c r="F25">
        <f>SUMIF(DeadRaw!$B:$B,$B25,DeadRaw!H:H)</f>
        <v>0</v>
      </c>
      <c r="G25">
        <f>SUMIF(DeadRaw!$B:$B,$B25,DeadRaw!I:I)</f>
        <v>0</v>
      </c>
      <c r="H25">
        <f>SUMIF(DeadRaw!$B:$B,$B25,DeadRaw!J:J)</f>
        <v>0</v>
      </c>
      <c r="I25">
        <f>SUMIF(DeadRaw!$B:$B,$B25,DeadRaw!K:K)</f>
        <v>0</v>
      </c>
      <c r="J25">
        <f>SUMIF(DeadRaw!$B:$B,$B25,DeadRaw!L:L)</f>
        <v>0</v>
      </c>
      <c r="K25">
        <f>SUMIF(DeadRaw!$B:$B,$B25,DeadRaw!M:M)</f>
        <v>0</v>
      </c>
      <c r="L25">
        <f>SUMIF(DeadRaw!$B:$B,$B25,DeadRaw!N:N)</f>
        <v>0</v>
      </c>
      <c r="M25">
        <f>SUMIF(DeadRaw!$B:$B,$B25,DeadRaw!O:O)</f>
        <v>0</v>
      </c>
      <c r="N25">
        <f>SUMIF(DeadRaw!$B:$B,$B25,DeadRaw!P:P)</f>
        <v>0</v>
      </c>
      <c r="O25">
        <f>SUMIF(DeadRaw!$B:$B,$B25,DeadRaw!Q:Q)</f>
        <v>0</v>
      </c>
      <c r="P25">
        <f>SUMIF(DeadRaw!$B:$B,$B25,DeadRaw!R:R)</f>
        <v>0</v>
      </c>
      <c r="Q25">
        <f>SUMIF(DeadRaw!$B:$B,$B25,DeadRaw!S:S)</f>
        <v>0</v>
      </c>
      <c r="R25">
        <f>SUMIF(DeadRaw!$B:$B,$B25,DeadRaw!T:T)</f>
        <v>0</v>
      </c>
      <c r="S25">
        <f>SUMIF(DeadRaw!$B:$B,$B25,DeadRaw!U:U)</f>
        <v>0</v>
      </c>
      <c r="T25">
        <f>SUMIF(DeadRaw!$B:$B,$B25,DeadRaw!V:V)</f>
        <v>0</v>
      </c>
      <c r="U25">
        <f>SUMIF(DeadRaw!$B:$B,$B25,DeadRaw!W:W)</f>
        <v>0</v>
      </c>
      <c r="V25">
        <f>SUMIF(DeadRaw!$B:$B,$B25,DeadRaw!X:X)</f>
        <v>0</v>
      </c>
      <c r="W25">
        <f>SUMIF(DeadRaw!$B:$B,$B25,DeadRaw!Y:Y)</f>
        <v>0</v>
      </c>
      <c r="X25">
        <f>SUMIF(DeadRaw!$B:$B,$B25,DeadRaw!Z:Z)</f>
        <v>0</v>
      </c>
      <c r="Y25">
        <f>SUMIF(DeadRaw!$B:$B,$B25,DeadRaw!AA:AA)</f>
        <v>0</v>
      </c>
      <c r="Z25">
        <f>SUMIF(DeadRaw!$B:$B,$B25,DeadRaw!AB:AB)</f>
        <v>0</v>
      </c>
      <c r="AA25">
        <f>SUMIF(DeadRaw!$B:$B,$B25,DeadRaw!AC:AC)</f>
        <v>0</v>
      </c>
      <c r="AB25">
        <f>SUMIF(DeadRaw!$B:$B,$B25,DeadRaw!AD:AD)</f>
        <v>0</v>
      </c>
      <c r="AC25">
        <f>SUMIF(DeadRaw!$B:$B,$B25,DeadRaw!AE:AE)</f>
        <v>0</v>
      </c>
      <c r="AD25">
        <f>SUMIF(DeadRaw!$B:$B,$B25,DeadRaw!AF:AF)</f>
        <v>0</v>
      </c>
      <c r="AE25">
        <f>SUMIF(DeadRaw!$B:$B,$B25,DeadRaw!AG:AG)</f>
        <v>0</v>
      </c>
      <c r="AF25">
        <f>SUMIF(DeadRaw!$B:$B,$B25,DeadRaw!AH:AH)</f>
        <v>0</v>
      </c>
      <c r="AG25">
        <f>SUMIF(DeadRaw!$B:$B,$B25,DeadRaw!AI:AI)</f>
        <v>0</v>
      </c>
      <c r="AH25">
        <f>SUMIF(DeadRaw!$B:$B,$B25,DeadRaw!AJ:AJ)</f>
        <v>0</v>
      </c>
      <c r="AI25">
        <f>SUMIF(DeadRaw!$B:$B,$B25,DeadRaw!AK:AK)</f>
        <v>0</v>
      </c>
      <c r="AJ25">
        <f>SUMIF(DeadRaw!$B:$B,$B25,DeadRaw!AL:AL)</f>
        <v>0</v>
      </c>
      <c r="AK25">
        <f>SUMIF(DeadRaw!$B:$B,$B25,DeadRaw!AM:AM)</f>
        <v>0</v>
      </c>
      <c r="AL25">
        <f>SUMIF(DeadRaw!$B:$B,$B25,DeadRaw!AN:AN)</f>
        <v>0</v>
      </c>
      <c r="AM25">
        <f>SUMIF(DeadRaw!$B:$B,$B25,DeadRaw!AO:AO)</f>
        <v>0</v>
      </c>
      <c r="AN25">
        <f>SUMIF(DeadRaw!$B:$B,$B25,DeadRaw!AP:AP)</f>
        <v>0</v>
      </c>
      <c r="AO25">
        <f>SUMIF(DeadRaw!$B:$B,$B25,DeadRaw!AQ:AQ)</f>
        <v>0</v>
      </c>
      <c r="AP25">
        <f>SUMIF(DeadRaw!$B:$B,$B25,DeadRaw!AR:AR)</f>
        <v>0</v>
      </c>
      <c r="AQ25">
        <f>SUMIF(DeadRaw!$B:$B,$B25,DeadRaw!AS:AS)</f>
        <v>0</v>
      </c>
      <c r="AR25">
        <f>SUMIF(DeadRaw!$B:$B,$B25,DeadRaw!AT:AT)</f>
        <v>0</v>
      </c>
      <c r="AS25">
        <f>SUMIF(DeadRaw!$B:$B,$B25,DeadRaw!AU:AU)</f>
        <v>0</v>
      </c>
      <c r="AT25">
        <f>SUMIF(DeadRaw!$B:$B,$B25,DeadRaw!AV:AV)</f>
        <v>0</v>
      </c>
      <c r="AU25">
        <f>SUMIF(DeadRaw!$B:$B,$B25,DeadRaw!AW:AW)</f>
        <v>0</v>
      </c>
      <c r="AV25">
        <f>SUMIF(DeadRaw!$B:$B,$B25,DeadRaw!AX:AX)</f>
        <v>0</v>
      </c>
      <c r="AW25">
        <f>SUMIF(DeadRaw!$B:$B,$B25,DeadRaw!AY:AY)</f>
        <v>0</v>
      </c>
      <c r="AX25">
        <f>SUMIF(DeadRaw!$B:$B,$B25,DeadRaw!AZ:AZ)</f>
        <v>0</v>
      </c>
      <c r="AY25">
        <f>SUMIF(DeadRaw!$B:$B,$B25,DeadRaw!BA:BA)</f>
        <v>0</v>
      </c>
      <c r="AZ25">
        <f>SUMIF(DeadRaw!$B:$B,$B25,DeadRaw!BB:BB)</f>
        <v>1</v>
      </c>
      <c r="BA25">
        <f>SUMIF(DeadRaw!$B:$B,$B25,DeadRaw!BC:BC)</f>
        <v>1</v>
      </c>
      <c r="BB25">
        <f>SUMIF(DeadRaw!$B:$B,$B25,DeadRaw!BD:BD)</f>
        <v>1</v>
      </c>
      <c r="BC25">
        <f>SUMIF(DeadRaw!$B:$B,$B25,DeadRaw!BE:BE)</f>
        <v>3</v>
      </c>
      <c r="BD25">
        <f>SUMIF(DeadRaw!$B:$B,$B25,DeadRaw!BF:BF)</f>
        <v>4</v>
      </c>
      <c r="BE25">
        <f>SUMIF(DeadRaw!$B:$B,$B25,DeadRaw!BG:BG)</f>
        <v>4</v>
      </c>
      <c r="BF25">
        <f>SUMIF(DeadRaw!$B:$B,$B25,DeadRaw!BH:BH)</f>
        <v>5</v>
      </c>
      <c r="BG25">
        <f>SUMIF(DeadRaw!$B:$B,$B25,DeadRaw!BI:BI)</f>
        <v>5</v>
      </c>
      <c r="BH25">
        <f>SUMIF(DeadRaw!$B:$B,$B25,DeadRaw!BJ:BJ)</f>
        <v>6</v>
      </c>
      <c r="BI25">
        <f>SUMIF(DeadRaw!$B:$B,$B25,DeadRaw!BK:BK)</f>
        <v>6</v>
      </c>
      <c r="BJ25">
        <f>SUMIF(DeadRaw!$B:$B,$B25,DeadRaw!BL:BL)</f>
        <v>13</v>
      </c>
      <c r="BK25">
        <f>SUMIF(DeadRaw!$B:$B,$B25,DeadRaw!BM:BM)</f>
        <v>15</v>
      </c>
      <c r="BL25">
        <f>SUMIF(DeadRaw!$B:$B,$B25,DeadRaw!BN:BN)</f>
        <v>17</v>
      </c>
      <c r="BM25">
        <f>SUMIF(DeadRaw!$B:$B,$B25,DeadRaw!BO:BO)</f>
        <v>20</v>
      </c>
      <c r="BN25">
        <f>SUMIF(DeadRaw!$B:$B,$B25,DeadRaw!BP:BP)</f>
        <v>22</v>
      </c>
      <c r="BO25">
        <f>SUMIF(DeadRaw!$B:$B,$B25,DeadRaw!BQ:BQ)</f>
        <v>26</v>
      </c>
      <c r="BP25">
        <f>SUMIF(DeadRaw!$B:$B,$B25,DeadRaw!BR:BR)</f>
        <v>28</v>
      </c>
      <c r="BQ25">
        <f>SUMIF(DeadRaw!$B:$B,$B25,DeadRaw!BS:BS)</f>
        <v>32</v>
      </c>
      <c r="BR25">
        <f>SUMIF(DeadRaw!$B:$B,$B25,DeadRaw!BT:BT)</f>
        <v>0</v>
      </c>
      <c r="BS25">
        <f>SUMIF(DeadRaw!$B:$B,$B25,DeadRaw!BU:BU)</f>
        <v>0</v>
      </c>
      <c r="BT25">
        <f>SUMIF(DeadRaw!$B:$B,$B25,DeadRaw!BV:BV)</f>
        <v>0</v>
      </c>
      <c r="BU25">
        <f>SUMIF(DeadRaw!$B:$B,$B25,DeadRaw!BW:BW)</f>
        <v>0</v>
      </c>
    </row>
    <row r="26" spans="1:73" ht="15" thickBot="1" x14ac:dyDescent="0.35">
      <c r="A26" s="97" t="str">
        <f>VLOOKUP(B26,Country_Data!B:Q,16,FALSE)</f>
        <v>Middle East</v>
      </c>
      <c r="B26" s="4" t="s">
        <v>73</v>
      </c>
      <c r="C26">
        <f>SUMIF(DeadRaw!$B:$B,$B26,DeadRaw!E:E)</f>
        <v>0</v>
      </c>
      <c r="D26">
        <f>SUMIF(DeadRaw!$B:$B,$B26,DeadRaw!F:F)</f>
        <v>0</v>
      </c>
      <c r="E26">
        <f>SUMIF(DeadRaw!$B:$B,$B26,DeadRaw!G:G)</f>
        <v>0</v>
      </c>
      <c r="F26">
        <f>SUMIF(DeadRaw!$B:$B,$B26,DeadRaw!H:H)</f>
        <v>0</v>
      </c>
      <c r="G26">
        <f>SUMIF(DeadRaw!$B:$B,$B26,DeadRaw!I:I)</f>
        <v>0</v>
      </c>
      <c r="H26">
        <f>SUMIF(DeadRaw!$B:$B,$B26,DeadRaw!J:J)</f>
        <v>0</v>
      </c>
      <c r="I26">
        <f>SUMIF(DeadRaw!$B:$B,$B26,DeadRaw!K:K)</f>
        <v>0</v>
      </c>
      <c r="J26">
        <f>SUMIF(DeadRaw!$B:$B,$B26,DeadRaw!L:L)</f>
        <v>0</v>
      </c>
      <c r="K26">
        <f>SUMIF(DeadRaw!$B:$B,$B26,DeadRaw!M:M)</f>
        <v>0</v>
      </c>
      <c r="L26">
        <f>SUMIF(DeadRaw!$B:$B,$B26,DeadRaw!N:N)</f>
        <v>0</v>
      </c>
      <c r="M26">
        <f>SUMIF(DeadRaw!$B:$B,$B26,DeadRaw!O:O)</f>
        <v>0</v>
      </c>
      <c r="N26">
        <f>SUMIF(DeadRaw!$B:$B,$B26,DeadRaw!P:P)</f>
        <v>0</v>
      </c>
      <c r="O26">
        <f>SUMIF(DeadRaw!$B:$B,$B26,DeadRaw!Q:Q)</f>
        <v>0</v>
      </c>
      <c r="P26">
        <f>SUMIF(DeadRaw!$B:$B,$B26,DeadRaw!R:R)</f>
        <v>0</v>
      </c>
      <c r="Q26">
        <f>SUMIF(DeadRaw!$B:$B,$B26,DeadRaw!S:S)</f>
        <v>0</v>
      </c>
      <c r="R26">
        <f>SUMIF(DeadRaw!$B:$B,$B26,DeadRaw!T:T)</f>
        <v>0</v>
      </c>
      <c r="S26">
        <f>SUMIF(DeadRaw!$B:$B,$B26,DeadRaw!U:U)</f>
        <v>0</v>
      </c>
      <c r="T26">
        <f>SUMIF(DeadRaw!$B:$B,$B26,DeadRaw!V:V)</f>
        <v>0</v>
      </c>
      <c r="U26">
        <f>SUMIF(DeadRaw!$B:$B,$B26,DeadRaw!W:W)</f>
        <v>0</v>
      </c>
      <c r="V26">
        <f>SUMIF(DeadRaw!$B:$B,$B26,DeadRaw!X:X)</f>
        <v>0</v>
      </c>
      <c r="W26">
        <f>SUMIF(DeadRaw!$B:$B,$B26,DeadRaw!Y:Y)</f>
        <v>0</v>
      </c>
      <c r="X26">
        <f>SUMIF(DeadRaw!$B:$B,$B26,DeadRaw!Z:Z)</f>
        <v>0</v>
      </c>
      <c r="Y26">
        <f>SUMIF(DeadRaw!$B:$B,$B26,DeadRaw!AA:AA)</f>
        <v>0</v>
      </c>
      <c r="Z26">
        <f>SUMIF(DeadRaw!$B:$B,$B26,DeadRaw!AB:AB)</f>
        <v>0</v>
      </c>
      <c r="AA26">
        <f>SUMIF(DeadRaw!$B:$B,$B26,DeadRaw!AC:AC)</f>
        <v>0</v>
      </c>
      <c r="AB26">
        <f>SUMIF(DeadRaw!$B:$B,$B26,DeadRaw!AD:AD)</f>
        <v>0</v>
      </c>
      <c r="AC26">
        <f>SUMIF(DeadRaw!$B:$B,$B26,DeadRaw!AE:AE)</f>
        <v>0</v>
      </c>
      <c r="AD26">
        <f>SUMIF(DeadRaw!$B:$B,$B26,DeadRaw!AF:AF)</f>
        <v>0</v>
      </c>
      <c r="AE26">
        <f>SUMIF(DeadRaw!$B:$B,$B26,DeadRaw!AG:AG)</f>
        <v>0</v>
      </c>
      <c r="AF26">
        <f>SUMIF(DeadRaw!$B:$B,$B26,DeadRaw!AH:AH)</f>
        <v>0</v>
      </c>
      <c r="AG26">
        <f>SUMIF(DeadRaw!$B:$B,$B26,DeadRaw!AI:AI)</f>
        <v>0</v>
      </c>
      <c r="AH26">
        <f>SUMIF(DeadRaw!$B:$B,$B26,DeadRaw!AJ:AJ)</f>
        <v>0</v>
      </c>
      <c r="AI26">
        <f>SUMIF(DeadRaw!$B:$B,$B26,DeadRaw!AK:AK)</f>
        <v>0</v>
      </c>
      <c r="AJ26">
        <f>SUMIF(DeadRaw!$B:$B,$B26,DeadRaw!AL:AL)</f>
        <v>0</v>
      </c>
      <c r="AK26">
        <f>SUMIF(DeadRaw!$B:$B,$B26,DeadRaw!AM:AM)</f>
        <v>0</v>
      </c>
      <c r="AL26">
        <f>SUMIF(DeadRaw!$B:$B,$B26,DeadRaw!AN:AN)</f>
        <v>0</v>
      </c>
      <c r="AM26">
        <f>SUMIF(DeadRaw!$B:$B,$B26,DeadRaw!AO:AO)</f>
        <v>0</v>
      </c>
      <c r="AN26">
        <f>SUMIF(DeadRaw!$B:$B,$B26,DeadRaw!AP:AP)</f>
        <v>0</v>
      </c>
      <c r="AO26">
        <f>SUMIF(DeadRaw!$B:$B,$B26,DeadRaw!AQ:AQ)</f>
        <v>0</v>
      </c>
      <c r="AP26">
        <f>SUMIF(DeadRaw!$B:$B,$B26,DeadRaw!AR:AR)</f>
        <v>0</v>
      </c>
      <c r="AQ26">
        <f>SUMIF(DeadRaw!$B:$B,$B26,DeadRaw!AS:AS)</f>
        <v>0</v>
      </c>
      <c r="AR26">
        <f>SUMIF(DeadRaw!$B:$B,$B26,DeadRaw!AT:AT)</f>
        <v>0</v>
      </c>
      <c r="AS26">
        <f>SUMIF(DeadRaw!$B:$B,$B26,DeadRaw!AU:AU)</f>
        <v>0</v>
      </c>
      <c r="AT26">
        <f>SUMIF(DeadRaw!$B:$B,$B26,DeadRaw!AV:AV)</f>
        <v>0</v>
      </c>
      <c r="AU26">
        <f>SUMIF(DeadRaw!$B:$B,$B26,DeadRaw!AW:AW)</f>
        <v>0</v>
      </c>
      <c r="AV26">
        <f>SUMIF(DeadRaw!$B:$B,$B26,DeadRaw!AX:AX)</f>
        <v>0</v>
      </c>
      <c r="AW26">
        <f>SUMIF(DeadRaw!$B:$B,$B26,DeadRaw!AY:AY)</f>
        <v>0</v>
      </c>
      <c r="AX26">
        <f>SUMIF(DeadRaw!$B:$B,$B26,DeadRaw!AZ:AZ)</f>
        <v>0</v>
      </c>
      <c r="AY26">
        <f>SUMIF(DeadRaw!$B:$B,$B26,DeadRaw!BA:BA)</f>
        <v>0</v>
      </c>
      <c r="AZ26">
        <f>SUMIF(DeadRaw!$B:$B,$B26,DeadRaw!BB:BB)</f>
        <v>0</v>
      </c>
      <c r="BA26">
        <f>SUMIF(DeadRaw!$B:$B,$B26,DeadRaw!BC:BC)</f>
        <v>0</v>
      </c>
      <c r="BB26">
        <f>SUMIF(DeadRaw!$B:$B,$B26,DeadRaw!BD:BD)</f>
        <v>0</v>
      </c>
      <c r="BC26">
        <f>SUMIF(DeadRaw!$B:$B,$B26,DeadRaw!BE:BE)</f>
        <v>0</v>
      </c>
      <c r="BD26">
        <f>SUMIF(DeadRaw!$B:$B,$B26,DeadRaw!BF:BF)</f>
        <v>0</v>
      </c>
      <c r="BE26">
        <f>SUMIF(DeadRaw!$B:$B,$B26,DeadRaw!BG:BG)</f>
        <v>1</v>
      </c>
      <c r="BF26">
        <f>SUMIF(DeadRaw!$B:$B,$B26,DeadRaw!BH:BH)</f>
        <v>1</v>
      </c>
      <c r="BG26">
        <f>SUMIF(DeadRaw!$B:$B,$B26,DeadRaw!BI:BI)</f>
        <v>1</v>
      </c>
      <c r="BH26">
        <f>SUMIF(DeadRaw!$B:$B,$B26,DeadRaw!BJ:BJ)</f>
        <v>1</v>
      </c>
      <c r="BI26">
        <f>SUMIF(DeadRaw!$B:$B,$B26,DeadRaw!BK:BK)</f>
        <v>1</v>
      </c>
      <c r="BJ26">
        <f>SUMIF(DeadRaw!$B:$B,$B26,DeadRaw!BL:BL)</f>
        <v>1</v>
      </c>
      <c r="BK26">
        <f>SUMIF(DeadRaw!$B:$B,$B26,DeadRaw!BM:BM)</f>
        <v>2</v>
      </c>
      <c r="BL26">
        <f>SUMIF(DeadRaw!$B:$B,$B26,DeadRaw!BN:BN)</f>
        <v>2</v>
      </c>
      <c r="BM26">
        <f>SUMIF(DeadRaw!$B:$B,$B26,DeadRaw!BO:BO)</f>
        <v>3</v>
      </c>
      <c r="BN26">
        <f>SUMIF(DeadRaw!$B:$B,$B26,DeadRaw!BP:BP)</f>
        <v>4</v>
      </c>
      <c r="BO26">
        <f>SUMIF(DeadRaw!$B:$B,$B26,DeadRaw!BQ:BQ)</f>
        <v>4</v>
      </c>
      <c r="BP26">
        <f>SUMIF(DeadRaw!$B:$B,$B26,DeadRaw!BR:BR)</f>
        <v>4</v>
      </c>
      <c r="BQ26">
        <f>SUMIF(DeadRaw!$B:$B,$B26,DeadRaw!BS:BS)</f>
        <v>4</v>
      </c>
      <c r="BR26">
        <f>SUMIF(DeadRaw!$B:$B,$B26,DeadRaw!BT:BT)</f>
        <v>0</v>
      </c>
      <c r="BS26">
        <f>SUMIF(DeadRaw!$B:$B,$B26,DeadRaw!BU:BU)</f>
        <v>0</v>
      </c>
      <c r="BT26">
        <f>SUMIF(DeadRaw!$B:$B,$B26,DeadRaw!BV:BV)</f>
        <v>0</v>
      </c>
      <c r="BU26">
        <f>SUMIF(DeadRaw!$B:$B,$B26,DeadRaw!BW:BW)</f>
        <v>0</v>
      </c>
    </row>
    <row r="27" spans="1:73" ht="15" thickBot="1" x14ac:dyDescent="0.35">
      <c r="A27" s="97" t="str">
        <f>VLOOKUP(B27,Country_Data!B:Q,16,FALSE)</f>
        <v>Middle East</v>
      </c>
      <c r="B27" s="4" t="s">
        <v>79</v>
      </c>
      <c r="C27">
        <f>SUMIF(DeadRaw!$B:$B,$B27,DeadRaw!E:E)</f>
        <v>0</v>
      </c>
      <c r="D27">
        <f>SUMIF(DeadRaw!$B:$B,$B27,DeadRaw!F:F)</f>
        <v>0</v>
      </c>
      <c r="E27">
        <f>SUMIF(DeadRaw!$B:$B,$B27,DeadRaw!G:G)</f>
        <v>0</v>
      </c>
      <c r="F27">
        <f>SUMIF(DeadRaw!$B:$B,$B27,DeadRaw!H:H)</f>
        <v>0</v>
      </c>
      <c r="G27">
        <f>SUMIF(DeadRaw!$B:$B,$B27,DeadRaw!I:I)</f>
        <v>0</v>
      </c>
      <c r="H27">
        <f>SUMIF(DeadRaw!$B:$B,$B27,DeadRaw!J:J)</f>
        <v>0</v>
      </c>
      <c r="I27">
        <f>SUMIF(DeadRaw!$B:$B,$B27,DeadRaw!K:K)</f>
        <v>0</v>
      </c>
      <c r="J27">
        <f>SUMIF(DeadRaw!$B:$B,$B27,DeadRaw!L:L)</f>
        <v>0</v>
      </c>
      <c r="K27">
        <f>SUMIF(DeadRaw!$B:$B,$B27,DeadRaw!M:M)</f>
        <v>0</v>
      </c>
      <c r="L27">
        <f>SUMIF(DeadRaw!$B:$B,$B27,DeadRaw!N:N)</f>
        <v>0</v>
      </c>
      <c r="M27">
        <f>SUMIF(DeadRaw!$B:$B,$B27,DeadRaw!O:O)</f>
        <v>0</v>
      </c>
      <c r="N27">
        <f>SUMIF(DeadRaw!$B:$B,$B27,DeadRaw!P:P)</f>
        <v>0</v>
      </c>
      <c r="O27">
        <f>SUMIF(DeadRaw!$B:$B,$B27,DeadRaw!Q:Q)</f>
        <v>0</v>
      </c>
      <c r="P27">
        <f>SUMIF(DeadRaw!$B:$B,$B27,DeadRaw!R:R)</f>
        <v>0</v>
      </c>
      <c r="Q27">
        <f>SUMIF(DeadRaw!$B:$B,$B27,DeadRaw!S:S)</f>
        <v>0</v>
      </c>
      <c r="R27">
        <f>SUMIF(DeadRaw!$B:$B,$B27,DeadRaw!T:T)</f>
        <v>0</v>
      </c>
      <c r="S27">
        <f>SUMIF(DeadRaw!$B:$B,$B27,DeadRaw!U:U)</f>
        <v>0</v>
      </c>
      <c r="T27">
        <f>SUMIF(DeadRaw!$B:$B,$B27,DeadRaw!V:V)</f>
        <v>0</v>
      </c>
      <c r="U27">
        <f>SUMIF(DeadRaw!$B:$B,$B27,DeadRaw!W:W)</f>
        <v>0</v>
      </c>
      <c r="V27">
        <f>SUMIF(DeadRaw!$B:$B,$B27,DeadRaw!X:X)</f>
        <v>0</v>
      </c>
      <c r="W27">
        <f>SUMIF(DeadRaw!$B:$B,$B27,DeadRaw!Y:Y)</f>
        <v>0</v>
      </c>
      <c r="X27">
        <f>SUMIF(DeadRaw!$B:$B,$B27,DeadRaw!Z:Z)</f>
        <v>0</v>
      </c>
      <c r="Y27">
        <f>SUMIF(DeadRaw!$B:$B,$B27,DeadRaw!AA:AA)</f>
        <v>0</v>
      </c>
      <c r="Z27">
        <f>SUMIF(DeadRaw!$B:$B,$B27,DeadRaw!AB:AB)</f>
        <v>0</v>
      </c>
      <c r="AA27">
        <f>SUMIF(DeadRaw!$B:$B,$B27,DeadRaw!AC:AC)</f>
        <v>0</v>
      </c>
      <c r="AB27">
        <f>SUMIF(DeadRaw!$B:$B,$B27,DeadRaw!AD:AD)</f>
        <v>0</v>
      </c>
      <c r="AC27">
        <f>SUMIF(DeadRaw!$B:$B,$B27,DeadRaw!AE:AE)</f>
        <v>0</v>
      </c>
      <c r="AD27">
        <f>SUMIF(DeadRaw!$B:$B,$B27,DeadRaw!AF:AF)</f>
        <v>0</v>
      </c>
      <c r="AE27">
        <f>SUMIF(DeadRaw!$B:$B,$B27,DeadRaw!AG:AG)</f>
        <v>0</v>
      </c>
      <c r="AF27">
        <f>SUMIF(DeadRaw!$B:$B,$B27,DeadRaw!AH:AH)</f>
        <v>0</v>
      </c>
      <c r="AG27">
        <f>SUMIF(DeadRaw!$B:$B,$B27,DeadRaw!AI:AI)</f>
        <v>0</v>
      </c>
      <c r="AH27">
        <f>SUMIF(DeadRaw!$B:$B,$B27,DeadRaw!AJ:AJ)</f>
        <v>0</v>
      </c>
      <c r="AI27">
        <f>SUMIF(DeadRaw!$B:$B,$B27,DeadRaw!AK:AK)</f>
        <v>0</v>
      </c>
      <c r="AJ27">
        <f>SUMIF(DeadRaw!$B:$B,$B27,DeadRaw!AL:AL)</f>
        <v>0</v>
      </c>
      <c r="AK27">
        <f>SUMIF(DeadRaw!$B:$B,$B27,DeadRaw!AM:AM)</f>
        <v>0</v>
      </c>
      <c r="AL27">
        <f>SUMIF(DeadRaw!$B:$B,$B27,DeadRaw!AN:AN)</f>
        <v>0</v>
      </c>
      <c r="AM27">
        <f>SUMIF(DeadRaw!$B:$B,$B27,DeadRaw!AO:AO)</f>
        <v>0</v>
      </c>
      <c r="AN27">
        <f>SUMIF(DeadRaw!$B:$B,$B27,DeadRaw!AP:AP)</f>
        <v>0</v>
      </c>
      <c r="AO27">
        <f>SUMIF(DeadRaw!$B:$B,$B27,DeadRaw!AQ:AQ)</f>
        <v>0</v>
      </c>
      <c r="AP27">
        <f>SUMIF(DeadRaw!$B:$B,$B27,DeadRaw!AR:AR)</f>
        <v>0</v>
      </c>
      <c r="AQ27">
        <f>SUMIF(DeadRaw!$B:$B,$B27,DeadRaw!AS:AS)</f>
        <v>0</v>
      </c>
      <c r="AR27">
        <f>SUMIF(DeadRaw!$B:$B,$B27,DeadRaw!AT:AT)</f>
        <v>0</v>
      </c>
      <c r="AS27">
        <f>SUMIF(DeadRaw!$B:$B,$B27,DeadRaw!AU:AU)</f>
        <v>0</v>
      </c>
      <c r="AT27">
        <f>SUMIF(DeadRaw!$B:$B,$B27,DeadRaw!AV:AV)</f>
        <v>0</v>
      </c>
      <c r="AU27">
        <f>SUMIF(DeadRaw!$B:$B,$B27,DeadRaw!AW:AW)</f>
        <v>0</v>
      </c>
      <c r="AV27">
        <f>SUMIF(DeadRaw!$B:$B,$B27,DeadRaw!AX:AX)</f>
        <v>0</v>
      </c>
      <c r="AW27">
        <f>SUMIF(DeadRaw!$B:$B,$B27,DeadRaw!AY:AY)</f>
        <v>0</v>
      </c>
      <c r="AX27">
        <f>SUMIF(DeadRaw!$B:$B,$B27,DeadRaw!AZ:AZ)</f>
        <v>0</v>
      </c>
      <c r="AY27">
        <f>SUMIF(DeadRaw!$B:$B,$B27,DeadRaw!BA:BA)</f>
        <v>0</v>
      </c>
      <c r="AZ27">
        <f>SUMIF(DeadRaw!$B:$B,$B27,DeadRaw!BB:BB)</f>
        <v>0</v>
      </c>
      <c r="BA27">
        <f>SUMIF(DeadRaw!$B:$B,$B27,DeadRaw!BC:BC)</f>
        <v>0</v>
      </c>
      <c r="BB27">
        <f>SUMIF(DeadRaw!$B:$B,$B27,DeadRaw!BD:BD)</f>
        <v>0</v>
      </c>
      <c r="BC27">
        <f>SUMIF(DeadRaw!$B:$B,$B27,DeadRaw!BE:BE)</f>
        <v>0</v>
      </c>
      <c r="BD27">
        <f>SUMIF(DeadRaw!$B:$B,$B27,DeadRaw!BF:BF)</f>
        <v>0</v>
      </c>
      <c r="BE27">
        <f>SUMIF(DeadRaw!$B:$B,$B27,DeadRaw!BG:BG)</f>
        <v>0</v>
      </c>
      <c r="BF27">
        <f>SUMIF(DeadRaw!$B:$B,$B27,DeadRaw!BH:BH)</f>
        <v>0</v>
      </c>
      <c r="BG27">
        <f>SUMIF(DeadRaw!$B:$B,$B27,DeadRaw!BI:BI)</f>
        <v>0</v>
      </c>
      <c r="BH27">
        <f>SUMIF(DeadRaw!$B:$B,$B27,DeadRaw!BJ:BJ)</f>
        <v>0</v>
      </c>
      <c r="BI27">
        <f>SUMIF(DeadRaw!$B:$B,$B27,DeadRaw!BK:BK)</f>
        <v>0</v>
      </c>
      <c r="BJ27">
        <f>SUMIF(DeadRaw!$B:$B,$B27,DeadRaw!BL:BL)</f>
        <v>1</v>
      </c>
      <c r="BK27">
        <f>SUMIF(DeadRaw!$B:$B,$B27,DeadRaw!BM:BM)</f>
        <v>1</v>
      </c>
      <c r="BL27">
        <f>SUMIF(DeadRaw!$B:$B,$B27,DeadRaw!BN:BN)</f>
        <v>1</v>
      </c>
      <c r="BM27">
        <f>SUMIF(DeadRaw!$B:$B,$B27,DeadRaw!BO:BO)</f>
        <v>3</v>
      </c>
      <c r="BN27">
        <f>SUMIF(DeadRaw!$B:$B,$B27,DeadRaw!BP:BP)</f>
        <v>5</v>
      </c>
      <c r="BO27">
        <f>SUMIF(DeadRaw!$B:$B,$B27,DeadRaw!BQ:BQ)</f>
        <v>8</v>
      </c>
      <c r="BP27">
        <f>SUMIF(DeadRaw!$B:$B,$B27,DeadRaw!BR:BR)</f>
        <v>12</v>
      </c>
      <c r="BQ27">
        <f>SUMIF(DeadRaw!$B:$B,$B27,DeadRaw!BS:BS)</f>
        <v>12</v>
      </c>
      <c r="BR27">
        <f>SUMIF(DeadRaw!$B:$B,$B27,DeadRaw!BT:BT)</f>
        <v>0</v>
      </c>
      <c r="BS27">
        <f>SUMIF(DeadRaw!$B:$B,$B27,DeadRaw!BU:BU)</f>
        <v>0</v>
      </c>
      <c r="BT27">
        <f>SUMIF(DeadRaw!$B:$B,$B27,DeadRaw!BV:BV)</f>
        <v>0</v>
      </c>
      <c r="BU27">
        <f>SUMIF(DeadRaw!$B:$B,$B27,DeadRaw!BW:BW)</f>
        <v>0</v>
      </c>
    </row>
    <row r="28" spans="1:73" ht="15" thickBot="1" x14ac:dyDescent="0.35">
      <c r="A28" s="97" t="str">
        <f>VLOOKUP(B28,Country_Data!B:Q,16,FALSE)</f>
        <v>Europe</v>
      </c>
      <c r="B28" s="3" t="s">
        <v>54</v>
      </c>
      <c r="C28">
        <f>SUMIF(DeadRaw!$B:$B,$B28,DeadRaw!E:E)</f>
        <v>0</v>
      </c>
      <c r="D28">
        <f>SUMIF(DeadRaw!$B:$B,$B28,DeadRaw!F:F)</f>
        <v>0</v>
      </c>
      <c r="E28">
        <f>SUMIF(DeadRaw!$B:$B,$B28,DeadRaw!G:G)</f>
        <v>0</v>
      </c>
      <c r="F28">
        <f>SUMIF(DeadRaw!$B:$B,$B28,DeadRaw!H:H)</f>
        <v>0</v>
      </c>
      <c r="G28">
        <f>SUMIF(DeadRaw!$B:$B,$B28,DeadRaw!I:I)</f>
        <v>0</v>
      </c>
      <c r="H28">
        <f>SUMIF(DeadRaw!$B:$B,$B28,DeadRaw!J:J)</f>
        <v>0</v>
      </c>
      <c r="I28">
        <f>SUMIF(DeadRaw!$B:$B,$B28,DeadRaw!K:K)</f>
        <v>0</v>
      </c>
      <c r="J28">
        <f>SUMIF(DeadRaw!$B:$B,$B28,DeadRaw!L:L)</f>
        <v>0</v>
      </c>
      <c r="K28">
        <f>SUMIF(DeadRaw!$B:$B,$B28,DeadRaw!M:M)</f>
        <v>0</v>
      </c>
      <c r="L28">
        <f>SUMIF(DeadRaw!$B:$B,$B28,DeadRaw!N:N)</f>
        <v>0</v>
      </c>
      <c r="M28">
        <f>SUMIF(DeadRaw!$B:$B,$B28,DeadRaw!O:O)</f>
        <v>0</v>
      </c>
      <c r="N28">
        <f>SUMIF(DeadRaw!$B:$B,$B28,DeadRaw!P:P)</f>
        <v>0</v>
      </c>
      <c r="O28">
        <f>SUMIF(DeadRaw!$B:$B,$B28,DeadRaw!Q:Q)</f>
        <v>0</v>
      </c>
      <c r="P28">
        <f>SUMIF(DeadRaw!$B:$B,$B28,DeadRaw!R:R)</f>
        <v>0</v>
      </c>
      <c r="Q28">
        <f>SUMIF(DeadRaw!$B:$B,$B28,DeadRaw!S:S)</f>
        <v>0</v>
      </c>
      <c r="R28">
        <f>SUMIF(DeadRaw!$B:$B,$B28,DeadRaw!T:T)</f>
        <v>0</v>
      </c>
      <c r="S28">
        <f>SUMIF(DeadRaw!$B:$B,$B28,DeadRaw!U:U)</f>
        <v>0</v>
      </c>
      <c r="T28">
        <f>SUMIF(DeadRaw!$B:$B,$B28,DeadRaw!V:V)</f>
        <v>0</v>
      </c>
      <c r="U28">
        <f>SUMIF(DeadRaw!$B:$B,$B28,DeadRaw!W:W)</f>
        <v>0</v>
      </c>
      <c r="V28">
        <f>SUMIF(DeadRaw!$B:$B,$B28,DeadRaw!X:X)</f>
        <v>0</v>
      </c>
      <c r="W28">
        <f>SUMIF(DeadRaw!$B:$B,$B28,DeadRaw!Y:Y)</f>
        <v>0</v>
      </c>
      <c r="X28">
        <f>SUMIF(DeadRaw!$B:$B,$B28,DeadRaw!Z:Z)</f>
        <v>0</v>
      </c>
      <c r="Y28">
        <f>SUMIF(DeadRaw!$B:$B,$B28,DeadRaw!AA:AA)</f>
        <v>0</v>
      </c>
      <c r="Z28">
        <f>SUMIF(DeadRaw!$B:$B,$B28,DeadRaw!AB:AB)</f>
        <v>0</v>
      </c>
      <c r="AA28">
        <f>SUMIF(DeadRaw!$B:$B,$B28,DeadRaw!AC:AC)</f>
        <v>0</v>
      </c>
      <c r="AB28">
        <f>SUMIF(DeadRaw!$B:$B,$B28,DeadRaw!AD:AD)</f>
        <v>0</v>
      </c>
      <c r="AC28">
        <f>SUMIF(DeadRaw!$B:$B,$B28,DeadRaw!AE:AE)</f>
        <v>0</v>
      </c>
      <c r="AD28">
        <f>SUMIF(DeadRaw!$B:$B,$B28,DeadRaw!AF:AF)</f>
        <v>0</v>
      </c>
      <c r="AE28">
        <f>SUMIF(DeadRaw!$B:$B,$B28,DeadRaw!AG:AG)</f>
        <v>0</v>
      </c>
      <c r="AF28">
        <f>SUMIF(DeadRaw!$B:$B,$B28,DeadRaw!AH:AH)</f>
        <v>0</v>
      </c>
      <c r="AG28">
        <f>SUMIF(DeadRaw!$B:$B,$B28,DeadRaw!AI:AI)</f>
        <v>0</v>
      </c>
      <c r="AH28">
        <f>SUMIF(DeadRaw!$B:$B,$B28,DeadRaw!AJ:AJ)</f>
        <v>0</v>
      </c>
      <c r="AI28">
        <f>SUMIF(DeadRaw!$B:$B,$B28,DeadRaw!AK:AK)</f>
        <v>0</v>
      </c>
      <c r="AJ28">
        <f>SUMIF(DeadRaw!$B:$B,$B28,DeadRaw!AL:AL)</f>
        <v>0</v>
      </c>
      <c r="AK28">
        <f>SUMIF(DeadRaw!$B:$B,$B28,DeadRaw!AM:AM)</f>
        <v>0</v>
      </c>
      <c r="AL28">
        <f>SUMIF(DeadRaw!$B:$B,$B28,DeadRaw!AN:AN)</f>
        <v>0</v>
      </c>
      <c r="AM28">
        <f>SUMIF(DeadRaw!$B:$B,$B28,DeadRaw!AO:AO)</f>
        <v>0</v>
      </c>
      <c r="AN28">
        <f>SUMIF(DeadRaw!$B:$B,$B28,DeadRaw!AP:AP)</f>
        <v>0</v>
      </c>
      <c r="AO28">
        <f>SUMIF(DeadRaw!$B:$B,$B28,DeadRaw!AQ:AQ)</f>
        <v>0</v>
      </c>
      <c r="AP28">
        <f>SUMIF(DeadRaw!$B:$B,$B28,DeadRaw!AR:AR)</f>
        <v>0</v>
      </c>
      <c r="AQ28">
        <f>SUMIF(DeadRaw!$B:$B,$B28,DeadRaw!AS:AS)</f>
        <v>0</v>
      </c>
      <c r="AR28">
        <f>SUMIF(DeadRaw!$B:$B,$B28,DeadRaw!AT:AT)</f>
        <v>0</v>
      </c>
      <c r="AS28">
        <f>SUMIF(DeadRaw!$B:$B,$B28,DeadRaw!AU:AU)</f>
        <v>0</v>
      </c>
      <c r="AT28">
        <f>SUMIF(DeadRaw!$B:$B,$B28,DeadRaw!AV:AV)</f>
        <v>0</v>
      </c>
      <c r="AU28">
        <f>SUMIF(DeadRaw!$B:$B,$B28,DeadRaw!AW:AW)</f>
        <v>0</v>
      </c>
      <c r="AV28">
        <f>SUMIF(DeadRaw!$B:$B,$B28,DeadRaw!AX:AX)</f>
        <v>0</v>
      </c>
      <c r="AW28">
        <f>SUMIF(DeadRaw!$B:$B,$B28,DeadRaw!AY:AY)</f>
        <v>0</v>
      </c>
      <c r="AX28">
        <f>SUMIF(DeadRaw!$B:$B,$B28,DeadRaw!AZ:AZ)</f>
        <v>0</v>
      </c>
      <c r="AY28">
        <f>SUMIF(DeadRaw!$B:$B,$B28,DeadRaw!BA:BA)</f>
        <v>0</v>
      </c>
      <c r="AZ28">
        <f>SUMIF(DeadRaw!$B:$B,$B28,DeadRaw!BB:BB)</f>
        <v>0</v>
      </c>
      <c r="BA28">
        <f>SUMIF(DeadRaw!$B:$B,$B28,DeadRaw!BC:BC)</f>
        <v>0</v>
      </c>
      <c r="BB28">
        <f>SUMIF(DeadRaw!$B:$B,$B28,DeadRaw!BD:BD)</f>
        <v>0</v>
      </c>
      <c r="BC28">
        <f>SUMIF(DeadRaw!$B:$B,$B28,DeadRaw!BE:BE)</f>
        <v>0</v>
      </c>
      <c r="BD28">
        <f>SUMIF(DeadRaw!$B:$B,$B28,DeadRaw!BF:BF)</f>
        <v>0</v>
      </c>
      <c r="BE28">
        <f>SUMIF(DeadRaw!$B:$B,$B28,DeadRaw!BG:BG)</f>
        <v>0</v>
      </c>
      <c r="BF28">
        <f>SUMIF(DeadRaw!$B:$B,$B28,DeadRaw!BH:BH)</f>
        <v>0</v>
      </c>
      <c r="BG28">
        <f>SUMIF(DeadRaw!$B:$B,$B28,DeadRaw!BI:BI)</f>
        <v>0</v>
      </c>
      <c r="BH28">
        <f>SUMIF(DeadRaw!$B:$B,$B28,DeadRaw!BJ:BJ)</f>
        <v>0</v>
      </c>
      <c r="BI28">
        <f>SUMIF(DeadRaw!$B:$B,$B28,DeadRaw!BK:BK)</f>
        <v>0</v>
      </c>
      <c r="BJ28">
        <f>SUMIF(DeadRaw!$B:$B,$B28,DeadRaw!BL:BL)</f>
        <v>1</v>
      </c>
      <c r="BK28">
        <f>SUMIF(DeadRaw!$B:$B,$B28,DeadRaw!BM:BM)</f>
        <v>1</v>
      </c>
      <c r="BL28">
        <f>SUMIF(DeadRaw!$B:$B,$B28,DeadRaw!BN:BN)</f>
        <v>1</v>
      </c>
      <c r="BM28">
        <f>SUMIF(DeadRaw!$B:$B,$B28,DeadRaw!BO:BO)</f>
        <v>1</v>
      </c>
      <c r="BN28">
        <f>SUMIF(DeadRaw!$B:$B,$B28,DeadRaw!BP:BP)</f>
        <v>3</v>
      </c>
      <c r="BO28">
        <f>SUMIF(DeadRaw!$B:$B,$B28,DeadRaw!BQ:BQ)</f>
        <v>5</v>
      </c>
      <c r="BP28">
        <f>SUMIF(DeadRaw!$B:$B,$B28,DeadRaw!BR:BR)</f>
        <v>7</v>
      </c>
      <c r="BQ28">
        <f>SUMIF(DeadRaw!$B:$B,$B28,DeadRaw!BS:BS)</f>
        <v>9</v>
      </c>
      <c r="BR28">
        <f>SUMIF(DeadRaw!$B:$B,$B28,DeadRaw!BT:BT)</f>
        <v>0</v>
      </c>
      <c r="BS28">
        <f>SUMIF(DeadRaw!$B:$B,$B28,DeadRaw!BU:BU)</f>
        <v>0</v>
      </c>
      <c r="BT28">
        <f>SUMIF(DeadRaw!$B:$B,$B28,DeadRaw!BV:BV)</f>
        <v>0</v>
      </c>
      <c r="BU28">
        <f>SUMIF(DeadRaw!$B:$B,$B28,DeadRaw!BW:BW)</f>
        <v>0</v>
      </c>
    </row>
    <row r="29" spans="1:73" ht="15" thickBot="1" x14ac:dyDescent="0.35">
      <c r="A29" s="97" t="str">
        <f>VLOOKUP(B29,Country_Data!B:Q,16,FALSE)</f>
        <v>South America</v>
      </c>
      <c r="B29" s="4" t="s">
        <v>81</v>
      </c>
      <c r="C29">
        <f>SUMIF(DeadRaw!$B:$B,$B29,DeadRaw!E:E)</f>
        <v>0</v>
      </c>
      <c r="D29">
        <f>SUMIF(DeadRaw!$B:$B,$B29,DeadRaw!F:F)</f>
        <v>0</v>
      </c>
      <c r="E29">
        <f>SUMIF(DeadRaw!$B:$B,$B29,DeadRaw!G:G)</f>
        <v>0</v>
      </c>
      <c r="F29">
        <f>SUMIF(DeadRaw!$B:$B,$B29,DeadRaw!H:H)</f>
        <v>0</v>
      </c>
      <c r="G29">
        <f>SUMIF(DeadRaw!$B:$B,$B29,DeadRaw!I:I)</f>
        <v>0</v>
      </c>
      <c r="H29">
        <f>SUMIF(DeadRaw!$B:$B,$B29,DeadRaw!J:J)</f>
        <v>0</v>
      </c>
      <c r="I29">
        <f>SUMIF(DeadRaw!$B:$B,$B29,DeadRaw!K:K)</f>
        <v>0</v>
      </c>
      <c r="J29">
        <f>SUMIF(DeadRaw!$B:$B,$B29,DeadRaw!L:L)</f>
        <v>0</v>
      </c>
      <c r="K29">
        <f>SUMIF(DeadRaw!$B:$B,$B29,DeadRaw!M:M)</f>
        <v>0</v>
      </c>
      <c r="L29">
        <f>SUMIF(DeadRaw!$B:$B,$B29,DeadRaw!N:N)</f>
        <v>0</v>
      </c>
      <c r="M29">
        <f>SUMIF(DeadRaw!$B:$B,$B29,DeadRaw!O:O)</f>
        <v>0</v>
      </c>
      <c r="N29">
        <f>SUMIF(DeadRaw!$B:$B,$B29,DeadRaw!P:P)</f>
        <v>0</v>
      </c>
      <c r="O29">
        <f>SUMIF(DeadRaw!$B:$B,$B29,DeadRaw!Q:Q)</f>
        <v>0</v>
      </c>
      <c r="P29">
        <f>SUMIF(DeadRaw!$B:$B,$B29,DeadRaw!R:R)</f>
        <v>0</v>
      </c>
      <c r="Q29">
        <f>SUMIF(DeadRaw!$B:$B,$B29,DeadRaw!S:S)</f>
        <v>0</v>
      </c>
      <c r="R29">
        <f>SUMIF(DeadRaw!$B:$B,$B29,DeadRaw!T:T)</f>
        <v>0</v>
      </c>
      <c r="S29">
        <f>SUMIF(DeadRaw!$B:$B,$B29,DeadRaw!U:U)</f>
        <v>0</v>
      </c>
      <c r="T29">
        <f>SUMIF(DeadRaw!$B:$B,$B29,DeadRaw!V:V)</f>
        <v>0</v>
      </c>
      <c r="U29">
        <f>SUMIF(DeadRaw!$B:$B,$B29,DeadRaw!W:W)</f>
        <v>0</v>
      </c>
      <c r="V29">
        <f>SUMIF(DeadRaw!$B:$B,$B29,DeadRaw!X:X)</f>
        <v>0</v>
      </c>
      <c r="W29">
        <f>SUMIF(DeadRaw!$B:$B,$B29,DeadRaw!Y:Y)</f>
        <v>0</v>
      </c>
      <c r="X29">
        <f>SUMIF(DeadRaw!$B:$B,$B29,DeadRaw!Z:Z)</f>
        <v>0</v>
      </c>
      <c r="Y29">
        <f>SUMIF(DeadRaw!$B:$B,$B29,DeadRaw!AA:AA)</f>
        <v>0</v>
      </c>
      <c r="Z29">
        <f>SUMIF(DeadRaw!$B:$B,$B29,DeadRaw!AB:AB)</f>
        <v>0</v>
      </c>
      <c r="AA29">
        <f>SUMIF(DeadRaw!$B:$B,$B29,DeadRaw!AC:AC)</f>
        <v>0</v>
      </c>
      <c r="AB29">
        <f>SUMIF(DeadRaw!$B:$B,$B29,DeadRaw!AD:AD)</f>
        <v>0</v>
      </c>
      <c r="AC29">
        <f>SUMIF(DeadRaw!$B:$B,$B29,DeadRaw!AE:AE)</f>
        <v>0</v>
      </c>
      <c r="AD29">
        <f>SUMIF(DeadRaw!$B:$B,$B29,DeadRaw!AF:AF)</f>
        <v>0</v>
      </c>
      <c r="AE29">
        <f>SUMIF(DeadRaw!$B:$B,$B29,DeadRaw!AG:AG)</f>
        <v>0</v>
      </c>
      <c r="AF29">
        <f>SUMIF(DeadRaw!$B:$B,$B29,DeadRaw!AH:AH)</f>
        <v>0</v>
      </c>
      <c r="AG29">
        <f>SUMIF(DeadRaw!$B:$B,$B29,DeadRaw!AI:AI)</f>
        <v>0</v>
      </c>
      <c r="AH29">
        <f>SUMIF(DeadRaw!$B:$B,$B29,DeadRaw!AJ:AJ)</f>
        <v>0</v>
      </c>
      <c r="AI29">
        <f>SUMIF(DeadRaw!$B:$B,$B29,DeadRaw!AK:AK)</f>
        <v>0</v>
      </c>
      <c r="AJ29">
        <f>SUMIF(DeadRaw!$B:$B,$B29,DeadRaw!AL:AL)</f>
        <v>0</v>
      </c>
      <c r="AK29">
        <f>SUMIF(DeadRaw!$B:$B,$B29,DeadRaw!AM:AM)</f>
        <v>0</v>
      </c>
      <c r="AL29">
        <f>SUMIF(DeadRaw!$B:$B,$B29,DeadRaw!AN:AN)</f>
        <v>0</v>
      </c>
      <c r="AM29">
        <f>SUMIF(DeadRaw!$B:$B,$B29,DeadRaw!AO:AO)</f>
        <v>0</v>
      </c>
      <c r="AN29">
        <f>SUMIF(DeadRaw!$B:$B,$B29,DeadRaw!AP:AP)</f>
        <v>0</v>
      </c>
      <c r="AO29">
        <f>SUMIF(DeadRaw!$B:$B,$B29,DeadRaw!AQ:AQ)</f>
        <v>0</v>
      </c>
      <c r="AP29">
        <f>SUMIF(DeadRaw!$B:$B,$B29,DeadRaw!AR:AR)</f>
        <v>0</v>
      </c>
      <c r="AQ29">
        <f>SUMIF(DeadRaw!$B:$B,$B29,DeadRaw!AS:AS)</f>
        <v>0</v>
      </c>
      <c r="AR29">
        <f>SUMIF(DeadRaw!$B:$B,$B29,DeadRaw!AT:AT)</f>
        <v>0</v>
      </c>
      <c r="AS29">
        <f>SUMIF(DeadRaw!$B:$B,$B29,DeadRaw!AU:AU)</f>
        <v>0</v>
      </c>
      <c r="AT29">
        <f>SUMIF(DeadRaw!$B:$B,$B29,DeadRaw!AV:AV)</f>
        <v>0</v>
      </c>
      <c r="AU29">
        <f>SUMIF(DeadRaw!$B:$B,$B29,DeadRaw!AW:AW)</f>
        <v>0</v>
      </c>
      <c r="AV29">
        <f>SUMIF(DeadRaw!$B:$B,$B29,DeadRaw!AX:AX)</f>
        <v>0</v>
      </c>
      <c r="AW29">
        <f>SUMIF(DeadRaw!$B:$B,$B29,DeadRaw!AY:AY)</f>
        <v>0</v>
      </c>
      <c r="AX29">
        <f>SUMIF(DeadRaw!$B:$B,$B29,DeadRaw!AZ:AZ)</f>
        <v>0</v>
      </c>
      <c r="AY29">
        <f>SUMIF(DeadRaw!$B:$B,$B29,DeadRaw!BA:BA)</f>
        <v>0</v>
      </c>
      <c r="AZ29">
        <f>SUMIF(DeadRaw!$B:$B,$B29,DeadRaw!BB:BB)</f>
        <v>0</v>
      </c>
      <c r="BA29">
        <f>SUMIF(DeadRaw!$B:$B,$B29,DeadRaw!BC:BC)</f>
        <v>0</v>
      </c>
      <c r="BB29">
        <f>SUMIF(DeadRaw!$B:$B,$B29,DeadRaw!BD:BD)</f>
        <v>0</v>
      </c>
      <c r="BC29">
        <f>SUMIF(DeadRaw!$B:$B,$B29,DeadRaw!BE:BE)</f>
        <v>0</v>
      </c>
      <c r="BD29">
        <f>SUMIF(DeadRaw!$B:$B,$B29,DeadRaw!BF:BF)</f>
        <v>0</v>
      </c>
      <c r="BE29">
        <f>SUMIF(DeadRaw!$B:$B,$B29,DeadRaw!BG:BG)</f>
        <v>0</v>
      </c>
      <c r="BF29">
        <f>SUMIF(DeadRaw!$B:$B,$B29,DeadRaw!BH:BH)</f>
        <v>1</v>
      </c>
      <c r="BG29">
        <f>SUMIF(DeadRaw!$B:$B,$B29,DeadRaw!BI:BI)</f>
        <v>3</v>
      </c>
      <c r="BH29">
        <f>SUMIF(DeadRaw!$B:$B,$B29,DeadRaw!BJ:BJ)</f>
        <v>6</v>
      </c>
      <c r="BI29">
        <f>SUMIF(DeadRaw!$B:$B,$B29,DeadRaw!BK:BK)</f>
        <v>11</v>
      </c>
      <c r="BJ29">
        <f>SUMIF(DeadRaw!$B:$B,$B29,DeadRaw!BL:BL)</f>
        <v>15</v>
      </c>
      <c r="BK29">
        <f>SUMIF(DeadRaw!$B:$B,$B29,DeadRaw!BM:BM)</f>
        <v>25</v>
      </c>
      <c r="BL29">
        <f>SUMIF(DeadRaw!$B:$B,$B29,DeadRaw!BN:BN)</f>
        <v>34</v>
      </c>
      <c r="BM29">
        <f>SUMIF(DeadRaw!$B:$B,$B29,DeadRaw!BO:BO)</f>
        <v>46</v>
      </c>
      <c r="BN29">
        <f>SUMIF(DeadRaw!$B:$B,$B29,DeadRaw!BP:BP)</f>
        <v>59</v>
      </c>
      <c r="BO29">
        <f>SUMIF(DeadRaw!$B:$B,$B29,DeadRaw!BQ:BQ)</f>
        <v>77</v>
      </c>
      <c r="BP29">
        <f>SUMIF(DeadRaw!$B:$B,$B29,DeadRaw!BR:BR)</f>
        <v>92</v>
      </c>
      <c r="BQ29">
        <f>SUMIF(DeadRaw!$B:$B,$B29,DeadRaw!BS:BS)</f>
        <v>111</v>
      </c>
      <c r="BR29">
        <f>SUMIF(DeadRaw!$B:$B,$B29,DeadRaw!BT:BT)</f>
        <v>0</v>
      </c>
      <c r="BS29">
        <f>SUMIF(DeadRaw!$B:$B,$B29,DeadRaw!BU:BU)</f>
        <v>0</v>
      </c>
      <c r="BT29">
        <f>SUMIF(DeadRaw!$B:$B,$B29,DeadRaw!BV:BV)</f>
        <v>0</v>
      </c>
      <c r="BU29">
        <f>SUMIF(DeadRaw!$B:$B,$B29,DeadRaw!BW:BW)</f>
        <v>0</v>
      </c>
    </row>
    <row r="30" spans="1:73" ht="15" thickBot="1" x14ac:dyDescent="0.35">
      <c r="A30" s="97" t="s">
        <v>609</v>
      </c>
      <c r="B30" s="3" t="s">
        <v>341</v>
      </c>
      <c r="C30">
        <f>SUMIF(DeadRaw!$B:$B,$B30,DeadRaw!E:E)</f>
        <v>0</v>
      </c>
      <c r="D30">
        <f>SUMIF(DeadRaw!$B:$B,$B30,DeadRaw!F:F)</f>
        <v>0</v>
      </c>
      <c r="E30">
        <f>SUMIF(DeadRaw!$B:$B,$B30,DeadRaw!G:G)</f>
        <v>0</v>
      </c>
      <c r="F30">
        <f>SUMIF(DeadRaw!$B:$B,$B30,DeadRaw!H:H)</f>
        <v>0</v>
      </c>
      <c r="G30">
        <f>SUMIF(DeadRaw!$B:$B,$B30,DeadRaw!I:I)</f>
        <v>0</v>
      </c>
      <c r="H30">
        <f>SUMIF(DeadRaw!$B:$B,$B30,DeadRaw!J:J)</f>
        <v>0</v>
      </c>
      <c r="I30">
        <f>SUMIF(DeadRaw!$B:$B,$B30,DeadRaw!K:K)</f>
        <v>0</v>
      </c>
      <c r="J30">
        <f>SUMIF(DeadRaw!$B:$B,$B30,DeadRaw!L:L)</f>
        <v>0</v>
      </c>
      <c r="K30">
        <f>SUMIF(DeadRaw!$B:$B,$B30,DeadRaw!M:M)</f>
        <v>0</v>
      </c>
      <c r="L30">
        <f>SUMIF(DeadRaw!$B:$B,$B30,DeadRaw!N:N)</f>
        <v>0</v>
      </c>
      <c r="M30">
        <f>SUMIF(DeadRaw!$B:$B,$B30,DeadRaw!O:O)</f>
        <v>0</v>
      </c>
      <c r="N30">
        <f>SUMIF(DeadRaw!$B:$B,$B30,DeadRaw!P:P)</f>
        <v>0</v>
      </c>
      <c r="O30">
        <f>SUMIF(DeadRaw!$B:$B,$B30,DeadRaw!Q:Q)</f>
        <v>0</v>
      </c>
      <c r="P30">
        <f>SUMIF(DeadRaw!$B:$B,$B30,DeadRaw!R:R)</f>
        <v>0</v>
      </c>
      <c r="Q30">
        <f>SUMIF(DeadRaw!$B:$B,$B30,DeadRaw!S:S)</f>
        <v>0</v>
      </c>
      <c r="R30">
        <f>SUMIF(DeadRaw!$B:$B,$B30,DeadRaw!T:T)</f>
        <v>0</v>
      </c>
      <c r="S30">
        <f>SUMIF(DeadRaw!$B:$B,$B30,DeadRaw!U:U)</f>
        <v>0</v>
      </c>
      <c r="T30">
        <f>SUMIF(DeadRaw!$B:$B,$B30,DeadRaw!V:V)</f>
        <v>0</v>
      </c>
      <c r="U30">
        <f>SUMIF(DeadRaw!$B:$B,$B30,DeadRaw!W:W)</f>
        <v>0</v>
      </c>
      <c r="V30">
        <f>SUMIF(DeadRaw!$B:$B,$B30,DeadRaw!X:X)</f>
        <v>0</v>
      </c>
      <c r="W30">
        <f>SUMIF(DeadRaw!$B:$B,$B30,DeadRaw!Y:Y)</f>
        <v>0</v>
      </c>
      <c r="X30">
        <f>SUMIF(DeadRaw!$B:$B,$B30,DeadRaw!Z:Z)</f>
        <v>0</v>
      </c>
      <c r="Y30">
        <f>SUMIF(DeadRaw!$B:$B,$B30,DeadRaw!AA:AA)</f>
        <v>0</v>
      </c>
      <c r="Z30">
        <f>SUMIF(DeadRaw!$B:$B,$B30,DeadRaw!AB:AB)</f>
        <v>0</v>
      </c>
      <c r="AA30">
        <f>SUMIF(DeadRaw!$B:$B,$B30,DeadRaw!AC:AC)</f>
        <v>0</v>
      </c>
      <c r="AB30">
        <f>SUMIF(DeadRaw!$B:$B,$B30,DeadRaw!AD:AD)</f>
        <v>0</v>
      </c>
      <c r="AC30">
        <f>SUMIF(DeadRaw!$B:$B,$B30,DeadRaw!AE:AE)</f>
        <v>0</v>
      </c>
      <c r="AD30">
        <f>SUMIF(DeadRaw!$B:$B,$B30,DeadRaw!AF:AF)</f>
        <v>0</v>
      </c>
      <c r="AE30">
        <f>SUMIF(DeadRaw!$B:$B,$B30,DeadRaw!AG:AG)</f>
        <v>0</v>
      </c>
      <c r="AF30">
        <f>SUMIF(DeadRaw!$B:$B,$B30,DeadRaw!AH:AH)</f>
        <v>0</v>
      </c>
      <c r="AG30">
        <f>SUMIF(DeadRaw!$B:$B,$B30,DeadRaw!AI:AI)</f>
        <v>0</v>
      </c>
      <c r="AH30">
        <f>SUMIF(DeadRaw!$B:$B,$B30,DeadRaw!AJ:AJ)</f>
        <v>0</v>
      </c>
      <c r="AI30">
        <f>SUMIF(DeadRaw!$B:$B,$B30,DeadRaw!AK:AK)</f>
        <v>0</v>
      </c>
      <c r="AJ30">
        <f>SUMIF(DeadRaw!$B:$B,$B30,DeadRaw!AL:AL)</f>
        <v>0</v>
      </c>
      <c r="AK30">
        <f>SUMIF(DeadRaw!$B:$B,$B30,DeadRaw!AM:AM)</f>
        <v>0</v>
      </c>
      <c r="AL30">
        <f>SUMIF(DeadRaw!$B:$B,$B30,DeadRaw!AN:AN)</f>
        <v>0</v>
      </c>
      <c r="AM30">
        <f>SUMIF(DeadRaw!$B:$B,$B30,DeadRaw!AO:AO)</f>
        <v>0</v>
      </c>
      <c r="AN30">
        <f>SUMIF(DeadRaw!$B:$B,$B30,DeadRaw!AP:AP)</f>
        <v>0</v>
      </c>
      <c r="AO30">
        <f>SUMIF(DeadRaw!$B:$B,$B30,DeadRaw!AQ:AQ)</f>
        <v>0</v>
      </c>
      <c r="AP30">
        <f>SUMIF(DeadRaw!$B:$B,$B30,DeadRaw!AR:AR)</f>
        <v>0</v>
      </c>
      <c r="AQ30">
        <f>SUMIF(DeadRaw!$B:$B,$B30,DeadRaw!AS:AS)</f>
        <v>0</v>
      </c>
      <c r="AR30">
        <f>SUMIF(DeadRaw!$B:$B,$B30,DeadRaw!AT:AT)</f>
        <v>0</v>
      </c>
      <c r="AS30">
        <f>SUMIF(DeadRaw!$B:$B,$B30,DeadRaw!AU:AU)</f>
        <v>0</v>
      </c>
      <c r="AT30">
        <f>SUMIF(DeadRaw!$B:$B,$B30,DeadRaw!AV:AV)</f>
        <v>0</v>
      </c>
      <c r="AU30">
        <f>SUMIF(DeadRaw!$B:$B,$B30,DeadRaw!AW:AW)</f>
        <v>0</v>
      </c>
      <c r="AV30">
        <f>SUMIF(DeadRaw!$B:$B,$B30,DeadRaw!AX:AX)</f>
        <v>0</v>
      </c>
      <c r="AW30">
        <f>SUMIF(DeadRaw!$B:$B,$B30,DeadRaw!AY:AY)</f>
        <v>0</v>
      </c>
      <c r="AX30">
        <f>SUMIF(DeadRaw!$B:$B,$B30,DeadRaw!AZ:AZ)</f>
        <v>0</v>
      </c>
      <c r="AY30">
        <f>SUMIF(DeadRaw!$B:$B,$B30,DeadRaw!BA:BA)</f>
        <v>0</v>
      </c>
      <c r="AZ30">
        <f>SUMIF(DeadRaw!$B:$B,$B30,DeadRaw!BB:BB)</f>
        <v>0</v>
      </c>
      <c r="BA30">
        <f>SUMIF(DeadRaw!$B:$B,$B30,DeadRaw!BC:BC)</f>
        <v>0</v>
      </c>
      <c r="BB30">
        <f>SUMIF(DeadRaw!$B:$B,$B30,DeadRaw!BD:BD)</f>
        <v>0</v>
      </c>
      <c r="BC30">
        <f>SUMIF(DeadRaw!$B:$B,$B30,DeadRaw!BE:BE)</f>
        <v>0</v>
      </c>
      <c r="BD30">
        <f>SUMIF(DeadRaw!$B:$B,$B30,DeadRaw!BF:BF)</f>
        <v>0</v>
      </c>
      <c r="BE30">
        <f>SUMIF(DeadRaw!$B:$B,$B30,DeadRaw!BG:BG)</f>
        <v>0</v>
      </c>
      <c r="BF30">
        <f>SUMIF(DeadRaw!$B:$B,$B30,DeadRaw!BH:BH)</f>
        <v>0</v>
      </c>
      <c r="BG30">
        <f>SUMIF(DeadRaw!$B:$B,$B30,DeadRaw!BI:BI)</f>
        <v>0</v>
      </c>
      <c r="BH30">
        <f>SUMIF(DeadRaw!$B:$B,$B30,DeadRaw!BJ:BJ)</f>
        <v>0</v>
      </c>
      <c r="BI30">
        <f>SUMIF(DeadRaw!$B:$B,$B30,DeadRaw!BK:BK)</f>
        <v>0</v>
      </c>
      <c r="BJ30">
        <f>SUMIF(DeadRaw!$B:$B,$B30,DeadRaw!BL:BL)</f>
        <v>0</v>
      </c>
      <c r="BK30">
        <f>SUMIF(DeadRaw!$B:$B,$B30,DeadRaw!BM:BM)</f>
        <v>1</v>
      </c>
      <c r="BL30">
        <f>SUMIF(DeadRaw!$B:$B,$B30,DeadRaw!BN:BN)</f>
        <v>1</v>
      </c>
      <c r="BM30">
        <f>SUMIF(DeadRaw!$B:$B,$B30,DeadRaw!BO:BO)</f>
        <v>3</v>
      </c>
      <c r="BN30">
        <f>SUMIF(DeadRaw!$B:$B,$B30,DeadRaw!BP:BP)</f>
        <v>6</v>
      </c>
      <c r="BO30">
        <f>SUMIF(DeadRaw!$B:$B,$B30,DeadRaw!BQ:BQ)</f>
        <v>9</v>
      </c>
      <c r="BP30">
        <f>SUMIF(DeadRaw!$B:$B,$B30,DeadRaw!BR:BR)</f>
        <v>9</v>
      </c>
      <c r="BQ30">
        <f>SUMIF(DeadRaw!$B:$B,$B30,DeadRaw!BS:BS)</f>
        <v>11</v>
      </c>
      <c r="BR30">
        <f>SUMIF(DeadRaw!$B:$B,$B30,DeadRaw!BT:BT)</f>
        <v>0</v>
      </c>
      <c r="BS30">
        <f>SUMIF(DeadRaw!$B:$B,$B30,DeadRaw!BU:BU)</f>
        <v>0</v>
      </c>
      <c r="BT30">
        <f>SUMIF(DeadRaw!$B:$B,$B30,DeadRaw!BV:BV)</f>
        <v>0</v>
      </c>
      <c r="BU30">
        <f>SUMIF(DeadRaw!$B:$B,$B30,DeadRaw!BW:BW)</f>
        <v>0</v>
      </c>
    </row>
    <row r="31" spans="1:73" ht="15" thickBot="1" x14ac:dyDescent="0.35">
      <c r="A31" s="97" t="str">
        <f>VLOOKUP(B31,Country_Data!B:Q,16,FALSE)</f>
        <v>Europe</v>
      </c>
      <c r="B31" s="4" t="s">
        <v>141</v>
      </c>
      <c r="C31">
        <f>SUMIF(DeadRaw!$B:$B,$B31,DeadRaw!E:E)</f>
        <v>0</v>
      </c>
      <c r="D31">
        <f>SUMIF(DeadRaw!$B:$B,$B31,DeadRaw!F:F)</f>
        <v>0</v>
      </c>
      <c r="E31">
        <f>SUMIF(DeadRaw!$B:$B,$B31,DeadRaw!G:G)</f>
        <v>0</v>
      </c>
      <c r="F31">
        <f>SUMIF(DeadRaw!$B:$B,$B31,DeadRaw!H:H)</f>
        <v>0</v>
      </c>
      <c r="G31">
        <f>SUMIF(DeadRaw!$B:$B,$B31,DeadRaw!I:I)</f>
        <v>0</v>
      </c>
      <c r="H31">
        <f>SUMIF(DeadRaw!$B:$B,$B31,DeadRaw!J:J)</f>
        <v>0</v>
      </c>
      <c r="I31">
        <f>SUMIF(DeadRaw!$B:$B,$B31,DeadRaw!K:K)</f>
        <v>0</v>
      </c>
      <c r="J31">
        <f>SUMIF(DeadRaw!$B:$B,$B31,DeadRaw!L:L)</f>
        <v>0</v>
      </c>
      <c r="K31">
        <f>SUMIF(DeadRaw!$B:$B,$B31,DeadRaw!M:M)</f>
        <v>0</v>
      </c>
      <c r="L31">
        <f>SUMIF(DeadRaw!$B:$B,$B31,DeadRaw!N:N)</f>
        <v>0</v>
      </c>
      <c r="M31">
        <f>SUMIF(DeadRaw!$B:$B,$B31,DeadRaw!O:O)</f>
        <v>0</v>
      </c>
      <c r="N31">
        <f>SUMIF(DeadRaw!$B:$B,$B31,DeadRaw!P:P)</f>
        <v>0</v>
      </c>
      <c r="O31">
        <f>SUMIF(DeadRaw!$B:$B,$B31,DeadRaw!Q:Q)</f>
        <v>0</v>
      </c>
      <c r="P31">
        <f>SUMIF(DeadRaw!$B:$B,$B31,DeadRaw!R:R)</f>
        <v>0</v>
      </c>
      <c r="Q31">
        <f>SUMIF(DeadRaw!$B:$B,$B31,DeadRaw!S:S)</f>
        <v>0</v>
      </c>
      <c r="R31">
        <f>SUMIF(DeadRaw!$B:$B,$B31,DeadRaw!T:T)</f>
        <v>0</v>
      </c>
      <c r="S31">
        <f>SUMIF(DeadRaw!$B:$B,$B31,DeadRaw!U:U)</f>
        <v>0</v>
      </c>
      <c r="T31">
        <f>SUMIF(DeadRaw!$B:$B,$B31,DeadRaw!V:V)</f>
        <v>0</v>
      </c>
      <c r="U31">
        <f>SUMIF(DeadRaw!$B:$B,$B31,DeadRaw!W:W)</f>
        <v>0</v>
      </c>
      <c r="V31">
        <f>SUMIF(DeadRaw!$B:$B,$B31,DeadRaw!X:X)</f>
        <v>0</v>
      </c>
      <c r="W31">
        <f>SUMIF(DeadRaw!$B:$B,$B31,DeadRaw!Y:Y)</f>
        <v>0</v>
      </c>
      <c r="X31">
        <f>SUMIF(DeadRaw!$B:$B,$B31,DeadRaw!Z:Z)</f>
        <v>0</v>
      </c>
      <c r="Y31">
        <f>SUMIF(DeadRaw!$B:$B,$B31,DeadRaw!AA:AA)</f>
        <v>0</v>
      </c>
      <c r="Z31">
        <f>SUMIF(DeadRaw!$B:$B,$B31,DeadRaw!AB:AB)</f>
        <v>0</v>
      </c>
      <c r="AA31">
        <f>SUMIF(DeadRaw!$B:$B,$B31,DeadRaw!AC:AC)</f>
        <v>0</v>
      </c>
      <c r="AB31">
        <f>SUMIF(DeadRaw!$B:$B,$B31,DeadRaw!AD:AD)</f>
        <v>0</v>
      </c>
      <c r="AC31">
        <f>SUMIF(DeadRaw!$B:$B,$B31,DeadRaw!AE:AE)</f>
        <v>0</v>
      </c>
      <c r="AD31">
        <f>SUMIF(DeadRaw!$B:$B,$B31,DeadRaw!AF:AF)</f>
        <v>0</v>
      </c>
      <c r="AE31">
        <f>SUMIF(DeadRaw!$B:$B,$B31,DeadRaw!AG:AG)</f>
        <v>0</v>
      </c>
      <c r="AF31">
        <f>SUMIF(DeadRaw!$B:$B,$B31,DeadRaw!AH:AH)</f>
        <v>0</v>
      </c>
      <c r="AG31">
        <f>SUMIF(DeadRaw!$B:$B,$B31,DeadRaw!AI:AI)</f>
        <v>0</v>
      </c>
      <c r="AH31">
        <f>SUMIF(DeadRaw!$B:$B,$B31,DeadRaw!AJ:AJ)</f>
        <v>0</v>
      </c>
      <c r="AI31">
        <f>SUMIF(DeadRaw!$B:$B,$B31,DeadRaw!AK:AK)</f>
        <v>0</v>
      </c>
      <c r="AJ31">
        <f>SUMIF(DeadRaw!$B:$B,$B31,DeadRaw!AL:AL)</f>
        <v>0</v>
      </c>
      <c r="AK31">
        <f>SUMIF(DeadRaw!$B:$B,$B31,DeadRaw!AM:AM)</f>
        <v>0</v>
      </c>
      <c r="AL31">
        <f>SUMIF(DeadRaw!$B:$B,$B31,DeadRaw!AN:AN)</f>
        <v>0</v>
      </c>
      <c r="AM31">
        <f>SUMIF(DeadRaw!$B:$B,$B31,DeadRaw!AO:AO)</f>
        <v>0</v>
      </c>
      <c r="AN31">
        <f>SUMIF(DeadRaw!$B:$B,$B31,DeadRaw!AP:AP)</f>
        <v>0</v>
      </c>
      <c r="AO31">
        <f>SUMIF(DeadRaw!$B:$B,$B31,DeadRaw!AQ:AQ)</f>
        <v>0</v>
      </c>
      <c r="AP31">
        <f>SUMIF(DeadRaw!$B:$B,$B31,DeadRaw!AR:AR)</f>
        <v>0</v>
      </c>
      <c r="AQ31">
        <f>SUMIF(DeadRaw!$B:$B,$B31,DeadRaw!AS:AS)</f>
        <v>0</v>
      </c>
      <c r="AR31">
        <f>SUMIF(DeadRaw!$B:$B,$B31,DeadRaw!AT:AT)</f>
        <v>0</v>
      </c>
      <c r="AS31">
        <f>SUMIF(DeadRaw!$B:$B,$B31,DeadRaw!AU:AU)</f>
        <v>0</v>
      </c>
      <c r="AT31">
        <f>SUMIF(DeadRaw!$B:$B,$B31,DeadRaw!AV:AV)</f>
        <v>0</v>
      </c>
      <c r="AU31">
        <f>SUMIF(DeadRaw!$B:$B,$B31,DeadRaw!AW:AW)</f>
        <v>0</v>
      </c>
      <c r="AV31">
        <f>SUMIF(DeadRaw!$B:$B,$B31,DeadRaw!AX:AX)</f>
        <v>0</v>
      </c>
      <c r="AW31">
        <f>SUMIF(DeadRaw!$B:$B,$B31,DeadRaw!AY:AY)</f>
        <v>0</v>
      </c>
      <c r="AX31">
        <f>SUMIF(DeadRaw!$B:$B,$B31,DeadRaw!AZ:AZ)</f>
        <v>0</v>
      </c>
      <c r="AY31">
        <f>SUMIF(DeadRaw!$B:$B,$B31,DeadRaw!BA:BA)</f>
        <v>0</v>
      </c>
      <c r="AZ31">
        <f>SUMIF(DeadRaw!$B:$B,$B31,DeadRaw!BB:BB)</f>
        <v>0</v>
      </c>
      <c r="BA31">
        <f>SUMIF(DeadRaw!$B:$B,$B31,DeadRaw!BC:BC)</f>
        <v>0</v>
      </c>
      <c r="BB31">
        <f>SUMIF(DeadRaw!$B:$B,$B31,DeadRaw!BD:BD)</f>
        <v>0</v>
      </c>
      <c r="BC31">
        <f>SUMIF(DeadRaw!$B:$B,$B31,DeadRaw!BE:BE)</f>
        <v>1</v>
      </c>
      <c r="BD31">
        <f>SUMIF(DeadRaw!$B:$B,$B31,DeadRaw!BF:BF)</f>
        <v>1</v>
      </c>
      <c r="BE31">
        <f>SUMIF(DeadRaw!$B:$B,$B31,DeadRaw!BG:BG)</f>
        <v>1</v>
      </c>
      <c r="BF31">
        <f>SUMIF(DeadRaw!$B:$B,$B31,DeadRaw!BH:BH)</f>
        <v>1</v>
      </c>
      <c r="BG31">
        <f>SUMIF(DeadRaw!$B:$B,$B31,DeadRaw!BI:BI)</f>
        <v>1</v>
      </c>
      <c r="BH31">
        <f>SUMIF(DeadRaw!$B:$B,$B31,DeadRaw!BJ:BJ)</f>
        <v>1</v>
      </c>
      <c r="BI31">
        <f>SUMIF(DeadRaw!$B:$B,$B31,DeadRaw!BK:BK)</f>
        <v>1</v>
      </c>
      <c r="BJ31">
        <f>SUMIF(DeadRaw!$B:$B,$B31,DeadRaw!BL:BL)</f>
        <v>1</v>
      </c>
      <c r="BK31">
        <f>SUMIF(DeadRaw!$B:$B,$B31,DeadRaw!BM:BM)</f>
        <v>2</v>
      </c>
      <c r="BL31">
        <f>SUMIF(DeadRaw!$B:$B,$B31,DeadRaw!BN:BN)</f>
        <v>3</v>
      </c>
      <c r="BM31">
        <f>SUMIF(DeadRaw!$B:$B,$B31,DeadRaw!BO:BO)</f>
        <v>4</v>
      </c>
      <c r="BN31">
        <f>SUMIF(DeadRaw!$B:$B,$B31,DeadRaw!BP:BP)</f>
        <v>5</v>
      </c>
      <c r="BO31">
        <f>SUMIF(DeadRaw!$B:$B,$B31,DeadRaw!BQ:BQ)</f>
        <v>6</v>
      </c>
      <c r="BP31">
        <f>SUMIF(DeadRaw!$B:$B,$B31,DeadRaw!BR:BR)</f>
        <v>9</v>
      </c>
      <c r="BQ31">
        <f>SUMIF(DeadRaw!$B:$B,$B31,DeadRaw!BS:BS)</f>
        <v>9</v>
      </c>
      <c r="BR31">
        <f>SUMIF(DeadRaw!$B:$B,$B31,DeadRaw!BT:BT)</f>
        <v>0</v>
      </c>
      <c r="BS31">
        <f>SUMIF(DeadRaw!$B:$B,$B31,DeadRaw!BU:BU)</f>
        <v>0</v>
      </c>
      <c r="BT31">
        <f>SUMIF(DeadRaw!$B:$B,$B31,DeadRaw!BV:BV)</f>
        <v>0</v>
      </c>
      <c r="BU31">
        <f>SUMIF(DeadRaw!$B:$B,$B31,DeadRaw!BW:BW)</f>
        <v>0</v>
      </c>
    </row>
    <row r="32" spans="1:73" ht="15" thickBot="1" x14ac:dyDescent="0.35">
      <c r="A32" s="97" t="str">
        <f>VLOOKUP(B32,Country_Data!B:Q,16,FALSE)</f>
        <v>Europe</v>
      </c>
      <c r="B32" s="4" t="s">
        <v>92</v>
      </c>
      <c r="C32">
        <f>SUMIF(DeadRaw!$B:$B,$B32,DeadRaw!E:E)</f>
        <v>0</v>
      </c>
      <c r="D32">
        <f>SUMIF(DeadRaw!$B:$B,$B32,DeadRaw!F:F)</f>
        <v>0</v>
      </c>
      <c r="E32">
        <f>SUMIF(DeadRaw!$B:$B,$B32,DeadRaw!G:G)</f>
        <v>0</v>
      </c>
      <c r="F32">
        <f>SUMIF(DeadRaw!$B:$B,$B32,DeadRaw!H:H)</f>
        <v>0</v>
      </c>
      <c r="G32">
        <f>SUMIF(DeadRaw!$B:$B,$B32,DeadRaw!I:I)</f>
        <v>0</v>
      </c>
      <c r="H32">
        <f>SUMIF(DeadRaw!$B:$B,$B32,DeadRaw!J:J)</f>
        <v>0</v>
      </c>
      <c r="I32">
        <f>SUMIF(DeadRaw!$B:$B,$B32,DeadRaw!K:K)</f>
        <v>0</v>
      </c>
      <c r="J32">
        <f>SUMIF(DeadRaw!$B:$B,$B32,DeadRaw!L:L)</f>
        <v>0</v>
      </c>
      <c r="K32">
        <f>SUMIF(DeadRaw!$B:$B,$B32,DeadRaw!M:M)</f>
        <v>0</v>
      </c>
      <c r="L32">
        <f>SUMIF(DeadRaw!$B:$B,$B32,DeadRaw!N:N)</f>
        <v>0</v>
      </c>
      <c r="M32">
        <f>SUMIF(DeadRaw!$B:$B,$B32,DeadRaw!O:O)</f>
        <v>0</v>
      </c>
      <c r="N32">
        <f>SUMIF(DeadRaw!$B:$B,$B32,DeadRaw!P:P)</f>
        <v>0</v>
      </c>
      <c r="O32">
        <f>SUMIF(DeadRaw!$B:$B,$B32,DeadRaw!Q:Q)</f>
        <v>0</v>
      </c>
      <c r="P32">
        <f>SUMIF(DeadRaw!$B:$B,$B32,DeadRaw!R:R)</f>
        <v>0</v>
      </c>
      <c r="Q32">
        <f>SUMIF(DeadRaw!$B:$B,$B32,DeadRaw!S:S)</f>
        <v>0</v>
      </c>
      <c r="R32">
        <f>SUMIF(DeadRaw!$B:$B,$B32,DeadRaw!T:T)</f>
        <v>0</v>
      </c>
      <c r="S32">
        <f>SUMIF(DeadRaw!$B:$B,$B32,DeadRaw!U:U)</f>
        <v>0</v>
      </c>
      <c r="T32">
        <f>SUMIF(DeadRaw!$B:$B,$B32,DeadRaw!V:V)</f>
        <v>0</v>
      </c>
      <c r="U32">
        <f>SUMIF(DeadRaw!$B:$B,$B32,DeadRaw!W:W)</f>
        <v>0</v>
      </c>
      <c r="V32">
        <f>SUMIF(DeadRaw!$B:$B,$B32,DeadRaw!X:X)</f>
        <v>0</v>
      </c>
      <c r="W32">
        <f>SUMIF(DeadRaw!$B:$B,$B32,DeadRaw!Y:Y)</f>
        <v>0</v>
      </c>
      <c r="X32">
        <f>SUMIF(DeadRaw!$B:$B,$B32,DeadRaw!Z:Z)</f>
        <v>0</v>
      </c>
      <c r="Y32">
        <f>SUMIF(DeadRaw!$B:$B,$B32,DeadRaw!AA:AA)</f>
        <v>0</v>
      </c>
      <c r="Z32">
        <f>SUMIF(DeadRaw!$B:$B,$B32,DeadRaw!AB:AB)</f>
        <v>0</v>
      </c>
      <c r="AA32">
        <f>SUMIF(DeadRaw!$B:$B,$B32,DeadRaw!AC:AC)</f>
        <v>0</v>
      </c>
      <c r="AB32">
        <f>SUMIF(DeadRaw!$B:$B,$B32,DeadRaw!AD:AD)</f>
        <v>0</v>
      </c>
      <c r="AC32">
        <f>SUMIF(DeadRaw!$B:$B,$B32,DeadRaw!AE:AE)</f>
        <v>0</v>
      </c>
      <c r="AD32">
        <f>SUMIF(DeadRaw!$B:$B,$B32,DeadRaw!AF:AF)</f>
        <v>0</v>
      </c>
      <c r="AE32">
        <f>SUMIF(DeadRaw!$B:$B,$B32,DeadRaw!AG:AG)</f>
        <v>0</v>
      </c>
      <c r="AF32">
        <f>SUMIF(DeadRaw!$B:$B,$B32,DeadRaw!AH:AH)</f>
        <v>0</v>
      </c>
      <c r="AG32">
        <f>SUMIF(DeadRaw!$B:$B,$B32,DeadRaw!AI:AI)</f>
        <v>0</v>
      </c>
      <c r="AH32">
        <f>SUMIF(DeadRaw!$B:$B,$B32,DeadRaw!AJ:AJ)</f>
        <v>0</v>
      </c>
      <c r="AI32">
        <f>SUMIF(DeadRaw!$B:$B,$B32,DeadRaw!AK:AK)</f>
        <v>0</v>
      </c>
      <c r="AJ32">
        <f>SUMIF(DeadRaw!$B:$B,$B32,DeadRaw!AL:AL)</f>
        <v>0</v>
      </c>
      <c r="AK32">
        <f>SUMIF(DeadRaw!$B:$B,$B32,DeadRaw!AM:AM)</f>
        <v>0</v>
      </c>
      <c r="AL32">
        <f>SUMIF(DeadRaw!$B:$B,$B32,DeadRaw!AN:AN)</f>
        <v>0</v>
      </c>
      <c r="AM32">
        <f>SUMIF(DeadRaw!$B:$B,$B32,DeadRaw!AO:AO)</f>
        <v>0</v>
      </c>
      <c r="AN32">
        <f>SUMIF(DeadRaw!$B:$B,$B32,DeadRaw!AP:AP)</f>
        <v>0</v>
      </c>
      <c r="AO32">
        <f>SUMIF(DeadRaw!$B:$B,$B32,DeadRaw!AQ:AQ)</f>
        <v>0</v>
      </c>
      <c r="AP32">
        <f>SUMIF(DeadRaw!$B:$B,$B32,DeadRaw!AR:AR)</f>
        <v>0</v>
      </c>
      <c r="AQ32">
        <f>SUMIF(DeadRaw!$B:$B,$B32,DeadRaw!AS:AS)</f>
        <v>0</v>
      </c>
      <c r="AR32">
        <f>SUMIF(DeadRaw!$B:$B,$B32,DeadRaw!AT:AT)</f>
        <v>0</v>
      </c>
      <c r="AS32">
        <f>SUMIF(DeadRaw!$B:$B,$B32,DeadRaw!AU:AU)</f>
        <v>0</v>
      </c>
      <c r="AT32">
        <f>SUMIF(DeadRaw!$B:$B,$B32,DeadRaw!AV:AV)</f>
        <v>0</v>
      </c>
      <c r="AU32">
        <f>SUMIF(DeadRaw!$B:$B,$B32,DeadRaw!AW:AW)</f>
        <v>0</v>
      </c>
      <c r="AV32">
        <f>SUMIF(DeadRaw!$B:$B,$B32,DeadRaw!AX:AX)</f>
        <v>0</v>
      </c>
      <c r="AW32">
        <f>SUMIF(DeadRaw!$B:$B,$B32,DeadRaw!AY:AY)</f>
        <v>0</v>
      </c>
      <c r="AX32">
        <f>SUMIF(DeadRaw!$B:$B,$B32,DeadRaw!AZ:AZ)</f>
        <v>0</v>
      </c>
      <c r="AY32">
        <f>SUMIF(DeadRaw!$B:$B,$B32,DeadRaw!BA:BA)</f>
        <v>0</v>
      </c>
      <c r="AZ32">
        <f>SUMIF(DeadRaw!$B:$B,$B32,DeadRaw!BB:BB)</f>
        <v>0</v>
      </c>
      <c r="BA32">
        <f>SUMIF(DeadRaw!$B:$B,$B32,DeadRaw!BC:BC)</f>
        <v>0</v>
      </c>
      <c r="BB32">
        <f>SUMIF(DeadRaw!$B:$B,$B32,DeadRaw!BD:BD)</f>
        <v>0</v>
      </c>
      <c r="BC32">
        <f>SUMIF(DeadRaw!$B:$B,$B32,DeadRaw!BE:BE)</f>
        <v>0</v>
      </c>
      <c r="BD32">
        <f>SUMIF(DeadRaw!$B:$B,$B32,DeadRaw!BF:BF)</f>
        <v>5</v>
      </c>
      <c r="BE32">
        <f>SUMIF(DeadRaw!$B:$B,$B32,DeadRaw!BG:BG)</f>
        <v>0</v>
      </c>
      <c r="BF32">
        <f>SUMIF(DeadRaw!$B:$B,$B32,DeadRaw!BH:BH)</f>
        <v>1</v>
      </c>
      <c r="BG32">
        <f>SUMIF(DeadRaw!$B:$B,$B32,DeadRaw!BI:BI)</f>
        <v>1</v>
      </c>
      <c r="BH32">
        <f>SUMIF(DeadRaw!$B:$B,$B32,DeadRaw!BJ:BJ)</f>
        <v>1</v>
      </c>
      <c r="BI32">
        <f>SUMIF(DeadRaw!$B:$B,$B32,DeadRaw!BK:BK)</f>
        <v>0</v>
      </c>
      <c r="BJ32">
        <f>SUMIF(DeadRaw!$B:$B,$B32,DeadRaw!BL:BL)</f>
        <v>1</v>
      </c>
      <c r="BK32">
        <f>SUMIF(DeadRaw!$B:$B,$B32,DeadRaw!BM:BM)</f>
        <v>1</v>
      </c>
      <c r="BL32">
        <f>SUMIF(DeadRaw!$B:$B,$B32,DeadRaw!BN:BN)</f>
        <v>1</v>
      </c>
      <c r="BM32">
        <f>SUMIF(DeadRaw!$B:$B,$B32,DeadRaw!BO:BO)</f>
        <v>2</v>
      </c>
      <c r="BN32">
        <f>SUMIF(DeadRaw!$B:$B,$B32,DeadRaw!BP:BP)</f>
        <v>2</v>
      </c>
      <c r="BO32">
        <f>SUMIF(DeadRaw!$B:$B,$B32,DeadRaw!BQ:BQ)</f>
        <v>2</v>
      </c>
      <c r="BP32">
        <f>SUMIF(DeadRaw!$B:$B,$B32,DeadRaw!BR:BR)</f>
        <v>2</v>
      </c>
      <c r="BQ32">
        <f>SUMIF(DeadRaw!$B:$B,$B32,DeadRaw!BS:BS)</f>
        <v>2</v>
      </c>
      <c r="BR32">
        <f>SUMIF(DeadRaw!$B:$B,$B32,DeadRaw!BT:BT)</f>
        <v>0</v>
      </c>
      <c r="BS32">
        <f>SUMIF(DeadRaw!$B:$B,$B32,DeadRaw!BU:BU)</f>
        <v>0</v>
      </c>
      <c r="BT32">
        <f>SUMIF(DeadRaw!$B:$B,$B32,DeadRaw!BV:BV)</f>
        <v>0</v>
      </c>
      <c r="BU32">
        <f>SUMIF(DeadRaw!$B:$B,$B32,DeadRaw!BW:BW)</f>
        <v>0</v>
      </c>
    </row>
    <row r="33" spans="1:73" ht="15" thickBot="1" x14ac:dyDescent="0.35">
      <c r="A33" s="97" t="str">
        <f>VLOOKUP(B33,Country_Data!B:Q,16,FALSE)</f>
        <v>Europe</v>
      </c>
      <c r="B33" s="3" t="s">
        <v>108</v>
      </c>
      <c r="C33">
        <f>SUMIF(DeadRaw!$B:$B,$B33,DeadRaw!E:E)</f>
        <v>0</v>
      </c>
      <c r="D33">
        <f>SUMIF(DeadRaw!$B:$B,$B33,DeadRaw!F:F)</f>
        <v>0</v>
      </c>
      <c r="E33">
        <f>SUMIF(DeadRaw!$B:$B,$B33,DeadRaw!G:G)</f>
        <v>0</v>
      </c>
      <c r="F33">
        <f>SUMIF(DeadRaw!$B:$B,$B33,DeadRaw!H:H)</f>
        <v>0</v>
      </c>
      <c r="G33">
        <f>SUMIF(DeadRaw!$B:$B,$B33,DeadRaw!I:I)</f>
        <v>0</v>
      </c>
      <c r="H33">
        <f>SUMIF(DeadRaw!$B:$B,$B33,DeadRaw!J:J)</f>
        <v>0</v>
      </c>
      <c r="I33">
        <f>SUMIF(DeadRaw!$B:$B,$B33,DeadRaw!K:K)</f>
        <v>0</v>
      </c>
      <c r="J33">
        <f>SUMIF(DeadRaw!$B:$B,$B33,DeadRaw!L:L)</f>
        <v>0</v>
      </c>
      <c r="K33">
        <f>SUMIF(DeadRaw!$B:$B,$B33,DeadRaw!M:M)</f>
        <v>0</v>
      </c>
      <c r="L33">
        <f>SUMIF(DeadRaw!$B:$B,$B33,DeadRaw!N:N)</f>
        <v>0</v>
      </c>
      <c r="M33">
        <f>SUMIF(DeadRaw!$B:$B,$B33,DeadRaw!O:O)</f>
        <v>0</v>
      </c>
      <c r="N33">
        <f>SUMIF(DeadRaw!$B:$B,$B33,DeadRaw!P:P)</f>
        <v>0</v>
      </c>
      <c r="O33">
        <f>SUMIF(DeadRaw!$B:$B,$B33,DeadRaw!Q:Q)</f>
        <v>0</v>
      </c>
      <c r="P33">
        <f>SUMIF(DeadRaw!$B:$B,$B33,DeadRaw!R:R)</f>
        <v>0</v>
      </c>
      <c r="Q33">
        <f>SUMIF(DeadRaw!$B:$B,$B33,DeadRaw!S:S)</f>
        <v>0</v>
      </c>
      <c r="R33">
        <f>SUMIF(DeadRaw!$B:$B,$B33,DeadRaw!T:T)</f>
        <v>0</v>
      </c>
      <c r="S33">
        <f>SUMIF(DeadRaw!$B:$B,$B33,DeadRaw!U:U)</f>
        <v>0</v>
      </c>
      <c r="T33">
        <f>SUMIF(DeadRaw!$B:$B,$B33,DeadRaw!V:V)</f>
        <v>0</v>
      </c>
      <c r="U33">
        <f>SUMIF(DeadRaw!$B:$B,$B33,DeadRaw!W:W)</f>
        <v>0</v>
      </c>
      <c r="V33">
        <f>SUMIF(DeadRaw!$B:$B,$B33,DeadRaw!X:X)</f>
        <v>0</v>
      </c>
      <c r="W33">
        <f>SUMIF(DeadRaw!$B:$B,$B33,DeadRaw!Y:Y)</f>
        <v>0</v>
      </c>
      <c r="X33">
        <f>SUMIF(DeadRaw!$B:$B,$B33,DeadRaw!Z:Z)</f>
        <v>0</v>
      </c>
      <c r="Y33">
        <f>SUMIF(DeadRaw!$B:$B,$B33,DeadRaw!AA:AA)</f>
        <v>0</v>
      </c>
      <c r="Z33">
        <f>SUMIF(DeadRaw!$B:$B,$B33,DeadRaw!AB:AB)</f>
        <v>0</v>
      </c>
      <c r="AA33">
        <f>SUMIF(DeadRaw!$B:$B,$B33,DeadRaw!AC:AC)</f>
        <v>0</v>
      </c>
      <c r="AB33">
        <f>SUMIF(DeadRaw!$B:$B,$B33,DeadRaw!AD:AD)</f>
        <v>0</v>
      </c>
      <c r="AC33">
        <f>SUMIF(DeadRaw!$B:$B,$B33,DeadRaw!AE:AE)</f>
        <v>0</v>
      </c>
      <c r="AD33">
        <f>SUMIF(DeadRaw!$B:$B,$B33,DeadRaw!AF:AF)</f>
        <v>0</v>
      </c>
      <c r="AE33">
        <f>SUMIF(DeadRaw!$B:$B,$B33,DeadRaw!AG:AG)</f>
        <v>0</v>
      </c>
      <c r="AF33">
        <f>SUMIF(DeadRaw!$B:$B,$B33,DeadRaw!AH:AH)</f>
        <v>0</v>
      </c>
      <c r="AG33">
        <f>SUMIF(DeadRaw!$B:$B,$B33,DeadRaw!AI:AI)</f>
        <v>0</v>
      </c>
      <c r="AH33">
        <f>SUMIF(DeadRaw!$B:$B,$B33,DeadRaw!AJ:AJ)</f>
        <v>0</v>
      </c>
      <c r="AI33">
        <f>SUMIF(DeadRaw!$B:$B,$B33,DeadRaw!AK:AK)</f>
        <v>0</v>
      </c>
      <c r="AJ33">
        <f>SUMIF(DeadRaw!$B:$B,$B33,DeadRaw!AL:AL)</f>
        <v>0</v>
      </c>
      <c r="AK33">
        <f>SUMIF(DeadRaw!$B:$B,$B33,DeadRaw!AM:AM)</f>
        <v>0</v>
      </c>
      <c r="AL33">
        <f>SUMIF(DeadRaw!$B:$B,$B33,DeadRaw!AN:AN)</f>
        <v>0</v>
      </c>
      <c r="AM33">
        <f>SUMIF(DeadRaw!$B:$B,$B33,DeadRaw!AO:AO)</f>
        <v>0</v>
      </c>
      <c r="AN33">
        <f>SUMIF(DeadRaw!$B:$B,$B33,DeadRaw!AP:AP)</f>
        <v>0</v>
      </c>
      <c r="AO33">
        <f>SUMIF(DeadRaw!$B:$B,$B33,DeadRaw!AQ:AQ)</f>
        <v>0</v>
      </c>
      <c r="AP33">
        <f>SUMIF(DeadRaw!$B:$B,$B33,DeadRaw!AR:AR)</f>
        <v>0</v>
      </c>
      <c r="AQ33">
        <f>SUMIF(DeadRaw!$B:$B,$B33,DeadRaw!AS:AS)</f>
        <v>0</v>
      </c>
      <c r="AR33">
        <f>SUMIF(DeadRaw!$B:$B,$B33,DeadRaw!AT:AT)</f>
        <v>0</v>
      </c>
      <c r="AS33">
        <f>SUMIF(DeadRaw!$B:$B,$B33,DeadRaw!AU:AU)</f>
        <v>0</v>
      </c>
      <c r="AT33">
        <f>SUMIF(DeadRaw!$B:$B,$B33,DeadRaw!AV:AV)</f>
        <v>0</v>
      </c>
      <c r="AU33">
        <f>SUMIF(DeadRaw!$B:$B,$B33,DeadRaw!AW:AW)</f>
        <v>0</v>
      </c>
      <c r="AV33">
        <f>SUMIF(DeadRaw!$B:$B,$B33,DeadRaw!AX:AX)</f>
        <v>0</v>
      </c>
      <c r="AW33">
        <f>SUMIF(DeadRaw!$B:$B,$B33,DeadRaw!AY:AY)</f>
        <v>0</v>
      </c>
      <c r="AX33">
        <f>SUMIF(DeadRaw!$B:$B,$B33,DeadRaw!AZ:AZ)</f>
        <v>0</v>
      </c>
      <c r="AY33">
        <f>SUMIF(DeadRaw!$B:$B,$B33,DeadRaw!BA:BA)</f>
        <v>0</v>
      </c>
      <c r="AZ33">
        <f>SUMIF(DeadRaw!$B:$B,$B33,DeadRaw!BB:BB)</f>
        <v>0</v>
      </c>
      <c r="BA33">
        <f>SUMIF(DeadRaw!$B:$B,$B33,DeadRaw!BC:BC)</f>
        <v>0</v>
      </c>
      <c r="BB33">
        <f>SUMIF(DeadRaw!$B:$B,$B33,DeadRaw!BD:BD)</f>
        <v>0</v>
      </c>
      <c r="BC33">
        <f>SUMIF(DeadRaw!$B:$B,$B33,DeadRaw!BE:BE)</f>
        <v>0</v>
      </c>
      <c r="BD33">
        <f>SUMIF(DeadRaw!$B:$B,$B33,DeadRaw!BF:BF)</f>
        <v>0</v>
      </c>
      <c r="BE33">
        <f>SUMIF(DeadRaw!$B:$B,$B33,DeadRaw!BG:BG)</f>
        <v>0</v>
      </c>
      <c r="BF33">
        <f>SUMIF(DeadRaw!$B:$B,$B33,DeadRaw!BH:BH)</f>
        <v>1</v>
      </c>
      <c r="BG33">
        <f>SUMIF(DeadRaw!$B:$B,$B33,DeadRaw!BI:BI)</f>
        <v>2</v>
      </c>
      <c r="BH33">
        <f>SUMIF(DeadRaw!$B:$B,$B33,DeadRaw!BJ:BJ)</f>
        <v>3</v>
      </c>
      <c r="BI33">
        <f>SUMIF(DeadRaw!$B:$B,$B33,DeadRaw!BK:BK)</f>
        <v>6</v>
      </c>
      <c r="BJ33">
        <f>SUMIF(DeadRaw!$B:$B,$B33,DeadRaw!BL:BL)</f>
        <v>12</v>
      </c>
      <c r="BK33">
        <f>SUMIF(DeadRaw!$B:$B,$B33,DeadRaw!BM:BM)</f>
        <v>14</v>
      </c>
      <c r="BL33">
        <f>SUMIF(DeadRaw!$B:$B,$B33,DeadRaw!BN:BN)</f>
        <v>23</v>
      </c>
      <c r="BM33">
        <f>SUMIF(DeadRaw!$B:$B,$B33,DeadRaw!BO:BO)</f>
        <v>33</v>
      </c>
      <c r="BN33">
        <f>SUMIF(DeadRaw!$B:$B,$B33,DeadRaw!BP:BP)</f>
        <v>43</v>
      </c>
      <c r="BO33">
        <f>SUMIF(DeadRaw!$B:$B,$B33,DeadRaw!BQ:BQ)</f>
        <v>60</v>
      </c>
      <c r="BP33">
        <f>SUMIF(DeadRaw!$B:$B,$B33,DeadRaw!BR:BR)</f>
        <v>76</v>
      </c>
      <c r="BQ33">
        <f>SUMIF(DeadRaw!$B:$B,$B33,DeadRaw!BS:BS)</f>
        <v>100</v>
      </c>
      <c r="BR33">
        <f>SUMIF(DeadRaw!$B:$B,$B33,DeadRaw!BT:BT)</f>
        <v>0</v>
      </c>
      <c r="BS33">
        <f>SUMIF(DeadRaw!$B:$B,$B33,DeadRaw!BU:BU)</f>
        <v>0</v>
      </c>
      <c r="BT33">
        <f>SUMIF(DeadRaw!$B:$B,$B33,DeadRaw!BV:BV)</f>
        <v>0</v>
      </c>
      <c r="BU33">
        <f>SUMIF(DeadRaw!$B:$B,$B33,DeadRaw!BW:BW)</f>
        <v>0</v>
      </c>
    </row>
    <row r="34" spans="1:73" ht="15" thickBot="1" x14ac:dyDescent="0.35">
      <c r="A34" s="97" t="str">
        <f>VLOOKUP(B34,Country_Data!B:Q,16,FALSE)</f>
        <v>Middle East</v>
      </c>
      <c r="B34" s="3" t="s">
        <v>70</v>
      </c>
      <c r="C34">
        <f>SUMIF(DeadRaw!$B:$B,$B34,DeadRaw!E:E)</f>
        <v>0</v>
      </c>
      <c r="D34">
        <f>SUMIF(DeadRaw!$B:$B,$B34,DeadRaw!F:F)</f>
        <v>0</v>
      </c>
      <c r="E34">
        <f>SUMIF(DeadRaw!$B:$B,$B34,DeadRaw!G:G)</f>
        <v>0</v>
      </c>
      <c r="F34">
        <f>SUMIF(DeadRaw!$B:$B,$B34,DeadRaw!H:H)</f>
        <v>0</v>
      </c>
      <c r="G34">
        <f>SUMIF(DeadRaw!$B:$B,$B34,DeadRaw!I:I)</f>
        <v>0</v>
      </c>
      <c r="H34">
        <f>SUMIF(DeadRaw!$B:$B,$B34,DeadRaw!J:J)</f>
        <v>0</v>
      </c>
      <c r="I34">
        <f>SUMIF(DeadRaw!$B:$B,$B34,DeadRaw!K:K)</f>
        <v>0</v>
      </c>
      <c r="J34">
        <f>SUMIF(DeadRaw!$B:$B,$B34,DeadRaw!L:L)</f>
        <v>0</v>
      </c>
      <c r="K34">
        <f>SUMIF(DeadRaw!$B:$B,$B34,DeadRaw!M:M)</f>
        <v>0</v>
      </c>
      <c r="L34">
        <f>SUMIF(DeadRaw!$B:$B,$B34,DeadRaw!N:N)</f>
        <v>0</v>
      </c>
      <c r="M34">
        <f>SUMIF(DeadRaw!$B:$B,$B34,DeadRaw!O:O)</f>
        <v>0</v>
      </c>
      <c r="N34">
        <f>SUMIF(DeadRaw!$B:$B,$B34,DeadRaw!P:P)</f>
        <v>0</v>
      </c>
      <c r="O34">
        <f>SUMIF(DeadRaw!$B:$B,$B34,DeadRaw!Q:Q)</f>
        <v>0</v>
      </c>
      <c r="P34">
        <f>SUMIF(DeadRaw!$B:$B,$B34,DeadRaw!R:R)</f>
        <v>0</v>
      </c>
      <c r="Q34">
        <f>SUMIF(DeadRaw!$B:$B,$B34,DeadRaw!S:S)</f>
        <v>0</v>
      </c>
      <c r="R34">
        <f>SUMIF(DeadRaw!$B:$B,$B34,DeadRaw!T:T)</f>
        <v>0</v>
      </c>
      <c r="S34">
        <f>SUMIF(DeadRaw!$B:$B,$B34,DeadRaw!U:U)</f>
        <v>0</v>
      </c>
      <c r="T34">
        <f>SUMIF(DeadRaw!$B:$B,$B34,DeadRaw!V:V)</f>
        <v>0</v>
      </c>
      <c r="U34">
        <f>SUMIF(DeadRaw!$B:$B,$B34,DeadRaw!W:W)</f>
        <v>0</v>
      </c>
      <c r="V34">
        <f>SUMIF(DeadRaw!$B:$B,$B34,DeadRaw!X:X)</f>
        <v>0</v>
      </c>
      <c r="W34">
        <f>SUMIF(DeadRaw!$B:$B,$B34,DeadRaw!Y:Y)</f>
        <v>0</v>
      </c>
      <c r="X34">
        <f>SUMIF(DeadRaw!$B:$B,$B34,DeadRaw!Z:Z)</f>
        <v>0</v>
      </c>
      <c r="Y34">
        <f>SUMIF(DeadRaw!$B:$B,$B34,DeadRaw!AA:AA)</f>
        <v>0</v>
      </c>
      <c r="Z34">
        <f>SUMIF(DeadRaw!$B:$B,$B34,DeadRaw!AB:AB)</f>
        <v>0</v>
      </c>
      <c r="AA34">
        <f>SUMIF(DeadRaw!$B:$B,$B34,DeadRaw!AC:AC)</f>
        <v>0</v>
      </c>
      <c r="AB34">
        <f>SUMIF(DeadRaw!$B:$B,$B34,DeadRaw!AD:AD)</f>
        <v>0</v>
      </c>
      <c r="AC34">
        <f>SUMIF(DeadRaw!$B:$B,$B34,DeadRaw!AE:AE)</f>
        <v>0</v>
      </c>
      <c r="AD34">
        <f>SUMIF(DeadRaw!$B:$B,$B34,DeadRaw!AF:AF)</f>
        <v>0</v>
      </c>
      <c r="AE34">
        <f>SUMIF(DeadRaw!$B:$B,$B34,DeadRaw!AG:AG)</f>
        <v>0</v>
      </c>
      <c r="AF34">
        <f>SUMIF(DeadRaw!$B:$B,$B34,DeadRaw!AH:AH)</f>
        <v>0</v>
      </c>
      <c r="AG34">
        <f>SUMIF(DeadRaw!$B:$B,$B34,DeadRaw!AI:AI)</f>
        <v>0</v>
      </c>
      <c r="AH34">
        <f>SUMIF(DeadRaw!$B:$B,$B34,DeadRaw!AJ:AJ)</f>
        <v>0</v>
      </c>
      <c r="AI34">
        <f>SUMIF(DeadRaw!$B:$B,$B34,DeadRaw!AK:AK)</f>
        <v>0</v>
      </c>
      <c r="AJ34">
        <f>SUMIF(DeadRaw!$B:$B,$B34,DeadRaw!AL:AL)</f>
        <v>0</v>
      </c>
      <c r="AK34">
        <f>SUMIF(DeadRaw!$B:$B,$B34,DeadRaw!AM:AM)</f>
        <v>0</v>
      </c>
      <c r="AL34">
        <f>SUMIF(DeadRaw!$B:$B,$B34,DeadRaw!AN:AN)</f>
        <v>0</v>
      </c>
      <c r="AM34">
        <f>SUMIF(DeadRaw!$B:$B,$B34,DeadRaw!AO:AO)</f>
        <v>0</v>
      </c>
      <c r="AN34">
        <f>SUMIF(DeadRaw!$B:$B,$B34,DeadRaw!AP:AP)</f>
        <v>0</v>
      </c>
      <c r="AO34">
        <f>SUMIF(DeadRaw!$B:$B,$B34,DeadRaw!AQ:AQ)</f>
        <v>0</v>
      </c>
      <c r="AP34">
        <f>SUMIF(DeadRaw!$B:$B,$B34,DeadRaw!AR:AR)</f>
        <v>0</v>
      </c>
      <c r="AQ34">
        <f>SUMIF(DeadRaw!$B:$B,$B34,DeadRaw!AS:AS)</f>
        <v>0</v>
      </c>
      <c r="AR34">
        <f>SUMIF(DeadRaw!$B:$B,$B34,DeadRaw!AT:AT)</f>
        <v>0</v>
      </c>
      <c r="AS34">
        <f>SUMIF(DeadRaw!$B:$B,$B34,DeadRaw!AU:AU)</f>
        <v>2</v>
      </c>
      <c r="AT34">
        <f>SUMIF(DeadRaw!$B:$B,$B34,DeadRaw!AV:AV)</f>
        <v>2</v>
      </c>
      <c r="AU34">
        <f>SUMIF(DeadRaw!$B:$B,$B34,DeadRaw!AW:AW)</f>
        <v>3</v>
      </c>
      <c r="AV34">
        <f>SUMIF(DeadRaw!$B:$B,$B34,DeadRaw!AX:AX)</f>
        <v>4</v>
      </c>
      <c r="AW34">
        <f>SUMIF(DeadRaw!$B:$B,$B34,DeadRaw!AY:AY)</f>
        <v>6</v>
      </c>
      <c r="AX34">
        <f>SUMIF(DeadRaw!$B:$B,$B34,DeadRaw!AZ:AZ)</f>
        <v>6</v>
      </c>
      <c r="AY34">
        <f>SUMIF(DeadRaw!$B:$B,$B34,DeadRaw!BA:BA)</f>
        <v>7</v>
      </c>
      <c r="AZ34">
        <f>SUMIF(DeadRaw!$B:$B,$B34,DeadRaw!BB:BB)</f>
        <v>7</v>
      </c>
      <c r="BA34">
        <f>SUMIF(DeadRaw!$B:$B,$B34,DeadRaw!BC:BC)</f>
        <v>8</v>
      </c>
      <c r="BB34">
        <f>SUMIF(DeadRaw!$B:$B,$B34,DeadRaw!BD:BD)</f>
        <v>9</v>
      </c>
      <c r="BC34">
        <f>SUMIF(DeadRaw!$B:$B,$B34,DeadRaw!BE:BE)</f>
        <v>10</v>
      </c>
      <c r="BD34">
        <f>SUMIF(DeadRaw!$B:$B,$B34,DeadRaw!BF:BF)</f>
        <v>10</v>
      </c>
      <c r="BE34">
        <f>SUMIF(DeadRaw!$B:$B,$B34,DeadRaw!BG:BG)</f>
        <v>10</v>
      </c>
      <c r="BF34">
        <f>SUMIF(DeadRaw!$B:$B,$B34,DeadRaw!BH:BH)</f>
        <v>11</v>
      </c>
      <c r="BG34">
        <f>SUMIF(DeadRaw!$B:$B,$B34,DeadRaw!BI:BI)</f>
        <v>12</v>
      </c>
      <c r="BH34">
        <f>SUMIF(DeadRaw!$B:$B,$B34,DeadRaw!BJ:BJ)</f>
        <v>13</v>
      </c>
      <c r="BI34">
        <f>SUMIF(DeadRaw!$B:$B,$B34,DeadRaw!BK:BK)</f>
        <v>17</v>
      </c>
      <c r="BJ34">
        <f>SUMIF(DeadRaw!$B:$B,$B34,DeadRaw!BL:BL)</f>
        <v>17</v>
      </c>
      <c r="BK34">
        <f>SUMIF(DeadRaw!$B:$B,$B34,DeadRaw!BM:BM)</f>
        <v>20</v>
      </c>
      <c r="BL34">
        <f>SUMIF(DeadRaw!$B:$B,$B34,DeadRaw!BN:BN)</f>
        <v>23</v>
      </c>
      <c r="BM34">
        <f>SUMIF(DeadRaw!$B:$B,$B34,DeadRaw!BO:BO)</f>
        <v>27</v>
      </c>
      <c r="BN34">
        <f>SUMIF(DeadRaw!$B:$B,$B34,DeadRaw!BP:BP)</f>
        <v>29</v>
      </c>
      <c r="BO34">
        <f>SUMIF(DeadRaw!$B:$B,$B34,DeadRaw!BQ:BQ)</f>
        <v>36</v>
      </c>
      <c r="BP34">
        <f>SUMIF(DeadRaw!$B:$B,$B34,DeadRaw!BR:BR)</f>
        <v>40</v>
      </c>
      <c r="BQ34">
        <f>SUMIF(DeadRaw!$B:$B,$B34,DeadRaw!BS:BS)</f>
        <v>42</v>
      </c>
      <c r="BR34">
        <f>SUMIF(DeadRaw!$B:$B,$B34,DeadRaw!BT:BT)</f>
        <v>0</v>
      </c>
      <c r="BS34">
        <f>SUMIF(DeadRaw!$B:$B,$B34,DeadRaw!BU:BU)</f>
        <v>0</v>
      </c>
      <c r="BT34">
        <f>SUMIF(DeadRaw!$B:$B,$B34,DeadRaw!BV:BV)</f>
        <v>0</v>
      </c>
      <c r="BU34">
        <f>SUMIF(DeadRaw!$B:$B,$B34,DeadRaw!BW:BW)</f>
        <v>0</v>
      </c>
    </row>
    <row r="35" spans="1:73" ht="15" thickBot="1" x14ac:dyDescent="0.35">
      <c r="A35" s="97" t="str">
        <f>VLOOKUP(B35,Country_Data!B:Q,16,FALSE)</f>
        <v>Europe</v>
      </c>
      <c r="B35" s="4" t="s">
        <v>98</v>
      </c>
      <c r="C35">
        <f>SUMIF(DeadRaw!$B:$B,$B35,DeadRaw!E:E)</f>
        <v>0</v>
      </c>
      <c r="D35">
        <f>SUMIF(DeadRaw!$B:$B,$B35,DeadRaw!F:F)</f>
        <v>0</v>
      </c>
      <c r="E35">
        <f>SUMIF(DeadRaw!$B:$B,$B35,DeadRaw!G:G)</f>
        <v>0</v>
      </c>
      <c r="F35">
        <f>SUMIF(DeadRaw!$B:$B,$B35,DeadRaw!H:H)</f>
        <v>0</v>
      </c>
      <c r="G35">
        <f>SUMIF(DeadRaw!$B:$B,$B35,DeadRaw!I:I)</f>
        <v>0</v>
      </c>
      <c r="H35">
        <f>SUMIF(DeadRaw!$B:$B,$B35,DeadRaw!J:J)</f>
        <v>0</v>
      </c>
      <c r="I35">
        <f>SUMIF(DeadRaw!$B:$B,$B35,DeadRaw!K:K)</f>
        <v>0</v>
      </c>
      <c r="J35">
        <f>SUMIF(DeadRaw!$B:$B,$B35,DeadRaw!L:L)</f>
        <v>0</v>
      </c>
      <c r="K35">
        <f>SUMIF(DeadRaw!$B:$B,$B35,DeadRaw!M:M)</f>
        <v>0</v>
      </c>
      <c r="L35">
        <f>SUMIF(DeadRaw!$B:$B,$B35,DeadRaw!N:N)</f>
        <v>0</v>
      </c>
      <c r="M35">
        <f>SUMIF(DeadRaw!$B:$B,$B35,DeadRaw!O:O)</f>
        <v>0</v>
      </c>
      <c r="N35">
        <f>SUMIF(DeadRaw!$B:$B,$B35,DeadRaw!P:P)</f>
        <v>0</v>
      </c>
      <c r="O35">
        <f>SUMIF(DeadRaw!$B:$B,$B35,DeadRaw!Q:Q)</f>
        <v>0</v>
      </c>
      <c r="P35">
        <f>SUMIF(DeadRaw!$B:$B,$B35,DeadRaw!R:R)</f>
        <v>0</v>
      </c>
      <c r="Q35">
        <f>SUMIF(DeadRaw!$B:$B,$B35,DeadRaw!S:S)</f>
        <v>0</v>
      </c>
      <c r="R35">
        <f>SUMIF(DeadRaw!$B:$B,$B35,DeadRaw!T:T)</f>
        <v>0</v>
      </c>
      <c r="S35">
        <f>SUMIF(DeadRaw!$B:$B,$B35,DeadRaw!U:U)</f>
        <v>0</v>
      </c>
      <c r="T35">
        <f>SUMIF(DeadRaw!$B:$B,$B35,DeadRaw!V:V)</f>
        <v>0</v>
      </c>
      <c r="U35">
        <f>SUMIF(DeadRaw!$B:$B,$B35,DeadRaw!W:W)</f>
        <v>0</v>
      </c>
      <c r="V35">
        <f>SUMIF(DeadRaw!$B:$B,$B35,DeadRaw!X:X)</f>
        <v>0</v>
      </c>
      <c r="W35">
        <f>SUMIF(DeadRaw!$B:$B,$B35,DeadRaw!Y:Y)</f>
        <v>0</v>
      </c>
      <c r="X35">
        <f>SUMIF(DeadRaw!$B:$B,$B35,DeadRaw!Z:Z)</f>
        <v>0</v>
      </c>
      <c r="Y35">
        <f>SUMIF(DeadRaw!$B:$B,$B35,DeadRaw!AA:AA)</f>
        <v>0</v>
      </c>
      <c r="Z35">
        <f>SUMIF(DeadRaw!$B:$B,$B35,DeadRaw!AB:AB)</f>
        <v>0</v>
      </c>
      <c r="AA35">
        <f>SUMIF(DeadRaw!$B:$B,$B35,DeadRaw!AC:AC)</f>
        <v>0</v>
      </c>
      <c r="AB35">
        <f>SUMIF(DeadRaw!$B:$B,$B35,DeadRaw!AD:AD)</f>
        <v>0</v>
      </c>
      <c r="AC35">
        <f>SUMIF(DeadRaw!$B:$B,$B35,DeadRaw!AE:AE)</f>
        <v>0</v>
      </c>
      <c r="AD35">
        <f>SUMIF(DeadRaw!$B:$B,$B35,DeadRaw!AF:AF)</f>
        <v>0</v>
      </c>
      <c r="AE35">
        <f>SUMIF(DeadRaw!$B:$B,$B35,DeadRaw!AG:AG)</f>
        <v>0</v>
      </c>
      <c r="AF35">
        <f>SUMIF(DeadRaw!$B:$B,$B35,DeadRaw!AH:AH)</f>
        <v>0</v>
      </c>
      <c r="AG35">
        <f>SUMIF(DeadRaw!$B:$B,$B35,DeadRaw!AI:AI)</f>
        <v>0</v>
      </c>
      <c r="AH35">
        <f>SUMIF(DeadRaw!$B:$B,$B35,DeadRaw!AJ:AJ)</f>
        <v>0</v>
      </c>
      <c r="AI35">
        <f>SUMIF(DeadRaw!$B:$B,$B35,DeadRaw!AK:AK)</f>
        <v>0</v>
      </c>
      <c r="AJ35">
        <f>SUMIF(DeadRaw!$B:$B,$B35,DeadRaw!AL:AL)</f>
        <v>0</v>
      </c>
      <c r="AK35">
        <f>SUMIF(DeadRaw!$B:$B,$B35,DeadRaw!AM:AM)</f>
        <v>0</v>
      </c>
      <c r="AL35">
        <f>SUMIF(DeadRaw!$B:$B,$B35,DeadRaw!AN:AN)</f>
        <v>0</v>
      </c>
      <c r="AM35">
        <f>SUMIF(DeadRaw!$B:$B,$B35,DeadRaw!AO:AO)</f>
        <v>0</v>
      </c>
      <c r="AN35">
        <f>SUMIF(DeadRaw!$B:$B,$B35,DeadRaw!AP:AP)</f>
        <v>0</v>
      </c>
      <c r="AO35">
        <f>SUMIF(DeadRaw!$B:$B,$B35,DeadRaw!AQ:AQ)</f>
        <v>0</v>
      </c>
      <c r="AP35">
        <f>SUMIF(DeadRaw!$B:$B,$B35,DeadRaw!AR:AR)</f>
        <v>0</v>
      </c>
      <c r="AQ35">
        <f>SUMIF(DeadRaw!$B:$B,$B35,DeadRaw!AS:AS)</f>
        <v>0</v>
      </c>
      <c r="AR35">
        <f>SUMIF(DeadRaw!$B:$B,$B35,DeadRaw!AT:AT)</f>
        <v>0</v>
      </c>
      <c r="AS35">
        <f>SUMIF(DeadRaw!$B:$B,$B35,DeadRaw!AU:AU)</f>
        <v>0</v>
      </c>
      <c r="AT35">
        <f>SUMIF(DeadRaw!$B:$B,$B35,DeadRaw!AV:AV)</f>
        <v>0</v>
      </c>
      <c r="AU35">
        <f>SUMIF(DeadRaw!$B:$B,$B35,DeadRaw!AW:AW)</f>
        <v>0</v>
      </c>
      <c r="AV35">
        <f>SUMIF(DeadRaw!$B:$B,$B35,DeadRaw!AX:AX)</f>
        <v>0</v>
      </c>
      <c r="AW35">
        <f>SUMIF(DeadRaw!$B:$B,$B35,DeadRaw!AY:AY)</f>
        <v>0</v>
      </c>
      <c r="AX35">
        <f>SUMIF(DeadRaw!$B:$B,$B35,DeadRaw!AZ:AZ)</f>
        <v>0</v>
      </c>
      <c r="AY35">
        <f>SUMIF(DeadRaw!$B:$B,$B35,DeadRaw!BA:BA)</f>
        <v>0</v>
      </c>
      <c r="AZ35">
        <f>SUMIF(DeadRaw!$B:$B,$B35,DeadRaw!BB:BB)</f>
        <v>1</v>
      </c>
      <c r="BA35">
        <f>SUMIF(DeadRaw!$B:$B,$B35,DeadRaw!BC:BC)</f>
        <v>1</v>
      </c>
      <c r="BB35">
        <f>SUMIF(DeadRaw!$B:$B,$B35,DeadRaw!BD:BD)</f>
        <v>1</v>
      </c>
      <c r="BC35">
        <f>SUMIF(DeadRaw!$B:$B,$B35,DeadRaw!BE:BE)</f>
        <v>2</v>
      </c>
      <c r="BD35">
        <f>SUMIF(DeadRaw!$B:$B,$B35,DeadRaw!BF:BF)</f>
        <v>2</v>
      </c>
      <c r="BE35">
        <f>SUMIF(DeadRaw!$B:$B,$B35,DeadRaw!BG:BG)</f>
        <v>2</v>
      </c>
      <c r="BF35">
        <f>SUMIF(DeadRaw!$B:$B,$B35,DeadRaw!BH:BH)</f>
        <v>2</v>
      </c>
      <c r="BG35">
        <f>SUMIF(DeadRaw!$B:$B,$B35,DeadRaw!BI:BI)</f>
        <v>2</v>
      </c>
      <c r="BH35">
        <f>SUMIF(DeadRaw!$B:$B,$B35,DeadRaw!BJ:BJ)</f>
        <v>3</v>
      </c>
      <c r="BI35">
        <f>SUMIF(DeadRaw!$B:$B,$B35,DeadRaw!BK:BK)</f>
        <v>3</v>
      </c>
      <c r="BJ35">
        <f>SUMIF(DeadRaw!$B:$B,$B35,DeadRaw!BL:BL)</f>
        <v>3</v>
      </c>
      <c r="BK35">
        <f>SUMIF(DeadRaw!$B:$B,$B35,DeadRaw!BM:BM)</f>
        <v>4</v>
      </c>
      <c r="BL35">
        <f>SUMIF(DeadRaw!$B:$B,$B35,DeadRaw!BN:BN)</f>
        <v>6</v>
      </c>
      <c r="BM35">
        <f>SUMIF(DeadRaw!$B:$B,$B35,DeadRaw!BO:BO)</f>
        <v>7</v>
      </c>
      <c r="BN35">
        <f>SUMIF(DeadRaw!$B:$B,$B35,DeadRaw!BP:BP)</f>
        <v>9</v>
      </c>
      <c r="BO35">
        <f>SUMIF(DeadRaw!$B:$B,$B35,DeadRaw!BQ:BQ)</f>
        <v>19</v>
      </c>
      <c r="BP35">
        <f>SUMIF(DeadRaw!$B:$B,$B35,DeadRaw!BR:BR)</f>
        <v>22</v>
      </c>
      <c r="BQ35">
        <f>SUMIF(DeadRaw!$B:$B,$B35,DeadRaw!BS:BS)</f>
        <v>36</v>
      </c>
      <c r="BR35">
        <f>SUMIF(DeadRaw!$B:$B,$B35,DeadRaw!BT:BT)</f>
        <v>0</v>
      </c>
      <c r="BS35">
        <f>SUMIF(DeadRaw!$B:$B,$B35,DeadRaw!BU:BU)</f>
        <v>0</v>
      </c>
      <c r="BT35">
        <f>SUMIF(DeadRaw!$B:$B,$B35,DeadRaw!BV:BV)</f>
        <v>0</v>
      </c>
      <c r="BU35">
        <f>SUMIF(DeadRaw!$B:$B,$B35,DeadRaw!BW:BW)</f>
        <v>0</v>
      </c>
    </row>
    <row r="36" spans="1:73" ht="15" thickBot="1" x14ac:dyDescent="0.35">
      <c r="A36" s="97" t="str">
        <f>VLOOKUP(B36,Country_Data!B:Q,16,FALSE)</f>
        <v>Europe</v>
      </c>
      <c r="B36" s="3" t="s">
        <v>86</v>
      </c>
      <c r="C36">
        <f>SUMIF(DeadRaw!$B:$B,$B36,DeadRaw!E:E)</f>
        <v>0</v>
      </c>
      <c r="D36">
        <f>SUMIF(DeadRaw!$B:$B,$B36,DeadRaw!F:F)</f>
        <v>0</v>
      </c>
      <c r="E36">
        <f>SUMIF(DeadRaw!$B:$B,$B36,DeadRaw!G:G)</f>
        <v>0</v>
      </c>
      <c r="F36">
        <f>SUMIF(DeadRaw!$B:$B,$B36,DeadRaw!H:H)</f>
        <v>0</v>
      </c>
      <c r="G36">
        <f>SUMIF(DeadRaw!$B:$B,$B36,DeadRaw!I:I)</f>
        <v>0</v>
      </c>
      <c r="H36">
        <f>SUMIF(DeadRaw!$B:$B,$B36,DeadRaw!J:J)</f>
        <v>0</v>
      </c>
      <c r="I36">
        <f>SUMIF(DeadRaw!$B:$B,$B36,DeadRaw!K:K)</f>
        <v>0</v>
      </c>
      <c r="J36">
        <f>SUMIF(DeadRaw!$B:$B,$B36,DeadRaw!L:L)</f>
        <v>0</v>
      </c>
      <c r="K36">
        <f>SUMIF(DeadRaw!$B:$B,$B36,DeadRaw!M:M)</f>
        <v>0</v>
      </c>
      <c r="L36">
        <f>SUMIF(DeadRaw!$B:$B,$B36,DeadRaw!N:N)</f>
        <v>0</v>
      </c>
      <c r="M36">
        <f>SUMIF(DeadRaw!$B:$B,$B36,DeadRaw!O:O)</f>
        <v>0</v>
      </c>
      <c r="N36">
        <f>SUMIF(DeadRaw!$B:$B,$B36,DeadRaw!P:P)</f>
        <v>0</v>
      </c>
      <c r="O36">
        <f>SUMIF(DeadRaw!$B:$B,$B36,DeadRaw!Q:Q)</f>
        <v>0</v>
      </c>
      <c r="P36">
        <f>SUMIF(DeadRaw!$B:$B,$B36,DeadRaw!R:R)</f>
        <v>0</v>
      </c>
      <c r="Q36">
        <f>SUMIF(DeadRaw!$B:$B,$B36,DeadRaw!S:S)</f>
        <v>0</v>
      </c>
      <c r="R36">
        <f>SUMIF(DeadRaw!$B:$B,$B36,DeadRaw!T:T)</f>
        <v>0</v>
      </c>
      <c r="S36">
        <f>SUMIF(DeadRaw!$B:$B,$B36,DeadRaw!U:U)</f>
        <v>0</v>
      </c>
      <c r="T36">
        <f>SUMIF(DeadRaw!$B:$B,$B36,DeadRaw!V:V)</f>
        <v>0</v>
      </c>
      <c r="U36">
        <f>SUMIF(DeadRaw!$B:$B,$B36,DeadRaw!W:W)</f>
        <v>0</v>
      </c>
      <c r="V36">
        <f>SUMIF(DeadRaw!$B:$B,$B36,DeadRaw!X:X)</f>
        <v>0</v>
      </c>
      <c r="W36">
        <f>SUMIF(DeadRaw!$B:$B,$B36,DeadRaw!Y:Y)</f>
        <v>0</v>
      </c>
      <c r="X36">
        <f>SUMIF(DeadRaw!$B:$B,$B36,DeadRaw!Z:Z)</f>
        <v>0</v>
      </c>
      <c r="Y36">
        <f>SUMIF(DeadRaw!$B:$B,$B36,DeadRaw!AA:AA)</f>
        <v>0</v>
      </c>
      <c r="Z36">
        <f>SUMIF(DeadRaw!$B:$B,$B36,DeadRaw!AB:AB)</f>
        <v>0</v>
      </c>
      <c r="AA36">
        <f>SUMIF(DeadRaw!$B:$B,$B36,DeadRaw!AC:AC)</f>
        <v>0</v>
      </c>
      <c r="AB36">
        <f>SUMIF(DeadRaw!$B:$B,$B36,DeadRaw!AD:AD)</f>
        <v>0</v>
      </c>
      <c r="AC36">
        <f>SUMIF(DeadRaw!$B:$B,$B36,DeadRaw!AE:AE)</f>
        <v>0</v>
      </c>
      <c r="AD36">
        <f>SUMIF(DeadRaw!$B:$B,$B36,DeadRaw!AF:AF)</f>
        <v>0</v>
      </c>
      <c r="AE36">
        <f>SUMIF(DeadRaw!$B:$B,$B36,DeadRaw!AG:AG)</f>
        <v>0</v>
      </c>
      <c r="AF36">
        <f>SUMIF(DeadRaw!$B:$B,$B36,DeadRaw!AH:AH)</f>
        <v>0</v>
      </c>
      <c r="AG36">
        <f>SUMIF(DeadRaw!$B:$B,$B36,DeadRaw!AI:AI)</f>
        <v>0</v>
      </c>
      <c r="AH36">
        <f>SUMIF(DeadRaw!$B:$B,$B36,DeadRaw!AJ:AJ)</f>
        <v>0</v>
      </c>
      <c r="AI36">
        <f>SUMIF(DeadRaw!$B:$B,$B36,DeadRaw!AK:AK)</f>
        <v>0</v>
      </c>
      <c r="AJ36">
        <f>SUMIF(DeadRaw!$B:$B,$B36,DeadRaw!AL:AL)</f>
        <v>0</v>
      </c>
      <c r="AK36">
        <f>SUMIF(DeadRaw!$B:$B,$B36,DeadRaw!AM:AM)</f>
        <v>0</v>
      </c>
      <c r="AL36">
        <f>SUMIF(DeadRaw!$B:$B,$B36,DeadRaw!AN:AN)</f>
        <v>0</v>
      </c>
      <c r="AM36">
        <f>SUMIF(DeadRaw!$B:$B,$B36,DeadRaw!AO:AO)</f>
        <v>0</v>
      </c>
      <c r="AN36">
        <f>SUMIF(DeadRaw!$B:$B,$B36,DeadRaw!AP:AP)</f>
        <v>0</v>
      </c>
      <c r="AO36">
        <f>SUMIF(DeadRaw!$B:$B,$B36,DeadRaw!AQ:AQ)</f>
        <v>0</v>
      </c>
      <c r="AP36">
        <f>SUMIF(DeadRaw!$B:$B,$B36,DeadRaw!AR:AR)</f>
        <v>0</v>
      </c>
      <c r="AQ36">
        <f>SUMIF(DeadRaw!$B:$B,$B36,DeadRaw!AS:AS)</f>
        <v>0</v>
      </c>
      <c r="AR36">
        <f>SUMIF(DeadRaw!$B:$B,$B36,DeadRaw!AT:AT)</f>
        <v>0</v>
      </c>
      <c r="AS36">
        <f>SUMIF(DeadRaw!$B:$B,$B36,DeadRaw!AU:AU)</f>
        <v>0</v>
      </c>
      <c r="AT36">
        <f>SUMIF(DeadRaw!$B:$B,$B36,DeadRaw!AV:AV)</f>
        <v>0</v>
      </c>
      <c r="AU36">
        <f>SUMIF(DeadRaw!$B:$B,$B36,DeadRaw!AW:AW)</f>
        <v>0</v>
      </c>
      <c r="AV36">
        <f>SUMIF(DeadRaw!$B:$B,$B36,DeadRaw!AX:AX)</f>
        <v>0</v>
      </c>
      <c r="AW36">
        <f>SUMIF(DeadRaw!$B:$B,$B36,DeadRaw!AY:AY)</f>
        <v>0</v>
      </c>
      <c r="AX36">
        <f>SUMIF(DeadRaw!$B:$B,$B36,DeadRaw!AZ:AZ)</f>
        <v>0</v>
      </c>
      <c r="AY36">
        <f>SUMIF(DeadRaw!$B:$B,$B36,DeadRaw!BA:BA)</f>
        <v>0</v>
      </c>
      <c r="AZ36">
        <f>SUMIF(DeadRaw!$B:$B,$B36,DeadRaw!BB:BB)</f>
        <v>0</v>
      </c>
      <c r="BA36">
        <f>SUMIF(DeadRaw!$B:$B,$B36,DeadRaw!BC:BC)</f>
        <v>0</v>
      </c>
      <c r="BB36">
        <f>SUMIF(DeadRaw!$B:$B,$B36,DeadRaw!BD:BD)</f>
        <v>0</v>
      </c>
      <c r="BC36">
        <f>SUMIF(DeadRaw!$B:$B,$B36,DeadRaw!BE:BE)</f>
        <v>0</v>
      </c>
      <c r="BD36">
        <f>SUMIF(DeadRaw!$B:$B,$B36,DeadRaw!BF:BF)</f>
        <v>0</v>
      </c>
      <c r="BE36">
        <f>SUMIF(DeadRaw!$B:$B,$B36,DeadRaw!BG:BG)</f>
        <v>0</v>
      </c>
      <c r="BF36">
        <f>SUMIF(DeadRaw!$B:$B,$B36,DeadRaw!BH:BH)</f>
        <v>0</v>
      </c>
      <c r="BG36">
        <f>SUMIF(DeadRaw!$B:$B,$B36,DeadRaw!BI:BI)</f>
        <v>0</v>
      </c>
      <c r="BH36">
        <f>SUMIF(DeadRaw!$B:$B,$B36,DeadRaw!BJ:BJ)</f>
        <v>0</v>
      </c>
      <c r="BI36">
        <f>SUMIF(DeadRaw!$B:$B,$B36,DeadRaw!BK:BK)</f>
        <v>0</v>
      </c>
      <c r="BJ36">
        <f>SUMIF(DeadRaw!$B:$B,$B36,DeadRaw!BL:BL)</f>
        <v>0</v>
      </c>
      <c r="BK36">
        <f>SUMIF(DeadRaw!$B:$B,$B36,DeadRaw!BM:BM)</f>
        <v>3</v>
      </c>
      <c r="BL36">
        <f>SUMIF(DeadRaw!$B:$B,$B36,DeadRaw!BN:BN)</f>
        <v>7</v>
      </c>
      <c r="BM36">
        <f>SUMIF(DeadRaw!$B:$B,$B36,DeadRaw!BO:BO)</f>
        <v>11</v>
      </c>
      <c r="BN36">
        <f>SUMIF(DeadRaw!$B:$B,$B36,DeadRaw!BP:BP)</f>
        <v>17</v>
      </c>
      <c r="BO36">
        <f>SUMIF(DeadRaw!$B:$B,$B36,DeadRaw!BQ:BQ)</f>
        <v>23</v>
      </c>
      <c r="BP36">
        <f>SUMIF(DeadRaw!$B:$B,$B36,DeadRaw!BR:BR)</f>
        <v>26</v>
      </c>
      <c r="BQ36">
        <f>SUMIF(DeadRaw!$B:$B,$B36,DeadRaw!BS:BS)</f>
        <v>37</v>
      </c>
      <c r="BR36">
        <f>SUMIF(DeadRaw!$B:$B,$B36,DeadRaw!BT:BT)</f>
        <v>0</v>
      </c>
      <c r="BS36">
        <f>SUMIF(DeadRaw!$B:$B,$B36,DeadRaw!BU:BU)</f>
        <v>0</v>
      </c>
      <c r="BT36">
        <f>SUMIF(DeadRaw!$B:$B,$B36,DeadRaw!BV:BV)</f>
        <v>0</v>
      </c>
      <c r="BU36">
        <f>SUMIF(DeadRaw!$B:$B,$B36,DeadRaw!BW:BW)</f>
        <v>0</v>
      </c>
    </row>
    <row r="37" spans="1:73" ht="15" thickBot="1" x14ac:dyDescent="0.35">
      <c r="A37" s="97" t="str">
        <f>VLOOKUP(B37,Country_Data!B:Q,16,FALSE)</f>
        <v>Middle East</v>
      </c>
      <c r="B37" s="4" t="s">
        <v>113</v>
      </c>
      <c r="C37">
        <f>SUMIF(DeadRaw!$B:$B,$B37,DeadRaw!E:E)</f>
        <v>0</v>
      </c>
      <c r="D37">
        <f>SUMIF(DeadRaw!$B:$B,$B37,DeadRaw!F:F)</f>
        <v>0</v>
      </c>
      <c r="E37">
        <f>SUMIF(DeadRaw!$B:$B,$B37,DeadRaw!G:G)</f>
        <v>0</v>
      </c>
      <c r="F37">
        <f>SUMIF(DeadRaw!$B:$B,$B37,DeadRaw!H:H)</f>
        <v>0</v>
      </c>
      <c r="G37">
        <f>SUMIF(DeadRaw!$B:$B,$B37,DeadRaw!I:I)</f>
        <v>0</v>
      </c>
      <c r="H37">
        <f>SUMIF(DeadRaw!$B:$B,$B37,DeadRaw!J:J)</f>
        <v>0</v>
      </c>
      <c r="I37">
        <f>SUMIF(DeadRaw!$B:$B,$B37,DeadRaw!K:K)</f>
        <v>0</v>
      </c>
      <c r="J37">
        <f>SUMIF(DeadRaw!$B:$B,$B37,DeadRaw!L:L)</f>
        <v>0</v>
      </c>
      <c r="K37">
        <f>SUMIF(DeadRaw!$B:$B,$B37,DeadRaw!M:M)</f>
        <v>0</v>
      </c>
      <c r="L37">
        <f>SUMIF(DeadRaw!$B:$B,$B37,DeadRaw!N:N)</f>
        <v>0</v>
      </c>
      <c r="M37">
        <f>SUMIF(DeadRaw!$B:$B,$B37,DeadRaw!O:O)</f>
        <v>0</v>
      </c>
      <c r="N37">
        <f>SUMIF(DeadRaw!$B:$B,$B37,DeadRaw!P:P)</f>
        <v>0</v>
      </c>
      <c r="O37">
        <f>SUMIF(DeadRaw!$B:$B,$B37,DeadRaw!Q:Q)</f>
        <v>0</v>
      </c>
      <c r="P37">
        <f>SUMIF(DeadRaw!$B:$B,$B37,DeadRaw!R:R)</f>
        <v>0</v>
      </c>
      <c r="Q37">
        <f>SUMIF(DeadRaw!$B:$B,$B37,DeadRaw!S:S)</f>
        <v>0</v>
      </c>
      <c r="R37">
        <f>SUMIF(DeadRaw!$B:$B,$B37,DeadRaw!T:T)</f>
        <v>0</v>
      </c>
      <c r="S37">
        <f>SUMIF(DeadRaw!$B:$B,$B37,DeadRaw!U:U)</f>
        <v>0</v>
      </c>
      <c r="T37">
        <f>SUMIF(DeadRaw!$B:$B,$B37,DeadRaw!V:V)</f>
        <v>0</v>
      </c>
      <c r="U37">
        <f>SUMIF(DeadRaw!$B:$B,$B37,DeadRaw!W:W)</f>
        <v>0</v>
      </c>
      <c r="V37">
        <f>SUMIF(DeadRaw!$B:$B,$B37,DeadRaw!X:X)</f>
        <v>0</v>
      </c>
      <c r="W37">
        <f>SUMIF(DeadRaw!$B:$B,$B37,DeadRaw!Y:Y)</f>
        <v>0</v>
      </c>
      <c r="X37">
        <f>SUMIF(DeadRaw!$B:$B,$B37,DeadRaw!Z:Z)</f>
        <v>0</v>
      </c>
      <c r="Y37">
        <f>SUMIF(DeadRaw!$B:$B,$B37,DeadRaw!AA:AA)</f>
        <v>0</v>
      </c>
      <c r="Z37">
        <f>SUMIF(DeadRaw!$B:$B,$B37,DeadRaw!AB:AB)</f>
        <v>0</v>
      </c>
      <c r="AA37">
        <f>SUMIF(DeadRaw!$B:$B,$B37,DeadRaw!AC:AC)</f>
        <v>0</v>
      </c>
      <c r="AB37">
        <f>SUMIF(DeadRaw!$B:$B,$B37,DeadRaw!AD:AD)</f>
        <v>0</v>
      </c>
      <c r="AC37">
        <f>SUMIF(DeadRaw!$B:$B,$B37,DeadRaw!AE:AE)</f>
        <v>0</v>
      </c>
      <c r="AD37">
        <f>SUMIF(DeadRaw!$B:$B,$B37,DeadRaw!AF:AF)</f>
        <v>0</v>
      </c>
      <c r="AE37">
        <f>SUMIF(DeadRaw!$B:$B,$B37,DeadRaw!AG:AG)</f>
        <v>0</v>
      </c>
      <c r="AF37">
        <f>SUMIF(DeadRaw!$B:$B,$B37,DeadRaw!AH:AH)</f>
        <v>0</v>
      </c>
      <c r="AG37">
        <f>SUMIF(DeadRaw!$B:$B,$B37,DeadRaw!AI:AI)</f>
        <v>0</v>
      </c>
      <c r="AH37">
        <f>SUMIF(DeadRaw!$B:$B,$B37,DeadRaw!AJ:AJ)</f>
        <v>0</v>
      </c>
      <c r="AI37">
        <f>SUMIF(DeadRaw!$B:$B,$B37,DeadRaw!AK:AK)</f>
        <v>0</v>
      </c>
      <c r="AJ37">
        <f>SUMIF(DeadRaw!$B:$B,$B37,DeadRaw!AL:AL)</f>
        <v>0</v>
      </c>
      <c r="AK37">
        <f>SUMIF(DeadRaw!$B:$B,$B37,DeadRaw!AM:AM)</f>
        <v>0</v>
      </c>
      <c r="AL37">
        <f>SUMIF(DeadRaw!$B:$B,$B37,DeadRaw!AN:AN)</f>
        <v>0</v>
      </c>
      <c r="AM37">
        <f>SUMIF(DeadRaw!$B:$B,$B37,DeadRaw!AO:AO)</f>
        <v>0</v>
      </c>
      <c r="AN37">
        <f>SUMIF(DeadRaw!$B:$B,$B37,DeadRaw!AP:AP)</f>
        <v>0</v>
      </c>
      <c r="AO37">
        <f>SUMIF(DeadRaw!$B:$B,$B37,DeadRaw!AQ:AQ)</f>
        <v>0</v>
      </c>
      <c r="AP37">
        <f>SUMIF(DeadRaw!$B:$B,$B37,DeadRaw!AR:AR)</f>
        <v>0</v>
      </c>
      <c r="AQ37">
        <f>SUMIF(DeadRaw!$B:$B,$B37,DeadRaw!AS:AS)</f>
        <v>0</v>
      </c>
      <c r="AR37">
        <f>SUMIF(DeadRaw!$B:$B,$B37,DeadRaw!AT:AT)</f>
        <v>0</v>
      </c>
      <c r="AS37">
        <f>SUMIF(DeadRaw!$B:$B,$B37,DeadRaw!AU:AU)</f>
        <v>0</v>
      </c>
      <c r="AT37">
        <f>SUMIF(DeadRaw!$B:$B,$B37,DeadRaw!AV:AV)</f>
        <v>0</v>
      </c>
      <c r="AU37">
        <f>SUMIF(DeadRaw!$B:$B,$B37,DeadRaw!AW:AW)</f>
        <v>0</v>
      </c>
      <c r="AV37">
        <f>SUMIF(DeadRaw!$B:$B,$B37,DeadRaw!AX:AX)</f>
        <v>0</v>
      </c>
      <c r="AW37">
        <f>SUMIF(DeadRaw!$B:$B,$B37,DeadRaw!AY:AY)</f>
        <v>0</v>
      </c>
      <c r="AX37">
        <f>SUMIF(DeadRaw!$B:$B,$B37,DeadRaw!AZ:AZ)</f>
        <v>0</v>
      </c>
      <c r="AY37">
        <f>SUMIF(DeadRaw!$B:$B,$B37,DeadRaw!BA:BA)</f>
        <v>0</v>
      </c>
      <c r="AZ37">
        <f>SUMIF(DeadRaw!$B:$B,$B37,DeadRaw!BB:BB)</f>
        <v>0</v>
      </c>
      <c r="BA37">
        <f>SUMIF(DeadRaw!$B:$B,$B37,DeadRaw!BC:BC)</f>
        <v>0</v>
      </c>
      <c r="BB37">
        <f>SUMIF(DeadRaw!$B:$B,$B37,DeadRaw!BD:BD)</f>
        <v>0</v>
      </c>
      <c r="BC37">
        <f>SUMIF(DeadRaw!$B:$B,$B37,DeadRaw!BE:BE)</f>
        <v>0</v>
      </c>
      <c r="BD37">
        <f>SUMIF(DeadRaw!$B:$B,$B37,DeadRaw!BF:BF)</f>
        <v>0</v>
      </c>
      <c r="BE37">
        <f>SUMIF(DeadRaw!$B:$B,$B37,DeadRaw!BG:BG)</f>
        <v>0</v>
      </c>
      <c r="BF37">
        <f>SUMIF(DeadRaw!$B:$B,$B37,DeadRaw!BH:BH)</f>
        <v>0</v>
      </c>
      <c r="BG37">
        <f>SUMIF(DeadRaw!$B:$B,$B37,DeadRaw!BI:BI)</f>
        <v>0</v>
      </c>
      <c r="BH37">
        <f>SUMIF(DeadRaw!$B:$B,$B37,DeadRaw!BJ:BJ)</f>
        <v>0</v>
      </c>
      <c r="BI37">
        <f>SUMIF(DeadRaw!$B:$B,$B37,DeadRaw!BK:BK)</f>
        <v>0</v>
      </c>
      <c r="BJ37">
        <f>SUMIF(DeadRaw!$B:$B,$B37,DeadRaw!BL:BL)</f>
        <v>0</v>
      </c>
      <c r="BK37">
        <f>SUMIF(DeadRaw!$B:$B,$B37,DeadRaw!BM:BM)</f>
        <v>0</v>
      </c>
      <c r="BL37">
        <f>SUMIF(DeadRaw!$B:$B,$B37,DeadRaw!BN:BN)</f>
        <v>0</v>
      </c>
      <c r="BM37">
        <f>SUMIF(DeadRaw!$B:$B,$B37,DeadRaw!BO:BO)</f>
        <v>1</v>
      </c>
      <c r="BN37">
        <f>SUMIF(DeadRaw!$B:$B,$B37,DeadRaw!BP:BP)</f>
        <v>2</v>
      </c>
      <c r="BO37">
        <f>SUMIF(DeadRaw!$B:$B,$B37,DeadRaw!BQ:BQ)</f>
        <v>3</v>
      </c>
      <c r="BP37">
        <f>SUMIF(DeadRaw!$B:$B,$B37,DeadRaw!BR:BR)</f>
        <v>3</v>
      </c>
      <c r="BQ37">
        <f>SUMIF(DeadRaw!$B:$B,$B37,DeadRaw!BS:BS)</f>
        <v>4</v>
      </c>
      <c r="BR37">
        <f>SUMIF(DeadRaw!$B:$B,$B37,DeadRaw!BT:BT)</f>
        <v>0</v>
      </c>
      <c r="BS37">
        <f>SUMIF(DeadRaw!$B:$B,$B37,DeadRaw!BU:BU)</f>
        <v>0</v>
      </c>
      <c r="BT37">
        <f>SUMIF(DeadRaw!$B:$B,$B37,DeadRaw!BV:BV)</f>
        <v>0</v>
      </c>
      <c r="BU37">
        <f>SUMIF(DeadRaw!$B:$B,$B37,DeadRaw!BW:BW)</f>
        <v>0</v>
      </c>
    </row>
    <row r="38" spans="1:73" ht="15" thickBot="1" x14ac:dyDescent="0.35">
      <c r="A38" s="97" t="str">
        <f>VLOOKUP(B38,Country_Data!B:Q,16,FALSE)</f>
        <v>Middle East</v>
      </c>
      <c r="B38" s="4" t="s">
        <v>55</v>
      </c>
      <c r="C38">
        <f>SUMIF(DeadRaw!$B:$B,$B38,DeadRaw!E:E)</f>
        <v>0</v>
      </c>
      <c r="D38">
        <f>SUMIF(DeadRaw!$B:$B,$B38,DeadRaw!F:F)</f>
        <v>0</v>
      </c>
      <c r="E38">
        <f>SUMIF(DeadRaw!$B:$B,$B38,DeadRaw!G:G)</f>
        <v>0</v>
      </c>
      <c r="F38">
        <f>SUMIF(DeadRaw!$B:$B,$B38,DeadRaw!H:H)</f>
        <v>0</v>
      </c>
      <c r="G38">
        <f>SUMIF(DeadRaw!$B:$B,$B38,DeadRaw!I:I)</f>
        <v>0</v>
      </c>
      <c r="H38">
        <f>SUMIF(DeadRaw!$B:$B,$B38,DeadRaw!J:J)</f>
        <v>0</v>
      </c>
      <c r="I38">
        <f>SUMIF(DeadRaw!$B:$B,$B38,DeadRaw!K:K)</f>
        <v>0</v>
      </c>
      <c r="J38">
        <f>SUMIF(DeadRaw!$B:$B,$B38,DeadRaw!L:L)</f>
        <v>0</v>
      </c>
      <c r="K38">
        <f>SUMIF(DeadRaw!$B:$B,$B38,DeadRaw!M:M)</f>
        <v>0</v>
      </c>
      <c r="L38">
        <f>SUMIF(DeadRaw!$B:$B,$B38,DeadRaw!N:N)</f>
        <v>0</v>
      </c>
      <c r="M38">
        <f>SUMIF(DeadRaw!$B:$B,$B38,DeadRaw!O:O)</f>
        <v>0</v>
      </c>
      <c r="N38">
        <f>SUMIF(DeadRaw!$B:$B,$B38,DeadRaw!P:P)</f>
        <v>0</v>
      </c>
      <c r="O38">
        <f>SUMIF(DeadRaw!$B:$B,$B38,DeadRaw!Q:Q)</f>
        <v>0</v>
      </c>
      <c r="P38">
        <f>SUMIF(DeadRaw!$B:$B,$B38,DeadRaw!R:R)</f>
        <v>0</v>
      </c>
      <c r="Q38">
        <f>SUMIF(DeadRaw!$B:$B,$B38,DeadRaw!S:S)</f>
        <v>0</v>
      </c>
      <c r="R38">
        <f>SUMIF(DeadRaw!$B:$B,$B38,DeadRaw!T:T)</f>
        <v>0</v>
      </c>
      <c r="S38">
        <f>SUMIF(DeadRaw!$B:$B,$B38,DeadRaw!U:U)</f>
        <v>0</v>
      </c>
      <c r="T38">
        <f>SUMIF(DeadRaw!$B:$B,$B38,DeadRaw!V:V)</f>
        <v>0</v>
      </c>
      <c r="U38">
        <f>SUMIF(DeadRaw!$B:$B,$B38,DeadRaw!W:W)</f>
        <v>0</v>
      </c>
      <c r="V38">
        <f>SUMIF(DeadRaw!$B:$B,$B38,DeadRaw!X:X)</f>
        <v>0</v>
      </c>
      <c r="W38">
        <f>SUMIF(DeadRaw!$B:$B,$B38,DeadRaw!Y:Y)</f>
        <v>0</v>
      </c>
      <c r="X38">
        <f>SUMIF(DeadRaw!$B:$B,$B38,DeadRaw!Z:Z)</f>
        <v>0</v>
      </c>
      <c r="Y38">
        <f>SUMIF(DeadRaw!$B:$B,$B38,DeadRaw!AA:AA)</f>
        <v>0</v>
      </c>
      <c r="Z38">
        <f>SUMIF(DeadRaw!$B:$B,$B38,DeadRaw!AB:AB)</f>
        <v>0</v>
      </c>
      <c r="AA38">
        <f>SUMIF(DeadRaw!$B:$B,$B38,DeadRaw!AC:AC)</f>
        <v>0</v>
      </c>
      <c r="AB38">
        <f>SUMIF(DeadRaw!$B:$B,$B38,DeadRaw!AD:AD)</f>
        <v>0</v>
      </c>
      <c r="AC38">
        <f>SUMIF(DeadRaw!$B:$B,$B38,DeadRaw!AE:AE)</f>
        <v>0</v>
      </c>
      <c r="AD38">
        <f>SUMIF(DeadRaw!$B:$B,$B38,DeadRaw!AF:AF)</f>
        <v>0</v>
      </c>
      <c r="AE38">
        <f>SUMIF(DeadRaw!$B:$B,$B38,DeadRaw!AG:AG)</f>
        <v>0</v>
      </c>
      <c r="AF38">
        <f>SUMIF(DeadRaw!$B:$B,$B38,DeadRaw!AH:AH)</f>
        <v>0</v>
      </c>
      <c r="AG38">
        <f>SUMIF(DeadRaw!$B:$B,$B38,DeadRaw!AI:AI)</f>
        <v>0</v>
      </c>
      <c r="AH38">
        <f>SUMIF(DeadRaw!$B:$B,$B38,DeadRaw!AJ:AJ)</f>
        <v>0</v>
      </c>
      <c r="AI38">
        <f>SUMIF(DeadRaw!$B:$B,$B38,DeadRaw!AK:AK)</f>
        <v>0</v>
      </c>
      <c r="AJ38">
        <f>SUMIF(DeadRaw!$B:$B,$B38,DeadRaw!AL:AL)</f>
        <v>0</v>
      </c>
      <c r="AK38">
        <f>SUMIF(DeadRaw!$B:$B,$B38,DeadRaw!AM:AM)</f>
        <v>0</v>
      </c>
      <c r="AL38">
        <f>SUMIF(DeadRaw!$B:$B,$B38,DeadRaw!AN:AN)</f>
        <v>0</v>
      </c>
      <c r="AM38">
        <f>SUMIF(DeadRaw!$B:$B,$B38,DeadRaw!AO:AO)</f>
        <v>0</v>
      </c>
      <c r="AN38">
        <f>SUMIF(DeadRaw!$B:$B,$B38,DeadRaw!AP:AP)</f>
        <v>0</v>
      </c>
      <c r="AO38">
        <f>SUMIF(DeadRaw!$B:$B,$B38,DeadRaw!AQ:AQ)</f>
        <v>0</v>
      </c>
      <c r="AP38">
        <f>SUMIF(DeadRaw!$B:$B,$B38,DeadRaw!AR:AR)</f>
        <v>0</v>
      </c>
      <c r="AQ38">
        <f>SUMIF(DeadRaw!$B:$B,$B38,DeadRaw!AS:AS)</f>
        <v>0</v>
      </c>
      <c r="AR38">
        <f>SUMIF(DeadRaw!$B:$B,$B38,DeadRaw!AT:AT)</f>
        <v>0</v>
      </c>
      <c r="AS38">
        <f>SUMIF(DeadRaw!$B:$B,$B38,DeadRaw!AU:AU)</f>
        <v>0</v>
      </c>
      <c r="AT38">
        <f>SUMIF(DeadRaw!$B:$B,$B38,DeadRaw!AV:AV)</f>
        <v>0</v>
      </c>
      <c r="AU38">
        <f>SUMIF(DeadRaw!$B:$B,$B38,DeadRaw!AW:AW)</f>
        <v>0</v>
      </c>
      <c r="AV38">
        <f>SUMIF(DeadRaw!$B:$B,$B38,DeadRaw!AX:AX)</f>
        <v>0</v>
      </c>
      <c r="AW38">
        <f>SUMIF(DeadRaw!$B:$B,$B38,DeadRaw!AY:AY)</f>
        <v>0</v>
      </c>
      <c r="AX38">
        <f>SUMIF(DeadRaw!$B:$B,$B38,DeadRaw!AZ:AZ)</f>
        <v>0</v>
      </c>
      <c r="AY38">
        <f>SUMIF(DeadRaw!$B:$B,$B38,DeadRaw!BA:BA)</f>
        <v>0</v>
      </c>
      <c r="AZ38">
        <f>SUMIF(DeadRaw!$B:$B,$B38,DeadRaw!BB:BB)</f>
        <v>0</v>
      </c>
      <c r="BA38">
        <f>SUMIF(DeadRaw!$B:$B,$B38,DeadRaw!BC:BC)</f>
        <v>0</v>
      </c>
      <c r="BB38">
        <f>SUMIF(DeadRaw!$B:$B,$B38,DeadRaw!BD:BD)</f>
        <v>0</v>
      </c>
      <c r="BC38">
        <f>SUMIF(DeadRaw!$B:$B,$B38,DeadRaw!BE:BE)</f>
        <v>0</v>
      </c>
      <c r="BD38">
        <f>SUMIF(DeadRaw!$B:$B,$B38,DeadRaw!BF:BF)</f>
        <v>0</v>
      </c>
      <c r="BE38">
        <f>SUMIF(DeadRaw!$B:$B,$B38,DeadRaw!BG:BG)</f>
        <v>0</v>
      </c>
      <c r="BF38">
        <f>SUMIF(DeadRaw!$B:$B,$B38,DeadRaw!BH:BH)</f>
        <v>0</v>
      </c>
      <c r="BG38">
        <f>SUMIF(DeadRaw!$B:$B,$B38,DeadRaw!BI:BI)</f>
        <v>0</v>
      </c>
      <c r="BH38">
        <f>SUMIF(DeadRaw!$B:$B,$B38,DeadRaw!BJ:BJ)</f>
        <v>0</v>
      </c>
      <c r="BI38">
        <f>SUMIF(DeadRaw!$B:$B,$B38,DeadRaw!BK:BK)</f>
        <v>2</v>
      </c>
      <c r="BJ38">
        <f>SUMIF(DeadRaw!$B:$B,$B38,DeadRaw!BL:BL)</f>
        <v>2</v>
      </c>
      <c r="BK38">
        <f>SUMIF(DeadRaw!$B:$B,$B38,DeadRaw!BM:BM)</f>
        <v>2</v>
      </c>
      <c r="BL38">
        <f>SUMIF(DeadRaw!$B:$B,$B38,DeadRaw!BN:BN)</f>
        <v>2</v>
      </c>
      <c r="BM38">
        <f>SUMIF(DeadRaw!$B:$B,$B38,DeadRaw!BO:BO)</f>
        <v>2</v>
      </c>
      <c r="BN38">
        <f>SUMIF(DeadRaw!$B:$B,$B38,DeadRaw!BP:BP)</f>
        <v>2</v>
      </c>
      <c r="BO38">
        <f>SUMIF(DeadRaw!$B:$B,$B38,DeadRaw!BQ:BQ)</f>
        <v>2</v>
      </c>
      <c r="BP38">
        <f>SUMIF(DeadRaw!$B:$B,$B38,DeadRaw!BR:BR)</f>
        <v>2</v>
      </c>
      <c r="BQ38">
        <f>SUMIF(DeadRaw!$B:$B,$B38,DeadRaw!BS:BS)</f>
        <v>2</v>
      </c>
      <c r="BR38">
        <f>SUMIF(DeadRaw!$B:$B,$B38,DeadRaw!BT:BT)</f>
        <v>0</v>
      </c>
      <c r="BS38">
        <f>SUMIF(DeadRaw!$B:$B,$B38,DeadRaw!BU:BU)</f>
        <v>0</v>
      </c>
      <c r="BT38">
        <f>SUMIF(DeadRaw!$B:$B,$B38,DeadRaw!BV:BV)</f>
        <v>0</v>
      </c>
      <c r="BU38">
        <f>SUMIF(DeadRaw!$B:$B,$B38,DeadRaw!BW:BW)</f>
        <v>0</v>
      </c>
    </row>
    <row r="39" spans="1:73" ht="15" thickBot="1" x14ac:dyDescent="0.35">
      <c r="A39" s="97" t="str">
        <f>VLOOKUP(B39,Country_Data!B:Q,16,FALSE)</f>
        <v>Asia</v>
      </c>
      <c r="B39" s="4" t="s">
        <v>57</v>
      </c>
      <c r="C39">
        <f>SUMIF(DeadRaw!$B:$B,$B39,DeadRaw!E:E)</f>
        <v>0</v>
      </c>
      <c r="D39">
        <f>SUMIF(DeadRaw!$B:$B,$B39,DeadRaw!F:F)</f>
        <v>0</v>
      </c>
      <c r="E39">
        <f>SUMIF(DeadRaw!$B:$B,$B39,DeadRaw!G:G)</f>
        <v>0</v>
      </c>
      <c r="F39">
        <f>SUMIF(DeadRaw!$B:$B,$B39,DeadRaw!H:H)</f>
        <v>0</v>
      </c>
      <c r="G39">
        <f>SUMIF(DeadRaw!$B:$B,$B39,DeadRaw!I:I)</f>
        <v>0</v>
      </c>
      <c r="H39">
        <f>SUMIF(DeadRaw!$B:$B,$B39,DeadRaw!J:J)</f>
        <v>0</v>
      </c>
      <c r="I39">
        <f>SUMIF(DeadRaw!$B:$B,$B39,DeadRaw!K:K)</f>
        <v>0</v>
      </c>
      <c r="J39">
        <f>SUMIF(DeadRaw!$B:$B,$B39,DeadRaw!L:L)</f>
        <v>0</v>
      </c>
      <c r="K39">
        <f>SUMIF(DeadRaw!$B:$B,$B39,DeadRaw!M:M)</f>
        <v>0</v>
      </c>
      <c r="L39">
        <f>SUMIF(DeadRaw!$B:$B,$B39,DeadRaw!N:N)</f>
        <v>0</v>
      </c>
      <c r="M39">
        <f>SUMIF(DeadRaw!$B:$B,$B39,DeadRaw!O:O)</f>
        <v>0</v>
      </c>
      <c r="N39">
        <f>SUMIF(DeadRaw!$B:$B,$B39,DeadRaw!P:P)</f>
        <v>0</v>
      </c>
      <c r="O39">
        <f>SUMIF(DeadRaw!$B:$B,$B39,DeadRaw!Q:Q)</f>
        <v>0</v>
      </c>
      <c r="P39">
        <f>SUMIF(DeadRaw!$B:$B,$B39,DeadRaw!R:R)</f>
        <v>0</v>
      </c>
      <c r="Q39">
        <f>SUMIF(DeadRaw!$B:$B,$B39,DeadRaw!S:S)</f>
        <v>0</v>
      </c>
      <c r="R39">
        <f>SUMIF(DeadRaw!$B:$B,$B39,DeadRaw!T:T)</f>
        <v>0</v>
      </c>
      <c r="S39">
        <f>SUMIF(DeadRaw!$B:$B,$B39,DeadRaw!U:U)</f>
        <v>0</v>
      </c>
      <c r="T39">
        <f>SUMIF(DeadRaw!$B:$B,$B39,DeadRaw!V:V)</f>
        <v>0</v>
      </c>
      <c r="U39">
        <f>SUMIF(DeadRaw!$B:$B,$B39,DeadRaw!W:W)</f>
        <v>0</v>
      </c>
      <c r="V39">
        <f>SUMIF(DeadRaw!$B:$B,$B39,DeadRaw!X:X)</f>
        <v>0</v>
      </c>
      <c r="W39">
        <f>SUMIF(DeadRaw!$B:$B,$B39,DeadRaw!Y:Y)</f>
        <v>0</v>
      </c>
      <c r="X39">
        <f>SUMIF(DeadRaw!$B:$B,$B39,DeadRaw!Z:Z)</f>
        <v>0</v>
      </c>
      <c r="Y39">
        <f>SUMIF(DeadRaw!$B:$B,$B39,DeadRaw!AA:AA)</f>
        <v>0</v>
      </c>
      <c r="Z39">
        <f>SUMIF(DeadRaw!$B:$B,$B39,DeadRaw!AB:AB)</f>
        <v>0</v>
      </c>
      <c r="AA39">
        <f>SUMIF(DeadRaw!$B:$B,$B39,DeadRaw!AC:AC)</f>
        <v>0</v>
      </c>
      <c r="AB39">
        <f>SUMIF(DeadRaw!$B:$B,$B39,DeadRaw!AD:AD)</f>
        <v>0</v>
      </c>
      <c r="AC39">
        <f>SUMIF(DeadRaw!$B:$B,$B39,DeadRaw!AE:AE)</f>
        <v>0</v>
      </c>
      <c r="AD39">
        <f>SUMIF(DeadRaw!$B:$B,$B39,DeadRaw!AF:AF)</f>
        <v>0</v>
      </c>
      <c r="AE39">
        <f>SUMIF(DeadRaw!$B:$B,$B39,DeadRaw!AG:AG)</f>
        <v>0</v>
      </c>
      <c r="AF39">
        <f>SUMIF(DeadRaw!$B:$B,$B39,DeadRaw!AH:AH)</f>
        <v>0</v>
      </c>
      <c r="AG39">
        <f>SUMIF(DeadRaw!$B:$B,$B39,DeadRaw!AI:AI)</f>
        <v>0</v>
      </c>
      <c r="AH39">
        <f>SUMIF(DeadRaw!$B:$B,$B39,DeadRaw!AJ:AJ)</f>
        <v>0</v>
      </c>
      <c r="AI39">
        <f>SUMIF(DeadRaw!$B:$B,$B39,DeadRaw!AK:AK)</f>
        <v>0</v>
      </c>
      <c r="AJ39">
        <f>SUMIF(DeadRaw!$B:$B,$B39,DeadRaw!AL:AL)</f>
        <v>0</v>
      </c>
      <c r="AK39">
        <f>SUMIF(DeadRaw!$B:$B,$B39,DeadRaw!AM:AM)</f>
        <v>0</v>
      </c>
      <c r="AL39">
        <f>SUMIF(DeadRaw!$B:$B,$B39,DeadRaw!AN:AN)</f>
        <v>0</v>
      </c>
      <c r="AM39">
        <f>SUMIF(DeadRaw!$B:$B,$B39,DeadRaw!AO:AO)</f>
        <v>0</v>
      </c>
      <c r="AN39">
        <f>SUMIF(DeadRaw!$B:$B,$B39,DeadRaw!AP:AP)</f>
        <v>0</v>
      </c>
      <c r="AO39">
        <f>SUMIF(DeadRaw!$B:$B,$B39,DeadRaw!AQ:AQ)</f>
        <v>0</v>
      </c>
      <c r="AP39">
        <f>SUMIF(DeadRaw!$B:$B,$B39,DeadRaw!AR:AR)</f>
        <v>0</v>
      </c>
      <c r="AQ39">
        <f>SUMIF(DeadRaw!$B:$B,$B39,DeadRaw!AS:AS)</f>
        <v>0</v>
      </c>
      <c r="AR39">
        <f>SUMIF(DeadRaw!$B:$B,$B39,DeadRaw!AT:AT)</f>
        <v>0</v>
      </c>
      <c r="AS39">
        <f>SUMIF(DeadRaw!$B:$B,$B39,DeadRaw!AU:AU)</f>
        <v>0</v>
      </c>
      <c r="AT39">
        <f>SUMIF(DeadRaw!$B:$B,$B39,DeadRaw!AV:AV)</f>
        <v>0</v>
      </c>
      <c r="AU39">
        <f>SUMIF(DeadRaw!$B:$B,$B39,DeadRaw!AW:AW)</f>
        <v>0</v>
      </c>
      <c r="AV39">
        <f>SUMIF(DeadRaw!$B:$B,$B39,DeadRaw!AX:AX)</f>
        <v>0</v>
      </c>
      <c r="AW39">
        <f>SUMIF(DeadRaw!$B:$B,$B39,DeadRaw!AY:AY)</f>
        <v>0</v>
      </c>
      <c r="AX39">
        <f>SUMIF(DeadRaw!$B:$B,$B39,DeadRaw!AZ:AZ)</f>
        <v>0</v>
      </c>
      <c r="AY39">
        <f>SUMIF(DeadRaw!$B:$B,$B39,DeadRaw!BA:BA)</f>
        <v>0</v>
      </c>
      <c r="AZ39">
        <f>SUMIF(DeadRaw!$B:$B,$B39,DeadRaw!BB:BB)</f>
        <v>1</v>
      </c>
      <c r="BA39">
        <f>SUMIF(DeadRaw!$B:$B,$B39,DeadRaw!BC:BC)</f>
        <v>1</v>
      </c>
      <c r="BB39">
        <f>SUMIF(DeadRaw!$B:$B,$B39,DeadRaw!BD:BD)</f>
        <v>2</v>
      </c>
      <c r="BC39">
        <f>SUMIF(DeadRaw!$B:$B,$B39,DeadRaw!BE:BE)</f>
        <v>2</v>
      </c>
      <c r="BD39">
        <f>SUMIF(DeadRaw!$B:$B,$B39,DeadRaw!BF:BF)</f>
        <v>2</v>
      </c>
      <c r="BE39">
        <f>SUMIF(DeadRaw!$B:$B,$B39,DeadRaw!BG:BG)</f>
        <v>2</v>
      </c>
      <c r="BF39">
        <f>SUMIF(DeadRaw!$B:$B,$B39,DeadRaw!BH:BH)</f>
        <v>3</v>
      </c>
      <c r="BG39">
        <f>SUMIF(DeadRaw!$B:$B,$B39,DeadRaw!BI:BI)</f>
        <v>3</v>
      </c>
      <c r="BH39">
        <f>SUMIF(DeadRaw!$B:$B,$B39,DeadRaw!BJ:BJ)</f>
        <v>4</v>
      </c>
      <c r="BI39">
        <f>SUMIF(DeadRaw!$B:$B,$B39,DeadRaw!BK:BK)</f>
        <v>5</v>
      </c>
      <c r="BJ39">
        <f>SUMIF(DeadRaw!$B:$B,$B39,DeadRaw!BL:BL)</f>
        <v>4</v>
      </c>
      <c r="BK39">
        <f>SUMIF(DeadRaw!$B:$B,$B39,DeadRaw!BM:BM)</f>
        <v>7</v>
      </c>
      <c r="BL39">
        <f>SUMIF(DeadRaw!$B:$B,$B39,DeadRaw!BN:BN)</f>
        <v>10</v>
      </c>
      <c r="BM39">
        <f>SUMIF(DeadRaw!$B:$B,$B39,DeadRaw!BO:BO)</f>
        <v>10</v>
      </c>
      <c r="BN39">
        <f>SUMIF(DeadRaw!$B:$B,$B39,DeadRaw!BP:BP)</f>
        <v>12</v>
      </c>
      <c r="BO39">
        <f>SUMIF(DeadRaw!$B:$B,$B39,DeadRaw!BQ:BQ)</f>
        <v>20</v>
      </c>
      <c r="BP39">
        <f>SUMIF(DeadRaw!$B:$B,$B39,DeadRaw!BR:BR)</f>
        <v>20</v>
      </c>
      <c r="BQ39">
        <f>SUMIF(DeadRaw!$B:$B,$B39,DeadRaw!BS:BS)</f>
        <v>24</v>
      </c>
      <c r="BR39">
        <f>SUMIF(DeadRaw!$B:$B,$B39,DeadRaw!BT:BT)</f>
        <v>0</v>
      </c>
      <c r="BS39">
        <f>SUMIF(DeadRaw!$B:$B,$B39,DeadRaw!BU:BU)</f>
        <v>0</v>
      </c>
      <c r="BT39">
        <f>SUMIF(DeadRaw!$B:$B,$B39,DeadRaw!BV:BV)</f>
        <v>0</v>
      </c>
      <c r="BU39">
        <f>SUMIF(DeadRaw!$B:$B,$B39,DeadRaw!BW:BW)</f>
        <v>0</v>
      </c>
    </row>
    <row r="40" spans="1:73" ht="15" thickBot="1" x14ac:dyDescent="0.35">
      <c r="A40" s="97" t="str">
        <f>VLOOKUP(B40,Country_Data!B:Q,16,FALSE)</f>
        <v>Africa</v>
      </c>
      <c r="B40" s="4" t="s">
        <v>65</v>
      </c>
      <c r="C40">
        <f>SUMIF(DeadRaw!$B:$B,$B40,DeadRaw!E:E)</f>
        <v>0</v>
      </c>
      <c r="D40">
        <f>SUMIF(DeadRaw!$B:$B,$B40,DeadRaw!F:F)</f>
        <v>0</v>
      </c>
      <c r="E40">
        <f>SUMIF(DeadRaw!$B:$B,$B40,DeadRaw!G:G)</f>
        <v>0</v>
      </c>
      <c r="F40">
        <f>SUMIF(DeadRaw!$B:$B,$B40,DeadRaw!H:H)</f>
        <v>0</v>
      </c>
      <c r="G40">
        <f>SUMIF(DeadRaw!$B:$B,$B40,DeadRaw!I:I)</f>
        <v>0</v>
      </c>
      <c r="H40">
        <f>SUMIF(DeadRaw!$B:$B,$B40,DeadRaw!J:J)</f>
        <v>0</v>
      </c>
      <c r="I40">
        <f>SUMIF(DeadRaw!$B:$B,$B40,DeadRaw!K:K)</f>
        <v>0</v>
      </c>
      <c r="J40">
        <f>SUMIF(DeadRaw!$B:$B,$B40,DeadRaw!L:L)</f>
        <v>0</v>
      </c>
      <c r="K40">
        <f>SUMIF(DeadRaw!$B:$B,$B40,DeadRaw!M:M)</f>
        <v>0</v>
      </c>
      <c r="L40">
        <f>SUMIF(DeadRaw!$B:$B,$B40,DeadRaw!N:N)</f>
        <v>0</v>
      </c>
      <c r="M40">
        <f>SUMIF(DeadRaw!$B:$B,$B40,DeadRaw!O:O)</f>
        <v>0</v>
      </c>
      <c r="N40">
        <f>SUMIF(DeadRaw!$B:$B,$B40,DeadRaw!P:P)</f>
        <v>0</v>
      </c>
      <c r="O40">
        <f>SUMIF(DeadRaw!$B:$B,$B40,DeadRaw!Q:Q)</f>
        <v>0</v>
      </c>
      <c r="P40">
        <f>SUMIF(DeadRaw!$B:$B,$B40,DeadRaw!R:R)</f>
        <v>0</v>
      </c>
      <c r="Q40">
        <f>SUMIF(DeadRaw!$B:$B,$B40,DeadRaw!S:S)</f>
        <v>0</v>
      </c>
      <c r="R40">
        <f>SUMIF(DeadRaw!$B:$B,$B40,DeadRaw!T:T)</f>
        <v>0</v>
      </c>
      <c r="S40">
        <f>SUMIF(DeadRaw!$B:$B,$B40,DeadRaw!U:U)</f>
        <v>0</v>
      </c>
      <c r="T40">
        <f>SUMIF(DeadRaw!$B:$B,$B40,DeadRaw!V:V)</f>
        <v>0</v>
      </c>
      <c r="U40">
        <f>SUMIF(DeadRaw!$B:$B,$B40,DeadRaw!W:W)</f>
        <v>0</v>
      </c>
      <c r="V40">
        <f>SUMIF(DeadRaw!$B:$B,$B40,DeadRaw!X:X)</f>
        <v>0</v>
      </c>
      <c r="W40">
        <f>SUMIF(DeadRaw!$B:$B,$B40,DeadRaw!Y:Y)</f>
        <v>0</v>
      </c>
      <c r="X40">
        <f>SUMIF(DeadRaw!$B:$B,$B40,DeadRaw!Z:Z)</f>
        <v>0</v>
      </c>
      <c r="Y40">
        <f>SUMIF(DeadRaw!$B:$B,$B40,DeadRaw!AA:AA)</f>
        <v>0</v>
      </c>
      <c r="Z40">
        <f>SUMIF(DeadRaw!$B:$B,$B40,DeadRaw!AB:AB)</f>
        <v>0</v>
      </c>
      <c r="AA40">
        <f>SUMIF(DeadRaw!$B:$B,$B40,DeadRaw!AC:AC)</f>
        <v>0</v>
      </c>
      <c r="AB40">
        <f>SUMIF(DeadRaw!$B:$B,$B40,DeadRaw!AD:AD)</f>
        <v>0</v>
      </c>
      <c r="AC40">
        <f>SUMIF(DeadRaw!$B:$B,$B40,DeadRaw!AE:AE)</f>
        <v>0</v>
      </c>
      <c r="AD40">
        <f>SUMIF(DeadRaw!$B:$B,$B40,DeadRaw!AF:AF)</f>
        <v>0</v>
      </c>
      <c r="AE40">
        <f>SUMIF(DeadRaw!$B:$B,$B40,DeadRaw!AG:AG)</f>
        <v>0</v>
      </c>
      <c r="AF40">
        <f>SUMIF(DeadRaw!$B:$B,$B40,DeadRaw!AH:AH)</f>
        <v>0</v>
      </c>
      <c r="AG40">
        <f>SUMIF(DeadRaw!$B:$B,$B40,DeadRaw!AI:AI)</f>
        <v>0</v>
      </c>
      <c r="AH40">
        <f>SUMIF(DeadRaw!$B:$B,$B40,DeadRaw!AJ:AJ)</f>
        <v>0</v>
      </c>
      <c r="AI40">
        <f>SUMIF(DeadRaw!$B:$B,$B40,DeadRaw!AK:AK)</f>
        <v>0</v>
      </c>
      <c r="AJ40">
        <f>SUMIF(DeadRaw!$B:$B,$B40,DeadRaw!AL:AL)</f>
        <v>0</v>
      </c>
      <c r="AK40">
        <f>SUMIF(DeadRaw!$B:$B,$B40,DeadRaw!AM:AM)</f>
        <v>0</v>
      </c>
      <c r="AL40">
        <f>SUMIF(DeadRaw!$B:$B,$B40,DeadRaw!AN:AN)</f>
        <v>0</v>
      </c>
      <c r="AM40">
        <f>SUMIF(DeadRaw!$B:$B,$B40,DeadRaw!AO:AO)</f>
        <v>0</v>
      </c>
      <c r="AN40">
        <f>SUMIF(DeadRaw!$B:$B,$B40,DeadRaw!AP:AP)</f>
        <v>0</v>
      </c>
      <c r="AO40">
        <f>SUMIF(DeadRaw!$B:$B,$B40,DeadRaw!AQ:AQ)</f>
        <v>0</v>
      </c>
      <c r="AP40">
        <f>SUMIF(DeadRaw!$B:$B,$B40,DeadRaw!AR:AR)</f>
        <v>0</v>
      </c>
      <c r="AQ40">
        <f>SUMIF(DeadRaw!$B:$B,$B40,DeadRaw!AS:AS)</f>
        <v>0</v>
      </c>
      <c r="AR40">
        <f>SUMIF(DeadRaw!$B:$B,$B40,DeadRaw!AT:AT)</f>
        <v>0</v>
      </c>
      <c r="AS40">
        <f>SUMIF(DeadRaw!$B:$B,$B40,DeadRaw!AU:AU)</f>
        <v>0</v>
      </c>
      <c r="AT40">
        <f>SUMIF(DeadRaw!$B:$B,$B40,DeadRaw!AV:AV)</f>
        <v>0</v>
      </c>
      <c r="AU40">
        <f>SUMIF(DeadRaw!$B:$B,$B40,DeadRaw!AW:AW)</f>
        <v>0</v>
      </c>
      <c r="AV40">
        <f>SUMIF(DeadRaw!$B:$B,$B40,DeadRaw!AX:AX)</f>
        <v>0</v>
      </c>
      <c r="AW40">
        <f>SUMIF(DeadRaw!$B:$B,$B40,DeadRaw!AY:AY)</f>
        <v>1</v>
      </c>
      <c r="AX40">
        <f>SUMIF(DeadRaw!$B:$B,$B40,DeadRaw!AZ:AZ)</f>
        <v>1</v>
      </c>
      <c r="AY40">
        <f>SUMIF(DeadRaw!$B:$B,$B40,DeadRaw!BA:BA)</f>
        <v>1</v>
      </c>
      <c r="AZ40">
        <f>SUMIF(DeadRaw!$B:$B,$B40,DeadRaw!BB:BB)</f>
        <v>1</v>
      </c>
      <c r="BA40">
        <f>SUMIF(DeadRaw!$B:$B,$B40,DeadRaw!BC:BC)</f>
        <v>1</v>
      </c>
      <c r="BB40">
        <f>SUMIF(DeadRaw!$B:$B,$B40,DeadRaw!BD:BD)</f>
        <v>2</v>
      </c>
      <c r="BC40">
        <f>SUMIF(DeadRaw!$B:$B,$B40,DeadRaw!BE:BE)</f>
        <v>2</v>
      </c>
      <c r="BD40">
        <f>SUMIF(DeadRaw!$B:$B,$B40,DeadRaw!BF:BF)</f>
        <v>2</v>
      </c>
      <c r="BE40">
        <f>SUMIF(DeadRaw!$B:$B,$B40,DeadRaw!BG:BG)</f>
        <v>2</v>
      </c>
      <c r="BF40">
        <f>SUMIF(DeadRaw!$B:$B,$B40,DeadRaw!BH:BH)</f>
        <v>4</v>
      </c>
      <c r="BG40">
        <f>SUMIF(DeadRaw!$B:$B,$B40,DeadRaw!BI:BI)</f>
        <v>6</v>
      </c>
      <c r="BH40">
        <f>SUMIF(DeadRaw!$B:$B,$B40,DeadRaw!BJ:BJ)</f>
        <v>6</v>
      </c>
      <c r="BI40">
        <f>SUMIF(DeadRaw!$B:$B,$B40,DeadRaw!BK:BK)</f>
        <v>8</v>
      </c>
      <c r="BJ40">
        <f>SUMIF(DeadRaw!$B:$B,$B40,DeadRaw!BL:BL)</f>
        <v>10</v>
      </c>
      <c r="BK40">
        <f>SUMIF(DeadRaw!$B:$B,$B40,DeadRaw!BM:BM)</f>
        <v>14</v>
      </c>
      <c r="BL40">
        <f>SUMIF(DeadRaw!$B:$B,$B40,DeadRaw!BN:BN)</f>
        <v>19</v>
      </c>
      <c r="BM40">
        <f>SUMIF(DeadRaw!$B:$B,$B40,DeadRaw!BO:BO)</f>
        <v>20</v>
      </c>
      <c r="BN40">
        <f>SUMIF(DeadRaw!$B:$B,$B40,DeadRaw!BP:BP)</f>
        <v>21</v>
      </c>
      <c r="BO40">
        <f>SUMIF(DeadRaw!$B:$B,$B40,DeadRaw!BQ:BQ)</f>
        <v>24</v>
      </c>
      <c r="BP40">
        <f>SUMIF(DeadRaw!$B:$B,$B40,DeadRaw!BR:BR)</f>
        <v>30</v>
      </c>
      <c r="BQ40">
        <f>SUMIF(DeadRaw!$B:$B,$B40,DeadRaw!BS:BS)</f>
        <v>36</v>
      </c>
      <c r="BR40">
        <f>SUMIF(DeadRaw!$B:$B,$B40,DeadRaw!BT:BT)</f>
        <v>0</v>
      </c>
      <c r="BS40">
        <f>SUMIF(DeadRaw!$B:$B,$B40,DeadRaw!BU:BU)</f>
        <v>0</v>
      </c>
      <c r="BT40">
        <f>SUMIF(DeadRaw!$B:$B,$B40,DeadRaw!BV:BV)</f>
        <v>0</v>
      </c>
      <c r="BU40">
        <f>SUMIF(DeadRaw!$B:$B,$B40,DeadRaw!BW:BW)</f>
        <v>0</v>
      </c>
    </row>
    <row r="41" spans="1:73" ht="15" thickBot="1" x14ac:dyDescent="0.35">
      <c r="A41" s="97" t="str">
        <f>VLOOKUP(B41,Country_Data!B:Q,16,FALSE)</f>
        <v>Middle East</v>
      </c>
      <c r="B41" s="3" t="s">
        <v>74</v>
      </c>
      <c r="C41">
        <f>SUMIF(DeadRaw!$B:$B,$B41,DeadRaw!E:E)</f>
        <v>0</v>
      </c>
      <c r="D41">
        <f>SUMIF(DeadRaw!$B:$B,$B41,DeadRaw!F:F)</f>
        <v>0</v>
      </c>
      <c r="E41">
        <f>SUMIF(DeadRaw!$B:$B,$B41,DeadRaw!G:G)</f>
        <v>0</v>
      </c>
      <c r="F41">
        <f>SUMIF(DeadRaw!$B:$B,$B41,DeadRaw!H:H)</f>
        <v>0</v>
      </c>
      <c r="G41">
        <f>SUMIF(DeadRaw!$B:$B,$B41,DeadRaw!I:I)</f>
        <v>0</v>
      </c>
      <c r="H41">
        <f>SUMIF(DeadRaw!$B:$B,$B41,DeadRaw!J:J)</f>
        <v>0</v>
      </c>
      <c r="I41">
        <f>SUMIF(DeadRaw!$B:$B,$B41,DeadRaw!K:K)</f>
        <v>0</v>
      </c>
      <c r="J41">
        <f>SUMIF(DeadRaw!$B:$B,$B41,DeadRaw!L:L)</f>
        <v>0</v>
      </c>
      <c r="K41">
        <f>SUMIF(DeadRaw!$B:$B,$B41,DeadRaw!M:M)</f>
        <v>0</v>
      </c>
      <c r="L41">
        <f>SUMIF(DeadRaw!$B:$B,$B41,DeadRaw!N:N)</f>
        <v>0</v>
      </c>
      <c r="M41">
        <f>SUMIF(DeadRaw!$B:$B,$B41,DeadRaw!O:O)</f>
        <v>0</v>
      </c>
      <c r="N41">
        <f>SUMIF(DeadRaw!$B:$B,$B41,DeadRaw!P:P)</f>
        <v>0</v>
      </c>
      <c r="O41">
        <f>SUMIF(DeadRaw!$B:$B,$B41,DeadRaw!Q:Q)</f>
        <v>0</v>
      </c>
      <c r="P41">
        <f>SUMIF(DeadRaw!$B:$B,$B41,DeadRaw!R:R)</f>
        <v>0</v>
      </c>
      <c r="Q41">
        <f>SUMIF(DeadRaw!$B:$B,$B41,DeadRaw!S:S)</f>
        <v>0</v>
      </c>
      <c r="R41">
        <f>SUMIF(DeadRaw!$B:$B,$B41,DeadRaw!T:T)</f>
        <v>0</v>
      </c>
      <c r="S41">
        <f>SUMIF(DeadRaw!$B:$B,$B41,DeadRaw!U:U)</f>
        <v>0</v>
      </c>
      <c r="T41">
        <f>SUMIF(DeadRaw!$B:$B,$B41,DeadRaw!V:V)</f>
        <v>0</v>
      </c>
      <c r="U41">
        <f>SUMIF(DeadRaw!$B:$B,$B41,DeadRaw!W:W)</f>
        <v>0</v>
      </c>
      <c r="V41">
        <f>SUMIF(DeadRaw!$B:$B,$B41,DeadRaw!X:X)</f>
        <v>0</v>
      </c>
      <c r="W41">
        <f>SUMIF(DeadRaw!$B:$B,$B41,DeadRaw!Y:Y)</f>
        <v>0</v>
      </c>
      <c r="X41">
        <f>SUMIF(DeadRaw!$B:$B,$B41,DeadRaw!Z:Z)</f>
        <v>0</v>
      </c>
      <c r="Y41">
        <f>SUMIF(DeadRaw!$B:$B,$B41,DeadRaw!AA:AA)</f>
        <v>0</v>
      </c>
      <c r="Z41">
        <f>SUMIF(DeadRaw!$B:$B,$B41,DeadRaw!AB:AB)</f>
        <v>0</v>
      </c>
      <c r="AA41">
        <f>SUMIF(DeadRaw!$B:$B,$B41,DeadRaw!AC:AC)</f>
        <v>0</v>
      </c>
      <c r="AB41">
        <f>SUMIF(DeadRaw!$B:$B,$B41,DeadRaw!AD:AD)</f>
        <v>0</v>
      </c>
      <c r="AC41">
        <f>SUMIF(DeadRaw!$B:$B,$B41,DeadRaw!AE:AE)</f>
        <v>0</v>
      </c>
      <c r="AD41">
        <f>SUMIF(DeadRaw!$B:$B,$B41,DeadRaw!AF:AF)</f>
        <v>0</v>
      </c>
      <c r="AE41">
        <f>SUMIF(DeadRaw!$B:$B,$B41,DeadRaw!AG:AG)</f>
        <v>0</v>
      </c>
      <c r="AF41">
        <f>SUMIF(DeadRaw!$B:$B,$B41,DeadRaw!AH:AH)</f>
        <v>0</v>
      </c>
      <c r="AG41">
        <f>SUMIF(DeadRaw!$B:$B,$B41,DeadRaw!AI:AI)</f>
        <v>0</v>
      </c>
      <c r="AH41">
        <f>SUMIF(DeadRaw!$B:$B,$B41,DeadRaw!AJ:AJ)</f>
        <v>0</v>
      </c>
      <c r="AI41">
        <f>SUMIF(DeadRaw!$B:$B,$B41,DeadRaw!AK:AK)</f>
        <v>0</v>
      </c>
      <c r="AJ41">
        <f>SUMIF(DeadRaw!$B:$B,$B41,DeadRaw!AL:AL)</f>
        <v>0</v>
      </c>
      <c r="AK41">
        <f>SUMIF(DeadRaw!$B:$B,$B41,DeadRaw!AM:AM)</f>
        <v>0</v>
      </c>
      <c r="AL41">
        <f>SUMIF(DeadRaw!$B:$B,$B41,DeadRaw!AN:AN)</f>
        <v>0</v>
      </c>
      <c r="AM41">
        <f>SUMIF(DeadRaw!$B:$B,$B41,DeadRaw!AO:AO)</f>
        <v>0</v>
      </c>
      <c r="AN41">
        <f>SUMIF(DeadRaw!$B:$B,$B41,DeadRaw!AP:AP)</f>
        <v>0</v>
      </c>
      <c r="AO41">
        <f>SUMIF(DeadRaw!$B:$B,$B41,DeadRaw!AQ:AQ)</f>
        <v>0</v>
      </c>
      <c r="AP41">
        <f>SUMIF(DeadRaw!$B:$B,$B41,DeadRaw!AR:AR)</f>
        <v>0</v>
      </c>
      <c r="AQ41">
        <f>SUMIF(DeadRaw!$B:$B,$B41,DeadRaw!AS:AS)</f>
        <v>0</v>
      </c>
      <c r="AR41">
        <f>SUMIF(DeadRaw!$B:$B,$B41,DeadRaw!AT:AT)</f>
        <v>0</v>
      </c>
      <c r="AS41">
        <f>SUMIF(DeadRaw!$B:$B,$B41,DeadRaw!AU:AU)</f>
        <v>0</v>
      </c>
      <c r="AT41">
        <f>SUMIF(DeadRaw!$B:$B,$B41,DeadRaw!AV:AV)</f>
        <v>0</v>
      </c>
      <c r="AU41">
        <f>SUMIF(DeadRaw!$B:$B,$B41,DeadRaw!AW:AW)</f>
        <v>0</v>
      </c>
      <c r="AV41">
        <f>SUMIF(DeadRaw!$B:$B,$B41,DeadRaw!AX:AX)</f>
        <v>0</v>
      </c>
      <c r="AW41">
        <f>SUMIF(DeadRaw!$B:$B,$B41,DeadRaw!AY:AY)</f>
        <v>0</v>
      </c>
      <c r="AX41">
        <f>SUMIF(DeadRaw!$B:$B,$B41,DeadRaw!AZ:AZ)</f>
        <v>0</v>
      </c>
      <c r="AY41">
        <f>SUMIF(DeadRaw!$B:$B,$B41,DeadRaw!BA:BA)</f>
        <v>0</v>
      </c>
      <c r="AZ41">
        <f>SUMIF(DeadRaw!$B:$B,$B41,DeadRaw!BB:BB)</f>
        <v>0</v>
      </c>
      <c r="BA41">
        <f>SUMIF(DeadRaw!$B:$B,$B41,DeadRaw!BC:BC)</f>
        <v>0</v>
      </c>
      <c r="BB41">
        <f>SUMIF(DeadRaw!$B:$B,$B41,DeadRaw!BD:BD)</f>
        <v>0</v>
      </c>
      <c r="BC41">
        <f>SUMIF(DeadRaw!$B:$B,$B41,DeadRaw!BE:BE)</f>
        <v>0</v>
      </c>
      <c r="BD41">
        <f>SUMIF(DeadRaw!$B:$B,$B41,DeadRaw!BF:BF)</f>
        <v>0</v>
      </c>
      <c r="BE41">
        <f>SUMIF(DeadRaw!$B:$B,$B41,DeadRaw!BG:BG)</f>
        <v>0</v>
      </c>
      <c r="BF41">
        <f>SUMIF(DeadRaw!$B:$B,$B41,DeadRaw!BH:BH)</f>
        <v>0</v>
      </c>
      <c r="BG41">
        <f>SUMIF(DeadRaw!$B:$B,$B41,DeadRaw!BI:BI)</f>
        <v>0</v>
      </c>
      <c r="BH41">
        <f>SUMIF(DeadRaw!$B:$B,$B41,DeadRaw!BJ:BJ)</f>
        <v>0</v>
      </c>
      <c r="BI41">
        <f>SUMIF(DeadRaw!$B:$B,$B41,DeadRaw!BK:BK)</f>
        <v>0</v>
      </c>
      <c r="BJ41">
        <f>SUMIF(DeadRaw!$B:$B,$B41,DeadRaw!BL:BL)</f>
        <v>0</v>
      </c>
      <c r="BK41">
        <f>SUMIF(DeadRaw!$B:$B,$B41,DeadRaw!BM:BM)</f>
        <v>0</v>
      </c>
      <c r="BL41">
        <f>SUMIF(DeadRaw!$B:$B,$B41,DeadRaw!BN:BN)</f>
        <v>0</v>
      </c>
      <c r="BM41">
        <f>SUMIF(DeadRaw!$B:$B,$B41,DeadRaw!BO:BO)</f>
        <v>0</v>
      </c>
      <c r="BN41">
        <f>SUMIF(DeadRaw!$B:$B,$B41,DeadRaw!BP:BP)</f>
        <v>0</v>
      </c>
      <c r="BO41">
        <f>SUMIF(DeadRaw!$B:$B,$B41,DeadRaw!BQ:BQ)</f>
        <v>0</v>
      </c>
      <c r="BP41">
        <f>SUMIF(DeadRaw!$B:$B,$B41,DeadRaw!BR:BR)</f>
        <v>0</v>
      </c>
      <c r="BQ41">
        <f>SUMIF(DeadRaw!$B:$B,$B41,DeadRaw!BS:BS)</f>
        <v>0</v>
      </c>
      <c r="BR41">
        <f>SUMIF(DeadRaw!$B:$B,$B41,DeadRaw!BT:BT)</f>
        <v>0</v>
      </c>
      <c r="BS41">
        <f>SUMIF(DeadRaw!$B:$B,$B41,DeadRaw!BU:BU)</f>
        <v>0</v>
      </c>
      <c r="BT41">
        <f>SUMIF(DeadRaw!$B:$B,$B41,DeadRaw!BV:BV)</f>
        <v>0</v>
      </c>
      <c r="BU41">
        <f>SUMIF(DeadRaw!$B:$B,$B41,DeadRaw!BW:BW)</f>
        <v>0</v>
      </c>
    </row>
    <row r="42" spans="1:73" ht="15" thickBot="1" x14ac:dyDescent="0.35">
      <c r="A42" s="97" t="str">
        <f>VLOOKUP(B42,Country_Data!B:Q,16,FALSE)</f>
        <v>Europe</v>
      </c>
      <c r="B42" s="4" t="s">
        <v>90</v>
      </c>
      <c r="C42">
        <f>SUMIF(DeadRaw!$B:$B,$B42,DeadRaw!E:E)</f>
        <v>0</v>
      </c>
      <c r="D42">
        <f>SUMIF(DeadRaw!$B:$B,$B42,DeadRaw!F:F)</f>
        <v>0</v>
      </c>
      <c r="E42">
        <f>SUMIF(DeadRaw!$B:$B,$B42,DeadRaw!G:G)</f>
        <v>0</v>
      </c>
      <c r="F42">
        <f>SUMIF(DeadRaw!$B:$B,$B42,DeadRaw!H:H)</f>
        <v>0</v>
      </c>
      <c r="G42">
        <f>SUMIF(DeadRaw!$B:$B,$B42,DeadRaw!I:I)</f>
        <v>0</v>
      </c>
      <c r="H42">
        <f>SUMIF(DeadRaw!$B:$B,$B42,DeadRaw!J:J)</f>
        <v>0</v>
      </c>
      <c r="I42">
        <f>SUMIF(DeadRaw!$B:$B,$B42,DeadRaw!K:K)</f>
        <v>0</v>
      </c>
      <c r="J42">
        <f>SUMIF(DeadRaw!$B:$B,$B42,DeadRaw!L:L)</f>
        <v>0</v>
      </c>
      <c r="K42">
        <f>SUMIF(DeadRaw!$B:$B,$B42,DeadRaw!M:M)</f>
        <v>0</v>
      </c>
      <c r="L42">
        <f>SUMIF(DeadRaw!$B:$B,$B42,DeadRaw!N:N)</f>
        <v>0</v>
      </c>
      <c r="M42">
        <f>SUMIF(DeadRaw!$B:$B,$B42,DeadRaw!O:O)</f>
        <v>0</v>
      </c>
      <c r="N42">
        <f>SUMIF(DeadRaw!$B:$B,$B42,DeadRaw!P:P)</f>
        <v>0</v>
      </c>
      <c r="O42">
        <f>SUMIF(DeadRaw!$B:$B,$B42,DeadRaw!Q:Q)</f>
        <v>0</v>
      </c>
      <c r="P42">
        <f>SUMIF(DeadRaw!$B:$B,$B42,DeadRaw!R:R)</f>
        <v>0</v>
      </c>
      <c r="Q42">
        <f>SUMIF(DeadRaw!$B:$B,$B42,DeadRaw!S:S)</f>
        <v>0</v>
      </c>
      <c r="R42">
        <f>SUMIF(DeadRaw!$B:$B,$B42,DeadRaw!T:T)</f>
        <v>0</v>
      </c>
      <c r="S42">
        <f>SUMIF(DeadRaw!$B:$B,$B42,DeadRaw!U:U)</f>
        <v>0</v>
      </c>
      <c r="T42">
        <f>SUMIF(DeadRaw!$B:$B,$B42,DeadRaw!V:V)</f>
        <v>0</v>
      </c>
      <c r="U42">
        <f>SUMIF(DeadRaw!$B:$B,$B42,DeadRaw!W:W)</f>
        <v>0</v>
      </c>
      <c r="V42">
        <f>SUMIF(DeadRaw!$B:$B,$B42,DeadRaw!X:X)</f>
        <v>0</v>
      </c>
      <c r="W42">
        <f>SUMIF(DeadRaw!$B:$B,$B42,DeadRaw!Y:Y)</f>
        <v>0</v>
      </c>
      <c r="X42">
        <f>SUMIF(DeadRaw!$B:$B,$B42,DeadRaw!Z:Z)</f>
        <v>0</v>
      </c>
      <c r="Y42">
        <f>SUMIF(DeadRaw!$B:$B,$B42,DeadRaw!AA:AA)</f>
        <v>0</v>
      </c>
      <c r="Z42">
        <f>SUMIF(DeadRaw!$B:$B,$B42,DeadRaw!AB:AB)</f>
        <v>0</v>
      </c>
      <c r="AA42">
        <f>SUMIF(DeadRaw!$B:$B,$B42,DeadRaw!AC:AC)</f>
        <v>0</v>
      </c>
      <c r="AB42">
        <f>SUMIF(DeadRaw!$B:$B,$B42,DeadRaw!AD:AD)</f>
        <v>0</v>
      </c>
      <c r="AC42">
        <f>SUMIF(DeadRaw!$B:$B,$B42,DeadRaw!AE:AE)</f>
        <v>0</v>
      </c>
      <c r="AD42">
        <f>SUMIF(DeadRaw!$B:$B,$B42,DeadRaw!AF:AF)</f>
        <v>0</v>
      </c>
      <c r="AE42">
        <f>SUMIF(DeadRaw!$B:$B,$B42,DeadRaw!AG:AG)</f>
        <v>0</v>
      </c>
      <c r="AF42">
        <f>SUMIF(DeadRaw!$B:$B,$B42,DeadRaw!AH:AH)</f>
        <v>0</v>
      </c>
      <c r="AG42">
        <f>SUMIF(DeadRaw!$B:$B,$B42,DeadRaw!AI:AI)</f>
        <v>0</v>
      </c>
      <c r="AH42">
        <f>SUMIF(DeadRaw!$B:$B,$B42,DeadRaw!AJ:AJ)</f>
        <v>0</v>
      </c>
      <c r="AI42">
        <f>SUMIF(DeadRaw!$B:$B,$B42,DeadRaw!AK:AK)</f>
        <v>0</v>
      </c>
      <c r="AJ42">
        <f>SUMIF(DeadRaw!$B:$B,$B42,DeadRaw!AL:AL)</f>
        <v>0</v>
      </c>
      <c r="AK42">
        <f>SUMIF(DeadRaw!$B:$B,$B42,DeadRaw!AM:AM)</f>
        <v>0</v>
      </c>
      <c r="AL42">
        <f>SUMIF(DeadRaw!$B:$B,$B42,DeadRaw!AN:AN)</f>
        <v>0</v>
      </c>
      <c r="AM42">
        <f>SUMIF(DeadRaw!$B:$B,$B42,DeadRaw!AO:AO)</f>
        <v>0</v>
      </c>
      <c r="AN42">
        <f>SUMIF(DeadRaw!$B:$B,$B42,DeadRaw!AP:AP)</f>
        <v>0</v>
      </c>
      <c r="AO42">
        <f>SUMIF(DeadRaw!$B:$B,$B42,DeadRaw!AQ:AQ)</f>
        <v>0</v>
      </c>
      <c r="AP42">
        <f>SUMIF(DeadRaw!$B:$B,$B42,DeadRaw!AR:AR)</f>
        <v>0</v>
      </c>
      <c r="AQ42">
        <f>SUMIF(DeadRaw!$B:$B,$B42,DeadRaw!AS:AS)</f>
        <v>0</v>
      </c>
      <c r="AR42">
        <f>SUMIF(DeadRaw!$B:$B,$B42,DeadRaw!AT:AT)</f>
        <v>1</v>
      </c>
      <c r="AS42">
        <f>SUMIF(DeadRaw!$B:$B,$B42,DeadRaw!AU:AU)</f>
        <v>1</v>
      </c>
      <c r="AT42">
        <f>SUMIF(DeadRaw!$B:$B,$B42,DeadRaw!AV:AV)</f>
        <v>1</v>
      </c>
      <c r="AU42">
        <f>SUMIF(DeadRaw!$B:$B,$B42,DeadRaw!AW:AW)</f>
        <v>1</v>
      </c>
      <c r="AV42">
        <f>SUMIF(DeadRaw!$B:$B,$B42,DeadRaw!AX:AX)</f>
        <v>1</v>
      </c>
      <c r="AW42">
        <f>SUMIF(DeadRaw!$B:$B,$B42,DeadRaw!AY:AY)</f>
        <v>1</v>
      </c>
      <c r="AX42">
        <f>SUMIF(DeadRaw!$B:$B,$B42,DeadRaw!AZ:AZ)</f>
        <v>1</v>
      </c>
      <c r="AY42">
        <f>SUMIF(DeadRaw!$B:$B,$B42,DeadRaw!BA:BA)</f>
        <v>2</v>
      </c>
      <c r="AZ42">
        <f>SUMIF(DeadRaw!$B:$B,$B42,DeadRaw!BB:BB)</f>
        <v>2</v>
      </c>
      <c r="BA42">
        <f>SUMIF(DeadRaw!$B:$B,$B42,DeadRaw!BC:BC)</f>
        <v>3</v>
      </c>
      <c r="BB42">
        <f>SUMIF(DeadRaw!$B:$B,$B42,DeadRaw!BD:BD)</f>
        <v>5</v>
      </c>
      <c r="BC42">
        <f>SUMIF(DeadRaw!$B:$B,$B42,DeadRaw!BE:BE)</f>
        <v>5</v>
      </c>
      <c r="BD42">
        <f>SUMIF(DeadRaw!$B:$B,$B42,DeadRaw!BF:BF)</f>
        <v>5</v>
      </c>
      <c r="BE42">
        <f>SUMIF(DeadRaw!$B:$B,$B42,DeadRaw!BG:BG)</f>
        <v>7</v>
      </c>
      <c r="BF42">
        <f>SUMIF(DeadRaw!$B:$B,$B42,DeadRaw!BH:BH)</f>
        <v>7</v>
      </c>
      <c r="BG42">
        <f>SUMIF(DeadRaw!$B:$B,$B42,DeadRaw!BI:BI)</f>
        <v>11</v>
      </c>
      <c r="BH42">
        <f>SUMIF(DeadRaw!$B:$B,$B42,DeadRaw!BJ:BJ)</f>
        <v>11</v>
      </c>
      <c r="BI42">
        <f>SUMIF(DeadRaw!$B:$B,$B42,DeadRaw!BK:BK)</f>
        <v>14</v>
      </c>
      <c r="BJ42">
        <f>SUMIF(DeadRaw!$B:$B,$B42,DeadRaw!BL:BL)</f>
        <v>20</v>
      </c>
      <c r="BK42">
        <f>SUMIF(DeadRaw!$B:$B,$B42,DeadRaw!BM:BM)</f>
        <v>20</v>
      </c>
      <c r="BL42">
        <f>SUMIF(DeadRaw!$B:$B,$B42,DeadRaw!BN:BN)</f>
        <v>20</v>
      </c>
      <c r="BM42">
        <f>SUMIF(DeadRaw!$B:$B,$B42,DeadRaw!BO:BO)</f>
        <v>21</v>
      </c>
      <c r="BN42">
        <f>SUMIF(DeadRaw!$B:$B,$B42,DeadRaw!BP:BP)</f>
        <v>21</v>
      </c>
      <c r="BO42">
        <f>SUMIF(DeadRaw!$B:$B,$B42,DeadRaw!BQ:BQ)</f>
        <v>21</v>
      </c>
      <c r="BP42">
        <f>SUMIF(DeadRaw!$B:$B,$B42,DeadRaw!BR:BR)</f>
        <v>21</v>
      </c>
      <c r="BQ42">
        <f>SUMIF(DeadRaw!$B:$B,$B42,DeadRaw!BS:BS)</f>
        <v>22</v>
      </c>
      <c r="BR42">
        <f>SUMIF(DeadRaw!$B:$B,$B42,DeadRaw!BT:BT)</f>
        <v>0</v>
      </c>
      <c r="BS42">
        <f>SUMIF(DeadRaw!$B:$B,$B42,DeadRaw!BU:BU)</f>
        <v>0</v>
      </c>
      <c r="BT42">
        <f>SUMIF(DeadRaw!$B:$B,$B42,DeadRaw!BV:BV)</f>
        <v>0</v>
      </c>
      <c r="BU42">
        <f>SUMIF(DeadRaw!$B:$B,$B42,DeadRaw!BW:BW)</f>
        <v>0</v>
      </c>
    </row>
    <row r="43" spans="1:73" ht="15" thickBot="1" x14ac:dyDescent="0.35">
      <c r="A43" s="97" t="str">
        <f>VLOOKUP(B43,Country_Data!B:Q,16,FALSE)</f>
        <v>Europe</v>
      </c>
      <c r="B43" s="4" t="s">
        <v>88</v>
      </c>
      <c r="C43">
        <f>SUMIF(DeadRaw!$B:$B,$B43,DeadRaw!E:E)</f>
        <v>0</v>
      </c>
      <c r="D43">
        <f>SUMIF(DeadRaw!$B:$B,$B43,DeadRaw!F:F)</f>
        <v>0</v>
      </c>
      <c r="E43">
        <f>SUMIF(DeadRaw!$B:$B,$B43,DeadRaw!G:G)</f>
        <v>0</v>
      </c>
      <c r="F43">
        <f>SUMIF(DeadRaw!$B:$B,$B43,DeadRaw!H:H)</f>
        <v>0</v>
      </c>
      <c r="G43">
        <f>SUMIF(DeadRaw!$B:$B,$B43,DeadRaw!I:I)</f>
        <v>0</v>
      </c>
      <c r="H43">
        <f>SUMIF(DeadRaw!$B:$B,$B43,DeadRaw!J:J)</f>
        <v>0</v>
      </c>
      <c r="I43">
        <f>SUMIF(DeadRaw!$B:$B,$B43,DeadRaw!K:K)</f>
        <v>0</v>
      </c>
      <c r="J43">
        <f>SUMIF(DeadRaw!$B:$B,$B43,DeadRaw!L:L)</f>
        <v>0</v>
      </c>
      <c r="K43">
        <f>SUMIF(DeadRaw!$B:$B,$B43,DeadRaw!M:M)</f>
        <v>0</v>
      </c>
      <c r="L43">
        <f>SUMIF(DeadRaw!$B:$B,$B43,DeadRaw!N:N)</f>
        <v>0</v>
      </c>
      <c r="M43">
        <f>SUMIF(DeadRaw!$B:$B,$B43,DeadRaw!O:O)</f>
        <v>0</v>
      </c>
      <c r="N43">
        <f>SUMIF(DeadRaw!$B:$B,$B43,DeadRaw!P:P)</f>
        <v>0</v>
      </c>
      <c r="O43">
        <f>SUMIF(DeadRaw!$B:$B,$B43,DeadRaw!Q:Q)</f>
        <v>0</v>
      </c>
      <c r="P43">
        <f>SUMIF(DeadRaw!$B:$B,$B43,DeadRaw!R:R)</f>
        <v>0</v>
      </c>
      <c r="Q43">
        <f>SUMIF(DeadRaw!$B:$B,$B43,DeadRaw!S:S)</f>
        <v>0</v>
      </c>
      <c r="R43">
        <f>SUMIF(DeadRaw!$B:$B,$B43,DeadRaw!T:T)</f>
        <v>0</v>
      </c>
      <c r="S43">
        <f>SUMIF(DeadRaw!$B:$B,$B43,DeadRaw!U:U)</f>
        <v>0</v>
      </c>
      <c r="T43">
        <f>SUMIF(DeadRaw!$B:$B,$B43,DeadRaw!V:V)</f>
        <v>0</v>
      </c>
      <c r="U43">
        <f>SUMIF(DeadRaw!$B:$B,$B43,DeadRaw!W:W)</f>
        <v>0</v>
      </c>
      <c r="V43">
        <f>SUMIF(DeadRaw!$B:$B,$B43,DeadRaw!X:X)</f>
        <v>0</v>
      </c>
      <c r="W43">
        <f>SUMIF(DeadRaw!$B:$B,$B43,DeadRaw!Y:Y)</f>
        <v>0</v>
      </c>
      <c r="X43">
        <f>SUMIF(DeadRaw!$B:$B,$B43,DeadRaw!Z:Z)</f>
        <v>0</v>
      </c>
      <c r="Y43">
        <f>SUMIF(DeadRaw!$B:$B,$B43,DeadRaw!AA:AA)</f>
        <v>0</v>
      </c>
      <c r="Z43">
        <f>SUMIF(DeadRaw!$B:$B,$B43,DeadRaw!AB:AB)</f>
        <v>0</v>
      </c>
      <c r="AA43">
        <f>SUMIF(DeadRaw!$B:$B,$B43,DeadRaw!AC:AC)</f>
        <v>0</v>
      </c>
      <c r="AB43">
        <f>SUMIF(DeadRaw!$B:$B,$B43,DeadRaw!AD:AD)</f>
        <v>0</v>
      </c>
      <c r="AC43">
        <f>SUMIF(DeadRaw!$B:$B,$B43,DeadRaw!AE:AE)</f>
        <v>0</v>
      </c>
      <c r="AD43">
        <f>SUMIF(DeadRaw!$B:$B,$B43,DeadRaw!AF:AF)</f>
        <v>0</v>
      </c>
      <c r="AE43">
        <f>SUMIF(DeadRaw!$B:$B,$B43,DeadRaw!AG:AG)</f>
        <v>0</v>
      </c>
      <c r="AF43">
        <f>SUMIF(DeadRaw!$B:$B,$B43,DeadRaw!AH:AH)</f>
        <v>0</v>
      </c>
      <c r="AG43">
        <f>SUMIF(DeadRaw!$B:$B,$B43,DeadRaw!AI:AI)</f>
        <v>0</v>
      </c>
      <c r="AH43">
        <f>SUMIF(DeadRaw!$B:$B,$B43,DeadRaw!AJ:AJ)</f>
        <v>0</v>
      </c>
      <c r="AI43">
        <f>SUMIF(DeadRaw!$B:$B,$B43,DeadRaw!AK:AK)</f>
        <v>0</v>
      </c>
      <c r="AJ43">
        <f>SUMIF(DeadRaw!$B:$B,$B43,DeadRaw!AL:AL)</f>
        <v>0</v>
      </c>
      <c r="AK43">
        <f>SUMIF(DeadRaw!$B:$B,$B43,DeadRaw!AM:AM)</f>
        <v>0</v>
      </c>
      <c r="AL43">
        <f>SUMIF(DeadRaw!$B:$B,$B43,DeadRaw!AN:AN)</f>
        <v>0</v>
      </c>
      <c r="AM43">
        <f>SUMIF(DeadRaw!$B:$B,$B43,DeadRaw!AO:AO)</f>
        <v>0</v>
      </c>
      <c r="AN43">
        <f>SUMIF(DeadRaw!$B:$B,$B43,DeadRaw!AP:AP)</f>
        <v>0</v>
      </c>
      <c r="AO43">
        <f>SUMIF(DeadRaw!$B:$B,$B43,DeadRaw!AQ:AQ)</f>
        <v>0</v>
      </c>
      <c r="AP43">
        <f>SUMIF(DeadRaw!$B:$B,$B43,DeadRaw!AR:AR)</f>
        <v>0</v>
      </c>
      <c r="AQ43">
        <f>SUMIF(DeadRaw!$B:$B,$B43,DeadRaw!AS:AS)</f>
        <v>0</v>
      </c>
      <c r="AR43">
        <f>SUMIF(DeadRaw!$B:$B,$B43,DeadRaw!AT:AT)</f>
        <v>0</v>
      </c>
      <c r="AS43">
        <f>SUMIF(DeadRaw!$B:$B,$B43,DeadRaw!AU:AU)</f>
        <v>0</v>
      </c>
      <c r="AT43">
        <f>SUMIF(DeadRaw!$B:$B,$B43,DeadRaw!AV:AV)</f>
        <v>0</v>
      </c>
      <c r="AU43">
        <f>SUMIF(DeadRaw!$B:$B,$B43,DeadRaw!AW:AW)</f>
        <v>0</v>
      </c>
      <c r="AV43">
        <f>SUMIF(DeadRaw!$B:$B,$B43,DeadRaw!AX:AX)</f>
        <v>0</v>
      </c>
      <c r="AW43">
        <f>SUMIF(DeadRaw!$B:$B,$B43,DeadRaw!AY:AY)</f>
        <v>0</v>
      </c>
      <c r="AX43">
        <f>SUMIF(DeadRaw!$B:$B,$B43,DeadRaw!AZ:AZ)</f>
        <v>0</v>
      </c>
      <c r="AY43">
        <f>SUMIF(DeadRaw!$B:$B,$B43,DeadRaw!BA:BA)</f>
        <v>0</v>
      </c>
      <c r="AZ43">
        <f>SUMIF(DeadRaw!$B:$B,$B43,DeadRaw!BB:BB)</f>
        <v>0</v>
      </c>
      <c r="BA43">
        <f>SUMIF(DeadRaw!$B:$B,$B43,DeadRaw!BC:BC)</f>
        <v>0</v>
      </c>
      <c r="BB43">
        <f>SUMIF(DeadRaw!$B:$B,$B43,DeadRaw!BD:BD)</f>
        <v>0</v>
      </c>
      <c r="BC43">
        <f>SUMIF(DeadRaw!$B:$B,$B43,DeadRaw!BE:BE)</f>
        <v>0</v>
      </c>
      <c r="BD43">
        <f>SUMIF(DeadRaw!$B:$B,$B43,DeadRaw!BF:BF)</f>
        <v>0</v>
      </c>
      <c r="BE43">
        <f>SUMIF(DeadRaw!$B:$B,$B43,DeadRaw!BG:BG)</f>
        <v>0</v>
      </c>
      <c r="BF43">
        <f>SUMIF(DeadRaw!$B:$B,$B43,DeadRaw!BH:BH)</f>
        <v>0</v>
      </c>
      <c r="BG43">
        <f>SUMIF(DeadRaw!$B:$B,$B43,DeadRaw!BI:BI)</f>
        <v>0</v>
      </c>
      <c r="BH43">
        <f>SUMIF(DeadRaw!$B:$B,$B43,DeadRaw!BJ:BJ)</f>
        <v>0</v>
      </c>
      <c r="BI43">
        <f>SUMIF(DeadRaw!$B:$B,$B43,DeadRaw!BK:BK)</f>
        <v>0</v>
      </c>
      <c r="BJ43">
        <f>SUMIF(DeadRaw!$B:$B,$B43,DeadRaw!BL:BL)</f>
        <v>0</v>
      </c>
      <c r="BK43">
        <f>SUMIF(DeadRaw!$B:$B,$B43,DeadRaw!BM:BM)</f>
        <v>0</v>
      </c>
      <c r="BL43">
        <f>SUMIF(DeadRaw!$B:$B,$B43,DeadRaw!BN:BN)</f>
        <v>0</v>
      </c>
      <c r="BM43">
        <f>SUMIF(DeadRaw!$B:$B,$B43,DeadRaw!BO:BO)</f>
        <v>0</v>
      </c>
      <c r="BN43">
        <f>SUMIF(DeadRaw!$B:$B,$B43,DeadRaw!BP:BP)</f>
        <v>1</v>
      </c>
      <c r="BO43">
        <f>SUMIF(DeadRaw!$B:$B,$B43,DeadRaw!BQ:BQ)</f>
        <v>1</v>
      </c>
      <c r="BP43">
        <f>SUMIF(DeadRaw!$B:$B,$B43,DeadRaw!BR:BR)</f>
        <v>1</v>
      </c>
      <c r="BQ43">
        <f>SUMIF(DeadRaw!$B:$B,$B43,DeadRaw!BS:BS)</f>
        <v>1</v>
      </c>
      <c r="BR43">
        <f>SUMIF(DeadRaw!$B:$B,$B43,DeadRaw!BT:BT)</f>
        <v>0</v>
      </c>
      <c r="BS43">
        <f>SUMIF(DeadRaw!$B:$B,$B43,DeadRaw!BU:BU)</f>
        <v>0</v>
      </c>
      <c r="BT43">
        <f>SUMIF(DeadRaw!$B:$B,$B43,DeadRaw!BV:BV)</f>
        <v>0</v>
      </c>
      <c r="BU43">
        <f>SUMIF(DeadRaw!$B:$B,$B43,DeadRaw!BW:BW)</f>
        <v>0</v>
      </c>
    </row>
    <row r="44" spans="1:73" ht="15" thickBot="1" x14ac:dyDescent="0.35">
      <c r="A44" s="97" t="str">
        <f>VLOOKUP(B44,Country_Data!B:Q,16,FALSE)</f>
        <v>Middle East</v>
      </c>
      <c r="B44" s="4" t="s">
        <v>67</v>
      </c>
      <c r="C44">
        <f>SUMIF(DeadRaw!$B:$B,$B44,DeadRaw!E:E)</f>
        <v>0</v>
      </c>
      <c r="D44">
        <f>SUMIF(DeadRaw!$B:$B,$B44,DeadRaw!F:F)</f>
        <v>0</v>
      </c>
      <c r="E44">
        <f>SUMIF(DeadRaw!$B:$B,$B44,DeadRaw!G:G)</f>
        <v>0</v>
      </c>
      <c r="F44">
        <f>SUMIF(DeadRaw!$B:$B,$B44,DeadRaw!H:H)</f>
        <v>0</v>
      </c>
      <c r="G44">
        <f>SUMIF(DeadRaw!$B:$B,$B44,DeadRaw!I:I)</f>
        <v>0</v>
      </c>
      <c r="H44">
        <f>SUMIF(DeadRaw!$B:$B,$B44,DeadRaw!J:J)</f>
        <v>0</v>
      </c>
      <c r="I44">
        <f>SUMIF(DeadRaw!$B:$B,$B44,DeadRaw!K:K)</f>
        <v>0</v>
      </c>
      <c r="J44">
        <f>SUMIF(DeadRaw!$B:$B,$B44,DeadRaw!L:L)</f>
        <v>0</v>
      </c>
      <c r="K44">
        <f>SUMIF(DeadRaw!$B:$B,$B44,DeadRaw!M:M)</f>
        <v>0</v>
      </c>
      <c r="L44">
        <f>SUMIF(DeadRaw!$B:$B,$B44,DeadRaw!N:N)</f>
        <v>0</v>
      </c>
      <c r="M44">
        <f>SUMIF(DeadRaw!$B:$B,$B44,DeadRaw!O:O)</f>
        <v>0</v>
      </c>
      <c r="N44">
        <f>SUMIF(DeadRaw!$B:$B,$B44,DeadRaw!P:P)</f>
        <v>0</v>
      </c>
      <c r="O44">
        <f>SUMIF(DeadRaw!$B:$B,$B44,DeadRaw!Q:Q)</f>
        <v>0</v>
      </c>
      <c r="P44">
        <f>SUMIF(DeadRaw!$B:$B,$B44,DeadRaw!R:R)</f>
        <v>0</v>
      </c>
      <c r="Q44">
        <f>SUMIF(DeadRaw!$B:$B,$B44,DeadRaw!S:S)</f>
        <v>0</v>
      </c>
      <c r="R44">
        <f>SUMIF(DeadRaw!$B:$B,$B44,DeadRaw!T:T)</f>
        <v>0</v>
      </c>
      <c r="S44">
        <f>SUMIF(DeadRaw!$B:$B,$B44,DeadRaw!U:U)</f>
        <v>0</v>
      </c>
      <c r="T44">
        <f>SUMIF(DeadRaw!$B:$B,$B44,DeadRaw!V:V)</f>
        <v>0</v>
      </c>
      <c r="U44">
        <f>SUMIF(DeadRaw!$B:$B,$B44,DeadRaw!W:W)</f>
        <v>0</v>
      </c>
      <c r="V44">
        <f>SUMIF(DeadRaw!$B:$B,$B44,DeadRaw!X:X)</f>
        <v>0</v>
      </c>
      <c r="W44">
        <f>SUMIF(DeadRaw!$B:$B,$B44,DeadRaw!Y:Y)</f>
        <v>0</v>
      </c>
      <c r="X44">
        <f>SUMIF(DeadRaw!$B:$B,$B44,DeadRaw!Z:Z)</f>
        <v>0</v>
      </c>
      <c r="Y44">
        <f>SUMIF(DeadRaw!$B:$B,$B44,DeadRaw!AA:AA)</f>
        <v>0</v>
      </c>
      <c r="Z44">
        <f>SUMIF(DeadRaw!$B:$B,$B44,DeadRaw!AB:AB)</f>
        <v>0</v>
      </c>
      <c r="AA44">
        <f>SUMIF(DeadRaw!$B:$B,$B44,DeadRaw!AC:AC)</f>
        <v>0</v>
      </c>
      <c r="AB44">
        <f>SUMIF(DeadRaw!$B:$B,$B44,DeadRaw!AD:AD)</f>
        <v>0</v>
      </c>
      <c r="AC44">
        <f>SUMIF(DeadRaw!$B:$B,$B44,DeadRaw!AE:AE)</f>
        <v>0</v>
      </c>
      <c r="AD44">
        <f>SUMIF(DeadRaw!$B:$B,$B44,DeadRaw!AF:AF)</f>
        <v>0</v>
      </c>
      <c r="AE44">
        <f>SUMIF(DeadRaw!$B:$B,$B44,DeadRaw!AG:AG)</f>
        <v>0</v>
      </c>
      <c r="AF44">
        <f>SUMIF(DeadRaw!$B:$B,$B44,DeadRaw!AH:AH)</f>
        <v>0</v>
      </c>
      <c r="AG44">
        <f>SUMIF(DeadRaw!$B:$B,$B44,DeadRaw!AI:AI)</f>
        <v>0</v>
      </c>
      <c r="AH44">
        <f>SUMIF(DeadRaw!$B:$B,$B44,DeadRaw!AJ:AJ)</f>
        <v>0</v>
      </c>
      <c r="AI44">
        <f>SUMIF(DeadRaw!$B:$B,$B44,DeadRaw!AK:AK)</f>
        <v>0</v>
      </c>
      <c r="AJ44">
        <f>SUMIF(DeadRaw!$B:$B,$B44,DeadRaw!AL:AL)</f>
        <v>0</v>
      </c>
      <c r="AK44">
        <f>SUMIF(DeadRaw!$B:$B,$B44,DeadRaw!AM:AM)</f>
        <v>0</v>
      </c>
      <c r="AL44">
        <f>SUMIF(DeadRaw!$B:$B,$B44,DeadRaw!AN:AN)</f>
        <v>0</v>
      </c>
      <c r="AM44">
        <f>SUMIF(DeadRaw!$B:$B,$B44,DeadRaw!AO:AO)</f>
        <v>0</v>
      </c>
      <c r="AN44">
        <f>SUMIF(DeadRaw!$B:$B,$B44,DeadRaw!AP:AP)</f>
        <v>0</v>
      </c>
      <c r="AO44">
        <f>SUMIF(DeadRaw!$B:$B,$B44,DeadRaw!AQ:AQ)</f>
        <v>0</v>
      </c>
      <c r="AP44">
        <f>SUMIF(DeadRaw!$B:$B,$B44,DeadRaw!AR:AR)</f>
        <v>0</v>
      </c>
      <c r="AQ44">
        <f>SUMIF(DeadRaw!$B:$B,$B44,DeadRaw!AS:AS)</f>
        <v>0</v>
      </c>
      <c r="AR44">
        <f>SUMIF(DeadRaw!$B:$B,$B44,DeadRaw!AT:AT)</f>
        <v>0</v>
      </c>
      <c r="AS44">
        <f>SUMIF(DeadRaw!$B:$B,$B44,DeadRaw!AU:AU)</f>
        <v>0</v>
      </c>
      <c r="AT44">
        <f>SUMIF(DeadRaw!$B:$B,$B44,DeadRaw!AV:AV)</f>
        <v>0</v>
      </c>
      <c r="AU44">
        <f>SUMIF(DeadRaw!$B:$B,$B44,DeadRaw!AW:AW)</f>
        <v>0</v>
      </c>
      <c r="AV44">
        <f>SUMIF(DeadRaw!$B:$B,$B44,DeadRaw!AX:AX)</f>
        <v>0</v>
      </c>
      <c r="AW44">
        <f>SUMIF(DeadRaw!$B:$B,$B44,DeadRaw!AY:AY)</f>
        <v>0</v>
      </c>
      <c r="AX44">
        <f>SUMIF(DeadRaw!$B:$B,$B44,DeadRaw!AZ:AZ)</f>
        <v>0</v>
      </c>
      <c r="AY44">
        <f>SUMIF(DeadRaw!$B:$B,$B44,DeadRaw!BA:BA)</f>
        <v>1</v>
      </c>
      <c r="AZ44">
        <f>SUMIF(DeadRaw!$B:$B,$B44,DeadRaw!BB:BB)</f>
        <v>3</v>
      </c>
      <c r="BA44">
        <f>SUMIF(DeadRaw!$B:$B,$B44,DeadRaw!BC:BC)</f>
        <v>3</v>
      </c>
      <c r="BB44">
        <f>SUMIF(DeadRaw!$B:$B,$B44,DeadRaw!BD:BD)</f>
        <v>3</v>
      </c>
      <c r="BC44">
        <f>SUMIF(DeadRaw!$B:$B,$B44,DeadRaw!BE:BE)</f>
        <v>3</v>
      </c>
      <c r="BD44">
        <f>SUMIF(DeadRaw!$B:$B,$B44,DeadRaw!BF:BF)</f>
        <v>3</v>
      </c>
      <c r="BE44">
        <f>SUMIF(DeadRaw!$B:$B,$B44,DeadRaw!BG:BG)</f>
        <v>3</v>
      </c>
      <c r="BF44">
        <f>SUMIF(DeadRaw!$B:$B,$B44,DeadRaw!BH:BH)</f>
        <v>3</v>
      </c>
      <c r="BG44">
        <f>SUMIF(DeadRaw!$B:$B,$B44,DeadRaw!BI:BI)</f>
        <v>3</v>
      </c>
      <c r="BH44">
        <f>SUMIF(DeadRaw!$B:$B,$B44,DeadRaw!BJ:BJ)</f>
        <v>4</v>
      </c>
      <c r="BI44">
        <f>SUMIF(DeadRaw!$B:$B,$B44,DeadRaw!BK:BK)</f>
        <v>4</v>
      </c>
      <c r="BJ44">
        <f>SUMIF(DeadRaw!$B:$B,$B44,DeadRaw!BL:BL)</f>
        <v>4</v>
      </c>
      <c r="BK44">
        <f>SUMIF(DeadRaw!$B:$B,$B44,DeadRaw!BM:BM)</f>
        <v>4</v>
      </c>
      <c r="BL44">
        <f>SUMIF(DeadRaw!$B:$B,$B44,DeadRaw!BN:BN)</f>
        <v>4</v>
      </c>
      <c r="BM44">
        <f>SUMIF(DeadRaw!$B:$B,$B44,DeadRaw!BO:BO)</f>
        <v>4</v>
      </c>
      <c r="BN44">
        <f>SUMIF(DeadRaw!$B:$B,$B44,DeadRaw!BP:BP)</f>
        <v>6</v>
      </c>
      <c r="BO44">
        <f>SUMIF(DeadRaw!$B:$B,$B44,DeadRaw!BQ:BQ)</f>
        <v>6</v>
      </c>
      <c r="BP44">
        <f>SUMIF(DeadRaw!$B:$B,$B44,DeadRaw!BR:BR)</f>
        <v>8</v>
      </c>
      <c r="BQ44">
        <f>SUMIF(DeadRaw!$B:$B,$B44,DeadRaw!BS:BS)</f>
        <v>8</v>
      </c>
      <c r="BR44">
        <f>SUMIF(DeadRaw!$B:$B,$B44,DeadRaw!BT:BT)</f>
        <v>0</v>
      </c>
      <c r="BS44">
        <f>SUMIF(DeadRaw!$B:$B,$B44,DeadRaw!BU:BU)</f>
        <v>0</v>
      </c>
      <c r="BT44">
        <f>SUMIF(DeadRaw!$B:$B,$B44,DeadRaw!BV:BV)</f>
        <v>0</v>
      </c>
      <c r="BU44">
        <f>SUMIF(DeadRaw!$B:$B,$B44,DeadRaw!BW:BW)</f>
        <v>0</v>
      </c>
    </row>
    <row r="45" spans="1:73" ht="15" thickBot="1" x14ac:dyDescent="0.35">
      <c r="A45" s="97" t="str">
        <f>VLOOKUP(B45,Country_Data!B:Q,16,FALSE)</f>
        <v>Asia</v>
      </c>
      <c r="B45" s="3" t="s">
        <v>35</v>
      </c>
      <c r="C45">
        <f>SUMIF(DeadRaw!$B:$B,$B45,DeadRaw!E:E)</f>
        <v>0</v>
      </c>
      <c r="D45">
        <f>SUMIF(DeadRaw!$B:$B,$B45,DeadRaw!F:F)</f>
        <v>0</v>
      </c>
      <c r="E45">
        <f>SUMIF(DeadRaw!$B:$B,$B45,DeadRaw!G:G)</f>
        <v>0</v>
      </c>
      <c r="F45">
        <f>SUMIF(DeadRaw!$B:$B,$B45,DeadRaw!H:H)</f>
        <v>0</v>
      </c>
      <c r="G45">
        <f>SUMIF(DeadRaw!$B:$B,$B45,DeadRaw!I:I)</f>
        <v>0</v>
      </c>
      <c r="H45">
        <f>SUMIF(DeadRaw!$B:$B,$B45,DeadRaw!J:J)</f>
        <v>0</v>
      </c>
      <c r="I45">
        <f>SUMIF(DeadRaw!$B:$B,$B45,DeadRaw!K:K)</f>
        <v>0</v>
      </c>
      <c r="J45">
        <f>SUMIF(DeadRaw!$B:$B,$B45,DeadRaw!L:L)</f>
        <v>0</v>
      </c>
      <c r="K45">
        <f>SUMIF(DeadRaw!$B:$B,$B45,DeadRaw!M:M)</f>
        <v>0</v>
      </c>
      <c r="L45">
        <f>SUMIF(DeadRaw!$B:$B,$B45,DeadRaw!N:N)</f>
        <v>0</v>
      </c>
      <c r="M45">
        <f>SUMIF(DeadRaw!$B:$B,$B45,DeadRaw!O:O)</f>
        <v>0</v>
      </c>
      <c r="N45">
        <f>SUMIF(DeadRaw!$B:$B,$B45,DeadRaw!P:P)</f>
        <v>0</v>
      </c>
      <c r="O45">
        <f>SUMIF(DeadRaw!$B:$B,$B45,DeadRaw!Q:Q)</f>
        <v>0</v>
      </c>
      <c r="P45">
        <f>SUMIF(DeadRaw!$B:$B,$B45,DeadRaw!R:R)</f>
        <v>0</v>
      </c>
      <c r="Q45">
        <f>SUMIF(DeadRaw!$B:$B,$B45,DeadRaw!S:S)</f>
        <v>0</v>
      </c>
      <c r="R45">
        <f>SUMIF(DeadRaw!$B:$B,$B45,DeadRaw!T:T)</f>
        <v>0</v>
      </c>
      <c r="S45">
        <f>SUMIF(DeadRaw!$B:$B,$B45,DeadRaw!U:U)</f>
        <v>0</v>
      </c>
      <c r="T45">
        <f>SUMIF(DeadRaw!$B:$B,$B45,DeadRaw!V:V)</f>
        <v>0</v>
      </c>
      <c r="U45">
        <f>SUMIF(DeadRaw!$B:$B,$B45,DeadRaw!W:W)</f>
        <v>0</v>
      </c>
      <c r="V45">
        <f>SUMIF(DeadRaw!$B:$B,$B45,DeadRaw!X:X)</f>
        <v>0</v>
      </c>
      <c r="W45">
        <f>SUMIF(DeadRaw!$B:$B,$B45,DeadRaw!Y:Y)</f>
        <v>0</v>
      </c>
      <c r="X45">
        <f>SUMIF(DeadRaw!$B:$B,$B45,DeadRaw!Z:Z)</f>
        <v>0</v>
      </c>
      <c r="Y45">
        <f>SUMIF(DeadRaw!$B:$B,$B45,DeadRaw!AA:AA)</f>
        <v>0</v>
      </c>
      <c r="Z45">
        <f>SUMIF(DeadRaw!$B:$B,$B45,DeadRaw!AB:AB)</f>
        <v>0</v>
      </c>
      <c r="AA45">
        <f>SUMIF(DeadRaw!$B:$B,$B45,DeadRaw!AC:AC)</f>
        <v>0</v>
      </c>
      <c r="AB45">
        <f>SUMIF(DeadRaw!$B:$B,$B45,DeadRaw!AD:AD)</f>
        <v>0</v>
      </c>
      <c r="AC45">
        <f>SUMIF(DeadRaw!$B:$B,$B45,DeadRaw!AE:AE)</f>
        <v>0</v>
      </c>
      <c r="AD45">
        <f>SUMIF(DeadRaw!$B:$B,$B45,DeadRaw!AF:AF)</f>
        <v>0</v>
      </c>
      <c r="AE45">
        <f>SUMIF(DeadRaw!$B:$B,$B45,DeadRaw!AG:AG)</f>
        <v>0</v>
      </c>
      <c r="AF45">
        <f>SUMIF(DeadRaw!$B:$B,$B45,DeadRaw!AH:AH)</f>
        <v>0</v>
      </c>
      <c r="AG45">
        <f>SUMIF(DeadRaw!$B:$B,$B45,DeadRaw!AI:AI)</f>
        <v>0</v>
      </c>
      <c r="AH45">
        <f>SUMIF(DeadRaw!$B:$B,$B45,DeadRaw!AJ:AJ)</f>
        <v>0</v>
      </c>
      <c r="AI45">
        <f>SUMIF(DeadRaw!$B:$B,$B45,DeadRaw!AK:AK)</f>
        <v>0</v>
      </c>
      <c r="AJ45">
        <f>SUMIF(DeadRaw!$B:$B,$B45,DeadRaw!AL:AL)</f>
        <v>0</v>
      </c>
      <c r="AK45">
        <f>SUMIF(DeadRaw!$B:$B,$B45,DeadRaw!AM:AM)</f>
        <v>0</v>
      </c>
      <c r="AL45">
        <f>SUMIF(DeadRaw!$B:$B,$B45,DeadRaw!AN:AN)</f>
        <v>0</v>
      </c>
      <c r="AM45">
        <f>SUMIF(DeadRaw!$B:$B,$B45,DeadRaw!AO:AO)</f>
        <v>0</v>
      </c>
      <c r="AN45">
        <f>SUMIF(DeadRaw!$B:$B,$B45,DeadRaw!AP:AP)</f>
        <v>0</v>
      </c>
      <c r="AO45">
        <f>SUMIF(DeadRaw!$B:$B,$B45,DeadRaw!AQ:AQ)</f>
        <v>0</v>
      </c>
      <c r="AP45">
        <f>SUMIF(DeadRaw!$B:$B,$B45,DeadRaw!AR:AR)</f>
        <v>1</v>
      </c>
      <c r="AQ45">
        <f>SUMIF(DeadRaw!$B:$B,$B45,DeadRaw!AS:AS)</f>
        <v>1</v>
      </c>
      <c r="AR45">
        <f>SUMIF(DeadRaw!$B:$B,$B45,DeadRaw!AT:AT)</f>
        <v>1</v>
      </c>
      <c r="AS45">
        <f>SUMIF(DeadRaw!$B:$B,$B45,DeadRaw!AU:AU)</f>
        <v>1</v>
      </c>
      <c r="AT45">
        <f>SUMIF(DeadRaw!$B:$B,$B45,DeadRaw!AV:AV)</f>
        <v>1</v>
      </c>
      <c r="AU45">
        <f>SUMIF(DeadRaw!$B:$B,$B45,DeadRaw!AW:AW)</f>
        <v>1</v>
      </c>
      <c r="AV45">
        <f>SUMIF(DeadRaw!$B:$B,$B45,DeadRaw!AX:AX)</f>
        <v>1</v>
      </c>
      <c r="AW45">
        <f>SUMIF(DeadRaw!$B:$B,$B45,DeadRaw!AY:AY)</f>
        <v>1</v>
      </c>
      <c r="AX45">
        <f>SUMIF(DeadRaw!$B:$B,$B45,DeadRaw!AZ:AZ)</f>
        <v>1</v>
      </c>
      <c r="AY45">
        <f>SUMIF(DeadRaw!$B:$B,$B45,DeadRaw!BA:BA)</f>
        <v>1</v>
      </c>
      <c r="AZ45">
        <f>SUMIF(DeadRaw!$B:$B,$B45,DeadRaw!BB:BB)</f>
        <v>1</v>
      </c>
      <c r="BA45">
        <f>SUMIF(DeadRaw!$B:$B,$B45,DeadRaw!BC:BC)</f>
        <v>1</v>
      </c>
      <c r="BB45">
        <f>SUMIF(DeadRaw!$B:$B,$B45,DeadRaw!BD:BD)</f>
        <v>1</v>
      </c>
      <c r="BC45">
        <f>SUMIF(DeadRaw!$B:$B,$B45,DeadRaw!BE:BE)</f>
        <v>1</v>
      </c>
      <c r="BD45">
        <f>SUMIF(DeadRaw!$B:$B,$B45,DeadRaw!BF:BF)</f>
        <v>1</v>
      </c>
      <c r="BE45">
        <f>SUMIF(DeadRaw!$B:$B,$B45,DeadRaw!BG:BG)</f>
        <v>1</v>
      </c>
      <c r="BF45">
        <f>SUMIF(DeadRaw!$B:$B,$B45,DeadRaw!BH:BH)</f>
        <v>1</v>
      </c>
      <c r="BG45">
        <f>SUMIF(DeadRaw!$B:$B,$B45,DeadRaw!BI:BI)</f>
        <v>1</v>
      </c>
      <c r="BH45">
        <f>SUMIF(DeadRaw!$B:$B,$B45,DeadRaw!BJ:BJ)</f>
        <v>1</v>
      </c>
      <c r="BI45">
        <f>SUMIF(DeadRaw!$B:$B,$B45,DeadRaw!BK:BK)</f>
        <v>1</v>
      </c>
      <c r="BJ45">
        <f>SUMIF(DeadRaw!$B:$B,$B45,DeadRaw!BL:BL)</f>
        <v>1</v>
      </c>
      <c r="BK45">
        <f>SUMIF(DeadRaw!$B:$B,$B45,DeadRaw!BM:BM)</f>
        <v>1</v>
      </c>
      <c r="BL45">
        <f>SUMIF(DeadRaw!$B:$B,$B45,DeadRaw!BN:BN)</f>
        <v>1</v>
      </c>
      <c r="BM45">
        <f>SUMIF(DeadRaw!$B:$B,$B45,DeadRaw!BO:BO)</f>
        <v>4</v>
      </c>
      <c r="BN45">
        <f>SUMIF(DeadRaw!$B:$B,$B45,DeadRaw!BP:BP)</f>
        <v>4</v>
      </c>
      <c r="BO45">
        <f>SUMIF(DeadRaw!$B:$B,$B45,DeadRaw!BQ:BQ)</f>
        <v>4</v>
      </c>
      <c r="BP45">
        <f>SUMIF(DeadRaw!$B:$B,$B45,DeadRaw!BR:BR)</f>
        <v>5</v>
      </c>
      <c r="BQ45">
        <f>SUMIF(DeadRaw!$B:$B,$B45,DeadRaw!BS:BS)</f>
        <v>6</v>
      </c>
      <c r="BR45">
        <f>SUMIF(DeadRaw!$B:$B,$B45,DeadRaw!BT:BT)</f>
        <v>0</v>
      </c>
      <c r="BS45">
        <f>SUMIF(DeadRaw!$B:$B,$B45,DeadRaw!BU:BU)</f>
        <v>0</v>
      </c>
      <c r="BT45">
        <f>SUMIF(DeadRaw!$B:$B,$B45,DeadRaw!BV:BV)</f>
        <v>0</v>
      </c>
      <c r="BU45">
        <f>SUMIF(DeadRaw!$B:$B,$B45,DeadRaw!BW:BW)</f>
        <v>0</v>
      </c>
    </row>
    <row r="46" spans="1:73" ht="15" thickBot="1" x14ac:dyDescent="0.35">
      <c r="A46" s="97" t="str">
        <f>VLOOKUP(B46,Country_Data!B:Q,16,FALSE)</f>
        <v>Asia</v>
      </c>
      <c r="B46" s="4" t="s">
        <v>107</v>
      </c>
      <c r="C46">
        <f>SUMIF(DeadRaw!$B:$B,$B46,DeadRaw!E:E)</f>
        <v>0</v>
      </c>
      <c r="D46">
        <f>SUMIF(DeadRaw!$B:$B,$B46,DeadRaw!F:F)</f>
        <v>0</v>
      </c>
      <c r="E46">
        <f>SUMIF(DeadRaw!$B:$B,$B46,DeadRaw!G:G)</f>
        <v>0</v>
      </c>
      <c r="F46">
        <f>SUMIF(DeadRaw!$B:$B,$B46,DeadRaw!H:H)</f>
        <v>0</v>
      </c>
      <c r="G46">
        <f>SUMIF(DeadRaw!$B:$B,$B46,DeadRaw!I:I)</f>
        <v>0</v>
      </c>
      <c r="H46">
        <f>SUMIF(DeadRaw!$B:$B,$B46,DeadRaw!J:J)</f>
        <v>0</v>
      </c>
      <c r="I46">
        <f>SUMIF(DeadRaw!$B:$B,$B46,DeadRaw!K:K)</f>
        <v>0</v>
      </c>
      <c r="J46">
        <f>SUMIF(DeadRaw!$B:$B,$B46,DeadRaw!L:L)</f>
        <v>0</v>
      </c>
      <c r="K46">
        <f>SUMIF(DeadRaw!$B:$B,$B46,DeadRaw!M:M)</f>
        <v>0</v>
      </c>
      <c r="L46">
        <f>SUMIF(DeadRaw!$B:$B,$B46,DeadRaw!N:N)</f>
        <v>0</v>
      </c>
      <c r="M46">
        <f>SUMIF(DeadRaw!$B:$B,$B46,DeadRaw!O:O)</f>
        <v>0</v>
      </c>
      <c r="N46">
        <f>SUMIF(DeadRaw!$B:$B,$B46,DeadRaw!P:P)</f>
        <v>0</v>
      </c>
      <c r="O46">
        <f>SUMIF(DeadRaw!$B:$B,$B46,DeadRaw!Q:Q)</f>
        <v>0</v>
      </c>
      <c r="P46">
        <f>SUMIF(DeadRaw!$B:$B,$B46,DeadRaw!R:R)</f>
        <v>0</v>
      </c>
      <c r="Q46">
        <f>SUMIF(DeadRaw!$B:$B,$B46,DeadRaw!S:S)</f>
        <v>0</v>
      </c>
      <c r="R46">
        <f>SUMIF(DeadRaw!$B:$B,$B46,DeadRaw!T:T)</f>
        <v>0</v>
      </c>
      <c r="S46">
        <f>SUMIF(DeadRaw!$B:$B,$B46,DeadRaw!U:U)</f>
        <v>0</v>
      </c>
      <c r="T46">
        <f>SUMIF(DeadRaw!$B:$B,$B46,DeadRaw!V:V)</f>
        <v>0</v>
      </c>
      <c r="U46">
        <f>SUMIF(DeadRaw!$B:$B,$B46,DeadRaw!W:W)</f>
        <v>0</v>
      </c>
      <c r="V46">
        <f>SUMIF(DeadRaw!$B:$B,$B46,DeadRaw!X:X)</f>
        <v>0</v>
      </c>
      <c r="W46">
        <f>SUMIF(DeadRaw!$B:$B,$B46,DeadRaw!Y:Y)</f>
        <v>0</v>
      </c>
      <c r="X46">
        <f>SUMIF(DeadRaw!$B:$B,$B46,DeadRaw!Z:Z)</f>
        <v>0</v>
      </c>
      <c r="Y46">
        <f>SUMIF(DeadRaw!$B:$B,$B46,DeadRaw!AA:AA)</f>
        <v>0</v>
      </c>
      <c r="Z46">
        <f>SUMIF(DeadRaw!$B:$B,$B46,DeadRaw!AB:AB)</f>
        <v>0</v>
      </c>
      <c r="AA46">
        <f>SUMIF(DeadRaw!$B:$B,$B46,DeadRaw!AC:AC)</f>
        <v>0</v>
      </c>
      <c r="AB46">
        <f>SUMIF(DeadRaw!$B:$B,$B46,DeadRaw!AD:AD)</f>
        <v>0</v>
      </c>
      <c r="AC46">
        <f>SUMIF(DeadRaw!$B:$B,$B46,DeadRaw!AE:AE)</f>
        <v>0</v>
      </c>
      <c r="AD46">
        <f>SUMIF(DeadRaw!$B:$B,$B46,DeadRaw!AF:AF)</f>
        <v>0</v>
      </c>
      <c r="AE46">
        <f>SUMIF(DeadRaw!$B:$B,$B46,DeadRaw!AG:AG)</f>
        <v>0</v>
      </c>
      <c r="AF46">
        <f>SUMIF(DeadRaw!$B:$B,$B46,DeadRaw!AH:AH)</f>
        <v>0</v>
      </c>
      <c r="AG46">
        <f>SUMIF(DeadRaw!$B:$B,$B46,DeadRaw!AI:AI)</f>
        <v>0</v>
      </c>
      <c r="AH46">
        <f>SUMIF(DeadRaw!$B:$B,$B46,DeadRaw!AJ:AJ)</f>
        <v>0</v>
      </c>
      <c r="AI46">
        <f>SUMIF(DeadRaw!$B:$B,$B46,DeadRaw!AK:AK)</f>
        <v>0</v>
      </c>
      <c r="AJ46">
        <f>SUMIF(DeadRaw!$B:$B,$B46,DeadRaw!AL:AL)</f>
        <v>0</v>
      </c>
      <c r="AK46">
        <f>SUMIF(DeadRaw!$B:$B,$B46,DeadRaw!AM:AM)</f>
        <v>0</v>
      </c>
      <c r="AL46">
        <f>SUMIF(DeadRaw!$B:$B,$B46,DeadRaw!AN:AN)</f>
        <v>0</v>
      </c>
      <c r="AM46">
        <f>SUMIF(DeadRaw!$B:$B,$B46,DeadRaw!AO:AO)</f>
        <v>0</v>
      </c>
      <c r="AN46">
        <f>SUMIF(DeadRaw!$B:$B,$B46,DeadRaw!AP:AP)</f>
        <v>0</v>
      </c>
      <c r="AO46">
        <f>SUMIF(DeadRaw!$B:$B,$B46,DeadRaw!AQ:AQ)</f>
        <v>0</v>
      </c>
      <c r="AP46">
        <f>SUMIF(DeadRaw!$B:$B,$B46,DeadRaw!AR:AR)</f>
        <v>0</v>
      </c>
      <c r="AQ46">
        <f>SUMIF(DeadRaw!$B:$B,$B46,DeadRaw!AS:AS)</f>
        <v>0</v>
      </c>
      <c r="AR46">
        <f>SUMIF(DeadRaw!$B:$B,$B46,DeadRaw!AT:AT)</f>
        <v>0</v>
      </c>
      <c r="AS46">
        <f>SUMIF(DeadRaw!$B:$B,$B46,DeadRaw!AU:AU)</f>
        <v>0</v>
      </c>
      <c r="AT46">
        <f>SUMIF(DeadRaw!$B:$B,$B46,DeadRaw!AV:AV)</f>
        <v>0</v>
      </c>
      <c r="AU46">
        <f>SUMIF(DeadRaw!$B:$B,$B46,DeadRaw!AW:AW)</f>
        <v>0</v>
      </c>
      <c r="AV46">
        <f>SUMIF(DeadRaw!$B:$B,$B46,DeadRaw!AX:AX)</f>
        <v>0</v>
      </c>
      <c r="AW46">
        <f>SUMIF(DeadRaw!$B:$B,$B46,DeadRaw!AY:AY)</f>
        <v>0</v>
      </c>
      <c r="AX46">
        <f>SUMIF(DeadRaw!$B:$B,$B46,DeadRaw!AZ:AZ)</f>
        <v>0</v>
      </c>
      <c r="AY46">
        <f>SUMIF(DeadRaw!$B:$B,$B46,DeadRaw!BA:BA)</f>
        <v>0</v>
      </c>
      <c r="AZ46">
        <f>SUMIF(DeadRaw!$B:$B,$B46,DeadRaw!BB:BB)</f>
        <v>1</v>
      </c>
      <c r="BA46">
        <f>SUMIF(DeadRaw!$B:$B,$B46,DeadRaw!BC:BC)</f>
        <v>1</v>
      </c>
      <c r="BB46">
        <f>SUMIF(DeadRaw!$B:$B,$B46,DeadRaw!BD:BD)</f>
        <v>4</v>
      </c>
      <c r="BC46">
        <f>SUMIF(DeadRaw!$B:$B,$B46,DeadRaw!BE:BE)</f>
        <v>5</v>
      </c>
      <c r="BD46">
        <f>SUMIF(DeadRaw!$B:$B,$B46,DeadRaw!BF:BF)</f>
        <v>5</v>
      </c>
      <c r="BE46">
        <f>SUMIF(DeadRaw!$B:$B,$B46,DeadRaw!BG:BG)</f>
        <v>5</v>
      </c>
      <c r="BF46">
        <f>SUMIF(DeadRaw!$B:$B,$B46,DeadRaw!BH:BH)</f>
        <v>5</v>
      </c>
      <c r="BG46">
        <f>SUMIF(DeadRaw!$B:$B,$B46,DeadRaw!BI:BI)</f>
        <v>19</v>
      </c>
      <c r="BH46">
        <f>SUMIF(DeadRaw!$B:$B,$B46,DeadRaw!BJ:BJ)</f>
        <v>25</v>
      </c>
      <c r="BI46">
        <f>SUMIF(DeadRaw!$B:$B,$B46,DeadRaw!BK:BK)</f>
        <v>32</v>
      </c>
      <c r="BJ46">
        <f>SUMIF(DeadRaw!$B:$B,$B46,DeadRaw!BL:BL)</f>
        <v>38</v>
      </c>
      <c r="BK46">
        <f>SUMIF(DeadRaw!$B:$B,$B46,DeadRaw!BM:BM)</f>
        <v>48</v>
      </c>
      <c r="BL46">
        <f>SUMIF(DeadRaw!$B:$B,$B46,DeadRaw!BN:BN)</f>
        <v>49</v>
      </c>
      <c r="BM46">
        <f>SUMIF(DeadRaw!$B:$B,$B46,DeadRaw!BO:BO)</f>
        <v>55</v>
      </c>
      <c r="BN46">
        <f>SUMIF(DeadRaw!$B:$B,$B46,DeadRaw!BP:BP)</f>
        <v>58</v>
      </c>
      <c r="BO46">
        <f>SUMIF(DeadRaw!$B:$B,$B46,DeadRaw!BQ:BQ)</f>
        <v>78</v>
      </c>
      <c r="BP46">
        <f>SUMIF(DeadRaw!$B:$B,$B46,DeadRaw!BR:BR)</f>
        <v>87</v>
      </c>
      <c r="BQ46">
        <f>SUMIF(DeadRaw!$B:$B,$B46,DeadRaw!BS:BS)</f>
        <v>102</v>
      </c>
      <c r="BR46">
        <f>SUMIF(DeadRaw!$B:$B,$B46,DeadRaw!BT:BT)</f>
        <v>0</v>
      </c>
      <c r="BS46">
        <f>SUMIF(DeadRaw!$B:$B,$B46,DeadRaw!BU:BU)</f>
        <v>0</v>
      </c>
      <c r="BT46">
        <f>SUMIF(DeadRaw!$B:$B,$B46,DeadRaw!BV:BV)</f>
        <v>0</v>
      </c>
      <c r="BU46">
        <f>SUMIF(DeadRaw!$B:$B,$B46,DeadRaw!BW:BW)</f>
        <v>0</v>
      </c>
    </row>
    <row r="47" spans="1:73" ht="15" thickBot="1" x14ac:dyDescent="0.35">
      <c r="A47" s="97" t="str">
        <f>VLOOKUP(B47,Country_Data!B:Q,16,FALSE)</f>
        <v>Europe</v>
      </c>
      <c r="B47" s="3" t="s">
        <v>137</v>
      </c>
      <c r="C47">
        <f>SUMIF(DeadRaw!$B:$B,$B47,DeadRaw!E:E)</f>
        <v>0</v>
      </c>
      <c r="D47">
        <f>SUMIF(DeadRaw!$B:$B,$B47,DeadRaw!F:F)</f>
        <v>0</v>
      </c>
      <c r="E47">
        <f>SUMIF(DeadRaw!$B:$B,$B47,DeadRaw!G:G)</f>
        <v>0</v>
      </c>
      <c r="F47">
        <f>SUMIF(DeadRaw!$B:$B,$B47,DeadRaw!H:H)</f>
        <v>0</v>
      </c>
      <c r="G47">
        <f>SUMIF(DeadRaw!$B:$B,$B47,DeadRaw!I:I)</f>
        <v>0</v>
      </c>
      <c r="H47">
        <f>SUMIF(DeadRaw!$B:$B,$B47,DeadRaw!J:J)</f>
        <v>0</v>
      </c>
      <c r="I47">
        <f>SUMIF(DeadRaw!$B:$B,$B47,DeadRaw!K:K)</f>
        <v>0</v>
      </c>
      <c r="J47">
        <f>SUMIF(DeadRaw!$B:$B,$B47,DeadRaw!L:L)</f>
        <v>0</v>
      </c>
      <c r="K47">
        <f>SUMIF(DeadRaw!$B:$B,$B47,DeadRaw!M:M)</f>
        <v>0</v>
      </c>
      <c r="L47">
        <f>SUMIF(DeadRaw!$B:$B,$B47,DeadRaw!N:N)</f>
        <v>0</v>
      </c>
      <c r="M47">
        <f>SUMIF(DeadRaw!$B:$B,$B47,DeadRaw!O:O)</f>
        <v>0</v>
      </c>
      <c r="N47">
        <f>SUMIF(DeadRaw!$B:$B,$B47,DeadRaw!P:P)</f>
        <v>0</v>
      </c>
      <c r="O47">
        <f>SUMIF(DeadRaw!$B:$B,$B47,DeadRaw!Q:Q)</f>
        <v>0</v>
      </c>
      <c r="P47">
        <f>SUMIF(DeadRaw!$B:$B,$B47,DeadRaw!R:R)</f>
        <v>0</v>
      </c>
      <c r="Q47">
        <f>SUMIF(DeadRaw!$B:$B,$B47,DeadRaw!S:S)</f>
        <v>0</v>
      </c>
      <c r="R47">
        <f>SUMIF(DeadRaw!$B:$B,$B47,DeadRaw!T:T)</f>
        <v>0</v>
      </c>
      <c r="S47">
        <f>SUMIF(DeadRaw!$B:$B,$B47,DeadRaw!U:U)</f>
        <v>0</v>
      </c>
      <c r="T47">
        <f>SUMIF(DeadRaw!$B:$B,$B47,DeadRaw!V:V)</f>
        <v>0</v>
      </c>
      <c r="U47">
        <f>SUMIF(DeadRaw!$B:$B,$B47,DeadRaw!W:W)</f>
        <v>0</v>
      </c>
      <c r="V47">
        <f>SUMIF(DeadRaw!$B:$B,$B47,DeadRaw!X:X)</f>
        <v>0</v>
      </c>
      <c r="W47">
        <f>SUMIF(DeadRaw!$B:$B,$B47,DeadRaw!Y:Y)</f>
        <v>0</v>
      </c>
      <c r="X47">
        <f>SUMIF(DeadRaw!$B:$B,$B47,DeadRaw!Z:Z)</f>
        <v>0</v>
      </c>
      <c r="Y47">
        <f>SUMIF(DeadRaw!$B:$B,$B47,DeadRaw!AA:AA)</f>
        <v>0</v>
      </c>
      <c r="Z47">
        <f>SUMIF(DeadRaw!$B:$B,$B47,DeadRaw!AB:AB)</f>
        <v>0</v>
      </c>
      <c r="AA47">
        <f>SUMIF(DeadRaw!$B:$B,$B47,DeadRaw!AC:AC)</f>
        <v>0</v>
      </c>
      <c r="AB47">
        <f>SUMIF(DeadRaw!$B:$B,$B47,DeadRaw!AD:AD)</f>
        <v>0</v>
      </c>
      <c r="AC47">
        <f>SUMIF(DeadRaw!$B:$B,$B47,DeadRaw!AE:AE)</f>
        <v>0</v>
      </c>
      <c r="AD47">
        <f>SUMIF(DeadRaw!$B:$B,$B47,DeadRaw!AF:AF)</f>
        <v>0</v>
      </c>
      <c r="AE47">
        <f>SUMIF(DeadRaw!$B:$B,$B47,DeadRaw!AG:AG)</f>
        <v>0</v>
      </c>
      <c r="AF47">
        <f>SUMIF(DeadRaw!$B:$B,$B47,DeadRaw!AH:AH)</f>
        <v>0</v>
      </c>
      <c r="AG47">
        <f>SUMIF(DeadRaw!$B:$B,$B47,DeadRaw!AI:AI)</f>
        <v>0</v>
      </c>
      <c r="AH47">
        <f>SUMIF(DeadRaw!$B:$B,$B47,DeadRaw!AJ:AJ)</f>
        <v>0</v>
      </c>
      <c r="AI47">
        <f>SUMIF(DeadRaw!$B:$B,$B47,DeadRaw!AK:AK)</f>
        <v>0</v>
      </c>
      <c r="AJ47">
        <f>SUMIF(DeadRaw!$B:$B,$B47,DeadRaw!AL:AL)</f>
        <v>0</v>
      </c>
      <c r="AK47">
        <f>SUMIF(DeadRaw!$B:$B,$B47,DeadRaw!AM:AM)</f>
        <v>0</v>
      </c>
      <c r="AL47">
        <f>SUMIF(DeadRaw!$B:$B,$B47,DeadRaw!AN:AN)</f>
        <v>0</v>
      </c>
      <c r="AM47">
        <f>SUMIF(DeadRaw!$B:$B,$B47,DeadRaw!AO:AO)</f>
        <v>0</v>
      </c>
      <c r="AN47">
        <f>SUMIF(DeadRaw!$B:$B,$B47,DeadRaw!AP:AP)</f>
        <v>0</v>
      </c>
      <c r="AO47">
        <f>SUMIF(DeadRaw!$B:$B,$B47,DeadRaw!AQ:AQ)</f>
        <v>0</v>
      </c>
      <c r="AP47">
        <f>SUMIF(DeadRaw!$B:$B,$B47,DeadRaw!AR:AR)</f>
        <v>0</v>
      </c>
      <c r="AQ47">
        <f>SUMIF(DeadRaw!$B:$B,$B47,DeadRaw!AS:AS)</f>
        <v>0</v>
      </c>
      <c r="AR47">
        <f>SUMIF(DeadRaw!$B:$B,$B47,DeadRaw!AT:AT)</f>
        <v>0</v>
      </c>
      <c r="AS47">
        <f>SUMIF(DeadRaw!$B:$B,$B47,DeadRaw!AU:AU)</f>
        <v>0</v>
      </c>
      <c r="AT47">
        <f>SUMIF(DeadRaw!$B:$B,$B47,DeadRaw!AV:AV)</f>
        <v>0</v>
      </c>
      <c r="AU47">
        <f>SUMIF(DeadRaw!$B:$B,$B47,DeadRaw!AW:AW)</f>
        <v>0</v>
      </c>
      <c r="AV47">
        <f>SUMIF(DeadRaw!$B:$B,$B47,DeadRaw!AX:AX)</f>
        <v>0</v>
      </c>
      <c r="AW47">
        <f>SUMIF(DeadRaw!$B:$B,$B47,DeadRaw!AY:AY)</f>
        <v>0</v>
      </c>
      <c r="AX47">
        <f>SUMIF(DeadRaw!$B:$B,$B47,DeadRaw!AZ:AZ)</f>
        <v>0</v>
      </c>
      <c r="AY47">
        <f>SUMIF(DeadRaw!$B:$B,$B47,DeadRaw!BA:BA)</f>
        <v>0</v>
      </c>
      <c r="AZ47">
        <f>SUMIF(DeadRaw!$B:$B,$B47,DeadRaw!BB:BB)</f>
        <v>0</v>
      </c>
      <c r="BA47">
        <f>SUMIF(DeadRaw!$B:$B,$B47,DeadRaw!BC:BC)</f>
        <v>1</v>
      </c>
      <c r="BB47">
        <f>SUMIF(DeadRaw!$B:$B,$B47,DeadRaw!BD:BD)</f>
        <v>2</v>
      </c>
      <c r="BC47">
        <f>SUMIF(DeadRaw!$B:$B,$B47,DeadRaw!BE:BE)</f>
        <v>3</v>
      </c>
      <c r="BD47">
        <f>SUMIF(DeadRaw!$B:$B,$B47,DeadRaw!BF:BF)</f>
        <v>3</v>
      </c>
      <c r="BE47">
        <f>SUMIF(DeadRaw!$B:$B,$B47,DeadRaw!BG:BG)</f>
        <v>4</v>
      </c>
      <c r="BF47">
        <f>SUMIF(DeadRaw!$B:$B,$B47,DeadRaw!BH:BH)</f>
        <v>5</v>
      </c>
      <c r="BG47">
        <f>SUMIF(DeadRaw!$B:$B,$B47,DeadRaw!BI:BI)</f>
        <v>5</v>
      </c>
      <c r="BH47">
        <f>SUMIF(DeadRaw!$B:$B,$B47,DeadRaw!BJ:BJ)</f>
        <v>5</v>
      </c>
      <c r="BI47">
        <f>SUMIF(DeadRaw!$B:$B,$B47,DeadRaw!BK:BK)</f>
        <v>5</v>
      </c>
      <c r="BJ47">
        <f>SUMIF(DeadRaw!$B:$B,$B47,DeadRaw!BL:BL)</f>
        <v>5</v>
      </c>
      <c r="BK47">
        <f>SUMIF(DeadRaw!$B:$B,$B47,DeadRaw!BM:BM)</f>
        <v>7</v>
      </c>
      <c r="BL47">
        <f>SUMIF(DeadRaw!$B:$B,$B47,DeadRaw!BN:BN)</f>
        <v>8</v>
      </c>
      <c r="BM47">
        <f>SUMIF(DeadRaw!$B:$B,$B47,DeadRaw!BO:BO)</f>
        <v>10</v>
      </c>
      <c r="BN47">
        <f>SUMIF(DeadRaw!$B:$B,$B47,DeadRaw!BP:BP)</f>
        <v>14</v>
      </c>
      <c r="BO47">
        <f>SUMIF(DeadRaw!$B:$B,$B47,DeadRaw!BQ:BQ)</f>
        <v>16</v>
      </c>
      <c r="BP47">
        <f>SUMIF(DeadRaw!$B:$B,$B47,DeadRaw!BR:BR)</f>
        <v>16</v>
      </c>
      <c r="BQ47">
        <f>SUMIF(DeadRaw!$B:$B,$B47,DeadRaw!BS:BS)</f>
        <v>18</v>
      </c>
      <c r="BR47">
        <f>SUMIF(DeadRaw!$B:$B,$B47,DeadRaw!BT:BT)</f>
        <v>0</v>
      </c>
      <c r="BS47">
        <f>SUMIF(DeadRaw!$B:$B,$B47,DeadRaw!BU:BU)</f>
        <v>0</v>
      </c>
      <c r="BT47">
        <f>SUMIF(DeadRaw!$B:$B,$B47,DeadRaw!BV:BV)</f>
        <v>0</v>
      </c>
      <c r="BU47">
        <f>SUMIF(DeadRaw!$B:$B,$B47,DeadRaw!BW:BW)</f>
        <v>0</v>
      </c>
    </row>
    <row r="48" spans="1:73" ht="15" thickBot="1" x14ac:dyDescent="0.35">
      <c r="A48" s="97" t="str">
        <f>VLOOKUP(B48,Country_Data!B:Q,16,FALSE)</f>
        <v>Asia</v>
      </c>
      <c r="B48" s="3" t="s">
        <v>56</v>
      </c>
      <c r="C48">
        <f>SUMIF(DeadRaw!$B:$B,$B48,DeadRaw!E:E)</f>
        <v>0</v>
      </c>
      <c r="D48">
        <f>SUMIF(DeadRaw!$B:$B,$B48,DeadRaw!F:F)</f>
        <v>0</v>
      </c>
      <c r="E48">
        <f>SUMIF(DeadRaw!$B:$B,$B48,DeadRaw!G:G)</f>
        <v>0</v>
      </c>
      <c r="F48">
        <f>SUMIF(DeadRaw!$B:$B,$B48,DeadRaw!H:H)</f>
        <v>0</v>
      </c>
      <c r="G48">
        <f>SUMIF(DeadRaw!$B:$B,$B48,DeadRaw!I:I)</f>
        <v>0</v>
      </c>
      <c r="H48">
        <f>SUMIF(DeadRaw!$B:$B,$B48,DeadRaw!J:J)</f>
        <v>0</v>
      </c>
      <c r="I48">
        <f>SUMIF(DeadRaw!$B:$B,$B48,DeadRaw!K:K)</f>
        <v>0</v>
      </c>
      <c r="J48">
        <f>SUMIF(DeadRaw!$B:$B,$B48,DeadRaw!L:L)</f>
        <v>0</v>
      </c>
      <c r="K48">
        <f>SUMIF(DeadRaw!$B:$B,$B48,DeadRaw!M:M)</f>
        <v>0</v>
      </c>
      <c r="L48">
        <f>SUMIF(DeadRaw!$B:$B,$B48,DeadRaw!N:N)</f>
        <v>0</v>
      </c>
      <c r="M48">
        <f>SUMIF(DeadRaw!$B:$B,$B48,DeadRaw!O:O)</f>
        <v>0</v>
      </c>
      <c r="N48">
        <f>SUMIF(DeadRaw!$B:$B,$B48,DeadRaw!P:P)</f>
        <v>1</v>
      </c>
      <c r="O48">
        <f>SUMIF(DeadRaw!$B:$B,$B48,DeadRaw!Q:Q)</f>
        <v>1</v>
      </c>
      <c r="P48">
        <f>SUMIF(DeadRaw!$B:$B,$B48,DeadRaw!R:R)</f>
        <v>1</v>
      </c>
      <c r="Q48">
        <f>SUMIF(DeadRaw!$B:$B,$B48,DeadRaw!S:S)</f>
        <v>1</v>
      </c>
      <c r="R48">
        <f>SUMIF(DeadRaw!$B:$B,$B48,DeadRaw!T:T)</f>
        <v>1</v>
      </c>
      <c r="S48">
        <f>SUMIF(DeadRaw!$B:$B,$B48,DeadRaw!U:U)</f>
        <v>1</v>
      </c>
      <c r="T48">
        <f>SUMIF(DeadRaw!$B:$B,$B48,DeadRaw!V:V)</f>
        <v>1</v>
      </c>
      <c r="U48">
        <f>SUMIF(DeadRaw!$B:$B,$B48,DeadRaw!W:W)</f>
        <v>1</v>
      </c>
      <c r="V48">
        <f>SUMIF(DeadRaw!$B:$B,$B48,DeadRaw!X:X)</f>
        <v>1</v>
      </c>
      <c r="W48">
        <f>SUMIF(DeadRaw!$B:$B,$B48,DeadRaw!Y:Y)</f>
        <v>1</v>
      </c>
      <c r="X48">
        <f>SUMIF(DeadRaw!$B:$B,$B48,DeadRaw!Z:Z)</f>
        <v>1</v>
      </c>
      <c r="Y48">
        <f>SUMIF(DeadRaw!$B:$B,$B48,DeadRaw!AA:AA)</f>
        <v>1</v>
      </c>
      <c r="Z48">
        <f>SUMIF(DeadRaw!$B:$B,$B48,DeadRaw!AB:AB)</f>
        <v>1</v>
      </c>
      <c r="AA48">
        <f>SUMIF(DeadRaw!$B:$B,$B48,DeadRaw!AC:AC)</f>
        <v>1</v>
      </c>
      <c r="AB48">
        <f>SUMIF(DeadRaw!$B:$B,$B48,DeadRaw!AD:AD)</f>
        <v>1</v>
      </c>
      <c r="AC48">
        <f>SUMIF(DeadRaw!$B:$B,$B48,DeadRaw!AE:AE)</f>
        <v>1</v>
      </c>
      <c r="AD48">
        <f>SUMIF(DeadRaw!$B:$B,$B48,DeadRaw!AF:AF)</f>
        <v>1</v>
      </c>
      <c r="AE48">
        <f>SUMIF(DeadRaw!$B:$B,$B48,DeadRaw!AG:AG)</f>
        <v>1</v>
      </c>
      <c r="AF48">
        <f>SUMIF(DeadRaw!$B:$B,$B48,DeadRaw!AH:AH)</f>
        <v>1</v>
      </c>
      <c r="AG48">
        <f>SUMIF(DeadRaw!$B:$B,$B48,DeadRaw!AI:AI)</f>
        <v>1</v>
      </c>
      <c r="AH48">
        <f>SUMIF(DeadRaw!$B:$B,$B48,DeadRaw!AJ:AJ)</f>
        <v>1</v>
      </c>
      <c r="AI48">
        <f>SUMIF(DeadRaw!$B:$B,$B48,DeadRaw!AK:AK)</f>
        <v>1</v>
      </c>
      <c r="AJ48">
        <f>SUMIF(DeadRaw!$B:$B,$B48,DeadRaw!AL:AL)</f>
        <v>1</v>
      </c>
      <c r="AK48">
        <f>SUMIF(DeadRaw!$B:$B,$B48,DeadRaw!AM:AM)</f>
        <v>1</v>
      </c>
      <c r="AL48">
        <f>SUMIF(DeadRaw!$B:$B,$B48,DeadRaw!AN:AN)</f>
        <v>1</v>
      </c>
      <c r="AM48">
        <f>SUMIF(DeadRaw!$B:$B,$B48,DeadRaw!AO:AO)</f>
        <v>1</v>
      </c>
      <c r="AN48">
        <f>SUMIF(DeadRaw!$B:$B,$B48,DeadRaw!AP:AP)</f>
        <v>1</v>
      </c>
      <c r="AO48">
        <f>SUMIF(DeadRaw!$B:$B,$B48,DeadRaw!AQ:AQ)</f>
        <v>1</v>
      </c>
      <c r="AP48">
        <f>SUMIF(DeadRaw!$B:$B,$B48,DeadRaw!AR:AR)</f>
        <v>1</v>
      </c>
      <c r="AQ48">
        <f>SUMIF(DeadRaw!$B:$B,$B48,DeadRaw!AS:AS)</f>
        <v>1</v>
      </c>
      <c r="AR48">
        <f>SUMIF(DeadRaw!$B:$B,$B48,DeadRaw!AT:AT)</f>
        <v>1</v>
      </c>
      <c r="AS48">
        <f>SUMIF(DeadRaw!$B:$B,$B48,DeadRaw!AU:AU)</f>
        <v>1</v>
      </c>
      <c r="AT48">
        <f>SUMIF(DeadRaw!$B:$B,$B48,DeadRaw!AV:AV)</f>
        <v>1</v>
      </c>
      <c r="AU48">
        <f>SUMIF(DeadRaw!$B:$B,$B48,DeadRaw!AW:AW)</f>
        <v>1</v>
      </c>
      <c r="AV48">
        <f>SUMIF(DeadRaw!$B:$B,$B48,DeadRaw!AX:AX)</f>
        <v>1</v>
      </c>
      <c r="AW48">
        <f>SUMIF(DeadRaw!$B:$B,$B48,DeadRaw!AY:AY)</f>
        <v>1</v>
      </c>
      <c r="AX48">
        <f>SUMIF(DeadRaw!$B:$B,$B48,DeadRaw!AZ:AZ)</f>
        <v>1</v>
      </c>
      <c r="AY48">
        <f>SUMIF(DeadRaw!$B:$B,$B48,DeadRaw!BA:BA)</f>
        <v>1</v>
      </c>
      <c r="AZ48">
        <f>SUMIF(DeadRaw!$B:$B,$B48,DeadRaw!BB:BB)</f>
        <v>1</v>
      </c>
      <c r="BA48">
        <f>SUMIF(DeadRaw!$B:$B,$B48,DeadRaw!BC:BC)</f>
        <v>2</v>
      </c>
      <c r="BB48">
        <f>SUMIF(DeadRaw!$B:$B,$B48,DeadRaw!BD:BD)</f>
        <v>5</v>
      </c>
      <c r="BC48">
        <f>SUMIF(DeadRaw!$B:$B,$B48,DeadRaw!BE:BE)</f>
        <v>8</v>
      </c>
      <c r="BD48">
        <f>SUMIF(DeadRaw!$B:$B,$B48,DeadRaw!BF:BF)</f>
        <v>11</v>
      </c>
      <c r="BE48">
        <f>SUMIF(DeadRaw!$B:$B,$B48,DeadRaw!BG:BG)</f>
        <v>12</v>
      </c>
      <c r="BF48">
        <f>SUMIF(DeadRaw!$B:$B,$B48,DeadRaw!BH:BH)</f>
        <v>12</v>
      </c>
      <c r="BG48">
        <f>SUMIF(DeadRaw!$B:$B,$B48,DeadRaw!BI:BI)</f>
        <v>19</v>
      </c>
      <c r="BH48">
        <f>SUMIF(DeadRaw!$B:$B,$B48,DeadRaw!BJ:BJ)</f>
        <v>17</v>
      </c>
      <c r="BI48">
        <f>SUMIF(DeadRaw!$B:$B,$B48,DeadRaw!BK:BK)</f>
        <v>18</v>
      </c>
      <c r="BJ48">
        <f>SUMIF(DeadRaw!$B:$B,$B48,DeadRaw!BL:BL)</f>
        <v>19</v>
      </c>
      <c r="BK48">
        <f>SUMIF(DeadRaw!$B:$B,$B48,DeadRaw!BM:BM)</f>
        <v>25</v>
      </c>
      <c r="BL48">
        <f>SUMIF(DeadRaw!$B:$B,$B48,DeadRaw!BN:BN)</f>
        <v>33</v>
      </c>
      <c r="BM48">
        <f>SUMIF(DeadRaw!$B:$B,$B48,DeadRaw!BO:BO)</f>
        <v>35</v>
      </c>
      <c r="BN48">
        <f>SUMIF(DeadRaw!$B:$B,$B48,DeadRaw!BP:BP)</f>
        <v>38</v>
      </c>
      <c r="BO48">
        <f>SUMIF(DeadRaw!$B:$B,$B48,DeadRaw!BQ:BQ)</f>
        <v>45</v>
      </c>
      <c r="BP48">
        <f>SUMIF(DeadRaw!$B:$B,$B48,DeadRaw!BR:BR)</f>
        <v>54</v>
      </c>
      <c r="BQ48">
        <f>SUMIF(DeadRaw!$B:$B,$B48,DeadRaw!BS:BS)</f>
        <v>68</v>
      </c>
      <c r="BR48">
        <f>SUMIF(DeadRaw!$B:$B,$B48,DeadRaw!BT:BT)</f>
        <v>0</v>
      </c>
      <c r="BS48">
        <f>SUMIF(DeadRaw!$B:$B,$B48,DeadRaw!BU:BU)</f>
        <v>0</v>
      </c>
      <c r="BT48">
        <f>SUMIF(DeadRaw!$B:$B,$B48,DeadRaw!BV:BV)</f>
        <v>0</v>
      </c>
      <c r="BU48">
        <f>SUMIF(DeadRaw!$B:$B,$B48,DeadRaw!BW:BW)</f>
        <v>0</v>
      </c>
    </row>
    <row r="49" spans="1:73" ht="15" thickBot="1" x14ac:dyDescent="0.35">
      <c r="A49" s="97" t="str">
        <f>VLOOKUP(B49,Country_Data!B:Q,16,FALSE)</f>
        <v>Asia</v>
      </c>
      <c r="B49" s="3" t="s">
        <v>342</v>
      </c>
      <c r="C49">
        <f>SUMIF(DeadRaw!$B:$B,$B49,DeadRaw!E:E)</f>
        <v>0</v>
      </c>
      <c r="D49">
        <f>SUMIF(DeadRaw!$B:$B,$B49,DeadRaw!F:F)</f>
        <v>0</v>
      </c>
      <c r="E49">
        <f>SUMIF(DeadRaw!$B:$B,$B49,DeadRaw!G:G)</f>
        <v>0</v>
      </c>
      <c r="F49">
        <f>SUMIF(DeadRaw!$B:$B,$B49,DeadRaw!H:H)</f>
        <v>0</v>
      </c>
      <c r="G49">
        <f>SUMIF(DeadRaw!$B:$B,$B49,DeadRaw!I:I)</f>
        <v>0</v>
      </c>
      <c r="H49">
        <f>SUMIF(DeadRaw!$B:$B,$B49,DeadRaw!J:J)</f>
        <v>0</v>
      </c>
      <c r="I49">
        <f>SUMIF(DeadRaw!$B:$B,$B49,DeadRaw!K:K)</f>
        <v>0</v>
      </c>
      <c r="J49">
        <f>SUMIF(DeadRaw!$B:$B,$B49,DeadRaw!L:L)</f>
        <v>0</v>
      </c>
      <c r="K49">
        <f>SUMIF(DeadRaw!$B:$B,$B49,DeadRaw!M:M)</f>
        <v>0</v>
      </c>
      <c r="L49">
        <f>SUMIF(DeadRaw!$B:$B,$B49,DeadRaw!N:N)</f>
        <v>0</v>
      </c>
      <c r="M49">
        <f>SUMIF(DeadRaw!$B:$B,$B49,DeadRaw!O:O)</f>
        <v>0</v>
      </c>
      <c r="N49">
        <f>SUMIF(DeadRaw!$B:$B,$B49,DeadRaw!P:P)</f>
        <v>0</v>
      </c>
      <c r="O49">
        <f>SUMIF(DeadRaw!$B:$B,$B49,DeadRaw!Q:Q)</f>
        <v>0</v>
      </c>
      <c r="P49">
        <f>SUMIF(DeadRaw!$B:$B,$B49,DeadRaw!R:R)</f>
        <v>0</v>
      </c>
      <c r="Q49">
        <f>SUMIF(DeadRaw!$B:$B,$B49,DeadRaw!S:S)</f>
        <v>0</v>
      </c>
      <c r="R49">
        <f>SUMIF(DeadRaw!$B:$B,$B49,DeadRaw!T:T)</f>
        <v>0</v>
      </c>
      <c r="S49">
        <f>SUMIF(DeadRaw!$B:$B,$B49,DeadRaw!U:U)</f>
        <v>0</v>
      </c>
      <c r="T49">
        <f>SUMIF(DeadRaw!$B:$B,$B49,DeadRaw!V:V)</f>
        <v>0</v>
      </c>
      <c r="U49">
        <f>SUMIF(DeadRaw!$B:$B,$B49,DeadRaw!W:W)</f>
        <v>0</v>
      </c>
      <c r="V49">
        <f>SUMIF(DeadRaw!$B:$B,$B49,DeadRaw!X:X)</f>
        <v>0</v>
      </c>
      <c r="W49">
        <f>SUMIF(DeadRaw!$B:$B,$B49,DeadRaw!Y:Y)</f>
        <v>0</v>
      </c>
      <c r="X49">
        <f>SUMIF(DeadRaw!$B:$B,$B49,DeadRaw!Z:Z)</f>
        <v>0</v>
      </c>
      <c r="Y49">
        <f>SUMIF(DeadRaw!$B:$B,$B49,DeadRaw!AA:AA)</f>
        <v>0</v>
      </c>
      <c r="Z49">
        <f>SUMIF(DeadRaw!$B:$B,$B49,DeadRaw!AB:AB)</f>
        <v>0</v>
      </c>
      <c r="AA49">
        <f>SUMIF(DeadRaw!$B:$B,$B49,DeadRaw!AC:AC)</f>
        <v>0</v>
      </c>
      <c r="AB49">
        <f>SUMIF(DeadRaw!$B:$B,$B49,DeadRaw!AD:AD)</f>
        <v>1</v>
      </c>
      <c r="AC49">
        <f>SUMIF(DeadRaw!$B:$B,$B49,DeadRaw!AE:AE)</f>
        <v>1</v>
      </c>
      <c r="AD49">
        <f>SUMIF(DeadRaw!$B:$B,$B49,DeadRaw!AF:AF)</f>
        <v>1</v>
      </c>
      <c r="AE49">
        <f>SUMIF(DeadRaw!$B:$B,$B49,DeadRaw!AG:AG)</f>
        <v>1</v>
      </c>
      <c r="AF49">
        <f>SUMIF(DeadRaw!$B:$B,$B49,DeadRaw!AH:AH)</f>
        <v>1</v>
      </c>
      <c r="AG49">
        <f>SUMIF(DeadRaw!$B:$B,$B49,DeadRaw!AI:AI)</f>
        <v>1</v>
      </c>
      <c r="AH49">
        <f>SUMIF(DeadRaw!$B:$B,$B49,DeadRaw!AJ:AJ)</f>
        <v>1</v>
      </c>
      <c r="AI49">
        <f>SUMIF(DeadRaw!$B:$B,$B49,DeadRaw!AK:AK)</f>
        <v>1</v>
      </c>
      <c r="AJ49">
        <f>SUMIF(DeadRaw!$B:$B,$B49,DeadRaw!AL:AL)</f>
        <v>1</v>
      </c>
      <c r="AK49">
        <f>SUMIF(DeadRaw!$B:$B,$B49,DeadRaw!AM:AM)</f>
        <v>1</v>
      </c>
      <c r="AL49">
        <f>SUMIF(DeadRaw!$B:$B,$B49,DeadRaw!AN:AN)</f>
        <v>1</v>
      </c>
      <c r="AM49">
        <f>SUMIF(DeadRaw!$B:$B,$B49,DeadRaw!AO:AO)</f>
        <v>1</v>
      </c>
      <c r="AN49">
        <f>SUMIF(DeadRaw!$B:$B,$B49,DeadRaw!AP:AP)</f>
        <v>1</v>
      </c>
      <c r="AO49">
        <f>SUMIF(DeadRaw!$B:$B,$B49,DeadRaw!AQ:AQ)</f>
        <v>1</v>
      </c>
      <c r="AP49">
        <f>SUMIF(DeadRaw!$B:$B,$B49,DeadRaw!AR:AR)</f>
        <v>1</v>
      </c>
      <c r="AQ49">
        <f>SUMIF(DeadRaw!$B:$B,$B49,DeadRaw!AS:AS)</f>
        <v>1</v>
      </c>
      <c r="AR49">
        <f>SUMIF(DeadRaw!$B:$B,$B49,DeadRaw!AT:AT)</f>
        <v>1</v>
      </c>
      <c r="AS49">
        <f>SUMIF(DeadRaw!$B:$B,$B49,DeadRaw!AU:AU)</f>
        <v>1</v>
      </c>
      <c r="AT49">
        <f>SUMIF(DeadRaw!$B:$B,$B49,DeadRaw!AV:AV)</f>
        <v>1</v>
      </c>
      <c r="AU49">
        <f>SUMIF(DeadRaw!$B:$B,$B49,DeadRaw!AW:AW)</f>
        <v>1</v>
      </c>
      <c r="AV49">
        <f>SUMIF(DeadRaw!$B:$B,$B49,DeadRaw!AX:AX)</f>
        <v>1</v>
      </c>
      <c r="AW49">
        <f>SUMIF(DeadRaw!$B:$B,$B49,DeadRaw!AY:AY)</f>
        <v>1</v>
      </c>
      <c r="AX49">
        <f>SUMIF(DeadRaw!$B:$B,$B49,DeadRaw!AZ:AZ)</f>
        <v>1</v>
      </c>
      <c r="AY49">
        <f>SUMIF(DeadRaw!$B:$B,$B49,DeadRaw!BA:BA)</f>
        <v>1</v>
      </c>
      <c r="AZ49">
        <f>SUMIF(DeadRaw!$B:$B,$B49,DeadRaw!BB:BB)</f>
        <v>1</v>
      </c>
      <c r="BA49">
        <f>SUMIF(DeadRaw!$B:$B,$B49,DeadRaw!BC:BC)</f>
        <v>1</v>
      </c>
      <c r="BB49">
        <f>SUMIF(DeadRaw!$B:$B,$B49,DeadRaw!BD:BD)</f>
        <v>1</v>
      </c>
      <c r="BC49">
        <f>SUMIF(DeadRaw!$B:$B,$B49,DeadRaw!BE:BE)</f>
        <v>1</v>
      </c>
      <c r="BD49">
        <f>SUMIF(DeadRaw!$B:$B,$B49,DeadRaw!BF:BF)</f>
        <v>1</v>
      </c>
      <c r="BE49">
        <f>SUMIF(DeadRaw!$B:$B,$B49,DeadRaw!BG:BG)</f>
        <v>1</v>
      </c>
      <c r="BF49">
        <f>SUMIF(DeadRaw!$B:$B,$B49,DeadRaw!BH:BH)</f>
        <v>1</v>
      </c>
      <c r="BG49">
        <f>SUMIF(DeadRaw!$B:$B,$B49,DeadRaw!BI:BI)</f>
        <v>1</v>
      </c>
      <c r="BH49">
        <f>SUMIF(DeadRaw!$B:$B,$B49,DeadRaw!BJ:BJ)</f>
        <v>1</v>
      </c>
      <c r="BI49">
        <f>SUMIF(DeadRaw!$B:$B,$B49,DeadRaw!BK:BK)</f>
        <v>2</v>
      </c>
      <c r="BJ49">
        <f>SUMIF(DeadRaw!$B:$B,$B49,DeadRaw!BL:BL)</f>
        <v>2</v>
      </c>
      <c r="BK49">
        <f>SUMIF(DeadRaw!$B:$B,$B49,DeadRaw!BM:BM)</f>
        <v>2</v>
      </c>
      <c r="BL49">
        <f>SUMIF(DeadRaw!$B:$B,$B49,DeadRaw!BN:BN)</f>
        <v>2</v>
      </c>
      <c r="BM49">
        <f>SUMIF(DeadRaw!$B:$B,$B49,DeadRaw!BO:BO)</f>
        <v>2</v>
      </c>
      <c r="BN49">
        <f>SUMIF(DeadRaw!$B:$B,$B49,DeadRaw!BP:BP)</f>
        <v>2</v>
      </c>
      <c r="BO49">
        <f>SUMIF(DeadRaw!$B:$B,$B49,DeadRaw!BQ:BQ)</f>
        <v>2</v>
      </c>
      <c r="BP49">
        <f>SUMIF(DeadRaw!$B:$B,$B49,DeadRaw!BR:BR)</f>
        <v>2</v>
      </c>
      <c r="BQ49">
        <f>SUMIF(DeadRaw!$B:$B,$B49,DeadRaw!BS:BS)</f>
        <v>2</v>
      </c>
      <c r="BR49">
        <f>SUMIF(DeadRaw!$B:$B,$B49,DeadRaw!BT:BT)</f>
        <v>0</v>
      </c>
      <c r="BS49">
        <f>SUMIF(DeadRaw!$B:$B,$B49,DeadRaw!BU:BU)</f>
        <v>0</v>
      </c>
      <c r="BT49">
        <f>SUMIF(DeadRaw!$B:$B,$B49,DeadRaw!BV:BV)</f>
        <v>0</v>
      </c>
      <c r="BU49">
        <f>SUMIF(DeadRaw!$B:$B,$B49,DeadRaw!BW:BW)</f>
        <v>0</v>
      </c>
    </row>
    <row r="50" spans="1:73" ht="15" thickBot="1" x14ac:dyDescent="0.35">
      <c r="A50" s="97" t="str">
        <f>VLOOKUP(B50,Country_Data!B:Q,16,FALSE)</f>
        <v>Asia</v>
      </c>
      <c r="B50" s="4" t="s">
        <v>343</v>
      </c>
      <c r="C50">
        <f>SUMIF(DeadRaw!$B:$B,$B50,DeadRaw!E:E)</f>
        <v>0</v>
      </c>
      <c r="D50">
        <f>SUMIF(DeadRaw!$B:$B,$B50,DeadRaw!F:F)</f>
        <v>0</v>
      </c>
      <c r="E50">
        <f>SUMIF(DeadRaw!$B:$B,$B50,DeadRaw!G:G)</f>
        <v>0</v>
      </c>
      <c r="F50">
        <f>SUMIF(DeadRaw!$B:$B,$B50,DeadRaw!H:H)</f>
        <v>0</v>
      </c>
      <c r="G50">
        <f>SUMIF(DeadRaw!$B:$B,$B50,DeadRaw!I:I)</f>
        <v>0</v>
      </c>
      <c r="H50">
        <f>SUMIF(DeadRaw!$B:$B,$B50,DeadRaw!J:J)</f>
        <v>0</v>
      </c>
      <c r="I50">
        <f>SUMIF(DeadRaw!$B:$B,$B50,DeadRaw!K:K)</f>
        <v>0</v>
      </c>
      <c r="J50">
        <f>SUMIF(DeadRaw!$B:$B,$B50,DeadRaw!L:L)</f>
        <v>0</v>
      </c>
      <c r="K50">
        <f>SUMIF(DeadRaw!$B:$B,$B50,DeadRaw!M:M)</f>
        <v>0</v>
      </c>
      <c r="L50">
        <f>SUMIF(DeadRaw!$B:$B,$B50,DeadRaw!N:N)</f>
        <v>0</v>
      </c>
      <c r="M50">
        <f>SUMIF(DeadRaw!$B:$B,$B50,DeadRaw!O:O)</f>
        <v>0</v>
      </c>
      <c r="N50">
        <f>SUMIF(DeadRaw!$B:$B,$B50,DeadRaw!P:P)</f>
        <v>0</v>
      </c>
      <c r="O50">
        <f>SUMIF(DeadRaw!$B:$B,$B50,DeadRaw!Q:Q)</f>
        <v>0</v>
      </c>
      <c r="P50">
        <f>SUMIF(DeadRaw!$B:$B,$B50,DeadRaw!R:R)</f>
        <v>0</v>
      </c>
      <c r="Q50">
        <f>SUMIF(DeadRaw!$B:$B,$B50,DeadRaw!S:S)</f>
        <v>0</v>
      </c>
      <c r="R50">
        <f>SUMIF(DeadRaw!$B:$B,$B50,DeadRaw!T:T)</f>
        <v>0</v>
      </c>
      <c r="S50">
        <f>SUMIF(DeadRaw!$B:$B,$B50,DeadRaw!U:U)</f>
        <v>0</v>
      </c>
      <c r="T50">
        <f>SUMIF(DeadRaw!$B:$B,$B50,DeadRaw!V:V)</f>
        <v>0</v>
      </c>
      <c r="U50">
        <f>SUMIF(DeadRaw!$B:$B,$B50,DeadRaw!W:W)</f>
        <v>0</v>
      </c>
      <c r="V50">
        <f>SUMIF(DeadRaw!$B:$B,$B50,DeadRaw!X:X)</f>
        <v>0</v>
      </c>
      <c r="W50">
        <f>SUMIF(DeadRaw!$B:$B,$B50,DeadRaw!Y:Y)</f>
        <v>0</v>
      </c>
      <c r="X50">
        <f>SUMIF(DeadRaw!$B:$B,$B50,DeadRaw!Z:Z)</f>
        <v>0</v>
      </c>
      <c r="Y50">
        <f>SUMIF(DeadRaw!$B:$B,$B50,DeadRaw!AA:AA)</f>
        <v>0</v>
      </c>
      <c r="Z50">
        <f>SUMIF(DeadRaw!$B:$B,$B50,DeadRaw!AB:AB)</f>
        <v>0</v>
      </c>
      <c r="AA50">
        <f>SUMIF(DeadRaw!$B:$B,$B50,DeadRaw!AC:AC)</f>
        <v>0</v>
      </c>
      <c r="AB50">
        <f>SUMIF(DeadRaw!$B:$B,$B50,DeadRaw!AD:AD)</f>
        <v>0</v>
      </c>
      <c r="AC50">
        <f>SUMIF(DeadRaw!$B:$B,$B50,DeadRaw!AE:AE)</f>
        <v>0</v>
      </c>
      <c r="AD50">
        <f>SUMIF(DeadRaw!$B:$B,$B50,DeadRaw!AF:AF)</f>
        <v>0</v>
      </c>
      <c r="AE50">
        <f>SUMIF(DeadRaw!$B:$B,$B50,DeadRaw!AG:AG)</f>
        <v>0</v>
      </c>
      <c r="AF50">
        <f>SUMIF(DeadRaw!$B:$B,$B50,DeadRaw!AH:AH)</f>
        <v>0</v>
      </c>
      <c r="AG50">
        <f>SUMIF(DeadRaw!$B:$B,$B50,DeadRaw!AI:AI)</f>
        <v>0</v>
      </c>
      <c r="AH50">
        <f>SUMIF(DeadRaw!$B:$B,$B50,DeadRaw!AJ:AJ)</f>
        <v>0</v>
      </c>
      <c r="AI50">
        <f>SUMIF(DeadRaw!$B:$B,$B50,DeadRaw!AK:AK)</f>
        <v>0</v>
      </c>
      <c r="AJ50">
        <f>SUMIF(DeadRaw!$B:$B,$B50,DeadRaw!AL:AL)</f>
        <v>0</v>
      </c>
      <c r="AK50">
        <f>SUMIF(DeadRaw!$B:$B,$B50,DeadRaw!AM:AM)</f>
        <v>0</v>
      </c>
      <c r="AL50">
        <f>SUMIF(DeadRaw!$B:$B,$B50,DeadRaw!AN:AN)</f>
        <v>0</v>
      </c>
      <c r="AM50">
        <f>SUMIF(DeadRaw!$B:$B,$B50,DeadRaw!AO:AO)</f>
        <v>0</v>
      </c>
      <c r="AN50">
        <f>SUMIF(DeadRaw!$B:$B,$B50,DeadRaw!AP:AP)</f>
        <v>0</v>
      </c>
      <c r="AO50">
        <f>SUMIF(DeadRaw!$B:$B,$B50,DeadRaw!AQ:AQ)</f>
        <v>0</v>
      </c>
      <c r="AP50">
        <f>SUMIF(DeadRaw!$B:$B,$B50,DeadRaw!AR:AR)</f>
        <v>0</v>
      </c>
      <c r="AQ50">
        <f>SUMIF(DeadRaw!$B:$B,$B50,DeadRaw!AS:AS)</f>
        <v>0</v>
      </c>
      <c r="AR50">
        <f>SUMIF(DeadRaw!$B:$B,$B50,DeadRaw!AT:AT)</f>
        <v>0</v>
      </c>
      <c r="AS50">
        <f>SUMIF(DeadRaw!$B:$B,$B50,DeadRaw!AU:AU)</f>
        <v>0</v>
      </c>
      <c r="AT50">
        <f>SUMIF(DeadRaw!$B:$B,$B50,DeadRaw!AV:AV)</f>
        <v>0</v>
      </c>
      <c r="AU50">
        <f>SUMIF(DeadRaw!$B:$B,$B50,DeadRaw!AW:AW)</f>
        <v>0</v>
      </c>
      <c r="AV50">
        <f>SUMIF(DeadRaw!$B:$B,$B50,DeadRaw!AX:AX)</f>
        <v>0</v>
      </c>
      <c r="AW50">
        <f>SUMIF(DeadRaw!$B:$B,$B50,DeadRaw!AY:AY)</f>
        <v>0</v>
      </c>
      <c r="AX50">
        <f>SUMIF(DeadRaw!$B:$B,$B50,DeadRaw!AZ:AZ)</f>
        <v>0</v>
      </c>
      <c r="AY50">
        <f>SUMIF(DeadRaw!$B:$B,$B50,DeadRaw!BA:BA)</f>
        <v>0</v>
      </c>
      <c r="AZ50">
        <f>SUMIF(DeadRaw!$B:$B,$B50,DeadRaw!BB:BB)</f>
        <v>0</v>
      </c>
      <c r="BA50">
        <f>SUMIF(DeadRaw!$B:$B,$B50,DeadRaw!BC:BC)</f>
        <v>0</v>
      </c>
      <c r="BB50">
        <f>SUMIF(DeadRaw!$B:$B,$B50,DeadRaw!BD:BD)</f>
        <v>0</v>
      </c>
      <c r="BC50">
        <f>SUMIF(DeadRaw!$B:$B,$B50,DeadRaw!BE:BE)</f>
        <v>0</v>
      </c>
      <c r="BD50">
        <f>SUMIF(DeadRaw!$B:$B,$B50,DeadRaw!BF:BF)</f>
        <v>0</v>
      </c>
      <c r="BE50">
        <f>SUMIF(DeadRaw!$B:$B,$B50,DeadRaw!BG:BG)</f>
        <v>0</v>
      </c>
      <c r="BF50">
        <f>SUMIF(DeadRaw!$B:$B,$B50,DeadRaw!BH:BH)</f>
        <v>0</v>
      </c>
      <c r="BG50">
        <f>SUMIF(DeadRaw!$B:$B,$B50,DeadRaw!BI:BI)</f>
        <v>0</v>
      </c>
      <c r="BH50">
        <f>SUMIF(DeadRaw!$B:$B,$B50,DeadRaw!BJ:BJ)</f>
        <v>0</v>
      </c>
      <c r="BI50">
        <f>SUMIF(DeadRaw!$B:$B,$B50,DeadRaw!BK:BK)</f>
        <v>0</v>
      </c>
      <c r="BJ50">
        <f>SUMIF(DeadRaw!$B:$B,$B50,DeadRaw!BL:BL)</f>
        <v>0</v>
      </c>
      <c r="BK50">
        <f>SUMIF(DeadRaw!$B:$B,$B50,DeadRaw!BM:BM)</f>
        <v>0</v>
      </c>
      <c r="BL50">
        <f>SUMIF(DeadRaw!$B:$B,$B50,DeadRaw!BN:BN)</f>
        <v>0</v>
      </c>
      <c r="BM50">
        <f>SUMIF(DeadRaw!$B:$B,$B50,DeadRaw!BO:BO)</f>
        <v>0</v>
      </c>
      <c r="BN50">
        <f>SUMIF(DeadRaw!$B:$B,$B50,DeadRaw!BP:BP)</f>
        <v>0</v>
      </c>
      <c r="BO50">
        <f>SUMIF(DeadRaw!$B:$B,$B50,DeadRaw!BQ:BQ)</f>
        <v>0</v>
      </c>
      <c r="BP50">
        <f>SUMIF(DeadRaw!$B:$B,$B50,DeadRaw!BR:BR)</f>
        <v>0</v>
      </c>
      <c r="BQ50">
        <f>SUMIF(DeadRaw!$B:$B,$B50,DeadRaw!BS:BS)</f>
        <v>0</v>
      </c>
      <c r="BR50">
        <f>SUMIF(DeadRaw!$B:$B,$B50,DeadRaw!BT:BT)</f>
        <v>0</v>
      </c>
      <c r="BS50">
        <f>SUMIF(DeadRaw!$B:$B,$B50,DeadRaw!BU:BU)</f>
        <v>0</v>
      </c>
      <c r="BT50">
        <f>SUMIF(DeadRaw!$B:$B,$B50,DeadRaw!BV:BV)</f>
        <v>0</v>
      </c>
      <c r="BU50">
        <f>SUMIF(DeadRaw!$B:$B,$B50,DeadRaw!BW:BW)</f>
        <v>0</v>
      </c>
    </row>
    <row r="51" spans="1:73" ht="15" thickBot="1" x14ac:dyDescent="0.35">
      <c r="A51" s="97" t="str">
        <f>VLOOKUP(B51,Country_Data!B:Q,16,FALSE)</f>
        <v>Asia</v>
      </c>
      <c r="B51" s="3" t="s">
        <v>344</v>
      </c>
      <c r="C51">
        <f>SUMIF(DeadRaw!$B:$B,$B51,DeadRaw!E:E)</f>
        <v>0</v>
      </c>
      <c r="D51">
        <f>SUMIF(DeadRaw!$B:$B,$B51,DeadRaw!F:F)</f>
        <v>0</v>
      </c>
      <c r="E51">
        <f>SUMIF(DeadRaw!$B:$B,$B51,DeadRaw!G:G)</f>
        <v>0</v>
      </c>
      <c r="F51">
        <f>SUMIF(DeadRaw!$B:$B,$B51,DeadRaw!H:H)</f>
        <v>0</v>
      </c>
      <c r="G51">
        <f>SUMIF(DeadRaw!$B:$B,$B51,DeadRaw!I:I)</f>
        <v>0</v>
      </c>
      <c r="H51">
        <f>SUMIF(DeadRaw!$B:$B,$B51,DeadRaw!J:J)</f>
        <v>0</v>
      </c>
      <c r="I51">
        <f>SUMIF(DeadRaw!$B:$B,$B51,DeadRaw!K:K)</f>
        <v>0</v>
      </c>
      <c r="J51">
        <f>SUMIF(DeadRaw!$B:$B,$B51,DeadRaw!L:L)</f>
        <v>0</v>
      </c>
      <c r="K51">
        <f>SUMIF(DeadRaw!$B:$B,$B51,DeadRaw!M:M)</f>
        <v>0</v>
      </c>
      <c r="L51">
        <f>SUMIF(DeadRaw!$B:$B,$B51,DeadRaw!N:N)</f>
        <v>0</v>
      </c>
      <c r="M51">
        <f>SUMIF(DeadRaw!$B:$B,$B51,DeadRaw!O:O)</f>
        <v>0</v>
      </c>
      <c r="N51">
        <f>SUMIF(DeadRaw!$B:$B,$B51,DeadRaw!P:P)</f>
        <v>0</v>
      </c>
      <c r="O51">
        <f>SUMIF(DeadRaw!$B:$B,$B51,DeadRaw!Q:Q)</f>
        <v>0</v>
      </c>
      <c r="P51">
        <f>SUMIF(DeadRaw!$B:$B,$B51,DeadRaw!R:R)</f>
        <v>0</v>
      </c>
      <c r="Q51">
        <f>SUMIF(DeadRaw!$B:$B,$B51,DeadRaw!S:S)</f>
        <v>0</v>
      </c>
      <c r="R51">
        <f>SUMIF(DeadRaw!$B:$B,$B51,DeadRaw!T:T)</f>
        <v>0</v>
      </c>
      <c r="S51">
        <f>SUMIF(DeadRaw!$B:$B,$B51,DeadRaw!U:U)</f>
        <v>0</v>
      </c>
      <c r="T51">
        <f>SUMIF(DeadRaw!$B:$B,$B51,DeadRaw!V:V)</f>
        <v>0</v>
      </c>
      <c r="U51">
        <f>SUMIF(DeadRaw!$B:$B,$B51,DeadRaw!W:W)</f>
        <v>0</v>
      </c>
      <c r="V51">
        <f>SUMIF(DeadRaw!$B:$B,$B51,DeadRaw!X:X)</f>
        <v>0</v>
      </c>
      <c r="W51">
        <f>SUMIF(DeadRaw!$B:$B,$B51,DeadRaw!Y:Y)</f>
        <v>0</v>
      </c>
      <c r="X51">
        <f>SUMIF(DeadRaw!$B:$B,$B51,DeadRaw!Z:Z)</f>
        <v>0</v>
      </c>
      <c r="Y51">
        <f>SUMIF(DeadRaw!$B:$B,$B51,DeadRaw!AA:AA)</f>
        <v>0</v>
      </c>
      <c r="Z51">
        <f>SUMIF(DeadRaw!$B:$B,$B51,DeadRaw!AB:AB)</f>
        <v>0</v>
      </c>
      <c r="AA51">
        <f>SUMIF(DeadRaw!$B:$B,$B51,DeadRaw!AC:AC)</f>
        <v>0</v>
      </c>
      <c r="AB51">
        <f>SUMIF(DeadRaw!$B:$B,$B51,DeadRaw!AD:AD)</f>
        <v>0</v>
      </c>
      <c r="AC51">
        <f>SUMIF(DeadRaw!$B:$B,$B51,DeadRaw!AE:AE)</f>
        <v>0</v>
      </c>
      <c r="AD51">
        <f>SUMIF(DeadRaw!$B:$B,$B51,DeadRaw!AF:AF)</f>
        <v>0</v>
      </c>
      <c r="AE51">
        <f>SUMIF(DeadRaw!$B:$B,$B51,DeadRaw!AG:AG)</f>
        <v>0</v>
      </c>
      <c r="AF51">
        <f>SUMIF(DeadRaw!$B:$B,$B51,DeadRaw!AH:AH)</f>
        <v>0</v>
      </c>
      <c r="AG51">
        <f>SUMIF(DeadRaw!$B:$B,$B51,DeadRaw!AI:AI)</f>
        <v>0</v>
      </c>
      <c r="AH51">
        <f>SUMIF(DeadRaw!$B:$B,$B51,DeadRaw!AJ:AJ)</f>
        <v>0</v>
      </c>
      <c r="AI51">
        <f>SUMIF(DeadRaw!$B:$B,$B51,DeadRaw!AK:AK)</f>
        <v>0</v>
      </c>
      <c r="AJ51">
        <f>SUMIF(DeadRaw!$B:$B,$B51,DeadRaw!AL:AL)</f>
        <v>0</v>
      </c>
      <c r="AK51">
        <f>SUMIF(DeadRaw!$B:$B,$B51,DeadRaw!AM:AM)</f>
        <v>0</v>
      </c>
      <c r="AL51">
        <f>SUMIF(DeadRaw!$B:$B,$B51,DeadRaw!AN:AN)</f>
        <v>0</v>
      </c>
      <c r="AM51">
        <f>SUMIF(DeadRaw!$B:$B,$B51,DeadRaw!AO:AO)</f>
        <v>0</v>
      </c>
      <c r="AN51">
        <f>SUMIF(DeadRaw!$B:$B,$B51,DeadRaw!AP:AP)</f>
        <v>0</v>
      </c>
      <c r="AO51">
        <f>SUMIF(DeadRaw!$B:$B,$B51,DeadRaw!AQ:AQ)</f>
        <v>0</v>
      </c>
      <c r="AP51">
        <f>SUMIF(DeadRaw!$B:$B,$B51,DeadRaw!AR:AR)</f>
        <v>0</v>
      </c>
      <c r="AQ51">
        <f>SUMIF(DeadRaw!$B:$B,$B51,DeadRaw!AS:AS)</f>
        <v>0</v>
      </c>
      <c r="AR51">
        <f>SUMIF(DeadRaw!$B:$B,$B51,DeadRaw!AT:AT)</f>
        <v>0</v>
      </c>
      <c r="AS51">
        <f>SUMIF(DeadRaw!$B:$B,$B51,DeadRaw!AU:AU)</f>
        <v>0</v>
      </c>
      <c r="AT51">
        <f>SUMIF(DeadRaw!$B:$B,$B51,DeadRaw!AV:AV)</f>
        <v>0</v>
      </c>
      <c r="AU51">
        <f>SUMIF(DeadRaw!$B:$B,$B51,DeadRaw!AW:AW)</f>
        <v>0</v>
      </c>
      <c r="AV51">
        <f>SUMIF(DeadRaw!$B:$B,$B51,DeadRaw!AX:AX)</f>
        <v>0</v>
      </c>
      <c r="AW51">
        <f>SUMIF(DeadRaw!$B:$B,$B51,DeadRaw!AY:AY)</f>
        <v>0</v>
      </c>
      <c r="AX51">
        <f>SUMIF(DeadRaw!$B:$B,$B51,DeadRaw!AZ:AZ)</f>
        <v>0</v>
      </c>
      <c r="AY51">
        <f>SUMIF(DeadRaw!$B:$B,$B51,DeadRaw!BA:BA)</f>
        <v>0</v>
      </c>
      <c r="AZ51">
        <f>SUMIF(DeadRaw!$B:$B,$B51,DeadRaw!BB:BB)</f>
        <v>0</v>
      </c>
      <c r="BA51">
        <f>SUMIF(DeadRaw!$B:$B,$B51,DeadRaw!BC:BC)</f>
        <v>0</v>
      </c>
      <c r="BB51">
        <f>SUMIF(DeadRaw!$B:$B,$B51,DeadRaw!BD:BD)</f>
        <v>0</v>
      </c>
      <c r="BC51">
        <f>SUMIF(DeadRaw!$B:$B,$B51,DeadRaw!BE:BE)</f>
        <v>0</v>
      </c>
      <c r="BD51">
        <f>SUMIF(DeadRaw!$B:$B,$B51,DeadRaw!BF:BF)</f>
        <v>0</v>
      </c>
      <c r="BE51">
        <f>SUMIF(DeadRaw!$B:$B,$B51,DeadRaw!BG:BG)</f>
        <v>0</v>
      </c>
      <c r="BF51">
        <f>SUMIF(DeadRaw!$B:$B,$B51,DeadRaw!BH:BH)</f>
        <v>0</v>
      </c>
      <c r="BG51">
        <f>SUMIF(DeadRaw!$B:$B,$B51,DeadRaw!BI:BI)</f>
        <v>0</v>
      </c>
      <c r="BH51">
        <f>SUMIF(DeadRaw!$B:$B,$B51,DeadRaw!BJ:BJ)</f>
        <v>1</v>
      </c>
      <c r="BI51">
        <f>SUMIF(DeadRaw!$B:$B,$B51,DeadRaw!BK:BK)</f>
        <v>1</v>
      </c>
      <c r="BJ51">
        <f>SUMIF(DeadRaw!$B:$B,$B51,DeadRaw!BL:BL)</f>
        <v>1</v>
      </c>
      <c r="BK51">
        <f>SUMIF(DeadRaw!$B:$B,$B51,DeadRaw!BM:BM)</f>
        <v>1</v>
      </c>
      <c r="BL51">
        <f>SUMIF(DeadRaw!$B:$B,$B51,DeadRaw!BN:BN)</f>
        <v>1</v>
      </c>
      <c r="BM51">
        <f>SUMIF(DeadRaw!$B:$B,$B51,DeadRaw!BO:BO)</f>
        <v>1</v>
      </c>
      <c r="BN51">
        <f>SUMIF(DeadRaw!$B:$B,$B51,DeadRaw!BP:BP)</f>
        <v>3</v>
      </c>
      <c r="BO51">
        <f>SUMIF(DeadRaw!$B:$B,$B51,DeadRaw!BQ:BQ)</f>
        <v>3</v>
      </c>
      <c r="BP51">
        <f>SUMIF(DeadRaw!$B:$B,$B51,DeadRaw!BR:BR)</f>
        <v>4</v>
      </c>
      <c r="BQ51">
        <f>SUMIF(DeadRaw!$B:$B,$B51,DeadRaw!BS:BS)</f>
        <v>4</v>
      </c>
      <c r="BR51">
        <f>SUMIF(DeadRaw!$B:$B,$B51,DeadRaw!BT:BT)</f>
        <v>0</v>
      </c>
      <c r="BS51">
        <f>SUMIF(DeadRaw!$B:$B,$B51,DeadRaw!BU:BU)</f>
        <v>0</v>
      </c>
      <c r="BT51">
        <f>SUMIF(DeadRaw!$B:$B,$B51,DeadRaw!BV:BV)</f>
        <v>0</v>
      </c>
      <c r="BU51">
        <f>SUMIF(DeadRaw!$B:$B,$B51,DeadRaw!BW:BW)</f>
        <v>0</v>
      </c>
    </row>
    <row r="52" spans="1:73" ht="15" thickBot="1" x14ac:dyDescent="0.35">
      <c r="A52" s="97" t="str">
        <f>VLOOKUP(B52,Country_Data!B:Q,16,FALSE)</f>
        <v>South America</v>
      </c>
      <c r="B52" s="3" t="s">
        <v>124</v>
      </c>
      <c r="C52">
        <f>SUMIF(DeadRaw!$B:$B,$B52,DeadRaw!E:E)</f>
        <v>0</v>
      </c>
      <c r="D52">
        <f>SUMIF(DeadRaw!$B:$B,$B52,DeadRaw!F:F)</f>
        <v>0</v>
      </c>
      <c r="E52">
        <f>SUMIF(DeadRaw!$B:$B,$B52,DeadRaw!G:G)</f>
        <v>0</v>
      </c>
      <c r="F52">
        <f>SUMIF(DeadRaw!$B:$B,$B52,DeadRaw!H:H)</f>
        <v>0</v>
      </c>
      <c r="G52">
        <f>SUMIF(DeadRaw!$B:$B,$B52,DeadRaw!I:I)</f>
        <v>0</v>
      </c>
      <c r="H52">
        <f>SUMIF(DeadRaw!$B:$B,$B52,DeadRaw!J:J)</f>
        <v>0</v>
      </c>
      <c r="I52">
        <f>SUMIF(DeadRaw!$B:$B,$B52,DeadRaw!K:K)</f>
        <v>0</v>
      </c>
      <c r="J52">
        <f>SUMIF(DeadRaw!$B:$B,$B52,DeadRaw!L:L)</f>
        <v>0</v>
      </c>
      <c r="K52">
        <f>SUMIF(DeadRaw!$B:$B,$B52,DeadRaw!M:M)</f>
        <v>0</v>
      </c>
      <c r="L52">
        <f>SUMIF(DeadRaw!$B:$B,$B52,DeadRaw!N:N)</f>
        <v>0</v>
      </c>
      <c r="M52">
        <f>SUMIF(DeadRaw!$B:$B,$B52,DeadRaw!O:O)</f>
        <v>0</v>
      </c>
      <c r="N52">
        <f>SUMIF(DeadRaw!$B:$B,$B52,DeadRaw!P:P)</f>
        <v>0</v>
      </c>
      <c r="O52">
        <f>SUMIF(DeadRaw!$B:$B,$B52,DeadRaw!Q:Q)</f>
        <v>0</v>
      </c>
      <c r="P52">
        <f>SUMIF(DeadRaw!$B:$B,$B52,DeadRaw!R:R)</f>
        <v>0</v>
      </c>
      <c r="Q52">
        <f>SUMIF(DeadRaw!$B:$B,$B52,DeadRaw!S:S)</f>
        <v>0</v>
      </c>
      <c r="R52">
        <f>SUMIF(DeadRaw!$B:$B,$B52,DeadRaw!T:T)</f>
        <v>0</v>
      </c>
      <c r="S52">
        <f>SUMIF(DeadRaw!$B:$B,$B52,DeadRaw!U:U)</f>
        <v>0</v>
      </c>
      <c r="T52">
        <f>SUMIF(DeadRaw!$B:$B,$B52,DeadRaw!V:V)</f>
        <v>0</v>
      </c>
      <c r="U52">
        <f>SUMIF(DeadRaw!$B:$B,$B52,DeadRaw!W:W)</f>
        <v>0</v>
      </c>
      <c r="V52">
        <f>SUMIF(DeadRaw!$B:$B,$B52,DeadRaw!X:X)</f>
        <v>0</v>
      </c>
      <c r="W52">
        <f>SUMIF(DeadRaw!$B:$B,$B52,DeadRaw!Y:Y)</f>
        <v>0</v>
      </c>
      <c r="X52">
        <f>SUMIF(DeadRaw!$B:$B,$B52,DeadRaw!Z:Z)</f>
        <v>0</v>
      </c>
      <c r="Y52">
        <f>SUMIF(DeadRaw!$B:$B,$B52,DeadRaw!AA:AA)</f>
        <v>0</v>
      </c>
      <c r="Z52">
        <f>SUMIF(DeadRaw!$B:$B,$B52,DeadRaw!AB:AB)</f>
        <v>0</v>
      </c>
      <c r="AA52">
        <f>SUMIF(DeadRaw!$B:$B,$B52,DeadRaw!AC:AC)</f>
        <v>0</v>
      </c>
      <c r="AB52">
        <f>SUMIF(DeadRaw!$B:$B,$B52,DeadRaw!AD:AD)</f>
        <v>0</v>
      </c>
      <c r="AC52">
        <f>SUMIF(DeadRaw!$B:$B,$B52,DeadRaw!AE:AE)</f>
        <v>0</v>
      </c>
      <c r="AD52">
        <f>SUMIF(DeadRaw!$B:$B,$B52,DeadRaw!AF:AF)</f>
        <v>0</v>
      </c>
      <c r="AE52">
        <f>SUMIF(DeadRaw!$B:$B,$B52,DeadRaw!AG:AG)</f>
        <v>0</v>
      </c>
      <c r="AF52">
        <f>SUMIF(DeadRaw!$B:$B,$B52,DeadRaw!AH:AH)</f>
        <v>0</v>
      </c>
      <c r="AG52">
        <f>SUMIF(DeadRaw!$B:$B,$B52,DeadRaw!AI:AI)</f>
        <v>0</v>
      </c>
      <c r="AH52">
        <f>SUMIF(DeadRaw!$B:$B,$B52,DeadRaw!AJ:AJ)</f>
        <v>0</v>
      </c>
      <c r="AI52">
        <f>SUMIF(DeadRaw!$B:$B,$B52,DeadRaw!AK:AK)</f>
        <v>0</v>
      </c>
      <c r="AJ52">
        <f>SUMIF(DeadRaw!$B:$B,$B52,DeadRaw!AL:AL)</f>
        <v>0</v>
      </c>
      <c r="AK52">
        <f>SUMIF(DeadRaw!$B:$B,$B52,DeadRaw!AM:AM)</f>
        <v>0</v>
      </c>
      <c r="AL52">
        <f>SUMIF(DeadRaw!$B:$B,$B52,DeadRaw!AN:AN)</f>
        <v>0</v>
      </c>
      <c r="AM52">
        <f>SUMIF(DeadRaw!$B:$B,$B52,DeadRaw!AO:AO)</f>
        <v>0</v>
      </c>
      <c r="AN52">
        <f>SUMIF(DeadRaw!$B:$B,$B52,DeadRaw!AP:AP)</f>
        <v>0</v>
      </c>
      <c r="AO52">
        <f>SUMIF(DeadRaw!$B:$B,$B52,DeadRaw!AQ:AQ)</f>
        <v>0</v>
      </c>
      <c r="AP52">
        <f>SUMIF(DeadRaw!$B:$B,$B52,DeadRaw!AR:AR)</f>
        <v>0</v>
      </c>
      <c r="AQ52">
        <f>SUMIF(DeadRaw!$B:$B,$B52,DeadRaw!AS:AS)</f>
        <v>0</v>
      </c>
      <c r="AR52">
        <f>SUMIF(DeadRaw!$B:$B,$B52,DeadRaw!AT:AT)</f>
        <v>0</v>
      </c>
      <c r="AS52">
        <f>SUMIF(DeadRaw!$B:$B,$B52,DeadRaw!AU:AU)</f>
        <v>0</v>
      </c>
      <c r="AT52">
        <f>SUMIF(DeadRaw!$B:$B,$B52,DeadRaw!AV:AV)</f>
        <v>0</v>
      </c>
      <c r="AU52">
        <f>SUMIF(DeadRaw!$B:$B,$B52,DeadRaw!AW:AW)</f>
        <v>0</v>
      </c>
      <c r="AV52">
        <f>SUMIF(DeadRaw!$B:$B,$B52,DeadRaw!AX:AX)</f>
        <v>0</v>
      </c>
      <c r="AW52">
        <f>SUMIF(DeadRaw!$B:$B,$B52,DeadRaw!AY:AY)</f>
        <v>0</v>
      </c>
      <c r="AX52">
        <f>SUMIF(DeadRaw!$B:$B,$B52,DeadRaw!AZ:AZ)</f>
        <v>0</v>
      </c>
      <c r="AY52">
        <f>SUMIF(DeadRaw!$B:$B,$B52,DeadRaw!BA:BA)</f>
        <v>0</v>
      </c>
      <c r="AZ52">
        <f>SUMIF(DeadRaw!$B:$B,$B52,DeadRaw!BB:BB)</f>
        <v>0</v>
      </c>
      <c r="BA52">
        <f>SUMIF(DeadRaw!$B:$B,$B52,DeadRaw!BC:BC)</f>
        <v>0</v>
      </c>
      <c r="BB52">
        <f>SUMIF(DeadRaw!$B:$B,$B52,DeadRaw!BD:BD)</f>
        <v>0</v>
      </c>
      <c r="BC52">
        <f>SUMIF(DeadRaw!$B:$B,$B52,DeadRaw!BE:BE)</f>
        <v>0</v>
      </c>
      <c r="BD52">
        <f>SUMIF(DeadRaw!$B:$B,$B52,DeadRaw!BF:BF)</f>
        <v>0</v>
      </c>
      <c r="BE52">
        <f>SUMIF(DeadRaw!$B:$B,$B52,DeadRaw!BG:BG)</f>
        <v>0</v>
      </c>
      <c r="BF52">
        <f>SUMIF(DeadRaw!$B:$B,$B52,DeadRaw!BH:BH)</f>
        <v>0</v>
      </c>
      <c r="BG52">
        <f>SUMIF(DeadRaw!$B:$B,$B52,DeadRaw!BI:BI)</f>
        <v>0</v>
      </c>
      <c r="BH52">
        <f>SUMIF(DeadRaw!$B:$B,$B52,DeadRaw!BJ:BJ)</f>
        <v>0</v>
      </c>
      <c r="BI52">
        <f>SUMIF(DeadRaw!$B:$B,$B52,DeadRaw!BK:BK)</f>
        <v>0</v>
      </c>
      <c r="BJ52">
        <f>SUMIF(DeadRaw!$B:$B,$B52,DeadRaw!BL:BL)</f>
        <v>0</v>
      </c>
      <c r="BK52">
        <f>SUMIF(DeadRaw!$B:$B,$B52,DeadRaw!BM:BM)</f>
        <v>1</v>
      </c>
      <c r="BL52">
        <f>SUMIF(DeadRaw!$B:$B,$B52,DeadRaw!BN:BN)</f>
        <v>2</v>
      </c>
      <c r="BM52">
        <f>SUMIF(DeadRaw!$B:$B,$B52,DeadRaw!BO:BO)</f>
        <v>2</v>
      </c>
      <c r="BN52">
        <f>SUMIF(DeadRaw!$B:$B,$B52,DeadRaw!BP:BP)</f>
        <v>3</v>
      </c>
      <c r="BO52">
        <f>SUMIF(DeadRaw!$B:$B,$B52,DeadRaw!BQ:BQ)</f>
        <v>4</v>
      </c>
      <c r="BP52">
        <f>SUMIF(DeadRaw!$B:$B,$B52,DeadRaw!BR:BR)</f>
        <v>5</v>
      </c>
      <c r="BQ52">
        <f>SUMIF(DeadRaw!$B:$B,$B52,DeadRaw!BS:BS)</f>
        <v>6</v>
      </c>
      <c r="BR52">
        <f>SUMIF(DeadRaw!$B:$B,$B52,DeadRaw!BT:BT)</f>
        <v>0</v>
      </c>
      <c r="BS52">
        <f>SUMIF(DeadRaw!$B:$B,$B52,DeadRaw!BU:BU)</f>
        <v>0</v>
      </c>
      <c r="BT52">
        <f>SUMIF(DeadRaw!$B:$B,$B52,DeadRaw!BV:BV)</f>
        <v>0</v>
      </c>
      <c r="BU52">
        <f>SUMIF(DeadRaw!$B:$B,$B52,DeadRaw!BW:BW)</f>
        <v>0</v>
      </c>
    </row>
    <row r="53" spans="1:73" ht="15" thickBot="1" x14ac:dyDescent="0.35">
      <c r="A53" s="97" t="str">
        <f>VLOOKUP(B53,Country_Data!B:Q,16,FALSE)</f>
        <v>Asia</v>
      </c>
      <c r="B53" s="4" t="s">
        <v>233</v>
      </c>
      <c r="C53">
        <f>SUMIF(DeadRaw!$B:$B,$B53,DeadRaw!E:E)</f>
        <v>0</v>
      </c>
      <c r="D53">
        <f>SUMIF(DeadRaw!$B:$B,$B53,DeadRaw!F:F)</f>
        <v>0</v>
      </c>
      <c r="E53">
        <f>SUMIF(DeadRaw!$B:$B,$B53,DeadRaw!G:G)</f>
        <v>0</v>
      </c>
      <c r="F53">
        <f>SUMIF(DeadRaw!$B:$B,$B53,DeadRaw!H:H)</f>
        <v>0</v>
      </c>
      <c r="G53">
        <f>SUMIF(DeadRaw!$B:$B,$B53,DeadRaw!I:I)</f>
        <v>0</v>
      </c>
      <c r="H53">
        <f>SUMIF(DeadRaw!$B:$B,$B53,DeadRaw!J:J)</f>
        <v>0</v>
      </c>
      <c r="I53">
        <f>SUMIF(DeadRaw!$B:$B,$B53,DeadRaw!K:K)</f>
        <v>0</v>
      </c>
      <c r="J53">
        <f>SUMIF(DeadRaw!$B:$B,$B53,DeadRaw!L:L)</f>
        <v>0</v>
      </c>
      <c r="K53">
        <f>SUMIF(DeadRaw!$B:$B,$B53,DeadRaw!M:M)</f>
        <v>0</v>
      </c>
      <c r="L53">
        <f>SUMIF(DeadRaw!$B:$B,$B53,DeadRaw!N:N)</f>
        <v>0</v>
      </c>
      <c r="M53">
        <f>SUMIF(DeadRaw!$B:$B,$B53,DeadRaw!O:O)</f>
        <v>0</v>
      </c>
      <c r="N53">
        <f>SUMIF(DeadRaw!$B:$B,$B53,DeadRaw!P:P)</f>
        <v>0</v>
      </c>
      <c r="O53">
        <f>SUMIF(DeadRaw!$B:$B,$B53,DeadRaw!Q:Q)</f>
        <v>0</v>
      </c>
      <c r="P53">
        <f>SUMIF(DeadRaw!$B:$B,$B53,DeadRaw!R:R)</f>
        <v>0</v>
      </c>
      <c r="Q53">
        <f>SUMIF(DeadRaw!$B:$B,$B53,DeadRaw!S:S)</f>
        <v>0</v>
      </c>
      <c r="R53">
        <f>SUMIF(DeadRaw!$B:$B,$B53,DeadRaw!T:T)</f>
        <v>0</v>
      </c>
      <c r="S53">
        <f>SUMIF(DeadRaw!$B:$B,$B53,DeadRaw!U:U)</f>
        <v>0</v>
      </c>
      <c r="T53">
        <f>SUMIF(DeadRaw!$B:$B,$B53,DeadRaw!V:V)</f>
        <v>0</v>
      </c>
      <c r="U53">
        <f>SUMIF(DeadRaw!$B:$B,$B53,DeadRaw!W:W)</f>
        <v>0</v>
      </c>
      <c r="V53">
        <f>SUMIF(DeadRaw!$B:$B,$B53,DeadRaw!X:X)</f>
        <v>0</v>
      </c>
      <c r="W53">
        <f>SUMIF(DeadRaw!$B:$B,$B53,DeadRaw!Y:Y)</f>
        <v>0</v>
      </c>
      <c r="X53">
        <f>SUMIF(DeadRaw!$B:$B,$B53,DeadRaw!Z:Z)</f>
        <v>0</v>
      </c>
      <c r="Y53">
        <f>SUMIF(DeadRaw!$B:$B,$B53,DeadRaw!AA:AA)</f>
        <v>0</v>
      </c>
      <c r="Z53">
        <f>SUMIF(DeadRaw!$B:$B,$B53,DeadRaw!AB:AB)</f>
        <v>0</v>
      </c>
      <c r="AA53">
        <f>SUMIF(DeadRaw!$B:$B,$B53,DeadRaw!AC:AC)</f>
        <v>0</v>
      </c>
      <c r="AB53">
        <f>SUMIF(DeadRaw!$B:$B,$B53,DeadRaw!AD:AD)</f>
        <v>0</v>
      </c>
      <c r="AC53">
        <f>SUMIF(DeadRaw!$B:$B,$B53,DeadRaw!AE:AE)</f>
        <v>0</v>
      </c>
      <c r="AD53">
        <f>SUMIF(DeadRaw!$B:$B,$B53,DeadRaw!AF:AF)</f>
        <v>0</v>
      </c>
      <c r="AE53">
        <f>SUMIF(DeadRaw!$B:$B,$B53,DeadRaw!AG:AG)</f>
        <v>0</v>
      </c>
      <c r="AF53">
        <f>SUMIF(DeadRaw!$B:$B,$B53,DeadRaw!AH:AH)</f>
        <v>0</v>
      </c>
      <c r="AG53">
        <f>SUMIF(DeadRaw!$B:$B,$B53,DeadRaw!AI:AI)</f>
        <v>0</v>
      </c>
      <c r="AH53">
        <f>SUMIF(DeadRaw!$B:$B,$B53,DeadRaw!AJ:AJ)</f>
        <v>0</v>
      </c>
      <c r="AI53">
        <f>SUMIF(DeadRaw!$B:$B,$B53,DeadRaw!AK:AK)</f>
        <v>0</v>
      </c>
      <c r="AJ53">
        <f>SUMIF(DeadRaw!$B:$B,$B53,DeadRaw!AL:AL)</f>
        <v>0</v>
      </c>
      <c r="AK53">
        <f>SUMIF(DeadRaw!$B:$B,$B53,DeadRaw!AM:AM)</f>
        <v>0</v>
      </c>
      <c r="AL53">
        <f>SUMIF(DeadRaw!$B:$B,$B53,DeadRaw!AN:AN)</f>
        <v>0</v>
      </c>
      <c r="AM53">
        <f>SUMIF(DeadRaw!$B:$B,$B53,DeadRaw!AO:AO)</f>
        <v>0</v>
      </c>
      <c r="AN53">
        <f>SUMIF(DeadRaw!$B:$B,$B53,DeadRaw!AP:AP)</f>
        <v>0</v>
      </c>
      <c r="AO53">
        <f>SUMIF(DeadRaw!$B:$B,$B53,DeadRaw!AQ:AQ)</f>
        <v>0</v>
      </c>
      <c r="AP53">
        <f>SUMIF(DeadRaw!$B:$B,$B53,DeadRaw!AR:AR)</f>
        <v>0</v>
      </c>
      <c r="AQ53">
        <f>SUMIF(DeadRaw!$B:$B,$B53,DeadRaw!AS:AS)</f>
        <v>0</v>
      </c>
      <c r="AR53">
        <f>SUMIF(DeadRaw!$B:$B,$B53,DeadRaw!AT:AT)</f>
        <v>0</v>
      </c>
      <c r="AS53">
        <f>SUMIF(DeadRaw!$B:$B,$B53,DeadRaw!AU:AU)</f>
        <v>0</v>
      </c>
      <c r="AT53">
        <f>SUMIF(DeadRaw!$B:$B,$B53,DeadRaw!AV:AV)</f>
        <v>0</v>
      </c>
      <c r="AU53">
        <f>SUMIF(DeadRaw!$B:$B,$B53,DeadRaw!AW:AW)</f>
        <v>0</v>
      </c>
      <c r="AV53">
        <f>SUMIF(DeadRaw!$B:$B,$B53,DeadRaw!AX:AX)</f>
        <v>0</v>
      </c>
      <c r="AW53">
        <f>SUMIF(DeadRaw!$B:$B,$B53,DeadRaw!AY:AY)</f>
        <v>0</v>
      </c>
      <c r="AX53">
        <f>SUMIF(DeadRaw!$B:$B,$B53,DeadRaw!AZ:AZ)</f>
        <v>0</v>
      </c>
      <c r="AY53">
        <f>SUMIF(DeadRaw!$B:$B,$B53,DeadRaw!BA:BA)</f>
        <v>0</v>
      </c>
      <c r="AZ53">
        <f>SUMIF(DeadRaw!$B:$B,$B53,DeadRaw!BB:BB)</f>
        <v>0</v>
      </c>
      <c r="BA53">
        <f>SUMIF(DeadRaw!$B:$B,$B53,DeadRaw!BC:BC)</f>
        <v>0</v>
      </c>
      <c r="BB53">
        <f>SUMIF(DeadRaw!$B:$B,$B53,DeadRaw!BD:BD)</f>
        <v>0</v>
      </c>
      <c r="BC53">
        <f>SUMIF(DeadRaw!$B:$B,$B53,DeadRaw!BE:BE)</f>
        <v>0</v>
      </c>
      <c r="BD53">
        <f>SUMIF(DeadRaw!$B:$B,$B53,DeadRaw!BF:BF)</f>
        <v>0</v>
      </c>
      <c r="BE53">
        <f>SUMIF(DeadRaw!$B:$B,$B53,DeadRaw!BG:BG)</f>
        <v>0</v>
      </c>
      <c r="BF53">
        <f>SUMIF(DeadRaw!$B:$B,$B53,DeadRaw!BH:BH)</f>
        <v>0</v>
      </c>
      <c r="BG53">
        <f>SUMIF(DeadRaw!$B:$B,$B53,DeadRaw!BI:BI)</f>
        <v>0</v>
      </c>
      <c r="BH53">
        <f>SUMIF(DeadRaw!$B:$B,$B53,DeadRaw!BJ:BJ)</f>
        <v>0</v>
      </c>
      <c r="BI53">
        <f>SUMIF(DeadRaw!$B:$B,$B53,DeadRaw!BK:BK)</f>
        <v>0</v>
      </c>
      <c r="BJ53">
        <f>SUMIF(DeadRaw!$B:$B,$B53,DeadRaw!BL:BL)</f>
        <v>0</v>
      </c>
      <c r="BK53">
        <f>SUMIF(DeadRaw!$B:$B,$B53,DeadRaw!BM:BM)</f>
        <v>0</v>
      </c>
      <c r="BL53">
        <f>SUMIF(DeadRaw!$B:$B,$B53,DeadRaw!BN:BN)</f>
        <v>0</v>
      </c>
      <c r="BM53">
        <f>SUMIF(DeadRaw!$B:$B,$B53,DeadRaw!BO:BO)</f>
        <v>0</v>
      </c>
      <c r="BN53">
        <f>SUMIF(DeadRaw!$B:$B,$B53,DeadRaw!BP:BP)</f>
        <v>0</v>
      </c>
      <c r="BO53">
        <f>SUMIF(DeadRaw!$B:$B,$B53,DeadRaw!BQ:BQ)</f>
        <v>0</v>
      </c>
      <c r="BP53">
        <f>SUMIF(DeadRaw!$B:$B,$B53,DeadRaw!BR:BR)</f>
        <v>0</v>
      </c>
      <c r="BQ53">
        <f>SUMIF(DeadRaw!$B:$B,$B53,DeadRaw!BS:BS)</f>
        <v>1</v>
      </c>
      <c r="BR53">
        <f>SUMIF(DeadRaw!$B:$B,$B53,DeadRaw!BT:BT)</f>
        <v>0</v>
      </c>
      <c r="BS53">
        <f>SUMIF(DeadRaw!$B:$B,$B53,DeadRaw!BU:BU)</f>
        <v>0</v>
      </c>
      <c r="BT53">
        <f>SUMIF(DeadRaw!$B:$B,$B53,DeadRaw!BV:BV)</f>
        <v>0</v>
      </c>
      <c r="BU53">
        <f>SUMIF(DeadRaw!$B:$B,$B53,DeadRaw!BW:BW)</f>
        <v>0</v>
      </c>
    </row>
    <row r="54" spans="1:73" ht="15" thickBot="1" x14ac:dyDescent="0.35">
      <c r="A54" s="97" t="str">
        <f>VLOOKUP(B54,Country_Data!B:Q,16,FALSE)</f>
        <v>Europe</v>
      </c>
      <c r="B54" s="3" t="s">
        <v>161</v>
      </c>
      <c r="C54">
        <f>SUMIF(DeadRaw!$B:$B,$B54,DeadRaw!E:E)</f>
        <v>0</v>
      </c>
      <c r="D54">
        <f>SUMIF(DeadRaw!$B:$B,$B54,DeadRaw!F:F)</f>
        <v>0</v>
      </c>
      <c r="E54">
        <f>SUMIF(DeadRaw!$B:$B,$B54,DeadRaw!G:G)</f>
        <v>0</v>
      </c>
      <c r="F54">
        <f>SUMIF(DeadRaw!$B:$B,$B54,DeadRaw!H:H)</f>
        <v>0</v>
      </c>
      <c r="G54">
        <f>SUMIF(DeadRaw!$B:$B,$B54,DeadRaw!I:I)</f>
        <v>0</v>
      </c>
      <c r="H54">
        <f>SUMIF(DeadRaw!$B:$B,$B54,DeadRaw!J:J)</f>
        <v>0</v>
      </c>
      <c r="I54">
        <f>SUMIF(DeadRaw!$B:$B,$B54,DeadRaw!K:K)</f>
        <v>0</v>
      </c>
      <c r="J54">
        <f>SUMIF(DeadRaw!$B:$B,$B54,DeadRaw!L:L)</f>
        <v>0</v>
      </c>
      <c r="K54">
        <f>SUMIF(DeadRaw!$B:$B,$B54,DeadRaw!M:M)</f>
        <v>0</v>
      </c>
      <c r="L54">
        <f>SUMIF(DeadRaw!$B:$B,$B54,DeadRaw!N:N)</f>
        <v>0</v>
      </c>
      <c r="M54">
        <f>SUMIF(DeadRaw!$B:$B,$B54,DeadRaw!O:O)</f>
        <v>0</v>
      </c>
      <c r="N54">
        <f>SUMIF(DeadRaw!$B:$B,$B54,DeadRaw!P:P)</f>
        <v>0</v>
      </c>
      <c r="O54">
        <f>SUMIF(DeadRaw!$B:$B,$B54,DeadRaw!Q:Q)</f>
        <v>0</v>
      </c>
      <c r="P54">
        <f>SUMIF(DeadRaw!$B:$B,$B54,DeadRaw!R:R)</f>
        <v>0</v>
      </c>
      <c r="Q54">
        <f>SUMIF(DeadRaw!$B:$B,$B54,DeadRaw!S:S)</f>
        <v>0</v>
      </c>
      <c r="R54">
        <f>SUMIF(DeadRaw!$B:$B,$B54,DeadRaw!T:T)</f>
        <v>0</v>
      </c>
      <c r="S54">
        <f>SUMIF(DeadRaw!$B:$B,$B54,DeadRaw!U:U)</f>
        <v>0</v>
      </c>
      <c r="T54">
        <f>SUMIF(DeadRaw!$B:$B,$B54,DeadRaw!V:V)</f>
        <v>0</v>
      </c>
      <c r="U54">
        <f>SUMIF(DeadRaw!$B:$B,$B54,DeadRaw!W:W)</f>
        <v>0</v>
      </c>
      <c r="V54">
        <f>SUMIF(DeadRaw!$B:$B,$B54,DeadRaw!X:X)</f>
        <v>0</v>
      </c>
      <c r="W54">
        <f>SUMIF(DeadRaw!$B:$B,$B54,DeadRaw!Y:Y)</f>
        <v>0</v>
      </c>
      <c r="X54">
        <f>SUMIF(DeadRaw!$B:$B,$B54,DeadRaw!Z:Z)</f>
        <v>0</v>
      </c>
      <c r="Y54">
        <f>SUMIF(DeadRaw!$B:$B,$B54,DeadRaw!AA:AA)</f>
        <v>0</v>
      </c>
      <c r="Z54">
        <f>SUMIF(DeadRaw!$B:$B,$B54,DeadRaw!AB:AB)</f>
        <v>0</v>
      </c>
      <c r="AA54">
        <f>SUMIF(DeadRaw!$B:$B,$B54,DeadRaw!AC:AC)</f>
        <v>0</v>
      </c>
      <c r="AB54">
        <f>SUMIF(DeadRaw!$B:$B,$B54,DeadRaw!AD:AD)</f>
        <v>0</v>
      </c>
      <c r="AC54">
        <f>SUMIF(DeadRaw!$B:$B,$B54,DeadRaw!AE:AE)</f>
        <v>0</v>
      </c>
      <c r="AD54">
        <f>SUMIF(DeadRaw!$B:$B,$B54,DeadRaw!AF:AF)</f>
        <v>0</v>
      </c>
      <c r="AE54">
        <f>SUMIF(DeadRaw!$B:$B,$B54,DeadRaw!AG:AG)</f>
        <v>0</v>
      </c>
      <c r="AF54">
        <f>SUMIF(DeadRaw!$B:$B,$B54,DeadRaw!AH:AH)</f>
        <v>0</v>
      </c>
      <c r="AG54">
        <f>SUMIF(DeadRaw!$B:$B,$B54,DeadRaw!AI:AI)</f>
        <v>0</v>
      </c>
      <c r="AH54">
        <f>SUMIF(DeadRaw!$B:$B,$B54,DeadRaw!AJ:AJ)</f>
        <v>0</v>
      </c>
      <c r="AI54">
        <f>SUMIF(DeadRaw!$B:$B,$B54,DeadRaw!AK:AK)</f>
        <v>0</v>
      </c>
      <c r="AJ54">
        <f>SUMIF(DeadRaw!$B:$B,$B54,DeadRaw!AL:AL)</f>
        <v>0</v>
      </c>
      <c r="AK54">
        <f>SUMIF(DeadRaw!$B:$B,$B54,DeadRaw!AM:AM)</f>
        <v>0</v>
      </c>
      <c r="AL54">
        <f>SUMIF(DeadRaw!$B:$B,$B54,DeadRaw!AN:AN)</f>
        <v>0</v>
      </c>
      <c r="AM54">
        <f>SUMIF(DeadRaw!$B:$B,$B54,DeadRaw!AO:AO)</f>
        <v>0</v>
      </c>
      <c r="AN54">
        <f>SUMIF(DeadRaw!$B:$B,$B54,DeadRaw!AP:AP)</f>
        <v>0</v>
      </c>
      <c r="AO54">
        <f>SUMIF(DeadRaw!$B:$B,$B54,DeadRaw!AQ:AQ)</f>
        <v>0</v>
      </c>
      <c r="AP54">
        <f>SUMIF(DeadRaw!$B:$B,$B54,DeadRaw!AR:AR)</f>
        <v>0</v>
      </c>
      <c r="AQ54">
        <f>SUMIF(DeadRaw!$B:$B,$B54,DeadRaw!AS:AS)</f>
        <v>0</v>
      </c>
      <c r="AR54">
        <f>SUMIF(DeadRaw!$B:$B,$B54,DeadRaw!AT:AT)</f>
        <v>0</v>
      </c>
      <c r="AS54">
        <f>SUMIF(DeadRaw!$B:$B,$B54,DeadRaw!AU:AU)</f>
        <v>0</v>
      </c>
      <c r="AT54">
        <f>SUMIF(DeadRaw!$B:$B,$B54,DeadRaw!AV:AV)</f>
        <v>0</v>
      </c>
      <c r="AU54">
        <f>SUMIF(DeadRaw!$B:$B,$B54,DeadRaw!AW:AW)</f>
        <v>0</v>
      </c>
      <c r="AV54">
        <f>SUMIF(DeadRaw!$B:$B,$B54,DeadRaw!AX:AX)</f>
        <v>0</v>
      </c>
      <c r="AW54">
        <f>SUMIF(DeadRaw!$B:$B,$B54,DeadRaw!AY:AY)</f>
        <v>0</v>
      </c>
      <c r="AX54">
        <f>SUMIF(DeadRaw!$B:$B,$B54,DeadRaw!AZ:AZ)</f>
        <v>0</v>
      </c>
      <c r="AY54">
        <f>SUMIF(DeadRaw!$B:$B,$B54,DeadRaw!BA:BA)</f>
        <v>0</v>
      </c>
      <c r="AZ54">
        <f>SUMIF(DeadRaw!$B:$B,$B54,DeadRaw!BB:BB)</f>
        <v>0</v>
      </c>
      <c r="BA54">
        <f>SUMIF(DeadRaw!$B:$B,$B54,DeadRaw!BC:BC)</f>
        <v>0</v>
      </c>
      <c r="BB54">
        <f>SUMIF(DeadRaw!$B:$B,$B54,DeadRaw!BD:BD)</f>
        <v>0</v>
      </c>
      <c r="BC54">
        <f>SUMIF(DeadRaw!$B:$B,$B54,DeadRaw!BE:BE)</f>
        <v>0</v>
      </c>
      <c r="BD54">
        <f>SUMIF(DeadRaw!$B:$B,$B54,DeadRaw!BF:BF)</f>
        <v>0</v>
      </c>
      <c r="BE54">
        <f>SUMIF(DeadRaw!$B:$B,$B54,DeadRaw!BG:BG)</f>
        <v>0</v>
      </c>
      <c r="BF54">
        <f>SUMIF(DeadRaw!$B:$B,$B54,DeadRaw!BH:BH)</f>
        <v>0</v>
      </c>
      <c r="BG54">
        <f>SUMIF(DeadRaw!$B:$B,$B54,DeadRaw!BI:BI)</f>
        <v>0</v>
      </c>
      <c r="BH54">
        <f>SUMIF(DeadRaw!$B:$B,$B54,DeadRaw!BJ:BJ)</f>
        <v>0</v>
      </c>
      <c r="BI54">
        <f>SUMIF(DeadRaw!$B:$B,$B54,DeadRaw!BK:BK)</f>
        <v>1</v>
      </c>
      <c r="BJ54">
        <f>SUMIF(DeadRaw!$B:$B,$B54,DeadRaw!BL:BL)</f>
        <v>1</v>
      </c>
      <c r="BK54">
        <f>SUMIF(DeadRaw!$B:$B,$B54,DeadRaw!BM:BM)</f>
        <v>2</v>
      </c>
      <c r="BL54">
        <f>SUMIF(DeadRaw!$B:$B,$B54,DeadRaw!BN:BN)</f>
        <v>3</v>
      </c>
      <c r="BM54">
        <f>SUMIF(DeadRaw!$B:$B,$B54,DeadRaw!BO:BO)</f>
        <v>3</v>
      </c>
      <c r="BN54">
        <f>SUMIF(DeadRaw!$B:$B,$B54,DeadRaw!BP:BP)</f>
        <v>4</v>
      </c>
      <c r="BO54">
        <f>SUMIF(DeadRaw!$B:$B,$B54,DeadRaw!BQ:BQ)</f>
        <v>1</v>
      </c>
      <c r="BP54">
        <f>SUMIF(DeadRaw!$B:$B,$B54,DeadRaw!BR:BR)</f>
        <v>1</v>
      </c>
      <c r="BQ54">
        <f>SUMIF(DeadRaw!$B:$B,$B54,DeadRaw!BS:BS)</f>
        <v>10</v>
      </c>
      <c r="BR54">
        <f>SUMIF(DeadRaw!$B:$B,$B54,DeadRaw!BT:BT)</f>
        <v>0</v>
      </c>
      <c r="BS54">
        <f>SUMIF(DeadRaw!$B:$B,$B54,DeadRaw!BU:BU)</f>
        <v>0</v>
      </c>
      <c r="BT54">
        <f>SUMIF(DeadRaw!$B:$B,$B54,DeadRaw!BV:BV)</f>
        <v>0</v>
      </c>
      <c r="BU54">
        <f>SUMIF(DeadRaw!$B:$B,$B54,DeadRaw!BW:BW)</f>
        <v>0</v>
      </c>
    </row>
    <row r="55" spans="1:73" ht="15" thickBot="1" x14ac:dyDescent="0.35">
      <c r="A55" s="97" t="str">
        <f>VLOOKUP(B55,Country_Data!B:Q,16,FALSE)</f>
        <v>Europe</v>
      </c>
      <c r="B55" s="3" t="s">
        <v>99</v>
      </c>
      <c r="C55">
        <f>SUMIF(DeadRaw!$B:$B,$B55,DeadRaw!E:E)</f>
        <v>0</v>
      </c>
      <c r="D55">
        <f>SUMIF(DeadRaw!$B:$B,$B55,DeadRaw!F:F)</f>
        <v>0</v>
      </c>
      <c r="E55">
        <f>SUMIF(DeadRaw!$B:$B,$B55,DeadRaw!G:G)</f>
        <v>0</v>
      </c>
      <c r="F55">
        <f>SUMIF(DeadRaw!$B:$B,$B55,DeadRaw!H:H)</f>
        <v>0</v>
      </c>
      <c r="G55">
        <f>SUMIF(DeadRaw!$B:$B,$B55,DeadRaw!I:I)</f>
        <v>0</v>
      </c>
      <c r="H55">
        <f>SUMIF(DeadRaw!$B:$B,$B55,DeadRaw!J:J)</f>
        <v>0</v>
      </c>
      <c r="I55">
        <f>SUMIF(DeadRaw!$B:$B,$B55,DeadRaw!K:K)</f>
        <v>0</v>
      </c>
      <c r="J55">
        <f>SUMIF(DeadRaw!$B:$B,$B55,DeadRaw!L:L)</f>
        <v>0</v>
      </c>
      <c r="K55">
        <f>SUMIF(DeadRaw!$B:$B,$B55,DeadRaw!M:M)</f>
        <v>0</v>
      </c>
      <c r="L55">
        <f>SUMIF(DeadRaw!$B:$B,$B55,DeadRaw!N:N)</f>
        <v>0</v>
      </c>
      <c r="M55">
        <f>SUMIF(DeadRaw!$B:$B,$B55,DeadRaw!O:O)</f>
        <v>0</v>
      </c>
      <c r="N55">
        <f>SUMIF(DeadRaw!$B:$B,$B55,DeadRaw!P:P)</f>
        <v>0</v>
      </c>
      <c r="O55">
        <f>SUMIF(DeadRaw!$B:$B,$B55,DeadRaw!Q:Q)</f>
        <v>0</v>
      </c>
      <c r="P55">
        <f>SUMIF(DeadRaw!$B:$B,$B55,DeadRaw!R:R)</f>
        <v>0</v>
      </c>
      <c r="Q55">
        <f>SUMIF(DeadRaw!$B:$B,$B55,DeadRaw!S:S)</f>
        <v>0</v>
      </c>
      <c r="R55">
        <f>SUMIF(DeadRaw!$B:$B,$B55,DeadRaw!T:T)</f>
        <v>0</v>
      </c>
      <c r="S55">
        <f>SUMIF(DeadRaw!$B:$B,$B55,DeadRaw!U:U)</f>
        <v>0</v>
      </c>
      <c r="T55">
        <f>SUMIF(DeadRaw!$B:$B,$B55,DeadRaw!V:V)</f>
        <v>0</v>
      </c>
      <c r="U55">
        <f>SUMIF(DeadRaw!$B:$B,$B55,DeadRaw!W:W)</f>
        <v>0</v>
      </c>
      <c r="V55">
        <f>SUMIF(DeadRaw!$B:$B,$B55,DeadRaw!X:X)</f>
        <v>0</v>
      </c>
      <c r="W55">
        <f>SUMIF(DeadRaw!$B:$B,$B55,DeadRaw!Y:Y)</f>
        <v>0</v>
      </c>
      <c r="X55">
        <f>SUMIF(DeadRaw!$B:$B,$B55,DeadRaw!Z:Z)</f>
        <v>0</v>
      </c>
      <c r="Y55">
        <f>SUMIF(DeadRaw!$B:$B,$B55,DeadRaw!AA:AA)</f>
        <v>0</v>
      </c>
      <c r="Z55">
        <f>SUMIF(DeadRaw!$B:$B,$B55,DeadRaw!AB:AB)</f>
        <v>0</v>
      </c>
      <c r="AA55">
        <f>SUMIF(DeadRaw!$B:$B,$B55,DeadRaw!AC:AC)</f>
        <v>0</v>
      </c>
      <c r="AB55">
        <f>SUMIF(DeadRaw!$B:$B,$B55,DeadRaw!AD:AD)</f>
        <v>0</v>
      </c>
      <c r="AC55">
        <f>SUMIF(DeadRaw!$B:$B,$B55,DeadRaw!AE:AE)</f>
        <v>0</v>
      </c>
      <c r="AD55">
        <f>SUMIF(DeadRaw!$B:$B,$B55,DeadRaw!AF:AF)</f>
        <v>0</v>
      </c>
      <c r="AE55">
        <f>SUMIF(DeadRaw!$B:$B,$B55,DeadRaw!AG:AG)</f>
        <v>0</v>
      </c>
      <c r="AF55">
        <f>SUMIF(DeadRaw!$B:$B,$B55,DeadRaw!AH:AH)</f>
        <v>0</v>
      </c>
      <c r="AG55">
        <f>SUMIF(DeadRaw!$B:$B,$B55,DeadRaw!AI:AI)</f>
        <v>0</v>
      </c>
      <c r="AH55">
        <f>SUMIF(DeadRaw!$B:$B,$B55,DeadRaw!AJ:AJ)</f>
        <v>0</v>
      </c>
      <c r="AI55">
        <f>SUMIF(DeadRaw!$B:$B,$B55,DeadRaw!AK:AK)</f>
        <v>0</v>
      </c>
      <c r="AJ55">
        <f>SUMIF(DeadRaw!$B:$B,$B55,DeadRaw!AL:AL)</f>
        <v>0</v>
      </c>
      <c r="AK55">
        <f>SUMIF(DeadRaw!$B:$B,$B55,DeadRaw!AM:AM)</f>
        <v>0</v>
      </c>
      <c r="AL55">
        <f>SUMIF(DeadRaw!$B:$B,$B55,DeadRaw!AN:AN)</f>
        <v>0</v>
      </c>
      <c r="AM55">
        <f>SUMIF(DeadRaw!$B:$B,$B55,DeadRaw!AO:AO)</f>
        <v>0</v>
      </c>
      <c r="AN55">
        <f>SUMIF(DeadRaw!$B:$B,$B55,DeadRaw!AP:AP)</f>
        <v>0</v>
      </c>
      <c r="AO55">
        <f>SUMIF(DeadRaw!$B:$B,$B55,DeadRaw!AQ:AQ)</f>
        <v>0</v>
      </c>
      <c r="AP55">
        <f>SUMIF(DeadRaw!$B:$B,$B55,DeadRaw!AR:AR)</f>
        <v>0</v>
      </c>
      <c r="AQ55">
        <f>SUMIF(DeadRaw!$B:$B,$B55,DeadRaw!AS:AS)</f>
        <v>0</v>
      </c>
      <c r="AR55">
        <f>SUMIF(DeadRaw!$B:$B,$B55,DeadRaw!AT:AT)</f>
        <v>0</v>
      </c>
      <c r="AS55">
        <f>SUMIF(DeadRaw!$B:$B,$B55,DeadRaw!AU:AU)</f>
        <v>0</v>
      </c>
      <c r="AT55">
        <f>SUMIF(DeadRaw!$B:$B,$B55,DeadRaw!AV:AV)</f>
        <v>0</v>
      </c>
      <c r="AU55">
        <f>SUMIF(DeadRaw!$B:$B,$B55,DeadRaw!AW:AW)</f>
        <v>0</v>
      </c>
      <c r="AV55">
        <f>SUMIF(DeadRaw!$B:$B,$B55,DeadRaw!AX:AX)</f>
        <v>0</v>
      </c>
      <c r="AW55">
        <f>SUMIF(DeadRaw!$B:$B,$B55,DeadRaw!AY:AY)</f>
        <v>0</v>
      </c>
      <c r="AX55">
        <f>SUMIF(DeadRaw!$B:$B,$B55,DeadRaw!AZ:AZ)</f>
        <v>0</v>
      </c>
      <c r="AY55">
        <f>SUMIF(DeadRaw!$B:$B,$B55,DeadRaw!BA:BA)</f>
        <v>0</v>
      </c>
      <c r="AZ55">
        <f>SUMIF(DeadRaw!$B:$B,$B55,DeadRaw!BB:BB)</f>
        <v>0</v>
      </c>
      <c r="BA55">
        <f>SUMIF(DeadRaw!$B:$B,$B55,DeadRaw!BC:BC)</f>
        <v>0</v>
      </c>
      <c r="BB55">
        <f>SUMIF(DeadRaw!$B:$B,$B55,DeadRaw!BD:BD)</f>
        <v>0</v>
      </c>
      <c r="BC55">
        <f>SUMIF(DeadRaw!$B:$B,$B55,DeadRaw!BE:BE)</f>
        <v>1</v>
      </c>
      <c r="BD55">
        <f>SUMIF(DeadRaw!$B:$B,$B55,DeadRaw!BF:BF)</f>
        <v>1</v>
      </c>
      <c r="BE55">
        <f>SUMIF(DeadRaw!$B:$B,$B55,DeadRaw!BG:BG)</f>
        <v>1</v>
      </c>
      <c r="BF55">
        <f>SUMIF(DeadRaw!$B:$B,$B55,DeadRaw!BH:BH)</f>
        <v>1</v>
      </c>
      <c r="BG55">
        <f>SUMIF(DeadRaw!$B:$B,$B55,DeadRaw!BI:BI)</f>
        <v>2</v>
      </c>
      <c r="BH55">
        <f>SUMIF(DeadRaw!$B:$B,$B55,DeadRaw!BJ:BJ)</f>
        <v>4</v>
      </c>
      <c r="BI55">
        <f>SUMIF(DeadRaw!$B:$B,$B55,DeadRaw!BK:BK)</f>
        <v>4</v>
      </c>
      <c r="BJ55">
        <f>SUMIF(DeadRaw!$B:$B,$B55,DeadRaw!BL:BL)</f>
        <v>8</v>
      </c>
      <c r="BK55">
        <f>SUMIF(DeadRaw!$B:$B,$B55,DeadRaw!BM:BM)</f>
        <v>8</v>
      </c>
      <c r="BL55">
        <f>SUMIF(DeadRaw!$B:$B,$B55,DeadRaw!BN:BN)</f>
        <v>8</v>
      </c>
      <c r="BM55">
        <f>SUMIF(DeadRaw!$B:$B,$B55,DeadRaw!BO:BO)</f>
        <v>8</v>
      </c>
      <c r="BN55">
        <f>SUMIF(DeadRaw!$B:$B,$B55,DeadRaw!BP:BP)</f>
        <v>8</v>
      </c>
      <c r="BO55">
        <f>SUMIF(DeadRaw!$B:$B,$B55,DeadRaw!BQ:BQ)</f>
        <v>9</v>
      </c>
      <c r="BP55">
        <f>SUMIF(DeadRaw!$B:$B,$B55,DeadRaw!BR:BR)</f>
        <v>15</v>
      </c>
      <c r="BQ55">
        <f>SUMIF(DeadRaw!$B:$B,$B55,DeadRaw!BS:BS)</f>
        <v>18</v>
      </c>
      <c r="BR55">
        <f>SUMIF(DeadRaw!$B:$B,$B55,DeadRaw!BT:BT)</f>
        <v>0</v>
      </c>
      <c r="BS55">
        <f>SUMIF(DeadRaw!$B:$B,$B55,DeadRaw!BU:BU)</f>
        <v>0</v>
      </c>
      <c r="BT55">
        <f>SUMIF(DeadRaw!$B:$B,$B55,DeadRaw!BV:BV)</f>
        <v>0</v>
      </c>
      <c r="BU55">
        <f>SUMIF(DeadRaw!$B:$B,$B55,DeadRaw!BW:BW)</f>
        <v>0</v>
      </c>
    </row>
    <row r="56" spans="1:73" ht="15" thickBot="1" x14ac:dyDescent="0.35">
      <c r="A56" s="97" t="str">
        <f>VLOOKUP(B56,Country_Data!B:Q,16,FALSE)</f>
        <v>Europe</v>
      </c>
      <c r="B56" s="4" t="s">
        <v>230</v>
      </c>
      <c r="C56">
        <f>SUMIF(DeadRaw!$B:$B,$B56,DeadRaw!E:E)</f>
        <v>0</v>
      </c>
      <c r="D56">
        <f>SUMIF(DeadRaw!$B:$B,$B56,DeadRaw!F:F)</f>
        <v>0</v>
      </c>
      <c r="E56">
        <f>SUMIF(DeadRaw!$B:$B,$B56,DeadRaw!G:G)</f>
        <v>0</v>
      </c>
      <c r="F56">
        <f>SUMIF(DeadRaw!$B:$B,$B56,DeadRaw!H:H)</f>
        <v>0</v>
      </c>
      <c r="G56">
        <f>SUMIF(DeadRaw!$B:$B,$B56,DeadRaw!I:I)</f>
        <v>0</v>
      </c>
      <c r="H56">
        <f>SUMIF(DeadRaw!$B:$B,$B56,DeadRaw!J:J)</f>
        <v>0</v>
      </c>
      <c r="I56">
        <f>SUMIF(DeadRaw!$B:$B,$B56,DeadRaw!K:K)</f>
        <v>0</v>
      </c>
      <c r="J56">
        <f>SUMIF(DeadRaw!$B:$B,$B56,DeadRaw!L:L)</f>
        <v>0</v>
      </c>
      <c r="K56">
        <f>SUMIF(DeadRaw!$B:$B,$B56,DeadRaw!M:M)</f>
        <v>0</v>
      </c>
      <c r="L56">
        <f>SUMIF(DeadRaw!$B:$B,$B56,DeadRaw!N:N)</f>
        <v>0</v>
      </c>
      <c r="M56">
        <f>SUMIF(DeadRaw!$B:$B,$B56,DeadRaw!O:O)</f>
        <v>0</v>
      </c>
      <c r="N56">
        <f>SUMIF(DeadRaw!$B:$B,$B56,DeadRaw!P:P)</f>
        <v>0</v>
      </c>
      <c r="O56">
        <f>SUMIF(DeadRaw!$B:$B,$B56,DeadRaw!Q:Q)</f>
        <v>0</v>
      </c>
      <c r="P56">
        <f>SUMIF(DeadRaw!$B:$B,$B56,DeadRaw!R:R)</f>
        <v>0</v>
      </c>
      <c r="Q56">
        <f>SUMIF(DeadRaw!$B:$B,$B56,DeadRaw!S:S)</f>
        <v>0</v>
      </c>
      <c r="R56">
        <f>SUMIF(DeadRaw!$B:$B,$B56,DeadRaw!T:T)</f>
        <v>0</v>
      </c>
      <c r="S56">
        <f>SUMIF(DeadRaw!$B:$B,$B56,DeadRaw!U:U)</f>
        <v>0</v>
      </c>
      <c r="T56">
        <f>SUMIF(DeadRaw!$B:$B,$B56,DeadRaw!V:V)</f>
        <v>0</v>
      </c>
      <c r="U56">
        <f>SUMIF(DeadRaw!$B:$B,$B56,DeadRaw!W:W)</f>
        <v>0</v>
      </c>
      <c r="V56">
        <f>SUMIF(DeadRaw!$B:$B,$B56,DeadRaw!X:X)</f>
        <v>0</v>
      </c>
      <c r="W56">
        <f>SUMIF(DeadRaw!$B:$B,$B56,DeadRaw!Y:Y)</f>
        <v>0</v>
      </c>
      <c r="X56">
        <f>SUMIF(DeadRaw!$B:$B,$B56,DeadRaw!Z:Z)</f>
        <v>0</v>
      </c>
      <c r="Y56">
        <f>SUMIF(DeadRaw!$B:$B,$B56,DeadRaw!AA:AA)</f>
        <v>0</v>
      </c>
      <c r="Z56">
        <f>SUMIF(DeadRaw!$B:$B,$B56,DeadRaw!AB:AB)</f>
        <v>0</v>
      </c>
      <c r="AA56">
        <f>SUMIF(DeadRaw!$B:$B,$B56,DeadRaw!AC:AC)</f>
        <v>0</v>
      </c>
      <c r="AB56">
        <f>SUMIF(DeadRaw!$B:$B,$B56,DeadRaw!AD:AD)</f>
        <v>0</v>
      </c>
      <c r="AC56">
        <f>SUMIF(DeadRaw!$B:$B,$B56,DeadRaw!AE:AE)</f>
        <v>0</v>
      </c>
      <c r="AD56">
        <f>SUMIF(DeadRaw!$B:$B,$B56,DeadRaw!AF:AF)</f>
        <v>0</v>
      </c>
      <c r="AE56">
        <f>SUMIF(DeadRaw!$B:$B,$B56,DeadRaw!AG:AG)</f>
        <v>0</v>
      </c>
      <c r="AF56">
        <f>SUMIF(DeadRaw!$B:$B,$B56,DeadRaw!AH:AH)</f>
        <v>0</v>
      </c>
      <c r="AG56">
        <f>SUMIF(DeadRaw!$B:$B,$B56,DeadRaw!AI:AI)</f>
        <v>0</v>
      </c>
      <c r="AH56">
        <f>SUMIF(DeadRaw!$B:$B,$B56,DeadRaw!AJ:AJ)</f>
        <v>0</v>
      </c>
      <c r="AI56">
        <f>SUMIF(DeadRaw!$B:$B,$B56,DeadRaw!AK:AK)</f>
        <v>0</v>
      </c>
      <c r="AJ56">
        <f>SUMIF(DeadRaw!$B:$B,$B56,DeadRaw!AL:AL)</f>
        <v>0</v>
      </c>
      <c r="AK56">
        <f>SUMIF(DeadRaw!$B:$B,$B56,DeadRaw!AM:AM)</f>
        <v>0</v>
      </c>
      <c r="AL56">
        <f>SUMIF(DeadRaw!$B:$B,$B56,DeadRaw!AN:AN)</f>
        <v>0</v>
      </c>
      <c r="AM56">
        <f>SUMIF(DeadRaw!$B:$B,$B56,DeadRaw!AO:AO)</f>
        <v>0</v>
      </c>
      <c r="AN56">
        <f>SUMIF(DeadRaw!$B:$B,$B56,DeadRaw!AP:AP)</f>
        <v>0</v>
      </c>
      <c r="AO56">
        <f>SUMIF(DeadRaw!$B:$B,$B56,DeadRaw!AQ:AQ)</f>
        <v>0</v>
      </c>
      <c r="AP56">
        <f>SUMIF(DeadRaw!$B:$B,$B56,DeadRaw!AR:AR)</f>
        <v>0</v>
      </c>
      <c r="AQ56">
        <f>SUMIF(DeadRaw!$B:$B,$B56,DeadRaw!AS:AS)</f>
        <v>0</v>
      </c>
      <c r="AR56">
        <f>SUMIF(DeadRaw!$B:$B,$B56,DeadRaw!AT:AT)</f>
        <v>0</v>
      </c>
      <c r="AS56">
        <f>SUMIF(DeadRaw!$B:$B,$B56,DeadRaw!AU:AU)</f>
        <v>0</v>
      </c>
      <c r="AT56">
        <f>SUMIF(DeadRaw!$B:$B,$B56,DeadRaw!AV:AV)</f>
        <v>0</v>
      </c>
      <c r="AU56">
        <f>SUMIF(DeadRaw!$B:$B,$B56,DeadRaw!AW:AW)</f>
        <v>0</v>
      </c>
      <c r="AV56">
        <f>SUMIF(DeadRaw!$B:$B,$B56,DeadRaw!AX:AX)</f>
        <v>0</v>
      </c>
      <c r="AW56">
        <f>SUMIF(DeadRaw!$B:$B,$B56,DeadRaw!AY:AY)</f>
        <v>0</v>
      </c>
      <c r="AX56">
        <f>SUMIF(DeadRaw!$B:$B,$B56,DeadRaw!AZ:AZ)</f>
        <v>0</v>
      </c>
      <c r="AY56">
        <f>SUMIF(DeadRaw!$B:$B,$B56,DeadRaw!BA:BA)</f>
        <v>0</v>
      </c>
      <c r="AZ56">
        <f>SUMIF(DeadRaw!$B:$B,$B56,DeadRaw!BB:BB)</f>
        <v>1</v>
      </c>
      <c r="BA56">
        <f>SUMIF(DeadRaw!$B:$B,$B56,DeadRaw!BC:BC)</f>
        <v>1</v>
      </c>
      <c r="BB56">
        <f>SUMIF(DeadRaw!$B:$B,$B56,DeadRaw!BD:BD)</f>
        <v>1</v>
      </c>
      <c r="BC56">
        <f>SUMIF(DeadRaw!$B:$B,$B56,DeadRaw!BE:BE)</f>
        <v>1</v>
      </c>
      <c r="BD56">
        <f>SUMIF(DeadRaw!$B:$B,$B56,DeadRaw!BF:BF)</f>
        <v>1</v>
      </c>
      <c r="BE56">
        <f>SUMIF(DeadRaw!$B:$B,$B56,DeadRaw!BG:BG)</f>
        <v>1</v>
      </c>
      <c r="BF56">
        <f>SUMIF(DeadRaw!$B:$B,$B56,DeadRaw!BH:BH)</f>
        <v>1</v>
      </c>
      <c r="BG56">
        <f>SUMIF(DeadRaw!$B:$B,$B56,DeadRaw!BI:BI)</f>
        <v>2</v>
      </c>
      <c r="BH56">
        <f>SUMIF(DeadRaw!$B:$B,$B56,DeadRaw!BJ:BJ)</f>
        <v>2</v>
      </c>
      <c r="BI56">
        <f>SUMIF(DeadRaw!$B:$B,$B56,DeadRaw!BK:BK)</f>
        <v>2</v>
      </c>
      <c r="BJ56">
        <f>SUMIF(DeadRaw!$B:$B,$B56,DeadRaw!BL:BL)</f>
        <v>2</v>
      </c>
      <c r="BK56">
        <f>SUMIF(DeadRaw!$B:$B,$B56,DeadRaw!BM:BM)</f>
        <v>2</v>
      </c>
      <c r="BL56">
        <f>SUMIF(DeadRaw!$B:$B,$B56,DeadRaw!BN:BN)</f>
        <v>4</v>
      </c>
      <c r="BM56">
        <f>SUMIF(DeadRaw!$B:$B,$B56,DeadRaw!BO:BO)</f>
        <v>5</v>
      </c>
      <c r="BN56">
        <f>SUMIF(DeadRaw!$B:$B,$B56,DeadRaw!BP:BP)</f>
        <v>5</v>
      </c>
      <c r="BO56">
        <f>SUMIF(DeadRaw!$B:$B,$B56,DeadRaw!BQ:BQ)</f>
        <v>6</v>
      </c>
      <c r="BP56">
        <f>SUMIF(DeadRaw!$B:$B,$B56,DeadRaw!BR:BR)</f>
        <v>8</v>
      </c>
      <c r="BQ56">
        <f>SUMIF(DeadRaw!$B:$B,$B56,DeadRaw!BS:BS)</f>
        <v>10</v>
      </c>
      <c r="BR56">
        <f>SUMIF(DeadRaw!$B:$B,$B56,DeadRaw!BT:BT)</f>
        <v>0</v>
      </c>
      <c r="BS56">
        <f>SUMIF(DeadRaw!$B:$B,$B56,DeadRaw!BU:BU)</f>
        <v>0</v>
      </c>
      <c r="BT56">
        <f>SUMIF(DeadRaw!$B:$B,$B56,DeadRaw!BV:BV)</f>
        <v>0</v>
      </c>
      <c r="BU56">
        <f>SUMIF(DeadRaw!$B:$B,$B56,DeadRaw!BW:BW)</f>
        <v>0</v>
      </c>
    </row>
    <row r="57" spans="1:73" ht="15" thickBot="1" x14ac:dyDescent="0.35">
      <c r="A57" s="97" t="str">
        <f>VLOOKUP(B57,Country_Data!B:Q,16,FALSE)</f>
        <v>Europe</v>
      </c>
      <c r="B57" s="3" t="s">
        <v>76</v>
      </c>
      <c r="C57">
        <f>SUMIF(DeadRaw!$B:$B,$B57,DeadRaw!E:E)</f>
        <v>0</v>
      </c>
      <c r="D57">
        <f>SUMIF(DeadRaw!$B:$B,$B57,DeadRaw!F:F)</f>
        <v>0</v>
      </c>
      <c r="E57">
        <f>SUMIF(DeadRaw!$B:$B,$B57,DeadRaw!G:G)</f>
        <v>0</v>
      </c>
      <c r="F57">
        <f>SUMIF(DeadRaw!$B:$B,$B57,DeadRaw!H:H)</f>
        <v>0</v>
      </c>
      <c r="G57">
        <f>SUMIF(DeadRaw!$B:$B,$B57,DeadRaw!I:I)</f>
        <v>0</v>
      </c>
      <c r="H57">
        <f>SUMIF(DeadRaw!$B:$B,$B57,DeadRaw!J:J)</f>
        <v>0</v>
      </c>
      <c r="I57">
        <f>SUMIF(DeadRaw!$B:$B,$B57,DeadRaw!K:K)</f>
        <v>0</v>
      </c>
      <c r="J57">
        <f>SUMIF(DeadRaw!$B:$B,$B57,DeadRaw!L:L)</f>
        <v>0</v>
      </c>
      <c r="K57">
        <f>SUMIF(DeadRaw!$B:$B,$B57,DeadRaw!M:M)</f>
        <v>0</v>
      </c>
      <c r="L57">
        <f>SUMIF(DeadRaw!$B:$B,$B57,DeadRaw!N:N)</f>
        <v>0</v>
      </c>
      <c r="M57">
        <f>SUMIF(DeadRaw!$B:$B,$B57,DeadRaw!O:O)</f>
        <v>0</v>
      </c>
      <c r="N57">
        <f>SUMIF(DeadRaw!$B:$B,$B57,DeadRaw!P:P)</f>
        <v>0</v>
      </c>
      <c r="O57">
        <f>SUMIF(DeadRaw!$B:$B,$B57,DeadRaw!Q:Q)</f>
        <v>0</v>
      </c>
      <c r="P57">
        <f>SUMIF(DeadRaw!$B:$B,$B57,DeadRaw!R:R)</f>
        <v>0</v>
      </c>
      <c r="Q57">
        <f>SUMIF(DeadRaw!$B:$B,$B57,DeadRaw!S:S)</f>
        <v>0</v>
      </c>
      <c r="R57">
        <f>SUMIF(DeadRaw!$B:$B,$B57,DeadRaw!T:T)</f>
        <v>0</v>
      </c>
      <c r="S57">
        <f>SUMIF(DeadRaw!$B:$B,$B57,DeadRaw!U:U)</f>
        <v>0</v>
      </c>
      <c r="T57">
        <f>SUMIF(DeadRaw!$B:$B,$B57,DeadRaw!V:V)</f>
        <v>0</v>
      </c>
      <c r="U57">
        <f>SUMIF(DeadRaw!$B:$B,$B57,DeadRaw!W:W)</f>
        <v>0</v>
      </c>
      <c r="V57">
        <f>SUMIF(DeadRaw!$B:$B,$B57,DeadRaw!X:X)</f>
        <v>0</v>
      </c>
      <c r="W57">
        <f>SUMIF(DeadRaw!$B:$B,$B57,DeadRaw!Y:Y)</f>
        <v>0</v>
      </c>
      <c r="X57">
        <f>SUMIF(DeadRaw!$B:$B,$B57,DeadRaw!Z:Z)</f>
        <v>0</v>
      </c>
      <c r="Y57">
        <f>SUMIF(DeadRaw!$B:$B,$B57,DeadRaw!AA:AA)</f>
        <v>0</v>
      </c>
      <c r="Z57">
        <f>SUMIF(DeadRaw!$B:$B,$B57,DeadRaw!AB:AB)</f>
        <v>0</v>
      </c>
      <c r="AA57">
        <f>SUMIF(DeadRaw!$B:$B,$B57,DeadRaw!AC:AC)</f>
        <v>0</v>
      </c>
      <c r="AB57">
        <f>SUMIF(DeadRaw!$B:$B,$B57,DeadRaw!AD:AD)</f>
        <v>0</v>
      </c>
      <c r="AC57">
        <f>SUMIF(DeadRaw!$B:$B,$B57,DeadRaw!AE:AE)</f>
        <v>0</v>
      </c>
      <c r="AD57">
        <f>SUMIF(DeadRaw!$B:$B,$B57,DeadRaw!AF:AF)</f>
        <v>0</v>
      </c>
      <c r="AE57">
        <f>SUMIF(DeadRaw!$B:$B,$B57,DeadRaw!AG:AG)</f>
        <v>0</v>
      </c>
      <c r="AF57">
        <f>SUMIF(DeadRaw!$B:$B,$B57,DeadRaw!AH:AH)</f>
        <v>0</v>
      </c>
      <c r="AG57">
        <f>SUMIF(DeadRaw!$B:$B,$B57,DeadRaw!AI:AI)</f>
        <v>0</v>
      </c>
      <c r="AH57">
        <f>SUMIF(DeadRaw!$B:$B,$B57,DeadRaw!AJ:AJ)</f>
        <v>0</v>
      </c>
      <c r="AI57">
        <f>SUMIF(DeadRaw!$B:$B,$B57,DeadRaw!AK:AK)</f>
        <v>0</v>
      </c>
      <c r="AJ57">
        <f>SUMIF(DeadRaw!$B:$B,$B57,DeadRaw!AL:AL)</f>
        <v>0</v>
      </c>
      <c r="AK57">
        <f>SUMIF(DeadRaw!$B:$B,$B57,DeadRaw!AM:AM)</f>
        <v>0</v>
      </c>
      <c r="AL57">
        <f>SUMIF(DeadRaw!$B:$B,$B57,DeadRaw!AN:AN)</f>
        <v>0</v>
      </c>
      <c r="AM57">
        <f>SUMIF(DeadRaw!$B:$B,$B57,DeadRaw!AO:AO)</f>
        <v>0</v>
      </c>
      <c r="AN57">
        <f>SUMIF(DeadRaw!$B:$B,$B57,DeadRaw!AP:AP)</f>
        <v>0</v>
      </c>
      <c r="AO57">
        <f>SUMIF(DeadRaw!$B:$B,$B57,DeadRaw!AQ:AQ)</f>
        <v>0</v>
      </c>
      <c r="AP57">
        <f>SUMIF(DeadRaw!$B:$B,$B57,DeadRaw!AR:AR)</f>
        <v>0</v>
      </c>
      <c r="AQ57">
        <f>SUMIF(DeadRaw!$B:$B,$B57,DeadRaw!AS:AS)</f>
        <v>0</v>
      </c>
      <c r="AR57">
        <f>SUMIF(DeadRaw!$B:$B,$B57,DeadRaw!AT:AT)</f>
        <v>0</v>
      </c>
      <c r="AS57">
        <f>SUMIF(DeadRaw!$B:$B,$B57,DeadRaw!AU:AU)</f>
        <v>0</v>
      </c>
      <c r="AT57">
        <f>SUMIF(DeadRaw!$B:$B,$B57,DeadRaw!AV:AV)</f>
        <v>0</v>
      </c>
      <c r="AU57">
        <f>SUMIF(DeadRaw!$B:$B,$B57,DeadRaw!AW:AW)</f>
        <v>0</v>
      </c>
      <c r="AV57">
        <f>SUMIF(DeadRaw!$B:$B,$B57,DeadRaw!AX:AX)</f>
        <v>0</v>
      </c>
      <c r="AW57">
        <f>SUMIF(DeadRaw!$B:$B,$B57,DeadRaw!AY:AY)</f>
        <v>0</v>
      </c>
      <c r="AX57">
        <f>SUMIF(DeadRaw!$B:$B,$B57,DeadRaw!AZ:AZ)</f>
        <v>0</v>
      </c>
      <c r="AY57">
        <f>SUMIF(DeadRaw!$B:$B,$B57,DeadRaw!BA:BA)</f>
        <v>0</v>
      </c>
      <c r="AZ57">
        <f>SUMIF(DeadRaw!$B:$B,$B57,DeadRaw!BB:BB)</f>
        <v>0</v>
      </c>
      <c r="BA57">
        <f>SUMIF(DeadRaw!$B:$B,$B57,DeadRaw!BC:BC)</f>
        <v>0</v>
      </c>
      <c r="BB57">
        <f>SUMIF(DeadRaw!$B:$B,$B57,DeadRaw!BD:BD)</f>
        <v>0</v>
      </c>
      <c r="BC57">
        <f>SUMIF(DeadRaw!$B:$B,$B57,DeadRaw!BE:BE)</f>
        <v>0</v>
      </c>
      <c r="BD57">
        <f>SUMIF(DeadRaw!$B:$B,$B57,DeadRaw!BF:BF)</f>
        <v>0</v>
      </c>
      <c r="BE57">
        <f>SUMIF(DeadRaw!$B:$B,$B57,DeadRaw!BG:BG)</f>
        <v>0</v>
      </c>
      <c r="BF57">
        <f>SUMIF(DeadRaw!$B:$B,$B57,DeadRaw!BH:BH)</f>
        <v>0</v>
      </c>
      <c r="BG57">
        <f>SUMIF(DeadRaw!$B:$B,$B57,DeadRaw!BI:BI)</f>
        <v>0</v>
      </c>
      <c r="BH57">
        <f>SUMIF(DeadRaw!$B:$B,$B57,DeadRaw!BJ:BJ)</f>
        <v>1</v>
      </c>
      <c r="BI57">
        <f>SUMIF(DeadRaw!$B:$B,$B57,DeadRaw!BK:BK)</f>
        <v>1</v>
      </c>
      <c r="BJ57">
        <f>SUMIF(DeadRaw!$B:$B,$B57,DeadRaw!BL:BL)</f>
        <v>1</v>
      </c>
      <c r="BK57">
        <f>SUMIF(DeadRaw!$B:$B,$B57,DeadRaw!BM:BM)</f>
        <v>1</v>
      </c>
      <c r="BL57">
        <f>SUMIF(DeadRaw!$B:$B,$B57,DeadRaw!BN:BN)</f>
        <v>1</v>
      </c>
      <c r="BM57">
        <f>SUMIF(DeadRaw!$B:$B,$B57,DeadRaw!BO:BO)</f>
        <v>1</v>
      </c>
      <c r="BN57">
        <f>SUMIF(DeadRaw!$B:$B,$B57,DeadRaw!BP:BP)</f>
        <v>1</v>
      </c>
      <c r="BO57">
        <f>SUMIF(DeadRaw!$B:$B,$B57,DeadRaw!BQ:BQ)</f>
        <v>3</v>
      </c>
      <c r="BP57">
        <f>SUMIF(DeadRaw!$B:$B,$B57,DeadRaw!BR:BR)</f>
        <v>3</v>
      </c>
      <c r="BQ57">
        <f>SUMIF(DeadRaw!$B:$B,$B57,DeadRaw!BS:BS)</f>
        <v>5</v>
      </c>
      <c r="BR57">
        <f>SUMIF(DeadRaw!$B:$B,$B57,DeadRaw!BT:BT)</f>
        <v>0</v>
      </c>
      <c r="BS57">
        <f>SUMIF(DeadRaw!$B:$B,$B57,DeadRaw!BU:BU)</f>
        <v>0</v>
      </c>
      <c r="BT57">
        <f>SUMIF(DeadRaw!$B:$B,$B57,DeadRaw!BV:BV)</f>
        <v>0</v>
      </c>
      <c r="BU57">
        <f>SUMIF(DeadRaw!$B:$B,$B57,DeadRaw!BW:BW)</f>
        <v>0</v>
      </c>
    </row>
    <row r="58" spans="1:73" ht="15" thickBot="1" x14ac:dyDescent="0.35">
      <c r="A58" s="97" t="str">
        <f>VLOOKUP(B58,Country_Data!B:Q,16,FALSE)</f>
        <v>Europe</v>
      </c>
      <c r="B58" s="4" t="s">
        <v>162</v>
      </c>
      <c r="C58">
        <f>SUMIF(DeadRaw!$B:$B,$B58,DeadRaw!E:E)</f>
        <v>0</v>
      </c>
      <c r="D58">
        <f>SUMIF(DeadRaw!$B:$B,$B58,DeadRaw!F:F)</f>
        <v>0</v>
      </c>
      <c r="E58">
        <f>SUMIF(DeadRaw!$B:$B,$B58,DeadRaw!G:G)</f>
        <v>0</v>
      </c>
      <c r="F58">
        <f>SUMIF(DeadRaw!$B:$B,$B58,DeadRaw!H:H)</f>
        <v>0</v>
      </c>
      <c r="G58">
        <f>SUMIF(DeadRaw!$B:$B,$B58,DeadRaw!I:I)</f>
        <v>0</v>
      </c>
      <c r="H58">
        <f>SUMIF(DeadRaw!$B:$B,$B58,DeadRaw!J:J)</f>
        <v>0</v>
      </c>
      <c r="I58">
        <f>SUMIF(DeadRaw!$B:$B,$B58,DeadRaw!K:K)</f>
        <v>0</v>
      </c>
      <c r="J58">
        <f>SUMIF(DeadRaw!$B:$B,$B58,DeadRaw!L:L)</f>
        <v>0</v>
      </c>
      <c r="K58">
        <f>SUMIF(DeadRaw!$B:$B,$B58,DeadRaw!M:M)</f>
        <v>0</v>
      </c>
      <c r="L58">
        <f>SUMIF(DeadRaw!$B:$B,$B58,DeadRaw!N:N)</f>
        <v>0</v>
      </c>
      <c r="M58">
        <f>SUMIF(DeadRaw!$B:$B,$B58,DeadRaw!O:O)</f>
        <v>0</v>
      </c>
      <c r="N58">
        <f>SUMIF(DeadRaw!$B:$B,$B58,DeadRaw!P:P)</f>
        <v>0</v>
      </c>
      <c r="O58">
        <f>SUMIF(DeadRaw!$B:$B,$B58,DeadRaw!Q:Q)</f>
        <v>0</v>
      </c>
      <c r="P58">
        <f>SUMIF(DeadRaw!$B:$B,$B58,DeadRaw!R:R)</f>
        <v>0</v>
      </c>
      <c r="Q58">
        <f>SUMIF(DeadRaw!$B:$B,$B58,DeadRaw!S:S)</f>
        <v>0</v>
      </c>
      <c r="R58">
        <f>SUMIF(DeadRaw!$B:$B,$B58,DeadRaw!T:T)</f>
        <v>0</v>
      </c>
      <c r="S58">
        <f>SUMIF(DeadRaw!$B:$B,$B58,DeadRaw!U:U)</f>
        <v>0</v>
      </c>
      <c r="T58">
        <f>SUMIF(DeadRaw!$B:$B,$B58,DeadRaw!V:V)</f>
        <v>0</v>
      </c>
      <c r="U58">
        <f>SUMIF(DeadRaw!$B:$B,$B58,DeadRaw!W:W)</f>
        <v>0</v>
      </c>
      <c r="V58">
        <f>SUMIF(DeadRaw!$B:$B,$B58,DeadRaw!X:X)</f>
        <v>0</v>
      </c>
      <c r="W58">
        <f>SUMIF(DeadRaw!$B:$B,$B58,DeadRaw!Y:Y)</f>
        <v>0</v>
      </c>
      <c r="X58">
        <f>SUMIF(DeadRaw!$B:$B,$B58,DeadRaw!Z:Z)</f>
        <v>0</v>
      </c>
      <c r="Y58">
        <f>SUMIF(DeadRaw!$B:$B,$B58,DeadRaw!AA:AA)</f>
        <v>0</v>
      </c>
      <c r="Z58">
        <f>SUMIF(DeadRaw!$B:$B,$B58,DeadRaw!AB:AB)</f>
        <v>0</v>
      </c>
      <c r="AA58">
        <f>SUMIF(DeadRaw!$B:$B,$B58,DeadRaw!AC:AC)</f>
        <v>0</v>
      </c>
      <c r="AB58">
        <f>SUMIF(DeadRaw!$B:$B,$B58,DeadRaw!AD:AD)</f>
        <v>0</v>
      </c>
      <c r="AC58">
        <f>SUMIF(DeadRaw!$B:$B,$B58,DeadRaw!AE:AE)</f>
        <v>0</v>
      </c>
      <c r="AD58">
        <f>SUMIF(DeadRaw!$B:$B,$B58,DeadRaw!AF:AF)</f>
        <v>0</v>
      </c>
      <c r="AE58">
        <f>SUMIF(DeadRaw!$B:$B,$B58,DeadRaw!AG:AG)</f>
        <v>0</v>
      </c>
      <c r="AF58">
        <f>SUMIF(DeadRaw!$B:$B,$B58,DeadRaw!AH:AH)</f>
        <v>0</v>
      </c>
      <c r="AG58">
        <f>SUMIF(DeadRaw!$B:$B,$B58,DeadRaw!AI:AI)</f>
        <v>0</v>
      </c>
      <c r="AH58">
        <f>SUMIF(DeadRaw!$B:$B,$B58,DeadRaw!AJ:AJ)</f>
        <v>0</v>
      </c>
      <c r="AI58">
        <f>SUMIF(DeadRaw!$B:$B,$B58,DeadRaw!AK:AK)</f>
        <v>0</v>
      </c>
      <c r="AJ58">
        <f>SUMIF(DeadRaw!$B:$B,$B58,DeadRaw!AL:AL)</f>
        <v>0</v>
      </c>
      <c r="AK58">
        <f>SUMIF(DeadRaw!$B:$B,$B58,DeadRaw!AM:AM)</f>
        <v>0</v>
      </c>
      <c r="AL58">
        <f>SUMIF(DeadRaw!$B:$B,$B58,DeadRaw!AN:AN)</f>
        <v>0</v>
      </c>
      <c r="AM58">
        <f>SUMIF(DeadRaw!$B:$B,$B58,DeadRaw!AO:AO)</f>
        <v>0</v>
      </c>
      <c r="AN58">
        <f>SUMIF(DeadRaw!$B:$B,$B58,DeadRaw!AP:AP)</f>
        <v>0</v>
      </c>
      <c r="AO58">
        <f>SUMIF(DeadRaw!$B:$B,$B58,DeadRaw!AQ:AQ)</f>
        <v>0</v>
      </c>
      <c r="AP58">
        <f>SUMIF(DeadRaw!$B:$B,$B58,DeadRaw!AR:AR)</f>
        <v>0</v>
      </c>
      <c r="AQ58">
        <f>SUMIF(DeadRaw!$B:$B,$B58,DeadRaw!AS:AS)</f>
        <v>0</v>
      </c>
      <c r="AR58">
        <f>SUMIF(DeadRaw!$B:$B,$B58,DeadRaw!AT:AT)</f>
        <v>0</v>
      </c>
      <c r="AS58">
        <f>SUMIF(DeadRaw!$B:$B,$B58,DeadRaw!AU:AU)</f>
        <v>0</v>
      </c>
      <c r="AT58">
        <f>SUMIF(DeadRaw!$B:$B,$B58,DeadRaw!AV:AV)</f>
        <v>0</v>
      </c>
      <c r="AU58">
        <f>SUMIF(DeadRaw!$B:$B,$B58,DeadRaw!AW:AW)</f>
        <v>0</v>
      </c>
      <c r="AV58">
        <f>SUMIF(DeadRaw!$B:$B,$B58,DeadRaw!AX:AX)</f>
        <v>0</v>
      </c>
      <c r="AW58">
        <f>SUMIF(DeadRaw!$B:$B,$B58,DeadRaw!AY:AY)</f>
        <v>0</v>
      </c>
      <c r="AX58">
        <f>SUMIF(DeadRaw!$B:$B,$B58,DeadRaw!AZ:AZ)</f>
        <v>0</v>
      </c>
      <c r="AY58">
        <f>SUMIF(DeadRaw!$B:$B,$B58,DeadRaw!BA:BA)</f>
        <v>0</v>
      </c>
      <c r="AZ58">
        <f>SUMIF(DeadRaw!$B:$B,$B58,DeadRaw!BB:BB)</f>
        <v>0</v>
      </c>
      <c r="BA58">
        <f>SUMIF(DeadRaw!$B:$B,$B58,DeadRaw!BC:BC)</f>
        <v>0</v>
      </c>
      <c r="BB58">
        <f>SUMIF(DeadRaw!$B:$B,$B58,DeadRaw!BD:BD)</f>
        <v>0</v>
      </c>
      <c r="BC58">
        <f>SUMIF(DeadRaw!$B:$B,$B58,DeadRaw!BE:BE)</f>
        <v>0</v>
      </c>
      <c r="BD58">
        <f>SUMIF(DeadRaw!$B:$B,$B58,DeadRaw!BF:BF)</f>
        <v>0</v>
      </c>
      <c r="BE58">
        <f>SUMIF(DeadRaw!$B:$B,$B58,DeadRaw!BG:BG)</f>
        <v>0</v>
      </c>
      <c r="BF58">
        <f>SUMIF(DeadRaw!$B:$B,$B58,DeadRaw!BH:BH)</f>
        <v>0</v>
      </c>
      <c r="BG58">
        <f>SUMIF(DeadRaw!$B:$B,$B58,DeadRaw!BI:BI)</f>
        <v>1</v>
      </c>
      <c r="BH58">
        <f>SUMIF(DeadRaw!$B:$B,$B58,DeadRaw!BJ:BJ)</f>
        <v>1</v>
      </c>
      <c r="BI58">
        <f>SUMIF(DeadRaw!$B:$B,$B58,DeadRaw!BK:BK)</f>
        <v>1</v>
      </c>
      <c r="BJ58">
        <f>SUMIF(DeadRaw!$B:$B,$B58,DeadRaw!BL:BL)</f>
        <v>1</v>
      </c>
      <c r="BK58">
        <f>SUMIF(DeadRaw!$B:$B,$B58,DeadRaw!BM:BM)</f>
        <v>0</v>
      </c>
      <c r="BL58">
        <f>SUMIF(DeadRaw!$B:$B,$B58,DeadRaw!BN:BN)</f>
        <v>0</v>
      </c>
      <c r="BM58">
        <f>SUMIF(DeadRaw!$B:$B,$B58,DeadRaw!BO:BO)</f>
        <v>0</v>
      </c>
      <c r="BN58">
        <f>SUMIF(DeadRaw!$B:$B,$B58,DeadRaw!BP:BP)</f>
        <v>0</v>
      </c>
      <c r="BO58">
        <f>SUMIF(DeadRaw!$B:$B,$B58,DeadRaw!BQ:BQ)</f>
        <v>0</v>
      </c>
      <c r="BP58">
        <f>SUMIF(DeadRaw!$B:$B,$B58,DeadRaw!BR:BR)</f>
        <v>0</v>
      </c>
      <c r="BQ58">
        <f>SUMIF(DeadRaw!$B:$B,$B58,DeadRaw!BS:BS)</f>
        <v>0</v>
      </c>
      <c r="BR58">
        <f>SUMIF(DeadRaw!$B:$B,$B58,DeadRaw!BT:BT)</f>
        <v>0</v>
      </c>
      <c r="BS58">
        <f>SUMIF(DeadRaw!$B:$B,$B58,DeadRaw!BU:BU)</f>
        <v>0</v>
      </c>
      <c r="BT58">
        <f>SUMIF(DeadRaw!$B:$B,$B58,DeadRaw!BV:BV)</f>
        <v>0</v>
      </c>
      <c r="BU58">
        <f>SUMIF(DeadRaw!$B:$B,$B58,DeadRaw!BW:BW)</f>
        <v>0</v>
      </c>
    </row>
    <row r="59" spans="1:73" ht="15" thickBot="1" x14ac:dyDescent="0.35">
      <c r="A59" s="97" t="str">
        <f>VLOOKUP(B59,Country_Data!B:Q,16,FALSE)</f>
        <v>South America</v>
      </c>
      <c r="B59" s="4" t="s">
        <v>123</v>
      </c>
      <c r="C59">
        <f>SUMIF(DeadRaw!$B:$B,$B59,DeadRaw!E:E)</f>
        <v>0</v>
      </c>
      <c r="D59">
        <f>SUMIF(DeadRaw!$B:$B,$B59,DeadRaw!F:F)</f>
        <v>0</v>
      </c>
      <c r="E59">
        <f>SUMIF(DeadRaw!$B:$B,$B59,DeadRaw!G:G)</f>
        <v>0</v>
      </c>
      <c r="F59">
        <f>SUMIF(DeadRaw!$B:$B,$B59,DeadRaw!H:H)</f>
        <v>0</v>
      </c>
      <c r="G59">
        <f>SUMIF(DeadRaw!$B:$B,$B59,DeadRaw!I:I)</f>
        <v>0</v>
      </c>
      <c r="H59">
        <f>SUMIF(DeadRaw!$B:$B,$B59,DeadRaw!J:J)</f>
        <v>0</v>
      </c>
      <c r="I59">
        <f>SUMIF(DeadRaw!$B:$B,$B59,DeadRaw!K:K)</f>
        <v>0</v>
      </c>
      <c r="J59">
        <f>SUMIF(DeadRaw!$B:$B,$B59,DeadRaw!L:L)</f>
        <v>0</v>
      </c>
      <c r="K59">
        <f>SUMIF(DeadRaw!$B:$B,$B59,DeadRaw!M:M)</f>
        <v>0</v>
      </c>
      <c r="L59">
        <f>SUMIF(DeadRaw!$B:$B,$B59,DeadRaw!N:N)</f>
        <v>0</v>
      </c>
      <c r="M59">
        <f>SUMIF(DeadRaw!$B:$B,$B59,DeadRaw!O:O)</f>
        <v>0</v>
      </c>
      <c r="N59">
        <f>SUMIF(DeadRaw!$B:$B,$B59,DeadRaw!P:P)</f>
        <v>0</v>
      </c>
      <c r="O59">
        <f>SUMIF(DeadRaw!$B:$B,$B59,DeadRaw!Q:Q)</f>
        <v>0</v>
      </c>
      <c r="P59">
        <f>SUMIF(DeadRaw!$B:$B,$B59,DeadRaw!R:R)</f>
        <v>0</v>
      </c>
      <c r="Q59">
        <f>SUMIF(DeadRaw!$B:$B,$B59,DeadRaw!S:S)</f>
        <v>0</v>
      </c>
      <c r="R59">
        <f>SUMIF(DeadRaw!$B:$B,$B59,DeadRaw!T:T)</f>
        <v>0</v>
      </c>
      <c r="S59">
        <f>SUMIF(DeadRaw!$B:$B,$B59,DeadRaw!U:U)</f>
        <v>0</v>
      </c>
      <c r="T59">
        <f>SUMIF(DeadRaw!$B:$B,$B59,DeadRaw!V:V)</f>
        <v>0</v>
      </c>
      <c r="U59">
        <f>SUMIF(DeadRaw!$B:$B,$B59,DeadRaw!W:W)</f>
        <v>0</v>
      </c>
      <c r="V59">
        <f>SUMIF(DeadRaw!$B:$B,$B59,DeadRaw!X:X)</f>
        <v>0</v>
      </c>
      <c r="W59">
        <f>SUMIF(DeadRaw!$B:$B,$B59,DeadRaw!Y:Y)</f>
        <v>0</v>
      </c>
      <c r="X59">
        <f>SUMIF(DeadRaw!$B:$B,$B59,DeadRaw!Z:Z)</f>
        <v>0</v>
      </c>
      <c r="Y59">
        <f>SUMIF(DeadRaw!$B:$B,$B59,DeadRaw!AA:AA)</f>
        <v>0</v>
      </c>
      <c r="Z59">
        <f>SUMIF(DeadRaw!$B:$B,$B59,DeadRaw!AB:AB)</f>
        <v>0</v>
      </c>
      <c r="AA59">
        <f>SUMIF(DeadRaw!$B:$B,$B59,DeadRaw!AC:AC)</f>
        <v>0</v>
      </c>
      <c r="AB59">
        <f>SUMIF(DeadRaw!$B:$B,$B59,DeadRaw!AD:AD)</f>
        <v>0</v>
      </c>
      <c r="AC59">
        <f>SUMIF(DeadRaw!$B:$B,$B59,DeadRaw!AE:AE)</f>
        <v>0</v>
      </c>
      <c r="AD59">
        <f>SUMIF(DeadRaw!$B:$B,$B59,DeadRaw!AF:AF)</f>
        <v>0</v>
      </c>
      <c r="AE59">
        <f>SUMIF(DeadRaw!$B:$B,$B59,DeadRaw!AG:AG)</f>
        <v>0</v>
      </c>
      <c r="AF59">
        <f>SUMIF(DeadRaw!$B:$B,$B59,DeadRaw!AH:AH)</f>
        <v>0</v>
      </c>
      <c r="AG59">
        <f>SUMIF(DeadRaw!$B:$B,$B59,DeadRaw!AI:AI)</f>
        <v>0</v>
      </c>
      <c r="AH59">
        <f>SUMIF(DeadRaw!$B:$B,$B59,DeadRaw!AJ:AJ)</f>
        <v>0</v>
      </c>
      <c r="AI59">
        <f>SUMIF(DeadRaw!$B:$B,$B59,DeadRaw!AK:AK)</f>
        <v>0</v>
      </c>
      <c r="AJ59">
        <f>SUMIF(DeadRaw!$B:$B,$B59,DeadRaw!AL:AL)</f>
        <v>0</v>
      </c>
      <c r="AK59">
        <f>SUMIF(DeadRaw!$B:$B,$B59,DeadRaw!AM:AM)</f>
        <v>0</v>
      </c>
      <c r="AL59">
        <f>SUMIF(DeadRaw!$B:$B,$B59,DeadRaw!AN:AN)</f>
        <v>0</v>
      </c>
      <c r="AM59">
        <f>SUMIF(DeadRaw!$B:$B,$B59,DeadRaw!AO:AO)</f>
        <v>0</v>
      </c>
      <c r="AN59">
        <f>SUMIF(DeadRaw!$B:$B,$B59,DeadRaw!AP:AP)</f>
        <v>0</v>
      </c>
      <c r="AO59">
        <f>SUMIF(DeadRaw!$B:$B,$B59,DeadRaw!AQ:AQ)</f>
        <v>0</v>
      </c>
      <c r="AP59">
        <f>SUMIF(DeadRaw!$B:$B,$B59,DeadRaw!AR:AR)</f>
        <v>0</v>
      </c>
      <c r="AQ59">
        <f>SUMIF(DeadRaw!$B:$B,$B59,DeadRaw!AS:AS)</f>
        <v>0</v>
      </c>
      <c r="AR59">
        <f>SUMIF(DeadRaw!$B:$B,$B59,DeadRaw!AT:AT)</f>
        <v>0</v>
      </c>
      <c r="AS59">
        <f>SUMIF(DeadRaw!$B:$B,$B59,DeadRaw!AU:AU)</f>
        <v>0</v>
      </c>
      <c r="AT59">
        <f>SUMIF(DeadRaw!$B:$B,$B59,DeadRaw!AV:AV)</f>
        <v>0</v>
      </c>
      <c r="AU59">
        <f>SUMIF(DeadRaw!$B:$B,$B59,DeadRaw!AW:AW)</f>
        <v>0</v>
      </c>
      <c r="AV59">
        <f>SUMIF(DeadRaw!$B:$B,$B59,DeadRaw!AX:AX)</f>
        <v>0</v>
      </c>
      <c r="AW59">
        <f>SUMIF(DeadRaw!$B:$B,$B59,DeadRaw!AY:AY)</f>
        <v>1</v>
      </c>
      <c r="AX59">
        <f>SUMIF(DeadRaw!$B:$B,$B59,DeadRaw!AZ:AZ)</f>
        <v>1</v>
      </c>
      <c r="AY59">
        <f>SUMIF(DeadRaw!$B:$B,$B59,DeadRaw!BA:BA)</f>
        <v>1</v>
      </c>
      <c r="AZ59">
        <f>SUMIF(DeadRaw!$B:$B,$B59,DeadRaw!BB:BB)</f>
        <v>1</v>
      </c>
      <c r="BA59">
        <f>SUMIF(DeadRaw!$B:$B,$B59,DeadRaw!BC:BC)</f>
        <v>1</v>
      </c>
      <c r="BB59">
        <f>SUMIF(DeadRaw!$B:$B,$B59,DeadRaw!BD:BD)</f>
        <v>2</v>
      </c>
      <c r="BC59">
        <f>SUMIF(DeadRaw!$B:$B,$B59,DeadRaw!BE:BE)</f>
        <v>2</v>
      </c>
      <c r="BD59">
        <f>SUMIF(DeadRaw!$B:$B,$B59,DeadRaw!BF:BF)</f>
        <v>2</v>
      </c>
      <c r="BE59">
        <f>SUMIF(DeadRaw!$B:$B,$B59,DeadRaw!BG:BG)</f>
        <v>2</v>
      </c>
      <c r="BF59">
        <f>SUMIF(DeadRaw!$B:$B,$B59,DeadRaw!BH:BH)</f>
        <v>2</v>
      </c>
      <c r="BG59">
        <f>SUMIF(DeadRaw!$B:$B,$B59,DeadRaw!BI:BI)</f>
        <v>2</v>
      </c>
      <c r="BH59">
        <f>SUMIF(DeadRaw!$B:$B,$B59,DeadRaw!BJ:BJ)</f>
        <v>3</v>
      </c>
      <c r="BI59">
        <f>SUMIF(DeadRaw!$B:$B,$B59,DeadRaw!BK:BK)</f>
        <v>3</v>
      </c>
      <c r="BJ59">
        <f>SUMIF(DeadRaw!$B:$B,$B59,DeadRaw!BL:BL)</f>
        <v>4</v>
      </c>
      <c r="BK59">
        <f>SUMIF(DeadRaw!$B:$B,$B59,DeadRaw!BM:BM)</f>
        <v>4</v>
      </c>
      <c r="BL59">
        <f>SUMIF(DeadRaw!$B:$B,$B59,DeadRaw!BN:BN)</f>
        <v>4</v>
      </c>
      <c r="BM59">
        <f>SUMIF(DeadRaw!$B:$B,$B59,DeadRaw!BO:BO)</f>
        <v>6</v>
      </c>
      <c r="BN59">
        <f>SUMIF(DeadRaw!$B:$B,$B59,DeadRaw!BP:BP)</f>
        <v>8</v>
      </c>
      <c r="BO59">
        <f>SUMIF(DeadRaw!$B:$B,$B59,DeadRaw!BQ:BQ)</f>
        <v>9</v>
      </c>
      <c r="BP59">
        <f>SUMIF(DeadRaw!$B:$B,$B59,DeadRaw!BR:BR)</f>
        <v>13</v>
      </c>
      <c r="BQ59">
        <f>SUMIF(DeadRaw!$B:$B,$B59,DeadRaw!BS:BS)</f>
        <v>18</v>
      </c>
      <c r="BR59">
        <f>SUMIF(DeadRaw!$B:$B,$B59,DeadRaw!BT:BT)</f>
        <v>0</v>
      </c>
      <c r="BS59">
        <f>SUMIF(DeadRaw!$B:$B,$B59,DeadRaw!BU:BU)</f>
        <v>0</v>
      </c>
      <c r="BT59">
        <f>SUMIF(DeadRaw!$B:$B,$B59,DeadRaw!BV:BV)</f>
        <v>0</v>
      </c>
      <c r="BU59">
        <f>SUMIF(DeadRaw!$B:$B,$B59,DeadRaw!BW:BW)</f>
        <v>0</v>
      </c>
    </row>
    <row r="60" spans="1:73" ht="15" thickBot="1" x14ac:dyDescent="0.35">
      <c r="A60" s="97" t="str">
        <f>VLOOKUP(B60,Country_Data!B:Q,16,FALSE)</f>
        <v>Asia</v>
      </c>
      <c r="B60" s="3" t="s">
        <v>80</v>
      </c>
      <c r="C60">
        <f>SUMIF(DeadRaw!$B:$B,$B60,DeadRaw!E:E)</f>
        <v>0</v>
      </c>
      <c r="D60">
        <f>SUMIF(DeadRaw!$B:$B,$B60,DeadRaw!F:F)</f>
        <v>0</v>
      </c>
      <c r="E60">
        <f>SUMIF(DeadRaw!$B:$B,$B60,DeadRaw!G:G)</f>
        <v>0</v>
      </c>
      <c r="F60">
        <f>SUMIF(DeadRaw!$B:$B,$B60,DeadRaw!H:H)</f>
        <v>0</v>
      </c>
      <c r="G60">
        <f>SUMIF(DeadRaw!$B:$B,$B60,DeadRaw!I:I)</f>
        <v>0</v>
      </c>
      <c r="H60">
        <f>SUMIF(DeadRaw!$B:$B,$B60,DeadRaw!J:J)</f>
        <v>0</v>
      </c>
      <c r="I60">
        <f>SUMIF(DeadRaw!$B:$B,$B60,DeadRaw!K:K)</f>
        <v>0</v>
      </c>
      <c r="J60">
        <f>SUMIF(DeadRaw!$B:$B,$B60,DeadRaw!L:L)</f>
        <v>0</v>
      </c>
      <c r="K60">
        <f>SUMIF(DeadRaw!$B:$B,$B60,DeadRaw!M:M)</f>
        <v>0</v>
      </c>
      <c r="L60">
        <f>SUMIF(DeadRaw!$B:$B,$B60,DeadRaw!N:N)</f>
        <v>0</v>
      </c>
      <c r="M60">
        <f>SUMIF(DeadRaw!$B:$B,$B60,DeadRaw!O:O)</f>
        <v>0</v>
      </c>
      <c r="N60">
        <f>SUMIF(DeadRaw!$B:$B,$B60,DeadRaw!P:P)</f>
        <v>0</v>
      </c>
      <c r="O60">
        <f>SUMIF(DeadRaw!$B:$B,$B60,DeadRaw!Q:Q)</f>
        <v>0</v>
      </c>
      <c r="P60">
        <f>SUMIF(DeadRaw!$B:$B,$B60,DeadRaw!R:R)</f>
        <v>0</v>
      </c>
      <c r="Q60">
        <f>SUMIF(DeadRaw!$B:$B,$B60,DeadRaw!S:S)</f>
        <v>0</v>
      </c>
      <c r="R60">
        <f>SUMIF(DeadRaw!$B:$B,$B60,DeadRaw!T:T)</f>
        <v>0</v>
      </c>
      <c r="S60">
        <f>SUMIF(DeadRaw!$B:$B,$B60,DeadRaw!U:U)</f>
        <v>0</v>
      </c>
      <c r="T60">
        <f>SUMIF(DeadRaw!$B:$B,$B60,DeadRaw!V:V)</f>
        <v>0</v>
      </c>
      <c r="U60">
        <f>SUMIF(DeadRaw!$B:$B,$B60,DeadRaw!W:W)</f>
        <v>0</v>
      </c>
      <c r="V60">
        <f>SUMIF(DeadRaw!$B:$B,$B60,DeadRaw!X:X)</f>
        <v>0</v>
      </c>
      <c r="W60">
        <f>SUMIF(DeadRaw!$B:$B,$B60,DeadRaw!Y:Y)</f>
        <v>0</v>
      </c>
      <c r="X60">
        <f>SUMIF(DeadRaw!$B:$B,$B60,DeadRaw!Z:Z)</f>
        <v>0</v>
      </c>
      <c r="Y60">
        <f>SUMIF(DeadRaw!$B:$B,$B60,DeadRaw!AA:AA)</f>
        <v>0</v>
      </c>
      <c r="Z60">
        <f>SUMIF(DeadRaw!$B:$B,$B60,DeadRaw!AB:AB)</f>
        <v>0</v>
      </c>
      <c r="AA60">
        <f>SUMIF(DeadRaw!$B:$B,$B60,DeadRaw!AC:AC)</f>
        <v>0</v>
      </c>
      <c r="AB60">
        <f>SUMIF(DeadRaw!$B:$B,$B60,DeadRaw!AD:AD)</f>
        <v>0</v>
      </c>
      <c r="AC60">
        <f>SUMIF(DeadRaw!$B:$B,$B60,DeadRaw!AE:AE)</f>
        <v>0</v>
      </c>
      <c r="AD60">
        <f>SUMIF(DeadRaw!$B:$B,$B60,DeadRaw!AF:AF)</f>
        <v>0</v>
      </c>
      <c r="AE60">
        <f>SUMIF(DeadRaw!$B:$B,$B60,DeadRaw!AG:AG)</f>
        <v>0</v>
      </c>
      <c r="AF60">
        <f>SUMIF(DeadRaw!$B:$B,$B60,DeadRaw!AH:AH)</f>
        <v>0</v>
      </c>
      <c r="AG60">
        <f>SUMIF(DeadRaw!$B:$B,$B60,DeadRaw!AI:AI)</f>
        <v>0</v>
      </c>
      <c r="AH60">
        <f>SUMIF(DeadRaw!$B:$B,$B60,DeadRaw!AJ:AJ)</f>
        <v>0</v>
      </c>
      <c r="AI60">
        <f>SUMIF(DeadRaw!$B:$B,$B60,DeadRaw!AK:AK)</f>
        <v>0</v>
      </c>
      <c r="AJ60">
        <f>SUMIF(DeadRaw!$B:$B,$B60,DeadRaw!AL:AL)</f>
        <v>0</v>
      </c>
      <c r="AK60">
        <f>SUMIF(DeadRaw!$B:$B,$B60,DeadRaw!AM:AM)</f>
        <v>0</v>
      </c>
      <c r="AL60">
        <f>SUMIF(DeadRaw!$B:$B,$B60,DeadRaw!AN:AN)</f>
        <v>0</v>
      </c>
      <c r="AM60">
        <f>SUMIF(DeadRaw!$B:$B,$B60,DeadRaw!AO:AO)</f>
        <v>0</v>
      </c>
      <c r="AN60">
        <f>SUMIF(DeadRaw!$B:$B,$B60,DeadRaw!AP:AP)</f>
        <v>0</v>
      </c>
      <c r="AO60">
        <f>SUMIF(DeadRaw!$B:$B,$B60,DeadRaw!AQ:AQ)</f>
        <v>0</v>
      </c>
      <c r="AP60">
        <f>SUMIF(DeadRaw!$B:$B,$B60,DeadRaw!AR:AR)</f>
        <v>0</v>
      </c>
      <c r="AQ60">
        <f>SUMIF(DeadRaw!$B:$B,$B60,DeadRaw!AS:AS)</f>
        <v>0</v>
      </c>
      <c r="AR60">
        <f>SUMIF(DeadRaw!$B:$B,$B60,DeadRaw!AT:AT)</f>
        <v>0</v>
      </c>
      <c r="AS60">
        <f>SUMIF(DeadRaw!$B:$B,$B60,DeadRaw!AU:AU)</f>
        <v>0</v>
      </c>
      <c r="AT60">
        <f>SUMIF(DeadRaw!$B:$B,$B60,DeadRaw!AV:AV)</f>
        <v>0</v>
      </c>
      <c r="AU60">
        <f>SUMIF(DeadRaw!$B:$B,$B60,DeadRaw!AW:AW)</f>
        <v>0</v>
      </c>
      <c r="AV60">
        <f>SUMIF(DeadRaw!$B:$B,$B60,DeadRaw!AX:AX)</f>
        <v>0</v>
      </c>
      <c r="AW60">
        <f>SUMIF(DeadRaw!$B:$B,$B60,DeadRaw!AY:AY)</f>
        <v>0</v>
      </c>
      <c r="AX60">
        <f>SUMIF(DeadRaw!$B:$B,$B60,DeadRaw!AZ:AZ)</f>
        <v>0</v>
      </c>
      <c r="AY60">
        <f>SUMIF(DeadRaw!$B:$B,$B60,DeadRaw!BA:BA)</f>
        <v>0</v>
      </c>
      <c r="AZ60">
        <f>SUMIF(DeadRaw!$B:$B,$B60,DeadRaw!BB:BB)</f>
        <v>0</v>
      </c>
      <c r="BA60">
        <f>SUMIF(DeadRaw!$B:$B,$B60,DeadRaw!BC:BC)</f>
        <v>0</v>
      </c>
      <c r="BB60">
        <f>SUMIF(DeadRaw!$B:$B,$B60,DeadRaw!BD:BD)</f>
        <v>0</v>
      </c>
      <c r="BC60">
        <f>SUMIF(DeadRaw!$B:$B,$B60,DeadRaw!BE:BE)</f>
        <v>0</v>
      </c>
      <c r="BD60">
        <f>SUMIF(DeadRaw!$B:$B,$B60,DeadRaw!BF:BF)</f>
        <v>0</v>
      </c>
      <c r="BE60">
        <f>SUMIF(DeadRaw!$B:$B,$B60,DeadRaw!BG:BG)</f>
        <v>0</v>
      </c>
      <c r="BF60">
        <f>SUMIF(DeadRaw!$B:$B,$B60,DeadRaw!BH:BH)</f>
        <v>0</v>
      </c>
      <c r="BG60">
        <f>SUMIF(DeadRaw!$B:$B,$B60,DeadRaw!BI:BI)</f>
        <v>0</v>
      </c>
      <c r="BH60">
        <f>SUMIF(DeadRaw!$B:$B,$B60,DeadRaw!BJ:BJ)</f>
        <v>2</v>
      </c>
      <c r="BI60">
        <f>SUMIF(DeadRaw!$B:$B,$B60,DeadRaw!BK:BK)</f>
        <v>3</v>
      </c>
      <c r="BJ60">
        <f>SUMIF(DeadRaw!$B:$B,$B60,DeadRaw!BL:BL)</f>
        <v>3</v>
      </c>
      <c r="BK60">
        <f>SUMIF(DeadRaw!$B:$B,$B60,DeadRaw!BM:BM)</f>
        <v>5</v>
      </c>
      <c r="BL60">
        <f>SUMIF(DeadRaw!$B:$B,$B60,DeadRaw!BN:BN)</f>
        <v>6</v>
      </c>
      <c r="BM60">
        <f>SUMIF(DeadRaw!$B:$B,$B60,DeadRaw!BO:BO)</f>
        <v>7</v>
      </c>
      <c r="BN60">
        <f>SUMIF(DeadRaw!$B:$B,$B60,DeadRaw!BP:BP)</f>
        <v>8</v>
      </c>
      <c r="BO60">
        <f>SUMIF(DeadRaw!$B:$B,$B60,DeadRaw!BQ:BQ)</f>
        <v>9</v>
      </c>
      <c r="BP60">
        <f>SUMIF(DeadRaw!$B:$B,$B60,DeadRaw!BR:BR)</f>
        <v>11</v>
      </c>
      <c r="BQ60">
        <f>SUMIF(DeadRaw!$B:$B,$B60,DeadRaw!BS:BS)</f>
        <v>12</v>
      </c>
      <c r="BR60">
        <f>SUMIF(DeadRaw!$B:$B,$B60,DeadRaw!BT:BT)</f>
        <v>0</v>
      </c>
      <c r="BS60">
        <f>SUMIF(DeadRaw!$B:$B,$B60,DeadRaw!BU:BU)</f>
        <v>0</v>
      </c>
      <c r="BT60">
        <f>SUMIF(DeadRaw!$B:$B,$B60,DeadRaw!BV:BV)</f>
        <v>0</v>
      </c>
      <c r="BU60">
        <f>SUMIF(DeadRaw!$B:$B,$B60,DeadRaw!BW:BW)</f>
        <v>0</v>
      </c>
    </row>
    <row r="61" spans="1:73" ht="15" thickBot="1" x14ac:dyDescent="0.35">
      <c r="A61" s="97" t="str">
        <f>VLOOKUP(B61,Country_Data!B:Q,16,FALSE)</f>
        <v>South America</v>
      </c>
      <c r="B61" s="4" t="s">
        <v>160</v>
      </c>
      <c r="C61">
        <f>SUMIF(DeadRaw!$B:$B,$B61,DeadRaw!E:E)</f>
        <v>0</v>
      </c>
      <c r="D61">
        <f>SUMIF(DeadRaw!$B:$B,$B61,DeadRaw!F:F)</f>
        <v>0</v>
      </c>
      <c r="E61">
        <f>SUMIF(DeadRaw!$B:$B,$B61,DeadRaw!G:G)</f>
        <v>0</v>
      </c>
      <c r="F61">
        <f>SUMIF(DeadRaw!$B:$B,$B61,DeadRaw!H:H)</f>
        <v>0</v>
      </c>
      <c r="G61">
        <f>SUMIF(DeadRaw!$B:$B,$B61,DeadRaw!I:I)</f>
        <v>0</v>
      </c>
      <c r="H61">
        <f>SUMIF(DeadRaw!$B:$B,$B61,DeadRaw!J:J)</f>
        <v>0</v>
      </c>
      <c r="I61">
        <f>SUMIF(DeadRaw!$B:$B,$B61,DeadRaw!K:K)</f>
        <v>0</v>
      </c>
      <c r="J61">
        <f>SUMIF(DeadRaw!$B:$B,$B61,DeadRaw!L:L)</f>
        <v>0</v>
      </c>
      <c r="K61">
        <f>SUMIF(DeadRaw!$B:$B,$B61,DeadRaw!M:M)</f>
        <v>0</v>
      </c>
      <c r="L61">
        <f>SUMIF(DeadRaw!$B:$B,$B61,DeadRaw!N:N)</f>
        <v>0</v>
      </c>
      <c r="M61">
        <f>SUMIF(DeadRaw!$B:$B,$B61,DeadRaw!O:O)</f>
        <v>0</v>
      </c>
      <c r="N61">
        <f>SUMIF(DeadRaw!$B:$B,$B61,DeadRaw!P:P)</f>
        <v>0</v>
      </c>
      <c r="O61">
        <f>SUMIF(DeadRaw!$B:$B,$B61,DeadRaw!Q:Q)</f>
        <v>0</v>
      </c>
      <c r="P61">
        <f>SUMIF(DeadRaw!$B:$B,$B61,DeadRaw!R:R)</f>
        <v>0</v>
      </c>
      <c r="Q61">
        <f>SUMIF(DeadRaw!$B:$B,$B61,DeadRaw!S:S)</f>
        <v>0</v>
      </c>
      <c r="R61">
        <f>SUMIF(DeadRaw!$B:$B,$B61,DeadRaw!T:T)</f>
        <v>0</v>
      </c>
      <c r="S61">
        <f>SUMIF(DeadRaw!$B:$B,$B61,DeadRaw!U:U)</f>
        <v>0</v>
      </c>
      <c r="T61">
        <f>SUMIF(DeadRaw!$B:$B,$B61,DeadRaw!V:V)</f>
        <v>0</v>
      </c>
      <c r="U61">
        <f>SUMIF(DeadRaw!$B:$B,$B61,DeadRaw!W:W)</f>
        <v>0</v>
      </c>
      <c r="V61">
        <f>SUMIF(DeadRaw!$B:$B,$B61,DeadRaw!X:X)</f>
        <v>0</v>
      </c>
      <c r="W61">
        <f>SUMIF(DeadRaw!$B:$B,$B61,DeadRaw!Y:Y)</f>
        <v>0</v>
      </c>
      <c r="X61">
        <f>SUMIF(DeadRaw!$B:$B,$B61,DeadRaw!Z:Z)</f>
        <v>0</v>
      </c>
      <c r="Y61">
        <f>SUMIF(DeadRaw!$B:$B,$B61,DeadRaw!AA:AA)</f>
        <v>0</v>
      </c>
      <c r="Z61">
        <f>SUMIF(DeadRaw!$B:$B,$B61,DeadRaw!AB:AB)</f>
        <v>0</v>
      </c>
      <c r="AA61">
        <f>SUMIF(DeadRaw!$B:$B,$B61,DeadRaw!AC:AC)</f>
        <v>0</v>
      </c>
      <c r="AB61">
        <f>SUMIF(DeadRaw!$B:$B,$B61,DeadRaw!AD:AD)</f>
        <v>0</v>
      </c>
      <c r="AC61">
        <f>SUMIF(DeadRaw!$B:$B,$B61,DeadRaw!AE:AE)</f>
        <v>0</v>
      </c>
      <c r="AD61">
        <f>SUMIF(DeadRaw!$B:$B,$B61,DeadRaw!AF:AF)</f>
        <v>0</v>
      </c>
      <c r="AE61">
        <f>SUMIF(DeadRaw!$B:$B,$B61,DeadRaw!AG:AG)</f>
        <v>0</v>
      </c>
      <c r="AF61">
        <f>SUMIF(DeadRaw!$B:$B,$B61,DeadRaw!AH:AH)</f>
        <v>0</v>
      </c>
      <c r="AG61">
        <f>SUMIF(DeadRaw!$B:$B,$B61,DeadRaw!AI:AI)</f>
        <v>0</v>
      </c>
      <c r="AH61">
        <f>SUMIF(DeadRaw!$B:$B,$B61,DeadRaw!AJ:AJ)</f>
        <v>0</v>
      </c>
      <c r="AI61">
        <f>SUMIF(DeadRaw!$B:$B,$B61,DeadRaw!AK:AK)</f>
        <v>0</v>
      </c>
      <c r="AJ61">
        <f>SUMIF(DeadRaw!$B:$B,$B61,DeadRaw!AL:AL)</f>
        <v>0</v>
      </c>
      <c r="AK61">
        <f>SUMIF(DeadRaw!$B:$B,$B61,DeadRaw!AM:AM)</f>
        <v>0</v>
      </c>
      <c r="AL61">
        <f>SUMIF(DeadRaw!$B:$B,$B61,DeadRaw!AN:AN)</f>
        <v>0</v>
      </c>
      <c r="AM61">
        <f>SUMIF(DeadRaw!$B:$B,$B61,DeadRaw!AO:AO)</f>
        <v>0</v>
      </c>
      <c r="AN61">
        <f>SUMIF(DeadRaw!$B:$B,$B61,DeadRaw!AP:AP)</f>
        <v>0</v>
      </c>
      <c r="AO61">
        <f>SUMIF(DeadRaw!$B:$B,$B61,DeadRaw!AQ:AQ)</f>
        <v>0</v>
      </c>
      <c r="AP61">
        <f>SUMIF(DeadRaw!$B:$B,$B61,DeadRaw!AR:AR)</f>
        <v>0</v>
      </c>
      <c r="AQ61">
        <f>SUMIF(DeadRaw!$B:$B,$B61,DeadRaw!AS:AS)</f>
        <v>0</v>
      </c>
      <c r="AR61">
        <f>SUMIF(DeadRaw!$B:$B,$B61,DeadRaw!AT:AT)</f>
        <v>0</v>
      </c>
      <c r="AS61">
        <f>SUMIF(DeadRaw!$B:$B,$B61,DeadRaw!AU:AU)</f>
        <v>0</v>
      </c>
      <c r="AT61">
        <f>SUMIF(DeadRaw!$B:$B,$B61,DeadRaw!AV:AV)</f>
        <v>0</v>
      </c>
      <c r="AU61">
        <f>SUMIF(DeadRaw!$B:$B,$B61,DeadRaw!AW:AW)</f>
        <v>0</v>
      </c>
      <c r="AV61">
        <f>SUMIF(DeadRaw!$B:$B,$B61,DeadRaw!AX:AX)</f>
        <v>0</v>
      </c>
      <c r="AW61">
        <f>SUMIF(DeadRaw!$B:$B,$B61,DeadRaw!AY:AY)</f>
        <v>0</v>
      </c>
      <c r="AX61">
        <f>SUMIF(DeadRaw!$B:$B,$B61,DeadRaw!AZ:AZ)</f>
        <v>0</v>
      </c>
      <c r="AY61">
        <f>SUMIF(DeadRaw!$B:$B,$B61,DeadRaw!BA:BA)</f>
        <v>0</v>
      </c>
      <c r="AZ61">
        <f>SUMIF(DeadRaw!$B:$B,$B61,DeadRaw!BB:BB)</f>
        <v>0</v>
      </c>
      <c r="BA61">
        <f>SUMIF(DeadRaw!$B:$B,$B61,DeadRaw!BC:BC)</f>
        <v>0</v>
      </c>
      <c r="BB61">
        <f>SUMIF(DeadRaw!$B:$B,$B61,DeadRaw!BD:BD)</f>
        <v>0</v>
      </c>
      <c r="BC61">
        <f>SUMIF(DeadRaw!$B:$B,$B61,DeadRaw!BE:BE)</f>
        <v>0</v>
      </c>
      <c r="BD61">
        <f>SUMIF(DeadRaw!$B:$B,$B61,DeadRaw!BF:BF)</f>
        <v>0</v>
      </c>
      <c r="BE61">
        <f>SUMIF(DeadRaw!$B:$B,$B61,DeadRaw!BG:BG)</f>
        <v>0</v>
      </c>
      <c r="BF61">
        <f>SUMIF(DeadRaw!$B:$B,$B61,DeadRaw!BH:BH)</f>
        <v>0</v>
      </c>
      <c r="BG61">
        <f>SUMIF(DeadRaw!$B:$B,$B61,DeadRaw!BI:BI)</f>
        <v>0</v>
      </c>
      <c r="BH61">
        <f>SUMIF(DeadRaw!$B:$B,$B61,DeadRaw!BJ:BJ)</f>
        <v>0</v>
      </c>
      <c r="BI61">
        <f>SUMIF(DeadRaw!$B:$B,$B61,DeadRaw!BK:BK)</f>
        <v>3</v>
      </c>
      <c r="BJ61">
        <f>SUMIF(DeadRaw!$B:$B,$B61,DeadRaw!BL:BL)</f>
        <v>5</v>
      </c>
      <c r="BK61">
        <f>SUMIF(DeadRaw!$B:$B,$B61,DeadRaw!BM:BM)</f>
        <v>5</v>
      </c>
      <c r="BL61">
        <f>SUMIF(DeadRaw!$B:$B,$B61,DeadRaw!BN:BN)</f>
        <v>5</v>
      </c>
      <c r="BM61">
        <f>SUMIF(DeadRaw!$B:$B,$B61,DeadRaw!BO:BO)</f>
        <v>7</v>
      </c>
      <c r="BN61">
        <f>SUMIF(DeadRaw!$B:$B,$B61,DeadRaw!BP:BP)</f>
        <v>9</v>
      </c>
      <c r="BO61">
        <f>SUMIF(DeadRaw!$B:$B,$B61,DeadRaw!BQ:BQ)</f>
        <v>9</v>
      </c>
      <c r="BP61">
        <f>SUMIF(DeadRaw!$B:$B,$B61,DeadRaw!BR:BR)</f>
        <v>11</v>
      </c>
      <c r="BQ61">
        <f>SUMIF(DeadRaw!$B:$B,$B61,DeadRaw!BS:BS)</f>
        <v>16</v>
      </c>
      <c r="BR61">
        <f>SUMIF(DeadRaw!$B:$B,$B61,DeadRaw!BT:BT)</f>
        <v>0</v>
      </c>
      <c r="BS61">
        <f>SUMIF(DeadRaw!$B:$B,$B61,DeadRaw!BU:BU)</f>
        <v>0</v>
      </c>
      <c r="BT61">
        <f>SUMIF(DeadRaw!$B:$B,$B61,DeadRaw!BV:BV)</f>
        <v>0</v>
      </c>
      <c r="BU61">
        <f>SUMIF(DeadRaw!$B:$B,$B61,DeadRaw!BW:BW)</f>
        <v>0</v>
      </c>
    </row>
    <row r="62" spans="1:73" ht="15" thickBot="1" x14ac:dyDescent="0.35">
      <c r="A62" s="97" t="str">
        <f>VLOOKUP(B62,Country_Data!B:Q,16,FALSE)</f>
        <v>Europe</v>
      </c>
      <c r="B62" s="3" t="s">
        <v>91</v>
      </c>
      <c r="C62">
        <f>SUMIF(DeadRaw!$B:$B,$B62,DeadRaw!E:E)</f>
        <v>0</v>
      </c>
      <c r="D62">
        <f>SUMIF(DeadRaw!$B:$B,$B62,DeadRaw!F:F)</f>
        <v>0</v>
      </c>
      <c r="E62">
        <f>SUMIF(DeadRaw!$B:$B,$B62,DeadRaw!G:G)</f>
        <v>0</v>
      </c>
      <c r="F62">
        <f>SUMIF(DeadRaw!$B:$B,$B62,DeadRaw!H:H)</f>
        <v>0</v>
      </c>
      <c r="G62">
        <f>SUMIF(DeadRaw!$B:$B,$B62,DeadRaw!I:I)</f>
        <v>0</v>
      </c>
      <c r="H62">
        <f>SUMIF(DeadRaw!$B:$B,$B62,DeadRaw!J:J)</f>
        <v>0</v>
      </c>
      <c r="I62">
        <f>SUMIF(DeadRaw!$B:$B,$B62,DeadRaw!K:K)</f>
        <v>0</v>
      </c>
      <c r="J62">
        <f>SUMIF(DeadRaw!$B:$B,$B62,DeadRaw!L:L)</f>
        <v>0</v>
      </c>
      <c r="K62">
        <f>SUMIF(DeadRaw!$B:$B,$B62,DeadRaw!M:M)</f>
        <v>0</v>
      </c>
      <c r="L62">
        <f>SUMIF(DeadRaw!$B:$B,$B62,DeadRaw!N:N)</f>
        <v>0</v>
      </c>
      <c r="M62">
        <f>SUMIF(DeadRaw!$B:$B,$B62,DeadRaw!O:O)</f>
        <v>0</v>
      </c>
      <c r="N62">
        <f>SUMIF(DeadRaw!$B:$B,$B62,DeadRaw!P:P)</f>
        <v>0</v>
      </c>
      <c r="O62">
        <f>SUMIF(DeadRaw!$B:$B,$B62,DeadRaw!Q:Q)</f>
        <v>0</v>
      </c>
      <c r="P62">
        <f>SUMIF(DeadRaw!$B:$B,$B62,DeadRaw!R:R)</f>
        <v>0</v>
      </c>
      <c r="Q62">
        <f>SUMIF(DeadRaw!$B:$B,$B62,DeadRaw!S:S)</f>
        <v>0</v>
      </c>
      <c r="R62">
        <f>SUMIF(DeadRaw!$B:$B,$B62,DeadRaw!T:T)</f>
        <v>0</v>
      </c>
      <c r="S62">
        <f>SUMIF(DeadRaw!$B:$B,$B62,DeadRaw!U:U)</f>
        <v>0</v>
      </c>
      <c r="T62">
        <f>SUMIF(DeadRaw!$B:$B,$B62,DeadRaw!V:V)</f>
        <v>0</v>
      </c>
      <c r="U62">
        <f>SUMIF(DeadRaw!$B:$B,$B62,DeadRaw!W:W)</f>
        <v>0</v>
      </c>
      <c r="V62">
        <f>SUMIF(DeadRaw!$B:$B,$B62,DeadRaw!X:X)</f>
        <v>0</v>
      </c>
      <c r="W62">
        <f>SUMIF(DeadRaw!$B:$B,$B62,DeadRaw!Y:Y)</f>
        <v>0</v>
      </c>
      <c r="X62">
        <f>SUMIF(DeadRaw!$B:$B,$B62,DeadRaw!Z:Z)</f>
        <v>0</v>
      </c>
      <c r="Y62">
        <f>SUMIF(DeadRaw!$B:$B,$B62,DeadRaw!AA:AA)</f>
        <v>0</v>
      </c>
      <c r="Z62">
        <f>SUMIF(DeadRaw!$B:$B,$B62,DeadRaw!AB:AB)</f>
        <v>0</v>
      </c>
      <c r="AA62">
        <f>SUMIF(DeadRaw!$B:$B,$B62,DeadRaw!AC:AC)</f>
        <v>0</v>
      </c>
      <c r="AB62">
        <f>SUMIF(DeadRaw!$B:$B,$B62,DeadRaw!AD:AD)</f>
        <v>0</v>
      </c>
      <c r="AC62">
        <f>SUMIF(DeadRaw!$B:$B,$B62,DeadRaw!AE:AE)</f>
        <v>0</v>
      </c>
      <c r="AD62">
        <f>SUMIF(DeadRaw!$B:$B,$B62,DeadRaw!AF:AF)</f>
        <v>0</v>
      </c>
      <c r="AE62">
        <f>SUMIF(DeadRaw!$B:$B,$B62,DeadRaw!AG:AG)</f>
        <v>0</v>
      </c>
      <c r="AF62">
        <f>SUMIF(DeadRaw!$B:$B,$B62,DeadRaw!AH:AH)</f>
        <v>0</v>
      </c>
      <c r="AG62">
        <f>SUMIF(DeadRaw!$B:$B,$B62,DeadRaw!AI:AI)</f>
        <v>0</v>
      </c>
      <c r="AH62">
        <f>SUMIF(DeadRaw!$B:$B,$B62,DeadRaw!AJ:AJ)</f>
        <v>0</v>
      </c>
      <c r="AI62">
        <f>SUMIF(DeadRaw!$B:$B,$B62,DeadRaw!AK:AK)</f>
        <v>0</v>
      </c>
      <c r="AJ62">
        <f>SUMIF(DeadRaw!$B:$B,$B62,DeadRaw!AL:AL)</f>
        <v>0</v>
      </c>
      <c r="AK62">
        <f>SUMIF(DeadRaw!$B:$B,$B62,DeadRaw!AM:AM)</f>
        <v>0</v>
      </c>
      <c r="AL62">
        <f>SUMIF(DeadRaw!$B:$B,$B62,DeadRaw!AN:AN)</f>
        <v>0</v>
      </c>
      <c r="AM62">
        <f>SUMIF(DeadRaw!$B:$B,$B62,DeadRaw!AO:AO)</f>
        <v>0</v>
      </c>
      <c r="AN62">
        <f>SUMIF(DeadRaw!$B:$B,$B62,DeadRaw!AP:AP)</f>
        <v>0</v>
      </c>
      <c r="AO62">
        <f>SUMIF(DeadRaw!$B:$B,$B62,DeadRaw!AQ:AQ)</f>
        <v>0</v>
      </c>
      <c r="AP62">
        <f>SUMIF(DeadRaw!$B:$B,$B62,DeadRaw!AR:AR)</f>
        <v>0</v>
      </c>
      <c r="AQ62">
        <f>SUMIF(DeadRaw!$B:$B,$B62,DeadRaw!AS:AS)</f>
        <v>0</v>
      </c>
      <c r="AR62">
        <f>SUMIF(DeadRaw!$B:$B,$B62,DeadRaw!AT:AT)</f>
        <v>0</v>
      </c>
      <c r="AS62">
        <f>SUMIF(DeadRaw!$B:$B,$B62,DeadRaw!AU:AU)</f>
        <v>0</v>
      </c>
      <c r="AT62">
        <f>SUMIF(DeadRaw!$B:$B,$B62,DeadRaw!AV:AV)</f>
        <v>0</v>
      </c>
      <c r="AU62">
        <f>SUMIF(DeadRaw!$B:$B,$B62,DeadRaw!AW:AW)</f>
        <v>0</v>
      </c>
      <c r="AV62">
        <f>SUMIF(DeadRaw!$B:$B,$B62,DeadRaw!AX:AX)</f>
        <v>0</v>
      </c>
      <c r="AW62">
        <f>SUMIF(DeadRaw!$B:$B,$B62,DeadRaw!AY:AY)</f>
        <v>0</v>
      </c>
      <c r="AX62">
        <f>SUMIF(DeadRaw!$B:$B,$B62,DeadRaw!AZ:AZ)</f>
        <v>0</v>
      </c>
      <c r="AY62">
        <f>SUMIF(DeadRaw!$B:$B,$B62,DeadRaw!BA:BA)</f>
        <v>0</v>
      </c>
      <c r="AZ62">
        <f>SUMIF(DeadRaw!$B:$B,$B62,DeadRaw!BB:BB)</f>
        <v>0</v>
      </c>
      <c r="BA62">
        <f>SUMIF(DeadRaw!$B:$B,$B62,DeadRaw!BC:BC)</f>
        <v>0</v>
      </c>
      <c r="BB62">
        <f>SUMIF(DeadRaw!$B:$B,$B62,DeadRaw!BD:BD)</f>
        <v>0</v>
      </c>
      <c r="BC62">
        <f>SUMIF(DeadRaw!$B:$B,$B62,DeadRaw!BE:BE)</f>
        <v>0</v>
      </c>
      <c r="BD62">
        <f>SUMIF(DeadRaw!$B:$B,$B62,DeadRaw!BF:BF)</f>
        <v>0</v>
      </c>
      <c r="BE62">
        <f>SUMIF(DeadRaw!$B:$B,$B62,DeadRaw!BG:BG)</f>
        <v>0</v>
      </c>
      <c r="BF62">
        <f>SUMIF(DeadRaw!$B:$B,$B62,DeadRaw!BH:BH)</f>
        <v>0</v>
      </c>
      <c r="BG62">
        <f>SUMIF(DeadRaw!$B:$B,$B62,DeadRaw!BI:BI)</f>
        <v>0</v>
      </c>
      <c r="BH62">
        <f>SUMIF(DeadRaw!$B:$B,$B62,DeadRaw!BJ:BJ)</f>
        <v>0</v>
      </c>
      <c r="BI62">
        <f>SUMIF(DeadRaw!$B:$B,$B62,DeadRaw!BK:BK)</f>
        <v>0</v>
      </c>
      <c r="BJ62">
        <f>SUMIF(DeadRaw!$B:$B,$B62,DeadRaw!BL:BL)</f>
        <v>0</v>
      </c>
      <c r="BK62">
        <f>SUMIF(DeadRaw!$B:$B,$B62,DeadRaw!BM:BM)</f>
        <v>0</v>
      </c>
      <c r="BL62">
        <f>SUMIF(DeadRaw!$B:$B,$B62,DeadRaw!BN:BN)</f>
        <v>0</v>
      </c>
      <c r="BM62">
        <f>SUMIF(DeadRaw!$B:$B,$B62,DeadRaw!BO:BO)</f>
        <v>0</v>
      </c>
      <c r="BN62">
        <f>SUMIF(DeadRaw!$B:$B,$B62,DeadRaw!BP:BP)</f>
        <v>0</v>
      </c>
      <c r="BO62">
        <f>SUMIF(DeadRaw!$B:$B,$B62,DeadRaw!BQ:BQ)</f>
        <v>0</v>
      </c>
      <c r="BP62">
        <f>SUMIF(DeadRaw!$B:$B,$B62,DeadRaw!BR:BR)</f>
        <v>0</v>
      </c>
      <c r="BQ62">
        <f>SUMIF(DeadRaw!$B:$B,$B62,DeadRaw!BS:BS)</f>
        <v>0</v>
      </c>
      <c r="BR62">
        <f>SUMIF(DeadRaw!$B:$B,$B62,DeadRaw!BT:BT)</f>
        <v>0</v>
      </c>
      <c r="BS62">
        <f>SUMIF(DeadRaw!$B:$B,$B62,DeadRaw!BU:BU)</f>
        <v>0</v>
      </c>
      <c r="BT62">
        <f>SUMIF(DeadRaw!$B:$B,$B62,DeadRaw!BV:BV)</f>
        <v>0</v>
      </c>
      <c r="BU62">
        <f>SUMIF(DeadRaw!$B:$B,$B62,DeadRaw!BW:BW)</f>
        <v>0</v>
      </c>
    </row>
    <row r="63" spans="1:73" ht="15" thickBot="1" x14ac:dyDescent="0.35">
      <c r="A63" s="97" t="str">
        <f>VLOOKUP(B63,Country_Data!B:Q,16,FALSE)</f>
        <v>North America</v>
      </c>
      <c r="B63" s="3" t="s">
        <v>283</v>
      </c>
      <c r="C63">
        <f>SUMIF(DeadRaw!$B:$B,$B63,DeadRaw!E:E)</f>
        <v>0</v>
      </c>
      <c r="D63">
        <f>SUMIF(DeadRaw!$B:$B,$B63,DeadRaw!F:F)</f>
        <v>0</v>
      </c>
      <c r="E63">
        <f>SUMIF(DeadRaw!$B:$B,$B63,DeadRaw!G:G)</f>
        <v>0</v>
      </c>
      <c r="F63">
        <f>SUMIF(DeadRaw!$B:$B,$B63,DeadRaw!H:H)</f>
        <v>0</v>
      </c>
      <c r="G63">
        <f>SUMIF(DeadRaw!$B:$B,$B63,DeadRaw!I:I)</f>
        <v>0</v>
      </c>
      <c r="H63">
        <f>SUMIF(DeadRaw!$B:$B,$B63,DeadRaw!J:J)</f>
        <v>0</v>
      </c>
      <c r="I63">
        <f>SUMIF(DeadRaw!$B:$B,$B63,DeadRaw!K:K)</f>
        <v>0</v>
      </c>
      <c r="J63">
        <f>SUMIF(DeadRaw!$B:$B,$B63,DeadRaw!L:L)</f>
        <v>0</v>
      </c>
      <c r="K63">
        <f>SUMIF(DeadRaw!$B:$B,$B63,DeadRaw!M:M)</f>
        <v>0</v>
      </c>
      <c r="L63">
        <f>SUMIF(DeadRaw!$B:$B,$B63,DeadRaw!N:N)</f>
        <v>0</v>
      </c>
      <c r="M63">
        <f>SUMIF(DeadRaw!$B:$B,$B63,DeadRaw!O:O)</f>
        <v>0</v>
      </c>
      <c r="N63">
        <f>SUMIF(DeadRaw!$B:$B,$B63,DeadRaw!P:P)</f>
        <v>0</v>
      </c>
      <c r="O63">
        <f>SUMIF(DeadRaw!$B:$B,$B63,DeadRaw!Q:Q)</f>
        <v>0</v>
      </c>
      <c r="P63">
        <f>SUMIF(DeadRaw!$B:$B,$B63,DeadRaw!R:R)</f>
        <v>0</v>
      </c>
      <c r="Q63">
        <f>SUMIF(DeadRaw!$B:$B,$B63,DeadRaw!S:S)</f>
        <v>0</v>
      </c>
      <c r="R63">
        <f>SUMIF(DeadRaw!$B:$B,$B63,DeadRaw!T:T)</f>
        <v>0</v>
      </c>
      <c r="S63">
        <f>SUMIF(DeadRaw!$B:$B,$B63,DeadRaw!U:U)</f>
        <v>0</v>
      </c>
      <c r="T63">
        <f>SUMIF(DeadRaw!$B:$B,$B63,DeadRaw!V:V)</f>
        <v>0</v>
      </c>
      <c r="U63">
        <f>SUMIF(DeadRaw!$B:$B,$B63,DeadRaw!W:W)</f>
        <v>0</v>
      </c>
      <c r="V63">
        <f>SUMIF(DeadRaw!$B:$B,$B63,DeadRaw!X:X)</f>
        <v>0</v>
      </c>
      <c r="W63">
        <f>SUMIF(DeadRaw!$B:$B,$B63,DeadRaw!Y:Y)</f>
        <v>0</v>
      </c>
      <c r="X63">
        <f>SUMIF(DeadRaw!$B:$B,$B63,DeadRaw!Z:Z)</f>
        <v>0</v>
      </c>
      <c r="Y63">
        <f>SUMIF(DeadRaw!$B:$B,$B63,DeadRaw!AA:AA)</f>
        <v>0</v>
      </c>
      <c r="Z63">
        <f>SUMIF(DeadRaw!$B:$B,$B63,DeadRaw!AB:AB)</f>
        <v>0</v>
      </c>
      <c r="AA63">
        <f>SUMIF(DeadRaw!$B:$B,$B63,DeadRaw!AC:AC)</f>
        <v>0</v>
      </c>
      <c r="AB63">
        <f>SUMIF(DeadRaw!$B:$B,$B63,DeadRaw!AD:AD)</f>
        <v>0</v>
      </c>
      <c r="AC63">
        <f>SUMIF(DeadRaw!$B:$B,$B63,DeadRaw!AE:AE)</f>
        <v>0</v>
      </c>
      <c r="AD63">
        <f>SUMIF(DeadRaw!$B:$B,$B63,DeadRaw!AF:AF)</f>
        <v>0</v>
      </c>
      <c r="AE63">
        <f>SUMIF(DeadRaw!$B:$B,$B63,DeadRaw!AG:AG)</f>
        <v>0</v>
      </c>
      <c r="AF63">
        <f>SUMIF(DeadRaw!$B:$B,$B63,DeadRaw!AH:AH)</f>
        <v>0</v>
      </c>
      <c r="AG63">
        <f>SUMIF(DeadRaw!$B:$B,$B63,DeadRaw!AI:AI)</f>
        <v>0</v>
      </c>
      <c r="AH63">
        <f>SUMIF(DeadRaw!$B:$B,$B63,DeadRaw!AJ:AJ)</f>
        <v>0</v>
      </c>
      <c r="AI63">
        <f>SUMIF(DeadRaw!$B:$B,$B63,DeadRaw!AK:AK)</f>
        <v>0</v>
      </c>
      <c r="AJ63">
        <f>SUMIF(DeadRaw!$B:$B,$B63,DeadRaw!AL:AL)</f>
        <v>0</v>
      </c>
      <c r="AK63">
        <f>SUMIF(DeadRaw!$B:$B,$B63,DeadRaw!AM:AM)</f>
        <v>0</v>
      </c>
      <c r="AL63">
        <f>SUMIF(DeadRaw!$B:$B,$B63,DeadRaw!AN:AN)</f>
        <v>0</v>
      </c>
      <c r="AM63">
        <f>SUMIF(DeadRaw!$B:$B,$B63,DeadRaw!AO:AO)</f>
        <v>0</v>
      </c>
      <c r="AN63">
        <f>SUMIF(DeadRaw!$B:$B,$B63,DeadRaw!AP:AP)</f>
        <v>0</v>
      </c>
      <c r="AO63">
        <f>SUMIF(DeadRaw!$B:$B,$B63,DeadRaw!AQ:AQ)</f>
        <v>0</v>
      </c>
      <c r="AP63">
        <f>SUMIF(DeadRaw!$B:$B,$B63,DeadRaw!AR:AR)</f>
        <v>0</v>
      </c>
      <c r="AQ63">
        <f>SUMIF(DeadRaw!$B:$B,$B63,DeadRaw!AS:AS)</f>
        <v>0</v>
      </c>
      <c r="AR63">
        <f>SUMIF(DeadRaw!$B:$B,$B63,DeadRaw!AT:AT)</f>
        <v>0</v>
      </c>
      <c r="AS63">
        <f>SUMIF(DeadRaw!$B:$B,$B63,DeadRaw!AU:AU)</f>
        <v>0</v>
      </c>
      <c r="AT63">
        <f>SUMIF(DeadRaw!$B:$B,$B63,DeadRaw!AV:AV)</f>
        <v>0</v>
      </c>
      <c r="AU63">
        <f>SUMIF(DeadRaw!$B:$B,$B63,DeadRaw!AW:AW)</f>
        <v>0</v>
      </c>
      <c r="AV63">
        <f>SUMIF(DeadRaw!$B:$B,$B63,DeadRaw!AX:AX)</f>
        <v>0</v>
      </c>
      <c r="AW63">
        <f>SUMIF(DeadRaw!$B:$B,$B63,DeadRaw!AY:AY)</f>
        <v>0</v>
      </c>
      <c r="AX63">
        <f>SUMIF(DeadRaw!$B:$B,$B63,DeadRaw!AZ:AZ)</f>
        <v>0</v>
      </c>
      <c r="AY63">
        <f>SUMIF(DeadRaw!$B:$B,$B63,DeadRaw!BA:BA)</f>
        <v>0</v>
      </c>
      <c r="AZ63">
        <f>SUMIF(DeadRaw!$B:$B,$B63,DeadRaw!BB:BB)</f>
        <v>1</v>
      </c>
      <c r="BA63">
        <f>SUMIF(DeadRaw!$B:$B,$B63,DeadRaw!BC:BC)</f>
        <v>1</v>
      </c>
      <c r="BB63">
        <f>SUMIF(DeadRaw!$B:$B,$B63,DeadRaw!BD:BD)</f>
        <v>1</v>
      </c>
      <c r="BC63">
        <f>SUMIF(DeadRaw!$B:$B,$B63,DeadRaw!BE:BE)</f>
        <v>1</v>
      </c>
      <c r="BD63">
        <f>SUMIF(DeadRaw!$B:$B,$B63,DeadRaw!BF:BF)</f>
        <v>1</v>
      </c>
      <c r="BE63">
        <f>SUMIF(DeadRaw!$B:$B,$B63,DeadRaw!BG:BG)</f>
        <v>1</v>
      </c>
      <c r="BF63">
        <f>SUMIF(DeadRaw!$B:$B,$B63,DeadRaw!BH:BH)</f>
        <v>1</v>
      </c>
      <c r="BG63">
        <f>SUMIF(DeadRaw!$B:$B,$B63,DeadRaw!BI:BI)</f>
        <v>1</v>
      </c>
      <c r="BH63">
        <f>SUMIF(DeadRaw!$B:$B,$B63,DeadRaw!BJ:BJ)</f>
        <v>1</v>
      </c>
      <c r="BI63">
        <f>SUMIF(DeadRaw!$B:$B,$B63,DeadRaw!BK:BK)</f>
        <v>1</v>
      </c>
      <c r="BJ63">
        <f>SUMIF(DeadRaw!$B:$B,$B63,DeadRaw!BL:BL)</f>
        <v>1</v>
      </c>
      <c r="BK63">
        <f>SUMIF(DeadRaw!$B:$B,$B63,DeadRaw!BM:BM)</f>
        <v>3</v>
      </c>
      <c r="BL63">
        <f>SUMIF(DeadRaw!$B:$B,$B63,DeadRaw!BN:BN)</f>
        <v>6</v>
      </c>
      <c r="BM63">
        <f>SUMIF(DeadRaw!$B:$B,$B63,DeadRaw!BO:BO)</f>
        <v>6</v>
      </c>
      <c r="BN63">
        <f>SUMIF(DeadRaw!$B:$B,$B63,DeadRaw!BP:BP)</f>
        <v>8</v>
      </c>
      <c r="BO63">
        <f>SUMIF(DeadRaw!$B:$B,$B63,DeadRaw!BQ:BQ)</f>
        <v>8</v>
      </c>
      <c r="BP63">
        <f>SUMIF(DeadRaw!$B:$B,$B63,DeadRaw!BR:BR)</f>
        <v>9</v>
      </c>
      <c r="BQ63">
        <f>SUMIF(DeadRaw!$B:$B,$B63,DeadRaw!BS:BS)</f>
        <v>14</v>
      </c>
      <c r="BR63">
        <f>SUMIF(DeadRaw!$B:$B,$B63,DeadRaw!BT:BT)</f>
        <v>0</v>
      </c>
      <c r="BS63">
        <f>SUMIF(DeadRaw!$B:$B,$B63,DeadRaw!BU:BU)</f>
        <v>0</v>
      </c>
      <c r="BT63">
        <f>SUMIF(DeadRaw!$B:$B,$B63,DeadRaw!BV:BV)</f>
        <v>0</v>
      </c>
      <c r="BU63">
        <f>SUMIF(DeadRaw!$B:$B,$B63,DeadRaw!BW:BW)</f>
        <v>0</v>
      </c>
    </row>
    <row r="64" spans="1:73" ht="15" thickBot="1" x14ac:dyDescent="0.35">
      <c r="A64" s="97" t="str">
        <f>VLOOKUP(B64,Country_Data!B:Q,16,FALSE)</f>
        <v>Africa</v>
      </c>
      <c r="B64" s="4" t="s">
        <v>75</v>
      </c>
      <c r="C64">
        <f>SUMIF(DeadRaw!$B:$B,$B64,DeadRaw!E:E)</f>
        <v>0</v>
      </c>
      <c r="D64">
        <f>SUMIF(DeadRaw!$B:$B,$B64,DeadRaw!F:F)</f>
        <v>0</v>
      </c>
      <c r="E64">
        <f>SUMIF(DeadRaw!$B:$B,$B64,DeadRaw!G:G)</f>
        <v>0</v>
      </c>
      <c r="F64">
        <f>SUMIF(DeadRaw!$B:$B,$B64,DeadRaw!H:H)</f>
        <v>0</v>
      </c>
      <c r="G64">
        <f>SUMIF(DeadRaw!$B:$B,$B64,DeadRaw!I:I)</f>
        <v>0</v>
      </c>
      <c r="H64">
        <f>SUMIF(DeadRaw!$B:$B,$B64,DeadRaw!J:J)</f>
        <v>0</v>
      </c>
      <c r="I64">
        <f>SUMIF(DeadRaw!$B:$B,$B64,DeadRaw!K:K)</f>
        <v>0</v>
      </c>
      <c r="J64">
        <f>SUMIF(DeadRaw!$B:$B,$B64,DeadRaw!L:L)</f>
        <v>0</v>
      </c>
      <c r="K64">
        <f>SUMIF(DeadRaw!$B:$B,$B64,DeadRaw!M:M)</f>
        <v>0</v>
      </c>
      <c r="L64">
        <f>SUMIF(DeadRaw!$B:$B,$B64,DeadRaw!N:N)</f>
        <v>0</v>
      </c>
      <c r="M64">
        <f>SUMIF(DeadRaw!$B:$B,$B64,DeadRaw!O:O)</f>
        <v>0</v>
      </c>
      <c r="N64">
        <f>SUMIF(DeadRaw!$B:$B,$B64,DeadRaw!P:P)</f>
        <v>0</v>
      </c>
      <c r="O64">
        <f>SUMIF(DeadRaw!$B:$B,$B64,DeadRaw!Q:Q)</f>
        <v>0</v>
      </c>
      <c r="P64">
        <f>SUMIF(DeadRaw!$B:$B,$B64,DeadRaw!R:R)</f>
        <v>0</v>
      </c>
      <c r="Q64">
        <f>SUMIF(DeadRaw!$B:$B,$B64,DeadRaw!S:S)</f>
        <v>0</v>
      </c>
      <c r="R64">
        <f>SUMIF(DeadRaw!$B:$B,$B64,DeadRaw!T:T)</f>
        <v>0</v>
      </c>
      <c r="S64">
        <f>SUMIF(DeadRaw!$B:$B,$B64,DeadRaw!U:U)</f>
        <v>0</v>
      </c>
      <c r="T64">
        <f>SUMIF(DeadRaw!$B:$B,$B64,DeadRaw!V:V)</f>
        <v>0</v>
      </c>
      <c r="U64">
        <f>SUMIF(DeadRaw!$B:$B,$B64,DeadRaw!W:W)</f>
        <v>0</v>
      </c>
      <c r="V64">
        <f>SUMIF(DeadRaw!$B:$B,$B64,DeadRaw!X:X)</f>
        <v>0</v>
      </c>
      <c r="W64">
        <f>SUMIF(DeadRaw!$B:$B,$B64,DeadRaw!Y:Y)</f>
        <v>0</v>
      </c>
      <c r="X64">
        <f>SUMIF(DeadRaw!$B:$B,$B64,DeadRaw!Z:Z)</f>
        <v>0</v>
      </c>
      <c r="Y64">
        <f>SUMIF(DeadRaw!$B:$B,$B64,DeadRaw!AA:AA)</f>
        <v>0</v>
      </c>
      <c r="Z64">
        <f>SUMIF(DeadRaw!$B:$B,$B64,DeadRaw!AB:AB)</f>
        <v>0</v>
      </c>
      <c r="AA64">
        <f>SUMIF(DeadRaw!$B:$B,$B64,DeadRaw!AC:AC)</f>
        <v>0</v>
      </c>
      <c r="AB64">
        <f>SUMIF(DeadRaw!$B:$B,$B64,DeadRaw!AD:AD)</f>
        <v>0</v>
      </c>
      <c r="AC64">
        <f>SUMIF(DeadRaw!$B:$B,$B64,DeadRaw!AE:AE)</f>
        <v>0</v>
      </c>
      <c r="AD64">
        <f>SUMIF(DeadRaw!$B:$B,$B64,DeadRaw!AF:AF)</f>
        <v>0</v>
      </c>
      <c r="AE64">
        <f>SUMIF(DeadRaw!$B:$B,$B64,DeadRaw!AG:AG)</f>
        <v>0</v>
      </c>
      <c r="AF64">
        <f>SUMIF(DeadRaw!$B:$B,$B64,DeadRaw!AH:AH)</f>
        <v>0</v>
      </c>
      <c r="AG64">
        <f>SUMIF(DeadRaw!$B:$B,$B64,DeadRaw!AI:AI)</f>
        <v>0</v>
      </c>
      <c r="AH64">
        <f>SUMIF(DeadRaw!$B:$B,$B64,DeadRaw!AJ:AJ)</f>
        <v>0</v>
      </c>
      <c r="AI64">
        <f>SUMIF(DeadRaw!$B:$B,$B64,DeadRaw!AK:AK)</f>
        <v>0</v>
      </c>
      <c r="AJ64">
        <f>SUMIF(DeadRaw!$B:$B,$B64,DeadRaw!AL:AL)</f>
        <v>0</v>
      </c>
      <c r="AK64">
        <f>SUMIF(DeadRaw!$B:$B,$B64,DeadRaw!AM:AM)</f>
        <v>0</v>
      </c>
      <c r="AL64">
        <f>SUMIF(DeadRaw!$B:$B,$B64,DeadRaw!AN:AN)</f>
        <v>0</v>
      </c>
      <c r="AM64">
        <f>SUMIF(DeadRaw!$B:$B,$B64,DeadRaw!AO:AO)</f>
        <v>0</v>
      </c>
      <c r="AN64">
        <f>SUMIF(DeadRaw!$B:$B,$B64,DeadRaw!AP:AP)</f>
        <v>0</v>
      </c>
      <c r="AO64">
        <f>SUMIF(DeadRaw!$B:$B,$B64,DeadRaw!AQ:AQ)</f>
        <v>0</v>
      </c>
      <c r="AP64">
        <f>SUMIF(DeadRaw!$B:$B,$B64,DeadRaw!AR:AR)</f>
        <v>0</v>
      </c>
      <c r="AQ64">
        <f>SUMIF(DeadRaw!$B:$B,$B64,DeadRaw!AS:AS)</f>
        <v>0</v>
      </c>
      <c r="AR64">
        <f>SUMIF(DeadRaw!$B:$B,$B64,DeadRaw!AT:AT)</f>
        <v>0</v>
      </c>
      <c r="AS64">
        <f>SUMIF(DeadRaw!$B:$B,$B64,DeadRaw!AU:AU)</f>
        <v>0</v>
      </c>
      <c r="AT64">
        <f>SUMIF(DeadRaw!$B:$B,$B64,DeadRaw!AV:AV)</f>
        <v>0</v>
      </c>
      <c r="AU64">
        <f>SUMIF(DeadRaw!$B:$B,$B64,DeadRaw!AW:AW)</f>
        <v>0</v>
      </c>
      <c r="AV64">
        <f>SUMIF(DeadRaw!$B:$B,$B64,DeadRaw!AX:AX)</f>
        <v>0</v>
      </c>
      <c r="AW64">
        <f>SUMIF(DeadRaw!$B:$B,$B64,DeadRaw!AY:AY)</f>
        <v>0</v>
      </c>
      <c r="AX64">
        <f>SUMIF(DeadRaw!$B:$B,$B64,DeadRaw!AZ:AZ)</f>
        <v>0</v>
      </c>
      <c r="AY64">
        <f>SUMIF(DeadRaw!$B:$B,$B64,DeadRaw!BA:BA)</f>
        <v>0</v>
      </c>
      <c r="AZ64">
        <f>SUMIF(DeadRaw!$B:$B,$B64,DeadRaw!BB:BB)</f>
        <v>0</v>
      </c>
      <c r="BA64">
        <f>SUMIF(DeadRaw!$B:$B,$B64,DeadRaw!BC:BC)</f>
        <v>1</v>
      </c>
      <c r="BB64">
        <f>SUMIF(DeadRaw!$B:$B,$B64,DeadRaw!BD:BD)</f>
        <v>2</v>
      </c>
      <c r="BC64">
        <f>SUMIF(DeadRaw!$B:$B,$B64,DeadRaw!BE:BE)</f>
        <v>3</v>
      </c>
      <c r="BD64">
        <f>SUMIF(DeadRaw!$B:$B,$B64,DeadRaw!BF:BF)</f>
        <v>4</v>
      </c>
      <c r="BE64">
        <f>SUMIF(DeadRaw!$B:$B,$B64,DeadRaw!BG:BG)</f>
        <v>4</v>
      </c>
      <c r="BF64">
        <f>SUMIF(DeadRaw!$B:$B,$B64,DeadRaw!BH:BH)</f>
        <v>4</v>
      </c>
      <c r="BG64">
        <f>SUMIF(DeadRaw!$B:$B,$B64,DeadRaw!BI:BI)</f>
        <v>7</v>
      </c>
      <c r="BH64">
        <f>SUMIF(DeadRaw!$B:$B,$B64,DeadRaw!BJ:BJ)</f>
        <v>9</v>
      </c>
      <c r="BI64">
        <f>SUMIF(DeadRaw!$B:$B,$B64,DeadRaw!BK:BK)</f>
        <v>11</v>
      </c>
      <c r="BJ64">
        <f>SUMIF(DeadRaw!$B:$B,$B64,DeadRaw!BL:BL)</f>
        <v>15</v>
      </c>
      <c r="BK64">
        <f>SUMIF(DeadRaw!$B:$B,$B64,DeadRaw!BM:BM)</f>
        <v>17</v>
      </c>
      <c r="BL64">
        <f>SUMIF(DeadRaw!$B:$B,$B64,DeadRaw!BN:BN)</f>
        <v>17</v>
      </c>
      <c r="BM64">
        <f>SUMIF(DeadRaw!$B:$B,$B64,DeadRaw!BO:BO)</f>
        <v>19</v>
      </c>
      <c r="BN64">
        <f>SUMIF(DeadRaw!$B:$B,$B64,DeadRaw!BP:BP)</f>
        <v>21</v>
      </c>
      <c r="BO64">
        <f>SUMIF(DeadRaw!$B:$B,$B64,DeadRaw!BQ:BQ)</f>
        <v>25</v>
      </c>
      <c r="BP64">
        <f>SUMIF(DeadRaw!$B:$B,$B64,DeadRaw!BR:BR)</f>
        <v>26</v>
      </c>
      <c r="BQ64">
        <f>SUMIF(DeadRaw!$B:$B,$B64,DeadRaw!BS:BS)</f>
        <v>29</v>
      </c>
      <c r="BR64">
        <f>SUMIF(DeadRaw!$B:$B,$B64,DeadRaw!BT:BT)</f>
        <v>0</v>
      </c>
      <c r="BS64">
        <f>SUMIF(DeadRaw!$B:$B,$B64,DeadRaw!BU:BU)</f>
        <v>0</v>
      </c>
      <c r="BT64">
        <f>SUMIF(DeadRaw!$B:$B,$B64,DeadRaw!BV:BV)</f>
        <v>0</v>
      </c>
      <c r="BU64">
        <f>SUMIF(DeadRaw!$B:$B,$B64,DeadRaw!BW:BW)</f>
        <v>0</v>
      </c>
    </row>
    <row r="65" spans="1:73" ht="15" thickBot="1" x14ac:dyDescent="0.35">
      <c r="A65" s="97" t="str">
        <f>VLOOKUP(B65,Country_Data!B:Q,16,FALSE)</f>
        <v>Europe</v>
      </c>
      <c r="B65" s="3" t="s">
        <v>82</v>
      </c>
      <c r="C65">
        <f>SUMIF(DeadRaw!$B:$B,$B65,DeadRaw!E:E)</f>
        <v>0</v>
      </c>
      <c r="D65">
        <f>SUMIF(DeadRaw!$B:$B,$B65,DeadRaw!F:F)</f>
        <v>0</v>
      </c>
      <c r="E65">
        <f>SUMIF(DeadRaw!$B:$B,$B65,DeadRaw!G:G)</f>
        <v>0</v>
      </c>
      <c r="F65">
        <f>SUMIF(DeadRaw!$B:$B,$B65,DeadRaw!H:H)</f>
        <v>0</v>
      </c>
      <c r="G65">
        <f>SUMIF(DeadRaw!$B:$B,$B65,DeadRaw!I:I)</f>
        <v>0</v>
      </c>
      <c r="H65">
        <f>SUMIF(DeadRaw!$B:$B,$B65,DeadRaw!J:J)</f>
        <v>0</v>
      </c>
      <c r="I65">
        <f>SUMIF(DeadRaw!$B:$B,$B65,DeadRaw!K:K)</f>
        <v>0</v>
      </c>
      <c r="J65">
        <f>SUMIF(DeadRaw!$B:$B,$B65,DeadRaw!L:L)</f>
        <v>0</v>
      </c>
      <c r="K65">
        <f>SUMIF(DeadRaw!$B:$B,$B65,DeadRaw!M:M)</f>
        <v>0</v>
      </c>
      <c r="L65">
        <f>SUMIF(DeadRaw!$B:$B,$B65,DeadRaw!N:N)</f>
        <v>0</v>
      </c>
      <c r="M65">
        <f>SUMIF(DeadRaw!$B:$B,$B65,DeadRaw!O:O)</f>
        <v>0</v>
      </c>
      <c r="N65">
        <f>SUMIF(DeadRaw!$B:$B,$B65,DeadRaw!P:P)</f>
        <v>0</v>
      </c>
      <c r="O65">
        <f>SUMIF(DeadRaw!$B:$B,$B65,DeadRaw!Q:Q)</f>
        <v>0</v>
      </c>
      <c r="P65">
        <f>SUMIF(DeadRaw!$B:$B,$B65,DeadRaw!R:R)</f>
        <v>0</v>
      </c>
      <c r="Q65">
        <f>SUMIF(DeadRaw!$B:$B,$B65,DeadRaw!S:S)</f>
        <v>0</v>
      </c>
      <c r="R65">
        <f>SUMIF(DeadRaw!$B:$B,$B65,DeadRaw!T:T)</f>
        <v>0</v>
      </c>
      <c r="S65">
        <f>SUMIF(DeadRaw!$B:$B,$B65,DeadRaw!U:U)</f>
        <v>0</v>
      </c>
      <c r="T65">
        <f>SUMIF(DeadRaw!$B:$B,$B65,DeadRaw!V:V)</f>
        <v>0</v>
      </c>
      <c r="U65">
        <f>SUMIF(DeadRaw!$B:$B,$B65,DeadRaw!W:W)</f>
        <v>0</v>
      </c>
      <c r="V65">
        <f>SUMIF(DeadRaw!$B:$B,$B65,DeadRaw!X:X)</f>
        <v>0</v>
      </c>
      <c r="W65">
        <f>SUMIF(DeadRaw!$B:$B,$B65,DeadRaw!Y:Y)</f>
        <v>0</v>
      </c>
      <c r="X65">
        <f>SUMIF(DeadRaw!$B:$B,$B65,DeadRaw!Z:Z)</f>
        <v>0</v>
      </c>
      <c r="Y65">
        <f>SUMIF(DeadRaw!$B:$B,$B65,DeadRaw!AA:AA)</f>
        <v>0</v>
      </c>
      <c r="Z65">
        <f>SUMIF(DeadRaw!$B:$B,$B65,DeadRaw!AB:AB)</f>
        <v>0</v>
      </c>
      <c r="AA65">
        <f>SUMIF(DeadRaw!$B:$B,$B65,DeadRaw!AC:AC)</f>
        <v>0</v>
      </c>
      <c r="AB65">
        <f>SUMIF(DeadRaw!$B:$B,$B65,DeadRaw!AD:AD)</f>
        <v>0</v>
      </c>
      <c r="AC65">
        <f>SUMIF(DeadRaw!$B:$B,$B65,DeadRaw!AE:AE)</f>
        <v>0</v>
      </c>
      <c r="AD65">
        <f>SUMIF(DeadRaw!$B:$B,$B65,DeadRaw!AF:AF)</f>
        <v>0</v>
      </c>
      <c r="AE65">
        <f>SUMIF(DeadRaw!$B:$B,$B65,DeadRaw!AG:AG)</f>
        <v>0</v>
      </c>
      <c r="AF65">
        <f>SUMIF(DeadRaw!$B:$B,$B65,DeadRaw!AH:AH)</f>
        <v>0</v>
      </c>
      <c r="AG65">
        <f>SUMIF(DeadRaw!$B:$B,$B65,DeadRaw!AI:AI)</f>
        <v>0</v>
      </c>
      <c r="AH65">
        <f>SUMIF(DeadRaw!$B:$B,$B65,DeadRaw!AJ:AJ)</f>
        <v>0</v>
      </c>
      <c r="AI65">
        <f>SUMIF(DeadRaw!$B:$B,$B65,DeadRaw!AK:AK)</f>
        <v>0</v>
      </c>
      <c r="AJ65">
        <f>SUMIF(DeadRaw!$B:$B,$B65,DeadRaw!AL:AL)</f>
        <v>0</v>
      </c>
      <c r="AK65">
        <f>SUMIF(DeadRaw!$B:$B,$B65,DeadRaw!AM:AM)</f>
        <v>0</v>
      </c>
      <c r="AL65">
        <f>SUMIF(DeadRaw!$B:$B,$B65,DeadRaw!AN:AN)</f>
        <v>0</v>
      </c>
      <c r="AM65">
        <f>SUMIF(DeadRaw!$B:$B,$B65,DeadRaw!AO:AO)</f>
        <v>0</v>
      </c>
      <c r="AN65">
        <f>SUMIF(DeadRaw!$B:$B,$B65,DeadRaw!AP:AP)</f>
        <v>0</v>
      </c>
      <c r="AO65">
        <f>SUMIF(DeadRaw!$B:$B,$B65,DeadRaw!AQ:AQ)</f>
        <v>0</v>
      </c>
      <c r="AP65">
        <f>SUMIF(DeadRaw!$B:$B,$B65,DeadRaw!AR:AR)</f>
        <v>0</v>
      </c>
      <c r="AQ65">
        <f>SUMIF(DeadRaw!$B:$B,$B65,DeadRaw!AS:AS)</f>
        <v>0</v>
      </c>
      <c r="AR65">
        <f>SUMIF(DeadRaw!$B:$B,$B65,DeadRaw!AT:AT)</f>
        <v>0</v>
      </c>
      <c r="AS65">
        <f>SUMIF(DeadRaw!$B:$B,$B65,DeadRaw!AU:AU)</f>
        <v>0</v>
      </c>
      <c r="AT65">
        <f>SUMIF(DeadRaw!$B:$B,$B65,DeadRaw!AV:AV)</f>
        <v>0</v>
      </c>
      <c r="AU65">
        <f>SUMIF(DeadRaw!$B:$B,$B65,DeadRaw!AW:AW)</f>
        <v>0</v>
      </c>
      <c r="AV65">
        <f>SUMIF(DeadRaw!$B:$B,$B65,DeadRaw!AX:AX)</f>
        <v>0</v>
      </c>
      <c r="AW65">
        <f>SUMIF(DeadRaw!$B:$B,$B65,DeadRaw!AY:AY)</f>
        <v>0</v>
      </c>
      <c r="AX65">
        <f>SUMIF(DeadRaw!$B:$B,$B65,DeadRaw!AZ:AZ)</f>
        <v>0</v>
      </c>
      <c r="AY65">
        <f>SUMIF(DeadRaw!$B:$B,$B65,DeadRaw!BA:BA)</f>
        <v>0</v>
      </c>
      <c r="AZ65">
        <f>SUMIF(DeadRaw!$B:$B,$B65,DeadRaw!BB:BB)</f>
        <v>0</v>
      </c>
      <c r="BA65">
        <f>SUMIF(DeadRaw!$B:$B,$B65,DeadRaw!BC:BC)</f>
        <v>0</v>
      </c>
      <c r="BB65">
        <f>SUMIF(DeadRaw!$B:$B,$B65,DeadRaw!BD:BD)</f>
        <v>0</v>
      </c>
      <c r="BC65">
        <f>SUMIF(DeadRaw!$B:$B,$B65,DeadRaw!BE:BE)</f>
        <v>0</v>
      </c>
      <c r="BD65">
        <f>SUMIF(DeadRaw!$B:$B,$B65,DeadRaw!BF:BF)</f>
        <v>0</v>
      </c>
      <c r="BE65">
        <f>SUMIF(DeadRaw!$B:$B,$B65,DeadRaw!BG:BG)</f>
        <v>0</v>
      </c>
      <c r="BF65">
        <f>SUMIF(DeadRaw!$B:$B,$B65,DeadRaw!BH:BH)</f>
        <v>0</v>
      </c>
      <c r="BG65">
        <f>SUMIF(DeadRaw!$B:$B,$B65,DeadRaw!BI:BI)</f>
        <v>0</v>
      </c>
      <c r="BH65">
        <f>SUMIF(DeadRaw!$B:$B,$B65,DeadRaw!BJ:BJ)</f>
        <v>0</v>
      </c>
      <c r="BI65">
        <f>SUMIF(DeadRaw!$B:$B,$B65,DeadRaw!BK:BK)</f>
        <v>0</v>
      </c>
      <c r="BJ65">
        <f>SUMIF(DeadRaw!$B:$B,$B65,DeadRaw!BL:BL)</f>
        <v>0</v>
      </c>
      <c r="BK65">
        <f>SUMIF(DeadRaw!$B:$B,$B65,DeadRaw!BM:BM)</f>
        <v>0</v>
      </c>
      <c r="BL65">
        <f>SUMIF(DeadRaw!$B:$B,$B65,DeadRaw!BN:BN)</f>
        <v>0</v>
      </c>
      <c r="BM65">
        <f>SUMIF(DeadRaw!$B:$B,$B65,DeadRaw!BO:BO)</f>
        <v>0</v>
      </c>
      <c r="BN65">
        <f>SUMIF(DeadRaw!$B:$B,$B65,DeadRaw!BP:BP)</f>
        <v>0</v>
      </c>
      <c r="BO65">
        <f>SUMIF(DeadRaw!$B:$B,$B65,DeadRaw!BQ:BQ)</f>
        <v>0</v>
      </c>
      <c r="BP65">
        <f>SUMIF(DeadRaw!$B:$B,$B65,DeadRaw!BR:BR)</f>
        <v>0</v>
      </c>
      <c r="BQ65">
        <f>SUMIF(DeadRaw!$B:$B,$B65,DeadRaw!BS:BS)</f>
        <v>0</v>
      </c>
      <c r="BR65">
        <f>SUMIF(DeadRaw!$B:$B,$B65,DeadRaw!BT:BT)</f>
        <v>0</v>
      </c>
      <c r="BS65">
        <f>SUMIF(DeadRaw!$B:$B,$B65,DeadRaw!BU:BU)</f>
        <v>0</v>
      </c>
      <c r="BT65">
        <f>SUMIF(DeadRaw!$B:$B,$B65,DeadRaw!BV:BV)</f>
        <v>0</v>
      </c>
      <c r="BU65">
        <f>SUMIF(DeadRaw!$B:$B,$B65,DeadRaw!BW:BW)</f>
        <v>0</v>
      </c>
    </row>
    <row r="66" spans="1:73" ht="15" thickBot="1" x14ac:dyDescent="0.35">
      <c r="A66" s="97" t="str">
        <f>VLOOKUP(B66,Country_Data!B:Q,16,FALSE)</f>
        <v>Africa</v>
      </c>
      <c r="B66" s="3" t="s">
        <v>145</v>
      </c>
      <c r="C66">
        <f>SUMIF(DeadRaw!$B:$B,$B66,DeadRaw!E:E)</f>
        <v>0</v>
      </c>
      <c r="D66">
        <f>SUMIF(DeadRaw!$B:$B,$B66,DeadRaw!F:F)</f>
        <v>0</v>
      </c>
      <c r="E66">
        <f>SUMIF(DeadRaw!$B:$B,$B66,DeadRaw!G:G)</f>
        <v>0</v>
      </c>
      <c r="F66">
        <f>SUMIF(DeadRaw!$B:$B,$B66,DeadRaw!H:H)</f>
        <v>0</v>
      </c>
      <c r="G66">
        <f>SUMIF(DeadRaw!$B:$B,$B66,DeadRaw!I:I)</f>
        <v>0</v>
      </c>
      <c r="H66">
        <f>SUMIF(DeadRaw!$B:$B,$B66,DeadRaw!J:J)</f>
        <v>0</v>
      </c>
      <c r="I66">
        <f>SUMIF(DeadRaw!$B:$B,$B66,DeadRaw!K:K)</f>
        <v>0</v>
      </c>
      <c r="J66">
        <f>SUMIF(DeadRaw!$B:$B,$B66,DeadRaw!L:L)</f>
        <v>0</v>
      </c>
      <c r="K66">
        <f>SUMIF(DeadRaw!$B:$B,$B66,DeadRaw!M:M)</f>
        <v>0</v>
      </c>
      <c r="L66">
        <f>SUMIF(DeadRaw!$B:$B,$B66,DeadRaw!N:N)</f>
        <v>0</v>
      </c>
      <c r="M66">
        <f>SUMIF(DeadRaw!$B:$B,$B66,DeadRaw!O:O)</f>
        <v>0</v>
      </c>
      <c r="N66">
        <f>SUMIF(DeadRaw!$B:$B,$B66,DeadRaw!P:P)</f>
        <v>0</v>
      </c>
      <c r="O66">
        <f>SUMIF(DeadRaw!$B:$B,$B66,DeadRaw!Q:Q)</f>
        <v>0</v>
      </c>
      <c r="P66">
        <f>SUMIF(DeadRaw!$B:$B,$B66,DeadRaw!R:R)</f>
        <v>0</v>
      </c>
      <c r="Q66">
        <f>SUMIF(DeadRaw!$B:$B,$B66,DeadRaw!S:S)</f>
        <v>0</v>
      </c>
      <c r="R66">
        <f>SUMIF(DeadRaw!$B:$B,$B66,DeadRaw!T:T)</f>
        <v>0</v>
      </c>
      <c r="S66">
        <f>SUMIF(DeadRaw!$B:$B,$B66,DeadRaw!U:U)</f>
        <v>0</v>
      </c>
      <c r="T66">
        <f>SUMIF(DeadRaw!$B:$B,$B66,DeadRaw!V:V)</f>
        <v>0</v>
      </c>
      <c r="U66">
        <f>SUMIF(DeadRaw!$B:$B,$B66,DeadRaw!W:W)</f>
        <v>0</v>
      </c>
      <c r="V66">
        <f>SUMIF(DeadRaw!$B:$B,$B66,DeadRaw!X:X)</f>
        <v>0</v>
      </c>
      <c r="W66">
        <f>SUMIF(DeadRaw!$B:$B,$B66,DeadRaw!Y:Y)</f>
        <v>0</v>
      </c>
      <c r="X66">
        <f>SUMIF(DeadRaw!$B:$B,$B66,DeadRaw!Z:Z)</f>
        <v>0</v>
      </c>
      <c r="Y66">
        <f>SUMIF(DeadRaw!$B:$B,$B66,DeadRaw!AA:AA)</f>
        <v>0</v>
      </c>
      <c r="Z66">
        <f>SUMIF(DeadRaw!$B:$B,$B66,DeadRaw!AB:AB)</f>
        <v>0</v>
      </c>
      <c r="AA66">
        <f>SUMIF(DeadRaw!$B:$B,$B66,DeadRaw!AC:AC)</f>
        <v>0</v>
      </c>
      <c r="AB66">
        <f>SUMIF(DeadRaw!$B:$B,$B66,DeadRaw!AD:AD)</f>
        <v>0</v>
      </c>
      <c r="AC66">
        <f>SUMIF(DeadRaw!$B:$B,$B66,DeadRaw!AE:AE)</f>
        <v>0</v>
      </c>
      <c r="AD66">
        <f>SUMIF(DeadRaw!$B:$B,$B66,DeadRaw!AF:AF)</f>
        <v>0</v>
      </c>
      <c r="AE66">
        <f>SUMIF(DeadRaw!$B:$B,$B66,DeadRaw!AG:AG)</f>
        <v>0</v>
      </c>
      <c r="AF66">
        <f>SUMIF(DeadRaw!$B:$B,$B66,DeadRaw!AH:AH)</f>
        <v>0</v>
      </c>
      <c r="AG66">
        <f>SUMIF(DeadRaw!$B:$B,$B66,DeadRaw!AI:AI)</f>
        <v>0</v>
      </c>
      <c r="AH66">
        <f>SUMIF(DeadRaw!$B:$B,$B66,DeadRaw!AJ:AJ)</f>
        <v>0</v>
      </c>
      <c r="AI66">
        <f>SUMIF(DeadRaw!$B:$B,$B66,DeadRaw!AK:AK)</f>
        <v>0</v>
      </c>
      <c r="AJ66">
        <f>SUMIF(DeadRaw!$B:$B,$B66,DeadRaw!AL:AL)</f>
        <v>0</v>
      </c>
      <c r="AK66">
        <f>SUMIF(DeadRaw!$B:$B,$B66,DeadRaw!AM:AM)</f>
        <v>0</v>
      </c>
      <c r="AL66">
        <f>SUMIF(DeadRaw!$B:$B,$B66,DeadRaw!AN:AN)</f>
        <v>0</v>
      </c>
      <c r="AM66">
        <f>SUMIF(DeadRaw!$B:$B,$B66,DeadRaw!AO:AO)</f>
        <v>0</v>
      </c>
      <c r="AN66">
        <f>SUMIF(DeadRaw!$B:$B,$B66,DeadRaw!AP:AP)</f>
        <v>0</v>
      </c>
      <c r="AO66">
        <f>SUMIF(DeadRaw!$B:$B,$B66,DeadRaw!AQ:AQ)</f>
        <v>0</v>
      </c>
      <c r="AP66">
        <f>SUMIF(DeadRaw!$B:$B,$B66,DeadRaw!AR:AR)</f>
        <v>0</v>
      </c>
      <c r="AQ66">
        <f>SUMIF(DeadRaw!$B:$B,$B66,DeadRaw!AS:AS)</f>
        <v>0</v>
      </c>
      <c r="AR66">
        <f>SUMIF(DeadRaw!$B:$B,$B66,DeadRaw!AT:AT)</f>
        <v>0</v>
      </c>
      <c r="AS66">
        <f>SUMIF(DeadRaw!$B:$B,$B66,DeadRaw!AU:AU)</f>
        <v>0</v>
      </c>
      <c r="AT66">
        <f>SUMIF(DeadRaw!$B:$B,$B66,DeadRaw!AV:AV)</f>
        <v>0</v>
      </c>
      <c r="AU66">
        <f>SUMIF(DeadRaw!$B:$B,$B66,DeadRaw!AW:AW)</f>
        <v>0</v>
      </c>
      <c r="AV66">
        <f>SUMIF(DeadRaw!$B:$B,$B66,DeadRaw!AX:AX)</f>
        <v>0</v>
      </c>
      <c r="AW66">
        <f>SUMIF(DeadRaw!$B:$B,$B66,DeadRaw!AY:AY)</f>
        <v>0</v>
      </c>
      <c r="AX66">
        <f>SUMIF(DeadRaw!$B:$B,$B66,DeadRaw!AZ:AZ)</f>
        <v>0</v>
      </c>
      <c r="AY66">
        <f>SUMIF(DeadRaw!$B:$B,$B66,DeadRaw!BA:BA)</f>
        <v>0</v>
      </c>
      <c r="AZ66">
        <f>SUMIF(DeadRaw!$B:$B,$B66,DeadRaw!BB:BB)</f>
        <v>0</v>
      </c>
      <c r="BA66">
        <f>SUMIF(DeadRaw!$B:$B,$B66,DeadRaw!BC:BC)</f>
        <v>0</v>
      </c>
      <c r="BB66">
        <f>SUMIF(DeadRaw!$B:$B,$B66,DeadRaw!BD:BD)</f>
        <v>0</v>
      </c>
      <c r="BC66">
        <f>SUMIF(DeadRaw!$B:$B,$B66,DeadRaw!BE:BE)</f>
        <v>0</v>
      </c>
      <c r="BD66">
        <f>SUMIF(DeadRaw!$B:$B,$B66,DeadRaw!BF:BF)</f>
        <v>0</v>
      </c>
      <c r="BE66">
        <f>SUMIF(DeadRaw!$B:$B,$B66,DeadRaw!BG:BG)</f>
        <v>0</v>
      </c>
      <c r="BF66">
        <f>SUMIF(DeadRaw!$B:$B,$B66,DeadRaw!BH:BH)</f>
        <v>0</v>
      </c>
      <c r="BG66">
        <f>SUMIF(DeadRaw!$B:$B,$B66,DeadRaw!BI:BI)</f>
        <v>0</v>
      </c>
      <c r="BH66">
        <f>SUMIF(DeadRaw!$B:$B,$B66,DeadRaw!BJ:BJ)</f>
        <v>0</v>
      </c>
      <c r="BI66">
        <f>SUMIF(DeadRaw!$B:$B,$B66,DeadRaw!BK:BK)</f>
        <v>0</v>
      </c>
      <c r="BJ66">
        <f>SUMIF(DeadRaw!$B:$B,$B66,DeadRaw!BL:BL)</f>
        <v>0</v>
      </c>
      <c r="BK66">
        <f>SUMIF(DeadRaw!$B:$B,$B66,DeadRaw!BM:BM)</f>
        <v>0</v>
      </c>
      <c r="BL66">
        <f>SUMIF(DeadRaw!$B:$B,$B66,DeadRaw!BN:BN)</f>
        <v>0</v>
      </c>
      <c r="BM66">
        <f>SUMIF(DeadRaw!$B:$B,$B66,DeadRaw!BO:BO)</f>
        <v>0</v>
      </c>
      <c r="BN66">
        <f>SUMIF(DeadRaw!$B:$B,$B66,DeadRaw!BP:BP)</f>
        <v>0</v>
      </c>
      <c r="BO66">
        <f>SUMIF(DeadRaw!$B:$B,$B66,DeadRaw!BQ:BQ)</f>
        <v>0</v>
      </c>
      <c r="BP66">
        <f>SUMIF(DeadRaw!$B:$B,$B66,DeadRaw!BR:BR)</f>
        <v>1</v>
      </c>
      <c r="BQ66">
        <f>SUMIF(DeadRaw!$B:$B,$B66,DeadRaw!BS:BS)</f>
        <v>1</v>
      </c>
      <c r="BR66">
        <f>SUMIF(DeadRaw!$B:$B,$B66,DeadRaw!BT:BT)</f>
        <v>0</v>
      </c>
      <c r="BS66">
        <f>SUMIF(DeadRaw!$B:$B,$B66,DeadRaw!BU:BU)</f>
        <v>0</v>
      </c>
      <c r="BT66">
        <f>SUMIF(DeadRaw!$B:$B,$B66,DeadRaw!BV:BV)</f>
        <v>0</v>
      </c>
      <c r="BU66">
        <f>SUMIF(DeadRaw!$B:$B,$B66,DeadRaw!BW:BW)</f>
        <v>0</v>
      </c>
    </row>
    <row r="67" spans="1:73" ht="15" thickBot="1" x14ac:dyDescent="0.35">
      <c r="A67" s="97" t="str">
        <f>VLOOKUP(B67,Country_Data!B:Q,16,FALSE)</f>
        <v>Europe</v>
      </c>
      <c r="B67" s="3" t="s">
        <v>199</v>
      </c>
      <c r="C67">
        <f>SUMIF(DeadRaw!$B:$B,$B67,DeadRaw!E:E)</f>
        <v>0</v>
      </c>
      <c r="D67">
        <f>SUMIF(DeadRaw!$B:$B,$B67,DeadRaw!F:F)</f>
        <v>0</v>
      </c>
      <c r="E67">
        <f>SUMIF(DeadRaw!$B:$B,$B67,DeadRaw!G:G)</f>
        <v>0</v>
      </c>
      <c r="F67">
        <f>SUMIF(DeadRaw!$B:$B,$B67,DeadRaw!H:H)</f>
        <v>0</v>
      </c>
      <c r="G67">
        <f>SUMIF(DeadRaw!$B:$B,$B67,DeadRaw!I:I)</f>
        <v>0</v>
      </c>
      <c r="H67">
        <f>SUMIF(DeadRaw!$B:$B,$B67,DeadRaw!J:J)</f>
        <v>0</v>
      </c>
      <c r="I67">
        <f>SUMIF(DeadRaw!$B:$B,$B67,DeadRaw!K:K)</f>
        <v>0</v>
      </c>
      <c r="J67">
        <f>SUMIF(DeadRaw!$B:$B,$B67,DeadRaw!L:L)</f>
        <v>0</v>
      </c>
      <c r="K67">
        <f>SUMIF(DeadRaw!$B:$B,$B67,DeadRaw!M:M)</f>
        <v>0</v>
      </c>
      <c r="L67">
        <f>SUMIF(DeadRaw!$B:$B,$B67,DeadRaw!N:N)</f>
        <v>0</v>
      </c>
      <c r="M67">
        <f>SUMIF(DeadRaw!$B:$B,$B67,DeadRaw!O:O)</f>
        <v>0</v>
      </c>
      <c r="N67">
        <f>SUMIF(DeadRaw!$B:$B,$B67,DeadRaw!P:P)</f>
        <v>0</v>
      </c>
      <c r="O67">
        <f>SUMIF(DeadRaw!$B:$B,$B67,DeadRaw!Q:Q)</f>
        <v>0</v>
      </c>
      <c r="P67">
        <f>SUMIF(DeadRaw!$B:$B,$B67,DeadRaw!R:R)</f>
        <v>0</v>
      </c>
      <c r="Q67">
        <f>SUMIF(DeadRaw!$B:$B,$B67,DeadRaw!S:S)</f>
        <v>0</v>
      </c>
      <c r="R67">
        <f>SUMIF(DeadRaw!$B:$B,$B67,DeadRaw!T:T)</f>
        <v>0</v>
      </c>
      <c r="S67">
        <f>SUMIF(DeadRaw!$B:$B,$B67,DeadRaw!U:U)</f>
        <v>0</v>
      </c>
      <c r="T67">
        <f>SUMIF(DeadRaw!$B:$B,$B67,DeadRaw!V:V)</f>
        <v>0</v>
      </c>
      <c r="U67">
        <f>SUMIF(DeadRaw!$B:$B,$B67,DeadRaw!W:W)</f>
        <v>0</v>
      </c>
      <c r="V67">
        <f>SUMIF(DeadRaw!$B:$B,$B67,DeadRaw!X:X)</f>
        <v>0</v>
      </c>
      <c r="W67">
        <f>SUMIF(DeadRaw!$B:$B,$B67,DeadRaw!Y:Y)</f>
        <v>0</v>
      </c>
      <c r="X67">
        <f>SUMIF(DeadRaw!$B:$B,$B67,DeadRaw!Z:Z)</f>
        <v>0</v>
      </c>
      <c r="Y67">
        <f>SUMIF(DeadRaw!$B:$B,$B67,DeadRaw!AA:AA)</f>
        <v>0</v>
      </c>
      <c r="Z67">
        <f>SUMIF(DeadRaw!$B:$B,$B67,DeadRaw!AB:AB)</f>
        <v>0</v>
      </c>
      <c r="AA67">
        <f>SUMIF(DeadRaw!$B:$B,$B67,DeadRaw!AC:AC)</f>
        <v>0</v>
      </c>
      <c r="AB67">
        <f>SUMIF(DeadRaw!$B:$B,$B67,DeadRaw!AD:AD)</f>
        <v>0</v>
      </c>
      <c r="AC67">
        <f>SUMIF(DeadRaw!$B:$B,$B67,DeadRaw!AE:AE)</f>
        <v>0</v>
      </c>
      <c r="AD67">
        <f>SUMIF(DeadRaw!$B:$B,$B67,DeadRaw!AF:AF)</f>
        <v>0</v>
      </c>
      <c r="AE67">
        <f>SUMIF(DeadRaw!$B:$B,$B67,DeadRaw!AG:AG)</f>
        <v>0</v>
      </c>
      <c r="AF67">
        <f>SUMIF(DeadRaw!$B:$B,$B67,DeadRaw!AH:AH)</f>
        <v>0</v>
      </c>
      <c r="AG67">
        <f>SUMIF(DeadRaw!$B:$B,$B67,DeadRaw!AI:AI)</f>
        <v>0</v>
      </c>
      <c r="AH67">
        <f>SUMIF(DeadRaw!$B:$B,$B67,DeadRaw!AJ:AJ)</f>
        <v>0</v>
      </c>
      <c r="AI67">
        <f>SUMIF(DeadRaw!$B:$B,$B67,DeadRaw!AK:AK)</f>
        <v>0</v>
      </c>
      <c r="AJ67">
        <f>SUMIF(DeadRaw!$B:$B,$B67,DeadRaw!AL:AL)</f>
        <v>0</v>
      </c>
      <c r="AK67">
        <f>SUMIF(DeadRaw!$B:$B,$B67,DeadRaw!AM:AM)</f>
        <v>0</v>
      </c>
      <c r="AL67">
        <f>SUMIF(DeadRaw!$B:$B,$B67,DeadRaw!AN:AN)</f>
        <v>0</v>
      </c>
      <c r="AM67">
        <f>SUMIF(DeadRaw!$B:$B,$B67,DeadRaw!AO:AO)</f>
        <v>0</v>
      </c>
      <c r="AN67">
        <f>SUMIF(DeadRaw!$B:$B,$B67,DeadRaw!AP:AP)</f>
        <v>0</v>
      </c>
      <c r="AO67">
        <f>SUMIF(DeadRaw!$B:$B,$B67,DeadRaw!AQ:AQ)</f>
        <v>0</v>
      </c>
      <c r="AP67">
        <f>SUMIF(DeadRaw!$B:$B,$B67,DeadRaw!AR:AR)</f>
        <v>0</v>
      </c>
      <c r="AQ67">
        <f>SUMIF(DeadRaw!$B:$B,$B67,DeadRaw!AS:AS)</f>
        <v>0</v>
      </c>
      <c r="AR67">
        <f>SUMIF(DeadRaw!$B:$B,$B67,DeadRaw!AT:AT)</f>
        <v>0</v>
      </c>
      <c r="AS67">
        <f>SUMIF(DeadRaw!$B:$B,$B67,DeadRaw!AU:AU)</f>
        <v>0</v>
      </c>
      <c r="AT67">
        <f>SUMIF(DeadRaw!$B:$B,$B67,DeadRaw!AV:AV)</f>
        <v>0</v>
      </c>
      <c r="AU67">
        <f>SUMIF(DeadRaw!$B:$B,$B67,DeadRaw!AW:AW)</f>
        <v>0</v>
      </c>
      <c r="AV67">
        <f>SUMIF(DeadRaw!$B:$B,$B67,DeadRaw!AX:AX)</f>
        <v>0</v>
      </c>
      <c r="AW67">
        <f>SUMIF(DeadRaw!$B:$B,$B67,DeadRaw!AY:AY)</f>
        <v>0</v>
      </c>
      <c r="AX67">
        <f>SUMIF(DeadRaw!$B:$B,$B67,DeadRaw!AZ:AZ)</f>
        <v>0</v>
      </c>
      <c r="AY67">
        <f>SUMIF(DeadRaw!$B:$B,$B67,DeadRaw!BA:BA)</f>
        <v>0</v>
      </c>
      <c r="AZ67">
        <f>SUMIF(DeadRaw!$B:$B,$B67,DeadRaw!BB:BB)</f>
        <v>1</v>
      </c>
      <c r="BA67">
        <f>SUMIF(DeadRaw!$B:$B,$B67,DeadRaw!BC:BC)</f>
        <v>1</v>
      </c>
      <c r="BB67">
        <f>SUMIF(DeadRaw!$B:$B,$B67,DeadRaw!BD:BD)</f>
        <v>1</v>
      </c>
      <c r="BC67">
        <f>SUMIF(DeadRaw!$B:$B,$B67,DeadRaw!BE:BE)</f>
        <v>2</v>
      </c>
      <c r="BD67">
        <f>SUMIF(DeadRaw!$B:$B,$B67,DeadRaw!BF:BF)</f>
        <v>2</v>
      </c>
      <c r="BE67">
        <f>SUMIF(DeadRaw!$B:$B,$B67,DeadRaw!BG:BG)</f>
        <v>2</v>
      </c>
      <c r="BF67">
        <f>SUMIF(DeadRaw!$B:$B,$B67,DeadRaw!BH:BH)</f>
        <v>2</v>
      </c>
      <c r="BG67">
        <f>SUMIF(DeadRaw!$B:$B,$B67,DeadRaw!BI:BI)</f>
        <v>2</v>
      </c>
      <c r="BH67">
        <f>SUMIF(DeadRaw!$B:$B,$B67,DeadRaw!BJ:BJ)</f>
        <v>3</v>
      </c>
      <c r="BI67">
        <f>SUMIF(DeadRaw!$B:$B,$B67,DeadRaw!BK:BK)</f>
        <v>3</v>
      </c>
      <c r="BJ67">
        <f>SUMIF(DeadRaw!$B:$B,$B67,DeadRaw!BL:BL)</f>
        <v>3</v>
      </c>
      <c r="BK67">
        <f>SUMIF(DeadRaw!$B:$B,$B67,DeadRaw!BM:BM)</f>
        <v>3</v>
      </c>
      <c r="BL67">
        <f>SUMIF(DeadRaw!$B:$B,$B67,DeadRaw!BN:BN)</f>
        <v>3</v>
      </c>
      <c r="BM67">
        <f>SUMIF(DeadRaw!$B:$B,$B67,DeadRaw!BO:BO)</f>
        <v>3</v>
      </c>
      <c r="BN67">
        <f>SUMIF(DeadRaw!$B:$B,$B67,DeadRaw!BP:BP)</f>
        <v>3</v>
      </c>
      <c r="BO67">
        <f>SUMIF(DeadRaw!$B:$B,$B67,DeadRaw!BQ:BQ)</f>
        <v>3</v>
      </c>
      <c r="BP67">
        <f>SUMIF(DeadRaw!$B:$B,$B67,DeadRaw!BR:BR)</f>
        <v>3</v>
      </c>
      <c r="BQ67">
        <f>SUMIF(DeadRaw!$B:$B,$B67,DeadRaw!BS:BS)</f>
        <v>7</v>
      </c>
      <c r="BR67">
        <f>SUMIF(DeadRaw!$B:$B,$B67,DeadRaw!BT:BT)</f>
        <v>0</v>
      </c>
      <c r="BS67">
        <f>SUMIF(DeadRaw!$B:$B,$B67,DeadRaw!BU:BU)</f>
        <v>0</v>
      </c>
      <c r="BT67">
        <f>SUMIF(DeadRaw!$B:$B,$B67,DeadRaw!BV:BV)</f>
        <v>0</v>
      </c>
      <c r="BU67">
        <f>SUMIF(DeadRaw!$B:$B,$B67,DeadRaw!BW:BW)</f>
        <v>0</v>
      </c>
    </row>
    <row r="68" spans="1:73" ht="15" thickBot="1" x14ac:dyDescent="0.35">
      <c r="A68" s="97" t="str">
        <f>VLOOKUP(B68,Country_Data!B:Q,16,FALSE)</f>
        <v>North America</v>
      </c>
      <c r="B68" s="3" t="s">
        <v>159</v>
      </c>
      <c r="C68">
        <f>SUMIF(DeadRaw!$B:$B,$B68,DeadRaw!E:E)</f>
        <v>0</v>
      </c>
      <c r="D68">
        <f>SUMIF(DeadRaw!$B:$B,$B68,DeadRaw!F:F)</f>
        <v>0</v>
      </c>
      <c r="E68">
        <f>SUMIF(DeadRaw!$B:$B,$B68,DeadRaw!G:G)</f>
        <v>0</v>
      </c>
      <c r="F68">
        <f>SUMIF(DeadRaw!$B:$B,$B68,DeadRaw!H:H)</f>
        <v>0</v>
      </c>
      <c r="G68">
        <f>SUMIF(DeadRaw!$B:$B,$B68,DeadRaw!I:I)</f>
        <v>0</v>
      </c>
      <c r="H68">
        <f>SUMIF(DeadRaw!$B:$B,$B68,DeadRaw!J:J)</f>
        <v>0</v>
      </c>
      <c r="I68">
        <f>SUMIF(DeadRaw!$B:$B,$B68,DeadRaw!K:K)</f>
        <v>0</v>
      </c>
      <c r="J68">
        <f>SUMIF(DeadRaw!$B:$B,$B68,DeadRaw!L:L)</f>
        <v>0</v>
      </c>
      <c r="K68">
        <f>SUMIF(DeadRaw!$B:$B,$B68,DeadRaw!M:M)</f>
        <v>0</v>
      </c>
      <c r="L68">
        <f>SUMIF(DeadRaw!$B:$B,$B68,DeadRaw!N:N)</f>
        <v>0</v>
      </c>
      <c r="M68">
        <f>SUMIF(DeadRaw!$B:$B,$B68,DeadRaw!O:O)</f>
        <v>0</v>
      </c>
      <c r="N68">
        <f>SUMIF(DeadRaw!$B:$B,$B68,DeadRaw!P:P)</f>
        <v>0</v>
      </c>
      <c r="O68">
        <f>SUMIF(DeadRaw!$B:$B,$B68,DeadRaw!Q:Q)</f>
        <v>0</v>
      </c>
      <c r="P68">
        <f>SUMIF(DeadRaw!$B:$B,$B68,DeadRaw!R:R)</f>
        <v>0</v>
      </c>
      <c r="Q68">
        <f>SUMIF(DeadRaw!$B:$B,$B68,DeadRaw!S:S)</f>
        <v>0</v>
      </c>
      <c r="R68">
        <f>SUMIF(DeadRaw!$B:$B,$B68,DeadRaw!T:T)</f>
        <v>0</v>
      </c>
      <c r="S68">
        <f>SUMIF(DeadRaw!$B:$B,$B68,DeadRaw!U:U)</f>
        <v>0</v>
      </c>
      <c r="T68">
        <f>SUMIF(DeadRaw!$B:$B,$B68,DeadRaw!V:V)</f>
        <v>0</v>
      </c>
      <c r="U68">
        <f>SUMIF(DeadRaw!$B:$B,$B68,DeadRaw!W:W)</f>
        <v>0</v>
      </c>
      <c r="V68">
        <f>SUMIF(DeadRaw!$B:$B,$B68,DeadRaw!X:X)</f>
        <v>0</v>
      </c>
      <c r="W68">
        <f>SUMIF(DeadRaw!$B:$B,$B68,DeadRaw!Y:Y)</f>
        <v>0</v>
      </c>
      <c r="X68">
        <f>SUMIF(DeadRaw!$B:$B,$B68,DeadRaw!Z:Z)</f>
        <v>0</v>
      </c>
      <c r="Y68">
        <f>SUMIF(DeadRaw!$B:$B,$B68,DeadRaw!AA:AA)</f>
        <v>0</v>
      </c>
      <c r="Z68">
        <f>SUMIF(DeadRaw!$B:$B,$B68,DeadRaw!AB:AB)</f>
        <v>0</v>
      </c>
      <c r="AA68">
        <f>SUMIF(DeadRaw!$B:$B,$B68,DeadRaw!AC:AC)</f>
        <v>0</v>
      </c>
      <c r="AB68">
        <f>SUMIF(DeadRaw!$B:$B,$B68,DeadRaw!AD:AD)</f>
        <v>0</v>
      </c>
      <c r="AC68">
        <f>SUMIF(DeadRaw!$B:$B,$B68,DeadRaw!AE:AE)</f>
        <v>0</v>
      </c>
      <c r="AD68">
        <f>SUMIF(DeadRaw!$B:$B,$B68,DeadRaw!AF:AF)</f>
        <v>0</v>
      </c>
      <c r="AE68">
        <f>SUMIF(DeadRaw!$B:$B,$B68,DeadRaw!AG:AG)</f>
        <v>0</v>
      </c>
      <c r="AF68">
        <f>SUMIF(DeadRaw!$B:$B,$B68,DeadRaw!AH:AH)</f>
        <v>0</v>
      </c>
      <c r="AG68">
        <f>SUMIF(DeadRaw!$B:$B,$B68,DeadRaw!AI:AI)</f>
        <v>0</v>
      </c>
      <c r="AH68">
        <f>SUMIF(DeadRaw!$B:$B,$B68,DeadRaw!AJ:AJ)</f>
        <v>0</v>
      </c>
      <c r="AI68">
        <f>SUMIF(DeadRaw!$B:$B,$B68,DeadRaw!AK:AK)</f>
        <v>0</v>
      </c>
      <c r="AJ68">
        <f>SUMIF(DeadRaw!$B:$B,$B68,DeadRaw!AL:AL)</f>
        <v>0</v>
      </c>
      <c r="AK68">
        <f>SUMIF(DeadRaw!$B:$B,$B68,DeadRaw!AM:AM)</f>
        <v>0</v>
      </c>
      <c r="AL68">
        <f>SUMIF(DeadRaw!$B:$B,$B68,DeadRaw!AN:AN)</f>
        <v>0</v>
      </c>
      <c r="AM68">
        <f>SUMIF(DeadRaw!$B:$B,$B68,DeadRaw!AO:AO)</f>
        <v>0</v>
      </c>
      <c r="AN68">
        <f>SUMIF(DeadRaw!$B:$B,$B68,DeadRaw!AP:AP)</f>
        <v>0</v>
      </c>
      <c r="AO68">
        <f>SUMIF(DeadRaw!$B:$B,$B68,DeadRaw!AQ:AQ)</f>
        <v>0</v>
      </c>
      <c r="AP68">
        <f>SUMIF(DeadRaw!$B:$B,$B68,DeadRaw!AR:AR)</f>
        <v>0</v>
      </c>
      <c r="AQ68">
        <f>SUMIF(DeadRaw!$B:$B,$B68,DeadRaw!AS:AS)</f>
        <v>0</v>
      </c>
      <c r="AR68">
        <f>SUMIF(DeadRaw!$B:$B,$B68,DeadRaw!AT:AT)</f>
        <v>0</v>
      </c>
      <c r="AS68">
        <f>SUMIF(DeadRaw!$B:$B,$B68,DeadRaw!AU:AU)</f>
        <v>0</v>
      </c>
      <c r="AT68">
        <f>SUMIF(DeadRaw!$B:$B,$B68,DeadRaw!AV:AV)</f>
        <v>0</v>
      </c>
      <c r="AU68">
        <f>SUMIF(DeadRaw!$B:$B,$B68,DeadRaw!AW:AW)</f>
        <v>0</v>
      </c>
      <c r="AV68">
        <f>SUMIF(DeadRaw!$B:$B,$B68,DeadRaw!AX:AX)</f>
        <v>0</v>
      </c>
      <c r="AW68">
        <f>SUMIF(DeadRaw!$B:$B,$B68,DeadRaw!AY:AY)</f>
        <v>0</v>
      </c>
      <c r="AX68">
        <f>SUMIF(DeadRaw!$B:$B,$B68,DeadRaw!AZ:AZ)</f>
        <v>0</v>
      </c>
      <c r="AY68">
        <f>SUMIF(DeadRaw!$B:$B,$B68,DeadRaw!BA:BA)</f>
        <v>0</v>
      </c>
      <c r="AZ68">
        <f>SUMIF(DeadRaw!$B:$B,$B68,DeadRaw!BB:BB)</f>
        <v>0</v>
      </c>
      <c r="BA68">
        <f>SUMIF(DeadRaw!$B:$B,$B68,DeadRaw!BC:BC)</f>
        <v>0</v>
      </c>
      <c r="BB68">
        <f>SUMIF(DeadRaw!$B:$B,$B68,DeadRaw!BD:BD)</f>
        <v>0</v>
      </c>
      <c r="BC68">
        <f>SUMIF(DeadRaw!$B:$B,$B68,DeadRaw!BE:BE)</f>
        <v>0</v>
      </c>
      <c r="BD68">
        <f>SUMIF(DeadRaw!$B:$B,$B68,DeadRaw!BF:BF)</f>
        <v>0</v>
      </c>
      <c r="BE68">
        <f>SUMIF(DeadRaw!$B:$B,$B68,DeadRaw!BG:BG)</f>
        <v>0</v>
      </c>
      <c r="BF68">
        <f>SUMIF(DeadRaw!$B:$B,$B68,DeadRaw!BH:BH)</f>
        <v>0</v>
      </c>
      <c r="BG68">
        <f>SUMIF(DeadRaw!$B:$B,$B68,DeadRaw!BI:BI)</f>
        <v>0</v>
      </c>
      <c r="BH68">
        <f>SUMIF(DeadRaw!$B:$B,$B68,DeadRaw!BJ:BJ)</f>
        <v>1</v>
      </c>
      <c r="BI68">
        <f>SUMIF(DeadRaw!$B:$B,$B68,DeadRaw!BK:BK)</f>
        <v>1</v>
      </c>
      <c r="BJ68">
        <f>SUMIF(DeadRaw!$B:$B,$B68,DeadRaw!BL:BL)</f>
        <v>2</v>
      </c>
      <c r="BK68">
        <f>SUMIF(DeadRaw!$B:$B,$B68,DeadRaw!BM:BM)</f>
        <v>2</v>
      </c>
      <c r="BL68">
        <f>SUMIF(DeadRaw!$B:$B,$B68,DeadRaw!BN:BN)</f>
        <v>2</v>
      </c>
      <c r="BM68">
        <f>SUMIF(DeadRaw!$B:$B,$B68,DeadRaw!BO:BO)</f>
        <v>2</v>
      </c>
      <c r="BN68">
        <f>SUMIF(DeadRaw!$B:$B,$B68,DeadRaw!BP:BP)</f>
        <v>2</v>
      </c>
      <c r="BO68">
        <f>SUMIF(DeadRaw!$B:$B,$B68,DeadRaw!BQ:BQ)</f>
        <v>2</v>
      </c>
      <c r="BP68">
        <f>SUMIF(DeadRaw!$B:$B,$B68,DeadRaw!BR:BR)</f>
        <v>2</v>
      </c>
      <c r="BQ68">
        <f>SUMIF(DeadRaw!$B:$B,$B68,DeadRaw!BS:BS)</f>
        <v>2</v>
      </c>
      <c r="BR68">
        <f>SUMIF(DeadRaw!$B:$B,$B68,DeadRaw!BT:BT)</f>
        <v>0</v>
      </c>
      <c r="BS68">
        <f>SUMIF(DeadRaw!$B:$B,$B68,DeadRaw!BU:BU)</f>
        <v>0</v>
      </c>
      <c r="BT68">
        <f>SUMIF(DeadRaw!$B:$B,$B68,DeadRaw!BV:BV)</f>
        <v>0</v>
      </c>
      <c r="BU68">
        <f>SUMIF(DeadRaw!$B:$B,$B68,DeadRaw!BW:BW)</f>
        <v>0</v>
      </c>
    </row>
    <row r="69" spans="1:73" ht="15" thickBot="1" x14ac:dyDescent="0.35">
      <c r="A69" s="97" t="str">
        <f>VLOOKUP(B69,Country_Data!B:Q,16,FALSE)</f>
        <v>Europe</v>
      </c>
      <c r="B69" s="4" t="s">
        <v>132</v>
      </c>
      <c r="C69">
        <f>SUMIF(DeadRaw!$B:$B,$B69,DeadRaw!E:E)</f>
        <v>0</v>
      </c>
      <c r="D69">
        <f>SUMIF(DeadRaw!$B:$B,$B69,DeadRaw!F:F)</f>
        <v>0</v>
      </c>
      <c r="E69">
        <f>SUMIF(DeadRaw!$B:$B,$B69,DeadRaw!G:G)</f>
        <v>0</v>
      </c>
      <c r="F69">
        <f>SUMIF(DeadRaw!$B:$B,$B69,DeadRaw!H:H)</f>
        <v>0</v>
      </c>
      <c r="G69">
        <f>SUMIF(DeadRaw!$B:$B,$B69,DeadRaw!I:I)</f>
        <v>0</v>
      </c>
      <c r="H69">
        <f>SUMIF(DeadRaw!$B:$B,$B69,DeadRaw!J:J)</f>
        <v>0</v>
      </c>
      <c r="I69">
        <f>SUMIF(DeadRaw!$B:$B,$B69,DeadRaw!K:K)</f>
        <v>0</v>
      </c>
      <c r="J69">
        <f>SUMIF(DeadRaw!$B:$B,$B69,DeadRaw!L:L)</f>
        <v>0</v>
      </c>
      <c r="K69">
        <f>SUMIF(DeadRaw!$B:$B,$B69,DeadRaw!M:M)</f>
        <v>0</v>
      </c>
      <c r="L69">
        <f>SUMIF(DeadRaw!$B:$B,$B69,DeadRaw!N:N)</f>
        <v>0</v>
      </c>
      <c r="M69">
        <f>SUMIF(DeadRaw!$B:$B,$B69,DeadRaw!O:O)</f>
        <v>0</v>
      </c>
      <c r="N69">
        <f>SUMIF(DeadRaw!$B:$B,$B69,DeadRaw!P:P)</f>
        <v>0</v>
      </c>
      <c r="O69">
        <f>SUMIF(DeadRaw!$B:$B,$B69,DeadRaw!Q:Q)</f>
        <v>0</v>
      </c>
      <c r="P69">
        <f>SUMIF(DeadRaw!$B:$B,$B69,DeadRaw!R:R)</f>
        <v>0</v>
      </c>
      <c r="Q69">
        <f>SUMIF(DeadRaw!$B:$B,$B69,DeadRaw!S:S)</f>
        <v>0</v>
      </c>
      <c r="R69">
        <f>SUMIF(DeadRaw!$B:$B,$B69,DeadRaw!T:T)</f>
        <v>0</v>
      </c>
      <c r="S69">
        <f>SUMIF(DeadRaw!$B:$B,$B69,DeadRaw!U:U)</f>
        <v>0</v>
      </c>
      <c r="T69">
        <f>SUMIF(DeadRaw!$B:$B,$B69,DeadRaw!V:V)</f>
        <v>0</v>
      </c>
      <c r="U69">
        <f>SUMIF(DeadRaw!$B:$B,$B69,DeadRaw!W:W)</f>
        <v>0</v>
      </c>
      <c r="V69">
        <f>SUMIF(DeadRaw!$B:$B,$B69,DeadRaw!X:X)</f>
        <v>0</v>
      </c>
      <c r="W69">
        <f>SUMIF(DeadRaw!$B:$B,$B69,DeadRaw!Y:Y)</f>
        <v>0</v>
      </c>
      <c r="X69">
        <f>SUMIF(DeadRaw!$B:$B,$B69,DeadRaw!Z:Z)</f>
        <v>0</v>
      </c>
      <c r="Y69">
        <f>SUMIF(DeadRaw!$B:$B,$B69,DeadRaw!AA:AA)</f>
        <v>0</v>
      </c>
      <c r="Z69">
        <f>SUMIF(DeadRaw!$B:$B,$B69,DeadRaw!AB:AB)</f>
        <v>0</v>
      </c>
      <c r="AA69">
        <f>SUMIF(DeadRaw!$B:$B,$B69,DeadRaw!AC:AC)</f>
        <v>0</v>
      </c>
      <c r="AB69">
        <f>SUMIF(DeadRaw!$B:$B,$B69,DeadRaw!AD:AD)</f>
        <v>0</v>
      </c>
      <c r="AC69">
        <f>SUMIF(DeadRaw!$B:$B,$B69,DeadRaw!AE:AE)</f>
        <v>0</v>
      </c>
      <c r="AD69">
        <f>SUMIF(DeadRaw!$B:$B,$B69,DeadRaw!AF:AF)</f>
        <v>0</v>
      </c>
      <c r="AE69">
        <f>SUMIF(DeadRaw!$B:$B,$B69,DeadRaw!AG:AG)</f>
        <v>0</v>
      </c>
      <c r="AF69">
        <f>SUMIF(DeadRaw!$B:$B,$B69,DeadRaw!AH:AH)</f>
        <v>0</v>
      </c>
      <c r="AG69">
        <f>SUMIF(DeadRaw!$B:$B,$B69,DeadRaw!AI:AI)</f>
        <v>0</v>
      </c>
      <c r="AH69">
        <f>SUMIF(DeadRaw!$B:$B,$B69,DeadRaw!AJ:AJ)</f>
        <v>0</v>
      </c>
      <c r="AI69">
        <f>SUMIF(DeadRaw!$B:$B,$B69,DeadRaw!AK:AK)</f>
        <v>0</v>
      </c>
      <c r="AJ69">
        <f>SUMIF(DeadRaw!$B:$B,$B69,DeadRaw!AL:AL)</f>
        <v>0</v>
      </c>
      <c r="AK69">
        <f>SUMIF(DeadRaw!$B:$B,$B69,DeadRaw!AM:AM)</f>
        <v>0</v>
      </c>
      <c r="AL69">
        <f>SUMIF(DeadRaw!$B:$B,$B69,DeadRaw!AN:AN)</f>
        <v>0</v>
      </c>
      <c r="AM69">
        <f>SUMIF(DeadRaw!$B:$B,$B69,DeadRaw!AO:AO)</f>
        <v>0</v>
      </c>
      <c r="AN69">
        <f>SUMIF(DeadRaw!$B:$B,$B69,DeadRaw!AP:AP)</f>
        <v>0</v>
      </c>
      <c r="AO69">
        <f>SUMIF(DeadRaw!$B:$B,$B69,DeadRaw!AQ:AQ)</f>
        <v>0</v>
      </c>
      <c r="AP69">
        <f>SUMIF(DeadRaw!$B:$B,$B69,DeadRaw!AR:AR)</f>
        <v>0</v>
      </c>
      <c r="AQ69">
        <f>SUMIF(DeadRaw!$B:$B,$B69,DeadRaw!AS:AS)</f>
        <v>0</v>
      </c>
      <c r="AR69">
        <f>SUMIF(DeadRaw!$B:$B,$B69,DeadRaw!AT:AT)</f>
        <v>0</v>
      </c>
      <c r="AS69">
        <f>SUMIF(DeadRaw!$B:$B,$B69,DeadRaw!AU:AU)</f>
        <v>0</v>
      </c>
      <c r="AT69">
        <f>SUMIF(DeadRaw!$B:$B,$B69,DeadRaw!AV:AV)</f>
        <v>0</v>
      </c>
      <c r="AU69">
        <f>SUMIF(DeadRaw!$B:$B,$B69,DeadRaw!AW:AW)</f>
        <v>0</v>
      </c>
      <c r="AV69">
        <f>SUMIF(DeadRaw!$B:$B,$B69,DeadRaw!AX:AX)</f>
        <v>0</v>
      </c>
      <c r="AW69">
        <f>SUMIF(DeadRaw!$B:$B,$B69,DeadRaw!AY:AY)</f>
        <v>0</v>
      </c>
      <c r="AX69">
        <f>SUMIF(DeadRaw!$B:$B,$B69,DeadRaw!AZ:AZ)</f>
        <v>0</v>
      </c>
      <c r="AY69">
        <f>SUMIF(DeadRaw!$B:$B,$B69,DeadRaw!BA:BA)</f>
        <v>0</v>
      </c>
      <c r="AZ69">
        <f>SUMIF(DeadRaw!$B:$B,$B69,DeadRaw!BB:BB)</f>
        <v>0</v>
      </c>
      <c r="BA69">
        <f>SUMIF(DeadRaw!$B:$B,$B69,DeadRaw!BC:BC)</f>
        <v>0</v>
      </c>
      <c r="BB69">
        <f>SUMIF(DeadRaw!$B:$B,$B69,DeadRaw!BD:BD)</f>
        <v>0</v>
      </c>
      <c r="BC69">
        <f>SUMIF(DeadRaw!$B:$B,$B69,DeadRaw!BE:BE)</f>
        <v>0</v>
      </c>
      <c r="BD69">
        <f>SUMIF(DeadRaw!$B:$B,$B69,DeadRaw!BF:BF)</f>
        <v>1</v>
      </c>
      <c r="BE69">
        <f>SUMIF(DeadRaw!$B:$B,$B69,DeadRaw!BG:BG)</f>
        <v>1</v>
      </c>
      <c r="BF69">
        <f>SUMIF(DeadRaw!$B:$B,$B69,DeadRaw!BH:BH)</f>
        <v>1</v>
      </c>
      <c r="BG69">
        <f>SUMIF(DeadRaw!$B:$B,$B69,DeadRaw!BI:BI)</f>
        <v>1</v>
      </c>
      <c r="BH69">
        <f>SUMIF(DeadRaw!$B:$B,$B69,DeadRaw!BJ:BJ)</f>
        <v>1</v>
      </c>
      <c r="BI69">
        <f>SUMIF(DeadRaw!$B:$B,$B69,DeadRaw!BK:BK)</f>
        <v>3</v>
      </c>
      <c r="BJ69">
        <f>SUMIF(DeadRaw!$B:$B,$B69,DeadRaw!BL:BL)</f>
        <v>4</v>
      </c>
      <c r="BK69">
        <f>SUMIF(DeadRaw!$B:$B,$B69,DeadRaw!BM:BM)</f>
        <v>6</v>
      </c>
      <c r="BL69">
        <f>SUMIF(DeadRaw!$B:$B,$B69,DeadRaw!BN:BN)</f>
        <v>7</v>
      </c>
      <c r="BM69">
        <f>SUMIF(DeadRaw!$B:$B,$B69,DeadRaw!BO:BO)</f>
        <v>9</v>
      </c>
      <c r="BN69">
        <f>SUMIF(DeadRaw!$B:$B,$B69,DeadRaw!BP:BP)</f>
        <v>10</v>
      </c>
      <c r="BO69">
        <f>SUMIF(DeadRaw!$B:$B,$B69,DeadRaw!BQ:BQ)</f>
        <v>10</v>
      </c>
      <c r="BP69">
        <f>SUMIF(DeadRaw!$B:$B,$B69,DeadRaw!BR:BR)</f>
        <v>10</v>
      </c>
      <c r="BQ69">
        <f>SUMIF(DeadRaw!$B:$B,$B69,DeadRaw!BS:BS)</f>
        <v>11</v>
      </c>
      <c r="BR69">
        <f>SUMIF(DeadRaw!$B:$B,$B69,DeadRaw!BT:BT)</f>
        <v>0</v>
      </c>
      <c r="BS69">
        <f>SUMIF(DeadRaw!$B:$B,$B69,DeadRaw!BU:BU)</f>
        <v>0</v>
      </c>
      <c r="BT69">
        <f>SUMIF(DeadRaw!$B:$B,$B69,DeadRaw!BV:BV)</f>
        <v>0</v>
      </c>
      <c r="BU69">
        <f>SUMIF(DeadRaw!$B:$B,$B69,DeadRaw!BW:BW)</f>
        <v>0</v>
      </c>
    </row>
    <row r="70" spans="1:73" ht="15" thickBot="1" x14ac:dyDescent="0.35">
      <c r="A70" s="97" t="str">
        <f>VLOOKUP(B70,Country_Data!B:Q,16,FALSE)</f>
        <v>Middle East</v>
      </c>
      <c r="B70" s="4" t="s">
        <v>71</v>
      </c>
      <c r="C70">
        <f>SUMIF(DeadRaw!$B:$B,$B70,DeadRaw!E:E)</f>
        <v>0</v>
      </c>
      <c r="D70">
        <f>SUMIF(DeadRaw!$B:$B,$B70,DeadRaw!F:F)</f>
        <v>0</v>
      </c>
      <c r="E70">
        <f>SUMIF(DeadRaw!$B:$B,$B70,DeadRaw!G:G)</f>
        <v>0</v>
      </c>
      <c r="F70">
        <f>SUMIF(DeadRaw!$B:$B,$B70,DeadRaw!H:H)</f>
        <v>0</v>
      </c>
      <c r="G70">
        <f>SUMIF(DeadRaw!$B:$B,$B70,DeadRaw!I:I)</f>
        <v>0</v>
      </c>
      <c r="H70">
        <f>SUMIF(DeadRaw!$B:$B,$B70,DeadRaw!J:J)</f>
        <v>0</v>
      </c>
      <c r="I70">
        <f>SUMIF(DeadRaw!$B:$B,$B70,DeadRaw!K:K)</f>
        <v>0</v>
      </c>
      <c r="J70">
        <f>SUMIF(DeadRaw!$B:$B,$B70,DeadRaw!L:L)</f>
        <v>0</v>
      </c>
      <c r="K70">
        <f>SUMIF(DeadRaw!$B:$B,$B70,DeadRaw!M:M)</f>
        <v>0</v>
      </c>
      <c r="L70">
        <f>SUMIF(DeadRaw!$B:$B,$B70,DeadRaw!N:N)</f>
        <v>0</v>
      </c>
      <c r="M70">
        <f>SUMIF(DeadRaw!$B:$B,$B70,DeadRaw!O:O)</f>
        <v>0</v>
      </c>
      <c r="N70">
        <f>SUMIF(DeadRaw!$B:$B,$B70,DeadRaw!P:P)</f>
        <v>0</v>
      </c>
      <c r="O70">
        <f>SUMIF(DeadRaw!$B:$B,$B70,DeadRaw!Q:Q)</f>
        <v>0</v>
      </c>
      <c r="P70">
        <f>SUMIF(DeadRaw!$B:$B,$B70,DeadRaw!R:R)</f>
        <v>0</v>
      </c>
      <c r="Q70">
        <f>SUMIF(DeadRaw!$B:$B,$B70,DeadRaw!S:S)</f>
        <v>0</v>
      </c>
      <c r="R70">
        <f>SUMIF(DeadRaw!$B:$B,$B70,DeadRaw!T:T)</f>
        <v>0</v>
      </c>
      <c r="S70">
        <f>SUMIF(DeadRaw!$B:$B,$B70,DeadRaw!U:U)</f>
        <v>0</v>
      </c>
      <c r="T70">
        <f>SUMIF(DeadRaw!$B:$B,$B70,DeadRaw!V:V)</f>
        <v>0</v>
      </c>
      <c r="U70">
        <f>SUMIF(DeadRaw!$B:$B,$B70,DeadRaw!W:W)</f>
        <v>0</v>
      </c>
      <c r="V70">
        <f>SUMIF(DeadRaw!$B:$B,$B70,DeadRaw!X:X)</f>
        <v>0</v>
      </c>
      <c r="W70">
        <f>SUMIF(DeadRaw!$B:$B,$B70,DeadRaw!Y:Y)</f>
        <v>0</v>
      </c>
      <c r="X70">
        <f>SUMIF(DeadRaw!$B:$B,$B70,DeadRaw!Z:Z)</f>
        <v>0</v>
      </c>
      <c r="Y70">
        <f>SUMIF(DeadRaw!$B:$B,$B70,DeadRaw!AA:AA)</f>
        <v>0</v>
      </c>
      <c r="Z70">
        <f>SUMIF(DeadRaw!$B:$B,$B70,DeadRaw!AB:AB)</f>
        <v>0</v>
      </c>
      <c r="AA70">
        <f>SUMIF(DeadRaw!$B:$B,$B70,DeadRaw!AC:AC)</f>
        <v>0</v>
      </c>
      <c r="AB70">
        <f>SUMIF(DeadRaw!$B:$B,$B70,DeadRaw!AD:AD)</f>
        <v>0</v>
      </c>
      <c r="AC70">
        <f>SUMIF(DeadRaw!$B:$B,$B70,DeadRaw!AE:AE)</f>
        <v>0</v>
      </c>
      <c r="AD70">
        <f>SUMIF(DeadRaw!$B:$B,$B70,DeadRaw!AF:AF)</f>
        <v>0</v>
      </c>
      <c r="AE70">
        <f>SUMIF(DeadRaw!$B:$B,$B70,DeadRaw!AG:AG)</f>
        <v>0</v>
      </c>
      <c r="AF70">
        <f>SUMIF(DeadRaw!$B:$B,$B70,DeadRaw!AH:AH)</f>
        <v>0</v>
      </c>
      <c r="AG70">
        <f>SUMIF(DeadRaw!$B:$B,$B70,DeadRaw!AI:AI)</f>
        <v>0</v>
      </c>
      <c r="AH70">
        <f>SUMIF(DeadRaw!$B:$B,$B70,DeadRaw!AJ:AJ)</f>
        <v>0</v>
      </c>
      <c r="AI70">
        <f>SUMIF(DeadRaw!$B:$B,$B70,DeadRaw!AK:AK)</f>
        <v>0</v>
      </c>
      <c r="AJ70">
        <f>SUMIF(DeadRaw!$B:$B,$B70,DeadRaw!AL:AL)</f>
        <v>0</v>
      </c>
      <c r="AK70">
        <f>SUMIF(DeadRaw!$B:$B,$B70,DeadRaw!AM:AM)</f>
        <v>0</v>
      </c>
      <c r="AL70">
        <f>SUMIF(DeadRaw!$B:$B,$B70,DeadRaw!AN:AN)</f>
        <v>0</v>
      </c>
      <c r="AM70">
        <f>SUMIF(DeadRaw!$B:$B,$B70,DeadRaw!AO:AO)</f>
        <v>0</v>
      </c>
      <c r="AN70">
        <f>SUMIF(DeadRaw!$B:$B,$B70,DeadRaw!AP:AP)</f>
        <v>0</v>
      </c>
      <c r="AO70">
        <f>SUMIF(DeadRaw!$B:$B,$B70,DeadRaw!AQ:AQ)</f>
        <v>0</v>
      </c>
      <c r="AP70">
        <f>SUMIF(DeadRaw!$B:$B,$B70,DeadRaw!AR:AR)</f>
        <v>0</v>
      </c>
      <c r="AQ70">
        <f>SUMIF(DeadRaw!$B:$B,$B70,DeadRaw!AS:AS)</f>
        <v>0</v>
      </c>
      <c r="AR70">
        <f>SUMIF(DeadRaw!$B:$B,$B70,DeadRaw!AT:AT)</f>
        <v>0</v>
      </c>
      <c r="AS70">
        <f>SUMIF(DeadRaw!$B:$B,$B70,DeadRaw!AU:AU)</f>
        <v>0</v>
      </c>
      <c r="AT70">
        <f>SUMIF(DeadRaw!$B:$B,$B70,DeadRaw!AV:AV)</f>
        <v>0</v>
      </c>
      <c r="AU70">
        <f>SUMIF(DeadRaw!$B:$B,$B70,DeadRaw!AW:AW)</f>
        <v>0</v>
      </c>
      <c r="AV70">
        <f>SUMIF(DeadRaw!$B:$B,$B70,DeadRaw!AX:AX)</f>
        <v>0</v>
      </c>
      <c r="AW70">
        <f>SUMIF(DeadRaw!$B:$B,$B70,DeadRaw!AY:AY)</f>
        <v>0</v>
      </c>
      <c r="AX70">
        <f>SUMIF(DeadRaw!$B:$B,$B70,DeadRaw!AZ:AZ)</f>
        <v>0</v>
      </c>
      <c r="AY70">
        <f>SUMIF(DeadRaw!$B:$B,$B70,DeadRaw!BA:BA)</f>
        <v>0</v>
      </c>
      <c r="AZ70">
        <f>SUMIF(DeadRaw!$B:$B,$B70,DeadRaw!BB:BB)</f>
        <v>0</v>
      </c>
      <c r="BA70">
        <f>SUMIF(DeadRaw!$B:$B,$B70,DeadRaw!BC:BC)</f>
        <v>0</v>
      </c>
      <c r="BB70">
        <f>SUMIF(DeadRaw!$B:$B,$B70,DeadRaw!BD:BD)</f>
        <v>0</v>
      </c>
      <c r="BC70">
        <f>SUMIF(DeadRaw!$B:$B,$B70,DeadRaw!BE:BE)</f>
        <v>0</v>
      </c>
      <c r="BD70">
        <f>SUMIF(DeadRaw!$B:$B,$B70,DeadRaw!BF:BF)</f>
        <v>0</v>
      </c>
      <c r="BE70">
        <f>SUMIF(DeadRaw!$B:$B,$B70,DeadRaw!BG:BG)</f>
        <v>0</v>
      </c>
      <c r="BF70">
        <f>SUMIF(DeadRaw!$B:$B,$B70,DeadRaw!BH:BH)</f>
        <v>0</v>
      </c>
      <c r="BG70">
        <f>SUMIF(DeadRaw!$B:$B,$B70,DeadRaw!BI:BI)</f>
        <v>0</v>
      </c>
      <c r="BH70">
        <f>SUMIF(DeadRaw!$B:$B,$B70,DeadRaw!BJ:BJ)</f>
        <v>0</v>
      </c>
      <c r="BI70">
        <f>SUMIF(DeadRaw!$B:$B,$B70,DeadRaw!BK:BK)</f>
        <v>0</v>
      </c>
      <c r="BJ70">
        <f>SUMIF(DeadRaw!$B:$B,$B70,DeadRaw!BL:BL)</f>
        <v>0</v>
      </c>
      <c r="BK70">
        <f>SUMIF(DeadRaw!$B:$B,$B70,DeadRaw!BM:BM)</f>
        <v>0</v>
      </c>
      <c r="BL70">
        <f>SUMIF(DeadRaw!$B:$B,$B70,DeadRaw!BN:BN)</f>
        <v>0</v>
      </c>
      <c r="BM70">
        <f>SUMIF(DeadRaw!$B:$B,$B70,DeadRaw!BO:BO)</f>
        <v>0</v>
      </c>
      <c r="BN70">
        <f>SUMIF(DeadRaw!$B:$B,$B70,DeadRaw!BP:BP)</f>
        <v>0</v>
      </c>
      <c r="BO70">
        <f>SUMIF(DeadRaw!$B:$B,$B70,DeadRaw!BQ:BQ)</f>
        <v>0</v>
      </c>
      <c r="BP70">
        <f>SUMIF(DeadRaw!$B:$B,$B70,DeadRaw!BR:BR)</f>
        <v>0</v>
      </c>
      <c r="BQ70">
        <f>SUMIF(DeadRaw!$B:$B,$B70,DeadRaw!BS:BS)</f>
        <v>0</v>
      </c>
      <c r="BR70">
        <f>SUMIF(DeadRaw!$B:$B,$B70,DeadRaw!BT:BT)</f>
        <v>0</v>
      </c>
      <c r="BS70">
        <f>SUMIF(DeadRaw!$B:$B,$B70,DeadRaw!BU:BU)</f>
        <v>0</v>
      </c>
      <c r="BT70">
        <f>SUMIF(DeadRaw!$B:$B,$B70,DeadRaw!BV:BV)</f>
        <v>0</v>
      </c>
      <c r="BU70">
        <f>SUMIF(DeadRaw!$B:$B,$B70,DeadRaw!BW:BW)</f>
        <v>0</v>
      </c>
    </row>
    <row r="71" spans="1:73" ht="15" thickBot="1" x14ac:dyDescent="0.35">
      <c r="A71" s="97" t="str">
        <f>VLOOKUP(B71,Country_Data!B:Q,16,FALSE)</f>
        <v>South America</v>
      </c>
      <c r="B71" s="4" t="s">
        <v>103</v>
      </c>
      <c r="C71">
        <f>SUMIF(DeadRaw!$B:$B,$B71,DeadRaw!E:E)</f>
        <v>0</v>
      </c>
      <c r="D71">
        <f>SUMIF(DeadRaw!$B:$B,$B71,DeadRaw!F:F)</f>
        <v>0</v>
      </c>
      <c r="E71">
        <f>SUMIF(DeadRaw!$B:$B,$B71,DeadRaw!G:G)</f>
        <v>0</v>
      </c>
      <c r="F71">
        <f>SUMIF(DeadRaw!$B:$B,$B71,DeadRaw!H:H)</f>
        <v>0</v>
      </c>
      <c r="G71">
        <f>SUMIF(DeadRaw!$B:$B,$B71,DeadRaw!I:I)</f>
        <v>0</v>
      </c>
      <c r="H71">
        <f>SUMIF(DeadRaw!$B:$B,$B71,DeadRaw!J:J)</f>
        <v>0</v>
      </c>
      <c r="I71">
        <f>SUMIF(DeadRaw!$B:$B,$B71,DeadRaw!K:K)</f>
        <v>0</v>
      </c>
      <c r="J71">
        <f>SUMIF(DeadRaw!$B:$B,$B71,DeadRaw!L:L)</f>
        <v>0</v>
      </c>
      <c r="K71">
        <f>SUMIF(DeadRaw!$B:$B,$B71,DeadRaw!M:M)</f>
        <v>0</v>
      </c>
      <c r="L71">
        <f>SUMIF(DeadRaw!$B:$B,$B71,DeadRaw!N:N)</f>
        <v>0</v>
      </c>
      <c r="M71">
        <f>SUMIF(DeadRaw!$B:$B,$B71,DeadRaw!O:O)</f>
        <v>0</v>
      </c>
      <c r="N71">
        <f>SUMIF(DeadRaw!$B:$B,$B71,DeadRaw!P:P)</f>
        <v>0</v>
      </c>
      <c r="O71">
        <f>SUMIF(DeadRaw!$B:$B,$B71,DeadRaw!Q:Q)</f>
        <v>0</v>
      </c>
      <c r="P71">
        <f>SUMIF(DeadRaw!$B:$B,$B71,DeadRaw!R:R)</f>
        <v>0</v>
      </c>
      <c r="Q71">
        <f>SUMIF(DeadRaw!$B:$B,$B71,DeadRaw!S:S)</f>
        <v>0</v>
      </c>
      <c r="R71">
        <f>SUMIF(DeadRaw!$B:$B,$B71,DeadRaw!T:T)</f>
        <v>0</v>
      </c>
      <c r="S71">
        <f>SUMIF(DeadRaw!$B:$B,$B71,DeadRaw!U:U)</f>
        <v>0</v>
      </c>
      <c r="T71">
        <f>SUMIF(DeadRaw!$B:$B,$B71,DeadRaw!V:V)</f>
        <v>0</v>
      </c>
      <c r="U71">
        <f>SUMIF(DeadRaw!$B:$B,$B71,DeadRaw!W:W)</f>
        <v>0</v>
      </c>
      <c r="V71">
        <f>SUMIF(DeadRaw!$B:$B,$B71,DeadRaw!X:X)</f>
        <v>0</v>
      </c>
      <c r="W71">
        <f>SUMIF(DeadRaw!$B:$B,$B71,DeadRaw!Y:Y)</f>
        <v>0</v>
      </c>
      <c r="X71">
        <f>SUMIF(DeadRaw!$B:$B,$B71,DeadRaw!Z:Z)</f>
        <v>0</v>
      </c>
      <c r="Y71">
        <f>SUMIF(DeadRaw!$B:$B,$B71,DeadRaw!AA:AA)</f>
        <v>0</v>
      </c>
      <c r="Z71">
        <f>SUMIF(DeadRaw!$B:$B,$B71,DeadRaw!AB:AB)</f>
        <v>0</v>
      </c>
      <c r="AA71">
        <f>SUMIF(DeadRaw!$B:$B,$B71,DeadRaw!AC:AC)</f>
        <v>0</v>
      </c>
      <c r="AB71">
        <f>SUMIF(DeadRaw!$B:$B,$B71,DeadRaw!AD:AD)</f>
        <v>0</v>
      </c>
      <c r="AC71">
        <f>SUMIF(DeadRaw!$B:$B,$B71,DeadRaw!AE:AE)</f>
        <v>0</v>
      </c>
      <c r="AD71">
        <f>SUMIF(DeadRaw!$B:$B,$B71,DeadRaw!AF:AF)</f>
        <v>0</v>
      </c>
      <c r="AE71">
        <f>SUMIF(DeadRaw!$B:$B,$B71,DeadRaw!AG:AG)</f>
        <v>0</v>
      </c>
      <c r="AF71">
        <f>SUMIF(DeadRaw!$B:$B,$B71,DeadRaw!AH:AH)</f>
        <v>0</v>
      </c>
      <c r="AG71">
        <f>SUMIF(DeadRaw!$B:$B,$B71,DeadRaw!AI:AI)</f>
        <v>0</v>
      </c>
      <c r="AH71">
        <f>SUMIF(DeadRaw!$B:$B,$B71,DeadRaw!AJ:AJ)</f>
        <v>0</v>
      </c>
      <c r="AI71">
        <f>SUMIF(DeadRaw!$B:$B,$B71,DeadRaw!AK:AK)</f>
        <v>0</v>
      </c>
      <c r="AJ71">
        <f>SUMIF(DeadRaw!$B:$B,$B71,DeadRaw!AL:AL)</f>
        <v>0</v>
      </c>
      <c r="AK71">
        <f>SUMIF(DeadRaw!$B:$B,$B71,DeadRaw!AM:AM)</f>
        <v>0</v>
      </c>
      <c r="AL71">
        <f>SUMIF(DeadRaw!$B:$B,$B71,DeadRaw!AN:AN)</f>
        <v>0</v>
      </c>
      <c r="AM71">
        <f>SUMIF(DeadRaw!$B:$B,$B71,DeadRaw!AO:AO)</f>
        <v>0</v>
      </c>
      <c r="AN71">
        <f>SUMIF(DeadRaw!$B:$B,$B71,DeadRaw!AP:AP)</f>
        <v>0</v>
      </c>
      <c r="AO71">
        <f>SUMIF(DeadRaw!$B:$B,$B71,DeadRaw!AQ:AQ)</f>
        <v>0</v>
      </c>
      <c r="AP71">
        <f>SUMIF(DeadRaw!$B:$B,$B71,DeadRaw!AR:AR)</f>
        <v>0</v>
      </c>
      <c r="AQ71">
        <f>SUMIF(DeadRaw!$B:$B,$B71,DeadRaw!AS:AS)</f>
        <v>0</v>
      </c>
      <c r="AR71">
        <f>SUMIF(DeadRaw!$B:$B,$B71,DeadRaw!AT:AT)</f>
        <v>0</v>
      </c>
      <c r="AS71">
        <f>SUMIF(DeadRaw!$B:$B,$B71,DeadRaw!AU:AU)</f>
        <v>0</v>
      </c>
      <c r="AT71">
        <f>SUMIF(DeadRaw!$B:$B,$B71,DeadRaw!AV:AV)</f>
        <v>0</v>
      </c>
      <c r="AU71">
        <f>SUMIF(DeadRaw!$B:$B,$B71,DeadRaw!AW:AW)</f>
        <v>0</v>
      </c>
      <c r="AV71">
        <f>SUMIF(DeadRaw!$B:$B,$B71,DeadRaw!AX:AX)</f>
        <v>0</v>
      </c>
      <c r="AW71">
        <f>SUMIF(DeadRaw!$B:$B,$B71,DeadRaw!AY:AY)</f>
        <v>0</v>
      </c>
      <c r="AX71">
        <f>SUMIF(DeadRaw!$B:$B,$B71,DeadRaw!AZ:AZ)</f>
        <v>0</v>
      </c>
      <c r="AY71">
        <f>SUMIF(DeadRaw!$B:$B,$B71,DeadRaw!BA:BA)</f>
        <v>0</v>
      </c>
      <c r="AZ71">
        <f>SUMIF(DeadRaw!$B:$B,$B71,DeadRaw!BB:BB)</f>
        <v>0</v>
      </c>
      <c r="BA71">
        <f>SUMIF(DeadRaw!$B:$B,$B71,DeadRaw!BC:BC)</f>
        <v>0</v>
      </c>
      <c r="BB71">
        <f>SUMIF(DeadRaw!$B:$B,$B71,DeadRaw!BD:BD)</f>
        <v>0</v>
      </c>
      <c r="BC71">
        <f>SUMIF(DeadRaw!$B:$B,$B71,DeadRaw!BE:BE)</f>
        <v>2</v>
      </c>
      <c r="BD71">
        <f>SUMIF(DeadRaw!$B:$B,$B71,DeadRaw!BF:BF)</f>
        <v>2</v>
      </c>
      <c r="BE71">
        <f>SUMIF(DeadRaw!$B:$B,$B71,DeadRaw!BG:BG)</f>
        <v>2</v>
      </c>
      <c r="BF71">
        <f>SUMIF(DeadRaw!$B:$B,$B71,DeadRaw!BH:BH)</f>
        <v>2</v>
      </c>
      <c r="BG71">
        <f>SUMIF(DeadRaw!$B:$B,$B71,DeadRaw!BI:BI)</f>
        <v>2</v>
      </c>
      <c r="BH71">
        <f>SUMIF(DeadRaw!$B:$B,$B71,DeadRaw!BJ:BJ)</f>
        <v>3</v>
      </c>
      <c r="BI71">
        <f>SUMIF(DeadRaw!$B:$B,$B71,DeadRaw!BK:BK)</f>
        <v>5</v>
      </c>
      <c r="BJ71">
        <f>SUMIF(DeadRaw!$B:$B,$B71,DeadRaw!BL:BL)</f>
        <v>7</v>
      </c>
      <c r="BK71">
        <f>SUMIF(DeadRaw!$B:$B,$B71,DeadRaw!BM:BM)</f>
        <v>14</v>
      </c>
      <c r="BL71">
        <f>SUMIF(DeadRaw!$B:$B,$B71,DeadRaw!BN:BN)</f>
        <v>18</v>
      </c>
      <c r="BM71">
        <f>SUMIF(DeadRaw!$B:$B,$B71,DeadRaw!BO:BO)</f>
        <v>27</v>
      </c>
      <c r="BN71">
        <f>SUMIF(DeadRaw!$B:$B,$B71,DeadRaw!BP:BP)</f>
        <v>28</v>
      </c>
      <c r="BO71">
        <f>SUMIF(DeadRaw!$B:$B,$B71,DeadRaw!BQ:BQ)</f>
        <v>34</v>
      </c>
      <c r="BP71">
        <f>SUMIF(DeadRaw!$B:$B,$B71,DeadRaw!BR:BR)</f>
        <v>36</v>
      </c>
      <c r="BQ71">
        <f>SUMIF(DeadRaw!$B:$B,$B71,DeadRaw!BS:BS)</f>
        <v>48</v>
      </c>
      <c r="BR71">
        <f>SUMIF(DeadRaw!$B:$B,$B71,DeadRaw!BT:BT)</f>
        <v>0</v>
      </c>
      <c r="BS71">
        <f>SUMIF(DeadRaw!$B:$B,$B71,DeadRaw!BU:BU)</f>
        <v>0</v>
      </c>
      <c r="BT71">
        <f>SUMIF(DeadRaw!$B:$B,$B71,DeadRaw!BV:BV)</f>
        <v>0</v>
      </c>
      <c r="BU71">
        <f>SUMIF(DeadRaw!$B:$B,$B71,DeadRaw!BW:BW)</f>
        <v>0</v>
      </c>
    </row>
    <row r="72" spans="1:73" ht="15" thickBot="1" x14ac:dyDescent="0.35">
      <c r="A72" s="97" t="str">
        <f>VLOOKUP(B72,Country_Data!B:Q,16,FALSE)</f>
        <v>Europe</v>
      </c>
      <c r="B72" s="4" t="s">
        <v>111</v>
      </c>
      <c r="C72">
        <f>SUMIF(DeadRaw!$B:$B,$B72,DeadRaw!E:E)</f>
        <v>0</v>
      </c>
      <c r="D72">
        <f>SUMIF(DeadRaw!$B:$B,$B72,DeadRaw!F:F)</f>
        <v>0</v>
      </c>
      <c r="E72">
        <f>SUMIF(DeadRaw!$B:$B,$B72,DeadRaw!G:G)</f>
        <v>0</v>
      </c>
      <c r="F72">
        <f>SUMIF(DeadRaw!$B:$B,$B72,DeadRaw!H:H)</f>
        <v>0</v>
      </c>
      <c r="G72">
        <f>SUMIF(DeadRaw!$B:$B,$B72,DeadRaw!I:I)</f>
        <v>0</v>
      </c>
      <c r="H72">
        <f>SUMIF(DeadRaw!$B:$B,$B72,DeadRaw!J:J)</f>
        <v>0</v>
      </c>
      <c r="I72">
        <f>SUMIF(DeadRaw!$B:$B,$B72,DeadRaw!K:K)</f>
        <v>0</v>
      </c>
      <c r="J72">
        <f>SUMIF(DeadRaw!$B:$B,$B72,DeadRaw!L:L)</f>
        <v>0</v>
      </c>
      <c r="K72">
        <f>SUMIF(DeadRaw!$B:$B,$B72,DeadRaw!M:M)</f>
        <v>0</v>
      </c>
      <c r="L72">
        <f>SUMIF(DeadRaw!$B:$B,$B72,DeadRaw!N:N)</f>
        <v>0</v>
      </c>
      <c r="M72">
        <f>SUMIF(DeadRaw!$B:$B,$B72,DeadRaw!O:O)</f>
        <v>0</v>
      </c>
      <c r="N72">
        <f>SUMIF(DeadRaw!$B:$B,$B72,DeadRaw!P:P)</f>
        <v>0</v>
      </c>
      <c r="O72">
        <f>SUMIF(DeadRaw!$B:$B,$B72,DeadRaw!Q:Q)</f>
        <v>0</v>
      </c>
      <c r="P72">
        <f>SUMIF(DeadRaw!$B:$B,$B72,DeadRaw!R:R)</f>
        <v>0</v>
      </c>
      <c r="Q72">
        <f>SUMIF(DeadRaw!$B:$B,$B72,DeadRaw!S:S)</f>
        <v>0</v>
      </c>
      <c r="R72">
        <f>SUMIF(DeadRaw!$B:$B,$B72,DeadRaw!T:T)</f>
        <v>0</v>
      </c>
      <c r="S72">
        <f>SUMIF(DeadRaw!$B:$B,$B72,DeadRaw!U:U)</f>
        <v>0</v>
      </c>
      <c r="T72">
        <f>SUMIF(DeadRaw!$B:$B,$B72,DeadRaw!V:V)</f>
        <v>0</v>
      </c>
      <c r="U72">
        <f>SUMIF(DeadRaw!$B:$B,$B72,DeadRaw!W:W)</f>
        <v>0</v>
      </c>
      <c r="V72">
        <f>SUMIF(DeadRaw!$B:$B,$B72,DeadRaw!X:X)</f>
        <v>0</v>
      </c>
      <c r="W72">
        <f>SUMIF(DeadRaw!$B:$B,$B72,DeadRaw!Y:Y)</f>
        <v>0</v>
      </c>
      <c r="X72">
        <f>SUMIF(DeadRaw!$B:$B,$B72,DeadRaw!Z:Z)</f>
        <v>0</v>
      </c>
      <c r="Y72">
        <f>SUMIF(DeadRaw!$B:$B,$B72,DeadRaw!AA:AA)</f>
        <v>0</v>
      </c>
      <c r="Z72">
        <f>SUMIF(DeadRaw!$B:$B,$B72,DeadRaw!AB:AB)</f>
        <v>0</v>
      </c>
      <c r="AA72">
        <f>SUMIF(DeadRaw!$B:$B,$B72,DeadRaw!AC:AC)</f>
        <v>0</v>
      </c>
      <c r="AB72">
        <f>SUMIF(DeadRaw!$B:$B,$B72,DeadRaw!AD:AD)</f>
        <v>0</v>
      </c>
      <c r="AC72">
        <f>SUMIF(DeadRaw!$B:$B,$B72,DeadRaw!AE:AE)</f>
        <v>0</v>
      </c>
      <c r="AD72">
        <f>SUMIF(DeadRaw!$B:$B,$B72,DeadRaw!AF:AF)</f>
        <v>0</v>
      </c>
      <c r="AE72">
        <f>SUMIF(DeadRaw!$B:$B,$B72,DeadRaw!AG:AG)</f>
        <v>0</v>
      </c>
      <c r="AF72">
        <f>SUMIF(DeadRaw!$B:$B,$B72,DeadRaw!AH:AH)</f>
        <v>0</v>
      </c>
      <c r="AG72">
        <f>SUMIF(DeadRaw!$B:$B,$B72,DeadRaw!AI:AI)</f>
        <v>0</v>
      </c>
      <c r="AH72">
        <f>SUMIF(DeadRaw!$B:$B,$B72,DeadRaw!AJ:AJ)</f>
        <v>0</v>
      </c>
      <c r="AI72">
        <f>SUMIF(DeadRaw!$B:$B,$B72,DeadRaw!AK:AK)</f>
        <v>0</v>
      </c>
      <c r="AJ72">
        <f>SUMIF(DeadRaw!$B:$B,$B72,DeadRaw!AL:AL)</f>
        <v>0</v>
      </c>
      <c r="AK72">
        <f>SUMIF(DeadRaw!$B:$B,$B72,DeadRaw!AM:AM)</f>
        <v>0</v>
      </c>
      <c r="AL72">
        <f>SUMIF(DeadRaw!$B:$B,$B72,DeadRaw!AN:AN)</f>
        <v>0</v>
      </c>
      <c r="AM72">
        <f>SUMIF(DeadRaw!$B:$B,$B72,DeadRaw!AO:AO)</f>
        <v>0</v>
      </c>
      <c r="AN72">
        <f>SUMIF(DeadRaw!$B:$B,$B72,DeadRaw!AP:AP)</f>
        <v>0</v>
      </c>
      <c r="AO72">
        <f>SUMIF(DeadRaw!$B:$B,$B72,DeadRaw!AQ:AQ)</f>
        <v>0</v>
      </c>
      <c r="AP72">
        <f>SUMIF(DeadRaw!$B:$B,$B72,DeadRaw!AR:AR)</f>
        <v>0</v>
      </c>
      <c r="AQ72">
        <f>SUMIF(DeadRaw!$B:$B,$B72,DeadRaw!AS:AS)</f>
        <v>0</v>
      </c>
      <c r="AR72">
        <f>SUMIF(DeadRaw!$B:$B,$B72,DeadRaw!AT:AT)</f>
        <v>0</v>
      </c>
      <c r="AS72">
        <f>SUMIF(DeadRaw!$B:$B,$B72,DeadRaw!AU:AU)</f>
        <v>0</v>
      </c>
      <c r="AT72">
        <f>SUMIF(DeadRaw!$B:$B,$B72,DeadRaw!AV:AV)</f>
        <v>0</v>
      </c>
      <c r="AU72">
        <f>SUMIF(DeadRaw!$B:$B,$B72,DeadRaw!AW:AW)</f>
        <v>0</v>
      </c>
      <c r="AV72">
        <f>SUMIF(DeadRaw!$B:$B,$B72,DeadRaw!AX:AX)</f>
        <v>0</v>
      </c>
      <c r="AW72">
        <f>SUMIF(DeadRaw!$B:$B,$B72,DeadRaw!AY:AY)</f>
        <v>0</v>
      </c>
      <c r="AX72">
        <f>SUMIF(DeadRaw!$B:$B,$B72,DeadRaw!AZ:AZ)</f>
        <v>0</v>
      </c>
      <c r="AY72">
        <f>SUMIF(DeadRaw!$B:$B,$B72,DeadRaw!BA:BA)</f>
        <v>0</v>
      </c>
      <c r="AZ72">
        <f>SUMIF(DeadRaw!$B:$B,$B72,DeadRaw!BB:BB)</f>
        <v>0</v>
      </c>
      <c r="BA72">
        <f>SUMIF(DeadRaw!$B:$B,$B72,DeadRaw!BC:BC)</f>
        <v>0</v>
      </c>
      <c r="BB72">
        <f>SUMIF(DeadRaw!$B:$B,$B72,DeadRaw!BD:BD)</f>
        <v>0</v>
      </c>
      <c r="BC72">
        <f>SUMIF(DeadRaw!$B:$B,$B72,DeadRaw!BE:BE)</f>
        <v>0</v>
      </c>
      <c r="BD72">
        <f>SUMIF(DeadRaw!$B:$B,$B72,DeadRaw!BF:BF)</f>
        <v>0</v>
      </c>
      <c r="BE72">
        <f>SUMIF(DeadRaw!$B:$B,$B72,DeadRaw!BG:BG)</f>
        <v>0</v>
      </c>
      <c r="BF72">
        <f>SUMIF(DeadRaw!$B:$B,$B72,DeadRaw!BH:BH)</f>
        <v>0</v>
      </c>
      <c r="BG72">
        <f>SUMIF(DeadRaw!$B:$B,$B72,DeadRaw!BI:BI)</f>
        <v>0</v>
      </c>
      <c r="BH72">
        <f>SUMIF(DeadRaw!$B:$B,$B72,DeadRaw!BJ:BJ)</f>
        <v>0</v>
      </c>
      <c r="BI72">
        <f>SUMIF(DeadRaw!$B:$B,$B72,DeadRaw!BK:BK)</f>
        <v>0</v>
      </c>
      <c r="BJ72">
        <f>SUMIF(DeadRaw!$B:$B,$B72,DeadRaw!BL:BL)</f>
        <v>0</v>
      </c>
      <c r="BK72">
        <f>SUMIF(DeadRaw!$B:$B,$B72,DeadRaw!BM:BM)</f>
        <v>0</v>
      </c>
      <c r="BL72">
        <f>SUMIF(DeadRaw!$B:$B,$B72,DeadRaw!BN:BN)</f>
        <v>0</v>
      </c>
      <c r="BM72">
        <f>SUMIF(DeadRaw!$B:$B,$B72,DeadRaw!BO:BO)</f>
        <v>0</v>
      </c>
      <c r="BN72">
        <f>SUMIF(DeadRaw!$B:$B,$B72,DeadRaw!BP:BP)</f>
        <v>0</v>
      </c>
      <c r="BO72">
        <f>SUMIF(DeadRaw!$B:$B,$B72,DeadRaw!BQ:BQ)</f>
        <v>0</v>
      </c>
      <c r="BP72">
        <f>SUMIF(DeadRaw!$B:$B,$B72,DeadRaw!BR:BR)</f>
        <v>0</v>
      </c>
      <c r="BQ72">
        <f>SUMIF(DeadRaw!$B:$B,$B72,DeadRaw!BS:BS)</f>
        <v>0</v>
      </c>
      <c r="BR72">
        <f>SUMIF(DeadRaw!$B:$B,$B72,DeadRaw!BT:BT)</f>
        <v>0</v>
      </c>
      <c r="BS72">
        <f>SUMIF(DeadRaw!$B:$B,$B72,DeadRaw!BU:BU)</f>
        <v>0</v>
      </c>
      <c r="BT72">
        <f>SUMIF(DeadRaw!$B:$B,$B72,DeadRaw!BV:BV)</f>
        <v>0</v>
      </c>
      <c r="BU72">
        <f>SUMIF(DeadRaw!$B:$B,$B72,DeadRaw!BW:BW)</f>
        <v>0</v>
      </c>
    </row>
    <row r="73" spans="1:73" ht="15" thickBot="1" x14ac:dyDescent="0.35">
      <c r="A73" s="97" t="str">
        <f>VLOOKUP(B73,Country_Data!B:Q,16,FALSE)</f>
        <v>Africa</v>
      </c>
      <c r="B73" s="4" t="s">
        <v>138</v>
      </c>
      <c r="C73">
        <f>SUMIF(DeadRaw!$B:$B,$B73,DeadRaw!E:E)</f>
        <v>0</v>
      </c>
      <c r="D73">
        <f>SUMIF(DeadRaw!$B:$B,$B73,DeadRaw!F:F)</f>
        <v>0</v>
      </c>
      <c r="E73">
        <f>SUMIF(DeadRaw!$B:$B,$B73,DeadRaw!G:G)</f>
        <v>0</v>
      </c>
      <c r="F73">
        <f>SUMIF(DeadRaw!$B:$B,$B73,DeadRaw!H:H)</f>
        <v>0</v>
      </c>
      <c r="G73">
        <f>SUMIF(DeadRaw!$B:$B,$B73,DeadRaw!I:I)</f>
        <v>0</v>
      </c>
      <c r="H73">
        <f>SUMIF(DeadRaw!$B:$B,$B73,DeadRaw!J:J)</f>
        <v>0</v>
      </c>
      <c r="I73">
        <f>SUMIF(DeadRaw!$B:$B,$B73,DeadRaw!K:K)</f>
        <v>0</v>
      </c>
      <c r="J73">
        <f>SUMIF(DeadRaw!$B:$B,$B73,DeadRaw!L:L)</f>
        <v>0</v>
      </c>
      <c r="K73">
        <f>SUMIF(DeadRaw!$B:$B,$B73,DeadRaw!M:M)</f>
        <v>0</v>
      </c>
      <c r="L73">
        <f>SUMIF(DeadRaw!$B:$B,$B73,DeadRaw!N:N)</f>
        <v>0</v>
      </c>
      <c r="M73">
        <f>SUMIF(DeadRaw!$B:$B,$B73,DeadRaw!O:O)</f>
        <v>0</v>
      </c>
      <c r="N73">
        <f>SUMIF(DeadRaw!$B:$B,$B73,DeadRaw!P:P)</f>
        <v>0</v>
      </c>
      <c r="O73">
        <f>SUMIF(DeadRaw!$B:$B,$B73,DeadRaw!Q:Q)</f>
        <v>0</v>
      </c>
      <c r="P73">
        <f>SUMIF(DeadRaw!$B:$B,$B73,DeadRaw!R:R)</f>
        <v>0</v>
      </c>
      <c r="Q73">
        <f>SUMIF(DeadRaw!$B:$B,$B73,DeadRaw!S:S)</f>
        <v>0</v>
      </c>
      <c r="R73">
        <f>SUMIF(DeadRaw!$B:$B,$B73,DeadRaw!T:T)</f>
        <v>0</v>
      </c>
      <c r="S73">
        <f>SUMIF(DeadRaw!$B:$B,$B73,DeadRaw!U:U)</f>
        <v>0</v>
      </c>
      <c r="T73">
        <f>SUMIF(DeadRaw!$B:$B,$B73,DeadRaw!V:V)</f>
        <v>0</v>
      </c>
      <c r="U73">
        <f>SUMIF(DeadRaw!$B:$B,$B73,DeadRaw!W:W)</f>
        <v>0</v>
      </c>
      <c r="V73">
        <f>SUMIF(DeadRaw!$B:$B,$B73,DeadRaw!X:X)</f>
        <v>0</v>
      </c>
      <c r="W73">
        <f>SUMIF(DeadRaw!$B:$B,$B73,DeadRaw!Y:Y)</f>
        <v>0</v>
      </c>
      <c r="X73">
        <f>SUMIF(DeadRaw!$B:$B,$B73,DeadRaw!Z:Z)</f>
        <v>0</v>
      </c>
      <c r="Y73">
        <f>SUMIF(DeadRaw!$B:$B,$B73,DeadRaw!AA:AA)</f>
        <v>0</v>
      </c>
      <c r="Z73">
        <f>SUMIF(DeadRaw!$B:$B,$B73,DeadRaw!AB:AB)</f>
        <v>0</v>
      </c>
      <c r="AA73">
        <f>SUMIF(DeadRaw!$B:$B,$B73,DeadRaw!AC:AC)</f>
        <v>0</v>
      </c>
      <c r="AB73">
        <f>SUMIF(DeadRaw!$B:$B,$B73,DeadRaw!AD:AD)</f>
        <v>0</v>
      </c>
      <c r="AC73">
        <f>SUMIF(DeadRaw!$B:$B,$B73,DeadRaw!AE:AE)</f>
        <v>0</v>
      </c>
      <c r="AD73">
        <f>SUMIF(DeadRaw!$B:$B,$B73,DeadRaw!AF:AF)</f>
        <v>0</v>
      </c>
      <c r="AE73">
        <f>SUMIF(DeadRaw!$B:$B,$B73,DeadRaw!AG:AG)</f>
        <v>0</v>
      </c>
      <c r="AF73">
        <f>SUMIF(DeadRaw!$B:$B,$B73,DeadRaw!AH:AH)</f>
        <v>0</v>
      </c>
      <c r="AG73">
        <f>SUMIF(DeadRaw!$B:$B,$B73,DeadRaw!AI:AI)</f>
        <v>0</v>
      </c>
      <c r="AH73">
        <f>SUMIF(DeadRaw!$B:$B,$B73,DeadRaw!AJ:AJ)</f>
        <v>0</v>
      </c>
      <c r="AI73">
        <f>SUMIF(DeadRaw!$B:$B,$B73,DeadRaw!AK:AK)</f>
        <v>0</v>
      </c>
      <c r="AJ73">
        <f>SUMIF(DeadRaw!$B:$B,$B73,DeadRaw!AL:AL)</f>
        <v>0</v>
      </c>
      <c r="AK73">
        <f>SUMIF(DeadRaw!$B:$B,$B73,DeadRaw!AM:AM)</f>
        <v>0</v>
      </c>
      <c r="AL73">
        <f>SUMIF(DeadRaw!$B:$B,$B73,DeadRaw!AN:AN)</f>
        <v>0</v>
      </c>
      <c r="AM73">
        <f>SUMIF(DeadRaw!$B:$B,$B73,DeadRaw!AO:AO)</f>
        <v>0</v>
      </c>
      <c r="AN73">
        <f>SUMIF(DeadRaw!$B:$B,$B73,DeadRaw!AP:AP)</f>
        <v>0</v>
      </c>
      <c r="AO73">
        <f>SUMIF(DeadRaw!$B:$B,$B73,DeadRaw!AQ:AQ)</f>
        <v>0</v>
      </c>
      <c r="AP73">
        <f>SUMIF(DeadRaw!$B:$B,$B73,DeadRaw!AR:AR)</f>
        <v>0</v>
      </c>
      <c r="AQ73">
        <f>SUMIF(DeadRaw!$B:$B,$B73,DeadRaw!AS:AS)</f>
        <v>0</v>
      </c>
      <c r="AR73">
        <f>SUMIF(DeadRaw!$B:$B,$B73,DeadRaw!AT:AT)</f>
        <v>0</v>
      </c>
      <c r="AS73">
        <f>SUMIF(DeadRaw!$B:$B,$B73,DeadRaw!AU:AU)</f>
        <v>0</v>
      </c>
      <c r="AT73">
        <f>SUMIF(DeadRaw!$B:$B,$B73,DeadRaw!AV:AV)</f>
        <v>0</v>
      </c>
      <c r="AU73">
        <f>SUMIF(DeadRaw!$B:$B,$B73,DeadRaw!AW:AW)</f>
        <v>0</v>
      </c>
      <c r="AV73">
        <f>SUMIF(DeadRaw!$B:$B,$B73,DeadRaw!AX:AX)</f>
        <v>0</v>
      </c>
      <c r="AW73">
        <f>SUMIF(DeadRaw!$B:$B,$B73,DeadRaw!AY:AY)</f>
        <v>0</v>
      </c>
      <c r="AX73">
        <f>SUMIF(DeadRaw!$B:$B,$B73,DeadRaw!AZ:AZ)</f>
        <v>0</v>
      </c>
      <c r="AY73">
        <f>SUMIF(DeadRaw!$B:$B,$B73,DeadRaw!BA:BA)</f>
        <v>0</v>
      </c>
      <c r="AZ73">
        <f>SUMIF(DeadRaw!$B:$B,$B73,DeadRaw!BB:BB)</f>
        <v>0</v>
      </c>
      <c r="BA73">
        <f>SUMIF(DeadRaw!$B:$B,$B73,DeadRaw!BC:BC)</f>
        <v>0</v>
      </c>
      <c r="BB73">
        <f>SUMIF(DeadRaw!$B:$B,$B73,DeadRaw!BD:BD)</f>
        <v>0</v>
      </c>
      <c r="BC73">
        <f>SUMIF(DeadRaw!$B:$B,$B73,DeadRaw!BE:BE)</f>
        <v>0</v>
      </c>
      <c r="BD73">
        <f>SUMIF(DeadRaw!$B:$B,$B73,DeadRaw!BF:BF)</f>
        <v>0</v>
      </c>
      <c r="BE73">
        <f>SUMIF(DeadRaw!$B:$B,$B73,DeadRaw!BG:BG)</f>
        <v>0</v>
      </c>
      <c r="BF73">
        <f>SUMIF(DeadRaw!$B:$B,$B73,DeadRaw!BH:BH)</f>
        <v>0</v>
      </c>
      <c r="BG73">
        <f>SUMIF(DeadRaw!$B:$B,$B73,DeadRaw!BI:BI)</f>
        <v>0</v>
      </c>
      <c r="BH73">
        <f>SUMIF(DeadRaw!$B:$B,$B73,DeadRaw!BJ:BJ)</f>
        <v>1</v>
      </c>
      <c r="BI73">
        <f>SUMIF(DeadRaw!$B:$B,$B73,DeadRaw!BK:BK)</f>
        <v>1</v>
      </c>
      <c r="BJ73">
        <f>SUMIF(DeadRaw!$B:$B,$B73,DeadRaw!BL:BL)</f>
        <v>1</v>
      </c>
      <c r="BK73">
        <f>SUMIF(DeadRaw!$B:$B,$B73,DeadRaw!BM:BM)</f>
        <v>3</v>
      </c>
      <c r="BL73">
        <f>SUMIF(DeadRaw!$B:$B,$B73,DeadRaw!BN:BN)</f>
        <v>3</v>
      </c>
      <c r="BM73">
        <f>SUMIF(DeadRaw!$B:$B,$B73,DeadRaw!BO:BO)</f>
        <v>4</v>
      </c>
      <c r="BN73">
        <f>SUMIF(DeadRaw!$B:$B,$B73,DeadRaw!BP:BP)</f>
        <v>5</v>
      </c>
      <c r="BO73">
        <f>SUMIF(DeadRaw!$B:$B,$B73,DeadRaw!BQ:BQ)</f>
        <v>6</v>
      </c>
      <c r="BP73">
        <f>SUMIF(DeadRaw!$B:$B,$B73,DeadRaw!BR:BR)</f>
        <v>6</v>
      </c>
      <c r="BQ73">
        <f>SUMIF(DeadRaw!$B:$B,$B73,DeadRaw!BS:BS)</f>
        <v>8</v>
      </c>
      <c r="BR73">
        <f>SUMIF(DeadRaw!$B:$B,$B73,DeadRaw!BT:BT)</f>
        <v>0</v>
      </c>
      <c r="BS73">
        <f>SUMIF(DeadRaw!$B:$B,$B73,DeadRaw!BU:BU)</f>
        <v>0</v>
      </c>
      <c r="BT73">
        <f>SUMIF(DeadRaw!$B:$B,$B73,DeadRaw!BV:BV)</f>
        <v>0</v>
      </c>
      <c r="BU73">
        <f>SUMIF(DeadRaw!$B:$B,$B73,DeadRaw!BW:BW)</f>
        <v>0</v>
      </c>
    </row>
    <row r="74" spans="1:73" ht="15" thickBot="1" x14ac:dyDescent="0.35">
      <c r="A74" s="97" t="str">
        <f>VLOOKUP(B74,Country_Data!B:Q,16,FALSE)</f>
        <v>Asia</v>
      </c>
      <c r="B74" s="3" t="s">
        <v>104</v>
      </c>
      <c r="C74">
        <f>SUMIF(DeadRaw!$B:$B,$B74,DeadRaw!E:E)</f>
        <v>0</v>
      </c>
      <c r="D74">
        <f>SUMIF(DeadRaw!$B:$B,$B74,DeadRaw!F:F)</f>
        <v>0</v>
      </c>
      <c r="E74">
        <f>SUMIF(DeadRaw!$B:$B,$B74,DeadRaw!G:G)</f>
        <v>0</v>
      </c>
      <c r="F74">
        <f>SUMIF(DeadRaw!$B:$B,$B74,DeadRaw!H:H)</f>
        <v>0</v>
      </c>
      <c r="G74">
        <f>SUMIF(DeadRaw!$B:$B,$B74,DeadRaw!I:I)</f>
        <v>0</v>
      </c>
      <c r="H74">
        <f>SUMIF(DeadRaw!$B:$B,$B74,DeadRaw!J:J)</f>
        <v>0</v>
      </c>
      <c r="I74">
        <f>SUMIF(DeadRaw!$B:$B,$B74,DeadRaw!K:K)</f>
        <v>0</v>
      </c>
      <c r="J74">
        <f>SUMIF(DeadRaw!$B:$B,$B74,DeadRaw!L:L)</f>
        <v>0</v>
      </c>
      <c r="K74">
        <f>SUMIF(DeadRaw!$B:$B,$B74,DeadRaw!M:M)</f>
        <v>0</v>
      </c>
      <c r="L74">
        <f>SUMIF(DeadRaw!$B:$B,$B74,DeadRaw!N:N)</f>
        <v>0</v>
      </c>
      <c r="M74">
        <f>SUMIF(DeadRaw!$B:$B,$B74,DeadRaw!O:O)</f>
        <v>0</v>
      </c>
      <c r="N74">
        <f>SUMIF(DeadRaw!$B:$B,$B74,DeadRaw!P:P)</f>
        <v>0</v>
      </c>
      <c r="O74">
        <f>SUMIF(DeadRaw!$B:$B,$B74,DeadRaw!Q:Q)</f>
        <v>0</v>
      </c>
      <c r="P74">
        <f>SUMIF(DeadRaw!$B:$B,$B74,DeadRaw!R:R)</f>
        <v>0</v>
      </c>
      <c r="Q74">
        <f>SUMIF(DeadRaw!$B:$B,$B74,DeadRaw!S:S)</f>
        <v>0</v>
      </c>
      <c r="R74">
        <f>SUMIF(DeadRaw!$B:$B,$B74,DeadRaw!T:T)</f>
        <v>0</v>
      </c>
      <c r="S74">
        <f>SUMIF(DeadRaw!$B:$B,$B74,DeadRaw!U:U)</f>
        <v>0</v>
      </c>
      <c r="T74">
        <f>SUMIF(DeadRaw!$B:$B,$B74,DeadRaw!V:V)</f>
        <v>0</v>
      </c>
      <c r="U74">
        <f>SUMIF(DeadRaw!$B:$B,$B74,DeadRaw!W:W)</f>
        <v>0</v>
      </c>
      <c r="V74">
        <f>SUMIF(DeadRaw!$B:$B,$B74,DeadRaw!X:X)</f>
        <v>0</v>
      </c>
      <c r="W74">
        <f>SUMIF(DeadRaw!$B:$B,$B74,DeadRaw!Y:Y)</f>
        <v>0</v>
      </c>
      <c r="X74">
        <f>SUMIF(DeadRaw!$B:$B,$B74,DeadRaw!Z:Z)</f>
        <v>0</v>
      </c>
      <c r="Y74">
        <f>SUMIF(DeadRaw!$B:$B,$B74,DeadRaw!AA:AA)</f>
        <v>0</v>
      </c>
      <c r="Z74">
        <f>SUMIF(DeadRaw!$B:$B,$B74,DeadRaw!AB:AB)</f>
        <v>0</v>
      </c>
      <c r="AA74">
        <f>SUMIF(DeadRaw!$B:$B,$B74,DeadRaw!AC:AC)</f>
        <v>0</v>
      </c>
      <c r="AB74">
        <f>SUMIF(DeadRaw!$B:$B,$B74,DeadRaw!AD:AD)</f>
        <v>0</v>
      </c>
      <c r="AC74">
        <f>SUMIF(DeadRaw!$B:$B,$B74,DeadRaw!AE:AE)</f>
        <v>0</v>
      </c>
      <c r="AD74">
        <f>SUMIF(DeadRaw!$B:$B,$B74,DeadRaw!AF:AF)</f>
        <v>0</v>
      </c>
      <c r="AE74">
        <f>SUMIF(DeadRaw!$B:$B,$B74,DeadRaw!AG:AG)</f>
        <v>0</v>
      </c>
      <c r="AF74">
        <f>SUMIF(DeadRaw!$B:$B,$B74,DeadRaw!AH:AH)</f>
        <v>0</v>
      </c>
      <c r="AG74">
        <f>SUMIF(DeadRaw!$B:$B,$B74,DeadRaw!AI:AI)</f>
        <v>0</v>
      </c>
      <c r="AH74">
        <f>SUMIF(DeadRaw!$B:$B,$B74,DeadRaw!AJ:AJ)</f>
        <v>0</v>
      </c>
      <c r="AI74">
        <f>SUMIF(DeadRaw!$B:$B,$B74,DeadRaw!AK:AK)</f>
        <v>0</v>
      </c>
      <c r="AJ74">
        <f>SUMIF(DeadRaw!$B:$B,$B74,DeadRaw!AL:AL)</f>
        <v>0</v>
      </c>
      <c r="AK74">
        <f>SUMIF(DeadRaw!$B:$B,$B74,DeadRaw!AM:AM)</f>
        <v>0</v>
      </c>
      <c r="AL74">
        <f>SUMIF(DeadRaw!$B:$B,$B74,DeadRaw!AN:AN)</f>
        <v>0</v>
      </c>
      <c r="AM74">
        <f>SUMIF(DeadRaw!$B:$B,$B74,DeadRaw!AO:AO)</f>
        <v>0</v>
      </c>
      <c r="AN74">
        <f>SUMIF(DeadRaw!$B:$B,$B74,DeadRaw!AP:AP)</f>
        <v>0</v>
      </c>
      <c r="AO74">
        <f>SUMIF(DeadRaw!$B:$B,$B74,DeadRaw!AQ:AQ)</f>
        <v>0</v>
      </c>
      <c r="AP74">
        <f>SUMIF(DeadRaw!$B:$B,$B74,DeadRaw!AR:AR)</f>
        <v>0</v>
      </c>
      <c r="AQ74">
        <f>SUMIF(DeadRaw!$B:$B,$B74,DeadRaw!AS:AS)</f>
        <v>0</v>
      </c>
      <c r="AR74">
        <f>SUMIF(DeadRaw!$B:$B,$B74,DeadRaw!AT:AT)</f>
        <v>0</v>
      </c>
      <c r="AS74">
        <f>SUMIF(DeadRaw!$B:$B,$B74,DeadRaw!AU:AU)</f>
        <v>0</v>
      </c>
      <c r="AT74">
        <f>SUMIF(DeadRaw!$B:$B,$B74,DeadRaw!AV:AV)</f>
        <v>0</v>
      </c>
      <c r="AU74">
        <f>SUMIF(DeadRaw!$B:$B,$B74,DeadRaw!AW:AW)</f>
        <v>0</v>
      </c>
      <c r="AV74">
        <f>SUMIF(DeadRaw!$B:$B,$B74,DeadRaw!AX:AX)</f>
        <v>0</v>
      </c>
      <c r="AW74">
        <f>SUMIF(DeadRaw!$B:$B,$B74,DeadRaw!AY:AY)</f>
        <v>0</v>
      </c>
      <c r="AX74">
        <f>SUMIF(DeadRaw!$B:$B,$B74,DeadRaw!AZ:AZ)</f>
        <v>0</v>
      </c>
      <c r="AY74">
        <f>SUMIF(DeadRaw!$B:$B,$B74,DeadRaw!BA:BA)</f>
        <v>0</v>
      </c>
      <c r="AZ74">
        <f>SUMIF(DeadRaw!$B:$B,$B74,DeadRaw!BB:BB)</f>
        <v>0</v>
      </c>
      <c r="BA74">
        <f>SUMIF(DeadRaw!$B:$B,$B74,DeadRaw!BC:BC)</f>
        <v>0</v>
      </c>
      <c r="BB74">
        <f>SUMIF(DeadRaw!$B:$B,$B74,DeadRaw!BD:BD)</f>
        <v>1</v>
      </c>
      <c r="BC74">
        <f>SUMIF(DeadRaw!$B:$B,$B74,DeadRaw!BE:BE)</f>
        <v>1</v>
      </c>
      <c r="BD74">
        <f>SUMIF(DeadRaw!$B:$B,$B74,DeadRaw!BF:BF)</f>
        <v>1</v>
      </c>
      <c r="BE74">
        <f>SUMIF(DeadRaw!$B:$B,$B74,DeadRaw!BG:BG)</f>
        <v>1</v>
      </c>
      <c r="BF74">
        <f>SUMIF(DeadRaw!$B:$B,$B74,DeadRaw!BH:BH)</f>
        <v>1</v>
      </c>
      <c r="BG74">
        <f>SUMIF(DeadRaw!$B:$B,$B74,DeadRaw!BI:BI)</f>
        <v>1</v>
      </c>
      <c r="BH74">
        <f>SUMIF(DeadRaw!$B:$B,$B74,DeadRaw!BJ:BJ)</f>
        <v>1</v>
      </c>
      <c r="BI74">
        <f>SUMIF(DeadRaw!$B:$B,$B74,DeadRaw!BK:BK)</f>
        <v>1</v>
      </c>
      <c r="BJ74">
        <f>SUMIF(DeadRaw!$B:$B,$B74,DeadRaw!BL:BL)</f>
        <v>1</v>
      </c>
      <c r="BK74">
        <f>SUMIF(DeadRaw!$B:$B,$B74,DeadRaw!BM:BM)</f>
        <v>1</v>
      </c>
      <c r="BL74">
        <f>SUMIF(DeadRaw!$B:$B,$B74,DeadRaw!BN:BN)</f>
        <v>1</v>
      </c>
      <c r="BM74">
        <f>SUMIF(DeadRaw!$B:$B,$B74,DeadRaw!BO:BO)</f>
        <v>1</v>
      </c>
      <c r="BN74">
        <f>SUMIF(DeadRaw!$B:$B,$B74,DeadRaw!BP:BP)</f>
        <v>2</v>
      </c>
      <c r="BO74">
        <f>SUMIF(DeadRaw!$B:$B,$B74,DeadRaw!BQ:BQ)</f>
        <v>3</v>
      </c>
      <c r="BP74">
        <f>SUMIF(DeadRaw!$B:$B,$B74,DeadRaw!BR:BR)</f>
        <v>3</v>
      </c>
      <c r="BQ74">
        <f>SUMIF(DeadRaw!$B:$B,$B74,DeadRaw!BS:BS)</f>
        <v>4</v>
      </c>
      <c r="BR74">
        <f>SUMIF(DeadRaw!$B:$B,$B74,DeadRaw!BT:BT)</f>
        <v>0</v>
      </c>
      <c r="BS74">
        <f>SUMIF(DeadRaw!$B:$B,$B74,DeadRaw!BU:BU)</f>
        <v>0</v>
      </c>
      <c r="BT74">
        <f>SUMIF(DeadRaw!$B:$B,$B74,DeadRaw!BV:BV)</f>
        <v>0</v>
      </c>
      <c r="BU74">
        <f>SUMIF(DeadRaw!$B:$B,$B74,DeadRaw!BW:BW)</f>
        <v>0</v>
      </c>
    </row>
    <row r="75" spans="1:73" ht="15" thickBot="1" x14ac:dyDescent="0.35">
      <c r="A75" s="97" t="str">
        <f>VLOOKUP(B75,Country_Data!B:Q,16,FALSE)</f>
        <v>Europe</v>
      </c>
      <c r="B75" s="3" t="s">
        <v>231</v>
      </c>
      <c r="C75">
        <f>SUMIF(DeadRaw!$B:$B,$B75,DeadRaw!E:E)</f>
        <v>0</v>
      </c>
      <c r="D75">
        <f>SUMIF(DeadRaw!$B:$B,$B75,DeadRaw!F:F)</f>
        <v>0</v>
      </c>
      <c r="E75">
        <f>SUMIF(DeadRaw!$B:$B,$B75,DeadRaw!G:G)</f>
        <v>0</v>
      </c>
      <c r="F75">
        <f>SUMIF(DeadRaw!$B:$B,$B75,DeadRaw!H:H)</f>
        <v>0</v>
      </c>
      <c r="G75">
        <f>SUMIF(DeadRaw!$B:$B,$B75,DeadRaw!I:I)</f>
        <v>0</v>
      </c>
      <c r="H75">
        <f>SUMIF(DeadRaw!$B:$B,$B75,DeadRaw!J:J)</f>
        <v>0</v>
      </c>
      <c r="I75">
        <f>SUMIF(DeadRaw!$B:$B,$B75,DeadRaw!K:K)</f>
        <v>0</v>
      </c>
      <c r="J75">
        <f>SUMIF(DeadRaw!$B:$B,$B75,DeadRaw!L:L)</f>
        <v>0</v>
      </c>
      <c r="K75">
        <f>SUMIF(DeadRaw!$B:$B,$B75,DeadRaw!M:M)</f>
        <v>0</v>
      </c>
      <c r="L75">
        <f>SUMIF(DeadRaw!$B:$B,$B75,DeadRaw!N:N)</f>
        <v>0</v>
      </c>
      <c r="M75">
        <f>SUMIF(DeadRaw!$B:$B,$B75,DeadRaw!O:O)</f>
        <v>0</v>
      </c>
      <c r="N75">
        <f>SUMIF(DeadRaw!$B:$B,$B75,DeadRaw!P:P)</f>
        <v>0</v>
      </c>
      <c r="O75">
        <f>SUMIF(DeadRaw!$B:$B,$B75,DeadRaw!Q:Q)</f>
        <v>0</v>
      </c>
      <c r="P75">
        <f>SUMIF(DeadRaw!$B:$B,$B75,DeadRaw!R:R)</f>
        <v>0</v>
      </c>
      <c r="Q75">
        <f>SUMIF(DeadRaw!$B:$B,$B75,DeadRaw!S:S)</f>
        <v>0</v>
      </c>
      <c r="R75">
        <f>SUMIF(DeadRaw!$B:$B,$B75,DeadRaw!T:T)</f>
        <v>0</v>
      </c>
      <c r="S75">
        <f>SUMIF(DeadRaw!$B:$B,$B75,DeadRaw!U:U)</f>
        <v>0</v>
      </c>
      <c r="T75">
        <f>SUMIF(DeadRaw!$B:$B,$B75,DeadRaw!V:V)</f>
        <v>0</v>
      </c>
      <c r="U75">
        <f>SUMIF(DeadRaw!$B:$B,$B75,DeadRaw!W:W)</f>
        <v>0</v>
      </c>
      <c r="V75">
        <f>SUMIF(DeadRaw!$B:$B,$B75,DeadRaw!X:X)</f>
        <v>0</v>
      </c>
      <c r="W75">
        <f>SUMIF(DeadRaw!$B:$B,$B75,DeadRaw!Y:Y)</f>
        <v>0</v>
      </c>
      <c r="X75">
        <f>SUMIF(DeadRaw!$B:$B,$B75,DeadRaw!Z:Z)</f>
        <v>0</v>
      </c>
      <c r="Y75">
        <f>SUMIF(DeadRaw!$B:$B,$B75,DeadRaw!AA:AA)</f>
        <v>0</v>
      </c>
      <c r="Z75">
        <f>SUMIF(DeadRaw!$B:$B,$B75,DeadRaw!AB:AB)</f>
        <v>0</v>
      </c>
      <c r="AA75">
        <f>SUMIF(DeadRaw!$B:$B,$B75,DeadRaw!AC:AC)</f>
        <v>0</v>
      </c>
      <c r="AB75">
        <f>SUMIF(DeadRaw!$B:$B,$B75,DeadRaw!AD:AD)</f>
        <v>0</v>
      </c>
      <c r="AC75">
        <f>SUMIF(DeadRaw!$B:$B,$B75,DeadRaw!AE:AE)</f>
        <v>0</v>
      </c>
      <c r="AD75">
        <f>SUMIF(DeadRaw!$B:$B,$B75,DeadRaw!AF:AF)</f>
        <v>0</v>
      </c>
      <c r="AE75">
        <f>SUMIF(DeadRaw!$B:$B,$B75,DeadRaw!AG:AG)</f>
        <v>0</v>
      </c>
      <c r="AF75">
        <f>SUMIF(DeadRaw!$B:$B,$B75,DeadRaw!AH:AH)</f>
        <v>0</v>
      </c>
      <c r="AG75">
        <f>SUMIF(DeadRaw!$B:$B,$B75,DeadRaw!AI:AI)</f>
        <v>0</v>
      </c>
      <c r="AH75">
        <f>SUMIF(DeadRaw!$B:$B,$B75,DeadRaw!AJ:AJ)</f>
        <v>0</v>
      </c>
      <c r="AI75">
        <f>SUMIF(DeadRaw!$B:$B,$B75,DeadRaw!AK:AK)</f>
        <v>0</v>
      </c>
      <c r="AJ75">
        <f>SUMIF(DeadRaw!$B:$B,$B75,DeadRaw!AL:AL)</f>
        <v>0</v>
      </c>
      <c r="AK75">
        <f>SUMIF(DeadRaw!$B:$B,$B75,DeadRaw!AM:AM)</f>
        <v>0</v>
      </c>
      <c r="AL75">
        <f>SUMIF(DeadRaw!$B:$B,$B75,DeadRaw!AN:AN)</f>
        <v>0</v>
      </c>
      <c r="AM75">
        <f>SUMIF(DeadRaw!$B:$B,$B75,DeadRaw!AO:AO)</f>
        <v>0</v>
      </c>
      <c r="AN75">
        <f>SUMIF(DeadRaw!$B:$B,$B75,DeadRaw!AP:AP)</f>
        <v>0</v>
      </c>
      <c r="AO75">
        <f>SUMIF(DeadRaw!$B:$B,$B75,DeadRaw!AQ:AQ)</f>
        <v>0</v>
      </c>
      <c r="AP75">
        <f>SUMIF(DeadRaw!$B:$B,$B75,DeadRaw!AR:AR)</f>
        <v>0</v>
      </c>
      <c r="AQ75">
        <f>SUMIF(DeadRaw!$B:$B,$B75,DeadRaw!AS:AS)</f>
        <v>0</v>
      </c>
      <c r="AR75">
        <f>SUMIF(DeadRaw!$B:$B,$B75,DeadRaw!AT:AT)</f>
        <v>0</v>
      </c>
      <c r="AS75">
        <f>SUMIF(DeadRaw!$B:$B,$B75,DeadRaw!AU:AU)</f>
        <v>0</v>
      </c>
      <c r="AT75">
        <f>SUMIF(DeadRaw!$B:$B,$B75,DeadRaw!AV:AV)</f>
        <v>0</v>
      </c>
      <c r="AU75">
        <f>SUMIF(DeadRaw!$B:$B,$B75,DeadRaw!AW:AW)</f>
        <v>0</v>
      </c>
      <c r="AV75">
        <f>SUMIF(DeadRaw!$B:$B,$B75,DeadRaw!AX:AX)</f>
        <v>0</v>
      </c>
      <c r="AW75">
        <f>SUMIF(DeadRaw!$B:$B,$B75,DeadRaw!AY:AY)</f>
        <v>0</v>
      </c>
      <c r="AX75">
        <f>SUMIF(DeadRaw!$B:$B,$B75,DeadRaw!AZ:AZ)</f>
        <v>0</v>
      </c>
      <c r="AY75">
        <f>SUMIF(DeadRaw!$B:$B,$B75,DeadRaw!BA:BA)</f>
        <v>0</v>
      </c>
      <c r="AZ75">
        <f>SUMIF(DeadRaw!$B:$B,$B75,DeadRaw!BB:BB)</f>
        <v>0</v>
      </c>
      <c r="BA75">
        <f>SUMIF(DeadRaw!$B:$B,$B75,DeadRaw!BC:BC)</f>
        <v>0</v>
      </c>
      <c r="BB75">
        <f>SUMIF(DeadRaw!$B:$B,$B75,DeadRaw!BD:BD)</f>
        <v>0</v>
      </c>
      <c r="BC75">
        <f>SUMIF(DeadRaw!$B:$B,$B75,DeadRaw!BE:BE)</f>
        <v>0</v>
      </c>
      <c r="BD75">
        <f>SUMIF(DeadRaw!$B:$B,$B75,DeadRaw!BF:BF)</f>
        <v>0</v>
      </c>
      <c r="BE75">
        <f>SUMIF(DeadRaw!$B:$B,$B75,DeadRaw!BG:BG)</f>
        <v>0</v>
      </c>
      <c r="BF75">
        <f>SUMIF(DeadRaw!$B:$B,$B75,DeadRaw!BH:BH)</f>
        <v>0</v>
      </c>
      <c r="BG75">
        <f>SUMIF(DeadRaw!$B:$B,$B75,DeadRaw!BI:BI)</f>
        <v>0</v>
      </c>
      <c r="BH75">
        <f>SUMIF(DeadRaw!$B:$B,$B75,DeadRaw!BJ:BJ)</f>
        <v>0</v>
      </c>
      <c r="BI75">
        <f>SUMIF(DeadRaw!$B:$B,$B75,DeadRaw!BK:BK)</f>
        <v>0</v>
      </c>
      <c r="BJ75">
        <f>SUMIF(DeadRaw!$B:$B,$B75,DeadRaw!BL:BL)</f>
        <v>0</v>
      </c>
      <c r="BK75">
        <f>SUMIF(DeadRaw!$B:$B,$B75,DeadRaw!BM:BM)</f>
        <v>1</v>
      </c>
      <c r="BL75">
        <f>SUMIF(DeadRaw!$B:$B,$B75,DeadRaw!BN:BN)</f>
        <v>1</v>
      </c>
      <c r="BM75">
        <f>SUMIF(DeadRaw!$B:$B,$B75,DeadRaw!BO:BO)</f>
        <v>3</v>
      </c>
      <c r="BN75">
        <f>SUMIF(DeadRaw!$B:$B,$B75,DeadRaw!BP:BP)</f>
        <v>3</v>
      </c>
      <c r="BO75">
        <f>SUMIF(DeadRaw!$B:$B,$B75,DeadRaw!BQ:BQ)</f>
        <v>3</v>
      </c>
      <c r="BP75">
        <f>SUMIF(DeadRaw!$B:$B,$B75,DeadRaw!BR:BR)</f>
        <v>5</v>
      </c>
      <c r="BQ75">
        <f>SUMIF(DeadRaw!$B:$B,$B75,DeadRaw!BS:BS)</f>
        <v>5</v>
      </c>
      <c r="BR75">
        <f>SUMIF(DeadRaw!$B:$B,$B75,DeadRaw!BT:BT)</f>
        <v>0</v>
      </c>
      <c r="BS75">
        <f>SUMIF(DeadRaw!$B:$B,$B75,DeadRaw!BU:BU)</f>
        <v>0</v>
      </c>
      <c r="BT75">
        <f>SUMIF(DeadRaw!$B:$B,$B75,DeadRaw!BV:BV)</f>
        <v>0</v>
      </c>
      <c r="BU75">
        <f>SUMIF(DeadRaw!$B:$B,$B75,DeadRaw!BW:BW)</f>
        <v>0</v>
      </c>
    </row>
    <row r="76" spans="1:73" ht="15" thickBot="1" x14ac:dyDescent="0.35">
      <c r="A76" s="97" t="str">
        <f>VLOOKUP(B76,Country_Data!B:Q,16,FALSE)</f>
        <v>Europe</v>
      </c>
      <c r="B76" s="3" t="s">
        <v>84</v>
      </c>
      <c r="C76">
        <f>SUMIF(DeadRaw!$B:$B,$B76,DeadRaw!E:E)</f>
        <v>0</v>
      </c>
      <c r="D76">
        <f>SUMIF(DeadRaw!$B:$B,$B76,DeadRaw!F:F)</f>
        <v>0</v>
      </c>
      <c r="E76">
        <f>SUMIF(DeadRaw!$B:$B,$B76,DeadRaw!G:G)</f>
        <v>0</v>
      </c>
      <c r="F76">
        <f>SUMIF(DeadRaw!$B:$B,$B76,DeadRaw!H:H)</f>
        <v>0</v>
      </c>
      <c r="G76">
        <f>SUMIF(DeadRaw!$B:$B,$B76,DeadRaw!I:I)</f>
        <v>0</v>
      </c>
      <c r="H76">
        <f>SUMIF(DeadRaw!$B:$B,$B76,DeadRaw!J:J)</f>
        <v>0</v>
      </c>
      <c r="I76">
        <f>SUMIF(DeadRaw!$B:$B,$B76,DeadRaw!K:K)</f>
        <v>0</v>
      </c>
      <c r="J76">
        <f>SUMIF(DeadRaw!$B:$B,$B76,DeadRaw!L:L)</f>
        <v>0</v>
      </c>
      <c r="K76">
        <f>SUMIF(DeadRaw!$B:$B,$B76,DeadRaw!M:M)</f>
        <v>0</v>
      </c>
      <c r="L76">
        <f>SUMIF(DeadRaw!$B:$B,$B76,DeadRaw!N:N)</f>
        <v>0</v>
      </c>
      <c r="M76">
        <f>SUMIF(DeadRaw!$B:$B,$B76,DeadRaw!O:O)</f>
        <v>0</v>
      </c>
      <c r="N76">
        <f>SUMIF(DeadRaw!$B:$B,$B76,DeadRaw!P:P)</f>
        <v>0</v>
      </c>
      <c r="O76">
        <f>SUMIF(DeadRaw!$B:$B,$B76,DeadRaw!Q:Q)</f>
        <v>0</v>
      </c>
      <c r="P76">
        <f>SUMIF(DeadRaw!$B:$B,$B76,DeadRaw!R:R)</f>
        <v>0</v>
      </c>
      <c r="Q76">
        <f>SUMIF(DeadRaw!$B:$B,$B76,DeadRaw!S:S)</f>
        <v>0</v>
      </c>
      <c r="R76">
        <f>SUMIF(DeadRaw!$B:$B,$B76,DeadRaw!T:T)</f>
        <v>0</v>
      </c>
      <c r="S76">
        <f>SUMIF(DeadRaw!$B:$B,$B76,DeadRaw!U:U)</f>
        <v>0</v>
      </c>
      <c r="T76">
        <f>SUMIF(DeadRaw!$B:$B,$B76,DeadRaw!V:V)</f>
        <v>0</v>
      </c>
      <c r="U76">
        <f>SUMIF(DeadRaw!$B:$B,$B76,DeadRaw!W:W)</f>
        <v>0</v>
      </c>
      <c r="V76">
        <f>SUMIF(DeadRaw!$B:$B,$B76,DeadRaw!X:X)</f>
        <v>0</v>
      </c>
      <c r="W76">
        <f>SUMIF(DeadRaw!$B:$B,$B76,DeadRaw!Y:Y)</f>
        <v>0</v>
      </c>
      <c r="X76">
        <f>SUMIF(DeadRaw!$B:$B,$B76,DeadRaw!Z:Z)</f>
        <v>0</v>
      </c>
      <c r="Y76">
        <f>SUMIF(DeadRaw!$B:$B,$B76,DeadRaw!AA:AA)</f>
        <v>0</v>
      </c>
      <c r="Z76">
        <f>SUMIF(DeadRaw!$B:$B,$B76,DeadRaw!AB:AB)</f>
        <v>0</v>
      </c>
      <c r="AA76">
        <f>SUMIF(DeadRaw!$B:$B,$B76,DeadRaw!AC:AC)</f>
        <v>0</v>
      </c>
      <c r="AB76">
        <f>SUMIF(DeadRaw!$B:$B,$B76,DeadRaw!AD:AD)</f>
        <v>0</v>
      </c>
      <c r="AC76">
        <f>SUMIF(DeadRaw!$B:$B,$B76,DeadRaw!AE:AE)</f>
        <v>0</v>
      </c>
      <c r="AD76">
        <f>SUMIF(DeadRaw!$B:$B,$B76,DeadRaw!AF:AF)</f>
        <v>0</v>
      </c>
      <c r="AE76">
        <f>SUMIF(DeadRaw!$B:$B,$B76,DeadRaw!AG:AG)</f>
        <v>0</v>
      </c>
      <c r="AF76">
        <f>SUMIF(DeadRaw!$B:$B,$B76,DeadRaw!AH:AH)</f>
        <v>0</v>
      </c>
      <c r="AG76">
        <f>SUMIF(DeadRaw!$B:$B,$B76,DeadRaw!AI:AI)</f>
        <v>0</v>
      </c>
      <c r="AH76">
        <f>SUMIF(DeadRaw!$B:$B,$B76,DeadRaw!AJ:AJ)</f>
        <v>0</v>
      </c>
      <c r="AI76">
        <f>SUMIF(DeadRaw!$B:$B,$B76,DeadRaw!AK:AK)</f>
        <v>0</v>
      </c>
      <c r="AJ76">
        <f>SUMIF(DeadRaw!$B:$B,$B76,DeadRaw!AL:AL)</f>
        <v>0</v>
      </c>
      <c r="AK76">
        <f>SUMIF(DeadRaw!$B:$B,$B76,DeadRaw!AM:AM)</f>
        <v>0</v>
      </c>
      <c r="AL76">
        <f>SUMIF(DeadRaw!$B:$B,$B76,DeadRaw!AN:AN)</f>
        <v>0</v>
      </c>
      <c r="AM76">
        <f>SUMIF(DeadRaw!$B:$B,$B76,DeadRaw!AO:AO)</f>
        <v>0</v>
      </c>
      <c r="AN76">
        <f>SUMIF(DeadRaw!$B:$B,$B76,DeadRaw!AP:AP)</f>
        <v>0</v>
      </c>
      <c r="AO76">
        <f>SUMIF(DeadRaw!$B:$B,$B76,DeadRaw!AQ:AQ)</f>
        <v>0</v>
      </c>
      <c r="AP76">
        <f>SUMIF(DeadRaw!$B:$B,$B76,DeadRaw!AR:AR)</f>
        <v>0</v>
      </c>
      <c r="AQ76">
        <f>SUMIF(DeadRaw!$B:$B,$B76,DeadRaw!AS:AS)</f>
        <v>0</v>
      </c>
      <c r="AR76">
        <f>SUMIF(DeadRaw!$B:$B,$B76,DeadRaw!AT:AT)</f>
        <v>0</v>
      </c>
      <c r="AS76">
        <f>SUMIF(DeadRaw!$B:$B,$B76,DeadRaw!AU:AU)</f>
        <v>0</v>
      </c>
      <c r="AT76">
        <f>SUMIF(DeadRaw!$B:$B,$B76,DeadRaw!AV:AV)</f>
        <v>0</v>
      </c>
      <c r="AU76">
        <f>SUMIF(DeadRaw!$B:$B,$B76,DeadRaw!AW:AW)</f>
        <v>0</v>
      </c>
      <c r="AV76">
        <f>SUMIF(DeadRaw!$B:$B,$B76,DeadRaw!AX:AX)</f>
        <v>0</v>
      </c>
      <c r="AW76">
        <f>SUMIF(DeadRaw!$B:$B,$B76,DeadRaw!AY:AY)</f>
        <v>0</v>
      </c>
      <c r="AX76">
        <f>SUMIF(DeadRaw!$B:$B,$B76,DeadRaw!AZ:AZ)</f>
        <v>0</v>
      </c>
      <c r="AY76">
        <f>SUMIF(DeadRaw!$B:$B,$B76,DeadRaw!BA:BA)</f>
        <v>0</v>
      </c>
      <c r="AZ76">
        <f>SUMIF(DeadRaw!$B:$B,$B76,DeadRaw!BB:BB)</f>
        <v>0</v>
      </c>
      <c r="BA76">
        <f>SUMIF(DeadRaw!$B:$B,$B76,DeadRaw!BC:BC)</f>
        <v>0</v>
      </c>
      <c r="BB76">
        <f>SUMIF(DeadRaw!$B:$B,$B76,DeadRaw!BD:BD)</f>
        <v>0</v>
      </c>
      <c r="BC76">
        <f>SUMIF(DeadRaw!$B:$B,$B76,DeadRaw!BE:BE)</f>
        <v>0</v>
      </c>
      <c r="BD76">
        <f>SUMIF(DeadRaw!$B:$B,$B76,DeadRaw!BF:BF)</f>
        <v>0</v>
      </c>
      <c r="BE76">
        <f>SUMIF(DeadRaw!$B:$B,$B76,DeadRaw!BG:BG)</f>
        <v>0</v>
      </c>
      <c r="BF76">
        <f>SUMIF(DeadRaw!$B:$B,$B76,DeadRaw!BH:BH)</f>
        <v>0</v>
      </c>
      <c r="BG76">
        <f>SUMIF(DeadRaw!$B:$B,$B76,DeadRaw!BI:BI)</f>
        <v>0</v>
      </c>
      <c r="BH76">
        <f>SUMIF(DeadRaw!$B:$B,$B76,DeadRaw!BJ:BJ)</f>
        <v>0</v>
      </c>
      <c r="BI76">
        <f>SUMIF(DeadRaw!$B:$B,$B76,DeadRaw!BK:BK)</f>
        <v>0</v>
      </c>
      <c r="BJ76">
        <f>SUMIF(DeadRaw!$B:$B,$B76,DeadRaw!BL:BL)</f>
        <v>0</v>
      </c>
      <c r="BK76">
        <f>SUMIF(DeadRaw!$B:$B,$B76,DeadRaw!BM:BM)</f>
        <v>1</v>
      </c>
      <c r="BL76">
        <f>SUMIF(DeadRaw!$B:$B,$B76,DeadRaw!BN:BN)</f>
        <v>2</v>
      </c>
      <c r="BM76">
        <f>SUMIF(DeadRaw!$B:$B,$B76,DeadRaw!BO:BO)</f>
        <v>2</v>
      </c>
      <c r="BN76">
        <f>SUMIF(DeadRaw!$B:$B,$B76,DeadRaw!BP:BP)</f>
        <v>3</v>
      </c>
      <c r="BO76">
        <f>SUMIF(DeadRaw!$B:$B,$B76,DeadRaw!BQ:BQ)</f>
        <v>3</v>
      </c>
      <c r="BP76">
        <f>SUMIF(DeadRaw!$B:$B,$B76,DeadRaw!BR:BR)</f>
        <v>3</v>
      </c>
      <c r="BQ76">
        <f>SUMIF(DeadRaw!$B:$B,$B76,DeadRaw!BS:BS)</f>
        <v>4</v>
      </c>
      <c r="BR76">
        <f>SUMIF(DeadRaw!$B:$B,$B76,DeadRaw!BT:BT)</f>
        <v>0</v>
      </c>
      <c r="BS76">
        <f>SUMIF(DeadRaw!$B:$B,$B76,DeadRaw!BU:BU)</f>
        <v>0</v>
      </c>
      <c r="BT76">
        <f>SUMIF(DeadRaw!$B:$B,$B76,DeadRaw!BV:BV)</f>
        <v>0</v>
      </c>
      <c r="BU76">
        <f>SUMIF(DeadRaw!$B:$B,$B76,DeadRaw!BW:BW)</f>
        <v>0</v>
      </c>
    </row>
    <row r="77" spans="1:73" ht="15" thickBot="1" x14ac:dyDescent="0.35">
      <c r="A77" s="97" t="str">
        <f>VLOOKUP(B77,Country_Data!B:Q,16,FALSE)</f>
        <v>Europe</v>
      </c>
      <c r="B77" s="3" t="s">
        <v>140</v>
      </c>
      <c r="C77">
        <f>SUMIF(DeadRaw!$B:$B,$B77,DeadRaw!E:E)</f>
        <v>0</v>
      </c>
      <c r="D77">
        <f>SUMIF(DeadRaw!$B:$B,$B77,DeadRaw!F:F)</f>
        <v>0</v>
      </c>
      <c r="E77">
        <f>SUMIF(DeadRaw!$B:$B,$B77,DeadRaw!G:G)</f>
        <v>0</v>
      </c>
      <c r="F77">
        <f>SUMIF(DeadRaw!$B:$B,$B77,DeadRaw!H:H)</f>
        <v>0</v>
      </c>
      <c r="G77">
        <f>SUMIF(DeadRaw!$B:$B,$B77,DeadRaw!I:I)</f>
        <v>0</v>
      </c>
      <c r="H77">
        <f>SUMIF(DeadRaw!$B:$B,$B77,DeadRaw!J:J)</f>
        <v>0</v>
      </c>
      <c r="I77">
        <f>SUMIF(DeadRaw!$B:$B,$B77,DeadRaw!K:K)</f>
        <v>0</v>
      </c>
      <c r="J77">
        <f>SUMIF(DeadRaw!$B:$B,$B77,DeadRaw!L:L)</f>
        <v>0</v>
      </c>
      <c r="K77">
        <f>SUMIF(DeadRaw!$B:$B,$B77,DeadRaw!M:M)</f>
        <v>0</v>
      </c>
      <c r="L77">
        <f>SUMIF(DeadRaw!$B:$B,$B77,DeadRaw!N:N)</f>
        <v>0</v>
      </c>
      <c r="M77">
        <f>SUMIF(DeadRaw!$B:$B,$B77,DeadRaw!O:O)</f>
        <v>0</v>
      </c>
      <c r="N77">
        <f>SUMIF(DeadRaw!$B:$B,$B77,DeadRaw!P:P)</f>
        <v>0</v>
      </c>
      <c r="O77">
        <f>SUMIF(DeadRaw!$B:$B,$B77,DeadRaw!Q:Q)</f>
        <v>0</v>
      </c>
      <c r="P77">
        <f>SUMIF(DeadRaw!$B:$B,$B77,DeadRaw!R:R)</f>
        <v>0</v>
      </c>
      <c r="Q77">
        <f>SUMIF(DeadRaw!$B:$B,$B77,DeadRaw!S:S)</f>
        <v>0</v>
      </c>
      <c r="R77">
        <f>SUMIF(DeadRaw!$B:$B,$B77,DeadRaw!T:T)</f>
        <v>0</v>
      </c>
      <c r="S77">
        <f>SUMIF(DeadRaw!$B:$B,$B77,DeadRaw!U:U)</f>
        <v>0</v>
      </c>
      <c r="T77">
        <f>SUMIF(DeadRaw!$B:$B,$B77,DeadRaw!V:V)</f>
        <v>0</v>
      </c>
      <c r="U77">
        <f>SUMIF(DeadRaw!$B:$B,$B77,DeadRaw!W:W)</f>
        <v>0</v>
      </c>
      <c r="V77">
        <f>SUMIF(DeadRaw!$B:$B,$B77,DeadRaw!X:X)</f>
        <v>0</v>
      </c>
      <c r="W77">
        <f>SUMIF(DeadRaw!$B:$B,$B77,DeadRaw!Y:Y)</f>
        <v>0</v>
      </c>
      <c r="X77">
        <f>SUMIF(DeadRaw!$B:$B,$B77,DeadRaw!Z:Z)</f>
        <v>0</v>
      </c>
      <c r="Y77">
        <f>SUMIF(DeadRaw!$B:$B,$B77,DeadRaw!AA:AA)</f>
        <v>0</v>
      </c>
      <c r="Z77">
        <f>SUMIF(DeadRaw!$B:$B,$B77,DeadRaw!AB:AB)</f>
        <v>0</v>
      </c>
      <c r="AA77">
        <f>SUMIF(DeadRaw!$B:$B,$B77,DeadRaw!AC:AC)</f>
        <v>0</v>
      </c>
      <c r="AB77">
        <f>SUMIF(DeadRaw!$B:$B,$B77,DeadRaw!AD:AD)</f>
        <v>0</v>
      </c>
      <c r="AC77">
        <f>SUMIF(DeadRaw!$B:$B,$B77,DeadRaw!AE:AE)</f>
        <v>0</v>
      </c>
      <c r="AD77">
        <f>SUMIF(DeadRaw!$B:$B,$B77,DeadRaw!AF:AF)</f>
        <v>0</v>
      </c>
      <c r="AE77">
        <f>SUMIF(DeadRaw!$B:$B,$B77,DeadRaw!AG:AG)</f>
        <v>0</v>
      </c>
      <c r="AF77">
        <f>SUMIF(DeadRaw!$B:$B,$B77,DeadRaw!AH:AH)</f>
        <v>0</v>
      </c>
      <c r="AG77">
        <f>SUMIF(DeadRaw!$B:$B,$B77,DeadRaw!AI:AI)</f>
        <v>0</v>
      </c>
      <c r="AH77">
        <f>SUMIF(DeadRaw!$B:$B,$B77,DeadRaw!AJ:AJ)</f>
        <v>0</v>
      </c>
      <c r="AI77">
        <f>SUMIF(DeadRaw!$B:$B,$B77,DeadRaw!AK:AK)</f>
        <v>0</v>
      </c>
      <c r="AJ77">
        <f>SUMIF(DeadRaw!$B:$B,$B77,DeadRaw!AL:AL)</f>
        <v>0</v>
      </c>
      <c r="AK77">
        <f>SUMIF(DeadRaw!$B:$B,$B77,DeadRaw!AM:AM)</f>
        <v>0</v>
      </c>
      <c r="AL77">
        <f>SUMIF(DeadRaw!$B:$B,$B77,DeadRaw!AN:AN)</f>
        <v>0</v>
      </c>
      <c r="AM77">
        <f>SUMIF(DeadRaw!$B:$B,$B77,DeadRaw!AO:AO)</f>
        <v>0</v>
      </c>
      <c r="AN77">
        <f>SUMIF(DeadRaw!$B:$B,$B77,DeadRaw!AP:AP)</f>
        <v>0</v>
      </c>
      <c r="AO77">
        <f>SUMIF(DeadRaw!$B:$B,$B77,DeadRaw!AQ:AQ)</f>
        <v>0</v>
      </c>
      <c r="AP77">
        <f>SUMIF(DeadRaw!$B:$B,$B77,DeadRaw!AR:AR)</f>
        <v>0</v>
      </c>
      <c r="AQ77">
        <f>SUMIF(DeadRaw!$B:$B,$B77,DeadRaw!AS:AS)</f>
        <v>0</v>
      </c>
      <c r="AR77">
        <f>SUMIF(DeadRaw!$B:$B,$B77,DeadRaw!AT:AT)</f>
        <v>0</v>
      </c>
      <c r="AS77">
        <f>SUMIF(DeadRaw!$B:$B,$B77,DeadRaw!AU:AU)</f>
        <v>0</v>
      </c>
      <c r="AT77">
        <f>SUMIF(DeadRaw!$B:$B,$B77,DeadRaw!AV:AV)</f>
        <v>0</v>
      </c>
      <c r="AU77">
        <f>SUMIF(DeadRaw!$B:$B,$B77,DeadRaw!AW:AW)</f>
        <v>0</v>
      </c>
      <c r="AV77">
        <f>SUMIF(DeadRaw!$B:$B,$B77,DeadRaw!AX:AX)</f>
        <v>0</v>
      </c>
      <c r="AW77">
        <f>SUMIF(DeadRaw!$B:$B,$B77,DeadRaw!AY:AY)</f>
        <v>0</v>
      </c>
      <c r="AX77">
        <f>SUMIF(DeadRaw!$B:$B,$B77,DeadRaw!AZ:AZ)</f>
        <v>0</v>
      </c>
      <c r="AY77">
        <f>SUMIF(DeadRaw!$B:$B,$B77,DeadRaw!BA:BA)</f>
        <v>0</v>
      </c>
      <c r="AZ77">
        <f>SUMIF(DeadRaw!$B:$B,$B77,DeadRaw!BB:BB)</f>
        <v>0</v>
      </c>
      <c r="BA77">
        <f>SUMIF(DeadRaw!$B:$B,$B77,DeadRaw!BC:BC)</f>
        <v>0</v>
      </c>
      <c r="BB77">
        <f>SUMIF(DeadRaw!$B:$B,$B77,DeadRaw!BD:BD)</f>
        <v>0</v>
      </c>
      <c r="BC77">
        <f>SUMIF(DeadRaw!$B:$B,$B77,DeadRaw!BE:BE)</f>
        <v>0</v>
      </c>
      <c r="BD77">
        <f>SUMIF(DeadRaw!$B:$B,$B77,DeadRaw!BF:BF)</f>
        <v>0</v>
      </c>
      <c r="BE77">
        <f>SUMIF(DeadRaw!$B:$B,$B77,DeadRaw!BG:BG)</f>
        <v>0</v>
      </c>
      <c r="BF77">
        <f>SUMIF(DeadRaw!$B:$B,$B77,DeadRaw!BH:BH)</f>
        <v>0</v>
      </c>
      <c r="BG77">
        <f>SUMIF(DeadRaw!$B:$B,$B77,DeadRaw!BI:BI)</f>
        <v>0</v>
      </c>
      <c r="BH77">
        <f>SUMIF(DeadRaw!$B:$B,$B77,DeadRaw!BJ:BJ)</f>
        <v>0</v>
      </c>
      <c r="BI77">
        <f>SUMIF(DeadRaw!$B:$B,$B77,DeadRaw!BK:BK)</f>
        <v>0</v>
      </c>
      <c r="BJ77">
        <f>SUMIF(DeadRaw!$B:$B,$B77,DeadRaw!BL:BL)</f>
        <v>1</v>
      </c>
      <c r="BK77">
        <f>SUMIF(DeadRaw!$B:$B,$B77,DeadRaw!BM:BM)</f>
        <v>1</v>
      </c>
      <c r="BL77">
        <f>SUMIF(DeadRaw!$B:$B,$B77,DeadRaw!BN:BN)</f>
        <v>1</v>
      </c>
      <c r="BM77">
        <f>SUMIF(DeadRaw!$B:$B,$B77,DeadRaw!BO:BO)</f>
        <v>3</v>
      </c>
      <c r="BN77">
        <f>SUMIF(DeadRaw!$B:$B,$B77,DeadRaw!BP:BP)</f>
        <v>3</v>
      </c>
      <c r="BO77">
        <f>SUMIF(DeadRaw!$B:$B,$B77,DeadRaw!BQ:BQ)</f>
        <v>3</v>
      </c>
      <c r="BP77">
        <f>SUMIF(DeadRaw!$B:$B,$B77,DeadRaw!BR:BR)</f>
        <v>4</v>
      </c>
      <c r="BQ77">
        <f>SUMIF(DeadRaw!$B:$B,$B77,DeadRaw!BS:BS)</f>
        <v>5</v>
      </c>
      <c r="BR77">
        <f>SUMIF(DeadRaw!$B:$B,$B77,DeadRaw!BT:BT)</f>
        <v>0</v>
      </c>
      <c r="BS77">
        <f>SUMIF(DeadRaw!$B:$B,$B77,DeadRaw!BU:BU)</f>
        <v>0</v>
      </c>
      <c r="BT77">
        <f>SUMIF(DeadRaw!$B:$B,$B77,DeadRaw!BV:BV)</f>
        <v>0</v>
      </c>
      <c r="BU77">
        <f>SUMIF(DeadRaw!$B:$B,$B77,DeadRaw!BW:BW)</f>
        <v>0</v>
      </c>
    </row>
    <row r="78" spans="1:73" ht="15" thickBot="1" x14ac:dyDescent="0.35">
      <c r="A78" s="97" t="str">
        <f>VLOOKUP(B78,Country_Data!B:Q,16,FALSE)</f>
        <v>South America</v>
      </c>
      <c r="B78" s="4" t="s">
        <v>158</v>
      </c>
      <c r="C78">
        <f>SUMIF(DeadRaw!$B:$B,$B78,DeadRaw!E:E)</f>
        <v>0</v>
      </c>
      <c r="D78">
        <f>SUMIF(DeadRaw!$B:$B,$B78,DeadRaw!F:F)</f>
        <v>0</v>
      </c>
      <c r="E78">
        <f>SUMIF(DeadRaw!$B:$B,$B78,DeadRaw!G:G)</f>
        <v>0</v>
      </c>
      <c r="F78">
        <f>SUMIF(DeadRaw!$B:$B,$B78,DeadRaw!H:H)</f>
        <v>0</v>
      </c>
      <c r="G78">
        <f>SUMIF(DeadRaw!$B:$B,$B78,DeadRaw!I:I)</f>
        <v>0</v>
      </c>
      <c r="H78">
        <f>SUMIF(DeadRaw!$B:$B,$B78,DeadRaw!J:J)</f>
        <v>0</v>
      </c>
      <c r="I78">
        <f>SUMIF(DeadRaw!$B:$B,$B78,DeadRaw!K:K)</f>
        <v>0</v>
      </c>
      <c r="J78">
        <f>SUMIF(DeadRaw!$B:$B,$B78,DeadRaw!L:L)</f>
        <v>0</v>
      </c>
      <c r="K78">
        <f>SUMIF(DeadRaw!$B:$B,$B78,DeadRaw!M:M)</f>
        <v>0</v>
      </c>
      <c r="L78">
        <f>SUMIF(DeadRaw!$B:$B,$B78,DeadRaw!N:N)</f>
        <v>0</v>
      </c>
      <c r="M78">
        <f>SUMIF(DeadRaw!$B:$B,$B78,DeadRaw!O:O)</f>
        <v>0</v>
      </c>
      <c r="N78">
        <f>SUMIF(DeadRaw!$B:$B,$B78,DeadRaw!P:P)</f>
        <v>0</v>
      </c>
      <c r="O78">
        <f>SUMIF(DeadRaw!$B:$B,$B78,DeadRaw!Q:Q)</f>
        <v>0</v>
      </c>
      <c r="P78">
        <f>SUMIF(DeadRaw!$B:$B,$B78,DeadRaw!R:R)</f>
        <v>0</v>
      </c>
      <c r="Q78">
        <f>SUMIF(DeadRaw!$B:$B,$B78,DeadRaw!S:S)</f>
        <v>0</v>
      </c>
      <c r="R78">
        <f>SUMIF(DeadRaw!$B:$B,$B78,DeadRaw!T:T)</f>
        <v>0</v>
      </c>
      <c r="S78">
        <f>SUMIF(DeadRaw!$B:$B,$B78,DeadRaw!U:U)</f>
        <v>0</v>
      </c>
      <c r="T78">
        <f>SUMIF(DeadRaw!$B:$B,$B78,DeadRaw!V:V)</f>
        <v>0</v>
      </c>
      <c r="U78">
        <f>SUMIF(DeadRaw!$B:$B,$B78,DeadRaw!W:W)</f>
        <v>0</v>
      </c>
      <c r="V78">
        <f>SUMIF(DeadRaw!$B:$B,$B78,DeadRaw!X:X)</f>
        <v>0</v>
      </c>
      <c r="W78">
        <f>SUMIF(DeadRaw!$B:$B,$B78,DeadRaw!Y:Y)</f>
        <v>0</v>
      </c>
      <c r="X78">
        <f>SUMIF(DeadRaw!$B:$B,$B78,DeadRaw!Z:Z)</f>
        <v>0</v>
      </c>
      <c r="Y78">
        <f>SUMIF(DeadRaw!$B:$B,$B78,DeadRaw!AA:AA)</f>
        <v>0</v>
      </c>
      <c r="Z78">
        <f>SUMIF(DeadRaw!$B:$B,$B78,DeadRaw!AB:AB)</f>
        <v>0</v>
      </c>
      <c r="AA78">
        <f>SUMIF(DeadRaw!$B:$B,$B78,DeadRaw!AC:AC)</f>
        <v>0</v>
      </c>
      <c r="AB78">
        <f>SUMIF(DeadRaw!$B:$B,$B78,DeadRaw!AD:AD)</f>
        <v>0</v>
      </c>
      <c r="AC78">
        <f>SUMIF(DeadRaw!$B:$B,$B78,DeadRaw!AE:AE)</f>
        <v>0</v>
      </c>
      <c r="AD78">
        <f>SUMIF(DeadRaw!$B:$B,$B78,DeadRaw!AF:AF)</f>
        <v>0</v>
      </c>
      <c r="AE78">
        <f>SUMIF(DeadRaw!$B:$B,$B78,DeadRaw!AG:AG)</f>
        <v>0</v>
      </c>
      <c r="AF78">
        <f>SUMIF(DeadRaw!$B:$B,$B78,DeadRaw!AH:AH)</f>
        <v>0</v>
      </c>
      <c r="AG78">
        <f>SUMIF(DeadRaw!$B:$B,$B78,DeadRaw!AI:AI)</f>
        <v>0</v>
      </c>
      <c r="AH78">
        <f>SUMIF(DeadRaw!$B:$B,$B78,DeadRaw!AJ:AJ)</f>
        <v>0</v>
      </c>
      <c r="AI78">
        <f>SUMIF(DeadRaw!$B:$B,$B78,DeadRaw!AK:AK)</f>
        <v>0</v>
      </c>
      <c r="AJ78">
        <f>SUMIF(DeadRaw!$B:$B,$B78,DeadRaw!AL:AL)</f>
        <v>0</v>
      </c>
      <c r="AK78">
        <f>SUMIF(DeadRaw!$B:$B,$B78,DeadRaw!AM:AM)</f>
        <v>0</v>
      </c>
      <c r="AL78">
        <f>SUMIF(DeadRaw!$B:$B,$B78,DeadRaw!AN:AN)</f>
        <v>0</v>
      </c>
      <c r="AM78">
        <f>SUMIF(DeadRaw!$B:$B,$B78,DeadRaw!AO:AO)</f>
        <v>0</v>
      </c>
      <c r="AN78">
        <f>SUMIF(DeadRaw!$B:$B,$B78,DeadRaw!AP:AP)</f>
        <v>0</v>
      </c>
      <c r="AO78">
        <f>SUMIF(DeadRaw!$B:$B,$B78,DeadRaw!AQ:AQ)</f>
        <v>0</v>
      </c>
      <c r="AP78">
        <f>SUMIF(DeadRaw!$B:$B,$B78,DeadRaw!AR:AR)</f>
        <v>0</v>
      </c>
      <c r="AQ78">
        <f>SUMIF(DeadRaw!$B:$B,$B78,DeadRaw!AS:AS)</f>
        <v>0</v>
      </c>
      <c r="AR78">
        <f>SUMIF(DeadRaw!$B:$B,$B78,DeadRaw!AT:AT)</f>
        <v>0</v>
      </c>
      <c r="AS78">
        <f>SUMIF(DeadRaw!$B:$B,$B78,DeadRaw!AU:AU)</f>
        <v>0</v>
      </c>
      <c r="AT78">
        <f>SUMIF(DeadRaw!$B:$B,$B78,DeadRaw!AV:AV)</f>
        <v>0</v>
      </c>
      <c r="AU78">
        <f>SUMIF(DeadRaw!$B:$B,$B78,DeadRaw!AW:AW)</f>
        <v>0</v>
      </c>
      <c r="AV78">
        <f>SUMIF(DeadRaw!$B:$B,$B78,DeadRaw!AX:AX)</f>
        <v>0</v>
      </c>
      <c r="AW78">
        <f>SUMIF(DeadRaw!$B:$B,$B78,DeadRaw!AY:AY)</f>
        <v>0</v>
      </c>
      <c r="AX78">
        <f>SUMIF(DeadRaw!$B:$B,$B78,DeadRaw!AZ:AZ)</f>
        <v>0</v>
      </c>
      <c r="AY78">
        <f>SUMIF(DeadRaw!$B:$B,$B78,DeadRaw!BA:BA)</f>
        <v>0</v>
      </c>
      <c r="AZ78">
        <f>SUMIF(DeadRaw!$B:$B,$B78,DeadRaw!BB:BB)</f>
        <v>0</v>
      </c>
      <c r="BA78">
        <f>SUMIF(DeadRaw!$B:$B,$B78,DeadRaw!BC:BC)</f>
        <v>0</v>
      </c>
      <c r="BB78">
        <f>SUMIF(DeadRaw!$B:$B,$B78,DeadRaw!BD:BD)</f>
        <v>0</v>
      </c>
      <c r="BC78">
        <f>SUMIF(DeadRaw!$B:$B,$B78,DeadRaw!BE:BE)</f>
        <v>0</v>
      </c>
      <c r="BD78">
        <f>SUMIF(DeadRaw!$B:$B,$B78,DeadRaw!BF:BF)</f>
        <v>0</v>
      </c>
      <c r="BE78">
        <f>SUMIF(DeadRaw!$B:$B,$B78,DeadRaw!BG:BG)</f>
        <v>0</v>
      </c>
      <c r="BF78">
        <f>SUMIF(DeadRaw!$B:$B,$B78,DeadRaw!BH:BH)</f>
        <v>0</v>
      </c>
      <c r="BG78">
        <f>SUMIF(DeadRaw!$B:$B,$B78,DeadRaw!BI:BI)</f>
        <v>0</v>
      </c>
      <c r="BH78">
        <f>SUMIF(DeadRaw!$B:$B,$B78,DeadRaw!BJ:BJ)</f>
        <v>0</v>
      </c>
      <c r="BI78">
        <f>SUMIF(DeadRaw!$B:$B,$B78,DeadRaw!BK:BK)</f>
        <v>0</v>
      </c>
      <c r="BJ78">
        <f>SUMIF(DeadRaw!$B:$B,$B78,DeadRaw!BL:BL)</f>
        <v>0</v>
      </c>
      <c r="BK78">
        <f>SUMIF(DeadRaw!$B:$B,$B78,DeadRaw!BM:BM)</f>
        <v>2</v>
      </c>
      <c r="BL78">
        <f>SUMIF(DeadRaw!$B:$B,$B78,DeadRaw!BN:BN)</f>
        <v>3</v>
      </c>
      <c r="BM78">
        <f>SUMIF(DeadRaw!$B:$B,$B78,DeadRaw!BO:BO)</f>
        <v>3</v>
      </c>
      <c r="BN78">
        <f>SUMIF(DeadRaw!$B:$B,$B78,DeadRaw!BP:BP)</f>
        <v>4</v>
      </c>
      <c r="BO78">
        <f>SUMIF(DeadRaw!$B:$B,$B78,DeadRaw!BQ:BQ)</f>
        <v>6</v>
      </c>
      <c r="BP78">
        <f>SUMIF(DeadRaw!$B:$B,$B78,DeadRaw!BR:BR)</f>
        <v>6</v>
      </c>
      <c r="BQ78">
        <f>SUMIF(DeadRaw!$B:$B,$B78,DeadRaw!BS:BS)</f>
        <v>6</v>
      </c>
      <c r="BR78">
        <f>SUMIF(DeadRaw!$B:$B,$B78,DeadRaw!BT:BT)</f>
        <v>0</v>
      </c>
      <c r="BS78">
        <f>SUMIF(DeadRaw!$B:$B,$B78,DeadRaw!BU:BU)</f>
        <v>0</v>
      </c>
      <c r="BT78">
        <f>SUMIF(DeadRaw!$B:$B,$B78,DeadRaw!BV:BV)</f>
        <v>0</v>
      </c>
      <c r="BU78">
        <f>SUMIF(DeadRaw!$B:$B,$B78,DeadRaw!BW:BW)</f>
        <v>0</v>
      </c>
    </row>
    <row r="79" spans="1:73" ht="15" thickBot="1" x14ac:dyDescent="0.35">
      <c r="A79" s="97" t="str">
        <f>VLOOKUP(B79,Country_Data!B:Q,16,FALSE)</f>
        <v>Europe</v>
      </c>
      <c r="B79" s="3" t="s">
        <v>177</v>
      </c>
      <c r="C79">
        <f>SUMIF(DeadRaw!$B:$B,$B79,DeadRaw!E:E)</f>
        <v>0</v>
      </c>
      <c r="D79">
        <f>SUMIF(DeadRaw!$B:$B,$B79,DeadRaw!F:F)</f>
        <v>0</v>
      </c>
      <c r="E79">
        <f>SUMIF(DeadRaw!$B:$B,$B79,DeadRaw!G:G)</f>
        <v>0</v>
      </c>
      <c r="F79">
        <f>SUMIF(DeadRaw!$B:$B,$B79,DeadRaw!H:H)</f>
        <v>0</v>
      </c>
      <c r="G79">
        <f>SUMIF(DeadRaw!$B:$B,$B79,DeadRaw!I:I)</f>
        <v>0</v>
      </c>
      <c r="H79">
        <f>SUMIF(DeadRaw!$B:$B,$B79,DeadRaw!J:J)</f>
        <v>0</v>
      </c>
      <c r="I79">
        <f>SUMIF(DeadRaw!$B:$B,$B79,DeadRaw!K:K)</f>
        <v>0</v>
      </c>
      <c r="J79">
        <f>SUMIF(DeadRaw!$B:$B,$B79,DeadRaw!L:L)</f>
        <v>0</v>
      </c>
      <c r="K79">
        <f>SUMIF(DeadRaw!$B:$B,$B79,DeadRaw!M:M)</f>
        <v>0</v>
      </c>
      <c r="L79">
        <f>SUMIF(DeadRaw!$B:$B,$B79,DeadRaw!N:N)</f>
        <v>0</v>
      </c>
      <c r="M79">
        <f>SUMIF(DeadRaw!$B:$B,$B79,DeadRaw!O:O)</f>
        <v>0</v>
      </c>
      <c r="N79">
        <f>SUMIF(DeadRaw!$B:$B,$B79,DeadRaw!P:P)</f>
        <v>0</v>
      </c>
      <c r="O79">
        <f>SUMIF(DeadRaw!$B:$B,$B79,DeadRaw!Q:Q)</f>
        <v>0</v>
      </c>
      <c r="P79">
        <f>SUMIF(DeadRaw!$B:$B,$B79,DeadRaw!R:R)</f>
        <v>0</v>
      </c>
      <c r="Q79">
        <f>SUMIF(DeadRaw!$B:$B,$B79,DeadRaw!S:S)</f>
        <v>0</v>
      </c>
      <c r="R79">
        <f>SUMIF(DeadRaw!$B:$B,$B79,DeadRaw!T:T)</f>
        <v>0</v>
      </c>
      <c r="S79">
        <f>SUMIF(DeadRaw!$B:$B,$B79,DeadRaw!U:U)</f>
        <v>0</v>
      </c>
      <c r="T79">
        <f>SUMIF(DeadRaw!$B:$B,$B79,DeadRaw!V:V)</f>
        <v>0</v>
      </c>
      <c r="U79">
        <f>SUMIF(DeadRaw!$B:$B,$B79,DeadRaw!W:W)</f>
        <v>0</v>
      </c>
      <c r="V79">
        <f>SUMIF(DeadRaw!$B:$B,$B79,DeadRaw!X:X)</f>
        <v>0</v>
      </c>
      <c r="W79">
        <f>SUMIF(DeadRaw!$B:$B,$B79,DeadRaw!Y:Y)</f>
        <v>0</v>
      </c>
      <c r="X79">
        <f>SUMIF(DeadRaw!$B:$B,$B79,DeadRaw!Z:Z)</f>
        <v>0</v>
      </c>
      <c r="Y79">
        <f>SUMIF(DeadRaw!$B:$B,$B79,DeadRaw!AA:AA)</f>
        <v>0</v>
      </c>
      <c r="Z79">
        <f>SUMIF(DeadRaw!$B:$B,$B79,DeadRaw!AB:AB)</f>
        <v>0</v>
      </c>
      <c r="AA79">
        <f>SUMIF(DeadRaw!$B:$B,$B79,DeadRaw!AC:AC)</f>
        <v>0</v>
      </c>
      <c r="AB79">
        <f>SUMIF(DeadRaw!$B:$B,$B79,DeadRaw!AD:AD)</f>
        <v>0</v>
      </c>
      <c r="AC79">
        <f>SUMIF(DeadRaw!$B:$B,$B79,DeadRaw!AE:AE)</f>
        <v>0</v>
      </c>
      <c r="AD79">
        <f>SUMIF(DeadRaw!$B:$B,$B79,DeadRaw!AF:AF)</f>
        <v>0</v>
      </c>
      <c r="AE79">
        <f>SUMIF(DeadRaw!$B:$B,$B79,DeadRaw!AG:AG)</f>
        <v>0</v>
      </c>
      <c r="AF79">
        <f>SUMIF(DeadRaw!$B:$B,$B79,DeadRaw!AH:AH)</f>
        <v>0</v>
      </c>
      <c r="AG79">
        <f>SUMIF(DeadRaw!$B:$B,$B79,DeadRaw!AI:AI)</f>
        <v>0</v>
      </c>
      <c r="AH79">
        <f>SUMIF(DeadRaw!$B:$B,$B79,DeadRaw!AJ:AJ)</f>
        <v>0</v>
      </c>
      <c r="AI79">
        <f>SUMIF(DeadRaw!$B:$B,$B79,DeadRaw!AK:AK)</f>
        <v>0</v>
      </c>
      <c r="AJ79">
        <f>SUMIF(DeadRaw!$B:$B,$B79,DeadRaw!AL:AL)</f>
        <v>0</v>
      </c>
      <c r="AK79">
        <f>SUMIF(DeadRaw!$B:$B,$B79,DeadRaw!AM:AM)</f>
        <v>0</v>
      </c>
      <c r="AL79">
        <f>SUMIF(DeadRaw!$B:$B,$B79,DeadRaw!AN:AN)</f>
        <v>0</v>
      </c>
      <c r="AM79">
        <f>SUMIF(DeadRaw!$B:$B,$B79,DeadRaw!AO:AO)</f>
        <v>0</v>
      </c>
      <c r="AN79">
        <f>SUMIF(DeadRaw!$B:$B,$B79,DeadRaw!AP:AP)</f>
        <v>0</v>
      </c>
      <c r="AO79">
        <f>SUMIF(DeadRaw!$B:$B,$B79,DeadRaw!AQ:AQ)</f>
        <v>0</v>
      </c>
      <c r="AP79">
        <f>SUMIF(DeadRaw!$B:$B,$B79,DeadRaw!AR:AR)</f>
        <v>0</v>
      </c>
      <c r="AQ79">
        <f>SUMIF(DeadRaw!$B:$B,$B79,DeadRaw!AS:AS)</f>
        <v>0</v>
      </c>
      <c r="AR79">
        <f>SUMIF(DeadRaw!$B:$B,$B79,DeadRaw!AT:AT)</f>
        <v>0</v>
      </c>
      <c r="AS79">
        <f>SUMIF(DeadRaw!$B:$B,$B79,DeadRaw!AU:AU)</f>
        <v>0</v>
      </c>
      <c r="AT79">
        <f>SUMIF(DeadRaw!$B:$B,$B79,DeadRaw!AV:AV)</f>
        <v>0</v>
      </c>
      <c r="AU79">
        <f>SUMIF(DeadRaw!$B:$B,$B79,DeadRaw!AW:AW)</f>
        <v>0</v>
      </c>
      <c r="AV79">
        <f>SUMIF(DeadRaw!$B:$B,$B79,DeadRaw!AX:AX)</f>
        <v>0</v>
      </c>
      <c r="AW79">
        <f>SUMIF(DeadRaw!$B:$B,$B79,DeadRaw!AY:AY)</f>
        <v>0</v>
      </c>
      <c r="AX79">
        <f>SUMIF(DeadRaw!$B:$B,$B79,DeadRaw!AZ:AZ)</f>
        <v>0</v>
      </c>
      <c r="AY79">
        <f>SUMIF(DeadRaw!$B:$B,$B79,DeadRaw!BA:BA)</f>
        <v>0</v>
      </c>
      <c r="AZ79">
        <f>SUMIF(DeadRaw!$B:$B,$B79,DeadRaw!BB:BB)</f>
        <v>0</v>
      </c>
      <c r="BA79">
        <f>SUMIF(DeadRaw!$B:$B,$B79,DeadRaw!BC:BC)</f>
        <v>0</v>
      </c>
      <c r="BB79">
        <f>SUMIF(DeadRaw!$B:$B,$B79,DeadRaw!BD:BD)</f>
        <v>0</v>
      </c>
      <c r="BC79">
        <f>SUMIF(DeadRaw!$B:$B,$B79,DeadRaw!BE:BE)</f>
        <v>0</v>
      </c>
      <c r="BD79">
        <f>SUMIF(DeadRaw!$B:$B,$B79,DeadRaw!BF:BF)</f>
        <v>0</v>
      </c>
      <c r="BE79">
        <f>SUMIF(DeadRaw!$B:$B,$B79,DeadRaw!BG:BG)</f>
        <v>0</v>
      </c>
      <c r="BF79">
        <f>SUMIF(DeadRaw!$B:$B,$B79,DeadRaw!BH:BH)</f>
        <v>0</v>
      </c>
      <c r="BG79">
        <f>SUMIF(DeadRaw!$B:$B,$B79,DeadRaw!BI:BI)</f>
        <v>0</v>
      </c>
      <c r="BH79">
        <f>SUMIF(DeadRaw!$B:$B,$B79,DeadRaw!BJ:BJ)</f>
        <v>0</v>
      </c>
      <c r="BI79">
        <f>SUMIF(DeadRaw!$B:$B,$B79,DeadRaw!BK:BK)</f>
        <v>0</v>
      </c>
      <c r="BJ79">
        <f>SUMIF(DeadRaw!$B:$B,$B79,DeadRaw!BL:BL)</f>
        <v>0</v>
      </c>
      <c r="BK79">
        <f>SUMIF(DeadRaw!$B:$B,$B79,DeadRaw!BM:BM)</f>
        <v>0</v>
      </c>
      <c r="BL79">
        <f>SUMIF(DeadRaw!$B:$B,$B79,DeadRaw!BN:BN)</f>
        <v>0</v>
      </c>
      <c r="BM79">
        <f>SUMIF(DeadRaw!$B:$B,$B79,DeadRaw!BO:BO)</f>
        <v>0</v>
      </c>
      <c r="BN79">
        <f>SUMIF(DeadRaw!$B:$B,$B79,DeadRaw!BP:BP)</f>
        <v>0</v>
      </c>
      <c r="BO79">
        <f>SUMIF(DeadRaw!$B:$B,$B79,DeadRaw!BQ:BQ)</f>
        <v>0</v>
      </c>
      <c r="BP79">
        <f>SUMIF(DeadRaw!$B:$B,$B79,DeadRaw!BR:BR)</f>
        <v>0</v>
      </c>
      <c r="BQ79">
        <f>SUMIF(DeadRaw!$B:$B,$B79,DeadRaw!BS:BS)</f>
        <v>0</v>
      </c>
      <c r="BR79">
        <f>SUMIF(DeadRaw!$B:$B,$B79,DeadRaw!BT:BT)</f>
        <v>0</v>
      </c>
      <c r="BS79">
        <f>SUMIF(DeadRaw!$B:$B,$B79,DeadRaw!BU:BU)</f>
        <v>0</v>
      </c>
      <c r="BT79">
        <f>SUMIF(DeadRaw!$B:$B,$B79,DeadRaw!BV:BV)</f>
        <v>0</v>
      </c>
      <c r="BU79">
        <f>SUMIF(DeadRaw!$B:$B,$B79,DeadRaw!BW:BW)</f>
        <v>0</v>
      </c>
    </row>
    <row r="80" spans="1:73" ht="15" thickBot="1" x14ac:dyDescent="0.35">
      <c r="A80" s="97" t="str">
        <f>VLOOKUP(B80,Country_Data!B:Q,16,FALSE)</f>
        <v>North America</v>
      </c>
      <c r="B80" s="4" t="s">
        <v>94</v>
      </c>
      <c r="C80">
        <f>SUMIF(DeadRaw!$B:$B,$B80,DeadRaw!E:E)</f>
        <v>0</v>
      </c>
      <c r="D80">
        <f>SUMIF(DeadRaw!$B:$B,$B80,DeadRaw!F:F)</f>
        <v>0</v>
      </c>
      <c r="E80">
        <f>SUMIF(DeadRaw!$B:$B,$B80,DeadRaw!G:G)</f>
        <v>0</v>
      </c>
      <c r="F80">
        <f>SUMIF(DeadRaw!$B:$B,$B80,DeadRaw!H:H)</f>
        <v>0</v>
      </c>
      <c r="G80">
        <f>SUMIF(DeadRaw!$B:$B,$B80,DeadRaw!I:I)</f>
        <v>0</v>
      </c>
      <c r="H80">
        <f>SUMIF(DeadRaw!$B:$B,$B80,DeadRaw!J:J)</f>
        <v>0</v>
      </c>
      <c r="I80">
        <f>SUMIF(DeadRaw!$B:$B,$B80,DeadRaw!K:K)</f>
        <v>0</v>
      </c>
      <c r="J80">
        <f>SUMIF(DeadRaw!$B:$B,$B80,DeadRaw!L:L)</f>
        <v>0</v>
      </c>
      <c r="K80">
        <f>SUMIF(DeadRaw!$B:$B,$B80,DeadRaw!M:M)</f>
        <v>0</v>
      </c>
      <c r="L80">
        <f>SUMIF(DeadRaw!$B:$B,$B80,DeadRaw!N:N)</f>
        <v>0</v>
      </c>
      <c r="M80">
        <f>SUMIF(DeadRaw!$B:$B,$B80,DeadRaw!O:O)</f>
        <v>0</v>
      </c>
      <c r="N80">
        <f>SUMIF(DeadRaw!$B:$B,$B80,DeadRaw!P:P)</f>
        <v>0</v>
      </c>
      <c r="O80">
        <f>SUMIF(DeadRaw!$B:$B,$B80,DeadRaw!Q:Q)</f>
        <v>0</v>
      </c>
      <c r="P80">
        <f>SUMIF(DeadRaw!$B:$B,$B80,DeadRaw!R:R)</f>
        <v>0</v>
      </c>
      <c r="Q80">
        <f>SUMIF(DeadRaw!$B:$B,$B80,DeadRaw!S:S)</f>
        <v>0</v>
      </c>
      <c r="R80">
        <f>SUMIF(DeadRaw!$B:$B,$B80,DeadRaw!T:T)</f>
        <v>0</v>
      </c>
      <c r="S80">
        <f>SUMIF(DeadRaw!$B:$B,$B80,DeadRaw!U:U)</f>
        <v>0</v>
      </c>
      <c r="T80">
        <f>SUMIF(DeadRaw!$B:$B,$B80,DeadRaw!V:V)</f>
        <v>0</v>
      </c>
      <c r="U80">
        <f>SUMIF(DeadRaw!$B:$B,$B80,DeadRaw!W:W)</f>
        <v>0</v>
      </c>
      <c r="V80">
        <f>SUMIF(DeadRaw!$B:$B,$B80,DeadRaw!X:X)</f>
        <v>0</v>
      </c>
      <c r="W80">
        <f>SUMIF(DeadRaw!$B:$B,$B80,DeadRaw!Y:Y)</f>
        <v>0</v>
      </c>
      <c r="X80">
        <f>SUMIF(DeadRaw!$B:$B,$B80,DeadRaw!Z:Z)</f>
        <v>0</v>
      </c>
      <c r="Y80">
        <f>SUMIF(DeadRaw!$B:$B,$B80,DeadRaw!AA:AA)</f>
        <v>0</v>
      </c>
      <c r="Z80">
        <f>SUMIF(DeadRaw!$B:$B,$B80,DeadRaw!AB:AB)</f>
        <v>0</v>
      </c>
      <c r="AA80">
        <f>SUMIF(DeadRaw!$B:$B,$B80,DeadRaw!AC:AC)</f>
        <v>0</v>
      </c>
      <c r="AB80">
        <f>SUMIF(DeadRaw!$B:$B,$B80,DeadRaw!AD:AD)</f>
        <v>0</v>
      </c>
      <c r="AC80">
        <f>SUMIF(DeadRaw!$B:$B,$B80,DeadRaw!AE:AE)</f>
        <v>0</v>
      </c>
      <c r="AD80">
        <f>SUMIF(DeadRaw!$B:$B,$B80,DeadRaw!AF:AF)</f>
        <v>0</v>
      </c>
      <c r="AE80">
        <f>SUMIF(DeadRaw!$B:$B,$B80,DeadRaw!AG:AG)</f>
        <v>0</v>
      </c>
      <c r="AF80">
        <f>SUMIF(DeadRaw!$B:$B,$B80,DeadRaw!AH:AH)</f>
        <v>0</v>
      </c>
      <c r="AG80">
        <f>SUMIF(DeadRaw!$B:$B,$B80,DeadRaw!AI:AI)</f>
        <v>0</v>
      </c>
      <c r="AH80">
        <f>SUMIF(DeadRaw!$B:$B,$B80,DeadRaw!AJ:AJ)</f>
        <v>0</v>
      </c>
      <c r="AI80">
        <f>SUMIF(DeadRaw!$B:$B,$B80,DeadRaw!AK:AK)</f>
        <v>0</v>
      </c>
      <c r="AJ80">
        <f>SUMIF(DeadRaw!$B:$B,$B80,DeadRaw!AL:AL)</f>
        <v>0</v>
      </c>
      <c r="AK80">
        <f>SUMIF(DeadRaw!$B:$B,$B80,DeadRaw!AM:AM)</f>
        <v>0</v>
      </c>
      <c r="AL80">
        <f>SUMIF(DeadRaw!$B:$B,$B80,DeadRaw!AN:AN)</f>
        <v>0</v>
      </c>
      <c r="AM80">
        <f>SUMIF(DeadRaw!$B:$B,$B80,DeadRaw!AO:AO)</f>
        <v>0</v>
      </c>
      <c r="AN80">
        <f>SUMIF(DeadRaw!$B:$B,$B80,DeadRaw!AP:AP)</f>
        <v>0</v>
      </c>
      <c r="AO80">
        <f>SUMIF(DeadRaw!$B:$B,$B80,DeadRaw!AQ:AQ)</f>
        <v>0</v>
      </c>
      <c r="AP80">
        <f>SUMIF(DeadRaw!$B:$B,$B80,DeadRaw!AR:AR)</f>
        <v>0</v>
      </c>
      <c r="AQ80">
        <f>SUMIF(DeadRaw!$B:$B,$B80,DeadRaw!AS:AS)</f>
        <v>0</v>
      </c>
      <c r="AR80">
        <f>SUMIF(DeadRaw!$B:$B,$B80,DeadRaw!AT:AT)</f>
        <v>0</v>
      </c>
      <c r="AS80">
        <f>SUMIF(DeadRaw!$B:$B,$B80,DeadRaw!AU:AU)</f>
        <v>0</v>
      </c>
      <c r="AT80">
        <f>SUMIF(DeadRaw!$B:$B,$B80,DeadRaw!AV:AV)</f>
        <v>0</v>
      </c>
      <c r="AU80">
        <f>SUMIF(DeadRaw!$B:$B,$B80,DeadRaw!AW:AW)</f>
        <v>0</v>
      </c>
      <c r="AV80">
        <f>SUMIF(DeadRaw!$B:$B,$B80,DeadRaw!AX:AX)</f>
        <v>0</v>
      </c>
      <c r="AW80">
        <f>SUMIF(DeadRaw!$B:$B,$B80,DeadRaw!AY:AY)</f>
        <v>0</v>
      </c>
      <c r="AX80">
        <f>SUMIF(DeadRaw!$B:$B,$B80,DeadRaw!AZ:AZ)</f>
        <v>0</v>
      </c>
      <c r="AY80">
        <f>SUMIF(DeadRaw!$B:$B,$B80,DeadRaw!BA:BA)</f>
        <v>0</v>
      </c>
      <c r="AZ80">
        <f>SUMIF(DeadRaw!$B:$B,$B80,DeadRaw!BB:BB)</f>
        <v>0</v>
      </c>
      <c r="BA80">
        <f>SUMIF(DeadRaw!$B:$B,$B80,DeadRaw!BC:BC)</f>
        <v>0</v>
      </c>
      <c r="BB80">
        <f>SUMIF(DeadRaw!$B:$B,$B80,DeadRaw!BD:BD)</f>
        <v>0</v>
      </c>
      <c r="BC80">
        <f>SUMIF(DeadRaw!$B:$B,$B80,DeadRaw!BE:BE)</f>
        <v>0</v>
      </c>
      <c r="BD80">
        <f>SUMIF(DeadRaw!$B:$B,$B80,DeadRaw!BF:BF)</f>
        <v>0</v>
      </c>
      <c r="BE80">
        <f>SUMIF(DeadRaw!$B:$B,$B80,DeadRaw!BG:BG)</f>
        <v>0</v>
      </c>
      <c r="BF80">
        <f>SUMIF(DeadRaw!$B:$B,$B80,DeadRaw!BH:BH)</f>
        <v>0</v>
      </c>
      <c r="BG80">
        <f>SUMIF(DeadRaw!$B:$B,$B80,DeadRaw!BI:BI)</f>
        <v>0</v>
      </c>
      <c r="BH80">
        <f>SUMIF(DeadRaw!$B:$B,$B80,DeadRaw!BJ:BJ)</f>
        <v>1</v>
      </c>
      <c r="BI80">
        <f>SUMIF(DeadRaw!$B:$B,$B80,DeadRaw!BK:BK)</f>
        <v>1</v>
      </c>
      <c r="BJ80">
        <f>SUMIF(DeadRaw!$B:$B,$B80,DeadRaw!BL:BL)</f>
        <v>2</v>
      </c>
      <c r="BK80">
        <f>SUMIF(DeadRaw!$B:$B,$B80,DeadRaw!BM:BM)</f>
        <v>2</v>
      </c>
      <c r="BL80">
        <f>SUMIF(DeadRaw!$B:$B,$B80,DeadRaw!BN:BN)</f>
        <v>3</v>
      </c>
      <c r="BM80">
        <f>SUMIF(DeadRaw!$B:$B,$B80,DeadRaw!BO:BO)</f>
        <v>4</v>
      </c>
      <c r="BN80">
        <f>SUMIF(DeadRaw!$B:$B,$B80,DeadRaw!BP:BP)</f>
        <v>5</v>
      </c>
      <c r="BO80">
        <f>SUMIF(DeadRaw!$B:$B,$B80,DeadRaw!BQ:BQ)</f>
        <v>6</v>
      </c>
      <c r="BP80">
        <f>SUMIF(DeadRaw!$B:$B,$B80,DeadRaw!BR:BR)</f>
        <v>8</v>
      </c>
      <c r="BQ80">
        <f>SUMIF(DeadRaw!$B:$B,$B80,DeadRaw!BS:BS)</f>
        <v>12</v>
      </c>
      <c r="BR80">
        <f>SUMIF(DeadRaw!$B:$B,$B80,DeadRaw!BT:BT)</f>
        <v>0</v>
      </c>
      <c r="BS80">
        <f>SUMIF(DeadRaw!$B:$B,$B80,DeadRaw!BU:BU)</f>
        <v>0</v>
      </c>
      <c r="BT80">
        <f>SUMIF(DeadRaw!$B:$B,$B80,DeadRaw!BV:BV)</f>
        <v>0</v>
      </c>
      <c r="BU80">
        <f>SUMIF(DeadRaw!$B:$B,$B80,DeadRaw!BW:BW)</f>
        <v>0</v>
      </c>
    </row>
    <row r="81" spans="1:73" ht="15" thickBot="1" x14ac:dyDescent="0.35">
      <c r="A81" s="97" t="str">
        <f>VLOOKUP(B81,Country_Data!B:Q,16,FALSE)</f>
        <v>Africa</v>
      </c>
      <c r="B81" s="3" t="s">
        <v>114</v>
      </c>
      <c r="C81">
        <f>SUMIF(DeadRaw!$B:$B,$B81,DeadRaw!E:E)</f>
        <v>0</v>
      </c>
      <c r="D81">
        <f>SUMIF(DeadRaw!$B:$B,$B81,DeadRaw!F:F)</f>
        <v>0</v>
      </c>
      <c r="E81">
        <f>SUMIF(DeadRaw!$B:$B,$B81,DeadRaw!G:G)</f>
        <v>0</v>
      </c>
      <c r="F81">
        <f>SUMIF(DeadRaw!$B:$B,$B81,DeadRaw!H:H)</f>
        <v>0</v>
      </c>
      <c r="G81">
        <f>SUMIF(DeadRaw!$B:$B,$B81,DeadRaw!I:I)</f>
        <v>0</v>
      </c>
      <c r="H81">
        <f>SUMIF(DeadRaw!$B:$B,$B81,DeadRaw!J:J)</f>
        <v>0</v>
      </c>
      <c r="I81">
        <f>SUMIF(DeadRaw!$B:$B,$B81,DeadRaw!K:K)</f>
        <v>0</v>
      </c>
      <c r="J81">
        <f>SUMIF(DeadRaw!$B:$B,$B81,DeadRaw!L:L)</f>
        <v>0</v>
      </c>
      <c r="K81">
        <f>SUMIF(DeadRaw!$B:$B,$B81,DeadRaw!M:M)</f>
        <v>0</v>
      </c>
      <c r="L81">
        <f>SUMIF(DeadRaw!$B:$B,$B81,DeadRaw!N:N)</f>
        <v>0</v>
      </c>
      <c r="M81">
        <f>SUMIF(DeadRaw!$B:$B,$B81,DeadRaw!O:O)</f>
        <v>0</v>
      </c>
      <c r="N81">
        <f>SUMIF(DeadRaw!$B:$B,$B81,DeadRaw!P:P)</f>
        <v>0</v>
      </c>
      <c r="O81">
        <f>SUMIF(DeadRaw!$B:$B,$B81,DeadRaw!Q:Q)</f>
        <v>0</v>
      </c>
      <c r="P81">
        <f>SUMIF(DeadRaw!$B:$B,$B81,DeadRaw!R:R)</f>
        <v>0</v>
      </c>
      <c r="Q81">
        <f>SUMIF(DeadRaw!$B:$B,$B81,DeadRaw!S:S)</f>
        <v>0</v>
      </c>
      <c r="R81">
        <f>SUMIF(DeadRaw!$B:$B,$B81,DeadRaw!T:T)</f>
        <v>0</v>
      </c>
      <c r="S81">
        <f>SUMIF(DeadRaw!$B:$B,$B81,DeadRaw!U:U)</f>
        <v>0</v>
      </c>
      <c r="T81">
        <f>SUMIF(DeadRaw!$B:$B,$B81,DeadRaw!V:V)</f>
        <v>0</v>
      </c>
      <c r="U81">
        <f>SUMIF(DeadRaw!$B:$B,$B81,DeadRaw!W:W)</f>
        <v>0</v>
      </c>
      <c r="V81">
        <f>SUMIF(DeadRaw!$B:$B,$B81,DeadRaw!X:X)</f>
        <v>0</v>
      </c>
      <c r="W81">
        <f>SUMIF(DeadRaw!$B:$B,$B81,DeadRaw!Y:Y)</f>
        <v>0</v>
      </c>
      <c r="X81">
        <f>SUMIF(DeadRaw!$B:$B,$B81,DeadRaw!Z:Z)</f>
        <v>0</v>
      </c>
      <c r="Y81">
        <f>SUMIF(DeadRaw!$B:$B,$B81,DeadRaw!AA:AA)</f>
        <v>0</v>
      </c>
      <c r="Z81">
        <f>SUMIF(DeadRaw!$B:$B,$B81,DeadRaw!AB:AB)</f>
        <v>0</v>
      </c>
      <c r="AA81">
        <f>SUMIF(DeadRaw!$B:$B,$B81,DeadRaw!AC:AC)</f>
        <v>0</v>
      </c>
      <c r="AB81">
        <f>SUMIF(DeadRaw!$B:$B,$B81,DeadRaw!AD:AD)</f>
        <v>0</v>
      </c>
      <c r="AC81">
        <f>SUMIF(DeadRaw!$B:$B,$B81,DeadRaw!AE:AE)</f>
        <v>0</v>
      </c>
      <c r="AD81">
        <f>SUMIF(DeadRaw!$B:$B,$B81,DeadRaw!AF:AF)</f>
        <v>0</v>
      </c>
      <c r="AE81">
        <f>SUMIF(DeadRaw!$B:$B,$B81,DeadRaw!AG:AG)</f>
        <v>0</v>
      </c>
      <c r="AF81">
        <f>SUMIF(DeadRaw!$B:$B,$B81,DeadRaw!AH:AH)</f>
        <v>0</v>
      </c>
      <c r="AG81">
        <f>SUMIF(DeadRaw!$B:$B,$B81,DeadRaw!AI:AI)</f>
        <v>0</v>
      </c>
      <c r="AH81">
        <f>SUMIF(DeadRaw!$B:$B,$B81,DeadRaw!AJ:AJ)</f>
        <v>0</v>
      </c>
      <c r="AI81">
        <f>SUMIF(DeadRaw!$B:$B,$B81,DeadRaw!AK:AK)</f>
        <v>0</v>
      </c>
      <c r="AJ81">
        <f>SUMIF(DeadRaw!$B:$B,$B81,DeadRaw!AL:AL)</f>
        <v>0</v>
      </c>
      <c r="AK81">
        <f>SUMIF(DeadRaw!$B:$B,$B81,DeadRaw!AM:AM)</f>
        <v>0</v>
      </c>
      <c r="AL81">
        <f>SUMIF(DeadRaw!$B:$B,$B81,DeadRaw!AN:AN)</f>
        <v>0</v>
      </c>
      <c r="AM81">
        <f>SUMIF(DeadRaw!$B:$B,$B81,DeadRaw!AO:AO)</f>
        <v>0</v>
      </c>
      <c r="AN81">
        <f>SUMIF(DeadRaw!$B:$B,$B81,DeadRaw!AP:AP)</f>
        <v>0</v>
      </c>
      <c r="AO81">
        <f>SUMIF(DeadRaw!$B:$B,$B81,DeadRaw!AQ:AQ)</f>
        <v>0</v>
      </c>
      <c r="AP81">
        <f>SUMIF(DeadRaw!$B:$B,$B81,DeadRaw!AR:AR)</f>
        <v>0</v>
      </c>
      <c r="AQ81">
        <f>SUMIF(DeadRaw!$B:$B,$B81,DeadRaw!AS:AS)</f>
        <v>0</v>
      </c>
      <c r="AR81">
        <f>SUMIF(DeadRaw!$B:$B,$B81,DeadRaw!AT:AT)</f>
        <v>0</v>
      </c>
      <c r="AS81">
        <f>SUMIF(DeadRaw!$B:$B,$B81,DeadRaw!AU:AU)</f>
        <v>0</v>
      </c>
      <c r="AT81">
        <f>SUMIF(DeadRaw!$B:$B,$B81,DeadRaw!AV:AV)</f>
        <v>0</v>
      </c>
      <c r="AU81">
        <f>SUMIF(DeadRaw!$B:$B,$B81,DeadRaw!AW:AW)</f>
        <v>0</v>
      </c>
      <c r="AV81">
        <f>SUMIF(DeadRaw!$B:$B,$B81,DeadRaw!AX:AX)</f>
        <v>0</v>
      </c>
      <c r="AW81">
        <f>SUMIF(DeadRaw!$B:$B,$B81,DeadRaw!AY:AY)</f>
        <v>0</v>
      </c>
      <c r="AX81">
        <f>SUMIF(DeadRaw!$B:$B,$B81,DeadRaw!AZ:AZ)</f>
        <v>0</v>
      </c>
      <c r="AY81">
        <f>SUMIF(DeadRaw!$B:$B,$B81,DeadRaw!BA:BA)</f>
        <v>0</v>
      </c>
      <c r="AZ81">
        <f>SUMIF(DeadRaw!$B:$B,$B81,DeadRaw!BB:BB)</f>
        <v>0</v>
      </c>
      <c r="BA81">
        <f>SUMIF(DeadRaw!$B:$B,$B81,DeadRaw!BC:BC)</f>
        <v>0</v>
      </c>
      <c r="BB81">
        <f>SUMIF(DeadRaw!$B:$B,$B81,DeadRaw!BD:BD)</f>
        <v>0</v>
      </c>
      <c r="BC81">
        <f>SUMIF(DeadRaw!$B:$B,$B81,DeadRaw!BE:BE)</f>
        <v>0</v>
      </c>
      <c r="BD81">
        <f>SUMIF(DeadRaw!$B:$B,$B81,DeadRaw!BF:BF)</f>
        <v>0</v>
      </c>
      <c r="BE81">
        <f>SUMIF(DeadRaw!$B:$B,$B81,DeadRaw!BG:BG)</f>
        <v>0</v>
      </c>
      <c r="BF81">
        <f>SUMIF(DeadRaw!$B:$B,$B81,DeadRaw!BH:BH)</f>
        <v>0</v>
      </c>
      <c r="BG81">
        <f>SUMIF(DeadRaw!$B:$B,$B81,DeadRaw!BI:BI)</f>
        <v>0</v>
      </c>
      <c r="BH81">
        <f>SUMIF(DeadRaw!$B:$B,$B81,DeadRaw!BJ:BJ)</f>
        <v>0</v>
      </c>
      <c r="BI81">
        <f>SUMIF(DeadRaw!$B:$B,$B81,DeadRaw!BK:BK)</f>
        <v>0</v>
      </c>
      <c r="BJ81">
        <f>SUMIF(DeadRaw!$B:$B,$B81,DeadRaw!BL:BL)</f>
        <v>0</v>
      </c>
      <c r="BK81">
        <f>SUMIF(DeadRaw!$B:$B,$B81,DeadRaw!BM:BM)</f>
        <v>0</v>
      </c>
      <c r="BL81">
        <f>SUMIF(DeadRaw!$B:$B,$B81,DeadRaw!BN:BN)</f>
        <v>0</v>
      </c>
      <c r="BM81">
        <f>SUMIF(DeadRaw!$B:$B,$B81,DeadRaw!BO:BO)</f>
        <v>0</v>
      </c>
      <c r="BN81">
        <f>SUMIF(DeadRaw!$B:$B,$B81,DeadRaw!BP:BP)</f>
        <v>0</v>
      </c>
      <c r="BO81">
        <f>SUMIF(DeadRaw!$B:$B,$B81,DeadRaw!BQ:BQ)</f>
        <v>0</v>
      </c>
      <c r="BP81">
        <f>SUMIF(DeadRaw!$B:$B,$B81,DeadRaw!BR:BR)</f>
        <v>0</v>
      </c>
      <c r="BQ81">
        <f>SUMIF(DeadRaw!$B:$B,$B81,DeadRaw!BS:BS)</f>
        <v>0</v>
      </c>
      <c r="BR81">
        <f>SUMIF(DeadRaw!$B:$B,$B81,DeadRaw!BT:BT)</f>
        <v>0</v>
      </c>
      <c r="BS81">
        <f>SUMIF(DeadRaw!$B:$B,$B81,DeadRaw!BU:BU)</f>
        <v>0</v>
      </c>
      <c r="BT81">
        <f>SUMIF(DeadRaw!$B:$B,$B81,DeadRaw!BV:BV)</f>
        <v>0</v>
      </c>
      <c r="BU81">
        <f>SUMIF(DeadRaw!$B:$B,$B81,DeadRaw!BW:BW)</f>
        <v>0</v>
      </c>
    </row>
    <row r="82" spans="1:73" ht="15" thickBot="1" x14ac:dyDescent="0.35">
      <c r="A82" s="97" t="str">
        <f>VLOOKUP(B82,Country_Data!B:Q,16,FALSE)</f>
        <v>Asia</v>
      </c>
      <c r="B82" s="4" t="s">
        <v>200</v>
      </c>
      <c r="C82">
        <f>SUMIF(DeadRaw!$B:$B,$B82,DeadRaw!E:E)</f>
        <v>0</v>
      </c>
      <c r="D82">
        <f>SUMIF(DeadRaw!$B:$B,$B82,DeadRaw!F:F)</f>
        <v>0</v>
      </c>
      <c r="E82">
        <f>SUMIF(DeadRaw!$B:$B,$B82,DeadRaw!G:G)</f>
        <v>0</v>
      </c>
      <c r="F82">
        <f>SUMIF(DeadRaw!$B:$B,$B82,DeadRaw!H:H)</f>
        <v>0</v>
      </c>
      <c r="G82">
        <f>SUMIF(DeadRaw!$B:$B,$B82,DeadRaw!I:I)</f>
        <v>0</v>
      </c>
      <c r="H82">
        <f>SUMIF(DeadRaw!$B:$B,$B82,DeadRaw!J:J)</f>
        <v>0</v>
      </c>
      <c r="I82">
        <f>SUMIF(DeadRaw!$B:$B,$B82,DeadRaw!K:K)</f>
        <v>0</v>
      </c>
      <c r="J82">
        <f>SUMIF(DeadRaw!$B:$B,$B82,DeadRaw!L:L)</f>
        <v>0</v>
      </c>
      <c r="K82">
        <f>SUMIF(DeadRaw!$B:$B,$B82,DeadRaw!M:M)</f>
        <v>0</v>
      </c>
      <c r="L82">
        <f>SUMIF(DeadRaw!$B:$B,$B82,DeadRaw!N:N)</f>
        <v>0</v>
      </c>
      <c r="M82">
        <f>SUMIF(DeadRaw!$B:$B,$B82,DeadRaw!O:O)</f>
        <v>0</v>
      </c>
      <c r="N82">
        <f>SUMIF(DeadRaw!$B:$B,$B82,DeadRaw!P:P)</f>
        <v>0</v>
      </c>
      <c r="O82">
        <f>SUMIF(DeadRaw!$B:$B,$B82,DeadRaw!Q:Q)</f>
        <v>0</v>
      </c>
      <c r="P82">
        <f>SUMIF(DeadRaw!$B:$B,$B82,DeadRaw!R:R)</f>
        <v>0</v>
      </c>
      <c r="Q82">
        <f>SUMIF(DeadRaw!$B:$B,$B82,DeadRaw!S:S)</f>
        <v>0</v>
      </c>
      <c r="R82">
        <f>SUMIF(DeadRaw!$B:$B,$B82,DeadRaw!T:T)</f>
        <v>0</v>
      </c>
      <c r="S82">
        <f>SUMIF(DeadRaw!$B:$B,$B82,DeadRaw!U:U)</f>
        <v>0</v>
      </c>
      <c r="T82">
        <f>SUMIF(DeadRaw!$B:$B,$B82,DeadRaw!V:V)</f>
        <v>0</v>
      </c>
      <c r="U82">
        <f>SUMIF(DeadRaw!$B:$B,$B82,DeadRaw!W:W)</f>
        <v>0</v>
      </c>
      <c r="V82">
        <f>SUMIF(DeadRaw!$B:$B,$B82,DeadRaw!X:X)</f>
        <v>0</v>
      </c>
      <c r="W82">
        <f>SUMIF(DeadRaw!$B:$B,$B82,DeadRaw!Y:Y)</f>
        <v>0</v>
      </c>
      <c r="X82">
        <f>SUMIF(DeadRaw!$B:$B,$B82,DeadRaw!Z:Z)</f>
        <v>0</v>
      </c>
      <c r="Y82">
        <f>SUMIF(DeadRaw!$B:$B,$B82,DeadRaw!AA:AA)</f>
        <v>0</v>
      </c>
      <c r="Z82">
        <f>SUMIF(DeadRaw!$B:$B,$B82,DeadRaw!AB:AB)</f>
        <v>0</v>
      </c>
      <c r="AA82">
        <f>SUMIF(DeadRaw!$B:$B,$B82,DeadRaw!AC:AC)</f>
        <v>0</v>
      </c>
      <c r="AB82">
        <f>SUMIF(DeadRaw!$B:$B,$B82,DeadRaw!AD:AD)</f>
        <v>0</v>
      </c>
      <c r="AC82">
        <f>SUMIF(DeadRaw!$B:$B,$B82,DeadRaw!AE:AE)</f>
        <v>0</v>
      </c>
      <c r="AD82">
        <f>SUMIF(DeadRaw!$B:$B,$B82,DeadRaw!AF:AF)</f>
        <v>0</v>
      </c>
      <c r="AE82">
        <f>SUMIF(DeadRaw!$B:$B,$B82,DeadRaw!AG:AG)</f>
        <v>0</v>
      </c>
      <c r="AF82">
        <f>SUMIF(DeadRaw!$B:$B,$B82,DeadRaw!AH:AH)</f>
        <v>0</v>
      </c>
      <c r="AG82">
        <f>SUMIF(DeadRaw!$B:$B,$B82,DeadRaw!AI:AI)</f>
        <v>0</v>
      </c>
      <c r="AH82">
        <f>SUMIF(DeadRaw!$B:$B,$B82,DeadRaw!AJ:AJ)</f>
        <v>0</v>
      </c>
      <c r="AI82">
        <f>SUMIF(DeadRaw!$B:$B,$B82,DeadRaw!AK:AK)</f>
        <v>0</v>
      </c>
      <c r="AJ82">
        <f>SUMIF(DeadRaw!$B:$B,$B82,DeadRaw!AL:AL)</f>
        <v>0</v>
      </c>
      <c r="AK82">
        <f>SUMIF(DeadRaw!$B:$B,$B82,DeadRaw!AM:AM)</f>
        <v>0</v>
      </c>
      <c r="AL82">
        <f>SUMIF(DeadRaw!$B:$B,$B82,DeadRaw!AN:AN)</f>
        <v>0</v>
      </c>
      <c r="AM82">
        <f>SUMIF(DeadRaw!$B:$B,$B82,DeadRaw!AO:AO)</f>
        <v>0</v>
      </c>
      <c r="AN82">
        <f>SUMIF(DeadRaw!$B:$B,$B82,DeadRaw!AP:AP)</f>
        <v>0</v>
      </c>
      <c r="AO82">
        <f>SUMIF(DeadRaw!$B:$B,$B82,DeadRaw!AQ:AQ)</f>
        <v>0</v>
      </c>
      <c r="AP82">
        <f>SUMIF(DeadRaw!$B:$B,$B82,DeadRaw!AR:AR)</f>
        <v>0</v>
      </c>
      <c r="AQ82">
        <f>SUMIF(DeadRaw!$B:$B,$B82,DeadRaw!AS:AS)</f>
        <v>0</v>
      </c>
      <c r="AR82">
        <f>SUMIF(DeadRaw!$B:$B,$B82,DeadRaw!AT:AT)</f>
        <v>0</v>
      </c>
      <c r="AS82">
        <f>SUMIF(DeadRaw!$B:$B,$B82,DeadRaw!AU:AU)</f>
        <v>0</v>
      </c>
      <c r="AT82">
        <f>SUMIF(DeadRaw!$B:$B,$B82,DeadRaw!AV:AV)</f>
        <v>0</v>
      </c>
      <c r="AU82">
        <f>SUMIF(DeadRaw!$B:$B,$B82,DeadRaw!AW:AW)</f>
        <v>0</v>
      </c>
      <c r="AV82">
        <f>SUMIF(DeadRaw!$B:$B,$B82,DeadRaw!AX:AX)</f>
        <v>0</v>
      </c>
      <c r="AW82">
        <f>SUMIF(DeadRaw!$B:$B,$B82,DeadRaw!AY:AY)</f>
        <v>0</v>
      </c>
      <c r="AX82">
        <f>SUMIF(DeadRaw!$B:$B,$B82,DeadRaw!AZ:AZ)</f>
        <v>0</v>
      </c>
      <c r="AY82">
        <f>SUMIF(DeadRaw!$B:$B,$B82,DeadRaw!BA:BA)</f>
        <v>0</v>
      </c>
      <c r="AZ82">
        <f>SUMIF(DeadRaw!$B:$B,$B82,DeadRaw!BB:BB)</f>
        <v>0</v>
      </c>
      <c r="BA82">
        <f>SUMIF(DeadRaw!$B:$B,$B82,DeadRaw!BC:BC)</f>
        <v>0</v>
      </c>
      <c r="BB82">
        <f>SUMIF(DeadRaw!$B:$B,$B82,DeadRaw!BD:BD)</f>
        <v>0</v>
      </c>
      <c r="BC82">
        <f>SUMIF(DeadRaw!$B:$B,$B82,DeadRaw!BE:BE)</f>
        <v>0</v>
      </c>
      <c r="BD82">
        <f>SUMIF(DeadRaw!$B:$B,$B82,DeadRaw!BF:BF)</f>
        <v>0</v>
      </c>
      <c r="BE82">
        <f>SUMIF(DeadRaw!$B:$B,$B82,DeadRaw!BG:BG)</f>
        <v>0</v>
      </c>
      <c r="BF82">
        <f>SUMIF(DeadRaw!$B:$B,$B82,DeadRaw!BH:BH)</f>
        <v>0</v>
      </c>
      <c r="BG82">
        <f>SUMIF(DeadRaw!$B:$B,$B82,DeadRaw!BI:BI)</f>
        <v>0</v>
      </c>
      <c r="BH82">
        <f>SUMIF(DeadRaw!$B:$B,$B82,DeadRaw!BJ:BJ)</f>
        <v>0</v>
      </c>
      <c r="BI82">
        <f>SUMIF(DeadRaw!$B:$B,$B82,DeadRaw!BK:BK)</f>
        <v>0</v>
      </c>
      <c r="BJ82">
        <f>SUMIF(DeadRaw!$B:$B,$B82,DeadRaw!BL:BL)</f>
        <v>0</v>
      </c>
      <c r="BK82">
        <f>SUMIF(DeadRaw!$B:$B,$B82,DeadRaw!BM:BM)</f>
        <v>0</v>
      </c>
      <c r="BL82">
        <f>SUMIF(DeadRaw!$B:$B,$B82,DeadRaw!BN:BN)</f>
        <v>0</v>
      </c>
      <c r="BM82">
        <f>SUMIF(DeadRaw!$B:$B,$B82,DeadRaw!BO:BO)</f>
        <v>0</v>
      </c>
      <c r="BN82">
        <f>SUMIF(DeadRaw!$B:$B,$B82,DeadRaw!BP:BP)</f>
        <v>0</v>
      </c>
      <c r="BO82">
        <f>SUMIF(DeadRaw!$B:$B,$B82,DeadRaw!BQ:BQ)</f>
        <v>0</v>
      </c>
      <c r="BP82">
        <f>SUMIF(DeadRaw!$B:$B,$B82,DeadRaw!BR:BR)</f>
        <v>0</v>
      </c>
      <c r="BQ82">
        <f>SUMIF(DeadRaw!$B:$B,$B82,DeadRaw!BS:BS)</f>
        <v>0</v>
      </c>
      <c r="BR82">
        <f>SUMIF(DeadRaw!$B:$B,$B82,DeadRaw!BT:BT)</f>
        <v>0</v>
      </c>
      <c r="BS82">
        <f>SUMIF(DeadRaw!$B:$B,$B82,DeadRaw!BU:BU)</f>
        <v>0</v>
      </c>
      <c r="BT82">
        <f>SUMIF(DeadRaw!$B:$B,$B82,DeadRaw!BV:BV)</f>
        <v>0</v>
      </c>
      <c r="BU82">
        <f>SUMIF(DeadRaw!$B:$B,$B82,DeadRaw!BW:BW)</f>
        <v>0</v>
      </c>
    </row>
    <row r="83" spans="1:73" ht="15" thickBot="1" x14ac:dyDescent="0.35">
      <c r="A83" s="97" t="str">
        <f>VLOOKUP(B83,Country_Data!B:Q,16,FALSE)</f>
        <v>Europe</v>
      </c>
      <c r="B83" s="4" t="s">
        <v>105</v>
      </c>
      <c r="C83">
        <f>SUMIF(DeadRaw!$B:$B,$B83,DeadRaw!E:E)</f>
        <v>0</v>
      </c>
      <c r="D83">
        <f>SUMIF(DeadRaw!$B:$B,$B83,DeadRaw!F:F)</f>
        <v>0</v>
      </c>
      <c r="E83">
        <f>SUMIF(DeadRaw!$B:$B,$B83,DeadRaw!G:G)</f>
        <v>0</v>
      </c>
      <c r="F83">
        <f>SUMIF(DeadRaw!$B:$B,$B83,DeadRaw!H:H)</f>
        <v>0</v>
      </c>
      <c r="G83">
        <f>SUMIF(DeadRaw!$B:$B,$B83,DeadRaw!I:I)</f>
        <v>0</v>
      </c>
      <c r="H83">
        <f>SUMIF(DeadRaw!$B:$B,$B83,DeadRaw!J:J)</f>
        <v>0</v>
      </c>
      <c r="I83">
        <f>SUMIF(DeadRaw!$B:$B,$B83,DeadRaw!K:K)</f>
        <v>0</v>
      </c>
      <c r="J83">
        <f>SUMIF(DeadRaw!$B:$B,$B83,DeadRaw!L:L)</f>
        <v>0</v>
      </c>
      <c r="K83">
        <f>SUMIF(DeadRaw!$B:$B,$B83,DeadRaw!M:M)</f>
        <v>0</v>
      </c>
      <c r="L83">
        <f>SUMIF(DeadRaw!$B:$B,$B83,DeadRaw!N:N)</f>
        <v>0</v>
      </c>
      <c r="M83">
        <f>SUMIF(DeadRaw!$B:$B,$B83,DeadRaw!O:O)</f>
        <v>0</v>
      </c>
      <c r="N83">
        <f>SUMIF(DeadRaw!$B:$B,$B83,DeadRaw!P:P)</f>
        <v>0</v>
      </c>
      <c r="O83">
        <f>SUMIF(DeadRaw!$B:$B,$B83,DeadRaw!Q:Q)</f>
        <v>0</v>
      </c>
      <c r="P83">
        <f>SUMIF(DeadRaw!$B:$B,$B83,DeadRaw!R:R)</f>
        <v>0</v>
      </c>
      <c r="Q83">
        <f>SUMIF(DeadRaw!$B:$B,$B83,DeadRaw!S:S)</f>
        <v>0</v>
      </c>
      <c r="R83">
        <f>SUMIF(DeadRaw!$B:$B,$B83,DeadRaw!T:T)</f>
        <v>0</v>
      </c>
      <c r="S83">
        <f>SUMIF(DeadRaw!$B:$B,$B83,DeadRaw!U:U)</f>
        <v>0</v>
      </c>
      <c r="T83">
        <f>SUMIF(DeadRaw!$B:$B,$B83,DeadRaw!V:V)</f>
        <v>0</v>
      </c>
      <c r="U83">
        <f>SUMIF(DeadRaw!$B:$B,$B83,DeadRaw!W:W)</f>
        <v>0</v>
      </c>
      <c r="V83">
        <f>SUMIF(DeadRaw!$B:$B,$B83,DeadRaw!X:X)</f>
        <v>0</v>
      </c>
      <c r="W83">
        <f>SUMIF(DeadRaw!$B:$B,$B83,DeadRaw!Y:Y)</f>
        <v>0</v>
      </c>
      <c r="X83">
        <f>SUMIF(DeadRaw!$B:$B,$B83,DeadRaw!Z:Z)</f>
        <v>0</v>
      </c>
      <c r="Y83">
        <f>SUMIF(DeadRaw!$B:$B,$B83,DeadRaw!AA:AA)</f>
        <v>0</v>
      </c>
      <c r="Z83">
        <f>SUMIF(DeadRaw!$B:$B,$B83,DeadRaw!AB:AB)</f>
        <v>0</v>
      </c>
      <c r="AA83">
        <f>SUMIF(DeadRaw!$B:$B,$B83,DeadRaw!AC:AC)</f>
        <v>0</v>
      </c>
      <c r="AB83">
        <f>SUMIF(DeadRaw!$B:$B,$B83,DeadRaw!AD:AD)</f>
        <v>0</v>
      </c>
      <c r="AC83">
        <f>SUMIF(DeadRaw!$B:$B,$B83,DeadRaw!AE:AE)</f>
        <v>0</v>
      </c>
      <c r="AD83">
        <f>SUMIF(DeadRaw!$B:$B,$B83,DeadRaw!AF:AF)</f>
        <v>0</v>
      </c>
      <c r="AE83">
        <f>SUMIF(DeadRaw!$B:$B,$B83,DeadRaw!AG:AG)</f>
        <v>0</v>
      </c>
      <c r="AF83">
        <f>SUMIF(DeadRaw!$B:$B,$B83,DeadRaw!AH:AH)</f>
        <v>0</v>
      </c>
      <c r="AG83">
        <f>SUMIF(DeadRaw!$B:$B,$B83,DeadRaw!AI:AI)</f>
        <v>0</v>
      </c>
      <c r="AH83">
        <f>SUMIF(DeadRaw!$B:$B,$B83,DeadRaw!AJ:AJ)</f>
        <v>0</v>
      </c>
      <c r="AI83">
        <f>SUMIF(DeadRaw!$B:$B,$B83,DeadRaw!AK:AK)</f>
        <v>0</v>
      </c>
      <c r="AJ83">
        <f>SUMIF(DeadRaw!$B:$B,$B83,DeadRaw!AL:AL)</f>
        <v>0</v>
      </c>
      <c r="AK83">
        <f>SUMIF(DeadRaw!$B:$B,$B83,DeadRaw!AM:AM)</f>
        <v>0</v>
      </c>
      <c r="AL83">
        <f>SUMIF(DeadRaw!$B:$B,$B83,DeadRaw!AN:AN)</f>
        <v>0</v>
      </c>
      <c r="AM83">
        <f>SUMIF(DeadRaw!$B:$B,$B83,DeadRaw!AO:AO)</f>
        <v>0</v>
      </c>
      <c r="AN83">
        <f>SUMIF(DeadRaw!$B:$B,$B83,DeadRaw!AP:AP)</f>
        <v>0</v>
      </c>
      <c r="AO83">
        <f>SUMIF(DeadRaw!$B:$B,$B83,DeadRaw!AQ:AQ)</f>
        <v>0</v>
      </c>
      <c r="AP83">
        <f>SUMIF(DeadRaw!$B:$B,$B83,DeadRaw!AR:AR)</f>
        <v>0</v>
      </c>
      <c r="AQ83">
        <f>SUMIF(DeadRaw!$B:$B,$B83,DeadRaw!AS:AS)</f>
        <v>0</v>
      </c>
      <c r="AR83">
        <f>SUMIF(DeadRaw!$B:$B,$B83,DeadRaw!AT:AT)</f>
        <v>0</v>
      </c>
      <c r="AS83">
        <f>SUMIF(DeadRaw!$B:$B,$B83,DeadRaw!AU:AU)</f>
        <v>0</v>
      </c>
      <c r="AT83">
        <f>SUMIF(DeadRaw!$B:$B,$B83,DeadRaw!AV:AV)</f>
        <v>0</v>
      </c>
      <c r="AU83">
        <f>SUMIF(DeadRaw!$B:$B,$B83,DeadRaw!AW:AW)</f>
        <v>0</v>
      </c>
      <c r="AV83">
        <f>SUMIF(DeadRaw!$B:$B,$B83,DeadRaw!AX:AX)</f>
        <v>0</v>
      </c>
      <c r="AW83">
        <f>SUMIF(DeadRaw!$B:$B,$B83,DeadRaw!AY:AY)</f>
        <v>0</v>
      </c>
      <c r="AX83">
        <f>SUMIF(DeadRaw!$B:$B,$B83,DeadRaw!AZ:AZ)</f>
        <v>0</v>
      </c>
      <c r="AY83">
        <f>SUMIF(DeadRaw!$B:$B,$B83,DeadRaw!BA:BA)</f>
        <v>0</v>
      </c>
      <c r="AZ83">
        <f>SUMIF(DeadRaw!$B:$B,$B83,DeadRaw!BB:BB)</f>
        <v>0</v>
      </c>
      <c r="BA83">
        <f>SUMIF(DeadRaw!$B:$B,$B83,DeadRaw!BC:BC)</f>
        <v>0</v>
      </c>
      <c r="BB83">
        <f>SUMIF(DeadRaw!$B:$B,$B83,DeadRaw!BD:BD)</f>
        <v>0</v>
      </c>
      <c r="BC83">
        <f>SUMIF(DeadRaw!$B:$B,$B83,DeadRaw!BE:BE)</f>
        <v>0</v>
      </c>
      <c r="BD83">
        <f>SUMIF(DeadRaw!$B:$B,$B83,DeadRaw!BF:BF)</f>
        <v>0</v>
      </c>
      <c r="BE83">
        <f>SUMIF(DeadRaw!$B:$B,$B83,DeadRaw!BG:BG)</f>
        <v>0</v>
      </c>
      <c r="BF83">
        <f>SUMIF(DeadRaw!$B:$B,$B83,DeadRaw!BH:BH)</f>
        <v>0</v>
      </c>
      <c r="BG83">
        <f>SUMIF(DeadRaw!$B:$B,$B83,DeadRaw!BI:BI)</f>
        <v>0</v>
      </c>
      <c r="BH83">
        <f>SUMIF(DeadRaw!$B:$B,$B83,DeadRaw!BJ:BJ)</f>
        <v>0</v>
      </c>
      <c r="BI83">
        <f>SUMIF(DeadRaw!$B:$B,$B83,DeadRaw!BK:BK)</f>
        <v>0</v>
      </c>
      <c r="BJ83">
        <f>SUMIF(DeadRaw!$B:$B,$B83,DeadRaw!BL:BL)</f>
        <v>0</v>
      </c>
      <c r="BK83">
        <f>SUMIF(DeadRaw!$B:$B,$B83,DeadRaw!BM:BM)</f>
        <v>0</v>
      </c>
      <c r="BL83">
        <f>SUMIF(DeadRaw!$B:$B,$B83,DeadRaw!BN:BN)</f>
        <v>0</v>
      </c>
      <c r="BM83">
        <f>SUMIF(DeadRaw!$B:$B,$B83,DeadRaw!BO:BO)</f>
        <v>0</v>
      </c>
      <c r="BN83">
        <f>SUMIF(DeadRaw!$B:$B,$B83,DeadRaw!BP:BP)</f>
        <v>0</v>
      </c>
      <c r="BO83">
        <f>SUMIF(DeadRaw!$B:$B,$B83,DeadRaw!BQ:BQ)</f>
        <v>1</v>
      </c>
      <c r="BP83">
        <f>SUMIF(DeadRaw!$B:$B,$B83,DeadRaw!BR:BR)</f>
        <v>1</v>
      </c>
      <c r="BQ83">
        <f>SUMIF(DeadRaw!$B:$B,$B83,DeadRaw!BS:BS)</f>
        <v>1</v>
      </c>
      <c r="BR83">
        <f>SUMIF(DeadRaw!$B:$B,$B83,DeadRaw!BT:BT)</f>
        <v>0</v>
      </c>
      <c r="BS83">
        <f>SUMIF(DeadRaw!$B:$B,$B83,DeadRaw!BU:BU)</f>
        <v>0</v>
      </c>
      <c r="BT83">
        <f>SUMIF(DeadRaw!$B:$B,$B83,DeadRaw!BV:BV)</f>
        <v>0</v>
      </c>
      <c r="BU83">
        <f>SUMIF(DeadRaw!$B:$B,$B83,DeadRaw!BW:BW)</f>
        <v>0</v>
      </c>
    </row>
    <row r="84" spans="1:73" ht="15" thickBot="1" x14ac:dyDescent="0.35">
      <c r="A84" s="97" t="str">
        <f>VLOOKUP(B84,Country_Data!B:Q,16,FALSE)</f>
        <v>North America</v>
      </c>
      <c r="B84" s="3" t="s">
        <v>353</v>
      </c>
      <c r="C84">
        <f>SUMIF(DeadRaw!$B:$B,$B84,DeadRaw!E:E)</f>
        <v>0</v>
      </c>
      <c r="D84">
        <f>SUMIF(DeadRaw!$B:$B,$B84,DeadRaw!F:F)</f>
        <v>0</v>
      </c>
      <c r="E84">
        <f>SUMIF(DeadRaw!$B:$B,$B84,DeadRaw!G:G)</f>
        <v>0</v>
      </c>
      <c r="F84">
        <f>SUMIF(DeadRaw!$B:$B,$B84,DeadRaw!H:H)</f>
        <v>0</v>
      </c>
      <c r="G84">
        <f>SUMIF(DeadRaw!$B:$B,$B84,DeadRaw!I:I)</f>
        <v>0</v>
      </c>
      <c r="H84">
        <f>SUMIF(DeadRaw!$B:$B,$B84,DeadRaw!J:J)</f>
        <v>0</v>
      </c>
      <c r="I84">
        <f>SUMIF(DeadRaw!$B:$B,$B84,DeadRaw!K:K)</f>
        <v>0</v>
      </c>
      <c r="J84">
        <f>SUMIF(DeadRaw!$B:$B,$B84,DeadRaw!L:L)</f>
        <v>0</v>
      </c>
      <c r="K84">
        <f>SUMIF(DeadRaw!$B:$B,$B84,DeadRaw!M:M)</f>
        <v>0</v>
      </c>
      <c r="L84">
        <f>SUMIF(DeadRaw!$B:$B,$B84,DeadRaw!N:N)</f>
        <v>0</v>
      </c>
      <c r="M84">
        <f>SUMIF(DeadRaw!$B:$B,$B84,DeadRaw!O:O)</f>
        <v>0</v>
      </c>
      <c r="N84">
        <f>SUMIF(DeadRaw!$B:$B,$B84,DeadRaw!P:P)</f>
        <v>0</v>
      </c>
      <c r="O84">
        <f>SUMIF(DeadRaw!$B:$B,$B84,DeadRaw!Q:Q)</f>
        <v>0</v>
      </c>
      <c r="P84">
        <f>SUMIF(DeadRaw!$B:$B,$B84,DeadRaw!R:R)</f>
        <v>0</v>
      </c>
      <c r="Q84">
        <f>SUMIF(DeadRaw!$B:$B,$B84,DeadRaw!S:S)</f>
        <v>0</v>
      </c>
      <c r="R84">
        <f>SUMIF(DeadRaw!$B:$B,$B84,DeadRaw!T:T)</f>
        <v>0</v>
      </c>
      <c r="S84">
        <f>SUMIF(DeadRaw!$B:$B,$B84,DeadRaw!U:U)</f>
        <v>0</v>
      </c>
      <c r="T84">
        <f>SUMIF(DeadRaw!$B:$B,$B84,DeadRaw!V:V)</f>
        <v>0</v>
      </c>
      <c r="U84">
        <f>SUMIF(DeadRaw!$B:$B,$B84,DeadRaw!W:W)</f>
        <v>0</v>
      </c>
      <c r="V84">
        <f>SUMIF(DeadRaw!$B:$B,$B84,DeadRaw!X:X)</f>
        <v>0</v>
      </c>
      <c r="W84">
        <f>SUMIF(DeadRaw!$B:$B,$B84,DeadRaw!Y:Y)</f>
        <v>0</v>
      </c>
      <c r="X84">
        <f>SUMIF(DeadRaw!$B:$B,$B84,DeadRaw!Z:Z)</f>
        <v>0</v>
      </c>
      <c r="Y84">
        <f>SUMIF(DeadRaw!$B:$B,$B84,DeadRaw!AA:AA)</f>
        <v>0</v>
      </c>
      <c r="Z84">
        <f>SUMIF(DeadRaw!$B:$B,$B84,DeadRaw!AB:AB)</f>
        <v>0</v>
      </c>
      <c r="AA84">
        <f>SUMIF(DeadRaw!$B:$B,$B84,DeadRaw!AC:AC)</f>
        <v>0</v>
      </c>
      <c r="AB84">
        <f>SUMIF(DeadRaw!$B:$B,$B84,DeadRaw!AD:AD)</f>
        <v>0</v>
      </c>
      <c r="AC84">
        <f>SUMIF(DeadRaw!$B:$B,$B84,DeadRaw!AE:AE)</f>
        <v>0</v>
      </c>
      <c r="AD84">
        <f>SUMIF(DeadRaw!$B:$B,$B84,DeadRaw!AF:AF)</f>
        <v>0</v>
      </c>
      <c r="AE84">
        <f>SUMIF(DeadRaw!$B:$B,$B84,DeadRaw!AG:AG)</f>
        <v>0</v>
      </c>
      <c r="AF84">
        <f>SUMIF(DeadRaw!$B:$B,$B84,DeadRaw!AH:AH)</f>
        <v>0</v>
      </c>
      <c r="AG84">
        <f>SUMIF(DeadRaw!$B:$B,$B84,DeadRaw!AI:AI)</f>
        <v>0</v>
      </c>
      <c r="AH84">
        <f>SUMIF(DeadRaw!$B:$B,$B84,DeadRaw!AJ:AJ)</f>
        <v>0</v>
      </c>
      <c r="AI84">
        <f>SUMIF(DeadRaw!$B:$B,$B84,DeadRaw!AK:AK)</f>
        <v>0</v>
      </c>
      <c r="AJ84">
        <f>SUMIF(DeadRaw!$B:$B,$B84,DeadRaw!AL:AL)</f>
        <v>0</v>
      </c>
      <c r="AK84">
        <f>SUMIF(DeadRaw!$B:$B,$B84,DeadRaw!AM:AM)</f>
        <v>0</v>
      </c>
      <c r="AL84">
        <f>SUMIF(DeadRaw!$B:$B,$B84,DeadRaw!AN:AN)</f>
        <v>0</v>
      </c>
      <c r="AM84">
        <f>SUMIF(DeadRaw!$B:$B,$B84,DeadRaw!AO:AO)</f>
        <v>0</v>
      </c>
      <c r="AN84">
        <f>SUMIF(DeadRaw!$B:$B,$B84,DeadRaw!AP:AP)</f>
        <v>0</v>
      </c>
      <c r="AO84">
        <f>SUMIF(DeadRaw!$B:$B,$B84,DeadRaw!AQ:AQ)</f>
        <v>0</v>
      </c>
      <c r="AP84">
        <f>SUMIF(DeadRaw!$B:$B,$B84,DeadRaw!AR:AR)</f>
        <v>0</v>
      </c>
      <c r="AQ84">
        <f>SUMIF(DeadRaw!$B:$B,$B84,DeadRaw!AS:AS)</f>
        <v>0</v>
      </c>
      <c r="AR84">
        <f>SUMIF(DeadRaw!$B:$B,$B84,DeadRaw!AT:AT)</f>
        <v>0</v>
      </c>
      <c r="AS84">
        <f>SUMIF(DeadRaw!$B:$B,$B84,DeadRaw!AU:AU)</f>
        <v>0</v>
      </c>
      <c r="AT84">
        <f>SUMIF(DeadRaw!$B:$B,$B84,DeadRaw!AV:AV)</f>
        <v>0</v>
      </c>
      <c r="AU84">
        <f>SUMIF(DeadRaw!$B:$B,$B84,DeadRaw!AW:AW)</f>
        <v>0</v>
      </c>
      <c r="AV84">
        <f>SUMIF(DeadRaw!$B:$B,$B84,DeadRaw!AX:AX)</f>
        <v>0</v>
      </c>
      <c r="AW84">
        <f>SUMIF(DeadRaw!$B:$B,$B84,DeadRaw!AY:AY)</f>
        <v>0</v>
      </c>
      <c r="AX84">
        <f>SUMIF(DeadRaw!$B:$B,$B84,DeadRaw!AZ:AZ)</f>
        <v>0</v>
      </c>
      <c r="AY84">
        <f>SUMIF(DeadRaw!$B:$B,$B84,DeadRaw!BA:BA)</f>
        <v>0</v>
      </c>
      <c r="AZ84">
        <f>SUMIF(DeadRaw!$B:$B,$B84,DeadRaw!BB:BB)</f>
        <v>0</v>
      </c>
      <c r="BA84">
        <f>SUMIF(DeadRaw!$B:$B,$B84,DeadRaw!BC:BC)</f>
        <v>0</v>
      </c>
      <c r="BB84">
        <f>SUMIF(DeadRaw!$B:$B,$B84,DeadRaw!BD:BD)</f>
        <v>0</v>
      </c>
      <c r="BC84">
        <f>SUMIF(DeadRaw!$B:$B,$B84,DeadRaw!BE:BE)</f>
        <v>0</v>
      </c>
      <c r="BD84">
        <f>SUMIF(DeadRaw!$B:$B,$B84,DeadRaw!BF:BF)</f>
        <v>0</v>
      </c>
      <c r="BE84">
        <f>SUMIF(DeadRaw!$B:$B,$B84,DeadRaw!BG:BG)</f>
        <v>0</v>
      </c>
      <c r="BF84">
        <f>SUMIF(DeadRaw!$B:$B,$B84,DeadRaw!BH:BH)</f>
        <v>0</v>
      </c>
      <c r="BG84">
        <f>SUMIF(DeadRaw!$B:$B,$B84,DeadRaw!BI:BI)</f>
        <v>0</v>
      </c>
      <c r="BH84">
        <f>SUMIF(DeadRaw!$B:$B,$B84,DeadRaw!BJ:BJ)</f>
        <v>1</v>
      </c>
      <c r="BI84">
        <f>SUMIF(DeadRaw!$B:$B,$B84,DeadRaw!BK:BK)</f>
        <v>1</v>
      </c>
      <c r="BJ84">
        <f>SUMIF(DeadRaw!$B:$B,$B84,DeadRaw!BL:BL)</f>
        <v>1</v>
      </c>
      <c r="BK84">
        <f>SUMIF(DeadRaw!$B:$B,$B84,DeadRaw!BM:BM)</f>
        <v>1</v>
      </c>
      <c r="BL84">
        <f>SUMIF(DeadRaw!$B:$B,$B84,DeadRaw!BN:BN)</f>
        <v>1</v>
      </c>
      <c r="BM84">
        <f>SUMIF(DeadRaw!$B:$B,$B84,DeadRaw!BO:BO)</f>
        <v>1</v>
      </c>
      <c r="BN84">
        <f>SUMIF(DeadRaw!$B:$B,$B84,DeadRaw!BP:BP)</f>
        <v>1</v>
      </c>
      <c r="BO84">
        <f>SUMIF(DeadRaw!$B:$B,$B84,DeadRaw!BQ:BQ)</f>
        <v>1</v>
      </c>
      <c r="BP84">
        <f>SUMIF(DeadRaw!$B:$B,$B84,DeadRaw!BR:BR)</f>
        <v>1</v>
      </c>
      <c r="BQ84">
        <f>SUMIF(DeadRaw!$B:$B,$B84,DeadRaw!BS:BS)</f>
        <v>1</v>
      </c>
      <c r="BR84">
        <f>SUMIF(DeadRaw!$B:$B,$B84,DeadRaw!BT:BT)</f>
        <v>0</v>
      </c>
      <c r="BS84">
        <f>SUMIF(DeadRaw!$B:$B,$B84,DeadRaw!BU:BU)</f>
        <v>0</v>
      </c>
      <c r="BT84">
        <f>SUMIF(DeadRaw!$B:$B,$B84,DeadRaw!BV:BV)</f>
        <v>0</v>
      </c>
      <c r="BU84">
        <f>SUMIF(DeadRaw!$B:$B,$B84,DeadRaw!BW:BW)</f>
        <v>0</v>
      </c>
    </row>
    <row r="85" spans="1:73" ht="15" thickBot="1" x14ac:dyDescent="0.35">
      <c r="A85" s="97" t="str">
        <f>VLOOKUP(B85,Country_Data!B:Q,16,FALSE)</f>
        <v>Middle East</v>
      </c>
      <c r="B85" s="3" t="s">
        <v>72</v>
      </c>
      <c r="C85">
        <f>SUMIF(DeadRaw!$B:$B,$B85,DeadRaw!E:E)</f>
        <v>0</v>
      </c>
      <c r="D85">
        <f>SUMIF(DeadRaw!$B:$B,$B85,DeadRaw!F:F)</f>
        <v>0</v>
      </c>
      <c r="E85">
        <f>SUMIF(DeadRaw!$B:$B,$B85,DeadRaw!G:G)</f>
        <v>0</v>
      </c>
      <c r="F85">
        <f>SUMIF(DeadRaw!$B:$B,$B85,DeadRaw!H:H)</f>
        <v>0</v>
      </c>
      <c r="G85">
        <f>SUMIF(DeadRaw!$B:$B,$B85,DeadRaw!I:I)</f>
        <v>0</v>
      </c>
      <c r="H85">
        <f>SUMIF(DeadRaw!$B:$B,$B85,DeadRaw!J:J)</f>
        <v>0</v>
      </c>
      <c r="I85">
        <f>SUMIF(DeadRaw!$B:$B,$B85,DeadRaw!K:K)</f>
        <v>0</v>
      </c>
      <c r="J85">
        <f>SUMIF(DeadRaw!$B:$B,$B85,DeadRaw!L:L)</f>
        <v>0</v>
      </c>
      <c r="K85">
        <f>SUMIF(DeadRaw!$B:$B,$B85,DeadRaw!M:M)</f>
        <v>0</v>
      </c>
      <c r="L85">
        <f>SUMIF(DeadRaw!$B:$B,$B85,DeadRaw!N:N)</f>
        <v>0</v>
      </c>
      <c r="M85">
        <f>SUMIF(DeadRaw!$B:$B,$B85,DeadRaw!O:O)</f>
        <v>0</v>
      </c>
      <c r="N85">
        <f>SUMIF(DeadRaw!$B:$B,$B85,DeadRaw!P:P)</f>
        <v>0</v>
      </c>
      <c r="O85">
        <f>SUMIF(DeadRaw!$B:$B,$B85,DeadRaw!Q:Q)</f>
        <v>0</v>
      </c>
      <c r="P85">
        <f>SUMIF(DeadRaw!$B:$B,$B85,DeadRaw!R:R)</f>
        <v>0</v>
      </c>
      <c r="Q85">
        <f>SUMIF(DeadRaw!$B:$B,$B85,DeadRaw!S:S)</f>
        <v>0</v>
      </c>
      <c r="R85">
        <f>SUMIF(DeadRaw!$B:$B,$B85,DeadRaw!T:T)</f>
        <v>0</v>
      </c>
      <c r="S85">
        <f>SUMIF(DeadRaw!$B:$B,$B85,DeadRaw!U:U)</f>
        <v>0</v>
      </c>
      <c r="T85">
        <f>SUMIF(DeadRaw!$B:$B,$B85,DeadRaw!V:V)</f>
        <v>0</v>
      </c>
      <c r="U85">
        <f>SUMIF(DeadRaw!$B:$B,$B85,DeadRaw!W:W)</f>
        <v>0</v>
      </c>
      <c r="V85">
        <f>SUMIF(DeadRaw!$B:$B,$B85,DeadRaw!X:X)</f>
        <v>0</v>
      </c>
      <c r="W85">
        <f>SUMIF(DeadRaw!$B:$B,$B85,DeadRaw!Y:Y)</f>
        <v>0</v>
      </c>
      <c r="X85">
        <f>SUMIF(DeadRaw!$B:$B,$B85,DeadRaw!Z:Z)</f>
        <v>0</v>
      </c>
      <c r="Y85">
        <f>SUMIF(DeadRaw!$B:$B,$B85,DeadRaw!AA:AA)</f>
        <v>0</v>
      </c>
      <c r="Z85">
        <f>SUMIF(DeadRaw!$B:$B,$B85,DeadRaw!AB:AB)</f>
        <v>0</v>
      </c>
      <c r="AA85">
        <f>SUMIF(DeadRaw!$B:$B,$B85,DeadRaw!AC:AC)</f>
        <v>0</v>
      </c>
      <c r="AB85">
        <f>SUMIF(DeadRaw!$B:$B,$B85,DeadRaw!AD:AD)</f>
        <v>0</v>
      </c>
      <c r="AC85">
        <f>SUMIF(DeadRaw!$B:$B,$B85,DeadRaw!AE:AE)</f>
        <v>0</v>
      </c>
      <c r="AD85">
        <f>SUMIF(DeadRaw!$B:$B,$B85,DeadRaw!AF:AF)</f>
        <v>0</v>
      </c>
      <c r="AE85">
        <f>SUMIF(DeadRaw!$B:$B,$B85,DeadRaw!AG:AG)</f>
        <v>0</v>
      </c>
      <c r="AF85">
        <f>SUMIF(DeadRaw!$B:$B,$B85,DeadRaw!AH:AH)</f>
        <v>0</v>
      </c>
      <c r="AG85">
        <f>SUMIF(DeadRaw!$B:$B,$B85,DeadRaw!AI:AI)</f>
        <v>0</v>
      </c>
      <c r="AH85">
        <f>SUMIF(DeadRaw!$B:$B,$B85,DeadRaw!AJ:AJ)</f>
        <v>0</v>
      </c>
      <c r="AI85">
        <f>SUMIF(DeadRaw!$B:$B,$B85,DeadRaw!AK:AK)</f>
        <v>0</v>
      </c>
      <c r="AJ85">
        <f>SUMIF(DeadRaw!$B:$B,$B85,DeadRaw!AL:AL)</f>
        <v>0</v>
      </c>
      <c r="AK85">
        <f>SUMIF(DeadRaw!$B:$B,$B85,DeadRaw!AM:AM)</f>
        <v>0</v>
      </c>
      <c r="AL85">
        <f>SUMIF(DeadRaw!$B:$B,$B85,DeadRaw!AN:AN)</f>
        <v>0</v>
      </c>
      <c r="AM85">
        <f>SUMIF(DeadRaw!$B:$B,$B85,DeadRaw!AO:AO)</f>
        <v>0</v>
      </c>
      <c r="AN85">
        <f>SUMIF(DeadRaw!$B:$B,$B85,DeadRaw!AP:AP)</f>
        <v>0</v>
      </c>
      <c r="AO85">
        <f>SUMIF(DeadRaw!$B:$B,$B85,DeadRaw!AQ:AQ)</f>
        <v>0</v>
      </c>
      <c r="AP85">
        <f>SUMIF(DeadRaw!$B:$B,$B85,DeadRaw!AR:AR)</f>
        <v>0</v>
      </c>
      <c r="AQ85">
        <f>SUMIF(DeadRaw!$B:$B,$B85,DeadRaw!AS:AS)</f>
        <v>0</v>
      </c>
      <c r="AR85">
        <f>SUMIF(DeadRaw!$B:$B,$B85,DeadRaw!AT:AT)</f>
        <v>0</v>
      </c>
      <c r="AS85">
        <f>SUMIF(DeadRaw!$B:$B,$B85,DeadRaw!AU:AU)</f>
        <v>0</v>
      </c>
      <c r="AT85">
        <f>SUMIF(DeadRaw!$B:$B,$B85,DeadRaw!AV:AV)</f>
        <v>0</v>
      </c>
      <c r="AU85">
        <f>SUMIF(DeadRaw!$B:$B,$B85,DeadRaw!AW:AW)</f>
        <v>0</v>
      </c>
      <c r="AV85">
        <f>SUMIF(DeadRaw!$B:$B,$B85,DeadRaw!AX:AX)</f>
        <v>0</v>
      </c>
      <c r="AW85">
        <f>SUMIF(DeadRaw!$B:$B,$B85,DeadRaw!AY:AY)</f>
        <v>0</v>
      </c>
      <c r="AX85">
        <f>SUMIF(DeadRaw!$B:$B,$B85,DeadRaw!AZ:AZ)</f>
        <v>0</v>
      </c>
      <c r="AY85">
        <f>SUMIF(DeadRaw!$B:$B,$B85,DeadRaw!BA:BA)</f>
        <v>0</v>
      </c>
      <c r="AZ85">
        <f>SUMIF(DeadRaw!$B:$B,$B85,DeadRaw!BB:BB)</f>
        <v>0</v>
      </c>
      <c r="BA85">
        <f>SUMIF(DeadRaw!$B:$B,$B85,DeadRaw!BC:BC)</f>
        <v>0</v>
      </c>
      <c r="BB85">
        <f>SUMIF(DeadRaw!$B:$B,$B85,DeadRaw!BD:BD)</f>
        <v>0</v>
      </c>
      <c r="BC85">
        <f>SUMIF(DeadRaw!$B:$B,$B85,DeadRaw!BE:BE)</f>
        <v>0</v>
      </c>
      <c r="BD85">
        <f>SUMIF(DeadRaw!$B:$B,$B85,DeadRaw!BF:BF)</f>
        <v>0</v>
      </c>
      <c r="BE85">
        <f>SUMIF(DeadRaw!$B:$B,$B85,DeadRaw!BG:BG)</f>
        <v>0</v>
      </c>
      <c r="BF85">
        <f>SUMIF(DeadRaw!$B:$B,$B85,DeadRaw!BH:BH)</f>
        <v>0</v>
      </c>
      <c r="BG85">
        <f>SUMIF(DeadRaw!$B:$B,$B85,DeadRaw!BI:BI)</f>
        <v>0</v>
      </c>
      <c r="BH85">
        <f>SUMIF(DeadRaw!$B:$B,$B85,DeadRaw!BJ:BJ)</f>
        <v>0</v>
      </c>
      <c r="BI85">
        <f>SUMIF(DeadRaw!$B:$B,$B85,DeadRaw!BK:BK)</f>
        <v>0</v>
      </c>
      <c r="BJ85">
        <f>SUMIF(DeadRaw!$B:$B,$B85,DeadRaw!BL:BL)</f>
        <v>0</v>
      </c>
      <c r="BK85">
        <f>SUMIF(DeadRaw!$B:$B,$B85,DeadRaw!BM:BM)</f>
        <v>1</v>
      </c>
      <c r="BL85">
        <f>SUMIF(DeadRaw!$B:$B,$B85,DeadRaw!BN:BN)</f>
        <v>1</v>
      </c>
      <c r="BM85">
        <f>SUMIF(DeadRaw!$B:$B,$B85,DeadRaw!BO:BO)</f>
        <v>1</v>
      </c>
      <c r="BN85">
        <f>SUMIF(DeadRaw!$B:$B,$B85,DeadRaw!BP:BP)</f>
        <v>2</v>
      </c>
      <c r="BO85">
        <f>SUMIF(DeadRaw!$B:$B,$B85,DeadRaw!BQ:BQ)</f>
        <v>4</v>
      </c>
      <c r="BP85">
        <f>SUMIF(DeadRaw!$B:$B,$B85,DeadRaw!BR:BR)</f>
        <v>4</v>
      </c>
      <c r="BQ85">
        <f>SUMIF(DeadRaw!$B:$B,$B85,DeadRaw!BS:BS)</f>
        <v>4</v>
      </c>
      <c r="BR85">
        <f>SUMIF(DeadRaw!$B:$B,$B85,DeadRaw!BT:BT)</f>
        <v>0</v>
      </c>
      <c r="BS85">
        <f>SUMIF(DeadRaw!$B:$B,$B85,DeadRaw!BU:BU)</f>
        <v>0</v>
      </c>
      <c r="BT85">
        <f>SUMIF(DeadRaw!$B:$B,$B85,DeadRaw!BV:BV)</f>
        <v>0</v>
      </c>
      <c r="BU85">
        <f>SUMIF(DeadRaw!$B:$B,$B85,DeadRaw!BW:BW)</f>
        <v>0</v>
      </c>
    </row>
    <row r="86" spans="1:73" ht="15" thickBot="1" x14ac:dyDescent="0.35">
      <c r="A86" s="97" t="str">
        <f>VLOOKUP(B86,Country_Data!B:Q,16,FALSE)</f>
        <v>Africa</v>
      </c>
      <c r="B86" s="3" t="s">
        <v>112</v>
      </c>
      <c r="C86">
        <f>SUMIF(DeadRaw!$B:$B,$B86,DeadRaw!E:E)</f>
        <v>0</v>
      </c>
      <c r="D86">
        <f>SUMIF(DeadRaw!$B:$B,$B86,DeadRaw!F:F)</f>
        <v>0</v>
      </c>
      <c r="E86">
        <f>SUMIF(DeadRaw!$B:$B,$B86,DeadRaw!G:G)</f>
        <v>0</v>
      </c>
      <c r="F86">
        <f>SUMIF(DeadRaw!$B:$B,$B86,DeadRaw!H:H)</f>
        <v>0</v>
      </c>
      <c r="G86">
        <f>SUMIF(DeadRaw!$B:$B,$B86,DeadRaw!I:I)</f>
        <v>0</v>
      </c>
      <c r="H86">
        <f>SUMIF(DeadRaw!$B:$B,$B86,DeadRaw!J:J)</f>
        <v>0</v>
      </c>
      <c r="I86">
        <f>SUMIF(DeadRaw!$B:$B,$B86,DeadRaw!K:K)</f>
        <v>0</v>
      </c>
      <c r="J86">
        <f>SUMIF(DeadRaw!$B:$B,$B86,DeadRaw!L:L)</f>
        <v>0</v>
      </c>
      <c r="K86">
        <f>SUMIF(DeadRaw!$B:$B,$B86,DeadRaw!M:M)</f>
        <v>0</v>
      </c>
      <c r="L86">
        <f>SUMIF(DeadRaw!$B:$B,$B86,DeadRaw!N:N)</f>
        <v>0</v>
      </c>
      <c r="M86">
        <f>SUMIF(DeadRaw!$B:$B,$B86,DeadRaw!O:O)</f>
        <v>0</v>
      </c>
      <c r="N86">
        <f>SUMIF(DeadRaw!$B:$B,$B86,DeadRaw!P:P)</f>
        <v>0</v>
      </c>
      <c r="O86">
        <f>SUMIF(DeadRaw!$B:$B,$B86,DeadRaw!Q:Q)</f>
        <v>0</v>
      </c>
      <c r="P86">
        <f>SUMIF(DeadRaw!$B:$B,$B86,DeadRaw!R:R)</f>
        <v>0</v>
      </c>
      <c r="Q86">
        <f>SUMIF(DeadRaw!$B:$B,$B86,DeadRaw!S:S)</f>
        <v>0</v>
      </c>
      <c r="R86">
        <f>SUMIF(DeadRaw!$B:$B,$B86,DeadRaw!T:T)</f>
        <v>0</v>
      </c>
      <c r="S86">
        <f>SUMIF(DeadRaw!$B:$B,$B86,DeadRaw!U:U)</f>
        <v>0</v>
      </c>
      <c r="T86">
        <f>SUMIF(DeadRaw!$B:$B,$B86,DeadRaw!V:V)</f>
        <v>0</v>
      </c>
      <c r="U86">
        <f>SUMIF(DeadRaw!$B:$B,$B86,DeadRaw!W:W)</f>
        <v>0</v>
      </c>
      <c r="V86">
        <f>SUMIF(DeadRaw!$B:$B,$B86,DeadRaw!X:X)</f>
        <v>0</v>
      </c>
      <c r="W86">
        <f>SUMIF(DeadRaw!$B:$B,$B86,DeadRaw!Y:Y)</f>
        <v>0</v>
      </c>
      <c r="X86">
        <f>SUMIF(DeadRaw!$B:$B,$B86,DeadRaw!Z:Z)</f>
        <v>0</v>
      </c>
      <c r="Y86">
        <f>SUMIF(DeadRaw!$B:$B,$B86,DeadRaw!AA:AA)</f>
        <v>0</v>
      </c>
      <c r="Z86">
        <f>SUMIF(DeadRaw!$B:$B,$B86,DeadRaw!AB:AB)</f>
        <v>0</v>
      </c>
      <c r="AA86">
        <f>SUMIF(DeadRaw!$B:$B,$B86,DeadRaw!AC:AC)</f>
        <v>0</v>
      </c>
      <c r="AB86">
        <f>SUMIF(DeadRaw!$B:$B,$B86,DeadRaw!AD:AD)</f>
        <v>0</v>
      </c>
      <c r="AC86">
        <f>SUMIF(DeadRaw!$B:$B,$B86,DeadRaw!AE:AE)</f>
        <v>0</v>
      </c>
      <c r="AD86">
        <f>SUMIF(DeadRaw!$B:$B,$B86,DeadRaw!AF:AF)</f>
        <v>0</v>
      </c>
      <c r="AE86">
        <f>SUMIF(DeadRaw!$B:$B,$B86,DeadRaw!AG:AG)</f>
        <v>0</v>
      </c>
      <c r="AF86">
        <f>SUMIF(DeadRaw!$B:$B,$B86,DeadRaw!AH:AH)</f>
        <v>0</v>
      </c>
      <c r="AG86">
        <f>SUMIF(DeadRaw!$B:$B,$B86,DeadRaw!AI:AI)</f>
        <v>0</v>
      </c>
      <c r="AH86">
        <f>SUMIF(DeadRaw!$B:$B,$B86,DeadRaw!AJ:AJ)</f>
        <v>0</v>
      </c>
      <c r="AI86">
        <f>SUMIF(DeadRaw!$B:$B,$B86,DeadRaw!AK:AK)</f>
        <v>0</v>
      </c>
      <c r="AJ86">
        <f>SUMIF(DeadRaw!$B:$B,$B86,DeadRaw!AL:AL)</f>
        <v>0</v>
      </c>
      <c r="AK86">
        <f>SUMIF(DeadRaw!$B:$B,$B86,DeadRaw!AM:AM)</f>
        <v>0</v>
      </c>
      <c r="AL86">
        <f>SUMIF(DeadRaw!$B:$B,$B86,DeadRaw!AN:AN)</f>
        <v>0</v>
      </c>
      <c r="AM86">
        <f>SUMIF(DeadRaw!$B:$B,$B86,DeadRaw!AO:AO)</f>
        <v>0</v>
      </c>
      <c r="AN86">
        <f>SUMIF(DeadRaw!$B:$B,$B86,DeadRaw!AP:AP)</f>
        <v>0</v>
      </c>
      <c r="AO86">
        <f>SUMIF(DeadRaw!$B:$B,$B86,DeadRaw!AQ:AQ)</f>
        <v>0</v>
      </c>
      <c r="AP86">
        <f>SUMIF(DeadRaw!$B:$B,$B86,DeadRaw!AR:AR)</f>
        <v>0</v>
      </c>
      <c r="AQ86">
        <f>SUMIF(DeadRaw!$B:$B,$B86,DeadRaw!AS:AS)</f>
        <v>0</v>
      </c>
      <c r="AR86">
        <f>SUMIF(DeadRaw!$B:$B,$B86,DeadRaw!AT:AT)</f>
        <v>0</v>
      </c>
      <c r="AS86">
        <f>SUMIF(DeadRaw!$B:$B,$B86,DeadRaw!AU:AU)</f>
        <v>0</v>
      </c>
      <c r="AT86">
        <f>SUMIF(DeadRaw!$B:$B,$B86,DeadRaw!AV:AV)</f>
        <v>0</v>
      </c>
      <c r="AU86">
        <f>SUMIF(DeadRaw!$B:$B,$B86,DeadRaw!AW:AW)</f>
        <v>0</v>
      </c>
      <c r="AV86">
        <f>SUMIF(DeadRaw!$B:$B,$B86,DeadRaw!AX:AX)</f>
        <v>0</v>
      </c>
      <c r="AW86">
        <f>SUMIF(DeadRaw!$B:$B,$B86,DeadRaw!AY:AY)</f>
        <v>0</v>
      </c>
      <c r="AX86">
        <f>SUMIF(DeadRaw!$B:$B,$B86,DeadRaw!AZ:AZ)</f>
        <v>0</v>
      </c>
      <c r="AY86">
        <f>SUMIF(DeadRaw!$B:$B,$B86,DeadRaw!BA:BA)</f>
        <v>1</v>
      </c>
      <c r="AZ86">
        <f>SUMIF(DeadRaw!$B:$B,$B86,DeadRaw!BB:BB)</f>
        <v>1</v>
      </c>
      <c r="BA86">
        <f>SUMIF(DeadRaw!$B:$B,$B86,DeadRaw!BC:BC)</f>
        <v>1</v>
      </c>
      <c r="BB86">
        <f>SUMIF(DeadRaw!$B:$B,$B86,DeadRaw!BD:BD)</f>
        <v>1</v>
      </c>
      <c r="BC86">
        <f>SUMIF(DeadRaw!$B:$B,$B86,DeadRaw!BE:BE)</f>
        <v>1</v>
      </c>
      <c r="BD86">
        <f>SUMIF(DeadRaw!$B:$B,$B86,DeadRaw!BF:BF)</f>
        <v>1</v>
      </c>
      <c r="BE86">
        <f>SUMIF(DeadRaw!$B:$B,$B86,DeadRaw!BG:BG)</f>
        <v>1</v>
      </c>
      <c r="BF86">
        <f>SUMIF(DeadRaw!$B:$B,$B86,DeadRaw!BH:BH)</f>
        <v>2</v>
      </c>
      <c r="BG86">
        <f>SUMIF(DeadRaw!$B:$B,$B86,DeadRaw!BI:BI)</f>
        <v>2</v>
      </c>
      <c r="BH86">
        <f>SUMIF(DeadRaw!$B:$B,$B86,DeadRaw!BJ:BJ)</f>
        <v>2</v>
      </c>
      <c r="BI86">
        <f>SUMIF(DeadRaw!$B:$B,$B86,DeadRaw!BK:BK)</f>
        <v>3</v>
      </c>
      <c r="BJ86">
        <f>SUMIF(DeadRaw!$B:$B,$B86,DeadRaw!BL:BL)</f>
        <v>3</v>
      </c>
      <c r="BK86">
        <f>SUMIF(DeadRaw!$B:$B,$B86,DeadRaw!BM:BM)</f>
        <v>4</v>
      </c>
      <c r="BL86">
        <f>SUMIF(DeadRaw!$B:$B,$B86,DeadRaw!BN:BN)</f>
        <v>4</v>
      </c>
      <c r="BM86">
        <f>SUMIF(DeadRaw!$B:$B,$B86,DeadRaw!BO:BO)</f>
        <v>5</v>
      </c>
      <c r="BN86">
        <f>SUMIF(DeadRaw!$B:$B,$B86,DeadRaw!BP:BP)</f>
        <v>6</v>
      </c>
      <c r="BO86">
        <f>SUMIF(DeadRaw!$B:$B,$B86,DeadRaw!BQ:BQ)</f>
        <v>11</v>
      </c>
      <c r="BP86">
        <f>SUMIF(DeadRaw!$B:$B,$B86,DeadRaw!BR:BR)</f>
        <v>23</v>
      </c>
      <c r="BQ86">
        <f>SUMIF(DeadRaw!$B:$B,$B86,DeadRaw!BS:BS)</f>
        <v>25</v>
      </c>
      <c r="BR86">
        <f>SUMIF(DeadRaw!$B:$B,$B86,DeadRaw!BT:BT)</f>
        <v>0</v>
      </c>
      <c r="BS86">
        <f>SUMIF(DeadRaw!$B:$B,$B86,DeadRaw!BU:BU)</f>
        <v>0</v>
      </c>
      <c r="BT86">
        <f>SUMIF(DeadRaw!$B:$B,$B86,DeadRaw!BV:BV)</f>
        <v>0</v>
      </c>
      <c r="BU86">
        <f>SUMIF(DeadRaw!$B:$B,$B86,DeadRaw!BW:BW)</f>
        <v>0</v>
      </c>
    </row>
    <row r="87" spans="1:73" ht="15" thickBot="1" x14ac:dyDescent="0.35">
      <c r="A87" s="97" t="str">
        <f>VLOOKUP(B87,Country_Data!B:Q,16,FALSE)</f>
        <v>Europe</v>
      </c>
      <c r="B87" s="3" t="s">
        <v>93</v>
      </c>
      <c r="C87">
        <f>SUMIF(DeadRaw!$B:$B,$B87,DeadRaw!E:E)</f>
        <v>0</v>
      </c>
      <c r="D87">
        <f>SUMIF(DeadRaw!$B:$B,$B87,DeadRaw!F:F)</f>
        <v>0</v>
      </c>
      <c r="E87">
        <f>SUMIF(DeadRaw!$B:$B,$B87,DeadRaw!G:G)</f>
        <v>0</v>
      </c>
      <c r="F87">
        <f>SUMIF(DeadRaw!$B:$B,$B87,DeadRaw!H:H)</f>
        <v>0</v>
      </c>
      <c r="G87">
        <f>SUMIF(DeadRaw!$B:$B,$B87,DeadRaw!I:I)</f>
        <v>0</v>
      </c>
      <c r="H87">
        <f>SUMIF(DeadRaw!$B:$B,$B87,DeadRaw!J:J)</f>
        <v>0</v>
      </c>
      <c r="I87">
        <f>SUMIF(DeadRaw!$B:$B,$B87,DeadRaw!K:K)</f>
        <v>0</v>
      </c>
      <c r="J87">
        <f>SUMIF(DeadRaw!$B:$B,$B87,DeadRaw!L:L)</f>
        <v>0</v>
      </c>
      <c r="K87">
        <f>SUMIF(DeadRaw!$B:$B,$B87,DeadRaw!M:M)</f>
        <v>0</v>
      </c>
      <c r="L87">
        <f>SUMIF(DeadRaw!$B:$B,$B87,DeadRaw!N:N)</f>
        <v>0</v>
      </c>
      <c r="M87">
        <f>SUMIF(DeadRaw!$B:$B,$B87,DeadRaw!O:O)</f>
        <v>0</v>
      </c>
      <c r="N87">
        <f>SUMIF(DeadRaw!$B:$B,$B87,DeadRaw!P:P)</f>
        <v>0</v>
      </c>
      <c r="O87">
        <f>SUMIF(DeadRaw!$B:$B,$B87,DeadRaw!Q:Q)</f>
        <v>0</v>
      </c>
      <c r="P87">
        <f>SUMIF(DeadRaw!$B:$B,$B87,DeadRaw!R:R)</f>
        <v>0</v>
      </c>
      <c r="Q87">
        <f>SUMIF(DeadRaw!$B:$B,$B87,DeadRaw!S:S)</f>
        <v>0</v>
      </c>
      <c r="R87">
        <f>SUMIF(DeadRaw!$B:$B,$B87,DeadRaw!T:T)</f>
        <v>0</v>
      </c>
      <c r="S87">
        <f>SUMIF(DeadRaw!$B:$B,$B87,DeadRaw!U:U)</f>
        <v>0</v>
      </c>
      <c r="T87">
        <f>SUMIF(DeadRaw!$B:$B,$B87,DeadRaw!V:V)</f>
        <v>0</v>
      </c>
      <c r="U87">
        <f>SUMIF(DeadRaw!$B:$B,$B87,DeadRaw!W:W)</f>
        <v>0</v>
      </c>
      <c r="V87">
        <f>SUMIF(DeadRaw!$B:$B,$B87,DeadRaw!X:X)</f>
        <v>0</v>
      </c>
      <c r="W87">
        <f>SUMIF(DeadRaw!$B:$B,$B87,DeadRaw!Y:Y)</f>
        <v>0</v>
      </c>
      <c r="X87">
        <f>SUMIF(DeadRaw!$B:$B,$B87,DeadRaw!Z:Z)</f>
        <v>0</v>
      </c>
      <c r="Y87">
        <f>SUMIF(DeadRaw!$B:$B,$B87,DeadRaw!AA:AA)</f>
        <v>0</v>
      </c>
      <c r="Z87">
        <f>SUMIF(DeadRaw!$B:$B,$B87,DeadRaw!AB:AB)</f>
        <v>0</v>
      </c>
      <c r="AA87">
        <f>SUMIF(DeadRaw!$B:$B,$B87,DeadRaw!AC:AC)</f>
        <v>0</v>
      </c>
      <c r="AB87">
        <f>SUMIF(DeadRaw!$B:$B,$B87,DeadRaw!AD:AD)</f>
        <v>0</v>
      </c>
      <c r="AC87">
        <f>SUMIF(DeadRaw!$B:$B,$B87,DeadRaw!AE:AE)</f>
        <v>0</v>
      </c>
      <c r="AD87">
        <f>SUMIF(DeadRaw!$B:$B,$B87,DeadRaw!AF:AF)</f>
        <v>0</v>
      </c>
      <c r="AE87">
        <f>SUMIF(DeadRaw!$B:$B,$B87,DeadRaw!AG:AG)</f>
        <v>0</v>
      </c>
      <c r="AF87">
        <f>SUMIF(DeadRaw!$B:$B,$B87,DeadRaw!AH:AH)</f>
        <v>0</v>
      </c>
      <c r="AG87">
        <f>SUMIF(DeadRaw!$B:$B,$B87,DeadRaw!AI:AI)</f>
        <v>0</v>
      </c>
      <c r="AH87">
        <f>SUMIF(DeadRaw!$B:$B,$B87,DeadRaw!AJ:AJ)</f>
        <v>0</v>
      </c>
      <c r="AI87">
        <f>SUMIF(DeadRaw!$B:$B,$B87,DeadRaw!AK:AK)</f>
        <v>0</v>
      </c>
      <c r="AJ87">
        <f>SUMIF(DeadRaw!$B:$B,$B87,DeadRaw!AL:AL)</f>
        <v>0</v>
      </c>
      <c r="AK87">
        <f>SUMIF(DeadRaw!$B:$B,$B87,DeadRaw!AM:AM)</f>
        <v>0</v>
      </c>
      <c r="AL87">
        <f>SUMIF(DeadRaw!$B:$B,$B87,DeadRaw!AN:AN)</f>
        <v>0</v>
      </c>
      <c r="AM87">
        <f>SUMIF(DeadRaw!$B:$B,$B87,DeadRaw!AO:AO)</f>
        <v>0</v>
      </c>
      <c r="AN87">
        <f>SUMIF(DeadRaw!$B:$B,$B87,DeadRaw!AP:AP)</f>
        <v>0</v>
      </c>
      <c r="AO87">
        <f>SUMIF(DeadRaw!$B:$B,$B87,DeadRaw!AQ:AQ)</f>
        <v>0</v>
      </c>
      <c r="AP87">
        <f>SUMIF(DeadRaw!$B:$B,$B87,DeadRaw!AR:AR)</f>
        <v>0</v>
      </c>
      <c r="AQ87">
        <f>SUMIF(DeadRaw!$B:$B,$B87,DeadRaw!AS:AS)</f>
        <v>0</v>
      </c>
      <c r="AR87">
        <f>SUMIF(DeadRaw!$B:$B,$B87,DeadRaw!AT:AT)</f>
        <v>0</v>
      </c>
      <c r="AS87">
        <f>SUMIF(DeadRaw!$B:$B,$B87,DeadRaw!AU:AU)</f>
        <v>0</v>
      </c>
      <c r="AT87">
        <f>SUMIF(DeadRaw!$B:$B,$B87,DeadRaw!AV:AV)</f>
        <v>0</v>
      </c>
      <c r="AU87">
        <f>SUMIF(DeadRaw!$B:$B,$B87,DeadRaw!AW:AW)</f>
        <v>0</v>
      </c>
      <c r="AV87">
        <f>SUMIF(DeadRaw!$B:$B,$B87,DeadRaw!AX:AX)</f>
        <v>0</v>
      </c>
      <c r="AW87">
        <f>SUMIF(DeadRaw!$B:$B,$B87,DeadRaw!AY:AY)</f>
        <v>0</v>
      </c>
      <c r="AX87">
        <f>SUMIF(DeadRaw!$B:$B,$B87,DeadRaw!AZ:AZ)</f>
        <v>0</v>
      </c>
      <c r="AY87">
        <f>SUMIF(DeadRaw!$B:$B,$B87,DeadRaw!BA:BA)</f>
        <v>0</v>
      </c>
      <c r="AZ87">
        <f>SUMIF(DeadRaw!$B:$B,$B87,DeadRaw!BB:BB)</f>
        <v>0</v>
      </c>
      <c r="BA87">
        <f>SUMIF(DeadRaw!$B:$B,$B87,DeadRaw!BC:BC)</f>
        <v>0</v>
      </c>
      <c r="BB87">
        <f>SUMIF(DeadRaw!$B:$B,$B87,DeadRaw!BD:BD)</f>
        <v>0</v>
      </c>
      <c r="BC87">
        <f>SUMIF(DeadRaw!$B:$B,$B87,DeadRaw!BE:BE)</f>
        <v>0</v>
      </c>
      <c r="BD87">
        <f>SUMIF(DeadRaw!$B:$B,$B87,DeadRaw!BF:BF)</f>
        <v>0</v>
      </c>
      <c r="BE87">
        <f>SUMIF(DeadRaw!$B:$B,$B87,DeadRaw!BG:BG)</f>
        <v>0</v>
      </c>
      <c r="BF87">
        <f>SUMIF(DeadRaw!$B:$B,$B87,DeadRaw!BH:BH)</f>
        <v>0</v>
      </c>
      <c r="BG87">
        <f>SUMIF(DeadRaw!$B:$B,$B87,DeadRaw!BI:BI)</f>
        <v>0</v>
      </c>
      <c r="BH87">
        <f>SUMIF(DeadRaw!$B:$B,$B87,DeadRaw!BJ:BJ)</f>
        <v>0</v>
      </c>
      <c r="BI87">
        <f>SUMIF(DeadRaw!$B:$B,$B87,DeadRaw!BK:BK)</f>
        <v>0</v>
      </c>
      <c r="BJ87">
        <f>SUMIF(DeadRaw!$B:$B,$B87,DeadRaw!BL:BL)</f>
        <v>1</v>
      </c>
      <c r="BK87">
        <f>SUMIF(DeadRaw!$B:$B,$B87,DeadRaw!BM:BM)</f>
        <v>1</v>
      </c>
      <c r="BL87">
        <f>SUMIF(DeadRaw!$B:$B,$B87,DeadRaw!BN:BN)</f>
        <v>1</v>
      </c>
      <c r="BM87">
        <f>SUMIF(DeadRaw!$B:$B,$B87,DeadRaw!BO:BO)</f>
        <v>2</v>
      </c>
      <c r="BN87">
        <f>SUMIF(DeadRaw!$B:$B,$B87,DeadRaw!BP:BP)</f>
        <v>4</v>
      </c>
      <c r="BO87">
        <f>SUMIF(DeadRaw!$B:$B,$B87,DeadRaw!BQ:BQ)</f>
        <v>4</v>
      </c>
      <c r="BP87">
        <f>SUMIF(DeadRaw!$B:$B,$B87,DeadRaw!BR:BR)</f>
        <v>5</v>
      </c>
      <c r="BQ87">
        <f>SUMIF(DeadRaw!$B:$B,$B87,DeadRaw!BS:BS)</f>
        <v>7</v>
      </c>
      <c r="BR87">
        <f>SUMIF(DeadRaw!$B:$B,$B87,DeadRaw!BT:BT)</f>
        <v>0</v>
      </c>
      <c r="BS87">
        <f>SUMIF(DeadRaw!$B:$B,$B87,DeadRaw!BU:BU)</f>
        <v>0</v>
      </c>
      <c r="BT87">
        <f>SUMIF(DeadRaw!$B:$B,$B87,DeadRaw!BV:BV)</f>
        <v>0</v>
      </c>
      <c r="BU87">
        <f>SUMIF(DeadRaw!$B:$B,$B87,DeadRaw!BW:BW)</f>
        <v>0</v>
      </c>
    </row>
    <row r="88" spans="1:73" ht="15" thickBot="1" x14ac:dyDescent="0.35">
      <c r="A88" s="97" t="str">
        <f>VLOOKUP(B88,Country_Data!B:Q,16,FALSE)</f>
        <v>Europe</v>
      </c>
      <c r="B88" s="4" t="s">
        <v>345</v>
      </c>
      <c r="C88">
        <f>SUMIF(DeadRaw!$B:$B,$B88,DeadRaw!E:E)</f>
        <v>0</v>
      </c>
      <c r="D88">
        <f>SUMIF(DeadRaw!$B:$B,$B88,DeadRaw!F:F)</f>
        <v>0</v>
      </c>
      <c r="E88">
        <f>SUMIF(DeadRaw!$B:$B,$B88,DeadRaw!G:G)</f>
        <v>0</v>
      </c>
      <c r="F88">
        <f>SUMIF(DeadRaw!$B:$B,$B88,DeadRaw!H:H)</f>
        <v>0</v>
      </c>
      <c r="G88">
        <f>SUMIF(DeadRaw!$B:$B,$B88,DeadRaw!I:I)</f>
        <v>0</v>
      </c>
      <c r="H88">
        <f>SUMIF(DeadRaw!$B:$B,$B88,DeadRaw!J:J)</f>
        <v>0</v>
      </c>
      <c r="I88">
        <f>SUMIF(DeadRaw!$B:$B,$B88,DeadRaw!K:K)</f>
        <v>0</v>
      </c>
      <c r="J88">
        <f>SUMIF(DeadRaw!$B:$B,$B88,DeadRaw!L:L)</f>
        <v>0</v>
      </c>
      <c r="K88">
        <f>SUMIF(DeadRaw!$B:$B,$B88,DeadRaw!M:M)</f>
        <v>0</v>
      </c>
      <c r="L88">
        <f>SUMIF(DeadRaw!$B:$B,$B88,DeadRaw!N:N)</f>
        <v>0</v>
      </c>
      <c r="M88">
        <f>SUMIF(DeadRaw!$B:$B,$B88,DeadRaw!O:O)</f>
        <v>0</v>
      </c>
      <c r="N88">
        <f>SUMIF(DeadRaw!$B:$B,$B88,DeadRaw!P:P)</f>
        <v>0</v>
      </c>
      <c r="O88">
        <f>SUMIF(DeadRaw!$B:$B,$B88,DeadRaw!Q:Q)</f>
        <v>0</v>
      </c>
      <c r="P88">
        <f>SUMIF(DeadRaw!$B:$B,$B88,DeadRaw!R:R)</f>
        <v>0</v>
      </c>
      <c r="Q88">
        <f>SUMIF(DeadRaw!$B:$B,$B88,DeadRaw!S:S)</f>
        <v>0</v>
      </c>
      <c r="R88">
        <f>SUMIF(DeadRaw!$B:$B,$B88,DeadRaw!T:T)</f>
        <v>0</v>
      </c>
      <c r="S88">
        <f>SUMIF(DeadRaw!$B:$B,$B88,DeadRaw!U:U)</f>
        <v>0</v>
      </c>
      <c r="T88">
        <f>SUMIF(DeadRaw!$B:$B,$B88,DeadRaw!V:V)</f>
        <v>0</v>
      </c>
      <c r="U88">
        <f>SUMIF(DeadRaw!$B:$B,$B88,DeadRaw!W:W)</f>
        <v>0</v>
      </c>
      <c r="V88">
        <f>SUMIF(DeadRaw!$B:$B,$B88,DeadRaw!X:X)</f>
        <v>0</v>
      </c>
      <c r="W88">
        <f>SUMIF(DeadRaw!$B:$B,$B88,DeadRaw!Y:Y)</f>
        <v>0</v>
      </c>
      <c r="X88">
        <f>SUMIF(DeadRaw!$B:$B,$B88,DeadRaw!Z:Z)</f>
        <v>0</v>
      </c>
      <c r="Y88">
        <f>SUMIF(DeadRaw!$B:$B,$B88,DeadRaw!AA:AA)</f>
        <v>0</v>
      </c>
      <c r="Z88">
        <f>SUMIF(DeadRaw!$B:$B,$B88,DeadRaw!AB:AB)</f>
        <v>0</v>
      </c>
      <c r="AA88">
        <f>SUMIF(DeadRaw!$B:$B,$B88,DeadRaw!AC:AC)</f>
        <v>0</v>
      </c>
      <c r="AB88">
        <f>SUMIF(DeadRaw!$B:$B,$B88,DeadRaw!AD:AD)</f>
        <v>0</v>
      </c>
      <c r="AC88">
        <f>SUMIF(DeadRaw!$B:$B,$B88,DeadRaw!AE:AE)</f>
        <v>0</v>
      </c>
      <c r="AD88">
        <f>SUMIF(DeadRaw!$B:$B,$B88,DeadRaw!AF:AF)</f>
        <v>0</v>
      </c>
      <c r="AE88">
        <f>SUMIF(DeadRaw!$B:$B,$B88,DeadRaw!AG:AG)</f>
        <v>0</v>
      </c>
      <c r="AF88">
        <f>SUMIF(DeadRaw!$B:$B,$B88,DeadRaw!AH:AH)</f>
        <v>0</v>
      </c>
      <c r="AG88">
        <f>SUMIF(DeadRaw!$B:$B,$B88,DeadRaw!AI:AI)</f>
        <v>0</v>
      </c>
      <c r="AH88">
        <f>SUMIF(DeadRaw!$B:$B,$B88,DeadRaw!AJ:AJ)</f>
        <v>0</v>
      </c>
      <c r="AI88">
        <f>SUMIF(DeadRaw!$B:$B,$B88,DeadRaw!AK:AK)</f>
        <v>0</v>
      </c>
      <c r="AJ88">
        <f>SUMIF(DeadRaw!$B:$B,$B88,DeadRaw!AL:AL)</f>
        <v>0</v>
      </c>
      <c r="AK88">
        <f>SUMIF(DeadRaw!$B:$B,$B88,DeadRaw!AM:AM)</f>
        <v>0</v>
      </c>
      <c r="AL88">
        <f>SUMIF(DeadRaw!$B:$B,$B88,DeadRaw!AN:AN)</f>
        <v>0</v>
      </c>
      <c r="AM88">
        <f>SUMIF(DeadRaw!$B:$B,$B88,DeadRaw!AO:AO)</f>
        <v>0</v>
      </c>
      <c r="AN88">
        <f>SUMIF(DeadRaw!$B:$B,$B88,DeadRaw!AP:AP)</f>
        <v>0</v>
      </c>
      <c r="AO88">
        <f>SUMIF(DeadRaw!$B:$B,$B88,DeadRaw!AQ:AQ)</f>
        <v>0</v>
      </c>
      <c r="AP88">
        <f>SUMIF(DeadRaw!$B:$B,$B88,DeadRaw!AR:AR)</f>
        <v>0</v>
      </c>
      <c r="AQ88">
        <f>SUMIF(DeadRaw!$B:$B,$B88,DeadRaw!AS:AS)</f>
        <v>0</v>
      </c>
      <c r="AR88">
        <f>SUMIF(DeadRaw!$B:$B,$B88,DeadRaw!AT:AT)</f>
        <v>0</v>
      </c>
      <c r="AS88">
        <f>SUMIF(DeadRaw!$B:$B,$B88,DeadRaw!AU:AU)</f>
        <v>0</v>
      </c>
      <c r="AT88">
        <f>SUMIF(DeadRaw!$B:$B,$B88,DeadRaw!AV:AV)</f>
        <v>0</v>
      </c>
      <c r="AU88">
        <f>SUMIF(DeadRaw!$B:$B,$B88,DeadRaw!AW:AW)</f>
        <v>0</v>
      </c>
      <c r="AV88">
        <f>SUMIF(DeadRaw!$B:$B,$B88,DeadRaw!AX:AX)</f>
        <v>0</v>
      </c>
      <c r="AW88">
        <f>SUMIF(DeadRaw!$B:$B,$B88,DeadRaw!AY:AY)</f>
        <v>0</v>
      </c>
      <c r="AX88">
        <f>SUMIF(DeadRaw!$B:$B,$B88,DeadRaw!AZ:AZ)</f>
        <v>0</v>
      </c>
      <c r="AY88">
        <f>SUMIF(DeadRaw!$B:$B,$B88,DeadRaw!BA:BA)</f>
        <v>0</v>
      </c>
      <c r="AZ88">
        <f>SUMIF(DeadRaw!$B:$B,$B88,DeadRaw!BB:BB)</f>
        <v>0</v>
      </c>
      <c r="BA88">
        <f>SUMIF(DeadRaw!$B:$B,$B88,DeadRaw!BC:BC)</f>
        <v>0</v>
      </c>
      <c r="BB88">
        <f>SUMIF(DeadRaw!$B:$B,$B88,DeadRaw!BD:BD)</f>
        <v>0</v>
      </c>
      <c r="BC88">
        <f>SUMIF(DeadRaw!$B:$B,$B88,DeadRaw!BE:BE)</f>
        <v>0</v>
      </c>
      <c r="BD88">
        <f>SUMIF(DeadRaw!$B:$B,$B88,DeadRaw!BF:BF)</f>
        <v>0</v>
      </c>
      <c r="BE88">
        <f>SUMIF(DeadRaw!$B:$B,$B88,DeadRaw!BG:BG)</f>
        <v>0</v>
      </c>
      <c r="BF88">
        <f>SUMIF(DeadRaw!$B:$B,$B88,DeadRaw!BH:BH)</f>
        <v>0</v>
      </c>
      <c r="BG88">
        <f>SUMIF(DeadRaw!$B:$B,$B88,DeadRaw!BI:BI)</f>
        <v>1</v>
      </c>
      <c r="BH88">
        <f>SUMIF(DeadRaw!$B:$B,$B88,DeadRaw!BJ:BJ)</f>
        <v>1</v>
      </c>
      <c r="BI88">
        <f>SUMIF(DeadRaw!$B:$B,$B88,DeadRaw!BK:BK)</f>
        <v>1</v>
      </c>
      <c r="BJ88">
        <f>SUMIF(DeadRaw!$B:$B,$B88,DeadRaw!BL:BL)</f>
        <v>1</v>
      </c>
      <c r="BK88">
        <f>SUMIF(DeadRaw!$B:$B,$B88,DeadRaw!BM:BM)</f>
        <v>1</v>
      </c>
      <c r="BL88">
        <f>SUMIF(DeadRaw!$B:$B,$B88,DeadRaw!BN:BN)</f>
        <v>1</v>
      </c>
      <c r="BM88">
        <f>SUMIF(DeadRaw!$B:$B,$B88,DeadRaw!BO:BO)</f>
        <v>1</v>
      </c>
      <c r="BN88">
        <f>SUMIF(DeadRaw!$B:$B,$B88,DeadRaw!BP:BP)</f>
        <v>1</v>
      </c>
      <c r="BO88">
        <f>SUMIF(DeadRaw!$B:$B,$B88,DeadRaw!BQ:BQ)</f>
        <v>1</v>
      </c>
      <c r="BP88">
        <f>SUMIF(DeadRaw!$B:$B,$B88,DeadRaw!BR:BR)</f>
        <v>2</v>
      </c>
      <c r="BQ88">
        <f>SUMIF(DeadRaw!$B:$B,$B88,DeadRaw!BS:BS)</f>
        <v>2</v>
      </c>
      <c r="BR88">
        <f>SUMIF(DeadRaw!$B:$B,$B88,DeadRaw!BT:BT)</f>
        <v>0</v>
      </c>
      <c r="BS88">
        <f>SUMIF(DeadRaw!$B:$B,$B88,DeadRaw!BU:BU)</f>
        <v>0</v>
      </c>
      <c r="BT88">
        <f>SUMIF(DeadRaw!$B:$B,$B88,DeadRaw!BV:BV)</f>
        <v>0</v>
      </c>
      <c r="BU88">
        <f>SUMIF(DeadRaw!$B:$B,$B88,DeadRaw!BW:BW)</f>
        <v>0</v>
      </c>
    </row>
    <row r="89" spans="1:73" ht="15" thickBot="1" x14ac:dyDescent="0.35">
      <c r="A89" s="97" t="str">
        <f>VLOOKUP(B89,Country_Data!B:Q,16,FALSE)</f>
        <v>South America</v>
      </c>
      <c r="B89" s="4" t="s">
        <v>206</v>
      </c>
      <c r="C89">
        <f>SUMIF(DeadRaw!$B:$B,$B89,DeadRaw!E:E)</f>
        <v>0</v>
      </c>
      <c r="D89">
        <f>SUMIF(DeadRaw!$B:$B,$B89,DeadRaw!F:F)</f>
        <v>0</v>
      </c>
      <c r="E89">
        <f>SUMIF(DeadRaw!$B:$B,$B89,DeadRaw!G:G)</f>
        <v>0</v>
      </c>
      <c r="F89">
        <f>SUMIF(DeadRaw!$B:$B,$B89,DeadRaw!H:H)</f>
        <v>0</v>
      </c>
      <c r="G89">
        <f>SUMIF(DeadRaw!$B:$B,$B89,DeadRaw!I:I)</f>
        <v>0</v>
      </c>
      <c r="H89">
        <f>SUMIF(DeadRaw!$B:$B,$B89,DeadRaw!J:J)</f>
        <v>0</v>
      </c>
      <c r="I89">
        <f>SUMIF(DeadRaw!$B:$B,$B89,DeadRaw!K:K)</f>
        <v>0</v>
      </c>
      <c r="J89">
        <f>SUMIF(DeadRaw!$B:$B,$B89,DeadRaw!L:L)</f>
        <v>0</v>
      </c>
      <c r="K89">
        <f>SUMIF(DeadRaw!$B:$B,$B89,DeadRaw!M:M)</f>
        <v>0</v>
      </c>
      <c r="L89">
        <f>SUMIF(DeadRaw!$B:$B,$B89,DeadRaw!N:N)</f>
        <v>0</v>
      </c>
      <c r="M89">
        <f>SUMIF(DeadRaw!$B:$B,$B89,DeadRaw!O:O)</f>
        <v>0</v>
      </c>
      <c r="N89">
        <f>SUMIF(DeadRaw!$B:$B,$B89,DeadRaw!P:P)</f>
        <v>0</v>
      </c>
      <c r="O89">
        <f>SUMIF(DeadRaw!$B:$B,$B89,DeadRaw!Q:Q)</f>
        <v>0</v>
      </c>
      <c r="P89">
        <f>SUMIF(DeadRaw!$B:$B,$B89,DeadRaw!R:R)</f>
        <v>0</v>
      </c>
      <c r="Q89">
        <f>SUMIF(DeadRaw!$B:$B,$B89,DeadRaw!S:S)</f>
        <v>0</v>
      </c>
      <c r="R89">
        <f>SUMIF(DeadRaw!$B:$B,$B89,DeadRaw!T:T)</f>
        <v>0</v>
      </c>
      <c r="S89">
        <f>SUMIF(DeadRaw!$B:$B,$B89,DeadRaw!U:U)</f>
        <v>0</v>
      </c>
      <c r="T89">
        <f>SUMIF(DeadRaw!$B:$B,$B89,DeadRaw!V:V)</f>
        <v>0</v>
      </c>
      <c r="U89">
        <f>SUMIF(DeadRaw!$B:$B,$B89,DeadRaw!W:W)</f>
        <v>0</v>
      </c>
      <c r="V89">
        <f>SUMIF(DeadRaw!$B:$B,$B89,DeadRaw!X:X)</f>
        <v>0</v>
      </c>
      <c r="W89">
        <f>SUMIF(DeadRaw!$B:$B,$B89,DeadRaw!Y:Y)</f>
        <v>0</v>
      </c>
      <c r="X89">
        <f>SUMIF(DeadRaw!$B:$B,$B89,DeadRaw!Z:Z)</f>
        <v>0</v>
      </c>
      <c r="Y89">
        <f>SUMIF(DeadRaw!$B:$B,$B89,DeadRaw!AA:AA)</f>
        <v>0</v>
      </c>
      <c r="Z89">
        <f>SUMIF(DeadRaw!$B:$B,$B89,DeadRaw!AB:AB)</f>
        <v>0</v>
      </c>
      <c r="AA89">
        <f>SUMIF(DeadRaw!$B:$B,$B89,DeadRaw!AC:AC)</f>
        <v>0</v>
      </c>
      <c r="AB89">
        <f>SUMIF(DeadRaw!$B:$B,$B89,DeadRaw!AD:AD)</f>
        <v>0</v>
      </c>
      <c r="AC89">
        <f>SUMIF(DeadRaw!$B:$B,$B89,DeadRaw!AE:AE)</f>
        <v>0</v>
      </c>
      <c r="AD89">
        <f>SUMIF(DeadRaw!$B:$B,$B89,DeadRaw!AF:AF)</f>
        <v>0</v>
      </c>
      <c r="AE89">
        <f>SUMIF(DeadRaw!$B:$B,$B89,DeadRaw!AG:AG)</f>
        <v>0</v>
      </c>
      <c r="AF89">
        <f>SUMIF(DeadRaw!$B:$B,$B89,DeadRaw!AH:AH)</f>
        <v>0</v>
      </c>
      <c r="AG89">
        <f>SUMIF(DeadRaw!$B:$B,$B89,DeadRaw!AI:AI)</f>
        <v>0</v>
      </c>
      <c r="AH89">
        <f>SUMIF(DeadRaw!$B:$B,$B89,DeadRaw!AJ:AJ)</f>
        <v>0</v>
      </c>
      <c r="AI89">
        <f>SUMIF(DeadRaw!$B:$B,$B89,DeadRaw!AK:AK)</f>
        <v>0</v>
      </c>
      <c r="AJ89">
        <f>SUMIF(DeadRaw!$B:$B,$B89,DeadRaw!AL:AL)</f>
        <v>0</v>
      </c>
      <c r="AK89">
        <f>SUMIF(DeadRaw!$B:$B,$B89,DeadRaw!AM:AM)</f>
        <v>0</v>
      </c>
      <c r="AL89">
        <f>SUMIF(DeadRaw!$B:$B,$B89,DeadRaw!AN:AN)</f>
        <v>0</v>
      </c>
      <c r="AM89">
        <f>SUMIF(DeadRaw!$B:$B,$B89,DeadRaw!AO:AO)</f>
        <v>0</v>
      </c>
      <c r="AN89">
        <f>SUMIF(DeadRaw!$B:$B,$B89,DeadRaw!AP:AP)</f>
        <v>0</v>
      </c>
      <c r="AO89">
        <f>SUMIF(DeadRaw!$B:$B,$B89,DeadRaw!AQ:AQ)</f>
        <v>0</v>
      </c>
      <c r="AP89">
        <f>SUMIF(DeadRaw!$B:$B,$B89,DeadRaw!AR:AR)</f>
        <v>0</v>
      </c>
      <c r="AQ89">
        <f>SUMIF(DeadRaw!$B:$B,$B89,DeadRaw!AS:AS)</f>
        <v>0</v>
      </c>
      <c r="AR89">
        <f>SUMIF(DeadRaw!$B:$B,$B89,DeadRaw!AT:AT)</f>
        <v>0</v>
      </c>
      <c r="AS89">
        <f>SUMIF(DeadRaw!$B:$B,$B89,DeadRaw!AU:AU)</f>
        <v>0</v>
      </c>
      <c r="AT89">
        <f>SUMIF(DeadRaw!$B:$B,$B89,DeadRaw!AV:AV)</f>
        <v>0</v>
      </c>
      <c r="AU89">
        <f>SUMIF(DeadRaw!$B:$B,$B89,DeadRaw!AW:AW)</f>
        <v>0</v>
      </c>
      <c r="AV89">
        <f>SUMIF(DeadRaw!$B:$B,$B89,DeadRaw!AX:AX)</f>
        <v>0</v>
      </c>
      <c r="AW89">
        <f>SUMIF(DeadRaw!$B:$B,$B89,DeadRaw!AY:AY)</f>
        <v>0</v>
      </c>
      <c r="AX89">
        <f>SUMIF(DeadRaw!$B:$B,$B89,DeadRaw!AZ:AZ)</f>
        <v>0</v>
      </c>
      <c r="AY89">
        <f>SUMIF(DeadRaw!$B:$B,$B89,DeadRaw!BA:BA)</f>
        <v>0</v>
      </c>
      <c r="AZ89">
        <f>SUMIF(DeadRaw!$B:$B,$B89,DeadRaw!BB:BB)</f>
        <v>0</v>
      </c>
      <c r="BA89">
        <f>SUMIF(DeadRaw!$B:$B,$B89,DeadRaw!BC:BC)</f>
        <v>0</v>
      </c>
      <c r="BB89">
        <f>SUMIF(DeadRaw!$B:$B,$B89,DeadRaw!BD:BD)</f>
        <v>0</v>
      </c>
      <c r="BC89">
        <f>SUMIF(DeadRaw!$B:$B,$B89,DeadRaw!BE:BE)</f>
        <v>0</v>
      </c>
      <c r="BD89">
        <f>SUMIF(DeadRaw!$B:$B,$B89,DeadRaw!BF:BF)</f>
        <v>0</v>
      </c>
      <c r="BE89">
        <f>SUMIF(DeadRaw!$B:$B,$B89,DeadRaw!BG:BG)</f>
        <v>0</v>
      </c>
      <c r="BF89">
        <f>SUMIF(DeadRaw!$B:$B,$B89,DeadRaw!BH:BH)</f>
        <v>0</v>
      </c>
      <c r="BG89">
        <f>SUMIF(DeadRaw!$B:$B,$B89,DeadRaw!BI:BI)</f>
        <v>0</v>
      </c>
      <c r="BH89">
        <f>SUMIF(DeadRaw!$B:$B,$B89,DeadRaw!BJ:BJ)</f>
        <v>0</v>
      </c>
      <c r="BI89">
        <f>SUMIF(DeadRaw!$B:$B,$B89,DeadRaw!BK:BK)</f>
        <v>0</v>
      </c>
      <c r="BJ89">
        <f>SUMIF(DeadRaw!$B:$B,$B89,DeadRaw!BL:BL)</f>
        <v>1</v>
      </c>
      <c r="BK89">
        <f>SUMIF(DeadRaw!$B:$B,$B89,DeadRaw!BM:BM)</f>
        <v>1</v>
      </c>
      <c r="BL89">
        <f>SUMIF(DeadRaw!$B:$B,$B89,DeadRaw!BN:BN)</f>
        <v>1</v>
      </c>
      <c r="BM89">
        <f>SUMIF(DeadRaw!$B:$B,$B89,DeadRaw!BO:BO)</f>
        <v>2</v>
      </c>
      <c r="BN89">
        <f>SUMIF(DeadRaw!$B:$B,$B89,DeadRaw!BP:BP)</f>
        <v>3</v>
      </c>
      <c r="BO89">
        <f>SUMIF(DeadRaw!$B:$B,$B89,DeadRaw!BQ:BQ)</f>
        <v>3</v>
      </c>
      <c r="BP89">
        <f>SUMIF(DeadRaw!$B:$B,$B89,DeadRaw!BR:BR)</f>
        <v>3</v>
      </c>
      <c r="BQ89">
        <f>SUMIF(DeadRaw!$B:$B,$B89,DeadRaw!BS:BS)</f>
        <v>3</v>
      </c>
      <c r="BR89">
        <f>SUMIF(DeadRaw!$B:$B,$B89,DeadRaw!BT:BT)</f>
        <v>0</v>
      </c>
      <c r="BS89">
        <f>SUMIF(DeadRaw!$B:$B,$B89,DeadRaw!BU:BU)</f>
        <v>0</v>
      </c>
      <c r="BT89">
        <f>SUMIF(DeadRaw!$B:$B,$B89,DeadRaw!BV:BV)</f>
        <v>0</v>
      </c>
      <c r="BU89">
        <f>SUMIF(DeadRaw!$B:$B,$B89,DeadRaw!BW:BW)</f>
        <v>0</v>
      </c>
    </row>
    <row r="90" spans="1:73" ht="15" thickBot="1" x14ac:dyDescent="0.35">
      <c r="A90" s="97" t="str">
        <f>VLOOKUP(B90,Country_Data!B:Q,16,FALSE)</f>
        <v>Asia</v>
      </c>
      <c r="B90" s="3" t="s">
        <v>52</v>
      </c>
      <c r="C90">
        <f>SUMIF(DeadRaw!$B:$B,$B90,DeadRaw!E:E)</f>
        <v>0</v>
      </c>
      <c r="D90">
        <f>SUMIF(DeadRaw!$B:$B,$B90,DeadRaw!F:F)</f>
        <v>0</v>
      </c>
      <c r="E90">
        <f>SUMIF(DeadRaw!$B:$B,$B90,DeadRaw!G:G)</f>
        <v>0</v>
      </c>
      <c r="F90">
        <f>SUMIF(DeadRaw!$B:$B,$B90,DeadRaw!H:H)</f>
        <v>0</v>
      </c>
      <c r="G90">
        <f>SUMIF(DeadRaw!$B:$B,$B90,DeadRaw!I:I)</f>
        <v>0</v>
      </c>
      <c r="H90">
        <f>SUMIF(DeadRaw!$B:$B,$B90,DeadRaw!J:J)</f>
        <v>0</v>
      </c>
      <c r="I90">
        <f>SUMIF(DeadRaw!$B:$B,$B90,DeadRaw!K:K)</f>
        <v>0</v>
      </c>
      <c r="J90">
        <f>SUMIF(DeadRaw!$B:$B,$B90,DeadRaw!L:L)</f>
        <v>0</v>
      </c>
      <c r="K90">
        <f>SUMIF(DeadRaw!$B:$B,$B90,DeadRaw!M:M)</f>
        <v>0</v>
      </c>
      <c r="L90">
        <f>SUMIF(DeadRaw!$B:$B,$B90,DeadRaw!N:N)</f>
        <v>0</v>
      </c>
      <c r="M90">
        <f>SUMIF(DeadRaw!$B:$B,$B90,DeadRaw!O:O)</f>
        <v>0</v>
      </c>
      <c r="N90">
        <f>SUMIF(DeadRaw!$B:$B,$B90,DeadRaw!P:P)</f>
        <v>0</v>
      </c>
      <c r="O90">
        <f>SUMIF(DeadRaw!$B:$B,$B90,DeadRaw!Q:Q)</f>
        <v>0</v>
      </c>
      <c r="P90">
        <f>SUMIF(DeadRaw!$B:$B,$B90,DeadRaw!R:R)</f>
        <v>0</v>
      </c>
      <c r="Q90">
        <f>SUMIF(DeadRaw!$B:$B,$B90,DeadRaw!S:S)</f>
        <v>0</v>
      </c>
      <c r="R90">
        <f>SUMIF(DeadRaw!$B:$B,$B90,DeadRaw!T:T)</f>
        <v>0</v>
      </c>
      <c r="S90">
        <f>SUMIF(DeadRaw!$B:$B,$B90,DeadRaw!U:U)</f>
        <v>0</v>
      </c>
      <c r="T90">
        <f>SUMIF(DeadRaw!$B:$B,$B90,DeadRaw!V:V)</f>
        <v>0</v>
      </c>
      <c r="U90">
        <f>SUMIF(DeadRaw!$B:$B,$B90,DeadRaw!W:W)</f>
        <v>0</v>
      </c>
      <c r="V90">
        <f>SUMIF(DeadRaw!$B:$B,$B90,DeadRaw!X:X)</f>
        <v>0</v>
      </c>
      <c r="W90">
        <f>SUMIF(DeadRaw!$B:$B,$B90,DeadRaw!Y:Y)</f>
        <v>0</v>
      </c>
      <c r="X90">
        <f>SUMIF(DeadRaw!$B:$B,$B90,DeadRaw!Z:Z)</f>
        <v>0</v>
      </c>
      <c r="Y90">
        <f>SUMIF(DeadRaw!$B:$B,$B90,DeadRaw!AA:AA)</f>
        <v>0</v>
      </c>
      <c r="Z90">
        <f>SUMIF(DeadRaw!$B:$B,$B90,DeadRaw!AB:AB)</f>
        <v>0</v>
      </c>
      <c r="AA90">
        <f>SUMIF(DeadRaw!$B:$B,$B90,DeadRaw!AC:AC)</f>
        <v>0</v>
      </c>
      <c r="AB90">
        <f>SUMIF(DeadRaw!$B:$B,$B90,DeadRaw!AD:AD)</f>
        <v>0</v>
      </c>
      <c r="AC90">
        <f>SUMIF(DeadRaw!$B:$B,$B90,DeadRaw!AE:AE)</f>
        <v>0</v>
      </c>
      <c r="AD90">
        <f>SUMIF(DeadRaw!$B:$B,$B90,DeadRaw!AF:AF)</f>
        <v>0</v>
      </c>
      <c r="AE90">
        <f>SUMIF(DeadRaw!$B:$B,$B90,DeadRaw!AG:AG)</f>
        <v>0</v>
      </c>
      <c r="AF90">
        <f>SUMIF(DeadRaw!$B:$B,$B90,DeadRaw!AH:AH)</f>
        <v>0</v>
      </c>
      <c r="AG90">
        <f>SUMIF(DeadRaw!$B:$B,$B90,DeadRaw!AI:AI)</f>
        <v>0</v>
      </c>
      <c r="AH90">
        <f>SUMIF(DeadRaw!$B:$B,$B90,DeadRaw!AJ:AJ)</f>
        <v>0</v>
      </c>
      <c r="AI90">
        <f>SUMIF(DeadRaw!$B:$B,$B90,DeadRaw!AK:AK)</f>
        <v>0</v>
      </c>
      <c r="AJ90">
        <f>SUMIF(DeadRaw!$B:$B,$B90,DeadRaw!AL:AL)</f>
        <v>0</v>
      </c>
      <c r="AK90">
        <f>SUMIF(DeadRaw!$B:$B,$B90,DeadRaw!AM:AM)</f>
        <v>0</v>
      </c>
      <c r="AL90">
        <f>SUMIF(DeadRaw!$B:$B,$B90,DeadRaw!AN:AN)</f>
        <v>0</v>
      </c>
      <c r="AM90">
        <f>SUMIF(DeadRaw!$B:$B,$B90,DeadRaw!AO:AO)</f>
        <v>0</v>
      </c>
      <c r="AN90">
        <f>SUMIF(DeadRaw!$B:$B,$B90,DeadRaw!AP:AP)</f>
        <v>0</v>
      </c>
      <c r="AO90">
        <f>SUMIF(DeadRaw!$B:$B,$B90,DeadRaw!AQ:AQ)</f>
        <v>0</v>
      </c>
      <c r="AP90">
        <f>SUMIF(DeadRaw!$B:$B,$B90,DeadRaw!AR:AR)</f>
        <v>0</v>
      </c>
      <c r="AQ90">
        <f>SUMIF(DeadRaw!$B:$B,$B90,DeadRaw!AS:AS)</f>
        <v>0</v>
      </c>
      <c r="AR90">
        <f>SUMIF(DeadRaw!$B:$B,$B90,DeadRaw!AT:AT)</f>
        <v>0</v>
      </c>
      <c r="AS90">
        <f>SUMIF(DeadRaw!$B:$B,$B90,DeadRaw!AU:AU)</f>
        <v>0</v>
      </c>
      <c r="AT90">
        <f>SUMIF(DeadRaw!$B:$B,$B90,DeadRaw!AV:AV)</f>
        <v>0</v>
      </c>
      <c r="AU90">
        <f>SUMIF(DeadRaw!$B:$B,$B90,DeadRaw!AW:AW)</f>
        <v>0</v>
      </c>
      <c r="AV90">
        <f>SUMIF(DeadRaw!$B:$B,$B90,DeadRaw!AX:AX)</f>
        <v>0</v>
      </c>
      <c r="AW90">
        <f>SUMIF(DeadRaw!$B:$B,$B90,DeadRaw!AY:AY)</f>
        <v>0</v>
      </c>
      <c r="AX90">
        <f>SUMIF(DeadRaw!$B:$B,$B90,DeadRaw!AZ:AZ)</f>
        <v>0</v>
      </c>
      <c r="AY90">
        <f>SUMIF(DeadRaw!$B:$B,$B90,DeadRaw!BA:BA)</f>
        <v>0</v>
      </c>
      <c r="AZ90">
        <f>SUMIF(DeadRaw!$B:$B,$B90,DeadRaw!BB:BB)</f>
        <v>0</v>
      </c>
      <c r="BA90">
        <f>SUMIF(DeadRaw!$B:$B,$B90,DeadRaw!BC:BC)</f>
        <v>0</v>
      </c>
      <c r="BB90">
        <f>SUMIF(DeadRaw!$B:$B,$B90,DeadRaw!BD:BD)</f>
        <v>0</v>
      </c>
      <c r="BC90">
        <f>SUMIF(DeadRaw!$B:$B,$B90,DeadRaw!BE:BE)</f>
        <v>0</v>
      </c>
      <c r="BD90">
        <f>SUMIF(DeadRaw!$B:$B,$B90,DeadRaw!BF:BF)</f>
        <v>0</v>
      </c>
      <c r="BE90">
        <f>SUMIF(DeadRaw!$B:$B,$B90,DeadRaw!BG:BG)</f>
        <v>0</v>
      </c>
      <c r="BF90">
        <f>SUMIF(DeadRaw!$B:$B,$B90,DeadRaw!BH:BH)</f>
        <v>0</v>
      </c>
      <c r="BG90">
        <f>SUMIF(DeadRaw!$B:$B,$B90,DeadRaw!BI:BI)</f>
        <v>0</v>
      </c>
      <c r="BH90">
        <f>SUMIF(DeadRaw!$B:$B,$B90,DeadRaw!BJ:BJ)</f>
        <v>0</v>
      </c>
      <c r="BI90">
        <f>SUMIF(DeadRaw!$B:$B,$B90,DeadRaw!BK:BK)</f>
        <v>0</v>
      </c>
      <c r="BJ90">
        <f>SUMIF(DeadRaw!$B:$B,$B90,DeadRaw!BL:BL)</f>
        <v>0</v>
      </c>
      <c r="BK90">
        <f>SUMIF(DeadRaw!$B:$B,$B90,DeadRaw!BM:BM)</f>
        <v>0</v>
      </c>
      <c r="BL90">
        <f>SUMIF(DeadRaw!$B:$B,$B90,DeadRaw!BN:BN)</f>
        <v>0</v>
      </c>
      <c r="BM90">
        <f>SUMIF(DeadRaw!$B:$B,$B90,DeadRaw!BO:BO)</f>
        <v>0</v>
      </c>
      <c r="BN90">
        <f>SUMIF(DeadRaw!$B:$B,$B90,DeadRaw!BP:BP)</f>
        <v>0</v>
      </c>
      <c r="BO90">
        <f>SUMIF(DeadRaw!$B:$B,$B90,DeadRaw!BQ:BQ)</f>
        <v>0</v>
      </c>
      <c r="BP90">
        <f>SUMIF(DeadRaw!$B:$B,$B90,DeadRaw!BR:BR)</f>
        <v>0</v>
      </c>
      <c r="BQ90">
        <f>SUMIF(DeadRaw!$B:$B,$B90,DeadRaw!BS:BS)</f>
        <v>1</v>
      </c>
      <c r="BR90">
        <f>SUMIF(DeadRaw!$B:$B,$B90,DeadRaw!BT:BT)</f>
        <v>0</v>
      </c>
      <c r="BS90">
        <f>SUMIF(DeadRaw!$B:$B,$B90,DeadRaw!BU:BU)</f>
        <v>0</v>
      </c>
      <c r="BT90">
        <f>SUMIF(DeadRaw!$B:$B,$B90,DeadRaw!BV:BV)</f>
        <v>0</v>
      </c>
      <c r="BU90">
        <f>SUMIF(DeadRaw!$B:$B,$B90,DeadRaw!BW:BW)</f>
        <v>0</v>
      </c>
    </row>
    <row r="91" spans="1:73" ht="15" thickBot="1" x14ac:dyDescent="0.35">
      <c r="A91" s="97" t="str">
        <f>VLOOKUP(B91,Country_Data!B:Q,16,FALSE)</f>
        <v>South America</v>
      </c>
      <c r="B91" s="4" t="s">
        <v>51</v>
      </c>
      <c r="C91">
        <f>SUMIF(DeadRaw!$B:$B,$B91,DeadRaw!E:E)</f>
        <v>0</v>
      </c>
      <c r="D91">
        <f>SUMIF(DeadRaw!$B:$B,$B91,DeadRaw!F:F)</f>
        <v>0</v>
      </c>
      <c r="E91">
        <f>SUMIF(DeadRaw!$B:$B,$B91,DeadRaw!G:G)</f>
        <v>0</v>
      </c>
      <c r="F91">
        <f>SUMIF(DeadRaw!$B:$B,$B91,DeadRaw!H:H)</f>
        <v>0</v>
      </c>
      <c r="G91">
        <f>SUMIF(DeadRaw!$B:$B,$B91,DeadRaw!I:I)</f>
        <v>0</v>
      </c>
      <c r="H91">
        <f>SUMIF(DeadRaw!$B:$B,$B91,DeadRaw!J:J)</f>
        <v>0</v>
      </c>
      <c r="I91">
        <f>SUMIF(DeadRaw!$B:$B,$B91,DeadRaw!K:K)</f>
        <v>0</v>
      </c>
      <c r="J91">
        <f>SUMIF(DeadRaw!$B:$B,$B91,DeadRaw!L:L)</f>
        <v>0</v>
      </c>
      <c r="K91">
        <f>SUMIF(DeadRaw!$B:$B,$B91,DeadRaw!M:M)</f>
        <v>0</v>
      </c>
      <c r="L91">
        <f>SUMIF(DeadRaw!$B:$B,$B91,DeadRaw!N:N)</f>
        <v>0</v>
      </c>
      <c r="M91">
        <f>SUMIF(DeadRaw!$B:$B,$B91,DeadRaw!O:O)</f>
        <v>0</v>
      </c>
      <c r="N91">
        <f>SUMIF(DeadRaw!$B:$B,$B91,DeadRaw!P:P)</f>
        <v>0</v>
      </c>
      <c r="O91">
        <f>SUMIF(DeadRaw!$B:$B,$B91,DeadRaw!Q:Q)</f>
        <v>0</v>
      </c>
      <c r="P91">
        <f>SUMIF(DeadRaw!$B:$B,$B91,DeadRaw!R:R)</f>
        <v>0</v>
      </c>
      <c r="Q91">
        <f>SUMIF(DeadRaw!$B:$B,$B91,DeadRaw!S:S)</f>
        <v>0</v>
      </c>
      <c r="R91">
        <f>SUMIF(DeadRaw!$B:$B,$B91,DeadRaw!T:T)</f>
        <v>0</v>
      </c>
      <c r="S91">
        <f>SUMIF(DeadRaw!$B:$B,$B91,DeadRaw!U:U)</f>
        <v>0</v>
      </c>
      <c r="T91">
        <f>SUMIF(DeadRaw!$B:$B,$B91,DeadRaw!V:V)</f>
        <v>0</v>
      </c>
      <c r="U91">
        <f>SUMIF(DeadRaw!$B:$B,$B91,DeadRaw!W:W)</f>
        <v>0</v>
      </c>
      <c r="V91">
        <f>SUMIF(DeadRaw!$B:$B,$B91,DeadRaw!X:X)</f>
        <v>0</v>
      </c>
      <c r="W91">
        <f>SUMIF(DeadRaw!$B:$B,$B91,DeadRaw!Y:Y)</f>
        <v>0</v>
      </c>
      <c r="X91">
        <f>SUMIF(DeadRaw!$B:$B,$B91,DeadRaw!Z:Z)</f>
        <v>0</v>
      </c>
      <c r="Y91">
        <f>SUMIF(DeadRaw!$B:$B,$B91,DeadRaw!AA:AA)</f>
        <v>0</v>
      </c>
      <c r="Z91">
        <f>SUMIF(DeadRaw!$B:$B,$B91,DeadRaw!AB:AB)</f>
        <v>0</v>
      </c>
      <c r="AA91">
        <f>SUMIF(DeadRaw!$B:$B,$B91,DeadRaw!AC:AC)</f>
        <v>0</v>
      </c>
      <c r="AB91">
        <f>SUMIF(DeadRaw!$B:$B,$B91,DeadRaw!AD:AD)</f>
        <v>0</v>
      </c>
      <c r="AC91">
        <f>SUMIF(DeadRaw!$B:$B,$B91,DeadRaw!AE:AE)</f>
        <v>0</v>
      </c>
      <c r="AD91">
        <f>SUMIF(DeadRaw!$B:$B,$B91,DeadRaw!AF:AF)</f>
        <v>0</v>
      </c>
      <c r="AE91">
        <f>SUMIF(DeadRaw!$B:$B,$B91,DeadRaw!AG:AG)</f>
        <v>0</v>
      </c>
      <c r="AF91">
        <f>SUMIF(DeadRaw!$B:$B,$B91,DeadRaw!AH:AH)</f>
        <v>0</v>
      </c>
      <c r="AG91">
        <f>SUMIF(DeadRaw!$B:$B,$B91,DeadRaw!AI:AI)</f>
        <v>0</v>
      </c>
      <c r="AH91">
        <f>SUMIF(DeadRaw!$B:$B,$B91,DeadRaw!AJ:AJ)</f>
        <v>0</v>
      </c>
      <c r="AI91">
        <f>SUMIF(DeadRaw!$B:$B,$B91,DeadRaw!AK:AK)</f>
        <v>0</v>
      </c>
      <c r="AJ91">
        <f>SUMIF(DeadRaw!$B:$B,$B91,DeadRaw!AL:AL)</f>
        <v>0</v>
      </c>
      <c r="AK91">
        <f>SUMIF(DeadRaw!$B:$B,$B91,DeadRaw!AM:AM)</f>
        <v>0</v>
      </c>
      <c r="AL91">
        <f>SUMIF(DeadRaw!$B:$B,$B91,DeadRaw!AN:AN)</f>
        <v>0</v>
      </c>
      <c r="AM91">
        <f>SUMIF(DeadRaw!$B:$B,$B91,DeadRaw!AO:AO)</f>
        <v>0</v>
      </c>
      <c r="AN91">
        <f>SUMIF(DeadRaw!$B:$B,$B91,DeadRaw!AP:AP)</f>
        <v>0</v>
      </c>
      <c r="AO91">
        <f>SUMIF(DeadRaw!$B:$B,$B91,DeadRaw!AQ:AQ)</f>
        <v>0</v>
      </c>
      <c r="AP91">
        <f>SUMIF(DeadRaw!$B:$B,$B91,DeadRaw!AR:AR)</f>
        <v>0</v>
      </c>
      <c r="AQ91">
        <f>SUMIF(DeadRaw!$B:$B,$B91,DeadRaw!AS:AS)</f>
        <v>0</v>
      </c>
      <c r="AR91">
        <f>SUMIF(DeadRaw!$B:$B,$B91,DeadRaw!AT:AT)</f>
        <v>0</v>
      </c>
      <c r="AS91">
        <f>SUMIF(DeadRaw!$B:$B,$B91,DeadRaw!AU:AU)</f>
        <v>0</v>
      </c>
      <c r="AT91">
        <f>SUMIF(DeadRaw!$B:$B,$B91,DeadRaw!AV:AV)</f>
        <v>0</v>
      </c>
      <c r="AU91">
        <f>SUMIF(DeadRaw!$B:$B,$B91,DeadRaw!AW:AW)</f>
        <v>0</v>
      </c>
      <c r="AV91">
        <f>SUMIF(DeadRaw!$B:$B,$B91,DeadRaw!AX:AX)</f>
        <v>0</v>
      </c>
      <c r="AW91">
        <f>SUMIF(DeadRaw!$B:$B,$B91,DeadRaw!AY:AY)</f>
        <v>0</v>
      </c>
      <c r="AX91">
        <f>SUMIF(DeadRaw!$B:$B,$B91,DeadRaw!AZ:AZ)</f>
        <v>0</v>
      </c>
      <c r="AY91">
        <f>SUMIF(DeadRaw!$B:$B,$B91,DeadRaw!BA:BA)</f>
        <v>0</v>
      </c>
      <c r="AZ91">
        <f>SUMIF(DeadRaw!$B:$B,$B91,DeadRaw!BB:BB)</f>
        <v>0</v>
      </c>
      <c r="BA91">
        <f>SUMIF(DeadRaw!$B:$B,$B91,DeadRaw!BC:BC)</f>
        <v>0</v>
      </c>
      <c r="BB91">
        <f>SUMIF(DeadRaw!$B:$B,$B91,DeadRaw!BD:BD)</f>
        <v>0</v>
      </c>
      <c r="BC91">
        <f>SUMIF(DeadRaw!$B:$B,$B91,DeadRaw!BE:BE)</f>
        <v>0</v>
      </c>
      <c r="BD91">
        <f>SUMIF(DeadRaw!$B:$B,$B91,DeadRaw!BF:BF)</f>
        <v>0</v>
      </c>
      <c r="BE91">
        <f>SUMIF(DeadRaw!$B:$B,$B91,DeadRaw!BG:BG)</f>
        <v>0</v>
      </c>
      <c r="BF91">
        <f>SUMIF(DeadRaw!$B:$B,$B91,DeadRaw!BH:BH)</f>
        <v>0</v>
      </c>
      <c r="BG91">
        <f>SUMIF(DeadRaw!$B:$B,$B91,DeadRaw!BI:BI)</f>
        <v>0</v>
      </c>
      <c r="BH91">
        <f>SUMIF(DeadRaw!$B:$B,$B91,DeadRaw!BJ:BJ)</f>
        <v>0</v>
      </c>
      <c r="BI91">
        <f>SUMIF(DeadRaw!$B:$B,$B91,DeadRaw!BK:BK)</f>
        <v>0</v>
      </c>
      <c r="BJ91">
        <f>SUMIF(DeadRaw!$B:$B,$B91,DeadRaw!BL:BL)</f>
        <v>0</v>
      </c>
      <c r="BK91">
        <f>SUMIF(DeadRaw!$B:$B,$B91,DeadRaw!BM:BM)</f>
        <v>0</v>
      </c>
      <c r="BL91">
        <f>SUMIF(DeadRaw!$B:$B,$B91,DeadRaw!BN:BN)</f>
        <v>0</v>
      </c>
      <c r="BM91">
        <f>SUMIF(DeadRaw!$B:$B,$B91,DeadRaw!BO:BO)</f>
        <v>0</v>
      </c>
      <c r="BN91">
        <f>SUMIF(DeadRaw!$B:$B,$B91,DeadRaw!BP:BP)</f>
        <v>0</v>
      </c>
      <c r="BO91">
        <f>SUMIF(DeadRaw!$B:$B,$B91,DeadRaw!BQ:BQ)</f>
        <v>0</v>
      </c>
      <c r="BP91">
        <f>SUMIF(DeadRaw!$B:$B,$B91,DeadRaw!BR:BR)</f>
        <v>0</v>
      </c>
      <c r="BQ91">
        <f>SUMIF(DeadRaw!$B:$B,$B91,DeadRaw!BS:BS)</f>
        <v>0</v>
      </c>
      <c r="BR91">
        <f>SUMIF(DeadRaw!$B:$B,$B91,DeadRaw!BT:BT)</f>
        <v>0</v>
      </c>
      <c r="BS91">
        <f>SUMIF(DeadRaw!$B:$B,$B91,DeadRaw!BU:BU)</f>
        <v>0</v>
      </c>
      <c r="BT91">
        <f>SUMIF(DeadRaw!$B:$B,$B91,DeadRaw!BV:BV)</f>
        <v>0</v>
      </c>
      <c r="BU91">
        <f>SUMIF(DeadRaw!$B:$B,$B91,DeadRaw!BW:BW)</f>
        <v>0</v>
      </c>
    </row>
    <row r="92" spans="1:73" ht="15" thickBot="1" x14ac:dyDescent="0.35">
      <c r="A92" s="97" t="str">
        <f>VLOOKUP(B92,Country_Data!B:Q,16,FALSE)</f>
        <v>South America</v>
      </c>
      <c r="B92" s="3" t="s">
        <v>106</v>
      </c>
      <c r="C92">
        <f>SUMIF(DeadRaw!$B:$B,$B92,DeadRaw!E:E)</f>
        <v>0</v>
      </c>
      <c r="D92">
        <f>SUMIF(DeadRaw!$B:$B,$B92,DeadRaw!F:F)</f>
        <v>0</v>
      </c>
      <c r="E92">
        <f>SUMIF(DeadRaw!$B:$B,$B92,DeadRaw!G:G)</f>
        <v>0</v>
      </c>
      <c r="F92">
        <f>SUMIF(DeadRaw!$B:$B,$B92,DeadRaw!H:H)</f>
        <v>0</v>
      </c>
      <c r="G92">
        <f>SUMIF(DeadRaw!$B:$B,$B92,DeadRaw!I:I)</f>
        <v>0</v>
      </c>
      <c r="H92">
        <f>SUMIF(DeadRaw!$B:$B,$B92,DeadRaw!J:J)</f>
        <v>0</v>
      </c>
      <c r="I92">
        <f>SUMIF(DeadRaw!$B:$B,$B92,DeadRaw!K:K)</f>
        <v>0</v>
      </c>
      <c r="J92">
        <f>SUMIF(DeadRaw!$B:$B,$B92,DeadRaw!L:L)</f>
        <v>0</v>
      </c>
      <c r="K92">
        <f>SUMIF(DeadRaw!$B:$B,$B92,DeadRaw!M:M)</f>
        <v>0</v>
      </c>
      <c r="L92">
        <f>SUMIF(DeadRaw!$B:$B,$B92,DeadRaw!N:N)</f>
        <v>0</v>
      </c>
      <c r="M92">
        <f>SUMIF(DeadRaw!$B:$B,$B92,DeadRaw!O:O)</f>
        <v>0</v>
      </c>
      <c r="N92">
        <f>SUMIF(DeadRaw!$B:$B,$B92,DeadRaw!P:P)</f>
        <v>0</v>
      </c>
      <c r="O92">
        <f>SUMIF(DeadRaw!$B:$B,$B92,DeadRaw!Q:Q)</f>
        <v>0</v>
      </c>
      <c r="P92">
        <f>SUMIF(DeadRaw!$B:$B,$B92,DeadRaw!R:R)</f>
        <v>0</v>
      </c>
      <c r="Q92">
        <f>SUMIF(DeadRaw!$B:$B,$B92,DeadRaw!S:S)</f>
        <v>0</v>
      </c>
      <c r="R92">
        <f>SUMIF(DeadRaw!$B:$B,$B92,DeadRaw!T:T)</f>
        <v>0</v>
      </c>
      <c r="S92">
        <f>SUMIF(DeadRaw!$B:$B,$B92,DeadRaw!U:U)</f>
        <v>0</v>
      </c>
      <c r="T92">
        <f>SUMIF(DeadRaw!$B:$B,$B92,DeadRaw!V:V)</f>
        <v>0</v>
      </c>
      <c r="U92">
        <f>SUMIF(DeadRaw!$B:$B,$B92,DeadRaw!W:W)</f>
        <v>0</v>
      </c>
      <c r="V92">
        <f>SUMIF(DeadRaw!$B:$B,$B92,DeadRaw!X:X)</f>
        <v>0</v>
      </c>
      <c r="W92">
        <f>SUMIF(DeadRaw!$B:$B,$B92,DeadRaw!Y:Y)</f>
        <v>0</v>
      </c>
      <c r="X92">
        <f>SUMIF(DeadRaw!$B:$B,$B92,DeadRaw!Z:Z)</f>
        <v>0</v>
      </c>
      <c r="Y92">
        <f>SUMIF(DeadRaw!$B:$B,$B92,DeadRaw!AA:AA)</f>
        <v>0</v>
      </c>
      <c r="Z92">
        <f>SUMIF(DeadRaw!$B:$B,$B92,DeadRaw!AB:AB)</f>
        <v>0</v>
      </c>
      <c r="AA92">
        <f>SUMIF(DeadRaw!$B:$B,$B92,DeadRaw!AC:AC)</f>
        <v>0</v>
      </c>
      <c r="AB92">
        <f>SUMIF(DeadRaw!$B:$B,$B92,DeadRaw!AD:AD)</f>
        <v>0</v>
      </c>
      <c r="AC92">
        <f>SUMIF(DeadRaw!$B:$B,$B92,DeadRaw!AE:AE)</f>
        <v>0</v>
      </c>
      <c r="AD92">
        <f>SUMIF(DeadRaw!$B:$B,$B92,DeadRaw!AF:AF)</f>
        <v>0</v>
      </c>
      <c r="AE92">
        <f>SUMIF(DeadRaw!$B:$B,$B92,DeadRaw!AG:AG)</f>
        <v>0</v>
      </c>
      <c r="AF92">
        <f>SUMIF(DeadRaw!$B:$B,$B92,DeadRaw!AH:AH)</f>
        <v>0</v>
      </c>
      <c r="AG92">
        <f>SUMIF(DeadRaw!$B:$B,$B92,DeadRaw!AI:AI)</f>
        <v>0</v>
      </c>
      <c r="AH92">
        <f>SUMIF(DeadRaw!$B:$B,$B92,DeadRaw!AJ:AJ)</f>
        <v>0</v>
      </c>
      <c r="AI92">
        <f>SUMIF(DeadRaw!$B:$B,$B92,DeadRaw!AK:AK)</f>
        <v>0</v>
      </c>
      <c r="AJ92">
        <f>SUMIF(DeadRaw!$B:$B,$B92,DeadRaw!AL:AL)</f>
        <v>0</v>
      </c>
      <c r="AK92">
        <f>SUMIF(DeadRaw!$B:$B,$B92,DeadRaw!AM:AM)</f>
        <v>0</v>
      </c>
      <c r="AL92">
        <f>SUMIF(DeadRaw!$B:$B,$B92,DeadRaw!AN:AN)</f>
        <v>0</v>
      </c>
      <c r="AM92">
        <f>SUMIF(DeadRaw!$B:$B,$B92,DeadRaw!AO:AO)</f>
        <v>0</v>
      </c>
      <c r="AN92">
        <f>SUMIF(DeadRaw!$B:$B,$B92,DeadRaw!AP:AP)</f>
        <v>0</v>
      </c>
      <c r="AO92">
        <f>SUMIF(DeadRaw!$B:$B,$B92,DeadRaw!AQ:AQ)</f>
        <v>0</v>
      </c>
      <c r="AP92">
        <f>SUMIF(DeadRaw!$B:$B,$B92,DeadRaw!AR:AR)</f>
        <v>0</v>
      </c>
      <c r="AQ92">
        <f>SUMIF(DeadRaw!$B:$B,$B92,DeadRaw!AS:AS)</f>
        <v>0</v>
      </c>
      <c r="AR92">
        <f>SUMIF(DeadRaw!$B:$B,$B92,DeadRaw!AT:AT)</f>
        <v>0</v>
      </c>
      <c r="AS92">
        <f>SUMIF(DeadRaw!$B:$B,$B92,DeadRaw!AU:AU)</f>
        <v>0</v>
      </c>
      <c r="AT92">
        <f>SUMIF(DeadRaw!$B:$B,$B92,DeadRaw!AV:AV)</f>
        <v>0</v>
      </c>
      <c r="AU92">
        <f>SUMIF(DeadRaw!$B:$B,$B92,DeadRaw!AW:AW)</f>
        <v>0</v>
      </c>
      <c r="AV92">
        <f>SUMIF(DeadRaw!$B:$B,$B92,DeadRaw!AX:AX)</f>
        <v>0</v>
      </c>
      <c r="AW92">
        <f>SUMIF(DeadRaw!$B:$B,$B92,DeadRaw!AY:AY)</f>
        <v>0</v>
      </c>
      <c r="AX92">
        <f>SUMIF(DeadRaw!$B:$B,$B92,DeadRaw!AZ:AZ)</f>
        <v>0</v>
      </c>
      <c r="AY92">
        <f>SUMIF(DeadRaw!$B:$B,$B92,DeadRaw!BA:BA)</f>
        <v>0</v>
      </c>
      <c r="AZ92">
        <f>SUMIF(DeadRaw!$B:$B,$B92,DeadRaw!BB:BB)</f>
        <v>0</v>
      </c>
      <c r="BA92">
        <f>SUMIF(DeadRaw!$B:$B,$B92,DeadRaw!BC:BC)</f>
        <v>0</v>
      </c>
      <c r="BB92">
        <f>SUMIF(DeadRaw!$B:$B,$B92,DeadRaw!BD:BD)</f>
        <v>0</v>
      </c>
      <c r="BC92">
        <f>SUMIF(DeadRaw!$B:$B,$B92,DeadRaw!BE:BE)</f>
        <v>0</v>
      </c>
      <c r="BD92">
        <f>SUMIF(DeadRaw!$B:$B,$B92,DeadRaw!BF:BF)</f>
        <v>0</v>
      </c>
      <c r="BE92">
        <f>SUMIF(DeadRaw!$B:$B,$B92,DeadRaw!BG:BG)</f>
        <v>0</v>
      </c>
      <c r="BF92">
        <f>SUMIF(DeadRaw!$B:$B,$B92,DeadRaw!BH:BH)</f>
        <v>1</v>
      </c>
      <c r="BG92">
        <f>SUMIF(DeadRaw!$B:$B,$B92,DeadRaw!BI:BI)</f>
        <v>1</v>
      </c>
      <c r="BH92">
        <f>SUMIF(DeadRaw!$B:$B,$B92,DeadRaw!BJ:BJ)</f>
        <v>2</v>
      </c>
      <c r="BI92">
        <f>SUMIF(DeadRaw!$B:$B,$B92,DeadRaw!BK:BK)</f>
        <v>2</v>
      </c>
      <c r="BJ92">
        <f>SUMIF(DeadRaw!$B:$B,$B92,DeadRaw!BL:BL)</f>
        <v>2</v>
      </c>
      <c r="BK92">
        <f>SUMIF(DeadRaw!$B:$B,$B92,DeadRaw!BM:BM)</f>
        <v>3</v>
      </c>
      <c r="BL92">
        <f>SUMIF(DeadRaw!$B:$B,$B92,DeadRaw!BN:BN)</f>
        <v>3</v>
      </c>
      <c r="BM92">
        <f>SUMIF(DeadRaw!$B:$B,$B92,DeadRaw!BO:BO)</f>
        <v>6</v>
      </c>
      <c r="BN92">
        <f>SUMIF(DeadRaw!$B:$B,$B92,DeadRaw!BP:BP)</f>
        <v>10</v>
      </c>
      <c r="BO92">
        <f>SUMIF(DeadRaw!$B:$B,$B92,DeadRaw!BQ:BQ)</f>
        <v>10</v>
      </c>
      <c r="BP92">
        <f>SUMIF(DeadRaw!$B:$B,$B92,DeadRaw!BR:BR)</f>
        <v>20</v>
      </c>
      <c r="BQ92">
        <f>SUMIF(DeadRaw!$B:$B,$B92,DeadRaw!BS:BS)</f>
        <v>28</v>
      </c>
      <c r="BR92">
        <f>SUMIF(DeadRaw!$B:$B,$B92,DeadRaw!BT:BT)</f>
        <v>0</v>
      </c>
      <c r="BS92">
        <f>SUMIF(DeadRaw!$B:$B,$B92,DeadRaw!BU:BU)</f>
        <v>0</v>
      </c>
      <c r="BT92">
        <f>SUMIF(DeadRaw!$B:$B,$B92,DeadRaw!BV:BV)</f>
        <v>0</v>
      </c>
      <c r="BU92">
        <f>SUMIF(DeadRaw!$B:$B,$B92,DeadRaw!BW:BW)</f>
        <v>0</v>
      </c>
    </row>
    <row r="93" spans="1:73" ht="15" thickBot="1" x14ac:dyDescent="0.35">
      <c r="A93" s="97" t="str">
        <f>VLOOKUP(B93,Country_Data!B:Q,16,FALSE)</f>
        <v>Africa</v>
      </c>
      <c r="B93" s="4" t="s">
        <v>176</v>
      </c>
      <c r="C93">
        <f>SUMIF(DeadRaw!$B:$B,$B93,DeadRaw!E:E)</f>
        <v>0</v>
      </c>
      <c r="D93">
        <f>SUMIF(DeadRaw!$B:$B,$B93,DeadRaw!F:F)</f>
        <v>0</v>
      </c>
      <c r="E93">
        <f>SUMIF(DeadRaw!$B:$B,$B93,DeadRaw!G:G)</f>
        <v>0</v>
      </c>
      <c r="F93">
        <f>SUMIF(DeadRaw!$B:$B,$B93,DeadRaw!H:H)</f>
        <v>0</v>
      </c>
      <c r="G93">
        <f>SUMIF(DeadRaw!$B:$B,$B93,DeadRaw!I:I)</f>
        <v>0</v>
      </c>
      <c r="H93">
        <f>SUMIF(DeadRaw!$B:$B,$B93,DeadRaw!J:J)</f>
        <v>0</v>
      </c>
      <c r="I93">
        <f>SUMIF(DeadRaw!$B:$B,$B93,DeadRaw!K:K)</f>
        <v>0</v>
      </c>
      <c r="J93">
        <f>SUMIF(DeadRaw!$B:$B,$B93,DeadRaw!L:L)</f>
        <v>0</v>
      </c>
      <c r="K93">
        <f>SUMIF(DeadRaw!$B:$B,$B93,DeadRaw!M:M)</f>
        <v>0</v>
      </c>
      <c r="L93">
        <f>SUMIF(DeadRaw!$B:$B,$B93,DeadRaw!N:N)</f>
        <v>0</v>
      </c>
      <c r="M93">
        <f>SUMIF(DeadRaw!$B:$B,$B93,DeadRaw!O:O)</f>
        <v>0</v>
      </c>
      <c r="N93">
        <f>SUMIF(DeadRaw!$B:$B,$B93,DeadRaw!P:P)</f>
        <v>0</v>
      </c>
      <c r="O93">
        <f>SUMIF(DeadRaw!$B:$B,$B93,DeadRaw!Q:Q)</f>
        <v>0</v>
      </c>
      <c r="P93">
        <f>SUMIF(DeadRaw!$B:$B,$B93,DeadRaw!R:R)</f>
        <v>0</v>
      </c>
      <c r="Q93">
        <f>SUMIF(DeadRaw!$B:$B,$B93,DeadRaw!S:S)</f>
        <v>0</v>
      </c>
      <c r="R93">
        <f>SUMIF(DeadRaw!$B:$B,$B93,DeadRaw!T:T)</f>
        <v>0</v>
      </c>
      <c r="S93">
        <f>SUMIF(DeadRaw!$B:$B,$B93,DeadRaw!U:U)</f>
        <v>0</v>
      </c>
      <c r="T93">
        <f>SUMIF(DeadRaw!$B:$B,$B93,DeadRaw!V:V)</f>
        <v>0</v>
      </c>
      <c r="U93">
        <f>SUMIF(DeadRaw!$B:$B,$B93,DeadRaw!W:W)</f>
        <v>0</v>
      </c>
      <c r="V93">
        <f>SUMIF(DeadRaw!$B:$B,$B93,DeadRaw!X:X)</f>
        <v>0</v>
      </c>
      <c r="W93">
        <f>SUMIF(DeadRaw!$B:$B,$B93,DeadRaw!Y:Y)</f>
        <v>0</v>
      </c>
      <c r="X93">
        <f>SUMIF(DeadRaw!$B:$B,$B93,DeadRaw!Z:Z)</f>
        <v>0</v>
      </c>
      <c r="Y93">
        <f>SUMIF(DeadRaw!$B:$B,$B93,DeadRaw!AA:AA)</f>
        <v>0</v>
      </c>
      <c r="Z93">
        <f>SUMIF(DeadRaw!$B:$B,$B93,DeadRaw!AB:AB)</f>
        <v>0</v>
      </c>
      <c r="AA93">
        <f>SUMIF(DeadRaw!$B:$B,$B93,DeadRaw!AC:AC)</f>
        <v>0</v>
      </c>
      <c r="AB93">
        <f>SUMIF(DeadRaw!$B:$B,$B93,DeadRaw!AD:AD)</f>
        <v>0</v>
      </c>
      <c r="AC93">
        <f>SUMIF(DeadRaw!$B:$B,$B93,DeadRaw!AE:AE)</f>
        <v>0</v>
      </c>
      <c r="AD93">
        <f>SUMIF(DeadRaw!$B:$B,$B93,DeadRaw!AF:AF)</f>
        <v>0</v>
      </c>
      <c r="AE93">
        <f>SUMIF(DeadRaw!$B:$B,$B93,DeadRaw!AG:AG)</f>
        <v>0</v>
      </c>
      <c r="AF93">
        <f>SUMIF(DeadRaw!$B:$B,$B93,DeadRaw!AH:AH)</f>
        <v>0</v>
      </c>
      <c r="AG93">
        <f>SUMIF(DeadRaw!$B:$B,$B93,DeadRaw!AI:AI)</f>
        <v>0</v>
      </c>
      <c r="AH93">
        <f>SUMIF(DeadRaw!$B:$B,$B93,DeadRaw!AJ:AJ)</f>
        <v>0</v>
      </c>
      <c r="AI93">
        <f>SUMIF(DeadRaw!$B:$B,$B93,DeadRaw!AK:AK)</f>
        <v>0</v>
      </c>
      <c r="AJ93">
        <f>SUMIF(DeadRaw!$B:$B,$B93,DeadRaw!AL:AL)</f>
        <v>0</v>
      </c>
      <c r="AK93">
        <f>SUMIF(DeadRaw!$B:$B,$B93,DeadRaw!AM:AM)</f>
        <v>0</v>
      </c>
      <c r="AL93">
        <f>SUMIF(DeadRaw!$B:$B,$B93,DeadRaw!AN:AN)</f>
        <v>0</v>
      </c>
      <c r="AM93">
        <f>SUMIF(DeadRaw!$B:$B,$B93,DeadRaw!AO:AO)</f>
        <v>0</v>
      </c>
      <c r="AN93">
        <f>SUMIF(DeadRaw!$B:$B,$B93,DeadRaw!AP:AP)</f>
        <v>0</v>
      </c>
      <c r="AO93">
        <f>SUMIF(DeadRaw!$B:$B,$B93,DeadRaw!AQ:AQ)</f>
        <v>0</v>
      </c>
      <c r="AP93">
        <f>SUMIF(DeadRaw!$B:$B,$B93,DeadRaw!AR:AR)</f>
        <v>0</v>
      </c>
      <c r="AQ93">
        <f>SUMIF(DeadRaw!$B:$B,$B93,DeadRaw!AS:AS)</f>
        <v>0</v>
      </c>
      <c r="AR93">
        <f>SUMIF(DeadRaw!$B:$B,$B93,DeadRaw!AT:AT)</f>
        <v>0</v>
      </c>
      <c r="AS93">
        <f>SUMIF(DeadRaw!$B:$B,$B93,DeadRaw!AU:AU)</f>
        <v>0</v>
      </c>
      <c r="AT93">
        <f>SUMIF(DeadRaw!$B:$B,$B93,DeadRaw!AV:AV)</f>
        <v>0</v>
      </c>
      <c r="AU93">
        <f>SUMIF(DeadRaw!$B:$B,$B93,DeadRaw!AW:AW)</f>
        <v>0</v>
      </c>
      <c r="AV93">
        <f>SUMIF(DeadRaw!$B:$B,$B93,DeadRaw!AX:AX)</f>
        <v>0</v>
      </c>
      <c r="AW93">
        <f>SUMIF(DeadRaw!$B:$B,$B93,DeadRaw!AY:AY)</f>
        <v>0</v>
      </c>
      <c r="AX93">
        <f>SUMIF(DeadRaw!$B:$B,$B93,DeadRaw!AZ:AZ)</f>
        <v>0</v>
      </c>
      <c r="AY93">
        <f>SUMIF(DeadRaw!$B:$B,$B93,DeadRaw!BA:BA)</f>
        <v>0</v>
      </c>
      <c r="AZ93">
        <f>SUMIF(DeadRaw!$B:$B,$B93,DeadRaw!BB:BB)</f>
        <v>0</v>
      </c>
      <c r="BA93">
        <f>SUMIF(DeadRaw!$B:$B,$B93,DeadRaw!BC:BC)</f>
        <v>0</v>
      </c>
      <c r="BB93">
        <f>SUMIF(DeadRaw!$B:$B,$B93,DeadRaw!BD:BD)</f>
        <v>0</v>
      </c>
      <c r="BC93">
        <f>SUMIF(DeadRaw!$B:$B,$B93,DeadRaw!BE:BE)</f>
        <v>0</v>
      </c>
      <c r="BD93">
        <f>SUMIF(DeadRaw!$B:$B,$B93,DeadRaw!BF:BF)</f>
        <v>0</v>
      </c>
      <c r="BE93">
        <f>SUMIF(DeadRaw!$B:$B,$B93,DeadRaw!BG:BG)</f>
        <v>0</v>
      </c>
      <c r="BF93">
        <f>SUMIF(DeadRaw!$B:$B,$B93,DeadRaw!BH:BH)</f>
        <v>0</v>
      </c>
      <c r="BG93">
        <f>SUMIF(DeadRaw!$B:$B,$B93,DeadRaw!BI:BI)</f>
        <v>0</v>
      </c>
      <c r="BH93">
        <f>SUMIF(DeadRaw!$B:$B,$B93,DeadRaw!BJ:BJ)</f>
        <v>0</v>
      </c>
      <c r="BI93">
        <f>SUMIF(DeadRaw!$B:$B,$B93,DeadRaw!BK:BK)</f>
        <v>0</v>
      </c>
      <c r="BJ93">
        <f>SUMIF(DeadRaw!$B:$B,$B93,DeadRaw!BL:BL)</f>
        <v>0</v>
      </c>
      <c r="BK93">
        <f>SUMIF(DeadRaw!$B:$B,$B93,DeadRaw!BM:BM)</f>
        <v>0</v>
      </c>
      <c r="BL93">
        <f>SUMIF(DeadRaw!$B:$B,$B93,DeadRaw!BN:BN)</f>
        <v>0</v>
      </c>
      <c r="BM93">
        <f>SUMIF(DeadRaw!$B:$B,$B93,DeadRaw!BO:BO)</f>
        <v>0</v>
      </c>
      <c r="BN93">
        <f>SUMIF(DeadRaw!$B:$B,$B93,DeadRaw!BP:BP)</f>
        <v>0</v>
      </c>
      <c r="BO93">
        <f>SUMIF(DeadRaw!$B:$B,$B93,DeadRaw!BQ:BQ)</f>
        <v>0</v>
      </c>
      <c r="BP93">
        <f>SUMIF(DeadRaw!$B:$B,$B93,DeadRaw!BR:BR)</f>
        <v>0</v>
      </c>
      <c r="BQ93">
        <f>SUMIF(DeadRaw!$B:$B,$B93,DeadRaw!BS:BS)</f>
        <v>0</v>
      </c>
      <c r="BR93">
        <f>SUMIF(DeadRaw!$B:$B,$B93,DeadRaw!BT:BT)</f>
        <v>0</v>
      </c>
      <c r="BS93">
        <f>SUMIF(DeadRaw!$B:$B,$B93,DeadRaw!BU:BU)</f>
        <v>0</v>
      </c>
      <c r="BT93">
        <f>SUMIF(DeadRaw!$B:$B,$B93,DeadRaw!BV:BV)</f>
        <v>0</v>
      </c>
      <c r="BU93">
        <f>SUMIF(DeadRaw!$B:$B,$B93,DeadRaw!BW:BW)</f>
        <v>0</v>
      </c>
    </row>
    <row r="94" spans="1:73" ht="15" thickBot="1" x14ac:dyDescent="0.35">
      <c r="A94" s="97" t="str">
        <f>VLOOKUP(B94,Country_Data!B:Q,16,FALSE)</f>
        <v>Australasia</v>
      </c>
      <c r="B94" s="3" t="s">
        <v>95</v>
      </c>
      <c r="C94">
        <f>SUMIF(DeadRaw!$B:$B,$B94,DeadRaw!E:E)</f>
        <v>0</v>
      </c>
      <c r="D94">
        <f>SUMIF(DeadRaw!$B:$B,$B94,DeadRaw!F:F)</f>
        <v>0</v>
      </c>
      <c r="E94">
        <f>SUMIF(DeadRaw!$B:$B,$B94,DeadRaw!G:G)</f>
        <v>0</v>
      </c>
      <c r="F94">
        <f>SUMIF(DeadRaw!$B:$B,$B94,DeadRaw!H:H)</f>
        <v>0</v>
      </c>
      <c r="G94">
        <f>SUMIF(DeadRaw!$B:$B,$B94,DeadRaw!I:I)</f>
        <v>0</v>
      </c>
      <c r="H94">
        <f>SUMIF(DeadRaw!$B:$B,$B94,DeadRaw!J:J)</f>
        <v>0</v>
      </c>
      <c r="I94">
        <f>SUMIF(DeadRaw!$B:$B,$B94,DeadRaw!K:K)</f>
        <v>0</v>
      </c>
      <c r="J94">
        <f>SUMIF(DeadRaw!$B:$B,$B94,DeadRaw!L:L)</f>
        <v>0</v>
      </c>
      <c r="K94">
        <f>SUMIF(DeadRaw!$B:$B,$B94,DeadRaw!M:M)</f>
        <v>0</v>
      </c>
      <c r="L94">
        <f>SUMIF(DeadRaw!$B:$B,$B94,DeadRaw!N:N)</f>
        <v>0</v>
      </c>
      <c r="M94">
        <f>SUMIF(DeadRaw!$B:$B,$B94,DeadRaw!O:O)</f>
        <v>0</v>
      </c>
      <c r="N94">
        <f>SUMIF(DeadRaw!$B:$B,$B94,DeadRaw!P:P)</f>
        <v>0</v>
      </c>
      <c r="O94">
        <f>SUMIF(DeadRaw!$B:$B,$B94,DeadRaw!Q:Q)</f>
        <v>0</v>
      </c>
      <c r="P94">
        <f>SUMIF(DeadRaw!$B:$B,$B94,DeadRaw!R:R)</f>
        <v>0</v>
      </c>
      <c r="Q94">
        <f>SUMIF(DeadRaw!$B:$B,$B94,DeadRaw!S:S)</f>
        <v>0</v>
      </c>
      <c r="R94">
        <f>SUMIF(DeadRaw!$B:$B,$B94,DeadRaw!T:T)</f>
        <v>0</v>
      </c>
      <c r="S94">
        <f>SUMIF(DeadRaw!$B:$B,$B94,DeadRaw!U:U)</f>
        <v>0</v>
      </c>
      <c r="T94">
        <f>SUMIF(DeadRaw!$B:$B,$B94,DeadRaw!V:V)</f>
        <v>0</v>
      </c>
      <c r="U94">
        <f>SUMIF(DeadRaw!$B:$B,$B94,DeadRaw!W:W)</f>
        <v>0</v>
      </c>
      <c r="V94">
        <f>SUMIF(DeadRaw!$B:$B,$B94,DeadRaw!X:X)</f>
        <v>0</v>
      </c>
      <c r="W94">
        <f>SUMIF(DeadRaw!$B:$B,$B94,DeadRaw!Y:Y)</f>
        <v>0</v>
      </c>
      <c r="X94">
        <f>SUMIF(DeadRaw!$B:$B,$B94,DeadRaw!Z:Z)</f>
        <v>0</v>
      </c>
      <c r="Y94">
        <f>SUMIF(DeadRaw!$B:$B,$B94,DeadRaw!AA:AA)</f>
        <v>0</v>
      </c>
      <c r="Z94">
        <f>SUMIF(DeadRaw!$B:$B,$B94,DeadRaw!AB:AB)</f>
        <v>0</v>
      </c>
      <c r="AA94">
        <f>SUMIF(DeadRaw!$B:$B,$B94,DeadRaw!AC:AC)</f>
        <v>0</v>
      </c>
      <c r="AB94">
        <f>SUMIF(DeadRaw!$B:$B,$B94,DeadRaw!AD:AD)</f>
        <v>0</v>
      </c>
      <c r="AC94">
        <f>SUMIF(DeadRaw!$B:$B,$B94,DeadRaw!AE:AE)</f>
        <v>0</v>
      </c>
      <c r="AD94">
        <f>SUMIF(DeadRaw!$B:$B,$B94,DeadRaw!AF:AF)</f>
        <v>0</v>
      </c>
      <c r="AE94">
        <f>SUMIF(DeadRaw!$B:$B,$B94,DeadRaw!AG:AG)</f>
        <v>0</v>
      </c>
      <c r="AF94">
        <f>SUMIF(DeadRaw!$B:$B,$B94,DeadRaw!AH:AH)</f>
        <v>0</v>
      </c>
      <c r="AG94">
        <f>SUMIF(DeadRaw!$B:$B,$B94,DeadRaw!AI:AI)</f>
        <v>0</v>
      </c>
      <c r="AH94">
        <f>SUMIF(DeadRaw!$B:$B,$B94,DeadRaw!AJ:AJ)</f>
        <v>0</v>
      </c>
      <c r="AI94">
        <f>SUMIF(DeadRaw!$B:$B,$B94,DeadRaw!AK:AK)</f>
        <v>0</v>
      </c>
      <c r="AJ94">
        <f>SUMIF(DeadRaw!$B:$B,$B94,DeadRaw!AL:AL)</f>
        <v>0</v>
      </c>
      <c r="AK94">
        <f>SUMIF(DeadRaw!$B:$B,$B94,DeadRaw!AM:AM)</f>
        <v>0</v>
      </c>
      <c r="AL94">
        <f>SUMIF(DeadRaw!$B:$B,$B94,DeadRaw!AN:AN)</f>
        <v>0</v>
      </c>
      <c r="AM94">
        <f>SUMIF(DeadRaw!$B:$B,$B94,DeadRaw!AO:AO)</f>
        <v>0</v>
      </c>
      <c r="AN94">
        <f>SUMIF(DeadRaw!$B:$B,$B94,DeadRaw!AP:AP)</f>
        <v>0</v>
      </c>
      <c r="AO94">
        <f>SUMIF(DeadRaw!$B:$B,$B94,DeadRaw!AQ:AQ)</f>
        <v>0</v>
      </c>
      <c r="AP94">
        <f>SUMIF(DeadRaw!$B:$B,$B94,DeadRaw!AR:AR)</f>
        <v>0</v>
      </c>
      <c r="AQ94">
        <f>SUMIF(DeadRaw!$B:$B,$B94,DeadRaw!AS:AS)</f>
        <v>0</v>
      </c>
      <c r="AR94">
        <f>SUMIF(DeadRaw!$B:$B,$B94,DeadRaw!AT:AT)</f>
        <v>0</v>
      </c>
      <c r="AS94">
        <f>SUMIF(DeadRaw!$B:$B,$B94,DeadRaw!AU:AU)</f>
        <v>0</v>
      </c>
      <c r="AT94">
        <f>SUMIF(DeadRaw!$B:$B,$B94,DeadRaw!AV:AV)</f>
        <v>0</v>
      </c>
      <c r="AU94">
        <f>SUMIF(DeadRaw!$B:$B,$B94,DeadRaw!AW:AW)</f>
        <v>0</v>
      </c>
      <c r="AV94">
        <f>SUMIF(DeadRaw!$B:$B,$B94,DeadRaw!AX:AX)</f>
        <v>0</v>
      </c>
      <c r="AW94">
        <f>SUMIF(DeadRaw!$B:$B,$B94,DeadRaw!AY:AY)</f>
        <v>0</v>
      </c>
      <c r="AX94">
        <f>SUMIF(DeadRaw!$B:$B,$B94,DeadRaw!AZ:AZ)</f>
        <v>0</v>
      </c>
      <c r="AY94">
        <f>SUMIF(DeadRaw!$B:$B,$B94,DeadRaw!BA:BA)</f>
        <v>0</v>
      </c>
      <c r="AZ94">
        <f>SUMIF(DeadRaw!$B:$B,$B94,DeadRaw!BB:BB)</f>
        <v>0</v>
      </c>
      <c r="BA94">
        <f>SUMIF(DeadRaw!$B:$B,$B94,DeadRaw!BC:BC)</f>
        <v>0</v>
      </c>
      <c r="BB94">
        <f>SUMIF(DeadRaw!$B:$B,$B94,DeadRaw!BD:BD)</f>
        <v>0</v>
      </c>
      <c r="BC94">
        <f>SUMIF(DeadRaw!$B:$B,$B94,DeadRaw!BE:BE)</f>
        <v>0</v>
      </c>
      <c r="BD94">
        <f>SUMIF(DeadRaw!$B:$B,$B94,DeadRaw!BF:BF)</f>
        <v>0</v>
      </c>
      <c r="BE94">
        <f>SUMIF(DeadRaw!$B:$B,$B94,DeadRaw!BG:BG)</f>
        <v>0</v>
      </c>
      <c r="BF94">
        <f>SUMIF(DeadRaw!$B:$B,$B94,DeadRaw!BH:BH)</f>
        <v>0</v>
      </c>
      <c r="BG94">
        <f>SUMIF(DeadRaw!$B:$B,$B94,DeadRaw!BI:BI)</f>
        <v>0</v>
      </c>
      <c r="BH94">
        <f>SUMIF(DeadRaw!$B:$B,$B94,DeadRaw!BJ:BJ)</f>
        <v>0</v>
      </c>
      <c r="BI94">
        <f>SUMIF(DeadRaw!$B:$B,$B94,DeadRaw!BK:BK)</f>
        <v>0</v>
      </c>
      <c r="BJ94">
        <f>SUMIF(DeadRaw!$B:$B,$B94,DeadRaw!BL:BL)</f>
        <v>0</v>
      </c>
      <c r="BK94">
        <f>SUMIF(DeadRaw!$B:$B,$B94,DeadRaw!BM:BM)</f>
        <v>0</v>
      </c>
      <c r="BL94">
        <f>SUMIF(DeadRaw!$B:$B,$B94,DeadRaw!BN:BN)</f>
        <v>0</v>
      </c>
      <c r="BM94">
        <f>SUMIF(DeadRaw!$B:$B,$B94,DeadRaw!BO:BO)</f>
        <v>0</v>
      </c>
      <c r="BN94">
        <f>SUMIF(DeadRaw!$B:$B,$B94,DeadRaw!BP:BP)</f>
        <v>0</v>
      </c>
      <c r="BO94">
        <f>SUMIF(DeadRaw!$B:$B,$B94,DeadRaw!BQ:BQ)</f>
        <v>0</v>
      </c>
      <c r="BP94">
        <f>SUMIF(DeadRaw!$B:$B,$B94,DeadRaw!BR:BR)</f>
        <v>0</v>
      </c>
      <c r="BQ94">
        <f>SUMIF(DeadRaw!$B:$B,$B94,DeadRaw!BS:BS)</f>
        <v>0</v>
      </c>
      <c r="BR94">
        <f>SUMIF(DeadRaw!$B:$B,$B94,DeadRaw!BT:BT)</f>
        <v>0</v>
      </c>
      <c r="BS94">
        <f>SUMIF(DeadRaw!$B:$B,$B94,DeadRaw!BU:BU)</f>
        <v>0</v>
      </c>
      <c r="BT94">
        <f>SUMIF(DeadRaw!$B:$B,$B94,DeadRaw!BV:BV)</f>
        <v>0</v>
      </c>
      <c r="BU94">
        <f>SUMIF(DeadRaw!$B:$B,$B94,DeadRaw!BW:BW)</f>
        <v>0</v>
      </c>
    </row>
    <row r="95" spans="1:73" ht="15" thickBot="1" x14ac:dyDescent="0.35">
      <c r="A95" s="97" t="str">
        <f>VLOOKUP(B95,Country_Data!B:Q,16,FALSE)</f>
        <v>Africa</v>
      </c>
      <c r="B95" s="4" t="s">
        <v>354</v>
      </c>
      <c r="C95">
        <f>SUMIF(DeadRaw!$B:$B,$B95,DeadRaw!E:E)</f>
        <v>0</v>
      </c>
      <c r="D95">
        <f>SUMIF(DeadRaw!$B:$B,$B95,DeadRaw!F:F)</f>
        <v>0</v>
      </c>
      <c r="E95">
        <f>SUMIF(DeadRaw!$B:$B,$B95,DeadRaw!G:G)</f>
        <v>0</v>
      </c>
      <c r="F95">
        <f>SUMIF(DeadRaw!$B:$B,$B95,DeadRaw!H:H)</f>
        <v>0</v>
      </c>
      <c r="G95">
        <f>SUMIF(DeadRaw!$B:$B,$B95,DeadRaw!I:I)</f>
        <v>0</v>
      </c>
      <c r="H95">
        <f>SUMIF(DeadRaw!$B:$B,$B95,DeadRaw!J:J)</f>
        <v>0</v>
      </c>
      <c r="I95">
        <f>SUMIF(DeadRaw!$B:$B,$B95,DeadRaw!K:K)</f>
        <v>0</v>
      </c>
      <c r="J95">
        <f>SUMIF(DeadRaw!$B:$B,$B95,DeadRaw!L:L)</f>
        <v>0</v>
      </c>
      <c r="K95">
        <f>SUMIF(DeadRaw!$B:$B,$B95,DeadRaw!M:M)</f>
        <v>0</v>
      </c>
      <c r="L95">
        <f>SUMIF(DeadRaw!$B:$B,$B95,DeadRaw!N:N)</f>
        <v>0</v>
      </c>
      <c r="M95">
        <f>SUMIF(DeadRaw!$B:$B,$B95,DeadRaw!O:O)</f>
        <v>0</v>
      </c>
      <c r="N95">
        <f>SUMIF(DeadRaw!$B:$B,$B95,DeadRaw!P:P)</f>
        <v>0</v>
      </c>
      <c r="O95">
        <f>SUMIF(DeadRaw!$B:$B,$B95,DeadRaw!Q:Q)</f>
        <v>0</v>
      </c>
      <c r="P95">
        <f>SUMIF(DeadRaw!$B:$B,$B95,DeadRaw!R:R)</f>
        <v>0</v>
      </c>
      <c r="Q95">
        <f>SUMIF(DeadRaw!$B:$B,$B95,DeadRaw!S:S)</f>
        <v>0</v>
      </c>
      <c r="R95">
        <f>SUMIF(DeadRaw!$B:$B,$B95,DeadRaw!T:T)</f>
        <v>0</v>
      </c>
      <c r="S95">
        <f>SUMIF(DeadRaw!$B:$B,$B95,DeadRaw!U:U)</f>
        <v>0</v>
      </c>
      <c r="T95">
        <f>SUMIF(DeadRaw!$B:$B,$B95,DeadRaw!V:V)</f>
        <v>0</v>
      </c>
      <c r="U95">
        <f>SUMIF(DeadRaw!$B:$B,$B95,DeadRaw!W:W)</f>
        <v>0</v>
      </c>
      <c r="V95">
        <f>SUMIF(DeadRaw!$B:$B,$B95,DeadRaw!X:X)</f>
        <v>0</v>
      </c>
      <c r="W95">
        <f>SUMIF(DeadRaw!$B:$B,$B95,DeadRaw!Y:Y)</f>
        <v>0</v>
      </c>
      <c r="X95">
        <f>SUMIF(DeadRaw!$B:$B,$B95,DeadRaw!Z:Z)</f>
        <v>0</v>
      </c>
      <c r="Y95">
        <f>SUMIF(DeadRaw!$B:$B,$B95,DeadRaw!AA:AA)</f>
        <v>0</v>
      </c>
      <c r="Z95">
        <f>SUMIF(DeadRaw!$B:$B,$B95,DeadRaw!AB:AB)</f>
        <v>0</v>
      </c>
      <c r="AA95">
        <f>SUMIF(DeadRaw!$B:$B,$B95,DeadRaw!AC:AC)</f>
        <v>0</v>
      </c>
      <c r="AB95">
        <f>SUMIF(DeadRaw!$B:$B,$B95,DeadRaw!AD:AD)</f>
        <v>0</v>
      </c>
      <c r="AC95">
        <f>SUMIF(DeadRaw!$B:$B,$B95,DeadRaw!AE:AE)</f>
        <v>0</v>
      </c>
      <c r="AD95">
        <f>SUMIF(DeadRaw!$B:$B,$B95,DeadRaw!AF:AF)</f>
        <v>0</v>
      </c>
      <c r="AE95">
        <f>SUMIF(DeadRaw!$B:$B,$B95,DeadRaw!AG:AG)</f>
        <v>0</v>
      </c>
      <c r="AF95">
        <f>SUMIF(DeadRaw!$B:$B,$B95,DeadRaw!AH:AH)</f>
        <v>0</v>
      </c>
      <c r="AG95">
        <f>SUMIF(DeadRaw!$B:$B,$B95,DeadRaw!AI:AI)</f>
        <v>0</v>
      </c>
      <c r="AH95">
        <f>SUMIF(DeadRaw!$B:$B,$B95,DeadRaw!AJ:AJ)</f>
        <v>0</v>
      </c>
      <c r="AI95">
        <f>SUMIF(DeadRaw!$B:$B,$B95,DeadRaw!AK:AK)</f>
        <v>0</v>
      </c>
      <c r="AJ95">
        <f>SUMIF(DeadRaw!$B:$B,$B95,DeadRaw!AL:AL)</f>
        <v>0</v>
      </c>
      <c r="AK95">
        <f>SUMIF(DeadRaw!$B:$B,$B95,DeadRaw!AM:AM)</f>
        <v>0</v>
      </c>
      <c r="AL95">
        <f>SUMIF(DeadRaw!$B:$B,$B95,DeadRaw!AN:AN)</f>
        <v>0</v>
      </c>
      <c r="AM95">
        <f>SUMIF(DeadRaw!$B:$B,$B95,DeadRaw!AO:AO)</f>
        <v>0</v>
      </c>
      <c r="AN95">
        <f>SUMIF(DeadRaw!$B:$B,$B95,DeadRaw!AP:AP)</f>
        <v>0</v>
      </c>
      <c r="AO95">
        <f>SUMIF(DeadRaw!$B:$B,$B95,DeadRaw!AQ:AQ)</f>
        <v>0</v>
      </c>
      <c r="AP95">
        <f>SUMIF(DeadRaw!$B:$B,$B95,DeadRaw!AR:AR)</f>
        <v>0</v>
      </c>
      <c r="AQ95">
        <f>SUMIF(DeadRaw!$B:$B,$B95,DeadRaw!AS:AS)</f>
        <v>0</v>
      </c>
      <c r="AR95">
        <f>SUMIF(DeadRaw!$B:$B,$B95,DeadRaw!AT:AT)</f>
        <v>0</v>
      </c>
      <c r="AS95">
        <f>SUMIF(DeadRaw!$B:$B,$B95,DeadRaw!AU:AU)</f>
        <v>0</v>
      </c>
      <c r="AT95">
        <f>SUMIF(DeadRaw!$B:$B,$B95,DeadRaw!AV:AV)</f>
        <v>0</v>
      </c>
      <c r="AU95">
        <f>SUMIF(DeadRaw!$B:$B,$B95,DeadRaw!AW:AW)</f>
        <v>0</v>
      </c>
      <c r="AV95">
        <f>SUMIF(DeadRaw!$B:$B,$B95,DeadRaw!AX:AX)</f>
        <v>0</v>
      </c>
      <c r="AW95">
        <f>SUMIF(DeadRaw!$B:$B,$B95,DeadRaw!AY:AY)</f>
        <v>0</v>
      </c>
      <c r="AX95">
        <f>SUMIF(DeadRaw!$B:$B,$B95,DeadRaw!AZ:AZ)</f>
        <v>0</v>
      </c>
      <c r="AY95">
        <f>SUMIF(DeadRaw!$B:$B,$B95,DeadRaw!BA:BA)</f>
        <v>0</v>
      </c>
      <c r="AZ95">
        <f>SUMIF(DeadRaw!$B:$B,$B95,DeadRaw!BB:BB)</f>
        <v>0</v>
      </c>
      <c r="BA95">
        <f>SUMIF(DeadRaw!$B:$B,$B95,DeadRaw!BC:BC)</f>
        <v>0</v>
      </c>
      <c r="BB95">
        <f>SUMIF(DeadRaw!$B:$B,$B95,DeadRaw!BD:BD)</f>
        <v>0</v>
      </c>
      <c r="BC95">
        <f>SUMIF(DeadRaw!$B:$B,$B95,DeadRaw!BE:BE)</f>
        <v>0</v>
      </c>
      <c r="BD95">
        <f>SUMIF(DeadRaw!$B:$B,$B95,DeadRaw!BF:BF)</f>
        <v>0</v>
      </c>
      <c r="BE95">
        <f>SUMIF(DeadRaw!$B:$B,$B95,DeadRaw!BG:BG)</f>
        <v>0</v>
      </c>
      <c r="BF95">
        <f>SUMIF(DeadRaw!$B:$B,$B95,DeadRaw!BH:BH)</f>
        <v>0</v>
      </c>
      <c r="BG95">
        <f>SUMIF(DeadRaw!$B:$B,$B95,DeadRaw!BI:BI)</f>
        <v>0</v>
      </c>
      <c r="BH95">
        <f>SUMIF(DeadRaw!$B:$B,$B95,DeadRaw!BJ:BJ)</f>
        <v>0</v>
      </c>
      <c r="BI95">
        <f>SUMIF(DeadRaw!$B:$B,$B95,DeadRaw!BK:BK)</f>
        <v>0</v>
      </c>
      <c r="BJ95">
        <f>SUMIF(DeadRaw!$B:$B,$B95,DeadRaw!BL:BL)</f>
        <v>0</v>
      </c>
      <c r="BK95">
        <f>SUMIF(DeadRaw!$B:$B,$B95,DeadRaw!BM:BM)</f>
        <v>0</v>
      </c>
      <c r="BL95">
        <f>SUMIF(DeadRaw!$B:$B,$B95,DeadRaw!BN:BN)</f>
        <v>0</v>
      </c>
      <c r="BM95">
        <f>SUMIF(DeadRaw!$B:$B,$B95,DeadRaw!BO:BO)</f>
        <v>0</v>
      </c>
      <c r="BN95">
        <f>SUMIF(DeadRaw!$B:$B,$B95,DeadRaw!BP:BP)</f>
        <v>0</v>
      </c>
      <c r="BO95">
        <f>SUMIF(DeadRaw!$B:$B,$B95,DeadRaw!BQ:BQ)</f>
        <v>0</v>
      </c>
      <c r="BP95">
        <f>SUMIF(DeadRaw!$B:$B,$B95,DeadRaw!BR:BR)</f>
        <v>0</v>
      </c>
      <c r="BQ95">
        <f>SUMIF(DeadRaw!$B:$B,$B95,DeadRaw!BS:BS)</f>
        <v>0</v>
      </c>
      <c r="BR95">
        <f>SUMIF(DeadRaw!$B:$B,$B95,DeadRaw!BT:BT)</f>
        <v>0</v>
      </c>
      <c r="BS95">
        <f>SUMIF(DeadRaw!$B:$B,$B95,DeadRaw!BU:BU)</f>
        <v>0</v>
      </c>
      <c r="BT95">
        <f>SUMIF(DeadRaw!$B:$B,$B95,DeadRaw!BV:BV)</f>
        <v>0</v>
      </c>
      <c r="BU95">
        <f>SUMIF(DeadRaw!$B:$B,$B95,DeadRaw!BW:BW)</f>
        <v>0</v>
      </c>
    </row>
    <row r="96" spans="1:73" ht="15" thickBot="1" x14ac:dyDescent="0.35">
      <c r="A96" s="97" t="str">
        <f>VLOOKUP(B96,Country_Data!B:Q,16,FALSE)</f>
        <v>Europe</v>
      </c>
      <c r="B96" s="3" t="s">
        <v>355</v>
      </c>
      <c r="C96">
        <f>SUMIF(DeadRaw!$B:$B,$B96,DeadRaw!E:E)</f>
        <v>0</v>
      </c>
      <c r="D96">
        <f>SUMIF(DeadRaw!$B:$B,$B96,DeadRaw!F:F)</f>
        <v>0</v>
      </c>
      <c r="E96">
        <f>SUMIF(DeadRaw!$B:$B,$B96,DeadRaw!G:G)</f>
        <v>0</v>
      </c>
      <c r="F96">
        <f>SUMIF(DeadRaw!$B:$B,$B96,DeadRaw!H:H)</f>
        <v>0</v>
      </c>
      <c r="G96">
        <f>SUMIF(DeadRaw!$B:$B,$B96,DeadRaw!I:I)</f>
        <v>0</v>
      </c>
      <c r="H96">
        <f>SUMIF(DeadRaw!$B:$B,$B96,DeadRaw!J:J)</f>
        <v>0</v>
      </c>
      <c r="I96">
        <f>SUMIF(DeadRaw!$B:$B,$B96,DeadRaw!K:K)</f>
        <v>0</v>
      </c>
      <c r="J96">
        <f>SUMIF(DeadRaw!$B:$B,$B96,DeadRaw!L:L)</f>
        <v>0</v>
      </c>
      <c r="K96">
        <f>SUMIF(DeadRaw!$B:$B,$B96,DeadRaw!M:M)</f>
        <v>0</v>
      </c>
      <c r="L96">
        <f>SUMIF(DeadRaw!$B:$B,$B96,DeadRaw!N:N)</f>
        <v>0</v>
      </c>
      <c r="M96">
        <f>SUMIF(DeadRaw!$B:$B,$B96,DeadRaw!O:O)</f>
        <v>0</v>
      </c>
      <c r="N96">
        <f>SUMIF(DeadRaw!$B:$B,$B96,DeadRaw!P:P)</f>
        <v>0</v>
      </c>
      <c r="O96">
        <f>SUMIF(DeadRaw!$B:$B,$B96,DeadRaw!Q:Q)</f>
        <v>0</v>
      </c>
      <c r="P96">
        <f>SUMIF(DeadRaw!$B:$B,$B96,DeadRaw!R:R)</f>
        <v>0</v>
      </c>
      <c r="Q96">
        <f>SUMIF(DeadRaw!$B:$B,$B96,DeadRaw!S:S)</f>
        <v>0</v>
      </c>
      <c r="R96">
        <f>SUMIF(DeadRaw!$B:$B,$B96,DeadRaw!T:T)</f>
        <v>0</v>
      </c>
      <c r="S96">
        <f>SUMIF(DeadRaw!$B:$B,$B96,DeadRaw!U:U)</f>
        <v>0</v>
      </c>
      <c r="T96">
        <f>SUMIF(DeadRaw!$B:$B,$B96,DeadRaw!V:V)</f>
        <v>0</v>
      </c>
      <c r="U96">
        <f>SUMIF(DeadRaw!$B:$B,$B96,DeadRaw!W:W)</f>
        <v>0</v>
      </c>
      <c r="V96">
        <f>SUMIF(DeadRaw!$B:$B,$B96,DeadRaw!X:X)</f>
        <v>0</v>
      </c>
      <c r="W96">
        <f>SUMIF(DeadRaw!$B:$B,$B96,DeadRaw!Y:Y)</f>
        <v>0</v>
      </c>
      <c r="X96">
        <f>SUMIF(DeadRaw!$B:$B,$B96,DeadRaw!Z:Z)</f>
        <v>0</v>
      </c>
      <c r="Y96">
        <f>SUMIF(DeadRaw!$B:$B,$B96,DeadRaw!AA:AA)</f>
        <v>0</v>
      </c>
      <c r="Z96">
        <f>SUMIF(DeadRaw!$B:$B,$B96,DeadRaw!AB:AB)</f>
        <v>0</v>
      </c>
      <c r="AA96">
        <f>SUMIF(DeadRaw!$B:$B,$B96,DeadRaw!AC:AC)</f>
        <v>0</v>
      </c>
      <c r="AB96">
        <f>SUMIF(DeadRaw!$B:$B,$B96,DeadRaw!AD:AD)</f>
        <v>0</v>
      </c>
      <c r="AC96">
        <f>SUMIF(DeadRaw!$B:$B,$B96,DeadRaw!AE:AE)</f>
        <v>0</v>
      </c>
      <c r="AD96">
        <f>SUMIF(DeadRaw!$B:$B,$B96,DeadRaw!AF:AF)</f>
        <v>0</v>
      </c>
      <c r="AE96">
        <f>SUMIF(DeadRaw!$B:$B,$B96,DeadRaw!AG:AG)</f>
        <v>0</v>
      </c>
      <c r="AF96">
        <f>SUMIF(DeadRaw!$B:$B,$B96,DeadRaw!AH:AH)</f>
        <v>0</v>
      </c>
      <c r="AG96">
        <f>SUMIF(DeadRaw!$B:$B,$B96,DeadRaw!AI:AI)</f>
        <v>0</v>
      </c>
      <c r="AH96">
        <f>SUMIF(DeadRaw!$B:$B,$B96,DeadRaw!AJ:AJ)</f>
        <v>0</v>
      </c>
      <c r="AI96">
        <f>SUMIF(DeadRaw!$B:$B,$B96,DeadRaw!AK:AK)</f>
        <v>0</v>
      </c>
      <c r="AJ96">
        <f>SUMIF(DeadRaw!$B:$B,$B96,DeadRaw!AL:AL)</f>
        <v>0</v>
      </c>
      <c r="AK96">
        <f>SUMIF(DeadRaw!$B:$B,$B96,DeadRaw!AM:AM)</f>
        <v>0</v>
      </c>
      <c r="AL96">
        <f>SUMIF(DeadRaw!$B:$B,$B96,DeadRaw!AN:AN)</f>
        <v>0</v>
      </c>
      <c r="AM96">
        <f>SUMIF(DeadRaw!$B:$B,$B96,DeadRaw!AO:AO)</f>
        <v>0</v>
      </c>
      <c r="AN96">
        <f>SUMIF(DeadRaw!$B:$B,$B96,DeadRaw!AP:AP)</f>
        <v>0</v>
      </c>
      <c r="AO96">
        <f>SUMIF(DeadRaw!$B:$B,$B96,DeadRaw!AQ:AQ)</f>
        <v>0</v>
      </c>
      <c r="AP96">
        <f>SUMIF(DeadRaw!$B:$B,$B96,DeadRaw!AR:AR)</f>
        <v>0</v>
      </c>
      <c r="AQ96">
        <f>SUMIF(DeadRaw!$B:$B,$B96,DeadRaw!AS:AS)</f>
        <v>0</v>
      </c>
      <c r="AR96">
        <f>SUMIF(DeadRaw!$B:$B,$B96,DeadRaw!AT:AT)</f>
        <v>0</v>
      </c>
      <c r="AS96">
        <f>SUMIF(DeadRaw!$B:$B,$B96,DeadRaw!AU:AU)</f>
        <v>0</v>
      </c>
      <c r="AT96">
        <f>SUMIF(DeadRaw!$B:$B,$B96,DeadRaw!AV:AV)</f>
        <v>0</v>
      </c>
      <c r="AU96">
        <f>SUMIF(DeadRaw!$B:$B,$B96,DeadRaw!AW:AW)</f>
        <v>0</v>
      </c>
      <c r="AV96">
        <f>SUMIF(DeadRaw!$B:$B,$B96,DeadRaw!AX:AX)</f>
        <v>0</v>
      </c>
      <c r="AW96">
        <f>SUMIF(DeadRaw!$B:$B,$B96,DeadRaw!AY:AY)</f>
        <v>0</v>
      </c>
      <c r="AX96">
        <f>SUMIF(DeadRaw!$B:$B,$B96,DeadRaw!AZ:AZ)</f>
        <v>0</v>
      </c>
      <c r="AY96">
        <f>SUMIF(DeadRaw!$B:$B,$B96,DeadRaw!BA:BA)</f>
        <v>0</v>
      </c>
      <c r="AZ96">
        <f>SUMIF(DeadRaw!$B:$B,$B96,DeadRaw!BB:BB)</f>
        <v>0</v>
      </c>
      <c r="BA96">
        <f>SUMIF(DeadRaw!$B:$B,$B96,DeadRaw!BC:BC)</f>
        <v>0</v>
      </c>
      <c r="BB96">
        <f>SUMIF(DeadRaw!$B:$B,$B96,DeadRaw!BD:BD)</f>
        <v>0</v>
      </c>
      <c r="BC96">
        <f>SUMIF(DeadRaw!$B:$B,$B96,DeadRaw!BE:BE)</f>
        <v>0</v>
      </c>
      <c r="BD96">
        <f>SUMIF(DeadRaw!$B:$B,$B96,DeadRaw!BF:BF)</f>
        <v>0</v>
      </c>
      <c r="BE96">
        <f>SUMIF(DeadRaw!$B:$B,$B96,DeadRaw!BG:BG)</f>
        <v>0</v>
      </c>
      <c r="BF96">
        <f>SUMIF(DeadRaw!$B:$B,$B96,DeadRaw!BH:BH)</f>
        <v>1</v>
      </c>
      <c r="BG96">
        <f>SUMIF(DeadRaw!$B:$B,$B96,DeadRaw!BI:BI)</f>
        <v>1</v>
      </c>
      <c r="BH96">
        <f>SUMIF(DeadRaw!$B:$B,$B96,DeadRaw!BJ:BJ)</f>
        <v>3</v>
      </c>
      <c r="BI96">
        <f>SUMIF(DeadRaw!$B:$B,$B96,DeadRaw!BK:BK)</f>
        <v>4</v>
      </c>
      <c r="BJ96">
        <f>SUMIF(DeadRaw!$B:$B,$B96,DeadRaw!BL:BL)</f>
        <v>9</v>
      </c>
      <c r="BK96">
        <f>SUMIF(DeadRaw!$B:$B,$B96,DeadRaw!BM:BM)</f>
        <v>30</v>
      </c>
      <c r="BL96">
        <f>SUMIF(DeadRaw!$B:$B,$B96,DeadRaw!BN:BN)</f>
        <v>37</v>
      </c>
      <c r="BM96">
        <f>SUMIF(DeadRaw!$B:$B,$B96,DeadRaw!BO:BO)</f>
        <v>44</v>
      </c>
      <c r="BN96">
        <f>SUMIF(DeadRaw!$B:$B,$B96,DeadRaw!BP:BP)</f>
        <v>59</v>
      </c>
      <c r="BO96">
        <f>SUMIF(DeadRaw!$B:$B,$B96,DeadRaw!BQ:BQ)</f>
        <v>75</v>
      </c>
      <c r="BP96">
        <f>SUMIF(DeadRaw!$B:$B,$B96,DeadRaw!BR:BR)</f>
        <v>92</v>
      </c>
      <c r="BQ96">
        <f>SUMIF(DeadRaw!$B:$B,$B96,DeadRaw!BS:BS)</f>
        <v>108</v>
      </c>
      <c r="BR96">
        <f>SUMIF(DeadRaw!$B:$B,$B96,DeadRaw!BT:BT)</f>
        <v>0</v>
      </c>
      <c r="BS96">
        <f>SUMIF(DeadRaw!$B:$B,$B96,DeadRaw!BU:BU)</f>
        <v>0</v>
      </c>
      <c r="BT96">
        <f>SUMIF(DeadRaw!$B:$B,$B96,DeadRaw!BV:BV)</f>
        <v>0</v>
      </c>
      <c r="BU96">
        <f>SUMIF(DeadRaw!$B:$B,$B96,DeadRaw!BW:BW)</f>
        <v>0</v>
      </c>
    </row>
    <row r="97" spans="1:73" ht="15" thickBot="1" x14ac:dyDescent="0.35">
      <c r="A97" s="97" t="str">
        <f>VLOOKUP(B97,Country_Data!B:Q,16,FALSE)</f>
        <v>North America</v>
      </c>
      <c r="B97" s="4" t="s">
        <v>410</v>
      </c>
      <c r="C97">
        <f>SUMIF(DeadRaw!$B:$B,$B97,DeadRaw!E:E)</f>
        <v>0</v>
      </c>
      <c r="D97">
        <f>SUMIF(DeadRaw!$B:$B,$B97,DeadRaw!F:F)</f>
        <v>0</v>
      </c>
      <c r="E97">
        <f>SUMIF(DeadRaw!$B:$B,$B97,DeadRaw!G:G)</f>
        <v>0</v>
      </c>
      <c r="F97">
        <f>SUMIF(DeadRaw!$B:$B,$B97,DeadRaw!H:H)</f>
        <v>0</v>
      </c>
      <c r="G97">
        <f>SUMIF(DeadRaw!$B:$B,$B97,DeadRaw!I:I)</f>
        <v>0</v>
      </c>
      <c r="H97">
        <f>SUMIF(DeadRaw!$B:$B,$B97,DeadRaw!J:J)</f>
        <v>0</v>
      </c>
      <c r="I97">
        <f>SUMIF(DeadRaw!$B:$B,$B97,DeadRaw!K:K)</f>
        <v>0</v>
      </c>
      <c r="J97">
        <f>SUMIF(DeadRaw!$B:$B,$B97,DeadRaw!L:L)</f>
        <v>0</v>
      </c>
      <c r="K97">
        <f>SUMIF(DeadRaw!$B:$B,$B97,DeadRaw!M:M)</f>
        <v>0</v>
      </c>
      <c r="L97">
        <f>SUMIF(DeadRaw!$B:$B,$B97,DeadRaw!N:N)</f>
        <v>0</v>
      </c>
      <c r="M97">
        <f>SUMIF(DeadRaw!$B:$B,$B97,DeadRaw!O:O)</f>
        <v>0</v>
      </c>
      <c r="N97">
        <f>SUMIF(DeadRaw!$B:$B,$B97,DeadRaw!P:P)</f>
        <v>0</v>
      </c>
      <c r="O97">
        <f>SUMIF(DeadRaw!$B:$B,$B97,DeadRaw!Q:Q)</f>
        <v>0</v>
      </c>
      <c r="P97">
        <f>SUMIF(DeadRaw!$B:$B,$B97,DeadRaw!R:R)</f>
        <v>0</v>
      </c>
      <c r="Q97">
        <f>SUMIF(DeadRaw!$B:$B,$B97,DeadRaw!S:S)</f>
        <v>0</v>
      </c>
      <c r="R97">
        <f>SUMIF(DeadRaw!$B:$B,$B97,DeadRaw!T:T)</f>
        <v>0</v>
      </c>
      <c r="S97">
        <f>SUMIF(DeadRaw!$B:$B,$B97,DeadRaw!U:U)</f>
        <v>0</v>
      </c>
      <c r="T97">
        <f>SUMIF(DeadRaw!$B:$B,$B97,DeadRaw!V:V)</f>
        <v>0</v>
      </c>
      <c r="U97">
        <f>SUMIF(DeadRaw!$B:$B,$B97,DeadRaw!W:W)</f>
        <v>0</v>
      </c>
      <c r="V97">
        <f>SUMIF(DeadRaw!$B:$B,$B97,DeadRaw!X:X)</f>
        <v>0</v>
      </c>
      <c r="W97">
        <f>SUMIF(DeadRaw!$B:$B,$B97,DeadRaw!Y:Y)</f>
        <v>0</v>
      </c>
      <c r="X97">
        <f>SUMIF(DeadRaw!$B:$B,$B97,DeadRaw!Z:Z)</f>
        <v>0</v>
      </c>
      <c r="Y97">
        <f>SUMIF(DeadRaw!$B:$B,$B97,DeadRaw!AA:AA)</f>
        <v>0</v>
      </c>
      <c r="Z97">
        <f>SUMIF(DeadRaw!$B:$B,$B97,DeadRaw!AB:AB)</f>
        <v>0</v>
      </c>
      <c r="AA97">
        <f>SUMIF(DeadRaw!$B:$B,$B97,DeadRaw!AC:AC)</f>
        <v>0</v>
      </c>
      <c r="AB97">
        <f>SUMIF(DeadRaw!$B:$B,$B97,DeadRaw!AD:AD)</f>
        <v>0</v>
      </c>
      <c r="AC97">
        <f>SUMIF(DeadRaw!$B:$B,$B97,DeadRaw!AE:AE)</f>
        <v>0</v>
      </c>
      <c r="AD97">
        <f>SUMIF(DeadRaw!$B:$B,$B97,DeadRaw!AF:AF)</f>
        <v>0</v>
      </c>
      <c r="AE97">
        <f>SUMIF(DeadRaw!$B:$B,$B97,DeadRaw!AG:AG)</f>
        <v>0</v>
      </c>
      <c r="AF97">
        <f>SUMIF(DeadRaw!$B:$B,$B97,DeadRaw!AH:AH)</f>
        <v>0</v>
      </c>
      <c r="AG97">
        <f>SUMIF(DeadRaw!$B:$B,$B97,DeadRaw!AI:AI)</f>
        <v>0</v>
      </c>
      <c r="AH97">
        <f>SUMIF(DeadRaw!$B:$B,$B97,DeadRaw!AJ:AJ)</f>
        <v>0</v>
      </c>
      <c r="AI97">
        <f>SUMIF(DeadRaw!$B:$B,$B97,DeadRaw!AK:AK)</f>
        <v>0</v>
      </c>
      <c r="AJ97">
        <f>SUMIF(DeadRaw!$B:$B,$B97,DeadRaw!AL:AL)</f>
        <v>0</v>
      </c>
      <c r="AK97">
        <f>SUMIF(DeadRaw!$B:$B,$B97,DeadRaw!AM:AM)</f>
        <v>0</v>
      </c>
      <c r="AL97">
        <f>SUMIF(DeadRaw!$B:$B,$B97,DeadRaw!AN:AN)</f>
        <v>0</v>
      </c>
      <c r="AM97">
        <f>SUMIF(DeadRaw!$B:$B,$B97,DeadRaw!AO:AO)</f>
        <v>0</v>
      </c>
      <c r="AN97">
        <f>SUMIF(DeadRaw!$B:$B,$B97,DeadRaw!AP:AP)</f>
        <v>0</v>
      </c>
      <c r="AO97">
        <f>SUMIF(DeadRaw!$B:$B,$B97,DeadRaw!AQ:AQ)</f>
        <v>0</v>
      </c>
      <c r="AP97">
        <f>SUMIF(DeadRaw!$B:$B,$B97,DeadRaw!AR:AR)</f>
        <v>0</v>
      </c>
      <c r="AQ97">
        <f>SUMIF(DeadRaw!$B:$B,$B97,DeadRaw!AS:AS)</f>
        <v>0</v>
      </c>
      <c r="AR97">
        <f>SUMIF(DeadRaw!$B:$B,$B97,DeadRaw!AT:AT)</f>
        <v>0</v>
      </c>
      <c r="AS97">
        <f>SUMIF(DeadRaw!$B:$B,$B97,DeadRaw!AU:AU)</f>
        <v>0</v>
      </c>
      <c r="AT97">
        <f>SUMIF(DeadRaw!$B:$B,$B97,DeadRaw!AV:AV)</f>
        <v>0</v>
      </c>
      <c r="AU97">
        <f>SUMIF(DeadRaw!$B:$B,$B97,DeadRaw!AW:AW)</f>
        <v>0</v>
      </c>
      <c r="AV97">
        <f>SUMIF(DeadRaw!$B:$B,$B97,DeadRaw!AX:AX)</f>
        <v>0</v>
      </c>
      <c r="AW97">
        <f>SUMIF(DeadRaw!$B:$B,$B97,DeadRaw!AY:AY)</f>
        <v>0</v>
      </c>
      <c r="AX97">
        <f>SUMIF(DeadRaw!$B:$B,$B97,DeadRaw!AZ:AZ)</f>
        <v>0</v>
      </c>
      <c r="AY97">
        <f>SUMIF(DeadRaw!$B:$B,$B97,DeadRaw!BA:BA)</f>
        <v>0</v>
      </c>
      <c r="AZ97">
        <f>SUMIF(DeadRaw!$B:$B,$B97,DeadRaw!BB:BB)</f>
        <v>0</v>
      </c>
      <c r="BA97">
        <f>SUMIF(DeadRaw!$B:$B,$B97,DeadRaw!BC:BC)</f>
        <v>0</v>
      </c>
      <c r="BB97">
        <f>SUMIF(DeadRaw!$B:$B,$B97,DeadRaw!BD:BD)</f>
        <v>0</v>
      </c>
      <c r="BC97">
        <f>SUMIF(DeadRaw!$B:$B,$B97,DeadRaw!BE:BE)</f>
        <v>0</v>
      </c>
      <c r="BD97">
        <f>SUMIF(DeadRaw!$B:$B,$B97,DeadRaw!BF:BF)</f>
        <v>0</v>
      </c>
      <c r="BE97">
        <f>SUMIF(DeadRaw!$B:$B,$B97,DeadRaw!BG:BG)</f>
        <v>0</v>
      </c>
      <c r="BF97">
        <f>SUMIF(DeadRaw!$B:$B,$B97,DeadRaw!BH:BH)</f>
        <v>0</v>
      </c>
      <c r="BG97">
        <f>SUMIF(DeadRaw!$B:$B,$B97,DeadRaw!BI:BI)</f>
        <v>1</v>
      </c>
      <c r="BH97">
        <f>SUMIF(DeadRaw!$B:$B,$B97,DeadRaw!BJ:BJ)</f>
        <v>1</v>
      </c>
      <c r="BI97">
        <f>SUMIF(DeadRaw!$B:$B,$B97,DeadRaw!BK:BK)</f>
        <v>1</v>
      </c>
      <c r="BJ97">
        <f>SUMIF(DeadRaw!$B:$B,$B97,DeadRaw!BL:BL)</f>
        <v>1</v>
      </c>
      <c r="BK97">
        <f>SUMIF(DeadRaw!$B:$B,$B97,DeadRaw!BM:BM)</f>
        <v>1</v>
      </c>
      <c r="BL97">
        <f>SUMIF(DeadRaw!$B:$B,$B97,DeadRaw!BN:BN)</f>
        <v>1</v>
      </c>
      <c r="BM97">
        <f>SUMIF(DeadRaw!$B:$B,$B97,DeadRaw!BO:BO)</f>
        <v>1</v>
      </c>
      <c r="BN97">
        <f>SUMIF(DeadRaw!$B:$B,$B97,DeadRaw!BP:BP)</f>
        <v>1</v>
      </c>
      <c r="BO97">
        <f>SUMIF(DeadRaw!$B:$B,$B97,DeadRaw!BQ:BQ)</f>
        <v>2</v>
      </c>
      <c r="BP97">
        <f>SUMIF(DeadRaw!$B:$B,$B97,DeadRaw!BR:BR)</f>
        <v>2</v>
      </c>
      <c r="BQ97">
        <f>SUMIF(DeadRaw!$B:$B,$B97,DeadRaw!BS:BS)</f>
        <v>3</v>
      </c>
      <c r="BR97">
        <f>SUMIF(DeadRaw!$B:$B,$B97,DeadRaw!BT:BT)</f>
        <v>0</v>
      </c>
      <c r="BS97">
        <f>SUMIF(DeadRaw!$B:$B,$B97,DeadRaw!BU:BU)</f>
        <v>0</v>
      </c>
      <c r="BT97">
        <f>SUMIF(DeadRaw!$B:$B,$B97,DeadRaw!BV:BV)</f>
        <v>0</v>
      </c>
      <c r="BU97">
        <f>SUMIF(DeadRaw!$B:$B,$B97,DeadRaw!BW:BW)</f>
        <v>0</v>
      </c>
    </row>
    <row r="98" spans="1:73" ht="15" thickBot="1" x14ac:dyDescent="0.35">
      <c r="A98" s="97" t="str">
        <f>VLOOKUP(B98,Country_Data!B:Q,16,FALSE)</f>
        <v>Asia</v>
      </c>
      <c r="B98" s="4" t="s">
        <v>413</v>
      </c>
      <c r="C98">
        <f>SUMIF(DeadRaw!$B:$B,$B98,DeadRaw!E:E)</f>
        <v>0</v>
      </c>
      <c r="D98">
        <f>SUMIF(DeadRaw!$B:$B,$B98,DeadRaw!F:F)</f>
        <v>0</v>
      </c>
      <c r="E98">
        <f>SUMIF(DeadRaw!$B:$B,$B98,DeadRaw!G:G)</f>
        <v>0</v>
      </c>
      <c r="F98">
        <f>SUMIF(DeadRaw!$B:$B,$B98,DeadRaw!H:H)</f>
        <v>0</v>
      </c>
      <c r="G98">
        <f>SUMIF(DeadRaw!$B:$B,$B98,DeadRaw!I:I)</f>
        <v>0</v>
      </c>
      <c r="H98">
        <f>SUMIF(DeadRaw!$B:$B,$B98,DeadRaw!J:J)</f>
        <v>0</v>
      </c>
      <c r="I98">
        <f>SUMIF(DeadRaw!$B:$B,$B98,DeadRaw!K:K)</f>
        <v>0</v>
      </c>
      <c r="J98">
        <f>SUMIF(DeadRaw!$B:$B,$B98,DeadRaw!L:L)</f>
        <v>0</v>
      </c>
      <c r="K98">
        <f>SUMIF(DeadRaw!$B:$B,$B98,DeadRaw!M:M)</f>
        <v>0</v>
      </c>
      <c r="L98">
        <f>SUMIF(DeadRaw!$B:$B,$B98,DeadRaw!N:N)</f>
        <v>0</v>
      </c>
      <c r="M98">
        <f>SUMIF(DeadRaw!$B:$B,$B98,DeadRaw!O:O)</f>
        <v>0</v>
      </c>
      <c r="N98">
        <f>SUMIF(DeadRaw!$B:$B,$B98,DeadRaw!P:P)</f>
        <v>0</v>
      </c>
      <c r="O98">
        <f>SUMIF(DeadRaw!$B:$B,$B98,DeadRaw!Q:Q)</f>
        <v>0</v>
      </c>
      <c r="P98">
        <f>SUMIF(DeadRaw!$B:$B,$B98,DeadRaw!R:R)</f>
        <v>0</v>
      </c>
      <c r="Q98">
        <f>SUMIF(DeadRaw!$B:$B,$B98,DeadRaw!S:S)</f>
        <v>0</v>
      </c>
      <c r="R98">
        <f>SUMIF(DeadRaw!$B:$B,$B98,DeadRaw!T:T)</f>
        <v>0</v>
      </c>
      <c r="S98">
        <f>SUMIF(DeadRaw!$B:$B,$B98,DeadRaw!U:U)</f>
        <v>0</v>
      </c>
      <c r="T98">
        <f>SUMIF(DeadRaw!$B:$B,$B98,DeadRaw!V:V)</f>
        <v>0</v>
      </c>
      <c r="U98">
        <f>SUMIF(DeadRaw!$B:$B,$B98,DeadRaw!W:W)</f>
        <v>0</v>
      </c>
      <c r="V98">
        <f>SUMIF(DeadRaw!$B:$B,$B98,DeadRaw!X:X)</f>
        <v>0</v>
      </c>
      <c r="W98">
        <f>SUMIF(DeadRaw!$B:$B,$B98,DeadRaw!Y:Y)</f>
        <v>0</v>
      </c>
      <c r="X98">
        <f>SUMIF(DeadRaw!$B:$B,$B98,DeadRaw!Z:Z)</f>
        <v>0</v>
      </c>
      <c r="Y98">
        <f>SUMIF(DeadRaw!$B:$B,$B98,DeadRaw!AA:AA)</f>
        <v>0</v>
      </c>
      <c r="Z98">
        <f>SUMIF(DeadRaw!$B:$B,$B98,DeadRaw!AB:AB)</f>
        <v>0</v>
      </c>
      <c r="AA98">
        <f>SUMIF(DeadRaw!$B:$B,$B98,DeadRaw!AC:AC)</f>
        <v>0</v>
      </c>
      <c r="AB98">
        <f>SUMIF(DeadRaw!$B:$B,$B98,DeadRaw!AD:AD)</f>
        <v>0</v>
      </c>
      <c r="AC98">
        <f>SUMIF(DeadRaw!$B:$B,$B98,DeadRaw!AE:AE)</f>
        <v>0</v>
      </c>
      <c r="AD98">
        <f>SUMIF(DeadRaw!$B:$B,$B98,DeadRaw!AF:AF)</f>
        <v>0</v>
      </c>
      <c r="AE98">
        <f>SUMIF(DeadRaw!$B:$B,$B98,DeadRaw!AG:AG)</f>
        <v>0</v>
      </c>
      <c r="AF98">
        <f>SUMIF(DeadRaw!$B:$B,$B98,DeadRaw!AH:AH)</f>
        <v>0</v>
      </c>
      <c r="AG98">
        <f>SUMIF(DeadRaw!$B:$B,$B98,DeadRaw!AI:AI)</f>
        <v>0</v>
      </c>
      <c r="AH98">
        <f>SUMIF(DeadRaw!$B:$B,$B98,DeadRaw!AJ:AJ)</f>
        <v>0</v>
      </c>
      <c r="AI98">
        <f>SUMIF(DeadRaw!$B:$B,$B98,DeadRaw!AK:AK)</f>
        <v>0</v>
      </c>
      <c r="AJ98">
        <f>SUMIF(DeadRaw!$B:$B,$B98,DeadRaw!AL:AL)</f>
        <v>0</v>
      </c>
      <c r="AK98">
        <f>SUMIF(DeadRaw!$B:$B,$B98,DeadRaw!AM:AM)</f>
        <v>0</v>
      </c>
      <c r="AL98">
        <f>SUMIF(DeadRaw!$B:$B,$B98,DeadRaw!AN:AN)</f>
        <v>0</v>
      </c>
      <c r="AM98">
        <f>SUMIF(DeadRaw!$B:$B,$B98,DeadRaw!AO:AO)</f>
        <v>0</v>
      </c>
      <c r="AN98">
        <f>SUMIF(DeadRaw!$B:$B,$B98,DeadRaw!AP:AP)</f>
        <v>0</v>
      </c>
      <c r="AO98">
        <f>SUMIF(DeadRaw!$B:$B,$B98,DeadRaw!AQ:AQ)</f>
        <v>0</v>
      </c>
      <c r="AP98">
        <f>SUMIF(DeadRaw!$B:$B,$B98,DeadRaw!AR:AR)</f>
        <v>0</v>
      </c>
      <c r="AQ98">
        <f>SUMIF(DeadRaw!$B:$B,$B98,DeadRaw!AS:AS)</f>
        <v>0</v>
      </c>
      <c r="AR98">
        <f>SUMIF(DeadRaw!$B:$B,$B98,DeadRaw!AT:AT)</f>
        <v>0</v>
      </c>
      <c r="AS98">
        <f>SUMIF(DeadRaw!$B:$B,$B98,DeadRaw!AU:AU)</f>
        <v>0</v>
      </c>
      <c r="AT98">
        <f>SUMIF(DeadRaw!$B:$B,$B98,DeadRaw!AV:AV)</f>
        <v>0</v>
      </c>
      <c r="AU98">
        <f>SUMIF(DeadRaw!$B:$B,$B98,DeadRaw!AW:AW)</f>
        <v>0</v>
      </c>
      <c r="AV98">
        <f>SUMIF(DeadRaw!$B:$B,$B98,DeadRaw!AX:AX)</f>
        <v>0</v>
      </c>
      <c r="AW98">
        <f>SUMIF(DeadRaw!$B:$B,$B98,DeadRaw!AY:AY)</f>
        <v>0</v>
      </c>
      <c r="AX98">
        <f>SUMIF(DeadRaw!$B:$B,$B98,DeadRaw!AZ:AZ)</f>
        <v>0</v>
      </c>
      <c r="AY98">
        <f>SUMIF(DeadRaw!$B:$B,$B98,DeadRaw!BA:BA)</f>
        <v>0</v>
      </c>
      <c r="AZ98">
        <f>SUMIF(DeadRaw!$B:$B,$B98,DeadRaw!BB:BB)</f>
        <v>0</v>
      </c>
      <c r="BA98">
        <f>SUMIF(DeadRaw!$B:$B,$B98,DeadRaw!BC:BC)</f>
        <v>0</v>
      </c>
      <c r="BB98">
        <f>SUMIF(DeadRaw!$B:$B,$B98,DeadRaw!BD:BD)</f>
        <v>0</v>
      </c>
      <c r="BC98">
        <f>SUMIF(DeadRaw!$B:$B,$B98,DeadRaw!BE:BE)</f>
        <v>0</v>
      </c>
      <c r="BD98">
        <f>SUMIF(DeadRaw!$B:$B,$B98,DeadRaw!BF:BF)</f>
        <v>0</v>
      </c>
      <c r="BE98">
        <f>SUMIF(DeadRaw!$B:$B,$B98,DeadRaw!BG:BG)</f>
        <v>0</v>
      </c>
      <c r="BF98">
        <f>SUMIF(DeadRaw!$B:$B,$B98,DeadRaw!BH:BH)</f>
        <v>0</v>
      </c>
      <c r="BG98">
        <f>SUMIF(DeadRaw!$B:$B,$B98,DeadRaw!BI:BI)</f>
        <v>0</v>
      </c>
      <c r="BH98">
        <f>SUMIF(DeadRaw!$B:$B,$B98,DeadRaw!BJ:BJ)</f>
        <v>0</v>
      </c>
      <c r="BI98">
        <f>SUMIF(DeadRaw!$B:$B,$B98,DeadRaw!BK:BK)</f>
        <v>3</v>
      </c>
      <c r="BJ98">
        <f>SUMIF(DeadRaw!$B:$B,$B98,DeadRaw!BL:BL)</f>
        <v>0</v>
      </c>
      <c r="BK98">
        <f>SUMIF(DeadRaw!$B:$B,$B98,DeadRaw!BM:BM)</f>
        <v>0</v>
      </c>
      <c r="BL98">
        <f>SUMIF(DeadRaw!$B:$B,$B98,DeadRaw!BN:BN)</f>
        <v>0</v>
      </c>
      <c r="BM98">
        <f>SUMIF(DeadRaw!$B:$B,$B98,DeadRaw!BO:BO)</f>
        <v>0</v>
      </c>
      <c r="BN98">
        <f>SUMIF(DeadRaw!$B:$B,$B98,DeadRaw!BP:BP)</f>
        <v>0</v>
      </c>
      <c r="BO98">
        <f>SUMIF(DeadRaw!$B:$B,$B98,DeadRaw!BQ:BQ)</f>
        <v>1</v>
      </c>
      <c r="BP98">
        <f>SUMIF(DeadRaw!$B:$B,$B98,DeadRaw!BR:BR)</f>
        <v>1</v>
      </c>
      <c r="BQ98">
        <f>SUMIF(DeadRaw!$B:$B,$B98,DeadRaw!BS:BS)</f>
        <v>1</v>
      </c>
      <c r="BR98">
        <f>SUMIF(DeadRaw!$B:$B,$B98,DeadRaw!BT:BT)</f>
        <v>0</v>
      </c>
      <c r="BS98">
        <f>SUMIF(DeadRaw!$B:$B,$B98,DeadRaw!BU:BU)</f>
        <v>0</v>
      </c>
      <c r="BT98">
        <f>SUMIF(DeadRaw!$B:$B,$B98,DeadRaw!BV:BV)</f>
        <v>0</v>
      </c>
      <c r="BU98">
        <f>SUMIF(DeadRaw!$B:$B,$B98,DeadRaw!BW:BW)</f>
        <v>0</v>
      </c>
    </row>
    <row r="99" spans="1:73" ht="15" thickBot="1" x14ac:dyDescent="0.35">
      <c r="A99" s="97" t="str">
        <f>VLOOKUP(B99,Country_Data!B:Q,16,FALSE)</f>
        <v>Asia</v>
      </c>
      <c r="B99" s="3" t="s">
        <v>202</v>
      </c>
      <c r="C99">
        <f>SUMIF(DeadRaw!$B:$B,$B99,DeadRaw!E:E)</f>
        <v>0</v>
      </c>
      <c r="D99">
        <f>SUMIF(DeadRaw!$B:$B,$B99,DeadRaw!F:F)</f>
        <v>0</v>
      </c>
      <c r="E99">
        <f>SUMIF(DeadRaw!$B:$B,$B99,DeadRaw!G:G)</f>
        <v>0</v>
      </c>
      <c r="F99">
        <f>SUMIF(DeadRaw!$B:$B,$B99,DeadRaw!H:H)</f>
        <v>0</v>
      </c>
      <c r="G99">
        <f>SUMIF(DeadRaw!$B:$B,$B99,DeadRaw!I:I)</f>
        <v>0</v>
      </c>
      <c r="H99">
        <f>SUMIF(DeadRaw!$B:$B,$B99,DeadRaw!J:J)</f>
        <v>0</v>
      </c>
      <c r="I99">
        <f>SUMIF(DeadRaw!$B:$B,$B99,DeadRaw!K:K)</f>
        <v>0</v>
      </c>
      <c r="J99">
        <f>SUMIF(DeadRaw!$B:$B,$B99,DeadRaw!L:L)</f>
        <v>0</v>
      </c>
      <c r="K99">
        <f>SUMIF(DeadRaw!$B:$B,$B99,DeadRaw!M:M)</f>
        <v>0</v>
      </c>
      <c r="L99">
        <f>SUMIF(DeadRaw!$B:$B,$B99,DeadRaw!N:N)</f>
        <v>0</v>
      </c>
      <c r="M99">
        <f>SUMIF(DeadRaw!$B:$B,$B99,DeadRaw!O:O)</f>
        <v>0</v>
      </c>
      <c r="N99">
        <f>SUMIF(DeadRaw!$B:$B,$B99,DeadRaw!P:P)</f>
        <v>0</v>
      </c>
      <c r="O99">
        <f>SUMIF(DeadRaw!$B:$B,$B99,DeadRaw!Q:Q)</f>
        <v>0</v>
      </c>
      <c r="P99">
        <f>SUMIF(DeadRaw!$B:$B,$B99,DeadRaw!R:R)</f>
        <v>0</v>
      </c>
      <c r="Q99">
        <f>SUMIF(DeadRaw!$B:$B,$B99,DeadRaw!S:S)</f>
        <v>0</v>
      </c>
      <c r="R99">
        <f>SUMIF(DeadRaw!$B:$B,$B99,DeadRaw!T:T)</f>
        <v>0</v>
      </c>
      <c r="S99">
        <f>SUMIF(DeadRaw!$B:$B,$B99,DeadRaw!U:U)</f>
        <v>0</v>
      </c>
      <c r="T99">
        <f>SUMIF(DeadRaw!$B:$B,$B99,DeadRaw!V:V)</f>
        <v>0</v>
      </c>
      <c r="U99">
        <f>SUMIF(DeadRaw!$B:$B,$B99,DeadRaw!W:W)</f>
        <v>0</v>
      </c>
      <c r="V99">
        <f>SUMIF(DeadRaw!$B:$B,$B99,DeadRaw!X:X)</f>
        <v>0</v>
      </c>
      <c r="W99">
        <f>SUMIF(DeadRaw!$B:$B,$B99,DeadRaw!Y:Y)</f>
        <v>0</v>
      </c>
      <c r="X99">
        <f>SUMIF(DeadRaw!$B:$B,$B99,DeadRaw!Z:Z)</f>
        <v>0</v>
      </c>
      <c r="Y99">
        <f>SUMIF(DeadRaw!$B:$B,$B99,DeadRaw!AA:AA)</f>
        <v>0</v>
      </c>
      <c r="Z99">
        <f>SUMIF(DeadRaw!$B:$B,$B99,DeadRaw!AB:AB)</f>
        <v>0</v>
      </c>
      <c r="AA99">
        <f>SUMIF(DeadRaw!$B:$B,$B99,DeadRaw!AC:AC)</f>
        <v>0</v>
      </c>
      <c r="AB99">
        <f>SUMIF(DeadRaw!$B:$B,$B99,DeadRaw!AD:AD)</f>
        <v>0</v>
      </c>
      <c r="AC99">
        <f>SUMIF(DeadRaw!$B:$B,$B99,DeadRaw!AE:AE)</f>
        <v>0</v>
      </c>
      <c r="AD99">
        <f>SUMIF(DeadRaw!$B:$B,$B99,DeadRaw!AF:AF)</f>
        <v>0</v>
      </c>
      <c r="AE99">
        <f>SUMIF(DeadRaw!$B:$B,$B99,DeadRaw!AG:AG)</f>
        <v>0</v>
      </c>
      <c r="AF99">
        <f>SUMIF(DeadRaw!$B:$B,$B99,DeadRaw!AH:AH)</f>
        <v>0</v>
      </c>
      <c r="AG99">
        <f>SUMIF(DeadRaw!$B:$B,$B99,DeadRaw!AI:AI)</f>
        <v>0</v>
      </c>
      <c r="AH99">
        <f>SUMIF(DeadRaw!$B:$B,$B99,DeadRaw!AJ:AJ)</f>
        <v>0</v>
      </c>
      <c r="AI99">
        <f>SUMIF(DeadRaw!$B:$B,$B99,DeadRaw!AK:AK)</f>
        <v>0</v>
      </c>
      <c r="AJ99">
        <f>SUMIF(DeadRaw!$B:$B,$B99,DeadRaw!AL:AL)</f>
        <v>0</v>
      </c>
      <c r="AK99">
        <f>SUMIF(DeadRaw!$B:$B,$B99,DeadRaw!AM:AM)</f>
        <v>0</v>
      </c>
      <c r="AL99">
        <f>SUMIF(DeadRaw!$B:$B,$B99,DeadRaw!AN:AN)</f>
        <v>0</v>
      </c>
      <c r="AM99">
        <f>SUMIF(DeadRaw!$B:$B,$B99,DeadRaw!AO:AO)</f>
        <v>0</v>
      </c>
      <c r="AN99">
        <f>SUMIF(DeadRaw!$B:$B,$B99,DeadRaw!AP:AP)</f>
        <v>0</v>
      </c>
      <c r="AO99">
        <f>SUMIF(DeadRaw!$B:$B,$B99,DeadRaw!AQ:AQ)</f>
        <v>0</v>
      </c>
      <c r="AP99">
        <f>SUMIF(DeadRaw!$B:$B,$B99,DeadRaw!AR:AR)</f>
        <v>0</v>
      </c>
      <c r="AQ99">
        <f>SUMIF(DeadRaw!$B:$B,$B99,DeadRaw!AS:AS)</f>
        <v>0</v>
      </c>
      <c r="AR99">
        <f>SUMIF(DeadRaw!$B:$B,$B99,DeadRaw!AT:AT)</f>
        <v>0</v>
      </c>
      <c r="AS99">
        <f>SUMIF(DeadRaw!$B:$B,$B99,DeadRaw!AU:AU)</f>
        <v>0</v>
      </c>
      <c r="AT99">
        <f>SUMIF(DeadRaw!$B:$B,$B99,DeadRaw!AV:AV)</f>
        <v>0</v>
      </c>
      <c r="AU99">
        <f>SUMIF(DeadRaw!$B:$B,$B99,DeadRaw!AW:AW)</f>
        <v>0</v>
      </c>
      <c r="AV99">
        <f>SUMIF(DeadRaw!$B:$B,$B99,DeadRaw!AX:AX)</f>
        <v>0</v>
      </c>
      <c r="AW99">
        <f>SUMIF(DeadRaw!$B:$B,$B99,DeadRaw!AY:AY)</f>
        <v>0</v>
      </c>
      <c r="AX99">
        <f>SUMIF(DeadRaw!$B:$B,$B99,DeadRaw!AZ:AZ)</f>
        <v>0</v>
      </c>
      <c r="AY99">
        <f>SUMIF(DeadRaw!$B:$B,$B99,DeadRaw!BA:BA)</f>
        <v>0</v>
      </c>
      <c r="AZ99">
        <f>SUMIF(DeadRaw!$B:$B,$B99,DeadRaw!BB:BB)</f>
        <v>0</v>
      </c>
      <c r="BA99">
        <f>SUMIF(DeadRaw!$B:$B,$B99,DeadRaw!BC:BC)</f>
        <v>0</v>
      </c>
      <c r="BB99">
        <f>SUMIF(DeadRaw!$B:$B,$B99,DeadRaw!BD:BD)</f>
        <v>0</v>
      </c>
      <c r="BC99">
        <f>SUMIF(DeadRaw!$B:$B,$B99,DeadRaw!BE:BE)</f>
        <v>0</v>
      </c>
      <c r="BD99">
        <f>SUMIF(DeadRaw!$B:$B,$B99,DeadRaw!BF:BF)</f>
        <v>0</v>
      </c>
      <c r="BE99">
        <f>SUMIF(DeadRaw!$B:$B,$B99,DeadRaw!BG:BG)</f>
        <v>0</v>
      </c>
      <c r="BF99">
        <f>SUMIF(DeadRaw!$B:$B,$B99,DeadRaw!BH:BH)</f>
        <v>0</v>
      </c>
      <c r="BG99">
        <f>SUMIF(DeadRaw!$B:$B,$B99,DeadRaw!BI:BI)</f>
        <v>1</v>
      </c>
      <c r="BH99">
        <f>SUMIF(DeadRaw!$B:$B,$B99,DeadRaw!BJ:BJ)</f>
        <v>1</v>
      </c>
      <c r="BI99">
        <f>SUMIF(DeadRaw!$B:$B,$B99,DeadRaw!BK:BK)</f>
        <v>1</v>
      </c>
      <c r="BJ99">
        <f>SUMIF(DeadRaw!$B:$B,$B99,DeadRaw!BL:BL)</f>
        <v>2</v>
      </c>
      <c r="BK99">
        <f>SUMIF(DeadRaw!$B:$B,$B99,DeadRaw!BM:BM)</f>
        <v>2</v>
      </c>
      <c r="BL99">
        <f>SUMIF(DeadRaw!$B:$B,$B99,DeadRaw!BN:BN)</f>
        <v>3</v>
      </c>
      <c r="BM99">
        <f>SUMIF(DeadRaw!$B:$B,$B99,DeadRaw!BO:BO)</f>
        <v>4</v>
      </c>
      <c r="BN99">
        <f>SUMIF(DeadRaw!$B:$B,$B99,DeadRaw!BP:BP)</f>
        <v>5</v>
      </c>
      <c r="BO99">
        <f>SUMIF(DeadRaw!$B:$B,$B99,DeadRaw!BQ:BQ)</f>
        <v>5</v>
      </c>
      <c r="BP99">
        <f>SUMIF(DeadRaw!$B:$B,$B99,DeadRaw!BR:BR)</f>
        <v>5</v>
      </c>
      <c r="BQ99">
        <f>SUMIF(DeadRaw!$B:$B,$B99,DeadRaw!BS:BS)</f>
        <v>5</v>
      </c>
      <c r="BR99">
        <f>SUMIF(DeadRaw!$B:$B,$B99,DeadRaw!BT:BT)</f>
        <v>0</v>
      </c>
      <c r="BS99">
        <f>SUMIF(DeadRaw!$B:$B,$B99,DeadRaw!BU:BU)</f>
        <v>0</v>
      </c>
      <c r="BT99">
        <f>SUMIF(DeadRaw!$B:$B,$B99,DeadRaw!BV:BV)</f>
        <v>0</v>
      </c>
      <c r="BU99">
        <f>SUMIF(DeadRaw!$B:$B,$B99,DeadRaw!BW:BW)</f>
        <v>0</v>
      </c>
    </row>
    <row r="100" spans="1:73" ht="15" thickBot="1" x14ac:dyDescent="0.35">
      <c r="A100" s="97" t="str">
        <f>VLOOKUP(B100,Country_Data!B:Q,16,FALSE)</f>
        <v>South America</v>
      </c>
      <c r="B100" s="3" t="s">
        <v>346</v>
      </c>
      <c r="C100">
        <f>SUMIF(DeadRaw!$B:$B,$B100,DeadRaw!E:E)</f>
        <v>0</v>
      </c>
      <c r="D100">
        <f>SUMIF(DeadRaw!$B:$B,$B100,DeadRaw!F:F)</f>
        <v>0</v>
      </c>
      <c r="E100">
        <f>SUMIF(DeadRaw!$B:$B,$B100,DeadRaw!G:G)</f>
        <v>0</v>
      </c>
      <c r="F100">
        <f>SUMIF(DeadRaw!$B:$B,$B100,DeadRaw!H:H)</f>
        <v>0</v>
      </c>
      <c r="G100">
        <f>SUMIF(DeadRaw!$B:$B,$B100,DeadRaw!I:I)</f>
        <v>0</v>
      </c>
      <c r="H100">
        <f>SUMIF(DeadRaw!$B:$B,$B100,DeadRaw!J:J)</f>
        <v>0</v>
      </c>
      <c r="I100">
        <f>SUMIF(DeadRaw!$B:$B,$B100,DeadRaw!K:K)</f>
        <v>0</v>
      </c>
      <c r="J100">
        <f>SUMIF(DeadRaw!$B:$B,$B100,DeadRaw!L:L)</f>
        <v>0</v>
      </c>
      <c r="K100">
        <f>SUMIF(DeadRaw!$B:$B,$B100,DeadRaw!M:M)</f>
        <v>0</v>
      </c>
      <c r="L100">
        <f>SUMIF(DeadRaw!$B:$B,$B100,DeadRaw!N:N)</f>
        <v>0</v>
      </c>
      <c r="M100">
        <f>SUMIF(DeadRaw!$B:$B,$B100,DeadRaw!O:O)</f>
        <v>0</v>
      </c>
      <c r="N100">
        <f>SUMIF(DeadRaw!$B:$B,$B100,DeadRaw!P:P)</f>
        <v>0</v>
      </c>
      <c r="O100">
        <f>SUMIF(DeadRaw!$B:$B,$B100,DeadRaw!Q:Q)</f>
        <v>0</v>
      </c>
      <c r="P100">
        <f>SUMIF(DeadRaw!$B:$B,$B100,DeadRaw!R:R)</f>
        <v>0</v>
      </c>
      <c r="Q100">
        <f>SUMIF(DeadRaw!$B:$B,$B100,DeadRaw!S:S)</f>
        <v>0</v>
      </c>
      <c r="R100">
        <f>SUMIF(DeadRaw!$B:$B,$B100,DeadRaw!T:T)</f>
        <v>0</v>
      </c>
      <c r="S100">
        <f>SUMIF(DeadRaw!$B:$B,$B100,DeadRaw!U:U)</f>
        <v>0</v>
      </c>
      <c r="T100">
        <f>SUMIF(DeadRaw!$B:$B,$B100,DeadRaw!V:V)</f>
        <v>0</v>
      </c>
      <c r="U100">
        <f>SUMIF(DeadRaw!$B:$B,$B100,DeadRaw!W:W)</f>
        <v>0</v>
      </c>
      <c r="V100">
        <f>SUMIF(DeadRaw!$B:$B,$B100,DeadRaw!X:X)</f>
        <v>0</v>
      </c>
      <c r="W100">
        <f>SUMIF(DeadRaw!$B:$B,$B100,DeadRaw!Y:Y)</f>
        <v>0</v>
      </c>
      <c r="X100">
        <f>SUMIF(DeadRaw!$B:$B,$B100,DeadRaw!Z:Z)</f>
        <v>0</v>
      </c>
      <c r="Y100">
        <f>SUMIF(DeadRaw!$B:$B,$B100,DeadRaw!AA:AA)</f>
        <v>0</v>
      </c>
      <c r="Z100">
        <f>SUMIF(DeadRaw!$B:$B,$B100,DeadRaw!AB:AB)</f>
        <v>0</v>
      </c>
      <c r="AA100">
        <f>SUMIF(DeadRaw!$B:$B,$B100,DeadRaw!AC:AC)</f>
        <v>0</v>
      </c>
      <c r="AB100">
        <f>SUMIF(DeadRaw!$B:$B,$B100,DeadRaw!AD:AD)</f>
        <v>0</v>
      </c>
      <c r="AC100">
        <f>SUMIF(DeadRaw!$B:$B,$B100,DeadRaw!AE:AE)</f>
        <v>0</v>
      </c>
      <c r="AD100">
        <f>SUMIF(DeadRaw!$B:$B,$B100,DeadRaw!AF:AF)</f>
        <v>0</v>
      </c>
      <c r="AE100">
        <f>SUMIF(DeadRaw!$B:$B,$B100,DeadRaw!AG:AG)</f>
        <v>0</v>
      </c>
      <c r="AF100">
        <f>SUMIF(DeadRaw!$B:$B,$B100,DeadRaw!AH:AH)</f>
        <v>0</v>
      </c>
      <c r="AG100">
        <f>SUMIF(DeadRaw!$B:$B,$B100,DeadRaw!AI:AI)</f>
        <v>0</v>
      </c>
      <c r="AH100">
        <f>SUMIF(DeadRaw!$B:$B,$B100,DeadRaw!AJ:AJ)</f>
        <v>0</v>
      </c>
      <c r="AI100">
        <f>SUMIF(DeadRaw!$B:$B,$B100,DeadRaw!AK:AK)</f>
        <v>0</v>
      </c>
      <c r="AJ100">
        <f>SUMIF(DeadRaw!$B:$B,$B100,DeadRaw!AL:AL)</f>
        <v>0</v>
      </c>
      <c r="AK100">
        <f>SUMIF(DeadRaw!$B:$B,$B100,DeadRaw!AM:AM)</f>
        <v>0</v>
      </c>
      <c r="AL100">
        <f>SUMIF(DeadRaw!$B:$B,$B100,DeadRaw!AN:AN)</f>
        <v>0</v>
      </c>
      <c r="AM100">
        <f>SUMIF(DeadRaw!$B:$B,$B100,DeadRaw!AO:AO)</f>
        <v>0</v>
      </c>
      <c r="AN100">
        <f>SUMIF(DeadRaw!$B:$B,$B100,DeadRaw!AP:AP)</f>
        <v>0</v>
      </c>
      <c r="AO100">
        <f>SUMIF(DeadRaw!$B:$B,$B100,DeadRaw!AQ:AQ)</f>
        <v>0</v>
      </c>
      <c r="AP100">
        <f>SUMIF(DeadRaw!$B:$B,$B100,DeadRaw!AR:AR)</f>
        <v>0</v>
      </c>
      <c r="AQ100">
        <f>SUMIF(DeadRaw!$B:$B,$B100,DeadRaw!AS:AS)</f>
        <v>0</v>
      </c>
      <c r="AR100">
        <f>SUMIF(DeadRaw!$B:$B,$B100,DeadRaw!AT:AT)</f>
        <v>0</v>
      </c>
      <c r="AS100">
        <f>SUMIF(DeadRaw!$B:$B,$B100,DeadRaw!AU:AU)</f>
        <v>0</v>
      </c>
      <c r="AT100">
        <f>SUMIF(DeadRaw!$B:$B,$B100,DeadRaw!AV:AV)</f>
        <v>0</v>
      </c>
      <c r="AU100">
        <f>SUMIF(DeadRaw!$B:$B,$B100,DeadRaw!AW:AW)</f>
        <v>0</v>
      </c>
      <c r="AV100">
        <f>SUMIF(DeadRaw!$B:$B,$B100,DeadRaw!AX:AX)</f>
        <v>0</v>
      </c>
      <c r="AW100">
        <f>SUMIF(DeadRaw!$B:$B,$B100,DeadRaw!AY:AY)</f>
        <v>0</v>
      </c>
      <c r="AX100">
        <f>SUMIF(DeadRaw!$B:$B,$B100,DeadRaw!AZ:AZ)</f>
        <v>0</v>
      </c>
      <c r="AY100">
        <f>SUMIF(DeadRaw!$B:$B,$B100,DeadRaw!BA:BA)</f>
        <v>0</v>
      </c>
      <c r="AZ100">
        <f>SUMIF(DeadRaw!$B:$B,$B100,DeadRaw!BB:BB)</f>
        <v>0</v>
      </c>
      <c r="BA100">
        <f>SUMIF(DeadRaw!$B:$B,$B100,DeadRaw!BC:BC)</f>
        <v>0</v>
      </c>
      <c r="BB100">
        <f>SUMIF(DeadRaw!$B:$B,$B100,DeadRaw!BD:BD)</f>
        <v>0</v>
      </c>
      <c r="BC100">
        <f>SUMIF(DeadRaw!$B:$B,$B100,DeadRaw!BE:BE)</f>
        <v>0</v>
      </c>
      <c r="BD100">
        <f>SUMIF(DeadRaw!$B:$B,$B100,DeadRaw!BF:BF)</f>
        <v>0</v>
      </c>
      <c r="BE100">
        <f>SUMIF(DeadRaw!$B:$B,$B100,DeadRaw!BG:BG)</f>
        <v>0</v>
      </c>
      <c r="BF100">
        <f>SUMIF(DeadRaw!$B:$B,$B100,DeadRaw!BH:BH)</f>
        <v>0</v>
      </c>
      <c r="BG100">
        <f>SUMIF(DeadRaw!$B:$B,$B100,DeadRaw!BI:BI)</f>
        <v>0</v>
      </c>
      <c r="BH100">
        <f>SUMIF(DeadRaw!$B:$B,$B100,DeadRaw!BJ:BJ)</f>
        <v>0</v>
      </c>
      <c r="BI100">
        <f>SUMIF(DeadRaw!$B:$B,$B100,DeadRaw!BK:BK)</f>
        <v>0</v>
      </c>
      <c r="BJ100">
        <f>SUMIF(DeadRaw!$B:$B,$B100,DeadRaw!BL:BL)</f>
        <v>0</v>
      </c>
      <c r="BK100">
        <f>SUMIF(DeadRaw!$B:$B,$B100,DeadRaw!BM:BM)</f>
        <v>0</v>
      </c>
      <c r="BL100">
        <f>SUMIF(DeadRaw!$B:$B,$B100,DeadRaw!BN:BN)</f>
        <v>0</v>
      </c>
      <c r="BM100">
        <f>SUMIF(DeadRaw!$B:$B,$B100,DeadRaw!BO:BO)</f>
        <v>0</v>
      </c>
      <c r="BN100">
        <f>SUMIF(DeadRaw!$B:$B,$B100,DeadRaw!BP:BP)</f>
        <v>0</v>
      </c>
      <c r="BO100">
        <f>SUMIF(DeadRaw!$B:$B,$B100,DeadRaw!BQ:BQ)</f>
        <v>0</v>
      </c>
      <c r="BP100">
        <f>SUMIF(DeadRaw!$B:$B,$B100,DeadRaw!BR:BR)</f>
        <v>0</v>
      </c>
      <c r="BQ100">
        <f>SUMIF(DeadRaw!$B:$B,$B100,DeadRaw!BS:BS)</f>
        <v>0</v>
      </c>
      <c r="BR100">
        <f>SUMIF(DeadRaw!$B:$B,$B100,DeadRaw!BT:BT)</f>
        <v>0</v>
      </c>
      <c r="BS100">
        <f>SUMIF(DeadRaw!$B:$B,$B100,DeadRaw!BU:BU)</f>
        <v>0</v>
      </c>
      <c r="BT100">
        <f>SUMIF(DeadRaw!$B:$B,$B100,DeadRaw!BV:BV)</f>
        <v>0</v>
      </c>
      <c r="BU100">
        <f>SUMIF(DeadRaw!$B:$B,$B100,DeadRaw!BW:BW)</f>
        <v>0</v>
      </c>
    </row>
    <row r="101" spans="1:73" ht="15" thickBot="1" x14ac:dyDescent="0.35">
      <c r="A101" s="97" t="str">
        <f>VLOOKUP(B101,Country_Data!B:Q,16,FALSE)</f>
        <v>Africa</v>
      </c>
      <c r="B101" s="4" t="s">
        <v>180</v>
      </c>
      <c r="C101">
        <f>SUMIF(DeadRaw!$B:$B,$B101,DeadRaw!E:E)</f>
        <v>0</v>
      </c>
      <c r="D101">
        <f>SUMIF(DeadRaw!$B:$B,$B101,DeadRaw!F:F)</f>
        <v>0</v>
      </c>
      <c r="E101">
        <f>SUMIF(DeadRaw!$B:$B,$B101,DeadRaw!G:G)</f>
        <v>0</v>
      </c>
      <c r="F101">
        <f>SUMIF(DeadRaw!$B:$B,$B101,DeadRaw!H:H)</f>
        <v>0</v>
      </c>
      <c r="G101">
        <f>SUMIF(DeadRaw!$B:$B,$B101,DeadRaw!I:I)</f>
        <v>0</v>
      </c>
      <c r="H101">
        <f>SUMIF(DeadRaw!$B:$B,$B101,DeadRaw!J:J)</f>
        <v>0</v>
      </c>
      <c r="I101">
        <f>SUMIF(DeadRaw!$B:$B,$B101,DeadRaw!K:K)</f>
        <v>0</v>
      </c>
      <c r="J101">
        <f>SUMIF(DeadRaw!$B:$B,$B101,DeadRaw!L:L)</f>
        <v>0</v>
      </c>
      <c r="K101">
        <f>SUMIF(DeadRaw!$B:$B,$B101,DeadRaw!M:M)</f>
        <v>0</v>
      </c>
      <c r="L101">
        <f>SUMIF(DeadRaw!$B:$B,$B101,DeadRaw!N:N)</f>
        <v>0</v>
      </c>
      <c r="M101">
        <f>SUMIF(DeadRaw!$B:$B,$B101,DeadRaw!O:O)</f>
        <v>0</v>
      </c>
      <c r="N101">
        <f>SUMIF(DeadRaw!$B:$B,$B101,DeadRaw!P:P)</f>
        <v>0</v>
      </c>
      <c r="O101">
        <f>SUMIF(DeadRaw!$B:$B,$B101,DeadRaw!Q:Q)</f>
        <v>0</v>
      </c>
      <c r="P101">
        <f>SUMIF(DeadRaw!$B:$B,$B101,DeadRaw!R:R)</f>
        <v>0</v>
      </c>
      <c r="Q101">
        <f>SUMIF(DeadRaw!$B:$B,$B101,DeadRaw!S:S)</f>
        <v>0</v>
      </c>
      <c r="R101">
        <f>SUMIF(DeadRaw!$B:$B,$B101,DeadRaw!T:T)</f>
        <v>0</v>
      </c>
      <c r="S101">
        <f>SUMIF(DeadRaw!$B:$B,$B101,DeadRaw!U:U)</f>
        <v>0</v>
      </c>
      <c r="T101">
        <f>SUMIF(DeadRaw!$B:$B,$B101,DeadRaw!V:V)</f>
        <v>0</v>
      </c>
      <c r="U101">
        <f>SUMIF(DeadRaw!$B:$B,$B101,DeadRaw!W:W)</f>
        <v>0</v>
      </c>
      <c r="V101">
        <f>SUMIF(DeadRaw!$B:$B,$B101,DeadRaw!X:X)</f>
        <v>0</v>
      </c>
      <c r="W101">
        <f>SUMIF(DeadRaw!$B:$B,$B101,DeadRaw!Y:Y)</f>
        <v>0</v>
      </c>
      <c r="X101">
        <f>SUMIF(DeadRaw!$B:$B,$B101,DeadRaw!Z:Z)</f>
        <v>0</v>
      </c>
      <c r="Y101">
        <f>SUMIF(DeadRaw!$B:$B,$B101,DeadRaw!AA:AA)</f>
        <v>0</v>
      </c>
      <c r="Z101">
        <f>SUMIF(DeadRaw!$B:$B,$B101,DeadRaw!AB:AB)</f>
        <v>0</v>
      </c>
      <c r="AA101">
        <f>SUMIF(DeadRaw!$B:$B,$B101,DeadRaw!AC:AC)</f>
        <v>0</v>
      </c>
      <c r="AB101">
        <f>SUMIF(DeadRaw!$B:$B,$B101,DeadRaw!AD:AD)</f>
        <v>0</v>
      </c>
      <c r="AC101">
        <f>SUMIF(DeadRaw!$B:$B,$B101,DeadRaw!AE:AE)</f>
        <v>0</v>
      </c>
      <c r="AD101">
        <f>SUMIF(DeadRaw!$B:$B,$B101,DeadRaw!AF:AF)</f>
        <v>0</v>
      </c>
      <c r="AE101">
        <f>SUMIF(DeadRaw!$B:$B,$B101,DeadRaw!AG:AG)</f>
        <v>0</v>
      </c>
      <c r="AF101">
        <f>SUMIF(DeadRaw!$B:$B,$B101,DeadRaw!AH:AH)</f>
        <v>0</v>
      </c>
      <c r="AG101">
        <f>SUMIF(DeadRaw!$B:$B,$B101,DeadRaw!AI:AI)</f>
        <v>0</v>
      </c>
      <c r="AH101">
        <f>SUMIF(DeadRaw!$B:$B,$B101,DeadRaw!AJ:AJ)</f>
        <v>0</v>
      </c>
      <c r="AI101">
        <f>SUMIF(DeadRaw!$B:$B,$B101,DeadRaw!AK:AK)</f>
        <v>0</v>
      </c>
      <c r="AJ101">
        <f>SUMIF(DeadRaw!$B:$B,$B101,DeadRaw!AL:AL)</f>
        <v>0</v>
      </c>
      <c r="AK101">
        <f>SUMIF(DeadRaw!$B:$B,$B101,DeadRaw!AM:AM)</f>
        <v>0</v>
      </c>
      <c r="AL101">
        <f>SUMIF(DeadRaw!$B:$B,$B101,DeadRaw!AN:AN)</f>
        <v>0</v>
      </c>
      <c r="AM101">
        <f>SUMIF(DeadRaw!$B:$B,$B101,DeadRaw!AO:AO)</f>
        <v>0</v>
      </c>
      <c r="AN101">
        <f>SUMIF(DeadRaw!$B:$B,$B101,DeadRaw!AP:AP)</f>
        <v>0</v>
      </c>
      <c r="AO101">
        <f>SUMIF(DeadRaw!$B:$B,$B101,DeadRaw!AQ:AQ)</f>
        <v>0</v>
      </c>
      <c r="AP101">
        <f>SUMIF(DeadRaw!$B:$B,$B101,DeadRaw!AR:AR)</f>
        <v>0</v>
      </c>
      <c r="AQ101">
        <f>SUMIF(DeadRaw!$B:$B,$B101,DeadRaw!AS:AS)</f>
        <v>0</v>
      </c>
      <c r="AR101">
        <f>SUMIF(DeadRaw!$B:$B,$B101,DeadRaw!AT:AT)</f>
        <v>0</v>
      </c>
      <c r="AS101">
        <f>SUMIF(DeadRaw!$B:$B,$B101,DeadRaw!AU:AU)</f>
        <v>0</v>
      </c>
      <c r="AT101">
        <f>SUMIF(DeadRaw!$B:$B,$B101,DeadRaw!AV:AV)</f>
        <v>0</v>
      </c>
      <c r="AU101">
        <f>SUMIF(DeadRaw!$B:$B,$B101,DeadRaw!AW:AW)</f>
        <v>0</v>
      </c>
      <c r="AV101">
        <f>SUMIF(DeadRaw!$B:$B,$B101,DeadRaw!AX:AX)</f>
        <v>0</v>
      </c>
      <c r="AW101">
        <f>SUMIF(DeadRaw!$B:$B,$B101,DeadRaw!AY:AY)</f>
        <v>0</v>
      </c>
      <c r="AX101">
        <f>SUMIF(DeadRaw!$B:$B,$B101,DeadRaw!AZ:AZ)</f>
        <v>0</v>
      </c>
      <c r="AY101">
        <f>SUMIF(DeadRaw!$B:$B,$B101,DeadRaw!BA:BA)</f>
        <v>0</v>
      </c>
      <c r="AZ101">
        <f>SUMIF(DeadRaw!$B:$B,$B101,DeadRaw!BB:BB)</f>
        <v>0</v>
      </c>
      <c r="BA101">
        <f>SUMIF(DeadRaw!$B:$B,$B101,DeadRaw!BC:BC)</f>
        <v>0</v>
      </c>
      <c r="BB101">
        <f>SUMIF(DeadRaw!$B:$B,$B101,DeadRaw!BD:BD)</f>
        <v>0</v>
      </c>
      <c r="BC101">
        <f>SUMIF(DeadRaw!$B:$B,$B101,DeadRaw!BE:BE)</f>
        <v>0</v>
      </c>
      <c r="BD101">
        <f>SUMIF(DeadRaw!$B:$B,$B101,DeadRaw!BF:BF)</f>
        <v>0</v>
      </c>
      <c r="BE101">
        <f>SUMIF(DeadRaw!$B:$B,$B101,DeadRaw!BG:BG)</f>
        <v>0</v>
      </c>
      <c r="BF101">
        <f>SUMIF(DeadRaw!$B:$B,$B101,DeadRaw!BH:BH)</f>
        <v>0</v>
      </c>
      <c r="BG101">
        <f>SUMIF(DeadRaw!$B:$B,$B101,DeadRaw!BI:BI)</f>
        <v>0</v>
      </c>
      <c r="BH101">
        <f>SUMIF(DeadRaw!$B:$B,$B101,DeadRaw!BJ:BJ)</f>
        <v>0</v>
      </c>
      <c r="BI101">
        <f>SUMIF(DeadRaw!$B:$B,$B101,DeadRaw!BK:BK)</f>
        <v>0</v>
      </c>
      <c r="BJ101">
        <f>SUMIF(DeadRaw!$B:$B,$B101,DeadRaw!BL:BL)</f>
        <v>0</v>
      </c>
      <c r="BK101">
        <f>SUMIF(DeadRaw!$B:$B,$B101,DeadRaw!BM:BM)</f>
        <v>0</v>
      </c>
      <c r="BL101">
        <f>SUMIF(DeadRaw!$B:$B,$B101,DeadRaw!BN:BN)</f>
        <v>0</v>
      </c>
      <c r="BM101">
        <f>SUMIF(DeadRaw!$B:$B,$B101,DeadRaw!BO:BO)</f>
        <v>0</v>
      </c>
      <c r="BN101">
        <f>SUMIF(DeadRaw!$B:$B,$B101,DeadRaw!BP:BP)</f>
        <v>0</v>
      </c>
      <c r="BO101">
        <f>SUMIF(DeadRaw!$B:$B,$B101,DeadRaw!BQ:BQ)</f>
        <v>0</v>
      </c>
      <c r="BP101">
        <f>SUMIF(DeadRaw!$B:$B,$B101,DeadRaw!BR:BR)</f>
        <v>0</v>
      </c>
      <c r="BQ101">
        <f>SUMIF(DeadRaw!$B:$B,$B101,DeadRaw!BS:BS)</f>
        <v>0</v>
      </c>
      <c r="BR101">
        <f>SUMIF(DeadRaw!$B:$B,$B101,DeadRaw!BT:BT)</f>
        <v>0</v>
      </c>
      <c r="BS101">
        <f>SUMIF(DeadRaw!$B:$B,$B101,DeadRaw!BU:BU)</f>
        <v>0</v>
      </c>
      <c r="BT101">
        <f>SUMIF(DeadRaw!$B:$B,$B101,DeadRaw!BV:BV)</f>
        <v>0</v>
      </c>
      <c r="BU101">
        <f>SUMIF(DeadRaw!$B:$B,$B101,DeadRaw!BW:BW)</f>
        <v>0</v>
      </c>
    </row>
    <row r="102" spans="1:73" ht="15" thickBot="1" x14ac:dyDescent="0.35">
      <c r="A102" s="97" t="str">
        <f>VLOOKUP(B102,Country_Data!B:Q,16,FALSE)</f>
        <v>Europe</v>
      </c>
      <c r="B102" s="3" t="s">
        <v>129</v>
      </c>
      <c r="C102">
        <f>SUMIF(DeadRaw!$B:$B,$B102,DeadRaw!E:E)</f>
        <v>0</v>
      </c>
      <c r="D102">
        <f>SUMIF(DeadRaw!$B:$B,$B102,DeadRaw!F:F)</f>
        <v>0</v>
      </c>
      <c r="E102">
        <f>SUMIF(DeadRaw!$B:$B,$B102,DeadRaw!G:G)</f>
        <v>0</v>
      </c>
      <c r="F102">
        <f>SUMIF(DeadRaw!$B:$B,$B102,DeadRaw!H:H)</f>
        <v>0</v>
      </c>
      <c r="G102">
        <f>SUMIF(DeadRaw!$B:$B,$B102,DeadRaw!I:I)</f>
        <v>0</v>
      </c>
      <c r="H102">
        <f>SUMIF(DeadRaw!$B:$B,$B102,DeadRaw!J:J)</f>
        <v>0</v>
      </c>
      <c r="I102">
        <f>SUMIF(DeadRaw!$B:$B,$B102,DeadRaw!K:K)</f>
        <v>0</v>
      </c>
      <c r="J102">
        <f>SUMIF(DeadRaw!$B:$B,$B102,DeadRaw!L:L)</f>
        <v>0</v>
      </c>
      <c r="K102">
        <f>SUMIF(DeadRaw!$B:$B,$B102,DeadRaw!M:M)</f>
        <v>0</v>
      </c>
      <c r="L102">
        <f>SUMIF(DeadRaw!$B:$B,$B102,DeadRaw!N:N)</f>
        <v>0</v>
      </c>
      <c r="M102">
        <f>SUMIF(DeadRaw!$B:$B,$B102,DeadRaw!O:O)</f>
        <v>0</v>
      </c>
      <c r="N102">
        <f>SUMIF(DeadRaw!$B:$B,$B102,DeadRaw!P:P)</f>
        <v>0</v>
      </c>
      <c r="O102">
        <f>SUMIF(DeadRaw!$B:$B,$B102,DeadRaw!Q:Q)</f>
        <v>0</v>
      </c>
      <c r="P102">
        <f>SUMIF(DeadRaw!$B:$B,$B102,DeadRaw!R:R)</f>
        <v>0</v>
      </c>
      <c r="Q102">
        <f>SUMIF(DeadRaw!$B:$B,$B102,DeadRaw!S:S)</f>
        <v>0</v>
      </c>
      <c r="R102">
        <f>SUMIF(DeadRaw!$B:$B,$B102,DeadRaw!T:T)</f>
        <v>0</v>
      </c>
      <c r="S102">
        <f>SUMIF(DeadRaw!$B:$B,$B102,DeadRaw!U:U)</f>
        <v>0</v>
      </c>
      <c r="T102">
        <f>SUMIF(DeadRaw!$B:$B,$B102,DeadRaw!V:V)</f>
        <v>0</v>
      </c>
      <c r="U102">
        <f>SUMIF(DeadRaw!$B:$B,$B102,DeadRaw!W:W)</f>
        <v>0</v>
      </c>
      <c r="V102">
        <f>SUMIF(DeadRaw!$B:$B,$B102,DeadRaw!X:X)</f>
        <v>0</v>
      </c>
      <c r="W102">
        <f>SUMIF(DeadRaw!$B:$B,$B102,DeadRaw!Y:Y)</f>
        <v>0</v>
      </c>
      <c r="X102">
        <f>SUMIF(DeadRaw!$B:$B,$B102,DeadRaw!Z:Z)</f>
        <v>0</v>
      </c>
      <c r="Y102">
        <f>SUMIF(DeadRaw!$B:$B,$B102,DeadRaw!AA:AA)</f>
        <v>0</v>
      </c>
      <c r="Z102">
        <f>SUMIF(DeadRaw!$B:$B,$B102,DeadRaw!AB:AB)</f>
        <v>0</v>
      </c>
      <c r="AA102">
        <f>SUMIF(DeadRaw!$B:$B,$B102,DeadRaw!AC:AC)</f>
        <v>0</v>
      </c>
      <c r="AB102">
        <f>SUMIF(DeadRaw!$B:$B,$B102,DeadRaw!AD:AD)</f>
        <v>0</v>
      </c>
      <c r="AC102">
        <f>SUMIF(DeadRaw!$B:$B,$B102,DeadRaw!AE:AE)</f>
        <v>0</v>
      </c>
      <c r="AD102">
        <f>SUMIF(DeadRaw!$B:$B,$B102,DeadRaw!AF:AF)</f>
        <v>0</v>
      </c>
      <c r="AE102">
        <f>SUMIF(DeadRaw!$B:$B,$B102,DeadRaw!AG:AG)</f>
        <v>0</v>
      </c>
      <c r="AF102">
        <f>SUMIF(DeadRaw!$B:$B,$B102,DeadRaw!AH:AH)</f>
        <v>0</v>
      </c>
      <c r="AG102">
        <f>SUMIF(DeadRaw!$B:$B,$B102,DeadRaw!AI:AI)</f>
        <v>0</v>
      </c>
      <c r="AH102">
        <f>SUMIF(DeadRaw!$B:$B,$B102,DeadRaw!AJ:AJ)</f>
        <v>0</v>
      </c>
      <c r="AI102">
        <f>SUMIF(DeadRaw!$B:$B,$B102,DeadRaw!AK:AK)</f>
        <v>0</v>
      </c>
      <c r="AJ102">
        <f>SUMIF(DeadRaw!$B:$B,$B102,DeadRaw!AL:AL)</f>
        <v>0</v>
      </c>
      <c r="AK102">
        <f>SUMIF(DeadRaw!$B:$B,$B102,DeadRaw!AM:AM)</f>
        <v>0</v>
      </c>
      <c r="AL102">
        <f>SUMIF(DeadRaw!$B:$B,$B102,DeadRaw!AN:AN)</f>
        <v>0</v>
      </c>
      <c r="AM102">
        <f>SUMIF(DeadRaw!$B:$B,$B102,DeadRaw!AO:AO)</f>
        <v>0</v>
      </c>
      <c r="AN102">
        <f>SUMIF(DeadRaw!$B:$B,$B102,DeadRaw!AP:AP)</f>
        <v>0</v>
      </c>
      <c r="AO102">
        <f>SUMIF(DeadRaw!$B:$B,$B102,DeadRaw!AQ:AQ)</f>
        <v>0</v>
      </c>
      <c r="AP102">
        <f>SUMIF(DeadRaw!$B:$B,$B102,DeadRaw!AR:AR)</f>
        <v>0</v>
      </c>
      <c r="AQ102">
        <f>SUMIF(DeadRaw!$B:$B,$B102,DeadRaw!AS:AS)</f>
        <v>0</v>
      </c>
      <c r="AR102">
        <f>SUMIF(DeadRaw!$B:$B,$B102,DeadRaw!AT:AT)</f>
        <v>0</v>
      </c>
      <c r="AS102">
        <f>SUMIF(DeadRaw!$B:$B,$B102,DeadRaw!AU:AU)</f>
        <v>0</v>
      </c>
      <c r="AT102">
        <f>SUMIF(DeadRaw!$B:$B,$B102,DeadRaw!AV:AV)</f>
        <v>0</v>
      </c>
      <c r="AU102">
        <f>SUMIF(DeadRaw!$B:$B,$B102,DeadRaw!AW:AW)</f>
        <v>0</v>
      </c>
      <c r="AV102">
        <f>SUMIF(DeadRaw!$B:$B,$B102,DeadRaw!AX:AX)</f>
        <v>0</v>
      </c>
      <c r="AW102">
        <f>SUMIF(DeadRaw!$B:$B,$B102,DeadRaw!AY:AY)</f>
        <v>0</v>
      </c>
      <c r="AX102">
        <f>SUMIF(DeadRaw!$B:$B,$B102,DeadRaw!AZ:AZ)</f>
        <v>0</v>
      </c>
      <c r="AY102">
        <f>SUMIF(DeadRaw!$B:$B,$B102,DeadRaw!BA:BA)</f>
        <v>0</v>
      </c>
      <c r="AZ102">
        <f>SUMIF(DeadRaw!$B:$B,$B102,DeadRaw!BB:BB)</f>
        <v>0</v>
      </c>
      <c r="BA102">
        <f>SUMIF(DeadRaw!$B:$B,$B102,DeadRaw!BC:BC)</f>
        <v>0</v>
      </c>
      <c r="BB102">
        <f>SUMIF(DeadRaw!$B:$B,$B102,DeadRaw!BD:BD)</f>
        <v>1</v>
      </c>
      <c r="BC102">
        <f>SUMIF(DeadRaw!$B:$B,$B102,DeadRaw!BE:BE)</f>
        <v>1</v>
      </c>
      <c r="BD102">
        <f>SUMIF(DeadRaw!$B:$B,$B102,DeadRaw!BF:BF)</f>
        <v>1</v>
      </c>
      <c r="BE102">
        <f>SUMIF(DeadRaw!$B:$B,$B102,DeadRaw!BG:BG)</f>
        <v>1</v>
      </c>
      <c r="BF102">
        <f>SUMIF(DeadRaw!$B:$B,$B102,DeadRaw!BH:BH)</f>
        <v>2</v>
      </c>
      <c r="BG102">
        <f>SUMIF(DeadRaw!$B:$B,$B102,DeadRaw!BI:BI)</f>
        <v>2</v>
      </c>
      <c r="BH102">
        <f>SUMIF(DeadRaw!$B:$B,$B102,DeadRaw!BJ:BJ)</f>
        <v>2</v>
      </c>
      <c r="BI102">
        <f>SUMIF(DeadRaw!$B:$B,$B102,DeadRaw!BK:BK)</f>
        <v>3</v>
      </c>
      <c r="BJ102">
        <f>SUMIF(DeadRaw!$B:$B,$B102,DeadRaw!BL:BL)</f>
        <v>3</v>
      </c>
      <c r="BK102">
        <f>SUMIF(DeadRaw!$B:$B,$B102,DeadRaw!BM:BM)</f>
        <v>3</v>
      </c>
      <c r="BL102">
        <f>SUMIF(DeadRaw!$B:$B,$B102,DeadRaw!BN:BN)</f>
        <v>3</v>
      </c>
      <c r="BM102">
        <f>SUMIF(DeadRaw!$B:$B,$B102,DeadRaw!BO:BO)</f>
        <v>3</v>
      </c>
      <c r="BN102">
        <f>SUMIF(DeadRaw!$B:$B,$B102,DeadRaw!BP:BP)</f>
        <v>5</v>
      </c>
      <c r="BO102">
        <f>SUMIF(DeadRaw!$B:$B,$B102,DeadRaw!BQ:BQ)</f>
        <v>5</v>
      </c>
      <c r="BP102">
        <f>SUMIF(DeadRaw!$B:$B,$B102,DeadRaw!BR:BR)</f>
        <v>5</v>
      </c>
      <c r="BQ102">
        <f>SUMIF(DeadRaw!$B:$B,$B102,DeadRaw!BS:BS)</f>
        <v>9</v>
      </c>
      <c r="BR102">
        <f>SUMIF(DeadRaw!$B:$B,$B102,DeadRaw!BT:BT)</f>
        <v>0</v>
      </c>
      <c r="BS102">
        <f>SUMIF(DeadRaw!$B:$B,$B102,DeadRaw!BU:BU)</f>
        <v>0</v>
      </c>
      <c r="BT102">
        <f>SUMIF(DeadRaw!$B:$B,$B102,DeadRaw!BV:BV)</f>
        <v>0</v>
      </c>
      <c r="BU102">
        <f>SUMIF(DeadRaw!$B:$B,$B102,DeadRaw!BW:BW)</f>
        <v>0</v>
      </c>
    </row>
    <row r="103" spans="1:73" ht="15" thickBot="1" x14ac:dyDescent="0.35">
      <c r="A103" s="97" t="str">
        <f>VLOOKUP(B103,Country_Data!B:Q,16,FALSE)</f>
        <v>Africa</v>
      </c>
      <c r="B103" s="3" t="s">
        <v>422</v>
      </c>
      <c r="C103">
        <f>SUMIF(DeadRaw!$B:$B,$B103,DeadRaw!E:E)</f>
        <v>0</v>
      </c>
      <c r="D103">
        <f>SUMIF(DeadRaw!$B:$B,$B103,DeadRaw!F:F)</f>
        <v>0</v>
      </c>
      <c r="E103">
        <f>SUMIF(DeadRaw!$B:$B,$B103,DeadRaw!G:G)</f>
        <v>0</v>
      </c>
      <c r="F103">
        <f>SUMIF(DeadRaw!$B:$B,$B103,DeadRaw!H:H)</f>
        <v>0</v>
      </c>
      <c r="G103">
        <f>SUMIF(DeadRaw!$B:$B,$B103,DeadRaw!I:I)</f>
        <v>0</v>
      </c>
      <c r="H103">
        <f>SUMIF(DeadRaw!$B:$B,$B103,DeadRaw!J:J)</f>
        <v>0</v>
      </c>
      <c r="I103">
        <f>SUMIF(DeadRaw!$B:$B,$B103,DeadRaw!K:K)</f>
        <v>0</v>
      </c>
      <c r="J103">
        <f>SUMIF(DeadRaw!$B:$B,$B103,DeadRaw!L:L)</f>
        <v>0</v>
      </c>
      <c r="K103">
        <f>SUMIF(DeadRaw!$B:$B,$B103,DeadRaw!M:M)</f>
        <v>0</v>
      </c>
      <c r="L103">
        <f>SUMIF(DeadRaw!$B:$B,$B103,DeadRaw!N:N)</f>
        <v>0</v>
      </c>
      <c r="M103">
        <f>SUMIF(DeadRaw!$B:$B,$B103,DeadRaw!O:O)</f>
        <v>0</v>
      </c>
      <c r="N103">
        <f>SUMIF(DeadRaw!$B:$B,$B103,DeadRaw!P:P)</f>
        <v>0</v>
      </c>
      <c r="O103">
        <f>SUMIF(DeadRaw!$B:$B,$B103,DeadRaw!Q:Q)</f>
        <v>0</v>
      </c>
      <c r="P103">
        <f>SUMIF(DeadRaw!$B:$B,$B103,DeadRaw!R:R)</f>
        <v>0</v>
      </c>
      <c r="Q103">
        <f>SUMIF(DeadRaw!$B:$B,$B103,DeadRaw!S:S)</f>
        <v>0</v>
      </c>
      <c r="R103">
        <f>SUMIF(DeadRaw!$B:$B,$B103,DeadRaw!T:T)</f>
        <v>0</v>
      </c>
      <c r="S103">
        <f>SUMIF(DeadRaw!$B:$B,$B103,DeadRaw!U:U)</f>
        <v>0</v>
      </c>
      <c r="T103">
        <f>SUMIF(DeadRaw!$B:$B,$B103,DeadRaw!V:V)</f>
        <v>0</v>
      </c>
      <c r="U103">
        <f>SUMIF(DeadRaw!$B:$B,$B103,DeadRaw!W:W)</f>
        <v>0</v>
      </c>
      <c r="V103">
        <f>SUMIF(DeadRaw!$B:$B,$B103,DeadRaw!X:X)</f>
        <v>0</v>
      </c>
      <c r="W103">
        <f>SUMIF(DeadRaw!$B:$B,$B103,DeadRaw!Y:Y)</f>
        <v>0</v>
      </c>
      <c r="X103">
        <f>SUMIF(DeadRaw!$B:$B,$B103,DeadRaw!Z:Z)</f>
        <v>0</v>
      </c>
      <c r="Y103">
        <f>SUMIF(DeadRaw!$B:$B,$B103,DeadRaw!AA:AA)</f>
        <v>0</v>
      </c>
      <c r="Z103">
        <f>SUMIF(DeadRaw!$B:$B,$B103,DeadRaw!AB:AB)</f>
        <v>0</v>
      </c>
      <c r="AA103">
        <f>SUMIF(DeadRaw!$B:$B,$B103,DeadRaw!AC:AC)</f>
        <v>0</v>
      </c>
      <c r="AB103">
        <f>SUMIF(DeadRaw!$B:$B,$B103,DeadRaw!AD:AD)</f>
        <v>0</v>
      </c>
      <c r="AC103">
        <f>SUMIF(DeadRaw!$B:$B,$B103,DeadRaw!AE:AE)</f>
        <v>0</v>
      </c>
      <c r="AD103">
        <f>SUMIF(DeadRaw!$B:$B,$B103,DeadRaw!AF:AF)</f>
        <v>0</v>
      </c>
      <c r="AE103">
        <f>SUMIF(DeadRaw!$B:$B,$B103,DeadRaw!AG:AG)</f>
        <v>0</v>
      </c>
      <c r="AF103">
        <f>SUMIF(DeadRaw!$B:$B,$B103,DeadRaw!AH:AH)</f>
        <v>0</v>
      </c>
      <c r="AG103">
        <f>SUMIF(DeadRaw!$B:$B,$B103,DeadRaw!AI:AI)</f>
        <v>0</v>
      </c>
      <c r="AH103">
        <f>SUMIF(DeadRaw!$B:$B,$B103,DeadRaw!AJ:AJ)</f>
        <v>0</v>
      </c>
      <c r="AI103">
        <f>SUMIF(DeadRaw!$B:$B,$B103,DeadRaw!AK:AK)</f>
        <v>0</v>
      </c>
      <c r="AJ103">
        <f>SUMIF(DeadRaw!$B:$B,$B103,DeadRaw!AL:AL)</f>
        <v>0</v>
      </c>
      <c r="AK103">
        <f>SUMIF(DeadRaw!$B:$B,$B103,DeadRaw!AM:AM)</f>
        <v>0</v>
      </c>
      <c r="AL103">
        <f>SUMIF(DeadRaw!$B:$B,$B103,DeadRaw!AN:AN)</f>
        <v>0</v>
      </c>
      <c r="AM103">
        <f>SUMIF(DeadRaw!$B:$B,$B103,DeadRaw!AO:AO)</f>
        <v>0</v>
      </c>
      <c r="AN103">
        <f>SUMIF(DeadRaw!$B:$B,$B103,DeadRaw!AP:AP)</f>
        <v>0</v>
      </c>
      <c r="AO103">
        <f>SUMIF(DeadRaw!$B:$B,$B103,DeadRaw!AQ:AQ)</f>
        <v>0</v>
      </c>
      <c r="AP103">
        <f>SUMIF(DeadRaw!$B:$B,$B103,DeadRaw!AR:AR)</f>
        <v>0</v>
      </c>
      <c r="AQ103">
        <f>SUMIF(DeadRaw!$B:$B,$B103,DeadRaw!AS:AS)</f>
        <v>0</v>
      </c>
      <c r="AR103">
        <f>SUMIF(DeadRaw!$B:$B,$B103,DeadRaw!AT:AT)</f>
        <v>0</v>
      </c>
      <c r="AS103">
        <f>SUMIF(DeadRaw!$B:$B,$B103,DeadRaw!AU:AU)</f>
        <v>0</v>
      </c>
      <c r="AT103">
        <f>SUMIF(DeadRaw!$B:$B,$B103,DeadRaw!AV:AV)</f>
        <v>0</v>
      </c>
      <c r="AU103">
        <f>SUMIF(DeadRaw!$B:$B,$B103,DeadRaw!AW:AW)</f>
        <v>0</v>
      </c>
      <c r="AV103">
        <f>SUMIF(DeadRaw!$B:$B,$B103,DeadRaw!AX:AX)</f>
        <v>0</v>
      </c>
      <c r="AW103">
        <f>SUMIF(DeadRaw!$B:$B,$B103,DeadRaw!AY:AY)</f>
        <v>0</v>
      </c>
      <c r="AX103">
        <f>SUMIF(DeadRaw!$B:$B,$B103,DeadRaw!AZ:AZ)</f>
        <v>0</v>
      </c>
      <c r="AY103">
        <f>SUMIF(DeadRaw!$B:$B,$B103,DeadRaw!BA:BA)</f>
        <v>0</v>
      </c>
      <c r="AZ103">
        <f>SUMIF(DeadRaw!$B:$B,$B103,DeadRaw!BB:BB)</f>
        <v>0</v>
      </c>
      <c r="BA103">
        <f>SUMIF(DeadRaw!$B:$B,$B103,DeadRaw!BC:BC)</f>
        <v>0</v>
      </c>
      <c r="BB103">
        <f>SUMIF(DeadRaw!$B:$B,$B103,DeadRaw!BD:BD)</f>
        <v>0</v>
      </c>
      <c r="BC103">
        <f>SUMIF(DeadRaw!$B:$B,$B103,DeadRaw!BE:BE)</f>
        <v>0</v>
      </c>
      <c r="BD103">
        <f>SUMIF(DeadRaw!$B:$B,$B103,DeadRaw!BF:BF)</f>
        <v>0</v>
      </c>
      <c r="BE103">
        <f>SUMIF(DeadRaw!$B:$B,$B103,DeadRaw!BG:BG)</f>
        <v>0</v>
      </c>
      <c r="BF103">
        <f>SUMIF(DeadRaw!$B:$B,$B103,DeadRaw!BH:BH)</f>
        <v>0</v>
      </c>
      <c r="BG103">
        <f>SUMIF(DeadRaw!$B:$B,$B103,DeadRaw!BI:BI)</f>
        <v>0</v>
      </c>
      <c r="BH103">
        <f>SUMIF(DeadRaw!$B:$B,$B103,DeadRaw!BJ:BJ)</f>
        <v>0</v>
      </c>
      <c r="BI103">
        <f>SUMIF(DeadRaw!$B:$B,$B103,DeadRaw!BK:BK)</f>
        <v>0</v>
      </c>
      <c r="BJ103">
        <f>SUMIF(DeadRaw!$B:$B,$B103,DeadRaw!BL:BL)</f>
        <v>0</v>
      </c>
      <c r="BK103">
        <f>SUMIF(DeadRaw!$B:$B,$B103,DeadRaw!BM:BM)</f>
        <v>0</v>
      </c>
      <c r="BL103">
        <f>SUMIF(DeadRaw!$B:$B,$B103,DeadRaw!BN:BN)</f>
        <v>0</v>
      </c>
      <c r="BM103">
        <f>SUMIF(DeadRaw!$B:$B,$B103,DeadRaw!BO:BO)</f>
        <v>0</v>
      </c>
      <c r="BN103">
        <f>SUMIF(DeadRaw!$B:$B,$B103,DeadRaw!BP:BP)</f>
        <v>0</v>
      </c>
      <c r="BO103">
        <f>SUMIF(DeadRaw!$B:$B,$B103,DeadRaw!BQ:BQ)</f>
        <v>0</v>
      </c>
      <c r="BP103">
        <f>SUMIF(DeadRaw!$B:$B,$B103,DeadRaw!BR:BR)</f>
        <v>0</v>
      </c>
      <c r="BQ103">
        <f>SUMIF(DeadRaw!$B:$B,$B103,DeadRaw!BS:BS)</f>
        <v>0</v>
      </c>
      <c r="BR103">
        <f>SUMIF(DeadRaw!$B:$B,$B103,DeadRaw!BT:BT)</f>
        <v>0</v>
      </c>
      <c r="BS103">
        <f>SUMIF(DeadRaw!$B:$B,$B103,DeadRaw!BU:BU)</f>
        <v>0</v>
      </c>
      <c r="BT103">
        <f>SUMIF(DeadRaw!$B:$B,$B103,DeadRaw!BV:BV)</f>
        <v>0</v>
      </c>
      <c r="BU103">
        <f>SUMIF(DeadRaw!$B:$B,$B103,DeadRaw!BW:BW)</f>
        <v>0</v>
      </c>
    </row>
    <row r="104" spans="1:73" ht="15" thickBot="1" x14ac:dyDescent="0.35">
      <c r="A104" s="97" t="str">
        <f>VLOOKUP(B104,Country_Data!B:Q,16,FALSE)</f>
        <v>Africa</v>
      </c>
      <c r="B104" s="4" t="s">
        <v>279</v>
      </c>
      <c r="C104">
        <f>SUMIF(DeadRaw!$B:$B,$B104,DeadRaw!E:E)</f>
        <v>0</v>
      </c>
      <c r="D104">
        <f>SUMIF(DeadRaw!$B:$B,$B104,DeadRaw!F:F)</f>
        <v>0</v>
      </c>
      <c r="E104">
        <f>SUMIF(DeadRaw!$B:$B,$B104,DeadRaw!G:G)</f>
        <v>0</v>
      </c>
      <c r="F104">
        <f>SUMIF(DeadRaw!$B:$B,$B104,DeadRaw!H:H)</f>
        <v>0</v>
      </c>
      <c r="G104">
        <f>SUMIF(DeadRaw!$B:$B,$B104,DeadRaw!I:I)</f>
        <v>0</v>
      </c>
      <c r="H104">
        <f>SUMIF(DeadRaw!$B:$B,$B104,DeadRaw!J:J)</f>
        <v>0</v>
      </c>
      <c r="I104">
        <f>SUMIF(DeadRaw!$B:$B,$B104,DeadRaw!K:K)</f>
        <v>0</v>
      </c>
      <c r="J104">
        <f>SUMIF(DeadRaw!$B:$B,$B104,DeadRaw!L:L)</f>
        <v>0</v>
      </c>
      <c r="K104">
        <f>SUMIF(DeadRaw!$B:$B,$B104,DeadRaw!M:M)</f>
        <v>0</v>
      </c>
      <c r="L104">
        <f>SUMIF(DeadRaw!$B:$B,$B104,DeadRaw!N:N)</f>
        <v>0</v>
      </c>
      <c r="M104">
        <f>SUMIF(DeadRaw!$B:$B,$B104,DeadRaw!O:O)</f>
        <v>0</v>
      </c>
      <c r="N104">
        <f>SUMIF(DeadRaw!$B:$B,$B104,DeadRaw!P:P)</f>
        <v>0</v>
      </c>
      <c r="O104">
        <f>SUMIF(DeadRaw!$B:$B,$B104,DeadRaw!Q:Q)</f>
        <v>0</v>
      </c>
      <c r="P104">
        <f>SUMIF(DeadRaw!$B:$B,$B104,DeadRaw!R:R)</f>
        <v>0</v>
      </c>
      <c r="Q104">
        <f>SUMIF(DeadRaw!$B:$B,$B104,DeadRaw!S:S)</f>
        <v>0</v>
      </c>
      <c r="R104">
        <f>SUMIF(DeadRaw!$B:$B,$B104,DeadRaw!T:T)</f>
        <v>0</v>
      </c>
      <c r="S104">
        <f>SUMIF(DeadRaw!$B:$B,$B104,DeadRaw!U:U)</f>
        <v>0</v>
      </c>
      <c r="T104">
        <f>SUMIF(DeadRaw!$B:$B,$B104,DeadRaw!V:V)</f>
        <v>0</v>
      </c>
      <c r="U104">
        <f>SUMIF(DeadRaw!$B:$B,$B104,DeadRaw!W:W)</f>
        <v>0</v>
      </c>
      <c r="V104">
        <f>SUMIF(DeadRaw!$B:$B,$B104,DeadRaw!X:X)</f>
        <v>0</v>
      </c>
      <c r="W104">
        <f>SUMIF(DeadRaw!$B:$B,$B104,DeadRaw!Y:Y)</f>
        <v>0</v>
      </c>
      <c r="X104">
        <f>SUMIF(DeadRaw!$B:$B,$B104,DeadRaw!Z:Z)</f>
        <v>0</v>
      </c>
      <c r="Y104">
        <f>SUMIF(DeadRaw!$B:$B,$B104,DeadRaw!AA:AA)</f>
        <v>0</v>
      </c>
      <c r="Z104">
        <f>SUMIF(DeadRaw!$B:$B,$B104,DeadRaw!AB:AB)</f>
        <v>0</v>
      </c>
      <c r="AA104">
        <f>SUMIF(DeadRaw!$B:$B,$B104,DeadRaw!AC:AC)</f>
        <v>0</v>
      </c>
      <c r="AB104">
        <f>SUMIF(DeadRaw!$B:$B,$B104,DeadRaw!AD:AD)</f>
        <v>0</v>
      </c>
      <c r="AC104">
        <f>SUMIF(DeadRaw!$B:$B,$B104,DeadRaw!AE:AE)</f>
        <v>0</v>
      </c>
      <c r="AD104">
        <f>SUMIF(DeadRaw!$B:$B,$B104,DeadRaw!AF:AF)</f>
        <v>0</v>
      </c>
      <c r="AE104">
        <f>SUMIF(DeadRaw!$B:$B,$B104,DeadRaw!AG:AG)</f>
        <v>0</v>
      </c>
      <c r="AF104">
        <f>SUMIF(DeadRaw!$B:$B,$B104,DeadRaw!AH:AH)</f>
        <v>0</v>
      </c>
      <c r="AG104">
        <f>SUMIF(DeadRaw!$B:$B,$B104,DeadRaw!AI:AI)</f>
        <v>0</v>
      </c>
      <c r="AH104">
        <f>SUMIF(DeadRaw!$B:$B,$B104,DeadRaw!AJ:AJ)</f>
        <v>0</v>
      </c>
      <c r="AI104">
        <f>SUMIF(DeadRaw!$B:$B,$B104,DeadRaw!AK:AK)</f>
        <v>0</v>
      </c>
      <c r="AJ104">
        <f>SUMIF(DeadRaw!$B:$B,$B104,DeadRaw!AL:AL)</f>
        <v>0</v>
      </c>
      <c r="AK104">
        <f>SUMIF(DeadRaw!$B:$B,$B104,DeadRaw!AM:AM)</f>
        <v>0</v>
      </c>
      <c r="AL104">
        <f>SUMIF(DeadRaw!$B:$B,$B104,DeadRaw!AN:AN)</f>
        <v>0</v>
      </c>
      <c r="AM104">
        <f>SUMIF(DeadRaw!$B:$B,$B104,DeadRaw!AO:AO)</f>
        <v>0</v>
      </c>
      <c r="AN104">
        <f>SUMIF(DeadRaw!$B:$B,$B104,DeadRaw!AP:AP)</f>
        <v>0</v>
      </c>
      <c r="AO104">
        <f>SUMIF(DeadRaw!$B:$B,$B104,DeadRaw!AQ:AQ)</f>
        <v>0</v>
      </c>
      <c r="AP104">
        <f>SUMIF(DeadRaw!$B:$B,$B104,DeadRaw!AR:AR)</f>
        <v>0</v>
      </c>
      <c r="AQ104">
        <f>SUMIF(DeadRaw!$B:$B,$B104,DeadRaw!AS:AS)</f>
        <v>0</v>
      </c>
      <c r="AR104">
        <f>SUMIF(DeadRaw!$B:$B,$B104,DeadRaw!AT:AT)</f>
        <v>0</v>
      </c>
      <c r="AS104">
        <f>SUMIF(DeadRaw!$B:$B,$B104,DeadRaw!AU:AU)</f>
        <v>0</v>
      </c>
      <c r="AT104">
        <f>SUMIF(DeadRaw!$B:$B,$B104,DeadRaw!AV:AV)</f>
        <v>0</v>
      </c>
      <c r="AU104">
        <f>SUMIF(DeadRaw!$B:$B,$B104,DeadRaw!AW:AW)</f>
        <v>0</v>
      </c>
      <c r="AV104">
        <f>SUMIF(DeadRaw!$B:$B,$B104,DeadRaw!AX:AX)</f>
        <v>0</v>
      </c>
      <c r="AW104">
        <f>SUMIF(DeadRaw!$B:$B,$B104,DeadRaw!AY:AY)</f>
        <v>0</v>
      </c>
      <c r="AX104">
        <f>SUMIF(DeadRaw!$B:$B,$B104,DeadRaw!AZ:AZ)</f>
        <v>0</v>
      </c>
      <c r="AY104">
        <f>SUMIF(DeadRaw!$B:$B,$B104,DeadRaw!BA:BA)</f>
        <v>0</v>
      </c>
      <c r="AZ104">
        <f>SUMIF(DeadRaw!$B:$B,$B104,DeadRaw!BB:BB)</f>
        <v>0</v>
      </c>
      <c r="BA104">
        <f>SUMIF(DeadRaw!$B:$B,$B104,DeadRaw!BC:BC)</f>
        <v>0</v>
      </c>
      <c r="BB104">
        <f>SUMIF(DeadRaw!$B:$B,$B104,DeadRaw!BD:BD)</f>
        <v>0</v>
      </c>
      <c r="BC104">
        <f>SUMIF(DeadRaw!$B:$B,$B104,DeadRaw!BE:BE)</f>
        <v>0</v>
      </c>
      <c r="BD104">
        <f>SUMIF(DeadRaw!$B:$B,$B104,DeadRaw!BF:BF)</f>
        <v>0</v>
      </c>
      <c r="BE104">
        <f>SUMIF(DeadRaw!$B:$B,$B104,DeadRaw!BG:BG)</f>
        <v>0</v>
      </c>
      <c r="BF104">
        <f>SUMIF(DeadRaw!$B:$B,$B104,DeadRaw!BH:BH)</f>
        <v>0</v>
      </c>
      <c r="BG104">
        <f>SUMIF(DeadRaw!$B:$B,$B104,DeadRaw!BI:BI)</f>
        <v>1</v>
      </c>
      <c r="BH104">
        <f>SUMIF(DeadRaw!$B:$B,$B104,DeadRaw!BJ:BJ)</f>
        <v>1</v>
      </c>
      <c r="BI104">
        <f>SUMIF(DeadRaw!$B:$B,$B104,DeadRaw!BK:BK)</f>
        <v>1</v>
      </c>
      <c r="BJ104">
        <f>SUMIF(DeadRaw!$B:$B,$B104,DeadRaw!BL:BL)</f>
        <v>2</v>
      </c>
      <c r="BK104">
        <f>SUMIF(DeadRaw!$B:$B,$B104,DeadRaw!BM:BM)</f>
        <v>4</v>
      </c>
      <c r="BL104">
        <f>SUMIF(DeadRaw!$B:$B,$B104,DeadRaw!BN:BN)</f>
        <v>4</v>
      </c>
      <c r="BM104">
        <f>SUMIF(DeadRaw!$B:$B,$B104,DeadRaw!BO:BO)</f>
        <v>4</v>
      </c>
      <c r="BN104">
        <f>SUMIF(DeadRaw!$B:$B,$B104,DeadRaw!BP:BP)</f>
        <v>4</v>
      </c>
      <c r="BO104">
        <f>SUMIF(DeadRaw!$B:$B,$B104,DeadRaw!BQ:BQ)</f>
        <v>7</v>
      </c>
      <c r="BP104">
        <f>SUMIF(DeadRaw!$B:$B,$B104,DeadRaw!BR:BR)</f>
        <v>9</v>
      </c>
      <c r="BQ104">
        <f>SUMIF(DeadRaw!$B:$B,$B104,DeadRaw!BS:BS)</f>
        <v>11</v>
      </c>
      <c r="BR104">
        <f>SUMIF(DeadRaw!$B:$B,$B104,DeadRaw!BT:BT)</f>
        <v>0</v>
      </c>
      <c r="BS104">
        <f>SUMIF(DeadRaw!$B:$B,$B104,DeadRaw!BU:BU)</f>
        <v>0</v>
      </c>
      <c r="BT104">
        <f>SUMIF(DeadRaw!$B:$B,$B104,DeadRaw!BV:BV)</f>
        <v>0</v>
      </c>
      <c r="BU104">
        <f>SUMIF(DeadRaw!$B:$B,$B104,DeadRaw!BW:BW)</f>
        <v>0</v>
      </c>
    </row>
    <row r="105" spans="1:73" ht="15" thickBot="1" x14ac:dyDescent="0.35">
      <c r="A105" s="97" t="str">
        <f>VLOOKUP(B105,Country_Data!B:Q,16,FALSE)</f>
        <v>Africa</v>
      </c>
      <c r="B105" s="3" t="s">
        <v>157</v>
      </c>
      <c r="C105">
        <f>SUMIF(DeadRaw!$B:$B,$B105,DeadRaw!E:E)</f>
        <v>0</v>
      </c>
      <c r="D105">
        <f>SUMIF(DeadRaw!$B:$B,$B105,DeadRaw!F:F)</f>
        <v>0</v>
      </c>
      <c r="E105">
        <f>SUMIF(DeadRaw!$B:$B,$B105,DeadRaw!G:G)</f>
        <v>0</v>
      </c>
      <c r="F105">
        <f>SUMIF(DeadRaw!$B:$B,$B105,DeadRaw!H:H)</f>
        <v>0</v>
      </c>
      <c r="G105">
        <f>SUMIF(DeadRaw!$B:$B,$B105,DeadRaw!I:I)</f>
        <v>0</v>
      </c>
      <c r="H105">
        <f>SUMIF(DeadRaw!$B:$B,$B105,DeadRaw!J:J)</f>
        <v>0</v>
      </c>
      <c r="I105">
        <f>SUMIF(DeadRaw!$B:$B,$B105,DeadRaw!K:K)</f>
        <v>0</v>
      </c>
      <c r="J105">
        <f>SUMIF(DeadRaw!$B:$B,$B105,DeadRaw!L:L)</f>
        <v>0</v>
      </c>
      <c r="K105">
        <f>SUMIF(DeadRaw!$B:$B,$B105,DeadRaw!M:M)</f>
        <v>0</v>
      </c>
      <c r="L105">
        <f>SUMIF(DeadRaw!$B:$B,$B105,DeadRaw!N:N)</f>
        <v>0</v>
      </c>
      <c r="M105">
        <f>SUMIF(DeadRaw!$B:$B,$B105,DeadRaw!O:O)</f>
        <v>0</v>
      </c>
      <c r="N105">
        <f>SUMIF(DeadRaw!$B:$B,$B105,DeadRaw!P:P)</f>
        <v>0</v>
      </c>
      <c r="O105">
        <f>SUMIF(DeadRaw!$B:$B,$B105,DeadRaw!Q:Q)</f>
        <v>0</v>
      </c>
      <c r="P105">
        <f>SUMIF(DeadRaw!$B:$B,$B105,DeadRaw!R:R)</f>
        <v>0</v>
      </c>
      <c r="Q105">
        <f>SUMIF(DeadRaw!$B:$B,$B105,DeadRaw!S:S)</f>
        <v>0</v>
      </c>
      <c r="R105">
        <f>SUMIF(DeadRaw!$B:$B,$B105,DeadRaw!T:T)</f>
        <v>0</v>
      </c>
      <c r="S105">
        <f>SUMIF(DeadRaw!$B:$B,$B105,DeadRaw!U:U)</f>
        <v>0</v>
      </c>
      <c r="T105">
        <f>SUMIF(DeadRaw!$B:$B,$B105,DeadRaw!V:V)</f>
        <v>0</v>
      </c>
      <c r="U105">
        <f>SUMIF(DeadRaw!$B:$B,$B105,DeadRaw!W:W)</f>
        <v>0</v>
      </c>
      <c r="V105">
        <f>SUMIF(DeadRaw!$B:$B,$B105,DeadRaw!X:X)</f>
        <v>0</v>
      </c>
      <c r="W105">
        <f>SUMIF(DeadRaw!$B:$B,$B105,DeadRaw!Y:Y)</f>
        <v>0</v>
      </c>
      <c r="X105">
        <f>SUMIF(DeadRaw!$B:$B,$B105,DeadRaw!Z:Z)</f>
        <v>0</v>
      </c>
      <c r="Y105">
        <f>SUMIF(DeadRaw!$B:$B,$B105,DeadRaw!AA:AA)</f>
        <v>0</v>
      </c>
      <c r="Z105">
        <f>SUMIF(DeadRaw!$B:$B,$B105,DeadRaw!AB:AB)</f>
        <v>0</v>
      </c>
      <c r="AA105">
        <f>SUMIF(DeadRaw!$B:$B,$B105,DeadRaw!AC:AC)</f>
        <v>0</v>
      </c>
      <c r="AB105">
        <f>SUMIF(DeadRaw!$B:$B,$B105,DeadRaw!AD:AD)</f>
        <v>0</v>
      </c>
      <c r="AC105">
        <f>SUMIF(DeadRaw!$B:$B,$B105,DeadRaw!AE:AE)</f>
        <v>0</v>
      </c>
      <c r="AD105">
        <f>SUMIF(DeadRaw!$B:$B,$B105,DeadRaw!AF:AF)</f>
        <v>0</v>
      </c>
      <c r="AE105">
        <f>SUMIF(DeadRaw!$B:$B,$B105,DeadRaw!AG:AG)</f>
        <v>0</v>
      </c>
      <c r="AF105">
        <f>SUMIF(DeadRaw!$B:$B,$B105,DeadRaw!AH:AH)</f>
        <v>0</v>
      </c>
      <c r="AG105">
        <f>SUMIF(DeadRaw!$B:$B,$B105,DeadRaw!AI:AI)</f>
        <v>0</v>
      </c>
      <c r="AH105">
        <f>SUMIF(DeadRaw!$B:$B,$B105,DeadRaw!AJ:AJ)</f>
        <v>0</v>
      </c>
      <c r="AI105">
        <f>SUMIF(DeadRaw!$B:$B,$B105,DeadRaw!AK:AK)</f>
        <v>0</v>
      </c>
      <c r="AJ105">
        <f>SUMIF(DeadRaw!$B:$B,$B105,DeadRaw!AL:AL)</f>
        <v>0</v>
      </c>
      <c r="AK105">
        <f>SUMIF(DeadRaw!$B:$B,$B105,DeadRaw!AM:AM)</f>
        <v>0</v>
      </c>
      <c r="AL105">
        <f>SUMIF(DeadRaw!$B:$B,$B105,DeadRaw!AN:AN)</f>
        <v>0</v>
      </c>
      <c r="AM105">
        <f>SUMIF(DeadRaw!$B:$B,$B105,DeadRaw!AO:AO)</f>
        <v>0</v>
      </c>
      <c r="AN105">
        <f>SUMIF(DeadRaw!$B:$B,$B105,DeadRaw!AP:AP)</f>
        <v>0</v>
      </c>
      <c r="AO105">
        <f>SUMIF(DeadRaw!$B:$B,$B105,DeadRaw!AQ:AQ)</f>
        <v>0</v>
      </c>
      <c r="AP105">
        <f>SUMIF(DeadRaw!$B:$B,$B105,DeadRaw!AR:AR)</f>
        <v>0</v>
      </c>
      <c r="AQ105">
        <f>SUMIF(DeadRaw!$B:$B,$B105,DeadRaw!AS:AS)</f>
        <v>0</v>
      </c>
      <c r="AR105">
        <f>SUMIF(DeadRaw!$B:$B,$B105,DeadRaw!AT:AT)</f>
        <v>0</v>
      </c>
      <c r="AS105">
        <f>SUMIF(DeadRaw!$B:$B,$B105,DeadRaw!AU:AU)</f>
        <v>0</v>
      </c>
      <c r="AT105">
        <f>SUMIF(DeadRaw!$B:$B,$B105,DeadRaw!AV:AV)</f>
        <v>0</v>
      </c>
      <c r="AU105">
        <f>SUMIF(DeadRaw!$B:$B,$B105,DeadRaw!AW:AW)</f>
        <v>0</v>
      </c>
      <c r="AV105">
        <f>SUMIF(DeadRaw!$B:$B,$B105,DeadRaw!AX:AX)</f>
        <v>0</v>
      </c>
      <c r="AW105">
        <f>SUMIF(DeadRaw!$B:$B,$B105,DeadRaw!AY:AY)</f>
        <v>0</v>
      </c>
      <c r="AX105">
        <f>SUMIF(DeadRaw!$B:$B,$B105,DeadRaw!AZ:AZ)</f>
        <v>0</v>
      </c>
      <c r="AY105">
        <f>SUMIF(DeadRaw!$B:$B,$B105,DeadRaw!BA:BA)</f>
        <v>0</v>
      </c>
      <c r="AZ105">
        <f>SUMIF(DeadRaw!$B:$B,$B105,DeadRaw!BB:BB)</f>
        <v>0</v>
      </c>
      <c r="BA105">
        <f>SUMIF(DeadRaw!$B:$B,$B105,DeadRaw!BC:BC)</f>
        <v>0</v>
      </c>
      <c r="BB105">
        <f>SUMIF(DeadRaw!$B:$B,$B105,DeadRaw!BD:BD)</f>
        <v>0</v>
      </c>
      <c r="BC105">
        <f>SUMIF(DeadRaw!$B:$B,$B105,DeadRaw!BE:BE)</f>
        <v>0</v>
      </c>
      <c r="BD105">
        <f>SUMIF(DeadRaw!$B:$B,$B105,DeadRaw!BF:BF)</f>
        <v>0</v>
      </c>
      <c r="BE105">
        <f>SUMIF(DeadRaw!$B:$B,$B105,DeadRaw!BG:BG)</f>
        <v>0</v>
      </c>
      <c r="BF105">
        <f>SUMIF(DeadRaw!$B:$B,$B105,DeadRaw!BH:BH)</f>
        <v>0</v>
      </c>
      <c r="BG105">
        <f>SUMIF(DeadRaw!$B:$B,$B105,DeadRaw!BI:BI)</f>
        <v>0</v>
      </c>
      <c r="BH105">
        <f>SUMIF(DeadRaw!$B:$B,$B105,DeadRaw!BJ:BJ)</f>
        <v>0</v>
      </c>
      <c r="BI105">
        <f>SUMIF(DeadRaw!$B:$B,$B105,DeadRaw!BK:BK)</f>
        <v>0</v>
      </c>
      <c r="BJ105">
        <f>SUMIF(DeadRaw!$B:$B,$B105,DeadRaw!BL:BL)</f>
        <v>0</v>
      </c>
      <c r="BK105">
        <f>SUMIF(DeadRaw!$B:$B,$B105,DeadRaw!BM:BM)</f>
        <v>0</v>
      </c>
      <c r="BL105">
        <f>SUMIF(DeadRaw!$B:$B,$B105,DeadRaw!BN:BN)</f>
        <v>0</v>
      </c>
      <c r="BM105">
        <f>SUMIF(DeadRaw!$B:$B,$B105,DeadRaw!BO:BO)</f>
        <v>0</v>
      </c>
      <c r="BN105">
        <f>SUMIF(DeadRaw!$B:$B,$B105,DeadRaw!BP:BP)</f>
        <v>1</v>
      </c>
      <c r="BO105">
        <f>SUMIF(DeadRaw!$B:$B,$B105,DeadRaw!BQ:BQ)</f>
        <v>1</v>
      </c>
      <c r="BP105">
        <f>SUMIF(DeadRaw!$B:$B,$B105,DeadRaw!BR:BR)</f>
        <v>2</v>
      </c>
      <c r="BQ105">
        <f>SUMIF(DeadRaw!$B:$B,$B105,DeadRaw!BS:BS)</f>
        <v>2</v>
      </c>
      <c r="BR105">
        <f>SUMIF(DeadRaw!$B:$B,$B105,DeadRaw!BT:BT)</f>
        <v>0</v>
      </c>
      <c r="BS105">
        <f>SUMIF(DeadRaw!$B:$B,$B105,DeadRaw!BU:BU)</f>
        <v>0</v>
      </c>
      <c r="BT105">
        <f>SUMIF(DeadRaw!$B:$B,$B105,DeadRaw!BV:BV)</f>
        <v>0</v>
      </c>
      <c r="BU105">
        <f>SUMIF(DeadRaw!$B:$B,$B105,DeadRaw!BW:BW)</f>
        <v>0</v>
      </c>
    </row>
    <row r="106" spans="1:73" ht="15" thickBot="1" x14ac:dyDescent="0.35">
      <c r="A106" s="97" t="str">
        <f>VLOOKUP(B106,Country_Data!B:Q,16,FALSE)</f>
        <v>Africa</v>
      </c>
      <c r="B106" s="4" t="s">
        <v>351</v>
      </c>
      <c r="C106">
        <f>SUMIF(DeadRaw!$B:$B,$B106,DeadRaw!E:E)</f>
        <v>0</v>
      </c>
      <c r="D106">
        <f>SUMIF(DeadRaw!$B:$B,$B106,DeadRaw!F:F)</f>
        <v>0</v>
      </c>
      <c r="E106">
        <f>SUMIF(DeadRaw!$B:$B,$B106,DeadRaw!G:G)</f>
        <v>0</v>
      </c>
      <c r="F106">
        <f>SUMIF(DeadRaw!$B:$B,$B106,DeadRaw!H:H)</f>
        <v>0</v>
      </c>
      <c r="G106">
        <f>SUMIF(DeadRaw!$B:$B,$B106,DeadRaw!I:I)</f>
        <v>0</v>
      </c>
      <c r="H106">
        <f>SUMIF(DeadRaw!$B:$B,$B106,DeadRaw!J:J)</f>
        <v>0</v>
      </c>
      <c r="I106">
        <f>SUMIF(DeadRaw!$B:$B,$B106,DeadRaw!K:K)</f>
        <v>0</v>
      </c>
      <c r="J106">
        <f>SUMIF(DeadRaw!$B:$B,$B106,DeadRaw!L:L)</f>
        <v>0</v>
      </c>
      <c r="K106">
        <f>SUMIF(DeadRaw!$B:$B,$B106,DeadRaw!M:M)</f>
        <v>0</v>
      </c>
      <c r="L106">
        <f>SUMIF(DeadRaw!$B:$B,$B106,DeadRaw!N:N)</f>
        <v>0</v>
      </c>
      <c r="M106">
        <f>SUMIF(DeadRaw!$B:$B,$B106,DeadRaw!O:O)</f>
        <v>0</v>
      </c>
      <c r="N106">
        <f>SUMIF(DeadRaw!$B:$B,$B106,DeadRaw!P:P)</f>
        <v>0</v>
      </c>
      <c r="O106">
        <f>SUMIF(DeadRaw!$B:$B,$B106,DeadRaw!Q:Q)</f>
        <v>0</v>
      </c>
      <c r="P106">
        <f>SUMIF(DeadRaw!$B:$B,$B106,DeadRaw!R:R)</f>
        <v>0</v>
      </c>
      <c r="Q106">
        <f>SUMIF(DeadRaw!$B:$B,$B106,DeadRaw!S:S)</f>
        <v>0</v>
      </c>
      <c r="R106">
        <f>SUMIF(DeadRaw!$B:$B,$B106,DeadRaw!T:T)</f>
        <v>0</v>
      </c>
      <c r="S106">
        <f>SUMIF(DeadRaw!$B:$B,$B106,DeadRaw!U:U)</f>
        <v>0</v>
      </c>
      <c r="T106">
        <f>SUMIF(DeadRaw!$B:$B,$B106,DeadRaw!V:V)</f>
        <v>0</v>
      </c>
      <c r="U106">
        <f>SUMIF(DeadRaw!$B:$B,$B106,DeadRaw!W:W)</f>
        <v>0</v>
      </c>
      <c r="V106">
        <f>SUMIF(DeadRaw!$B:$B,$B106,DeadRaw!X:X)</f>
        <v>0</v>
      </c>
      <c r="W106">
        <f>SUMIF(DeadRaw!$B:$B,$B106,DeadRaw!Y:Y)</f>
        <v>0</v>
      </c>
      <c r="X106">
        <f>SUMIF(DeadRaw!$B:$B,$B106,DeadRaw!Z:Z)</f>
        <v>0</v>
      </c>
      <c r="Y106">
        <f>SUMIF(DeadRaw!$B:$B,$B106,DeadRaw!AA:AA)</f>
        <v>0</v>
      </c>
      <c r="Z106">
        <f>SUMIF(DeadRaw!$B:$B,$B106,DeadRaw!AB:AB)</f>
        <v>0</v>
      </c>
      <c r="AA106">
        <f>SUMIF(DeadRaw!$B:$B,$B106,DeadRaw!AC:AC)</f>
        <v>0</v>
      </c>
      <c r="AB106">
        <f>SUMIF(DeadRaw!$B:$B,$B106,DeadRaw!AD:AD)</f>
        <v>0</v>
      </c>
      <c r="AC106">
        <f>SUMIF(DeadRaw!$B:$B,$B106,DeadRaw!AE:AE)</f>
        <v>0</v>
      </c>
      <c r="AD106">
        <f>SUMIF(DeadRaw!$B:$B,$B106,DeadRaw!AF:AF)</f>
        <v>0</v>
      </c>
      <c r="AE106">
        <f>SUMIF(DeadRaw!$B:$B,$B106,DeadRaw!AG:AG)</f>
        <v>0</v>
      </c>
      <c r="AF106">
        <f>SUMIF(DeadRaw!$B:$B,$B106,DeadRaw!AH:AH)</f>
        <v>0</v>
      </c>
      <c r="AG106">
        <f>SUMIF(DeadRaw!$B:$B,$B106,DeadRaw!AI:AI)</f>
        <v>0</v>
      </c>
      <c r="AH106">
        <f>SUMIF(DeadRaw!$B:$B,$B106,DeadRaw!AJ:AJ)</f>
        <v>0</v>
      </c>
      <c r="AI106">
        <f>SUMIF(DeadRaw!$B:$B,$B106,DeadRaw!AK:AK)</f>
        <v>0</v>
      </c>
      <c r="AJ106">
        <f>SUMIF(DeadRaw!$B:$B,$B106,DeadRaw!AL:AL)</f>
        <v>0</v>
      </c>
      <c r="AK106">
        <f>SUMIF(DeadRaw!$B:$B,$B106,DeadRaw!AM:AM)</f>
        <v>0</v>
      </c>
      <c r="AL106">
        <f>SUMIF(DeadRaw!$B:$B,$B106,DeadRaw!AN:AN)</f>
        <v>0</v>
      </c>
      <c r="AM106">
        <f>SUMIF(DeadRaw!$B:$B,$B106,DeadRaw!AO:AO)</f>
        <v>0</v>
      </c>
      <c r="AN106">
        <f>SUMIF(DeadRaw!$B:$B,$B106,DeadRaw!AP:AP)</f>
        <v>0</v>
      </c>
      <c r="AO106">
        <f>SUMIF(DeadRaw!$B:$B,$B106,DeadRaw!AQ:AQ)</f>
        <v>0</v>
      </c>
      <c r="AP106">
        <f>SUMIF(DeadRaw!$B:$B,$B106,DeadRaw!AR:AR)</f>
        <v>0</v>
      </c>
      <c r="AQ106">
        <f>SUMIF(DeadRaw!$B:$B,$B106,DeadRaw!AS:AS)</f>
        <v>0</v>
      </c>
      <c r="AR106">
        <f>SUMIF(DeadRaw!$B:$B,$B106,DeadRaw!AT:AT)</f>
        <v>0</v>
      </c>
      <c r="AS106">
        <f>SUMIF(DeadRaw!$B:$B,$B106,DeadRaw!AU:AU)</f>
        <v>0</v>
      </c>
      <c r="AT106">
        <f>SUMIF(DeadRaw!$B:$B,$B106,DeadRaw!AV:AV)</f>
        <v>0</v>
      </c>
      <c r="AU106">
        <f>SUMIF(DeadRaw!$B:$B,$B106,DeadRaw!AW:AW)</f>
        <v>0</v>
      </c>
      <c r="AV106">
        <f>SUMIF(DeadRaw!$B:$B,$B106,DeadRaw!AX:AX)</f>
        <v>0</v>
      </c>
      <c r="AW106">
        <f>SUMIF(DeadRaw!$B:$B,$B106,DeadRaw!AY:AY)</f>
        <v>0</v>
      </c>
      <c r="AX106">
        <f>SUMIF(DeadRaw!$B:$B,$B106,DeadRaw!AZ:AZ)</f>
        <v>0</v>
      </c>
      <c r="AY106">
        <f>SUMIF(DeadRaw!$B:$B,$B106,DeadRaw!BA:BA)</f>
        <v>0</v>
      </c>
      <c r="AZ106">
        <f>SUMIF(DeadRaw!$B:$B,$B106,DeadRaw!BB:BB)</f>
        <v>0</v>
      </c>
      <c r="BA106">
        <f>SUMIF(DeadRaw!$B:$B,$B106,DeadRaw!BC:BC)</f>
        <v>0</v>
      </c>
      <c r="BB106">
        <f>SUMIF(DeadRaw!$B:$B,$B106,DeadRaw!BD:BD)</f>
        <v>0</v>
      </c>
      <c r="BC106">
        <f>SUMIF(DeadRaw!$B:$B,$B106,DeadRaw!BE:BE)</f>
        <v>0</v>
      </c>
      <c r="BD106">
        <f>SUMIF(DeadRaw!$B:$B,$B106,DeadRaw!BF:BF)</f>
        <v>0</v>
      </c>
      <c r="BE106">
        <f>SUMIF(DeadRaw!$B:$B,$B106,DeadRaw!BG:BG)</f>
        <v>0</v>
      </c>
      <c r="BF106">
        <f>SUMIF(DeadRaw!$B:$B,$B106,DeadRaw!BH:BH)</f>
        <v>0</v>
      </c>
      <c r="BG106">
        <f>SUMIF(DeadRaw!$B:$B,$B106,DeadRaw!BI:BI)</f>
        <v>0</v>
      </c>
      <c r="BH106">
        <f>SUMIF(DeadRaw!$B:$B,$B106,DeadRaw!BJ:BJ)</f>
        <v>0</v>
      </c>
      <c r="BI106">
        <f>SUMIF(DeadRaw!$B:$B,$B106,DeadRaw!BK:BK)</f>
        <v>0</v>
      </c>
      <c r="BJ106">
        <f>SUMIF(DeadRaw!$B:$B,$B106,DeadRaw!BL:BL)</f>
        <v>1</v>
      </c>
      <c r="BK106">
        <f>SUMIF(DeadRaw!$B:$B,$B106,DeadRaw!BM:BM)</f>
        <v>1</v>
      </c>
      <c r="BL106">
        <f>SUMIF(DeadRaw!$B:$B,$B106,DeadRaw!BN:BN)</f>
        <v>1</v>
      </c>
      <c r="BM106">
        <f>SUMIF(DeadRaw!$B:$B,$B106,DeadRaw!BO:BO)</f>
        <v>2</v>
      </c>
      <c r="BN106">
        <f>SUMIF(DeadRaw!$B:$B,$B106,DeadRaw!BP:BP)</f>
        <v>2</v>
      </c>
      <c r="BO106">
        <f>SUMIF(DeadRaw!$B:$B,$B106,DeadRaw!BQ:BQ)</f>
        <v>3</v>
      </c>
      <c r="BP106">
        <f>SUMIF(DeadRaw!$B:$B,$B106,DeadRaw!BR:BR)</f>
        <v>3</v>
      </c>
      <c r="BQ106">
        <f>SUMIF(DeadRaw!$B:$B,$B106,DeadRaw!BS:BS)</f>
        <v>6</v>
      </c>
      <c r="BR106">
        <f>SUMIF(DeadRaw!$B:$B,$B106,DeadRaw!BT:BT)</f>
        <v>0</v>
      </c>
      <c r="BS106">
        <f>SUMIF(DeadRaw!$B:$B,$B106,DeadRaw!BU:BU)</f>
        <v>0</v>
      </c>
      <c r="BT106">
        <f>SUMIF(DeadRaw!$B:$B,$B106,DeadRaw!BV:BV)</f>
        <v>0</v>
      </c>
      <c r="BU106">
        <f>SUMIF(DeadRaw!$B:$B,$B106,DeadRaw!BW:BW)</f>
        <v>0</v>
      </c>
    </row>
    <row r="107" spans="1:73" ht="15" thickBot="1" x14ac:dyDescent="0.35">
      <c r="A107" s="97" t="str">
        <f>VLOOKUP(B107,Country_Data!B:Q,16,FALSE)</f>
        <v>South America</v>
      </c>
      <c r="B107" s="4" t="s">
        <v>348</v>
      </c>
      <c r="C107">
        <f>SUMIF(DeadRaw!$B:$B,$B107,DeadRaw!E:E)</f>
        <v>0</v>
      </c>
      <c r="D107">
        <f>SUMIF(DeadRaw!$B:$B,$B107,DeadRaw!F:F)</f>
        <v>0</v>
      </c>
      <c r="E107">
        <f>SUMIF(DeadRaw!$B:$B,$B107,DeadRaw!G:G)</f>
        <v>0</v>
      </c>
      <c r="F107">
        <f>SUMIF(DeadRaw!$B:$B,$B107,DeadRaw!H:H)</f>
        <v>0</v>
      </c>
      <c r="G107">
        <f>SUMIF(DeadRaw!$B:$B,$B107,DeadRaw!I:I)</f>
        <v>0</v>
      </c>
      <c r="H107">
        <f>SUMIF(DeadRaw!$B:$B,$B107,DeadRaw!J:J)</f>
        <v>0</v>
      </c>
      <c r="I107">
        <f>SUMIF(DeadRaw!$B:$B,$B107,DeadRaw!K:K)</f>
        <v>0</v>
      </c>
      <c r="J107">
        <f>SUMIF(DeadRaw!$B:$B,$B107,DeadRaw!L:L)</f>
        <v>0</v>
      </c>
      <c r="K107">
        <f>SUMIF(DeadRaw!$B:$B,$B107,DeadRaw!M:M)</f>
        <v>0</v>
      </c>
      <c r="L107">
        <f>SUMIF(DeadRaw!$B:$B,$B107,DeadRaw!N:N)</f>
        <v>0</v>
      </c>
      <c r="M107">
        <f>SUMIF(DeadRaw!$B:$B,$B107,DeadRaw!O:O)</f>
        <v>0</v>
      </c>
      <c r="N107">
        <f>SUMIF(DeadRaw!$B:$B,$B107,DeadRaw!P:P)</f>
        <v>0</v>
      </c>
      <c r="O107">
        <f>SUMIF(DeadRaw!$B:$B,$B107,DeadRaw!Q:Q)</f>
        <v>0</v>
      </c>
      <c r="P107">
        <f>SUMIF(DeadRaw!$B:$B,$B107,DeadRaw!R:R)</f>
        <v>0</v>
      </c>
      <c r="Q107">
        <f>SUMIF(DeadRaw!$B:$B,$B107,DeadRaw!S:S)</f>
        <v>0</v>
      </c>
      <c r="R107">
        <f>SUMIF(DeadRaw!$B:$B,$B107,DeadRaw!T:T)</f>
        <v>0</v>
      </c>
      <c r="S107">
        <f>SUMIF(DeadRaw!$B:$B,$B107,DeadRaw!U:U)</f>
        <v>0</v>
      </c>
      <c r="T107">
        <f>SUMIF(DeadRaw!$B:$B,$B107,DeadRaw!V:V)</f>
        <v>0</v>
      </c>
      <c r="U107">
        <f>SUMIF(DeadRaw!$B:$B,$B107,DeadRaw!W:W)</f>
        <v>0</v>
      </c>
      <c r="V107">
        <f>SUMIF(DeadRaw!$B:$B,$B107,DeadRaw!X:X)</f>
        <v>0</v>
      </c>
      <c r="W107">
        <f>SUMIF(DeadRaw!$B:$B,$B107,DeadRaw!Y:Y)</f>
        <v>0</v>
      </c>
      <c r="X107">
        <f>SUMIF(DeadRaw!$B:$B,$B107,DeadRaw!Z:Z)</f>
        <v>0</v>
      </c>
      <c r="Y107">
        <f>SUMIF(DeadRaw!$B:$B,$B107,DeadRaw!AA:AA)</f>
        <v>0</v>
      </c>
      <c r="Z107">
        <f>SUMIF(DeadRaw!$B:$B,$B107,DeadRaw!AB:AB)</f>
        <v>0</v>
      </c>
      <c r="AA107">
        <f>SUMIF(DeadRaw!$B:$B,$B107,DeadRaw!AC:AC)</f>
        <v>0</v>
      </c>
      <c r="AB107">
        <f>SUMIF(DeadRaw!$B:$B,$B107,DeadRaw!AD:AD)</f>
        <v>0</v>
      </c>
      <c r="AC107">
        <f>SUMIF(DeadRaw!$B:$B,$B107,DeadRaw!AE:AE)</f>
        <v>0</v>
      </c>
      <c r="AD107">
        <f>SUMIF(DeadRaw!$B:$B,$B107,DeadRaw!AF:AF)</f>
        <v>0</v>
      </c>
      <c r="AE107">
        <f>SUMIF(DeadRaw!$B:$B,$B107,DeadRaw!AG:AG)</f>
        <v>0</v>
      </c>
      <c r="AF107">
        <f>SUMIF(DeadRaw!$B:$B,$B107,DeadRaw!AH:AH)</f>
        <v>0</v>
      </c>
      <c r="AG107">
        <f>SUMIF(DeadRaw!$B:$B,$B107,DeadRaw!AI:AI)</f>
        <v>0</v>
      </c>
      <c r="AH107">
        <f>SUMIF(DeadRaw!$B:$B,$B107,DeadRaw!AJ:AJ)</f>
        <v>0</v>
      </c>
      <c r="AI107">
        <f>SUMIF(DeadRaw!$B:$B,$B107,DeadRaw!AK:AK)</f>
        <v>0</v>
      </c>
      <c r="AJ107">
        <f>SUMIF(DeadRaw!$B:$B,$B107,DeadRaw!AL:AL)</f>
        <v>0</v>
      </c>
      <c r="AK107">
        <f>SUMIF(DeadRaw!$B:$B,$B107,DeadRaw!AM:AM)</f>
        <v>0</v>
      </c>
      <c r="AL107">
        <f>SUMIF(DeadRaw!$B:$B,$B107,DeadRaw!AN:AN)</f>
        <v>0</v>
      </c>
      <c r="AM107">
        <f>SUMIF(DeadRaw!$B:$B,$B107,DeadRaw!AO:AO)</f>
        <v>0</v>
      </c>
      <c r="AN107">
        <f>SUMIF(DeadRaw!$B:$B,$B107,DeadRaw!AP:AP)</f>
        <v>0</v>
      </c>
      <c r="AO107">
        <f>SUMIF(DeadRaw!$B:$B,$B107,DeadRaw!AQ:AQ)</f>
        <v>0</v>
      </c>
      <c r="AP107">
        <f>SUMIF(DeadRaw!$B:$B,$B107,DeadRaw!AR:AR)</f>
        <v>0</v>
      </c>
      <c r="AQ107">
        <f>SUMIF(DeadRaw!$B:$B,$B107,DeadRaw!AS:AS)</f>
        <v>0</v>
      </c>
      <c r="AR107">
        <f>SUMIF(DeadRaw!$B:$B,$B107,DeadRaw!AT:AT)</f>
        <v>0</v>
      </c>
      <c r="AS107">
        <f>SUMIF(DeadRaw!$B:$B,$B107,DeadRaw!AU:AU)</f>
        <v>0</v>
      </c>
      <c r="AT107">
        <f>SUMIF(DeadRaw!$B:$B,$B107,DeadRaw!AV:AV)</f>
        <v>0</v>
      </c>
      <c r="AU107">
        <f>SUMIF(DeadRaw!$B:$B,$B107,DeadRaw!AW:AW)</f>
        <v>0</v>
      </c>
      <c r="AV107">
        <f>SUMIF(DeadRaw!$B:$B,$B107,DeadRaw!AX:AX)</f>
        <v>0</v>
      </c>
      <c r="AW107">
        <f>SUMIF(DeadRaw!$B:$B,$B107,DeadRaw!AY:AY)</f>
        <v>0</v>
      </c>
      <c r="AX107">
        <f>SUMIF(DeadRaw!$B:$B,$B107,DeadRaw!AZ:AZ)</f>
        <v>0</v>
      </c>
      <c r="AY107">
        <f>SUMIF(DeadRaw!$B:$B,$B107,DeadRaw!BA:BA)</f>
        <v>0</v>
      </c>
      <c r="AZ107">
        <f>SUMIF(DeadRaw!$B:$B,$B107,DeadRaw!BB:BB)</f>
        <v>0</v>
      </c>
      <c r="BA107">
        <f>SUMIF(DeadRaw!$B:$B,$B107,DeadRaw!BC:BC)</f>
        <v>0</v>
      </c>
      <c r="BB107">
        <f>SUMIF(DeadRaw!$B:$B,$B107,DeadRaw!BD:BD)</f>
        <v>0</v>
      </c>
      <c r="BC107">
        <f>SUMIF(DeadRaw!$B:$B,$B107,DeadRaw!BE:BE)</f>
        <v>0</v>
      </c>
      <c r="BD107">
        <f>SUMIF(DeadRaw!$B:$B,$B107,DeadRaw!BF:BF)</f>
        <v>0</v>
      </c>
      <c r="BE107">
        <f>SUMIF(DeadRaw!$B:$B,$B107,DeadRaw!BG:BG)</f>
        <v>0</v>
      </c>
      <c r="BF107">
        <f>SUMIF(DeadRaw!$B:$B,$B107,DeadRaw!BH:BH)</f>
        <v>0</v>
      </c>
      <c r="BG107">
        <f>SUMIF(DeadRaw!$B:$B,$B107,DeadRaw!BI:BI)</f>
        <v>0</v>
      </c>
      <c r="BH107">
        <f>SUMIF(DeadRaw!$B:$B,$B107,DeadRaw!BJ:BJ)</f>
        <v>0</v>
      </c>
      <c r="BI107">
        <f>SUMIF(DeadRaw!$B:$B,$B107,DeadRaw!BK:BK)</f>
        <v>0</v>
      </c>
      <c r="BJ107">
        <f>SUMIF(DeadRaw!$B:$B,$B107,DeadRaw!BL:BL)</f>
        <v>0</v>
      </c>
      <c r="BK107">
        <f>SUMIF(DeadRaw!$B:$B,$B107,DeadRaw!BM:BM)</f>
        <v>0</v>
      </c>
      <c r="BL107">
        <f>SUMIF(DeadRaw!$B:$B,$B107,DeadRaw!BN:BN)</f>
        <v>0</v>
      </c>
      <c r="BM107">
        <f>SUMIF(DeadRaw!$B:$B,$B107,DeadRaw!BO:BO)</f>
        <v>0</v>
      </c>
      <c r="BN107">
        <f>SUMIF(DeadRaw!$B:$B,$B107,DeadRaw!BP:BP)</f>
        <v>0</v>
      </c>
      <c r="BO107">
        <f>SUMIF(DeadRaw!$B:$B,$B107,DeadRaw!BQ:BQ)</f>
        <v>1</v>
      </c>
      <c r="BP107">
        <f>SUMIF(DeadRaw!$B:$B,$B107,DeadRaw!BR:BR)</f>
        <v>1</v>
      </c>
      <c r="BQ107">
        <f>SUMIF(DeadRaw!$B:$B,$B107,DeadRaw!BS:BS)</f>
        <v>1</v>
      </c>
      <c r="BR107">
        <f>SUMIF(DeadRaw!$B:$B,$B107,DeadRaw!BT:BT)</f>
        <v>0</v>
      </c>
      <c r="BS107">
        <f>SUMIF(DeadRaw!$B:$B,$B107,DeadRaw!BU:BU)</f>
        <v>0</v>
      </c>
      <c r="BT107">
        <f>SUMIF(DeadRaw!$B:$B,$B107,DeadRaw!BV:BV)</f>
        <v>0</v>
      </c>
      <c r="BU107">
        <f>SUMIF(DeadRaw!$B:$B,$B107,DeadRaw!BW:BW)</f>
        <v>0</v>
      </c>
    </row>
    <row r="108" spans="1:73" ht="15" thickBot="1" x14ac:dyDescent="0.35">
      <c r="A108" s="97" t="str">
        <f>VLOOKUP(B108,Country_Data!B:Q,16,FALSE)</f>
        <v>Europe</v>
      </c>
      <c r="B108" s="4" t="s">
        <v>100</v>
      </c>
      <c r="C108">
        <f>SUMIF(DeadRaw!$B:$B,$B108,DeadRaw!E:E)</f>
        <v>0</v>
      </c>
      <c r="D108">
        <f>SUMIF(DeadRaw!$B:$B,$B108,DeadRaw!F:F)</f>
        <v>0</v>
      </c>
      <c r="E108">
        <f>SUMIF(DeadRaw!$B:$B,$B108,DeadRaw!G:G)</f>
        <v>0</v>
      </c>
      <c r="F108">
        <f>SUMIF(DeadRaw!$B:$B,$B108,DeadRaw!H:H)</f>
        <v>0</v>
      </c>
      <c r="G108">
        <f>SUMIF(DeadRaw!$B:$B,$B108,DeadRaw!I:I)</f>
        <v>0</v>
      </c>
      <c r="H108">
        <f>SUMIF(DeadRaw!$B:$B,$B108,DeadRaw!J:J)</f>
        <v>0</v>
      </c>
      <c r="I108">
        <f>SUMIF(DeadRaw!$B:$B,$B108,DeadRaw!K:K)</f>
        <v>0</v>
      </c>
      <c r="J108">
        <f>SUMIF(DeadRaw!$B:$B,$B108,DeadRaw!L:L)</f>
        <v>0</v>
      </c>
      <c r="K108">
        <f>SUMIF(DeadRaw!$B:$B,$B108,DeadRaw!M:M)</f>
        <v>0</v>
      </c>
      <c r="L108">
        <f>SUMIF(DeadRaw!$B:$B,$B108,DeadRaw!N:N)</f>
        <v>0</v>
      </c>
      <c r="M108">
        <f>SUMIF(DeadRaw!$B:$B,$B108,DeadRaw!O:O)</f>
        <v>0</v>
      </c>
      <c r="N108">
        <f>SUMIF(DeadRaw!$B:$B,$B108,DeadRaw!P:P)</f>
        <v>0</v>
      </c>
      <c r="O108">
        <f>SUMIF(DeadRaw!$B:$B,$B108,DeadRaw!Q:Q)</f>
        <v>0</v>
      </c>
      <c r="P108">
        <f>SUMIF(DeadRaw!$B:$B,$B108,DeadRaw!R:R)</f>
        <v>0</v>
      </c>
      <c r="Q108">
        <f>SUMIF(DeadRaw!$B:$B,$B108,DeadRaw!S:S)</f>
        <v>0</v>
      </c>
      <c r="R108">
        <f>SUMIF(DeadRaw!$B:$B,$B108,DeadRaw!T:T)</f>
        <v>0</v>
      </c>
      <c r="S108">
        <f>SUMIF(DeadRaw!$B:$B,$B108,DeadRaw!U:U)</f>
        <v>0</v>
      </c>
      <c r="T108">
        <f>SUMIF(DeadRaw!$B:$B,$B108,DeadRaw!V:V)</f>
        <v>0</v>
      </c>
      <c r="U108">
        <f>SUMIF(DeadRaw!$B:$B,$B108,DeadRaw!W:W)</f>
        <v>0</v>
      </c>
      <c r="V108">
        <f>SUMIF(DeadRaw!$B:$B,$B108,DeadRaw!X:X)</f>
        <v>0</v>
      </c>
      <c r="W108">
        <f>SUMIF(DeadRaw!$B:$B,$B108,DeadRaw!Y:Y)</f>
        <v>0</v>
      </c>
      <c r="X108">
        <f>SUMIF(DeadRaw!$B:$B,$B108,DeadRaw!Z:Z)</f>
        <v>0</v>
      </c>
      <c r="Y108">
        <f>SUMIF(DeadRaw!$B:$B,$B108,DeadRaw!AA:AA)</f>
        <v>0</v>
      </c>
      <c r="Z108">
        <f>SUMIF(DeadRaw!$B:$B,$B108,DeadRaw!AB:AB)</f>
        <v>0</v>
      </c>
      <c r="AA108">
        <f>SUMIF(DeadRaw!$B:$B,$B108,DeadRaw!AC:AC)</f>
        <v>0</v>
      </c>
      <c r="AB108">
        <f>SUMIF(DeadRaw!$B:$B,$B108,DeadRaw!AD:AD)</f>
        <v>0</v>
      </c>
      <c r="AC108">
        <f>SUMIF(DeadRaw!$B:$B,$B108,DeadRaw!AE:AE)</f>
        <v>0</v>
      </c>
      <c r="AD108">
        <f>SUMIF(DeadRaw!$B:$B,$B108,DeadRaw!AF:AF)</f>
        <v>0</v>
      </c>
      <c r="AE108">
        <f>SUMIF(DeadRaw!$B:$B,$B108,DeadRaw!AG:AG)</f>
        <v>0</v>
      </c>
      <c r="AF108">
        <f>SUMIF(DeadRaw!$B:$B,$B108,DeadRaw!AH:AH)</f>
        <v>0</v>
      </c>
      <c r="AG108">
        <f>SUMIF(DeadRaw!$B:$B,$B108,DeadRaw!AI:AI)</f>
        <v>0</v>
      </c>
      <c r="AH108">
        <f>SUMIF(DeadRaw!$B:$B,$B108,DeadRaw!AJ:AJ)</f>
        <v>0</v>
      </c>
      <c r="AI108">
        <f>SUMIF(DeadRaw!$B:$B,$B108,DeadRaw!AK:AK)</f>
        <v>0</v>
      </c>
      <c r="AJ108">
        <f>SUMIF(DeadRaw!$B:$B,$B108,DeadRaw!AL:AL)</f>
        <v>0</v>
      </c>
      <c r="AK108">
        <f>SUMIF(DeadRaw!$B:$B,$B108,DeadRaw!AM:AM)</f>
        <v>0</v>
      </c>
      <c r="AL108">
        <f>SUMIF(DeadRaw!$B:$B,$B108,DeadRaw!AN:AN)</f>
        <v>0</v>
      </c>
      <c r="AM108">
        <f>SUMIF(DeadRaw!$B:$B,$B108,DeadRaw!AO:AO)</f>
        <v>0</v>
      </c>
      <c r="AN108">
        <f>SUMIF(DeadRaw!$B:$B,$B108,DeadRaw!AP:AP)</f>
        <v>0</v>
      </c>
      <c r="AO108">
        <f>SUMIF(DeadRaw!$B:$B,$B108,DeadRaw!AQ:AQ)</f>
        <v>0</v>
      </c>
      <c r="AP108">
        <f>SUMIF(DeadRaw!$B:$B,$B108,DeadRaw!AR:AR)</f>
        <v>0</v>
      </c>
      <c r="AQ108">
        <f>SUMIF(DeadRaw!$B:$B,$B108,DeadRaw!AS:AS)</f>
        <v>0</v>
      </c>
      <c r="AR108">
        <f>SUMIF(DeadRaw!$B:$B,$B108,DeadRaw!AT:AT)</f>
        <v>0</v>
      </c>
      <c r="AS108">
        <f>SUMIF(DeadRaw!$B:$B,$B108,DeadRaw!AU:AU)</f>
        <v>0</v>
      </c>
      <c r="AT108">
        <f>SUMIF(DeadRaw!$B:$B,$B108,DeadRaw!AV:AV)</f>
        <v>0</v>
      </c>
      <c r="AU108">
        <f>SUMIF(DeadRaw!$B:$B,$B108,DeadRaw!AW:AW)</f>
        <v>0</v>
      </c>
      <c r="AV108">
        <f>SUMIF(DeadRaw!$B:$B,$B108,DeadRaw!AX:AX)</f>
        <v>0</v>
      </c>
      <c r="AW108">
        <f>SUMIF(DeadRaw!$B:$B,$B108,DeadRaw!AY:AY)</f>
        <v>0</v>
      </c>
      <c r="AX108">
        <f>SUMIF(DeadRaw!$B:$B,$B108,DeadRaw!AZ:AZ)</f>
        <v>0</v>
      </c>
      <c r="AY108">
        <f>SUMIF(DeadRaw!$B:$B,$B108,DeadRaw!BA:BA)</f>
        <v>0</v>
      </c>
      <c r="AZ108">
        <f>SUMIF(DeadRaw!$B:$B,$B108,DeadRaw!BB:BB)</f>
        <v>0</v>
      </c>
      <c r="BA108">
        <f>SUMIF(DeadRaw!$B:$B,$B108,DeadRaw!BC:BC)</f>
        <v>0</v>
      </c>
      <c r="BB108">
        <f>SUMIF(DeadRaw!$B:$B,$B108,DeadRaw!BD:BD)</f>
        <v>0</v>
      </c>
      <c r="BC108">
        <f>SUMIF(DeadRaw!$B:$B,$B108,DeadRaw!BE:BE)</f>
        <v>0</v>
      </c>
      <c r="BD108">
        <f>SUMIF(DeadRaw!$B:$B,$B108,DeadRaw!BF:BF)</f>
        <v>0</v>
      </c>
      <c r="BE108">
        <f>SUMIF(DeadRaw!$B:$B,$B108,DeadRaw!BG:BG)</f>
        <v>0</v>
      </c>
      <c r="BF108">
        <f>SUMIF(DeadRaw!$B:$B,$B108,DeadRaw!BH:BH)</f>
        <v>0</v>
      </c>
      <c r="BG108">
        <f>SUMIF(DeadRaw!$B:$B,$B108,DeadRaw!BI:BI)</f>
        <v>0</v>
      </c>
      <c r="BH108">
        <f>SUMIF(DeadRaw!$B:$B,$B108,DeadRaw!BJ:BJ)</f>
        <v>0</v>
      </c>
      <c r="BI108">
        <f>SUMIF(DeadRaw!$B:$B,$B108,DeadRaw!BK:BK)</f>
        <v>0</v>
      </c>
      <c r="BJ108">
        <f>SUMIF(DeadRaw!$B:$B,$B108,DeadRaw!BL:BL)</f>
        <v>0</v>
      </c>
      <c r="BK108">
        <f>SUMIF(DeadRaw!$B:$B,$B108,DeadRaw!BM:BM)</f>
        <v>0</v>
      </c>
      <c r="BL108">
        <f>SUMIF(DeadRaw!$B:$B,$B108,DeadRaw!BN:BN)</f>
        <v>0</v>
      </c>
      <c r="BM108">
        <f>SUMIF(DeadRaw!$B:$B,$B108,DeadRaw!BO:BO)</f>
        <v>0</v>
      </c>
      <c r="BN108">
        <f>SUMIF(DeadRaw!$B:$B,$B108,DeadRaw!BP:BP)</f>
        <v>0</v>
      </c>
      <c r="BO108">
        <f>SUMIF(DeadRaw!$B:$B,$B108,DeadRaw!BQ:BQ)</f>
        <v>0</v>
      </c>
      <c r="BP108">
        <f>SUMIF(DeadRaw!$B:$B,$B108,DeadRaw!BR:BR)</f>
        <v>0</v>
      </c>
      <c r="BQ108">
        <f>SUMIF(DeadRaw!$B:$B,$B108,DeadRaw!BS:BS)</f>
        <v>0</v>
      </c>
      <c r="BR108">
        <f>SUMIF(DeadRaw!$B:$B,$B108,DeadRaw!BT:BT)</f>
        <v>0</v>
      </c>
      <c r="BS108">
        <f>SUMIF(DeadRaw!$B:$B,$B108,DeadRaw!BU:BU)</f>
        <v>0</v>
      </c>
      <c r="BT108">
        <f>SUMIF(DeadRaw!$B:$B,$B108,DeadRaw!BV:BV)</f>
        <v>0</v>
      </c>
      <c r="BU108">
        <f>SUMIF(DeadRaw!$B:$B,$B108,DeadRaw!BW:BW)</f>
        <v>0</v>
      </c>
    </row>
    <row r="109" spans="1:73" ht="15" thickBot="1" x14ac:dyDescent="0.35">
      <c r="A109" s="97" t="str">
        <f>VLOOKUP(B109,Country_Data!B:Q,16,FALSE)</f>
        <v>Africa</v>
      </c>
      <c r="B109" s="4" t="s">
        <v>96</v>
      </c>
      <c r="C109">
        <f>SUMIF(DeadRaw!$B:$B,$B109,DeadRaw!E:E)</f>
        <v>0</v>
      </c>
      <c r="D109">
        <f>SUMIF(DeadRaw!$B:$B,$B109,DeadRaw!F:F)</f>
        <v>0</v>
      </c>
      <c r="E109">
        <f>SUMIF(DeadRaw!$B:$B,$B109,DeadRaw!G:G)</f>
        <v>0</v>
      </c>
      <c r="F109">
        <f>SUMIF(DeadRaw!$B:$B,$B109,DeadRaw!H:H)</f>
        <v>0</v>
      </c>
      <c r="G109">
        <f>SUMIF(DeadRaw!$B:$B,$B109,DeadRaw!I:I)</f>
        <v>0</v>
      </c>
      <c r="H109">
        <f>SUMIF(DeadRaw!$B:$B,$B109,DeadRaw!J:J)</f>
        <v>0</v>
      </c>
      <c r="I109">
        <f>SUMIF(DeadRaw!$B:$B,$B109,DeadRaw!K:K)</f>
        <v>0</v>
      </c>
      <c r="J109">
        <f>SUMIF(DeadRaw!$B:$B,$B109,DeadRaw!L:L)</f>
        <v>0</v>
      </c>
      <c r="K109">
        <f>SUMIF(DeadRaw!$B:$B,$B109,DeadRaw!M:M)</f>
        <v>0</v>
      </c>
      <c r="L109">
        <f>SUMIF(DeadRaw!$B:$B,$B109,DeadRaw!N:N)</f>
        <v>0</v>
      </c>
      <c r="M109">
        <f>SUMIF(DeadRaw!$B:$B,$B109,DeadRaw!O:O)</f>
        <v>0</v>
      </c>
      <c r="N109">
        <f>SUMIF(DeadRaw!$B:$B,$B109,DeadRaw!P:P)</f>
        <v>0</v>
      </c>
      <c r="O109">
        <f>SUMIF(DeadRaw!$B:$B,$B109,DeadRaw!Q:Q)</f>
        <v>0</v>
      </c>
      <c r="P109">
        <f>SUMIF(DeadRaw!$B:$B,$B109,DeadRaw!R:R)</f>
        <v>0</v>
      </c>
      <c r="Q109">
        <f>SUMIF(DeadRaw!$B:$B,$B109,DeadRaw!S:S)</f>
        <v>0</v>
      </c>
      <c r="R109">
        <f>SUMIF(DeadRaw!$B:$B,$B109,DeadRaw!T:T)</f>
        <v>0</v>
      </c>
      <c r="S109">
        <f>SUMIF(DeadRaw!$B:$B,$B109,DeadRaw!U:U)</f>
        <v>0</v>
      </c>
      <c r="T109">
        <f>SUMIF(DeadRaw!$B:$B,$B109,DeadRaw!V:V)</f>
        <v>0</v>
      </c>
      <c r="U109">
        <f>SUMIF(DeadRaw!$B:$B,$B109,DeadRaw!W:W)</f>
        <v>0</v>
      </c>
      <c r="V109">
        <f>SUMIF(DeadRaw!$B:$B,$B109,DeadRaw!X:X)</f>
        <v>0</v>
      </c>
      <c r="W109">
        <f>SUMIF(DeadRaw!$B:$B,$B109,DeadRaw!Y:Y)</f>
        <v>0</v>
      </c>
      <c r="X109">
        <f>SUMIF(DeadRaw!$B:$B,$B109,DeadRaw!Z:Z)</f>
        <v>0</v>
      </c>
      <c r="Y109">
        <f>SUMIF(DeadRaw!$B:$B,$B109,DeadRaw!AA:AA)</f>
        <v>0</v>
      </c>
      <c r="Z109">
        <f>SUMIF(DeadRaw!$B:$B,$B109,DeadRaw!AB:AB)</f>
        <v>0</v>
      </c>
      <c r="AA109">
        <f>SUMIF(DeadRaw!$B:$B,$B109,DeadRaw!AC:AC)</f>
        <v>0</v>
      </c>
      <c r="AB109">
        <f>SUMIF(DeadRaw!$B:$B,$B109,DeadRaw!AD:AD)</f>
        <v>0</v>
      </c>
      <c r="AC109">
        <f>SUMIF(DeadRaw!$B:$B,$B109,DeadRaw!AE:AE)</f>
        <v>0</v>
      </c>
      <c r="AD109">
        <f>SUMIF(DeadRaw!$B:$B,$B109,DeadRaw!AF:AF)</f>
        <v>0</v>
      </c>
      <c r="AE109">
        <f>SUMIF(DeadRaw!$B:$B,$B109,DeadRaw!AG:AG)</f>
        <v>0</v>
      </c>
      <c r="AF109">
        <f>SUMIF(DeadRaw!$B:$B,$B109,DeadRaw!AH:AH)</f>
        <v>0</v>
      </c>
      <c r="AG109">
        <f>SUMIF(DeadRaw!$B:$B,$B109,DeadRaw!AI:AI)</f>
        <v>0</v>
      </c>
      <c r="AH109">
        <f>SUMIF(DeadRaw!$B:$B,$B109,DeadRaw!AJ:AJ)</f>
        <v>0</v>
      </c>
      <c r="AI109">
        <f>SUMIF(DeadRaw!$B:$B,$B109,DeadRaw!AK:AK)</f>
        <v>0</v>
      </c>
      <c r="AJ109">
        <f>SUMIF(DeadRaw!$B:$B,$B109,DeadRaw!AL:AL)</f>
        <v>0</v>
      </c>
      <c r="AK109">
        <f>SUMIF(DeadRaw!$B:$B,$B109,DeadRaw!AM:AM)</f>
        <v>0</v>
      </c>
      <c r="AL109">
        <f>SUMIF(DeadRaw!$B:$B,$B109,DeadRaw!AN:AN)</f>
        <v>0</v>
      </c>
      <c r="AM109">
        <f>SUMIF(DeadRaw!$B:$B,$B109,DeadRaw!AO:AO)</f>
        <v>0</v>
      </c>
      <c r="AN109">
        <f>SUMIF(DeadRaw!$B:$B,$B109,DeadRaw!AP:AP)</f>
        <v>0</v>
      </c>
      <c r="AO109">
        <f>SUMIF(DeadRaw!$B:$B,$B109,DeadRaw!AQ:AQ)</f>
        <v>0</v>
      </c>
      <c r="AP109">
        <f>SUMIF(DeadRaw!$B:$B,$B109,DeadRaw!AR:AR)</f>
        <v>0</v>
      </c>
      <c r="AQ109">
        <f>SUMIF(DeadRaw!$B:$B,$B109,DeadRaw!AS:AS)</f>
        <v>0</v>
      </c>
      <c r="AR109">
        <f>SUMIF(DeadRaw!$B:$B,$B109,DeadRaw!AT:AT)</f>
        <v>0</v>
      </c>
      <c r="AS109">
        <f>SUMIF(DeadRaw!$B:$B,$B109,DeadRaw!AU:AU)</f>
        <v>0</v>
      </c>
      <c r="AT109">
        <f>SUMIF(DeadRaw!$B:$B,$B109,DeadRaw!AV:AV)</f>
        <v>0</v>
      </c>
      <c r="AU109">
        <f>SUMIF(DeadRaw!$B:$B,$B109,DeadRaw!AW:AW)</f>
        <v>0</v>
      </c>
      <c r="AV109">
        <f>SUMIF(DeadRaw!$B:$B,$B109,DeadRaw!AX:AX)</f>
        <v>0</v>
      </c>
      <c r="AW109">
        <f>SUMIF(DeadRaw!$B:$B,$B109,DeadRaw!AY:AY)</f>
        <v>0</v>
      </c>
      <c r="AX109">
        <f>SUMIF(DeadRaw!$B:$B,$B109,DeadRaw!AZ:AZ)</f>
        <v>0</v>
      </c>
      <c r="AY109">
        <f>SUMIF(DeadRaw!$B:$B,$B109,DeadRaw!BA:BA)</f>
        <v>0</v>
      </c>
      <c r="AZ109">
        <f>SUMIF(DeadRaw!$B:$B,$B109,DeadRaw!BB:BB)</f>
        <v>0</v>
      </c>
      <c r="BA109">
        <f>SUMIF(DeadRaw!$B:$B,$B109,DeadRaw!BC:BC)</f>
        <v>0</v>
      </c>
      <c r="BB109">
        <f>SUMIF(DeadRaw!$B:$B,$B109,DeadRaw!BD:BD)</f>
        <v>0</v>
      </c>
      <c r="BC109">
        <f>SUMIF(DeadRaw!$B:$B,$B109,DeadRaw!BE:BE)</f>
        <v>0</v>
      </c>
      <c r="BD109">
        <f>SUMIF(DeadRaw!$B:$B,$B109,DeadRaw!BF:BF)</f>
        <v>0</v>
      </c>
      <c r="BE109">
        <f>SUMIF(DeadRaw!$B:$B,$B109,DeadRaw!BG:BG)</f>
        <v>0</v>
      </c>
      <c r="BF109">
        <f>SUMIF(DeadRaw!$B:$B,$B109,DeadRaw!BH:BH)</f>
        <v>0</v>
      </c>
      <c r="BG109">
        <f>SUMIF(DeadRaw!$B:$B,$B109,DeadRaw!BI:BI)</f>
        <v>0</v>
      </c>
      <c r="BH109">
        <f>SUMIF(DeadRaw!$B:$B,$B109,DeadRaw!BJ:BJ)</f>
        <v>0</v>
      </c>
      <c r="BI109">
        <f>SUMIF(DeadRaw!$B:$B,$B109,DeadRaw!BK:BK)</f>
        <v>0</v>
      </c>
      <c r="BJ109">
        <f>SUMIF(DeadRaw!$B:$B,$B109,DeadRaw!BL:BL)</f>
        <v>0</v>
      </c>
      <c r="BK109">
        <f>SUMIF(DeadRaw!$B:$B,$B109,DeadRaw!BM:BM)</f>
        <v>0</v>
      </c>
      <c r="BL109">
        <f>SUMIF(DeadRaw!$B:$B,$B109,DeadRaw!BN:BN)</f>
        <v>1</v>
      </c>
      <c r="BM109">
        <f>SUMIF(DeadRaw!$B:$B,$B109,DeadRaw!BO:BO)</f>
        <v>1</v>
      </c>
      <c r="BN109">
        <f>SUMIF(DeadRaw!$B:$B,$B109,DeadRaw!BP:BP)</f>
        <v>1</v>
      </c>
      <c r="BO109">
        <f>SUMIF(DeadRaw!$B:$B,$B109,DeadRaw!BQ:BQ)</f>
        <v>1</v>
      </c>
      <c r="BP109">
        <f>SUMIF(DeadRaw!$B:$B,$B109,DeadRaw!BR:BR)</f>
        <v>1</v>
      </c>
      <c r="BQ109">
        <f>SUMIF(DeadRaw!$B:$B,$B109,DeadRaw!BS:BS)</f>
        <v>1</v>
      </c>
      <c r="BR109">
        <f>SUMIF(DeadRaw!$B:$B,$B109,DeadRaw!BT:BT)</f>
        <v>0</v>
      </c>
      <c r="BS109">
        <f>SUMIF(DeadRaw!$B:$B,$B109,DeadRaw!BU:BU)</f>
        <v>0</v>
      </c>
      <c r="BT109">
        <f>SUMIF(DeadRaw!$B:$B,$B109,DeadRaw!BV:BV)</f>
        <v>0</v>
      </c>
      <c r="BU109">
        <f>SUMIF(DeadRaw!$B:$B,$B109,DeadRaw!BW:BW)</f>
        <v>0</v>
      </c>
    </row>
    <row r="110" spans="1:73" ht="15" thickBot="1" x14ac:dyDescent="0.35">
      <c r="A110" s="97" t="str">
        <f>VLOOKUP(B110,Country_Data!B:Q,16,FALSE)</f>
        <v>Europe</v>
      </c>
      <c r="B110" s="4" t="s">
        <v>109</v>
      </c>
      <c r="C110">
        <f>SUMIF(DeadRaw!$B:$B,$B110,DeadRaw!E:E)</f>
        <v>0</v>
      </c>
      <c r="D110">
        <f>SUMIF(DeadRaw!$B:$B,$B110,DeadRaw!F:F)</f>
        <v>0</v>
      </c>
      <c r="E110">
        <f>SUMIF(DeadRaw!$B:$B,$B110,DeadRaw!G:G)</f>
        <v>0</v>
      </c>
      <c r="F110">
        <f>SUMIF(DeadRaw!$B:$B,$B110,DeadRaw!H:H)</f>
        <v>0</v>
      </c>
      <c r="G110">
        <f>SUMIF(DeadRaw!$B:$B,$B110,DeadRaw!I:I)</f>
        <v>0</v>
      </c>
      <c r="H110">
        <f>SUMIF(DeadRaw!$B:$B,$B110,DeadRaw!J:J)</f>
        <v>0</v>
      </c>
      <c r="I110">
        <f>SUMIF(DeadRaw!$B:$B,$B110,DeadRaw!K:K)</f>
        <v>0</v>
      </c>
      <c r="J110">
        <f>SUMIF(DeadRaw!$B:$B,$B110,DeadRaw!L:L)</f>
        <v>0</v>
      </c>
      <c r="K110">
        <f>SUMIF(DeadRaw!$B:$B,$B110,DeadRaw!M:M)</f>
        <v>0</v>
      </c>
      <c r="L110">
        <f>SUMIF(DeadRaw!$B:$B,$B110,DeadRaw!N:N)</f>
        <v>0</v>
      </c>
      <c r="M110">
        <f>SUMIF(DeadRaw!$B:$B,$B110,DeadRaw!O:O)</f>
        <v>0</v>
      </c>
      <c r="N110">
        <f>SUMIF(DeadRaw!$B:$B,$B110,DeadRaw!P:P)</f>
        <v>0</v>
      </c>
      <c r="O110">
        <f>SUMIF(DeadRaw!$B:$B,$B110,DeadRaw!Q:Q)</f>
        <v>0</v>
      </c>
      <c r="P110">
        <f>SUMIF(DeadRaw!$B:$B,$B110,DeadRaw!R:R)</f>
        <v>0</v>
      </c>
      <c r="Q110">
        <f>SUMIF(DeadRaw!$B:$B,$B110,DeadRaw!S:S)</f>
        <v>0</v>
      </c>
      <c r="R110">
        <f>SUMIF(DeadRaw!$B:$B,$B110,DeadRaw!T:T)</f>
        <v>0</v>
      </c>
      <c r="S110">
        <f>SUMIF(DeadRaw!$B:$B,$B110,DeadRaw!U:U)</f>
        <v>0</v>
      </c>
      <c r="T110">
        <f>SUMIF(DeadRaw!$B:$B,$B110,DeadRaw!V:V)</f>
        <v>0</v>
      </c>
      <c r="U110">
        <f>SUMIF(DeadRaw!$B:$B,$B110,DeadRaw!W:W)</f>
        <v>0</v>
      </c>
      <c r="V110">
        <f>SUMIF(DeadRaw!$B:$B,$B110,DeadRaw!X:X)</f>
        <v>0</v>
      </c>
      <c r="W110">
        <f>SUMIF(DeadRaw!$B:$B,$B110,DeadRaw!Y:Y)</f>
        <v>0</v>
      </c>
      <c r="X110">
        <f>SUMIF(DeadRaw!$B:$B,$B110,DeadRaw!Z:Z)</f>
        <v>0</v>
      </c>
      <c r="Y110">
        <f>SUMIF(DeadRaw!$B:$B,$B110,DeadRaw!AA:AA)</f>
        <v>0</v>
      </c>
      <c r="Z110">
        <f>SUMIF(DeadRaw!$B:$B,$B110,DeadRaw!AB:AB)</f>
        <v>0</v>
      </c>
      <c r="AA110">
        <f>SUMIF(DeadRaw!$B:$B,$B110,DeadRaw!AC:AC)</f>
        <v>0</v>
      </c>
      <c r="AB110">
        <f>SUMIF(DeadRaw!$B:$B,$B110,DeadRaw!AD:AD)</f>
        <v>0</v>
      </c>
      <c r="AC110">
        <f>SUMIF(DeadRaw!$B:$B,$B110,DeadRaw!AE:AE)</f>
        <v>0</v>
      </c>
      <c r="AD110">
        <f>SUMIF(DeadRaw!$B:$B,$B110,DeadRaw!AF:AF)</f>
        <v>0</v>
      </c>
      <c r="AE110">
        <f>SUMIF(DeadRaw!$B:$B,$B110,DeadRaw!AG:AG)</f>
        <v>0</v>
      </c>
      <c r="AF110">
        <f>SUMIF(DeadRaw!$B:$B,$B110,DeadRaw!AH:AH)</f>
        <v>0</v>
      </c>
      <c r="AG110">
        <f>SUMIF(DeadRaw!$B:$B,$B110,DeadRaw!AI:AI)</f>
        <v>0</v>
      </c>
      <c r="AH110">
        <f>SUMIF(DeadRaw!$B:$B,$B110,DeadRaw!AJ:AJ)</f>
        <v>0</v>
      </c>
      <c r="AI110">
        <f>SUMIF(DeadRaw!$B:$B,$B110,DeadRaw!AK:AK)</f>
        <v>0</v>
      </c>
      <c r="AJ110">
        <f>SUMIF(DeadRaw!$B:$B,$B110,DeadRaw!AL:AL)</f>
        <v>0</v>
      </c>
      <c r="AK110">
        <f>SUMIF(DeadRaw!$B:$B,$B110,DeadRaw!AM:AM)</f>
        <v>0</v>
      </c>
      <c r="AL110">
        <f>SUMIF(DeadRaw!$B:$B,$B110,DeadRaw!AN:AN)</f>
        <v>0</v>
      </c>
      <c r="AM110">
        <f>SUMIF(DeadRaw!$B:$B,$B110,DeadRaw!AO:AO)</f>
        <v>0</v>
      </c>
      <c r="AN110">
        <f>SUMIF(DeadRaw!$B:$B,$B110,DeadRaw!AP:AP)</f>
        <v>0</v>
      </c>
      <c r="AO110">
        <f>SUMIF(DeadRaw!$B:$B,$B110,DeadRaw!AQ:AQ)</f>
        <v>0</v>
      </c>
      <c r="AP110">
        <f>SUMIF(DeadRaw!$B:$B,$B110,DeadRaw!AR:AR)</f>
        <v>0</v>
      </c>
      <c r="AQ110">
        <f>SUMIF(DeadRaw!$B:$B,$B110,DeadRaw!AS:AS)</f>
        <v>0</v>
      </c>
      <c r="AR110">
        <f>SUMIF(DeadRaw!$B:$B,$B110,DeadRaw!AT:AT)</f>
        <v>0</v>
      </c>
      <c r="AS110">
        <f>SUMIF(DeadRaw!$B:$B,$B110,DeadRaw!AU:AU)</f>
        <v>0</v>
      </c>
      <c r="AT110">
        <f>SUMIF(DeadRaw!$B:$B,$B110,DeadRaw!AV:AV)</f>
        <v>0</v>
      </c>
      <c r="AU110">
        <f>SUMIF(DeadRaw!$B:$B,$B110,DeadRaw!AW:AW)</f>
        <v>0</v>
      </c>
      <c r="AV110">
        <f>SUMIF(DeadRaw!$B:$B,$B110,DeadRaw!AX:AX)</f>
        <v>0</v>
      </c>
      <c r="AW110">
        <f>SUMIF(DeadRaw!$B:$B,$B110,DeadRaw!AY:AY)</f>
        <v>0</v>
      </c>
      <c r="AX110">
        <f>SUMIF(DeadRaw!$B:$B,$B110,DeadRaw!AZ:AZ)</f>
        <v>0</v>
      </c>
      <c r="AY110">
        <f>SUMIF(DeadRaw!$B:$B,$B110,DeadRaw!BA:BA)</f>
        <v>0</v>
      </c>
      <c r="AZ110">
        <f>SUMIF(DeadRaw!$B:$B,$B110,DeadRaw!BB:BB)</f>
        <v>0</v>
      </c>
      <c r="BA110">
        <f>SUMIF(DeadRaw!$B:$B,$B110,DeadRaw!BC:BC)</f>
        <v>0</v>
      </c>
      <c r="BB110">
        <f>SUMIF(DeadRaw!$B:$B,$B110,DeadRaw!BD:BD)</f>
        <v>0</v>
      </c>
      <c r="BC110">
        <f>SUMIF(DeadRaw!$B:$B,$B110,DeadRaw!BE:BE)</f>
        <v>0</v>
      </c>
      <c r="BD110">
        <f>SUMIF(DeadRaw!$B:$B,$B110,DeadRaw!BF:BF)</f>
        <v>0</v>
      </c>
      <c r="BE110">
        <f>SUMIF(DeadRaw!$B:$B,$B110,DeadRaw!BG:BG)</f>
        <v>0</v>
      </c>
      <c r="BF110">
        <f>SUMIF(DeadRaw!$B:$B,$B110,DeadRaw!BH:BH)</f>
        <v>0</v>
      </c>
      <c r="BG110">
        <f>SUMIF(DeadRaw!$B:$B,$B110,DeadRaw!BI:BI)</f>
        <v>0</v>
      </c>
      <c r="BH110">
        <f>SUMIF(DeadRaw!$B:$B,$B110,DeadRaw!BJ:BJ)</f>
        <v>0</v>
      </c>
      <c r="BI110">
        <f>SUMIF(DeadRaw!$B:$B,$B110,DeadRaw!BK:BK)</f>
        <v>0</v>
      </c>
      <c r="BJ110">
        <f>SUMIF(DeadRaw!$B:$B,$B110,DeadRaw!BL:BL)</f>
        <v>0</v>
      </c>
      <c r="BK110">
        <f>SUMIF(DeadRaw!$B:$B,$B110,DeadRaw!BM:BM)</f>
        <v>1</v>
      </c>
      <c r="BL110">
        <f>SUMIF(DeadRaw!$B:$B,$B110,DeadRaw!BN:BN)</f>
        <v>1</v>
      </c>
      <c r="BM110">
        <f>SUMIF(DeadRaw!$B:$B,$B110,DeadRaw!BO:BO)</f>
        <v>1</v>
      </c>
      <c r="BN110">
        <f>SUMIF(DeadRaw!$B:$B,$B110,DeadRaw!BP:BP)</f>
        <v>1</v>
      </c>
      <c r="BO110">
        <f>SUMIF(DeadRaw!$B:$B,$B110,DeadRaw!BQ:BQ)</f>
        <v>3</v>
      </c>
      <c r="BP110">
        <f>SUMIF(DeadRaw!$B:$B,$B110,DeadRaw!BR:BR)</f>
        <v>3</v>
      </c>
      <c r="BQ110">
        <f>SUMIF(DeadRaw!$B:$B,$B110,DeadRaw!BS:BS)</f>
        <v>3</v>
      </c>
      <c r="BR110">
        <f>SUMIF(DeadRaw!$B:$B,$B110,DeadRaw!BT:BT)</f>
        <v>0</v>
      </c>
      <c r="BS110">
        <f>SUMIF(DeadRaw!$B:$B,$B110,DeadRaw!BU:BU)</f>
        <v>0</v>
      </c>
      <c r="BT110">
        <f>SUMIF(DeadRaw!$B:$B,$B110,DeadRaw!BV:BV)</f>
        <v>0</v>
      </c>
      <c r="BU110">
        <f>SUMIF(DeadRaw!$B:$B,$B110,DeadRaw!BW:BW)</f>
        <v>0</v>
      </c>
    </row>
    <row r="111" spans="1:73" ht="15" thickBot="1" x14ac:dyDescent="0.35">
      <c r="A111" s="97" t="str">
        <f>VLOOKUP(B111,Country_Data!B:Q,16,FALSE)</f>
        <v>North America</v>
      </c>
      <c r="B111" s="4" t="s">
        <v>424</v>
      </c>
      <c r="C111">
        <f>SUMIF(DeadRaw!$B:$B,$B111,DeadRaw!E:E)</f>
        <v>0</v>
      </c>
      <c r="D111">
        <f>SUMIF(DeadRaw!$B:$B,$B111,DeadRaw!F:F)</f>
        <v>0</v>
      </c>
      <c r="E111">
        <f>SUMIF(DeadRaw!$B:$B,$B111,DeadRaw!G:G)</f>
        <v>0</v>
      </c>
      <c r="F111">
        <f>SUMIF(DeadRaw!$B:$B,$B111,DeadRaw!H:H)</f>
        <v>0</v>
      </c>
      <c r="G111">
        <f>SUMIF(DeadRaw!$B:$B,$B111,DeadRaw!I:I)</f>
        <v>0</v>
      </c>
      <c r="H111">
        <f>SUMIF(DeadRaw!$B:$B,$B111,DeadRaw!J:J)</f>
        <v>0</v>
      </c>
      <c r="I111">
        <f>SUMIF(DeadRaw!$B:$B,$B111,DeadRaw!K:K)</f>
        <v>0</v>
      </c>
      <c r="J111">
        <f>SUMIF(DeadRaw!$B:$B,$B111,DeadRaw!L:L)</f>
        <v>0</v>
      </c>
      <c r="K111">
        <f>SUMIF(DeadRaw!$B:$B,$B111,DeadRaw!M:M)</f>
        <v>0</v>
      </c>
      <c r="L111">
        <f>SUMIF(DeadRaw!$B:$B,$B111,DeadRaw!N:N)</f>
        <v>0</v>
      </c>
      <c r="M111">
        <f>SUMIF(DeadRaw!$B:$B,$B111,DeadRaw!O:O)</f>
        <v>0</v>
      </c>
      <c r="N111">
        <f>SUMIF(DeadRaw!$B:$B,$B111,DeadRaw!P:P)</f>
        <v>0</v>
      </c>
      <c r="O111">
        <f>SUMIF(DeadRaw!$B:$B,$B111,DeadRaw!Q:Q)</f>
        <v>0</v>
      </c>
      <c r="P111">
        <f>SUMIF(DeadRaw!$B:$B,$B111,DeadRaw!R:R)</f>
        <v>0</v>
      </c>
      <c r="Q111">
        <f>SUMIF(DeadRaw!$B:$B,$B111,DeadRaw!S:S)</f>
        <v>0</v>
      </c>
      <c r="R111">
        <f>SUMIF(DeadRaw!$B:$B,$B111,DeadRaw!T:T)</f>
        <v>0</v>
      </c>
      <c r="S111">
        <f>SUMIF(DeadRaw!$B:$B,$B111,DeadRaw!U:U)</f>
        <v>0</v>
      </c>
      <c r="T111">
        <f>SUMIF(DeadRaw!$B:$B,$B111,DeadRaw!V:V)</f>
        <v>0</v>
      </c>
      <c r="U111">
        <f>SUMIF(DeadRaw!$B:$B,$B111,DeadRaw!W:W)</f>
        <v>0</v>
      </c>
      <c r="V111">
        <f>SUMIF(DeadRaw!$B:$B,$B111,DeadRaw!X:X)</f>
        <v>0</v>
      </c>
      <c r="W111">
        <f>SUMIF(DeadRaw!$B:$B,$B111,DeadRaw!Y:Y)</f>
        <v>0</v>
      </c>
      <c r="X111">
        <f>SUMIF(DeadRaw!$B:$B,$B111,DeadRaw!Z:Z)</f>
        <v>0</v>
      </c>
      <c r="Y111">
        <f>SUMIF(DeadRaw!$B:$B,$B111,DeadRaw!AA:AA)</f>
        <v>0</v>
      </c>
      <c r="Z111">
        <f>SUMIF(DeadRaw!$B:$B,$B111,DeadRaw!AB:AB)</f>
        <v>0</v>
      </c>
      <c r="AA111">
        <f>SUMIF(DeadRaw!$B:$B,$B111,DeadRaw!AC:AC)</f>
        <v>0</v>
      </c>
      <c r="AB111">
        <f>SUMIF(DeadRaw!$B:$B,$B111,DeadRaw!AD:AD)</f>
        <v>0</v>
      </c>
      <c r="AC111">
        <f>SUMIF(DeadRaw!$B:$B,$B111,DeadRaw!AE:AE)</f>
        <v>0</v>
      </c>
      <c r="AD111">
        <f>SUMIF(DeadRaw!$B:$B,$B111,DeadRaw!AF:AF)</f>
        <v>0</v>
      </c>
      <c r="AE111">
        <f>SUMIF(DeadRaw!$B:$B,$B111,DeadRaw!AG:AG)</f>
        <v>0</v>
      </c>
      <c r="AF111">
        <f>SUMIF(DeadRaw!$B:$B,$B111,DeadRaw!AH:AH)</f>
        <v>0</v>
      </c>
      <c r="AG111">
        <f>SUMIF(DeadRaw!$B:$B,$B111,DeadRaw!AI:AI)</f>
        <v>0</v>
      </c>
      <c r="AH111">
        <f>SUMIF(DeadRaw!$B:$B,$B111,DeadRaw!AJ:AJ)</f>
        <v>0</v>
      </c>
      <c r="AI111">
        <f>SUMIF(DeadRaw!$B:$B,$B111,DeadRaw!AK:AK)</f>
        <v>0</v>
      </c>
      <c r="AJ111">
        <f>SUMIF(DeadRaw!$B:$B,$B111,DeadRaw!AL:AL)</f>
        <v>0</v>
      </c>
      <c r="AK111">
        <f>SUMIF(DeadRaw!$B:$B,$B111,DeadRaw!AM:AM)</f>
        <v>0</v>
      </c>
      <c r="AL111">
        <f>SUMIF(DeadRaw!$B:$B,$B111,DeadRaw!AN:AN)</f>
        <v>0</v>
      </c>
      <c r="AM111">
        <f>SUMIF(DeadRaw!$B:$B,$B111,DeadRaw!AO:AO)</f>
        <v>0</v>
      </c>
      <c r="AN111">
        <f>SUMIF(DeadRaw!$B:$B,$B111,DeadRaw!AP:AP)</f>
        <v>0</v>
      </c>
      <c r="AO111">
        <f>SUMIF(DeadRaw!$B:$B,$B111,DeadRaw!AQ:AQ)</f>
        <v>0</v>
      </c>
      <c r="AP111">
        <f>SUMIF(DeadRaw!$B:$B,$B111,DeadRaw!AR:AR)</f>
        <v>0</v>
      </c>
      <c r="AQ111">
        <f>SUMIF(DeadRaw!$B:$B,$B111,DeadRaw!AS:AS)</f>
        <v>0</v>
      </c>
      <c r="AR111">
        <f>SUMIF(DeadRaw!$B:$B,$B111,DeadRaw!AT:AT)</f>
        <v>0</v>
      </c>
      <c r="AS111">
        <f>SUMIF(DeadRaw!$B:$B,$B111,DeadRaw!AU:AU)</f>
        <v>0</v>
      </c>
      <c r="AT111">
        <f>SUMIF(DeadRaw!$B:$B,$B111,DeadRaw!AV:AV)</f>
        <v>0</v>
      </c>
      <c r="AU111">
        <f>SUMIF(DeadRaw!$B:$B,$B111,DeadRaw!AW:AW)</f>
        <v>0</v>
      </c>
      <c r="AV111">
        <f>SUMIF(DeadRaw!$B:$B,$B111,DeadRaw!AX:AX)</f>
        <v>0</v>
      </c>
      <c r="AW111">
        <f>SUMIF(DeadRaw!$B:$B,$B111,DeadRaw!AY:AY)</f>
        <v>0</v>
      </c>
      <c r="AX111">
        <f>SUMIF(DeadRaw!$B:$B,$B111,DeadRaw!AZ:AZ)</f>
        <v>0</v>
      </c>
      <c r="AY111">
        <f>SUMIF(DeadRaw!$B:$B,$B111,DeadRaw!BA:BA)</f>
        <v>0</v>
      </c>
      <c r="AZ111">
        <f>SUMIF(DeadRaw!$B:$B,$B111,DeadRaw!BB:BB)</f>
        <v>0</v>
      </c>
      <c r="BA111">
        <f>SUMIF(DeadRaw!$B:$B,$B111,DeadRaw!BC:BC)</f>
        <v>0</v>
      </c>
      <c r="BB111">
        <f>SUMIF(DeadRaw!$B:$B,$B111,DeadRaw!BD:BD)</f>
        <v>0</v>
      </c>
      <c r="BC111">
        <f>SUMIF(DeadRaw!$B:$B,$B111,DeadRaw!BE:BE)</f>
        <v>0</v>
      </c>
      <c r="BD111">
        <f>SUMIF(DeadRaw!$B:$B,$B111,DeadRaw!BF:BF)</f>
        <v>0</v>
      </c>
      <c r="BE111">
        <f>SUMIF(DeadRaw!$B:$B,$B111,DeadRaw!BG:BG)</f>
        <v>0</v>
      </c>
      <c r="BF111">
        <f>SUMIF(DeadRaw!$B:$B,$B111,DeadRaw!BH:BH)</f>
        <v>0</v>
      </c>
      <c r="BG111">
        <f>SUMIF(DeadRaw!$B:$B,$B111,DeadRaw!BI:BI)</f>
        <v>0</v>
      </c>
      <c r="BH111">
        <f>SUMIF(DeadRaw!$B:$B,$B111,DeadRaw!BJ:BJ)</f>
        <v>0</v>
      </c>
      <c r="BI111">
        <f>SUMIF(DeadRaw!$B:$B,$B111,DeadRaw!BK:BK)</f>
        <v>0</v>
      </c>
      <c r="BJ111">
        <f>SUMIF(DeadRaw!$B:$B,$B111,DeadRaw!BL:BL)</f>
        <v>0</v>
      </c>
      <c r="BK111">
        <f>SUMIF(DeadRaw!$B:$B,$B111,DeadRaw!BM:BM)</f>
        <v>0</v>
      </c>
      <c r="BL111">
        <f>SUMIF(DeadRaw!$B:$B,$B111,DeadRaw!BN:BN)</f>
        <v>0</v>
      </c>
      <c r="BM111">
        <f>SUMIF(DeadRaw!$B:$B,$B111,DeadRaw!BO:BO)</f>
        <v>0</v>
      </c>
      <c r="BN111">
        <f>SUMIF(DeadRaw!$B:$B,$B111,DeadRaw!BP:BP)</f>
        <v>0</v>
      </c>
      <c r="BO111">
        <f>SUMIF(DeadRaw!$B:$B,$B111,DeadRaw!BQ:BQ)</f>
        <v>0</v>
      </c>
      <c r="BP111">
        <f>SUMIF(DeadRaw!$B:$B,$B111,DeadRaw!BR:BR)</f>
        <v>0</v>
      </c>
      <c r="BQ111">
        <f>SUMIF(DeadRaw!$B:$B,$B111,DeadRaw!BS:BS)</f>
        <v>0</v>
      </c>
      <c r="BR111">
        <f>SUMIF(DeadRaw!$B:$B,$B111,DeadRaw!BT:BT)</f>
        <v>0</v>
      </c>
      <c r="BS111">
        <f>SUMIF(DeadRaw!$B:$B,$B111,DeadRaw!BU:BU)</f>
        <v>0</v>
      </c>
      <c r="BT111">
        <f>SUMIF(DeadRaw!$B:$B,$B111,DeadRaw!BV:BV)</f>
        <v>0</v>
      </c>
      <c r="BU111">
        <f>SUMIF(DeadRaw!$B:$B,$B111,DeadRaw!BW:BW)</f>
        <v>0</v>
      </c>
    </row>
    <row r="112" spans="1:73" ht="15" thickBot="1" x14ac:dyDescent="0.35">
      <c r="A112" s="97" t="str">
        <f>VLOOKUP(B112,Country_Data!B:Q,16,FALSE)</f>
        <v>Asia</v>
      </c>
      <c r="B112" s="4" t="s">
        <v>156</v>
      </c>
      <c r="C112">
        <f>SUMIF(DeadRaw!$B:$B,$B112,DeadRaw!E:E)</f>
        <v>0</v>
      </c>
      <c r="D112">
        <f>SUMIF(DeadRaw!$B:$B,$B112,DeadRaw!F:F)</f>
        <v>0</v>
      </c>
      <c r="E112">
        <f>SUMIF(DeadRaw!$B:$B,$B112,DeadRaw!G:G)</f>
        <v>0</v>
      </c>
      <c r="F112">
        <f>SUMIF(DeadRaw!$B:$B,$B112,DeadRaw!H:H)</f>
        <v>0</v>
      </c>
      <c r="G112">
        <f>SUMIF(DeadRaw!$B:$B,$B112,DeadRaw!I:I)</f>
        <v>0</v>
      </c>
      <c r="H112">
        <f>SUMIF(DeadRaw!$B:$B,$B112,DeadRaw!J:J)</f>
        <v>0</v>
      </c>
      <c r="I112">
        <f>SUMIF(DeadRaw!$B:$B,$B112,DeadRaw!K:K)</f>
        <v>0</v>
      </c>
      <c r="J112">
        <f>SUMIF(DeadRaw!$B:$B,$B112,DeadRaw!L:L)</f>
        <v>0</v>
      </c>
      <c r="K112">
        <f>SUMIF(DeadRaw!$B:$B,$B112,DeadRaw!M:M)</f>
        <v>0</v>
      </c>
      <c r="L112">
        <f>SUMIF(DeadRaw!$B:$B,$B112,DeadRaw!N:N)</f>
        <v>0</v>
      </c>
      <c r="M112">
        <f>SUMIF(DeadRaw!$B:$B,$B112,DeadRaw!O:O)</f>
        <v>0</v>
      </c>
      <c r="N112">
        <f>SUMIF(DeadRaw!$B:$B,$B112,DeadRaw!P:P)</f>
        <v>0</v>
      </c>
      <c r="O112">
        <f>SUMIF(DeadRaw!$B:$B,$B112,DeadRaw!Q:Q)</f>
        <v>0</v>
      </c>
      <c r="P112">
        <f>SUMIF(DeadRaw!$B:$B,$B112,DeadRaw!R:R)</f>
        <v>0</v>
      </c>
      <c r="Q112">
        <f>SUMIF(DeadRaw!$B:$B,$B112,DeadRaw!S:S)</f>
        <v>0</v>
      </c>
      <c r="R112">
        <f>SUMIF(DeadRaw!$B:$B,$B112,DeadRaw!T:T)</f>
        <v>0</v>
      </c>
      <c r="S112">
        <f>SUMIF(DeadRaw!$B:$B,$B112,DeadRaw!U:U)</f>
        <v>0</v>
      </c>
      <c r="T112">
        <f>SUMIF(DeadRaw!$B:$B,$B112,DeadRaw!V:V)</f>
        <v>0</v>
      </c>
      <c r="U112">
        <f>SUMIF(DeadRaw!$B:$B,$B112,DeadRaw!W:W)</f>
        <v>0</v>
      </c>
      <c r="V112">
        <f>SUMIF(DeadRaw!$B:$B,$B112,DeadRaw!X:X)</f>
        <v>0</v>
      </c>
      <c r="W112">
        <f>SUMIF(DeadRaw!$B:$B,$B112,DeadRaw!Y:Y)</f>
        <v>0</v>
      </c>
      <c r="X112">
        <f>SUMIF(DeadRaw!$B:$B,$B112,DeadRaw!Z:Z)</f>
        <v>0</v>
      </c>
      <c r="Y112">
        <f>SUMIF(DeadRaw!$B:$B,$B112,DeadRaw!AA:AA)</f>
        <v>0</v>
      </c>
      <c r="Z112">
        <f>SUMIF(DeadRaw!$B:$B,$B112,DeadRaw!AB:AB)</f>
        <v>0</v>
      </c>
      <c r="AA112">
        <f>SUMIF(DeadRaw!$B:$B,$B112,DeadRaw!AC:AC)</f>
        <v>0</v>
      </c>
      <c r="AB112">
        <f>SUMIF(DeadRaw!$B:$B,$B112,DeadRaw!AD:AD)</f>
        <v>0</v>
      </c>
      <c r="AC112">
        <f>SUMIF(DeadRaw!$B:$B,$B112,DeadRaw!AE:AE)</f>
        <v>0</v>
      </c>
      <c r="AD112">
        <f>SUMIF(DeadRaw!$B:$B,$B112,DeadRaw!AF:AF)</f>
        <v>0</v>
      </c>
      <c r="AE112">
        <f>SUMIF(DeadRaw!$B:$B,$B112,DeadRaw!AG:AG)</f>
        <v>0</v>
      </c>
      <c r="AF112">
        <f>SUMIF(DeadRaw!$B:$B,$B112,DeadRaw!AH:AH)</f>
        <v>0</v>
      </c>
      <c r="AG112">
        <f>SUMIF(DeadRaw!$B:$B,$B112,DeadRaw!AI:AI)</f>
        <v>0</v>
      </c>
      <c r="AH112">
        <f>SUMIF(DeadRaw!$B:$B,$B112,DeadRaw!AJ:AJ)</f>
        <v>0</v>
      </c>
      <c r="AI112">
        <f>SUMIF(DeadRaw!$B:$B,$B112,DeadRaw!AK:AK)</f>
        <v>0</v>
      </c>
      <c r="AJ112">
        <f>SUMIF(DeadRaw!$B:$B,$B112,DeadRaw!AL:AL)</f>
        <v>0</v>
      </c>
      <c r="AK112">
        <f>SUMIF(DeadRaw!$B:$B,$B112,DeadRaw!AM:AM)</f>
        <v>0</v>
      </c>
      <c r="AL112">
        <f>SUMIF(DeadRaw!$B:$B,$B112,DeadRaw!AN:AN)</f>
        <v>0</v>
      </c>
      <c r="AM112">
        <f>SUMIF(DeadRaw!$B:$B,$B112,DeadRaw!AO:AO)</f>
        <v>0</v>
      </c>
      <c r="AN112">
        <f>SUMIF(DeadRaw!$B:$B,$B112,DeadRaw!AP:AP)</f>
        <v>0</v>
      </c>
      <c r="AO112">
        <f>SUMIF(DeadRaw!$B:$B,$B112,DeadRaw!AQ:AQ)</f>
        <v>0</v>
      </c>
      <c r="AP112">
        <f>SUMIF(DeadRaw!$B:$B,$B112,DeadRaw!AR:AR)</f>
        <v>0</v>
      </c>
      <c r="AQ112">
        <f>SUMIF(DeadRaw!$B:$B,$B112,DeadRaw!AS:AS)</f>
        <v>0</v>
      </c>
      <c r="AR112">
        <f>SUMIF(DeadRaw!$B:$B,$B112,DeadRaw!AT:AT)</f>
        <v>0</v>
      </c>
      <c r="AS112">
        <f>SUMIF(DeadRaw!$B:$B,$B112,DeadRaw!AU:AU)</f>
        <v>0</v>
      </c>
      <c r="AT112">
        <f>SUMIF(DeadRaw!$B:$B,$B112,DeadRaw!AV:AV)</f>
        <v>0</v>
      </c>
      <c r="AU112">
        <f>SUMIF(DeadRaw!$B:$B,$B112,DeadRaw!AW:AW)</f>
        <v>0</v>
      </c>
      <c r="AV112">
        <f>SUMIF(DeadRaw!$B:$B,$B112,DeadRaw!AX:AX)</f>
        <v>0</v>
      </c>
      <c r="AW112">
        <f>SUMIF(DeadRaw!$B:$B,$B112,DeadRaw!AY:AY)</f>
        <v>0</v>
      </c>
      <c r="AX112">
        <f>SUMIF(DeadRaw!$B:$B,$B112,DeadRaw!AZ:AZ)</f>
        <v>0</v>
      </c>
      <c r="AY112">
        <f>SUMIF(DeadRaw!$B:$B,$B112,DeadRaw!BA:BA)</f>
        <v>0</v>
      </c>
      <c r="AZ112">
        <f>SUMIF(DeadRaw!$B:$B,$B112,DeadRaw!BB:BB)</f>
        <v>0</v>
      </c>
      <c r="BA112">
        <f>SUMIF(DeadRaw!$B:$B,$B112,DeadRaw!BC:BC)</f>
        <v>0</v>
      </c>
      <c r="BB112">
        <f>SUMIF(DeadRaw!$B:$B,$B112,DeadRaw!BD:BD)</f>
        <v>0</v>
      </c>
      <c r="BC112">
        <f>SUMIF(DeadRaw!$B:$B,$B112,DeadRaw!BE:BE)</f>
        <v>0</v>
      </c>
      <c r="BD112">
        <f>SUMIF(DeadRaw!$B:$B,$B112,DeadRaw!BF:BF)</f>
        <v>0</v>
      </c>
      <c r="BE112">
        <f>SUMIF(DeadRaw!$B:$B,$B112,DeadRaw!BG:BG)</f>
        <v>0</v>
      </c>
      <c r="BF112">
        <f>SUMIF(DeadRaw!$B:$B,$B112,DeadRaw!BH:BH)</f>
        <v>0</v>
      </c>
      <c r="BG112">
        <f>SUMIF(DeadRaw!$B:$B,$B112,DeadRaw!BI:BI)</f>
        <v>0</v>
      </c>
      <c r="BH112">
        <f>SUMIF(DeadRaw!$B:$B,$B112,DeadRaw!BJ:BJ)</f>
        <v>0</v>
      </c>
      <c r="BI112">
        <f>SUMIF(DeadRaw!$B:$B,$B112,DeadRaw!BK:BK)</f>
        <v>0</v>
      </c>
      <c r="BJ112">
        <f>SUMIF(DeadRaw!$B:$B,$B112,DeadRaw!BL:BL)</f>
        <v>0</v>
      </c>
      <c r="BK112">
        <f>SUMIF(DeadRaw!$B:$B,$B112,DeadRaw!BM:BM)</f>
        <v>0</v>
      </c>
      <c r="BL112">
        <f>SUMIF(DeadRaw!$B:$B,$B112,DeadRaw!BN:BN)</f>
        <v>0</v>
      </c>
      <c r="BM112">
        <f>SUMIF(DeadRaw!$B:$B,$B112,DeadRaw!BO:BO)</f>
        <v>0</v>
      </c>
      <c r="BN112">
        <f>SUMIF(DeadRaw!$B:$B,$B112,DeadRaw!BP:BP)</f>
        <v>0</v>
      </c>
      <c r="BO112">
        <f>SUMIF(DeadRaw!$B:$B,$B112,DeadRaw!BQ:BQ)</f>
        <v>0</v>
      </c>
      <c r="BP112">
        <f>SUMIF(DeadRaw!$B:$B,$B112,DeadRaw!BR:BR)</f>
        <v>0</v>
      </c>
      <c r="BQ112">
        <f>SUMIF(DeadRaw!$B:$B,$B112,DeadRaw!BS:BS)</f>
        <v>0</v>
      </c>
      <c r="BR112">
        <f>SUMIF(DeadRaw!$B:$B,$B112,DeadRaw!BT:BT)</f>
        <v>0</v>
      </c>
      <c r="BS112">
        <f>SUMIF(DeadRaw!$B:$B,$B112,DeadRaw!BU:BU)</f>
        <v>0</v>
      </c>
      <c r="BT112">
        <f>SUMIF(DeadRaw!$B:$B,$B112,DeadRaw!BV:BV)</f>
        <v>0</v>
      </c>
      <c r="BU112">
        <f>SUMIF(DeadRaw!$B:$B,$B112,DeadRaw!BW:BW)</f>
        <v>0</v>
      </c>
    </row>
    <row r="113" spans="1:73" ht="15" thickBot="1" x14ac:dyDescent="0.35">
      <c r="A113" s="97" t="str">
        <f>VLOOKUP(B113,Country_Data!B:Q,16,FALSE)</f>
        <v>North America</v>
      </c>
      <c r="B113" s="4" t="s">
        <v>415</v>
      </c>
      <c r="C113">
        <f>SUMIF(DeadRaw!$B:$B,$B113,DeadRaw!E:E)</f>
        <v>0</v>
      </c>
      <c r="D113">
        <f>SUMIF(DeadRaw!$B:$B,$B113,DeadRaw!F:F)</f>
        <v>0</v>
      </c>
      <c r="E113">
        <f>SUMIF(DeadRaw!$B:$B,$B113,DeadRaw!G:G)</f>
        <v>0</v>
      </c>
      <c r="F113">
        <f>SUMIF(DeadRaw!$B:$B,$B113,DeadRaw!H:H)</f>
        <v>0</v>
      </c>
      <c r="G113">
        <f>SUMIF(DeadRaw!$B:$B,$B113,DeadRaw!I:I)</f>
        <v>0</v>
      </c>
      <c r="H113">
        <f>SUMIF(DeadRaw!$B:$B,$B113,DeadRaw!J:J)</f>
        <v>0</v>
      </c>
      <c r="I113">
        <f>SUMIF(DeadRaw!$B:$B,$B113,DeadRaw!K:K)</f>
        <v>0</v>
      </c>
      <c r="J113">
        <f>SUMIF(DeadRaw!$B:$B,$B113,DeadRaw!L:L)</f>
        <v>0</v>
      </c>
      <c r="K113">
        <f>SUMIF(DeadRaw!$B:$B,$B113,DeadRaw!M:M)</f>
        <v>0</v>
      </c>
      <c r="L113">
        <f>SUMIF(DeadRaw!$B:$B,$B113,DeadRaw!N:N)</f>
        <v>0</v>
      </c>
      <c r="M113">
        <f>SUMIF(DeadRaw!$B:$B,$B113,DeadRaw!O:O)</f>
        <v>0</v>
      </c>
      <c r="N113">
        <f>SUMIF(DeadRaw!$B:$B,$B113,DeadRaw!P:P)</f>
        <v>0</v>
      </c>
      <c r="O113">
        <f>SUMIF(DeadRaw!$B:$B,$B113,DeadRaw!Q:Q)</f>
        <v>0</v>
      </c>
      <c r="P113">
        <f>SUMIF(DeadRaw!$B:$B,$B113,DeadRaw!R:R)</f>
        <v>0</v>
      </c>
      <c r="Q113">
        <f>SUMIF(DeadRaw!$B:$B,$B113,DeadRaw!S:S)</f>
        <v>0</v>
      </c>
      <c r="R113">
        <f>SUMIF(DeadRaw!$B:$B,$B113,DeadRaw!T:T)</f>
        <v>0</v>
      </c>
      <c r="S113">
        <f>SUMIF(DeadRaw!$B:$B,$B113,DeadRaw!U:U)</f>
        <v>0</v>
      </c>
      <c r="T113">
        <f>SUMIF(DeadRaw!$B:$B,$B113,DeadRaw!V:V)</f>
        <v>0</v>
      </c>
      <c r="U113">
        <f>SUMIF(DeadRaw!$B:$B,$B113,DeadRaw!W:W)</f>
        <v>0</v>
      </c>
      <c r="V113">
        <f>SUMIF(DeadRaw!$B:$B,$B113,DeadRaw!X:X)</f>
        <v>0</v>
      </c>
      <c r="W113">
        <f>SUMIF(DeadRaw!$B:$B,$B113,DeadRaw!Y:Y)</f>
        <v>0</v>
      </c>
      <c r="X113">
        <f>SUMIF(DeadRaw!$B:$B,$B113,DeadRaw!Z:Z)</f>
        <v>0</v>
      </c>
      <c r="Y113">
        <f>SUMIF(DeadRaw!$B:$B,$B113,DeadRaw!AA:AA)</f>
        <v>0</v>
      </c>
      <c r="Z113">
        <f>SUMIF(DeadRaw!$B:$B,$B113,DeadRaw!AB:AB)</f>
        <v>0</v>
      </c>
      <c r="AA113">
        <f>SUMIF(DeadRaw!$B:$B,$B113,DeadRaw!AC:AC)</f>
        <v>0</v>
      </c>
      <c r="AB113">
        <f>SUMIF(DeadRaw!$B:$B,$B113,DeadRaw!AD:AD)</f>
        <v>0</v>
      </c>
      <c r="AC113">
        <f>SUMIF(DeadRaw!$B:$B,$B113,DeadRaw!AE:AE)</f>
        <v>0</v>
      </c>
      <c r="AD113">
        <f>SUMIF(DeadRaw!$B:$B,$B113,DeadRaw!AF:AF)</f>
        <v>0</v>
      </c>
      <c r="AE113">
        <f>SUMIF(DeadRaw!$B:$B,$B113,DeadRaw!AG:AG)</f>
        <v>0</v>
      </c>
      <c r="AF113">
        <f>SUMIF(DeadRaw!$B:$B,$B113,DeadRaw!AH:AH)</f>
        <v>0</v>
      </c>
      <c r="AG113">
        <f>SUMIF(DeadRaw!$B:$B,$B113,DeadRaw!AI:AI)</f>
        <v>0</v>
      </c>
      <c r="AH113">
        <f>SUMIF(DeadRaw!$B:$B,$B113,DeadRaw!AJ:AJ)</f>
        <v>0</v>
      </c>
      <c r="AI113">
        <f>SUMIF(DeadRaw!$B:$B,$B113,DeadRaw!AK:AK)</f>
        <v>0</v>
      </c>
      <c r="AJ113">
        <f>SUMIF(DeadRaw!$B:$B,$B113,DeadRaw!AL:AL)</f>
        <v>0</v>
      </c>
      <c r="AK113">
        <f>SUMIF(DeadRaw!$B:$B,$B113,DeadRaw!AM:AM)</f>
        <v>0</v>
      </c>
      <c r="AL113">
        <f>SUMIF(DeadRaw!$B:$B,$B113,DeadRaw!AN:AN)</f>
        <v>0</v>
      </c>
      <c r="AM113">
        <f>SUMIF(DeadRaw!$B:$B,$B113,DeadRaw!AO:AO)</f>
        <v>0</v>
      </c>
      <c r="AN113">
        <f>SUMIF(DeadRaw!$B:$B,$B113,DeadRaw!AP:AP)</f>
        <v>0</v>
      </c>
      <c r="AO113">
        <f>SUMIF(DeadRaw!$B:$B,$B113,DeadRaw!AQ:AQ)</f>
        <v>0</v>
      </c>
      <c r="AP113">
        <f>SUMIF(DeadRaw!$B:$B,$B113,DeadRaw!AR:AR)</f>
        <v>0</v>
      </c>
      <c r="AQ113">
        <f>SUMIF(DeadRaw!$B:$B,$B113,DeadRaw!AS:AS)</f>
        <v>0</v>
      </c>
      <c r="AR113">
        <f>SUMIF(DeadRaw!$B:$B,$B113,DeadRaw!AT:AT)</f>
        <v>0</v>
      </c>
      <c r="AS113">
        <f>SUMIF(DeadRaw!$B:$B,$B113,DeadRaw!AU:AU)</f>
        <v>0</v>
      </c>
      <c r="AT113">
        <f>SUMIF(DeadRaw!$B:$B,$B113,DeadRaw!AV:AV)</f>
        <v>0</v>
      </c>
      <c r="AU113">
        <f>SUMIF(DeadRaw!$B:$B,$B113,DeadRaw!AW:AW)</f>
        <v>0</v>
      </c>
      <c r="AV113">
        <f>SUMIF(DeadRaw!$B:$B,$B113,DeadRaw!AX:AX)</f>
        <v>0</v>
      </c>
      <c r="AW113">
        <f>SUMIF(DeadRaw!$B:$B,$B113,DeadRaw!AY:AY)</f>
        <v>0</v>
      </c>
      <c r="AX113">
        <f>SUMIF(DeadRaw!$B:$B,$B113,DeadRaw!AZ:AZ)</f>
        <v>0</v>
      </c>
      <c r="AY113">
        <f>SUMIF(DeadRaw!$B:$B,$B113,DeadRaw!BA:BA)</f>
        <v>0</v>
      </c>
      <c r="AZ113">
        <f>SUMIF(DeadRaw!$B:$B,$B113,DeadRaw!BB:BB)</f>
        <v>0</v>
      </c>
      <c r="BA113">
        <f>SUMIF(DeadRaw!$B:$B,$B113,DeadRaw!BC:BC)</f>
        <v>0</v>
      </c>
      <c r="BB113">
        <f>SUMIF(DeadRaw!$B:$B,$B113,DeadRaw!BD:BD)</f>
        <v>0</v>
      </c>
      <c r="BC113">
        <f>SUMIF(DeadRaw!$B:$B,$B113,DeadRaw!BE:BE)</f>
        <v>0</v>
      </c>
      <c r="BD113">
        <f>SUMIF(DeadRaw!$B:$B,$B113,DeadRaw!BF:BF)</f>
        <v>0</v>
      </c>
      <c r="BE113">
        <f>SUMIF(DeadRaw!$B:$B,$B113,DeadRaw!BG:BG)</f>
        <v>0</v>
      </c>
      <c r="BF113">
        <f>SUMIF(DeadRaw!$B:$B,$B113,DeadRaw!BH:BH)</f>
        <v>0</v>
      </c>
      <c r="BG113">
        <f>SUMIF(DeadRaw!$B:$B,$B113,DeadRaw!BI:BI)</f>
        <v>0</v>
      </c>
      <c r="BH113">
        <f>SUMIF(DeadRaw!$B:$B,$B113,DeadRaw!BJ:BJ)</f>
        <v>0</v>
      </c>
      <c r="BI113">
        <f>SUMIF(DeadRaw!$B:$B,$B113,DeadRaw!BK:BK)</f>
        <v>0</v>
      </c>
      <c r="BJ113">
        <f>SUMIF(DeadRaw!$B:$B,$B113,DeadRaw!BL:BL)</f>
        <v>0</v>
      </c>
      <c r="BK113">
        <f>SUMIF(DeadRaw!$B:$B,$B113,DeadRaw!BM:BM)</f>
        <v>0</v>
      </c>
      <c r="BL113">
        <f>SUMIF(DeadRaw!$B:$B,$B113,DeadRaw!BN:BN)</f>
        <v>0</v>
      </c>
      <c r="BM113">
        <f>SUMIF(DeadRaw!$B:$B,$B113,DeadRaw!BO:BO)</f>
        <v>0</v>
      </c>
      <c r="BN113">
        <f>SUMIF(DeadRaw!$B:$B,$B113,DeadRaw!BP:BP)</f>
        <v>0</v>
      </c>
      <c r="BO113">
        <f>SUMIF(DeadRaw!$B:$B,$B113,DeadRaw!BQ:BQ)</f>
        <v>0</v>
      </c>
      <c r="BP113">
        <f>SUMIF(DeadRaw!$B:$B,$B113,DeadRaw!BR:BR)</f>
        <v>0</v>
      </c>
      <c r="BQ113">
        <f>SUMIF(DeadRaw!$B:$B,$B113,DeadRaw!BS:BS)</f>
        <v>0</v>
      </c>
      <c r="BR113">
        <f>SUMIF(DeadRaw!$B:$B,$B113,DeadRaw!BT:BT)</f>
        <v>0</v>
      </c>
      <c r="BS113">
        <f>SUMIF(DeadRaw!$B:$B,$B113,DeadRaw!BU:BU)</f>
        <v>0</v>
      </c>
      <c r="BT113">
        <f>SUMIF(DeadRaw!$B:$B,$B113,DeadRaw!BV:BV)</f>
        <v>0</v>
      </c>
      <c r="BU113">
        <f>SUMIF(DeadRaw!$B:$B,$B113,DeadRaw!BW:BW)</f>
        <v>0</v>
      </c>
    </row>
    <row r="114" spans="1:73" ht="15" thickBot="1" x14ac:dyDescent="0.35">
      <c r="A114" s="97" t="str">
        <f>VLOOKUP(B114,Country_Data!B:Q,16,FALSE)</f>
        <v>Africa</v>
      </c>
      <c r="B114" s="3" t="s">
        <v>352</v>
      </c>
      <c r="C114">
        <f>SUMIF(DeadRaw!$B:$B,$B114,DeadRaw!E:E)</f>
        <v>0</v>
      </c>
      <c r="D114">
        <f>SUMIF(DeadRaw!$B:$B,$B114,DeadRaw!F:F)</f>
        <v>0</v>
      </c>
      <c r="E114">
        <f>SUMIF(DeadRaw!$B:$B,$B114,DeadRaw!G:G)</f>
        <v>0</v>
      </c>
      <c r="F114">
        <f>SUMIF(DeadRaw!$B:$B,$B114,DeadRaw!H:H)</f>
        <v>0</v>
      </c>
      <c r="G114">
        <f>SUMIF(DeadRaw!$B:$B,$B114,DeadRaw!I:I)</f>
        <v>0</v>
      </c>
      <c r="H114">
        <f>SUMIF(DeadRaw!$B:$B,$B114,DeadRaw!J:J)</f>
        <v>0</v>
      </c>
      <c r="I114">
        <f>SUMIF(DeadRaw!$B:$B,$B114,DeadRaw!K:K)</f>
        <v>0</v>
      </c>
      <c r="J114">
        <f>SUMIF(DeadRaw!$B:$B,$B114,DeadRaw!L:L)</f>
        <v>0</v>
      </c>
      <c r="K114">
        <f>SUMIF(DeadRaw!$B:$B,$B114,DeadRaw!M:M)</f>
        <v>0</v>
      </c>
      <c r="L114">
        <f>SUMIF(DeadRaw!$B:$B,$B114,DeadRaw!N:N)</f>
        <v>0</v>
      </c>
      <c r="M114">
        <f>SUMIF(DeadRaw!$B:$B,$B114,DeadRaw!O:O)</f>
        <v>0</v>
      </c>
      <c r="N114">
        <f>SUMIF(DeadRaw!$B:$B,$B114,DeadRaw!P:P)</f>
        <v>0</v>
      </c>
      <c r="O114">
        <f>SUMIF(DeadRaw!$B:$B,$B114,DeadRaw!Q:Q)</f>
        <v>0</v>
      </c>
      <c r="P114">
        <f>SUMIF(DeadRaw!$B:$B,$B114,DeadRaw!R:R)</f>
        <v>0</v>
      </c>
      <c r="Q114">
        <f>SUMIF(DeadRaw!$B:$B,$B114,DeadRaw!S:S)</f>
        <v>0</v>
      </c>
      <c r="R114">
        <f>SUMIF(DeadRaw!$B:$B,$B114,DeadRaw!T:T)</f>
        <v>0</v>
      </c>
      <c r="S114">
        <f>SUMIF(DeadRaw!$B:$B,$B114,DeadRaw!U:U)</f>
        <v>0</v>
      </c>
      <c r="T114">
        <f>SUMIF(DeadRaw!$B:$B,$B114,DeadRaw!V:V)</f>
        <v>0</v>
      </c>
      <c r="U114">
        <f>SUMIF(DeadRaw!$B:$B,$B114,DeadRaw!W:W)</f>
        <v>0</v>
      </c>
      <c r="V114">
        <f>SUMIF(DeadRaw!$B:$B,$B114,DeadRaw!X:X)</f>
        <v>0</v>
      </c>
      <c r="W114">
        <f>SUMIF(DeadRaw!$B:$B,$B114,DeadRaw!Y:Y)</f>
        <v>0</v>
      </c>
      <c r="X114">
        <f>SUMIF(DeadRaw!$B:$B,$B114,DeadRaw!Z:Z)</f>
        <v>0</v>
      </c>
      <c r="Y114">
        <f>SUMIF(DeadRaw!$B:$B,$B114,DeadRaw!AA:AA)</f>
        <v>0</v>
      </c>
      <c r="Z114">
        <f>SUMIF(DeadRaw!$B:$B,$B114,DeadRaw!AB:AB)</f>
        <v>0</v>
      </c>
      <c r="AA114">
        <f>SUMIF(DeadRaw!$B:$B,$B114,DeadRaw!AC:AC)</f>
        <v>0</v>
      </c>
      <c r="AB114">
        <f>SUMIF(DeadRaw!$B:$B,$B114,DeadRaw!AD:AD)</f>
        <v>0</v>
      </c>
      <c r="AC114">
        <f>SUMIF(DeadRaw!$B:$B,$B114,DeadRaw!AE:AE)</f>
        <v>0</v>
      </c>
      <c r="AD114">
        <f>SUMIF(DeadRaw!$B:$B,$B114,DeadRaw!AF:AF)</f>
        <v>0</v>
      </c>
      <c r="AE114">
        <f>SUMIF(DeadRaw!$B:$B,$B114,DeadRaw!AG:AG)</f>
        <v>0</v>
      </c>
      <c r="AF114">
        <f>SUMIF(DeadRaw!$B:$B,$B114,DeadRaw!AH:AH)</f>
        <v>0</v>
      </c>
      <c r="AG114">
        <f>SUMIF(DeadRaw!$B:$B,$B114,DeadRaw!AI:AI)</f>
        <v>0</v>
      </c>
      <c r="AH114">
        <f>SUMIF(DeadRaw!$B:$B,$B114,DeadRaw!AJ:AJ)</f>
        <v>0</v>
      </c>
      <c r="AI114">
        <f>SUMIF(DeadRaw!$B:$B,$B114,DeadRaw!AK:AK)</f>
        <v>0</v>
      </c>
      <c r="AJ114">
        <f>SUMIF(DeadRaw!$B:$B,$B114,DeadRaw!AL:AL)</f>
        <v>0</v>
      </c>
      <c r="AK114">
        <f>SUMIF(DeadRaw!$B:$B,$B114,DeadRaw!AM:AM)</f>
        <v>0</v>
      </c>
      <c r="AL114">
        <f>SUMIF(DeadRaw!$B:$B,$B114,DeadRaw!AN:AN)</f>
        <v>0</v>
      </c>
      <c r="AM114">
        <f>SUMIF(DeadRaw!$B:$B,$B114,DeadRaw!AO:AO)</f>
        <v>0</v>
      </c>
      <c r="AN114">
        <f>SUMIF(DeadRaw!$B:$B,$B114,DeadRaw!AP:AP)</f>
        <v>0</v>
      </c>
      <c r="AO114">
        <f>SUMIF(DeadRaw!$B:$B,$B114,DeadRaw!AQ:AQ)</f>
        <v>0</v>
      </c>
      <c r="AP114">
        <f>SUMIF(DeadRaw!$B:$B,$B114,DeadRaw!AR:AR)</f>
        <v>0</v>
      </c>
      <c r="AQ114">
        <f>SUMIF(DeadRaw!$B:$B,$B114,DeadRaw!AS:AS)</f>
        <v>0</v>
      </c>
      <c r="AR114">
        <f>SUMIF(DeadRaw!$B:$B,$B114,DeadRaw!AT:AT)</f>
        <v>0</v>
      </c>
      <c r="AS114">
        <f>SUMIF(DeadRaw!$B:$B,$B114,DeadRaw!AU:AU)</f>
        <v>0</v>
      </c>
      <c r="AT114">
        <f>SUMIF(DeadRaw!$B:$B,$B114,DeadRaw!AV:AV)</f>
        <v>0</v>
      </c>
      <c r="AU114">
        <f>SUMIF(DeadRaw!$B:$B,$B114,DeadRaw!AW:AW)</f>
        <v>0</v>
      </c>
      <c r="AV114">
        <f>SUMIF(DeadRaw!$B:$B,$B114,DeadRaw!AX:AX)</f>
        <v>0</v>
      </c>
      <c r="AW114">
        <f>SUMIF(DeadRaw!$B:$B,$B114,DeadRaw!AY:AY)</f>
        <v>0</v>
      </c>
      <c r="AX114">
        <f>SUMIF(DeadRaw!$B:$B,$B114,DeadRaw!AZ:AZ)</f>
        <v>0</v>
      </c>
      <c r="AY114">
        <f>SUMIF(DeadRaw!$B:$B,$B114,DeadRaw!BA:BA)</f>
        <v>0</v>
      </c>
      <c r="AZ114">
        <f>SUMIF(DeadRaw!$B:$B,$B114,DeadRaw!BB:BB)</f>
        <v>0</v>
      </c>
      <c r="BA114">
        <f>SUMIF(DeadRaw!$B:$B,$B114,DeadRaw!BC:BC)</f>
        <v>0</v>
      </c>
      <c r="BB114">
        <f>SUMIF(DeadRaw!$B:$B,$B114,DeadRaw!BD:BD)</f>
        <v>0</v>
      </c>
      <c r="BC114">
        <f>SUMIF(DeadRaw!$B:$B,$B114,DeadRaw!BE:BE)</f>
        <v>0</v>
      </c>
      <c r="BD114">
        <f>SUMIF(DeadRaw!$B:$B,$B114,DeadRaw!BF:BF)</f>
        <v>0</v>
      </c>
      <c r="BE114">
        <f>SUMIF(DeadRaw!$B:$B,$B114,DeadRaw!BG:BG)</f>
        <v>0</v>
      </c>
      <c r="BF114">
        <f>SUMIF(DeadRaw!$B:$B,$B114,DeadRaw!BH:BH)</f>
        <v>0</v>
      </c>
      <c r="BG114">
        <f>SUMIF(DeadRaw!$B:$B,$B114,DeadRaw!BI:BI)</f>
        <v>0</v>
      </c>
      <c r="BH114">
        <f>SUMIF(DeadRaw!$B:$B,$B114,DeadRaw!BJ:BJ)</f>
        <v>0</v>
      </c>
      <c r="BI114">
        <f>SUMIF(DeadRaw!$B:$B,$B114,DeadRaw!BK:BK)</f>
        <v>0</v>
      </c>
      <c r="BJ114">
        <f>SUMIF(DeadRaw!$B:$B,$B114,DeadRaw!BL:BL)</f>
        <v>0</v>
      </c>
      <c r="BK114">
        <f>SUMIF(DeadRaw!$B:$B,$B114,DeadRaw!BM:BM)</f>
        <v>0</v>
      </c>
      <c r="BL114">
        <f>SUMIF(DeadRaw!$B:$B,$B114,DeadRaw!BN:BN)</f>
        <v>0</v>
      </c>
      <c r="BM114">
        <f>SUMIF(DeadRaw!$B:$B,$B114,DeadRaw!BO:BO)</f>
        <v>0</v>
      </c>
      <c r="BN114">
        <f>SUMIF(DeadRaw!$B:$B,$B114,DeadRaw!BP:BP)</f>
        <v>0</v>
      </c>
      <c r="BO114">
        <f>SUMIF(DeadRaw!$B:$B,$B114,DeadRaw!BQ:BQ)</f>
        <v>0</v>
      </c>
      <c r="BP114">
        <f>SUMIF(DeadRaw!$B:$B,$B114,DeadRaw!BR:BR)</f>
        <v>0</v>
      </c>
      <c r="BQ114">
        <f>SUMIF(DeadRaw!$B:$B,$B114,DeadRaw!BS:BS)</f>
        <v>0</v>
      </c>
      <c r="BR114">
        <f>SUMIF(DeadRaw!$B:$B,$B114,DeadRaw!BT:BT)</f>
        <v>0</v>
      </c>
      <c r="BS114">
        <f>SUMIF(DeadRaw!$B:$B,$B114,DeadRaw!BU:BU)</f>
        <v>0</v>
      </c>
      <c r="BT114">
        <f>SUMIF(DeadRaw!$B:$B,$B114,DeadRaw!BV:BV)</f>
        <v>0</v>
      </c>
      <c r="BU114">
        <f>SUMIF(DeadRaw!$B:$B,$B114,DeadRaw!BW:BW)</f>
        <v>0</v>
      </c>
    </row>
    <row r="115" spans="1:73" ht="15" thickBot="1" x14ac:dyDescent="0.35">
      <c r="A115" s="97" t="str">
        <f>VLOOKUP(B115,Country_Data!B:Q,16,FALSE)</f>
        <v>Africa</v>
      </c>
      <c r="B115" s="4" t="s">
        <v>419</v>
      </c>
      <c r="C115">
        <f>SUMIF(DeadRaw!$B:$B,$B115,DeadRaw!E:E)</f>
        <v>0</v>
      </c>
      <c r="D115">
        <f>SUMIF(DeadRaw!$B:$B,$B115,DeadRaw!F:F)</f>
        <v>0</v>
      </c>
      <c r="E115">
        <f>SUMIF(DeadRaw!$B:$B,$B115,DeadRaw!G:G)</f>
        <v>0</v>
      </c>
      <c r="F115">
        <f>SUMIF(DeadRaw!$B:$B,$B115,DeadRaw!H:H)</f>
        <v>0</v>
      </c>
      <c r="G115">
        <f>SUMIF(DeadRaw!$B:$B,$B115,DeadRaw!I:I)</f>
        <v>0</v>
      </c>
      <c r="H115">
        <f>SUMIF(DeadRaw!$B:$B,$B115,DeadRaw!J:J)</f>
        <v>0</v>
      </c>
      <c r="I115">
        <f>SUMIF(DeadRaw!$B:$B,$B115,DeadRaw!K:K)</f>
        <v>0</v>
      </c>
      <c r="J115">
        <f>SUMIF(DeadRaw!$B:$B,$B115,DeadRaw!L:L)</f>
        <v>0</v>
      </c>
      <c r="K115">
        <f>SUMIF(DeadRaw!$B:$B,$B115,DeadRaw!M:M)</f>
        <v>0</v>
      </c>
      <c r="L115">
        <f>SUMIF(DeadRaw!$B:$B,$B115,DeadRaw!N:N)</f>
        <v>0</v>
      </c>
      <c r="M115">
        <f>SUMIF(DeadRaw!$B:$B,$B115,DeadRaw!O:O)</f>
        <v>0</v>
      </c>
      <c r="N115">
        <f>SUMIF(DeadRaw!$B:$B,$B115,DeadRaw!P:P)</f>
        <v>0</v>
      </c>
      <c r="O115">
        <f>SUMIF(DeadRaw!$B:$B,$B115,DeadRaw!Q:Q)</f>
        <v>0</v>
      </c>
      <c r="P115">
        <f>SUMIF(DeadRaw!$B:$B,$B115,DeadRaw!R:R)</f>
        <v>0</v>
      </c>
      <c r="Q115">
        <f>SUMIF(DeadRaw!$B:$B,$B115,DeadRaw!S:S)</f>
        <v>0</v>
      </c>
      <c r="R115">
        <f>SUMIF(DeadRaw!$B:$B,$B115,DeadRaw!T:T)</f>
        <v>0</v>
      </c>
      <c r="S115">
        <f>SUMIF(DeadRaw!$B:$B,$B115,DeadRaw!U:U)</f>
        <v>0</v>
      </c>
      <c r="T115">
        <f>SUMIF(DeadRaw!$B:$B,$B115,DeadRaw!V:V)</f>
        <v>0</v>
      </c>
      <c r="U115">
        <f>SUMIF(DeadRaw!$B:$B,$B115,DeadRaw!W:W)</f>
        <v>0</v>
      </c>
      <c r="V115">
        <f>SUMIF(DeadRaw!$B:$B,$B115,DeadRaw!X:X)</f>
        <v>0</v>
      </c>
      <c r="W115">
        <f>SUMIF(DeadRaw!$B:$B,$B115,DeadRaw!Y:Y)</f>
        <v>0</v>
      </c>
      <c r="X115">
        <f>SUMIF(DeadRaw!$B:$B,$B115,DeadRaw!Z:Z)</f>
        <v>0</v>
      </c>
      <c r="Y115">
        <f>SUMIF(DeadRaw!$B:$B,$B115,DeadRaw!AA:AA)</f>
        <v>0</v>
      </c>
      <c r="Z115">
        <f>SUMIF(DeadRaw!$B:$B,$B115,DeadRaw!AB:AB)</f>
        <v>0</v>
      </c>
      <c r="AA115">
        <f>SUMIF(DeadRaw!$B:$B,$B115,DeadRaw!AC:AC)</f>
        <v>0</v>
      </c>
      <c r="AB115">
        <f>SUMIF(DeadRaw!$B:$B,$B115,DeadRaw!AD:AD)</f>
        <v>0</v>
      </c>
      <c r="AC115">
        <f>SUMIF(DeadRaw!$B:$B,$B115,DeadRaw!AE:AE)</f>
        <v>0</v>
      </c>
      <c r="AD115">
        <f>SUMIF(DeadRaw!$B:$B,$B115,DeadRaw!AF:AF)</f>
        <v>0</v>
      </c>
      <c r="AE115">
        <f>SUMIF(DeadRaw!$B:$B,$B115,DeadRaw!AG:AG)</f>
        <v>0</v>
      </c>
      <c r="AF115">
        <f>SUMIF(DeadRaw!$B:$B,$B115,DeadRaw!AH:AH)</f>
        <v>0</v>
      </c>
      <c r="AG115">
        <f>SUMIF(DeadRaw!$B:$B,$B115,DeadRaw!AI:AI)</f>
        <v>0</v>
      </c>
      <c r="AH115">
        <f>SUMIF(DeadRaw!$B:$B,$B115,DeadRaw!AJ:AJ)</f>
        <v>0</v>
      </c>
      <c r="AI115">
        <f>SUMIF(DeadRaw!$B:$B,$B115,DeadRaw!AK:AK)</f>
        <v>0</v>
      </c>
      <c r="AJ115">
        <f>SUMIF(DeadRaw!$B:$B,$B115,DeadRaw!AL:AL)</f>
        <v>0</v>
      </c>
      <c r="AK115">
        <f>SUMIF(DeadRaw!$B:$B,$B115,DeadRaw!AM:AM)</f>
        <v>0</v>
      </c>
      <c r="AL115">
        <f>SUMIF(DeadRaw!$B:$B,$B115,DeadRaw!AN:AN)</f>
        <v>0</v>
      </c>
      <c r="AM115">
        <f>SUMIF(DeadRaw!$B:$B,$B115,DeadRaw!AO:AO)</f>
        <v>0</v>
      </c>
      <c r="AN115">
        <f>SUMIF(DeadRaw!$B:$B,$B115,DeadRaw!AP:AP)</f>
        <v>0</v>
      </c>
      <c r="AO115">
        <f>SUMIF(DeadRaw!$B:$B,$B115,DeadRaw!AQ:AQ)</f>
        <v>0</v>
      </c>
      <c r="AP115">
        <f>SUMIF(DeadRaw!$B:$B,$B115,DeadRaw!AR:AR)</f>
        <v>0</v>
      </c>
      <c r="AQ115">
        <f>SUMIF(DeadRaw!$B:$B,$B115,DeadRaw!AS:AS)</f>
        <v>0</v>
      </c>
      <c r="AR115">
        <f>SUMIF(DeadRaw!$B:$B,$B115,DeadRaw!AT:AT)</f>
        <v>0</v>
      </c>
      <c r="AS115">
        <f>SUMIF(DeadRaw!$B:$B,$B115,DeadRaw!AU:AU)</f>
        <v>0</v>
      </c>
      <c r="AT115">
        <f>SUMIF(DeadRaw!$B:$B,$B115,DeadRaw!AV:AV)</f>
        <v>0</v>
      </c>
      <c r="AU115">
        <f>SUMIF(DeadRaw!$B:$B,$B115,DeadRaw!AW:AW)</f>
        <v>0</v>
      </c>
      <c r="AV115">
        <f>SUMIF(DeadRaw!$B:$B,$B115,DeadRaw!AX:AX)</f>
        <v>0</v>
      </c>
      <c r="AW115">
        <f>SUMIF(DeadRaw!$B:$B,$B115,DeadRaw!AY:AY)</f>
        <v>0</v>
      </c>
      <c r="AX115">
        <f>SUMIF(DeadRaw!$B:$B,$B115,DeadRaw!AZ:AZ)</f>
        <v>0</v>
      </c>
      <c r="AY115">
        <f>SUMIF(DeadRaw!$B:$B,$B115,DeadRaw!BA:BA)</f>
        <v>0</v>
      </c>
      <c r="AZ115">
        <f>SUMIF(DeadRaw!$B:$B,$B115,DeadRaw!BB:BB)</f>
        <v>0</v>
      </c>
      <c r="BA115">
        <f>SUMIF(DeadRaw!$B:$B,$B115,DeadRaw!BC:BC)</f>
        <v>0</v>
      </c>
      <c r="BB115">
        <f>SUMIF(DeadRaw!$B:$B,$B115,DeadRaw!BD:BD)</f>
        <v>0</v>
      </c>
      <c r="BC115">
        <f>SUMIF(DeadRaw!$B:$B,$B115,DeadRaw!BE:BE)</f>
        <v>0</v>
      </c>
      <c r="BD115">
        <f>SUMIF(DeadRaw!$B:$B,$B115,DeadRaw!BF:BF)</f>
        <v>0</v>
      </c>
      <c r="BE115">
        <f>SUMIF(DeadRaw!$B:$B,$B115,DeadRaw!BG:BG)</f>
        <v>0</v>
      </c>
      <c r="BF115">
        <f>SUMIF(DeadRaw!$B:$B,$B115,DeadRaw!BH:BH)</f>
        <v>0</v>
      </c>
      <c r="BG115">
        <f>SUMIF(DeadRaw!$B:$B,$B115,DeadRaw!BI:BI)</f>
        <v>0</v>
      </c>
      <c r="BH115">
        <f>SUMIF(DeadRaw!$B:$B,$B115,DeadRaw!BJ:BJ)</f>
        <v>0</v>
      </c>
      <c r="BI115">
        <f>SUMIF(DeadRaw!$B:$B,$B115,DeadRaw!BK:BK)</f>
        <v>0</v>
      </c>
      <c r="BJ115">
        <f>SUMIF(DeadRaw!$B:$B,$B115,DeadRaw!BL:BL)</f>
        <v>0</v>
      </c>
      <c r="BK115">
        <f>SUMIF(DeadRaw!$B:$B,$B115,DeadRaw!BM:BM)</f>
        <v>0</v>
      </c>
      <c r="BL115">
        <f>SUMIF(DeadRaw!$B:$B,$B115,DeadRaw!BN:BN)</f>
        <v>0</v>
      </c>
      <c r="BM115">
        <f>SUMIF(DeadRaw!$B:$B,$B115,DeadRaw!BO:BO)</f>
        <v>0</v>
      </c>
      <c r="BN115">
        <f>SUMIF(DeadRaw!$B:$B,$B115,DeadRaw!BP:BP)</f>
        <v>0</v>
      </c>
      <c r="BO115">
        <f>SUMIF(DeadRaw!$B:$B,$B115,DeadRaw!BQ:BQ)</f>
        <v>0</v>
      </c>
      <c r="BP115">
        <f>SUMIF(DeadRaw!$B:$B,$B115,DeadRaw!BR:BR)</f>
        <v>0</v>
      </c>
      <c r="BQ115">
        <f>SUMIF(DeadRaw!$B:$B,$B115,DeadRaw!BS:BS)</f>
        <v>0</v>
      </c>
      <c r="BR115">
        <f>SUMIF(DeadRaw!$B:$B,$B115,DeadRaw!BT:BT)</f>
        <v>0</v>
      </c>
      <c r="BS115">
        <f>SUMIF(DeadRaw!$B:$B,$B115,DeadRaw!BU:BU)</f>
        <v>0</v>
      </c>
      <c r="BT115">
        <f>SUMIF(DeadRaw!$B:$B,$B115,DeadRaw!BV:BV)</f>
        <v>0</v>
      </c>
      <c r="BU115">
        <f>SUMIF(DeadRaw!$B:$B,$B115,DeadRaw!BW:BW)</f>
        <v>0</v>
      </c>
    </row>
    <row r="116" spans="1:73" ht="15" thickBot="1" x14ac:dyDescent="0.35">
      <c r="A116" s="97" t="str">
        <f>VLOOKUP(B116,Country_Data!B:Q,16,FALSE)</f>
        <v>South America</v>
      </c>
      <c r="B116" s="3" t="s">
        <v>416</v>
      </c>
      <c r="C116">
        <f>SUMIF(DeadRaw!$B:$B,$B116,DeadRaw!E:E)</f>
        <v>0</v>
      </c>
      <c r="D116">
        <f>SUMIF(DeadRaw!$B:$B,$B116,DeadRaw!F:F)</f>
        <v>0</v>
      </c>
      <c r="E116">
        <f>SUMIF(DeadRaw!$B:$B,$B116,DeadRaw!G:G)</f>
        <v>0</v>
      </c>
      <c r="F116">
        <f>SUMIF(DeadRaw!$B:$B,$B116,DeadRaw!H:H)</f>
        <v>0</v>
      </c>
      <c r="G116">
        <f>SUMIF(DeadRaw!$B:$B,$B116,DeadRaw!I:I)</f>
        <v>0</v>
      </c>
      <c r="H116">
        <f>SUMIF(DeadRaw!$B:$B,$B116,DeadRaw!J:J)</f>
        <v>0</v>
      </c>
      <c r="I116">
        <f>SUMIF(DeadRaw!$B:$B,$B116,DeadRaw!K:K)</f>
        <v>0</v>
      </c>
      <c r="J116">
        <f>SUMIF(DeadRaw!$B:$B,$B116,DeadRaw!L:L)</f>
        <v>0</v>
      </c>
      <c r="K116">
        <f>SUMIF(DeadRaw!$B:$B,$B116,DeadRaw!M:M)</f>
        <v>0</v>
      </c>
      <c r="L116">
        <f>SUMIF(DeadRaw!$B:$B,$B116,DeadRaw!N:N)</f>
        <v>0</v>
      </c>
      <c r="M116">
        <f>SUMIF(DeadRaw!$B:$B,$B116,DeadRaw!O:O)</f>
        <v>0</v>
      </c>
      <c r="N116">
        <f>SUMIF(DeadRaw!$B:$B,$B116,DeadRaw!P:P)</f>
        <v>0</v>
      </c>
      <c r="O116">
        <f>SUMIF(DeadRaw!$B:$B,$B116,DeadRaw!Q:Q)</f>
        <v>0</v>
      </c>
      <c r="P116">
        <f>SUMIF(DeadRaw!$B:$B,$B116,DeadRaw!R:R)</f>
        <v>0</v>
      </c>
      <c r="Q116">
        <f>SUMIF(DeadRaw!$B:$B,$B116,DeadRaw!S:S)</f>
        <v>0</v>
      </c>
      <c r="R116">
        <f>SUMIF(DeadRaw!$B:$B,$B116,DeadRaw!T:T)</f>
        <v>0</v>
      </c>
      <c r="S116">
        <f>SUMIF(DeadRaw!$B:$B,$B116,DeadRaw!U:U)</f>
        <v>0</v>
      </c>
      <c r="T116">
        <f>SUMIF(DeadRaw!$B:$B,$B116,DeadRaw!V:V)</f>
        <v>0</v>
      </c>
      <c r="U116">
        <f>SUMIF(DeadRaw!$B:$B,$B116,DeadRaw!W:W)</f>
        <v>0</v>
      </c>
      <c r="V116">
        <f>SUMIF(DeadRaw!$B:$B,$B116,DeadRaw!X:X)</f>
        <v>0</v>
      </c>
      <c r="W116">
        <f>SUMIF(DeadRaw!$B:$B,$B116,DeadRaw!Y:Y)</f>
        <v>0</v>
      </c>
      <c r="X116">
        <f>SUMIF(DeadRaw!$B:$B,$B116,DeadRaw!Z:Z)</f>
        <v>0</v>
      </c>
      <c r="Y116">
        <f>SUMIF(DeadRaw!$B:$B,$B116,DeadRaw!AA:AA)</f>
        <v>0</v>
      </c>
      <c r="Z116">
        <f>SUMIF(DeadRaw!$B:$B,$B116,DeadRaw!AB:AB)</f>
        <v>0</v>
      </c>
      <c r="AA116">
        <f>SUMIF(DeadRaw!$B:$B,$B116,DeadRaw!AC:AC)</f>
        <v>0</v>
      </c>
      <c r="AB116">
        <f>SUMIF(DeadRaw!$B:$B,$B116,DeadRaw!AD:AD)</f>
        <v>0</v>
      </c>
      <c r="AC116">
        <f>SUMIF(DeadRaw!$B:$B,$B116,DeadRaw!AE:AE)</f>
        <v>0</v>
      </c>
      <c r="AD116">
        <f>SUMIF(DeadRaw!$B:$B,$B116,DeadRaw!AF:AF)</f>
        <v>0</v>
      </c>
      <c r="AE116">
        <f>SUMIF(DeadRaw!$B:$B,$B116,DeadRaw!AG:AG)</f>
        <v>0</v>
      </c>
      <c r="AF116">
        <f>SUMIF(DeadRaw!$B:$B,$B116,DeadRaw!AH:AH)</f>
        <v>0</v>
      </c>
      <c r="AG116">
        <f>SUMIF(DeadRaw!$B:$B,$B116,DeadRaw!AI:AI)</f>
        <v>0</v>
      </c>
      <c r="AH116">
        <f>SUMIF(DeadRaw!$B:$B,$B116,DeadRaw!AJ:AJ)</f>
        <v>0</v>
      </c>
      <c r="AI116">
        <f>SUMIF(DeadRaw!$B:$B,$B116,DeadRaw!AK:AK)</f>
        <v>0</v>
      </c>
      <c r="AJ116">
        <f>SUMIF(DeadRaw!$B:$B,$B116,DeadRaw!AL:AL)</f>
        <v>0</v>
      </c>
      <c r="AK116">
        <f>SUMIF(DeadRaw!$B:$B,$B116,DeadRaw!AM:AM)</f>
        <v>0</v>
      </c>
      <c r="AL116">
        <f>SUMIF(DeadRaw!$B:$B,$B116,DeadRaw!AN:AN)</f>
        <v>0</v>
      </c>
      <c r="AM116">
        <f>SUMIF(DeadRaw!$B:$B,$B116,DeadRaw!AO:AO)</f>
        <v>0</v>
      </c>
      <c r="AN116">
        <f>SUMIF(DeadRaw!$B:$B,$B116,DeadRaw!AP:AP)</f>
        <v>0</v>
      </c>
      <c r="AO116">
        <f>SUMIF(DeadRaw!$B:$B,$B116,DeadRaw!AQ:AQ)</f>
        <v>0</v>
      </c>
      <c r="AP116">
        <f>SUMIF(DeadRaw!$B:$B,$B116,DeadRaw!AR:AR)</f>
        <v>0</v>
      </c>
      <c r="AQ116">
        <f>SUMIF(DeadRaw!$B:$B,$B116,DeadRaw!AS:AS)</f>
        <v>0</v>
      </c>
      <c r="AR116">
        <f>SUMIF(DeadRaw!$B:$B,$B116,DeadRaw!AT:AT)</f>
        <v>0</v>
      </c>
      <c r="AS116">
        <f>SUMIF(DeadRaw!$B:$B,$B116,DeadRaw!AU:AU)</f>
        <v>0</v>
      </c>
      <c r="AT116">
        <f>SUMIF(DeadRaw!$B:$B,$B116,DeadRaw!AV:AV)</f>
        <v>0</v>
      </c>
      <c r="AU116">
        <f>SUMIF(DeadRaw!$B:$B,$B116,DeadRaw!AW:AW)</f>
        <v>0</v>
      </c>
      <c r="AV116">
        <f>SUMIF(DeadRaw!$B:$B,$B116,DeadRaw!AX:AX)</f>
        <v>0</v>
      </c>
      <c r="AW116">
        <f>SUMIF(DeadRaw!$B:$B,$B116,DeadRaw!AY:AY)</f>
        <v>0</v>
      </c>
      <c r="AX116">
        <f>SUMIF(DeadRaw!$B:$B,$B116,DeadRaw!AZ:AZ)</f>
        <v>0</v>
      </c>
      <c r="AY116">
        <f>SUMIF(DeadRaw!$B:$B,$B116,DeadRaw!BA:BA)</f>
        <v>0</v>
      </c>
      <c r="AZ116">
        <f>SUMIF(DeadRaw!$B:$B,$B116,DeadRaw!BB:BB)</f>
        <v>0</v>
      </c>
      <c r="BA116">
        <f>SUMIF(DeadRaw!$B:$B,$B116,DeadRaw!BC:BC)</f>
        <v>0</v>
      </c>
      <c r="BB116">
        <f>SUMIF(DeadRaw!$B:$B,$B116,DeadRaw!BD:BD)</f>
        <v>0</v>
      </c>
      <c r="BC116">
        <f>SUMIF(DeadRaw!$B:$B,$B116,DeadRaw!BE:BE)</f>
        <v>0</v>
      </c>
      <c r="BD116">
        <f>SUMIF(DeadRaw!$B:$B,$B116,DeadRaw!BF:BF)</f>
        <v>0</v>
      </c>
      <c r="BE116">
        <f>SUMIF(DeadRaw!$B:$B,$B116,DeadRaw!BG:BG)</f>
        <v>0</v>
      </c>
      <c r="BF116">
        <f>SUMIF(DeadRaw!$B:$B,$B116,DeadRaw!BH:BH)</f>
        <v>0</v>
      </c>
      <c r="BG116">
        <f>SUMIF(DeadRaw!$B:$B,$B116,DeadRaw!BI:BI)</f>
        <v>0</v>
      </c>
      <c r="BH116">
        <f>SUMIF(DeadRaw!$B:$B,$B116,DeadRaw!BJ:BJ)</f>
        <v>0</v>
      </c>
      <c r="BI116">
        <f>SUMIF(DeadRaw!$B:$B,$B116,DeadRaw!BK:BK)</f>
        <v>0</v>
      </c>
      <c r="BJ116">
        <f>SUMIF(DeadRaw!$B:$B,$B116,DeadRaw!BL:BL)</f>
        <v>0</v>
      </c>
      <c r="BK116">
        <f>SUMIF(DeadRaw!$B:$B,$B116,DeadRaw!BM:BM)</f>
        <v>0</v>
      </c>
      <c r="BL116">
        <f>SUMIF(DeadRaw!$B:$B,$B116,DeadRaw!BN:BN)</f>
        <v>0</v>
      </c>
      <c r="BM116">
        <f>SUMIF(DeadRaw!$B:$B,$B116,DeadRaw!BO:BO)</f>
        <v>0</v>
      </c>
      <c r="BN116">
        <f>SUMIF(DeadRaw!$B:$B,$B116,DeadRaw!BP:BP)</f>
        <v>0</v>
      </c>
      <c r="BO116">
        <f>SUMIF(DeadRaw!$B:$B,$B116,DeadRaw!BQ:BQ)</f>
        <v>0</v>
      </c>
      <c r="BP116">
        <f>SUMIF(DeadRaw!$B:$B,$B116,DeadRaw!BR:BR)</f>
        <v>0</v>
      </c>
      <c r="BQ116">
        <f>SUMIF(DeadRaw!$B:$B,$B116,DeadRaw!BS:BS)</f>
        <v>0</v>
      </c>
      <c r="BR116">
        <f>SUMIF(DeadRaw!$B:$B,$B116,DeadRaw!BT:BT)</f>
        <v>0</v>
      </c>
      <c r="BS116">
        <f>SUMIF(DeadRaw!$B:$B,$B116,DeadRaw!BU:BU)</f>
        <v>0</v>
      </c>
      <c r="BT116">
        <f>SUMIF(DeadRaw!$B:$B,$B116,DeadRaw!BV:BV)</f>
        <v>0</v>
      </c>
      <c r="BU116">
        <f>SUMIF(DeadRaw!$B:$B,$B116,DeadRaw!BW:BW)</f>
        <v>0</v>
      </c>
    </row>
    <row r="117" spans="1:73" ht="15" thickBot="1" x14ac:dyDescent="0.35">
      <c r="A117" s="97" t="str">
        <f>VLOOKUP(B117,Country_Data!B:Q,16,FALSE)</f>
        <v>Africa</v>
      </c>
      <c r="B117" s="4" t="s">
        <v>421</v>
      </c>
      <c r="C117">
        <f>SUMIF(DeadRaw!$B:$B,$B117,DeadRaw!E:E)</f>
        <v>0</v>
      </c>
      <c r="D117">
        <f>SUMIF(DeadRaw!$B:$B,$B117,DeadRaw!F:F)</f>
        <v>0</v>
      </c>
      <c r="E117">
        <f>SUMIF(DeadRaw!$B:$B,$B117,DeadRaw!G:G)</f>
        <v>0</v>
      </c>
      <c r="F117">
        <f>SUMIF(DeadRaw!$B:$B,$B117,DeadRaw!H:H)</f>
        <v>0</v>
      </c>
      <c r="G117">
        <f>SUMIF(DeadRaw!$B:$B,$B117,DeadRaw!I:I)</f>
        <v>0</v>
      </c>
      <c r="H117">
        <f>SUMIF(DeadRaw!$B:$B,$B117,DeadRaw!J:J)</f>
        <v>0</v>
      </c>
      <c r="I117">
        <f>SUMIF(DeadRaw!$B:$B,$B117,DeadRaw!K:K)</f>
        <v>0</v>
      </c>
      <c r="J117">
        <f>SUMIF(DeadRaw!$B:$B,$B117,DeadRaw!L:L)</f>
        <v>0</v>
      </c>
      <c r="K117">
        <f>SUMIF(DeadRaw!$B:$B,$B117,DeadRaw!M:M)</f>
        <v>0</v>
      </c>
      <c r="L117">
        <f>SUMIF(DeadRaw!$B:$B,$B117,DeadRaw!N:N)</f>
        <v>0</v>
      </c>
      <c r="M117">
        <f>SUMIF(DeadRaw!$B:$B,$B117,DeadRaw!O:O)</f>
        <v>0</v>
      </c>
      <c r="N117">
        <f>SUMIF(DeadRaw!$B:$B,$B117,DeadRaw!P:P)</f>
        <v>0</v>
      </c>
      <c r="O117">
        <f>SUMIF(DeadRaw!$B:$B,$B117,DeadRaw!Q:Q)</f>
        <v>0</v>
      </c>
      <c r="P117">
        <f>SUMIF(DeadRaw!$B:$B,$B117,DeadRaw!R:R)</f>
        <v>0</v>
      </c>
      <c r="Q117">
        <f>SUMIF(DeadRaw!$B:$B,$B117,DeadRaw!S:S)</f>
        <v>0</v>
      </c>
      <c r="R117">
        <f>SUMIF(DeadRaw!$B:$B,$B117,DeadRaw!T:T)</f>
        <v>0</v>
      </c>
      <c r="S117">
        <f>SUMIF(DeadRaw!$B:$B,$B117,DeadRaw!U:U)</f>
        <v>0</v>
      </c>
      <c r="T117">
        <f>SUMIF(DeadRaw!$B:$B,$B117,DeadRaw!V:V)</f>
        <v>0</v>
      </c>
      <c r="U117">
        <f>SUMIF(DeadRaw!$B:$B,$B117,DeadRaw!W:W)</f>
        <v>0</v>
      </c>
      <c r="V117">
        <f>SUMIF(DeadRaw!$B:$B,$B117,DeadRaw!X:X)</f>
        <v>0</v>
      </c>
      <c r="W117">
        <f>SUMIF(DeadRaw!$B:$B,$B117,DeadRaw!Y:Y)</f>
        <v>0</v>
      </c>
      <c r="X117">
        <f>SUMIF(DeadRaw!$B:$B,$B117,DeadRaw!Z:Z)</f>
        <v>0</v>
      </c>
      <c r="Y117">
        <f>SUMIF(DeadRaw!$B:$B,$B117,DeadRaw!AA:AA)</f>
        <v>0</v>
      </c>
      <c r="Z117">
        <f>SUMIF(DeadRaw!$B:$B,$B117,DeadRaw!AB:AB)</f>
        <v>0</v>
      </c>
      <c r="AA117">
        <f>SUMIF(DeadRaw!$B:$B,$B117,DeadRaw!AC:AC)</f>
        <v>0</v>
      </c>
      <c r="AB117">
        <f>SUMIF(DeadRaw!$B:$B,$B117,DeadRaw!AD:AD)</f>
        <v>0</v>
      </c>
      <c r="AC117">
        <f>SUMIF(DeadRaw!$B:$B,$B117,DeadRaw!AE:AE)</f>
        <v>0</v>
      </c>
      <c r="AD117">
        <f>SUMIF(DeadRaw!$B:$B,$B117,DeadRaw!AF:AF)</f>
        <v>0</v>
      </c>
      <c r="AE117">
        <f>SUMIF(DeadRaw!$B:$B,$B117,DeadRaw!AG:AG)</f>
        <v>0</v>
      </c>
      <c r="AF117">
        <f>SUMIF(DeadRaw!$B:$B,$B117,DeadRaw!AH:AH)</f>
        <v>0</v>
      </c>
      <c r="AG117">
        <f>SUMIF(DeadRaw!$B:$B,$B117,DeadRaw!AI:AI)</f>
        <v>0</v>
      </c>
      <c r="AH117">
        <f>SUMIF(DeadRaw!$B:$B,$B117,DeadRaw!AJ:AJ)</f>
        <v>0</v>
      </c>
      <c r="AI117">
        <f>SUMIF(DeadRaw!$B:$B,$B117,DeadRaw!AK:AK)</f>
        <v>0</v>
      </c>
      <c r="AJ117">
        <f>SUMIF(DeadRaw!$B:$B,$B117,DeadRaw!AL:AL)</f>
        <v>0</v>
      </c>
      <c r="AK117">
        <f>SUMIF(DeadRaw!$B:$B,$B117,DeadRaw!AM:AM)</f>
        <v>0</v>
      </c>
      <c r="AL117">
        <f>SUMIF(DeadRaw!$B:$B,$B117,DeadRaw!AN:AN)</f>
        <v>0</v>
      </c>
      <c r="AM117">
        <f>SUMIF(DeadRaw!$B:$B,$B117,DeadRaw!AO:AO)</f>
        <v>0</v>
      </c>
      <c r="AN117">
        <f>SUMIF(DeadRaw!$B:$B,$B117,DeadRaw!AP:AP)</f>
        <v>0</v>
      </c>
      <c r="AO117">
        <f>SUMIF(DeadRaw!$B:$B,$B117,DeadRaw!AQ:AQ)</f>
        <v>0</v>
      </c>
      <c r="AP117">
        <f>SUMIF(DeadRaw!$B:$B,$B117,DeadRaw!AR:AR)</f>
        <v>0</v>
      </c>
      <c r="AQ117">
        <f>SUMIF(DeadRaw!$B:$B,$B117,DeadRaw!AS:AS)</f>
        <v>0</v>
      </c>
      <c r="AR117">
        <f>SUMIF(DeadRaw!$B:$B,$B117,DeadRaw!AT:AT)</f>
        <v>0</v>
      </c>
      <c r="AS117">
        <f>SUMIF(DeadRaw!$B:$B,$B117,DeadRaw!AU:AU)</f>
        <v>0</v>
      </c>
      <c r="AT117">
        <f>SUMIF(DeadRaw!$B:$B,$B117,DeadRaw!AV:AV)</f>
        <v>0</v>
      </c>
      <c r="AU117">
        <f>SUMIF(DeadRaw!$B:$B,$B117,DeadRaw!AW:AW)</f>
        <v>0</v>
      </c>
      <c r="AV117">
        <f>SUMIF(DeadRaw!$B:$B,$B117,DeadRaw!AX:AX)</f>
        <v>0</v>
      </c>
      <c r="AW117">
        <f>SUMIF(DeadRaw!$B:$B,$B117,DeadRaw!AY:AY)</f>
        <v>0</v>
      </c>
      <c r="AX117">
        <f>SUMIF(DeadRaw!$B:$B,$B117,DeadRaw!AZ:AZ)</f>
        <v>0</v>
      </c>
      <c r="AY117">
        <f>SUMIF(DeadRaw!$B:$B,$B117,DeadRaw!BA:BA)</f>
        <v>0</v>
      </c>
      <c r="AZ117">
        <f>SUMIF(DeadRaw!$B:$B,$B117,DeadRaw!BB:BB)</f>
        <v>0</v>
      </c>
      <c r="BA117">
        <f>SUMIF(DeadRaw!$B:$B,$B117,DeadRaw!BC:BC)</f>
        <v>0</v>
      </c>
      <c r="BB117">
        <f>SUMIF(DeadRaw!$B:$B,$B117,DeadRaw!BD:BD)</f>
        <v>0</v>
      </c>
      <c r="BC117">
        <f>SUMIF(DeadRaw!$B:$B,$B117,DeadRaw!BE:BE)</f>
        <v>0</v>
      </c>
      <c r="BD117">
        <f>SUMIF(DeadRaw!$B:$B,$B117,DeadRaw!BF:BF)</f>
        <v>0</v>
      </c>
      <c r="BE117">
        <f>SUMIF(DeadRaw!$B:$B,$B117,DeadRaw!BG:BG)</f>
        <v>0</v>
      </c>
      <c r="BF117">
        <f>SUMIF(DeadRaw!$B:$B,$B117,DeadRaw!BH:BH)</f>
        <v>0</v>
      </c>
      <c r="BG117">
        <f>SUMIF(DeadRaw!$B:$B,$B117,DeadRaw!BI:BI)</f>
        <v>0</v>
      </c>
      <c r="BH117">
        <f>SUMIF(DeadRaw!$B:$B,$B117,DeadRaw!BJ:BJ)</f>
        <v>0</v>
      </c>
      <c r="BI117">
        <f>SUMIF(DeadRaw!$B:$B,$B117,DeadRaw!BK:BK)</f>
        <v>0</v>
      </c>
      <c r="BJ117">
        <f>SUMIF(DeadRaw!$B:$B,$B117,DeadRaw!BL:BL)</f>
        <v>0</v>
      </c>
      <c r="BK117">
        <f>SUMIF(DeadRaw!$B:$B,$B117,DeadRaw!BM:BM)</f>
        <v>0</v>
      </c>
      <c r="BL117">
        <f>SUMIF(DeadRaw!$B:$B,$B117,DeadRaw!BN:BN)</f>
        <v>0</v>
      </c>
      <c r="BM117">
        <f>SUMIF(DeadRaw!$B:$B,$B117,DeadRaw!BO:BO)</f>
        <v>0</v>
      </c>
      <c r="BN117">
        <f>SUMIF(DeadRaw!$B:$B,$B117,DeadRaw!BP:BP)</f>
        <v>0</v>
      </c>
      <c r="BO117">
        <f>SUMIF(DeadRaw!$B:$B,$B117,DeadRaw!BQ:BQ)</f>
        <v>0</v>
      </c>
      <c r="BP117">
        <f>SUMIF(DeadRaw!$B:$B,$B117,DeadRaw!BR:BR)</f>
        <v>0</v>
      </c>
      <c r="BQ117">
        <f>SUMIF(DeadRaw!$B:$B,$B117,DeadRaw!BS:BS)</f>
        <v>0</v>
      </c>
      <c r="BR117">
        <f>SUMIF(DeadRaw!$B:$B,$B117,DeadRaw!BT:BT)</f>
        <v>0</v>
      </c>
      <c r="BS117">
        <f>SUMIF(DeadRaw!$B:$B,$B117,DeadRaw!BU:BU)</f>
        <v>0</v>
      </c>
      <c r="BT117">
        <f>SUMIF(DeadRaw!$B:$B,$B117,DeadRaw!BV:BV)</f>
        <v>0</v>
      </c>
      <c r="BU117">
        <f>SUMIF(DeadRaw!$B:$B,$B117,DeadRaw!BW:BW)</f>
        <v>0</v>
      </c>
    </row>
    <row r="118" spans="1:73" ht="15" thickBot="1" x14ac:dyDescent="0.35">
      <c r="A118" s="97" t="str">
        <f>VLOOKUP(B118,Country_Data!B:Q,16,FALSE)</f>
        <v>South America</v>
      </c>
      <c r="B118" s="3" t="s">
        <v>411</v>
      </c>
      <c r="C118">
        <f>SUMIF(DeadRaw!$B:$B,$B118,DeadRaw!E:E)</f>
        <v>0</v>
      </c>
      <c r="D118">
        <f>SUMIF(DeadRaw!$B:$B,$B118,DeadRaw!F:F)</f>
        <v>0</v>
      </c>
      <c r="E118">
        <f>SUMIF(DeadRaw!$B:$B,$B118,DeadRaw!G:G)</f>
        <v>0</v>
      </c>
      <c r="F118">
        <f>SUMIF(DeadRaw!$B:$B,$B118,DeadRaw!H:H)</f>
        <v>0</v>
      </c>
      <c r="G118">
        <f>SUMIF(DeadRaw!$B:$B,$B118,DeadRaw!I:I)</f>
        <v>0</v>
      </c>
      <c r="H118">
        <f>SUMIF(DeadRaw!$B:$B,$B118,DeadRaw!J:J)</f>
        <v>0</v>
      </c>
      <c r="I118">
        <f>SUMIF(DeadRaw!$B:$B,$B118,DeadRaw!K:K)</f>
        <v>0</v>
      </c>
      <c r="J118">
        <f>SUMIF(DeadRaw!$B:$B,$B118,DeadRaw!L:L)</f>
        <v>0</v>
      </c>
      <c r="K118">
        <f>SUMIF(DeadRaw!$B:$B,$B118,DeadRaw!M:M)</f>
        <v>0</v>
      </c>
      <c r="L118">
        <f>SUMIF(DeadRaw!$B:$B,$B118,DeadRaw!N:N)</f>
        <v>0</v>
      </c>
      <c r="M118">
        <f>SUMIF(DeadRaw!$B:$B,$B118,DeadRaw!O:O)</f>
        <v>0</v>
      </c>
      <c r="N118">
        <f>SUMIF(DeadRaw!$B:$B,$B118,DeadRaw!P:P)</f>
        <v>0</v>
      </c>
      <c r="O118">
        <f>SUMIF(DeadRaw!$B:$B,$B118,DeadRaw!Q:Q)</f>
        <v>0</v>
      </c>
      <c r="P118">
        <f>SUMIF(DeadRaw!$B:$B,$B118,DeadRaw!R:R)</f>
        <v>0</v>
      </c>
      <c r="Q118">
        <f>SUMIF(DeadRaw!$B:$B,$B118,DeadRaw!S:S)</f>
        <v>0</v>
      </c>
      <c r="R118">
        <f>SUMIF(DeadRaw!$B:$B,$B118,DeadRaw!T:T)</f>
        <v>0</v>
      </c>
      <c r="S118">
        <f>SUMIF(DeadRaw!$B:$B,$B118,DeadRaw!U:U)</f>
        <v>0</v>
      </c>
      <c r="T118">
        <f>SUMIF(DeadRaw!$B:$B,$B118,DeadRaw!V:V)</f>
        <v>0</v>
      </c>
      <c r="U118">
        <f>SUMIF(DeadRaw!$B:$B,$B118,DeadRaw!W:W)</f>
        <v>0</v>
      </c>
      <c r="V118">
        <f>SUMIF(DeadRaw!$B:$B,$B118,DeadRaw!X:X)</f>
        <v>0</v>
      </c>
      <c r="W118">
        <f>SUMIF(DeadRaw!$B:$B,$B118,DeadRaw!Y:Y)</f>
        <v>0</v>
      </c>
      <c r="X118">
        <f>SUMIF(DeadRaw!$B:$B,$B118,DeadRaw!Z:Z)</f>
        <v>0</v>
      </c>
      <c r="Y118">
        <f>SUMIF(DeadRaw!$B:$B,$B118,DeadRaw!AA:AA)</f>
        <v>0</v>
      </c>
      <c r="Z118">
        <f>SUMIF(DeadRaw!$B:$B,$B118,DeadRaw!AB:AB)</f>
        <v>0</v>
      </c>
      <c r="AA118">
        <f>SUMIF(DeadRaw!$B:$B,$B118,DeadRaw!AC:AC)</f>
        <v>0</v>
      </c>
      <c r="AB118">
        <f>SUMIF(DeadRaw!$B:$B,$B118,DeadRaw!AD:AD)</f>
        <v>0</v>
      </c>
      <c r="AC118">
        <f>SUMIF(DeadRaw!$B:$B,$B118,DeadRaw!AE:AE)</f>
        <v>0</v>
      </c>
      <c r="AD118">
        <f>SUMIF(DeadRaw!$B:$B,$B118,DeadRaw!AF:AF)</f>
        <v>0</v>
      </c>
      <c r="AE118">
        <f>SUMIF(DeadRaw!$B:$B,$B118,DeadRaw!AG:AG)</f>
        <v>0</v>
      </c>
      <c r="AF118">
        <f>SUMIF(DeadRaw!$B:$B,$B118,DeadRaw!AH:AH)</f>
        <v>0</v>
      </c>
      <c r="AG118">
        <f>SUMIF(DeadRaw!$B:$B,$B118,DeadRaw!AI:AI)</f>
        <v>0</v>
      </c>
      <c r="AH118">
        <f>SUMIF(DeadRaw!$B:$B,$B118,DeadRaw!AJ:AJ)</f>
        <v>0</v>
      </c>
      <c r="AI118">
        <f>SUMIF(DeadRaw!$B:$B,$B118,DeadRaw!AK:AK)</f>
        <v>0</v>
      </c>
      <c r="AJ118">
        <f>SUMIF(DeadRaw!$B:$B,$B118,DeadRaw!AL:AL)</f>
        <v>0</v>
      </c>
      <c r="AK118">
        <f>SUMIF(DeadRaw!$B:$B,$B118,DeadRaw!AM:AM)</f>
        <v>0</v>
      </c>
      <c r="AL118">
        <f>SUMIF(DeadRaw!$B:$B,$B118,DeadRaw!AN:AN)</f>
        <v>0</v>
      </c>
      <c r="AM118">
        <f>SUMIF(DeadRaw!$B:$B,$B118,DeadRaw!AO:AO)</f>
        <v>0</v>
      </c>
      <c r="AN118">
        <f>SUMIF(DeadRaw!$B:$B,$B118,DeadRaw!AP:AP)</f>
        <v>0</v>
      </c>
      <c r="AO118">
        <f>SUMIF(DeadRaw!$B:$B,$B118,DeadRaw!AQ:AQ)</f>
        <v>0</v>
      </c>
      <c r="AP118">
        <f>SUMIF(DeadRaw!$B:$B,$B118,DeadRaw!AR:AR)</f>
        <v>0</v>
      </c>
      <c r="AQ118">
        <f>SUMIF(DeadRaw!$B:$B,$B118,DeadRaw!AS:AS)</f>
        <v>0</v>
      </c>
      <c r="AR118">
        <f>SUMIF(DeadRaw!$B:$B,$B118,DeadRaw!AT:AT)</f>
        <v>0</v>
      </c>
      <c r="AS118">
        <f>SUMIF(DeadRaw!$B:$B,$B118,DeadRaw!AU:AU)</f>
        <v>0</v>
      </c>
      <c r="AT118">
        <f>SUMIF(DeadRaw!$B:$B,$B118,DeadRaw!AV:AV)</f>
        <v>0</v>
      </c>
      <c r="AU118">
        <f>SUMIF(DeadRaw!$B:$B,$B118,DeadRaw!AW:AW)</f>
        <v>0</v>
      </c>
      <c r="AV118">
        <f>SUMIF(DeadRaw!$B:$B,$B118,DeadRaw!AX:AX)</f>
        <v>0</v>
      </c>
      <c r="AW118">
        <f>SUMIF(DeadRaw!$B:$B,$B118,DeadRaw!AY:AY)</f>
        <v>0</v>
      </c>
      <c r="AX118">
        <f>SUMIF(DeadRaw!$B:$B,$B118,DeadRaw!AZ:AZ)</f>
        <v>0</v>
      </c>
      <c r="AY118">
        <f>SUMIF(DeadRaw!$B:$B,$B118,DeadRaw!BA:BA)</f>
        <v>0</v>
      </c>
      <c r="AZ118">
        <f>SUMIF(DeadRaw!$B:$B,$B118,DeadRaw!BB:BB)</f>
        <v>0</v>
      </c>
      <c r="BA118">
        <f>SUMIF(DeadRaw!$B:$B,$B118,DeadRaw!BC:BC)</f>
        <v>1</v>
      </c>
      <c r="BB118">
        <f>SUMIF(DeadRaw!$B:$B,$B118,DeadRaw!BD:BD)</f>
        <v>1</v>
      </c>
      <c r="BC118">
        <f>SUMIF(DeadRaw!$B:$B,$B118,DeadRaw!BE:BE)</f>
        <v>1</v>
      </c>
      <c r="BD118">
        <f>SUMIF(DeadRaw!$B:$B,$B118,DeadRaw!BF:BF)</f>
        <v>1</v>
      </c>
      <c r="BE118">
        <f>SUMIF(DeadRaw!$B:$B,$B118,DeadRaw!BG:BG)</f>
        <v>1</v>
      </c>
      <c r="BF118">
        <f>SUMIF(DeadRaw!$B:$B,$B118,DeadRaw!BH:BH)</f>
        <v>1</v>
      </c>
      <c r="BG118">
        <f>SUMIF(DeadRaw!$B:$B,$B118,DeadRaw!BI:BI)</f>
        <v>1</v>
      </c>
      <c r="BH118">
        <f>SUMIF(DeadRaw!$B:$B,$B118,DeadRaw!BJ:BJ)</f>
        <v>1</v>
      </c>
      <c r="BI118">
        <f>SUMIF(DeadRaw!$B:$B,$B118,DeadRaw!BK:BK)</f>
        <v>1</v>
      </c>
      <c r="BJ118">
        <f>SUMIF(DeadRaw!$B:$B,$B118,DeadRaw!BL:BL)</f>
        <v>1</v>
      </c>
      <c r="BK118">
        <f>SUMIF(DeadRaw!$B:$B,$B118,DeadRaw!BM:BM)</f>
        <v>1</v>
      </c>
      <c r="BL118">
        <f>SUMIF(DeadRaw!$B:$B,$B118,DeadRaw!BN:BN)</f>
        <v>1</v>
      </c>
      <c r="BM118">
        <f>SUMIF(DeadRaw!$B:$B,$B118,DeadRaw!BO:BO)</f>
        <v>1</v>
      </c>
      <c r="BN118">
        <f>SUMIF(DeadRaw!$B:$B,$B118,DeadRaw!BP:BP)</f>
        <v>1</v>
      </c>
      <c r="BO118">
        <f>SUMIF(DeadRaw!$B:$B,$B118,DeadRaw!BQ:BQ)</f>
        <v>1</v>
      </c>
      <c r="BP118">
        <f>SUMIF(DeadRaw!$B:$B,$B118,DeadRaw!BR:BR)</f>
        <v>1</v>
      </c>
      <c r="BQ118">
        <f>SUMIF(DeadRaw!$B:$B,$B118,DeadRaw!BS:BS)</f>
        <v>1</v>
      </c>
      <c r="BR118">
        <f>SUMIF(DeadRaw!$B:$B,$B118,DeadRaw!BT:BT)</f>
        <v>0</v>
      </c>
      <c r="BS118">
        <f>SUMIF(DeadRaw!$B:$B,$B118,DeadRaw!BU:BU)</f>
        <v>0</v>
      </c>
      <c r="BT118">
        <f>SUMIF(DeadRaw!$B:$B,$B118,DeadRaw!BV:BV)</f>
        <v>0</v>
      </c>
      <c r="BU118">
        <f>SUMIF(DeadRaw!$B:$B,$B118,DeadRaw!BW:BW)</f>
        <v>0</v>
      </c>
    </row>
    <row r="119" spans="1:73" ht="15" thickBot="1" x14ac:dyDescent="0.35">
      <c r="A119" s="97" t="str">
        <f>VLOOKUP(B119,Country_Data!B:Q,16,FALSE)</f>
        <v>Europe</v>
      </c>
      <c r="B119" s="3" t="s">
        <v>281</v>
      </c>
      <c r="C119">
        <f>SUMIF(DeadRaw!$B:$B,$B119,DeadRaw!E:E)</f>
        <v>0</v>
      </c>
      <c r="D119">
        <f>SUMIF(DeadRaw!$B:$B,$B119,DeadRaw!F:F)</f>
        <v>0</v>
      </c>
      <c r="E119">
        <f>SUMIF(DeadRaw!$B:$B,$B119,DeadRaw!G:G)</f>
        <v>0</v>
      </c>
      <c r="F119">
        <f>SUMIF(DeadRaw!$B:$B,$B119,DeadRaw!H:H)</f>
        <v>0</v>
      </c>
      <c r="G119">
        <f>SUMIF(DeadRaw!$B:$B,$B119,DeadRaw!I:I)</f>
        <v>0</v>
      </c>
      <c r="H119">
        <f>SUMIF(DeadRaw!$B:$B,$B119,DeadRaw!J:J)</f>
        <v>0</v>
      </c>
      <c r="I119">
        <f>SUMIF(DeadRaw!$B:$B,$B119,DeadRaw!K:K)</f>
        <v>0</v>
      </c>
      <c r="J119">
        <f>SUMIF(DeadRaw!$B:$B,$B119,DeadRaw!L:L)</f>
        <v>0</v>
      </c>
      <c r="K119">
        <f>SUMIF(DeadRaw!$B:$B,$B119,DeadRaw!M:M)</f>
        <v>0</v>
      </c>
      <c r="L119">
        <f>SUMIF(DeadRaw!$B:$B,$B119,DeadRaw!N:N)</f>
        <v>0</v>
      </c>
      <c r="M119">
        <f>SUMIF(DeadRaw!$B:$B,$B119,DeadRaw!O:O)</f>
        <v>0</v>
      </c>
      <c r="N119">
        <f>SUMIF(DeadRaw!$B:$B,$B119,DeadRaw!P:P)</f>
        <v>0</v>
      </c>
      <c r="O119">
        <f>SUMIF(DeadRaw!$B:$B,$B119,DeadRaw!Q:Q)</f>
        <v>0</v>
      </c>
      <c r="P119">
        <f>SUMIF(DeadRaw!$B:$B,$B119,DeadRaw!R:R)</f>
        <v>0</v>
      </c>
      <c r="Q119">
        <f>SUMIF(DeadRaw!$B:$B,$B119,DeadRaw!S:S)</f>
        <v>0</v>
      </c>
      <c r="R119">
        <f>SUMIF(DeadRaw!$B:$B,$B119,DeadRaw!T:T)</f>
        <v>0</v>
      </c>
      <c r="S119">
        <f>SUMIF(DeadRaw!$B:$B,$B119,DeadRaw!U:U)</f>
        <v>0</v>
      </c>
      <c r="T119">
        <f>SUMIF(DeadRaw!$B:$B,$B119,DeadRaw!V:V)</f>
        <v>0</v>
      </c>
      <c r="U119">
        <f>SUMIF(DeadRaw!$B:$B,$B119,DeadRaw!W:W)</f>
        <v>0</v>
      </c>
      <c r="V119">
        <f>SUMIF(DeadRaw!$B:$B,$B119,DeadRaw!X:X)</f>
        <v>0</v>
      </c>
      <c r="W119">
        <f>SUMIF(DeadRaw!$B:$B,$B119,DeadRaw!Y:Y)</f>
        <v>0</v>
      </c>
      <c r="X119">
        <f>SUMIF(DeadRaw!$B:$B,$B119,DeadRaw!Z:Z)</f>
        <v>0</v>
      </c>
      <c r="Y119">
        <f>SUMIF(DeadRaw!$B:$B,$B119,DeadRaw!AA:AA)</f>
        <v>0</v>
      </c>
      <c r="Z119">
        <f>SUMIF(DeadRaw!$B:$B,$B119,DeadRaw!AB:AB)</f>
        <v>0</v>
      </c>
      <c r="AA119">
        <f>SUMIF(DeadRaw!$B:$B,$B119,DeadRaw!AC:AC)</f>
        <v>0</v>
      </c>
      <c r="AB119">
        <f>SUMIF(DeadRaw!$B:$B,$B119,DeadRaw!AD:AD)</f>
        <v>0</v>
      </c>
      <c r="AC119">
        <f>SUMIF(DeadRaw!$B:$B,$B119,DeadRaw!AE:AE)</f>
        <v>0</v>
      </c>
      <c r="AD119">
        <f>SUMIF(DeadRaw!$B:$B,$B119,DeadRaw!AF:AF)</f>
        <v>0</v>
      </c>
      <c r="AE119">
        <f>SUMIF(DeadRaw!$B:$B,$B119,DeadRaw!AG:AG)</f>
        <v>0</v>
      </c>
      <c r="AF119">
        <f>SUMIF(DeadRaw!$B:$B,$B119,DeadRaw!AH:AH)</f>
        <v>0</v>
      </c>
      <c r="AG119">
        <f>SUMIF(DeadRaw!$B:$B,$B119,DeadRaw!AI:AI)</f>
        <v>0</v>
      </c>
      <c r="AH119">
        <f>SUMIF(DeadRaw!$B:$B,$B119,DeadRaw!AJ:AJ)</f>
        <v>0</v>
      </c>
      <c r="AI119">
        <f>SUMIF(DeadRaw!$B:$B,$B119,DeadRaw!AK:AK)</f>
        <v>0</v>
      </c>
      <c r="AJ119">
        <f>SUMIF(DeadRaw!$B:$B,$B119,DeadRaw!AL:AL)</f>
        <v>0</v>
      </c>
      <c r="AK119">
        <f>SUMIF(DeadRaw!$B:$B,$B119,DeadRaw!AM:AM)</f>
        <v>0</v>
      </c>
      <c r="AL119">
        <f>SUMIF(DeadRaw!$B:$B,$B119,DeadRaw!AN:AN)</f>
        <v>0</v>
      </c>
      <c r="AM119">
        <f>SUMIF(DeadRaw!$B:$B,$B119,DeadRaw!AO:AO)</f>
        <v>0</v>
      </c>
      <c r="AN119">
        <f>SUMIF(DeadRaw!$B:$B,$B119,DeadRaw!AP:AP)</f>
        <v>0</v>
      </c>
      <c r="AO119">
        <f>SUMIF(DeadRaw!$B:$B,$B119,DeadRaw!AQ:AQ)</f>
        <v>0</v>
      </c>
      <c r="AP119">
        <f>SUMIF(DeadRaw!$B:$B,$B119,DeadRaw!AR:AR)</f>
        <v>0</v>
      </c>
      <c r="AQ119">
        <f>SUMIF(DeadRaw!$B:$B,$B119,DeadRaw!AS:AS)</f>
        <v>0</v>
      </c>
      <c r="AR119">
        <f>SUMIF(DeadRaw!$B:$B,$B119,DeadRaw!AT:AT)</f>
        <v>0</v>
      </c>
      <c r="AS119">
        <f>SUMIF(DeadRaw!$B:$B,$B119,DeadRaw!AU:AU)</f>
        <v>0</v>
      </c>
      <c r="AT119">
        <f>SUMIF(DeadRaw!$B:$B,$B119,DeadRaw!AV:AV)</f>
        <v>0</v>
      </c>
      <c r="AU119">
        <f>SUMIF(DeadRaw!$B:$B,$B119,DeadRaw!AW:AW)</f>
        <v>0</v>
      </c>
      <c r="AV119">
        <f>SUMIF(DeadRaw!$B:$B,$B119,DeadRaw!AX:AX)</f>
        <v>0</v>
      </c>
      <c r="AW119">
        <f>SUMIF(DeadRaw!$B:$B,$B119,DeadRaw!AY:AY)</f>
        <v>0</v>
      </c>
      <c r="AX119">
        <f>SUMIF(DeadRaw!$B:$B,$B119,DeadRaw!AZ:AZ)</f>
        <v>0</v>
      </c>
      <c r="AY119">
        <f>SUMIF(DeadRaw!$B:$B,$B119,DeadRaw!BA:BA)</f>
        <v>0</v>
      </c>
      <c r="AZ119">
        <f>SUMIF(DeadRaw!$B:$B,$B119,DeadRaw!BB:BB)</f>
        <v>0</v>
      </c>
      <c r="BA119">
        <f>SUMIF(DeadRaw!$B:$B,$B119,DeadRaw!BC:BC)</f>
        <v>0</v>
      </c>
      <c r="BB119">
        <f>SUMIF(DeadRaw!$B:$B,$B119,DeadRaw!BD:BD)</f>
        <v>0</v>
      </c>
      <c r="BC119">
        <f>SUMIF(DeadRaw!$B:$B,$B119,DeadRaw!BE:BE)</f>
        <v>0</v>
      </c>
      <c r="BD119">
        <f>SUMIF(DeadRaw!$B:$B,$B119,DeadRaw!BF:BF)</f>
        <v>0</v>
      </c>
      <c r="BE119">
        <f>SUMIF(DeadRaw!$B:$B,$B119,DeadRaw!BG:BG)</f>
        <v>0</v>
      </c>
      <c r="BF119">
        <f>SUMIF(DeadRaw!$B:$B,$B119,DeadRaw!BH:BH)</f>
        <v>0</v>
      </c>
      <c r="BG119">
        <f>SUMIF(DeadRaw!$B:$B,$B119,DeadRaw!BI:BI)</f>
        <v>0</v>
      </c>
      <c r="BH119">
        <f>SUMIF(DeadRaw!$B:$B,$B119,DeadRaw!BJ:BJ)</f>
        <v>0</v>
      </c>
      <c r="BI119">
        <f>SUMIF(DeadRaw!$B:$B,$B119,DeadRaw!BK:BK)</f>
        <v>0</v>
      </c>
      <c r="BJ119">
        <f>SUMIF(DeadRaw!$B:$B,$B119,DeadRaw!BL:BL)</f>
        <v>0</v>
      </c>
      <c r="BK119">
        <f>SUMIF(DeadRaw!$B:$B,$B119,DeadRaw!BM:BM)</f>
        <v>0</v>
      </c>
      <c r="BL119">
        <f>SUMIF(DeadRaw!$B:$B,$B119,DeadRaw!BN:BN)</f>
        <v>0</v>
      </c>
      <c r="BM119">
        <f>SUMIF(DeadRaw!$B:$B,$B119,DeadRaw!BO:BO)</f>
        <v>0</v>
      </c>
      <c r="BN119">
        <f>SUMIF(DeadRaw!$B:$B,$B119,DeadRaw!BP:BP)</f>
        <v>0</v>
      </c>
      <c r="BO119">
        <f>SUMIF(DeadRaw!$B:$B,$B119,DeadRaw!BQ:BQ)</f>
        <v>0</v>
      </c>
      <c r="BP119">
        <f>SUMIF(DeadRaw!$B:$B,$B119,DeadRaw!BR:BR)</f>
        <v>0</v>
      </c>
      <c r="BQ119">
        <f>SUMIF(DeadRaw!$B:$B,$B119,DeadRaw!BS:BS)</f>
        <v>0</v>
      </c>
      <c r="BR119">
        <f>SUMIF(DeadRaw!$B:$B,$B119,DeadRaw!BT:BT)</f>
        <v>0</v>
      </c>
      <c r="BS119">
        <f>SUMIF(DeadRaw!$B:$B,$B119,DeadRaw!BU:BU)</f>
        <v>0</v>
      </c>
      <c r="BT119">
        <f>SUMIF(DeadRaw!$B:$B,$B119,DeadRaw!BV:BV)</f>
        <v>0</v>
      </c>
      <c r="BU119">
        <f>SUMIF(DeadRaw!$B:$B,$B119,DeadRaw!BW:BW)</f>
        <v>0</v>
      </c>
    </row>
    <row r="120" spans="1:73" ht="15" thickBot="1" x14ac:dyDescent="0.35">
      <c r="A120" s="97" t="str">
        <f>VLOOKUP(B120,Country_Data!B:Q,16,FALSE)</f>
        <v>Middle East</v>
      </c>
      <c r="B120" s="4" t="s">
        <v>125</v>
      </c>
      <c r="C120">
        <f>SUMIF(DeadRaw!$B:$B,$B120,DeadRaw!E:E)</f>
        <v>0</v>
      </c>
      <c r="D120">
        <f>SUMIF(DeadRaw!$B:$B,$B120,DeadRaw!F:F)</f>
        <v>0</v>
      </c>
      <c r="E120">
        <f>SUMIF(DeadRaw!$B:$B,$B120,DeadRaw!G:G)</f>
        <v>0</v>
      </c>
      <c r="F120">
        <f>SUMIF(DeadRaw!$B:$B,$B120,DeadRaw!H:H)</f>
        <v>0</v>
      </c>
      <c r="G120">
        <f>SUMIF(DeadRaw!$B:$B,$B120,DeadRaw!I:I)</f>
        <v>0</v>
      </c>
      <c r="H120">
        <f>SUMIF(DeadRaw!$B:$B,$B120,DeadRaw!J:J)</f>
        <v>0</v>
      </c>
      <c r="I120">
        <f>SUMIF(DeadRaw!$B:$B,$B120,DeadRaw!K:K)</f>
        <v>0</v>
      </c>
      <c r="J120">
        <f>SUMIF(DeadRaw!$B:$B,$B120,DeadRaw!L:L)</f>
        <v>0</v>
      </c>
      <c r="K120">
        <f>SUMIF(DeadRaw!$B:$B,$B120,DeadRaw!M:M)</f>
        <v>0</v>
      </c>
      <c r="L120">
        <f>SUMIF(DeadRaw!$B:$B,$B120,DeadRaw!N:N)</f>
        <v>0</v>
      </c>
      <c r="M120">
        <f>SUMIF(DeadRaw!$B:$B,$B120,DeadRaw!O:O)</f>
        <v>0</v>
      </c>
      <c r="N120">
        <f>SUMIF(DeadRaw!$B:$B,$B120,DeadRaw!P:P)</f>
        <v>0</v>
      </c>
      <c r="O120">
        <f>SUMIF(DeadRaw!$B:$B,$B120,DeadRaw!Q:Q)</f>
        <v>0</v>
      </c>
      <c r="P120">
        <f>SUMIF(DeadRaw!$B:$B,$B120,DeadRaw!R:R)</f>
        <v>0</v>
      </c>
      <c r="Q120">
        <f>SUMIF(DeadRaw!$B:$B,$B120,DeadRaw!S:S)</f>
        <v>0</v>
      </c>
      <c r="R120">
        <f>SUMIF(DeadRaw!$B:$B,$B120,DeadRaw!T:T)</f>
        <v>0</v>
      </c>
      <c r="S120">
        <f>SUMIF(DeadRaw!$B:$B,$B120,DeadRaw!U:U)</f>
        <v>0</v>
      </c>
      <c r="T120">
        <f>SUMIF(DeadRaw!$B:$B,$B120,DeadRaw!V:V)</f>
        <v>0</v>
      </c>
      <c r="U120">
        <f>SUMIF(DeadRaw!$B:$B,$B120,DeadRaw!W:W)</f>
        <v>0</v>
      </c>
      <c r="V120">
        <f>SUMIF(DeadRaw!$B:$B,$B120,DeadRaw!X:X)</f>
        <v>0</v>
      </c>
      <c r="W120">
        <f>SUMIF(DeadRaw!$B:$B,$B120,DeadRaw!Y:Y)</f>
        <v>0</v>
      </c>
      <c r="X120">
        <f>SUMIF(DeadRaw!$B:$B,$B120,DeadRaw!Z:Z)</f>
        <v>0</v>
      </c>
      <c r="Y120">
        <f>SUMIF(DeadRaw!$B:$B,$B120,DeadRaw!AA:AA)</f>
        <v>0</v>
      </c>
      <c r="Z120">
        <f>SUMIF(DeadRaw!$B:$B,$B120,DeadRaw!AB:AB)</f>
        <v>0</v>
      </c>
      <c r="AA120">
        <f>SUMIF(DeadRaw!$B:$B,$B120,DeadRaw!AC:AC)</f>
        <v>0</v>
      </c>
      <c r="AB120">
        <f>SUMIF(DeadRaw!$B:$B,$B120,DeadRaw!AD:AD)</f>
        <v>0</v>
      </c>
      <c r="AC120">
        <f>SUMIF(DeadRaw!$B:$B,$B120,DeadRaw!AE:AE)</f>
        <v>0</v>
      </c>
      <c r="AD120">
        <f>SUMIF(DeadRaw!$B:$B,$B120,DeadRaw!AF:AF)</f>
        <v>0</v>
      </c>
      <c r="AE120">
        <f>SUMIF(DeadRaw!$B:$B,$B120,DeadRaw!AG:AG)</f>
        <v>0</v>
      </c>
      <c r="AF120">
        <f>SUMIF(DeadRaw!$B:$B,$B120,DeadRaw!AH:AH)</f>
        <v>0</v>
      </c>
      <c r="AG120">
        <f>SUMIF(DeadRaw!$B:$B,$B120,DeadRaw!AI:AI)</f>
        <v>0</v>
      </c>
      <c r="AH120">
        <f>SUMIF(DeadRaw!$B:$B,$B120,DeadRaw!AJ:AJ)</f>
        <v>0</v>
      </c>
      <c r="AI120">
        <f>SUMIF(DeadRaw!$B:$B,$B120,DeadRaw!AK:AK)</f>
        <v>0</v>
      </c>
      <c r="AJ120">
        <f>SUMIF(DeadRaw!$B:$B,$B120,DeadRaw!AL:AL)</f>
        <v>0</v>
      </c>
      <c r="AK120">
        <f>SUMIF(DeadRaw!$B:$B,$B120,DeadRaw!AM:AM)</f>
        <v>0</v>
      </c>
      <c r="AL120">
        <f>SUMIF(DeadRaw!$B:$B,$B120,DeadRaw!AN:AN)</f>
        <v>0</v>
      </c>
      <c r="AM120">
        <f>SUMIF(DeadRaw!$B:$B,$B120,DeadRaw!AO:AO)</f>
        <v>0</v>
      </c>
      <c r="AN120">
        <f>SUMIF(DeadRaw!$B:$B,$B120,DeadRaw!AP:AP)</f>
        <v>0</v>
      </c>
      <c r="AO120">
        <f>SUMIF(DeadRaw!$B:$B,$B120,DeadRaw!AQ:AQ)</f>
        <v>0</v>
      </c>
      <c r="AP120">
        <f>SUMIF(DeadRaw!$B:$B,$B120,DeadRaw!AR:AR)</f>
        <v>0</v>
      </c>
      <c r="AQ120">
        <f>SUMIF(DeadRaw!$B:$B,$B120,DeadRaw!AS:AS)</f>
        <v>0</v>
      </c>
      <c r="AR120">
        <f>SUMIF(DeadRaw!$B:$B,$B120,DeadRaw!AT:AT)</f>
        <v>0</v>
      </c>
      <c r="AS120">
        <f>SUMIF(DeadRaw!$B:$B,$B120,DeadRaw!AU:AU)</f>
        <v>0</v>
      </c>
      <c r="AT120">
        <f>SUMIF(DeadRaw!$B:$B,$B120,DeadRaw!AV:AV)</f>
        <v>0</v>
      </c>
      <c r="AU120">
        <f>SUMIF(DeadRaw!$B:$B,$B120,DeadRaw!AW:AW)</f>
        <v>0</v>
      </c>
      <c r="AV120">
        <f>SUMIF(DeadRaw!$B:$B,$B120,DeadRaw!AX:AX)</f>
        <v>0</v>
      </c>
      <c r="AW120">
        <f>SUMIF(DeadRaw!$B:$B,$B120,DeadRaw!AY:AY)</f>
        <v>0</v>
      </c>
      <c r="AX120">
        <f>SUMIF(DeadRaw!$B:$B,$B120,DeadRaw!AZ:AZ)</f>
        <v>0</v>
      </c>
      <c r="AY120">
        <f>SUMIF(DeadRaw!$B:$B,$B120,DeadRaw!BA:BA)</f>
        <v>0</v>
      </c>
      <c r="AZ120">
        <f>SUMIF(DeadRaw!$B:$B,$B120,DeadRaw!BB:BB)</f>
        <v>0</v>
      </c>
      <c r="BA120">
        <f>SUMIF(DeadRaw!$B:$B,$B120,DeadRaw!BC:BC)</f>
        <v>0</v>
      </c>
      <c r="BB120">
        <f>SUMIF(DeadRaw!$B:$B,$B120,DeadRaw!BD:BD)</f>
        <v>0</v>
      </c>
      <c r="BC120">
        <f>SUMIF(DeadRaw!$B:$B,$B120,DeadRaw!BE:BE)</f>
        <v>0</v>
      </c>
      <c r="BD120">
        <f>SUMIF(DeadRaw!$B:$B,$B120,DeadRaw!BF:BF)</f>
        <v>0</v>
      </c>
      <c r="BE120">
        <f>SUMIF(DeadRaw!$B:$B,$B120,DeadRaw!BG:BG)</f>
        <v>0</v>
      </c>
      <c r="BF120">
        <f>SUMIF(DeadRaw!$B:$B,$B120,DeadRaw!BH:BH)</f>
        <v>0</v>
      </c>
      <c r="BG120">
        <f>SUMIF(DeadRaw!$B:$B,$B120,DeadRaw!BI:BI)</f>
        <v>0</v>
      </c>
      <c r="BH120">
        <f>SUMIF(DeadRaw!$B:$B,$B120,DeadRaw!BJ:BJ)</f>
        <v>0</v>
      </c>
      <c r="BI120">
        <f>SUMIF(DeadRaw!$B:$B,$B120,DeadRaw!BK:BK)</f>
        <v>0</v>
      </c>
      <c r="BJ120">
        <f>SUMIF(DeadRaw!$B:$B,$B120,DeadRaw!BL:BL)</f>
        <v>0</v>
      </c>
      <c r="BK120">
        <f>SUMIF(DeadRaw!$B:$B,$B120,DeadRaw!BM:BM)</f>
        <v>0</v>
      </c>
      <c r="BL120">
        <f>SUMIF(DeadRaw!$B:$B,$B120,DeadRaw!BN:BN)</f>
        <v>0</v>
      </c>
      <c r="BM120">
        <f>SUMIF(DeadRaw!$B:$B,$B120,DeadRaw!BO:BO)</f>
        <v>0</v>
      </c>
      <c r="BN120">
        <f>SUMIF(DeadRaw!$B:$B,$B120,DeadRaw!BP:BP)</f>
        <v>0</v>
      </c>
      <c r="BO120">
        <f>SUMIF(DeadRaw!$B:$B,$B120,DeadRaw!BQ:BQ)</f>
        <v>0</v>
      </c>
      <c r="BP120">
        <f>SUMIF(DeadRaw!$B:$B,$B120,DeadRaw!BR:BR)</f>
        <v>1</v>
      </c>
      <c r="BQ120">
        <f>SUMIF(DeadRaw!$B:$B,$B120,DeadRaw!BS:BS)</f>
        <v>1</v>
      </c>
      <c r="BR120">
        <f>SUMIF(DeadRaw!$B:$B,$B120,DeadRaw!BT:BT)</f>
        <v>0</v>
      </c>
      <c r="BS120">
        <f>SUMIF(DeadRaw!$B:$B,$B120,DeadRaw!BU:BU)</f>
        <v>0</v>
      </c>
      <c r="BT120">
        <f>SUMIF(DeadRaw!$B:$B,$B120,DeadRaw!BV:BV)</f>
        <v>0</v>
      </c>
      <c r="BU120">
        <f>SUMIF(DeadRaw!$B:$B,$B120,DeadRaw!BW:BW)</f>
        <v>0</v>
      </c>
    </row>
    <row r="121" spans="1:73" ht="15" thickBot="1" x14ac:dyDescent="0.35">
      <c r="A121" s="97" t="str">
        <f>VLOOKUP(B121,Country_Data!B:Q,16,FALSE)</f>
        <v>Africa</v>
      </c>
      <c r="B121" s="3" t="s">
        <v>423</v>
      </c>
      <c r="C121">
        <f>SUMIF(DeadRaw!$B:$B,$B121,DeadRaw!E:E)</f>
        <v>0</v>
      </c>
      <c r="D121">
        <f>SUMIF(DeadRaw!$B:$B,$B121,DeadRaw!F:F)</f>
        <v>0</v>
      </c>
      <c r="E121">
        <f>SUMIF(DeadRaw!$B:$B,$B121,DeadRaw!G:G)</f>
        <v>0</v>
      </c>
      <c r="F121">
        <f>SUMIF(DeadRaw!$B:$B,$B121,DeadRaw!H:H)</f>
        <v>0</v>
      </c>
      <c r="G121">
        <f>SUMIF(DeadRaw!$B:$B,$B121,DeadRaw!I:I)</f>
        <v>0</v>
      </c>
      <c r="H121">
        <f>SUMIF(DeadRaw!$B:$B,$B121,DeadRaw!J:J)</f>
        <v>0</v>
      </c>
      <c r="I121">
        <f>SUMIF(DeadRaw!$B:$B,$B121,DeadRaw!K:K)</f>
        <v>0</v>
      </c>
      <c r="J121">
        <f>SUMIF(DeadRaw!$B:$B,$B121,DeadRaw!L:L)</f>
        <v>0</v>
      </c>
      <c r="K121">
        <f>SUMIF(DeadRaw!$B:$B,$B121,DeadRaw!M:M)</f>
        <v>0</v>
      </c>
      <c r="L121">
        <f>SUMIF(DeadRaw!$B:$B,$B121,DeadRaw!N:N)</f>
        <v>0</v>
      </c>
      <c r="M121">
        <f>SUMIF(DeadRaw!$B:$B,$B121,DeadRaw!O:O)</f>
        <v>0</v>
      </c>
      <c r="N121">
        <f>SUMIF(DeadRaw!$B:$B,$B121,DeadRaw!P:P)</f>
        <v>0</v>
      </c>
      <c r="O121">
        <f>SUMIF(DeadRaw!$B:$B,$B121,DeadRaw!Q:Q)</f>
        <v>0</v>
      </c>
      <c r="P121">
        <f>SUMIF(DeadRaw!$B:$B,$B121,DeadRaw!R:R)</f>
        <v>0</v>
      </c>
      <c r="Q121">
        <f>SUMIF(DeadRaw!$B:$B,$B121,DeadRaw!S:S)</f>
        <v>0</v>
      </c>
      <c r="R121">
        <f>SUMIF(DeadRaw!$B:$B,$B121,DeadRaw!T:T)</f>
        <v>0</v>
      </c>
      <c r="S121">
        <f>SUMIF(DeadRaw!$B:$B,$B121,DeadRaw!U:U)</f>
        <v>0</v>
      </c>
      <c r="T121">
        <f>SUMIF(DeadRaw!$B:$B,$B121,DeadRaw!V:V)</f>
        <v>0</v>
      </c>
      <c r="U121">
        <f>SUMIF(DeadRaw!$B:$B,$B121,DeadRaw!W:W)</f>
        <v>0</v>
      </c>
      <c r="V121">
        <f>SUMIF(DeadRaw!$B:$B,$B121,DeadRaw!X:X)</f>
        <v>0</v>
      </c>
      <c r="W121">
        <f>SUMIF(DeadRaw!$B:$B,$B121,DeadRaw!Y:Y)</f>
        <v>0</v>
      </c>
      <c r="X121">
        <f>SUMIF(DeadRaw!$B:$B,$B121,DeadRaw!Z:Z)</f>
        <v>0</v>
      </c>
      <c r="Y121">
        <f>SUMIF(DeadRaw!$B:$B,$B121,DeadRaw!AA:AA)</f>
        <v>0</v>
      </c>
      <c r="Z121">
        <f>SUMIF(DeadRaw!$B:$B,$B121,DeadRaw!AB:AB)</f>
        <v>0</v>
      </c>
      <c r="AA121">
        <f>SUMIF(DeadRaw!$B:$B,$B121,DeadRaw!AC:AC)</f>
        <v>0</v>
      </c>
      <c r="AB121">
        <f>SUMIF(DeadRaw!$B:$B,$B121,DeadRaw!AD:AD)</f>
        <v>0</v>
      </c>
      <c r="AC121">
        <f>SUMIF(DeadRaw!$B:$B,$B121,DeadRaw!AE:AE)</f>
        <v>0</v>
      </c>
      <c r="AD121">
        <f>SUMIF(DeadRaw!$B:$B,$B121,DeadRaw!AF:AF)</f>
        <v>0</v>
      </c>
      <c r="AE121">
        <f>SUMIF(DeadRaw!$B:$B,$B121,DeadRaw!AG:AG)</f>
        <v>0</v>
      </c>
      <c r="AF121">
        <f>SUMIF(DeadRaw!$B:$B,$B121,DeadRaw!AH:AH)</f>
        <v>0</v>
      </c>
      <c r="AG121">
        <f>SUMIF(DeadRaw!$B:$B,$B121,DeadRaw!AI:AI)</f>
        <v>0</v>
      </c>
      <c r="AH121">
        <f>SUMIF(DeadRaw!$B:$B,$B121,DeadRaw!AJ:AJ)</f>
        <v>0</v>
      </c>
      <c r="AI121">
        <f>SUMIF(DeadRaw!$B:$B,$B121,DeadRaw!AK:AK)</f>
        <v>0</v>
      </c>
      <c r="AJ121">
        <f>SUMIF(DeadRaw!$B:$B,$B121,DeadRaw!AL:AL)</f>
        <v>0</v>
      </c>
      <c r="AK121">
        <f>SUMIF(DeadRaw!$B:$B,$B121,DeadRaw!AM:AM)</f>
        <v>0</v>
      </c>
      <c r="AL121">
        <f>SUMIF(DeadRaw!$B:$B,$B121,DeadRaw!AN:AN)</f>
        <v>0</v>
      </c>
      <c r="AM121">
        <f>SUMIF(DeadRaw!$B:$B,$B121,DeadRaw!AO:AO)</f>
        <v>0</v>
      </c>
      <c r="AN121">
        <f>SUMIF(DeadRaw!$B:$B,$B121,DeadRaw!AP:AP)</f>
        <v>0</v>
      </c>
      <c r="AO121">
        <f>SUMIF(DeadRaw!$B:$B,$B121,DeadRaw!AQ:AQ)</f>
        <v>0</v>
      </c>
      <c r="AP121">
        <f>SUMIF(DeadRaw!$B:$B,$B121,DeadRaw!AR:AR)</f>
        <v>0</v>
      </c>
      <c r="AQ121">
        <f>SUMIF(DeadRaw!$B:$B,$B121,DeadRaw!AS:AS)</f>
        <v>0</v>
      </c>
      <c r="AR121">
        <f>SUMIF(DeadRaw!$B:$B,$B121,DeadRaw!AT:AT)</f>
        <v>0</v>
      </c>
      <c r="AS121">
        <f>SUMIF(DeadRaw!$B:$B,$B121,DeadRaw!AU:AU)</f>
        <v>0</v>
      </c>
      <c r="AT121">
        <f>SUMIF(DeadRaw!$B:$B,$B121,DeadRaw!AV:AV)</f>
        <v>0</v>
      </c>
      <c r="AU121">
        <f>SUMIF(DeadRaw!$B:$B,$B121,DeadRaw!AW:AW)</f>
        <v>0</v>
      </c>
      <c r="AV121">
        <f>SUMIF(DeadRaw!$B:$B,$B121,DeadRaw!AX:AX)</f>
        <v>0</v>
      </c>
      <c r="AW121">
        <f>SUMIF(DeadRaw!$B:$B,$B121,DeadRaw!AY:AY)</f>
        <v>0</v>
      </c>
      <c r="AX121">
        <f>SUMIF(DeadRaw!$B:$B,$B121,DeadRaw!AZ:AZ)</f>
        <v>0</v>
      </c>
      <c r="AY121">
        <f>SUMIF(DeadRaw!$B:$B,$B121,DeadRaw!BA:BA)</f>
        <v>0</v>
      </c>
      <c r="AZ121">
        <f>SUMIF(DeadRaw!$B:$B,$B121,DeadRaw!BB:BB)</f>
        <v>0</v>
      </c>
      <c r="BA121">
        <f>SUMIF(DeadRaw!$B:$B,$B121,DeadRaw!BC:BC)</f>
        <v>0</v>
      </c>
      <c r="BB121">
        <f>SUMIF(DeadRaw!$B:$B,$B121,DeadRaw!BD:BD)</f>
        <v>0</v>
      </c>
      <c r="BC121">
        <f>SUMIF(DeadRaw!$B:$B,$B121,DeadRaw!BE:BE)</f>
        <v>0</v>
      </c>
      <c r="BD121">
        <f>SUMIF(DeadRaw!$B:$B,$B121,DeadRaw!BF:BF)</f>
        <v>0</v>
      </c>
      <c r="BE121">
        <f>SUMIF(DeadRaw!$B:$B,$B121,DeadRaw!BG:BG)</f>
        <v>0</v>
      </c>
      <c r="BF121">
        <f>SUMIF(DeadRaw!$B:$B,$B121,DeadRaw!BH:BH)</f>
        <v>0</v>
      </c>
      <c r="BG121">
        <f>SUMIF(DeadRaw!$B:$B,$B121,DeadRaw!BI:BI)</f>
        <v>0</v>
      </c>
      <c r="BH121">
        <f>SUMIF(DeadRaw!$B:$B,$B121,DeadRaw!BJ:BJ)</f>
        <v>0</v>
      </c>
      <c r="BI121">
        <f>SUMIF(DeadRaw!$B:$B,$B121,DeadRaw!BK:BK)</f>
        <v>0</v>
      </c>
      <c r="BJ121">
        <f>SUMIF(DeadRaw!$B:$B,$B121,DeadRaw!BL:BL)</f>
        <v>0</v>
      </c>
      <c r="BK121">
        <f>SUMIF(DeadRaw!$B:$B,$B121,DeadRaw!BM:BM)</f>
        <v>0</v>
      </c>
      <c r="BL121">
        <f>SUMIF(DeadRaw!$B:$B,$B121,DeadRaw!BN:BN)</f>
        <v>0</v>
      </c>
      <c r="BM121">
        <f>SUMIF(DeadRaw!$B:$B,$B121,DeadRaw!BO:BO)</f>
        <v>0</v>
      </c>
      <c r="BN121">
        <f>SUMIF(DeadRaw!$B:$B,$B121,DeadRaw!BP:BP)</f>
        <v>0</v>
      </c>
      <c r="BO121">
        <f>SUMIF(DeadRaw!$B:$B,$B121,DeadRaw!BQ:BQ)</f>
        <v>1</v>
      </c>
      <c r="BP121">
        <f>SUMIF(DeadRaw!$B:$B,$B121,DeadRaw!BR:BR)</f>
        <v>1</v>
      </c>
      <c r="BQ121">
        <f>SUMIF(DeadRaw!$B:$B,$B121,DeadRaw!BS:BS)</f>
        <v>1</v>
      </c>
      <c r="BR121">
        <f>SUMIF(DeadRaw!$B:$B,$B121,DeadRaw!BT:BT)</f>
        <v>0</v>
      </c>
      <c r="BS121">
        <f>SUMIF(DeadRaw!$B:$B,$B121,DeadRaw!BU:BU)</f>
        <v>0</v>
      </c>
      <c r="BT121">
        <f>SUMIF(DeadRaw!$B:$B,$B121,DeadRaw!BV:BV)</f>
        <v>0</v>
      </c>
      <c r="BU121">
        <f>SUMIF(DeadRaw!$B:$B,$B121,DeadRaw!BW:BW)</f>
        <v>0</v>
      </c>
    </row>
    <row r="122" spans="1:73" ht="15" thickBot="1" x14ac:dyDescent="0.35">
      <c r="A122" s="97" t="str">
        <f>VLOOKUP(B122,Country_Data!B:Q,16,FALSE)</f>
        <v>Europe</v>
      </c>
      <c r="B122" s="4" t="s">
        <v>136</v>
      </c>
      <c r="C122">
        <f>SUMIF(DeadRaw!$B:$B,$B122,DeadRaw!E:E)</f>
        <v>0</v>
      </c>
      <c r="D122">
        <f>SUMIF(DeadRaw!$B:$B,$B122,DeadRaw!F:F)</f>
        <v>0</v>
      </c>
      <c r="E122">
        <f>SUMIF(DeadRaw!$B:$B,$B122,DeadRaw!G:G)</f>
        <v>0</v>
      </c>
      <c r="F122">
        <f>SUMIF(DeadRaw!$B:$B,$B122,DeadRaw!H:H)</f>
        <v>0</v>
      </c>
      <c r="G122">
        <f>SUMIF(DeadRaw!$B:$B,$B122,DeadRaw!I:I)</f>
        <v>0</v>
      </c>
      <c r="H122">
        <f>SUMIF(DeadRaw!$B:$B,$B122,DeadRaw!J:J)</f>
        <v>0</v>
      </c>
      <c r="I122">
        <f>SUMIF(DeadRaw!$B:$B,$B122,DeadRaw!K:K)</f>
        <v>0</v>
      </c>
      <c r="J122">
        <f>SUMIF(DeadRaw!$B:$B,$B122,DeadRaw!L:L)</f>
        <v>0</v>
      </c>
      <c r="K122">
        <f>SUMIF(DeadRaw!$B:$B,$B122,DeadRaw!M:M)</f>
        <v>0</v>
      </c>
      <c r="L122">
        <f>SUMIF(DeadRaw!$B:$B,$B122,DeadRaw!N:N)</f>
        <v>0</v>
      </c>
      <c r="M122">
        <f>SUMIF(DeadRaw!$B:$B,$B122,DeadRaw!O:O)</f>
        <v>0</v>
      </c>
      <c r="N122">
        <f>SUMIF(DeadRaw!$B:$B,$B122,DeadRaw!P:P)</f>
        <v>0</v>
      </c>
      <c r="O122">
        <f>SUMIF(DeadRaw!$B:$B,$B122,DeadRaw!Q:Q)</f>
        <v>0</v>
      </c>
      <c r="P122">
        <f>SUMIF(DeadRaw!$B:$B,$B122,DeadRaw!R:R)</f>
        <v>0</v>
      </c>
      <c r="Q122">
        <f>SUMIF(DeadRaw!$B:$B,$B122,DeadRaw!S:S)</f>
        <v>0</v>
      </c>
      <c r="R122">
        <f>SUMIF(DeadRaw!$B:$B,$B122,DeadRaw!T:T)</f>
        <v>0</v>
      </c>
      <c r="S122">
        <f>SUMIF(DeadRaw!$B:$B,$B122,DeadRaw!U:U)</f>
        <v>0</v>
      </c>
      <c r="T122">
        <f>SUMIF(DeadRaw!$B:$B,$B122,DeadRaw!V:V)</f>
        <v>0</v>
      </c>
      <c r="U122">
        <f>SUMIF(DeadRaw!$B:$B,$B122,DeadRaw!W:W)</f>
        <v>0</v>
      </c>
      <c r="V122">
        <f>SUMIF(DeadRaw!$B:$B,$B122,DeadRaw!X:X)</f>
        <v>0</v>
      </c>
      <c r="W122">
        <f>SUMIF(DeadRaw!$B:$B,$B122,DeadRaw!Y:Y)</f>
        <v>0</v>
      </c>
      <c r="X122">
        <f>SUMIF(DeadRaw!$B:$B,$B122,DeadRaw!Z:Z)</f>
        <v>0</v>
      </c>
      <c r="Y122">
        <f>SUMIF(DeadRaw!$B:$B,$B122,DeadRaw!AA:AA)</f>
        <v>0</v>
      </c>
      <c r="Z122">
        <f>SUMIF(DeadRaw!$B:$B,$B122,DeadRaw!AB:AB)</f>
        <v>0</v>
      </c>
      <c r="AA122">
        <f>SUMIF(DeadRaw!$B:$B,$B122,DeadRaw!AC:AC)</f>
        <v>0</v>
      </c>
      <c r="AB122">
        <f>SUMIF(DeadRaw!$B:$B,$B122,DeadRaw!AD:AD)</f>
        <v>0</v>
      </c>
      <c r="AC122">
        <f>SUMIF(DeadRaw!$B:$B,$B122,DeadRaw!AE:AE)</f>
        <v>0</v>
      </c>
      <c r="AD122">
        <f>SUMIF(DeadRaw!$B:$B,$B122,DeadRaw!AF:AF)</f>
        <v>0</v>
      </c>
      <c r="AE122">
        <f>SUMIF(DeadRaw!$B:$B,$B122,DeadRaw!AG:AG)</f>
        <v>0</v>
      </c>
      <c r="AF122">
        <f>SUMIF(DeadRaw!$B:$B,$B122,DeadRaw!AH:AH)</f>
        <v>0</v>
      </c>
      <c r="AG122">
        <f>SUMIF(DeadRaw!$B:$B,$B122,DeadRaw!AI:AI)</f>
        <v>0</v>
      </c>
      <c r="AH122">
        <f>SUMIF(DeadRaw!$B:$B,$B122,DeadRaw!AJ:AJ)</f>
        <v>0</v>
      </c>
      <c r="AI122">
        <f>SUMIF(DeadRaw!$B:$B,$B122,DeadRaw!AK:AK)</f>
        <v>0</v>
      </c>
      <c r="AJ122">
        <f>SUMIF(DeadRaw!$B:$B,$B122,DeadRaw!AL:AL)</f>
        <v>0</v>
      </c>
      <c r="AK122">
        <f>SUMIF(DeadRaw!$B:$B,$B122,DeadRaw!AM:AM)</f>
        <v>0</v>
      </c>
      <c r="AL122">
        <f>SUMIF(DeadRaw!$B:$B,$B122,DeadRaw!AN:AN)</f>
        <v>0</v>
      </c>
      <c r="AM122">
        <f>SUMIF(DeadRaw!$B:$B,$B122,DeadRaw!AO:AO)</f>
        <v>0</v>
      </c>
      <c r="AN122">
        <f>SUMIF(DeadRaw!$B:$B,$B122,DeadRaw!AP:AP)</f>
        <v>0</v>
      </c>
      <c r="AO122">
        <f>SUMIF(DeadRaw!$B:$B,$B122,DeadRaw!AQ:AQ)</f>
        <v>0</v>
      </c>
      <c r="AP122">
        <f>SUMIF(DeadRaw!$B:$B,$B122,DeadRaw!AR:AR)</f>
        <v>0</v>
      </c>
      <c r="AQ122">
        <f>SUMIF(DeadRaw!$B:$B,$B122,DeadRaw!AS:AS)</f>
        <v>0</v>
      </c>
      <c r="AR122">
        <f>SUMIF(DeadRaw!$B:$B,$B122,DeadRaw!AT:AT)</f>
        <v>0</v>
      </c>
      <c r="AS122">
        <f>SUMIF(DeadRaw!$B:$B,$B122,DeadRaw!AU:AU)</f>
        <v>0</v>
      </c>
      <c r="AT122">
        <f>SUMIF(DeadRaw!$B:$B,$B122,DeadRaw!AV:AV)</f>
        <v>0</v>
      </c>
      <c r="AU122">
        <f>SUMIF(DeadRaw!$B:$B,$B122,DeadRaw!AW:AW)</f>
        <v>0</v>
      </c>
      <c r="AV122">
        <f>SUMIF(DeadRaw!$B:$B,$B122,DeadRaw!AX:AX)</f>
        <v>0</v>
      </c>
      <c r="AW122">
        <f>SUMIF(DeadRaw!$B:$B,$B122,DeadRaw!AY:AY)</f>
        <v>0</v>
      </c>
      <c r="AX122">
        <f>SUMIF(DeadRaw!$B:$B,$B122,DeadRaw!AZ:AZ)</f>
        <v>0</v>
      </c>
      <c r="AY122">
        <f>SUMIF(DeadRaw!$B:$B,$B122,DeadRaw!BA:BA)</f>
        <v>0</v>
      </c>
      <c r="AZ122">
        <f>SUMIF(DeadRaw!$B:$B,$B122,DeadRaw!BB:BB)</f>
        <v>0</v>
      </c>
      <c r="BA122">
        <f>SUMIF(DeadRaw!$B:$B,$B122,DeadRaw!BC:BC)</f>
        <v>0</v>
      </c>
      <c r="BB122">
        <f>SUMIF(DeadRaw!$B:$B,$B122,DeadRaw!BD:BD)</f>
        <v>0</v>
      </c>
      <c r="BC122">
        <f>SUMIF(DeadRaw!$B:$B,$B122,DeadRaw!BE:BE)</f>
        <v>0</v>
      </c>
      <c r="BD122">
        <f>SUMIF(DeadRaw!$B:$B,$B122,DeadRaw!BF:BF)</f>
        <v>0</v>
      </c>
      <c r="BE122">
        <f>SUMIF(DeadRaw!$B:$B,$B122,DeadRaw!BG:BG)</f>
        <v>0</v>
      </c>
      <c r="BF122">
        <f>SUMIF(DeadRaw!$B:$B,$B122,DeadRaw!BH:BH)</f>
        <v>0</v>
      </c>
      <c r="BG122">
        <f>SUMIF(DeadRaw!$B:$B,$B122,DeadRaw!BI:BI)</f>
        <v>0</v>
      </c>
      <c r="BH122">
        <f>SUMIF(DeadRaw!$B:$B,$B122,DeadRaw!BJ:BJ)</f>
        <v>0</v>
      </c>
      <c r="BI122">
        <f>SUMIF(DeadRaw!$B:$B,$B122,DeadRaw!BK:BK)</f>
        <v>0</v>
      </c>
      <c r="BJ122">
        <f>SUMIF(DeadRaw!$B:$B,$B122,DeadRaw!BL:BL)</f>
        <v>0</v>
      </c>
      <c r="BK122">
        <f>SUMIF(DeadRaw!$B:$B,$B122,DeadRaw!BM:BM)</f>
        <v>0</v>
      </c>
      <c r="BL122">
        <f>SUMIF(DeadRaw!$B:$B,$B122,DeadRaw!BN:BN)</f>
        <v>0</v>
      </c>
      <c r="BM122">
        <f>SUMIF(DeadRaw!$B:$B,$B122,DeadRaw!BO:BO)</f>
        <v>0</v>
      </c>
      <c r="BN122">
        <f>SUMIF(DeadRaw!$B:$B,$B122,DeadRaw!BP:BP)</f>
        <v>0</v>
      </c>
      <c r="BO122">
        <f>SUMIF(DeadRaw!$B:$B,$B122,DeadRaw!BQ:BQ)</f>
        <v>0</v>
      </c>
      <c r="BP122">
        <f>SUMIF(DeadRaw!$B:$B,$B122,DeadRaw!BR:BR)</f>
        <v>0</v>
      </c>
      <c r="BQ122">
        <f>SUMIF(DeadRaw!$B:$B,$B122,DeadRaw!BS:BS)</f>
        <v>0</v>
      </c>
      <c r="BR122">
        <f>SUMIF(DeadRaw!$B:$B,$B122,DeadRaw!BT:BT)</f>
        <v>0</v>
      </c>
      <c r="BS122">
        <f>SUMIF(DeadRaw!$B:$B,$B122,DeadRaw!BU:BU)</f>
        <v>0</v>
      </c>
      <c r="BT122">
        <f>SUMIF(DeadRaw!$B:$B,$B122,DeadRaw!BV:BV)</f>
        <v>0</v>
      </c>
      <c r="BU122">
        <f>SUMIF(DeadRaw!$B:$B,$B122,DeadRaw!BW:BW)</f>
        <v>0</v>
      </c>
    </row>
    <row r="123" spans="1:73" ht="15" thickBot="1" x14ac:dyDescent="0.35">
      <c r="A123" s="97" t="str">
        <f>VLOOKUP(B123,Country_Data!B:Q,16,FALSE)</f>
        <v>Asia</v>
      </c>
      <c r="B123" s="4" t="s">
        <v>282</v>
      </c>
      <c r="C123">
        <f>SUMIF(DeadRaw!$B:$B,$B123,DeadRaw!E:E)</f>
        <v>0</v>
      </c>
      <c r="D123">
        <f>SUMIF(DeadRaw!$B:$B,$B123,DeadRaw!F:F)</f>
        <v>0</v>
      </c>
      <c r="E123">
        <f>SUMIF(DeadRaw!$B:$B,$B123,DeadRaw!G:G)</f>
        <v>0</v>
      </c>
      <c r="F123">
        <f>SUMIF(DeadRaw!$B:$B,$B123,DeadRaw!H:H)</f>
        <v>0</v>
      </c>
      <c r="G123">
        <f>SUMIF(DeadRaw!$B:$B,$B123,DeadRaw!I:I)</f>
        <v>0</v>
      </c>
      <c r="H123">
        <f>SUMIF(DeadRaw!$B:$B,$B123,DeadRaw!J:J)</f>
        <v>0</v>
      </c>
      <c r="I123">
        <f>SUMIF(DeadRaw!$B:$B,$B123,DeadRaw!K:K)</f>
        <v>0</v>
      </c>
      <c r="J123">
        <f>SUMIF(DeadRaw!$B:$B,$B123,DeadRaw!L:L)</f>
        <v>0</v>
      </c>
      <c r="K123">
        <f>SUMIF(DeadRaw!$B:$B,$B123,DeadRaw!M:M)</f>
        <v>0</v>
      </c>
      <c r="L123">
        <f>SUMIF(DeadRaw!$B:$B,$B123,DeadRaw!N:N)</f>
        <v>0</v>
      </c>
      <c r="M123">
        <f>SUMIF(DeadRaw!$B:$B,$B123,DeadRaw!O:O)</f>
        <v>0</v>
      </c>
      <c r="N123">
        <f>SUMIF(DeadRaw!$B:$B,$B123,DeadRaw!P:P)</f>
        <v>0</v>
      </c>
      <c r="O123">
        <f>SUMIF(DeadRaw!$B:$B,$B123,DeadRaw!Q:Q)</f>
        <v>0</v>
      </c>
      <c r="P123">
        <f>SUMIF(DeadRaw!$B:$B,$B123,DeadRaw!R:R)</f>
        <v>0</v>
      </c>
      <c r="Q123">
        <f>SUMIF(DeadRaw!$B:$B,$B123,DeadRaw!S:S)</f>
        <v>0</v>
      </c>
      <c r="R123">
        <f>SUMIF(DeadRaw!$B:$B,$B123,DeadRaw!T:T)</f>
        <v>0</v>
      </c>
      <c r="S123">
        <f>SUMIF(DeadRaw!$B:$B,$B123,DeadRaw!U:U)</f>
        <v>0</v>
      </c>
      <c r="T123">
        <f>SUMIF(DeadRaw!$B:$B,$B123,DeadRaw!V:V)</f>
        <v>0</v>
      </c>
      <c r="U123">
        <f>SUMIF(DeadRaw!$B:$B,$B123,DeadRaw!W:W)</f>
        <v>0</v>
      </c>
      <c r="V123">
        <f>SUMIF(DeadRaw!$B:$B,$B123,DeadRaw!X:X)</f>
        <v>0</v>
      </c>
      <c r="W123">
        <f>SUMIF(DeadRaw!$B:$B,$B123,DeadRaw!Y:Y)</f>
        <v>0</v>
      </c>
      <c r="X123">
        <f>SUMIF(DeadRaw!$B:$B,$B123,DeadRaw!Z:Z)</f>
        <v>0</v>
      </c>
      <c r="Y123">
        <f>SUMIF(DeadRaw!$B:$B,$B123,DeadRaw!AA:AA)</f>
        <v>0</v>
      </c>
      <c r="Z123">
        <f>SUMIF(DeadRaw!$B:$B,$B123,DeadRaw!AB:AB)</f>
        <v>0</v>
      </c>
      <c r="AA123">
        <f>SUMIF(DeadRaw!$B:$B,$B123,DeadRaw!AC:AC)</f>
        <v>0</v>
      </c>
      <c r="AB123">
        <f>SUMIF(DeadRaw!$B:$B,$B123,DeadRaw!AD:AD)</f>
        <v>0</v>
      </c>
      <c r="AC123">
        <f>SUMIF(DeadRaw!$B:$B,$B123,DeadRaw!AE:AE)</f>
        <v>0</v>
      </c>
      <c r="AD123">
        <f>SUMIF(DeadRaw!$B:$B,$B123,DeadRaw!AF:AF)</f>
        <v>0</v>
      </c>
      <c r="AE123">
        <f>SUMIF(DeadRaw!$B:$B,$B123,DeadRaw!AG:AG)</f>
        <v>0</v>
      </c>
      <c r="AF123">
        <f>SUMIF(DeadRaw!$B:$B,$B123,DeadRaw!AH:AH)</f>
        <v>0</v>
      </c>
      <c r="AG123">
        <f>SUMIF(DeadRaw!$B:$B,$B123,DeadRaw!AI:AI)</f>
        <v>0</v>
      </c>
      <c r="AH123">
        <f>SUMIF(DeadRaw!$B:$B,$B123,DeadRaw!AJ:AJ)</f>
        <v>0</v>
      </c>
      <c r="AI123">
        <f>SUMIF(DeadRaw!$B:$B,$B123,DeadRaw!AK:AK)</f>
        <v>0</v>
      </c>
      <c r="AJ123">
        <f>SUMIF(DeadRaw!$B:$B,$B123,DeadRaw!AL:AL)</f>
        <v>0</v>
      </c>
      <c r="AK123">
        <f>SUMIF(DeadRaw!$B:$B,$B123,DeadRaw!AM:AM)</f>
        <v>0</v>
      </c>
      <c r="AL123">
        <f>SUMIF(DeadRaw!$B:$B,$B123,DeadRaw!AN:AN)</f>
        <v>0</v>
      </c>
      <c r="AM123">
        <f>SUMIF(DeadRaw!$B:$B,$B123,DeadRaw!AO:AO)</f>
        <v>0</v>
      </c>
      <c r="AN123">
        <f>SUMIF(DeadRaw!$B:$B,$B123,DeadRaw!AP:AP)</f>
        <v>0</v>
      </c>
      <c r="AO123">
        <f>SUMIF(DeadRaw!$B:$B,$B123,DeadRaw!AQ:AQ)</f>
        <v>0</v>
      </c>
      <c r="AP123">
        <f>SUMIF(DeadRaw!$B:$B,$B123,DeadRaw!AR:AR)</f>
        <v>0</v>
      </c>
      <c r="AQ123">
        <f>SUMIF(DeadRaw!$B:$B,$B123,DeadRaw!AS:AS)</f>
        <v>0</v>
      </c>
      <c r="AR123">
        <f>SUMIF(DeadRaw!$B:$B,$B123,DeadRaw!AT:AT)</f>
        <v>0</v>
      </c>
      <c r="AS123">
        <f>SUMIF(DeadRaw!$B:$B,$B123,DeadRaw!AU:AU)</f>
        <v>0</v>
      </c>
      <c r="AT123">
        <f>SUMIF(DeadRaw!$B:$B,$B123,DeadRaw!AV:AV)</f>
        <v>0</v>
      </c>
      <c r="AU123">
        <f>SUMIF(DeadRaw!$B:$B,$B123,DeadRaw!AW:AW)</f>
        <v>0</v>
      </c>
      <c r="AV123">
        <f>SUMIF(DeadRaw!$B:$B,$B123,DeadRaw!AX:AX)</f>
        <v>0</v>
      </c>
      <c r="AW123">
        <f>SUMIF(DeadRaw!$B:$B,$B123,DeadRaw!AY:AY)</f>
        <v>0</v>
      </c>
      <c r="AX123">
        <f>SUMIF(DeadRaw!$B:$B,$B123,DeadRaw!AZ:AZ)</f>
        <v>0</v>
      </c>
      <c r="AY123">
        <f>SUMIF(DeadRaw!$B:$B,$B123,DeadRaw!BA:BA)</f>
        <v>0</v>
      </c>
      <c r="AZ123">
        <f>SUMIF(DeadRaw!$B:$B,$B123,DeadRaw!BB:BB)</f>
        <v>0</v>
      </c>
      <c r="BA123">
        <f>SUMIF(DeadRaw!$B:$B,$B123,DeadRaw!BC:BC)</f>
        <v>0</v>
      </c>
      <c r="BB123">
        <f>SUMIF(DeadRaw!$B:$B,$B123,DeadRaw!BD:BD)</f>
        <v>0</v>
      </c>
      <c r="BC123">
        <f>SUMIF(DeadRaw!$B:$B,$B123,DeadRaw!BE:BE)</f>
        <v>0</v>
      </c>
      <c r="BD123">
        <f>SUMIF(DeadRaw!$B:$B,$B123,DeadRaw!BF:BF)</f>
        <v>0</v>
      </c>
      <c r="BE123">
        <f>SUMIF(DeadRaw!$B:$B,$B123,DeadRaw!BG:BG)</f>
        <v>0</v>
      </c>
      <c r="BF123">
        <f>SUMIF(DeadRaw!$B:$B,$B123,DeadRaw!BH:BH)</f>
        <v>0</v>
      </c>
      <c r="BG123">
        <f>SUMIF(DeadRaw!$B:$B,$B123,DeadRaw!BI:BI)</f>
        <v>0</v>
      </c>
      <c r="BH123">
        <f>SUMIF(DeadRaw!$B:$B,$B123,DeadRaw!BJ:BJ)</f>
        <v>0</v>
      </c>
      <c r="BI123">
        <f>SUMIF(DeadRaw!$B:$B,$B123,DeadRaw!BK:BK)</f>
        <v>0</v>
      </c>
      <c r="BJ123">
        <f>SUMIF(DeadRaw!$B:$B,$B123,DeadRaw!BL:BL)</f>
        <v>0</v>
      </c>
      <c r="BK123">
        <f>SUMIF(DeadRaw!$B:$B,$B123,DeadRaw!BM:BM)</f>
        <v>0</v>
      </c>
      <c r="BL123">
        <f>SUMIF(DeadRaw!$B:$B,$B123,DeadRaw!BN:BN)</f>
        <v>0</v>
      </c>
      <c r="BM123">
        <f>SUMIF(DeadRaw!$B:$B,$B123,DeadRaw!BO:BO)</f>
        <v>0</v>
      </c>
      <c r="BN123">
        <f>SUMIF(DeadRaw!$B:$B,$B123,DeadRaw!BP:BP)</f>
        <v>0</v>
      </c>
      <c r="BO123">
        <f>SUMIF(DeadRaw!$B:$B,$B123,DeadRaw!BQ:BQ)</f>
        <v>0</v>
      </c>
      <c r="BP123">
        <f>SUMIF(DeadRaw!$B:$B,$B123,DeadRaw!BR:BR)</f>
        <v>0</v>
      </c>
      <c r="BQ123">
        <f>SUMIF(DeadRaw!$B:$B,$B123,DeadRaw!BS:BS)</f>
        <v>0</v>
      </c>
      <c r="BR123">
        <f>SUMIF(DeadRaw!$B:$B,$B123,DeadRaw!BT:BT)</f>
        <v>0</v>
      </c>
      <c r="BS123">
        <f>SUMIF(DeadRaw!$B:$B,$B123,DeadRaw!BU:BU)</f>
        <v>0</v>
      </c>
      <c r="BT123">
        <f>SUMIF(DeadRaw!$B:$B,$B123,DeadRaw!BV:BV)</f>
        <v>0</v>
      </c>
      <c r="BU123">
        <f>SUMIF(DeadRaw!$B:$B,$B123,DeadRaw!BW:BW)</f>
        <v>0</v>
      </c>
    </row>
    <row r="124" spans="1:73" ht="15" thickBot="1" x14ac:dyDescent="0.35">
      <c r="A124" s="97" t="str">
        <f>VLOOKUP(B124,Country_Data!B:Q,16,FALSE)</f>
        <v>Asia</v>
      </c>
      <c r="B124" s="4" t="s">
        <v>42</v>
      </c>
      <c r="C124">
        <f>SUMIF(DeadRaw!$B:$B,$B124,DeadRaw!E:E)</f>
        <v>0</v>
      </c>
      <c r="D124">
        <f>SUMIF(DeadRaw!$B:$B,$B124,DeadRaw!F:F)</f>
        <v>0</v>
      </c>
      <c r="E124">
        <f>SUMIF(DeadRaw!$B:$B,$B124,DeadRaw!G:G)</f>
        <v>0</v>
      </c>
      <c r="F124">
        <f>SUMIF(DeadRaw!$B:$B,$B124,DeadRaw!H:H)</f>
        <v>0</v>
      </c>
      <c r="G124">
        <f>SUMIF(DeadRaw!$B:$B,$B124,DeadRaw!I:I)</f>
        <v>0</v>
      </c>
      <c r="H124">
        <f>SUMIF(DeadRaw!$B:$B,$B124,DeadRaw!J:J)</f>
        <v>0</v>
      </c>
      <c r="I124">
        <f>SUMIF(DeadRaw!$B:$B,$B124,DeadRaw!K:K)</f>
        <v>0</v>
      </c>
      <c r="J124">
        <f>SUMIF(DeadRaw!$B:$B,$B124,DeadRaw!L:L)</f>
        <v>0</v>
      </c>
      <c r="K124">
        <f>SUMIF(DeadRaw!$B:$B,$B124,DeadRaw!M:M)</f>
        <v>0</v>
      </c>
      <c r="L124">
        <f>SUMIF(DeadRaw!$B:$B,$B124,DeadRaw!N:N)</f>
        <v>0</v>
      </c>
      <c r="M124">
        <f>SUMIF(DeadRaw!$B:$B,$B124,DeadRaw!O:O)</f>
        <v>0</v>
      </c>
      <c r="N124">
        <f>SUMIF(DeadRaw!$B:$B,$B124,DeadRaw!P:P)</f>
        <v>0</v>
      </c>
      <c r="O124">
        <f>SUMIF(DeadRaw!$B:$B,$B124,DeadRaw!Q:Q)</f>
        <v>0</v>
      </c>
      <c r="P124">
        <f>SUMIF(DeadRaw!$B:$B,$B124,DeadRaw!R:R)</f>
        <v>0</v>
      </c>
      <c r="Q124">
        <f>SUMIF(DeadRaw!$B:$B,$B124,DeadRaw!S:S)</f>
        <v>0</v>
      </c>
      <c r="R124">
        <f>SUMIF(DeadRaw!$B:$B,$B124,DeadRaw!T:T)</f>
        <v>0</v>
      </c>
      <c r="S124">
        <f>SUMIF(DeadRaw!$B:$B,$B124,DeadRaw!U:U)</f>
        <v>0</v>
      </c>
      <c r="T124">
        <f>SUMIF(DeadRaw!$B:$B,$B124,DeadRaw!V:V)</f>
        <v>0</v>
      </c>
      <c r="U124">
        <f>SUMIF(DeadRaw!$B:$B,$B124,DeadRaw!W:W)</f>
        <v>0</v>
      </c>
      <c r="V124">
        <f>SUMIF(DeadRaw!$B:$B,$B124,DeadRaw!X:X)</f>
        <v>0</v>
      </c>
      <c r="W124">
        <f>SUMIF(DeadRaw!$B:$B,$B124,DeadRaw!Y:Y)</f>
        <v>0</v>
      </c>
      <c r="X124">
        <f>SUMIF(DeadRaw!$B:$B,$B124,DeadRaw!Z:Z)</f>
        <v>0</v>
      </c>
      <c r="Y124">
        <f>SUMIF(DeadRaw!$B:$B,$B124,DeadRaw!AA:AA)</f>
        <v>0</v>
      </c>
      <c r="Z124">
        <f>SUMIF(DeadRaw!$B:$B,$B124,DeadRaw!AB:AB)</f>
        <v>0</v>
      </c>
      <c r="AA124">
        <f>SUMIF(DeadRaw!$B:$B,$B124,DeadRaw!AC:AC)</f>
        <v>0</v>
      </c>
      <c r="AB124">
        <f>SUMIF(DeadRaw!$B:$B,$B124,DeadRaw!AD:AD)</f>
        <v>0</v>
      </c>
      <c r="AC124">
        <f>SUMIF(DeadRaw!$B:$B,$B124,DeadRaw!AE:AE)</f>
        <v>0</v>
      </c>
      <c r="AD124">
        <f>SUMIF(DeadRaw!$B:$B,$B124,DeadRaw!AF:AF)</f>
        <v>0</v>
      </c>
      <c r="AE124">
        <f>SUMIF(DeadRaw!$B:$B,$B124,DeadRaw!AG:AG)</f>
        <v>0</v>
      </c>
      <c r="AF124">
        <f>SUMIF(DeadRaw!$B:$B,$B124,DeadRaw!AH:AH)</f>
        <v>0</v>
      </c>
      <c r="AG124">
        <f>SUMIF(DeadRaw!$B:$B,$B124,DeadRaw!AI:AI)</f>
        <v>0</v>
      </c>
      <c r="AH124">
        <f>SUMIF(DeadRaw!$B:$B,$B124,DeadRaw!AJ:AJ)</f>
        <v>0</v>
      </c>
      <c r="AI124">
        <f>SUMIF(DeadRaw!$B:$B,$B124,DeadRaw!AK:AK)</f>
        <v>0</v>
      </c>
      <c r="AJ124">
        <f>SUMIF(DeadRaw!$B:$B,$B124,DeadRaw!AL:AL)</f>
        <v>0</v>
      </c>
      <c r="AK124">
        <f>SUMIF(DeadRaw!$B:$B,$B124,DeadRaw!AM:AM)</f>
        <v>0</v>
      </c>
      <c r="AL124">
        <f>SUMIF(DeadRaw!$B:$B,$B124,DeadRaw!AN:AN)</f>
        <v>0</v>
      </c>
      <c r="AM124">
        <f>SUMIF(DeadRaw!$B:$B,$B124,DeadRaw!AO:AO)</f>
        <v>0</v>
      </c>
      <c r="AN124">
        <f>SUMIF(DeadRaw!$B:$B,$B124,DeadRaw!AP:AP)</f>
        <v>0</v>
      </c>
      <c r="AO124">
        <f>SUMIF(DeadRaw!$B:$B,$B124,DeadRaw!AQ:AQ)</f>
        <v>0</v>
      </c>
      <c r="AP124">
        <f>SUMIF(DeadRaw!$B:$B,$B124,DeadRaw!AR:AR)</f>
        <v>0</v>
      </c>
      <c r="AQ124">
        <f>SUMIF(DeadRaw!$B:$B,$B124,DeadRaw!AS:AS)</f>
        <v>0</v>
      </c>
      <c r="AR124">
        <f>SUMIF(DeadRaw!$B:$B,$B124,DeadRaw!AT:AT)</f>
        <v>0</v>
      </c>
      <c r="AS124">
        <f>SUMIF(DeadRaw!$B:$B,$B124,DeadRaw!AU:AU)</f>
        <v>0</v>
      </c>
      <c r="AT124">
        <f>SUMIF(DeadRaw!$B:$B,$B124,DeadRaw!AV:AV)</f>
        <v>0</v>
      </c>
      <c r="AU124">
        <f>SUMIF(DeadRaw!$B:$B,$B124,DeadRaw!AW:AW)</f>
        <v>0</v>
      </c>
      <c r="AV124">
        <f>SUMIF(DeadRaw!$B:$B,$B124,DeadRaw!AX:AX)</f>
        <v>0</v>
      </c>
      <c r="AW124">
        <f>SUMIF(DeadRaw!$B:$B,$B124,DeadRaw!AY:AY)</f>
        <v>0</v>
      </c>
      <c r="AX124">
        <f>SUMIF(DeadRaw!$B:$B,$B124,DeadRaw!AZ:AZ)</f>
        <v>0</v>
      </c>
      <c r="AY124">
        <f>SUMIF(DeadRaw!$B:$B,$B124,DeadRaw!BA:BA)</f>
        <v>0</v>
      </c>
      <c r="AZ124">
        <f>SUMIF(DeadRaw!$B:$B,$B124,DeadRaw!BB:BB)</f>
        <v>0</v>
      </c>
      <c r="BA124">
        <f>SUMIF(DeadRaw!$B:$B,$B124,DeadRaw!BC:BC)</f>
        <v>0</v>
      </c>
      <c r="BB124">
        <f>SUMIF(DeadRaw!$B:$B,$B124,DeadRaw!BD:BD)</f>
        <v>0</v>
      </c>
      <c r="BC124">
        <f>SUMIF(DeadRaw!$B:$B,$B124,DeadRaw!BE:BE)</f>
        <v>0</v>
      </c>
      <c r="BD124">
        <f>SUMIF(DeadRaw!$B:$B,$B124,DeadRaw!BF:BF)</f>
        <v>0</v>
      </c>
      <c r="BE124">
        <f>SUMIF(DeadRaw!$B:$B,$B124,DeadRaw!BG:BG)</f>
        <v>0</v>
      </c>
      <c r="BF124">
        <f>SUMIF(DeadRaw!$B:$B,$B124,DeadRaw!BH:BH)</f>
        <v>0</v>
      </c>
      <c r="BG124">
        <f>SUMIF(DeadRaw!$B:$B,$B124,DeadRaw!BI:BI)</f>
        <v>0</v>
      </c>
      <c r="BH124">
        <f>SUMIF(DeadRaw!$B:$B,$B124,DeadRaw!BJ:BJ)</f>
        <v>0</v>
      </c>
      <c r="BI124">
        <f>SUMIF(DeadRaw!$B:$B,$B124,DeadRaw!BK:BK)</f>
        <v>0</v>
      </c>
      <c r="BJ124">
        <f>SUMIF(DeadRaw!$B:$B,$B124,DeadRaw!BL:BL)</f>
        <v>0</v>
      </c>
      <c r="BK124">
        <f>SUMIF(DeadRaw!$B:$B,$B124,DeadRaw!BM:BM)</f>
        <v>0</v>
      </c>
      <c r="BL124">
        <f>SUMIF(DeadRaw!$B:$B,$B124,DeadRaw!BN:BN)</f>
        <v>0</v>
      </c>
      <c r="BM124">
        <f>SUMIF(DeadRaw!$B:$B,$B124,DeadRaw!BO:BO)</f>
        <v>0</v>
      </c>
      <c r="BN124">
        <f>SUMIF(DeadRaw!$B:$B,$B124,DeadRaw!BP:BP)</f>
        <v>0</v>
      </c>
      <c r="BO124">
        <f>SUMIF(DeadRaw!$B:$B,$B124,DeadRaw!BQ:BQ)</f>
        <v>0</v>
      </c>
      <c r="BP124">
        <f>SUMIF(DeadRaw!$B:$B,$B124,DeadRaw!BR:BR)</f>
        <v>0</v>
      </c>
      <c r="BQ124">
        <f>SUMIF(DeadRaw!$B:$B,$B124,DeadRaw!BS:BS)</f>
        <v>0</v>
      </c>
      <c r="BR124">
        <f>SUMIF(DeadRaw!$B:$B,$B124,DeadRaw!BT:BT)</f>
        <v>0</v>
      </c>
      <c r="BS124">
        <f>SUMIF(DeadRaw!$B:$B,$B124,DeadRaw!BU:BU)</f>
        <v>0</v>
      </c>
      <c r="BT124">
        <f>SUMIF(DeadRaw!$B:$B,$B124,DeadRaw!BV:BV)</f>
        <v>0</v>
      </c>
      <c r="BU124">
        <f>SUMIF(DeadRaw!$B:$B,$B124,DeadRaw!BW:BW)</f>
        <v>0</v>
      </c>
    </row>
    <row r="125" spans="1:73" ht="15" thickBot="1" x14ac:dyDescent="0.35">
      <c r="A125" s="97" t="str">
        <f>VLOOKUP(B125,Country_Data!B:Q,16,FALSE)</f>
        <v>Africa</v>
      </c>
      <c r="B125" s="3" t="s">
        <v>420</v>
      </c>
      <c r="C125">
        <f>SUMIF(DeadRaw!$B:$B,$B125,DeadRaw!E:E)</f>
        <v>0</v>
      </c>
      <c r="D125">
        <f>SUMIF(DeadRaw!$B:$B,$B125,DeadRaw!F:F)</f>
        <v>0</v>
      </c>
      <c r="E125">
        <f>SUMIF(DeadRaw!$B:$B,$B125,DeadRaw!G:G)</f>
        <v>0</v>
      </c>
      <c r="F125">
        <f>SUMIF(DeadRaw!$B:$B,$B125,DeadRaw!H:H)</f>
        <v>0</v>
      </c>
      <c r="G125">
        <f>SUMIF(DeadRaw!$B:$B,$B125,DeadRaw!I:I)</f>
        <v>0</v>
      </c>
      <c r="H125">
        <f>SUMIF(DeadRaw!$B:$B,$B125,DeadRaw!J:J)</f>
        <v>0</v>
      </c>
      <c r="I125">
        <f>SUMIF(DeadRaw!$B:$B,$B125,DeadRaw!K:K)</f>
        <v>0</v>
      </c>
      <c r="J125">
        <f>SUMIF(DeadRaw!$B:$B,$B125,DeadRaw!L:L)</f>
        <v>0</v>
      </c>
      <c r="K125">
        <f>SUMIF(DeadRaw!$B:$B,$B125,DeadRaw!M:M)</f>
        <v>0</v>
      </c>
      <c r="L125">
        <f>SUMIF(DeadRaw!$B:$B,$B125,DeadRaw!N:N)</f>
        <v>0</v>
      </c>
      <c r="M125">
        <f>SUMIF(DeadRaw!$B:$B,$B125,DeadRaw!O:O)</f>
        <v>0</v>
      </c>
      <c r="N125">
        <f>SUMIF(DeadRaw!$B:$B,$B125,DeadRaw!P:P)</f>
        <v>0</v>
      </c>
      <c r="O125">
        <f>SUMIF(DeadRaw!$B:$B,$B125,DeadRaw!Q:Q)</f>
        <v>0</v>
      </c>
      <c r="P125">
        <f>SUMIF(DeadRaw!$B:$B,$B125,DeadRaw!R:R)</f>
        <v>0</v>
      </c>
      <c r="Q125">
        <f>SUMIF(DeadRaw!$B:$B,$B125,DeadRaw!S:S)</f>
        <v>0</v>
      </c>
      <c r="R125">
        <f>SUMIF(DeadRaw!$B:$B,$B125,DeadRaw!T:T)</f>
        <v>0</v>
      </c>
      <c r="S125">
        <f>SUMIF(DeadRaw!$B:$B,$B125,DeadRaw!U:U)</f>
        <v>0</v>
      </c>
      <c r="T125">
        <f>SUMIF(DeadRaw!$B:$B,$B125,DeadRaw!V:V)</f>
        <v>0</v>
      </c>
      <c r="U125">
        <f>SUMIF(DeadRaw!$B:$B,$B125,DeadRaw!W:W)</f>
        <v>0</v>
      </c>
      <c r="V125">
        <f>SUMIF(DeadRaw!$B:$B,$B125,DeadRaw!X:X)</f>
        <v>0</v>
      </c>
      <c r="W125">
        <f>SUMIF(DeadRaw!$B:$B,$B125,DeadRaw!Y:Y)</f>
        <v>0</v>
      </c>
      <c r="X125">
        <f>SUMIF(DeadRaw!$B:$B,$B125,DeadRaw!Z:Z)</f>
        <v>0</v>
      </c>
      <c r="Y125">
        <f>SUMIF(DeadRaw!$B:$B,$B125,DeadRaw!AA:AA)</f>
        <v>0</v>
      </c>
      <c r="Z125">
        <f>SUMIF(DeadRaw!$B:$B,$B125,DeadRaw!AB:AB)</f>
        <v>0</v>
      </c>
      <c r="AA125">
        <f>SUMIF(DeadRaw!$B:$B,$B125,DeadRaw!AC:AC)</f>
        <v>0</v>
      </c>
      <c r="AB125">
        <f>SUMIF(DeadRaw!$B:$B,$B125,DeadRaw!AD:AD)</f>
        <v>0</v>
      </c>
      <c r="AC125">
        <f>SUMIF(DeadRaw!$B:$B,$B125,DeadRaw!AE:AE)</f>
        <v>0</v>
      </c>
      <c r="AD125">
        <f>SUMIF(DeadRaw!$B:$B,$B125,DeadRaw!AF:AF)</f>
        <v>0</v>
      </c>
      <c r="AE125">
        <f>SUMIF(DeadRaw!$B:$B,$B125,DeadRaw!AG:AG)</f>
        <v>0</v>
      </c>
      <c r="AF125">
        <f>SUMIF(DeadRaw!$B:$B,$B125,DeadRaw!AH:AH)</f>
        <v>0</v>
      </c>
      <c r="AG125">
        <f>SUMIF(DeadRaw!$B:$B,$B125,DeadRaw!AI:AI)</f>
        <v>0</v>
      </c>
      <c r="AH125">
        <f>SUMIF(DeadRaw!$B:$B,$B125,DeadRaw!AJ:AJ)</f>
        <v>0</v>
      </c>
      <c r="AI125">
        <f>SUMIF(DeadRaw!$B:$B,$B125,DeadRaw!AK:AK)</f>
        <v>0</v>
      </c>
      <c r="AJ125">
        <f>SUMIF(DeadRaw!$B:$B,$B125,DeadRaw!AL:AL)</f>
        <v>0</v>
      </c>
      <c r="AK125">
        <f>SUMIF(DeadRaw!$B:$B,$B125,DeadRaw!AM:AM)</f>
        <v>0</v>
      </c>
      <c r="AL125">
        <f>SUMIF(DeadRaw!$B:$B,$B125,DeadRaw!AN:AN)</f>
        <v>0</v>
      </c>
      <c r="AM125">
        <f>SUMIF(DeadRaw!$B:$B,$B125,DeadRaw!AO:AO)</f>
        <v>0</v>
      </c>
      <c r="AN125">
        <f>SUMIF(DeadRaw!$B:$B,$B125,DeadRaw!AP:AP)</f>
        <v>0</v>
      </c>
      <c r="AO125">
        <f>SUMIF(DeadRaw!$B:$B,$B125,DeadRaw!AQ:AQ)</f>
        <v>0</v>
      </c>
      <c r="AP125">
        <f>SUMIF(DeadRaw!$B:$B,$B125,DeadRaw!AR:AR)</f>
        <v>0</v>
      </c>
      <c r="AQ125">
        <f>SUMIF(DeadRaw!$B:$B,$B125,DeadRaw!AS:AS)</f>
        <v>0</v>
      </c>
      <c r="AR125">
        <f>SUMIF(DeadRaw!$B:$B,$B125,DeadRaw!AT:AT)</f>
        <v>0</v>
      </c>
      <c r="AS125">
        <f>SUMIF(DeadRaw!$B:$B,$B125,DeadRaw!AU:AU)</f>
        <v>0</v>
      </c>
      <c r="AT125">
        <f>SUMIF(DeadRaw!$B:$B,$B125,DeadRaw!AV:AV)</f>
        <v>0</v>
      </c>
      <c r="AU125">
        <f>SUMIF(DeadRaw!$B:$B,$B125,DeadRaw!AW:AW)</f>
        <v>0</v>
      </c>
      <c r="AV125">
        <f>SUMIF(DeadRaw!$B:$B,$B125,DeadRaw!AX:AX)</f>
        <v>0</v>
      </c>
      <c r="AW125">
        <f>SUMIF(DeadRaw!$B:$B,$B125,DeadRaw!AY:AY)</f>
        <v>0</v>
      </c>
      <c r="AX125">
        <f>SUMIF(DeadRaw!$B:$B,$B125,DeadRaw!AZ:AZ)</f>
        <v>0</v>
      </c>
      <c r="AY125">
        <f>SUMIF(DeadRaw!$B:$B,$B125,DeadRaw!BA:BA)</f>
        <v>0</v>
      </c>
      <c r="AZ125">
        <f>SUMIF(DeadRaw!$B:$B,$B125,DeadRaw!BB:BB)</f>
        <v>0</v>
      </c>
      <c r="BA125">
        <f>SUMIF(DeadRaw!$B:$B,$B125,DeadRaw!BC:BC)</f>
        <v>0</v>
      </c>
      <c r="BB125">
        <f>SUMIF(DeadRaw!$B:$B,$B125,DeadRaw!BD:BD)</f>
        <v>1</v>
      </c>
      <c r="BC125">
        <f>SUMIF(DeadRaw!$B:$B,$B125,DeadRaw!BE:BE)</f>
        <v>1</v>
      </c>
      <c r="BD125">
        <f>SUMIF(DeadRaw!$B:$B,$B125,DeadRaw!BF:BF)</f>
        <v>1</v>
      </c>
      <c r="BE125">
        <f>SUMIF(DeadRaw!$B:$B,$B125,DeadRaw!BG:BG)</f>
        <v>1</v>
      </c>
      <c r="BF125">
        <f>SUMIF(DeadRaw!$B:$B,$B125,DeadRaw!BH:BH)</f>
        <v>1</v>
      </c>
      <c r="BG125">
        <f>SUMIF(DeadRaw!$B:$B,$B125,DeadRaw!BI:BI)</f>
        <v>1</v>
      </c>
      <c r="BH125">
        <f>SUMIF(DeadRaw!$B:$B,$B125,DeadRaw!BJ:BJ)</f>
        <v>1</v>
      </c>
      <c r="BI125">
        <f>SUMIF(DeadRaw!$B:$B,$B125,DeadRaw!BK:BK)</f>
        <v>1</v>
      </c>
      <c r="BJ125">
        <f>SUMIF(DeadRaw!$B:$B,$B125,DeadRaw!BL:BL)</f>
        <v>1</v>
      </c>
      <c r="BK125">
        <f>SUMIF(DeadRaw!$B:$B,$B125,DeadRaw!BM:BM)</f>
        <v>1</v>
      </c>
      <c r="BL125">
        <f>SUMIF(DeadRaw!$B:$B,$B125,DeadRaw!BN:BN)</f>
        <v>1</v>
      </c>
      <c r="BM125">
        <f>SUMIF(DeadRaw!$B:$B,$B125,DeadRaw!BO:BO)</f>
        <v>1</v>
      </c>
      <c r="BN125">
        <f>SUMIF(DeadRaw!$B:$B,$B125,DeadRaw!BP:BP)</f>
        <v>1</v>
      </c>
      <c r="BO125">
        <f>SUMIF(DeadRaw!$B:$B,$B125,DeadRaw!BQ:BQ)</f>
        <v>1</v>
      </c>
      <c r="BP125">
        <f>SUMIF(DeadRaw!$B:$B,$B125,DeadRaw!BR:BR)</f>
        <v>1</v>
      </c>
      <c r="BQ125">
        <f>SUMIF(DeadRaw!$B:$B,$B125,DeadRaw!BS:BS)</f>
        <v>1</v>
      </c>
      <c r="BR125">
        <f>SUMIF(DeadRaw!$B:$B,$B125,DeadRaw!BT:BT)</f>
        <v>0</v>
      </c>
      <c r="BS125">
        <f>SUMIF(DeadRaw!$B:$B,$B125,DeadRaw!BU:BU)</f>
        <v>0</v>
      </c>
      <c r="BT125">
        <f>SUMIF(DeadRaw!$B:$B,$B125,DeadRaw!BV:BV)</f>
        <v>0</v>
      </c>
      <c r="BU125">
        <f>SUMIF(DeadRaw!$B:$B,$B125,DeadRaw!BW:BW)</f>
        <v>0</v>
      </c>
    </row>
    <row r="126" spans="1:73" ht="15" thickBot="1" x14ac:dyDescent="0.35">
      <c r="A126" s="97" t="str">
        <f>VLOOKUP(B126,Country_Data!B:Q,16,FALSE)</f>
        <v>Africa</v>
      </c>
      <c r="B126" s="3" t="s">
        <v>163</v>
      </c>
      <c r="C126">
        <f>SUMIF(DeadRaw!$B:$B,$B126,DeadRaw!E:E)</f>
        <v>0</v>
      </c>
      <c r="D126">
        <f>SUMIF(DeadRaw!$B:$B,$B126,DeadRaw!F:F)</f>
        <v>0</v>
      </c>
      <c r="E126">
        <f>SUMIF(DeadRaw!$B:$B,$B126,DeadRaw!G:G)</f>
        <v>0</v>
      </c>
      <c r="F126">
        <f>SUMIF(DeadRaw!$B:$B,$B126,DeadRaw!H:H)</f>
        <v>0</v>
      </c>
      <c r="G126">
        <f>SUMIF(DeadRaw!$B:$B,$B126,DeadRaw!I:I)</f>
        <v>0</v>
      </c>
      <c r="H126">
        <f>SUMIF(DeadRaw!$B:$B,$B126,DeadRaw!J:J)</f>
        <v>0</v>
      </c>
      <c r="I126">
        <f>SUMIF(DeadRaw!$B:$B,$B126,DeadRaw!K:K)</f>
        <v>0</v>
      </c>
      <c r="J126">
        <f>SUMIF(DeadRaw!$B:$B,$B126,DeadRaw!L:L)</f>
        <v>0</v>
      </c>
      <c r="K126">
        <f>SUMIF(DeadRaw!$B:$B,$B126,DeadRaw!M:M)</f>
        <v>0</v>
      </c>
      <c r="L126">
        <f>SUMIF(DeadRaw!$B:$B,$B126,DeadRaw!N:N)</f>
        <v>0</v>
      </c>
      <c r="M126">
        <f>SUMIF(DeadRaw!$B:$B,$B126,DeadRaw!O:O)</f>
        <v>0</v>
      </c>
      <c r="N126">
        <f>SUMIF(DeadRaw!$B:$B,$B126,DeadRaw!P:P)</f>
        <v>0</v>
      </c>
      <c r="O126">
        <f>SUMIF(DeadRaw!$B:$B,$B126,DeadRaw!Q:Q)</f>
        <v>0</v>
      </c>
      <c r="P126">
        <f>SUMIF(DeadRaw!$B:$B,$B126,DeadRaw!R:R)</f>
        <v>0</v>
      </c>
      <c r="Q126">
        <f>SUMIF(DeadRaw!$B:$B,$B126,DeadRaw!S:S)</f>
        <v>0</v>
      </c>
      <c r="R126">
        <f>SUMIF(DeadRaw!$B:$B,$B126,DeadRaw!T:T)</f>
        <v>0</v>
      </c>
      <c r="S126">
        <f>SUMIF(DeadRaw!$B:$B,$B126,DeadRaw!U:U)</f>
        <v>0</v>
      </c>
      <c r="T126">
        <f>SUMIF(DeadRaw!$B:$B,$B126,DeadRaw!V:V)</f>
        <v>0</v>
      </c>
      <c r="U126">
        <f>SUMIF(DeadRaw!$B:$B,$B126,DeadRaw!W:W)</f>
        <v>0</v>
      </c>
      <c r="V126">
        <f>SUMIF(DeadRaw!$B:$B,$B126,DeadRaw!X:X)</f>
        <v>0</v>
      </c>
      <c r="W126">
        <f>SUMIF(DeadRaw!$B:$B,$B126,DeadRaw!Y:Y)</f>
        <v>0</v>
      </c>
      <c r="X126">
        <f>SUMIF(DeadRaw!$B:$B,$B126,DeadRaw!Z:Z)</f>
        <v>0</v>
      </c>
      <c r="Y126">
        <f>SUMIF(DeadRaw!$B:$B,$B126,DeadRaw!AA:AA)</f>
        <v>0</v>
      </c>
      <c r="Z126">
        <f>SUMIF(DeadRaw!$B:$B,$B126,DeadRaw!AB:AB)</f>
        <v>0</v>
      </c>
      <c r="AA126">
        <f>SUMIF(DeadRaw!$B:$B,$B126,DeadRaw!AC:AC)</f>
        <v>0</v>
      </c>
      <c r="AB126">
        <f>SUMIF(DeadRaw!$B:$B,$B126,DeadRaw!AD:AD)</f>
        <v>0</v>
      </c>
      <c r="AC126">
        <f>SUMIF(DeadRaw!$B:$B,$B126,DeadRaw!AE:AE)</f>
        <v>0</v>
      </c>
      <c r="AD126">
        <f>SUMIF(DeadRaw!$B:$B,$B126,DeadRaw!AF:AF)</f>
        <v>0</v>
      </c>
      <c r="AE126">
        <f>SUMIF(DeadRaw!$B:$B,$B126,DeadRaw!AG:AG)</f>
        <v>0</v>
      </c>
      <c r="AF126">
        <f>SUMIF(DeadRaw!$B:$B,$B126,DeadRaw!AH:AH)</f>
        <v>0</v>
      </c>
      <c r="AG126">
        <f>SUMIF(DeadRaw!$B:$B,$B126,DeadRaw!AI:AI)</f>
        <v>0</v>
      </c>
      <c r="AH126">
        <f>SUMIF(DeadRaw!$B:$B,$B126,DeadRaw!AJ:AJ)</f>
        <v>0</v>
      </c>
      <c r="AI126">
        <f>SUMIF(DeadRaw!$B:$B,$B126,DeadRaw!AK:AK)</f>
        <v>0</v>
      </c>
      <c r="AJ126">
        <f>SUMIF(DeadRaw!$B:$B,$B126,DeadRaw!AL:AL)</f>
        <v>0</v>
      </c>
      <c r="AK126">
        <f>SUMIF(DeadRaw!$B:$B,$B126,DeadRaw!AM:AM)</f>
        <v>0</v>
      </c>
      <c r="AL126">
        <f>SUMIF(DeadRaw!$B:$B,$B126,DeadRaw!AN:AN)</f>
        <v>0</v>
      </c>
      <c r="AM126">
        <f>SUMIF(DeadRaw!$B:$B,$B126,DeadRaw!AO:AO)</f>
        <v>0</v>
      </c>
      <c r="AN126">
        <f>SUMIF(DeadRaw!$B:$B,$B126,DeadRaw!AP:AP)</f>
        <v>0</v>
      </c>
      <c r="AO126">
        <f>SUMIF(DeadRaw!$B:$B,$B126,DeadRaw!AQ:AQ)</f>
        <v>0</v>
      </c>
      <c r="AP126">
        <f>SUMIF(DeadRaw!$B:$B,$B126,DeadRaw!AR:AR)</f>
        <v>0</v>
      </c>
      <c r="AQ126">
        <f>SUMIF(DeadRaw!$B:$B,$B126,DeadRaw!AS:AS)</f>
        <v>0</v>
      </c>
      <c r="AR126">
        <f>SUMIF(DeadRaw!$B:$B,$B126,DeadRaw!AT:AT)</f>
        <v>0</v>
      </c>
      <c r="AS126">
        <f>SUMIF(DeadRaw!$B:$B,$B126,DeadRaw!AU:AU)</f>
        <v>0</v>
      </c>
      <c r="AT126">
        <f>SUMIF(DeadRaw!$B:$B,$B126,DeadRaw!AV:AV)</f>
        <v>0</v>
      </c>
      <c r="AU126">
        <f>SUMIF(DeadRaw!$B:$B,$B126,DeadRaw!AW:AW)</f>
        <v>0</v>
      </c>
      <c r="AV126">
        <f>SUMIF(DeadRaw!$B:$B,$B126,DeadRaw!AX:AX)</f>
        <v>0</v>
      </c>
      <c r="AW126">
        <f>SUMIF(DeadRaw!$B:$B,$B126,DeadRaw!AY:AY)</f>
        <v>0</v>
      </c>
      <c r="AX126">
        <f>SUMIF(DeadRaw!$B:$B,$B126,DeadRaw!AZ:AZ)</f>
        <v>0</v>
      </c>
      <c r="AY126">
        <f>SUMIF(DeadRaw!$B:$B,$B126,DeadRaw!BA:BA)</f>
        <v>0</v>
      </c>
      <c r="AZ126">
        <f>SUMIF(DeadRaw!$B:$B,$B126,DeadRaw!BB:BB)</f>
        <v>0</v>
      </c>
      <c r="BA126">
        <f>SUMIF(DeadRaw!$B:$B,$B126,DeadRaw!BC:BC)</f>
        <v>0</v>
      </c>
      <c r="BB126">
        <f>SUMIF(DeadRaw!$B:$B,$B126,DeadRaw!BD:BD)</f>
        <v>0</v>
      </c>
      <c r="BC126">
        <f>SUMIF(DeadRaw!$B:$B,$B126,DeadRaw!BE:BE)</f>
        <v>0</v>
      </c>
      <c r="BD126">
        <f>SUMIF(DeadRaw!$B:$B,$B126,DeadRaw!BF:BF)</f>
        <v>0</v>
      </c>
      <c r="BE126">
        <f>SUMIF(DeadRaw!$B:$B,$B126,DeadRaw!BG:BG)</f>
        <v>0</v>
      </c>
      <c r="BF126">
        <f>SUMIF(DeadRaw!$B:$B,$B126,DeadRaw!BH:BH)</f>
        <v>0</v>
      </c>
      <c r="BG126">
        <f>SUMIF(DeadRaw!$B:$B,$B126,DeadRaw!BI:BI)</f>
        <v>0</v>
      </c>
      <c r="BH126">
        <f>SUMIF(DeadRaw!$B:$B,$B126,DeadRaw!BJ:BJ)</f>
        <v>0</v>
      </c>
      <c r="BI126">
        <f>SUMIF(DeadRaw!$B:$B,$B126,DeadRaw!BK:BK)</f>
        <v>0</v>
      </c>
      <c r="BJ126">
        <f>SUMIF(DeadRaw!$B:$B,$B126,DeadRaw!BL:BL)</f>
        <v>0</v>
      </c>
      <c r="BK126">
        <f>SUMIF(DeadRaw!$B:$B,$B126,DeadRaw!BM:BM)</f>
        <v>0</v>
      </c>
      <c r="BL126">
        <f>SUMIF(DeadRaw!$B:$B,$B126,DeadRaw!BN:BN)</f>
        <v>0</v>
      </c>
      <c r="BM126">
        <f>SUMIF(DeadRaw!$B:$B,$B126,DeadRaw!BO:BO)</f>
        <v>0</v>
      </c>
      <c r="BN126">
        <f>SUMIF(DeadRaw!$B:$B,$B126,DeadRaw!BP:BP)</f>
        <v>0</v>
      </c>
      <c r="BO126">
        <f>SUMIF(DeadRaw!$B:$B,$B126,DeadRaw!BQ:BQ)</f>
        <v>0</v>
      </c>
      <c r="BP126">
        <f>SUMIF(DeadRaw!$B:$B,$B126,DeadRaw!BR:BR)</f>
        <v>1</v>
      </c>
      <c r="BQ126">
        <f>SUMIF(DeadRaw!$B:$B,$B126,DeadRaw!BS:BS)</f>
        <v>1</v>
      </c>
      <c r="BR126">
        <f>SUMIF(DeadRaw!$B:$B,$B126,DeadRaw!BT:BT)</f>
        <v>0</v>
      </c>
      <c r="BS126">
        <f>SUMIF(DeadRaw!$B:$B,$B126,DeadRaw!BU:BU)</f>
        <v>0</v>
      </c>
      <c r="BT126">
        <f>SUMIF(DeadRaw!$B:$B,$B126,DeadRaw!BV:BV)</f>
        <v>0</v>
      </c>
      <c r="BU126">
        <f>SUMIF(DeadRaw!$B:$B,$B126,DeadRaw!BW:BW)</f>
        <v>0</v>
      </c>
    </row>
    <row r="127" spans="1:73" x14ac:dyDescent="0.3">
      <c r="A127" s="97"/>
      <c r="B127" s="2" t="s">
        <v>606</v>
      </c>
      <c r="C127">
        <f t="shared" ref="C127:AH127" si="0">SUM(C2:C126)</f>
        <v>17</v>
      </c>
      <c r="D127">
        <f t="shared" si="0"/>
        <v>18</v>
      </c>
      <c r="E127">
        <f t="shared" si="0"/>
        <v>26</v>
      </c>
      <c r="F127">
        <f t="shared" si="0"/>
        <v>42</v>
      </c>
      <c r="G127">
        <f t="shared" si="0"/>
        <v>56</v>
      </c>
      <c r="H127">
        <f t="shared" si="0"/>
        <v>82</v>
      </c>
      <c r="I127">
        <f t="shared" si="0"/>
        <v>131</v>
      </c>
      <c r="J127">
        <f t="shared" si="0"/>
        <v>133</v>
      </c>
      <c r="K127">
        <f t="shared" si="0"/>
        <v>171</v>
      </c>
      <c r="L127">
        <f t="shared" si="0"/>
        <v>213</v>
      </c>
      <c r="M127">
        <f t="shared" si="0"/>
        <v>259</v>
      </c>
      <c r="N127">
        <f t="shared" si="0"/>
        <v>362</v>
      </c>
      <c r="O127">
        <f t="shared" si="0"/>
        <v>426</v>
      </c>
      <c r="P127">
        <f t="shared" si="0"/>
        <v>492</v>
      </c>
      <c r="Q127">
        <f t="shared" si="0"/>
        <v>564</v>
      </c>
      <c r="R127">
        <f t="shared" si="0"/>
        <v>634</v>
      </c>
      <c r="S127">
        <f t="shared" si="0"/>
        <v>719</v>
      </c>
      <c r="T127">
        <f t="shared" si="0"/>
        <v>806</v>
      </c>
      <c r="U127">
        <f t="shared" si="0"/>
        <v>906</v>
      </c>
      <c r="V127">
        <f t="shared" si="0"/>
        <v>1013</v>
      </c>
      <c r="W127">
        <f t="shared" si="0"/>
        <v>1113</v>
      </c>
      <c r="X127">
        <f t="shared" si="0"/>
        <v>1118</v>
      </c>
      <c r="Y127">
        <f t="shared" si="0"/>
        <v>1371</v>
      </c>
      <c r="Z127">
        <f t="shared" si="0"/>
        <v>1523</v>
      </c>
      <c r="AA127">
        <f t="shared" si="0"/>
        <v>1666</v>
      </c>
      <c r="AB127">
        <f t="shared" si="0"/>
        <v>1770</v>
      </c>
      <c r="AC127">
        <f t="shared" si="0"/>
        <v>1868</v>
      </c>
      <c r="AD127">
        <f t="shared" si="0"/>
        <v>2007</v>
      </c>
      <c r="AE127">
        <f t="shared" si="0"/>
        <v>2122</v>
      </c>
      <c r="AF127">
        <f t="shared" si="0"/>
        <v>2245</v>
      </c>
      <c r="AG127">
        <f t="shared" si="0"/>
        <v>2249</v>
      </c>
      <c r="AH127">
        <f t="shared" si="0"/>
        <v>2456</v>
      </c>
      <c r="AI127">
        <f t="shared" ref="AI127:BN127" si="1">SUM(AI2:AI126)</f>
        <v>2466</v>
      </c>
      <c r="AJ127">
        <f t="shared" si="1"/>
        <v>2626</v>
      </c>
      <c r="AK127">
        <f t="shared" si="1"/>
        <v>2705</v>
      </c>
      <c r="AL127">
        <f t="shared" si="1"/>
        <v>2766</v>
      </c>
      <c r="AM127">
        <f t="shared" si="1"/>
        <v>2810</v>
      </c>
      <c r="AN127">
        <f t="shared" si="1"/>
        <v>2866</v>
      </c>
      <c r="AO127">
        <f t="shared" si="1"/>
        <v>2935</v>
      </c>
      <c r="AP127">
        <f t="shared" si="1"/>
        <v>2990</v>
      </c>
      <c r="AQ127">
        <f t="shared" si="1"/>
        <v>3079</v>
      </c>
      <c r="AR127">
        <f t="shared" si="1"/>
        <v>3154</v>
      </c>
      <c r="AS127">
        <f t="shared" si="1"/>
        <v>3248</v>
      </c>
      <c r="AT127">
        <f t="shared" si="1"/>
        <v>3342</v>
      </c>
      <c r="AU127">
        <f t="shared" si="1"/>
        <v>3454</v>
      </c>
      <c r="AV127">
        <f t="shared" si="1"/>
        <v>3552</v>
      </c>
      <c r="AW127">
        <f t="shared" si="1"/>
        <v>3796</v>
      </c>
      <c r="AX127">
        <f t="shared" si="1"/>
        <v>3982</v>
      </c>
      <c r="AY127">
        <f t="shared" si="1"/>
        <v>4256</v>
      </c>
      <c r="AZ127">
        <f t="shared" si="1"/>
        <v>4608</v>
      </c>
      <c r="BA127">
        <f t="shared" si="1"/>
        <v>4948</v>
      </c>
      <c r="BB127">
        <f t="shared" si="1"/>
        <v>5400</v>
      </c>
      <c r="BC127">
        <f t="shared" si="1"/>
        <v>5812</v>
      </c>
      <c r="BD127">
        <f t="shared" si="1"/>
        <v>6483</v>
      </c>
      <c r="BE127">
        <f t="shared" si="1"/>
        <v>7118</v>
      </c>
      <c r="BF127">
        <f t="shared" si="1"/>
        <v>7938</v>
      </c>
      <c r="BG127">
        <f t="shared" si="1"/>
        <v>8872</v>
      </c>
      <c r="BH127">
        <f t="shared" si="1"/>
        <v>9987</v>
      </c>
      <c r="BI127">
        <f t="shared" si="1"/>
        <v>11290</v>
      </c>
      <c r="BJ127">
        <f t="shared" si="1"/>
        <v>12961</v>
      </c>
      <c r="BK127">
        <f t="shared" si="1"/>
        <v>14638</v>
      </c>
      <c r="BL127">
        <f t="shared" si="1"/>
        <v>16488</v>
      </c>
      <c r="BM127">
        <f t="shared" si="1"/>
        <v>18605</v>
      </c>
      <c r="BN127">
        <f t="shared" si="1"/>
        <v>21157</v>
      </c>
      <c r="BO127">
        <f t="shared" ref="BO127:BU127" si="2">SUM(BO2:BO126)</f>
        <v>23944</v>
      </c>
      <c r="BP127">
        <f t="shared" si="2"/>
        <v>27168</v>
      </c>
      <c r="BQ127">
        <f t="shared" si="2"/>
        <v>30618</v>
      </c>
      <c r="BR127">
        <f t="shared" si="2"/>
        <v>0</v>
      </c>
      <c r="BS127">
        <f t="shared" si="2"/>
        <v>0</v>
      </c>
      <c r="BT127">
        <f t="shared" si="2"/>
        <v>0</v>
      </c>
      <c r="BU127">
        <f t="shared" si="2"/>
        <v>0</v>
      </c>
    </row>
    <row r="128" spans="1:73" x14ac:dyDescent="0.3">
      <c r="A128" s="97"/>
      <c r="B128" s="2" t="s">
        <v>608</v>
      </c>
      <c r="C128">
        <f t="shared" ref="C128:L133" si="3">SUMIFS(C$2:C$126,$A$2:$A$126,$B128)</f>
        <v>17</v>
      </c>
      <c r="D128">
        <f t="shared" si="3"/>
        <v>18</v>
      </c>
      <c r="E128">
        <f t="shared" si="3"/>
        <v>26</v>
      </c>
      <c r="F128">
        <f t="shared" si="3"/>
        <v>42</v>
      </c>
      <c r="G128">
        <f t="shared" si="3"/>
        <v>56</v>
      </c>
      <c r="H128">
        <f t="shared" si="3"/>
        <v>82</v>
      </c>
      <c r="I128">
        <f t="shared" si="3"/>
        <v>131</v>
      </c>
      <c r="J128">
        <f t="shared" si="3"/>
        <v>133</v>
      </c>
      <c r="K128">
        <f t="shared" si="3"/>
        <v>171</v>
      </c>
      <c r="L128">
        <f t="shared" si="3"/>
        <v>213</v>
      </c>
      <c r="M128">
        <f t="shared" ref="M128:V133" si="4">SUMIFS(M$2:M$126,$A$2:$A$126,$B128)</f>
        <v>259</v>
      </c>
      <c r="N128">
        <f t="shared" si="4"/>
        <v>362</v>
      </c>
      <c r="O128">
        <f t="shared" si="4"/>
        <v>426</v>
      </c>
      <c r="P128">
        <f t="shared" si="4"/>
        <v>492</v>
      </c>
      <c r="Q128">
        <f t="shared" si="4"/>
        <v>564</v>
      </c>
      <c r="R128">
        <f t="shared" si="4"/>
        <v>634</v>
      </c>
      <c r="S128">
        <f t="shared" si="4"/>
        <v>719</v>
      </c>
      <c r="T128">
        <f t="shared" si="4"/>
        <v>806</v>
      </c>
      <c r="U128">
        <f t="shared" si="4"/>
        <v>906</v>
      </c>
      <c r="V128">
        <f t="shared" si="4"/>
        <v>1013</v>
      </c>
      <c r="W128">
        <f t="shared" ref="W128:AF133" si="5">SUMIFS(W$2:W$126,$A$2:$A$126,$B128)</f>
        <v>1113</v>
      </c>
      <c r="X128">
        <f t="shared" si="5"/>
        <v>1118</v>
      </c>
      <c r="Y128">
        <f t="shared" si="5"/>
        <v>1371</v>
      </c>
      <c r="Z128">
        <f t="shared" si="5"/>
        <v>1523</v>
      </c>
      <c r="AA128">
        <f t="shared" si="5"/>
        <v>1665</v>
      </c>
      <c r="AB128">
        <f t="shared" si="5"/>
        <v>1769</v>
      </c>
      <c r="AC128">
        <f t="shared" si="5"/>
        <v>1867</v>
      </c>
      <c r="AD128">
        <f t="shared" si="5"/>
        <v>2006</v>
      </c>
      <c r="AE128">
        <f t="shared" si="5"/>
        <v>2119</v>
      </c>
      <c r="AF128">
        <f t="shared" si="5"/>
        <v>2242</v>
      </c>
      <c r="AG128">
        <f t="shared" ref="AG128:AP133" si="6">SUMIFS(AG$2:AG$126,$A$2:$A$126,$B128)</f>
        <v>2243</v>
      </c>
      <c r="AH128">
        <f t="shared" si="6"/>
        <v>2448</v>
      </c>
      <c r="AI128">
        <f t="shared" si="6"/>
        <v>2454</v>
      </c>
      <c r="AJ128">
        <f t="shared" si="6"/>
        <v>2606</v>
      </c>
      <c r="AK128">
        <f t="shared" si="6"/>
        <v>2678</v>
      </c>
      <c r="AL128">
        <f t="shared" si="6"/>
        <v>2733</v>
      </c>
      <c r="AM128">
        <f t="shared" si="6"/>
        <v>2765</v>
      </c>
      <c r="AN128">
        <f t="shared" si="6"/>
        <v>2809</v>
      </c>
      <c r="AO128">
        <f t="shared" si="6"/>
        <v>2860</v>
      </c>
      <c r="AP128">
        <f t="shared" si="6"/>
        <v>2898</v>
      </c>
      <c r="AQ128">
        <f t="shared" ref="AQ128:AZ133" si="7">SUMIFS(AQ$2:AQ$126,$A$2:$A$126,$B128)</f>
        <v>2951</v>
      </c>
      <c r="AR128">
        <f t="shared" si="7"/>
        <v>2984</v>
      </c>
      <c r="AS128">
        <f t="shared" si="7"/>
        <v>3027</v>
      </c>
      <c r="AT128">
        <f t="shared" si="7"/>
        <v>3059</v>
      </c>
      <c r="AU128">
        <f t="shared" si="7"/>
        <v>3095</v>
      </c>
      <c r="AV128">
        <f t="shared" si="7"/>
        <v>3125</v>
      </c>
      <c r="AW128">
        <f t="shared" si="7"/>
        <v>3159</v>
      </c>
      <c r="AX128">
        <f t="shared" si="7"/>
        <v>3189</v>
      </c>
      <c r="AY128">
        <f t="shared" si="7"/>
        <v>3206</v>
      </c>
      <c r="AZ128">
        <f t="shared" si="7"/>
        <v>3241</v>
      </c>
      <c r="BA128">
        <f t="shared" ref="BA128:BJ133" si="8">SUMIFS(BA$2:BA$126,$A$2:$A$126,$B128)</f>
        <v>3260</v>
      </c>
      <c r="BB128">
        <f t="shared" si="8"/>
        <v>3279</v>
      </c>
      <c r="BC128">
        <f t="shared" si="8"/>
        <v>3305</v>
      </c>
      <c r="BD128">
        <f t="shared" si="8"/>
        <v>3321</v>
      </c>
      <c r="BE128">
        <f t="shared" si="8"/>
        <v>3341</v>
      </c>
      <c r="BF128">
        <f t="shared" si="8"/>
        <v>3365</v>
      </c>
      <c r="BG128">
        <f t="shared" si="8"/>
        <v>3401</v>
      </c>
      <c r="BH128">
        <f t="shared" si="8"/>
        <v>3424</v>
      </c>
      <c r="BI128">
        <f t="shared" si="8"/>
        <v>3450</v>
      </c>
      <c r="BJ128">
        <f t="shared" si="8"/>
        <v>3473</v>
      </c>
      <c r="BK128">
        <f t="shared" ref="BK128:BU133" si="9">SUMIFS(BK$2:BK$126,$A$2:$A$126,$B128)</f>
        <v>3530</v>
      </c>
      <c r="BL128">
        <f t="shared" si="9"/>
        <v>3549</v>
      </c>
      <c r="BM128">
        <f t="shared" si="9"/>
        <v>3581</v>
      </c>
      <c r="BN128">
        <f t="shared" si="9"/>
        <v>3610</v>
      </c>
      <c r="BO128">
        <f t="shared" si="9"/>
        <v>3664</v>
      </c>
      <c r="BP128">
        <f t="shared" si="9"/>
        <v>3704</v>
      </c>
      <c r="BQ128">
        <f t="shared" si="9"/>
        <v>3754</v>
      </c>
      <c r="BR128">
        <f t="shared" si="9"/>
        <v>0</v>
      </c>
      <c r="BS128">
        <f t="shared" si="9"/>
        <v>0</v>
      </c>
      <c r="BT128">
        <f t="shared" si="9"/>
        <v>0</v>
      </c>
      <c r="BU128">
        <f t="shared" si="9"/>
        <v>0</v>
      </c>
    </row>
    <row r="129" spans="1:73" x14ac:dyDescent="0.3">
      <c r="A129" s="97"/>
      <c r="B129" s="2" t="s">
        <v>609</v>
      </c>
      <c r="C129">
        <f t="shared" si="3"/>
        <v>0</v>
      </c>
      <c r="D129">
        <f t="shared" si="3"/>
        <v>0</v>
      </c>
      <c r="E129">
        <f t="shared" si="3"/>
        <v>0</v>
      </c>
      <c r="F129">
        <f t="shared" si="3"/>
        <v>0</v>
      </c>
      <c r="G129">
        <f t="shared" si="3"/>
        <v>0</v>
      </c>
      <c r="H129">
        <f t="shared" si="3"/>
        <v>0</v>
      </c>
      <c r="I129">
        <f t="shared" si="3"/>
        <v>0</v>
      </c>
      <c r="J129">
        <f t="shared" si="3"/>
        <v>0</v>
      </c>
      <c r="K129">
        <f t="shared" si="3"/>
        <v>0</v>
      </c>
      <c r="L129">
        <f t="shared" si="3"/>
        <v>0</v>
      </c>
      <c r="M129">
        <f t="shared" si="4"/>
        <v>0</v>
      </c>
      <c r="N129">
        <f t="shared" si="4"/>
        <v>0</v>
      </c>
      <c r="O129">
        <f t="shared" si="4"/>
        <v>0</v>
      </c>
      <c r="P129">
        <f t="shared" si="4"/>
        <v>0</v>
      </c>
      <c r="Q129">
        <f t="shared" si="4"/>
        <v>0</v>
      </c>
      <c r="R129">
        <f t="shared" si="4"/>
        <v>0</v>
      </c>
      <c r="S129">
        <f t="shared" si="4"/>
        <v>0</v>
      </c>
      <c r="T129">
        <f t="shared" si="4"/>
        <v>0</v>
      </c>
      <c r="U129">
        <f t="shared" si="4"/>
        <v>0</v>
      </c>
      <c r="V129">
        <f t="shared" si="4"/>
        <v>0</v>
      </c>
      <c r="W129">
        <f t="shared" si="5"/>
        <v>0</v>
      </c>
      <c r="X129">
        <f t="shared" si="5"/>
        <v>0</v>
      </c>
      <c r="Y129">
        <f t="shared" si="5"/>
        <v>0</v>
      </c>
      <c r="Z129">
        <f t="shared" si="5"/>
        <v>0</v>
      </c>
      <c r="AA129">
        <f t="shared" si="5"/>
        <v>1</v>
      </c>
      <c r="AB129">
        <f t="shared" si="5"/>
        <v>1</v>
      </c>
      <c r="AC129">
        <f t="shared" si="5"/>
        <v>1</v>
      </c>
      <c r="AD129">
        <f t="shared" si="5"/>
        <v>1</v>
      </c>
      <c r="AE129">
        <f t="shared" si="5"/>
        <v>1</v>
      </c>
      <c r="AF129">
        <f t="shared" si="5"/>
        <v>1</v>
      </c>
      <c r="AG129">
        <f t="shared" si="6"/>
        <v>2</v>
      </c>
      <c r="AH129">
        <f t="shared" si="6"/>
        <v>3</v>
      </c>
      <c r="AI129">
        <f t="shared" si="6"/>
        <v>4</v>
      </c>
      <c r="AJ129">
        <f t="shared" si="6"/>
        <v>8</v>
      </c>
      <c r="AK129">
        <f t="shared" si="6"/>
        <v>11</v>
      </c>
      <c r="AL129">
        <f t="shared" si="6"/>
        <v>14</v>
      </c>
      <c r="AM129">
        <f t="shared" si="6"/>
        <v>19</v>
      </c>
      <c r="AN129">
        <f t="shared" si="6"/>
        <v>23</v>
      </c>
      <c r="AO129">
        <f t="shared" si="6"/>
        <v>31</v>
      </c>
      <c r="AP129">
        <f t="shared" si="6"/>
        <v>36</v>
      </c>
      <c r="AQ129">
        <f t="shared" si="7"/>
        <v>55</v>
      </c>
      <c r="AR129">
        <f t="shared" si="7"/>
        <v>85</v>
      </c>
      <c r="AS129">
        <f t="shared" si="7"/>
        <v>114</v>
      </c>
      <c r="AT129">
        <f t="shared" si="7"/>
        <v>160</v>
      </c>
      <c r="AU129">
        <f t="shared" si="7"/>
        <v>216</v>
      </c>
      <c r="AV129">
        <f t="shared" si="7"/>
        <v>259</v>
      </c>
      <c r="AW129">
        <f t="shared" si="7"/>
        <v>411</v>
      </c>
      <c r="AX129">
        <f t="shared" si="7"/>
        <v>522</v>
      </c>
      <c r="AY129">
        <f t="shared" si="7"/>
        <v>716</v>
      </c>
      <c r="AZ129">
        <f t="shared" si="7"/>
        <v>959</v>
      </c>
      <c r="BA129">
        <f t="shared" si="8"/>
        <v>1198</v>
      </c>
      <c r="BB129">
        <f t="shared" si="8"/>
        <v>1534</v>
      </c>
      <c r="BC129">
        <f t="shared" si="8"/>
        <v>1812</v>
      </c>
      <c r="BD129">
        <f t="shared" si="8"/>
        <v>2344</v>
      </c>
      <c r="BE129">
        <f t="shared" si="8"/>
        <v>2804</v>
      </c>
      <c r="BF129">
        <f t="shared" si="8"/>
        <v>3433</v>
      </c>
      <c r="BG129">
        <f t="shared" si="8"/>
        <v>4160</v>
      </c>
      <c r="BH129">
        <f t="shared" si="8"/>
        <v>5006</v>
      </c>
      <c r="BI129">
        <f t="shared" si="8"/>
        <v>6065</v>
      </c>
      <c r="BJ129">
        <f t="shared" si="8"/>
        <v>7499</v>
      </c>
      <c r="BK129">
        <f t="shared" si="9"/>
        <v>8839</v>
      </c>
      <c r="BL129">
        <f t="shared" si="9"/>
        <v>10371</v>
      </c>
      <c r="BM129">
        <f t="shared" si="9"/>
        <v>12139</v>
      </c>
      <c r="BN129">
        <f t="shared" si="9"/>
        <v>14236</v>
      </c>
      <c r="BO129">
        <f t="shared" si="9"/>
        <v>16470</v>
      </c>
      <c r="BP129">
        <f t="shared" si="9"/>
        <v>19050</v>
      </c>
      <c r="BQ129">
        <f t="shared" si="9"/>
        <v>21776</v>
      </c>
      <c r="BR129">
        <f t="shared" si="9"/>
        <v>0</v>
      </c>
      <c r="BS129">
        <f t="shared" si="9"/>
        <v>0</v>
      </c>
      <c r="BT129">
        <f t="shared" si="9"/>
        <v>0</v>
      </c>
      <c r="BU129">
        <f t="shared" si="9"/>
        <v>0</v>
      </c>
    </row>
    <row r="130" spans="1:73" x14ac:dyDescent="0.3">
      <c r="A130" s="97"/>
      <c r="B130" s="2" t="s">
        <v>611</v>
      </c>
      <c r="C130">
        <f t="shared" si="3"/>
        <v>0</v>
      </c>
      <c r="D130">
        <f t="shared" si="3"/>
        <v>0</v>
      </c>
      <c r="E130">
        <f t="shared" si="3"/>
        <v>0</v>
      </c>
      <c r="F130">
        <f t="shared" si="3"/>
        <v>0</v>
      </c>
      <c r="G130">
        <f t="shared" si="3"/>
        <v>0</v>
      </c>
      <c r="H130">
        <f t="shared" si="3"/>
        <v>0</v>
      </c>
      <c r="I130">
        <f t="shared" si="3"/>
        <v>0</v>
      </c>
      <c r="J130">
        <f t="shared" si="3"/>
        <v>0</v>
      </c>
      <c r="K130">
        <f t="shared" si="3"/>
        <v>0</v>
      </c>
      <c r="L130">
        <f t="shared" si="3"/>
        <v>0</v>
      </c>
      <c r="M130">
        <f t="shared" si="4"/>
        <v>0</v>
      </c>
      <c r="N130">
        <f t="shared" si="4"/>
        <v>0</v>
      </c>
      <c r="O130">
        <f t="shared" si="4"/>
        <v>0</v>
      </c>
      <c r="P130">
        <f t="shared" si="4"/>
        <v>0</v>
      </c>
      <c r="Q130">
        <f t="shared" si="4"/>
        <v>0</v>
      </c>
      <c r="R130">
        <f t="shared" si="4"/>
        <v>0</v>
      </c>
      <c r="S130">
        <f t="shared" si="4"/>
        <v>0</v>
      </c>
      <c r="T130">
        <f t="shared" si="4"/>
        <v>0</v>
      </c>
      <c r="U130">
        <f t="shared" si="4"/>
        <v>0</v>
      </c>
      <c r="V130">
        <f t="shared" si="4"/>
        <v>0</v>
      </c>
      <c r="W130">
        <f t="shared" si="5"/>
        <v>0</v>
      </c>
      <c r="X130">
        <f t="shared" si="5"/>
        <v>0</v>
      </c>
      <c r="Y130">
        <f t="shared" si="5"/>
        <v>0</v>
      </c>
      <c r="Z130">
        <f t="shared" si="5"/>
        <v>0</v>
      </c>
      <c r="AA130">
        <f t="shared" si="5"/>
        <v>0</v>
      </c>
      <c r="AB130">
        <f t="shared" si="5"/>
        <v>0</v>
      </c>
      <c r="AC130">
        <f t="shared" si="5"/>
        <v>0</v>
      </c>
      <c r="AD130">
        <f t="shared" si="5"/>
        <v>0</v>
      </c>
      <c r="AE130">
        <f t="shared" si="5"/>
        <v>0</v>
      </c>
      <c r="AF130">
        <f t="shared" si="5"/>
        <v>0</v>
      </c>
      <c r="AG130">
        <f t="shared" si="6"/>
        <v>0</v>
      </c>
      <c r="AH130">
        <f t="shared" si="6"/>
        <v>0</v>
      </c>
      <c r="AI130">
        <f t="shared" si="6"/>
        <v>0</v>
      </c>
      <c r="AJ130">
        <f t="shared" si="6"/>
        <v>0</v>
      </c>
      <c r="AK130">
        <f t="shared" si="6"/>
        <v>0</v>
      </c>
      <c r="AL130">
        <f t="shared" si="6"/>
        <v>0</v>
      </c>
      <c r="AM130">
        <f t="shared" si="6"/>
        <v>0</v>
      </c>
      <c r="AN130">
        <f t="shared" si="6"/>
        <v>0</v>
      </c>
      <c r="AO130">
        <f t="shared" si="6"/>
        <v>1</v>
      </c>
      <c r="AP130">
        <f t="shared" si="6"/>
        <v>1</v>
      </c>
      <c r="AQ130">
        <f t="shared" si="7"/>
        <v>6</v>
      </c>
      <c r="AR130">
        <f t="shared" si="7"/>
        <v>7</v>
      </c>
      <c r="AS130">
        <f t="shared" si="7"/>
        <v>11</v>
      </c>
      <c r="AT130">
        <f t="shared" si="7"/>
        <v>12</v>
      </c>
      <c r="AU130">
        <f t="shared" si="7"/>
        <v>14</v>
      </c>
      <c r="AV130">
        <f t="shared" si="7"/>
        <v>17</v>
      </c>
      <c r="AW130">
        <f t="shared" si="7"/>
        <v>21</v>
      </c>
      <c r="AX130">
        <f t="shared" si="7"/>
        <v>23</v>
      </c>
      <c r="AY130">
        <f t="shared" si="7"/>
        <v>29</v>
      </c>
      <c r="AZ130">
        <f t="shared" si="7"/>
        <v>38</v>
      </c>
      <c r="BA130">
        <f t="shared" si="8"/>
        <v>42</v>
      </c>
      <c r="BB130">
        <f t="shared" si="8"/>
        <v>49</v>
      </c>
      <c r="BC130">
        <f t="shared" si="8"/>
        <v>56</v>
      </c>
      <c r="BD130">
        <f t="shared" si="8"/>
        <v>65</v>
      </c>
      <c r="BE130">
        <f t="shared" si="8"/>
        <v>90</v>
      </c>
      <c r="BF130">
        <f t="shared" si="8"/>
        <v>114</v>
      </c>
      <c r="BG130">
        <f t="shared" si="8"/>
        <v>128</v>
      </c>
      <c r="BH130">
        <f t="shared" si="8"/>
        <v>214</v>
      </c>
      <c r="BI130">
        <f t="shared" si="8"/>
        <v>261</v>
      </c>
      <c r="BJ130">
        <f t="shared" si="8"/>
        <v>333</v>
      </c>
      <c r="BK130">
        <f t="shared" si="9"/>
        <v>447</v>
      </c>
      <c r="BL130">
        <f t="shared" si="9"/>
        <v>595</v>
      </c>
      <c r="BM130">
        <f t="shared" si="9"/>
        <v>746</v>
      </c>
      <c r="BN130">
        <f t="shared" si="9"/>
        <v>989</v>
      </c>
      <c r="BO130">
        <f t="shared" si="9"/>
        <v>1266</v>
      </c>
      <c r="BP130">
        <f t="shared" si="9"/>
        <v>1657</v>
      </c>
      <c r="BQ130">
        <f t="shared" si="9"/>
        <v>2119</v>
      </c>
      <c r="BR130">
        <f t="shared" si="9"/>
        <v>0</v>
      </c>
      <c r="BS130">
        <f t="shared" si="9"/>
        <v>0</v>
      </c>
      <c r="BT130">
        <f t="shared" si="9"/>
        <v>0</v>
      </c>
      <c r="BU130">
        <f t="shared" si="9"/>
        <v>0</v>
      </c>
    </row>
    <row r="131" spans="1:73" x14ac:dyDescent="0.3">
      <c r="A131" s="97"/>
      <c r="B131" s="2" t="s">
        <v>612</v>
      </c>
      <c r="C131">
        <f t="shared" si="3"/>
        <v>0</v>
      </c>
      <c r="D131">
        <f t="shared" si="3"/>
        <v>0</v>
      </c>
      <c r="E131">
        <f t="shared" si="3"/>
        <v>0</v>
      </c>
      <c r="F131">
        <f t="shared" si="3"/>
        <v>0</v>
      </c>
      <c r="G131">
        <f t="shared" si="3"/>
        <v>0</v>
      </c>
      <c r="H131">
        <f t="shared" si="3"/>
        <v>0</v>
      </c>
      <c r="I131">
        <f t="shared" si="3"/>
        <v>0</v>
      </c>
      <c r="J131">
        <f t="shared" si="3"/>
        <v>0</v>
      </c>
      <c r="K131">
        <f t="shared" si="3"/>
        <v>0</v>
      </c>
      <c r="L131">
        <f t="shared" si="3"/>
        <v>0</v>
      </c>
      <c r="M131">
        <f t="shared" si="4"/>
        <v>0</v>
      </c>
      <c r="N131">
        <f t="shared" si="4"/>
        <v>0</v>
      </c>
      <c r="O131">
        <f t="shared" si="4"/>
        <v>0</v>
      </c>
      <c r="P131">
        <f t="shared" si="4"/>
        <v>0</v>
      </c>
      <c r="Q131">
        <f t="shared" si="4"/>
        <v>0</v>
      </c>
      <c r="R131">
        <f t="shared" si="4"/>
        <v>0</v>
      </c>
      <c r="S131">
        <f t="shared" si="4"/>
        <v>0</v>
      </c>
      <c r="T131">
        <f t="shared" si="4"/>
        <v>0</v>
      </c>
      <c r="U131">
        <f t="shared" si="4"/>
        <v>0</v>
      </c>
      <c r="V131">
        <f t="shared" si="4"/>
        <v>0</v>
      </c>
      <c r="W131">
        <f t="shared" si="5"/>
        <v>0</v>
      </c>
      <c r="X131">
        <f t="shared" si="5"/>
        <v>0</v>
      </c>
      <c r="Y131">
        <f t="shared" si="5"/>
        <v>0</v>
      </c>
      <c r="Z131">
        <f t="shared" si="5"/>
        <v>0</v>
      </c>
      <c r="AA131">
        <f t="shared" si="5"/>
        <v>0</v>
      </c>
      <c r="AB131">
        <f t="shared" si="5"/>
        <v>0</v>
      </c>
      <c r="AC131">
        <f t="shared" si="5"/>
        <v>0</v>
      </c>
      <c r="AD131">
        <f t="shared" si="5"/>
        <v>0</v>
      </c>
      <c r="AE131">
        <f t="shared" si="5"/>
        <v>0</v>
      </c>
      <c r="AF131">
        <f t="shared" si="5"/>
        <v>0</v>
      </c>
      <c r="AG131">
        <f t="shared" si="6"/>
        <v>0</v>
      </c>
      <c r="AH131">
        <f t="shared" si="6"/>
        <v>0</v>
      </c>
      <c r="AI131">
        <f t="shared" si="6"/>
        <v>0</v>
      </c>
      <c r="AJ131">
        <f t="shared" si="6"/>
        <v>0</v>
      </c>
      <c r="AK131">
        <f t="shared" si="6"/>
        <v>0</v>
      </c>
      <c r="AL131">
        <f t="shared" si="6"/>
        <v>0</v>
      </c>
      <c r="AM131">
        <f t="shared" si="6"/>
        <v>0</v>
      </c>
      <c r="AN131">
        <f t="shared" si="6"/>
        <v>0</v>
      </c>
      <c r="AO131">
        <f t="shared" si="6"/>
        <v>0</v>
      </c>
      <c r="AP131">
        <f t="shared" si="6"/>
        <v>0</v>
      </c>
      <c r="AQ131">
        <f t="shared" si="7"/>
        <v>0</v>
      </c>
      <c r="AR131">
        <f t="shared" si="7"/>
        <v>0</v>
      </c>
      <c r="AS131">
        <f t="shared" si="7"/>
        <v>0</v>
      </c>
      <c r="AT131">
        <f t="shared" si="7"/>
        <v>0</v>
      </c>
      <c r="AU131">
        <f t="shared" si="7"/>
        <v>0</v>
      </c>
      <c r="AV131">
        <f t="shared" si="7"/>
        <v>0</v>
      </c>
      <c r="AW131">
        <f t="shared" si="7"/>
        <v>1</v>
      </c>
      <c r="AX131">
        <f t="shared" si="7"/>
        <v>1</v>
      </c>
      <c r="AY131">
        <f t="shared" si="7"/>
        <v>1</v>
      </c>
      <c r="AZ131">
        <f t="shared" si="7"/>
        <v>1</v>
      </c>
      <c r="BA131">
        <f t="shared" si="8"/>
        <v>2</v>
      </c>
      <c r="BB131">
        <f t="shared" si="8"/>
        <v>3</v>
      </c>
      <c r="BC131">
        <f t="shared" si="8"/>
        <v>5</v>
      </c>
      <c r="BD131">
        <f t="shared" si="8"/>
        <v>5</v>
      </c>
      <c r="BE131">
        <f t="shared" si="8"/>
        <v>5</v>
      </c>
      <c r="BF131">
        <f t="shared" si="8"/>
        <v>7</v>
      </c>
      <c r="BG131">
        <f t="shared" si="8"/>
        <v>9</v>
      </c>
      <c r="BH131">
        <f t="shared" si="8"/>
        <v>15</v>
      </c>
      <c r="BI131">
        <f t="shared" si="8"/>
        <v>25</v>
      </c>
      <c r="BJ131">
        <f t="shared" si="8"/>
        <v>35</v>
      </c>
      <c r="BK131">
        <f t="shared" si="9"/>
        <v>56</v>
      </c>
      <c r="BL131">
        <f t="shared" si="9"/>
        <v>71</v>
      </c>
      <c r="BM131">
        <f t="shared" si="9"/>
        <v>100</v>
      </c>
      <c r="BN131">
        <f t="shared" si="9"/>
        <v>125</v>
      </c>
      <c r="BO131">
        <f t="shared" si="9"/>
        <v>154</v>
      </c>
      <c r="BP131">
        <f t="shared" si="9"/>
        <v>188</v>
      </c>
      <c r="BQ131">
        <f t="shared" si="9"/>
        <v>238</v>
      </c>
      <c r="BR131">
        <f t="shared" si="9"/>
        <v>0</v>
      </c>
      <c r="BS131">
        <f t="shared" si="9"/>
        <v>0</v>
      </c>
      <c r="BT131">
        <f t="shared" si="9"/>
        <v>0</v>
      </c>
      <c r="BU131">
        <f t="shared" si="9"/>
        <v>0</v>
      </c>
    </row>
    <row r="132" spans="1:73" x14ac:dyDescent="0.3">
      <c r="A132" s="97"/>
      <c r="B132" s="2" t="s">
        <v>613</v>
      </c>
      <c r="C132">
        <f t="shared" si="3"/>
        <v>0</v>
      </c>
      <c r="D132">
        <f t="shared" si="3"/>
        <v>0</v>
      </c>
      <c r="E132">
        <f t="shared" si="3"/>
        <v>0</v>
      </c>
      <c r="F132">
        <f t="shared" si="3"/>
        <v>0</v>
      </c>
      <c r="G132">
        <f t="shared" si="3"/>
        <v>0</v>
      </c>
      <c r="H132">
        <f t="shared" si="3"/>
        <v>0</v>
      </c>
      <c r="I132">
        <f t="shared" si="3"/>
        <v>0</v>
      </c>
      <c r="J132">
        <f t="shared" si="3"/>
        <v>0</v>
      </c>
      <c r="K132">
        <f t="shared" si="3"/>
        <v>0</v>
      </c>
      <c r="L132">
        <f t="shared" si="3"/>
        <v>0</v>
      </c>
      <c r="M132">
        <f t="shared" si="4"/>
        <v>0</v>
      </c>
      <c r="N132">
        <f t="shared" si="4"/>
        <v>0</v>
      </c>
      <c r="O132">
        <f t="shared" si="4"/>
        <v>0</v>
      </c>
      <c r="P132">
        <f t="shared" si="4"/>
        <v>0</v>
      </c>
      <c r="Q132">
        <f t="shared" si="4"/>
        <v>0</v>
      </c>
      <c r="R132">
        <f t="shared" si="4"/>
        <v>0</v>
      </c>
      <c r="S132">
        <f t="shared" si="4"/>
        <v>0</v>
      </c>
      <c r="T132">
        <f t="shared" si="4"/>
        <v>0</v>
      </c>
      <c r="U132">
        <f t="shared" si="4"/>
        <v>0</v>
      </c>
      <c r="V132">
        <f t="shared" si="4"/>
        <v>0</v>
      </c>
      <c r="W132">
        <f t="shared" si="5"/>
        <v>0</v>
      </c>
      <c r="X132">
        <f t="shared" si="5"/>
        <v>0</v>
      </c>
      <c r="Y132">
        <f t="shared" si="5"/>
        <v>0</v>
      </c>
      <c r="Z132">
        <f t="shared" si="5"/>
        <v>0</v>
      </c>
      <c r="AA132">
        <f t="shared" si="5"/>
        <v>0</v>
      </c>
      <c r="AB132">
        <f t="shared" si="5"/>
        <v>0</v>
      </c>
      <c r="AC132">
        <f t="shared" si="5"/>
        <v>0</v>
      </c>
      <c r="AD132">
        <f t="shared" si="5"/>
        <v>0</v>
      </c>
      <c r="AE132">
        <f t="shared" si="5"/>
        <v>0</v>
      </c>
      <c r="AF132">
        <f t="shared" si="5"/>
        <v>0</v>
      </c>
      <c r="AG132">
        <f t="shared" si="6"/>
        <v>0</v>
      </c>
      <c r="AH132">
        <f t="shared" si="6"/>
        <v>0</v>
      </c>
      <c r="AI132">
        <f t="shared" si="6"/>
        <v>0</v>
      </c>
      <c r="AJ132">
        <f t="shared" si="6"/>
        <v>0</v>
      </c>
      <c r="AK132">
        <f t="shared" si="6"/>
        <v>0</v>
      </c>
      <c r="AL132">
        <f t="shared" si="6"/>
        <v>0</v>
      </c>
      <c r="AM132">
        <f t="shared" si="6"/>
        <v>0</v>
      </c>
      <c r="AN132">
        <f t="shared" si="6"/>
        <v>0</v>
      </c>
      <c r="AO132">
        <f t="shared" si="6"/>
        <v>0</v>
      </c>
      <c r="AP132">
        <f t="shared" si="6"/>
        <v>0</v>
      </c>
      <c r="AQ132">
        <f t="shared" si="7"/>
        <v>0</v>
      </c>
      <c r="AR132">
        <f t="shared" si="7"/>
        <v>0</v>
      </c>
      <c r="AS132">
        <f t="shared" si="7"/>
        <v>0</v>
      </c>
      <c r="AT132">
        <f t="shared" si="7"/>
        <v>0</v>
      </c>
      <c r="AU132">
        <f t="shared" si="7"/>
        <v>0</v>
      </c>
      <c r="AV132">
        <f t="shared" si="7"/>
        <v>0</v>
      </c>
      <c r="AW132">
        <f t="shared" si="7"/>
        <v>1</v>
      </c>
      <c r="AX132">
        <f t="shared" si="7"/>
        <v>1</v>
      </c>
      <c r="AY132">
        <f t="shared" si="7"/>
        <v>2</v>
      </c>
      <c r="AZ132">
        <f t="shared" si="7"/>
        <v>2</v>
      </c>
      <c r="BA132">
        <f t="shared" si="8"/>
        <v>3</v>
      </c>
      <c r="BB132">
        <f t="shared" si="8"/>
        <v>6</v>
      </c>
      <c r="BC132">
        <f t="shared" si="8"/>
        <v>7</v>
      </c>
      <c r="BD132">
        <f t="shared" si="8"/>
        <v>8</v>
      </c>
      <c r="BE132">
        <f t="shared" si="8"/>
        <v>8</v>
      </c>
      <c r="BF132">
        <f t="shared" si="8"/>
        <v>11</v>
      </c>
      <c r="BG132">
        <f t="shared" si="8"/>
        <v>17</v>
      </c>
      <c r="BH132">
        <f t="shared" si="8"/>
        <v>20</v>
      </c>
      <c r="BI132">
        <f t="shared" si="8"/>
        <v>25</v>
      </c>
      <c r="BJ132">
        <f t="shared" si="8"/>
        <v>33</v>
      </c>
      <c r="BK132">
        <f t="shared" si="9"/>
        <v>44</v>
      </c>
      <c r="BL132">
        <f t="shared" si="9"/>
        <v>50</v>
      </c>
      <c r="BM132">
        <f t="shared" si="9"/>
        <v>56</v>
      </c>
      <c r="BN132">
        <f t="shared" si="9"/>
        <v>62</v>
      </c>
      <c r="BO132">
        <f t="shared" si="9"/>
        <v>80</v>
      </c>
      <c r="BP132">
        <f t="shared" si="9"/>
        <v>104</v>
      </c>
      <c r="BQ132">
        <f t="shared" si="9"/>
        <v>122</v>
      </c>
      <c r="BR132">
        <f t="shared" si="9"/>
        <v>0</v>
      </c>
      <c r="BS132">
        <f t="shared" si="9"/>
        <v>0</v>
      </c>
      <c r="BT132">
        <f t="shared" si="9"/>
        <v>0</v>
      </c>
      <c r="BU132">
        <f t="shared" si="9"/>
        <v>0</v>
      </c>
    </row>
    <row r="133" spans="1:73" x14ac:dyDescent="0.3">
      <c r="A133" s="97"/>
      <c r="B133" s="2" t="s">
        <v>610</v>
      </c>
      <c r="C133">
        <f t="shared" si="3"/>
        <v>0</v>
      </c>
      <c r="D133">
        <f t="shared" si="3"/>
        <v>0</v>
      </c>
      <c r="E133">
        <f t="shared" si="3"/>
        <v>0</v>
      </c>
      <c r="F133">
        <f t="shared" si="3"/>
        <v>0</v>
      </c>
      <c r="G133">
        <f t="shared" si="3"/>
        <v>0</v>
      </c>
      <c r="H133">
        <f t="shared" si="3"/>
        <v>0</v>
      </c>
      <c r="I133">
        <f t="shared" si="3"/>
        <v>0</v>
      </c>
      <c r="J133">
        <f t="shared" si="3"/>
        <v>0</v>
      </c>
      <c r="K133">
        <f t="shared" si="3"/>
        <v>0</v>
      </c>
      <c r="L133">
        <f t="shared" si="3"/>
        <v>0</v>
      </c>
      <c r="M133">
        <f t="shared" si="4"/>
        <v>0</v>
      </c>
      <c r="N133">
        <f t="shared" si="4"/>
        <v>0</v>
      </c>
      <c r="O133">
        <f t="shared" si="4"/>
        <v>0</v>
      </c>
      <c r="P133">
        <f t="shared" si="4"/>
        <v>0</v>
      </c>
      <c r="Q133">
        <f t="shared" si="4"/>
        <v>0</v>
      </c>
      <c r="R133">
        <f t="shared" si="4"/>
        <v>0</v>
      </c>
      <c r="S133">
        <f t="shared" si="4"/>
        <v>0</v>
      </c>
      <c r="T133">
        <f t="shared" si="4"/>
        <v>0</v>
      </c>
      <c r="U133">
        <f t="shared" si="4"/>
        <v>0</v>
      </c>
      <c r="V133">
        <f t="shared" si="4"/>
        <v>0</v>
      </c>
      <c r="W133">
        <f t="shared" si="5"/>
        <v>0</v>
      </c>
      <c r="X133">
        <f t="shared" si="5"/>
        <v>0</v>
      </c>
      <c r="Y133">
        <f t="shared" si="5"/>
        <v>0</v>
      </c>
      <c r="Z133">
        <f t="shared" si="5"/>
        <v>0</v>
      </c>
      <c r="AA133">
        <f t="shared" si="5"/>
        <v>0</v>
      </c>
      <c r="AB133">
        <f t="shared" si="5"/>
        <v>0</v>
      </c>
      <c r="AC133">
        <f t="shared" si="5"/>
        <v>0</v>
      </c>
      <c r="AD133">
        <f t="shared" si="5"/>
        <v>0</v>
      </c>
      <c r="AE133">
        <f t="shared" si="5"/>
        <v>2</v>
      </c>
      <c r="AF133">
        <f t="shared" si="5"/>
        <v>2</v>
      </c>
      <c r="AG133">
        <f t="shared" si="6"/>
        <v>4</v>
      </c>
      <c r="AH133">
        <f t="shared" si="6"/>
        <v>5</v>
      </c>
      <c r="AI133">
        <f t="shared" si="6"/>
        <v>8</v>
      </c>
      <c r="AJ133">
        <f t="shared" si="6"/>
        <v>12</v>
      </c>
      <c r="AK133">
        <f t="shared" si="6"/>
        <v>16</v>
      </c>
      <c r="AL133">
        <f t="shared" si="6"/>
        <v>19</v>
      </c>
      <c r="AM133">
        <f t="shared" si="6"/>
        <v>26</v>
      </c>
      <c r="AN133">
        <f t="shared" si="6"/>
        <v>34</v>
      </c>
      <c r="AO133">
        <f t="shared" si="6"/>
        <v>43</v>
      </c>
      <c r="AP133">
        <f t="shared" si="6"/>
        <v>54</v>
      </c>
      <c r="AQ133">
        <f t="shared" si="7"/>
        <v>66</v>
      </c>
      <c r="AR133">
        <f t="shared" si="7"/>
        <v>77</v>
      </c>
      <c r="AS133">
        <f t="shared" si="7"/>
        <v>94</v>
      </c>
      <c r="AT133">
        <f t="shared" si="7"/>
        <v>109</v>
      </c>
      <c r="AU133">
        <f t="shared" si="7"/>
        <v>127</v>
      </c>
      <c r="AV133">
        <f t="shared" si="7"/>
        <v>149</v>
      </c>
      <c r="AW133">
        <f t="shared" si="7"/>
        <v>200</v>
      </c>
      <c r="AX133">
        <f t="shared" si="7"/>
        <v>243</v>
      </c>
      <c r="AY133">
        <f t="shared" si="7"/>
        <v>299</v>
      </c>
      <c r="AZ133">
        <f t="shared" si="7"/>
        <v>364</v>
      </c>
      <c r="BA133">
        <f t="shared" si="8"/>
        <v>440</v>
      </c>
      <c r="BB133">
        <f t="shared" si="8"/>
        <v>526</v>
      </c>
      <c r="BC133">
        <f t="shared" si="8"/>
        <v>624</v>
      </c>
      <c r="BD133">
        <f t="shared" si="8"/>
        <v>737</v>
      </c>
      <c r="BE133">
        <f t="shared" si="8"/>
        <v>867</v>
      </c>
      <c r="BF133">
        <f t="shared" si="8"/>
        <v>1003</v>
      </c>
      <c r="BG133">
        <f t="shared" si="8"/>
        <v>1151</v>
      </c>
      <c r="BH133">
        <f t="shared" si="8"/>
        <v>1302</v>
      </c>
      <c r="BI133">
        <f t="shared" si="8"/>
        <v>1457</v>
      </c>
      <c r="BJ133">
        <f t="shared" si="8"/>
        <v>1581</v>
      </c>
      <c r="BK133">
        <f t="shared" si="9"/>
        <v>1715</v>
      </c>
      <c r="BL133">
        <f t="shared" si="9"/>
        <v>1845</v>
      </c>
      <c r="BM133">
        <f t="shared" si="9"/>
        <v>1975</v>
      </c>
      <c r="BN133">
        <f t="shared" si="9"/>
        <v>2127</v>
      </c>
      <c r="BO133">
        <f t="shared" si="9"/>
        <v>2297</v>
      </c>
      <c r="BP133">
        <f t="shared" si="9"/>
        <v>2452</v>
      </c>
      <c r="BQ133">
        <f t="shared" si="9"/>
        <v>2595</v>
      </c>
      <c r="BR133">
        <f t="shared" si="9"/>
        <v>0</v>
      </c>
      <c r="BS133">
        <f t="shared" si="9"/>
        <v>0</v>
      </c>
      <c r="BT133">
        <f t="shared" si="9"/>
        <v>0</v>
      </c>
      <c r="BU133">
        <f t="shared" si="9"/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1A381-46C5-4F26-9AB2-3CFAA201A32A}">
  <sheetPr codeName="Sheet10"/>
  <dimension ref="A1:BN502"/>
  <sheetViews>
    <sheetView topLeftCell="AZ1" workbookViewId="0">
      <selection activeCell="F15" sqref="F15"/>
    </sheetView>
  </sheetViews>
  <sheetFormatPr defaultRowHeight="14.4" x14ac:dyDescent="0.3"/>
  <cols>
    <col min="5" max="61" width="10.5546875" bestFit="1" customWidth="1"/>
    <col min="65" max="66" width="10.5546875" bestFit="1" customWidth="1"/>
  </cols>
  <sheetData>
    <row r="1" spans="1:66" s="16" customFormat="1" x14ac:dyDescent="0.3">
      <c r="A1" s="16" t="s">
        <v>0</v>
      </c>
      <c r="B1" s="16" t="s">
        <v>1</v>
      </c>
      <c r="C1" s="16" t="s">
        <v>2</v>
      </c>
      <c r="D1" s="16" t="s">
        <v>3</v>
      </c>
      <c r="E1" s="16">
        <v>43852</v>
      </c>
      <c r="F1" s="16">
        <v>43853</v>
      </c>
      <c r="G1" s="16">
        <v>43854</v>
      </c>
      <c r="H1" s="16">
        <v>43855</v>
      </c>
      <c r="I1" s="16">
        <v>43856</v>
      </c>
      <c r="J1" s="16">
        <v>43857</v>
      </c>
      <c r="K1" s="16">
        <v>43858</v>
      </c>
      <c r="L1" s="16">
        <v>43859</v>
      </c>
      <c r="M1" s="16">
        <v>43860</v>
      </c>
      <c r="N1" s="16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 s="16">
        <v>43874</v>
      </c>
      <c r="AB1" s="16">
        <v>43875</v>
      </c>
      <c r="AC1" s="16">
        <v>43876</v>
      </c>
      <c r="AD1" s="16">
        <v>43877</v>
      </c>
      <c r="AE1" s="16">
        <v>43878</v>
      </c>
      <c r="AF1" s="16">
        <v>43879</v>
      </c>
      <c r="AG1" s="16">
        <v>43880</v>
      </c>
      <c r="AH1" s="16">
        <v>43881</v>
      </c>
      <c r="AI1" s="16">
        <v>43882</v>
      </c>
      <c r="AJ1" s="16">
        <v>43883</v>
      </c>
      <c r="AK1" s="16">
        <v>43884</v>
      </c>
      <c r="AL1" s="16">
        <v>43885</v>
      </c>
      <c r="AM1" s="16">
        <v>43886</v>
      </c>
      <c r="AN1" s="16">
        <v>43887</v>
      </c>
      <c r="AO1" s="16">
        <v>43888</v>
      </c>
      <c r="AP1" s="16">
        <v>43889</v>
      </c>
      <c r="AQ1" s="16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 s="16">
        <v>43903</v>
      </c>
      <c r="BE1" s="16">
        <v>43904</v>
      </c>
      <c r="BF1" s="16">
        <v>43905</v>
      </c>
      <c r="BG1" s="16">
        <v>43906</v>
      </c>
      <c r="BH1" s="16">
        <v>43907</v>
      </c>
      <c r="BI1" s="16">
        <v>43908</v>
      </c>
      <c r="BJ1" s="16">
        <v>43909</v>
      </c>
      <c r="BK1" s="16">
        <v>43910</v>
      </c>
      <c r="BL1" s="16">
        <v>43911</v>
      </c>
      <c r="BM1" s="16">
        <v>43912</v>
      </c>
      <c r="BN1" s="16">
        <v>43913</v>
      </c>
    </row>
    <row r="2" spans="1:66" x14ac:dyDescent="0.3">
      <c r="B2" t="s">
        <v>35</v>
      </c>
      <c r="C2">
        <v>15</v>
      </c>
      <c r="D2">
        <v>101</v>
      </c>
      <c r="E2">
        <v>0</v>
      </c>
      <c r="F2">
        <v>0</v>
      </c>
      <c r="G2">
        <v>0</v>
      </c>
      <c r="H2">
        <v>0</v>
      </c>
      <c r="I2">
        <v>2</v>
      </c>
      <c r="J2">
        <v>2</v>
      </c>
      <c r="K2">
        <v>5</v>
      </c>
      <c r="L2">
        <v>5</v>
      </c>
      <c r="M2">
        <v>5</v>
      </c>
      <c r="N2">
        <v>5</v>
      </c>
      <c r="O2">
        <v>5</v>
      </c>
      <c r="P2">
        <v>5</v>
      </c>
      <c r="Q2">
        <v>5</v>
      </c>
      <c r="R2">
        <v>5</v>
      </c>
      <c r="S2">
        <v>5</v>
      </c>
      <c r="T2">
        <v>5</v>
      </c>
      <c r="U2">
        <v>5</v>
      </c>
      <c r="V2">
        <v>10</v>
      </c>
      <c r="W2">
        <v>10</v>
      </c>
      <c r="X2">
        <v>10</v>
      </c>
      <c r="Y2">
        <v>10</v>
      </c>
      <c r="Z2">
        <v>10</v>
      </c>
      <c r="AA2">
        <v>12</v>
      </c>
      <c r="AB2">
        <v>12</v>
      </c>
      <c r="AC2">
        <v>12</v>
      </c>
      <c r="AD2">
        <v>14</v>
      </c>
      <c r="AE2">
        <v>15</v>
      </c>
      <c r="AF2">
        <v>15</v>
      </c>
      <c r="AG2">
        <v>15</v>
      </c>
      <c r="AH2">
        <v>15</v>
      </c>
      <c r="AI2">
        <v>17</v>
      </c>
      <c r="AJ2">
        <v>17</v>
      </c>
      <c r="AK2">
        <v>21</v>
      </c>
      <c r="AL2">
        <v>21</v>
      </c>
      <c r="AM2">
        <v>22</v>
      </c>
      <c r="AN2">
        <v>22</v>
      </c>
      <c r="AO2">
        <v>22</v>
      </c>
      <c r="AP2">
        <v>28</v>
      </c>
      <c r="AQ2">
        <v>28</v>
      </c>
      <c r="AR2">
        <v>28</v>
      </c>
      <c r="AS2">
        <v>31</v>
      </c>
      <c r="AT2">
        <v>31</v>
      </c>
      <c r="AU2">
        <v>31</v>
      </c>
      <c r="AV2">
        <v>31</v>
      </c>
      <c r="AW2">
        <v>31</v>
      </c>
      <c r="AX2">
        <v>31</v>
      </c>
      <c r="AY2">
        <v>31</v>
      </c>
      <c r="AZ2">
        <v>31</v>
      </c>
      <c r="BA2">
        <v>33</v>
      </c>
      <c r="BB2">
        <v>34</v>
      </c>
      <c r="BC2">
        <v>34</v>
      </c>
      <c r="BD2">
        <v>35</v>
      </c>
      <c r="BE2">
        <v>35</v>
      </c>
      <c r="BF2">
        <v>35</v>
      </c>
      <c r="BG2">
        <v>35</v>
      </c>
      <c r="BH2">
        <v>41</v>
      </c>
      <c r="BI2">
        <v>42</v>
      </c>
      <c r="BJ2">
        <v>42</v>
      </c>
      <c r="BK2">
        <v>42</v>
      </c>
      <c r="BL2">
        <v>42</v>
      </c>
      <c r="BM2">
        <v>44</v>
      </c>
      <c r="BN2">
        <v>44</v>
      </c>
    </row>
    <row r="3" spans="1:66" x14ac:dyDescent="0.3">
      <c r="B3" t="s">
        <v>36</v>
      </c>
      <c r="C3">
        <v>36</v>
      </c>
      <c r="D3">
        <v>138</v>
      </c>
      <c r="E3">
        <v>0</v>
      </c>
      <c r="F3">
        <v>0</v>
      </c>
      <c r="G3">
        <v>0</v>
      </c>
      <c r="H3">
        <v>0</v>
      </c>
      <c r="I3">
        <v>1</v>
      </c>
      <c r="J3">
        <v>1</v>
      </c>
      <c r="K3">
        <v>1</v>
      </c>
      <c r="L3">
        <v>1</v>
      </c>
      <c r="M3">
        <v>1</v>
      </c>
      <c r="N3">
        <v>1</v>
      </c>
      <c r="O3">
        <v>1</v>
      </c>
      <c r="P3">
        <v>1</v>
      </c>
      <c r="Q3">
        <v>1</v>
      </c>
      <c r="R3">
        <v>1</v>
      </c>
      <c r="S3">
        <v>1</v>
      </c>
      <c r="T3">
        <v>1</v>
      </c>
      <c r="U3">
        <v>1</v>
      </c>
      <c r="V3">
        <v>1</v>
      </c>
      <c r="W3">
        <v>1</v>
      </c>
      <c r="X3">
        <v>4</v>
      </c>
      <c r="Y3">
        <v>9</v>
      </c>
      <c r="Z3">
        <v>9</v>
      </c>
      <c r="AA3">
        <v>9</v>
      </c>
      <c r="AB3">
        <v>9</v>
      </c>
      <c r="AC3">
        <v>12</v>
      </c>
      <c r="AD3">
        <v>12</v>
      </c>
      <c r="AE3">
        <v>12</v>
      </c>
      <c r="AF3">
        <v>13</v>
      </c>
      <c r="AG3">
        <v>18</v>
      </c>
      <c r="AH3">
        <v>18</v>
      </c>
      <c r="AI3">
        <v>22</v>
      </c>
      <c r="AJ3">
        <v>22</v>
      </c>
      <c r="AK3">
        <v>22</v>
      </c>
      <c r="AL3">
        <v>22</v>
      </c>
      <c r="AM3">
        <v>22</v>
      </c>
      <c r="AN3">
        <v>22</v>
      </c>
      <c r="AO3">
        <v>22</v>
      </c>
      <c r="AP3">
        <v>22</v>
      </c>
      <c r="AQ3">
        <v>32</v>
      </c>
      <c r="AR3">
        <v>32</v>
      </c>
      <c r="AS3">
        <v>32</v>
      </c>
      <c r="AT3">
        <v>43</v>
      </c>
      <c r="AU3">
        <v>43</v>
      </c>
      <c r="AV3">
        <v>43</v>
      </c>
      <c r="AW3">
        <v>46</v>
      </c>
      <c r="AX3">
        <v>76</v>
      </c>
      <c r="AY3">
        <v>76</v>
      </c>
      <c r="AZ3">
        <v>76</v>
      </c>
      <c r="BA3">
        <v>101</v>
      </c>
      <c r="BB3">
        <v>118</v>
      </c>
      <c r="BC3">
        <v>118</v>
      </c>
      <c r="BD3">
        <v>118</v>
      </c>
      <c r="BE3">
        <v>118</v>
      </c>
      <c r="BF3">
        <v>118</v>
      </c>
      <c r="BG3">
        <v>144</v>
      </c>
      <c r="BH3">
        <v>144</v>
      </c>
      <c r="BI3">
        <v>144</v>
      </c>
      <c r="BJ3">
        <v>150</v>
      </c>
      <c r="BK3">
        <v>191</v>
      </c>
      <c r="BL3">
        <v>232</v>
      </c>
      <c r="BM3">
        <v>235</v>
      </c>
      <c r="BN3">
        <v>235</v>
      </c>
    </row>
    <row r="4" spans="1:66" x14ac:dyDescent="0.3">
      <c r="B4" t="s">
        <v>40</v>
      </c>
      <c r="C4">
        <v>1.2833000000000001</v>
      </c>
      <c r="D4">
        <v>103.83329999999999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2</v>
      </c>
      <c r="W4">
        <v>2</v>
      </c>
      <c r="X4">
        <v>2</v>
      </c>
      <c r="Y4">
        <v>9</v>
      </c>
      <c r="Z4">
        <v>15</v>
      </c>
      <c r="AA4">
        <v>15</v>
      </c>
      <c r="AB4">
        <v>17</v>
      </c>
      <c r="AC4">
        <v>18</v>
      </c>
      <c r="AD4">
        <v>18</v>
      </c>
      <c r="AE4">
        <v>24</v>
      </c>
      <c r="AF4">
        <v>29</v>
      </c>
      <c r="AG4">
        <v>34</v>
      </c>
      <c r="AH4">
        <v>34</v>
      </c>
      <c r="AI4">
        <v>37</v>
      </c>
      <c r="AJ4">
        <v>37</v>
      </c>
      <c r="AK4">
        <v>51</v>
      </c>
      <c r="AL4">
        <v>51</v>
      </c>
      <c r="AM4">
        <v>53</v>
      </c>
      <c r="AN4">
        <v>62</v>
      </c>
      <c r="AO4">
        <v>62</v>
      </c>
      <c r="AP4">
        <v>62</v>
      </c>
      <c r="AQ4">
        <v>72</v>
      </c>
      <c r="AR4">
        <v>72</v>
      </c>
      <c r="AS4">
        <v>78</v>
      </c>
      <c r="AT4">
        <v>78</v>
      </c>
      <c r="AU4">
        <v>78</v>
      </c>
      <c r="AV4">
        <v>78</v>
      </c>
      <c r="AW4">
        <v>78</v>
      </c>
      <c r="AX4">
        <v>78</v>
      </c>
      <c r="AY4">
        <v>78</v>
      </c>
      <c r="AZ4">
        <v>78</v>
      </c>
      <c r="BA4">
        <v>78</v>
      </c>
      <c r="BB4">
        <v>96</v>
      </c>
      <c r="BC4">
        <v>96</v>
      </c>
      <c r="BD4">
        <v>97</v>
      </c>
      <c r="BE4">
        <v>105</v>
      </c>
      <c r="BF4">
        <v>105</v>
      </c>
      <c r="BG4">
        <v>109</v>
      </c>
      <c r="BH4">
        <v>114</v>
      </c>
      <c r="BI4">
        <v>114</v>
      </c>
      <c r="BJ4">
        <v>114</v>
      </c>
      <c r="BK4">
        <v>124</v>
      </c>
      <c r="BL4">
        <v>140</v>
      </c>
      <c r="BM4">
        <v>144</v>
      </c>
      <c r="BN4">
        <v>144</v>
      </c>
    </row>
    <row r="5" spans="1:66" x14ac:dyDescent="0.3">
      <c r="B5" t="s">
        <v>42</v>
      </c>
      <c r="C5">
        <v>28.166699999999999</v>
      </c>
      <c r="D5">
        <v>84.25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1</v>
      </c>
      <c r="AA5">
        <v>1</v>
      </c>
      <c r="AB5">
        <v>1</v>
      </c>
      <c r="AC5">
        <v>1</v>
      </c>
      <c r="AD5">
        <v>1</v>
      </c>
      <c r="AE5">
        <v>1</v>
      </c>
      <c r="AF5">
        <v>1</v>
      </c>
      <c r="AG5">
        <v>1</v>
      </c>
      <c r="AH5">
        <v>1</v>
      </c>
      <c r="AI5">
        <v>1</v>
      </c>
      <c r="AJ5">
        <v>1</v>
      </c>
      <c r="AK5">
        <v>1</v>
      </c>
      <c r="AL5">
        <v>1</v>
      </c>
      <c r="AM5">
        <v>1</v>
      </c>
      <c r="AN5">
        <v>1</v>
      </c>
      <c r="AO5">
        <v>1</v>
      </c>
      <c r="AP5">
        <v>1</v>
      </c>
      <c r="AQ5">
        <v>1</v>
      </c>
      <c r="AR5">
        <v>1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1</v>
      </c>
      <c r="BH5">
        <v>1</v>
      </c>
      <c r="BI5">
        <v>1</v>
      </c>
      <c r="BJ5">
        <v>1</v>
      </c>
      <c r="BK5">
        <v>1</v>
      </c>
      <c r="BL5">
        <v>1</v>
      </c>
      <c r="BM5">
        <v>1</v>
      </c>
      <c r="BN5">
        <v>1</v>
      </c>
    </row>
    <row r="6" spans="1:66" x14ac:dyDescent="0.3">
      <c r="B6" t="s">
        <v>43</v>
      </c>
      <c r="C6">
        <v>2.5</v>
      </c>
      <c r="D6">
        <v>112.5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1</v>
      </c>
      <c r="V6">
        <v>1</v>
      </c>
      <c r="W6">
        <v>1</v>
      </c>
      <c r="X6">
        <v>1</v>
      </c>
      <c r="Y6">
        <v>3</v>
      </c>
      <c r="Z6">
        <v>3</v>
      </c>
      <c r="AA6">
        <v>3</v>
      </c>
      <c r="AB6">
        <v>3</v>
      </c>
      <c r="AC6">
        <v>7</v>
      </c>
      <c r="AD6">
        <v>7</v>
      </c>
      <c r="AE6">
        <v>7</v>
      </c>
      <c r="AF6">
        <v>13</v>
      </c>
      <c r="AG6">
        <v>15</v>
      </c>
      <c r="AH6">
        <v>15</v>
      </c>
      <c r="AI6">
        <v>15</v>
      </c>
      <c r="AJ6">
        <v>15</v>
      </c>
      <c r="AK6">
        <v>15</v>
      </c>
      <c r="AL6">
        <v>18</v>
      </c>
      <c r="AM6">
        <v>18</v>
      </c>
      <c r="AN6">
        <v>18</v>
      </c>
      <c r="AO6">
        <v>18</v>
      </c>
      <c r="AP6">
        <v>18</v>
      </c>
      <c r="AQ6">
        <v>18</v>
      </c>
      <c r="AR6">
        <v>18</v>
      </c>
      <c r="AS6">
        <v>18</v>
      </c>
      <c r="AT6">
        <v>22</v>
      </c>
      <c r="AU6">
        <v>22</v>
      </c>
      <c r="AV6">
        <v>22</v>
      </c>
      <c r="AW6">
        <v>22</v>
      </c>
      <c r="AX6">
        <v>23</v>
      </c>
      <c r="AY6">
        <v>24</v>
      </c>
      <c r="AZ6">
        <v>24</v>
      </c>
      <c r="BA6">
        <v>24</v>
      </c>
      <c r="BB6">
        <v>26</v>
      </c>
      <c r="BC6">
        <v>26</v>
      </c>
      <c r="BD6">
        <v>26</v>
      </c>
      <c r="BE6">
        <v>35</v>
      </c>
      <c r="BF6">
        <v>42</v>
      </c>
      <c r="BG6">
        <v>42</v>
      </c>
      <c r="BH6">
        <v>49</v>
      </c>
      <c r="BI6">
        <v>60</v>
      </c>
      <c r="BJ6">
        <v>75</v>
      </c>
      <c r="BK6">
        <v>87</v>
      </c>
      <c r="BL6">
        <v>114</v>
      </c>
      <c r="BM6">
        <v>139</v>
      </c>
      <c r="BN6">
        <v>139</v>
      </c>
    </row>
    <row r="7" spans="1:66" x14ac:dyDescent="0.3">
      <c r="A7" t="s">
        <v>44</v>
      </c>
      <c r="B7" t="s">
        <v>45</v>
      </c>
      <c r="C7">
        <v>49.282699999999998</v>
      </c>
      <c r="D7">
        <v>-123.1207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3</v>
      </c>
      <c r="AP7">
        <v>3</v>
      </c>
      <c r="AQ7">
        <v>3</v>
      </c>
      <c r="AR7">
        <v>3</v>
      </c>
      <c r="AS7">
        <v>3</v>
      </c>
      <c r="AT7">
        <v>3</v>
      </c>
      <c r="AU7">
        <v>3</v>
      </c>
      <c r="AV7">
        <v>3</v>
      </c>
      <c r="AW7">
        <v>3</v>
      </c>
      <c r="AX7">
        <v>4</v>
      </c>
      <c r="AY7">
        <v>4</v>
      </c>
      <c r="AZ7">
        <v>4</v>
      </c>
      <c r="BA7">
        <v>4</v>
      </c>
      <c r="BB7">
        <v>4</v>
      </c>
      <c r="BC7">
        <v>4</v>
      </c>
      <c r="BD7">
        <v>4</v>
      </c>
      <c r="BE7">
        <v>4</v>
      </c>
      <c r="BF7">
        <v>4</v>
      </c>
      <c r="BG7">
        <v>4</v>
      </c>
      <c r="BH7">
        <v>4</v>
      </c>
      <c r="BI7">
        <v>4</v>
      </c>
      <c r="BJ7">
        <v>4</v>
      </c>
      <c r="BK7">
        <v>4</v>
      </c>
      <c r="BL7">
        <v>4</v>
      </c>
      <c r="BM7">
        <v>4</v>
      </c>
      <c r="BN7">
        <v>4</v>
      </c>
    </row>
    <row r="8" spans="1:66" x14ac:dyDescent="0.3">
      <c r="A8" t="s">
        <v>47</v>
      </c>
      <c r="B8" t="s">
        <v>48</v>
      </c>
      <c r="C8">
        <v>-33.8688</v>
      </c>
      <c r="D8">
        <v>151.20930000000001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2</v>
      </c>
      <c r="N8">
        <v>2</v>
      </c>
      <c r="O8">
        <v>2</v>
      </c>
      <c r="P8">
        <v>2</v>
      </c>
      <c r="Q8">
        <v>2</v>
      </c>
      <c r="R8">
        <v>2</v>
      </c>
      <c r="S8">
        <v>2</v>
      </c>
      <c r="T8">
        <v>2</v>
      </c>
      <c r="U8">
        <v>2</v>
      </c>
      <c r="V8">
        <v>2</v>
      </c>
      <c r="W8">
        <v>2</v>
      </c>
      <c r="X8">
        <v>2</v>
      </c>
      <c r="Y8">
        <v>2</v>
      </c>
      <c r="Z8">
        <v>2</v>
      </c>
      <c r="AA8">
        <v>4</v>
      </c>
      <c r="AB8">
        <v>4</v>
      </c>
      <c r="AC8">
        <v>4</v>
      </c>
      <c r="AD8">
        <v>4</v>
      </c>
      <c r="AE8">
        <v>4</v>
      </c>
      <c r="AF8">
        <v>4</v>
      </c>
      <c r="AG8">
        <v>4</v>
      </c>
      <c r="AH8">
        <v>4</v>
      </c>
      <c r="AI8">
        <v>4</v>
      </c>
      <c r="AJ8">
        <v>4</v>
      </c>
      <c r="AK8">
        <v>4</v>
      </c>
      <c r="AL8">
        <v>4</v>
      </c>
      <c r="AM8">
        <v>4</v>
      </c>
      <c r="AN8">
        <v>4</v>
      </c>
      <c r="AO8">
        <v>4</v>
      </c>
      <c r="AP8">
        <v>4</v>
      </c>
      <c r="AQ8">
        <v>4</v>
      </c>
      <c r="AR8">
        <v>4</v>
      </c>
      <c r="AS8">
        <v>4</v>
      </c>
      <c r="AT8">
        <v>4</v>
      </c>
      <c r="AU8">
        <v>4</v>
      </c>
      <c r="AV8">
        <v>4</v>
      </c>
      <c r="AW8">
        <v>4</v>
      </c>
      <c r="AX8">
        <v>4</v>
      </c>
      <c r="AY8">
        <v>4</v>
      </c>
      <c r="AZ8">
        <v>4</v>
      </c>
      <c r="BA8">
        <v>4</v>
      </c>
      <c r="BB8">
        <v>4</v>
      </c>
      <c r="BC8">
        <v>4</v>
      </c>
      <c r="BD8">
        <v>4</v>
      </c>
      <c r="BE8">
        <v>4</v>
      </c>
      <c r="BF8">
        <v>4</v>
      </c>
      <c r="BG8">
        <v>4</v>
      </c>
      <c r="BH8">
        <v>4</v>
      </c>
      <c r="BI8">
        <v>4</v>
      </c>
      <c r="BJ8">
        <v>4</v>
      </c>
      <c r="BK8">
        <v>4</v>
      </c>
      <c r="BL8">
        <v>4</v>
      </c>
      <c r="BM8">
        <v>4</v>
      </c>
      <c r="BN8">
        <v>4</v>
      </c>
    </row>
    <row r="9" spans="1:66" x14ac:dyDescent="0.3">
      <c r="A9" t="s">
        <v>49</v>
      </c>
      <c r="B9" t="s">
        <v>48</v>
      </c>
      <c r="C9">
        <v>-37.813600000000001</v>
      </c>
      <c r="D9">
        <v>144.9631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4</v>
      </c>
      <c r="AB9">
        <v>4</v>
      </c>
      <c r="AC9">
        <v>4</v>
      </c>
      <c r="AD9">
        <v>4</v>
      </c>
      <c r="AE9">
        <v>4</v>
      </c>
      <c r="AF9">
        <v>4</v>
      </c>
      <c r="AG9">
        <v>4</v>
      </c>
      <c r="AH9">
        <v>4</v>
      </c>
      <c r="AI9">
        <v>4</v>
      </c>
      <c r="AJ9">
        <v>4</v>
      </c>
      <c r="AK9">
        <v>4</v>
      </c>
      <c r="AL9">
        <v>4</v>
      </c>
      <c r="AM9">
        <v>4</v>
      </c>
      <c r="AN9">
        <v>4</v>
      </c>
      <c r="AO9">
        <v>4</v>
      </c>
      <c r="AP9">
        <v>4</v>
      </c>
      <c r="AQ9">
        <v>4</v>
      </c>
      <c r="AR9">
        <v>4</v>
      </c>
      <c r="AS9">
        <v>4</v>
      </c>
      <c r="AT9">
        <v>4</v>
      </c>
      <c r="AU9">
        <v>4</v>
      </c>
      <c r="AV9">
        <v>7</v>
      </c>
      <c r="AW9">
        <v>7</v>
      </c>
      <c r="AX9">
        <v>7</v>
      </c>
      <c r="AY9">
        <v>7</v>
      </c>
      <c r="AZ9">
        <v>7</v>
      </c>
      <c r="BA9">
        <v>7</v>
      </c>
      <c r="BB9">
        <v>7</v>
      </c>
      <c r="BC9">
        <v>7</v>
      </c>
      <c r="BD9">
        <v>8</v>
      </c>
      <c r="BE9">
        <v>8</v>
      </c>
      <c r="BF9">
        <v>8</v>
      </c>
      <c r="BG9">
        <v>8</v>
      </c>
      <c r="BH9">
        <v>8</v>
      </c>
      <c r="BI9">
        <v>8</v>
      </c>
      <c r="BJ9">
        <v>8</v>
      </c>
      <c r="BK9">
        <v>8</v>
      </c>
      <c r="BL9">
        <v>8</v>
      </c>
      <c r="BM9">
        <v>70</v>
      </c>
      <c r="BN9">
        <v>70</v>
      </c>
    </row>
    <row r="10" spans="1:66" x14ac:dyDescent="0.3">
      <c r="A10" t="s">
        <v>50</v>
      </c>
      <c r="B10" t="s">
        <v>48</v>
      </c>
      <c r="C10">
        <v>-28.0167</v>
      </c>
      <c r="D10">
        <v>153.4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1</v>
      </c>
      <c r="AJ10">
        <v>1</v>
      </c>
      <c r="AK10">
        <v>1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1</v>
      </c>
      <c r="AR10">
        <v>1</v>
      </c>
      <c r="AS10">
        <v>1</v>
      </c>
      <c r="AT10">
        <v>1</v>
      </c>
      <c r="AU10">
        <v>1</v>
      </c>
      <c r="AV10">
        <v>8</v>
      </c>
      <c r="AW10">
        <v>8</v>
      </c>
      <c r="AX10">
        <v>8</v>
      </c>
      <c r="AY10">
        <v>8</v>
      </c>
      <c r="AZ10">
        <v>8</v>
      </c>
      <c r="BA10">
        <v>8</v>
      </c>
      <c r="BB10">
        <v>8</v>
      </c>
      <c r="BC10">
        <v>8</v>
      </c>
      <c r="BD10">
        <v>8</v>
      </c>
      <c r="BE10">
        <v>8</v>
      </c>
      <c r="BF10">
        <v>8</v>
      </c>
      <c r="BG10">
        <v>8</v>
      </c>
      <c r="BH10">
        <v>8</v>
      </c>
      <c r="BI10">
        <v>8</v>
      </c>
      <c r="BJ10">
        <v>8</v>
      </c>
      <c r="BK10">
        <v>8</v>
      </c>
      <c r="BL10">
        <v>8</v>
      </c>
      <c r="BM10">
        <v>8</v>
      </c>
      <c r="BN10">
        <v>8</v>
      </c>
    </row>
    <row r="11" spans="1:66" x14ac:dyDescent="0.3">
      <c r="B11" t="s">
        <v>51</v>
      </c>
      <c r="C11">
        <v>11.55</v>
      </c>
      <c r="D11">
        <v>104.91670000000001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1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>
        <v>1</v>
      </c>
      <c r="AH11">
        <v>1</v>
      </c>
      <c r="AI11">
        <v>1</v>
      </c>
      <c r="AJ11">
        <v>1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1</v>
      </c>
      <c r="AR11">
        <v>1</v>
      </c>
      <c r="AS11">
        <v>1</v>
      </c>
      <c r="AT11">
        <v>1</v>
      </c>
      <c r="AU11">
        <v>1</v>
      </c>
      <c r="AV11">
        <v>1</v>
      </c>
      <c r="AW11">
        <v>1</v>
      </c>
      <c r="AX11">
        <v>1</v>
      </c>
      <c r="AY11">
        <v>1</v>
      </c>
      <c r="AZ11">
        <v>1</v>
      </c>
      <c r="BA11">
        <v>1</v>
      </c>
      <c r="BB11">
        <v>1</v>
      </c>
      <c r="BC11">
        <v>1</v>
      </c>
      <c r="BD11">
        <v>1</v>
      </c>
      <c r="BE11">
        <v>1</v>
      </c>
      <c r="BF11">
        <v>1</v>
      </c>
      <c r="BG11">
        <v>1</v>
      </c>
      <c r="BH11">
        <v>1</v>
      </c>
      <c r="BI11">
        <v>1</v>
      </c>
      <c r="BJ11">
        <v>1</v>
      </c>
      <c r="BK11">
        <v>1</v>
      </c>
      <c r="BL11">
        <v>1</v>
      </c>
      <c r="BM11">
        <v>1</v>
      </c>
      <c r="BN11">
        <v>1</v>
      </c>
    </row>
    <row r="12" spans="1:66" x14ac:dyDescent="0.3">
      <c r="B12" t="s">
        <v>52</v>
      </c>
      <c r="C12">
        <v>7</v>
      </c>
      <c r="D12">
        <v>81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>
        <v>1</v>
      </c>
      <c r="AH12">
        <v>1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1</v>
      </c>
      <c r="AR12">
        <v>1</v>
      </c>
      <c r="AS12">
        <v>1</v>
      </c>
      <c r="AT12">
        <v>1</v>
      </c>
      <c r="AU12">
        <v>1</v>
      </c>
      <c r="AV12">
        <v>1</v>
      </c>
      <c r="AW12">
        <v>1</v>
      </c>
      <c r="AX12">
        <v>1</v>
      </c>
      <c r="AY12">
        <v>1</v>
      </c>
      <c r="AZ12">
        <v>1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1</v>
      </c>
      <c r="BJ12">
        <v>3</v>
      </c>
      <c r="BK12">
        <v>3</v>
      </c>
      <c r="BL12">
        <v>1</v>
      </c>
      <c r="BM12">
        <v>3</v>
      </c>
      <c r="BN12">
        <v>3</v>
      </c>
    </row>
    <row r="13" spans="1:66" x14ac:dyDescent="0.3">
      <c r="B13" t="s">
        <v>53</v>
      </c>
      <c r="C13">
        <v>51</v>
      </c>
      <c r="D13">
        <v>9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12</v>
      </c>
      <c r="AG13">
        <v>12</v>
      </c>
      <c r="AH13">
        <v>12</v>
      </c>
      <c r="AI13">
        <v>14</v>
      </c>
      <c r="AJ13">
        <v>14</v>
      </c>
      <c r="AK13">
        <v>14</v>
      </c>
      <c r="AL13">
        <v>14</v>
      </c>
      <c r="AM13">
        <v>14</v>
      </c>
      <c r="AN13">
        <v>15</v>
      </c>
      <c r="AO13">
        <v>16</v>
      </c>
      <c r="AP13">
        <v>16</v>
      </c>
      <c r="AQ13">
        <v>16</v>
      </c>
      <c r="AR13">
        <v>16</v>
      </c>
      <c r="AS13">
        <v>16</v>
      </c>
      <c r="AT13">
        <v>16</v>
      </c>
      <c r="AU13">
        <v>16</v>
      </c>
      <c r="AV13">
        <v>16</v>
      </c>
      <c r="AW13">
        <v>17</v>
      </c>
      <c r="AX13">
        <v>18</v>
      </c>
      <c r="AY13">
        <v>18</v>
      </c>
      <c r="AZ13">
        <v>18</v>
      </c>
      <c r="BA13">
        <v>18</v>
      </c>
      <c r="BB13">
        <v>25</v>
      </c>
      <c r="BC13">
        <v>25</v>
      </c>
      <c r="BD13">
        <v>46</v>
      </c>
      <c r="BE13">
        <v>46</v>
      </c>
      <c r="BF13">
        <v>46</v>
      </c>
      <c r="BG13">
        <v>67</v>
      </c>
      <c r="BH13">
        <v>67</v>
      </c>
      <c r="BI13">
        <v>105</v>
      </c>
      <c r="BJ13">
        <v>113</v>
      </c>
      <c r="BK13">
        <v>180</v>
      </c>
      <c r="BL13">
        <v>233</v>
      </c>
      <c r="BM13">
        <v>266</v>
      </c>
      <c r="BN13">
        <v>266</v>
      </c>
    </row>
    <row r="14" spans="1:66" x14ac:dyDescent="0.3">
      <c r="B14" t="s">
        <v>54</v>
      </c>
      <c r="C14">
        <v>64</v>
      </c>
      <c r="D14">
        <v>26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1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>
        <v>1</v>
      </c>
      <c r="AH14">
        <v>1</v>
      </c>
      <c r="AI14">
        <v>1</v>
      </c>
      <c r="AJ14">
        <v>1</v>
      </c>
      <c r="AK14">
        <v>1</v>
      </c>
      <c r="AL14">
        <v>1</v>
      </c>
      <c r="AM14">
        <v>1</v>
      </c>
      <c r="AN14">
        <v>1</v>
      </c>
      <c r="AO14">
        <v>1</v>
      </c>
      <c r="AP14">
        <v>1</v>
      </c>
      <c r="AQ14">
        <v>1</v>
      </c>
      <c r="AR14">
        <v>1</v>
      </c>
      <c r="AS14">
        <v>1</v>
      </c>
      <c r="AT14">
        <v>1</v>
      </c>
      <c r="AU14">
        <v>1</v>
      </c>
      <c r="AV14">
        <v>1</v>
      </c>
      <c r="AW14">
        <v>1</v>
      </c>
      <c r="AX14">
        <v>1</v>
      </c>
      <c r="AY14">
        <v>1</v>
      </c>
      <c r="AZ14">
        <v>1</v>
      </c>
      <c r="BA14">
        <v>1</v>
      </c>
      <c r="BB14">
        <v>1</v>
      </c>
      <c r="BC14">
        <v>1</v>
      </c>
      <c r="BD14">
        <v>1</v>
      </c>
      <c r="BE14">
        <v>1</v>
      </c>
      <c r="BF14">
        <v>10</v>
      </c>
      <c r="BG14">
        <v>10</v>
      </c>
      <c r="BH14">
        <v>10</v>
      </c>
      <c r="BI14">
        <v>10</v>
      </c>
      <c r="BJ14">
        <v>10</v>
      </c>
      <c r="BK14">
        <v>10</v>
      </c>
      <c r="BL14">
        <v>10</v>
      </c>
      <c r="BM14">
        <v>10</v>
      </c>
      <c r="BN14">
        <v>10</v>
      </c>
    </row>
    <row r="15" spans="1:66" x14ac:dyDescent="0.3">
      <c r="B15" t="s">
        <v>55</v>
      </c>
      <c r="C15">
        <v>24</v>
      </c>
      <c r="D15">
        <v>54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1</v>
      </c>
      <c r="AA15">
        <v>1</v>
      </c>
      <c r="AB15">
        <v>1</v>
      </c>
      <c r="AC15">
        <v>3</v>
      </c>
      <c r="AD15">
        <v>4</v>
      </c>
      <c r="AE15">
        <v>4</v>
      </c>
      <c r="AF15">
        <v>4</v>
      </c>
      <c r="AG15">
        <v>4</v>
      </c>
      <c r="AH15">
        <v>4</v>
      </c>
      <c r="AI15">
        <v>4</v>
      </c>
      <c r="AJ15">
        <v>4</v>
      </c>
      <c r="AK15">
        <v>4</v>
      </c>
      <c r="AL15">
        <v>4</v>
      </c>
      <c r="AM15">
        <v>4</v>
      </c>
      <c r="AN15">
        <v>4</v>
      </c>
      <c r="AO15">
        <v>4</v>
      </c>
      <c r="AP15">
        <v>5</v>
      </c>
      <c r="AQ15">
        <v>5</v>
      </c>
      <c r="AR15">
        <v>5</v>
      </c>
      <c r="AS15">
        <v>5</v>
      </c>
      <c r="AT15">
        <v>5</v>
      </c>
      <c r="AU15">
        <v>5</v>
      </c>
      <c r="AV15">
        <v>5</v>
      </c>
      <c r="AW15">
        <v>5</v>
      </c>
      <c r="AX15">
        <v>7</v>
      </c>
      <c r="AY15">
        <v>7</v>
      </c>
      <c r="AZ15">
        <v>7</v>
      </c>
      <c r="BA15">
        <v>12</v>
      </c>
      <c r="BB15">
        <v>17</v>
      </c>
      <c r="BC15">
        <v>17</v>
      </c>
      <c r="BD15">
        <v>17</v>
      </c>
      <c r="BE15">
        <v>17</v>
      </c>
      <c r="BF15">
        <v>23</v>
      </c>
      <c r="BG15">
        <v>23</v>
      </c>
      <c r="BH15">
        <v>23</v>
      </c>
      <c r="BI15">
        <v>26</v>
      </c>
      <c r="BJ15">
        <v>31</v>
      </c>
      <c r="BK15">
        <v>31</v>
      </c>
      <c r="BL15">
        <v>38</v>
      </c>
      <c r="BM15">
        <v>38</v>
      </c>
      <c r="BN15">
        <v>38</v>
      </c>
    </row>
    <row r="16" spans="1:66" x14ac:dyDescent="0.3">
      <c r="B16" t="s">
        <v>56</v>
      </c>
      <c r="C16">
        <v>13</v>
      </c>
      <c r="D16">
        <v>122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>
        <v>1</v>
      </c>
      <c r="AH16">
        <v>1</v>
      </c>
      <c r="AI16">
        <v>1</v>
      </c>
      <c r="AJ16">
        <v>1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1</v>
      </c>
      <c r="AR16">
        <v>1</v>
      </c>
      <c r="AS16">
        <v>1</v>
      </c>
      <c r="AT16">
        <v>1</v>
      </c>
      <c r="AU16">
        <v>1</v>
      </c>
      <c r="AV16">
        <v>1</v>
      </c>
      <c r="AW16">
        <v>1</v>
      </c>
      <c r="AX16">
        <v>1</v>
      </c>
      <c r="AY16">
        <v>1</v>
      </c>
      <c r="AZ16">
        <v>1</v>
      </c>
      <c r="BA16">
        <v>2</v>
      </c>
      <c r="BB16">
        <v>2</v>
      </c>
      <c r="BC16">
        <v>2</v>
      </c>
      <c r="BD16">
        <v>2</v>
      </c>
      <c r="BE16">
        <v>2</v>
      </c>
      <c r="BF16">
        <v>2</v>
      </c>
      <c r="BG16">
        <v>2</v>
      </c>
      <c r="BH16">
        <v>5</v>
      </c>
      <c r="BI16">
        <v>5</v>
      </c>
      <c r="BJ16">
        <v>8</v>
      </c>
      <c r="BK16">
        <v>8</v>
      </c>
      <c r="BL16">
        <v>13</v>
      </c>
      <c r="BM16">
        <v>17</v>
      </c>
      <c r="BN16">
        <v>17</v>
      </c>
    </row>
    <row r="17" spans="1:66" x14ac:dyDescent="0.3">
      <c r="B17" t="s">
        <v>57</v>
      </c>
      <c r="C17">
        <v>21</v>
      </c>
      <c r="D17">
        <v>78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3</v>
      </c>
      <c r="AE17">
        <v>3</v>
      </c>
      <c r="AF17">
        <v>3</v>
      </c>
      <c r="AG17">
        <v>3</v>
      </c>
      <c r="AH17">
        <v>3</v>
      </c>
      <c r="AI17">
        <v>3</v>
      </c>
      <c r="AJ17">
        <v>3</v>
      </c>
      <c r="AK17">
        <v>3</v>
      </c>
      <c r="AL17">
        <v>3</v>
      </c>
      <c r="AM17">
        <v>3</v>
      </c>
      <c r="AN17">
        <v>3</v>
      </c>
      <c r="AO17">
        <v>3</v>
      </c>
      <c r="AP17">
        <v>3</v>
      </c>
      <c r="AQ17">
        <v>3</v>
      </c>
      <c r="AR17">
        <v>3</v>
      </c>
      <c r="AS17">
        <v>3</v>
      </c>
      <c r="AT17">
        <v>3</v>
      </c>
      <c r="AU17">
        <v>3</v>
      </c>
      <c r="AV17">
        <v>3</v>
      </c>
      <c r="AW17">
        <v>3</v>
      </c>
      <c r="AX17">
        <v>3</v>
      </c>
      <c r="AY17">
        <v>3</v>
      </c>
      <c r="AZ17">
        <v>3</v>
      </c>
      <c r="BA17">
        <v>4</v>
      </c>
      <c r="BB17">
        <v>4</v>
      </c>
      <c r="BC17">
        <v>4</v>
      </c>
      <c r="BD17">
        <v>4</v>
      </c>
      <c r="BE17">
        <v>4</v>
      </c>
      <c r="BF17">
        <v>13</v>
      </c>
      <c r="BG17">
        <v>13</v>
      </c>
      <c r="BH17">
        <v>14</v>
      </c>
      <c r="BI17">
        <v>14</v>
      </c>
      <c r="BJ17">
        <v>15</v>
      </c>
      <c r="BK17">
        <v>20</v>
      </c>
      <c r="BL17">
        <v>23</v>
      </c>
      <c r="BM17">
        <v>27</v>
      </c>
      <c r="BN17">
        <v>27</v>
      </c>
    </row>
    <row r="18" spans="1:66" x14ac:dyDescent="0.3">
      <c r="B18" t="s">
        <v>58</v>
      </c>
      <c r="C18">
        <v>43</v>
      </c>
      <c r="D18">
        <v>12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1</v>
      </c>
      <c r="AK18">
        <v>2</v>
      </c>
      <c r="AL18">
        <v>1</v>
      </c>
      <c r="AM18">
        <v>1</v>
      </c>
      <c r="AN18">
        <v>3</v>
      </c>
      <c r="AO18">
        <v>45</v>
      </c>
      <c r="AP18">
        <v>46</v>
      </c>
      <c r="AQ18">
        <v>46</v>
      </c>
      <c r="AR18">
        <v>83</v>
      </c>
      <c r="AS18">
        <v>149</v>
      </c>
      <c r="AT18">
        <v>160</v>
      </c>
      <c r="AU18">
        <v>276</v>
      </c>
      <c r="AV18">
        <v>414</v>
      </c>
      <c r="AW18">
        <v>523</v>
      </c>
      <c r="AX18">
        <v>589</v>
      </c>
      <c r="AY18">
        <v>622</v>
      </c>
      <c r="AZ18">
        <v>724</v>
      </c>
      <c r="BA18">
        <v>724</v>
      </c>
      <c r="BB18">
        <v>1045</v>
      </c>
      <c r="BC18">
        <v>1045</v>
      </c>
      <c r="BD18">
        <v>1439</v>
      </c>
      <c r="BE18">
        <v>1966</v>
      </c>
      <c r="BF18">
        <v>2335</v>
      </c>
      <c r="BG18">
        <v>2749</v>
      </c>
      <c r="BH18">
        <v>2941</v>
      </c>
      <c r="BI18">
        <v>4025</v>
      </c>
      <c r="BJ18">
        <v>4440</v>
      </c>
      <c r="BK18">
        <v>4440</v>
      </c>
      <c r="BL18">
        <v>6072</v>
      </c>
      <c r="BM18">
        <v>7024</v>
      </c>
      <c r="BN18">
        <v>7024</v>
      </c>
    </row>
    <row r="19" spans="1:66" x14ac:dyDescent="0.3">
      <c r="B19" t="s">
        <v>59</v>
      </c>
      <c r="C19">
        <v>63</v>
      </c>
      <c r="D19">
        <v>16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1</v>
      </c>
      <c r="BA19">
        <v>1</v>
      </c>
      <c r="BB19">
        <v>1</v>
      </c>
      <c r="BC19">
        <v>1</v>
      </c>
      <c r="BD19">
        <v>1</v>
      </c>
      <c r="BE19">
        <v>1</v>
      </c>
      <c r="BF19">
        <v>1</v>
      </c>
      <c r="BG19">
        <v>1</v>
      </c>
      <c r="BH19">
        <v>1</v>
      </c>
      <c r="BI19">
        <v>1</v>
      </c>
      <c r="BJ19">
        <v>16</v>
      </c>
      <c r="BK19">
        <v>16</v>
      </c>
      <c r="BL19">
        <v>16</v>
      </c>
      <c r="BM19">
        <v>16</v>
      </c>
      <c r="BN19">
        <v>16</v>
      </c>
    </row>
    <row r="20" spans="1:66" x14ac:dyDescent="0.3">
      <c r="B20" t="s">
        <v>60</v>
      </c>
      <c r="C20">
        <v>40</v>
      </c>
      <c r="D20">
        <v>-4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2</v>
      </c>
      <c r="AD20">
        <v>2</v>
      </c>
      <c r="AE20">
        <v>2</v>
      </c>
      <c r="AF20">
        <v>2</v>
      </c>
      <c r="AG20">
        <v>2</v>
      </c>
      <c r="AH20">
        <v>2</v>
      </c>
      <c r="AI20">
        <v>2</v>
      </c>
      <c r="AJ20">
        <v>2</v>
      </c>
      <c r="AK20">
        <v>2</v>
      </c>
      <c r="AL20">
        <v>2</v>
      </c>
      <c r="AM20">
        <v>2</v>
      </c>
      <c r="AN20">
        <v>2</v>
      </c>
      <c r="AO20">
        <v>2</v>
      </c>
      <c r="AP20">
        <v>2</v>
      </c>
      <c r="AQ20">
        <v>2</v>
      </c>
      <c r="AR20">
        <v>2</v>
      </c>
      <c r="AS20">
        <v>2</v>
      </c>
      <c r="AT20">
        <v>2</v>
      </c>
      <c r="AU20">
        <v>2</v>
      </c>
      <c r="AV20">
        <v>2</v>
      </c>
      <c r="AW20">
        <v>2</v>
      </c>
      <c r="AX20">
        <v>30</v>
      </c>
      <c r="AY20">
        <v>30</v>
      </c>
      <c r="AZ20">
        <v>32</v>
      </c>
      <c r="BA20">
        <v>32</v>
      </c>
      <c r="BB20">
        <v>183</v>
      </c>
      <c r="BC20">
        <v>183</v>
      </c>
      <c r="BD20">
        <v>193</v>
      </c>
      <c r="BE20">
        <v>517</v>
      </c>
      <c r="BF20">
        <v>517</v>
      </c>
      <c r="BG20">
        <v>530</v>
      </c>
      <c r="BH20">
        <v>1028</v>
      </c>
      <c r="BI20">
        <v>1081</v>
      </c>
      <c r="BJ20">
        <v>1107</v>
      </c>
      <c r="BK20">
        <v>1588</v>
      </c>
      <c r="BL20">
        <v>2125</v>
      </c>
      <c r="BM20">
        <v>2575</v>
      </c>
      <c r="BN20">
        <v>2575</v>
      </c>
    </row>
    <row r="21" spans="1:66" x14ac:dyDescent="0.3">
      <c r="A21" t="s">
        <v>61</v>
      </c>
      <c r="B21" t="s">
        <v>48</v>
      </c>
      <c r="C21">
        <v>-34.9285</v>
      </c>
      <c r="D21">
        <v>138.60069999999999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2</v>
      </c>
      <c r="AF21">
        <v>2</v>
      </c>
      <c r="AG21">
        <v>2</v>
      </c>
      <c r="AH21">
        <v>2</v>
      </c>
      <c r="AI21">
        <v>2</v>
      </c>
      <c r="AJ21">
        <v>2</v>
      </c>
      <c r="AK21">
        <v>2</v>
      </c>
      <c r="AL21">
        <v>2</v>
      </c>
      <c r="AM21">
        <v>2</v>
      </c>
      <c r="AN21">
        <v>2</v>
      </c>
      <c r="AO21">
        <v>2</v>
      </c>
      <c r="AP21">
        <v>2</v>
      </c>
      <c r="AQ21">
        <v>2</v>
      </c>
      <c r="AR21">
        <v>2</v>
      </c>
      <c r="AS21">
        <v>2</v>
      </c>
      <c r="AT21">
        <v>2</v>
      </c>
      <c r="AU21">
        <v>2</v>
      </c>
      <c r="AV21">
        <v>2</v>
      </c>
      <c r="AW21">
        <v>2</v>
      </c>
      <c r="AX21">
        <v>2</v>
      </c>
      <c r="AY21">
        <v>2</v>
      </c>
      <c r="AZ21">
        <v>2</v>
      </c>
      <c r="BA21">
        <v>2</v>
      </c>
      <c r="BB21">
        <v>2</v>
      </c>
      <c r="BC21">
        <v>2</v>
      </c>
      <c r="BD21">
        <v>3</v>
      </c>
      <c r="BE21">
        <v>3</v>
      </c>
      <c r="BF21">
        <v>3</v>
      </c>
      <c r="BG21">
        <v>3</v>
      </c>
      <c r="BH21">
        <v>3</v>
      </c>
      <c r="BI21">
        <v>3</v>
      </c>
      <c r="BJ21">
        <v>3</v>
      </c>
      <c r="BK21">
        <v>3</v>
      </c>
      <c r="BL21">
        <v>3</v>
      </c>
      <c r="BM21">
        <v>3</v>
      </c>
      <c r="BN21">
        <v>3</v>
      </c>
    </row>
    <row r="22" spans="1:66" x14ac:dyDescent="0.3">
      <c r="B22" t="s">
        <v>63</v>
      </c>
      <c r="C22">
        <v>50.833300000000001</v>
      </c>
      <c r="D22">
        <v>4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1</v>
      </c>
      <c r="AF22">
        <v>1</v>
      </c>
      <c r="AG22">
        <v>1</v>
      </c>
      <c r="AH22">
        <v>1</v>
      </c>
      <c r="AI22">
        <v>1</v>
      </c>
      <c r="AJ22">
        <v>1</v>
      </c>
      <c r="AK22">
        <v>1</v>
      </c>
      <c r="AL22">
        <v>1</v>
      </c>
      <c r="AM22">
        <v>1</v>
      </c>
      <c r="AN22">
        <v>1</v>
      </c>
      <c r="AO22">
        <v>1</v>
      </c>
      <c r="AP22">
        <v>1</v>
      </c>
      <c r="AQ22">
        <v>1</v>
      </c>
      <c r="AR22">
        <v>1</v>
      </c>
      <c r="AS22">
        <v>1</v>
      </c>
      <c r="AT22">
        <v>1</v>
      </c>
      <c r="AU22">
        <v>1</v>
      </c>
      <c r="AV22">
        <v>1</v>
      </c>
      <c r="AW22">
        <v>1</v>
      </c>
      <c r="AX22">
        <v>1</v>
      </c>
      <c r="AY22">
        <v>1</v>
      </c>
      <c r="AZ22">
        <v>1</v>
      </c>
      <c r="BA22">
        <v>1</v>
      </c>
      <c r="BB22">
        <v>1</v>
      </c>
      <c r="BC22">
        <v>1</v>
      </c>
      <c r="BD22">
        <v>1</v>
      </c>
      <c r="BE22">
        <v>1</v>
      </c>
      <c r="BF22">
        <v>1</v>
      </c>
      <c r="BG22">
        <v>1</v>
      </c>
      <c r="BH22">
        <v>1</v>
      </c>
      <c r="BI22">
        <v>31</v>
      </c>
      <c r="BJ22">
        <v>31</v>
      </c>
      <c r="BK22">
        <v>1</v>
      </c>
      <c r="BL22">
        <v>263</v>
      </c>
      <c r="BM22">
        <v>263</v>
      </c>
      <c r="BN22">
        <v>263</v>
      </c>
    </row>
    <row r="23" spans="1:66" x14ac:dyDescent="0.3">
      <c r="B23" t="s">
        <v>65</v>
      </c>
      <c r="C23">
        <v>26</v>
      </c>
      <c r="D23">
        <v>30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1</v>
      </c>
      <c r="AQ23">
        <v>1</v>
      </c>
      <c r="AR23">
        <v>1</v>
      </c>
      <c r="AS23">
        <v>1</v>
      </c>
      <c r="AT23">
        <v>1</v>
      </c>
      <c r="AU23">
        <v>1</v>
      </c>
      <c r="AV23">
        <v>1</v>
      </c>
      <c r="AW23">
        <v>1</v>
      </c>
      <c r="AX23">
        <v>1</v>
      </c>
      <c r="AY23">
        <v>1</v>
      </c>
      <c r="AZ23">
        <v>1</v>
      </c>
      <c r="BA23">
        <v>1</v>
      </c>
      <c r="BB23">
        <v>27</v>
      </c>
      <c r="BC23">
        <v>27</v>
      </c>
      <c r="BD23">
        <v>27</v>
      </c>
      <c r="BE23">
        <v>27</v>
      </c>
      <c r="BF23">
        <v>21</v>
      </c>
      <c r="BG23">
        <v>27</v>
      </c>
      <c r="BH23">
        <v>32</v>
      </c>
      <c r="BI23">
        <v>32</v>
      </c>
      <c r="BJ23">
        <v>32</v>
      </c>
      <c r="BK23">
        <v>39</v>
      </c>
      <c r="BL23">
        <v>41</v>
      </c>
      <c r="BM23">
        <v>56</v>
      </c>
      <c r="BN23">
        <v>56</v>
      </c>
    </row>
    <row r="24" spans="1:66" x14ac:dyDescent="0.3">
      <c r="A24" t="s">
        <v>66</v>
      </c>
      <c r="B24" t="s">
        <v>48</v>
      </c>
      <c r="C24">
        <v>35.4437</v>
      </c>
      <c r="D24">
        <v>139.63800000000001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</row>
    <row r="25" spans="1:66" x14ac:dyDescent="0.3">
      <c r="B25" t="s">
        <v>67</v>
      </c>
      <c r="C25">
        <v>33.854700000000001</v>
      </c>
      <c r="D25">
        <v>35.862299999999998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1</v>
      </c>
      <c r="AV25">
        <v>1</v>
      </c>
      <c r="AW25">
        <v>1</v>
      </c>
      <c r="AX25">
        <v>1</v>
      </c>
      <c r="AY25">
        <v>1</v>
      </c>
      <c r="AZ25">
        <v>1</v>
      </c>
      <c r="BA25">
        <v>1</v>
      </c>
      <c r="BB25">
        <v>1</v>
      </c>
      <c r="BC25">
        <v>1</v>
      </c>
      <c r="BD25">
        <v>1</v>
      </c>
      <c r="BE25">
        <v>1</v>
      </c>
      <c r="BF25">
        <v>1</v>
      </c>
      <c r="BG25">
        <v>1</v>
      </c>
      <c r="BH25">
        <v>3</v>
      </c>
      <c r="BI25">
        <v>3</v>
      </c>
      <c r="BJ25">
        <v>4</v>
      </c>
      <c r="BK25">
        <v>4</v>
      </c>
      <c r="BL25">
        <v>4</v>
      </c>
      <c r="BM25">
        <v>8</v>
      </c>
      <c r="BN25">
        <v>8</v>
      </c>
    </row>
    <row r="26" spans="1:66" x14ac:dyDescent="0.3">
      <c r="B26" t="s">
        <v>70</v>
      </c>
      <c r="C26">
        <v>33</v>
      </c>
      <c r="D26">
        <v>44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3</v>
      </c>
      <c r="BA26">
        <v>3</v>
      </c>
      <c r="BB26">
        <v>15</v>
      </c>
      <c r="BC26">
        <v>15</v>
      </c>
      <c r="BD26">
        <v>24</v>
      </c>
      <c r="BE26">
        <v>26</v>
      </c>
      <c r="BF26">
        <v>26</v>
      </c>
      <c r="BG26">
        <v>26</v>
      </c>
      <c r="BH26">
        <v>32</v>
      </c>
      <c r="BI26">
        <v>43</v>
      </c>
      <c r="BJ26">
        <v>43</v>
      </c>
      <c r="BK26">
        <v>49</v>
      </c>
      <c r="BL26">
        <v>51</v>
      </c>
      <c r="BM26">
        <v>57</v>
      </c>
      <c r="BN26">
        <v>57</v>
      </c>
    </row>
    <row r="27" spans="1:66" x14ac:dyDescent="0.3">
      <c r="B27" t="s">
        <v>71</v>
      </c>
      <c r="C27">
        <v>21</v>
      </c>
      <c r="D27">
        <v>57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1</v>
      </c>
      <c r="AR27">
        <v>1</v>
      </c>
      <c r="AS27">
        <v>1</v>
      </c>
      <c r="AT27">
        <v>2</v>
      </c>
      <c r="AU27">
        <v>2</v>
      </c>
      <c r="AV27">
        <v>2</v>
      </c>
      <c r="AW27">
        <v>2</v>
      </c>
      <c r="AX27">
        <v>2</v>
      </c>
      <c r="AY27">
        <v>2</v>
      </c>
      <c r="AZ27">
        <v>2</v>
      </c>
      <c r="BA27">
        <v>9</v>
      </c>
      <c r="BB27">
        <v>9</v>
      </c>
      <c r="BC27">
        <v>9</v>
      </c>
      <c r="BD27">
        <v>9</v>
      </c>
      <c r="BE27">
        <v>9</v>
      </c>
      <c r="BF27">
        <v>9</v>
      </c>
      <c r="BG27">
        <v>9</v>
      </c>
      <c r="BH27">
        <v>9</v>
      </c>
      <c r="BI27">
        <v>12</v>
      </c>
      <c r="BJ27">
        <v>12</v>
      </c>
      <c r="BK27">
        <v>12</v>
      </c>
      <c r="BL27">
        <v>12</v>
      </c>
      <c r="BM27">
        <v>17</v>
      </c>
      <c r="BN27">
        <v>17</v>
      </c>
    </row>
    <row r="28" spans="1:66" x14ac:dyDescent="0.3">
      <c r="B28" t="s">
        <v>72</v>
      </c>
      <c r="C28">
        <v>33</v>
      </c>
      <c r="D28">
        <v>65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1</v>
      </c>
      <c r="BH28">
        <v>1</v>
      </c>
      <c r="BI28">
        <v>1</v>
      </c>
      <c r="BJ28">
        <v>1</v>
      </c>
      <c r="BK28">
        <v>1</v>
      </c>
      <c r="BL28">
        <v>1</v>
      </c>
      <c r="BM28">
        <v>1</v>
      </c>
      <c r="BN28">
        <v>1</v>
      </c>
    </row>
    <row r="29" spans="1:66" x14ac:dyDescent="0.3">
      <c r="B29" t="s">
        <v>73</v>
      </c>
      <c r="C29">
        <v>26.0275</v>
      </c>
      <c r="D29">
        <v>50.55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4</v>
      </c>
      <c r="AX29">
        <v>4</v>
      </c>
      <c r="AY29">
        <v>4</v>
      </c>
      <c r="AZ29">
        <v>14</v>
      </c>
      <c r="BA29">
        <v>22</v>
      </c>
      <c r="BB29">
        <v>35</v>
      </c>
      <c r="BC29">
        <v>35</v>
      </c>
      <c r="BD29">
        <v>44</v>
      </c>
      <c r="BE29">
        <v>44</v>
      </c>
      <c r="BF29">
        <v>60</v>
      </c>
      <c r="BG29">
        <v>77</v>
      </c>
      <c r="BH29">
        <v>81</v>
      </c>
      <c r="BI29">
        <v>88</v>
      </c>
      <c r="BJ29">
        <v>100</v>
      </c>
      <c r="BK29">
        <v>100</v>
      </c>
      <c r="BL29">
        <v>125</v>
      </c>
      <c r="BM29">
        <v>149</v>
      </c>
      <c r="BN29">
        <v>149</v>
      </c>
    </row>
    <row r="30" spans="1:66" x14ac:dyDescent="0.3">
      <c r="B30" t="s">
        <v>74</v>
      </c>
      <c r="C30">
        <v>29.5</v>
      </c>
      <c r="D30">
        <v>47.75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1</v>
      </c>
      <c r="AZ30">
        <v>1</v>
      </c>
      <c r="BA30">
        <v>1</v>
      </c>
      <c r="BB30">
        <v>2</v>
      </c>
      <c r="BC30">
        <v>5</v>
      </c>
      <c r="BD30">
        <v>5</v>
      </c>
      <c r="BE30">
        <v>5</v>
      </c>
      <c r="BF30">
        <v>5</v>
      </c>
      <c r="BG30">
        <v>9</v>
      </c>
      <c r="BH30">
        <v>9</v>
      </c>
      <c r="BI30">
        <v>15</v>
      </c>
      <c r="BJ30">
        <v>18</v>
      </c>
      <c r="BK30">
        <v>18</v>
      </c>
      <c r="BL30">
        <v>27</v>
      </c>
      <c r="BM30">
        <v>27</v>
      </c>
      <c r="BN30">
        <v>27</v>
      </c>
    </row>
    <row r="31" spans="1:66" x14ac:dyDescent="0.3">
      <c r="B31" t="s">
        <v>75</v>
      </c>
      <c r="C31">
        <v>28.033899999999999</v>
      </c>
      <c r="D31">
        <v>1.6596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8</v>
      </c>
      <c r="BD31">
        <v>8</v>
      </c>
      <c r="BE31">
        <v>12</v>
      </c>
      <c r="BF31">
        <v>12</v>
      </c>
      <c r="BG31">
        <v>12</v>
      </c>
      <c r="BH31">
        <v>12</v>
      </c>
      <c r="BI31">
        <v>12</v>
      </c>
      <c r="BJ31">
        <v>32</v>
      </c>
      <c r="BK31">
        <v>32</v>
      </c>
      <c r="BL31">
        <v>32</v>
      </c>
      <c r="BM31">
        <v>65</v>
      </c>
      <c r="BN31">
        <v>65</v>
      </c>
    </row>
    <row r="32" spans="1:66" x14ac:dyDescent="0.3">
      <c r="B32" t="s">
        <v>76</v>
      </c>
      <c r="C32">
        <v>45.1</v>
      </c>
      <c r="D32">
        <v>15.2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1</v>
      </c>
      <c r="BE32">
        <v>1</v>
      </c>
      <c r="BF32">
        <v>1</v>
      </c>
      <c r="BG32">
        <v>2</v>
      </c>
      <c r="BH32">
        <v>4</v>
      </c>
      <c r="BI32">
        <v>4</v>
      </c>
      <c r="BJ32">
        <v>5</v>
      </c>
      <c r="BK32">
        <v>5</v>
      </c>
      <c r="BL32">
        <v>5</v>
      </c>
      <c r="BM32">
        <v>5</v>
      </c>
      <c r="BN32">
        <v>5</v>
      </c>
    </row>
    <row r="33" spans="2:66" x14ac:dyDescent="0.3">
      <c r="B33" t="s">
        <v>77</v>
      </c>
      <c r="C33">
        <v>46.818199999999997</v>
      </c>
      <c r="D33">
        <v>8.2274999999999991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2</v>
      </c>
      <c r="AU33">
        <v>3</v>
      </c>
      <c r="AV33">
        <v>3</v>
      </c>
      <c r="AW33">
        <v>3</v>
      </c>
      <c r="AX33">
        <v>3</v>
      </c>
      <c r="AY33">
        <v>3</v>
      </c>
      <c r="AZ33">
        <v>3</v>
      </c>
      <c r="BA33">
        <v>3</v>
      </c>
      <c r="BB33">
        <v>4</v>
      </c>
      <c r="BC33">
        <v>4</v>
      </c>
      <c r="BD33">
        <v>4</v>
      </c>
      <c r="BE33">
        <v>4</v>
      </c>
      <c r="BF33">
        <v>4</v>
      </c>
      <c r="BG33">
        <v>4</v>
      </c>
      <c r="BH33">
        <v>4</v>
      </c>
      <c r="BI33">
        <v>15</v>
      </c>
      <c r="BJ33">
        <v>15</v>
      </c>
      <c r="BK33">
        <v>15</v>
      </c>
      <c r="BL33">
        <v>15</v>
      </c>
      <c r="BM33">
        <v>131</v>
      </c>
      <c r="BN33">
        <v>131</v>
      </c>
    </row>
    <row r="34" spans="2:66" x14ac:dyDescent="0.3">
      <c r="B34" t="s">
        <v>78</v>
      </c>
      <c r="C34">
        <v>47.516199999999998</v>
      </c>
      <c r="D34">
        <v>14.5501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2</v>
      </c>
      <c r="BA34">
        <v>4</v>
      </c>
      <c r="BB34">
        <v>4</v>
      </c>
      <c r="BC34">
        <v>4</v>
      </c>
      <c r="BD34">
        <v>6</v>
      </c>
      <c r="BE34">
        <v>6</v>
      </c>
      <c r="BF34">
        <v>6</v>
      </c>
      <c r="BG34">
        <v>6</v>
      </c>
      <c r="BH34">
        <v>1</v>
      </c>
      <c r="BI34">
        <v>9</v>
      </c>
      <c r="BJ34">
        <v>9</v>
      </c>
      <c r="BK34">
        <v>9</v>
      </c>
      <c r="BL34">
        <v>9</v>
      </c>
      <c r="BM34">
        <v>9</v>
      </c>
      <c r="BN34">
        <v>9</v>
      </c>
    </row>
    <row r="35" spans="2:66" x14ac:dyDescent="0.3">
      <c r="B35" t="s">
        <v>79</v>
      </c>
      <c r="C35">
        <v>31</v>
      </c>
      <c r="D35">
        <v>35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V35">
        <v>1</v>
      </c>
      <c r="AW35">
        <v>2</v>
      </c>
      <c r="AX35">
        <v>2</v>
      </c>
      <c r="AY35">
        <v>2</v>
      </c>
      <c r="AZ35">
        <v>2</v>
      </c>
      <c r="BA35">
        <v>4</v>
      </c>
      <c r="BB35">
        <v>4</v>
      </c>
      <c r="BC35">
        <v>4</v>
      </c>
      <c r="BD35">
        <v>4</v>
      </c>
      <c r="BE35">
        <v>4</v>
      </c>
      <c r="BF35">
        <v>4</v>
      </c>
      <c r="BG35">
        <v>4</v>
      </c>
      <c r="BH35">
        <v>11</v>
      </c>
      <c r="BI35">
        <v>11</v>
      </c>
      <c r="BJ35">
        <v>11</v>
      </c>
      <c r="BK35">
        <v>14</v>
      </c>
      <c r="BL35">
        <v>36</v>
      </c>
      <c r="BM35">
        <v>37</v>
      </c>
      <c r="BN35">
        <v>37</v>
      </c>
    </row>
    <row r="36" spans="2:66" x14ac:dyDescent="0.3">
      <c r="B36" t="s">
        <v>80</v>
      </c>
      <c r="C36">
        <v>30.375299999999999</v>
      </c>
      <c r="D36">
        <v>69.345100000000002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1</v>
      </c>
      <c r="AZ36">
        <v>1</v>
      </c>
      <c r="BA36">
        <v>1</v>
      </c>
      <c r="BB36">
        <v>2</v>
      </c>
      <c r="BC36">
        <v>2</v>
      </c>
      <c r="BD36">
        <v>2</v>
      </c>
      <c r="BE36">
        <v>2</v>
      </c>
      <c r="BF36">
        <v>2</v>
      </c>
      <c r="BG36">
        <v>2</v>
      </c>
      <c r="BH36">
        <v>2</v>
      </c>
      <c r="BI36">
        <v>2</v>
      </c>
      <c r="BJ36">
        <v>13</v>
      </c>
      <c r="BK36">
        <v>13</v>
      </c>
      <c r="BL36">
        <v>13</v>
      </c>
      <c r="BM36">
        <v>5</v>
      </c>
      <c r="BN36">
        <v>5</v>
      </c>
    </row>
    <row r="37" spans="2:66" x14ac:dyDescent="0.3">
      <c r="B37" t="s">
        <v>81</v>
      </c>
      <c r="C37">
        <v>-14.234999999999999</v>
      </c>
      <c r="D37">
        <v>-51.9253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1</v>
      </c>
      <c r="BH37">
        <v>2</v>
      </c>
      <c r="BI37">
        <v>2</v>
      </c>
      <c r="BJ37">
        <v>2</v>
      </c>
      <c r="BK37">
        <v>2</v>
      </c>
      <c r="BL37">
        <v>2</v>
      </c>
      <c r="BM37">
        <v>2</v>
      </c>
      <c r="BN37">
        <v>2</v>
      </c>
    </row>
    <row r="38" spans="2:66" x14ac:dyDescent="0.3">
      <c r="B38" t="s">
        <v>82</v>
      </c>
      <c r="C38">
        <v>42.315399999999997</v>
      </c>
      <c r="D38">
        <v>43.356900000000003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1</v>
      </c>
      <c r="BI38">
        <v>1</v>
      </c>
      <c r="BJ38">
        <v>1</v>
      </c>
      <c r="BK38">
        <v>1</v>
      </c>
      <c r="BL38">
        <v>1</v>
      </c>
      <c r="BM38">
        <v>3</v>
      </c>
      <c r="BN38">
        <v>3</v>
      </c>
    </row>
    <row r="39" spans="2:66" x14ac:dyDescent="0.3">
      <c r="B39" t="s">
        <v>83</v>
      </c>
      <c r="C39">
        <v>39.074199999999998</v>
      </c>
      <c r="D39">
        <v>21.824300000000001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8</v>
      </c>
      <c r="BF39">
        <v>8</v>
      </c>
      <c r="BG39">
        <v>8</v>
      </c>
      <c r="BH39">
        <v>8</v>
      </c>
      <c r="BI39">
        <v>8</v>
      </c>
      <c r="BJ39">
        <v>8</v>
      </c>
      <c r="BK39">
        <v>19</v>
      </c>
      <c r="BL39">
        <v>19</v>
      </c>
      <c r="BM39">
        <v>19</v>
      </c>
      <c r="BN39">
        <v>19</v>
      </c>
    </row>
    <row r="40" spans="2:66" x14ac:dyDescent="0.3">
      <c r="B40" t="s">
        <v>84</v>
      </c>
      <c r="C40">
        <v>41.608600000000003</v>
      </c>
      <c r="D40">
        <v>21.7453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1</v>
      </c>
      <c r="BE40">
        <v>1</v>
      </c>
      <c r="BF40">
        <v>1</v>
      </c>
      <c r="BG40">
        <v>1</v>
      </c>
      <c r="BH40">
        <v>1</v>
      </c>
      <c r="BI40">
        <v>1</v>
      </c>
      <c r="BJ40">
        <v>1</v>
      </c>
      <c r="BK40">
        <v>1</v>
      </c>
      <c r="BL40">
        <v>1</v>
      </c>
      <c r="BM40">
        <v>1</v>
      </c>
      <c r="BN40">
        <v>1</v>
      </c>
    </row>
    <row r="41" spans="2:66" x14ac:dyDescent="0.3">
      <c r="B41" t="s">
        <v>85</v>
      </c>
      <c r="C41">
        <v>60.472000000000001</v>
      </c>
      <c r="D41">
        <v>8.4688999999999997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1</v>
      </c>
      <c r="BA41">
        <v>1</v>
      </c>
      <c r="BB41">
        <v>1</v>
      </c>
      <c r="BC41">
        <v>1</v>
      </c>
      <c r="BD41">
        <v>1</v>
      </c>
      <c r="BE41">
        <v>1</v>
      </c>
      <c r="BF41">
        <v>1</v>
      </c>
      <c r="BG41">
        <v>1</v>
      </c>
      <c r="BH41">
        <v>1</v>
      </c>
      <c r="BI41">
        <v>1</v>
      </c>
      <c r="BJ41">
        <v>1</v>
      </c>
      <c r="BK41">
        <v>1</v>
      </c>
      <c r="BL41">
        <v>1</v>
      </c>
      <c r="BM41">
        <v>1</v>
      </c>
      <c r="BN41">
        <v>1</v>
      </c>
    </row>
    <row r="42" spans="2:66" x14ac:dyDescent="0.3">
      <c r="B42" t="s">
        <v>86</v>
      </c>
      <c r="C42">
        <v>45.943199999999997</v>
      </c>
      <c r="D42">
        <v>24.966799999999999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1</v>
      </c>
      <c r="AV42">
        <v>1</v>
      </c>
      <c r="AW42">
        <v>1</v>
      </c>
      <c r="AX42">
        <v>3</v>
      </c>
      <c r="AY42">
        <v>3</v>
      </c>
      <c r="AZ42">
        <v>3</v>
      </c>
      <c r="BA42">
        <v>3</v>
      </c>
      <c r="BB42">
        <v>6</v>
      </c>
      <c r="BC42">
        <v>6</v>
      </c>
      <c r="BD42">
        <v>7</v>
      </c>
      <c r="BE42">
        <v>9</v>
      </c>
      <c r="BF42">
        <v>9</v>
      </c>
      <c r="BG42">
        <v>9</v>
      </c>
      <c r="BH42">
        <v>16</v>
      </c>
      <c r="BI42">
        <v>19</v>
      </c>
      <c r="BJ42">
        <v>25</v>
      </c>
      <c r="BK42">
        <v>25</v>
      </c>
      <c r="BL42">
        <v>52</v>
      </c>
      <c r="BM42">
        <v>64</v>
      </c>
      <c r="BN42">
        <v>64</v>
      </c>
    </row>
    <row r="43" spans="2:66" x14ac:dyDescent="0.3">
      <c r="B43" t="s">
        <v>88</v>
      </c>
      <c r="C43">
        <v>58.595300000000002</v>
      </c>
      <c r="D43">
        <v>25.0136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1</v>
      </c>
      <c r="BG43">
        <v>1</v>
      </c>
      <c r="BH43">
        <v>1</v>
      </c>
      <c r="BI43">
        <v>1</v>
      </c>
      <c r="BJ43">
        <v>1</v>
      </c>
      <c r="BK43">
        <v>1</v>
      </c>
      <c r="BL43">
        <v>1</v>
      </c>
      <c r="BM43">
        <v>2</v>
      </c>
      <c r="BN43">
        <v>2</v>
      </c>
    </row>
    <row r="44" spans="2:66" x14ac:dyDescent="0.3">
      <c r="B44" t="s">
        <v>90</v>
      </c>
      <c r="C44">
        <v>43.942399999999999</v>
      </c>
      <c r="D44">
        <v>12.457800000000001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4</v>
      </c>
      <c r="BF44">
        <v>4</v>
      </c>
      <c r="BG44">
        <v>4</v>
      </c>
      <c r="BH44">
        <v>4</v>
      </c>
      <c r="BI44">
        <v>4</v>
      </c>
      <c r="BJ44">
        <v>4</v>
      </c>
      <c r="BK44">
        <v>4</v>
      </c>
      <c r="BL44">
        <v>4</v>
      </c>
      <c r="BM44">
        <v>4</v>
      </c>
      <c r="BN44">
        <v>4</v>
      </c>
    </row>
    <row r="45" spans="2:66" x14ac:dyDescent="0.3">
      <c r="B45" t="s">
        <v>91</v>
      </c>
      <c r="C45">
        <v>53.709800000000001</v>
      </c>
      <c r="D45">
        <v>27.953399999999998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1</v>
      </c>
      <c r="BA45">
        <v>3</v>
      </c>
      <c r="BB45">
        <v>3</v>
      </c>
      <c r="BC45">
        <v>3</v>
      </c>
      <c r="BD45">
        <v>3</v>
      </c>
      <c r="BE45">
        <v>3</v>
      </c>
      <c r="BF45">
        <v>3</v>
      </c>
      <c r="BG45">
        <v>3</v>
      </c>
      <c r="BH45">
        <v>3</v>
      </c>
      <c r="BI45">
        <v>5</v>
      </c>
      <c r="BJ45">
        <v>5</v>
      </c>
      <c r="BK45">
        <v>5</v>
      </c>
      <c r="BL45">
        <v>15</v>
      </c>
      <c r="BM45">
        <v>15</v>
      </c>
      <c r="BN45">
        <v>15</v>
      </c>
    </row>
    <row r="46" spans="2:66" x14ac:dyDescent="0.3">
      <c r="B46" t="s">
        <v>92</v>
      </c>
      <c r="C46">
        <v>64.963099999999997</v>
      </c>
      <c r="D46">
        <v>-19.020800000000001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1</v>
      </c>
      <c r="BB46">
        <v>1</v>
      </c>
      <c r="BC46">
        <v>1</v>
      </c>
      <c r="BD46">
        <v>1</v>
      </c>
      <c r="BE46">
        <v>1</v>
      </c>
      <c r="BF46">
        <v>8</v>
      </c>
      <c r="BG46">
        <v>0</v>
      </c>
      <c r="BH46">
        <v>0</v>
      </c>
      <c r="BI46">
        <v>5</v>
      </c>
      <c r="BJ46">
        <v>5</v>
      </c>
      <c r="BK46">
        <v>5</v>
      </c>
      <c r="BL46">
        <v>22</v>
      </c>
      <c r="BM46">
        <v>36</v>
      </c>
      <c r="BN46">
        <v>36</v>
      </c>
    </row>
    <row r="47" spans="2:66" x14ac:dyDescent="0.3">
      <c r="B47" t="s">
        <v>93</v>
      </c>
      <c r="C47">
        <v>55.169400000000003</v>
      </c>
      <c r="D47">
        <v>23.8813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1</v>
      </c>
      <c r="BG47">
        <v>1</v>
      </c>
      <c r="BH47">
        <v>1</v>
      </c>
      <c r="BI47">
        <v>1</v>
      </c>
      <c r="BJ47">
        <v>1</v>
      </c>
      <c r="BK47">
        <v>1</v>
      </c>
      <c r="BL47">
        <v>1</v>
      </c>
      <c r="BM47">
        <v>1</v>
      </c>
      <c r="BN47">
        <v>1</v>
      </c>
    </row>
    <row r="48" spans="2:66" x14ac:dyDescent="0.3">
      <c r="B48" t="s">
        <v>94</v>
      </c>
      <c r="C48">
        <v>23.634499999999999</v>
      </c>
      <c r="D48">
        <v>-102.5528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1</v>
      </c>
      <c r="AU48">
        <v>1</v>
      </c>
      <c r="AV48">
        <v>1</v>
      </c>
      <c r="AW48">
        <v>1</v>
      </c>
      <c r="AX48">
        <v>1</v>
      </c>
      <c r="AY48">
        <v>1</v>
      </c>
      <c r="AZ48">
        <v>1</v>
      </c>
      <c r="BA48">
        <v>4</v>
      </c>
      <c r="BB48">
        <v>4</v>
      </c>
      <c r="BC48">
        <v>4</v>
      </c>
      <c r="BD48">
        <v>4</v>
      </c>
      <c r="BE48">
        <v>4</v>
      </c>
      <c r="BF48">
        <v>4</v>
      </c>
      <c r="BG48">
        <v>4</v>
      </c>
      <c r="BH48">
        <v>4</v>
      </c>
      <c r="BI48">
        <v>4</v>
      </c>
      <c r="BJ48">
        <v>4</v>
      </c>
      <c r="BK48">
        <v>4</v>
      </c>
      <c r="BL48">
        <v>4</v>
      </c>
      <c r="BM48">
        <v>4</v>
      </c>
      <c r="BN48">
        <v>4</v>
      </c>
    </row>
    <row r="49" spans="1:66" x14ac:dyDescent="0.3">
      <c r="B49" t="s">
        <v>95</v>
      </c>
      <c r="C49">
        <v>-40.900599999999997</v>
      </c>
      <c r="D49">
        <v>174.886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:66" x14ac:dyDescent="0.3">
      <c r="B50" t="s">
        <v>96</v>
      </c>
      <c r="C50">
        <v>9.0820000000000007</v>
      </c>
      <c r="D50">
        <v>8.6753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1</v>
      </c>
      <c r="BJ50">
        <v>1</v>
      </c>
      <c r="BK50">
        <v>1</v>
      </c>
      <c r="BL50">
        <v>1</v>
      </c>
      <c r="BM50">
        <v>2</v>
      </c>
      <c r="BN50">
        <v>2</v>
      </c>
    </row>
    <row r="51" spans="1:66" x14ac:dyDescent="0.3">
      <c r="A51" t="s">
        <v>97</v>
      </c>
      <c r="B51" t="s">
        <v>48</v>
      </c>
      <c r="C51">
        <v>-31.950500000000002</v>
      </c>
      <c r="D51">
        <v>115.8605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</row>
    <row r="52" spans="1:66" x14ac:dyDescent="0.3">
      <c r="B52" t="s">
        <v>98</v>
      </c>
      <c r="C52">
        <v>53.142400000000002</v>
      </c>
      <c r="D52">
        <v>-7.6920999999999999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5</v>
      </c>
      <c r="BI52">
        <v>5</v>
      </c>
      <c r="BJ52">
        <v>5</v>
      </c>
      <c r="BK52">
        <v>5</v>
      </c>
      <c r="BL52">
        <v>5</v>
      </c>
      <c r="BM52">
        <v>5</v>
      </c>
      <c r="BN52">
        <v>5</v>
      </c>
    </row>
    <row r="53" spans="1:66" x14ac:dyDescent="0.3">
      <c r="B53" t="s">
        <v>99</v>
      </c>
      <c r="C53">
        <v>49.815300000000001</v>
      </c>
      <c r="D53">
        <v>6.1295999999999999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6</v>
      </c>
      <c r="BN53">
        <v>6</v>
      </c>
    </row>
    <row r="54" spans="1:66" x14ac:dyDescent="0.3">
      <c r="B54" t="s">
        <v>100</v>
      </c>
      <c r="C54">
        <v>43.7333</v>
      </c>
      <c r="D54">
        <v>7.4166999999999996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1</v>
      </c>
    </row>
    <row r="55" spans="1:66" x14ac:dyDescent="0.3">
      <c r="B55" t="s">
        <v>101</v>
      </c>
      <c r="C55">
        <v>25.354800000000001</v>
      </c>
      <c r="D55">
        <v>51.183900000000001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4</v>
      </c>
      <c r="BF55">
        <v>4</v>
      </c>
      <c r="BG55">
        <v>4</v>
      </c>
      <c r="BH55">
        <v>4</v>
      </c>
      <c r="BI55">
        <v>4</v>
      </c>
      <c r="BJ55">
        <v>4</v>
      </c>
      <c r="BK55">
        <v>10</v>
      </c>
      <c r="BL55">
        <v>27</v>
      </c>
      <c r="BM55">
        <v>33</v>
      </c>
      <c r="BN55">
        <v>33</v>
      </c>
    </row>
    <row r="56" spans="1:66" x14ac:dyDescent="0.3">
      <c r="B56" t="s">
        <v>103</v>
      </c>
      <c r="C56">
        <v>-1.8311999999999999</v>
      </c>
      <c r="D56">
        <v>-78.183400000000006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3</v>
      </c>
      <c r="BM56">
        <v>3</v>
      </c>
      <c r="BN56">
        <v>3</v>
      </c>
    </row>
    <row r="57" spans="1:66" x14ac:dyDescent="0.3">
      <c r="B57" t="s">
        <v>104</v>
      </c>
      <c r="C57">
        <v>40.143099999999997</v>
      </c>
      <c r="D57">
        <v>47.576900000000002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3</v>
      </c>
      <c r="BC57">
        <v>3</v>
      </c>
      <c r="BD57">
        <v>3</v>
      </c>
      <c r="BE57">
        <v>3</v>
      </c>
      <c r="BF57">
        <v>6</v>
      </c>
      <c r="BG57">
        <v>6</v>
      </c>
      <c r="BH57">
        <v>6</v>
      </c>
      <c r="BI57">
        <v>6</v>
      </c>
      <c r="BJ57">
        <v>6</v>
      </c>
      <c r="BK57">
        <v>6</v>
      </c>
      <c r="BL57">
        <v>11</v>
      </c>
      <c r="BM57">
        <v>10</v>
      </c>
      <c r="BN57">
        <v>10</v>
      </c>
    </row>
    <row r="58" spans="1:66" x14ac:dyDescent="0.3">
      <c r="B58" t="s">
        <v>105</v>
      </c>
      <c r="C58">
        <v>40.069099999999999</v>
      </c>
      <c r="D58">
        <v>45.038200000000003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1</v>
      </c>
      <c r="BI58">
        <v>1</v>
      </c>
      <c r="BJ58">
        <v>1</v>
      </c>
      <c r="BK58">
        <v>1</v>
      </c>
      <c r="BL58">
        <v>1</v>
      </c>
      <c r="BM58">
        <v>2</v>
      </c>
      <c r="BN58">
        <v>2</v>
      </c>
    </row>
    <row r="59" spans="1:66" x14ac:dyDescent="0.3">
      <c r="B59" t="s">
        <v>106</v>
      </c>
      <c r="C59">
        <v>18.735700000000001</v>
      </c>
      <c r="D59">
        <v>-70.162700000000001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</row>
    <row r="60" spans="1:66" x14ac:dyDescent="0.3">
      <c r="B60" t="s">
        <v>107</v>
      </c>
      <c r="C60">
        <v>-0.7893</v>
      </c>
      <c r="D60">
        <v>113.9213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2</v>
      </c>
      <c r="BB60">
        <v>2</v>
      </c>
      <c r="BC60">
        <v>2</v>
      </c>
      <c r="BD60">
        <v>2</v>
      </c>
      <c r="BE60">
        <v>8</v>
      </c>
      <c r="BF60">
        <v>8</v>
      </c>
      <c r="BG60">
        <v>8</v>
      </c>
      <c r="BH60">
        <v>8</v>
      </c>
      <c r="BI60">
        <v>11</v>
      </c>
      <c r="BJ60">
        <v>11</v>
      </c>
      <c r="BK60">
        <v>15</v>
      </c>
      <c r="BL60">
        <v>15</v>
      </c>
      <c r="BM60">
        <v>29</v>
      </c>
      <c r="BN60">
        <v>29</v>
      </c>
    </row>
    <row r="61" spans="1:66" x14ac:dyDescent="0.3">
      <c r="B61" t="s">
        <v>108</v>
      </c>
      <c r="C61">
        <v>39.399900000000002</v>
      </c>
      <c r="D61">
        <v>-8.2245000000000008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1</v>
      </c>
      <c r="BE61">
        <v>2</v>
      </c>
      <c r="BF61">
        <v>2</v>
      </c>
      <c r="BG61">
        <v>3</v>
      </c>
      <c r="BH61">
        <v>3</v>
      </c>
      <c r="BI61">
        <v>3</v>
      </c>
      <c r="BJ61">
        <v>3</v>
      </c>
      <c r="BK61">
        <v>5</v>
      </c>
      <c r="BL61">
        <v>5</v>
      </c>
      <c r="BM61">
        <v>5</v>
      </c>
      <c r="BN61">
        <v>5</v>
      </c>
    </row>
    <row r="62" spans="1:66" x14ac:dyDescent="0.3">
      <c r="B62" t="s">
        <v>109</v>
      </c>
      <c r="C62">
        <v>42.506300000000003</v>
      </c>
      <c r="D62">
        <v>1.5218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1</v>
      </c>
      <c r="BD62">
        <v>0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1</v>
      </c>
      <c r="BL62">
        <v>1</v>
      </c>
      <c r="BM62">
        <v>1</v>
      </c>
      <c r="BN62">
        <v>1</v>
      </c>
    </row>
    <row r="63" spans="1:66" x14ac:dyDescent="0.3">
      <c r="A63" t="s">
        <v>110</v>
      </c>
      <c r="B63" t="s">
        <v>48</v>
      </c>
      <c r="C63">
        <v>-41.454500000000003</v>
      </c>
      <c r="D63">
        <v>145.97069999999999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3</v>
      </c>
      <c r="BK63">
        <v>3</v>
      </c>
      <c r="BL63">
        <v>3</v>
      </c>
      <c r="BM63">
        <v>3</v>
      </c>
      <c r="BN63">
        <v>3</v>
      </c>
    </row>
    <row r="64" spans="1:66" x14ac:dyDescent="0.3">
      <c r="B64" t="s">
        <v>111</v>
      </c>
      <c r="C64">
        <v>56.879600000000003</v>
      </c>
      <c r="D64">
        <v>24.603200000000001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1</v>
      </c>
      <c r="BB64">
        <v>1</v>
      </c>
      <c r="BC64">
        <v>1</v>
      </c>
      <c r="BD64">
        <v>1</v>
      </c>
      <c r="BE64">
        <v>1</v>
      </c>
      <c r="BF64">
        <v>1</v>
      </c>
      <c r="BG64">
        <v>1</v>
      </c>
      <c r="BH64">
        <v>1</v>
      </c>
      <c r="BI64">
        <v>1</v>
      </c>
      <c r="BJ64">
        <v>1</v>
      </c>
      <c r="BK64">
        <v>1</v>
      </c>
      <c r="BL64">
        <v>1</v>
      </c>
      <c r="BM64">
        <v>1</v>
      </c>
      <c r="BN64">
        <v>1</v>
      </c>
    </row>
    <row r="65" spans="1:66" x14ac:dyDescent="0.3">
      <c r="B65" t="s">
        <v>112</v>
      </c>
      <c r="C65">
        <v>31.791699999999999</v>
      </c>
      <c r="D65">
        <v>-7.0926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1</v>
      </c>
      <c r="BE65">
        <v>1</v>
      </c>
      <c r="BF65">
        <v>1</v>
      </c>
      <c r="BG65">
        <v>1</v>
      </c>
      <c r="BH65">
        <v>1</v>
      </c>
      <c r="BI65">
        <v>1</v>
      </c>
      <c r="BJ65">
        <v>1</v>
      </c>
      <c r="BK65">
        <v>1</v>
      </c>
      <c r="BL65">
        <v>3</v>
      </c>
      <c r="BM65">
        <v>3</v>
      </c>
      <c r="BN65">
        <v>3</v>
      </c>
    </row>
    <row r="66" spans="1:66" x14ac:dyDescent="0.3">
      <c r="B66" t="s">
        <v>113</v>
      </c>
      <c r="C66">
        <v>24</v>
      </c>
      <c r="D66">
        <v>45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2</v>
      </c>
      <c r="BH66">
        <v>6</v>
      </c>
      <c r="BI66">
        <v>6</v>
      </c>
      <c r="BJ66">
        <v>6</v>
      </c>
      <c r="BK66">
        <v>8</v>
      </c>
      <c r="BL66">
        <v>16</v>
      </c>
      <c r="BM66">
        <v>16</v>
      </c>
      <c r="BN66">
        <v>16</v>
      </c>
    </row>
    <row r="67" spans="1:66" x14ac:dyDescent="0.3">
      <c r="B67" t="s">
        <v>114</v>
      </c>
      <c r="C67">
        <v>14.497400000000001</v>
      </c>
      <c r="D67">
        <v>-14.452400000000001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1</v>
      </c>
      <c r="AZ67">
        <v>1</v>
      </c>
      <c r="BA67">
        <v>1</v>
      </c>
      <c r="BB67">
        <v>1</v>
      </c>
      <c r="BC67">
        <v>1</v>
      </c>
      <c r="BD67">
        <v>1</v>
      </c>
      <c r="BE67">
        <v>1</v>
      </c>
      <c r="BF67">
        <v>1</v>
      </c>
      <c r="BG67">
        <v>2</v>
      </c>
      <c r="BH67">
        <v>2</v>
      </c>
      <c r="BI67">
        <v>2</v>
      </c>
      <c r="BJ67">
        <v>2</v>
      </c>
      <c r="BK67">
        <v>2</v>
      </c>
      <c r="BL67">
        <v>5</v>
      </c>
      <c r="BM67">
        <v>5</v>
      </c>
      <c r="BN67">
        <v>5</v>
      </c>
    </row>
    <row r="68" spans="1:66" x14ac:dyDescent="0.3">
      <c r="B68" t="s">
        <v>123</v>
      </c>
      <c r="C68">
        <v>-38.4161</v>
      </c>
      <c r="D68">
        <v>-63.616700000000002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1</v>
      </c>
      <c r="BF68">
        <v>1</v>
      </c>
      <c r="BG68">
        <v>1</v>
      </c>
      <c r="BH68">
        <v>3</v>
      </c>
      <c r="BI68">
        <v>3</v>
      </c>
      <c r="BJ68">
        <v>3</v>
      </c>
      <c r="BK68">
        <v>3</v>
      </c>
      <c r="BL68">
        <v>3</v>
      </c>
      <c r="BM68">
        <v>3</v>
      </c>
      <c r="BN68">
        <v>3</v>
      </c>
    </row>
    <row r="69" spans="1:66" x14ac:dyDescent="0.3">
      <c r="B69" t="s">
        <v>124</v>
      </c>
      <c r="C69">
        <v>-35.6751</v>
      </c>
      <c r="D69">
        <v>-71.543000000000006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6</v>
      </c>
      <c r="BL69">
        <v>6</v>
      </c>
      <c r="BM69">
        <v>8</v>
      </c>
      <c r="BN69">
        <v>8</v>
      </c>
    </row>
    <row r="70" spans="1:66" x14ac:dyDescent="0.3">
      <c r="B70" t="s">
        <v>125</v>
      </c>
      <c r="C70">
        <v>31.24</v>
      </c>
      <c r="D70">
        <v>36.51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1</v>
      </c>
      <c r="BE70">
        <v>1</v>
      </c>
      <c r="BF70">
        <v>1</v>
      </c>
      <c r="BG70">
        <v>1</v>
      </c>
      <c r="BH70">
        <v>1</v>
      </c>
      <c r="BI70">
        <v>1</v>
      </c>
      <c r="BJ70">
        <v>1</v>
      </c>
      <c r="BK70">
        <v>1</v>
      </c>
      <c r="BL70">
        <v>1</v>
      </c>
      <c r="BM70">
        <v>1</v>
      </c>
      <c r="BN70">
        <v>1</v>
      </c>
    </row>
    <row r="71" spans="1:66" x14ac:dyDescent="0.3">
      <c r="B71" t="s">
        <v>129</v>
      </c>
      <c r="C71">
        <v>48.379399999999997</v>
      </c>
      <c r="D71">
        <v>31.165600000000001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1</v>
      </c>
      <c r="BM71">
        <v>1</v>
      </c>
      <c r="BN71">
        <v>1</v>
      </c>
    </row>
    <row r="72" spans="1:66" x14ac:dyDescent="0.3">
      <c r="B72" t="s">
        <v>132</v>
      </c>
      <c r="C72">
        <v>47.162500000000001</v>
      </c>
      <c r="D72">
        <v>19.503299999999999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1</v>
      </c>
      <c r="BF72">
        <v>1</v>
      </c>
      <c r="BG72">
        <v>1</v>
      </c>
      <c r="BH72">
        <v>2</v>
      </c>
      <c r="BI72">
        <v>2</v>
      </c>
      <c r="BJ72">
        <v>2</v>
      </c>
      <c r="BK72">
        <v>2</v>
      </c>
      <c r="BL72">
        <v>7</v>
      </c>
      <c r="BM72">
        <v>16</v>
      </c>
      <c r="BN72">
        <v>16</v>
      </c>
    </row>
    <row r="73" spans="1:66" x14ac:dyDescent="0.3">
      <c r="A73" t="s">
        <v>133</v>
      </c>
      <c r="B73" t="s">
        <v>48</v>
      </c>
      <c r="C73">
        <v>-12.4634</v>
      </c>
      <c r="D73">
        <v>130.84559999999999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</row>
    <row r="74" spans="1:66" x14ac:dyDescent="0.3">
      <c r="B74" t="s">
        <v>136</v>
      </c>
      <c r="C74">
        <v>47.14</v>
      </c>
      <c r="D74">
        <v>9.5500000000000007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</row>
    <row r="75" spans="1:66" x14ac:dyDescent="0.3">
      <c r="B75" t="s">
        <v>137</v>
      </c>
      <c r="C75">
        <v>51.919400000000003</v>
      </c>
      <c r="D75">
        <v>19.145099999999999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13</v>
      </c>
      <c r="BH75">
        <v>13</v>
      </c>
      <c r="BI75">
        <v>13</v>
      </c>
      <c r="BJ75">
        <v>1</v>
      </c>
      <c r="BK75">
        <v>1</v>
      </c>
      <c r="BL75">
        <v>1</v>
      </c>
      <c r="BM75">
        <v>1</v>
      </c>
      <c r="BN75">
        <v>1</v>
      </c>
    </row>
    <row r="76" spans="1:66" x14ac:dyDescent="0.3">
      <c r="B76" t="s">
        <v>138</v>
      </c>
      <c r="C76">
        <v>34</v>
      </c>
      <c r="D76">
        <v>9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1</v>
      </c>
      <c r="BN76">
        <v>1</v>
      </c>
    </row>
    <row r="77" spans="1:66" x14ac:dyDescent="0.3">
      <c r="B77" t="s">
        <v>140</v>
      </c>
      <c r="C77">
        <v>43.915900000000001</v>
      </c>
      <c r="D77">
        <v>17.679099999999998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2</v>
      </c>
      <c r="BI77">
        <v>2</v>
      </c>
      <c r="BJ77">
        <v>2</v>
      </c>
      <c r="BK77">
        <v>2</v>
      </c>
      <c r="BL77">
        <v>2</v>
      </c>
      <c r="BM77">
        <v>2</v>
      </c>
      <c r="BN77">
        <v>2</v>
      </c>
    </row>
    <row r="78" spans="1:66" x14ac:dyDescent="0.3">
      <c r="B78" t="s">
        <v>141</v>
      </c>
      <c r="C78">
        <v>46.151200000000003</v>
      </c>
      <c r="D78">
        <v>14.9955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</row>
    <row r="79" spans="1:66" x14ac:dyDescent="0.3">
      <c r="B79" t="s">
        <v>145</v>
      </c>
      <c r="C79">
        <v>-30.5595</v>
      </c>
      <c r="D79">
        <v>22.9375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</row>
    <row r="80" spans="1:66" x14ac:dyDescent="0.3">
      <c r="B80" t="s">
        <v>156</v>
      </c>
      <c r="C80">
        <v>27.514199999999999</v>
      </c>
      <c r="D80">
        <v>90.433599999999998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</row>
    <row r="81" spans="1:66" x14ac:dyDescent="0.3">
      <c r="B81" t="s">
        <v>157</v>
      </c>
      <c r="C81">
        <v>3.8479999999999999</v>
      </c>
      <c r="D81">
        <v>11.5021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</row>
    <row r="82" spans="1:66" x14ac:dyDescent="0.3">
      <c r="B82" t="s">
        <v>158</v>
      </c>
      <c r="C82">
        <v>4.5709</v>
      </c>
      <c r="D82">
        <v>-74.297300000000007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1</v>
      </c>
      <c r="BI82">
        <v>1</v>
      </c>
      <c r="BJ82">
        <v>1</v>
      </c>
      <c r="BK82">
        <v>1</v>
      </c>
      <c r="BL82">
        <v>1</v>
      </c>
      <c r="BM82">
        <v>3</v>
      </c>
      <c r="BN82">
        <v>3</v>
      </c>
    </row>
    <row r="83" spans="1:66" x14ac:dyDescent="0.3">
      <c r="B83" t="s">
        <v>159</v>
      </c>
      <c r="C83">
        <v>9.7489000000000008</v>
      </c>
      <c r="D83">
        <v>-83.753399999999999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2</v>
      </c>
      <c r="BM83">
        <v>2</v>
      </c>
      <c r="BN83">
        <v>2</v>
      </c>
    </row>
    <row r="84" spans="1:66" x14ac:dyDescent="0.3">
      <c r="B84" t="s">
        <v>160</v>
      </c>
      <c r="C84">
        <v>-9.19</v>
      </c>
      <c r="D84">
        <v>-75.015199999999993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1</v>
      </c>
      <c r="BI84">
        <v>1</v>
      </c>
      <c r="BJ84">
        <v>1</v>
      </c>
      <c r="BK84">
        <v>1</v>
      </c>
      <c r="BL84">
        <v>1</v>
      </c>
      <c r="BM84">
        <v>1</v>
      </c>
      <c r="BN84">
        <v>1</v>
      </c>
    </row>
    <row r="85" spans="1:66" x14ac:dyDescent="0.3">
      <c r="B85" t="s">
        <v>161</v>
      </c>
      <c r="C85">
        <v>44.016500000000001</v>
      </c>
      <c r="D85">
        <v>21.0059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1</v>
      </c>
      <c r="BH85">
        <v>1</v>
      </c>
      <c r="BI85">
        <v>1</v>
      </c>
      <c r="BJ85">
        <v>1</v>
      </c>
      <c r="BK85">
        <v>1</v>
      </c>
      <c r="BL85">
        <v>1</v>
      </c>
      <c r="BM85">
        <v>1</v>
      </c>
      <c r="BN85">
        <v>1</v>
      </c>
    </row>
    <row r="86" spans="1:66" x14ac:dyDescent="0.3">
      <c r="B86" t="s">
        <v>162</v>
      </c>
      <c r="C86">
        <v>48.668999999999997</v>
      </c>
      <c r="D86">
        <v>19.699000000000002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7</v>
      </c>
      <c r="BN86">
        <v>7</v>
      </c>
    </row>
    <row r="87" spans="1:66" x14ac:dyDescent="0.3">
      <c r="B87" t="s">
        <v>163</v>
      </c>
      <c r="C87">
        <v>8.6195000000000004</v>
      </c>
      <c r="D87">
        <v>0.82479999999999998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1</v>
      </c>
      <c r="BL87">
        <v>1</v>
      </c>
      <c r="BM87">
        <v>1</v>
      </c>
      <c r="BN87">
        <v>1</v>
      </c>
    </row>
    <row r="88" spans="1:66" x14ac:dyDescent="0.3">
      <c r="B88" t="s">
        <v>177</v>
      </c>
      <c r="C88">
        <v>35.9375</v>
      </c>
      <c r="D88">
        <v>14.375400000000001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1</v>
      </c>
      <c r="BE88">
        <v>1</v>
      </c>
      <c r="BF88">
        <v>1</v>
      </c>
      <c r="BG88">
        <v>2</v>
      </c>
      <c r="BH88">
        <v>2</v>
      </c>
      <c r="BI88">
        <v>2</v>
      </c>
      <c r="BJ88">
        <v>2</v>
      </c>
      <c r="BK88">
        <v>2</v>
      </c>
      <c r="BL88">
        <v>2</v>
      </c>
      <c r="BM88">
        <v>2</v>
      </c>
      <c r="BN88">
        <v>2</v>
      </c>
    </row>
    <row r="89" spans="1:66" x14ac:dyDescent="0.3">
      <c r="B89" t="s">
        <v>180</v>
      </c>
      <c r="C89">
        <v>14.641500000000001</v>
      </c>
      <c r="D89">
        <v>-61.0242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</row>
    <row r="90" spans="1:66" x14ac:dyDescent="0.3">
      <c r="B90" t="s">
        <v>199</v>
      </c>
      <c r="C90">
        <v>42.733899999999998</v>
      </c>
      <c r="D90">
        <v>25.485800000000001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3</v>
      </c>
      <c r="BM90">
        <v>3</v>
      </c>
      <c r="BN90">
        <v>3</v>
      </c>
    </row>
    <row r="91" spans="1:66" x14ac:dyDescent="0.3">
      <c r="B91" t="s">
        <v>200</v>
      </c>
      <c r="C91">
        <v>3.2027999999999999</v>
      </c>
      <c r="D91">
        <v>73.220699999999994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</row>
    <row r="92" spans="1:66" x14ac:dyDescent="0.3">
      <c r="B92" t="s">
        <v>202</v>
      </c>
      <c r="C92">
        <v>23.684999999999999</v>
      </c>
      <c r="D92">
        <v>90.356300000000005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2</v>
      </c>
      <c r="BH92">
        <v>3</v>
      </c>
      <c r="BI92">
        <v>3</v>
      </c>
      <c r="BJ92">
        <v>3</v>
      </c>
      <c r="BK92">
        <v>3</v>
      </c>
      <c r="BL92">
        <v>3</v>
      </c>
      <c r="BM92">
        <v>3</v>
      </c>
      <c r="BN92">
        <v>3</v>
      </c>
    </row>
    <row r="93" spans="1:66" x14ac:dyDescent="0.3">
      <c r="B93" t="s">
        <v>206</v>
      </c>
      <c r="C93">
        <v>-23.442499999999999</v>
      </c>
      <c r="D93">
        <v>-58.443800000000003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</row>
    <row r="94" spans="1:66" x14ac:dyDescent="0.3">
      <c r="A94" t="s">
        <v>226</v>
      </c>
      <c r="B94" t="s">
        <v>45</v>
      </c>
      <c r="C94">
        <v>51.253799999999998</v>
      </c>
      <c r="D94">
        <v>-85.3232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1</v>
      </c>
      <c r="AA94">
        <v>1</v>
      </c>
      <c r="AB94">
        <v>1</v>
      </c>
      <c r="AC94">
        <v>1</v>
      </c>
      <c r="AD94">
        <v>1</v>
      </c>
      <c r="AE94">
        <v>1</v>
      </c>
      <c r="AF94">
        <v>1</v>
      </c>
      <c r="AG94">
        <v>1</v>
      </c>
      <c r="AH94">
        <v>1</v>
      </c>
      <c r="AI94">
        <v>3</v>
      </c>
      <c r="AJ94">
        <v>3</v>
      </c>
      <c r="AK94">
        <v>3</v>
      </c>
      <c r="AL94">
        <v>3</v>
      </c>
      <c r="AM94">
        <v>3</v>
      </c>
      <c r="AN94">
        <v>3</v>
      </c>
      <c r="AO94">
        <v>3</v>
      </c>
      <c r="AP94">
        <v>3</v>
      </c>
      <c r="AQ94">
        <v>3</v>
      </c>
      <c r="AR94">
        <v>3</v>
      </c>
      <c r="AS94">
        <v>3</v>
      </c>
      <c r="AT94">
        <v>3</v>
      </c>
      <c r="AU94">
        <v>3</v>
      </c>
      <c r="AV94">
        <v>3</v>
      </c>
      <c r="AW94">
        <v>3</v>
      </c>
      <c r="AX94">
        <v>4</v>
      </c>
      <c r="AY94">
        <v>4</v>
      </c>
      <c r="AZ94">
        <v>4</v>
      </c>
      <c r="BA94">
        <v>4</v>
      </c>
      <c r="BB94">
        <v>4</v>
      </c>
      <c r="BC94">
        <v>4</v>
      </c>
      <c r="BD94">
        <v>4</v>
      </c>
      <c r="BE94">
        <v>4</v>
      </c>
      <c r="BF94">
        <v>4</v>
      </c>
      <c r="BG94">
        <v>5</v>
      </c>
      <c r="BH94">
        <v>5</v>
      </c>
      <c r="BI94">
        <v>5</v>
      </c>
      <c r="BJ94">
        <v>5</v>
      </c>
      <c r="BK94">
        <v>5</v>
      </c>
      <c r="BL94">
        <v>6</v>
      </c>
      <c r="BM94">
        <v>6</v>
      </c>
      <c r="BN94">
        <v>6</v>
      </c>
    </row>
    <row r="95" spans="1:66" x14ac:dyDescent="0.3">
      <c r="A95" t="s">
        <v>227</v>
      </c>
      <c r="B95" t="s">
        <v>45</v>
      </c>
      <c r="C95">
        <v>53.933300000000003</v>
      </c>
      <c r="D95">
        <v>-116.5765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</row>
    <row r="96" spans="1:66" x14ac:dyDescent="0.3">
      <c r="A96" t="s">
        <v>228</v>
      </c>
      <c r="B96" t="s">
        <v>45</v>
      </c>
      <c r="C96">
        <v>52.939900000000002</v>
      </c>
      <c r="D96">
        <v>-73.549099999999996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</row>
    <row r="97" spans="1:66" x14ac:dyDescent="0.3">
      <c r="B97" t="s">
        <v>230</v>
      </c>
      <c r="C97">
        <v>41.153300000000002</v>
      </c>
      <c r="D97">
        <v>20.168299999999999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2</v>
      </c>
      <c r="BM97">
        <v>2</v>
      </c>
      <c r="BN97">
        <v>2</v>
      </c>
    </row>
    <row r="98" spans="1:66" x14ac:dyDescent="0.3">
      <c r="B98" t="s">
        <v>231</v>
      </c>
      <c r="C98">
        <v>35.126399999999997</v>
      </c>
      <c r="D98">
        <v>33.429900000000004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3</v>
      </c>
      <c r="BN98">
        <v>3</v>
      </c>
    </row>
    <row r="99" spans="1:66" x14ac:dyDescent="0.3">
      <c r="B99" t="s">
        <v>233</v>
      </c>
      <c r="C99">
        <v>4.5353000000000003</v>
      </c>
      <c r="D99">
        <v>114.7277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1</v>
      </c>
      <c r="BL99">
        <v>2</v>
      </c>
      <c r="BM99">
        <v>2</v>
      </c>
      <c r="BN99">
        <v>2</v>
      </c>
    </row>
    <row r="100" spans="1:66" x14ac:dyDescent="0.3">
      <c r="A100" t="s">
        <v>243</v>
      </c>
      <c r="B100" t="s">
        <v>38</v>
      </c>
      <c r="C100">
        <v>47.4009</v>
      </c>
      <c r="D100">
        <v>-121.4905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1</v>
      </c>
      <c r="BB100">
        <v>1</v>
      </c>
      <c r="BC100">
        <v>1</v>
      </c>
      <c r="BD100">
        <v>1</v>
      </c>
      <c r="BE100">
        <v>1</v>
      </c>
      <c r="BF100">
        <v>1</v>
      </c>
      <c r="BG100">
        <v>1</v>
      </c>
      <c r="BH100">
        <v>1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</row>
    <row r="101" spans="1:66" x14ac:dyDescent="0.3">
      <c r="A101" t="s">
        <v>244</v>
      </c>
      <c r="B101" t="s">
        <v>38</v>
      </c>
      <c r="C101">
        <v>42.165700000000001</v>
      </c>
      <c r="D101">
        <v>-74.948099999999997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</row>
    <row r="102" spans="1:66" x14ac:dyDescent="0.3">
      <c r="A102" t="s">
        <v>245</v>
      </c>
      <c r="B102" t="s">
        <v>38</v>
      </c>
      <c r="C102">
        <v>36.116199999999999</v>
      </c>
      <c r="D102">
        <v>-119.6816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2</v>
      </c>
      <c r="BB102">
        <v>2</v>
      </c>
      <c r="BC102">
        <v>6</v>
      </c>
      <c r="BD102">
        <v>6</v>
      </c>
      <c r="BE102">
        <v>6</v>
      </c>
      <c r="BF102">
        <v>6</v>
      </c>
      <c r="BG102">
        <v>6</v>
      </c>
      <c r="BH102">
        <v>6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</row>
    <row r="103" spans="1:66" x14ac:dyDescent="0.3">
      <c r="A103" t="s">
        <v>247</v>
      </c>
      <c r="B103" t="s">
        <v>38</v>
      </c>
      <c r="C103">
        <v>42.230200000000004</v>
      </c>
      <c r="D103">
        <v>-71.530100000000004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1</v>
      </c>
      <c r="BB103">
        <v>1</v>
      </c>
      <c r="BC103">
        <v>1</v>
      </c>
      <c r="BD103">
        <v>1</v>
      </c>
      <c r="BE103">
        <v>1</v>
      </c>
      <c r="BF103">
        <v>1</v>
      </c>
      <c r="BG103">
        <v>1</v>
      </c>
      <c r="BH103">
        <v>1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</row>
    <row r="104" spans="1:66" x14ac:dyDescent="0.3">
      <c r="A104" t="s">
        <v>248</v>
      </c>
      <c r="B104" t="s">
        <v>38</v>
      </c>
      <c r="C104">
        <v>35.4437</v>
      </c>
      <c r="D104">
        <v>139.63800000000001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</row>
    <row r="105" spans="1:66" x14ac:dyDescent="0.3">
      <c r="A105" t="s">
        <v>249</v>
      </c>
      <c r="B105" t="s">
        <v>38</v>
      </c>
      <c r="C105">
        <v>37.648899999999998</v>
      </c>
      <c r="D105">
        <v>-122.66549999999999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</row>
    <row r="106" spans="1:66" x14ac:dyDescent="0.3">
      <c r="A106" t="s">
        <v>82</v>
      </c>
      <c r="B106" t="s">
        <v>38</v>
      </c>
      <c r="C106">
        <v>33.040599999999998</v>
      </c>
      <c r="D106">
        <v>-83.643100000000004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</row>
    <row r="107" spans="1:66" x14ac:dyDescent="0.3">
      <c r="A107" t="s">
        <v>250</v>
      </c>
      <c r="B107" t="s">
        <v>38</v>
      </c>
      <c r="C107">
        <v>39.059800000000003</v>
      </c>
      <c r="D107">
        <v>-105.3111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</row>
    <row r="108" spans="1:66" x14ac:dyDescent="0.3">
      <c r="A108" t="s">
        <v>251</v>
      </c>
      <c r="B108" t="s">
        <v>38</v>
      </c>
      <c r="C108">
        <v>27.766300000000001</v>
      </c>
      <c r="D108">
        <v>-81.686800000000005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</row>
    <row r="109" spans="1:66" x14ac:dyDescent="0.3">
      <c r="A109" t="s">
        <v>252</v>
      </c>
      <c r="B109" t="s">
        <v>38</v>
      </c>
      <c r="C109">
        <v>40.298900000000003</v>
      </c>
      <c r="D109">
        <v>-74.521000000000001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1</v>
      </c>
      <c r="BH109">
        <v>1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</row>
    <row r="110" spans="1:66" x14ac:dyDescent="0.3">
      <c r="A110" t="s">
        <v>253</v>
      </c>
      <c r="B110" t="s">
        <v>38</v>
      </c>
      <c r="C110">
        <v>44.571999999999903</v>
      </c>
      <c r="D110">
        <v>-122.07089999999999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</row>
    <row r="111" spans="1:66" x14ac:dyDescent="0.3">
      <c r="A111" t="s">
        <v>254</v>
      </c>
      <c r="B111" t="s">
        <v>38</v>
      </c>
      <c r="C111">
        <v>31.054500000000001</v>
      </c>
      <c r="D111">
        <v>-97.563500000000005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</row>
    <row r="112" spans="1:66" x14ac:dyDescent="0.3">
      <c r="A112" t="s">
        <v>255</v>
      </c>
      <c r="B112" t="s">
        <v>38</v>
      </c>
      <c r="C112">
        <v>40.349499999999999</v>
      </c>
      <c r="D112">
        <v>-88.986099999999993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2</v>
      </c>
      <c r="BB112">
        <v>2</v>
      </c>
      <c r="BC112">
        <v>2</v>
      </c>
      <c r="BD112">
        <v>2</v>
      </c>
      <c r="BE112">
        <v>2</v>
      </c>
      <c r="BF112">
        <v>2</v>
      </c>
      <c r="BG112">
        <v>2</v>
      </c>
      <c r="BH112">
        <v>2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</row>
    <row r="113" spans="1:66" x14ac:dyDescent="0.3">
      <c r="A113" t="s">
        <v>256</v>
      </c>
      <c r="B113" t="s">
        <v>38</v>
      </c>
      <c r="C113">
        <v>40.590800000000002</v>
      </c>
      <c r="D113">
        <v>-77.209800000000001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</row>
    <row r="114" spans="1:66" x14ac:dyDescent="0.3">
      <c r="A114" t="s">
        <v>258</v>
      </c>
      <c r="B114" t="s">
        <v>38</v>
      </c>
      <c r="C114">
        <v>42.011499999999998</v>
      </c>
      <c r="D114">
        <v>-93.210499999999996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</row>
    <row r="115" spans="1:66" x14ac:dyDescent="0.3">
      <c r="A115" t="s">
        <v>259</v>
      </c>
      <c r="B115" t="s">
        <v>38</v>
      </c>
      <c r="C115">
        <v>39.063899999999997</v>
      </c>
      <c r="D115">
        <v>-76.802099999999996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3</v>
      </c>
      <c r="BH115">
        <v>3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</row>
    <row r="116" spans="1:66" x14ac:dyDescent="0.3">
      <c r="A116" t="s">
        <v>260</v>
      </c>
      <c r="B116" t="s">
        <v>38</v>
      </c>
      <c r="C116">
        <v>35.630099999999999</v>
      </c>
      <c r="D116">
        <v>-79.806399999999996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</row>
    <row r="117" spans="1:66" x14ac:dyDescent="0.3">
      <c r="A117" t="s">
        <v>261</v>
      </c>
      <c r="B117" t="s">
        <v>38</v>
      </c>
      <c r="C117">
        <v>33.856900000000003</v>
      </c>
      <c r="D117">
        <v>-80.944999999999993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M117">
        <v>0</v>
      </c>
      <c r="BN117">
        <v>0</v>
      </c>
    </row>
    <row r="118" spans="1:66" x14ac:dyDescent="0.3">
      <c r="A118" t="s">
        <v>262</v>
      </c>
      <c r="B118" t="s">
        <v>38</v>
      </c>
      <c r="C118">
        <v>35.747799999999998</v>
      </c>
      <c r="D118">
        <v>-86.692300000000003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</row>
    <row r="119" spans="1:66" x14ac:dyDescent="0.3">
      <c r="A119" t="s">
        <v>263</v>
      </c>
      <c r="B119" t="s">
        <v>38</v>
      </c>
      <c r="C119">
        <v>37.769300000000001</v>
      </c>
      <c r="D119">
        <v>-78.17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</row>
    <row r="120" spans="1:66" x14ac:dyDescent="0.3">
      <c r="A120" t="s">
        <v>264</v>
      </c>
      <c r="B120" t="s">
        <v>38</v>
      </c>
      <c r="C120">
        <v>33.729799999999997</v>
      </c>
      <c r="D120">
        <v>-111.4312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1</v>
      </c>
      <c r="BB120">
        <v>1</v>
      </c>
      <c r="BC120">
        <v>1</v>
      </c>
      <c r="BD120">
        <v>1</v>
      </c>
      <c r="BE120">
        <v>1</v>
      </c>
      <c r="BF120">
        <v>1</v>
      </c>
      <c r="BG120">
        <v>1</v>
      </c>
      <c r="BH120">
        <v>1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</row>
    <row r="121" spans="1:66" x14ac:dyDescent="0.3">
      <c r="A121" t="s">
        <v>265</v>
      </c>
      <c r="B121" t="s">
        <v>38</v>
      </c>
      <c r="C121">
        <v>39.849400000000003</v>
      </c>
      <c r="D121">
        <v>-86.258300000000006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</row>
    <row r="122" spans="1:66" x14ac:dyDescent="0.3">
      <c r="A122" t="s">
        <v>266</v>
      </c>
      <c r="B122" t="s">
        <v>38</v>
      </c>
      <c r="C122">
        <v>37.668100000000003</v>
      </c>
      <c r="D122">
        <v>-84.670100000000005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1</v>
      </c>
      <c r="BH122">
        <v>1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</row>
    <row r="123" spans="1:66" x14ac:dyDescent="0.3">
      <c r="A123" t="s">
        <v>267</v>
      </c>
      <c r="B123" t="s">
        <v>38</v>
      </c>
      <c r="C123">
        <v>38.897399999999998</v>
      </c>
      <c r="D123">
        <v>-77.026799999999994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</row>
    <row r="124" spans="1:66" x14ac:dyDescent="0.3">
      <c r="A124" t="s">
        <v>268</v>
      </c>
      <c r="B124" t="s">
        <v>38</v>
      </c>
      <c r="C124">
        <v>38.313499999999998</v>
      </c>
      <c r="D124">
        <v>-117.05540000000001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  <c r="BN124">
        <v>0</v>
      </c>
    </row>
    <row r="125" spans="1:66" x14ac:dyDescent="0.3">
      <c r="A125" t="s">
        <v>269</v>
      </c>
      <c r="B125" t="s">
        <v>38</v>
      </c>
      <c r="C125">
        <v>43.452500000000001</v>
      </c>
      <c r="D125">
        <v>-71.563900000000004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  <c r="BN125">
        <v>0</v>
      </c>
    </row>
    <row r="126" spans="1:66" x14ac:dyDescent="0.3">
      <c r="A126" t="s">
        <v>270</v>
      </c>
      <c r="B126" t="s">
        <v>38</v>
      </c>
      <c r="C126">
        <v>45.694499999999998</v>
      </c>
      <c r="D126">
        <v>-93.900199999999998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</row>
    <row r="127" spans="1:66" x14ac:dyDescent="0.3">
      <c r="A127" t="s">
        <v>271</v>
      </c>
      <c r="B127" t="s">
        <v>38</v>
      </c>
      <c r="C127">
        <v>41.125399999999999</v>
      </c>
      <c r="D127">
        <v>-98.268100000000004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M127">
        <v>0</v>
      </c>
      <c r="BN127">
        <v>0</v>
      </c>
    </row>
    <row r="128" spans="1:66" x14ac:dyDescent="0.3">
      <c r="A128" t="s">
        <v>272</v>
      </c>
      <c r="B128" t="s">
        <v>38</v>
      </c>
      <c r="C128">
        <v>40.388800000000003</v>
      </c>
      <c r="D128">
        <v>-82.764899999999997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</row>
    <row r="129" spans="1:66" x14ac:dyDescent="0.3">
      <c r="A129" t="s">
        <v>273</v>
      </c>
      <c r="B129" t="s">
        <v>38</v>
      </c>
      <c r="C129">
        <v>41.680900000000001</v>
      </c>
      <c r="D129">
        <v>-71.511799999999994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</row>
    <row r="130" spans="1:66" x14ac:dyDescent="0.3">
      <c r="A130" t="s">
        <v>274</v>
      </c>
      <c r="B130" t="s">
        <v>38</v>
      </c>
      <c r="C130">
        <v>44.268500000000003</v>
      </c>
      <c r="D130">
        <v>-89.616500000000002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1</v>
      </c>
      <c r="BB130">
        <v>1</v>
      </c>
      <c r="BC130">
        <v>1</v>
      </c>
      <c r="BD130">
        <v>1</v>
      </c>
      <c r="BE130">
        <v>1</v>
      </c>
      <c r="BF130">
        <v>1</v>
      </c>
      <c r="BG130">
        <v>1</v>
      </c>
      <c r="BH130">
        <v>1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</row>
    <row r="131" spans="1:66" x14ac:dyDescent="0.3">
      <c r="A131" t="s">
        <v>275</v>
      </c>
      <c r="B131" t="s">
        <v>38</v>
      </c>
      <c r="C131">
        <v>41.597799999999999</v>
      </c>
      <c r="D131">
        <v>-72.755399999999995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M131">
        <v>0</v>
      </c>
      <c r="BN131">
        <v>0</v>
      </c>
    </row>
    <row r="132" spans="1:66" x14ac:dyDescent="0.3">
      <c r="A132" t="s">
        <v>276</v>
      </c>
      <c r="B132" t="s">
        <v>38</v>
      </c>
      <c r="C132">
        <v>21.0943</v>
      </c>
      <c r="D132">
        <v>-157.4983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M132">
        <v>0</v>
      </c>
      <c r="BN132">
        <v>0</v>
      </c>
    </row>
    <row r="133" spans="1:66" x14ac:dyDescent="0.3">
      <c r="A133" t="s">
        <v>277</v>
      </c>
      <c r="B133" t="s">
        <v>38</v>
      </c>
      <c r="C133">
        <v>35.565300000000001</v>
      </c>
      <c r="D133">
        <v>-96.928899999999999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M133">
        <v>0</v>
      </c>
      <c r="BN133">
        <v>0</v>
      </c>
    </row>
    <row r="134" spans="1:66" x14ac:dyDescent="0.3">
      <c r="A134" t="s">
        <v>278</v>
      </c>
      <c r="B134" t="s">
        <v>38</v>
      </c>
      <c r="C134">
        <v>40.15</v>
      </c>
      <c r="D134">
        <v>-111.86239999999999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M134">
        <v>0</v>
      </c>
      <c r="BN134">
        <v>0</v>
      </c>
    </row>
    <row r="135" spans="1:66" x14ac:dyDescent="0.3">
      <c r="B135" t="s">
        <v>279</v>
      </c>
      <c r="C135">
        <v>12.238300000000001</v>
      </c>
      <c r="D135">
        <v>-1.5616000000000001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5</v>
      </c>
      <c r="BM135">
        <v>5</v>
      </c>
      <c r="BN135">
        <v>5</v>
      </c>
    </row>
    <row r="136" spans="1:66" x14ac:dyDescent="0.3">
      <c r="B136" t="s">
        <v>281</v>
      </c>
      <c r="C136">
        <v>41.902900000000002</v>
      </c>
      <c r="D136">
        <v>12.4534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M136">
        <v>0</v>
      </c>
      <c r="BN136">
        <v>0</v>
      </c>
    </row>
    <row r="137" spans="1:66" x14ac:dyDescent="0.3">
      <c r="B137" t="s">
        <v>282</v>
      </c>
      <c r="C137">
        <v>46.862499999999997</v>
      </c>
      <c r="D137">
        <v>103.8467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</row>
    <row r="138" spans="1:66" x14ac:dyDescent="0.3">
      <c r="B138" t="s">
        <v>283</v>
      </c>
      <c r="C138">
        <v>8.5380000000000003</v>
      </c>
      <c r="D138">
        <v>-80.7821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0</v>
      </c>
    </row>
    <row r="139" spans="1:66" x14ac:dyDescent="0.3">
      <c r="A139" t="s">
        <v>284</v>
      </c>
      <c r="B139" t="s">
        <v>38</v>
      </c>
      <c r="C139">
        <v>38.526600000000002</v>
      </c>
      <c r="D139">
        <v>-96.726500000000001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M139">
        <v>0</v>
      </c>
      <c r="BN139">
        <v>0</v>
      </c>
    </row>
    <row r="140" spans="1:66" x14ac:dyDescent="0.3">
      <c r="A140" t="s">
        <v>285</v>
      </c>
      <c r="B140" t="s">
        <v>38</v>
      </c>
      <c r="C140">
        <v>31.169499999999999</v>
      </c>
      <c r="D140">
        <v>-91.867800000000003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  <c r="BN140">
        <v>0</v>
      </c>
    </row>
    <row r="141" spans="1:66" x14ac:dyDescent="0.3">
      <c r="A141" t="s">
        <v>286</v>
      </c>
      <c r="B141" t="s">
        <v>38</v>
      </c>
      <c r="C141">
        <v>38.456099999999999</v>
      </c>
      <c r="D141">
        <v>-92.288399999999996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0</v>
      </c>
      <c r="BN141">
        <v>0</v>
      </c>
    </row>
    <row r="142" spans="1:66" x14ac:dyDescent="0.3">
      <c r="A142" t="s">
        <v>287</v>
      </c>
      <c r="B142" t="s">
        <v>38</v>
      </c>
      <c r="C142">
        <v>44.045900000000003</v>
      </c>
      <c r="D142">
        <v>-72.710700000000003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</row>
    <row r="143" spans="1:66" x14ac:dyDescent="0.3">
      <c r="A143" t="s">
        <v>288</v>
      </c>
      <c r="B143" t="s">
        <v>38</v>
      </c>
      <c r="C143">
        <v>61.370699999999999</v>
      </c>
      <c r="D143">
        <v>-152.40440000000001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M143">
        <v>0</v>
      </c>
      <c r="BN143">
        <v>0</v>
      </c>
    </row>
    <row r="144" spans="1:66" x14ac:dyDescent="0.3">
      <c r="A144" t="s">
        <v>289</v>
      </c>
      <c r="B144" t="s">
        <v>38</v>
      </c>
      <c r="C144">
        <v>34.969700000000003</v>
      </c>
      <c r="D144">
        <v>-92.373099999999994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</row>
    <row r="145" spans="1:66" x14ac:dyDescent="0.3">
      <c r="A145" t="s">
        <v>290</v>
      </c>
      <c r="B145" t="s">
        <v>38</v>
      </c>
      <c r="C145">
        <v>39.3185</v>
      </c>
      <c r="D145">
        <v>-75.507099999999994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  <c r="BN145">
        <v>0</v>
      </c>
    </row>
    <row r="146" spans="1:66" x14ac:dyDescent="0.3">
      <c r="A146" t="s">
        <v>291</v>
      </c>
      <c r="B146" t="s">
        <v>38</v>
      </c>
      <c r="C146">
        <v>44.240499999999997</v>
      </c>
      <c r="D146">
        <v>-114.47880000000001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</row>
    <row r="147" spans="1:66" x14ac:dyDescent="0.3">
      <c r="A147" t="s">
        <v>292</v>
      </c>
      <c r="B147" t="s">
        <v>38</v>
      </c>
      <c r="C147">
        <v>44.693899999999999</v>
      </c>
      <c r="D147">
        <v>-69.381900000000002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</row>
    <row r="148" spans="1:66" x14ac:dyDescent="0.3">
      <c r="A148" t="s">
        <v>293</v>
      </c>
      <c r="B148" t="s">
        <v>38</v>
      </c>
      <c r="C148">
        <v>43.326599999999999</v>
      </c>
      <c r="D148">
        <v>-84.536100000000005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</row>
    <row r="149" spans="1:66" x14ac:dyDescent="0.3">
      <c r="A149" t="s">
        <v>294</v>
      </c>
      <c r="B149" t="s">
        <v>38</v>
      </c>
      <c r="C149">
        <v>32.741599999999998</v>
      </c>
      <c r="D149">
        <v>-89.678700000000006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</row>
    <row r="150" spans="1:66" x14ac:dyDescent="0.3">
      <c r="A150" t="s">
        <v>295</v>
      </c>
      <c r="B150" t="s">
        <v>38</v>
      </c>
      <c r="C150">
        <v>46.921900000000001</v>
      </c>
      <c r="D150">
        <v>-110.45440000000001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</row>
    <row r="151" spans="1:66" x14ac:dyDescent="0.3">
      <c r="A151" t="s">
        <v>296</v>
      </c>
      <c r="B151" t="s">
        <v>38</v>
      </c>
      <c r="C151">
        <v>34.840499999999999</v>
      </c>
      <c r="D151">
        <v>-106.24850000000001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</row>
    <row r="152" spans="1:66" x14ac:dyDescent="0.3">
      <c r="A152" t="s">
        <v>297</v>
      </c>
      <c r="B152" t="s">
        <v>38</v>
      </c>
      <c r="C152">
        <v>47.5289</v>
      </c>
      <c r="D152">
        <v>-99.783999999999907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</row>
    <row r="153" spans="1:66" x14ac:dyDescent="0.3">
      <c r="A153" t="s">
        <v>298</v>
      </c>
      <c r="B153" t="s">
        <v>38</v>
      </c>
      <c r="C153">
        <v>44.299799999999998</v>
      </c>
      <c r="D153">
        <v>-99.438800000000001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M153">
        <v>0</v>
      </c>
      <c r="BN153">
        <v>0</v>
      </c>
    </row>
    <row r="154" spans="1:66" x14ac:dyDescent="0.3">
      <c r="A154" t="s">
        <v>299</v>
      </c>
      <c r="B154" t="s">
        <v>38</v>
      </c>
      <c r="C154">
        <v>38.491199999999999</v>
      </c>
      <c r="D154">
        <v>-80.954499999999996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</row>
    <row r="155" spans="1:66" x14ac:dyDescent="0.3">
      <c r="A155" t="s">
        <v>300</v>
      </c>
      <c r="B155" t="s">
        <v>38</v>
      </c>
      <c r="C155">
        <v>42.756</v>
      </c>
      <c r="D155">
        <v>-107.30249999999999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0</v>
      </c>
      <c r="BN155">
        <v>0</v>
      </c>
    </row>
    <row r="156" spans="1:66" x14ac:dyDescent="0.3">
      <c r="A156" t="s">
        <v>16</v>
      </c>
      <c r="B156" t="s">
        <v>337</v>
      </c>
      <c r="C156">
        <v>30.9756</v>
      </c>
      <c r="D156">
        <v>112.27070000000001</v>
      </c>
      <c r="E156">
        <v>28</v>
      </c>
      <c r="F156">
        <v>28</v>
      </c>
      <c r="G156">
        <v>31</v>
      </c>
      <c r="H156">
        <v>32</v>
      </c>
      <c r="I156">
        <v>42</v>
      </c>
      <c r="J156">
        <v>45</v>
      </c>
      <c r="K156">
        <v>80</v>
      </c>
      <c r="L156">
        <v>88</v>
      </c>
      <c r="M156">
        <v>90</v>
      </c>
      <c r="N156">
        <v>141</v>
      </c>
      <c r="O156">
        <v>168</v>
      </c>
      <c r="P156">
        <v>295</v>
      </c>
      <c r="Q156">
        <v>386</v>
      </c>
      <c r="R156">
        <v>522</v>
      </c>
      <c r="S156">
        <v>633</v>
      </c>
      <c r="T156">
        <v>817</v>
      </c>
      <c r="U156">
        <v>1115</v>
      </c>
      <c r="V156">
        <v>1439</v>
      </c>
      <c r="W156">
        <v>1795</v>
      </c>
      <c r="X156">
        <v>2222</v>
      </c>
      <c r="Y156">
        <v>2639</v>
      </c>
      <c r="Z156">
        <v>2686</v>
      </c>
      <c r="AA156">
        <v>3459</v>
      </c>
      <c r="AB156">
        <v>4774</v>
      </c>
      <c r="AC156">
        <v>5623</v>
      </c>
      <c r="AD156">
        <v>6639</v>
      </c>
      <c r="AE156">
        <v>7862</v>
      </c>
      <c r="AF156">
        <v>9128</v>
      </c>
      <c r="AG156">
        <v>10337</v>
      </c>
      <c r="AH156">
        <v>11788</v>
      </c>
      <c r="AI156">
        <v>11881</v>
      </c>
      <c r="AJ156">
        <v>15299</v>
      </c>
      <c r="AK156">
        <v>15343</v>
      </c>
      <c r="AL156">
        <v>16748</v>
      </c>
      <c r="AM156">
        <v>18971</v>
      </c>
      <c r="AN156">
        <v>20969</v>
      </c>
      <c r="AO156">
        <v>23383</v>
      </c>
      <c r="AP156">
        <v>26403</v>
      </c>
      <c r="AQ156">
        <v>28993</v>
      </c>
      <c r="AR156">
        <v>31536</v>
      </c>
      <c r="AS156">
        <v>33934</v>
      </c>
      <c r="AT156">
        <v>36208</v>
      </c>
      <c r="AU156">
        <v>38557</v>
      </c>
      <c r="AV156">
        <v>40592</v>
      </c>
      <c r="AW156">
        <v>42033</v>
      </c>
      <c r="AX156">
        <v>43500</v>
      </c>
      <c r="AY156">
        <v>45235</v>
      </c>
      <c r="AZ156">
        <v>46488</v>
      </c>
      <c r="BA156">
        <v>47743</v>
      </c>
      <c r="BB156">
        <v>49134</v>
      </c>
      <c r="BC156">
        <v>50318</v>
      </c>
      <c r="BD156">
        <v>51553</v>
      </c>
      <c r="BE156">
        <v>52960</v>
      </c>
      <c r="BF156">
        <v>54288</v>
      </c>
      <c r="BG156">
        <v>55142</v>
      </c>
      <c r="BH156">
        <v>56003</v>
      </c>
      <c r="BI156">
        <v>56927</v>
      </c>
      <c r="BJ156">
        <v>57682</v>
      </c>
      <c r="BK156">
        <v>58382</v>
      </c>
      <c r="BL156">
        <v>58946</v>
      </c>
      <c r="BM156">
        <v>59433</v>
      </c>
      <c r="BN156">
        <v>59879</v>
      </c>
    </row>
    <row r="157" spans="1:66" x14ac:dyDescent="0.3">
      <c r="B157" t="s">
        <v>338</v>
      </c>
      <c r="C157">
        <v>32</v>
      </c>
      <c r="D157">
        <v>53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49</v>
      </c>
      <c r="AO157">
        <v>49</v>
      </c>
      <c r="AP157">
        <v>73</v>
      </c>
      <c r="AQ157">
        <v>123</v>
      </c>
      <c r="AR157">
        <v>175</v>
      </c>
      <c r="AS157">
        <v>291</v>
      </c>
      <c r="AT157">
        <v>291</v>
      </c>
      <c r="AU157">
        <v>552</v>
      </c>
      <c r="AV157">
        <v>739</v>
      </c>
      <c r="AW157">
        <v>913</v>
      </c>
      <c r="AX157">
        <v>1669</v>
      </c>
      <c r="AY157">
        <v>2134</v>
      </c>
      <c r="AZ157">
        <v>2394</v>
      </c>
      <c r="BA157">
        <v>2731</v>
      </c>
      <c r="BB157">
        <v>2959</v>
      </c>
      <c r="BC157">
        <v>2959</v>
      </c>
      <c r="BD157">
        <v>2959</v>
      </c>
      <c r="BE157">
        <v>2959</v>
      </c>
      <c r="BF157">
        <v>4590</v>
      </c>
      <c r="BG157">
        <v>4590</v>
      </c>
      <c r="BH157">
        <v>5389</v>
      </c>
      <c r="BI157">
        <v>5389</v>
      </c>
      <c r="BJ157">
        <v>5710</v>
      </c>
      <c r="BK157">
        <v>6745</v>
      </c>
      <c r="BL157">
        <v>7635</v>
      </c>
      <c r="BM157">
        <v>7931</v>
      </c>
      <c r="BN157">
        <v>7931</v>
      </c>
    </row>
    <row r="158" spans="1:66" x14ac:dyDescent="0.3">
      <c r="B158" t="s">
        <v>339</v>
      </c>
      <c r="C158">
        <v>36</v>
      </c>
      <c r="D158">
        <v>128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1</v>
      </c>
      <c r="V158">
        <v>1</v>
      </c>
      <c r="W158">
        <v>3</v>
      </c>
      <c r="X158">
        <v>3</v>
      </c>
      <c r="Y158">
        <v>3</v>
      </c>
      <c r="Z158">
        <v>7</v>
      </c>
      <c r="AA158">
        <v>7</v>
      </c>
      <c r="AB158">
        <v>7</v>
      </c>
      <c r="AC158">
        <v>9</v>
      </c>
      <c r="AD158">
        <v>9</v>
      </c>
      <c r="AE158">
        <v>10</v>
      </c>
      <c r="AF158">
        <v>12</v>
      </c>
      <c r="AG158">
        <v>12</v>
      </c>
      <c r="AH158">
        <v>16</v>
      </c>
      <c r="AI158">
        <v>16</v>
      </c>
      <c r="AJ158">
        <v>16</v>
      </c>
      <c r="AK158">
        <v>18</v>
      </c>
      <c r="AL158">
        <v>18</v>
      </c>
      <c r="AM158">
        <v>22</v>
      </c>
      <c r="AN158">
        <v>22</v>
      </c>
      <c r="AO158">
        <v>22</v>
      </c>
      <c r="AP158">
        <v>22</v>
      </c>
      <c r="AQ158">
        <v>27</v>
      </c>
      <c r="AR158">
        <v>30</v>
      </c>
      <c r="AS158">
        <v>30</v>
      </c>
      <c r="AT158">
        <v>30</v>
      </c>
      <c r="AU158">
        <v>41</v>
      </c>
      <c r="AV158">
        <v>41</v>
      </c>
      <c r="AW158">
        <v>135</v>
      </c>
      <c r="AX158">
        <v>135</v>
      </c>
      <c r="AY158">
        <v>118</v>
      </c>
      <c r="AZ158">
        <v>118</v>
      </c>
      <c r="BA158">
        <v>247</v>
      </c>
      <c r="BB158">
        <v>288</v>
      </c>
      <c r="BC158">
        <v>333</v>
      </c>
      <c r="BD158">
        <v>510</v>
      </c>
      <c r="BE158">
        <v>510</v>
      </c>
      <c r="BF158">
        <v>510</v>
      </c>
      <c r="BG158">
        <v>1137</v>
      </c>
      <c r="BH158">
        <v>1407</v>
      </c>
      <c r="BI158">
        <v>1540</v>
      </c>
      <c r="BJ158">
        <v>1540</v>
      </c>
      <c r="BK158">
        <v>1540</v>
      </c>
      <c r="BL158">
        <v>1540</v>
      </c>
      <c r="BM158">
        <v>2909</v>
      </c>
      <c r="BN158">
        <v>2909</v>
      </c>
    </row>
    <row r="159" spans="1:66" x14ac:dyDescent="0.3">
      <c r="A159" t="s">
        <v>41</v>
      </c>
      <c r="B159" t="s">
        <v>41</v>
      </c>
      <c r="C159">
        <v>46.227600000000002</v>
      </c>
      <c r="D159">
        <v>2.2136999999999998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2</v>
      </c>
      <c r="AA159">
        <v>2</v>
      </c>
      <c r="AB159">
        <v>2</v>
      </c>
      <c r="AC159">
        <v>4</v>
      </c>
      <c r="AD159">
        <v>4</v>
      </c>
      <c r="AE159">
        <v>4</v>
      </c>
      <c r="AF159">
        <v>4</v>
      </c>
      <c r="AG159">
        <v>4</v>
      </c>
      <c r="AH159">
        <v>4</v>
      </c>
      <c r="AI159">
        <v>4</v>
      </c>
      <c r="AJ159">
        <v>4</v>
      </c>
      <c r="AK159">
        <v>4</v>
      </c>
      <c r="AL159">
        <v>4</v>
      </c>
      <c r="AM159">
        <v>11</v>
      </c>
      <c r="AN159">
        <v>11</v>
      </c>
      <c r="AO159">
        <v>11</v>
      </c>
      <c r="AP159">
        <v>11</v>
      </c>
      <c r="AQ159">
        <v>12</v>
      </c>
      <c r="AR159">
        <v>12</v>
      </c>
      <c r="AS159">
        <v>12</v>
      </c>
      <c r="AT159">
        <v>12</v>
      </c>
      <c r="AU159">
        <v>12</v>
      </c>
      <c r="AV159">
        <v>12</v>
      </c>
      <c r="AW159">
        <v>12</v>
      </c>
      <c r="AX159">
        <v>12</v>
      </c>
      <c r="AY159">
        <v>12</v>
      </c>
      <c r="AZ159">
        <v>12</v>
      </c>
      <c r="BA159">
        <v>12</v>
      </c>
      <c r="BB159">
        <v>12</v>
      </c>
      <c r="BC159">
        <v>12</v>
      </c>
      <c r="BD159">
        <v>12</v>
      </c>
      <c r="BE159">
        <v>12</v>
      </c>
      <c r="BF159">
        <v>12</v>
      </c>
      <c r="BG159">
        <v>12</v>
      </c>
      <c r="BH159">
        <v>12</v>
      </c>
      <c r="BI159">
        <v>12</v>
      </c>
      <c r="BJ159">
        <v>12</v>
      </c>
      <c r="BK159">
        <v>12</v>
      </c>
      <c r="BL159">
        <v>12</v>
      </c>
      <c r="BM159">
        <v>2200</v>
      </c>
      <c r="BN159">
        <v>2200</v>
      </c>
    </row>
    <row r="160" spans="1:66" x14ac:dyDescent="0.3">
      <c r="A160" t="s">
        <v>9</v>
      </c>
      <c r="B160" t="s">
        <v>337</v>
      </c>
      <c r="C160">
        <v>23.341699999999999</v>
      </c>
      <c r="D160">
        <v>113.42440000000001</v>
      </c>
      <c r="E160">
        <v>0</v>
      </c>
      <c r="F160">
        <v>2</v>
      </c>
      <c r="G160">
        <v>2</v>
      </c>
      <c r="H160">
        <v>2</v>
      </c>
      <c r="I160">
        <v>2</v>
      </c>
      <c r="J160">
        <v>4</v>
      </c>
      <c r="K160">
        <v>4</v>
      </c>
      <c r="L160">
        <v>5</v>
      </c>
      <c r="M160">
        <v>10</v>
      </c>
      <c r="N160">
        <v>11</v>
      </c>
      <c r="O160">
        <v>14</v>
      </c>
      <c r="P160">
        <v>15</v>
      </c>
      <c r="Q160">
        <v>21</v>
      </c>
      <c r="R160">
        <v>30</v>
      </c>
      <c r="S160">
        <v>49</v>
      </c>
      <c r="T160">
        <v>69</v>
      </c>
      <c r="U160">
        <v>88</v>
      </c>
      <c r="V160">
        <v>112</v>
      </c>
      <c r="W160">
        <v>141</v>
      </c>
      <c r="X160">
        <v>167</v>
      </c>
      <c r="Y160">
        <v>212</v>
      </c>
      <c r="Z160">
        <v>275</v>
      </c>
      <c r="AA160">
        <v>314</v>
      </c>
      <c r="AB160">
        <v>362</v>
      </c>
      <c r="AC160">
        <v>410</v>
      </c>
      <c r="AD160">
        <v>465</v>
      </c>
      <c r="AE160">
        <v>524</v>
      </c>
      <c r="AF160">
        <v>565</v>
      </c>
      <c r="AG160">
        <v>606</v>
      </c>
      <c r="AH160">
        <v>642</v>
      </c>
      <c r="AI160">
        <v>690</v>
      </c>
      <c r="AJ160">
        <v>728</v>
      </c>
      <c r="AK160">
        <v>755</v>
      </c>
      <c r="AL160">
        <v>786</v>
      </c>
      <c r="AM160">
        <v>822</v>
      </c>
      <c r="AN160">
        <v>851</v>
      </c>
      <c r="AO160">
        <v>890</v>
      </c>
      <c r="AP160">
        <v>935</v>
      </c>
      <c r="AQ160">
        <v>983</v>
      </c>
      <c r="AR160">
        <v>1016</v>
      </c>
      <c r="AS160">
        <v>1059</v>
      </c>
      <c r="AT160">
        <v>1101</v>
      </c>
      <c r="AU160">
        <v>1133</v>
      </c>
      <c r="AV160">
        <v>1181</v>
      </c>
      <c r="AW160">
        <v>1216</v>
      </c>
      <c r="AX160">
        <v>1237</v>
      </c>
      <c r="AY160">
        <v>1256</v>
      </c>
      <c r="AZ160">
        <v>1260</v>
      </c>
      <c r="BA160">
        <v>1274</v>
      </c>
      <c r="BB160">
        <v>1282</v>
      </c>
      <c r="BC160">
        <v>1289</v>
      </c>
      <c r="BD160">
        <v>1296</v>
      </c>
      <c r="BE160">
        <v>1299</v>
      </c>
      <c r="BF160">
        <v>1304</v>
      </c>
      <c r="BG160">
        <v>1306</v>
      </c>
      <c r="BH160">
        <v>1307</v>
      </c>
      <c r="BI160">
        <v>1313</v>
      </c>
      <c r="BJ160">
        <v>1318</v>
      </c>
      <c r="BK160">
        <v>1323</v>
      </c>
      <c r="BL160">
        <v>1325</v>
      </c>
      <c r="BM160">
        <v>1329</v>
      </c>
      <c r="BN160">
        <v>1332</v>
      </c>
    </row>
    <row r="161" spans="1:66" x14ac:dyDescent="0.3">
      <c r="A161" t="s">
        <v>15</v>
      </c>
      <c r="B161" t="s">
        <v>337</v>
      </c>
      <c r="C161">
        <v>33.881999999999998</v>
      </c>
      <c r="D161">
        <v>113.613999999999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1</v>
      </c>
      <c r="M161">
        <v>2</v>
      </c>
      <c r="N161">
        <v>3</v>
      </c>
      <c r="O161">
        <v>3</v>
      </c>
      <c r="P161">
        <v>10</v>
      </c>
      <c r="Q161">
        <v>16</v>
      </c>
      <c r="R161">
        <v>27</v>
      </c>
      <c r="S161">
        <v>47</v>
      </c>
      <c r="T161">
        <v>56</v>
      </c>
      <c r="U161">
        <v>86</v>
      </c>
      <c r="V161">
        <v>116</v>
      </c>
      <c r="W161">
        <v>153</v>
      </c>
      <c r="X161">
        <v>191</v>
      </c>
      <c r="Y161">
        <v>218</v>
      </c>
      <c r="Z161">
        <v>246</v>
      </c>
      <c r="AA161">
        <v>296</v>
      </c>
      <c r="AB161">
        <v>357</v>
      </c>
      <c r="AC161">
        <v>391</v>
      </c>
      <c r="AD161">
        <v>440</v>
      </c>
      <c r="AE161">
        <v>509</v>
      </c>
      <c r="AF161">
        <v>522</v>
      </c>
      <c r="AG161">
        <v>573</v>
      </c>
      <c r="AH161">
        <v>637</v>
      </c>
      <c r="AI161">
        <v>736</v>
      </c>
      <c r="AJ161">
        <v>830</v>
      </c>
      <c r="AK161">
        <v>868</v>
      </c>
      <c r="AL161">
        <v>943</v>
      </c>
      <c r="AM161">
        <v>1002</v>
      </c>
      <c r="AN161">
        <v>1033</v>
      </c>
      <c r="AO161">
        <v>1068</v>
      </c>
      <c r="AP161">
        <v>1112</v>
      </c>
      <c r="AQ161">
        <v>1170</v>
      </c>
      <c r="AR161">
        <v>1198</v>
      </c>
      <c r="AS161">
        <v>1205</v>
      </c>
      <c r="AT161">
        <v>1231</v>
      </c>
      <c r="AU161">
        <v>1234</v>
      </c>
      <c r="AV161">
        <v>1239</v>
      </c>
      <c r="AW161">
        <v>1244</v>
      </c>
      <c r="AX161">
        <v>1244</v>
      </c>
      <c r="AY161">
        <v>1247</v>
      </c>
      <c r="AZ161">
        <v>1247</v>
      </c>
      <c r="BA161">
        <v>1247</v>
      </c>
      <c r="BB161">
        <v>1249</v>
      </c>
      <c r="BC161">
        <v>1249</v>
      </c>
      <c r="BD161">
        <v>1249</v>
      </c>
      <c r="BE161">
        <v>1250</v>
      </c>
      <c r="BF161">
        <v>1250</v>
      </c>
      <c r="BG161">
        <v>1250</v>
      </c>
      <c r="BH161">
        <v>1250</v>
      </c>
      <c r="BI161">
        <v>1250</v>
      </c>
      <c r="BJ161">
        <v>1250</v>
      </c>
      <c r="BK161">
        <v>1250</v>
      </c>
      <c r="BL161">
        <v>1250</v>
      </c>
      <c r="BM161">
        <v>1250</v>
      </c>
      <c r="BN161">
        <v>1250</v>
      </c>
    </row>
    <row r="162" spans="1:66" x14ac:dyDescent="0.3">
      <c r="A162" t="s">
        <v>34</v>
      </c>
      <c r="B162" t="s">
        <v>337</v>
      </c>
      <c r="C162">
        <v>29.183199999999999</v>
      </c>
      <c r="D162">
        <v>120.0934</v>
      </c>
      <c r="E162">
        <v>0</v>
      </c>
      <c r="F162">
        <v>0</v>
      </c>
      <c r="G162">
        <v>1</v>
      </c>
      <c r="H162">
        <v>1</v>
      </c>
      <c r="I162">
        <v>1</v>
      </c>
      <c r="J162">
        <v>1</v>
      </c>
      <c r="K162">
        <v>3</v>
      </c>
      <c r="L162">
        <v>3</v>
      </c>
      <c r="M162">
        <v>4</v>
      </c>
      <c r="N162">
        <v>14</v>
      </c>
      <c r="O162">
        <v>21</v>
      </c>
      <c r="P162">
        <v>32</v>
      </c>
      <c r="Q162">
        <v>43</v>
      </c>
      <c r="R162">
        <v>62</v>
      </c>
      <c r="S162">
        <v>78</v>
      </c>
      <c r="T162">
        <v>94</v>
      </c>
      <c r="U162">
        <v>123</v>
      </c>
      <c r="V162">
        <v>175</v>
      </c>
      <c r="W162">
        <v>201</v>
      </c>
      <c r="X162">
        <v>242</v>
      </c>
      <c r="Y162">
        <v>270</v>
      </c>
      <c r="Z162">
        <v>321</v>
      </c>
      <c r="AA162">
        <v>360</v>
      </c>
      <c r="AB162">
        <v>403</v>
      </c>
      <c r="AC162">
        <v>428</v>
      </c>
      <c r="AD162">
        <v>456</v>
      </c>
      <c r="AE162">
        <v>507</v>
      </c>
      <c r="AF162">
        <v>535</v>
      </c>
      <c r="AG162">
        <v>604</v>
      </c>
      <c r="AH162">
        <v>633</v>
      </c>
      <c r="AI162">
        <v>679</v>
      </c>
      <c r="AJ162">
        <v>719</v>
      </c>
      <c r="AK162">
        <v>760</v>
      </c>
      <c r="AL162">
        <v>782</v>
      </c>
      <c r="AM162">
        <v>808</v>
      </c>
      <c r="AN162">
        <v>867</v>
      </c>
      <c r="AO162">
        <v>932</v>
      </c>
      <c r="AP162">
        <v>975</v>
      </c>
      <c r="AQ162">
        <v>1016</v>
      </c>
      <c r="AR162">
        <v>1046</v>
      </c>
      <c r="AS162">
        <v>1069</v>
      </c>
      <c r="AT162">
        <v>1093</v>
      </c>
      <c r="AU162">
        <v>1114</v>
      </c>
      <c r="AV162">
        <v>1124</v>
      </c>
      <c r="AW162">
        <v>1147</v>
      </c>
      <c r="AX162">
        <v>1154</v>
      </c>
      <c r="AY162">
        <v>1161</v>
      </c>
      <c r="AZ162">
        <v>1176</v>
      </c>
      <c r="BA162">
        <v>1191</v>
      </c>
      <c r="BB162">
        <v>1195</v>
      </c>
      <c r="BC162">
        <v>1197</v>
      </c>
      <c r="BD162">
        <v>1197</v>
      </c>
      <c r="BE162">
        <v>1211</v>
      </c>
      <c r="BF162">
        <v>1211</v>
      </c>
      <c r="BG162">
        <v>1216</v>
      </c>
      <c r="BH162">
        <v>1216</v>
      </c>
      <c r="BI162">
        <v>1216</v>
      </c>
      <c r="BJ162">
        <v>1217</v>
      </c>
      <c r="BK162">
        <v>1219</v>
      </c>
      <c r="BL162">
        <v>1219</v>
      </c>
      <c r="BM162">
        <v>1219</v>
      </c>
      <c r="BN162">
        <v>1221</v>
      </c>
    </row>
    <row r="163" spans="1:66" x14ac:dyDescent="0.3">
      <c r="A163" t="s">
        <v>17</v>
      </c>
      <c r="B163" t="s">
        <v>337</v>
      </c>
      <c r="C163">
        <v>27.610399999999998</v>
      </c>
      <c r="D163">
        <v>111.7088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2</v>
      </c>
      <c r="N163">
        <v>2</v>
      </c>
      <c r="O163">
        <v>8</v>
      </c>
      <c r="P163">
        <v>16</v>
      </c>
      <c r="Q163">
        <v>22</v>
      </c>
      <c r="R163">
        <v>31</v>
      </c>
      <c r="S163">
        <v>54</v>
      </c>
      <c r="T163">
        <v>81</v>
      </c>
      <c r="U163">
        <v>112</v>
      </c>
      <c r="V163">
        <v>156</v>
      </c>
      <c r="W163">
        <v>186</v>
      </c>
      <c r="X163">
        <v>208</v>
      </c>
      <c r="Y163">
        <v>247</v>
      </c>
      <c r="Z163">
        <v>304</v>
      </c>
      <c r="AA163">
        <v>339</v>
      </c>
      <c r="AB163">
        <v>364</v>
      </c>
      <c r="AC163">
        <v>425</v>
      </c>
      <c r="AD163">
        <v>464</v>
      </c>
      <c r="AE163">
        <v>498</v>
      </c>
      <c r="AF163">
        <v>527</v>
      </c>
      <c r="AG163">
        <v>561</v>
      </c>
      <c r="AH163">
        <v>634</v>
      </c>
      <c r="AI163">
        <v>661</v>
      </c>
      <c r="AJ163">
        <v>692</v>
      </c>
      <c r="AK163">
        <v>714</v>
      </c>
      <c r="AL163">
        <v>731</v>
      </c>
      <c r="AM163">
        <v>768</v>
      </c>
      <c r="AN163">
        <v>783</v>
      </c>
      <c r="AO163">
        <v>804</v>
      </c>
      <c r="AP163">
        <v>830</v>
      </c>
      <c r="AQ163">
        <v>846</v>
      </c>
      <c r="AR163">
        <v>866</v>
      </c>
      <c r="AS163">
        <v>887</v>
      </c>
      <c r="AT163">
        <v>906</v>
      </c>
      <c r="AU163">
        <v>916</v>
      </c>
      <c r="AV163">
        <v>938</v>
      </c>
      <c r="AW163">
        <v>955</v>
      </c>
      <c r="AX163">
        <v>960</v>
      </c>
      <c r="AY163">
        <v>968</v>
      </c>
      <c r="AZ163">
        <v>979</v>
      </c>
      <c r="BA163">
        <v>990</v>
      </c>
      <c r="BB163">
        <v>995</v>
      </c>
      <c r="BC163">
        <v>999</v>
      </c>
      <c r="BD163">
        <v>1005</v>
      </c>
      <c r="BE163">
        <v>1014</v>
      </c>
      <c r="BF163">
        <v>1014</v>
      </c>
      <c r="BG163">
        <v>1014</v>
      </c>
      <c r="BH163">
        <v>1014</v>
      </c>
      <c r="BI163">
        <v>1014</v>
      </c>
      <c r="BJ163">
        <v>1014</v>
      </c>
      <c r="BK163">
        <v>1014</v>
      </c>
      <c r="BL163">
        <v>1014</v>
      </c>
      <c r="BM163">
        <v>1014</v>
      </c>
      <c r="BN163">
        <v>1014</v>
      </c>
    </row>
    <row r="164" spans="1:66" x14ac:dyDescent="0.3">
      <c r="A164" t="s">
        <v>4</v>
      </c>
      <c r="B164" t="s">
        <v>337</v>
      </c>
      <c r="C164">
        <v>31.825700000000001</v>
      </c>
      <c r="D164">
        <v>117.2264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2</v>
      </c>
      <c r="M164">
        <v>2</v>
      </c>
      <c r="N164">
        <v>3</v>
      </c>
      <c r="O164">
        <v>5</v>
      </c>
      <c r="P164">
        <v>7</v>
      </c>
      <c r="Q164">
        <v>14</v>
      </c>
      <c r="R164">
        <v>20</v>
      </c>
      <c r="S164">
        <v>23</v>
      </c>
      <c r="T164">
        <v>34</v>
      </c>
      <c r="U164">
        <v>47</v>
      </c>
      <c r="V164">
        <v>59</v>
      </c>
      <c r="W164">
        <v>72</v>
      </c>
      <c r="X164">
        <v>88</v>
      </c>
      <c r="Y164">
        <v>105</v>
      </c>
      <c r="Z164">
        <v>127</v>
      </c>
      <c r="AA164">
        <v>157</v>
      </c>
      <c r="AB164">
        <v>193</v>
      </c>
      <c r="AC164">
        <v>221</v>
      </c>
      <c r="AD164">
        <v>255</v>
      </c>
      <c r="AE164">
        <v>280</v>
      </c>
      <c r="AF164">
        <v>361</v>
      </c>
      <c r="AG164">
        <v>413</v>
      </c>
      <c r="AH164">
        <v>474</v>
      </c>
      <c r="AI164">
        <v>539</v>
      </c>
      <c r="AJ164">
        <v>597</v>
      </c>
      <c r="AK164">
        <v>637</v>
      </c>
      <c r="AL164">
        <v>663</v>
      </c>
      <c r="AM164">
        <v>712</v>
      </c>
      <c r="AN164">
        <v>744</v>
      </c>
      <c r="AO164">
        <v>792</v>
      </c>
      <c r="AP164">
        <v>821</v>
      </c>
      <c r="AQ164">
        <v>868</v>
      </c>
      <c r="AR164">
        <v>873</v>
      </c>
      <c r="AS164">
        <v>917</v>
      </c>
      <c r="AT164">
        <v>936</v>
      </c>
      <c r="AU164">
        <v>956</v>
      </c>
      <c r="AV164">
        <v>970</v>
      </c>
      <c r="AW164">
        <v>979</v>
      </c>
      <c r="AX164">
        <v>979</v>
      </c>
      <c r="AY164">
        <v>984</v>
      </c>
      <c r="AZ164">
        <v>984</v>
      </c>
      <c r="BA164">
        <v>984</v>
      </c>
      <c r="BB164">
        <v>984</v>
      </c>
      <c r="BC164">
        <v>984</v>
      </c>
      <c r="BD164">
        <v>984</v>
      </c>
      <c r="BE164">
        <v>984</v>
      </c>
      <c r="BF164">
        <v>984</v>
      </c>
      <c r="BG164">
        <v>984</v>
      </c>
      <c r="BH164">
        <v>984</v>
      </c>
      <c r="BI164">
        <v>984</v>
      </c>
      <c r="BJ164">
        <v>984</v>
      </c>
      <c r="BK164">
        <v>984</v>
      </c>
      <c r="BL164">
        <v>984</v>
      </c>
      <c r="BM164">
        <v>984</v>
      </c>
      <c r="BN164">
        <v>984</v>
      </c>
    </row>
    <row r="165" spans="1:66" x14ac:dyDescent="0.3">
      <c r="A165" t="s">
        <v>20</v>
      </c>
      <c r="B165" t="s">
        <v>337</v>
      </c>
      <c r="C165">
        <v>27.614000000000001</v>
      </c>
      <c r="D165">
        <v>115.7221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2</v>
      </c>
      <c r="K165">
        <v>3</v>
      </c>
      <c r="L165">
        <v>3</v>
      </c>
      <c r="M165">
        <v>5</v>
      </c>
      <c r="N165">
        <v>7</v>
      </c>
      <c r="O165">
        <v>9</v>
      </c>
      <c r="P165">
        <v>12</v>
      </c>
      <c r="Q165">
        <v>18</v>
      </c>
      <c r="R165">
        <v>20</v>
      </c>
      <c r="S165">
        <v>27</v>
      </c>
      <c r="T165">
        <v>37</v>
      </c>
      <c r="U165">
        <v>45</v>
      </c>
      <c r="V165">
        <v>55</v>
      </c>
      <c r="W165">
        <v>73</v>
      </c>
      <c r="X165">
        <v>105</v>
      </c>
      <c r="Y165">
        <v>128</v>
      </c>
      <c r="Z165">
        <v>152</v>
      </c>
      <c r="AA165">
        <v>170</v>
      </c>
      <c r="AB165">
        <v>187</v>
      </c>
      <c r="AC165">
        <v>210</v>
      </c>
      <c r="AD165">
        <v>240</v>
      </c>
      <c r="AE165">
        <v>275</v>
      </c>
      <c r="AF165">
        <v>310</v>
      </c>
      <c r="AG165">
        <v>362</v>
      </c>
      <c r="AH165">
        <v>433</v>
      </c>
      <c r="AI165">
        <v>489</v>
      </c>
      <c r="AJ165">
        <v>555</v>
      </c>
      <c r="AK165">
        <v>613</v>
      </c>
      <c r="AL165">
        <v>645</v>
      </c>
      <c r="AM165">
        <v>683</v>
      </c>
      <c r="AN165">
        <v>719</v>
      </c>
      <c r="AO165">
        <v>754</v>
      </c>
      <c r="AP165">
        <v>790</v>
      </c>
      <c r="AQ165">
        <v>811</v>
      </c>
      <c r="AR165">
        <v>831</v>
      </c>
      <c r="AS165">
        <v>850</v>
      </c>
      <c r="AT165">
        <v>870</v>
      </c>
      <c r="AU165">
        <v>884</v>
      </c>
      <c r="AV165">
        <v>901</v>
      </c>
      <c r="AW165">
        <v>909</v>
      </c>
      <c r="AX165">
        <v>916</v>
      </c>
      <c r="AY165">
        <v>919</v>
      </c>
      <c r="AZ165">
        <v>923</v>
      </c>
      <c r="BA165">
        <v>927</v>
      </c>
      <c r="BB165">
        <v>932</v>
      </c>
      <c r="BC165">
        <v>934</v>
      </c>
      <c r="BD165">
        <v>934</v>
      </c>
      <c r="BE165">
        <v>934</v>
      </c>
      <c r="BF165">
        <v>934</v>
      </c>
      <c r="BG165">
        <v>934</v>
      </c>
      <c r="BH165">
        <v>934</v>
      </c>
      <c r="BI165">
        <v>934</v>
      </c>
      <c r="BJ165">
        <v>934</v>
      </c>
      <c r="BK165">
        <v>934</v>
      </c>
      <c r="BL165">
        <v>934</v>
      </c>
      <c r="BM165">
        <v>934</v>
      </c>
      <c r="BN165">
        <v>934</v>
      </c>
    </row>
    <row r="166" spans="1:66" x14ac:dyDescent="0.3">
      <c r="A166" t="s">
        <v>26</v>
      </c>
      <c r="B166" t="s">
        <v>337</v>
      </c>
      <c r="C166">
        <v>36.342700000000001</v>
      </c>
      <c r="D166">
        <v>118.1498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1</v>
      </c>
      <c r="M166">
        <v>1</v>
      </c>
      <c r="N166">
        <v>2</v>
      </c>
      <c r="O166">
        <v>3</v>
      </c>
      <c r="P166">
        <v>6</v>
      </c>
      <c r="Q166">
        <v>7</v>
      </c>
      <c r="R166">
        <v>11</v>
      </c>
      <c r="S166">
        <v>15</v>
      </c>
      <c r="T166">
        <v>27</v>
      </c>
      <c r="U166">
        <v>37</v>
      </c>
      <c r="V166">
        <v>44</v>
      </c>
      <c r="W166">
        <v>63</v>
      </c>
      <c r="X166">
        <v>66</v>
      </c>
      <c r="Y166">
        <v>80</v>
      </c>
      <c r="Z166">
        <v>92</v>
      </c>
      <c r="AA166">
        <v>105</v>
      </c>
      <c r="AB166">
        <v>136</v>
      </c>
      <c r="AC166">
        <v>156</v>
      </c>
      <c r="AD166">
        <v>173</v>
      </c>
      <c r="AE166">
        <v>191</v>
      </c>
      <c r="AF166">
        <v>211</v>
      </c>
      <c r="AG166">
        <v>231</v>
      </c>
      <c r="AH166">
        <v>254</v>
      </c>
      <c r="AI166">
        <v>281</v>
      </c>
      <c r="AJ166">
        <v>302</v>
      </c>
      <c r="AK166">
        <v>321</v>
      </c>
      <c r="AL166">
        <v>343</v>
      </c>
      <c r="AM166">
        <v>355</v>
      </c>
      <c r="AN166">
        <v>377</v>
      </c>
      <c r="AO166">
        <v>387</v>
      </c>
      <c r="AP166">
        <v>405</v>
      </c>
      <c r="AQ166">
        <v>421</v>
      </c>
      <c r="AR166">
        <v>443</v>
      </c>
      <c r="AS166">
        <v>460</v>
      </c>
      <c r="AT166">
        <v>511</v>
      </c>
      <c r="AU166">
        <v>516</v>
      </c>
      <c r="AV166">
        <v>578</v>
      </c>
      <c r="AW166">
        <v>618</v>
      </c>
      <c r="AX166">
        <v>627</v>
      </c>
      <c r="AY166">
        <v>642</v>
      </c>
      <c r="AZ166">
        <v>700</v>
      </c>
      <c r="BA166">
        <v>719</v>
      </c>
      <c r="BB166">
        <v>726</v>
      </c>
      <c r="BC166">
        <v>734</v>
      </c>
      <c r="BD166">
        <v>739</v>
      </c>
      <c r="BE166">
        <v>741</v>
      </c>
      <c r="BF166">
        <v>741</v>
      </c>
      <c r="BG166">
        <v>746</v>
      </c>
      <c r="BH166">
        <v>746</v>
      </c>
      <c r="BI166">
        <v>746</v>
      </c>
      <c r="BJ166">
        <v>747</v>
      </c>
      <c r="BK166">
        <v>748</v>
      </c>
      <c r="BL166">
        <v>749</v>
      </c>
      <c r="BM166">
        <v>750</v>
      </c>
      <c r="BN166">
        <v>751</v>
      </c>
    </row>
    <row r="167" spans="1:66" x14ac:dyDescent="0.3">
      <c r="A167" t="s">
        <v>248</v>
      </c>
      <c r="B167" t="s">
        <v>340</v>
      </c>
      <c r="C167">
        <v>35.4437</v>
      </c>
      <c r="D167">
        <v>139.63800000000001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1</v>
      </c>
      <c r="AH167">
        <v>1</v>
      </c>
      <c r="AI167">
        <v>1</v>
      </c>
      <c r="AJ167">
        <v>1</v>
      </c>
      <c r="AK167">
        <v>0</v>
      </c>
      <c r="AL167">
        <v>0</v>
      </c>
      <c r="AM167">
        <v>0</v>
      </c>
      <c r="AN167">
        <v>10</v>
      </c>
      <c r="AO167">
        <v>10</v>
      </c>
      <c r="AP167">
        <v>10</v>
      </c>
      <c r="AQ167">
        <v>10</v>
      </c>
      <c r="AR167">
        <v>10</v>
      </c>
      <c r="AS167">
        <v>10</v>
      </c>
      <c r="AT167">
        <v>10</v>
      </c>
      <c r="AU167">
        <v>10</v>
      </c>
      <c r="AV167">
        <v>10</v>
      </c>
      <c r="AW167">
        <v>40</v>
      </c>
      <c r="AX167">
        <v>40</v>
      </c>
      <c r="AY167">
        <v>40</v>
      </c>
      <c r="AZ167">
        <v>40</v>
      </c>
      <c r="BA167">
        <v>40</v>
      </c>
      <c r="BB167">
        <v>325</v>
      </c>
      <c r="BC167">
        <v>325</v>
      </c>
      <c r="BD167">
        <v>325</v>
      </c>
      <c r="BE167">
        <v>325</v>
      </c>
      <c r="BF167">
        <v>325</v>
      </c>
      <c r="BG167">
        <v>325</v>
      </c>
      <c r="BH167">
        <v>325</v>
      </c>
      <c r="BI167">
        <v>325</v>
      </c>
      <c r="BJ167">
        <v>325</v>
      </c>
      <c r="BK167">
        <v>325</v>
      </c>
      <c r="BL167">
        <v>325</v>
      </c>
      <c r="BM167">
        <v>325</v>
      </c>
      <c r="BN167">
        <v>325</v>
      </c>
    </row>
    <row r="168" spans="1:66" x14ac:dyDescent="0.3">
      <c r="A168" t="s">
        <v>19</v>
      </c>
      <c r="B168" t="s">
        <v>337</v>
      </c>
      <c r="C168">
        <v>32.9711</v>
      </c>
      <c r="D168">
        <v>119.455</v>
      </c>
      <c r="E168">
        <v>0</v>
      </c>
      <c r="F168">
        <v>0</v>
      </c>
      <c r="G168">
        <v>0</v>
      </c>
      <c r="H168">
        <v>1</v>
      </c>
      <c r="I168">
        <v>1</v>
      </c>
      <c r="J168">
        <v>1</v>
      </c>
      <c r="K168">
        <v>1</v>
      </c>
      <c r="L168">
        <v>1</v>
      </c>
      <c r="M168">
        <v>1</v>
      </c>
      <c r="N168">
        <v>5</v>
      </c>
      <c r="O168">
        <v>6</v>
      </c>
      <c r="P168">
        <v>7</v>
      </c>
      <c r="Q168">
        <v>8</v>
      </c>
      <c r="R168">
        <v>12</v>
      </c>
      <c r="S168">
        <v>23</v>
      </c>
      <c r="T168">
        <v>34</v>
      </c>
      <c r="U168">
        <v>43</v>
      </c>
      <c r="V168">
        <v>51</v>
      </c>
      <c r="W168">
        <v>71</v>
      </c>
      <c r="X168">
        <v>81</v>
      </c>
      <c r="Y168">
        <v>93</v>
      </c>
      <c r="Z168">
        <v>125</v>
      </c>
      <c r="AA168">
        <v>139</v>
      </c>
      <c r="AB168">
        <v>157</v>
      </c>
      <c r="AC168">
        <v>186</v>
      </c>
      <c r="AD168">
        <v>218</v>
      </c>
      <c r="AE168">
        <v>258</v>
      </c>
      <c r="AF168">
        <v>280</v>
      </c>
      <c r="AG168">
        <v>318</v>
      </c>
      <c r="AH168">
        <v>356</v>
      </c>
      <c r="AI168">
        <v>373</v>
      </c>
      <c r="AJ168">
        <v>401</v>
      </c>
      <c r="AK168">
        <v>418</v>
      </c>
      <c r="AL168">
        <v>452</v>
      </c>
      <c r="AM168">
        <v>458</v>
      </c>
      <c r="AN168">
        <v>478</v>
      </c>
      <c r="AO168">
        <v>498</v>
      </c>
      <c r="AP168">
        <v>515</v>
      </c>
      <c r="AQ168">
        <v>523</v>
      </c>
      <c r="AR168">
        <v>536</v>
      </c>
      <c r="AS168">
        <v>543</v>
      </c>
      <c r="AT168">
        <v>562</v>
      </c>
      <c r="AU168">
        <v>577</v>
      </c>
      <c r="AV168">
        <v>583</v>
      </c>
      <c r="AW168">
        <v>594</v>
      </c>
      <c r="AX168">
        <v>606</v>
      </c>
      <c r="AY168">
        <v>612</v>
      </c>
      <c r="AZ168">
        <v>621</v>
      </c>
      <c r="BA168">
        <v>627</v>
      </c>
      <c r="BB168">
        <v>627</v>
      </c>
      <c r="BC168">
        <v>629</v>
      </c>
      <c r="BD168">
        <v>630</v>
      </c>
      <c r="BE168">
        <v>630</v>
      </c>
      <c r="BF168">
        <v>631</v>
      </c>
      <c r="BG168">
        <v>631</v>
      </c>
      <c r="BH168">
        <v>631</v>
      </c>
      <c r="BI168">
        <v>631</v>
      </c>
      <c r="BJ168">
        <v>631</v>
      </c>
      <c r="BK168">
        <v>631</v>
      </c>
      <c r="BL168">
        <v>631</v>
      </c>
      <c r="BM168">
        <v>631</v>
      </c>
      <c r="BN168">
        <v>631</v>
      </c>
    </row>
    <row r="169" spans="1:66" x14ac:dyDescent="0.3">
      <c r="A169" t="s">
        <v>6</v>
      </c>
      <c r="B169" t="s">
        <v>337</v>
      </c>
      <c r="C169">
        <v>30.057200000000002</v>
      </c>
      <c r="D169">
        <v>107.874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1</v>
      </c>
      <c r="M169">
        <v>1</v>
      </c>
      <c r="N169">
        <v>1</v>
      </c>
      <c r="O169">
        <v>3</v>
      </c>
      <c r="P169">
        <v>7</v>
      </c>
      <c r="Q169">
        <v>9</v>
      </c>
      <c r="R169">
        <v>9</v>
      </c>
      <c r="S169">
        <v>15</v>
      </c>
      <c r="T169">
        <v>24</v>
      </c>
      <c r="U169">
        <v>31</v>
      </c>
      <c r="V169">
        <v>39</v>
      </c>
      <c r="W169">
        <v>51</v>
      </c>
      <c r="X169">
        <v>66</v>
      </c>
      <c r="Y169">
        <v>79</v>
      </c>
      <c r="Z169">
        <v>102</v>
      </c>
      <c r="AA169">
        <v>128</v>
      </c>
      <c r="AB169">
        <v>152</v>
      </c>
      <c r="AC169">
        <v>184</v>
      </c>
      <c r="AD169">
        <v>207</v>
      </c>
      <c r="AE169">
        <v>225</v>
      </c>
      <c r="AF169">
        <v>254</v>
      </c>
      <c r="AG169">
        <v>274</v>
      </c>
      <c r="AH169">
        <v>299</v>
      </c>
      <c r="AI169">
        <v>316</v>
      </c>
      <c r="AJ169">
        <v>328</v>
      </c>
      <c r="AK169">
        <v>335</v>
      </c>
      <c r="AL169">
        <v>349</v>
      </c>
      <c r="AM169">
        <v>372</v>
      </c>
      <c r="AN169">
        <v>384</v>
      </c>
      <c r="AO169">
        <v>401</v>
      </c>
      <c r="AP169">
        <v>422</v>
      </c>
      <c r="AQ169">
        <v>438</v>
      </c>
      <c r="AR169">
        <v>450</v>
      </c>
      <c r="AS169">
        <v>469</v>
      </c>
      <c r="AT169">
        <v>490</v>
      </c>
      <c r="AU169">
        <v>502</v>
      </c>
      <c r="AV169">
        <v>512</v>
      </c>
      <c r="AW169">
        <v>513</v>
      </c>
      <c r="AX169">
        <v>526</v>
      </c>
      <c r="AY169">
        <v>527</v>
      </c>
      <c r="AZ169">
        <v>542</v>
      </c>
      <c r="BA169">
        <v>547</v>
      </c>
      <c r="BB169">
        <v>554</v>
      </c>
      <c r="BC169">
        <v>564</v>
      </c>
      <c r="BD169">
        <v>566</v>
      </c>
      <c r="BE169">
        <v>569</v>
      </c>
      <c r="BF169">
        <v>570</v>
      </c>
      <c r="BG169">
        <v>570</v>
      </c>
      <c r="BH169">
        <v>570</v>
      </c>
      <c r="BI169">
        <v>570</v>
      </c>
      <c r="BJ169">
        <v>570</v>
      </c>
      <c r="BK169">
        <v>570</v>
      </c>
      <c r="BL169">
        <v>570</v>
      </c>
      <c r="BM169">
        <v>570</v>
      </c>
      <c r="BN169">
        <v>570</v>
      </c>
    </row>
    <row r="170" spans="1:66" x14ac:dyDescent="0.3">
      <c r="A170" t="s">
        <v>29</v>
      </c>
      <c r="B170" t="s">
        <v>337</v>
      </c>
      <c r="C170">
        <v>30.617100000000001</v>
      </c>
      <c r="D170">
        <v>102.7103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1</v>
      </c>
      <c r="M170">
        <v>1</v>
      </c>
      <c r="N170">
        <v>1</v>
      </c>
      <c r="O170">
        <v>3</v>
      </c>
      <c r="P170">
        <v>11</v>
      </c>
      <c r="Q170">
        <v>14</v>
      </c>
      <c r="R170">
        <v>14</v>
      </c>
      <c r="S170">
        <v>24</v>
      </c>
      <c r="T170">
        <v>31</v>
      </c>
      <c r="U170">
        <v>42</v>
      </c>
      <c r="V170">
        <v>60</v>
      </c>
      <c r="W170">
        <v>71</v>
      </c>
      <c r="X170">
        <v>80</v>
      </c>
      <c r="Y170">
        <v>85</v>
      </c>
      <c r="Z170">
        <v>92</v>
      </c>
      <c r="AA170">
        <v>104</v>
      </c>
      <c r="AB170">
        <v>114</v>
      </c>
      <c r="AC170">
        <v>119</v>
      </c>
      <c r="AD170">
        <v>131</v>
      </c>
      <c r="AE170">
        <v>156</v>
      </c>
      <c r="AF170">
        <v>169</v>
      </c>
      <c r="AG170">
        <v>188</v>
      </c>
      <c r="AH170">
        <v>217</v>
      </c>
      <c r="AI170">
        <v>231</v>
      </c>
      <c r="AJ170">
        <v>250</v>
      </c>
      <c r="AK170">
        <v>261</v>
      </c>
      <c r="AL170">
        <v>276</v>
      </c>
      <c r="AM170">
        <v>289</v>
      </c>
      <c r="AN170">
        <v>307</v>
      </c>
      <c r="AO170">
        <v>321</v>
      </c>
      <c r="AP170">
        <v>338</v>
      </c>
      <c r="AQ170">
        <v>351</v>
      </c>
      <c r="AR170">
        <v>365</v>
      </c>
      <c r="AS170">
        <v>386</v>
      </c>
      <c r="AT170">
        <v>394</v>
      </c>
      <c r="AU170">
        <v>406</v>
      </c>
      <c r="AV170">
        <v>425</v>
      </c>
      <c r="AW170">
        <v>442</v>
      </c>
      <c r="AX170">
        <v>454</v>
      </c>
      <c r="AY170">
        <v>464</v>
      </c>
      <c r="AZ170">
        <v>466</v>
      </c>
      <c r="BA170">
        <v>478</v>
      </c>
      <c r="BB170">
        <v>488</v>
      </c>
      <c r="BC170">
        <v>498</v>
      </c>
      <c r="BD170">
        <v>503</v>
      </c>
      <c r="BE170">
        <v>511</v>
      </c>
      <c r="BF170">
        <v>516</v>
      </c>
      <c r="BG170">
        <v>516</v>
      </c>
      <c r="BH170">
        <v>520</v>
      </c>
      <c r="BI170">
        <v>525</v>
      </c>
      <c r="BJ170">
        <v>536</v>
      </c>
      <c r="BK170">
        <v>536</v>
      </c>
      <c r="BL170">
        <v>536</v>
      </c>
      <c r="BM170">
        <v>536</v>
      </c>
      <c r="BN170">
        <v>536</v>
      </c>
    </row>
    <row r="171" spans="1:66" x14ac:dyDescent="0.3">
      <c r="A171" t="s">
        <v>14</v>
      </c>
      <c r="B171" t="s">
        <v>337</v>
      </c>
      <c r="C171">
        <v>47.861999999999902</v>
      </c>
      <c r="D171">
        <v>127.7615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2</v>
      </c>
      <c r="P171">
        <v>2</v>
      </c>
      <c r="Q171">
        <v>2</v>
      </c>
      <c r="R171">
        <v>4</v>
      </c>
      <c r="S171">
        <v>7</v>
      </c>
      <c r="T171">
        <v>8</v>
      </c>
      <c r="U171">
        <v>12</v>
      </c>
      <c r="V171">
        <v>13</v>
      </c>
      <c r="W171">
        <v>14</v>
      </c>
      <c r="X171">
        <v>30</v>
      </c>
      <c r="Y171">
        <v>28</v>
      </c>
      <c r="Z171">
        <v>31</v>
      </c>
      <c r="AA171">
        <v>33</v>
      </c>
      <c r="AB171">
        <v>47</v>
      </c>
      <c r="AC171">
        <v>68</v>
      </c>
      <c r="AD171">
        <v>79</v>
      </c>
      <c r="AE171">
        <v>85</v>
      </c>
      <c r="AF171">
        <v>111</v>
      </c>
      <c r="AG171">
        <v>120</v>
      </c>
      <c r="AH171">
        <v>136</v>
      </c>
      <c r="AI171">
        <v>175</v>
      </c>
      <c r="AJ171">
        <v>204</v>
      </c>
      <c r="AK171">
        <v>222</v>
      </c>
      <c r="AL171">
        <v>227</v>
      </c>
      <c r="AM171">
        <v>243</v>
      </c>
      <c r="AN171">
        <v>249</v>
      </c>
      <c r="AO171">
        <v>270</v>
      </c>
      <c r="AP171">
        <v>283</v>
      </c>
      <c r="AQ171">
        <v>301</v>
      </c>
      <c r="AR171">
        <v>342</v>
      </c>
      <c r="AS171">
        <v>356</v>
      </c>
      <c r="AT171">
        <v>366</v>
      </c>
      <c r="AU171">
        <v>373</v>
      </c>
      <c r="AV171">
        <v>379</v>
      </c>
      <c r="AW171">
        <v>396</v>
      </c>
      <c r="AX171">
        <v>403</v>
      </c>
      <c r="AY171">
        <v>412</v>
      </c>
      <c r="AZ171">
        <v>430</v>
      </c>
      <c r="BA171">
        <v>434</v>
      </c>
      <c r="BB171">
        <v>436</v>
      </c>
      <c r="BC171">
        <v>441</v>
      </c>
      <c r="BD171">
        <v>446</v>
      </c>
      <c r="BE171">
        <v>447</v>
      </c>
      <c r="BF171">
        <v>453</v>
      </c>
      <c r="BG171">
        <v>455</v>
      </c>
      <c r="BH171">
        <v>456</v>
      </c>
      <c r="BI171">
        <v>459</v>
      </c>
      <c r="BJ171">
        <v>460</v>
      </c>
      <c r="BK171">
        <v>463</v>
      </c>
      <c r="BL171">
        <v>463</v>
      </c>
      <c r="BM171">
        <v>466</v>
      </c>
      <c r="BN171">
        <v>465</v>
      </c>
    </row>
    <row r="172" spans="1:66" x14ac:dyDescent="0.3">
      <c r="A172" t="s">
        <v>87</v>
      </c>
      <c r="B172" t="s">
        <v>87</v>
      </c>
      <c r="C172">
        <v>56.2639</v>
      </c>
      <c r="D172">
        <v>9.5017999999999994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1</v>
      </c>
      <c r="AX172">
        <v>1</v>
      </c>
      <c r="AY172">
        <v>1</v>
      </c>
      <c r="AZ172">
        <v>1</v>
      </c>
      <c r="BA172">
        <v>1</v>
      </c>
      <c r="BB172">
        <v>1</v>
      </c>
      <c r="BC172">
        <v>1</v>
      </c>
      <c r="BD172">
        <v>1</v>
      </c>
      <c r="BE172">
        <v>1</v>
      </c>
      <c r="BF172">
        <v>1</v>
      </c>
      <c r="BG172">
        <v>1</v>
      </c>
      <c r="BH172">
        <v>1</v>
      </c>
      <c r="BI172">
        <v>1</v>
      </c>
      <c r="BJ172">
        <v>1</v>
      </c>
      <c r="BK172">
        <v>1</v>
      </c>
      <c r="BL172">
        <v>1</v>
      </c>
      <c r="BM172">
        <v>1</v>
      </c>
      <c r="BN172">
        <v>1</v>
      </c>
    </row>
    <row r="173" spans="1:66" x14ac:dyDescent="0.3">
      <c r="A173" t="s">
        <v>5</v>
      </c>
      <c r="B173" t="s">
        <v>337</v>
      </c>
      <c r="C173">
        <v>40.182400000000001</v>
      </c>
      <c r="D173">
        <v>116.41419999999999</v>
      </c>
      <c r="E173">
        <v>0</v>
      </c>
      <c r="F173">
        <v>0</v>
      </c>
      <c r="G173">
        <v>1</v>
      </c>
      <c r="H173">
        <v>2</v>
      </c>
      <c r="I173">
        <v>2</v>
      </c>
      <c r="J173">
        <v>2</v>
      </c>
      <c r="K173">
        <v>4</v>
      </c>
      <c r="L173">
        <v>4</v>
      </c>
      <c r="M173">
        <v>4</v>
      </c>
      <c r="N173">
        <v>5</v>
      </c>
      <c r="O173">
        <v>9</v>
      </c>
      <c r="P173">
        <v>9</v>
      </c>
      <c r="Q173">
        <v>12</v>
      </c>
      <c r="R173">
        <v>23</v>
      </c>
      <c r="S173">
        <v>24</v>
      </c>
      <c r="T173">
        <v>31</v>
      </c>
      <c r="U173">
        <v>33</v>
      </c>
      <c r="V173">
        <v>34</v>
      </c>
      <c r="W173">
        <v>37</v>
      </c>
      <c r="X173">
        <v>44</v>
      </c>
      <c r="Y173">
        <v>48</v>
      </c>
      <c r="Z173">
        <v>56</v>
      </c>
      <c r="AA173">
        <v>69</v>
      </c>
      <c r="AB173">
        <v>80</v>
      </c>
      <c r="AC173">
        <v>98</v>
      </c>
      <c r="AD173">
        <v>108</v>
      </c>
      <c r="AE173">
        <v>114</v>
      </c>
      <c r="AF173">
        <v>122</v>
      </c>
      <c r="AG173">
        <v>145</v>
      </c>
      <c r="AH173">
        <v>153</v>
      </c>
      <c r="AI173">
        <v>169</v>
      </c>
      <c r="AJ173">
        <v>178</v>
      </c>
      <c r="AK173">
        <v>189</v>
      </c>
      <c r="AL173">
        <v>198</v>
      </c>
      <c r="AM173">
        <v>215</v>
      </c>
      <c r="AN173">
        <v>235</v>
      </c>
      <c r="AO173">
        <v>248</v>
      </c>
      <c r="AP173">
        <v>257</v>
      </c>
      <c r="AQ173">
        <v>271</v>
      </c>
      <c r="AR173">
        <v>276</v>
      </c>
      <c r="AS173">
        <v>282</v>
      </c>
      <c r="AT173">
        <v>288</v>
      </c>
      <c r="AU173">
        <v>297</v>
      </c>
      <c r="AV173">
        <v>297</v>
      </c>
      <c r="AW173">
        <v>299</v>
      </c>
      <c r="AX173">
        <v>303</v>
      </c>
      <c r="AY173">
        <v>308</v>
      </c>
      <c r="AZ173">
        <v>315</v>
      </c>
      <c r="BA173">
        <v>320</v>
      </c>
      <c r="BB173">
        <v>326</v>
      </c>
      <c r="BC173">
        <v>334</v>
      </c>
      <c r="BD173">
        <v>342</v>
      </c>
      <c r="BE173">
        <v>349</v>
      </c>
      <c r="BF173">
        <v>353</v>
      </c>
      <c r="BG173">
        <v>360</v>
      </c>
      <c r="BH173">
        <v>369</v>
      </c>
      <c r="BI173">
        <v>378</v>
      </c>
      <c r="BJ173">
        <v>380</v>
      </c>
      <c r="BK173">
        <v>390</v>
      </c>
      <c r="BL173">
        <v>396</v>
      </c>
      <c r="BM173">
        <v>400</v>
      </c>
      <c r="BN173">
        <v>400</v>
      </c>
    </row>
    <row r="174" spans="1:66" x14ac:dyDescent="0.3">
      <c r="A174" t="s">
        <v>27</v>
      </c>
      <c r="B174" t="s">
        <v>337</v>
      </c>
      <c r="C174">
        <v>31.201999999999899</v>
      </c>
      <c r="D174">
        <v>121.4491</v>
      </c>
      <c r="E174">
        <v>0</v>
      </c>
      <c r="F174">
        <v>0</v>
      </c>
      <c r="G174">
        <v>1</v>
      </c>
      <c r="H174">
        <v>1</v>
      </c>
      <c r="I174">
        <v>1</v>
      </c>
      <c r="J174">
        <v>3</v>
      </c>
      <c r="K174">
        <v>4</v>
      </c>
      <c r="L174">
        <v>5</v>
      </c>
      <c r="M174">
        <v>5</v>
      </c>
      <c r="N174">
        <v>9</v>
      </c>
      <c r="O174">
        <v>10</v>
      </c>
      <c r="P174">
        <v>10</v>
      </c>
      <c r="Q174">
        <v>10</v>
      </c>
      <c r="R174">
        <v>12</v>
      </c>
      <c r="S174">
        <v>15</v>
      </c>
      <c r="T174">
        <v>25</v>
      </c>
      <c r="U174">
        <v>30</v>
      </c>
      <c r="V174">
        <v>41</v>
      </c>
      <c r="W174">
        <v>44</v>
      </c>
      <c r="X174">
        <v>48</v>
      </c>
      <c r="Y174">
        <v>52</v>
      </c>
      <c r="Z174">
        <v>57</v>
      </c>
      <c r="AA174">
        <v>62</v>
      </c>
      <c r="AB174">
        <v>90</v>
      </c>
      <c r="AC174">
        <v>124</v>
      </c>
      <c r="AD174">
        <v>140</v>
      </c>
      <c r="AE174">
        <v>161</v>
      </c>
      <c r="AF174">
        <v>177</v>
      </c>
      <c r="AG174">
        <v>186</v>
      </c>
      <c r="AH174">
        <v>199</v>
      </c>
      <c r="AI174">
        <v>211</v>
      </c>
      <c r="AJ174">
        <v>227</v>
      </c>
      <c r="AK174">
        <v>249</v>
      </c>
      <c r="AL174">
        <v>261</v>
      </c>
      <c r="AM174">
        <v>268</v>
      </c>
      <c r="AN174">
        <v>272</v>
      </c>
      <c r="AO174">
        <v>276</v>
      </c>
      <c r="AP174">
        <v>279</v>
      </c>
      <c r="AQ174">
        <v>287</v>
      </c>
      <c r="AR174">
        <v>290</v>
      </c>
      <c r="AS174">
        <v>292</v>
      </c>
      <c r="AT174">
        <v>294</v>
      </c>
      <c r="AU174">
        <v>298</v>
      </c>
      <c r="AV174">
        <v>303</v>
      </c>
      <c r="AW174">
        <v>306</v>
      </c>
      <c r="AX174">
        <v>313</v>
      </c>
      <c r="AY174">
        <v>314</v>
      </c>
      <c r="AZ174">
        <v>315</v>
      </c>
      <c r="BA174">
        <v>319</v>
      </c>
      <c r="BB174">
        <v>320</v>
      </c>
      <c r="BC174">
        <v>321</v>
      </c>
      <c r="BD174">
        <v>324</v>
      </c>
      <c r="BE174">
        <v>324</v>
      </c>
      <c r="BF174">
        <v>324</v>
      </c>
      <c r="BG174">
        <v>325</v>
      </c>
      <c r="BH174">
        <v>325</v>
      </c>
      <c r="BI174">
        <v>326</v>
      </c>
      <c r="BJ174">
        <v>326</v>
      </c>
      <c r="BK174">
        <v>326</v>
      </c>
      <c r="BL174">
        <v>327</v>
      </c>
      <c r="BM174">
        <v>328</v>
      </c>
      <c r="BN174">
        <v>329</v>
      </c>
    </row>
    <row r="175" spans="1:66" x14ac:dyDescent="0.3">
      <c r="A175" t="s">
        <v>13</v>
      </c>
      <c r="B175" t="s">
        <v>337</v>
      </c>
      <c r="C175">
        <v>39.548999999999999</v>
      </c>
      <c r="D175">
        <v>116.1306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3</v>
      </c>
      <c r="Q175">
        <v>3</v>
      </c>
      <c r="R175">
        <v>4</v>
      </c>
      <c r="S175">
        <v>6</v>
      </c>
      <c r="T175">
        <v>13</v>
      </c>
      <c r="U175">
        <v>22</v>
      </c>
      <c r="V175">
        <v>30</v>
      </c>
      <c r="W175">
        <v>34</v>
      </c>
      <c r="X175">
        <v>41</v>
      </c>
      <c r="Y175">
        <v>48</v>
      </c>
      <c r="Z175">
        <v>54</v>
      </c>
      <c r="AA175">
        <v>68</v>
      </c>
      <c r="AB175">
        <v>87</v>
      </c>
      <c r="AC175">
        <v>101</v>
      </c>
      <c r="AD175">
        <v>105</v>
      </c>
      <c r="AE175">
        <v>122</v>
      </c>
      <c r="AF175">
        <v>136</v>
      </c>
      <c r="AG175">
        <v>152</v>
      </c>
      <c r="AH175">
        <v>169</v>
      </c>
      <c r="AI175">
        <v>184</v>
      </c>
      <c r="AJ175">
        <v>203</v>
      </c>
      <c r="AK175">
        <v>219</v>
      </c>
      <c r="AL175">
        <v>234</v>
      </c>
      <c r="AM175">
        <v>248</v>
      </c>
      <c r="AN175">
        <v>261</v>
      </c>
      <c r="AO175">
        <v>274</v>
      </c>
      <c r="AP175">
        <v>277</v>
      </c>
      <c r="AQ175">
        <v>282</v>
      </c>
      <c r="AR175">
        <v>294</v>
      </c>
      <c r="AS175">
        <v>296</v>
      </c>
      <c r="AT175">
        <v>300</v>
      </c>
      <c r="AU175">
        <v>301</v>
      </c>
      <c r="AV175">
        <v>304</v>
      </c>
      <c r="AW175">
        <v>305</v>
      </c>
      <c r="AX175">
        <v>307</v>
      </c>
      <c r="AY175">
        <v>307</v>
      </c>
      <c r="AZ175">
        <v>307</v>
      </c>
      <c r="BA175">
        <v>307</v>
      </c>
      <c r="BB175">
        <v>307</v>
      </c>
      <c r="BC175">
        <v>308</v>
      </c>
      <c r="BD175">
        <v>310</v>
      </c>
      <c r="BE175">
        <v>310</v>
      </c>
      <c r="BF175">
        <v>310</v>
      </c>
      <c r="BG175">
        <v>310</v>
      </c>
      <c r="BH175">
        <v>310</v>
      </c>
      <c r="BI175">
        <v>310</v>
      </c>
      <c r="BJ175">
        <v>310</v>
      </c>
      <c r="BK175">
        <v>310</v>
      </c>
      <c r="BL175">
        <v>310</v>
      </c>
      <c r="BM175">
        <v>310</v>
      </c>
      <c r="BN175">
        <v>310</v>
      </c>
    </row>
    <row r="176" spans="1:66" x14ac:dyDescent="0.3">
      <c r="A176" t="s">
        <v>7</v>
      </c>
      <c r="B176" t="s">
        <v>337</v>
      </c>
      <c r="C176">
        <v>26.078900000000001</v>
      </c>
      <c r="D176">
        <v>117.98739999999999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1</v>
      </c>
      <c r="R176">
        <v>3</v>
      </c>
      <c r="S176">
        <v>11</v>
      </c>
      <c r="T176">
        <v>14</v>
      </c>
      <c r="U176">
        <v>20</v>
      </c>
      <c r="V176">
        <v>24</v>
      </c>
      <c r="W176">
        <v>35</v>
      </c>
      <c r="X176">
        <v>39</v>
      </c>
      <c r="Y176">
        <v>45</v>
      </c>
      <c r="Z176">
        <v>53</v>
      </c>
      <c r="AA176">
        <v>57</v>
      </c>
      <c r="AB176">
        <v>63</v>
      </c>
      <c r="AC176">
        <v>71</v>
      </c>
      <c r="AD176">
        <v>82</v>
      </c>
      <c r="AE176">
        <v>90</v>
      </c>
      <c r="AF176">
        <v>93</v>
      </c>
      <c r="AG176">
        <v>112</v>
      </c>
      <c r="AH176">
        <v>126</v>
      </c>
      <c r="AI176">
        <v>149</v>
      </c>
      <c r="AJ176">
        <v>162</v>
      </c>
      <c r="AK176">
        <v>170</v>
      </c>
      <c r="AL176">
        <v>183</v>
      </c>
      <c r="AM176">
        <v>199</v>
      </c>
      <c r="AN176">
        <v>218</v>
      </c>
      <c r="AO176">
        <v>228</v>
      </c>
      <c r="AP176">
        <v>235</v>
      </c>
      <c r="AQ176">
        <v>243</v>
      </c>
      <c r="AR176">
        <v>247</v>
      </c>
      <c r="AS176">
        <v>255</v>
      </c>
      <c r="AT176">
        <v>260</v>
      </c>
      <c r="AU176">
        <v>270</v>
      </c>
      <c r="AV176">
        <v>277</v>
      </c>
      <c r="AW176">
        <v>284</v>
      </c>
      <c r="AX176">
        <v>295</v>
      </c>
      <c r="AY176">
        <v>295</v>
      </c>
      <c r="AZ176">
        <v>295</v>
      </c>
      <c r="BA176">
        <v>295</v>
      </c>
      <c r="BB176">
        <v>295</v>
      </c>
      <c r="BC176">
        <v>295</v>
      </c>
      <c r="BD176">
        <v>295</v>
      </c>
      <c r="BE176">
        <v>295</v>
      </c>
      <c r="BF176">
        <v>295</v>
      </c>
      <c r="BG176">
        <v>295</v>
      </c>
      <c r="BH176">
        <v>295</v>
      </c>
      <c r="BI176">
        <v>295</v>
      </c>
      <c r="BJ176">
        <v>295</v>
      </c>
      <c r="BK176">
        <v>295</v>
      </c>
      <c r="BL176">
        <v>295</v>
      </c>
      <c r="BM176">
        <v>295</v>
      </c>
      <c r="BN176">
        <v>295</v>
      </c>
    </row>
    <row r="177" spans="1:66" x14ac:dyDescent="0.3">
      <c r="A177" t="s">
        <v>10</v>
      </c>
      <c r="B177" t="s">
        <v>337</v>
      </c>
      <c r="C177">
        <v>23.829799999999999</v>
      </c>
      <c r="D177">
        <v>108.7881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2</v>
      </c>
      <c r="L177">
        <v>2</v>
      </c>
      <c r="M177">
        <v>2</v>
      </c>
      <c r="N177">
        <v>2</v>
      </c>
      <c r="O177">
        <v>2</v>
      </c>
      <c r="P177">
        <v>2</v>
      </c>
      <c r="Q177">
        <v>7</v>
      </c>
      <c r="R177">
        <v>10</v>
      </c>
      <c r="S177">
        <v>13</v>
      </c>
      <c r="T177">
        <v>14</v>
      </c>
      <c r="U177">
        <v>17</v>
      </c>
      <c r="V177">
        <v>17</v>
      </c>
      <c r="W177">
        <v>18</v>
      </c>
      <c r="X177">
        <v>24</v>
      </c>
      <c r="Y177">
        <v>33</v>
      </c>
      <c r="Z177">
        <v>32</v>
      </c>
      <c r="AA177">
        <v>33</v>
      </c>
      <c r="AB177">
        <v>36</v>
      </c>
      <c r="AC177">
        <v>44</v>
      </c>
      <c r="AD177">
        <v>49</v>
      </c>
      <c r="AE177">
        <v>53</v>
      </c>
      <c r="AF177">
        <v>69</v>
      </c>
      <c r="AG177">
        <v>86</v>
      </c>
      <c r="AH177">
        <v>90</v>
      </c>
      <c r="AI177">
        <v>97</v>
      </c>
      <c r="AJ177">
        <v>104</v>
      </c>
      <c r="AK177">
        <v>106</v>
      </c>
      <c r="AL177">
        <v>112</v>
      </c>
      <c r="AM177">
        <v>134</v>
      </c>
      <c r="AN177">
        <v>147</v>
      </c>
      <c r="AO177">
        <v>161</v>
      </c>
      <c r="AP177">
        <v>168</v>
      </c>
      <c r="AQ177">
        <v>176</v>
      </c>
      <c r="AR177">
        <v>181</v>
      </c>
      <c r="AS177">
        <v>192</v>
      </c>
      <c r="AT177">
        <v>202</v>
      </c>
      <c r="AU177">
        <v>210</v>
      </c>
      <c r="AV177">
        <v>214</v>
      </c>
      <c r="AW177">
        <v>217</v>
      </c>
      <c r="AX177">
        <v>218</v>
      </c>
      <c r="AY177">
        <v>223</v>
      </c>
      <c r="AZ177">
        <v>230</v>
      </c>
      <c r="BA177">
        <v>234</v>
      </c>
      <c r="BB177">
        <v>238</v>
      </c>
      <c r="BC177">
        <v>241</v>
      </c>
      <c r="BD177">
        <v>243</v>
      </c>
      <c r="BE177">
        <v>243</v>
      </c>
      <c r="BF177">
        <v>243</v>
      </c>
      <c r="BG177">
        <v>248</v>
      </c>
      <c r="BH177">
        <v>248</v>
      </c>
      <c r="BI177">
        <v>250</v>
      </c>
      <c r="BJ177">
        <v>250</v>
      </c>
      <c r="BK177">
        <v>250</v>
      </c>
      <c r="BL177">
        <v>250</v>
      </c>
      <c r="BM177">
        <v>250</v>
      </c>
      <c r="BN177">
        <v>250</v>
      </c>
    </row>
    <row r="178" spans="1:66" x14ac:dyDescent="0.3">
      <c r="A178" t="s">
        <v>25</v>
      </c>
      <c r="B178" t="s">
        <v>337</v>
      </c>
      <c r="C178">
        <v>35.191699999999997</v>
      </c>
      <c r="D178">
        <v>108.87009999999999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2</v>
      </c>
      <c r="S178">
        <v>6</v>
      </c>
      <c r="T178">
        <v>9</v>
      </c>
      <c r="U178">
        <v>17</v>
      </c>
      <c r="V178">
        <v>20</v>
      </c>
      <c r="W178">
        <v>25</v>
      </c>
      <c r="X178">
        <v>30</v>
      </c>
      <c r="Y178">
        <v>32</v>
      </c>
      <c r="Z178">
        <v>43</v>
      </c>
      <c r="AA178">
        <v>46</v>
      </c>
      <c r="AB178">
        <v>54</v>
      </c>
      <c r="AC178">
        <v>60</v>
      </c>
      <c r="AD178">
        <v>71</v>
      </c>
      <c r="AE178">
        <v>79</v>
      </c>
      <c r="AF178">
        <v>89</v>
      </c>
      <c r="AG178">
        <v>102</v>
      </c>
      <c r="AH178">
        <v>118</v>
      </c>
      <c r="AI178">
        <v>134</v>
      </c>
      <c r="AJ178">
        <v>149</v>
      </c>
      <c r="AK178">
        <v>163</v>
      </c>
      <c r="AL178">
        <v>173</v>
      </c>
      <c r="AM178">
        <v>186</v>
      </c>
      <c r="AN178">
        <v>192</v>
      </c>
      <c r="AO178">
        <v>195</v>
      </c>
      <c r="AP178">
        <v>199</v>
      </c>
      <c r="AQ178">
        <v>207</v>
      </c>
      <c r="AR178">
        <v>208</v>
      </c>
      <c r="AS178">
        <v>216</v>
      </c>
      <c r="AT178">
        <v>216</v>
      </c>
      <c r="AU178">
        <v>223</v>
      </c>
      <c r="AV178">
        <v>224</v>
      </c>
      <c r="AW178">
        <v>226</v>
      </c>
      <c r="AX178">
        <v>226</v>
      </c>
      <c r="AY178">
        <v>227</v>
      </c>
      <c r="AZ178">
        <v>227</v>
      </c>
      <c r="BA178">
        <v>227</v>
      </c>
      <c r="BB178">
        <v>232</v>
      </c>
      <c r="BC178">
        <v>232</v>
      </c>
      <c r="BD178">
        <v>232</v>
      </c>
      <c r="BE178">
        <v>232</v>
      </c>
      <c r="BF178">
        <v>232</v>
      </c>
      <c r="BG178">
        <v>233</v>
      </c>
      <c r="BH178">
        <v>236</v>
      </c>
      <c r="BI178">
        <v>237</v>
      </c>
      <c r="BJ178">
        <v>237</v>
      </c>
      <c r="BK178">
        <v>237</v>
      </c>
      <c r="BL178">
        <v>239</v>
      </c>
      <c r="BM178">
        <v>239</v>
      </c>
      <c r="BN178">
        <v>239</v>
      </c>
    </row>
    <row r="179" spans="1:66" x14ac:dyDescent="0.3">
      <c r="A179" t="s">
        <v>33</v>
      </c>
      <c r="B179" t="s">
        <v>337</v>
      </c>
      <c r="C179">
        <v>24.974</v>
      </c>
      <c r="D179">
        <v>101.48699999999999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1</v>
      </c>
      <c r="O179">
        <v>2</v>
      </c>
      <c r="P179">
        <v>3</v>
      </c>
      <c r="Q179">
        <v>5</v>
      </c>
      <c r="R179">
        <v>5</v>
      </c>
      <c r="S179">
        <v>5</v>
      </c>
      <c r="T179">
        <v>7</v>
      </c>
      <c r="U179">
        <v>12</v>
      </c>
      <c r="V179">
        <v>17</v>
      </c>
      <c r="W179">
        <v>18</v>
      </c>
      <c r="X179">
        <v>19</v>
      </c>
      <c r="Y179">
        <v>20</v>
      </c>
      <c r="Z179">
        <v>26</v>
      </c>
      <c r="AA179">
        <v>27</v>
      </c>
      <c r="AB179">
        <v>36</v>
      </c>
      <c r="AC179">
        <v>42</v>
      </c>
      <c r="AD179">
        <v>42</v>
      </c>
      <c r="AE179">
        <v>47</v>
      </c>
      <c r="AF179">
        <v>57</v>
      </c>
      <c r="AG179">
        <v>60</v>
      </c>
      <c r="AH179">
        <v>79</v>
      </c>
      <c r="AI179">
        <v>96</v>
      </c>
      <c r="AJ179">
        <v>107</v>
      </c>
      <c r="AK179">
        <v>115</v>
      </c>
      <c r="AL179">
        <v>124</v>
      </c>
      <c r="AM179">
        <v>129</v>
      </c>
      <c r="AN179">
        <v>144</v>
      </c>
      <c r="AO179">
        <v>150</v>
      </c>
      <c r="AP179">
        <v>156</v>
      </c>
      <c r="AQ179">
        <v>157</v>
      </c>
      <c r="AR179">
        <v>163</v>
      </c>
      <c r="AS179">
        <v>168</v>
      </c>
      <c r="AT179">
        <v>169</v>
      </c>
      <c r="AU179">
        <v>169</v>
      </c>
      <c r="AV179">
        <v>169</v>
      </c>
      <c r="AW179">
        <v>170</v>
      </c>
      <c r="AX179">
        <v>170</v>
      </c>
      <c r="AY179">
        <v>170</v>
      </c>
      <c r="AZ179">
        <v>170</v>
      </c>
      <c r="BA179">
        <v>170</v>
      </c>
      <c r="BB179">
        <v>170</v>
      </c>
      <c r="BC179">
        <v>170</v>
      </c>
      <c r="BD179">
        <v>170</v>
      </c>
      <c r="BE179">
        <v>172</v>
      </c>
      <c r="BF179">
        <v>172</v>
      </c>
      <c r="BG179">
        <v>172</v>
      </c>
      <c r="BH179">
        <v>172</v>
      </c>
      <c r="BI179">
        <v>172</v>
      </c>
      <c r="BJ179">
        <v>172</v>
      </c>
      <c r="BK179">
        <v>172</v>
      </c>
      <c r="BL179">
        <v>172</v>
      </c>
      <c r="BM179">
        <v>172</v>
      </c>
      <c r="BN179">
        <v>172</v>
      </c>
    </row>
    <row r="180" spans="1:66" x14ac:dyDescent="0.3">
      <c r="A180" t="s">
        <v>12</v>
      </c>
      <c r="B180" t="s">
        <v>337</v>
      </c>
      <c r="C180">
        <v>19.195900000000002</v>
      </c>
      <c r="D180">
        <v>109.7453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1</v>
      </c>
      <c r="N180">
        <v>1</v>
      </c>
      <c r="O180">
        <v>1</v>
      </c>
      <c r="P180">
        <v>4</v>
      </c>
      <c r="Q180">
        <v>4</v>
      </c>
      <c r="R180">
        <v>5</v>
      </c>
      <c r="S180">
        <v>5</v>
      </c>
      <c r="T180">
        <v>8</v>
      </c>
      <c r="U180">
        <v>10</v>
      </c>
      <c r="V180">
        <v>14</v>
      </c>
      <c r="W180">
        <v>19</v>
      </c>
      <c r="X180">
        <v>19</v>
      </c>
      <c r="Y180">
        <v>20</v>
      </c>
      <c r="Z180">
        <v>27</v>
      </c>
      <c r="AA180">
        <v>30</v>
      </c>
      <c r="AB180">
        <v>43</v>
      </c>
      <c r="AC180">
        <v>39</v>
      </c>
      <c r="AD180">
        <v>52</v>
      </c>
      <c r="AE180">
        <v>59</v>
      </c>
      <c r="AF180">
        <v>79</v>
      </c>
      <c r="AG180">
        <v>84</v>
      </c>
      <c r="AH180">
        <v>86</v>
      </c>
      <c r="AI180">
        <v>95</v>
      </c>
      <c r="AJ180">
        <v>104</v>
      </c>
      <c r="AK180">
        <v>106</v>
      </c>
      <c r="AL180">
        <v>116</v>
      </c>
      <c r="AM180">
        <v>124</v>
      </c>
      <c r="AN180">
        <v>129</v>
      </c>
      <c r="AO180">
        <v>131</v>
      </c>
      <c r="AP180">
        <v>133</v>
      </c>
      <c r="AQ180">
        <v>148</v>
      </c>
      <c r="AR180">
        <v>149</v>
      </c>
      <c r="AS180">
        <v>151</v>
      </c>
      <c r="AT180">
        <v>155</v>
      </c>
      <c r="AU180">
        <v>158</v>
      </c>
      <c r="AV180">
        <v>158</v>
      </c>
      <c r="AW180">
        <v>158</v>
      </c>
      <c r="AX180">
        <v>158</v>
      </c>
      <c r="AY180">
        <v>159</v>
      </c>
      <c r="AZ180">
        <v>159</v>
      </c>
      <c r="BA180">
        <v>159</v>
      </c>
      <c r="BB180">
        <v>159</v>
      </c>
      <c r="BC180">
        <v>160</v>
      </c>
      <c r="BD180">
        <v>160</v>
      </c>
      <c r="BE180">
        <v>160</v>
      </c>
      <c r="BF180">
        <v>160</v>
      </c>
      <c r="BG180">
        <v>161</v>
      </c>
      <c r="BH180">
        <v>161</v>
      </c>
      <c r="BI180">
        <v>161</v>
      </c>
      <c r="BJ180">
        <v>161</v>
      </c>
      <c r="BK180">
        <v>161</v>
      </c>
      <c r="BL180">
        <v>161</v>
      </c>
      <c r="BM180">
        <v>161</v>
      </c>
      <c r="BN180">
        <v>161</v>
      </c>
    </row>
    <row r="181" spans="1:66" x14ac:dyDescent="0.3">
      <c r="A181" t="s">
        <v>11</v>
      </c>
      <c r="B181" t="s">
        <v>337</v>
      </c>
      <c r="C181">
        <v>26.8154</v>
      </c>
      <c r="D181">
        <v>106.87479999999999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1</v>
      </c>
      <c r="M181">
        <v>1</v>
      </c>
      <c r="N181">
        <v>2</v>
      </c>
      <c r="O181">
        <v>2</v>
      </c>
      <c r="P181">
        <v>2</v>
      </c>
      <c r="Q181">
        <v>2</v>
      </c>
      <c r="R181">
        <v>2</v>
      </c>
      <c r="S181">
        <v>9</v>
      </c>
      <c r="T181">
        <v>6</v>
      </c>
      <c r="U181">
        <v>6</v>
      </c>
      <c r="V181">
        <v>7</v>
      </c>
      <c r="W181">
        <v>7</v>
      </c>
      <c r="X181">
        <v>10</v>
      </c>
      <c r="Y181">
        <v>17</v>
      </c>
      <c r="Z181">
        <v>18</v>
      </c>
      <c r="AA181">
        <v>27</v>
      </c>
      <c r="AB181">
        <v>28</v>
      </c>
      <c r="AC181">
        <v>41</v>
      </c>
      <c r="AD181">
        <v>46</v>
      </c>
      <c r="AE181">
        <v>57</v>
      </c>
      <c r="AF181">
        <v>66</v>
      </c>
      <c r="AG181">
        <v>70</v>
      </c>
      <c r="AH181">
        <v>72</v>
      </c>
      <c r="AI181">
        <v>77</v>
      </c>
      <c r="AJ181">
        <v>90</v>
      </c>
      <c r="AK181">
        <v>102</v>
      </c>
      <c r="AL181">
        <v>102</v>
      </c>
      <c r="AM181">
        <v>104</v>
      </c>
      <c r="AN181">
        <v>104</v>
      </c>
      <c r="AO181">
        <v>112</v>
      </c>
      <c r="AP181">
        <v>112</v>
      </c>
      <c r="AQ181">
        <v>112</v>
      </c>
      <c r="AR181">
        <v>112</v>
      </c>
      <c r="AS181">
        <v>114</v>
      </c>
      <c r="AT181">
        <v>114</v>
      </c>
      <c r="AU181">
        <v>114</v>
      </c>
      <c r="AV181">
        <v>114</v>
      </c>
      <c r="AW181">
        <v>114</v>
      </c>
      <c r="AX181">
        <v>115</v>
      </c>
      <c r="AY181">
        <v>117</v>
      </c>
      <c r="AZ181">
        <v>123</v>
      </c>
      <c r="BA181">
        <v>129</v>
      </c>
      <c r="BB181">
        <v>133</v>
      </c>
      <c r="BC181">
        <v>137</v>
      </c>
      <c r="BD181">
        <v>140</v>
      </c>
      <c r="BE181">
        <v>143</v>
      </c>
      <c r="BF181">
        <v>143</v>
      </c>
      <c r="BG181">
        <v>144</v>
      </c>
      <c r="BH181">
        <v>144</v>
      </c>
      <c r="BI181">
        <v>144</v>
      </c>
      <c r="BJ181">
        <v>144</v>
      </c>
      <c r="BK181">
        <v>144</v>
      </c>
      <c r="BL181">
        <v>144</v>
      </c>
      <c r="BM181">
        <v>144</v>
      </c>
      <c r="BN181">
        <v>144</v>
      </c>
    </row>
    <row r="182" spans="1:66" x14ac:dyDescent="0.3">
      <c r="A182" t="s">
        <v>30</v>
      </c>
      <c r="B182" t="s">
        <v>337</v>
      </c>
      <c r="C182">
        <v>39.305399999999999</v>
      </c>
      <c r="D182">
        <v>117.32299999999999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1</v>
      </c>
      <c r="Q182">
        <v>1</v>
      </c>
      <c r="R182">
        <v>2</v>
      </c>
      <c r="S182">
        <v>2</v>
      </c>
      <c r="T182">
        <v>2</v>
      </c>
      <c r="U182">
        <v>2</v>
      </c>
      <c r="V182">
        <v>4</v>
      </c>
      <c r="W182">
        <v>4</v>
      </c>
      <c r="X182">
        <v>8</v>
      </c>
      <c r="Y182">
        <v>10</v>
      </c>
      <c r="Z182">
        <v>11</v>
      </c>
      <c r="AA182">
        <v>21</v>
      </c>
      <c r="AB182">
        <v>31</v>
      </c>
      <c r="AC182">
        <v>37</v>
      </c>
      <c r="AD182">
        <v>45</v>
      </c>
      <c r="AE182">
        <v>46</v>
      </c>
      <c r="AF182">
        <v>48</v>
      </c>
      <c r="AG182">
        <v>54</v>
      </c>
      <c r="AH182">
        <v>59</v>
      </c>
      <c r="AI182">
        <v>62</v>
      </c>
      <c r="AJ182">
        <v>65</v>
      </c>
      <c r="AK182">
        <v>81</v>
      </c>
      <c r="AL182">
        <v>87</v>
      </c>
      <c r="AM182">
        <v>91</v>
      </c>
      <c r="AN182">
        <v>96</v>
      </c>
      <c r="AO182">
        <v>102</v>
      </c>
      <c r="AP182">
        <v>102</v>
      </c>
      <c r="AQ182">
        <v>109</v>
      </c>
      <c r="AR182">
        <v>111</v>
      </c>
      <c r="AS182">
        <v>111</v>
      </c>
      <c r="AT182">
        <v>124</v>
      </c>
      <c r="AU182">
        <v>124</v>
      </c>
      <c r="AV182">
        <v>128</v>
      </c>
      <c r="AW182">
        <v>128</v>
      </c>
      <c r="AX182">
        <v>128</v>
      </c>
      <c r="AY182">
        <v>128</v>
      </c>
      <c r="AZ182">
        <v>130</v>
      </c>
      <c r="BA182">
        <v>131</v>
      </c>
      <c r="BB182">
        <v>131</v>
      </c>
      <c r="BC182">
        <v>132</v>
      </c>
      <c r="BD182">
        <v>132</v>
      </c>
      <c r="BE182">
        <v>132</v>
      </c>
      <c r="BF182">
        <v>133</v>
      </c>
      <c r="BG182">
        <v>133</v>
      </c>
      <c r="BH182">
        <v>133</v>
      </c>
      <c r="BI182">
        <v>133</v>
      </c>
      <c r="BJ182">
        <v>133</v>
      </c>
      <c r="BK182">
        <v>133</v>
      </c>
      <c r="BL182">
        <v>133</v>
      </c>
      <c r="BM182">
        <v>133</v>
      </c>
      <c r="BN182">
        <v>133</v>
      </c>
    </row>
    <row r="183" spans="1:66" x14ac:dyDescent="0.3">
      <c r="A183" t="s">
        <v>28</v>
      </c>
      <c r="B183" t="s">
        <v>337</v>
      </c>
      <c r="C183">
        <v>37.5777</v>
      </c>
      <c r="D183">
        <v>112.29219999999999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1</v>
      </c>
      <c r="M183">
        <v>1</v>
      </c>
      <c r="N183">
        <v>1</v>
      </c>
      <c r="O183">
        <v>1</v>
      </c>
      <c r="P183">
        <v>3</v>
      </c>
      <c r="Q183">
        <v>2</v>
      </c>
      <c r="R183">
        <v>4</v>
      </c>
      <c r="S183">
        <v>5</v>
      </c>
      <c r="T183">
        <v>12</v>
      </c>
      <c r="U183">
        <v>15</v>
      </c>
      <c r="V183">
        <v>21</v>
      </c>
      <c r="W183">
        <v>25</v>
      </c>
      <c r="X183">
        <v>25</v>
      </c>
      <c r="Y183">
        <v>30</v>
      </c>
      <c r="Z183">
        <v>33</v>
      </c>
      <c r="AA183">
        <v>36</v>
      </c>
      <c r="AB183">
        <v>38</v>
      </c>
      <c r="AC183">
        <v>46</v>
      </c>
      <c r="AD183">
        <v>50</v>
      </c>
      <c r="AE183">
        <v>53</v>
      </c>
      <c r="AF183">
        <v>61</v>
      </c>
      <c r="AG183">
        <v>68</v>
      </c>
      <c r="AH183">
        <v>76</v>
      </c>
      <c r="AI183">
        <v>78</v>
      </c>
      <c r="AJ183">
        <v>81</v>
      </c>
      <c r="AK183">
        <v>88</v>
      </c>
      <c r="AL183">
        <v>94</v>
      </c>
      <c r="AM183">
        <v>98</v>
      </c>
      <c r="AN183">
        <v>104</v>
      </c>
      <c r="AO183">
        <v>107</v>
      </c>
      <c r="AP183">
        <v>112</v>
      </c>
      <c r="AQ183">
        <v>114</v>
      </c>
      <c r="AR183">
        <v>116</v>
      </c>
      <c r="AS183">
        <v>119</v>
      </c>
      <c r="AT183">
        <v>124</v>
      </c>
      <c r="AU183">
        <v>124</v>
      </c>
      <c r="AV183">
        <v>126</v>
      </c>
      <c r="AW183">
        <v>126</v>
      </c>
      <c r="AX183">
        <v>126</v>
      </c>
      <c r="AY183">
        <v>126</v>
      </c>
      <c r="AZ183">
        <v>127</v>
      </c>
      <c r="BA183">
        <v>131</v>
      </c>
      <c r="BB183">
        <v>131</v>
      </c>
      <c r="BC183">
        <v>132</v>
      </c>
      <c r="BD183">
        <v>133</v>
      </c>
      <c r="BE183">
        <v>133</v>
      </c>
      <c r="BF183">
        <v>133</v>
      </c>
      <c r="BG183">
        <v>133</v>
      </c>
      <c r="BH183">
        <v>133</v>
      </c>
      <c r="BI183">
        <v>133</v>
      </c>
      <c r="BJ183">
        <v>133</v>
      </c>
      <c r="BK183">
        <v>133</v>
      </c>
      <c r="BL183">
        <v>133</v>
      </c>
      <c r="BM183">
        <v>133</v>
      </c>
      <c r="BN183">
        <v>133</v>
      </c>
    </row>
    <row r="184" spans="1:66" x14ac:dyDescent="0.3">
      <c r="A184" t="s">
        <v>8</v>
      </c>
      <c r="B184" t="s">
        <v>337</v>
      </c>
      <c r="C184">
        <v>37.809899999999999</v>
      </c>
      <c r="D184">
        <v>101.0583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3</v>
      </c>
      <c r="Q184">
        <v>3</v>
      </c>
      <c r="R184">
        <v>4</v>
      </c>
      <c r="S184">
        <v>6</v>
      </c>
      <c r="T184">
        <v>6</v>
      </c>
      <c r="U184">
        <v>9</v>
      </c>
      <c r="V184">
        <v>12</v>
      </c>
      <c r="W184">
        <v>16</v>
      </c>
      <c r="X184">
        <v>17</v>
      </c>
      <c r="Y184">
        <v>24</v>
      </c>
      <c r="Z184">
        <v>31</v>
      </c>
      <c r="AA184">
        <v>39</v>
      </c>
      <c r="AB184">
        <v>39</v>
      </c>
      <c r="AC184">
        <v>49</v>
      </c>
      <c r="AD184">
        <v>54</v>
      </c>
      <c r="AE184">
        <v>58</v>
      </c>
      <c r="AF184">
        <v>62</v>
      </c>
      <c r="AG184">
        <v>65</v>
      </c>
      <c r="AH184">
        <v>71</v>
      </c>
      <c r="AI184">
        <v>76</v>
      </c>
      <c r="AJ184">
        <v>76</v>
      </c>
      <c r="AK184">
        <v>78</v>
      </c>
      <c r="AL184">
        <v>80</v>
      </c>
      <c r="AM184">
        <v>80</v>
      </c>
      <c r="AN184">
        <v>81</v>
      </c>
      <c r="AO184">
        <v>81</v>
      </c>
      <c r="AP184">
        <v>82</v>
      </c>
      <c r="AQ184">
        <v>82</v>
      </c>
      <c r="AR184">
        <v>84</v>
      </c>
      <c r="AS184">
        <v>85</v>
      </c>
      <c r="AT184">
        <v>86</v>
      </c>
      <c r="AU184">
        <v>87</v>
      </c>
      <c r="AV184">
        <v>87</v>
      </c>
      <c r="AW184">
        <v>87</v>
      </c>
      <c r="AX184">
        <v>87</v>
      </c>
      <c r="AY184">
        <v>87</v>
      </c>
      <c r="AZ184">
        <v>88</v>
      </c>
      <c r="BA184">
        <v>88</v>
      </c>
      <c r="BB184">
        <v>88</v>
      </c>
      <c r="BC184">
        <v>88</v>
      </c>
      <c r="BD184">
        <v>88</v>
      </c>
      <c r="BE184">
        <v>89</v>
      </c>
      <c r="BF184">
        <v>91</v>
      </c>
      <c r="BG184">
        <v>91</v>
      </c>
      <c r="BH184">
        <v>91</v>
      </c>
      <c r="BI184">
        <v>91</v>
      </c>
      <c r="BJ184">
        <v>91</v>
      </c>
      <c r="BK184">
        <v>98</v>
      </c>
      <c r="BL184">
        <v>113</v>
      </c>
      <c r="BM184">
        <v>114</v>
      </c>
      <c r="BN184">
        <v>114</v>
      </c>
    </row>
    <row r="185" spans="1:66" x14ac:dyDescent="0.3">
      <c r="A185" t="s">
        <v>246</v>
      </c>
      <c r="B185" t="s">
        <v>337</v>
      </c>
      <c r="C185">
        <v>22.3</v>
      </c>
      <c r="D185">
        <v>114.2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1</v>
      </c>
      <c r="AA185">
        <v>1</v>
      </c>
      <c r="AB185">
        <v>1</v>
      </c>
      <c r="AC185">
        <v>1</v>
      </c>
      <c r="AD185">
        <v>2</v>
      </c>
      <c r="AE185">
        <v>2</v>
      </c>
      <c r="AF185">
        <v>2</v>
      </c>
      <c r="AG185">
        <v>5</v>
      </c>
      <c r="AH185">
        <v>6</v>
      </c>
      <c r="AI185">
        <v>5</v>
      </c>
      <c r="AJ185">
        <v>6</v>
      </c>
      <c r="AK185">
        <v>11</v>
      </c>
      <c r="AL185">
        <v>19</v>
      </c>
      <c r="AM185">
        <v>19</v>
      </c>
      <c r="AN185">
        <v>24</v>
      </c>
      <c r="AO185">
        <v>24</v>
      </c>
      <c r="AP185">
        <v>30</v>
      </c>
      <c r="AQ185">
        <v>33</v>
      </c>
      <c r="AR185">
        <v>36</v>
      </c>
      <c r="AS185">
        <v>36</v>
      </c>
      <c r="AT185">
        <v>37</v>
      </c>
      <c r="AU185">
        <v>37</v>
      </c>
      <c r="AV185">
        <v>43</v>
      </c>
      <c r="AW185">
        <v>46</v>
      </c>
      <c r="AX185">
        <v>51</v>
      </c>
      <c r="AY185">
        <v>58</v>
      </c>
      <c r="AZ185">
        <v>59</v>
      </c>
      <c r="BA185">
        <v>65</v>
      </c>
      <c r="BB185">
        <v>65</v>
      </c>
      <c r="BC185">
        <v>67</v>
      </c>
      <c r="BD185">
        <v>77</v>
      </c>
      <c r="BE185">
        <v>78</v>
      </c>
      <c r="BF185">
        <v>81</v>
      </c>
      <c r="BG185">
        <v>84</v>
      </c>
      <c r="BH185">
        <v>88</v>
      </c>
      <c r="BI185">
        <v>92</v>
      </c>
      <c r="BJ185">
        <v>95</v>
      </c>
      <c r="BK185">
        <v>98</v>
      </c>
      <c r="BL185">
        <v>98</v>
      </c>
      <c r="BM185">
        <v>100</v>
      </c>
      <c r="BN185">
        <v>100</v>
      </c>
    </row>
    <row r="186" spans="1:66" x14ac:dyDescent="0.3">
      <c r="A186" t="s">
        <v>22</v>
      </c>
      <c r="B186" t="s">
        <v>337</v>
      </c>
      <c r="C186">
        <v>41.2956</v>
      </c>
      <c r="D186">
        <v>122.60850000000001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1</v>
      </c>
      <c r="M186">
        <v>1</v>
      </c>
      <c r="N186">
        <v>1</v>
      </c>
      <c r="O186">
        <v>1</v>
      </c>
      <c r="P186">
        <v>1</v>
      </c>
      <c r="Q186">
        <v>1</v>
      </c>
      <c r="R186">
        <v>2</v>
      </c>
      <c r="S186">
        <v>4</v>
      </c>
      <c r="T186">
        <v>5</v>
      </c>
      <c r="U186">
        <v>7</v>
      </c>
      <c r="V186">
        <v>8</v>
      </c>
      <c r="W186">
        <v>12</v>
      </c>
      <c r="X186">
        <v>13</v>
      </c>
      <c r="Y186">
        <v>19</v>
      </c>
      <c r="Z186">
        <v>20</v>
      </c>
      <c r="AA186">
        <v>22</v>
      </c>
      <c r="AB186">
        <v>29</v>
      </c>
      <c r="AC186">
        <v>31</v>
      </c>
      <c r="AD186">
        <v>40</v>
      </c>
      <c r="AE186">
        <v>43</v>
      </c>
      <c r="AF186">
        <v>53</v>
      </c>
      <c r="AG186">
        <v>55</v>
      </c>
      <c r="AH186">
        <v>59</v>
      </c>
      <c r="AI186">
        <v>61</v>
      </c>
      <c r="AJ186">
        <v>66</v>
      </c>
      <c r="AK186">
        <v>73</v>
      </c>
      <c r="AL186">
        <v>80</v>
      </c>
      <c r="AM186">
        <v>83</v>
      </c>
      <c r="AN186">
        <v>88</v>
      </c>
      <c r="AO186">
        <v>93</v>
      </c>
      <c r="AP186">
        <v>93</v>
      </c>
      <c r="AQ186">
        <v>96</v>
      </c>
      <c r="AR186">
        <v>103</v>
      </c>
      <c r="AS186">
        <v>103</v>
      </c>
      <c r="AT186">
        <v>106</v>
      </c>
      <c r="AU186">
        <v>106</v>
      </c>
      <c r="AV186">
        <v>106</v>
      </c>
      <c r="AW186">
        <v>106</v>
      </c>
      <c r="AX186">
        <v>107</v>
      </c>
      <c r="AY186">
        <v>109</v>
      </c>
      <c r="AZ186">
        <v>109</v>
      </c>
      <c r="BA186">
        <v>111</v>
      </c>
      <c r="BB186">
        <v>111</v>
      </c>
      <c r="BC186">
        <v>112</v>
      </c>
      <c r="BD186">
        <v>112</v>
      </c>
      <c r="BE186">
        <v>113</v>
      </c>
      <c r="BF186">
        <v>114</v>
      </c>
      <c r="BG186">
        <v>115</v>
      </c>
      <c r="BH186">
        <v>120</v>
      </c>
      <c r="BI186">
        <v>122</v>
      </c>
      <c r="BJ186">
        <v>122</v>
      </c>
      <c r="BK186">
        <v>122</v>
      </c>
      <c r="BL186">
        <v>122</v>
      </c>
      <c r="BM186">
        <v>124</v>
      </c>
      <c r="BN186">
        <v>124</v>
      </c>
    </row>
    <row r="187" spans="1:66" x14ac:dyDescent="0.3">
      <c r="A187" t="s">
        <v>21</v>
      </c>
      <c r="B187" t="s">
        <v>337</v>
      </c>
      <c r="C187">
        <v>43.6661</v>
      </c>
      <c r="D187">
        <v>126.1923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1</v>
      </c>
      <c r="N187">
        <v>1</v>
      </c>
      <c r="O187">
        <v>1</v>
      </c>
      <c r="P187">
        <v>1</v>
      </c>
      <c r="Q187">
        <v>1</v>
      </c>
      <c r="R187">
        <v>1</v>
      </c>
      <c r="S187">
        <v>2</v>
      </c>
      <c r="T187">
        <v>4</v>
      </c>
      <c r="U187">
        <v>4</v>
      </c>
      <c r="V187">
        <v>4</v>
      </c>
      <c r="W187">
        <v>12</v>
      </c>
      <c r="X187">
        <v>13</v>
      </c>
      <c r="Y187">
        <v>18</v>
      </c>
      <c r="Z187">
        <v>22</v>
      </c>
      <c r="AA187">
        <v>24</v>
      </c>
      <c r="AB187">
        <v>25</v>
      </c>
      <c r="AC187">
        <v>26</v>
      </c>
      <c r="AD187">
        <v>30</v>
      </c>
      <c r="AE187">
        <v>34</v>
      </c>
      <c r="AF187">
        <v>36</v>
      </c>
      <c r="AG187">
        <v>37</v>
      </c>
      <c r="AH187">
        <v>43</v>
      </c>
      <c r="AI187">
        <v>45</v>
      </c>
      <c r="AJ187">
        <v>52</v>
      </c>
      <c r="AK187">
        <v>54</v>
      </c>
      <c r="AL187">
        <v>60</v>
      </c>
      <c r="AM187">
        <v>63</v>
      </c>
      <c r="AN187">
        <v>65</v>
      </c>
      <c r="AO187">
        <v>67</v>
      </c>
      <c r="AP187">
        <v>73</v>
      </c>
      <c r="AQ187">
        <v>75</v>
      </c>
      <c r="AR187">
        <v>78</v>
      </c>
      <c r="AS187">
        <v>83</v>
      </c>
      <c r="AT187">
        <v>83</v>
      </c>
      <c r="AU187">
        <v>86</v>
      </c>
      <c r="AV187">
        <v>88</v>
      </c>
      <c r="AW187">
        <v>90</v>
      </c>
      <c r="AX187">
        <v>90</v>
      </c>
      <c r="AY187">
        <v>90</v>
      </c>
      <c r="AZ187">
        <v>91</v>
      </c>
      <c r="BA187">
        <v>91</v>
      </c>
      <c r="BB187">
        <v>91</v>
      </c>
      <c r="BC187">
        <v>91</v>
      </c>
      <c r="BD187">
        <v>91</v>
      </c>
      <c r="BE187">
        <v>91</v>
      </c>
      <c r="BF187">
        <v>91</v>
      </c>
      <c r="BG187">
        <v>92</v>
      </c>
      <c r="BH187">
        <v>92</v>
      </c>
      <c r="BI187">
        <v>92</v>
      </c>
      <c r="BJ187">
        <v>92</v>
      </c>
      <c r="BK187">
        <v>92</v>
      </c>
      <c r="BL187">
        <v>92</v>
      </c>
      <c r="BM187">
        <v>92</v>
      </c>
      <c r="BN187">
        <v>92</v>
      </c>
    </row>
    <row r="188" spans="1:66" x14ac:dyDescent="0.3">
      <c r="B188" t="s">
        <v>341</v>
      </c>
      <c r="C188">
        <v>49.817500000000003</v>
      </c>
      <c r="D188">
        <v>15.4729999999999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3</v>
      </c>
      <c r="BH188">
        <v>3</v>
      </c>
      <c r="BI188">
        <v>3</v>
      </c>
      <c r="BJ188">
        <v>3</v>
      </c>
      <c r="BK188">
        <v>4</v>
      </c>
      <c r="BL188">
        <v>6</v>
      </c>
      <c r="BM188">
        <v>6</v>
      </c>
      <c r="BN188">
        <v>6</v>
      </c>
    </row>
    <row r="189" spans="1:66" x14ac:dyDescent="0.3">
      <c r="A189" t="s">
        <v>32</v>
      </c>
      <c r="B189" t="s">
        <v>337</v>
      </c>
      <c r="C189">
        <v>41.112900000000003</v>
      </c>
      <c r="D189">
        <v>85.240099999999998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3</v>
      </c>
      <c r="Z189">
        <v>3</v>
      </c>
      <c r="AA189">
        <v>6</v>
      </c>
      <c r="AB189">
        <v>6</v>
      </c>
      <c r="AC189">
        <v>10</v>
      </c>
      <c r="AD189">
        <v>12</v>
      </c>
      <c r="AE189">
        <v>12</v>
      </c>
      <c r="AF189">
        <v>12</v>
      </c>
      <c r="AG189">
        <v>20</v>
      </c>
      <c r="AH189">
        <v>22</v>
      </c>
      <c r="AI189">
        <v>24</v>
      </c>
      <c r="AJ189">
        <v>25</v>
      </c>
      <c r="AK189">
        <v>28</v>
      </c>
      <c r="AL189">
        <v>30</v>
      </c>
      <c r="AM189">
        <v>30</v>
      </c>
      <c r="AN189">
        <v>34</v>
      </c>
      <c r="AO189">
        <v>43</v>
      </c>
      <c r="AP189">
        <v>52</v>
      </c>
      <c r="AQ189">
        <v>62</v>
      </c>
      <c r="AR189">
        <v>64</v>
      </c>
      <c r="AS189">
        <v>66</v>
      </c>
      <c r="AT189">
        <v>68</v>
      </c>
      <c r="AU189">
        <v>69</v>
      </c>
      <c r="AV189">
        <v>70</v>
      </c>
      <c r="AW189">
        <v>71</v>
      </c>
      <c r="AX189">
        <v>72</v>
      </c>
      <c r="AY189">
        <v>73</v>
      </c>
      <c r="AZ189">
        <v>73</v>
      </c>
      <c r="BA189">
        <v>73</v>
      </c>
      <c r="BB189">
        <v>73</v>
      </c>
      <c r="BC189">
        <v>73</v>
      </c>
      <c r="BD189">
        <v>73</v>
      </c>
      <c r="BE189">
        <v>73</v>
      </c>
      <c r="BF189">
        <v>73</v>
      </c>
      <c r="BG189">
        <v>73</v>
      </c>
      <c r="BH189">
        <v>73</v>
      </c>
      <c r="BI189">
        <v>73</v>
      </c>
      <c r="BJ189">
        <v>73</v>
      </c>
      <c r="BK189">
        <v>73</v>
      </c>
      <c r="BL189">
        <v>73</v>
      </c>
      <c r="BM189">
        <v>73</v>
      </c>
      <c r="BN189">
        <v>73</v>
      </c>
    </row>
    <row r="190" spans="1:66" x14ac:dyDescent="0.3">
      <c r="A190" t="s">
        <v>18</v>
      </c>
      <c r="B190" t="s">
        <v>337</v>
      </c>
      <c r="C190">
        <v>44.093499999999999</v>
      </c>
      <c r="D190">
        <v>113.9448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1</v>
      </c>
      <c r="O190">
        <v>1</v>
      </c>
      <c r="P190">
        <v>1</v>
      </c>
      <c r="Q190">
        <v>1</v>
      </c>
      <c r="R190">
        <v>1</v>
      </c>
      <c r="S190">
        <v>3</v>
      </c>
      <c r="T190">
        <v>4</v>
      </c>
      <c r="U190">
        <v>5</v>
      </c>
      <c r="V190">
        <v>5</v>
      </c>
      <c r="W190">
        <v>5</v>
      </c>
      <c r="X190">
        <v>5</v>
      </c>
      <c r="Y190">
        <v>5</v>
      </c>
      <c r="Z190">
        <v>6</v>
      </c>
      <c r="AA190">
        <v>6</v>
      </c>
      <c r="AB190">
        <v>6</v>
      </c>
      <c r="AC190">
        <v>7</v>
      </c>
      <c r="AD190">
        <v>8</v>
      </c>
      <c r="AE190">
        <v>8</v>
      </c>
      <c r="AF190">
        <v>8</v>
      </c>
      <c r="AG190">
        <v>10</v>
      </c>
      <c r="AH190">
        <v>16</v>
      </c>
      <c r="AI190">
        <v>17</v>
      </c>
      <c r="AJ190">
        <v>26</v>
      </c>
      <c r="AK190">
        <v>27</v>
      </c>
      <c r="AL190">
        <v>34</v>
      </c>
      <c r="AM190">
        <v>35</v>
      </c>
      <c r="AN190">
        <v>38</v>
      </c>
      <c r="AO190">
        <v>43</v>
      </c>
      <c r="AP190">
        <v>45</v>
      </c>
      <c r="AQ190">
        <v>49</v>
      </c>
      <c r="AR190">
        <v>52</v>
      </c>
      <c r="AS190">
        <v>54</v>
      </c>
      <c r="AT190">
        <v>59</v>
      </c>
      <c r="AU190">
        <v>63</v>
      </c>
      <c r="AV190">
        <v>65</v>
      </c>
      <c r="AW190">
        <v>65</v>
      </c>
      <c r="AX190">
        <v>67</v>
      </c>
      <c r="AY190">
        <v>70</v>
      </c>
      <c r="AZ190">
        <v>70</v>
      </c>
      <c r="BA190">
        <v>70</v>
      </c>
      <c r="BB190">
        <v>71</v>
      </c>
      <c r="BC190">
        <v>71</v>
      </c>
      <c r="BD190">
        <v>71</v>
      </c>
      <c r="BE190">
        <v>71</v>
      </c>
      <c r="BF190">
        <v>71</v>
      </c>
      <c r="BG190">
        <v>73</v>
      </c>
      <c r="BH190">
        <v>73</v>
      </c>
      <c r="BI190">
        <v>73</v>
      </c>
      <c r="BJ190">
        <v>74</v>
      </c>
      <c r="BK190">
        <v>74</v>
      </c>
      <c r="BL190">
        <v>74</v>
      </c>
      <c r="BM190">
        <v>74</v>
      </c>
      <c r="BN190">
        <v>74</v>
      </c>
    </row>
    <row r="191" spans="1:66" x14ac:dyDescent="0.3">
      <c r="A191" t="s">
        <v>23</v>
      </c>
      <c r="B191" t="s">
        <v>337</v>
      </c>
      <c r="C191">
        <v>37.269199999999998</v>
      </c>
      <c r="D191">
        <v>106.16549999999999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1</v>
      </c>
      <c r="R191">
        <v>1</v>
      </c>
      <c r="S191">
        <v>1</v>
      </c>
      <c r="T191">
        <v>1</v>
      </c>
      <c r="U191">
        <v>5</v>
      </c>
      <c r="V191">
        <v>15</v>
      </c>
      <c r="W191">
        <v>13</v>
      </c>
      <c r="X191">
        <v>13</v>
      </c>
      <c r="Y191">
        <v>22</v>
      </c>
      <c r="Z191">
        <v>24</v>
      </c>
      <c r="AA191">
        <v>24</v>
      </c>
      <c r="AB191">
        <v>24</v>
      </c>
      <c r="AC191">
        <v>33</v>
      </c>
      <c r="AD191">
        <v>33</v>
      </c>
      <c r="AE191">
        <v>35</v>
      </c>
      <c r="AF191">
        <v>42</v>
      </c>
      <c r="AG191">
        <v>42</v>
      </c>
      <c r="AH191">
        <v>44</v>
      </c>
      <c r="AI191">
        <v>48</v>
      </c>
      <c r="AJ191">
        <v>48</v>
      </c>
      <c r="AK191">
        <v>56</v>
      </c>
      <c r="AL191">
        <v>58</v>
      </c>
      <c r="AM191">
        <v>61</v>
      </c>
      <c r="AN191">
        <v>65</v>
      </c>
      <c r="AO191">
        <v>68</v>
      </c>
      <c r="AP191">
        <v>68</v>
      </c>
      <c r="AQ191">
        <v>69</v>
      </c>
      <c r="AR191">
        <v>69</v>
      </c>
      <c r="AS191">
        <v>69</v>
      </c>
      <c r="AT191">
        <v>69</v>
      </c>
      <c r="AU191">
        <v>69</v>
      </c>
      <c r="AV191">
        <v>69</v>
      </c>
      <c r="AW191">
        <v>71</v>
      </c>
      <c r="AX191">
        <v>71</v>
      </c>
      <c r="AY191">
        <v>71</v>
      </c>
      <c r="AZ191">
        <v>71</v>
      </c>
      <c r="BA191">
        <v>71</v>
      </c>
      <c r="BB191">
        <v>72</v>
      </c>
      <c r="BC191">
        <v>72</v>
      </c>
      <c r="BD191">
        <v>72</v>
      </c>
      <c r="BE191">
        <v>73</v>
      </c>
      <c r="BF191">
        <v>73</v>
      </c>
      <c r="BG191">
        <v>75</v>
      </c>
      <c r="BH191">
        <v>75</v>
      </c>
      <c r="BI191">
        <v>75</v>
      </c>
      <c r="BJ191">
        <v>75</v>
      </c>
      <c r="BK191">
        <v>75</v>
      </c>
      <c r="BL191">
        <v>75</v>
      </c>
      <c r="BM191">
        <v>75</v>
      </c>
      <c r="BN191">
        <v>75</v>
      </c>
    </row>
    <row r="192" spans="1:66" x14ac:dyDescent="0.3">
      <c r="B192" t="s">
        <v>342</v>
      </c>
      <c r="C192">
        <v>23.7</v>
      </c>
      <c r="D192">
        <v>121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1</v>
      </c>
      <c r="U192">
        <v>1</v>
      </c>
      <c r="V192">
        <v>1</v>
      </c>
      <c r="W192">
        <v>1</v>
      </c>
      <c r="X192">
        <v>1</v>
      </c>
      <c r="Y192">
        <v>1</v>
      </c>
      <c r="Z192">
        <v>1</v>
      </c>
      <c r="AA192">
        <v>1</v>
      </c>
      <c r="AB192">
        <v>2</v>
      </c>
      <c r="AC192">
        <v>2</v>
      </c>
      <c r="AD192">
        <v>2</v>
      </c>
      <c r="AE192">
        <v>2</v>
      </c>
      <c r="AF192">
        <v>2</v>
      </c>
      <c r="AG192">
        <v>2</v>
      </c>
      <c r="AH192">
        <v>2</v>
      </c>
      <c r="AI192">
        <v>2</v>
      </c>
      <c r="AJ192">
        <v>2</v>
      </c>
      <c r="AK192">
        <v>2</v>
      </c>
      <c r="AL192">
        <v>5</v>
      </c>
      <c r="AM192">
        <v>5</v>
      </c>
      <c r="AN192">
        <v>5</v>
      </c>
      <c r="AO192">
        <v>5</v>
      </c>
      <c r="AP192">
        <v>6</v>
      </c>
      <c r="AQ192">
        <v>9</v>
      </c>
      <c r="AR192">
        <v>9</v>
      </c>
      <c r="AS192">
        <v>12</v>
      </c>
      <c r="AT192">
        <v>12</v>
      </c>
      <c r="AU192">
        <v>12</v>
      </c>
      <c r="AV192">
        <v>12</v>
      </c>
      <c r="AW192">
        <v>12</v>
      </c>
      <c r="AX192">
        <v>12</v>
      </c>
      <c r="AY192">
        <v>13</v>
      </c>
      <c r="AZ192">
        <v>15</v>
      </c>
      <c r="BA192">
        <v>17</v>
      </c>
      <c r="BB192">
        <v>17</v>
      </c>
      <c r="BC192">
        <v>20</v>
      </c>
      <c r="BD192">
        <v>20</v>
      </c>
      <c r="BE192">
        <v>20</v>
      </c>
      <c r="BF192">
        <v>20</v>
      </c>
      <c r="BG192">
        <v>20</v>
      </c>
      <c r="BH192">
        <v>22</v>
      </c>
      <c r="BI192">
        <v>22</v>
      </c>
      <c r="BJ192">
        <v>26</v>
      </c>
      <c r="BK192">
        <v>26</v>
      </c>
      <c r="BL192">
        <v>28</v>
      </c>
      <c r="BM192">
        <v>28</v>
      </c>
      <c r="BN192">
        <v>28</v>
      </c>
    </row>
    <row r="193" spans="1:66" x14ac:dyDescent="0.3">
      <c r="B193" t="s">
        <v>343</v>
      </c>
      <c r="C193">
        <v>16</v>
      </c>
      <c r="D193">
        <v>108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1</v>
      </c>
      <c r="P193">
        <v>1</v>
      </c>
      <c r="Q193">
        <v>1</v>
      </c>
      <c r="R193">
        <v>1</v>
      </c>
      <c r="S193">
        <v>1</v>
      </c>
      <c r="T193">
        <v>1</v>
      </c>
      <c r="U193">
        <v>1</v>
      </c>
      <c r="V193">
        <v>1</v>
      </c>
      <c r="W193">
        <v>1</v>
      </c>
      <c r="X193">
        <v>1</v>
      </c>
      <c r="Y193">
        <v>6</v>
      </c>
      <c r="Z193">
        <v>6</v>
      </c>
      <c r="AA193">
        <v>7</v>
      </c>
      <c r="AB193">
        <v>7</v>
      </c>
      <c r="AC193">
        <v>7</v>
      </c>
      <c r="AD193">
        <v>7</v>
      </c>
      <c r="AE193">
        <v>7</v>
      </c>
      <c r="AF193">
        <v>7</v>
      </c>
      <c r="AG193">
        <v>7</v>
      </c>
      <c r="AH193">
        <v>7</v>
      </c>
      <c r="AI193">
        <v>14</v>
      </c>
      <c r="AJ193">
        <v>14</v>
      </c>
      <c r="AK193">
        <v>14</v>
      </c>
      <c r="AL193">
        <v>14</v>
      </c>
      <c r="AM193">
        <v>16</v>
      </c>
      <c r="AN193">
        <v>16</v>
      </c>
      <c r="AO193">
        <v>16</v>
      </c>
      <c r="AP193">
        <v>16</v>
      </c>
      <c r="AQ193">
        <v>16</v>
      </c>
      <c r="AR193">
        <v>16</v>
      </c>
      <c r="AS193">
        <v>16</v>
      </c>
      <c r="AT193">
        <v>16</v>
      </c>
      <c r="AU193">
        <v>16</v>
      </c>
      <c r="AV193">
        <v>16</v>
      </c>
      <c r="AW193">
        <v>16</v>
      </c>
      <c r="AX193">
        <v>16</v>
      </c>
      <c r="AY193">
        <v>16</v>
      </c>
      <c r="AZ193">
        <v>16</v>
      </c>
      <c r="BA193">
        <v>16</v>
      </c>
      <c r="BB193">
        <v>16</v>
      </c>
      <c r="BC193">
        <v>16</v>
      </c>
      <c r="BD193">
        <v>16</v>
      </c>
      <c r="BE193">
        <v>16</v>
      </c>
      <c r="BF193">
        <v>16</v>
      </c>
      <c r="BG193">
        <v>16</v>
      </c>
      <c r="BH193">
        <v>16</v>
      </c>
      <c r="BI193">
        <v>16</v>
      </c>
      <c r="BJ193">
        <v>16</v>
      </c>
      <c r="BK193">
        <v>16</v>
      </c>
      <c r="BL193">
        <v>17</v>
      </c>
      <c r="BM193">
        <v>17</v>
      </c>
      <c r="BN193">
        <v>17</v>
      </c>
    </row>
    <row r="194" spans="1:66" x14ac:dyDescent="0.3">
      <c r="B194" t="s">
        <v>344</v>
      </c>
      <c r="C194">
        <v>60</v>
      </c>
      <c r="D194">
        <v>90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2</v>
      </c>
      <c r="AA194">
        <v>2</v>
      </c>
      <c r="AB194">
        <v>2</v>
      </c>
      <c r="AC194">
        <v>2</v>
      </c>
      <c r="AD194">
        <v>2</v>
      </c>
      <c r="AE194">
        <v>2</v>
      </c>
      <c r="AF194">
        <v>2</v>
      </c>
      <c r="AG194">
        <v>2</v>
      </c>
      <c r="AH194">
        <v>2</v>
      </c>
      <c r="AI194">
        <v>2</v>
      </c>
      <c r="AJ194">
        <v>2</v>
      </c>
      <c r="AK194">
        <v>2</v>
      </c>
      <c r="AL194">
        <v>2</v>
      </c>
      <c r="AM194">
        <v>2</v>
      </c>
      <c r="AN194">
        <v>2</v>
      </c>
      <c r="AO194">
        <v>2</v>
      </c>
      <c r="AP194">
        <v>2</v>
      </c>
      <c r="AQ194">
        <v>2</v>
      </c>
      <c r="AR194">
        <v>2</v>
      </c>
      <c r="AS194">
        <v>2</v>
      </c>
      <c r="AT194">
        <v>2</v>
      </c>
      <c r="AU194">
        <v>2</v>
      </c>
      <c r="AV194">
        <v>2</v>
      </c>
      <c r="AW194">
        <v>2</v>
      </c>
      <c r="AX194">
        <v>2</v>
      </c>
      <c r="AY194">
        <v>3</v>
      </c>
      <c r="AZ194">
        <v>3</v>
      </c>
      <c r="BA194">
        <v>3</v>
      </c>
      <c r="BB194">
        <v>3</v>
      </c>
      <c r="BC194">
        <v>3</v>
      </c>
      <c r="BD194">
        <v>3</v>
      </c>
      <c r="BE194">
        <v>8</v>
      </c>
      <c r="BF194">
        <v>8</v>
      </c>
      <c r="BG194">
        <v>8</v>
      </c>
      <c r="BH194">
        <v>8</v>
      </c>
      <c r="BI194">
        <v>8</v>
      </c>
      <c r="BJ194">
        <v>9</v>
      </c>
      <c r="BK194">
        <v>9</v>
      </c>
      <c r="BL194">
        <v>12</v>
      </c>
      <c r="BM194">
        <v>16</v>
      </c>
      <c r="BN194">
        <v>16</v>
      </c>
    </row>
    <row r="195" spans="1:66" x14ac:dyDescent="0.3">
      <c r="A195" t="s">
        <v>24</v>
      </c>
      <c r="B195" t="s">
        <v>337</v>
      </c>
      <c r="C195">
        <v>35.745199999999997</v>
      </c>
      <c r="D195">
        <v>95.995599999999996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3</v>
      </c>
      <c r="T195">
        <v>3</v>
      </c>
      <c r="U195">
        <v>3</v>
      </c>
      <c r="V195">
        <v>3</v>
      </c>
      <c r="W195">
        <v>3</v>
      </c>
      <c r="X195">
        <v>3</v>
      </c>
      <c r="Y195">
        <v>5</v>
      </c>
      <c r="Z195">
        <v>9</v>
      </c>
      <c r="AA195">
        <v>11</v>
      </c>
      <c r="AB195">
        <v>11</v>
      </c>
      <c r="AC195">
        <v>13</v>
      </c>
      <c r="AD195">
        <v>13</v>
      </c>
      <c r="AE195">
        <v>13</v>
      </c>
      <c r="AF195">
        <v>15</v>
      </c>
      <c r="AG195">
        <v>16</v>
      </c>
      <c r="AH195">
        <v>16</v>
      </c>
      <c r="AI195">
        <v>18</v>
      </c>
      <c r="AJ195">
        <v>18</v>
      </c>
      <c r="AK195">
        <v>18</v>
      </c>
      <c r="AL195">
        <v>18</v>
      </c>
      <c r="AM195">
        <v>18</v>
      </c>
      <c r="AN195">
        <v>18</v>
      </c>
      <c r="AO195">
        <v>18</v>
      </c>
      <c r="AP195">
        <v>18</v>
      </c>
      <c r="AQ195">
        <v>18</v>
      </c>
      <c r="AR195">
        <v>18</v>
      </c>
      <c r="AS195">
        <v>18</v>
      </c>
      <c r="AT195">
        <v>18</v>
      </c>
      <c r="AU195">
        <v>18</v>
      </c>
      <c r="AV195">
        <v>18</v>
      </c>
      <c r="AW195">
        <v>18</v>
      </c>
      <c r="AX195">
        <v>18</v>
      </c>
      <c r="AY195">
        <v>18</v>
      </c>
      <c r="AZ195">
        <v>18</v>
      </c>
      <c r="BA195">
        <v>18</v>
      </c>
      <c r="BB195">
        <v>18</v>
      </c>
      <c r="BC195">
        <v>18</v>
      </c>
      <c r="BD195">
        <v>18</v>
      </c>
      <c r="BE195">
        <v>18</v>
      </c>
      <c r="BF195">
        <v>18</v>
      </c>
      <c r="BG195">
        <v>18</v>
      </c>
      <c r="BH195">
        <v>18</v>
      </c>
      <c r="BI195">
        <v>18</v>
      </c>
      <c r="BJ195">
        <v>18</v>
      </c>
      <c r="BK195">
        <v>18</v>
      </c>
      <c r="BL195">
        <v>18</v>
      </c>
      <c r="BM195">
        <v>18</v>
      </c>
      <c r="BN195">
        <v>18</v>
      </c>
    </row>
    <row r="196" spans="1:66" x14ac:dyDescent="0.3">
      <c r="A196" t="s">
        <v>257</v>
      </c>
      <c r="B196" t="s">
        <v>337</v>
      </c>
      <c r="C196">
        <v>22.166699999999999</v>
      </c>
      <c r="D196">
        <v>113.55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1</v>
      </c>
      <c r="U196">
        <v>1</v>
      </c>
      <c r="V196">
        <v>1</v>
      </c>
      <c r="W196">
        <v>1</v>
      </c>
      <c r="X196">
        <v>1</v>
      </c>
      <c r="Y196">
        <v>1</v>
      </c>
      <c r="Z196">
        <v>2</v>
      </c>
      <c r="AA196">
        <v>3</v>
      </c>
      <c r="AB196">
        <v>3</v>
      </c>
      <c r="AC196">
        <v>3</v>
      </c>
      <c r="AD196">
        <v>5</v>
      </c>
      <c r="AE196">
        <v>5</v>
      </c>
      <c r="AF196">
        <v>5</v>
      </c>
      <c r="AG196">
        <v>5</v>
      </c>
      <c r="AH196">
        <v>6</v>
      </c>
      <c r="AI196">
        <v>6</v>
      </c>
      <c r="AJ196">
        <v>6</v>
      </c>
      <c r="AK196">
        <v>6</v>
      </c>
      <c r="AL196">
        <v>6</v>
      </c>
      <c r="AM196">
        <v>7</v>
      </c>
      <c r="AN196">
        <v>7</v>
      </c>
      <c r="AO196">
        <v>8</v>
      </c>
      <c r="AP196">
        <v>8</v>
      </c>
      <c r="AQ196">
        <v>8</v>
      </c>
      <c r="AR196">
        <v>8</v>
      </c>
      <c r="AS196">
        <v>8</v>
      </c>
      <c r="AT196">
        <v>9</v>
      </c>
      <c r="AU196">
        <v>9</v>
      </c>
      <c r="AV196">
        <v>9</v>
      </c>
      <c r="AW196">
        <v>10</v>
      </c>
      <c r="AX196">
        <v>10</v>
      </c>
      <c r="AY196">
        <v>10</v>
      </c>
      <c r="AZ196">
        <v>10</v>
      </c>
      <c r="BA196">
        <v>10</v>
      </c>
      <c r="BB196">
        <v>10</v>
      </c>
      <c r="BC196">
        <v>10</v>
      </c>
      <c r="BD196">
        <v>10</v>
      </c>
      <c r="BE196">
        <v>10</v>
      </c>
      <c r="BF196">
        <v>10</v>
      </c>
      <c r="BG196">
        <v>10</v>
      </c>
      <c r="BH196">
        <v>10</v>
      </c>
      <c r="BI196">
        <v>10</v>
      </c>
      <c r="BJ196">
        <v>10</v>
      </c>
      <c r="BK196">
        <v>10</v>
      </c>
      <c r="BL196">
        <v>10</v>
      </c>
      <c r="BM196">
        <v>10</v>
      </c>
      <c r="BN196">
        <v>10</v>
      </c>
    </row>
    <row r="197" spans="1:66" x14ac:dyDescent="0.3">
      <c r="B197" t="s">
        <v>345</v>
      </c>
      <c r="C197">
        <v>47.4116</v>
      </c>
      <c r="D197">
        <v>28.369900000000001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1</v>
      </c>
      <c r="BI197">
        <v>1</v>
      </c>
      <c r="BJ197">
        <v>1</v>
      </c>
      <c r="BK197">
        <v>1</v>
      </c>
      <c r="BL197">
        <v>1</v>
      </c>
      <c r="BM197">
        <v>1</v>
      </c>
      <c r="BN197">
        <v>1</v>
      </c>
    </row>
    <row r="198" spans="1:66" x14ac:dyDescent="0.3">
      <c r="B198" t="s">
        <v>346</v>
      </c>
      <c r="C198">
        <v>-16.290199999999999</v>
      </c>
      <c r="D198">
        <v>-63.588700000000003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0</v>
      </c>
      <c r="BM198">
        <v>0</v>
      </c>
      <c r="BN198">
        <v>0</v>
      </c>
    </row>
    <row r="199" spans="1:66" x14ac:dyDescent="0.3">
      <c r="A199" t="s">
        <v>134</v>
      </c>
      <c r="B199" t="s">
        <v>87</v>
      </c>
      <c r="C199">
        <v>61.892600000000002</v>
      </c>
      <c r="D199">
        <v>-6.9118000000000004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  <c r="BL199">
        <v>0</v>
      </c>
      <c r="BM199">
        <v>0</v>
      </c>
      <c r="BN199">
        <v>0</v>
      </c>
    </row>
    <row r="200" spans="1:66" x14ac:dyDescent="0.3">
      <c r="A200" t="s">
        <v>347</v>
      </c>
      <c r="B200" t="s">
        <v>41</v>
      </c>
      <c r="C200">
        <v>18.070799999999998</v>
      </c>
      <c r="D200">
        <v>-63.0501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  <c r="BL200">
        <v>0</v>
      </c>
      <c r="BM200">
        <v>0</v>
      </c>
      <c r="BN200">
        <v>0</v>
      </c>
    </row>
    <row r="201" spans="1:66" x14ac:dyDescent="0.3">
      <c r="B201" t="s">
        <v>348</v>
      </c>
      <c r="C201">
        <v>15.2</v>
      </c>
      <c r="D201">
        <v>-86.241900000000001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</row>
    <row r="202" spans="1:66" x14ac:dyDescent="0.3">
      <c r="A202" t="s">
        <v>280</v>
      </c>
      <c r="B202" t="s">
        <v>349</v>
      </c>
      <c r="C202">
        <v>49.372300000000003</v>
      </c>
      <c r="D202">
        <v>-2.3643999999999998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</row>
    <row r="203" spans="1:66" x14ac:dyDescent="0.3">
      <c r="A203" t="s">
        <v>350</v>
      </c>
      <c r="B203" t="s">
        <v>45</v>
      </c>
      <c r="C203">
        <v>46.565300000000001</v>
      </c>
      <c r="D203">
        <v>-66.4619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  <c r="BL203">
        <v>0</v>
      </c>
      <c r="BM203">
        <v>0</v>
      </c>
      <c r="BN203">
        <v>0</v>
      </c>
    </row>
    <row r="204" spans="1:66" x14ac:dyDescent="0.3">
      <c r="A204" t="s">
        <v>31</v>
      </c>
      <c r="B204" t="s">
        <v>337</v>
      </c>
      <c r="C204">
        <v>31.692699999999999</v>
      </c>
      <c r="D204">
        <v>88.092399999999998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>
        <v>1</v>
      </c>
      <c r="AH204">
        <v>1</v>
      </c>
      <c r="AI204">
        <v>1</v>
      </c>
      <c r="AJ204">
        <v>1</v>
      </c>
      <c r="AK204">
        <v>1</v>
      </c>
      <c r="AL204">
        <v>1</v>
      </c>
      <c r="AM204">
        <v>1</v>
      </c>
      <c r="AN204">
        <v>1</v>
      </c>
      <c r="AO204">
        <v>1</v>
      </c>
      <c r="AP204">
        <v>1</v>
      </c>
      <c r="AQ204">
        <v>1</v>
      </c>
      <c r="AR204">
        <v>1</v>
      </c>
      <c r="AS204">
        <v>1</v>
      </c>
      <c r="AT204">
        <v>1</v>
      </c>
      <c r="AU204">
        <v>1</v>
      </c>
      <c r="AV204">
        <v>1</v>
      </c>
      <c r="AW204">
        <v>1</v>
      </c>
      <c r="AX204">
        <v>1</v>
      </c>
      <c r="AY204">
        <v>1</v>
      </c>
      <c r="AZ204">
        <v>1</v>
      </c>
      <c r="BA204">
        <v>1</v>
      </c>
      <c r="BB204">
        <v>1</v>
      </c>
      <c r="BC204">
        <v>1</v>
      </c>
      <c r="BD204">
        <v>1</v>
      </c>
      <c r="BE204">
        <v>1</v>
      </c>
      <c r="BF204">
        <v>1</v>
      </c>
      <c r="BG204">
        <v>1</v>
      </c>
      <c r="BH204">
        <v>1</v>
      </c>
      <c r="BI204">
        <v>1</v>
      </c>
      <c r="BJ204">
        <v>1</v>
      </c>
      <c r="BK204">
        <v>1</v>
      </c>
      <c r="BL204">
        <v>1</v>
      </c>
      <c r="BM204">
        <v>1</v>
      </c>
      <c r="BN204">
        <v>1</v>
      </c>
    </row>
    <row r="205" spans="1:66" x14ac:dyDescent="0.3">
      <c r="B205" t="s">
        <v>351</v>
      </c>
      <c r="C205">
        <v>-4.0382999999999996</v>
      </c>
      <c r="D205">
        <v>21.758700000000001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G205">
        <v>0</v>
      </c>
      <c r="BH205">
        <v>0</v>
      </c>
      <c r="BI205">
        <v>0</v>
      </c>
      <c r="BJ205">
        <v>0</v>
      </c>
      <c r="BK205">
        <v>0</v>
      </c>
      <c r="BL205">
        <v>0</v>
      </c>
      <c r="BM205">
        <v>0</v>
      </c>
      <c r="BN205">
        <v>0</v>
      </c>
    </row>
    <row r="206" spans="1:66" x14ac:dyDescent="0.3">
      <c r="B206" t="s">
        <v>352</v>
      </c>
      <c r="C206">
        <v>7.54</v>
      </c>
      <c r="D206">
        <v>-5.5471000000000004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1</v>
      </c>
      <c r="BI206">
        <v>1</v>
      </c>
      <c r="BJ206">
        <v>1</v>
      </c>
      <c r="BK206">
        <v>1</v>
      </c>
      <c r="BL206">
        <v>1</v>
      </c>
      <c r="BM206">
        <v>1</v>
      </c>
      <c r="BN206">
        <v>1</v>
      </c>
    </row>
    <row r="207" spans="1:66" x14ac:dyDescent="0.3">
      <c r="A207" t="s">
        <v>130</v>
      </c>
      <c r="B207" t="s">
        <v>41</v>
      </c>
      <c r="C207">
        <v>17.899999999999999</v>
      </c>
      <c r="D207">
        <v>-62.833300000000001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  <c r="BL207">
        <v>0</v>
      </c>
      <c r="BM207">
        <v>0</v>
      </c>
      <c r="BN207">
        <v>0</v>
      </c>
    </row>
    <row r="208" spans="1:66" x14ac:dyDescent="0.3">
      <c r="B208" t="s">
        <v>353</v>
      </c>
      <c r="C208">
        <v>18.1096</v>
      </c>
      <c r="D208">
        <v>-77.297499999999999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G208">
        <v>2</v>
      </c>
      <c r="BH208">
        <v>2</v>
      </c>
      <c r="BI208">
        <v>2</v>
      </c>
      <c r="BJ208">
        <v>2</v>
      </c>
      <c r="BK208">
        <v>2</v>
      </c>
      <c r="BL208">
        <v>2</v>
      </c>
      <c r="BM208">
        <v>2</v>
      </c>
      <c r="BN208">
        <v>2</v>
      </c>
    </row>
    <row r="209" spans="1:66" x14ac:dyDescent="0.3">
      <c r="B209" t="s">
        <v>355</v>
      </c>
      <c r="C209">
        <v>38.963700000000003</v>
      </c>
      <c r="D209">
        <v>35.243299999999998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0</v>
      </c>
      <c r="BL209">
        <v>0</v>
      </c>
      <c r="BM209">
        <v>0</v>
      </c>
      <c r="BN209">
        <v>0</v>
      </c>
    </row>
    <row r="210" spans="1:66" x14ac:dyDescent="0.3">
      <c r="A210" t="s">
        <v>135</v>
      </c>
      <c r="B210" t="s">
        <v>349</v>
      </c>
      <c r="C210">
        <v>36.140799999999999</v>
      </c>
      <c r="D210">
        <v>-5.3536000000000001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1</v>
      </c>
      <c r="BB210">
        <v>1</v>
      </c>
      <c r="BC210">
        <v>1</v>
      </c>
      <c r="BD210">
        <v>1</v>
      </c>
      <c r="BE210">
        <v>1</v>
      </c>
      <c r="BF210">
        <v>1</v>
      </c>
      <c r="BG210">
        <v>1</v>
      </c>
      <c r="BH210">
        <v>1</v>
      </c>
      <c r="BI210">
        <v>2</v>
      </c>
      <c r="BJ210">
        <v>2</v>
      </c>
      <c r="BK210">
        <v>2</v>
      </c>
      <c r="BL210">
        <v>2</v>
      </c>
      <c r="BM210">
        <v>2</v>
      </c>
      <c r="BN210">
        <v>2</v>
      </c>
    </row>
    <row r="211" spans="1:66" x14ac:dyDescent="0.3">
      <c r="A211" t="s">
        <v>301</v>
      </c>
      <c r="B211" t="s">
        <v>38</v>
      </c>
      <c r="C211">
        <v>47.6477</v>
      </c>
      <c r="D211">
        <v>-122.6413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  <c r="BL211">
        <v>0</v>
      </c>
      <c r="BM211">
        <v>0</v>
      </c>
    </row>
    <row r="212" spans="1:66" x14ac:dyDescent="0.3">
      <c r="A212" t="s">
        <v>302</v>
      </c>
      <c r="B212" t="s">
        <v>38</v>
      </c>
      <c r="C212">
        <v>38.310499999999998</v>
      </c>
      <c r="D212">
        <v>-121.90179999999999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</row>
    <row r="213" spans="1:66" x14ac:dyDescent="0.3">
      <c r="A213" t="s">
        <v>303</v>
      </c>
      <c r="B213" t="s">
        <v>38</v>
      </c>
      <c r="C213">
        <v>37.045400000000001</v>
      </c>
      <c r="D213">
        <v>-121.958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</row>
    <row r="214" spans="1:66" x14ac:dyDescent="0.3">
      <c r="A214" t="s">
        <v>304</v>
      </c>
      <c r="B214" t="s">
        <v>38</v>
      </c>
      <c r="C214">
        <v>38.502499999999998</v>
      </c>
      <c r="D214">
        <v>-122.2654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0</v>
      </c>
      <c r="BL214">
        <v>0</v>
      </c>
      <c r="BM214">
        <v>0</v>
      </c>
    </row>
    <row r="215" spans="1:66" x14ac:dyDescent="0.3">
      <c r="A215" t="s">
        <v>305</v>
      </c>
      <c r="B215" t="s">
        <v>38</v>
      </c>
      <c r="C215">
        <v>34.3705</v>
      </c>
      <c r="D215">
        <v>-119.1391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  <c r="BL215">
        <v>0</v>
      </c>
      <c r="BM215">
        <v>0</v>
      </c>
    </row>
    <row r="216" spans="1:66" x14ac:dyDescent="0.3">
      <c r="A216" t="s">
        <v>306</v>
      </c>
      <c r="B216" t="s">
        <v>38</v>
      </c>
      <c r="C216">
        <v>42.409700000000001</v>
      </c>
      <c r="D216">
        <v>-71.857100000000003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</row>
    <row r="217" spans="1:66" x14ac:dyDescent="0.3">
      <c r="A217" t="s">
        <v>307</v>
      </c>
      <c r="B217" t="s">
        <v>38</v>
      </c>
      <c r="C217">
        <v>33.9191</v>
      </c>
      <c r="D217">
        <v>-84.0167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0</v>
      </c>
      <c r="BK217">
        <v>0</v>
      </c>
      <c r="BL217">
        <v>0</v>
      </c>
      <c r="BM217">
        <v>0</v>
      </c>
    </row>
    <row r="218" spans="1:66" x14ac:dyDescent="0.3">
      <c r="A218" t="s">
        <v>308</v>
      </c>
      <c r="B218" t="s">
        <v>38</v>
      </c>
      <c r="C218">
        <v>33.7956</v>
      </c>
      <c r="D218">
        <v>-84.227900000000005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0</v>
      </c>
      <c r="BL218">
        <v>0</v>
      </c>
      <c r="BM218">
        <v>0</v>
      </c>
    </row>
    <row r="219" spans="1:66" x14ac:dyDescent="0.3">
      <c r="A219" t="s">
        <v>309</v>
      </c>
      <c r="B219" t="s">
        <v>38</v>
      </c>
      <c r="C219">
        <v>37.545499999999997</v>
      </c>
      <c r="D219">
        <v>-82.777900000000002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</row>
    <row r="220" spans="1:66" x14ac:dyDescent="0.3">
      <c r="A220" t="s">
        <v>310</v>
      </c>
      <c r="B220" t="s">
        <v>38</v>
      </c>
      <c r="C220">
        <v>33.450200000000002</v>
      </c>
      <c r="D220">
        <v>-84.4803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  <c r="BL220">
        <v>0</v>
      </c>
      <c r="BM220">
        <v>0</v>
      </c>
    </row>
    <row r="221" spans="1:66" x14ac:dyDescent="0.3">
      <c r="A221" t="s">
        <v>311</v>
      </c>
      <c r="B221" t="s">
        <v>38</v>
      </c>
      <c r="C221">
        <v>32.4893</v>
      </c>
      <c r="D221">
        <v>-94.852099999999993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</row>
    <row r="222" spans="1:66" x14ac:dyDescent="0.3">
      <c r="A222" t="s">
        <v>312</v>
      </c>
      <c r="B222" t="s">
        <v>38</v>
      </c>
      <c r="C222">
        <v>40.258899999999997</v>
      </c>
      <c r="D222">
        <v>-74.123999999999995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</row>
    <row r="223" spans="1:66" x14ac:dyDescent="0.3">
      <c r="A223" t="s">
        <v>313</v>
      </c>
      <c r="B223" t="s">
        <v>38</v>
      </c>
      <c r="C223">
        <v>40.071199999999997</v>
      </c>
      <c r="D223">
        <v>-74.864900000000006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</row>
    <row r="224" spans="1:66" x14ac:dyDescent="0.3">
      <c r="A224" t="s">
        <v>314</v>
      </c>
      <c r="B224" t="s">
        <v>38</v>
      </c>
      <c r="C224">
        <v>39.925899999999999</v>
      </c>
      <c r="D224">
        <v>-75.119600000000005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</row>
    <row r="225" spans="1:65" x14ac:dyDescent="0.3">
      <c r="A225" t="s">
        <v>315</v>
      </c>
      <c r="B225" t="s">
        <v>38</v>
      </c>
      <c r="C225">
        <v>40.8568</v>
      </c>
      <c r="D225">
        <v>-74.128500000000003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0</v>
      </c>
      <c r="BL225">
        <v>0</v>
      </c>
      <c r="BM225">
        <v>0</v>
      </c>
    </row>
    <row r="226" spans="1:65" x14ac:dyDescent="0.3">
      <c r="A226" t="s">
        <v>316</v>
      </c>
      <c r="B226" t="s">
        <v>38</v>
      </c>
      <c r="C226">
        <v>40.697600000000001</v>
      </c>
      <c r="D226">
        <v>-74.263199999999998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</row>
    <row r="227" spans="1:65" x14ac:dyDescent="0.3">
      <c r="A227" t="s">
        <v>317</v>
      </c>
      <c r="B227" t="s">
        <v>38</v>
      </c>
      <c r="C227">
        <v>39.655299999999997</v>
      </c>
      <c r="D227">
        <v>-106.8287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  <c r="BI227">
        <v>0</v>
      </c>
      <c r="BJ227">
        <v>0</v>
      </c>
      <c r="BK227">
        <v>0</v>
      </c>
      <c r="BL227">
        <v>0</v>
      </c>
      <c r="BM227">
        <v>0</v>
      </c>
    </row>
    <row r="228" spans="1:65" x14ac:dyDescent="0.3">
      <c r="A228" t="s">
        <v>318</v>
      </c>
      <c r="B228" t="s">
        <v>38</v>
      </c>
      <c r="C228">
        <v>40.695599999999999</v>
      </c>
      <c r="D228">
        <v>-105.5943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</row>
    <row r="229" spans="1:65" x14ac:dyDescent="0.3">
      <c r="A229" t="s">
        <v>319</v>
      </c>
      <c r="B229" t="s">
        <v>38</v>
      </c>
      <c r="C229">
        <v>39.6203</v>
      </c>
      <c r="D229">
        <v>-104.3326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</row>
    <row r="230" spans="1:65" x14ac:dyDescent="0.3">
      <c r="A230" t="s">
        <v>320</v>
      </c>
      <c r="B230" t="s">
        <v>38</v>
      </c>
      <c r="C230">
        <v>38.5458</v>
      </c>
      <c r="D230">
        <v>-106.92529999999999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</row>
    <row r="231" spans="1:65" x14ac:dyDescent="0.3">
      <c r="A231" t="s">
        <v>321</v>
      </c>
      <c r="B231" t="s">
        <v>38</v>
      </c>
      <c r="C231">
        <v>41.987900000000003</v>
      </c>
      <c r="D231">
        <v>-88.401600000000002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</row>
    <row r="232" spans="1:65" x14ac:dyDescent="0.3">
      <c r="A232" t="s">
        <v>322</v>
      </c>
      <c r="B232" t="s">
        <v>38</v>
      </c>
      <c r="C232">
        <v>41.0458</v>
      </c>
      <c r="D232">
        <v>-75.247900000000001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</row>
    <row r="233" spans="1:65" x14ac:dyDescent="0.3">
      <c r="A233" t="s">
        <v>323</v>
      </c>
      <c r="B233" t="s">
        <v>38</v>
      </c>
      <c r="C233">
        <v>39.952599999999997</v>
      </c>
      <c r="D233">
        <v>-75.165199999999999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</row>
    <row r="234" spans="1:65" x14ac:dyDescent="0.3">
      <c r="A234" t="s">
        <v>324</v>
      </c>
      <c r="B234" t="s">
        <v>38</v>
      </c>
      <c r="C234">
        <v>36.8508</v>
      </c>
      <c r="D234">
        <v>-76.285899999999998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</row>
    <row r="235" spans="1:65" x14ac:dyDescent="0.3">
      <c r="A235" t="s">
        <v>325</v>
      </c>
      <c r="B235" t="s">
        <v>38</v>
      </c>
      <c r="C235">
        <v>38.881599999999999</v>
      </c>
      <c r="D235">
        <v>-77.090999999999994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</row>
    <row r="236" spans="1:65" x14ac:dyDescent="0.3">
      <c r="A236" t="s">
        <v>326</v>
      </c>
      <c r="B236" t="s">
        <v>38</v>
      </c>
      <c r="C236">
        <v>38.2042</v>
      </c>
      <c r="D236">
        <v>-77.607799999999997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</row>
    <row r="237" spans="1:65" x14ac:dyDescent="0.3">
      <c r="A237" t="s">
        <v>327</v>
      </c>
      <c r="B237" t="s">
        <v>38</v>
      </c>
      <c r="C237">
        <v>39.076799999999999</v>
      </c>
      <c r="D237">
        <v>-77.653599999999997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</row>
    <row r="238" spans="1:65" x14ac:dyDescent="0.3">
      <c r="A238" t="s">
        <v>356</v>
      </c>
      <c r="B238" t="s">
        <v>38</v>
      </c>
      <c r="C238">
        <v>38.7849</v>
      </c>
      <c r="D238">
        <v>-76.872100000000003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</row>
    <row r="239" spans="1:65" x14ac:dyDescent="0.3">
      <c r="A239" t="s">
        <v>328</v>
      </c>
      <c r="B239" t="s">
        <v>38</v>
      </c>
      <c r="C239">
        <v>41.391199999999998</v>
      </c>
      <c r="D239">
        <v>-95.477800000000002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</row>
    <row r="240" spans="1:65" x14ac:dyDescent="0.3">
      <c r="A240" t="s">
        <v>357</v>
      </c>
      <c r="B240" t="s">
        <v>38</v>
      </c>
      <c r="C240">
        <v>34.246499999999997</v>
      </c>
      <c r="D240">
        <v>-80.606999999999999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</row>
    <row r="241" spans="1:65" x14ac:dyDescent="0.3">
      <c r="A241" t="s">
        <v>329</v>
      </c>
      <c r="B241" t="s">
        <v>38</v>
      </c>
      <c r="C241">
        <v>32.057499999999997</v>
      </c>
      <c r="D241">
        <v>-111.6661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</row>
    <row r="242" spans="1:65" x14ac:dyDescent="0.3">
      <c r="A242" t="s">
        <v>330</v>
      </c>
      <c r="B242" t="s">
        <v>38</v>
      </c>
      <c r="C242">
        <v>41.427700000000002</v>
      </c>
      <c r="D242">
        <v>-85.355000000000004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</row>
    <row r="243" spans="1:65" x14ac:dyDescent="0.3">
      <c r="A243" t="s">
        <v>331</v>
      </c>
      <c r="B243" t="s">
        <v>38</v>
      </c>
      <c r="C243">
        <v>39.852200000000003</v>
      </c>
      <c r="D243">
        <v>-77.286500000000004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</row>
    <row r="244" spans="1:65" x14ac:dyDescent="0.3">
      <c r="A244" t="s">
        <v>332</v>
      </c>
      <c r="B244" t="s">
        <v>38</v>
      </c>
      <c r="C244">
        <v>40.010599999999997</v>
      </c>
      <c r="D244">
        <v>-86.499700000000004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</row>
    <row r="245" spans="1:65" x14ac:dyDescent="0.3">
      <c r="A245" t="s">
        <v>333</v>
      </c>
      <c r="B245" t="s">
        <v>38</v>
      </c>
      <c r="C245">
        <v>43.018599999999999</v>
      </c>
      <c r="D245">
        <v>-89.549800000000005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</row>
    <row r="246" spans="1:65" x14ac:dyDescent="0.3">
      <c r="A246" t="s">
        <v>334</v>
      </c>
      <c r="B246" t="s">
        <v>38</v>
      </c>
      <c r="C246">
        <v>44.750900000000001</v>
      </c>
      <c r="D246">
        <v>-92.381399999999999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</row>
    <row r="247" spans="1:65" x14ac:dyDescent="0.3">
      <c r="A247" t="s">
        <v>335</v>
      </c>
      <c r="B247" t="s">
        <v>38</v>
      </c>
      <c r="C247">
        <v>41.433900000000001</v>
      </c>
      <c r="D247">
        <v>-81.675799999999995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</row>
    <row r="248" spans="1:65" x14ac:dyDescent="0.3">
      <c r="A248" t="s">
        <v>336</v>
      </c>
      <c r="B248" t="s">
        <v>38</v>
      </c>
      <c r="C248">
        <v>41.260300000000001</v>
      </c>
      <c r="D248">
        <v>-111.9522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</row>
    <row r="249" spans="1:65" x14ac:dyDescent="0.3">
      <c r="A249" t="s">
        <v>234</v>
      </c>
      <c r="B249" t="s">
        <v>38</v>
      </c>
      <c r="C249">
        <v>43.027900000000002</v>
      </c>
      <c r="D249">
        <v>-73.135000000000005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</row>
    <row r="250" spans="1:65" x14ac:dyDescent="0.3">
      <c r="A250" t="s">
        <v>235</v>
      </c>
      <c r="B250" t="s">
        <v>38</v>
      </c>
      <c r="C250">
        <v>44.825400000000002</v>
      </c>
      <c r="D250">
        <v>-93.784199999999998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</row>
    <row r="251" spans="1:65" x14ac:dyDescent="0.3">
      <c r="A251" t="s">
        <v>236</v>
      </c>
      <c r="B251" t="s">
        <v>38</v>
      </c>
      <c r="C251">
        <v>26.894600000000001</v>
      </c>
      <c r="D251">
        <v>-81.909800000000004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</row>
    <row r="252" spans="1:65" x14ac:dyDescent="0.3">
      <c r="A252" t="s">
        <v>237</v>
      </c>
      <c r="B252" t="s">
        <v>38</v>
      </c>
      <c r="C252">
        <v>34.2515</v>
      </c>
      <c r="D252">
        <v>-84.4803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</row>
    <row r="253" spans="1:65" x14ac:dyDescent="0.3">
      <c r="A253" t="s">
        <v>238</v>
      </c>
      <c r="B253" t="s">
        <v>38</v>
      </c>
      <c r="C253">
        <v>33.179499999999997</v>
      </c>
      <c r="D253">
        <v>-96.492999999999995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</row>
    <row r="254" spans="1:65" x14ac:dyDescent="0.3">
      <c r="A254" t="s">
        <v>239</v>
      </c>
      <c r="B254" t="s">
        <v>38</v>
      </c>
      <c r="C254">
        <v>38.193800000000003</v>
      </c>
      <c r="D254">
        <v>-85.643500000000003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</row>
    <row r="255" spans="1:65" x14ac:dyDescent="0.3">
      <c r="A255" t="s">
        <v>240</v>
      </c>
      <c r="B255" t="s">
        <v>38</v>
      </c>
      <c r="C255">
        <v>29.649899999999999</v>
      </c>
      <c r="D255">
        <v>-90.112099999999998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</row>
    <row r="256" spans="1:65" x14ac:dyDescent="0.3">
      <c r="A256" t="s">
        <v>241</v>
      </c>
      <c r="B256" t="s">
        <v>38</v>
      </c>
      <c r="C256">
        <v>40.790900000000001</v>
      </c>
      <c r="D256">
        <v>-121.84739999999999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</row>
    <row r="257" spans="1:65" x14ac:dyDescent="0.3">
      <c r="A257" t="s">
        <v>242</v>
      </c>
      <c r="B257" t="s">
        <v>38</v>
      </c>
      <c r="C257">
        <v>34.860599999999998</v>
      </c>
      <c r="D257">
        <v>-81.953500000000005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</row>
    <row r="258" spans="1:65" x14ac:dyDescent="0.3">
      <c r="A258" t="s">
        <v>232</v>
      </c>
      <c r="B258" t="s">
        <v>38</v>
      </c>
      <c r="C258">
        <v>38.433300000000003</v>
      </c>
      <c r="D258">
        <v>-84.354200000000006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</row>
    <row r="259" spans="1:65" x14ac:dyDescent="0.3">
      <c r="A259" t="s">
        <v>229</v>
      </c>
      <c r="B259" t="s">
        <v>38</v>
      </c>
      <c r="C259">
        <v>41.669899999999998</v>
      </c>
      <c r="D259">
        <v>-91.598399999999998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</row>
    <row r="260" spans="1:65" x14ac:dyDescent="0.3">
      <c r="A260" t="s">
        <v>207</v>
      </c>
      <c r="B260" t="s">
        <v>38</v>
      </c>
      <c r="C260">
        <v>42.311799999999998</v>
      </c>
      <c r="D260">
        <v>-73.182199999999995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</row>
    <row r="261" spans="1:65" x14ac:dyDescent="0.3">
      <c r="A261" t="s">
        <v>208</v>
      </c>
      <c r="B261" t="s">
        <v>38</v>
      </c>
      <c r="C261">
        <v>36.134300000000003</v>
      </c>
      <c r="D261">
        <v>-86.822000000000003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  <c r="BM261">
        <v>0</v>
      </c>
    </row>
    <row r="262" spans="1:65" x14ac:dyDescent="0.3">
      <c r="A262" t="s">
        <v>209</v>
      </c>
      <c r="B262" t="s">
        <v>38</v>
      </c>
      <c r="C262">
        <v>43.126100000000001</v>
      </c>
      <c r="D262">
        <v>-123.2492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</row>
    <row r="263" spans="1:65" x14ac:dyDescent="0.3">
      <c r="A263" t="s">
        <v>210</v>
      </c>
      <c r="B263" t="s">
        <v>38</v>
      </c>
      <c r="C263">
        <v>36.985900000000001</v>
      </c>
      <c r="D263">
        <v>-119.2321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</row>
    <row r="264" spans="1:65" x14ac:dyDescent="0.3">
      <c r="A264" t="s">
        <v>211</v>
      </c>
      <c r="B264" t="s">
        <v>38</v>
      </c>
      <c r="C264">
        <v>39.5839</v>
      </c>
      <c r="D264">
        <v>-76.363699999999994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</row>
    <row r="265" spans="1:65" x14ac:dyDescent="0.3">
      <c r="A265" t="s">
        <v>212</v>
      </c>
      <c r="B265" t="s">
        <v>38</v>
      </c>
      <c r="C265">
        <v>39.8065</v>
      </c>
      <c r="D265">
        <v>-86.540099999999995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  <c r="BM265">
        <v>0</v>
      </c>
    </row>
    <row r="266" spans="1:65" x14ac:dyDescent="0.3">
      <c r="A266" t="s">
        <v>213</v>
      </c>
      <c r="B266" t="s">
        <v>38</v>
      </c>
      <c r="C266">
        <v>40.7453</v>
      </c>
      <c r="D266">
        <v>-74.0535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  <c r="BI266">
        <v>0</v>
      </c>
      <c r="BJ266">
        <v>0</v>
      </c>
      <c r="BK266">
        <v>0</v>
      </c>
      <c r="BL266">
        <v>0</v>
      </c>
      <c r="BM266">
        <v>0</v>
      </c>
    </row>
    <row r="267" spans="1:65" x14ac:dyDescent="0.3">
      <c r="A267" t="s">
        <v>214</v>
      </c>
      <c r="B267" t="s">
        <v>38</v>
      </c>
      <c r="C267">
        <v>38.845399999999998</v>
      </c>
      <c r="D267">
        <v>-94.852099999999993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  <c r="BI267">
        <v>0</v>
      </c>
      <c r="BJ267">
        <v>0</v>
      </c>
      <c r="BK267">
        <v>0</v>
      </c>
      <c r="BL267">
        <v>0</v>
      </c>
      <c r="BM267">
        <v>0</v>
      </c>
    </row>
    <row r="268" spans="1:65" x14ac:dyDescent="0.3">
      <c r="A268" t="s">
        <v>215</v>
      </c>
      <c r="B268" t="s">
        <v>38</v>
      </c>
      <c r="C268">
        <v>47.174999999999997</v>
      </c>
      <c r="D268">
        <v>-120.9319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G268">
        <v>0</v>
      </c>
      <c r="BH268">
        <v>0</v>
      </c>
      <c r="BI268">
        <v>0</v>
      </c>
      <c r="BJ268">
        <v>0</v>
      </c>
      <c r="BK268">
        <v>0</v>
      </c>
      <c r="BL268">
        <v>0</v>
      </c>
      <c r="BM268">
        <v>0</v>
      </c>
    </row>
    <row r="269" spans="1:65" x14ac:dyDescent="0.3">
      <c r="A269" t="s">
        <v>216</v>
      </c>
      <c r="B269" t="s">
        <v>38</v>
      </c>
      <c r="C269">
        <v>27.479900000000001</v>
      </c>
      <c r="D269">
        <v>-82.345200000000006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0</v>
      </c>
      <c r="BI269">
        <v>0</v>
      </c>
      <c r="BJ269">
        <v>0</v>
      </c>
      <c r="BK269">
        <v>0</v>
      </c>
      <c r="BL269">
        <v>0</v>
      </c>
      <c r="BM269">
        <v>0</v>
      </c>
    </row>
    <row r="270" spans="1:65" x14ac:dyDescent="0.3">
      <c r="A270" t="s">
        <v>217</v>
      </c>
      <c r="B270" t="s">
        <v>38</v>
      </c>
      <c r="C270">
        <v>44.8446</v>
      </c>
      <c r="D270">
        <v>-122.59269999999999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  <c r="BI270">
        <v>0</v>
      </c>
      <c r="BJ270">
        <v>0</v>
      </c>
      <c r="BK270">
        <v>0</v>
      </c>
      <c r="BL270">
        <v>0</v>
      </c>
      <c r="BM270">
        <v>0</v>
      </c>
    </row>
    <row r="271" spans="1:65" x14ac:dyDescent="0.3">
      <c r="A271" t="s">
        <v>218</v>
      </c>
      <c r="B271" t="s">
        <v>38</v>
      </c>
      <c r="C271">
        <v>30.577300000000001</v>
      </c>
      <c r="D271">
        <v>-86.661100000000005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  <c r="BI271">
        <v>0</v>
      </c>
      <c r="BJ271">
        <v>0</v>
      </c>
      <c r="BK271">
        <v>0</v>
      </c>
      <c r="BL271">
        <v>0</v>
      </c>
      <c r="BM271">
        <v>0</v>
      </c>
    </row>
    <row r="272" spans="1:65" x14ac:dyDescent="0.3">
      <c r="A272" t="s">
        <v>219</v>
      </c>
      <c r="B272" t="s">
        <v>38</v>
      </c>
      <c r="C272">
        <v>34.013199999999998</v>
      </c>
      <c r="D272">
        <v>-85.147900000000007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  <c r="BH272">
        <v>0</v>
      </c>
      <c r="BI272">
        <v>0</v>
      </c>
      <c r="BJ272">
        <v>0</v>
      </c>
      <c r="BK272">
        <v>0</v>
      </c>
      <c r="BL272">
        <v>0</v>
      </c>
      <c r="BM272">
        <v>0</v>
      </c>
    </row>
    <row r="273" spans="1:65" x14ac:dyDescent="0.3">
      <c r="A273" t="s">
        <v>220</v>
      </c>
      <c r="B273" t="s">
        <v>38</v>
      </c>
      <c r="C273">
        <v>33.953299999999999</v>
      </c>
      <c r="D273">
        <v>-117.3961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0</v>
      </c>
      <c r="BH273">
        <v>0</v>
      </c>
      <c r="BI273">
        <v>0</v>
      </c>
      <c r="BJ273">
        <v>0</v>
      </c>
      <c r="BK273">
        <v>0</v>
      </c>
      <c r="BL273">
        <v>0</v>
      </c>
      <c r="BM273">
        <v>0</v>
      </c>
    </row>
    <row r="274" spans="1:65" x14ac:dyDescent="0.3">
      <c r="A274" t="s">
        <v>221</v>
      </c>
      <c r="B274" t="s">
        <v>38</v>
      </c>
      <c r="C274">
        <v>35.126899999999999</v>
      </c>
      <c r="D274">
        <v>-89.925299999999993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G274">
        <v>0</v>
      </c>
      <c r="BH274">
        <v>0</v>
      </c>
      <c r="BI274">
        <v>0</v>
      </c>
      <c r="BJ274">
        <v>0</v>
      </c>
      <c r="BK274">
        <v>0</v>
      </c>
      <c r="BL274">
        <v>0</v>
      </c>
      <c r="BM274">
        <v>0</v>
      </c>
    </row>
    <row r="275" spans="1:65" x14ac:dyDescent="0.3">
      <c r="A275" t="s">
        <v>222</v>
      </c>
      <c r="B275" t="s">
        <v>38</v>
      </c>
      <c r="C275">
        <v>38.610300000000002</v>
      </c>
      <c r="D275">
        <v>-90.412499999999994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0</v>
      </c>
      <c r="BH275">
        <v>0</v>
      </c>
      <c r="BI275">
        <v>0</v>
      </c>
      <c r="BJ275">
        <v>0</v>
      </c>
      <c r="BK275">
        <v>0</v>
      </c>
      <c r="BL275">
        <v>0</v>
      </c>
      <c r="BM275">
        <v>0</v>
      </c>
    </row>
    <row r="276" spans="1:65" x14ac:dyDescent="0.3">
      <c r="A276" t="s">
        <v>223</v>
      </c>
      <c r="B276" t="s">
        <v>38</v>
      </c>
      <c r="C276">
        <v>40.984900000000003</v>
      </c>
      <c r="D276">
        <v>-72.615099999999998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  <c r="BI276">
        <v>0</v>
      </c>
      <c r="BJ276">
        <v>0</v>
      </c>
      <c r="BK276">
        <v>0</v>
      </c>
      <c r="BL276">
        <v>0</v>
      </c>
      <c r="BM276">
        <v>0</v>
      </c>
    </row>
    <row r="277" spans="1:65" x14ac:dyDescent="0.3">
      <c r="A277" t="s">
        <v>224</v>
      </c>
      <c r="B277" t="s">
        <v>38</v>
      </c>
      <c r="C277">
        <v>41.858600000000003</v>
      </c>
      <c r="D277">
        <v>-74.311800000000005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  <c r="BI277">
        <v>0</v>
      </c>
      <c r="BJ277">
        <v>0</v>
      </c>
      <c r="BK277">
        <v>0</v>
      </c>
      <c r="BL277">
        <v>0</v>
      </c>
      <c r="BM277">
        <v>0</v>
      </c>
    </row>
    <row r="278" spans="1:65" x14ac:dyDescent="0.3">
      <c r="A278" t="s">
        <v>225</v>
      </c>
      <c r="B278" t="s">
        <v>38</v>
      </c>
      <c r="C278">
        <v>29.027999999999999</v>
      </c>
      <c r="D278">
        <v>-81.075500000000005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  <c r="BI278">
        <v>0</v>
      </c>
      <c r="BJ278">
        <v>0</v>
      </c>
      <c r="BK278">
        <v>0</v>
      </c>
      <c r="BL278">
        <v>0</v>
      </c>
      <c r="BM278">
        <v>0</v>
      </c>
    </row>
    <row r="279" spans="1:65" x14ac:dyDescent="0.3">
      <c r="A279" t="s">
        <v>203</v>
      </c>
      <c r="B279" t="s">
        <v>38</v>
      </c>
      <c r="C279">
        <v>38.908499999999997</v>
      </c>
      <c r="D279">
        <v>-77.240499999999997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  <c r="BI279">
        <v>0</v>
      </c>
      <c r="BJ279">
        <v>0</v>
      </c>
      <c r="BK279">
        <v>0</v>
      </c>
      <c r="BL279">
        <v>0</v>
      </c>
      <c r="BM279">
        <v>0</v>
      </c>
    </row>
    <row r="280" spans="1:65" x14ac:dyDescent="0.3">
      <c r="A280" t="s">
        <v>204</v>
      </c>
      <c r="B280" t="s">
        <v>38</v>
      </c>
      <c r="C280">
        <v>42.993099999999998</v>
      </c>
      <c r="D280">
        <v>-71.049800000000005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  <c r="BI280">
        <v>0</v>
      </c>
      <c r="BJ280">
        <v>0</v>
      </c>
      <c r="BK280">
        <v>0</v>
      </c>
      <c r="BL280">
        <v>0</v>
      </c>
      <c r="BM280">
        <v>0</v>
      </c>
    </row>
    <row r="281" spans="1:65" x14ac:dyDescent="0.3">
      <c r="A281" t="s">
        <v>205</v>
      </c>
      <c r="B281" t="s">
        <v>38</v>
      </c>
      <c r="C281">
        <v>38.907200000000003</v>
      </c>
      <c r="D281">
        <v>-77.036900000000003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  <c r="BH281">
        <v>0</v>
      </c>
      <c r="BI281">
        <v>0</v>
      </c>
      <c r="BJ281">
        <v>0</v>
      </c>
      <c r="BK281">
        <v>0</v>
      </c>
      <c r="BL281">
        <v>0</v>
      </c>
      <c r="BM281">
        <v>0</v>
      </c>
    </row>
    <row r="282" spans="1:65" x14ac:dyDescent="0.3">
      <c r="A282" t="s">
        <v>201</v>
      </c>
      <c r="B282" t="s">
        <v>38</v>
      </c>
      <c r="C282">
        <v>40.228999999999999</v>
      </c>
      <c r="D282">
        <v>-75.387900000000002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  <c r="BI282">
        <v>0</v>
      </c>
      <c r="BJ282">
        <v>0</v>
      </c>
      <c r="BK282">
        <v>0</v>
      </c>
      <c r="BL282">
        <v>0</v>
      </c>
      <c r="BM282">
        <v>0</v>
      </c>
    </row>
    <row r="283" spans="1:65" x14ac:dyDescent="0.3">
      <c r="A283" t="s">
        <v>181</v>
      </c>
      <c r="B283" t="s">
        <v>38</v>
      </c>
      <c r="C283">
        <v>37.601700000000001</v>
      </c>
      <c r="D283">
        <v>-121.7195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  <c r="BI283">
        <v>0</v>
      </c>
      <c r="BJ283">
        <v>0</v>
      </c>
      <c r="BK283">
        <v>0</v>
      </c>
      <c r="BL283">
        <v>0</v>
      </c>
      <c r="BM283">
        <v>0</v>
      </c>
    </row>
    <row r="284" spans="1:65" x14ac:dyDescent="0.3">
      <c r="A284" t="s">
        <v>182</v>
      </c>
      <c r="B284" t="s">
        <v>38</v>
      </c>
      <c r="C284">
        <v>26.190100000000001</v>
      </c>
      <c r="D284">
        <v>-80.365899999999996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  <c r="BI284">
        <v>0</v>
      </c>
      <c r="BJ284">
        <v>0</v>
      </c>
      <c r="BK284">
        <v>0</v>
      </c>
      <c r="BL284">
        <v>0</v>
      </c>
      <c r="BM284">
        <v>0</v>
      </c>
    </row>
    <row r="285" spans="1:65" x14ac:dyDescent="0.3">
      <c r="A285" t="s">
        <v>183</v>
      </c>
      <c r="B285" t="s">
        <v>38</v>
      </c>
      <c r="C285">
        <v>26.663</v>
      </c>
      <c r="D285">
        <v>-81.953500000000005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  <c r="BH285">
        <v>0</v>
      </c>
      <c r="BI285">
        <v>0</v>
      </c>
      <c r="BJ285">
        <v>0</v>
      </c>
      <c r="BK285">
        <v>0</v>
      </c>
      <c r="BL285">
        <v>0</v>
      </c>
      <c r="BM285">
        <v>0</v>
      </c>
    </row>
    <row r="286" spans="1:65" x14ac:dyDescent="0.3">
      <c r="A286" t="s">
        <v>184</v>
      </c>
      <c r="B286" t="s">
        <v>38</v>
      </c>
      <c r="C286">
        <v>32.816200000000002</v>
      </c>
      <c r="D286">
        <v>-111.28449999999999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  <c r="BH286">
        <v>0</v>
      </c>
      <c r="BI286">
        <v>0</v>
      </c>
      <c r="BJ286">
        <v>0</v>
      </c>
      <c r="BK286">
        <v>0</v>
      </c>
      <c r="BL286">
        <v>0</v>
      </c>
      <c r="BM286">
        <v>0</v>
      </c>
    </row>
    <row r="287" spans="1:65" x14ac:dyDescent="0.3">
      <c r="A287" t="s">
        <v>185</v>
      </c>
      <c r="B287" t="s">
        <v>38</v>
      </c>
      <c r="C287">
        <v>41.148899999999998</v>
      </c>
      <c r="D287">
        <v>-73.983000000000004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  <c r="BI287">
        <v>0</v>
      </c>
      <c r="BJ287">
        <v>0</v>
      </c>
      <c r="BK287">
        <v>0</v>
      </c>
      <c r="BL287">
        <v>0</v>
      </c>
      <c r="BM287">
        <v>0</v>
      </c>
    </row>
    <row r="288" spans="1:65" x14ac:dyDescent="0.3">
      <c r="A288" t="s">
        <v>186</v>
      </c>
      <c r="B288" t="s">
        <v>38</v>
      </c>
      <c r="C288">
        <v>43.032400000000003</v>
      </c>
      <c r="D288">
        <v>-73.936000000000007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G288">
        <v>0</v>
      </c>
      <c r="BH288">
        <v>0</v>
      </c>
      <c r="BI288">
        <v>0</v>
      </c>
      <c r="BJ288">
        <v>0</v>
      </c>
      <c r="BK288">
        <v>0</v>
      </c>
      <c r="BL288">
        <v>0</v>
      </c>
      <c r="BM288">
        <v>0</v>
      </c>
    </row>
    <row r="289" spans="1:65" x14ac:dyDescent="0.3">
      <c r="A289" t="s">
        <v>187</v>
      </c>
      <c r="B289" t="s">
        <v>38</v>
      </c>
      <c r="C289">
        <v>32.795699999999997</v>
      </c>
      <c r="D289">
        <v>-79.784800000000004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G289">
        <v>0</v>
      </c>
      <c r="BH289">
        <v>0</v>
      </c>
      <c r="BI289">
        <v>0</v>
      </c>
      <c r="BJ289">
        <v>0</v>
      </c>
      <c r="BK289">
        <v>0</v>
      </c>
      <c r="BL289">
        <v>0</v>
      </c>
      <c r="BM289">
        <v>0</v>
      </c>
    </row>
    <row r="290" spans="1:65" x14ac:dyDescent="0.3">
      <c r="A290" t="s">
        <v>188</v>
      </c>
      <c r="B290" t="s">
        <v>38</v>
      </c>
      <c r="C290">
        <v>45.746600000000001</v>
      </c>
      <c r="D290">
        <v>-122.5194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0</v>
      </c>
      <c r="BH290">
        <v>0</v>
      </c>
      <c r="BI290">
        <v>0</v>
      </c>
      <c r="BJ290">
        <v>0</v>
      </c>
      <c r="BK290">
        <v>0</v>
      </c>
      <c r="BL290">
        <v>0</v>
      </c>
      <c r="BM290">
        <v>0</v>
      </c>
    </row>
    <row r="291" spans="1:65" x14ac:dyDescent="0.3">
      <c r="A291" t="s">
        <v>189</v>
      </c>
      <c r="B291" t="s">
        <v>38</v>
      </c>
      <c r="C291">
        <v>33.899900000000002</v>
      </c>
      <c r="D291">
        <v>-84.564099999999996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G291">
        <v>0</v>
      </c>
      <c r="BH291">
        <v>0</v>
      </c>
      <c r="BI291">
        <v>0</v>
      </c>
      <c r="BJ291">
        <v>0</v>
      </c>
      <c r="BK291">
        <v>0</v>
      </c>
      <c r="BL291">
        <v>0</v>
      </c>
      <c r="BM291">
        <v>0</v>
      </c>
    </row>
    <row r="292" spans="1:65" x14ac:dyDescent="0.3">
      <c r="A292" t="s">
        <v>190</v>
      </c>
      <c r="B292" t="s">
        <v>38</v>
      </c>
      <c r="C292">
        <v>40.962899999999998</v>
      </c>
      <c r="D292">
        <v>-112.09529999999999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G292">
        <v>0</v>
      </c>
      <c r="BH292">
        <v>0</v>
      </c>
      <c r="BI292">
        <v>0</v>
      </c>
      <c r="BJ292">
        <v>0</v>
      </c>
      <c r="BK292">
        <v>0</v>
      </c>
      <c r="BL292">
        <v>0</v>
      </c>
      <c r="BM292">
        <v>0</v>
      </c>
    </row>
    <row r="293" spans="1:65" x14ac:dyDescent="0.3">
      <c r="A293" t="s">
        <v>191</v>
      </c>
      <c r="B293" t="s">
        <v>38</v>
      </c>
      <c r="C293">
        <v>38.910800000000002</v>
      </c>
      <c r="D293">
        <v>-104.4723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0</v>
      </c>
      <c r="BK293">
        <v>0</v>
      </c>
      <c r="BL293">
        <v>0</v>
      </c>
      <c r="BM293">
        <v>0</v>
      </c>
    </row>
    <row r="294" spans="1:65" x14ac:dyDescent="0.3">
      <c r="A294" t="s">
        <v>192</v>
      </c>
      <c r="B294" t="s">
        <v>38</v>
      </c>
      <c r="C294">
        <v>21.306999999999999</v>
      </c>
      <c r="D294">
        <v>-157.85839999999999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  <c r="BI294">
        <v>0</v>
      </c>
      <c r="BJ294">
        <v>0</v>
      </c>
      <c r="BK294">
        <v>0</v>
      </c>
      <c r="BL294">
        <v>0</v>
      </c>
      <c r="BM294">
        <v>0</v>
      </c>
    </row>
    <row r="295" spans="1:65" x14ac:dyDescent="0.3">
      <c r="A295" t="s">
        <v>433</v>
      </c>
      <c r="B295" t="s">
        <v>38</v>
      </c>
      <c r="C295">
        <v>42.334499999999998</v>
      </c>
      <c r="D295">
        <v>-122.7647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0</v>
      </c>
      <c r="BH295">
        <v>0</v>
      </c>
      <c r="BI295">
        <v>0</v>
      </c>
      <c r="BJ295">
        <v>0</v>
      </c>
      <c r="BK295">
        <v>0</v>
      </c>
      <c r="BL295">
        <v>0</v>
      </c>
      <c r="BM295">
        <v>0</v>
      </c>
    </row>
    <row r="296" spans="1:65" x14ac:dyDescent="0.3">
      <c r="A296" t="s">
        <v>193</v>
      </c>
      <c r="B296" t="s">
        <v>38</v>
      </c>
      <c r="C296">
        <v>47.7425</v>
      </c>
      <c r="D296">
        <v>-123.304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G296">
        <v>0</v>
      </c>
      <c r="BH296">
        <v>0</v>
      </c>
      <c r="BI296">
        <v>0</v>
      </c>
      <c r="BJ296">
        <v>0</v>
      </c>
      <c r="BK296">
        <v>0</v>
      </c>
      <c r="BL296">
        <v>0</v>
      </c>
      <c r="BM296">
        <v>0</v>
      </c>
    </row>
    <row r="297" spans="1:65" x14ac:dyDescent="0.3">
      <c r="A297" t="s">
        <v>194</v>
      </c>
      <c r="B297" t="s">
        <v>38</v>
      </c>
      <c r="C297">
        <v>34.367199999999997</v>
      </c>
      <c r="D297">
        <v>-80.588300000000004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  <c r="BI297">
        <v>0</v>
      </c>
      <c r="BJ297">
        <v>0</v>
      </c>
      <c r="BK297">
        <v>0</v>
      </c>
      <c r="BL297">
        <v>0</v>
      </c>
      <c r="BM297">
        <v>0</v>
      </c>
    </row>
    <row r="298" spans="1:65" x14ac:dyDescent="0.3">
      <c r="A298" t="s">
        <v>195</v>
      </c>
      <c r="B298" t="s">
        <v>38</v>
      </c>
      <c r="C298">
        <v>42.695300000000003</v>
      </c>
      <c r="D298">
        <v>-121.6142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0</v>
      </c>
      <c r="BI298">
        <v>0</v>
      </c>
      <c r="BJ298">
        <v>0</v>
      </c>
      <c r="BK298">
        <v>0</v>
      </c>
      <c r="BL298">
        <v>0</v>
      </c>
      <c r="BM298">
        <v>0</v>
      </c>
    </row>
    <row r="299" spans="1:65" x14ac:dyDescent="0.3">
      <c r="A299" t="s">
        <v>196</v>
      </c>
      <c r="B299" t="s">
        <v>38</v>
      </c>
      <c r="C299">
        <v>37.251899999999999</v>
      </c>
      <c r="D299">
        <v>-119.69629999999999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  <c r="BI299">
        <v>0</v>
      </c>
      <c r="BJ299">
        <v>0</v>
      </c>
      <c r="BK299">
        <v>0</v>
      </c>
      <c r="BL299">
        <v>0</v>
      </c>
      <c r="BM299">
        <v>0</v>
      </c>
    </row>
    <row r="300" spans="1:65" x14ac:dyDescent="0.3">
      <c r="A300" t="s">
        <v>197</v>
      </c>
      <c r="B300" t="s">
        <v>38</v>
      </c>
      <c r="C300">
        <v>47.067599999999999</v>
      </c>
      <c r="D300">
        <v>-122.12949999999999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  <c r="BH300">
        <v>0</v>
      </c>
      <c r="BI300">
        <v>0</v>
      </c>
      <c r="BJ300">
        <v>0</v>
      </c>
      <c r="BK300">
        <v>0</v>
      </c>
      <c r="BL300">
        <v>0</v>
      </c>
      <c r="BM300">
        <v>0</v>
      </c>
    </row>
    <row r="301" spans="1:65" x14ac:dyDescent="0.3">
      <c r="A301" t="s">
        <v>198</v>
      </c>
      <c r="B301" t="s">
        <v>38</v>
      </c>
      <c r="C301">
        <v>36.159300000000002</v>
      </c>
      <c r="D301">
        <v>-95.941000000000003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  <c r="BI301">
        <v>0</v>
      </c>
      <c r="BJ301">
        <v>0</v>
      </c>
      <c r="BK301">
        <v>0</v>
      </c>
      <c r="BL301">
        <v>0</v>
      </c>
      <c r="BM301">
        <v>0</v>
      </c>
    </row>
    <row r="302" spans="1:65" x14ac:dyDescent="0.3">
      <c r="A302" t="s">
        <v>178</v>
      </c>
      <c r="B302" t="s">
        <v>38</v>
      </c>
      <c r="C302">
        <v>39.258699999999997</v>
      </c>
      <c r="D302">
        <v>-104.9389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G302">
        <v>0</v>
      </c>
      <c r="BH302">
        <v>0</v>
      </c>
      <c r="BI302">
        <v>0</v>
      </c>
      <c r="BJ302">
        <v>0</v>
      </c>
      <c r="BK302">
        <v>0</v>
      </c>
      <c r="BL302">
        <v>0</v>
      </c>
      <c r="BM302">
        <v>0</v>
      </c>
    </row>
    <row r="303" spans="1:65" x14ac:dyDescent="0.3">
      <c r="A303" t="s">
        <v>179</v>
      </c>
      <c r="B303" t="s">
        <v>38</v>
      </c>
      <c r="C303">
        <v>41.888199999999998</v>
      </c>
      <c r="D303">
        <v>-71.477400000000003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0</v>
      </c>
      <c r="BH303">
        <v>0</v>
      </c>
      <c r="BI303">
        <v>0</v>
      </c>
      <c r="BJ303">
        <v>0</v>
      </c>
      <c r="BK303">
        <v>0</v>
      </c>
      <c r="BL303">
        <v>0</v>
      </c>
      <c r="BM303">
        <v>0</v>
      </c>
    </row>
    <row r="304" spans="1:65" x14ac:dyDescent="0.3">
      <c r="A304" t="s">
        <v>164</v>
      </c>
      <c r="B304" t="s">
        <v>38</v>
      </c>
      <c r="C304">
        <v>35.7211</v>
      </c>
      <c r="D304">
        <v>-79.178100000000001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  <c r="BA304">
        <v>0</v>
      </c>
      <c r="BB304">
        <v>0</v>
      </c>
      <c r="BC304">
        <v>0</v>
      </c>
      <c r="BD304">
        <v>0</v>
      </c>
      <c r="BE304">
        <v>0</v>
      </c>
      <c r="BF304">
        <v>0</v>
      </c>
      <c r="BG304">
        <v>0</v>
      </c>
      <c r="BH304">
        <v>0</v>
      </c>
      <c r="BI304">
        <v>0</v>
      </c>
      <c r="BJ304">
        <v>0</v>
      </c>
      <c r="BK304">
        <v>0</v>
      </c>
      <c r="BL304">
        <v>0</v>
      </c>
      <c r="BM304">
        <v>0</v>
      </c>
    </row>
    <row r="305" spans="1:65" x14ac:dyDescent="0.3">
      <c r="A305" t="s">
        <v>165</v>
      </c>
      <c r="B305" t="s">
        <v>38</v>
      </c>
      <c r="C305">
        <v>39.907800000000002</v>
      </c>
      <c r="D305">
        <v>-75.387900000000002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  <c r="BI305">
        <v>0</v>
      </c>
      <c r="BJ305">
        <v>0</v>
      </c>
      <c r="BK305">
        <v>0</v>
      </c>
      <c r="BL305">
        <v>0</v>
      </c>
      <c r="BM305">
        <v>0</v>
      </c>
    </row>
    <row r="306" spans="1:65" x14ac:dyDescent="0.3">
      <c r="A306" t="s">
        <v>166</v>
      </c>
      <c r="B306" t="s">
        <v>38</v>
      </c>
      <c r="C306">
        <v>41.314799999999998</v>
      </c>
      <c r="D306">
        <v>-96.195099999999996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G306">
        <v>0</v>
      </c>
      <c r="BH306">
        <v>0</v>
      </c>
      <c r="BI306">
        <v>0</v>
      </c>
      <c r="BJ306">
        <v>0</v>
      </c>
      <c r="BK306">
        <v>0</v>
      </c>
      <c r="BL306">
        <v>0</v>
      </c>
      <c r="BM306">
        <v>0</v>
      </c>
    </row>
    <row r="307" spans="1:65" x14ac:dyDescent="0.3">
      <c r="A307" t="s">
        <v>167</v>
      </c>
      <c r="B307" t="s">
        <v>38</v>
      </c>
      <c r="C307">
        <v>38.060600000000001</v>
      </c>
      <c r="D307">
        <v>-84.4803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G307">
        <v>0</v>
      </c>
      <c r="BH307">
        <v>0</v>
      </c>
      <c r="BI307">
        <v>0</v>
      </c>
      <c r="BJ307">
        <v>0</v>
      </c>
      <c r="BK307">
        <v>0</v>
      </c>
      <c r="BL307">
        <v>0</v>
      </c>
      <c r="BM307">
        <v>0</v>
      </c>
    </row>
    <row r="308" spans="1:65" x14ac:dyDescent="0.3">
      <c r="A308" t="s">
        <v>168</v>
      </c>
      <c r="B308" t="s">
        <v>38</v>
      </c>
      <c r="C308">
        <v>39.836199999999998</v>
      </c>
      <c r="D308">
        <v>-86.175200000000004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  <c r="BA308">
        <v>0</v>
      </c>
      <c r="BB308">
        <v>0</v>
      </c>
      <c r="BC308">
        <v>0</v>
      </c>
      <c r="BD308">
        <v>0</v>
      </c>
      <c r="BE308">
        <v>0</v>
      </c>
      <c r="BF308">
        <v>0</v>
      </c>
      <c r="BG308">
        <v>0</v>
      </c>
      <c r="BH308">
        <v>0</v>
      </c>
      <c r="BI308">
        <v>0</v>
      </c>
      <c r="BJ308">
        <v>0</v>
      </c>
      <c r="BK308">
        <v>0</v>
      </c>
      <c r="BL308">
        <v>0</v>
      </c>
      <c r="BM308">
        <v>0</v>
      </c>
    </row>
    <row r="309" spans="1:65" x14ac:dyDescent="0.3">
      <c r="A309" t="s">
        <v>169</v>
      </c>
      <c r="B309" t="s">
        <v>38</v>
      </c>
      <c r="C309">
        <v>42.467199999999998</v>
      </c>
      <c r="D309">
        <v>-71.287400000000005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  <c r="BH309">
        <v>0</v>
      </c>
      <c r="BI309">
        <v>0</v>
      </c>
      <c r="BJ309">
        <v>0</v>
      </c>
      <c r="BK309">
        <v>0</v>
      </c>
      <c r="BL309">
        <v>0</v>
      </c>
      <c r="BM309">
        <v>0</v>
      </c>
    </row>
    <row r="310" spans="1:65" x14ac:dyDescent="0.3">
      <c r="A310" t="s">
        <v>170</v>
      </c>
      <c r="B310" t="s">
        <v>38</v>
      </c>
      <c r="C310">
        <v>40.654600000000002</v>
      </c>
      <c r="D310">
        <v>-73.559399999999997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G310">
        <v>0</v>
      </c>
      <c r="BH310">
        <v>0</v>
      </c>
      <c r="BI310">
        <v>0</v>
      </c>
      <c r="BJ310">
        <v>0</v>
      </c>
      <c r="BK310">
        <v>0</v>
      </c>
      <c r="BL310">
        <v>0</v>
      </c>
      <c r="BM310">
        <v>0</v>
      </c>
    </row>
    <row r="311" spans="1:65" x14ac:dyDescent="0.3">
      <c r="A311" t="s">
        <v>171</v>
      </c>
      <c r="B311" t="s">
        <v>38</v>
      </c>
      <c r="C311">
        <v>44.996400000000001</v>
      </c>
      <c r="D311">
        <v>-93.061599999999999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  <c r="BI311">
        <v>0</v>
      </c>
      <c r="BJ311">
        <v>0</v>
      </c>
      <c r="BK311">
        <v>0</v>
      </c>
      <c r="BL311">
        <v>0</v>
      </c>
      <c r="BM311">
        <v>0</v>
      </c>
    </row>
    <row r="312" spans="1:65" x14ac:dyDescent="0.3">
      <c r="A312" t="s">
        <v>172</v>
      </c>
      <c r="B312" t="s">
        <v>38</v>
      </c>
      <c r="C312">
        <v>40.5608</v>
      </c>
      <c r="D312">
        <v>-119.6035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0</v>
      </c>
      <c r="BH312">
        <v>0</v>
      </c>
      <c r="BI312">
        <v>0</v>
      </c>
      <c r="BJ312">
        <v>0</v>
      </c>
      <c r="BK312">
        <v>0</v>
      </c>
      <c r="BL312">
        <v>0</v>
      </c>
      <c r="BM312">
        <v>0</v>
      </c>
    </row>
    <row r="313" spans="1:65" x14ac:dyDescent="0.3">
      <c r="A313" t="s">
        <v>173</v>
      </c>
      <c r="B313" t="s">
        <v>38</v>
      </c>
      <c r="C313">
        <v>41.673900000000003</v>
      </c>
      <c r="D313">
        <v>-75.247900000000001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  <c r="BI313">
        <v>0</v>
      </c>
      <c r="BJ313">
        <v>0</v>
      </c>
      <c r="BK313">
        <v>0</v>
      </c>
      <c r="BL313">
        <v>0</v>
      </c>
      <c r="BM313">
        <v>0</v>
      </c>
    </row>
    <row r="314" spans="1:65" x14ac:dyDescent="0.3">
      <c r="A314" t="s">
        <v>174</v>
      </c>
      <c r="B314" t="s">
        <v>38</v>
      </c>
      <c r="C314">
        <v>38.764600000000002</v>
      </c>
      <c r="D314">
        <v>-121.90179999999999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0</v>
      </c>
      <c r="BH314">
        <v>0</v>
      </c>
      <c r="BI314">
        <v>0</v>
      </c>
      <c r="BJ314">
        <v>0</v>
      </c>
      <c r="BK314">
        <v>0</v>
      </c>
      <c r="BL314">
        <v>0</v>
      </c>
      <c r="BM314">
        <v>0</v>
      </c>
    </row>
    <row r="315" spans="1:65" x14ac:dyDescent="0.3">
      <c r="A315" t="s">
        <v>175</v>
      </c>
      <c r="B315" t="s">
        <v>38</v>
      </c>
      <c r="C315">
        <v>37.354100000000003</v>
      </c>
      <c r="D315">
        <v>-121.9552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1</v>
      </c>
      <c r="AJ315">
        <v>1</v>
      </c>
      <c r="AK315">
        <v>1</v>
      </c>
      <c r="AL315">
        <v>1</v>
      </c>
      <c r="AM315">
        <v>1</v>
      </c>
      <c r="AN315">
        <v>1</v>
      </c>
      <c r="AO315">
        <v>1</v>
      </c>
      <c r="AP315">
        <v>1</v>
      </c>
      <c r="AQ315">
        <v>1</v>
      </c>
      <c r="AR315">
        <v>1</v>
      </c>
      <c r="AS315">
        <v>1</v>
      </c>
      <c r="AT315">
        <v>1</v>
      </c>
      <c r="AU315">
        <v>1</v>
      </c>
      <c r="AV315">
        <v>1</v>
      </c>
      <c r="AW315">
        <v>1</v>
      </c>
      <c r="AX315">
        <v>1</v>
      </c>
      <c r="AY315">
        <v>1</v>
      </c>
      <c r="AZ315">
        <v>1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G315">
        <v>0</v>
      </c>
      <c r="BH315">
        <v>0</v>
      </c>
      <c r="BI315">
        <v>0</v>
      </c>
      <c r="BJ315">
        <v>0</v>
      </c>
      <c r="BK315">
        <v>0</v>
      </c>
      <c r="BL315">
        <v>0</v>
      </c>
      <c r="BM315">
        <v>0</v>
      </c>
    </row>
    <row r="316" spans="1:65" x14ac:dyDescent="0.3">
      <c r="A316" t="s">
        <v>146</v>
      </c>
      <c r="B316" t="s">
        <v>38</v>
      </c>
      <c r="C316">
        <v>36.079599999999999</v>
      </c>
      <c r="D316">
        <v>-115.09399999999999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G316">
        <v>0</v>
      </c>
      <c r="BH316">
        <v>0</v>
      </c>
      <c r="BI316">
        <v>0</v>
      </c>
      <c r="BJ316">
        <v>0</v>
      </c>
      <c r="BK316">
        <v>0</v>
      </c>
      <c r="BL316">
        <v>0</v>
      </c>
      <c r="BM316">
        <v>0</v>
      </c>
    </row>
    <row r="317" spans="1:65" x14ac:dyDescent="0.3">
      <c r="A317" t="s">
        <v>147</v>
      </c>
      <c r="B317" t="s">
        <v>38</v>
      </c>
      <c r="C317">
        <v>29.569299999999998</v>
      </c>
      <c r="D317">
        <v>-95.814300000000003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>
        <v>0</v>
      </c>
      <c r="BL317">
        <v>0</v>
      </c>
      <c r="BM317">
        <v>0</v>
      </c>
    </row>
    <row r="318" spans="1:65" x14ac:dyDescent="0.3">
      <c r="A318" t="s">
        <v>148</v>
      </c>
      <c r="B318" t="s">
        <v>38</v>
      </c>
      <c r="C318">
        <v>47.198099999999997</v>
      </c>
      <c r="D318">
        <v>-119.3732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0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0</v>
      </c>
      <c r="BH318">
        <v>0</v>
      </c>
      <c r="BI318">
        <v>0</v>
      </c>
      <c r="BJ318">
        <v>0</v>
      </c>
      <c r="BK318">
        <v>0</v>
      </c>
      <c r="BL318">
        <v>0</v>
      </c>
      <c r="BM318">
        <v>0</v>
      </c>
    </row>
    <row r="319" spans="1:65" x14ac:dyDescent="0.3">
      <c r="A319" t="s">
        <v>149</v>
      </c>
      <c r="B319" t="s">
        <v>38</v>
      </c>
      <c r="C319">
        <v>30.768999999999998</v>
      </c>
      <c r="D319">
        <v>-86.982399999999998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0</v>
      </c>
      <c r="AZ319">
        <v>0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  <c r="BH319">
        <v>0</v>
      </c>
      <c r="BI319">
        <v>0</v>
      </c>
      <c r="BJ319">
        <v>0</v>
      </c>
      <c r="BK319">
        <v>0</v>
      </c>
      <c r="BL319">
        <v>0</v>
      </c>
      <c r="BM319">
        <v>0</v>
      </c>
    </row>
    <row r="320" spans="1:65" x14ac:dyDescent="0.3">
      <c r="A320" t="s">
        <v>150</v>
      </c>
      <c r="B320" t="s">
        <v>38</v>
      </c>
      <c r="C320">
        <v>35.917900000000003</v>
      </c>
      <c r="D320">
        <v>-86.862200000000001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G320">
        <v>0</v>
      </c>
      <c r="BH320">
        <v>0</v>
      </c>
      <c r="BI320">
        <v>0</v>
      </c>
      <c r="BJ320">
        <v>0</v>
      </c>
      <c r="BK320">
        <v>0</v>
      </c>
      <c r="BL320">
        <v>0</v>
      </c>
      <c r="BM320">
        <v>0</v>
      </c>
    </row>
    <row r="321" spans="1:65" x14ac:dyDescent="0.3">
      <c r="A321" t="s">
        <v>151</v>
      </c>
      <c r="B321" t="s">
        <v>38</v>
      </c>
      <c r="C321">
        <v>40.712800000000001</v>
      </c>
      <c r="D321">
        <v>-74.006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0</v>
      </c>
      <c r="BH321">
        <v>0</v>
      </c>
      <c r="BI321">
        <v>0</v>
      </c>
      <c r="BJ321">
        <v>0</v>
      </c>
      <c r="BK321">
        <v>0</v>
      </c>
      <c r="BL321">
        <v>0</v>
      </c>
      <c r="BM321">
        <v>0</v>
      </c>
    </row>
    <row r="322" spans="1:65" x14ac:dyDescent="0.3">
      <c r="A322" t="s">
        <v>152</v>
      </c>
      <c r="B322" t="s">
        <v>38</v>
      </c>
      <c r="C322">
        <v>39.154699999999998</v>
      </c>
      <c r="D322">
        <v>-77.240499999999997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G322">
        <v>0</v>
      </c>
      <c r="BH322">
        <v>0</v>
      </c>
      <c r="BI322">
        <v>0</v>
      </c>
      <c r="BJ322">
        <v>0</v>
      </c>
      <c r="BK322">
        <v>0</v>
      </c>
      <c r="BL322">
        <v>0</v>
      </c>
      <c r="BM322">
        <v>0</v>
      </c>
    </row>
    <row r="323" spans="1:65" x14ac:dyDescent="0.3">
      <c r="A323" t="s">
        <v>153</v>
      </c>
      <c r="B323" t="s">
        <v>38</v>
      </c>
      <c r="C323">
        <v>42.360100000000003</v>
      </c>
      <c r="D323">
        <v>-71.058899999999994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1</v>
      </c>
      <c r="AQ323">
        <v>1</v>
      </c>
      <c r="AR323">
        <v>1</v>
      </c>
      <c r="AS323">
        <v>1</v>
      </c>
      <c r="AT323">
        <v>1</v>
      </c>
      <c r="AU323">
        <v>1</v>
      </c>
      <c r="AV323">
        <v>1</v>
      </c>
      <c r="AW323">
        <v>1</v>
      </c>
      <c r="AX323">
        <v>1</v>
      </c>
      <c r="AY323">
        <v>1</v>
      </c>
      <c r="AZ323">
        <v>1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G323">
        <v>0</v>
      </c>
      <c r="BH323">
        <v>0</v>
      </c>
      <c r="BI323">
        <v>0</v>
      </c>
      <c r="BJ323">
        <v>0</v>
      </c>
      <c r="BK323">
        <v>0</v>
      </c>
      <c r="BL323">
        <v>0</v>
      </c>
      <c r="BM323">
        <v>0</v>
      </c>
    </row>
    <row r="324" spans="1:65" x14ac:dyDescent="0.3">
      <c r="A324" t="s">
        <v>154</v>
      </c>
      <c r="B324" t="s">
        <v>38</v>
      </c>
      <c r="C324">
        <v>39.739199999999997</v>
      </c>
      <c r="D324">
        <v>-104.9903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G324">
        <v>0</v>
      </c>
      <c r="BH324">
        <v>0</v>
      </c>
      <c r="BI324">
        <v>0</v>
      </c>
      <c r="BJ324">
        <v>0</v>
      </c>
      <c r="BK324">
        <v>0</v>
      </c>
      <c r="BL324">
        <v>0</v>
      </c>
      <c r="BM324">
        <v>0</v>
      </c>
    </row>
    <row r="325" spans="1:65" x14ac:dyDescent="0.3">
      <c r="A325" t="s">
        <v>155</v>
      </c>
      <c r="B325" t="s">
        <v>38</v>
      </c>
      <c r="C325">
        <v>39.591200000000001</v>
      </c>
      <c r="D325">
        <v>-106.06399999999999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0</v>
      </c>
      <c r="BI325">
        <v>0</v>
      </c>
      <c r="BJ325">
        <v>0</v>
      </c>
      <c r="BK325">
        <v>0</v>
      </c>
      <c r="BL325">
        <v>0</v>
      </c>
      <c r="BM325">
        <v>0</v>
      </c>
    </row>
    <row r="326" spans="1:65" x14ac:dyDescent="0.3">
      <c r="A326" t="s">
        <v>142</v>
      </c>
      <c r="B326" t="s">
        <v>38</v>
      </c>
      <c r="C326">
        <v>40.926299999999998</v>
      </c>
      <c r="D326">
        <v>-74.076999999999998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  <c r="BH326">
        <v>0</v>
      </c>
      <c r="BI326">
        <v>0</v>
      </c>
      <c r="BJ326">
        <v>0</v>
      </c>
      <c r="BK326">
        <v>0</v>
      </c>
      <c r="BL326">
        <v>0</v>
      </c>
      <c r="BM326">
        <v>0</v>
      </c>
    </row>
    <row r="327" spans="1:65" x14ac:dyDescent="0.3">
      <c r="A327" t="s">
        <v>143</v>
      </c>
      <c r="B327" t="s">
        <v>38</v>
      </c>
      <c r="C327">
        <v>29.775200000000002</v>
      </c>
      <c r="D327">
        <v>-95.310299999999998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0</v>
      </c>
      <c r="BH327">
        <v>0</v>
      </c>
      <c r="BI327">
        <v>0</v>
      </c>
      <c r="BJ327">
        <v>0</v>
      </c>
      <c r="BK327">
        <v>0</v>
      </c>
      <c r="BL327">
        <v>0</v>
      </c>
      <c r="BM327">
        <v>0</v>
      </c>
    </row>
    <row r="328" spans="1:65" x14ac:dyDescent="0.3">
      <c r="A328" t="s">
        <v>144</v>
      </c>
      <c r="B328" t="s">
        <v>38</v>
      </c>
      <c r="C328">
        <v>37.774900000000002</v>
      </c>
      <c r="D328">
        <v>-122.4194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0</v>
      </c>
      <c r="BH328">
        <v>0</v>
      </c>
      <c r="BI328">
        <v>0</v>
      </c>
      <c r="BJ328">
        <v>0</v>
      </c>
      <c r="BK328">
        <v>0</v>
      </c>
      <c r="BL328">
        <v>0</v>
      </c>
      <c r="BM328">
        <v>0</v>
      </c>
    </row>
    <row r="329" spans="1:65" x14ac:dyDescent="0.3">
      <c r="A329" t="s">
        <v>139</v>
      </c>
      <c r="B329" t="s">
        <v>38</v>
      </c>
      <c r="C329">
        <v>37.853400000000001</v>
      </c>
      <c r="D329">
        <v>-121.90179999999999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  <c r="BI329">
        <v>0</v>
      </c>
      <c r="BJ329">
        <v>0</v>
      </c>
      <c r="BK329">
        <v>0</v>
      </c>
      <c r="BL329">
        <v>0</v>
      </c>
      <c r="BM329">
        <v>0</v>
      </c>
    </row>
    <row r="330" spans="1:65" x14ac:dyDescent="0.3">
      <c r="A330" t="s">
        <v>131</v>
      </c>
      <c r="B330" t="s">
        <v>38</v>
      </c>
      <c r="C330">
        <v>33.7879</v>
      </c>
      <c r="D330">
        <v>-117.8531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G330">
        <v>0</v>
      </c>
      <c r="BH330">
        <v>0</v>
      </c>
      <c r="BI330">
        <v>0</v>
      </c>
      <c r="BJ330">
        <v>0</v>
      </c>
      <c r="BK330">
        <v>0</v>
      </c>
      <c r="BL330">
        <v>0</v>
      </c>
      <c r="BM330">
        <v>0</v>
      </c>
    </row>
    <row r="331" spans="1:65" x14ac:dyDescent="0.3">
      <c r="A331" t="s">
        <v>126</v>
      </c>
      <c r="B331" t="s">
        <v>38</v>
      </c>
      <c r="C331">
        <v>42.176699999999997</v>
      </c>
      <c r="D331">
        <v>-71.144900000000007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G331">
        <v>0</v>
      </c>
      <c r="BH331">
        <v>0</v>
      </c>
      <c r="BI331">
        <v>0</v>
      </c>
      <c r="BJ331">
        <v>0</v>
      </c>
      <c r="BK331">
        <v>0</v>
      </c>
      <c r="BL331">
        <v>0</v>
      </c>
      <c r="BM331">
        <v>0</v>
      </c>
    </row>
    <row r="332" spans="1:65" x14ac:dyDescent="0.3">
      <c r="A332" t="s">
        <v>127</v>
      </c>
      <c r="B332" t="s">
        <v>38</v>
      </c>
      <c r="C332">
        <v>33.291800000000002</v>
      </c>
      <c r="D332">
        <v>-112.42910000000001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1</v>
      </c>
      <c r="AN332">
        <v>1</v>
      </c>
      <c r="AO332">
        <v>1</v>
      </c>
      <c r="AP332">
        <v>1</v>
      </c>
      <c r="AQ332">
        <v>1</v>
      </c>
      <c r="AR332">
        <v>1</v>
      </c>
      <c r="AS332">
        <v>1</v>
      </c>
      <c r="AT332">
        <v>1</v>
      </c>
      <c r="AU332">
        <v>1</v>
      </c>
      <c r="AV332">
        <v>1</v>
      </c>
      <c r="AW332">
        <v>1</v>
      </c>
      <c r="AX332">
        <v>1</v>
      </c>
      <c r="AY332">
        <v>1</v>
      </c>
      <c r="AZ332">
        <v>1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G332">
        <v>0</v>
      </c>
      <c r="BH332">
        <v>0</v>
      </c>
      <c r="BI332">
        <v>0</v>
      </c>
      <c r="BJ332">
        <v>0</v>
      </c>
      <c r="BK332">
        <v>0</v>
      </c>
      <c r="BL332">
        <v>0</v>
      </c>
      <c r="BM332">
        <v>0</v>
      </c>
    </row>
    <row r="333" spans="1:65" x14ac:dyDescent="0.3">
      <c r="A333" t="s">
        <v>128</v>
      </c>
      <c r="B333" t="s">
        <v>38</v>
      </c>
      <c r="C333">
        <v>35.803199999999997</v>
      </c>
      <c r="D333">
        <v>-78.566100000000006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G333">
        <v>0</v>
      </c>
      <c r="BH333">
        <v>0</v>
      </c>
      <c r="BI333">
        <v>0</v>
      </c>
      <c r="BJ333">
        <v>0</v>
      </c>
      <c r="BK333">
        <v>0</v>
      </c>
      <c r="BL333">
        <v>0</v>
      </c>
      <c r="BM333">
        <v>0</v>
      </c>
    </row>
    <row r="334" spans="1:65" x14ac:dyDescent="0.3">
      <c r="A334" t="s">
        <v>358</v>
      </c>
      <c r="B334" t="s">
        <v>38</v>
      </c>
      <c r="C334">
        <v>41.122</v>
      </c>
      <c r="D334">
        <v>-73.794899999999998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G334">
        <v>0</v>
      </c>
      <c r="BH334">
        <v>0</v>
      </c>
      <c r="BI334">
        <v>0</v>
      </c>
      <c r="BJ334">
        <v>0</v>
      </c>
      <c r="BK334">
        <v>0</v>
      </c>
      <c r="BL334">
        <v>0</v>
      </c>
      <c r="BM334">
        <v>0</v>
      </c>
    </row>
    <row r="335" spans="1:65" x14ac:dyDescent="0.3">
      <c r="A335" t="s">
        <v>115</v>
      </c>
      <c r="B335" t="s">
        <v>38</v>
      </c>
      <c r="C335">
        <v>43.908799999999999</v>
      </c>
      <c r="D335">
        <v>-71.825999999999993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G335">
        <v>0</v>
      </c>
      <c r="BH335">
        <v>0</v>
      </c>
      <c r="BI335">
        <v>0</v>
      </c>
      <c r="BJ335">
        <v>0</v>
      </c>
      <c r="BK335">
        <v>0</v>
      </c>
      <c r="BL335">
        <v>0</v>
      </c>
      <c r="BM335">
        <v>0</v>
      </c>
    </row>
    <row r="336" spans="1:65" x14ac:dyDescent="0.3">
      <c r="A336" t="s">
        <v>116</v>
      </c>
      <c r="B336" t="s">
        <v>38</v>
      </c>
      <c r="C336">
        <v>27.990400000000001</v>
      </c>
      <c r="D336">
        <v>-82.3018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  <c r="BA336">
        <v>0</v>
      </c>
      <c r="BB336">
        <v>0</v>
      </c>
      <c r="BC336">
        <v>0</v>
      </c>
      <c r="BD336">
        <v>0</v>
      </c>
      <c r="BE336">
        <v>0</v>
      </c>
      <c r="BF336">
        <v>0</v>
      </c>
      <c r="BG336">
        <v>0</v>
      </c>
      <c r="BH336">
        <v>0</v>
      </c>
      <c r="BI336">
        <v>0</v>
      </c>
      <c r="BJ336">
        <v>0</v>
      </c>
      <c r="BK336">
        <v>0</v>
      </c>
      <c r="BL336">
        <v>0</v>
      </c>
      <c r="BM336">
        <v>0</v>
      </c>
    </row>
    <row r="337" spans="1:65" x14ac:dyDescent="0.3">
      <c r="A337" t="s">
        <v>117</v>
      </c>
      <c r="B337" t="s">
        <v>38</v>
      </c>
      <c r="C337">
        <v>39.0916</v>
      </c>
      <c r="D337">
        <v>-120.8039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0</v>
      </c>
      <c r="AZ337">
        <v>0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G337">
        <v>0</v>
      </c>
      <c r="BH337">
        <v>0</v>
      </c>
      <c r="BI337">
        <v>0</v>
      </c>
      <c r="BJ337">
        <v>0</v>
      </c>
      <c r="BK337">
        <v>0</v>
      </c>
      <c r="BL337">
        <v>0</v>
      </c>
      <c r="BM337">
        <v>0</v>
      </c>
    </row>
    <row r="338" spans="1:65" x14ac:dyDescent="0.3">
      <c r="A338" t="s">
        <v>118</v>
      </c>
      <c r="B338" t="s">
        <v>38</v>
      </c>
      <c r="C338">
        <v>37.563000000000002</v>
      </c>
      <c r="D338">
        <v>-122.32550000000001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  <c r="BA338">
        <v>0</v>
      </c>
      <c r="BB338">
        <v>0</v>
      </c>
      <c r="BC338">
        <v>0</v>
      </c>
      <c r="BD338">
        <v>0</v>
      </c>
      <c r="BE338">
        <v>0</v>
      </c>
      <c r="BF338">
        <v>0</v>
      </c>
      <c r="BG338">
        <v>0</v>
      </c>
      <c r="BH338">
        <v>0</v>
      </c>
      <c r="BI338">
        <v>0</v>
      </c>
      <c r="BJ338">
        <v>0</v>
      </c>
      <c r="BK338">
        <v>0</v>
      </c>
      <c r="BL338">
        <v>0</v>
      </c>
      <c r="BM338">
        <v>0</v>
      </c>
    </row>
    <row r="339" spans="1:65" x14ac:dyDescent="0.3">
      <c r="A339" t="s">
        <v>119</v>
      </c>
      <c r="B339" t="s">
        <v>38</v>
      </c>
      <c r="C339">
        <v>38.578000000000003</v>
      </c>
      <c r="D339">
        <v>-122.9888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G339">
        <v>0</v>
      </c>
      <c r="BH339">
        <v>0</v>
      </c>
      <c r="BI339">
        <v>0</v>
      </c>
      <c r="BJ339">
        <v>0</v>
      </c>
      <c r="BK339">
        <v>0</v>
      </c>
      <c r="BL339">
        <v>0</v>
      </c>
      <c r="BM339">
        <v>0</v>
      </c>
    </row>
    <row r="340" spans="1:65" x14ac:dyDescent="0.3">
      <c r="A340" t="s">
        <v>120</v>
      </c>
      <c r="B340" t="s">
        <v>38</v>
      </c>
      <c r="C340">
        <v>45.774999999999999</v>
      </c>
      <c r="D340">
        <v>-118.7606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G340">
        <v>0</v>
      </c>
      <c r="BH340">
        <v>0</v>
      </c>
      <c r="BI340">
        <v>0</v>
      </c>
      <c r="BJ340">
        <v>0</v>
      </c>
      <c r="BK340">
        <v>0</v>
      </c>
      <c r="BL340">
        <v>0</v>
      </c>
      <c r="BM340">
        <v>0</v>
      </c>
    </row>
    <row r="341" spans="1:65" x14ac:dyDescent="0.3">
      <c r="A341" t="s">
        <v>121</v>
      </c>
      <c r="B341" t="s">
        <v>38</v>
      </c>
      <c r="C341">
        <v>33.803400000000003</v>
      </c>
      <c r="D341">
        <v>-84.396299999999997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G341">
        <v>0</v>
      </c>
      <c r="BH341">
        <v>0</v>
      </c>
      <c r="BI341">
        <v>0</v>
      </c>
      <c r="BJ341">
        <v>0</v>
      </c>
      <c r="BK341">
        <v>0</v>
      </c>
      <c r="BL341">
        <v>0</v>
      </c>
      <c r="BM341">
        <v>0</v>
      </c>
    </row>
    <row r="342" spans="1:65" x14ac:dyDescent="0.3">
      <c r="A342" t="s">
        <v>122</v>
      </c>
      <c r="B342" t="s">
        <v>38</v>
      </c>
      <c r="C342">
        <v>45.546999999999997</v>
      </c>
      <c r="D342">
        <v>-123.1386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</v>
      </c>
      <c r="BA342">
        <v>0</v>
      </c>
      <c r="BB342">
        <v>0</v>
      </c>
      <c r="BC342">
        <v>0</v>
      </c>
      <c r="BD342">
        <v>0</v>
      </c>
      <c r="BE342">
        <v>0</v>
      </c>
      <c r="BF342">
        <v>0</v>
      </c>
      <c r="BG342">
        <v>0</v>
      </c>
      <c r="BH342">
        <v>0</v>
      </c>
      <c r="BI342">
        <v>0</v>
      </c>
      <c r="BJ342">
        <v>0</v>
      </c>
      <c r="BK342">
        <v>0</v>
      </c>
      <c r="BL342">
        <v>0</v>
      </c>
      <c r="BM342">
        <v>0</v>
      </c>
    </row>
    <row r="343" spans="1:65" x14ac:dyDescent="0.3">
      <c r="A343" t="s">
        <v>102</v>
      </c>
      <c r="B343" t="s">
        <v>38</v>
      </c>
      <c r="C343">
        <v>48.033000000000001</v>
      </c>
      <c r="D343">
        <v>-121.8339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0</v>
      </c>
      <c r="AW343">
        <v>0</v>
      </c>
      <c r="AX343">
        <v>0</v>
      </c>
      <c r="AY343">
        <v>0</v>
      </c>
      <c r="AZ343">
        <v>0</v>
      </c>
      <c r="BA343">
        <v>0</v>
      </c>
      <c r="BB343">
        <v>0</v>
      </c>
      <c r="BC343">
        <v>0</v>
      </c>
      <c r="BD343">
        <v>0</v>
      </c>
      <c r="BE343">
        <v>0</v>
      </c>
      <c r="BF343">
        <v>0</v>
      </c>
      <c r="BG343">
        <v>0</v>
      </c>
      <c r="BH343">
        <v>0</v>
      </c>
      <c r="BI343">
        <v>0</v>
      </c>
      <c r="BJ343">
        <v>0</v>
      </c>
      <c r="BK343">
        <v>0</v>
      </c>
      <c r="BL343">
        <v>0</v>
      </c>
      <c r="BM343">
        <v>0</v>
      </c>
    </row>
    <row r="344" spans="1:65" x14ac:dyDescent="0.3">
      <c r="A344" t="s">
        <v>68</v>
      </c>
      <c r="B344" t="s">
        <v>38</v>
      </c>
      <c r="C344">
        <v>40.744999999999997</v>
      </c>
      <c r="D344">
        <v>-123.8695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  <c r="BA344">
        <v>0</v>
      </c>
      <c r="BB344">
        <v>0</v>
      </c>
      <c r="BC344">
        <v>0</v>
      </c>
      <c r="BD344">
        <v>0</v>
      </c>
      <c r="BE344">
        <v>0</v>
      </c>
      <c r="BF344">
        <v>0</v>
      </c>
      <c r="BG344">
        <v>0</v>
      </c>
      <c r="BH344">
        <v>0</v>
      </c>
      <c r="BI344">
        <v>0</v>
      </c>
      <c r="BJ344">
        <v>0</v>
      </c>
      <c r="BK344">
        <v>0</v>
      </c>
      <c r="BL344">
        <v>0</v>
      </c>
      <c r="BM344">
        <v>0</v>
      </c>
    </row>
    <row r="345" spans="1:65" x14ac:dyDescent="0.3">
      <c r="A345" t="s">
        <v>69</v>
      </c>
      <c r="B345" t="s">
        <v>38</v>
      </c>
      <c r="C345">
        <v>38.474699999999999</v>
      </c>
      <c r="D345">
        <v>-121.35420000000001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G345">
        <v>0</v>
      </c>
      <c r="BH345">
        <v>0</v>
      </c>
      <c r="BI345">
        <v>0</v>
      </c>
      <c r="BJ345">
        <v>0</v>
      </c>
      <c r="BK345">
        <v>0</v>
      </c>
      <c r="BL345">
        <v>0</v>
      </c>
      <c r="BM345">
        <v>0</v>
      </c>
    </row>
    <row r="346" spans="1:65" x14ac:dyDescent="0.3">
      <c r="A346" t="s">
        <v>64</v>
      </c>
      <c r="B346" t="s">
        <v>38</v>
      </c>
      <c r="C346">
        <v>32.715699999999998</v>
      </c>
      <c r="D346">
        <v>-117.1611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1</v>
      </c>
      <c r="AJ346">
        <v>1</v>
      </c>
      <c r="AK346">
        <v>1</v>
      </c>
      <c r="AL346">
        <v>1</v>
      </c>
      <c r="AM346">
        <v>1</v>
      </c>
      <c r="AN346">
        <v>1</v>
      </c>
      <c r="AO346">
        <v>1</v>
      </c>
      <c r="AP346">
        <v>1</v>
      </c>
      <c r="AQ346">
        <v>1</v>
      </c>
      <c r="AR346">
        <v>1</v>
      </c>
      <c r="AS346">
        <v>1</v>
      </c>
      <c r="AT346">
        <v>1</v>
      </c>
      <c r="AU346">
        <v>1</v>
      </c>
      <c r="AV346">
        <v>1</v>
      </c>
      <c r="AW346">
        <v>1</v>
      </c>
      <c r="AX346">
        <v>1</v>
      </c>
      <c r="AY346">
        <v>1</v>
      </c>
      <c r="AZ346">
        <v>1</v>
      </c>
      <c r="BA346">
        <v>0</v>
      </c>
      <c r="BB346">
        <v>0</v>
      </c>
      <c r="BC346">
        <v>0</v>
      </c>
      <c r="BD346">
        <v>0</v>
      </c>
      <c r="BE346">
        <v>0</v>
      </c>
      <c r="BF346">
        <v>0</v>
      </c>
      <c r="BG346">
        <v>0</v>
      </c>
      <c r="BH346">
        <v>0</v>
      </c>
      <c r="BI346">
        <v>0</v>
      </c>
      <c r="BJ346">
        <v>0</v>
      </c>
      <c r="BK346">
        <v>0</v>
      </c>
      <c r="BL346">
        <v>0</v>
      </c>
      <c r="BM346">
        <v>0</v>
      </c>
    </row>
    <row r="347" spans="1:65" x14ac:dyDescent="0.3">
      <c r="A347" t="s">
        <v>62</v>
      </c>
      <c r="B347" t="s">
        <v>38</v>
      </c>
      <c r="C347">
        <v>36.576099999999997</v>
      </c>
      <c r="D347">
        <v>-120.9876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  <c r="BA347">
        <v>0</v>
      </c>
      <c r="BB347">
        <v>0</v>
      </c>
      <c r="BC347">
        <v>0</v>
      </c>
      <c r="BD347">
        <v>0</v>
      </c>
      <c r="BE347">
        <v>0</v>
      </c>
      <c r="BF347">
        <v>0</v>
      </c>
      <c r="BG347">
        <v>0</v>
      </c>
      <c r="BH347">
        <v>0</v>
      </c>
      <c r="BI347">
        <v>0</v>
      </c>
      <c r="BJ347">
        <v>0</v>
      </c>
      <c r="BK347">
        <v>0</v>
      </c>
      <c r="BL347">
        <v>0</v>
      </c>
      <c r="BM347">
        <v>0</v>
      </c>
    </row>
    <row r="348" spans="1:65" x14ac:dyDescent="0.3">
      <c r="A348" t="s">
        <v>46</v>
      </c>
      <c r="B348" t="s">
        <v>38</v>
      </c>
      <c r="C348">
        <v>34.052199999999999</v>
      </c>
      <c r="D348">
        <v>-118.2437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G348">
        <v>0</v>
      </c>
      <c r="BH348">
        <v>0</v>
      </c>
      <c r="BI348">
        <v>0</v>
      </c>
      <c r="BJ348">
        <v>0</v>
      </c>
      <c r="BK348">
        <v>0</v>
      </c>
      <c r="BL348">
        <v>0</v>
      </c>
      <c r="BM348">
        <v>0</v>
      </c>
    </row>
    <row r="349" spans="1:65" x14ac:dyDescent="0.3">
      <c r="A349" t="s">
        <v>37</v>
      </c>
      <c r="B349" t="s">
        <v>38</v>
      </c>
      <c r="C349">
        <v>47.606200000000001</v>
      </c>
      <c r="D349">
        <v>-122.3321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1</v>
      </c>
      <c r="X349">
        <v>1</v>
      </c>
      <c r="Y349">
        <v>1</v>
      </c>
      <c r="Z349">
        <v>1</v>
      </c>
      <c r="AA349">
        <v>1</v>
      </c>
      <c r="AB349">
        <v>1</v>
      </c>
      <c r="AC349">
        <v>1</v>
      </c>
      <c r="AD349">
        <v>1</v>
      </c>
      <c r="AE349">
        <v>1</v>
      </c>
      <c r="AF349">
        <v>1</v>
      </c>
      <c r="AG349">
        <v>1</v>
      </c>
      <c r="AH349">
        <v>1</v>
      </c>
      <c r="AI349">
        <v>1</v>
      </c>
      <c r="AJ349">
        <v>1</v>
      </c>
      <c r="AK349">
        <v>1</v>
      </c>
      <c r="AL349">
        <v>1</v>
      </c>
      <c r="AM349">
        <v>1</v>
      </c>
      <c r="AN349">
        <v>1</v>
      </c>
      <c r="AO349">
        <v>1</v>
      </c>
      <c r="AP349">
        <v>1</v>
      </c>
      <c r="AQ349">
        <v>1</v>
      </c>
      <c r="AR349">
        <v>1</v>
      </c>
      <c r="AS349">
        <v>1</v>
      </c>
      <c r="AT349">
        <v>1</v>
      </c>
      <c r="AU349">
        <v>1</v>
      </c>
      <c r="AV349">
        <v>1</v>
      </c>
      <c r="AW349">
        <v>1</v>
      </c>
      <c r="AX349">
        <v>1</v>
      </c>
      <c r="AY349">
        <v>1</v>
      </c>
      <c r="AZ349">
        <v>1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G349">
        <v>0</v>
      </c>
      <c r="BH349">
        <v>0</v>
      </c>
      <c r="BI349">
        <v>0</v>
      </c>
      <c r="BJ349">
        <v>0</v>
      </c>
      <c r="BK349">
        <v>0</v>
      </c>
      <c r="BL349">
        <v>0</v>
      </c>
      <c r="BM349">
        <v>0</v>
      </c>
    </row>
    <row r="350" spans="1:65" x14ac:dyDescent="0.3">
      <c r="A350" t="s">
        <v>39</v>
      </c>
      <c r="B350" t="s">
        <v>38</v>
      </c>
      <c r="C350">
        <v>41.737699999999997</v>
      </c>
      <c r="D350">
        <v>-87.697599999999994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2</v>
      </c>
      <c r="X350">
        <v>2</v>
      </c>
      <c r="Y350">
        <v>2</v>
      </c>
      <c r="Z350">
        <v>2</v>
      </c>
      <c r="AA350">
        <v>2</v>
      </c>
      <c r="AB350">
        <v>2</v>
      </c>
      <c r="AC350">
        <v>2</v>
      </c>
      <c r="AD350">
        <v>2</v>
      </c>
      <c r="AE350">
        <v>2</v>
      </c>
      <c r="AF350">
        <v>2</v>
      </c>
      <c r="AG350">
        <v>2</v>
      </c>
      <c r="AH350">
        <v>2</v>
      </c>
      <c r="AI350">
        <v>2</v>
      </c>
      <c r="AJ350">
        <v>2</v>
      </c>
      <c r="AK350">
        <v>2</v>
      </c>
      <c r="AL350">
        <v>2</v>
      </c>
      <c r="AM350">
        <v>2</v>
      </c>
      <c r="AN350">
        <v>2</v>
      </c>
      <c r="AO350">
        <v>2</v>
      </c>
      <c r="AP350">
        <v>2</v>
      </c>
      <c r="AQ350">
        <v>2</v>
      </c>
      <c r="AR350">
        <v>2</v>
      </c>
      <c r="AS350">
        <v>2</v>
      </c>
      <c r="AT350">
        <v>2</v>
      </c>
      <c r="AU350">
        <v>2</v>
      </c>
      <c r="AV350">
        <v>2</v>
      </c>
      <c r="AW350">
        <v>2</v>
      </c>
      <c r="AX350">
        <v>2</v>
      </c>
      <c r="AY350">
        <v>2</v>
      </c>
      <c r="AZ350">
        <v>2</v>
      </c>
      <c r="BA350">
        <v>0</v>
      </c>
      <c r="BB350">
        <v>0</v>
      </c>
      <c r="BC350">
        <v>0</v>
      </c>
      <c r="BD350">
        <v>0</v>
      </c>
      <c r="BE350">
        <v>0</v>
      </c>
      <c r="BF350">
        <v>0</v>
      </c>
      <c r="BG350">
        <v>0</v>
      </c>
      <c r="BH350">
        <v>0</v>
      </c>
      <c r="BI350">
        <v>0</v>
      </c>
      <c r="BJ350">
        <v>0</v>
      </c>
      <c r="BK350">
        <v>0</v>
      </c>
      <c r="BL350">
        <v>0</v>
      </c>
      <c r="BM350">
        <v>0</v>
      </c>
    </row>
    <row r="351" spans="1:65" x14ac:dyDescent="0.3">
      <c r="A351" t="s">
        <v>359</v>
      </c>
      <c r="B351" t="s">
        <v>38</v>
      </c>
      <c r="C351">
        <v>48.424199999999999</v>
      </c>
      <c r="D351">
        <v>-121.7114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G351">
        <v>0</v>
      </c>
      <c r="BH351">
        <v>0</v>
      </c>
      <c r="BI351">
        <v>0</v>
      </c>
      <c r="BJ351">
        <v>0</v>
      </c>
      <c r="BK351">
        <v>0</v>
      </c>
      <c r="BL351">
        <v>0</v>
      </c>
      <c r="BM351">
        <v>0</v>
      </c>
    </row>
    <row r="352" spans="1:65" x14ac:dyDescent="0.3">
      <c r="A352" t="s">
        <v>360</v>
      </c>
      <c r="B352" t="s">
        <v>38</v>
      </c>
      <c r="C352">
        <v>46.864600000000003</v>
      </c>
      <c r="D352">
        <v>-122.7696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G352">
        <v>0</v>
      </c>
      <c r="BH352">
        <v>0</v>
      </c>
      <c r="BI352">
        <v>0</v>
      </c>
      <c r="BJ352">
        <v>0</v>
      </c>
      <c r="BK352">
        <v>0</v>
      </c>
      <c r="BL352">
        <v>0</v>
      </c>
      <c r="BM352">
        <v>0</v>
      </c>
    </row>
    <row r="353" spans="1:65" x14ac:dyDescent="0.3">
      <c r="A353" t="s">
        <v>361</v>
      </c>
      <c r="B353" t="s">
        <v>38</v>
      </c>
      <c r="C353">
        <v>48.197600000000001</v>
      </c>
      <c r="D353">
        <v>-122.5795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G353">
        <v>0</v>
      </c>
      <c r="BH353">
        <v>0</v>
      </c>
      <c r="BI353">
        <v>0</v>
      </c>
      <c r="BJ353">
        <v>0</v>
      </c>
      <c r="BK353">
        <v>0</v>
      </c>
      <c r="BL353">
        <v>0</v>
      </c>
      <c r="BM353">
        <v>0</v>
      </c>
    </row>
    <row r="354" spans="1:65" x14ac:dyDescent="0.3">
      <c r="A354" t="s">
        <v>362</v>
      </c>
      <c r="B354" t="s">
        <v>38</v>
      </c>
      <c r="C354">
        <v>48.878700000000002</v>
      </c>
      <c r="D354">
        <v>-121.97190000000001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0</v>
      </c>
      <c r="BG354">
        <v>0</v>
      </c>
      <c r="BH354">
        <v>0</v>
      </c>
      <c r="BI354">
        <v>0</v>
      </c>
      <c r="BJ354">
        <v>0</v>
      </c>
      <c r="BK354">
        <v>0</v>
      </c>
      <c r="BL354">
        <v>0</v>
      </c>
      <c r="BM354">
        <v>0</v>
      </c>
    </row>
    <row r="355" spans="1:65" x14ac:dyDescent="0.3">
      <c r="A355" t="s">
        <v>363</v>
      </c>
      <c r="B355" t="s">
        <v>38</v>
      </c>
      <c r="C355">
        <v>38.083399999999997</v>
      </c>
      <c r="D355">
        <v>-122.7633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0</v>
      </c>
      <c r="BF355">
        <v>0</v>
      </c>
      <c r="BG355">
        <v>0</v>
      </c>
      <c r="BH355">
        <v>0</v>
      </c>
      <c r="BI355">
        <v>0</v>
      </c>
      <c r="BJ355">
        <v>0</v>
      </c>
      <c r="BK355">
        <v>0</v>
      </c>
      <c r="BL355">
        <v>0</v>
      </c>
      <c r="BM355">
        <v>0</v>
      </c>
    </row>
    <row r="356" spans="1:65" x14ac:dyDescent="0.3">
      <c r="A356" t="s">
        <v>364</v>
      </c>
      <c r="B356" t="s">
        <v>38</v>
      </c>
      <c r="C356">
        <v>38.195999999999998</v>
      </c>
      <c r="D356">
        <v>-120.68049999999999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  <c r="AX356">
        <v>0</v>
      </c>
      <c r="AY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0</v>
      </c>
      <c r="BG356">
        <v>0</v>
      </c>
      <c r="BH356">
        <v>0</v>
      </c>
      <c r="BI356">
        <v>0</v>
      </c>
      <c r="BJ356">
        <v>0</v>
      </c>
      <c r="BK356">
        <v>0</v>
      </c>
      <c r="BL356">
        <v>0</v>
      </c>
      <c r="BM356">
        <v>0</v>
      </c>
    </row>
    <row r="357" spans="1:65" x14ac:dyDescent="0.3">
      <c r="A357" t="s">
        <v>365</v>
      </c>
      <c r="B357" t="s">
        <v>38</v>
      </c>
      <c r="C357">
        <v>37.509099999999997</v>
      </c>
      <c r="D357">
        <v>-120.9876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G357">
        <v>0</v>
      </c>
      <c r="BH357">
        <v>0</v>
      </c>
      <c r="BI357">
        <v>0</v>
      </c>
      <c r="BJ357">
        <v>0</v>
      </c>
      <c r="BK357">
        <v>0</v>
      </c>
      <c r="BL357">
        <v>0</v>
      </c>
      <c r="BM357">
        <v>0</v>
      </c>
    </row>
    <row r="358" spans="1:65" x14ac:dyDescent="0.3">
      <c r="A358" t="s">
        <v>366</v>
      </c>
      <c r="B358" t="s">
        <v>38</v>
      </c>
      <c r="C358">
        <v>36.6066</v>
      </c>
      <c r="D358">
        <v>-120.18899999999999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G358">
        <v>0</v>
      </c>
      <c r="BH358">
        <v>0</v>
      </c>
      <c r="BI358">
        <v>0</v>
      </c>
      <c r="BJ358">
        <v>0</v>
      </c>
      <c r="BK358">
        <v>0</v>
      </c>
      <c r="BL358">
        <v>0</v>
      </c>
      <c r="BM358">
        <v>0</v>
      </c>
    </row>
    <row r="359" spans="1:65" x14ac:dyDescent="0.3">
      <c r="A359" t="s">
        <v>367</v>
      </c>
      <c r="B359" t="s">
        <v>38</v>
      </c>
      <c r="C359">
        <v>42.631999999999998</v>
      </c>
      <c r="D359">
        <v>-70.782899999999998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G359">
        <v>0</v>
      </c>
      <c r="BH359">
        <v>0</v>
      </c>
      <c r="BI359">
        <v>0</v>
      </c>
      <c r="BJ359">
        <v>0</v>
      </c>
      <c r="BK359">
        <v>0</v>
      </c>
      <c r="BL359">
        <v>0</v>
      </c>
      <c r="BM359">
        <v>0</v>
      </c>
    </row>
    <row r="360" spans="1:65" x14ac:dyDescent="0.3">
      <c r="A360" t="s">
        <v>368</v>
      </c>
      <c r="B360" t="s">
        <v>38</v>
      </c>
      <c r="C360">
        <v>30.791699999999999</v>
      </c>
      <c r="D360">
        <v>-82.084299999999999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G360">
        <v>0</v>
      </c>
      <c r="BH360">
        <v>0</v>
      </c>
      <c r="BI360">
        <v>0</v>
      </c>
      <c r="BJ360">
        <v>0</v>
      </c>
      <c r="BK360">
        <v>0</v>
      </c>
      <c r="BL360">
        <v>0</v>
      </c>
      <c r="BM360">
        <v>0</v>
      </c>
    </row>
    <row r="361" spans="1:65" x14ac:dyDescent="0.3">
      <c r="A361" t="s">
        <v>369</v>
      </c>
      <c r="B361" t="s">
        <v>38</v>
      </c>
      <c r="C361">
        <v>26.07</v>
      </c>
      <c r="D361">
        <v>-81.427899999999994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G361">
        <v>0</v>
      </c>
      <c r="BH361">
        <v>0</v>
      </c>
      <c r="BI361">
        <v>0</v>
      </c>
      <c r="BJ361">
        <v>0</v>
      </c>
      <c r="BK361">
        <v>0</v>
      </c>
      <c r="BL361">
        <v>0</v>
      </c>
      <c r="BM361">
        <v>0</v>
      </c>
    </row>
    <row r="362" spans="1:65" x14ac:dyDescent="0.3">
      <c r="A362" t="s">
        <v>370</v>
      </c>
      <c r="B362" t="s">
        <v>38</v>
      </c>
      <c r="C362">
        <v>27.8764</v>
      </c>
      <c r="D362">
        <v>-82.777900000000002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  <c r="BF362">
        <v>0</v>
      </c>
      <c r="BG362">
        <v>0</v>
      </c>
      <c r="BH362">
        <v>0</v>
      </c>
      <c r="BI362">
        <v>0</v>
      </c>
      <c r="BJ362">
        <v>0</v>
      </c>
      <c r="BK362">
        <v>0</v>
      </c>
      <c r="BL362">
        <v>0</v>
      </c>
      <c r="BM362">
        <v>0</v>
      </c>
    </row>
    <row r="363" spans="1:65" x14ac:dyDescent="0.3">
      <c r="A363" t="s">
        <v>371</v>
      </c>
      <c r="B363" t="s">
        <v>38</v>
      </c>
      <c r="C363">
        <v>29.793800000000001</v>
      </c>
      <c r="D363">
        <v>-82.494399999999999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G363">
        <v>0</v>
      </c>
      <c r="BH363">
        <v>0</v>
      </c>
      <c r="BI363">
        <v>0</v>
      </c>
      <c r="BJ363">
        <v>0</v>
      </c>
      <c r="BK363">
        <v>0</v>
      </c>
      <c r="BL363">
        <v>0</v>
      </c>
      <c r="BM363">
        <v>0</v>
      </c>
    </row>
    <row r="364" spans="1:65" x14ac:dyDescent="0.3">
      <c r="A364" t="s">
        <v>372</v>
      </c>
      <c r="B364" t="s">
        <v>38</v>
      </c>
      <c r="C364">
        <v>30.592700000000001</v>
      </c>
      <c r="D364">
        <v>-81.822400000000002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G364">
        <v>0</v>
      </c>
      <c r="BH364">
        <v>0</v>
      </c>
      <c r="BI364">
        <v>0</v>
      </c>
      <c r="BJ364">
        <v>0</v>
      </c>
      <c r="BK364">
        <v>0</v>
      </c>
      <c r="BL364">
        <v>0</v>
      </c>
      <c r="BM364">
        <v>0</v>
      </c>
    </row>
    <row r="365" spans="1:65" x14ac:dyDescent="0.3">
      <c r="A365" t="s">
        <v>373</v>
      </c>
      <c r="B365" t="s">
        <v>38</v>
      </c>
      <c r="C365">
        <v>28.3232</v>
      </c>
      <c r="D365">
        <v>-82.431899999999999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G365">
        <v>0</v>
      </c>
      <c r="BH365">
        <v>0</v>
      </c>
      <c r="BI365">
        <v>0</v>
      </c>
      <c r="BJ365">
        <v>0</v>
      </c>
      <c r="BK365">
        <v>0</v>
      </c>
      <c r="BL365">
        <v>0</v>
      </c>
      <c r="BM365">
        <v>0</v>
      </c>
    </row>
    <row r="366" spans="1:65" x14ac:dyDescent="0.3">
      <c r="A366" t="s">
        <v>374</v>
      </c>
      <c r="B366" t="s">
        <v>38</v>
      </c>
      <c r="C366">
        <v>32.776699999999998</v>
      </c>
      <c r="D366">
        <v>-96.796999999999997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G366">
        <v>0</v>
      </c>
      <c r="BH366">
        <v>0</v>
      </c>
      <c r="BI366">
        <v>0</v>
      </c>
      <c r="BJ366">
        <v>0</v>
      </c>
      <c r="BK366">
        <v>0</v>
      </c>
      <c r="BL366">
        <v>0</v>
      </c>
      <c r="BM366">
        <v>0</v>
      </c>
    </row>
    <row r="367" spans="1:65" x14ac:dyDescent="0.3">
      <c r="A367" t="s">
        <v>375</v>
      </c>
      <c r="B367" t="s">
        <v>38</v>
      </c>
      <c r="C367">
        <v>32.773200000000003</v>
      </c>
      <c r="D367">
        <v>-97.351699999999994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0</v>
      </c>
      <c r="BH367">
        <v>0</v>
      </c>
      <c r="BI367">
        <v>0</v>
      </c>
      <c r="BJ367">
        <v>0</v>
      </c>
      <c r="BK367">
        <v>0</v>
      </c>
      <c r="BL367">
        <v>0</v>
      </c>
      <c r="BM367">
        <v>0</v>
      </c>
    </row>
    <row r="368" spans="1:65" x14ac:dyDescent="0.3">
      <c r="A368" t="s">
        <v>376</v>
      </c>
      <c r="B368" t="s">
        <v>38</v>
      </c>
      <c r="C368">
        <v>30.388300000000001</v>
      </c>
      <c r="D368">
        <v>-95.696299999999994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G368">
        <v>0</v>
      </c>
      <c r="BH368">
        <v>0</v>
      </c>
      <c r="BI368">
        <v>0</v>
      </c>
      <c r="BJ368">
        <v>0</v>
      </c>
      <c r="BK368">
        <v>0</v>
      </c>
      <c r="BL368">
        <v>0</v>
      </c>
      <c r="BM368">
        <v>0</v>
      </c>
    </row>
    <row r="369" spans="1:65" x14ac:dyDescent="0.3">
      <c r="A369" t="s">
        <v>377</v>
      </c>
      <c r="B369" t="s">
        <v>38</v>
      </c>
      <c r="C369">
        <v>40.572600000000001</v>
      </c>
      <c r="D369">
        <v>-74.492699999999999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J369">
        <v>0</v>
      </c>
      <c r="BK369">
        <v>0</v>
      </c>
      <c r="BL369">
        <v>0</v>
      </c>
      <c r="BM369">
        <v>0</v>
      </c>
    </row>
    <row r="370" spans="1:65" x14ac:dyDescent="0.3">
      <c r="A370" t="s">
        <v>378</v>
      </c>
      <c r="B370" t="s">
        <v>38</v>
      </c>
      <c r="C370">
        <v>39.58</v>
      </c>
      <c r="D370">
        <v>-105.2663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G370">
        <v>0</v>
      </c>
      <c r="BH370">
        <v>0</v>
      </c>
      <c r="BI370">
        <v>0</v>
      </c>
      <c r="BJ370">
        <v>0</v>
      </c>
      <c r="BK370">
        <v>0</v>
      </c>
      <c r="BL370">
        <v>0</v>
      </c>
      <c r="BM370">
        <v>0</v>
      </c>
    </row>
    <row r="371" spans="1:65" x14ac:dyDescent="0.3">
      <c r="A371" t="s">
        <v>379</v>
      </c>
      <c r="B371" t="s">
        <v>38</v>
      </c>
      <c r="C371">
        <v>45.514600000000002</v>
      </c>
      <c r="D371">
        <v>-122.58629999999999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G371">
        <v>0</v>
      </c>
      <c r="BH371">
        <v>0</v>
      </c>
      <c r="BI371">
        <v>0</v>
      </c>
      <c r="BJ371">
        <v>0</v>
      </c>
      <c r="BK371">
        <v>0</v>
      </c>
      <c r="BL371">
        <v>0</v>
      </c>
      <c r="BM371">
        <v>0</v>
      </c>
    </row>
    <row r="372" spans="1:65" x14ac:dyDescent="0.3">
      <c r="A372" t="s">
        <v>380</v>
      </c>
      <c r="B372" t="s">
        <v>38</v>
      </c>
      <c r="C372">
        <v>44.926699999999997</v>
      </c>
      <c r="D372">
        <v>-123.4919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G372">
        <v>0</v>
      </c>
      <c r="BH372">
        <v>0</v>
      </c>
      <c r="BI372">
        <v>0</v>
      </c>
      <c r="BJ372">
        <v>0</v>
      </c>
      <c r="BK372">
        <v>0</v>
      </c>
      <c r="BL372">
        <v>0</v>
      </c>
      <c r="BM372">
        <v>0</v>
      </c>
    </row>
    <row r="373" spans="1:65" x14ac:dyDescent="0.3">
      <c r="A373" t="s">
        <v>381</v>
      </c>
      <c r="B373" t="s">
        <v>38</v>
      </c>
      <c r="C373">
        <v>43.832500000000003</v>
      </c>
      <c r="D373">
        <v>-121.2617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G373">
        <v>0</v>
      </c>
      <c r="BH373">
        <v>0</v>
      </c>
      <c r="BI373">
        <v>0</v>
      </c>
      <c r="BJ373">
        <v>0</v>
      </c>
      <c r="BK373">
        <v>0</v>
      </c>
      <c r="BL373">
        <v>0</v>
      </c>
      <c r="BM373">
        <v>0</v>
      </c>
    </row>
    <row r="374" spans="1:65" x14ac:dyDescent="0.3">
      <c r="A374" t="s">
        <v>382</v>
      </c>
      <c r="B374" t="s">
        <v>38</v>
      </c>
      <c r="C374">
        <v>42.333399999999997</v>
      </c>
      <c r="D374">
        <v>-88.266800000000003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>
        <v>0</v>
      </c>
      <c r="BG374">
        <v>0</v>
      </c>
      <c r="BH374">
        <v>0</v>
      </c>
      <c r="BI374">
        <v>0</v>
      </c>
      <c r="BJ374">
        <v>0</v>
      </c>
      <c r="BK374">
        <v>0</v>
      </c>
      <c r="BL374">
        <v>0</v>
      </c>
      <c r="BM374">
        <v>0</v>
      </c>
    </row>
    <row r="375" spans="1:65" x14ac:dyDescent="0.3">
      <c r="A375" t="s">
        <v>383</v>
      </c>
      <c r="B375" t="s">
        <v>38</v>
      </c>
      <c r="C375">
        <v>42.368899999999996</v>
      </c>
      <c r="D375">
        <v>-87.827200000000005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G375">
        <v>0</v>
      </c>
      <c r="BH375">
        <v>0</v>
      </c>
      <c r="BI375">
        <v>0</v>
      </c>
      <c r="BJ375">
        <v>0</v>
      </c>
      <c r="BK375">
        <v>0</v>
      </c>
      <c r="BL375">
        <v>0</v>
      </c>
      <c r="BM375">
        <v>0</v>
      </c>
    </row>
    <row r="376" spans="1:65" x14ac:dyDescent="0.3">
      <c r="A376" t="s">
        <v>384</v>
      </c>
      <c r="B376" t="s">
        <v>38</v>
      </c>
      <c r="C376">
        <v>40.410800000000002</v>
      </c>
      <c r="D376">
        <v>-75.247900000000001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G376">
        <v>0</v>
      </c>
      <c r="BH376">
        <v>0</v>
      </c>
      <c r="BI376">
        <v>0</v>
      </c>
      <c r="BJ376">
        <v>0</v>
      </c>
      <c r="BK376">
        <v>0</v>
      </c>
      <c r="BL376">
        <v>0</v>
      </c>
      <c r="BM376">
        <v>0</v>
      </c>
    </row>
    <row r="377" spans="1:65" x14ac:dyDescent="0.3">
      <c r="A377" t="s">
        <v>385</v>
      </c>
      <c r="B377" t="s">
        <v>38</v>
      </c>
      <c r="C377">
        <v>37.777200000000001</v>
      </c>
      <c r="D377">
        <v>-77.516099999999994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0</v>
      </c>
      <c r="AY377">
        <v>0</v>
      </c>
      <c r="AZ377">
        <v>0</v>
      </c>
      <c r="BA377">
        <v>0</v>
      </c>
      <c r="BB377">
        <v>0</v>
      </c>
      <c r="BC377">
        <v>0</v>
      </c>
      <c r="BD377">
        <v>0</v>
      </c>
      <c r="BE377">
        <v>0</v>
      </c>
      <c r="BF377">
        <v>0</v>
      </c>
      <c r="BG377">
        <v>0</v>
      </c>
      <c r="BH377">
        <v>0</v>
      </c>
      <c r="BI377">
        <v>0</v>
      </c>
      <c r="BJ377">
        <v>0</v>
      </c>
      <c r="BK377">
        <v>0</v>
      </c>
      <c r="BL377">
        <v>0</v>
      </c>
      <c r="BM377">
        <v>0</v>
      </c>
    </row>
    <row r="378" spans="1:65" x14ac:dyDescent="0.3">
      <c r="A378" t="s">
        <v>386</v>
      </c>
      <c r="B378" t="s">
        <v>38</v>
      </c>
      <c r="C378">
        <v>34.725299999999997</v>
      </c>
      <c r="D378">
        <v>-80.677099999999996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>
        <v>0</v>
      </c>
      <c r="BG378">
        <v>0</v>
      </c>
      <c r="BH378">
        <v>0</v>
      </c>
      <c r="BI378">
        <v>0</v>
      </c>
      <c r="BJ378">
        <v>0</v>
      </c>
      <c r="BK378">
        <v>0</v>
      </c>
      <c r="BL378">
        <v>0</v>
      </c>
      <c r="BM378">
        <v>0</v>
      </c>
    </row>
    <row r="379" spans="1:65" x14ac:dyDescent="0.3">
      <c r="A379" t="s">
        <v>387</v>
      </c>
      <c r="B379" t="s">
        <v>38</v>
      </c>
      <c r="C379">
        <v>36.493299999999998</v>
      </c>
      <c r="D379">
        <v>-82.345200000000006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G379">
        <v>0</v>
      </c>
      <c r="BH379">
        <v>0</v>
      </c>
      <c r="BI379">
        <v>0</v>
      </c>
      <c r="BJ379">
        <v>0</v>
      </c>
      <c r="BK379">
        <v>0</v>
      </c>
      <c r="BL379">
        <v>0</v>
      </c>
      <c r="BM379">
        <v>0</v>
      </c>
    </row>
    <row r="380" spans="1:65" x14ac:dyDescent="0.3">
      <c r="A380" t="s">
        <v>388</v>
      </c>
      <c r="B380" t="s">
        <v>38</v>
      </c>
      <c r="C380">
        <v>39.463799999999999</v>
      </c>
      <c r="D380">
        <v>-86.134500000000003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G380">
        <v>0</v>
      </c>
      <c r="BH380">
        <v>0</v>
      </c>
      <c r="BI380">
        <v>0</v>
      </c>
      <c r="BJ380">
        <v>0</v>
      </c>
      <c r="BK380">
        <v>0</v>
      </c>
      <c r="BL380">
        <v>0</v>
      </c>
      <c r="BM380">
        <v>0</v>
      </c>
    </row>
    <row r="381" spans="1:65" x14ac:dyDescent="0.3">
      <c r="A381" t="s">
        <v>389</v>
      </c>
      <c r="B381" t="s">
        <v>38</v>
      </c>
      <c r="C381">
        <v>40.448300000000003</v>
      </c>
      <c r="D381">
        <v>-86.134500000000003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G381">
        <v>0</v>
      </c>
      <c r="BH381">
        <v>0</v>
      </c>
      <c r="BI381">
        <v>0</v>
      </c>
      <c r="BJ381">
        <v>0</v>
      </c>
      <c r="BK381">
        <v>0</v>
      </c>
      <c r="BL381">
        <v>0</v>
      </c>
      <c r="BM381">
        <v>0</v>
      </c>
    </row>
    <row r="382" spans="1:65" x14ac:dyDescent="0.3">
      <c r="A382" t="s">
        <v>390</v>
      </c>
      <c r="B382" t="s">
        <v>38</v>
      </c>
      <c r="C382">
        <v>41.622799999999998</v>
      </c>
      <c r="D382">
        <v>-86.337699999999998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G382">
        <v>0</v>
      </c>
      <c r="BH382">
        <v>0</v>
      </c>
      <c r="BI382">
        <v>0</v>
      </c>
      <c r="BJ382">
        <v>0</v>
      </c>
      <c r="BK382">
        <v>0</v>
      </c>
      <c r="BL382">
        <v>0</v>
      </c>
      <c r="BM382">
        <v>0</v>
      </c>
    </row>
    <row r="383" spans="1:65" x14ac:dyDescent="0.3">
      <c r="A383" t="s">
        <v>391</v>
      </c>
      <c r="B383" t="s">
        <v>38</v>
      </c>
      <c r="C383">
        <v>42.671199999999999</v>
      </c>
      <c r="D383">
        <v>-97.872200000000007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G383">
        <v>0</v>
      </c>
      <c r="BH383">
        <v>0</v>
      </c>
      <c r="BI383">
        <v>0</v>
      </c>
      <c r="BJ383">
        <v>0</v>
      </c>
      <c r="BK383">
        <v>0</v>
      </c>
      <c r="BL383">
        <v>0</v>
      </c>
      <c r="BM383">
        <v>0</v>
      </c>
    </row>
    <row r="384" spans="1:65" x14ac:dyDescent="0.3">
      <c r="A384" t="s">
        <v>392</v>
      </c>
      <c r="B384" t="s">
        <v>38</v>
      </c>
      <c r="C384">
        <v>40.868499999999997</v>
      </c>
      <c r="D384">
        <v>-81.251900000000006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G384">
        <v>0</v>
      </c>
      <c r="BH384">
        <v>0</v>
      </c>
      <c r="BI384">
        <v>0</v>
      </c>
      <c r="BJ384">
        <v>0</v>
      </c>
      <c r="BK384">
        <v>0</v>
      </c>
      <c r="BL384">
        <v>0</v>
      </c>
      <c r="BM384">
        <v>0</v>
      </c>
    </row>
    <row r="385" spans="1:65" x14ac:dyDescent="0.3">
      <c r="A385" t="s">
        <v>393</v>
      </c>
      <c r="B385" t="s">
        <v>38</v>
      </c>
      <c r="C385">
        <v>45.329300000000003</v>
      </c>
      <c r="D385">
        <v>-93.219700000000003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G385">
        <v>0</v>
      </c>
      <c r="BH385">
        <v>0</v>
      </c>
      <c r="BI385">
        <v>0</v>
      </c>
      <c r="BJ385">
        <v>0</v>
      </c>
      <c r="BK385">
        <v>0</v>
      </c>
      <c r="BL385">
        <v>0</v>
      </c>
      <c r="BM385">
        <v>0</v>
      </c>
    </row>
    <row r="386" spans="1:65" x14ac:dyDescent="0.3">
      <c r="A386" t="s">
        <v>394</v>
      </c>
      <c r="B386" t="s">
        <v>38</v>
      </c>
      <c r="C386">
        <v>43.995199999999997</v>
      </c>
      <c r="D386">
        <v>-92.381399999999999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G386">
        <v>0</v>
      </c>
      <c r="BH386">
        <v>0</v>
      </c>
      <c r="BI386">
        <v>0</v>
      </c>
      <c r="BJ386">
        <v>0</v>
      </c>
      <c r="BK386">
        <v>0</v>
      </c>
      <c r="BL386">
        <v>0</v>
      </c>
      <c r="BM386">
        <v>0</v>
      </c>
    </row>
    <row r="387" spans="1:65" x14ac:dyDescent="0.3">
      <c r="A387" t="s">
        <v>395</v>
      </c>
      <c r="B387" t="s">
        <v>38</v>
      </c>
      <c r="C387">
        <v>40.829799999999999</v>
      </c>
      <c r="D387">
        <v>-110.9984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0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G387">
        <v>0</v>
      </c>
      <c r="BH387">
        <v>0</v>
      </c>
      <c r="BI387">
        <v>0</v>
      </c>
      <c r="BJ387">
        <v>0</v>
      </c>
      <c r="BK387">
        <v>0</v>
      </c>
      <c r="BL387">
        <v>0</v>
      </c>
      <c r="BM387">
        <v>0</v>
      </c>
    </row>
    <row r="388" spans="1:65" x14ac:dyDescent="0.3">
      <c r="A388" t="s">
        <v>396</v>
      </c>
      <c r="B388" t="s">
        <v>38</v>
      </c>
      <c r="C388">
        <v>41.256</v>
      </c>
      <c r="D388">
        <v>-73.370900000000006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G388">
        <v>0</v>
      </c>
      <c r="BH388">
        <v>0</v>
      </c>
      <c r="BI388">
        <v>0</v>
      </c>
      <c r="BJ388">
        <v>0</v>
      </c>
      <c r="BK388">
        <v>0</v>
      </c>
      <c r="BL388">
        <v>0</v>
      </c>
      <c r="BM388">
        <v>0</v>
      </c>
    </row>
    <row r="389" spans="1:65" x14ac:dyDescent="0.3">
      <c r="A389" t="s">
        <v>397</v>
      </c>
      <c r="B389" t="s">
        <v>38</v>
      </c>
      <c r="C389">
        <v>41.7866</v>
      </c>
      <c r="D389">
        <v>-73.276499999999999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0</v>
      </c>
      <c r="AX389">
        <v>0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  <c r="BE389">
        <v>0</v>
      </c>
      <c r="BF389">
        <v>0</v>
      </c>
      <c r="BG389">
        <v>0</v>
      </c>
      <c r="BH389">
        <v>0</v>
      </c>
      <c r="BI389">
        <v>0</v>
      </c>
      <c r="BJ389">
        <v>0</v>
      </c>
      <c r="BK389">
        <v>0</v>
      </c>
      <c r="BL389">
        <v>0</v>
      </c>
      <c r="BM389">
        <v>0</v>
      </c>
    </row>
    <row r="390" spans="1:65" x14ac:dyDescent="0.3">
      <c r="A390" t="s">
        <v>398</v>
      </c>
      <c r="B390" t="s">
        <v>38</v>
      </c>
      <c r="C390">
        <v>29.9511</v>
      </c>
      <c r="D390">
        <v>-90.0715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G390">
        <v>0</v>
      </c>
      <c r="BH390">
        <v>0</v>
      </c>
      <c r="BI390">
        <v>0</v>
      </c>
      <c r="BJ390">
        <v>0</v>
      </c>
      <c r="BK390">
        <v>0</v>
      </c>
      <c r="BL390">
        <v>0</v>
      </c>
      <c r="BM390">
        <v>0</v>
      </c>
    </row>
    <row r="391" spans="1:65" x14ac:dyDescent="0.3">
      <c r="A391" t="s">
        <v>399</v>
      </c>
      <c r="B391" t="s">
        <v>38</v>
      </c>
      <c r="C391">
        <v>43.890099999999997</v>
      </c>
      <c r="D391">
        <v>-102.2548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0</v>
      </c>
      <c r="AZ391">
        <v>0</v>
      </c>
      <c r="BA391">
        <v>0</v>
      </c>
      <c r="BB391">
        <v>0</v>
      </c>
      <c r="BC391">
        <v>0</v>
      </c>
      <c r="BD391">
        <v>0</v>
      </c>
      <c r="BE391">
        <v>0</v>
      </c>
      <c r="BF391">
        <v>0</v>
      </c>
      <c r="BG391">
        <v>0</v>
      </c>
      <c r="BH391">
        <v>0</v>
      </c>
      <c r="BI391">
        <v>0</v>
      </c>
      <c r="BJ391">
        <v>0</v>
      </c>
      <c r="BK391">
        <v>0</v>
      </c>
      <c r="BL391">
        <v>0</v>
      </c>
      <c r="BM391">
        <v>0</v>
      </c>
    </row>
    <row r="392" spans="1:65" x14ac:dyDescent="0.3">
      <c r="A392" t="s">
        <v>400</v>
      </c>
      <c r="B392" t="s">
        <v>38</v>
      </c>
      <c r="C392">
        <v>44.479700000000001</v>
      </c>
      <c r="D392">
        <v>-98.221299999999999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G392">
        <v>0</v>
      </c>
      <c r="BH392">
        <v>0</v>
      </c>
      <c r="BI392">
        <v>0</v>
      </c>
      <c r="BJ392">
        <v>0</v>
      </c>
      <c r="BK392">
        <v>0</v>
      </c>
      <c r="BL392">
        <v>0</v>
      </c>
      <c r="BM392">
        <v>0</v>
      </c>
    </row>
    <row r="393" spans="1:65" x14ac:dyDescent="0.3">
      <c r="A393" t="s">
        <v>401</v>
      </c>
      <c r="B393" t="s">
        <v>38</v>
      </c>
      <c r="C393">
        <v>43.098500000000001</v>
      </c>
      <c r="D393">
        <v>-98.396500000000003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G393">
        <v>0</v>
      </c>
      <c r="BH393">
        <v>0</v>
      </c>
      <c r="BI393">
        <v>0</v>
      </c>
      <c r="BJ393">
        <v>0</v>
      </c>
      <c r="BK393">
        <v>0</v>
      </c>
      <c r="BL393">
        <v>0</v>
      </c>
      <c r="BM393">
        <v>0</v>
      </c>
    </row>
    <row r="394" spans="1:65" x14ac:dyDescent="0.3">
      <c r="A394" t="s">
        <v>402</v>
      </c>
      <c r="B394" t="s">
        <v>38</v>
      </c>
      <c r="C394">
        <v>43.724200000000003</v>
      </c>
      <c r="D394">
        <v>-98.221299999999999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G394">
        <v>0</v>
      </c>
      <c r="BH394">
        <v>0</v>
      </c>
      <c r="BI394">
        <v>0</v>
      </c>
      <c r="BJ394">
        <v>0</v>
      </c>
      <c r="BK394">
        <v>0</v>
      </c>
      <c r="BL394">
        <v>0</v>
      </c>
      <c r="BM394">
        <v>0</v>
      </c>
    </row>
    <row r="395" spans="1:65" x14ac:dyDescent="0.3">
      <c r="A395" t="s">
        <v>403</v>
      </c>
      <c r="B395" t="s">
        <v>38</v>
      </c>
      <c r="C395">
        <v>43.663200000000003</v>
      </c>
      <c r="D395">
        <v>-96.835099999999997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G395">
        <v>0</v>
      </c>
      <c r="BH395">
        <v>0</v>
      </c>
      <c r="BI395">
        <v>0</v>
      </c>
      <c r="BJ395">
        <v>0</v>
      </c>
      <c r="BK395">
        <v>0</v>
      </c>
      <c r="BL395">
        <v>0</v>
      </c>
      <c r="BM395">
        <v>0</v>
      </c>
    </row>
    <row r="396" spans="1:65" x14ac:dyDescent="0.3">
      <c r="A396" t="s">
        <v>404</v>
      </c>
      <c r="B396" t="s">
        <v>38</v>
      </c>
      <c r="C396">
        <v>42.981499999999997</v>
      </c>
      <c r="D396">
        <v>-97.872200000000007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  <c r="BI396">
        <v>0</v>
      </c>
      <c r="BJ396">
        <v>0</v>
      </c>
      <c r="BK396">
        <v>0</v>
      </c>
      <c r="BL396">
        <v>0</v>
      </c>
      <c r="BM396">
        <v>0</v>
      </c>
    </row>
    <row r="397" spans="1:65" x14ac:dyDescent="0.3">
      <c r="A397" t="s">
        <v>405</v>
      </c>
      <c r="B397" t="s">
        <v>38</v>
      </c>
      <c r="C397">
        <v>33.883699999999997</v>
      </c>
      <c r="D397">
        <v>-106.7235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  <c r="BI397">
        <v>0</v>
      </c>
      <c r="BJ397">
        <v>0</v>
      </c>
      <c r="BK397">
        <v>0</v>
      </c>
      <c r="BL397">
        <v>0</v>
      </c>
      <c r="BM397">
        <v>0</v>
      </c>
    </row>
    <row r="398" spans="1:65" x14ac:dyDescent="0.3">
      <c r="A398" t="s">
        <v>406</v>
      </c>
      <c r="B398" t="s">
        <v>38</v>
      </c>
      <c r="C398">
        <v>35.017800000000001</v>
      </c>
      <c r="D398">
        <v>-106.62909999999999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  <c r="BI398">
        <v>0</v>
      </c>
      <c r="BJ398">
        <v>0</v>
      </c>
      <c r="BK398">
        <v>0</v>
      </c>
      <c r="BL398">
        <v>0</v>
      </c>
      <c r="BM398">
        <v>0</v>
      </c>
    </row>
    <row r="399" spans="1:65" x14ac:dyDescent="0.3">
      <c r="A399" t="s">
        <v>407</v>
      </c>
      <c r="B399" t="s">
        <v>38</v>
      </c>
      <c r="C399">
        <v>42.592199999999998</v>
      </c>
      <c r="D399">
        <v>-83.336200000000005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  <c r="BI399">
        <v>0</v>
      </c>
      <c r="BJ399">
        <v>0</v>
      </c>
      <c r="BK399">
        <v>0</v>
      </c>
      <c r="BL399">
        <v>0</v>
      </c>
      <c r="BM399">
        <v>0</v>
      </c>
    </row>
    <row r="400" spans="1:65" x14ac:dyDescent="0.3">
      <c r="A400" t="s">
        <v>408</v>
      </c>
      <c r="B400" t="s">
        <v>38</v>
      </c>
      <c r="C400">
        <v>42.2791</v>
      </c>
      <c r="D400">
        <v>-83.336200000000005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  <c r="BH400">
        <v>0</v>
      </c>
      <c r="BI400">
        <v>0</v>
      </c>
      <c r="BJ400">
        <v>0</v>
      </c>
      <c r="BK400">
        <v>0</v>
      </c>
      <c r="BL400">
        <v>0</v>
      </c>
      <c r="BM400">
        <v>0</v>
      </c>
    </row>
    <row r="401" spans="1:66" x14ac:dyDescent="0.3">
      <c r="A401" t="s">
        <v>409</v>
      </c>
      <c r="B401" t="s">
        <v>38</v>
      </c>
      <c r="C401">
        <v>39.539299999999997</v>
      </c>
      <c r="D401">
        <v>-75.667400000000001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  <c r="BH401">
        <v>0</v>
      </c>
      <c r="BI401">
        <v>0</v>
      </c>
      <c r="BJ401">
        <v>0</v>
      </c>
      <c r="BK401">
        <v>0</v>
      </c>
      <c r="BL401">
        <v>0</v>
      </c>
      <c r="BM401">
        <v>0</v>
      </c>
    </row>
    <row r="402" spans="1:66" x14ac:dyDescent="0.3">
      <c r="B402" t="s">
        <v>410</v>
      </c>
      <c r="C402">
        <v>22</v>
      </c>
      <c r="D402">
        <v>-80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G402">
        <v>0</v>
      </c>
      <c r="BH402">
        <v>0</v>
      </c>
      <c r="BI402">
        <v>0</v>
      </c>
      <c r="BJ402">
        <v>0</v>
      </c>
      <c r="BK402">
        <v>0</v>
      </c>
      <c r="BL402">
        <v>0</v>
      </c>
      <c r="BM402">
        <v>0</v>
      </c>
      <c r="BN402">
        <v>0</v>
      </c>
    </row>
    <row r="403" spans="1:66" x14ac:dyDescent="0.3">
      <c r="B403" t="s">
        <v>411</v>
      </c>
      <c r="C403">
        <v>5</v>
      </c>
      <c r="D403">
        <v>-58.75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0</v>
      </c>
      <c r="BD403">
        <v>0</v>
      </c>
      <c r="BE403">
        <v>0</v>
      </c>
      <c r="BF403">
        <v>0</v>
      </c>
      <c r="BG403">
        <v>0</v>
      </c>
      <c r="BH403">
        <v>0</v>
      </c>
      <c r="BI403">
        <v>0</v>
      </c>
      <c r="BJ403">
        <v>0</v>
      </c>
      <c r="BK403">
        <v>0</v>
      </c>
      <c r="BL403">
        <v>0</v>
      </c>
      <c r="BM403">
        <v>0</v>
      </c>
      <c r="BN403">
        <v>0</v>
      </c>
    </row>
    <row r="404" spans="1:66" x14ac:dyDescent="0.3">
      <c r="A404" t="s">
        <v>412</v>
      </c>
      <c r="B404" t="s">
        <v>48</v>
      </c>
      <c r="C404">
        <v>-35.473500000000001</v>
      </c>
      <c r="D404">
        <v>149.01240000000001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0</v>
      </c>
      <c r="BE404">
        <v>0</v>
      </c>
      <c r="BF404">
        <v>0</v>
      </c>
      <c r="BG404">
        <v>0</v>
      </c>
      <c r="BH404">
        <v>0</v>
      </c>
      <c r="BI404">
        <v>0</v>
      </c>
      <c r="BJ404">
        <v>0</v>
      </c>
      <c r="BK404">
        <v>0</v>
      </c>
      <c r="BL404">
        <v>0</v>
      </c>
      <c r="BM404">
        <v>0</v>
      </c>
      <c r="BN404">
        <v>0</v>
      </c>
    </row>
    <row r="405" spans="1:66" x14ac:dyDescent="0.3">
      <c r="A405" t="s">
        <v>349</v>
      </c>
      <c r="B405" t="s">
        <v>349</v>
      </c>
      <c r="C405">
        <v>55.378100000000003</v>
      </c>
      <c r="D405">
        <v>-3.4359999999999999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1</v>
      </c>
      <c r="AA405">
        <v>1</v>
      </c>
      <c r="AB405">
        <v>1</v>
      </c>
      <c r="AC405">
        <v>1</v>
      </c>
      <c r="AD405">
        <v>8</v>
      </c>
      <c r="AE405">
        <v>8</v>
      </c>
      <c r="AF405">
        <v>8</v>
      </c>
      <c r="AG405">
        <v>8</v>
      </c>
      <c r="AH405">
        <v>8</v>
      </c>
      <c r="AI405">
        <v>8</v>
      </c>
      <c r="AJ405">
        <v>8</v>
      </c>
      <c r="AK405">
        <v>8</v>
      </c>
      <c r="AL405">
        <v>8</v>
      </c>
      <c r="AM405">
        <v>8</v>
      </c>
      <c r="AN405">
        <v>8</v>
      </c>
      <c r="AO405">
        <v>8</v>
      </c>
      <c r="AP405">
        <v>8</v>
      </c>
      <c r="AQ405">
        <v>8</v>
      </c>
      <c r="AR405">
        <v>8</v>
      </c>
      <c r="AS405">
        <v>8</v>
      </c>
      <c r="AT405">
        <v>8</v>
      </c>
      <c r="AU405">
        <v>8</v>
      </c>
      <c r="AV405">
        <v>8</v>
      </c>
      <c r="AW405">
        <v>8</v>
      </c>
      <c r="AX405">
        <v>18</v>
      </c>
      <c r="AY405">
        <v>18</v>
      </c>
      <c r="AZ405">
        <v>18</v>
      </c>
      <c r="BA405">
        <v>18</v>
      </c>
      <c r="BB405">
        <v>18</v>
      </c>
      <c r="BC405">
        <v>18</v>
      </c>
      <c r="BD405">
        <v>18</v>
      </c>
      <c r="BE405">
        <v>18</v>
      </c>
      <c r="BF405">
        <v>18</v>
      </c>
      <c r="BG405">
        <v>20</v>
      </c>
      <c r="BH405">
        <v>52</v>
      </c>
      <c r="BI405">
        <v>65</v>
      </c>
      <c r="BJ405">
        <v>65</v>
      </c>
      <c r="BK405">
        <v>65</v>
      </c>
      <c r="BL405">
        <v>65</v>
      </c>
      <c r="BM405">
        <v>65</v>
      </c>
      <c r="BN405">
        <v>65</v>
      </c>
    </row>
    <row r="406" spans="1:66" x14ac:dyDescent="0.3">
      <c r="B406" t="s">
        <v>413</v>
      </c>
      <c r="C406">
        <v>48.019599999999997</v>
      </c>
      <c r="D406">
        <v>66.923699999999997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  <c r="BF406">
        <v>0</v>
      </c>
      <c r="BG406">
        <v>0</v>
      </c>
      <c r="BH406">
        <v>0</v>
      </c>
      <c r="BI406">
        <v>0</v>
      </c>
      <c r="BJ406">
        <v>0</v>
      </c>
      <c r="BK406">
        <v>0</v>
      </c>
      <c r="BL406">
        <v>0</v>
      </c>
      <c r="BM406">
        <v>0</v>
      </c>
      <c r="BN406">
        <v>0</v>
      </c>
    </row>
    <row r="407" spans="1:66" x14ac:dyDescent="0.3">
      <c r="A407" t="s">
        <v>414</v>
      </c>
      <c r="B407" t="s">
        <v>41</v>
      </c>
      <c r="C407">
        <v>-17.6797</v>
      </c>
      <c r="D407">
        <v>149.4068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0</v>
      </c>
      <c r="BE407">
        <v>0</v>
      </c>
      <c r="BF407">
        <v>0</v>
      </c>
      <c r="BG407">
        <v>0</v>
      </c>
      <c r="BH407">
        <v>0</v>
      </c>
      <c r="BI407">
        <v>0</v>
      </c>
      <c r="BJ407">
        <v>0</v>
      </c>
      <c r="BK407">
        <v>0</v>
      </c>
      <c r="BL407">
        <v>0</v>
      </c>
      <c r="BM407">
        <v>0</v>
      </c>
      <c r="BN407">
        <v>0</v>
      </c>
    </row>
    <row r="408" spans="1:66" x14ac:dyDescent="0.3">
      <c r="A408" t="s">
        <v>417</v>
      </c>
      <c r="B408" t="s">
        <v>45</v>
      </c>
      <c r="C408">
        <v>53.760899999999999</v>
      </c>
      <c r="D408">
        <v>-98.813900000000004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0</v>
      </c>
      <c r="BF408">
        <v>0</v>
      </c>
      <c r="BG408">
        <v>0</v>
      </c>
      <c r="BH408">
        <v>0</v>
      </c>
      <c r="BI408">
        <v>0</v>
      </c>
      <c r="BJ408">
        <v>0</v>
      </c>
      <c r="BK408">
        <v>0</v>
      </c>
      <c r="BL408">
        <v>0</v>
      </c>
      <c r="BM408">
        <v>0</v>
      </c>
      <c r="BN408">
        <v>0</v>
      </c>
    </row>
    <row r="409" spans="1:66" x14ac:dyDescent="0.3">
      <c r="A409" t="s">
        <v>418</v>
      </c>
      <c r="B409" t="s">
        <v>45</v>
      </c>
      <c r="C409">
        <v>52.939900000000002</v>
      </c>
      <c r="D409">
        <v>-106.4509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0</v>
      </c>
      <c r="BF409">
        <v>0</v>
      </c>
      <c r="BG409">
        <v>0</v>
      </c>
      <c r="BH409">
        <v>0</v>
      </c>
      <c r="BI409">
        <v>0</v>
      </c>
      <c r="BJ409">
        <v>0</v>
      </c>
      <c r="BK409">
        <v>0</v>
      </c>
      <c r="BL409">
        <v>0</v>
      </c>
      <c r="BM409">
        <v>0</v>
      </c>
      <c r="BN409">
        <v>0</v>
      </c>
    </row>
    <row r="410" spans="1:66" x14ac:dyDescent="0.3">
      <c r="B410" t="s">
        <v>419</v>
      </c>
      <c r="C410">
        <v>9.1449999999999996</v>
      </c>
      <c r="D410">
        <v>40.489699999999999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  <c r="BF410">
        <v>0</v>
      </c>
      <c r="BG410">
        <v>0</v>
      </c>
      <c r="BH410">
        <v>0</v>
      </c>
      <c r="BI410">
        <v>0</v>
      </c>
      <c r="BJ410">
        <v>0</v>
      </c>
      <c r="BK410">
        <v>0</v>
      </c>
      <c r="BL410">
        <v>0</v>
      </c>
      <c r="BM410">
        <v>4</v>
      </c>
      <c r="BN410">
        <v>4</v>
      </c>
    </row>
    <row r="411" spans="1:66" x14ac:dyDescent="0.3">
      <c r="B411" t="s">
        <v>420</v>
      </c>
      <c r="C411">
        <v>12.8628</v>
      </c>
      <c r="D411">
        <v>30.217600000000001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0</v>
      </c>
      <c r="BE411">
        <v>0</v>
      </c>
      <c r="BF411">
        <v>0</v>
      </c>
      <c r="BG411">
        <v>0</v>
      </c>
      <c r="BH411">
        <v>0</v>
      </c>
      <c r="BI411">
        <v>0</v>
      </c>
      <c r="BJ411">
        <v>0</v>
      </c>
      <c r="BK411">
        <v>0</v>
      </c>
      <c r="BL411">
        <v>0</v>
      </c>
      <c r="BM411">
        <v>0</v>
      </c>
      <c r="BN411">
        <v>0</v>
      </c>
    </row>
    <row r="412" spans="1:66" x14ac:dyDescent="0.3">
      <c r="B412" t="s">
        <v>423</v>
      </c>
      <c r="C412">
        <v>-2.3599999999999999E-2</v>
      </c>
      <c r="D412">
        <v>37.906199999999998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  <c r="BF412">
        <v>0</v>
      </c>
      <c r="BG412">
        <v>0</v>
      </c>
      <c r="BH412">
        <v>0</v>
      </c>
      <c r="BI412">
        <v>0</v>
      </c>
      <c r="BJ412">
        <v>0</v>
      </c>
      <c r="BK412">
        <v>0</v>
      </c>
      <c r="BL412">
        <v>0</v>
      </c>
      <c r="BM412">
        <v>0</v>
      </c>
      <c r="BN412">
        <v>0</v>
      </c>
    </row>
    <row r="413" spans="1:66" x14ac:dyDescent="0.3">
      <c r="B413" t="s">
        <v>421</v>
      </c>
      <c r="C413">
        <v>9.9456000000000007</v>
      </c>
      <c r="D413">
        <v>-9.6966000000000001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G413">
        <v>0</v>
      </c>
      <c r="BH413">
        <v>0</v>
      </c>
      <c r="BI413">
        <v>0</v>
      </c>
      <c r="BJ413">
        <v>0</v>
      </c>
      <c r="BK413">
        <v>0</v>
      </c>
      <c r="BL413">
        <v>0</v>
      </c>
      <c r="BM413">
        <v>0</v>
      </c>
      <c r="BN413">
        <v>0</v>
      </c>
    </row>
    <row r="414" spans="1:66" x14ac:dyDescent="0.3">
      <c r="A414" t="s">
        <v>249</v>
      </c>
      <c r="B414" t="s">
        <v>45</v>
      </c>
      <c r="C414">
        <v>37.648899999999998</v>
      </c>
      <c r="D414">
        <v>-122.66549999999999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  <c r="BF414">
        <v>0</v>
      </c>
      <c r="BG414">
        <v>0</v>
      </c>
      <c r="BH414">
        <v>0</v>
      </c>
      <c r="BI414">
        <v>0</v>
      </c>
      <c r="BJ414">
        <v>0</v>
      </c>
      <c r="BK414">
        <v>0</v>
      </c>
      <c r="BL414">
        <v>0</v>
      </c>
      <c r="BM414">
        <v>0</v>
      </c>
      <c r="BN414">
        <v>0</v>
      </c>
    </row>
    <row r="415" spans="1:66" x14ac:dyDescent="0.3">
      <c r="B415" t="s">
        <v>424</v>
      </c>
      <c r="C415">
        <v>17.0608</v>
      </c>
      <c r="D415">
        <v>-61.796399999999998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0</v>
      </c>
      <c r="BE415">
        <v>0</v>
      </c>
      <c r="BF415">
        <v>0</v>
      </c>
      <c r="BG415">
        <v>0</v>
      </c>
      <c r="BH415">
        <v>0</v>
      </c>
      <c r="BI415">
        <v>0</v>
      </c>
      <c r="BJ415">
        <v>0</v>
      </c>
      <c r="BK415">
        <v>0</v>
      </c>
      <c r="BL415">
        <v>0</v>
      </c>
      <c r="BM415">
        <v>0</v>
      </c>
      <c r="BN415">
        <v>0</v>
      </c>
    </row>
    <row r="416" spans="1:66" x14ac:dyDescent="0.3">
      <c r="A416" t="s">
        <v>425</v>
      </c>
      <c r="B416" t="s">
        <v>38</v>
      </c>
      <c r="C416">
        <v>32.318199999999997</v>
      </c>
      <c r="D416">
        <v>-86.902299999999997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0</v>
      </c>
      <c r="BF416">
        <v>0</v>
      </c>
      <c r="BG416">
        <v>0</v>
      </c>
      <c r="BH416">
        <v>0</v>
      </c>
      <c r="BI416">
        <v>0</v>
      </c>
      <c r="BJ416">
        <v>0</v>
      </c>
      <c r="BK416">
        <v>0</v>
      </c>
      <c r="BL416">
        <v>0</v>
      </c>
      <c r="BM416">
        <v>0</v>
      </c>
      <c r="BN416">
        <v>0</v>
      </c>
    </row>
    <row r="417" spans="1:66" x14ac:dyDescent="0.3">
      <c r="B417" t="s">
        <v>434</v>
      </c>
      <c r="C417">
        <v>-32.522799999999997</v>
      </c>
      <c r="D417">
        <v>-55.765799999999999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0</v>
      </c>
      <c r="BF417">
        <v>0</v>
      </c>
      <c r="BG417">
        <v>0</v>
      </c>
      <c r="BH417">
        <v>0</v>
      </c>
      <c r="BI417">
        <v>0</v>
      </c>
      <c r="BJ417">
        <v>0</v>
      </c>
      <c r="BK417">
        <v>0</v>
      </c>
      <c r="BL417">
        <v>0</v>
      </c>
      <c r="BM417">
        <v>0</v>
      </c>
      <c r="BN417">
        <v>0</v>
      </c>
    </row>
    <row r="418" spans="1:66" x14ac:dyDescent="0.3">
      <c r="B418" t="s">
        <v>435</v>
      </c>
      <c r="C418">
        <v>7.9465000000000003</v>
      </c>
      <c r="D418">
        <v>-1.0232000000000001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  <c r="BF418">
        <v>0</v>
      </c>
      <c r="BG418">
        <v>0</v>
      </c>
      <c r="BH418">
        <v>0</v>
      </c>
      <c r="BI418">
        <v>0</v>
      </c>
      <c r="BJ418">
        <v>0</v>
      </c>
      <c r="BK418">
        <v>0</v>
      </c>
      <c r="BL418">
        <v>0</v>
      </c>
      <c r="BM418">
        <v>0</v>
      </c>
      <c r="BN418">
        <v>0</v>
      </c>
    </row>
    <row r="419" spans="1:66" x14ac:dyDescent="0.3">
      <c r="A419" t="s">
        <v>436</v>
      </c>
      <c r="B419" t="s">
        <v>38</v>
      </c>
      <c r="C419">
        <v>18.220800000000001</v>
      </c>
      <c r="D419">
        <v>-66.590100000000007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0</v>
      </c>
      <c r="BF419">
        <v>0</v>
      </c>
      <c r="BG419">
        <v>0</v>
      </c>
      <c r="BH419">
        <v>0</v>
      </c>
      <c r="BI419">
        <v>0</v>
      </c>
      <c r="BJ419">
        <v>0</v>
      </c>
      <c r="BK419">
        <v>0</v>
      </c>
      <c r="BL419">
        <v>0</v>
      </c>
      <c r="BM419">
        <v>0</v>
      </c>
      <c r="BN419">
        <v>0</v>
      </c>
    </row>
    <row r="420" spans="1:66" x14ac:dyDescent="0.3">
      <c r="B420" t="s">
        <v>437</v>
      </c>
      <c r="C420">
        <v>-22.957599999999999</v>
      </c>
      <c r="D420">
        <v>18.490400000000001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0</v>
      </c>
      <c r="BG420">
        <v>0</v>
      </c>
      <c r="BH420">
        <v>0</v>
      </c>
      <c r="BI420">
        <v>0</v>
      </c>
      <c r="BJ420">
        <v>0</v>
      </c>
      <c r="BK420">
        <v>0</v>
      </c>
      <c r="BL420">
        <v>0</v>
      </c>
      <c r="BM420">
        <v>0</v>
      </c>
      <c r="BN420">
        <v>0</v>
      </c>
    </row>
    <row r="421" spans="1:66" x14ac:dyDescent="0.3">
      <c r="B421" t="s">
        <v>438</v>
      </c>
      <c r="C421">
        <v>-4.6795999999999998</v>
      </c>
      <c r="D421">
        <v>55.491999999999997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0</v>
      </c>
      <c r="BF421">
        <v>0</v>
      </c>
      <c r="BG421">
        <v>0</v>
      </c>
      <c r="BH421">
        <v>0</v>
      </c>
      <c r="BI421">
        <v>0</v>
      </c>
      <c r="BJ421">
        <v>0</v>
      </c>
      <c r="BK421">
        <v>0</v>
      </c>
      <c r="BL421">
        <v>0</v>
      </c>
      <c r="BM421">
        <v>0</v>
      </c>
      <c r="BN421">
        <v>0</v>
      </c>
    </row>
    <row r="422" spans="1:66" x14ac:dyDescent="0.3">
      <c r="B422" t="s">
        <v>439</v>
      </c>
      <c r="C422">
        <v>10.691800000000001</v>
      </c>
      <c r="D422">
        <v>-61.222499999999997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0</v>
      </c>
      <c r="BF422">
        <v>0</v>
      </c>
      <c r="BG422">
        <v>0</v>
      </c>
      <c r="BH422">
        <v>0</v>
      </c>
      <c r="BI422">
        <v>0</v>
      </c>
      <c r="BJ422">
        <v>0</v>
      </c>
      <c r="BK422">
        <v>0</v>
      </c>
      <c r="BL422">
        <v>1</v>
      </c>
      <c r="BM422">
        <v>1</v>
      </c>
      <c r="BN422">
        <v>1</v>
      </c>
    </row>
    <row r="423" spans="1:66" x14ac:dyDescent="0.3">
      <c r="B423" t="s">
        <v>440</v>
      </c>
      <c r="C423">
        <v>6.4238</v>
      </c>
      <c r="D423">
        <v>-66.589699999999993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0</v>
      </c>
      <c r="BF423">
        <v>0</v>
      </c>
      <c r="BG423">
        <v>0</v>
      </c>
      <c r="BH423">
        <v>0</v>
      </c>
      <c r="BI423">
        <v>0</v>
      </c>
      <c r="BJ423">
        <v>0</v>
      </c>
      <c r="BK423">
        <v>0</v>
      </c>
      <c r="BL423">
        <v>0</v>
      </c>
      <c r="BM423">
        <v>15</v>
      </c>
      <c r="BN423">
        <v>15</v>
      </c>
    </row>
    <row r="424" spans="1:66" x14ac:dyDescent="0.3">
      <c r="B424" t="s">
        <v>442</v>
      </c>
      <c r="C424">
        <v>-26.522500000000001</v>
      </c>
      <c r="D424">
        <v>31.465900000000001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  <c r="BF424">
        <v>0</v>
      </c>
      <c r="BG424">
        <v>0</v>
      </c>
      <c r="BH424">
        <v>0</v>
      </c>
      <c r="BI424">
        <v>0</v>
      </c>
      <c r="BJ424">
        <v>0</v>
      </c>
      <c r="BK424">
        <v>0</v>
      </c>
      <c r="BL424">
        <v>0</v>
      </c>
      <c r="BM424">
        <v>0</v>
      </c>
      <c r="BN424">
        <v>0</v>
      </c>
    </row>
    <row r="425" spans="1:66" x14ac:dyDescent="0.3">
      <c r="B425" t="s">
        <v>443</v>
      </c>
      <c r="C425">
        <v>-0.80369999999999997</v>
      </c>
      <c r="D425">
        <v>11.609400000000001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0</v>
      </c>
      <c r="BG425">
        <v>0</v>
      </c>
      <c r="BH425">
        <v>0</v>
      </c>
      <c r="BI425">
        <v>0</v>
      </c>
      <c r="BJ425">
        <v>0</v>
      </c>
      <c r="BK425">
        <v>0</v>
      </c>
      <c r="BL425">
        <v>0</v>
      </c>
      <c r="BM425">
        <v>0</v>
      </c>
      <c r="BN425">
        <v>0</v>
      </c>
    </row>
    <row r="426" spans="1:66" x14ac:dyDescent="0.3">
      <c r="B426" t="s">
        <v>444</v>
      </c>
      <c r="C426">
        <v>15.7835</v>
      </c>
      <c r="D426">
        <v>-90.230800000000002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  <c r="BF426">
        <v>0</v>
      </c>
      <c r="BG426">
        <v>0</v>
      </c>
      <c r="BH426">
        <v>0</v>
      </c>
      <c r="BI426">
        <v>0</v>
      </c>
      <c r="BJ426">
        <v>0</v>
      </c>
      <c r="BK426">
        <v>0</v>
      </c>
      <c r="BL426">
        <v>0</v>
      </c>
      <c r="BM426">
        <v>0</v>
      </c>
      <c r="BN426">
        <v>0</v>
      </c>
    </row>
    <row r="427" spans="1:66" x14ac:dyDescent="0.3">
      <c r="B427" t="s">
        <v>445</v>
      </c>
      <c r="C427">
        <v>21.007899999999999</v>
      </c>
      <c r="D427">
        <v>10.940799999999999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0</v>
      </c>
      <c r="BF427">
        <v>0</v>
      </c>
      <c r="BG427">
        <v>0</v>
      </c>
      <c r="BH427">
        <v>0</v>
      </c>
      <c r="BI427">
        <v>0</v>
      </c>
      <c r="BJ427">
        <v>0</v>
      </c>
      <c r="BK427">
        <v>0</v>
      </c>
      <c r="BL427">
        <v>0</v>
      </c>
      <c r="BM427">
        <v>0</v>
      </c>
      <c r="BN427">
        <v>0</v>
      </c>
    </row>
    <row r="428" spans="1:66" x14ac:dyDescent="0.3">
      <c r="B428" t="s">
        <v>446</v>
      </c>
      <c r="C428">
        <v>-1.9402999999999999</v>
      </c>
      <c r="D428">
        <v>29.873899999999999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>
        <v>0</v>
      </c>
      <c r="BG428">
        <v>0</v>
      </c>
      <c r="BH428">
        <v>0</v>
      </c>
      <c r="BI428">
        <v>0</v>
      </c>
      <c r="BJ428">
        <v>0</v>
      </c>
      <c r="BK428">
        <v>0</v>
      </c>
      <c r="BL428">
        <v>0</v>
      </c>
      <c r="BM428">
        <v>0</v>
      </c>
      <c r="BN428">
        <v>0</v>
      </c>
    </row>
    <row r="429" spans="1:66" x14ac:dyDescent="0.3">
      <c r="B429" t="s">
        <v>447</v>
      </c>
      <c r="C429">
        <v>13.9094</v>
      </c>
      <c r="D429">
        <v>-60.978900000000003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  <c r="BF429">
        <v>0</v>
      </c>
      <c r="BG429">
        <v>0</v>
      </c>
      <c r="BH429">
        <v>0</v>
      </c>
      <c r="BI429">
        <v>0</v>
      </c>
      <c r="BJ429">
        <v>0</v>
      </c>
      <c r="BK429">
        <v>0</v>
      </c>
      <c r="BL429">
        <v>0</v>
      </c>
      <c r="BM429">
        <v>0</v>
      </c>
      <c r="BN429">
        <v>0</v>
      </c>
    </row>
    <row r="430" spans="1:66" x14ac:dyDescent="0.3">
      <c r="B430" t="s">
        <v>448</v>
      </c>
      <c r="C430">
        <v>12.984299999999999</v>
      </c>
      <c r="D430">
        <v>-61.287199999999999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  <c r="BF430">
        <v>0</v>
      </c>
      <c r="BG430">
        <v>0</v>
      </c>
      <c r="BH430">
        <v>0</v>
      </c>
      <c r="BI430">
        <v>0</v>
      </c>
      <c r="BJ430">
        <v>0</v>
      </c>
      <c r="BK430">
        <v>0</v>
      </c>
      <c r="BL430">
        <v>0</v>
      </c>
      <c r="BM430">
        <v>0</v>
      </c>
      <c r="BN430">
        <v>0</v>
      </c>
    </row>
    <row r="431" spans="1:66" x14ac:dyDescent="0.3">
      <c r="B431" t="s">
        <v>449</v>
      </c>
      <c r="C431">
        <v>3.9192999999999998</v>
      </c>
      <c r="D431">
        <v>-56.027799999999999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0</v>
      </c>
      <c r="BF431">
        <v>0</v>
      </c>
      <c r="BG431">
        <v>0</v>
      </c>
      <c r="BH431">
        <v>0</v>
      </c>
      <c r="BI431">
        <v>0</v>
      </c>
      <c r="BJ431">
        <v>0</v>
      </c>
      <c r="BK431">
        <v>0</v>
      </c>
      <c r="BL431">
        <v>0</v>
      </c>
      <c r="BM431">
        <v>0</v>
      </c>
      <c r="BN431">
        <v>0</v>
      </c>
    </row>
    <row r="432" spans="1:66" x14ac:dyDescent="0.3">
      <c r="A432" t="s">
        <v>176</v>
      </c>
      <c r="B432" t="s">
        <v>41</v>
      </c>
      <c r="C432">
        <v>3.9339</v>
      </c>
      <c r="D432">
        <v>-53.125799999999998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0</v>
      </c>
      <c r="AY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  <c r="BF432">
        <v>0</v>
      </c>
      <c r="BG432">
        <v>0</v>
      </c>
      <c r="BH432">
        <v>0</v>
      </c>
      <c r="BI432">
        <v>0</v>
      </c>
      <c r="BJ432">
        <v>0</v>
      </c>
      <c r="BK432">
        <v>0</v>
      </c>
      <c r="BL432">
        <v>0</v>
      </c>
      <c r="BM432">
        <v>6</v>
      </c>
      <c r="BN432">
        <v>0</v>
      </c>
    </row>
    <row r="433" spans="1:66" x14ac:dyDescent="0.3">
      <c r="A433" t="s">
        <v>456</v>
      </c>
      <c r="B433" t="s">
        <v>38</v>
      </c>
      <c r="C433">
        <v>13.4443</v>
      </c>
      <c r="D433">
        <v>144.7937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0</v>
      </c>
      <c r="BG433">
        <v>0</v>
      </c>
      <c r="BH433">
        <v>0</v>
      </c>
      <c r="BI433">
        <v>0</v>
      </c>
      <c r="BJ433">
        <v>0</v>
      </c>
      <c r="BK433">
        <v>0</v>
      </c>
      <c r="BL433">
        <v>0</v>
      </c>
      <c r="BM433">
        <v>0</v>
      </c>
      <c r="BN433">
        <v>0</v>
      </c>
    </row>
    <row r="434" spans="1:66" x14ac:dyDescent="0.3">
      <c r="B434" t="s">
        <v>457</v>
      </c>
      <c r="C434">
        <v>42.602600000000002</v>
      </c>
      <c r="D434">
        <v>20.902999999999999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0</v>
      </c>
      <c r="BG434">
        <v>0</v>
      </c>
      <c r="BH434">
        <v>0</v>
      </c>
      <c r="BI434">
        <v>0</v>
      </c>
      <c r="BJ434">
        <v>0</v>
      </c>
      <c r="BK434">
        <v>0</v>
      </c>
      <c r="BL434">
        <v>0</v>
      </c>
      <c r="BM434">
        <v>0</v>
      </c>
      <c r="BN434">
        <v>0</v>
      </c>
    </row>
    <row r="435" spans="1:66" x14ac:dyDescent="0.3">
      <c r="A435" t="s">
        <v>458</v>
      </c>
      <c r="B435" t="s">
        <v>45</v>
      </c>
      <c r="C435">
        <v>53.1355</v>
      </c>
      <c r="D435">
        <v>-57.660400000000003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0</v>
      </c>
      <c r="BG435">
        <v>0</v>
      </c>
      <c r="BH435">
        <v>0</v>
      </c>
      <c r="BI435">
        <v>0</v>
      </c>
      <c r="BJ435">
        <v>0</v>
      </c>
      <c r="BK435">
        <v>0</v>
      </c>
      <c r="BL435">
        <v>0</v>
      </c>
      <c r="BM435">
        <v>0</v>
      </c>
      <c r="BN435">
        <v>0</v>
      </c>
    </row>
    <row r="436" spans="1:66" x14ac:dyDescent="0.3">
      <c r="A436" t="s">
        <v>459</v>
      </c>
      <c r="B436" t="s">
        <v>45</v>
      </c>
      <c r="C436">
        <v>46.5107</v>
      </c>
      <c r="D436">
        <v>-63.416800000000002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0</v>
      </c>
      <c r="BG436">
        <v>0</v>
      </c>
      <c r="BH436">
        <v>0</v>
      </c>
      <c r="BI436">
        <v>0</v>
      </c>
      <c r="BJ436">
        <v>0</v>
      </c>
      <c r="BK436">
        <v>0</v>
      </c>
      <c r="BL436">
        <v>0</v>
      </c>
      <c r="BM436">
        <v>0</v>
      </c>
      <c r="BN436">
        <v>0</v>
      </c>
    </row>
    <row r="437" spans="1:66" x14ac:dyDescent="0.3">
      <c r="B437" t="s">
        <v>460</v>
      </c>
      <c r="C437">
        <v>6.6111000000000004</v>
      </c>
      <c r="D437">
        <v>20.939399999999999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G437">
        <v>0</v>
      </c>
      <c r="BH437">
        <v>0</v>
      </c>
      <c r="BI437">
        <v>0</v>
      </c>
      <c r="BJ437">
        <v>0</v>
      </c>
      <c r="BK437">
        <v>0</v>
      </c>
      <c r="BL437">
        <v>0</v>
      </c>
      <c r="BM437">
        <v>0</v>
      </c>
      <c r="BN437">
        <v>0</v>
      </c>
    </row>
    <row r="438" spans="1:66" x14ac:dyDescent="0.3">
      <c r="B438" t="s">
        <v>461</v>
      </c>
      <c r="C438">
        <v>-4.0382999999999996</v>
      </c>
      <c r="D438">
        <v>21.758700000000001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0</v>
      </c>
      <c r="BG438">
        <v>0</v>
      </c>
      <c r="BH438">
        <v>0</v>
      </c>
      <c r="BI438">
        <v>0</v>
      </c>
      <c r="BJ438">
        <v>0</v>
      </c>
      <c r="BK438">
        <v>0</v>
      </c>
      <c r="BL438">
        <v>0</v>
      </c>
      <c r="BM438">
        <v>0</v>
      </c>
      <c r="BN438">
        <v>0</v>
      </c>
    </row>
    <row r="439" spans="1:66" x14ac:dyDescent="0.3">
      <c r="B439" t="s">
        <v>462</v>
      </c>
      <c r="C439">
        <v>1.5</v>
      </c>
      <c r="D439">
        <v>10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0</v>
      </c>
      <c r="BG439">
        <v>0</v>
      </c>
      <c r="BH439">
        <v>0</v>
      </c>
      <c r="BI439">
        <v>0</v>
      </c>
      <c r="BJ439">
        <v>0</v>
      </c>
      <c r="BK439">
        <v>0</v>
      </c>
      <c r="BL439">
        <v>0</v>
      </c>
      <c r="BM439">
        <v>0</v>
      </c>
      <c r="BN439">
        <v>0</v>
      </c>
    </row>
    <row r="440" spans="1:66" x14ac:dyDescent="0.3">
      <c r="A440" t="s">
        <v>463</v>
      </c>
      <c r="B440" t="s">
        <v>41</v>
      </c>
      <c r="C440">
        <v>-12.827500000000001</v>
      </c>
      <c r="D440">
        <v>45.166200000000003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0</v>
      </c>
      <c r="BG440">
        <v>0</v>
      </c>
      <c r="BH440">
        <v>0</v>
      </c>
      <c r="BI440">
        <v>0</v>
      </c>
      <c r="BJ440">
        <v>0</v>
      </c>
      <c r="BK440">
        <v>0</v>
      </c>
      <c r="BL440">
        <v>0</v>
      </c>
      <c r="BM440">
        <v>0</v>
      </c>
      <c r="BN440">
        <v>0</v>
      </c>
    </row>
    <row r="441" spans="1:66" x14ac:dyDescent="0.3">
      <c r="B441" t="s">
        <v>464</v>
      </c>
      <c r="C441">
        <v>41.377499999999998</v>
      </c>
      <c r="D441">
        <v>64.585300000000004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0</v>
      </c>
      <c r="BG441">
        <v>0</v>
      </c>
      <c r="BH441">
        <v>0</v>
      </c>
      <c r="BI441">
        <v>0</v>
      </c>
      <c r="BJ441">
        <v>0</v>
      </c>
      <c r="BK441">
        <v>0</v>
      </c>
      <c r="BL441">
        <v>0</v>
      </c>
      <c r="BM441">
        <v>0</v>
      </c>
      <c r="BN441">
        <v>0</v>
      </c>
    </row>
    <row r="442" spans="1:66" x14ac:dyDescent="0.3">
      <c r="A442" t="s">
        <v>89</v>
      </c>
      <c r="B442" t="s">
        <v>89</v>
      </c>
      <c r="C442">
        <v>52.132599999999996</v>
      </c>
      <c r="D442">
        <v>5.2912999999999997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0</v>
      </c>
      <c r="AX442">
        <v>0</v>
      </c>
      <c r="AY442">
        <v>0</v>
      </c>
      <c r="AZ442">
        <v>0</v>
      </c>
      <c r="BA442">
        <v>0</v>
      </c>
      <c r="BB442">
        <v>0</v>
      </c>
      <c r="BC442">
        <v>0</v>
      </c>
      <c r="BD442">
        <v>0</v>
      </c>
      <c r="BE442">
        <v>2</v>
      </c>
      <c r="BF442">
        <v>2</v>
      </c>
      <c r="BG442">
        <v>2</v>
      </c>
      <c r="BH442">
        <v>2</v>
      </c>
      <c r="BI442">
        <v>2</v>
      </c>
      <c r="BJ442">
        <v>2</v>
      </c>
      <c r="BK442">
        <v>2</v>
      </c>
      <c r="BL442">
        <v>2</v>
      </c>
      <c r="BM442">
        <v>2</v>
      </c>
      <c r="BN442">
        <v>2</v>
      </c>
    </row>
    <row r="443" spans="1:66" x14ac:dyDescent="0.3">
      <c r="A443" t="s">
        <v>467</v>
      </c>
      <c r="B443" t="s">
        <v>45</v>
      </c>
      <c r="C443">
        <v>44.681999999999903</v>
      </c>
      <c r="D443">
        <v>-63.744300000000003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0</v>
      </c>
      <c r="BH443">
        <v>0</v>
      </c>
      <c r="BI443">
        <v>0</v>
      </c>
      <c r="BJ443">
        <v>0</v>
      </c>
      <c r="BK443">
        <v>0</v>
      </c>
      <c r="BL443">
        <v>0</v>
      </c>
      <c r="BM443">
        <v>0</v>
      </c>
      <c r="BN443">
        <v>0</v>
      </c>
    </row>
    <row r="444" spans="1:66" x14ac:dyDescent="0.3">
      <c r="A444" t="s">
        <v>416</v>
      </c>
      <c r="B444" t="s">
        <v>41</v>
      </c>
      <c r="C444">
        <v>16.25</v>
      </c>
      <c r="D444">
        <v>-61.583300000000001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G444">
        <v>0</v>
      </c>
      <c r="BH444">
        <v>0</v>
      </c>
      <c r="BI444">
        <v>0</v>
      </c>
      <c r="BJ444">
        <v>0</v>
      </c>
      <c r="BK444">
        <v>0</v>
      </c>
      <c r="BL444">
        <v>0</v>
      </c>
      <c r="BM444">
        <v>0</v>
      </c>
      <c r="BN444">
        <v>0</v>
      </c>
    </row>
    <row r="445" spans="1:66" x14ac:dyDescent="0.3">
      <c r="B445" t="s">
        <v>468</v>
      </c>
      <c r="C445">
        <v>9.3077000000000005</v>
      </c>
      <c r="D445">
        <v>2.3157999999999999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0</v>
      </c>
      <c r="BH445">
        <v>0</v>
      </c>
      <c r="BI445">
        <v>0</v>
      </c>
      <c r="BJ445">
        <v>0</v>
      </c>
      <c r="BK445">
        <v>0</v>
      </c>
      <c r="BL445">
        <v>0</v>
      </c>
      <c r="BM445">
        <v>0</v>
      </c>
      <c r="BN445">
        <v>0</v>
      </c>
    </row>
    <row r="446" spans="1:66" x14ac:dyDescent="0.3">
      <c r="B446" t="s">
        <v>470</v>
      </c>
      <c r="C446">
        <v>6.4280999999999997</v>
      </c>
      <c r="D446">
        <v>-9.4295000000000009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0</v>
      </c>
      <c r="BH446">
        <v>0</v>
      </c>
      <c r="BI446">
        <v>0</v>
      </c>
      <c r="BJ446">
        <v>0</v>
      </c>
      <c r="BK446">
        <v>0</v>
      </c>
      <c r="BL446">
        <v>0</v>
      </c>
      <c r="BM446">
        <v>0</v>
      </c>
      <c r="BN446">
        <v>0</v>
      </c>
    </row>
    <row r="447" spans="1:66" x14ac:dyDescent="0.3">
      <c r="A447" t="s">
        <v>441</v>
      </c>
      <c r="B447" t="s">
        <v>89</v>
      </c>
      <c r="C447">
        <v>12.169600000000001</v>
      </c>
      <c r="D447">
        <v>-68.989999999999995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G447">
        <v>0</v>
      </c>
      <c r="BH447">
        <v>0</v>
      </c>
      <c r="BI447">
        <v>0</v>
      </c>
      <c r="BJ447">
        <v>0</v>
      </c>
      <c r="BK447">
        <v>0</v>
      </c>
      <c r="BL447">
        <v>0</v>
      </c>
      <c r="BM447">
        <v>0</v>
      </c>
      <c r="BN447">
        <v>0</v>
      </c>
    </row>
    <row r="448" spans="1:66" x14ac:dyDescent="0.3">
      <c r="B448" t="s">
        <v>471</v>
      </c>
      <c r="C448">
        <v>5.1520999999999999</v>
      </c>
      <c r="D448">
        <v>46.199599999999997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0</v>
      </c>
      <c r="BH448">
        <v>0</v>
      </c>
      <c r="BI448">
        <v>0</v>
      </c>
      <c r="BJ448">
        <v>0</v>
      </c>
      <c r="BK448">
        <v>0</v>
      </c>
      <c r="BL448">
        <v>0</v>
      </c>
      <c r="BM448">
        <v>0</v>
      </c>
      <c r="BN448">
        <v>0</v>
      </c>
    </row>
    <row r="449" spans="1:66" x14ac:dyDescent="0.3">
      <c r="B449" t="s">
        <v>472</v>
      </c>
      <c r="C449">
        <v>-6.3689999999999998</v>
      </c>
      <c r="D449">
        <v>34.888800000000003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0</v>
      </c>
      <c r="BH449">
        <v>0</v>
      </c>
      <c r="BI449">
        <v>0</v>
      </c>
      <c r="BJ449">
        <v>0</v>
      </c>
      <c r="BK449">
        <v>0</v>
      </c>
      <c r="BL449">
        <v>0</v>
      </c>
      <c r="BM449">
        <v>0</v>
      </c>
      <c r="BN449">
        <v>0</v>
      </c>
    </row>
    <row r="450" spans="1:66" x14ac:dyDescent="0.3">
      <c r="A450" t="s">
        <v>473</v>
      </c>
      <c r="B450" t="s">
        <v>38</v>
      </c>
      <c r="C450">
        <v>18.335799999999999</v>
      </c>
      <c r="D450">
        <v>-64.896299999999997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G450">
        <v>0</v>
      </c>
      <c r="BH450">
        <v>0</v>
      </c>
      <c r="BI450">
        <v>0</v>
      </c>
      <c r="BJ450">
        <v>0</v>
      </c>
      <c r="BK450">
        <v>0</v>
      </c>
      <c r="BL450">
        <v>0</v>
      </c>
      <c r="BM450">
        <v>0</v>
      </c>
    </row>
    <row r="451" spans="1:66" x14ac:dyDescent="0.3">
      <c r="A451" t="s">
        <v>415</v>
      </c>
      <c r="B451" t="s">
        <v>349</v>
      </c>
      <c r="C451">
        <v>19.313300000000002</v>
      </c>
      <c r="D451">
        <v>-81.254599999999996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G451">
        <v>0</v>
      </c>
      <c r="BH451">
        <v>0</v>
      </c>
      <c r="BI451">
        <v>0</v>
      </c>
      <c r="BJ451">
        <v>0</v>
      </c>
      <c r="BK451">
        <v>0</v>
      </c>
      <c r="BL451">
        <v>0</v>
      </c>
      <c r="BM451">
        <v>0</v>
      </c>
      <c r="BN451">
        <v>0</v>
      </c>
    </row>
    <row r="452" spans="1:66" x14ac:dyDescent="0.3">
      <c r="A452" t="s">
        <v>354</v>
      </c>
      <c r="B452" t="s">
        <v>41</v>
      </c>
      <c r="C452">
        <v>-21.135100000000001</v>
      </c>
      <c r="D452">
        <v>55.247100000000003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  <c r="BF452">
        <v>0</v>
      </c>
      <c r="BG452">
        <v>0</v>
      </c>
      <c r="BH452">
        <v>0</v>
      </c>
      <c r="BI452">
        <v>0</v>
      </c>
      <c r="BJ452">
        <v>0</v>
      </c>
      <c r="BK452">
        <v>0</v>
      </c>
      <c r="BL452">
        <v>0</v>
      </c>
      <c r="BM452">
        <v>0</v>
      </c>
      <c r="BN452">
        <v>0</v>
      </c>
    </row>
    <row r="453" spans="1:66" x14ac:dyDescent="0.3">
      <c r="B453" t="s">
        <v>485</v>
      </c>
      <c r="C453">
        <v>13.193899999999999</v>
      </c>
      <c r="D453">
        <v>-59.543199999999999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0</v>
      </c>
      <c r="BI453">
        <v>0</v>
      </c>
      <c r="BJ453">
        <v>0</v>
      </c>
      <c r="BK453">
        <v>0</v>
      </c>
      <c r="BL453">
        <v>0</v>
      </c>
      <c r="BM453">
        <v>0</v>
      </c>
      <c r="BN453">
        <v>0</v>
      </c>
    </row>
    <row r="454" spans="1:66" x14ac:dyDescent="0.3">
      <c r="B454" t="s">
        <v>484</v>
      </c>
      <c r="C454">
        <v>42.5</v>
      </c>
      <c r="D454">
        <v>19.3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  <c r="BF454">
        <v>0</v>
      </c>
      <c r="BG454">
        <v>0</v>
      </c>
      <c r="BH454">
        <v>0</v>
      </c>
      <c r="BI454">
        <v>0</v>
      </c>
      <c r="BJ454">
        <v>0</v>
      </c>
      <c r="BK454">
        <v>0</v>
      </c>
      <c r="BL454">
        <v>0</v>
      </c>
      <c r="BM454">
        <v>0</v>
      </c>
      <c r="BN454">
        <v>0</v>
      </c>
    </row>
    <row r="455" spans="1:66" x14ac:dyDescent="0.3">
      <c r="B455" t="s">
        <v>481</v>
      </c>
      <c r="C455">
        <v>41.2044</v>
      </c>
      <c r="D455">
        <v>74.766099999999994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0</v>
      </c>
      <c r="BI455">
        <v>0</v>
      </c>
      <c r="BJ455">
        <v>0</v>
      </c>
      <c r="BK455">
        <v>0</v>
      </c>
      <c r="BL455">
        <v>0</v>
      </c>
      <c r="BM455">
        <v>0</v>
      </c>
      <c r="BN455">
        <v>0</v>
      </c>
    </row>
    <row r="456" spans="1:66" x14ac:dyDescent="0.3">
      <c r="B456" t="s">
        <v>482</v>
      </c>
      <c r="C456">
        <v>-20.2</v>
      </c>
      <c r="D456">
        <v>57.5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0</v>
      </c>
      <c r="BI456">
        <v>0</v>
      </c>
      <c r="BJ456">
        <v>0</v>
      </c>
      <c r="BK456">
        <v>0</v>
      </c>
      <c r="BL456">
        <v>0</v>
      </c>
      <c r="BM456">
        <v>0</v>
      </c>
      <c r="BN456">
        <v>0</v>
      </c>
    </row>
    <row r="457" spans="1:66" x14ac:dyDescent="0.3">
      <c r="A457" t="s">
        <v>422</v>
      </c>
      <c r="B457" t="s">
        <v>89</v>
      </c>
      <c r="C457">
        <v>12.518599999999999</v>
      </c>
      <c r="D457">
        <v>-70.035799999999995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G457">
        <v>0</v>
      </c>
      <c r="BH457">
        <v>0</v>
      </c>
      <c r="BI457">
        <v>0</v>
      </c>
      <c r="BJ457">
        <v>0</v>
      </c>
      <c r="BK457">
        <v>0</v>
      </c>
      <c r="BL457">
        <v>0</v>
      </c>
      <c r="BM457">
        <v>0</v>
      </c>
      <c r="BN457">
        <v>0</v>
      </c>
    </row>
    <row r="458" spans="1:66" x14ac:dyDescent="0.3">
      <c r="B458" t="s">
        <v>480</v>
      </c>
      <c r="C458">
        <v>-15.416700000000001</v>
      </c>
      <c r="D458">
        <v>28.283300000000001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  <c r="BI458">
        <v>0</v>
      </c>
      <c r="BJ458">
        <v>0</v>
      </c>
      <c r="BK458">
        <v>0</v>
      </c>
      <c r="BL458">
        <v>0</v>
      </c>
      <c r="BM458">
        <v>0</v>
      </c>
      <c r="BN458">
        <v>0</v>
      </c>
    </row>
    <row r="459" spans="1:66" x14ac:dyDescent="0.3">
      <c r="B459" t="s">
        <v>483</v>
      </c>
      <c r="C459">
        <v>11.825100000000001</v>
      </c>
      <c r="D459">
        <v>42.590299999999999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  <c r="BI459">
        <v>0</v>
      </c>
      <c r="BJ459">
        <v>0</v>
      </c>
      <c r="BK459">
        <v>0</v>
      </c>
      <c r="BL459">
        <v>0</v>
      </c>
      <c r="BM459">
        <v>0</v>
      </c>
      <c r="BN459">
        <v>0</v>
      </c>
    </row>
    <row r="460" spans="1:66" x14ac:dyDescent="0.3">
      <c r="B460" t="s">
        <v>510</v>
      </c>
      <c r="C460">
        <v>13.443199999999999</v>
      </c>
      <c r="D460">
        <v>-15.3101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0</v>
      </c>
      <c r="BI460">
        <v>0</v>
      </c>
      <c r="BJ460">
        <v>0</v>
      </c>
      <c r="BK460">
        <v>0</v>
      </c>
      <c r="BL460">
        <v>0</v>
      </c>
      <c r="BM460">
        <v>0</v>
      </c>
      <c r="BN460">
        <v>0</v>
      </c>
    </row>
    <row r="461" spans="1:66" x14ac:dyDescent="0.3">
      <c r="A461" t="s">
        <v>486</v>
      </c>
      <c r="B461" t="s">
        <v>349</v>
      </c>
      <c r="C461">
        <v>16.7425</v>
      </c>
      <c r="D461">
        <v>-62.187399999999997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0</v>
      </c>
      <c r="BJ461">
        <v>0</v>
      </c>
      <c r="BK461">
        <v>0</v>
      </c>
      <c r="BL461">
        <v>0</v>
      </c>
      <c r="BM461">
        <v>0</v>
      </c>
      <c r="BN461">
        <v>0</v>
      </c>
    </row>
    <row r="462" spans="1:66" x14ac:dyDescent="0.3">
      <c r="B462" t="s">
        <v>520</v>
      </c>
      <c r="C462">
        <v>25.034300000000002</v>
      </c>
      <c r="D462">
        <v>-77.396299999999997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0</v>
      </c>
      <c r="BH462">
        <v>0</v>
      </c>
      <c r="BI462">
        <v>0</v>
      </c>
      <c r="BJ462">
        <v>0</v>
      </c>
      <c r="BK462">
        <v>0</v>
      </c>
      <c r="BL462">
        <v>0</v>
      </c>
      <c r="BM462">
        <v>0</v>
      </c>
      <c r="BN462">
        <v>0</v>
      </c>
    </row>
    <row r="463" spans="1:66" x14ac:dyDescent="0.3">
      <c r="A463" t="s">
        <v>469</v>
      </c>
      <c r="B463" t="s">
        <v>87</v>
      </c>
      <c r="C463">
        <v>71.706900000000005</v>
      </c>
      <c r="D463">
        <v>-42.604300000000002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G463">
        <v>0</v>
      </c>
      <c r="BH463">
        <v>0</v>
      </c>
      <c r="BI463">
        <v>0</v>
      </c>
      <c r="BJ463">
        <v>0</v>
      </c>
      <c r="BK463">
        <v>0</v>
      </c>
      <c r="BL463">
        <v>0</v>
      </c>
      <c r="BM463">
        <v>0</v>
      </c>
      <c r="BN463">
        <v>0</v>
      </c>
    </row>
    <row r="464" spans="1:66" x14ac:dyDescent="0.3">
      <c r="A464" t="s">
        <v>521</v>
      </c>
      <c r="B464" t="s">
        <v>41</v>
      </c>
      <c r="C464">
        <v>-20.904299999999999</v>
      </c>
      <c r="D464">
        <v>165.61799999999999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G464">
        <v>0</v>
      </c>
      <c r="BH464">
        <v>0</v>
      </c>
      <c r="BI464">
        <v>0</v>
      </c>
      <c r="BJ464">
        <v>0</v>
      </c>
      <c r="BK464">
        <v>0</v>
      </c>
      <c r="BL464">
        <v>0</v>
      </c>
      <c r="BM464">
        <v>0</v>
      </c>
      <c r="BN464">
        <v>0</v>
      </c>
    </row>
    <row r="465" spans="1:66" x14ac:dyDescent="0.3">
      <c r="A465" t="s">
        <v>522</v>
      </c>
      <c r="B465" t="s">
        <v>349</v>
      </c>
      <c r="C465">
        <v>32.3078</v>
      </c>
      <c r="D465">
        <v>-64.750500000000002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G465">
        <v>0</v>
      </c>
      <c r="BH465">
        <v>0</v>
      </c>
      <c r="BI465">
        <v>0</v>
      </c>
      <c r="BJ465">
        <v>0</v>
      </c>
      <c r="BK465">
        <v>0</v>
      </c>
      <c r="BL465">
        <v>0</v>
      </c>
      <c r="BM465">
        <v>0</v>
      </c>
      <c r="BN465">
        <v>0</v>
      </c>
    </row>
    <row r="466" spans="1:66" x14ac:dyDescent="0.3">
      <c r="B466" t="s">
        <v>523</v>
      </c>
      <c r="C466">
        <v>15.4542</v>
      </c>
      <c r="D466">
        <v>18.732199999999999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G466">
        <v>0</v>
      </c>
      <c r="BH466">
        <v>0</v>
      </c>
      <c r="BI466">
        <v>0</v>
      </c>
      <c r="BJ466">
        <v>0</v>
      </c>
      <c r="BK466">
        <v>0</v>
      </c>
      <c r="BL466">
        <v>0</v>
      </c>
      <c r="BM466">
        <v>0</v>
      </c>
      <c r="BN466">
        <v>0</v>
      </c>
    </row>
    <row r="467" spans="1:66" x14ac:dyDescent="0.3">
      <c r="B467" t="s">
        <v>524</v>
      </c>
      <c r="C467">
        <v>13.7942</v>
      </c>
      <c r="D467">
        <v>-88.896500000000003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G467">
        <v>0</v>
      </c>
      <c r="BH467">
        <v>0</v>
      </c>
      <c r="BI467">
        <v>0</v>
      </c>
      <c r="BJ467">
        <v>0</v>
      </c>
      <c r="BK467">
        <v>0</v>
      </c>
      <c r="BL467">
        <v>0</v>
      </c>
      <c r="BM467">
        <v>0</v>
      </c>
      <c r="BN467">
        <v>0</v>
      </c>
    </row>
    <row r="468" spans="1:66" x14ac:dyDescent="0.3">
      <c r="B468" t="s">
        <v>525</v>
      </c>
      <c r="C468">
        <v>-17.7134</v>
      </c>
      <c r="D468">
        <v>178.065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>
        <v>0</v>
      </c>
      <c r="BG468">
        <v>0</v>
      </c>
      <c r="BH468">
        <v>0</v>
      </c>
      <c r="BI468">
        <v>0</v>
      </c>
      <c r="BJ468">
        <v>0</v>
      </c>
      <c r="BK468">
        <v>0</v>
      </c>
      <c r="BL468">
        <v>0</v>
      </c>
      <c r="BM468">
        <v>0</v>
      </c>
      <c r="BN468">
        <v>0</v>
      </c>
    </row>
    <row r="469" spans="1:66" x14ac:dyDescent="0.3">
      <c r="B469" t="s">
        <v>526</v>
      </c>
      <c r="C469">
        <v>12.865399999999999</v>
      </c>
      <c r="D469">
        <v>-85.2072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G469">
        <v>0</v>
      </c>
      <c r="BH469">
        <v>0</v>
      </c>
      <c r="BI469">
        <v>0</v>
      </c>
      <c r="BJ469">
        <v>0</v>
      </c>
      <c r="BK469">
        <v>0</v>
      </c>
      <c r="BL469">
        <v>0</v>
      </c>
      <c r="BM469">
        <v>0</v>
      </c>
      <c r="BN469">
        <v>0</v>
      </c>
    </row>
    <row r="470" spans="1:66" x14ac:dyDescent="0.3">
      <c r="B470" t="s">
        <v>530</v>
      </c>
      <c r="C470">
        <v>-18.7669</v>
      </c>
      <c r="D470">
        <v>46.869100000000003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U470">
        <v>0</v>
      </c>
      <c r="AV470">
        <v>0</v>
      </c>
      <c r="AW470">
        <v>0</v>
      </c>
      <c r="AX470">
        <v>0</v>
      </c>
      <c r="AY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G470">
        <v>0</v>
      </c>
      <c r="BH470">
        <v>0</v>
      </c>
      <c r="BI470">
        <v>0</v>
      </c>
      <c r="BJ470">
        <v>0</v>
      </c>
      <c r="BK470">
        <v>0</v>
      </c>
      <c r="BL470">
        <v>0</v>
      </c>
      <c r="BM470">
        <v>0</v>
      </c>
      <c r="BN470">
        <v>0</v>
      </c>
    </row>
    <row r="471" spans="1:66" x14ac:dyDescent="0.3">
      <c r="B471" t="s">
        <v>531</v>
      </c>
      <c r="C471">
        <v>18.9712</v>
      </c>
      <c r="D471">
        <v>-72.285200000000003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G471">
        <v>0</v>
      </c>
      <c r="BH471">
        <v>0</v>
      </c>
      <c r="BI471">
        <v>0</v>
      </c>
      <c r="BJ471">
        <v>0</v>
      </c>
      <c r="BK471">
        <v>0</v>
      </c>
      <c r="BL471">
        <v>0</v>
      </c>
      <c r="BM471">
        <v>0</v>
      </c>
      <c r="BN471">
        <v>0</v>
      </c>
    </row>
    <row r="472" spans="1:66" x14ac:dyDescent="0.3">
      <c r="B472" t="s">
        <v>532</v>
      </c>
      <c r="C472">
        <v>-11.2027</v>
      </c>
      <c r="D472">
        <v>17.873899999999999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U472">
        <v>0</v>
      </c>
      <c r="AV472">
        <v>0</v>
      </c>
      <c r="AW472">
        <v>0</v>
      </c>
      <c r="AX472">
        <v>0</v>
      </c>
      <c r="AY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  <c r="BF472">
        <v>0</v>
      </c>
      <c r="BG472">
        <v>0</v>
      </c>
      <c r="BH472">
        <v>0</v>
      </c>
      <c r="BI472">
        <v>0</v>
      </c>
      <c r="BJ472">
        <v>0</v>
      </c>
      <c r="BK472">
        <v>0</v>
      </c>
      <c r="BL472">
        <v>0</v>
      </c>
      <c r="BM472">
        <v>0</v>
      </c>
      <c r="BN472">
        <v>0</v>
      </c>
    </row>
    <row r="473" spans="1:66" x14ac:dyDescent="0.3">
      <c r="B473" t="s">
        <v>533</v>
      </c>
      <c r="C473">
        <v>16.538799999999998</v>
      </c>
      <c r="D473">
        <v>-23.041799999999999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G473">
        <v>0</v>
      </c>
      <c r="BH473">
        <v>0</v>
      </c>
      <c r="BI473">
        <v>0</v>
      </c>
      <c r="BJ473">
        <v>0</v>
      </c>
      <c r="BK473">
        <v>0</v>
      </c>
      <c r="BL473">
        <v>0</v>
      </c>
      <c r="BM473">
        <v>0</v>
      </c>
      <c r="BN473">
        <v>0</v>
      </c>
    </row>
    <row r="474" spans="1:66" x14ac:dyDescent="0.3">
      <c r="A474" t="s">
        <v>534</v>
      </c>
      <c r="B474" t="s">
        <v>89</v>
      </c>
      <c r="C474">
        <v>18.0425</v>
      </c>
      <c r="D474">
        <v>-63.0548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0</v>
      </c>
      <c r="AU474">
        <v>0</v>
      </c>
      <c r="AV474">
        <v>0</v>
      </c>
      <c r="AW474">
        <v>0</v>
      </c>
      <c r="AX474">
        <v>0</v>
      </c>
      <c r="AY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  <c r="BF474">
        <v>0</v>
      </c>
      <c r="BG474">
        <v>0</v>
      </c>
      <c r="BH474">
        <v>0</v>
      </c>
      <c r="BI474">
        <v>0</v>
      </c>
      <c r="BJ474">
        <v>0</v>
      </c>
      <c r="BK474">
        <v>0</v>
      </c>
      <c r="BL474">
        <v>0</v>
      </c>
      <c r="BM474">
        <v>0</v>
      </c>
      <c r="BN474">
        <v>0</v>
      </c>
    </row>
    <row r="475" spans="1:66" x14ac:dyDescent="0.3">
      <c r="B475" t="s">
        <v>535</v>
      </c>
      <c r="C475">
        <v>17.607800000000001</v>
      </c>
      <c r="D475">
        <v>8.0816999999999997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  <c r="AQ475">
        <v>0</v>
      </c>
      <c r="AR475">
        <v>0</v>
      </c>
      <c r="AS475">
        <v>0</v>
      </c>
      <c r="AT475">
        <v>0</v>
      </c>
      <c r="AU475">
        <v>0</v>
      </c>
      <c r="AV475">
        <v>0</v>
      </c>
      <c r="AW475">
        <v>0</v>
      </c>
      <c r="AX475">
        <v>0</v>
      </c>
      <c r="AY475">
        <v>0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  <c r="BF475">
        <v>0</v>
      </c>
      <c r="BG475">
        <v>0</v>
      </c>
      <c r="BH475">
        <v>0</v>
      </c>
      <c r="BI475">
        <v>0</v>
      </c>
      <c r="BJ475">
        <v>0</v>
      </c>
      <c r="BK475">
        <v>0</v>
      </c>
      <c r="BL475">
        <v>0</v>
      </c>
      <c r="BM475">
        <v>0</v>
      </c>
      <c r="BN475">
        <v>0</v>
      </c>
    </row>
    <row r="476" spans="1:66" x14ac:dyDescent="0.3">
      <c r="B476" t="s">
        <v>536</v>
      </c>
      <c r="C476">
        <v>-6.3150000000000004</v>
      </c>
      <c r="D476">
        <v>143.9555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U476">
        <v>0</v>
      </c>
      <c r="AV476">
        <v>0</v>
      </c>
      <c r="AW476">
        <v>0</v>
      </c>
      <c r="AX476">
        <v>0</v>
      </c>
      <c r="AY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  <c r="BF476">
        <v>0</v>
      </c>
      <c r="BG476">
        <v>0</v>
      </c>
      <c r="BH476">
        <v>0</v>
      </c>
      <c r="BI476">
        <v>0</v>
      </c>
      <c r="BJ476">
        <v>0</v>
      </c>
      <c r="BK476">
        <v>0</v>
      </c>
      <c r="BL476">
        <v>0</v>
      </c>
      <c r="BM476">
        <v>0</v>
      </c>
      <c r="BN476">
        <v>0</v>
      </c>
    </row>
    <row r="477" spans="1:66" x14ac:dyDescent="0.3">
      <c r="A477" t="s">
        <v>537</v>
      </c>
      <c r="B477" t="s">
        <v>349</v>
      </c>
      <c r="C477">
        <v>54.2361</v>
      </c>
      <c r="D477">
        <v>-4.5480999999999998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0</v>
      </c>
      <c r="AQ477">
        <v>0</v>
      </c>
      <c r="AR477">
        <v>0</v>
      </c>
      <c r="AS477">
        <v>0</v>
      </c>
      <c r="AT477">
        <v>0</v>
      </c>
      <c r="AU477">
        <v>0</v>
      </c>
      <c r="AV477">
        <v>0</v>
      </c>
      <c r="AW477">
        <v>0</v>
      </c>
      <c r="AX477">
        <v>0</v>
      </c>
      <c r="AY477">
        <v>0</v>
      </c>
      <c r="AZ477">
        <v>0</v>
      </c>
      <c r="BA477">
        <v>0</v>
      </c>
      <c r="BB477">
        <v>0</v>
      </c>
      <c r="BC477">
        <v>0</v>
      </c>
      <c r="BD477">
        <v>0</v>
      </c>
      <c r="BE477">
        <v>0</v>
      </c>
      <c r="BF477">
        <v>0</v>
      </c>
      <c r="BG477">
        <v>0</v>
      </c>
      <c r="BH477">
        <v>0</v>
      </c>
      <c r="BI477">
        <v>0</v>
      </c>
      <c r="BJ477">
        <v>0</v>
      </c>
      <c r="BK477">
        <v>0</v>
      </c>
      <c r="BL477">
        <v>0</v>
      </c>
      <c r="BM477">
        <v>0</v>
      </c>
      <c r="BN477">
        <v>0</v>
      </c>
    </row>
    <row r="478" spans="1:66" x14ac:dyDescent="0.3">
      <c r="B478" t="s">
        <v>538</v>
      </c>
      <c r="C478">
        <v>-20</v>
      </c>
      <c r="D478">
        <v>30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U478">
        <v>0</v>
      </c>
      <c r="AV478">
        <v>0</v>
      </c>
      <c r="AW478">
        <v>0</v>
      </c>
      <c r="AX478">
        <v>0</v>
      </c>
      <c r="AY478">
        <v>0</v>
      </c>
      <c r="AZ478">
        <v>0</v>
      </c>
      <c r="BA478">
        <v>0</v>
      </c>
      <c r="BB478">
        <v>0</v>
      </c>
      <c r="BC478">
        <v>0</v>
      </c>
      <c r="BD478">
        <v>0</v>
      </c>
      <c r="BE478">
        <v>0</v>
      </c>
      <c r="BF478">
        <v>0</v>
      </c>
      <c r="BG478">
        <v>0</v>
      </c>
      <c r="BH478">
        <v>0</v>
      </c>
      <c r="BI478">
        <v>0</v>
      </c>
      <c r="BJ478">
        <v>0</v>
      </c>
      <c r="BK478">
        <v>0</v>
      </c>
      <c r="BL478">
        <v>0</v>
      </c>
      <c r="BM478">
        <v>0</v>
      </c>
      <c r="BN478">
        <v>0</v>
      </c>
    </row>
    <row r="479" spans="1:66" x14ac:dyDescent="0.3">
      <c r="A479" t="s">
        <v>553</v>
      </c>
      <c r="B479" t="s">
        <v>45</v>
      </c>
      <c r="C479">
        <v>64.825500000000005</v>
      </c>
      <c r="D479">
        <v>-124.84569999999999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0</v>
      </c>
      <c r="AQ479">
        <v>0</v>
      </c>
      <c r="AR479">
        <v>0</v>
      </c>
      <c r="AS479">
        <v>0</v>
      </c>
      <c r="AT479">
        <v>0</v>
      </c>
      <c r="AU479">
        <v>0</v>
      </c>
      <c r="AV479">
        <v>0</v>
      </c>
      <c r="AW479">
        <v>0</v>
      </c>
      <c r="AX479">
        <v>0</v>
      </c>
      <c r="AY479">
        <v>0</v>
      </c>
      <c r="AZ479">
        <v>0</v>
      </c>
      <c r="BA479">
        <v>0</v>
      </c>
      <c r="BB479">
        <v>0</v>
      </c>
      <c r="BC479">
        <v>0</v>
      </c>
      <c r="BD479">
        <v>0</v>
      </c>
      <c r="BE479">
        <v>0</v>
      </c>
      <c r="BF479">
        <v>0</v>
      </c>
      <c r="BG479">
        <v>0</v>
      </c>
      <c r="BH479">
        <v>0</v>
      </c>
      <c r="BI479">
        <v>0</v>
      </c>
      <c r="BJ479">
        <v>0</v>
      </c>
      <c r="BK479">
        <v>0</v>
      </c>
      <c r="BL479">
        <v>0</v>
      </c>
      <c r="BM479">
        <v>0</v>
      </c>
      <c r="BN479">
        <v>0</v>
      </c>
    </row>
    <row r="480" spans="1:66" x14ac:dyDescent="0.3">
      <c r="B480" t="s">
        <v>554</v>
      </c>
      <c r="C480">
        <v>15.1111</v>
      </c>
      <c r="D480">
        <v>-23.616700000000002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0</v>
      </c>
      <c r="AP480">
        <v>0</v>
      </c>
      <c r="AQ480">
        <v>0</v>
      </c>
      <c r="AR480">
        <v>0</v>
      </c>
      <c r="AS480">
        <v>0</v>
      </c>
      <c r="AT480">
        <v>0</v>
      </c>
      <c r="AU480">
        <v>0</v>
      </c>
      <c r="AV480">
        <v>0</v>
      </c>
      <c r="AW480">
        <v>0</v>
      </c>
      <c r="AX480">
        <v>0</v>
      </c>
      <c r="AY480">
        <v>0</v>
      </c>
      <c r="AZ480">
        <v>0</v>
      </c>
      <c r="BA480">
        <v>0</v>
      </c>
      <c r="BB480">
        <v>0</v>
      </c>
      <c r="BC480">
        <v>0</v>
      </c>
      <c r="BD480">
        <v>0</v>
      </c>
      <c r="BE480">
        <v>0</v>
      </c>
      <c r="BF480">
        <v>0</v>
      </c>
      <c r="BG480">
        <v>0</v>
      </c>
      <c r="BH480">
        <v>0</v>
      </c>
      <c r="BI480">
        <v>0</v>
      </c>
      <c r="BJ480">
        <v>0</v>
      </c>
      <c r="BK480">
        <v>0</v>
      </c>
      <c r="BL480">
        <v>0</v>
      </c>
      <c r="BM480">
        <v>0</v>
      </c>
      <c r="BN480">
        <v>0</v>
      </c>
    </row>
    <row r="481" spans="1:66" x14ac:dyDescent="0.3">
      <c r="B481" t="s">
        <v>555</v>
      </c>
      <c r="C481">
        <v>-8.5500000000000007</v>
      </c>
      <c r="D481">
        <v>125.56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0</v>
      </c>
      <c r="AQ481">
        <v>0</v>
      </c>
      <c r="AR481">
        <v>0</v>
      </c>
      <c r="AS481">
        <v>0</v>
      </c>
      <c r="AT481">
        <v>0</v>
      </c>
      <c r="AU481">
        <v>0</v>
      </c>
      <c r="AV481">
        <v>0</v>
      </c>
      <c r="AW481">
        <v>0</v>
      </c>
      <c r="AX481">
        <v>0</v>
      </c>
      <c r="AY481">
        <v>0</v>
      </c>
      <c r="AZ481">
        <v>0</v>
      </c>
      <c r="BA481">
        <v>0</v>
      </c>
      <c r="BB481">
        <v>0</v>
      </c>
      <c r="BC481">
        <v>0</v>
      </c>
      <c r="BD481">
        <v>0</v>
      </c>
      <c r="BE481">
        <v>0</v>
      </c>
      <c r="BF481">
        <v>0</v>
      </c>
      <c r="BG481">
        <v>0</v>
      </c>
      <c r="BH481">
        <v>0</v>
      </c>
      <c r="BI481">
        <v>0</v>
      </c>
      <c r="BJ481">
        <v>0</v>
      </c>
      <c r="BK481">
        <v>0</v>
      </c>
      <c r="BL481">
        <v>0</v>
      </c>
      <c r="BM481">
        <v>0</v>
      </c>
      <c r="BN481">
        <v>0</v>
      </c>
    </row>
    <row r="482" spans="1:66" x14ac:dyDescent="0.3">
      <c r="B482" t="s">
        <v>556</v>
      </c>
      <c r="C482">
        <v>15.179399999999999</v>
      </c>
      <c r="D482">
        <v>39.782299999999999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0</v>
      </c>
      <c r="AQ482">
        <v>0</v>
      </c>
      <c r="AR482">
        <v>0</v>
      </c>
      <c r="AS482">
        <v>0</v>
      </c>
      <c r="AT482">
        <v>0</v>
      </c>
      <c r="AU482">
        <v>0</v>
      </c>
      <c r="AV482">
        <v>0</v>
      </c>
      <c r="AW482">
        <v>0</v>
      </c>
      <c r="AX482">
        <v>0</v>
      </c>
      <c r="AY482">
        <v>0</v>
      </c>
      <c r="AZ482">
        <v>0</v>
      </c>
      <c r="BA482">
        <v>0</v>
      </c>
      <c r="BB482">
        <v>0</v>
      </c>
      <c r="BC482">
        <v>0</v>
      </c>
      <c r="BD482">
        <v>0</v>
      </c>
      <c r="BE482">
        <v>0</v>
      </c>
      <c r="BF482">
        <v>0</v>
      </c>
      <c r="BG482">
        <v>0</v>
      </c>
      <c r="BH482">
        <v>0</v>
      </c>
      <c r="BI482">
        <v>0</v>
      </c>
      <c r="BJ482">
        <v>0</v>
      </c>
      <c r="BK482">
        <v>0</v>
      </c>
      <c r="BL482">
        <v>0</v>
      </c>
      <c r="BM482">
        <v>0</v>
      </c>
      <c r="BN482">
        <v>0</v>
      </c>
    </row>
    <row r="483" spans="1:66" x14ac:dyDescent="0.3">
      <c r="B483" t="s">
        <v>557</v>
      </c>
      <c r="C483">
        <v>1</v>
      </c>
      <c r="D483">
        <v>32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0</v>
      </c>
      <c r="AQ483">
        <v>0</v>
      </c>
      <c r="AR483">
        <v>0</v>
      </c>
      <c r="AS483">
        <v>0</v>
      </c>
      <c r="AT483">
        <v>0</v>
      </c>
      <c r="AU483">
        <v>0</v>
      </c>
      <c r="AV483">
        <v>0</v>
      </c>
      <c r="AW483">
        <v>0</v>
      </c>
      <c r="AX483">
        <v>0</v>
      </c>
      <c r="AY483">
        <v>0</v>
      </c>
      <c r="AZ483">
        <v>0</v>
      </c>
      <c r="BA483">
        <v>0</v>
      </c>
      <c r="BB483">
        <v>0</v>
      </c>
      <c r="BC483">
        <v>0</v>
      </c>
      <c r="BD483">
        <v>0</v>
      </c>
      <c r="BE483">
        <v>0</v>
      </c>
      <c r="BF483">
        <v>0</v>
      </c>
      <c r="BG483">
        <v>0</v>
      </c>
      <c r="BH483">
        <v>0</v>
      </c>
      <c r="BI483">
        <v>0</v>
      </c>
      <c r="BJ483">
        <v>0</v>
      </c>
      <c r="BK483">
        <v>0</v>
      </c>
      <c r="BL483">
        <v>0</v>
      </c>
      <c r="BM483">
        <v>0</v>
      </c>
      <c r="BN483">
        <v>0</v>
      </c>
    </row>
    <row r="484" spans="1:66" x14ac:dyDescent="0.3">
      <c r="B484" t="s">
        <v>560</v>
      </c>
      <c r="C484">
        <v>15.414999999999999</v>
      </c>
      <c r="D484">
        <v>-61.371000000000002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  <c r="AQ484">
        <v>0</v>
      </c>
      <c r="AR484">
        <v>0</v>
      </c>
      <c r="AS484">
        <v>0</v>
      </c>
      <c r="AT484">
        <v>0</v>
      </c>
      <c r="AU484">
        <v>0</v>
      </c>
      <c r="AV484">
        <v>0</v>
      </c>
      <c r="AW484">
        <v>0</v>
      </c>
      <c r="AX484">
        <v>0</v>
      </c>
      <c r="AY484">
        <v>0</v>
      </c>
      <c r="AZ484">
        <v>0</v>
      </c>
      <c r="BA484">
        <v>0</v>
      </c>
      <c r="BB484">
        <v>0</v>
      </c>
      <c r="BC484">
        <v>0</v>
      </c>
      <c r="BD484">
        <v>0</v>
      </c>
      <c r="BE484">
        <v>0</v>
      </c>
      <c r="BF484">
        <v>0</v>
      </c>
      <c r="BG484">
        <v>0</v>
      </c>
      <c r="BH484">
        <v>0</v>
      </c>
      <c r="BI484">
        <v>0</v>
      </c>
      <c r="BJ484">
        <v>0</v>
      </c>
      <c r="BK484">
        <v>0</v>
      </c>
      <c r="BL484">
        <v>0</v>
      </c>
      <c r="BM484">
        <v>0</v>
      </c>
      <c r="BN484">
        <v>0</v>
      </c>
    </row>
    <row r="485" spans="1:66" x14ac:dyDescent="0.3">
      <c r="B485" t="s">
        <v>561</v>
      </c>
      <c r="C485">
        <v>12.1165</v>
      </c>
      <c r="D485">
        <v>-61.678999999999903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0</v>
      </c>
      <c r="AP485">
        <v>0</v>
      </c>
      <c r="AQ485">
        <v>0</v>
      </c>
      <c r="AR485">
        <v>0</v>
      </c>
      <c r="AS485">
        <v>0</v>
      </c>
      <c r="AT485">
        <v>0</v>
      </c>
      <c r="AU485">
        <v>0</v>
      </c>
      <c r="AV485">
        <v>0</v>
      </c>
      <c r="AW485">
        <v>0</v>
      </c>
      <c r="AX485">
        <v>0</v>
      </c>
      <c r="AY485">
        <v>0</v>
      </c>
      <c r="AZ485">
        <v>0</v>
      </c>
      <c r="BA485">
        <v>0</v>
      </c>
      <c r="BB485">
        <v>0</v>
      </c>
      <c r="BC485">
        <v>0</v>
      </c>
      <c r="BD485">
        <v>0</v>
      </c>
      <c r="BE485">
        <v>0</v>
      </c>
      <c r="BF485">
        <v>0</v>
      </c>
      <c r="BG485">
        <v>0</v>
      </c>
      <c r="BH485">
        <v>0</v>
      </c>
      <c r="BI485">
        <v>0</v>
      </c>
      <c r="BJ485">
        <v>0</v>
      </c>
      <c r="BK485">
        <v>0</v>
      </c>
      <c r="BL485">
        <v>0</v>
      </c>
      <c r="BM485">
        <v>0</v>
      </c>
      <c r="BN485">
        <v>0</v>
      </c>
    </row>
    <row r="486" spans="1:66" x14ac:dyDescent="0.3">
      <c r="B486" t="s">
        <v>562</v>
      </c>
      <c r="C486">
        <v>-18.665700000000001</v>
      </c>
      <c r="D486">
        <v>35.529600000000002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>
        <v>0</v>
      </c>
      <c r="AL486">
        <v>0</v>
      </c>
      <c r="AM486">
        <v>0</v>
      </c>
      <c r="AN486">
        <v>0</v>
      </c>
      <c r="AO486">
        <v>0</v>
      </c>
      <c r="AP486">
        <v>0</v>
      </c>
      <c r="AQ486">
        <v>0</v>
      </c>
      <c r="AR486">
        <v>0</v>
      </c>
      <c r="AS486">
        <v>0</v>
      </c>
      <c r="AT486">
        <v>0</v>
      </c>
      <c r="AU486">
        <v>0</v>
      </c>
      <c r="AV486">
        <v>0</v>
      </c>
      <c r="AW486">
        <v>0</v>
      </c>
      <c r="AX486">
        <v>0</v>
      </c>
      <c r="AY486">
        <v>0</v>
      </c>
      <c r="AZ486">
        <v>0</v>
      </c>
      <c r="BA486">
        <v>0</v>
      </c>
      <c r="BB486">
        <v>0</v>
      </c>
      <c r="BC486">
        <v>0</v>
      </c>
      <c r="BD486">
        <v>0</v>
      </c>
      <c r="BE486">
        <v>0</v>
      </c>
      <c r="BF486">
        <v>0</v>
      </c>
      <c r="BG486">
        <v>0</v>
      </c>
      <c r="BH486">
        <v>0</v>
      </c>
      <c r="BI486">
        <v>0</v>
      </c>
      <c r="BJ486">
        <v>0</v>
      </c>
      <c r="BK486">
        <v>0</v>
      </c>
      <c r="BL486">
        <v>0</v>
      </c>
      <c r="BM486">
        <v>0</v>
      </c>
      <c r="BN486">
        <v>0</v>
      </c>
    </row>
    <row r="487" spans="1:66" x14ac:dyDescent="0.3">
      <c r="B487" t="s">
        <v>563</v>
      </c>
      <c r="C487">
        <v>34.802100000000003</v>
      </c>
      <c r="D487">
        <v>38.9968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  <c r="AK487">
        <v>0</v>
      </c>
      <c r="AL487">
        <v>0</v>
      </c>
      <c r="AM487">
        <v>0</v>
      </c>
      <c r="AN487">
        <v>0</v>
      </c>
      <c r="AO487">
        <v>0</v>
      </c>
      <c r="AP487">
        <v>0</v>
      </c>
      <c r="AQ487">
        <v>0</v>
      </c>
      <c r="AR487">
        <v>0</v>
      </c>
      <c r="AS487">
        <v>0</v>
      </c>
      <c r="AT487">
        <v>0</v>
      </c>
      <c r="AU487">
        <v>0</v>
      </c>
      <c r="AV487">
        <v>0</v>
      </c>
      <c r="AW487">
        <v>0</v>
      </c>
      <c r="AX487">
        <v>0</v>
      </c>
      <c r="AY487">
        <v>0</v>
      </c>
      <c r="AZ487">
        <v>0</v>
      </c>
      <c r="BA487">
        <v>0</v>
      </c>
      <c r="BB487">
        <v>0</v>
      </c>
      <c r="BC487">
        <v>0</v>
      </c>
      <c r="BD487">
        <v>0</v>
      </c>
      <c r="BE487">
        <v>0</v>
      </c>
      <c r="BF487">
        <v>0</v>
      </c>
      <c r="BG487">
        <v>0</v>
      </c>
      <c r="BH487">
        <v>0</v>
      </c>
      <c r="BI487">
        <v>0</v>
      </c>
      <c r="BJ487">
        <v>0</v>
      </c>
      <c r="BK487">
        <v>0</v>
      </c>
      <c r="BL487">
        <v>0</v>
      </c>
      <c r="BM487">
        <v>0</v>
      </c>
      <c r="BN487">
        <v>0</v>
      </c>
    </row>
    <row r="488" spans="1:66" x14ac:dyDescent="0.3">
      <c r="B488" t="s">
        <v>564</v>
      </c>
      <c r="C488">
        <v>-8.8742000000000001</v>
      </c>
      <c r="D488">
        <v>125.72750000000001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0</v>
      </c>
      <c r="AK488">
        <v>0</v>
      </c>
      <c r="AL488">
        <v>0</v>
      </c>
      <c r="AM488">
        <v>0</v>
      </c>
      <c r="AN488">
        <v>0</v>
      </c>
      <c r="AO488">
        <v>0</v>
      </c>
      <c r="AP488">
        <v>0</v>
      </c>
      <c r="AQ488">
        <v>0</v>
      </c>
      <c r="AR488">
        <v>0</v>
      </c>
      <c r="AS488">
        <v>0</v>
      </c>
      <c r="AT488">
        <v>0</v>
      </c>
      <c r="AU488">
        <v>0</v>
      </c>
      <c r="AV488">
        <v>0</v>
      </c>
      <c r="AW488">
        <v>0</v>
      </c>
      <c r="AX488">
        <v>0</v>
      </c>
      <c r="AY488">
        <v>0</v>
      </c>
      <c r="AZ488">
        <v>0</v>
      </c>
      <c r="BA488">
        <v>0</v>
      </c>
      <c r="BB488">
        <v>0</v>
      </c>
      <c r="BC488">
        <v>0</v>
      </c>
      <c r="BD488">
        <v>0</v>
      </c>
      <c r="BE488">
        <v>0</v>
      </c>
      <c r="BF488">
        <v>0</v>
      </c>
      <c r="BG488">
        <v>0</v>
      </c>
      <c r="BH488">
        <v>0</v>
      </c>
      <c r="BI488">
        <v>0</v>
      </c>
      <c r="BJ488">
        <v>0</v>
      </c>
      <c r="BK488">
        <v>0</v>
      </c>
      <c r="BL488">
        <v>0</v>
      </c>
      <c r="BM488">
        <v>0</v>
      </c>
      <c r="BN488">
        <v>0</v>
      </c>
    </row>
    <row r="489" spans="1:66" x14ac:dyDescent="0.3">
      <c r="B489" t="s">
        <v>416</v>
      </c>
      <c r="C489">
        <v>16.265000000000001</v>
      </c>
      <c r="D489">
        <v>-61.551000000000002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0</v>
      </c>
      <c r="AH489">
        <v>0</v>
      </c>
      <c r="AI489">
        <v>0</v>
      </c>
      <c r="AJ489">
        <v>0</v>
      </c>
      <c r="AK489">
        <v>0</v>
      </c>
      <c r="AL489">
        <v>0</v>
      </c>
      <c r="AM489">
        <v>0</v>
      </c>
      <c r="AN489">
        <v>0</v>
      </c>
      <c r="AO489">
        <v>0</v>
      </c>
      <c r="AP489">
        <v>0</v>
      </c>
      <c r="AQ489">
        <v>0</v>
      </c>
      <c r="AR489">
        <v>0</v>
      </c>
      <c r="AS489">
        <v>0</v>
      </c>
      <c r="AT489">
        <v>0</v>
      </c>
      <c r="AU489">
        <v>0</v>
      </c>
      <c r="AV489">
        <v>0</v>
      </c>
      <c r="AW489">
        <v>0</v>
      </c>
      <c r="AX489">
        <v>0</v>
      </c>
      <c r="AY489">
        <v>0</v>
      </c>
      <c r="AZ489">
        <v>0</v>
      </c>
      <c r="BA489">
        <v>0</v>
      </c>
      <c r="BB489">
        <v>0</v>
      </c>
      <c r="BC489">
        <v>0</v>
      </c>
      <c r="BD489">
        <v>0</v>
      </c>
      <c r="BE489">
        <v>0</v>
      </c>
      <c r="BF489">
        <v>0</v>
      </c>
      <c r="BG489">
        <v>0</v>
      </c>
      <c r="BH489">
        <v>0</v>
      </c>
      <c r="BI489">
        <v>0</v>
      </c>
      <c r="BJ489">
        <v>0</v>
      </c>
      <c r="BK489">
        <v>0</v>
      </c>
      <c r="BL489">
        <v>0</v>
      </c>
      <c r="BM489">
        <v>0</v>
      </c>
      <c r="BN489">
        <v>0</v>
      </c>
    </row>
    <row r="490" spans="1:66" x14ac:dyDescent="0.3">
      <c r="B490" t="s">
        <v>354</v>
      </c>
      <c r="C490">
        <v>-21.115100000000002</v>
      </c>
      <c r="D490">
        <v>55.5364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  <c r="AH490">
        <v>0</v>
      </c>
      <c r="AI490">
        <v>0</v>
      </c>
      <c r="AJ490">
        <v>0</v>
      </c>
      <c r="AK490">
        <v>0</v>
      </c>
      <c r="AL490">
        <v>0</v>
      </c>
      <c r="AM490">
        <v>0</v>
      </c>
      <c r="AN490">
        <v>0</v>
      </c>
      <c r="AO490">
        <v>0</v>
      </c>
      <c r="AP490">
        <v>0</v>
      </c>
      <c r="AQ490">
        <v>0</v>
      </c>
      <c r="AR490">
        <v>0</v>
      </c>
      <c r="AS490">
        <v>0</v>
      </c>
      <c r="AT490">
        <v>0</v>
      </c>
      <c r="AU490">
        <v>0</v>
      </c>
      <c r="AV490">
        <v>0</v>
      </c>
      <c r="AW490">
        <v>0</v>
      </c>
      <c r="AX490">
        <v>0</v>
      </c>
      <c r="AY490">
        <v>0</v>
      </c>
      <c r="AZ490">
        <v>0</v>
      </c>
      <c r="BA490">
        <v>0</v>
      </c>
      <c r="BB490">
        <v>0</v>
      </c>
      <c r="BC490">
        <v>0</v>
      </c>
      <c r="BD490">
        <v>0</v>
      </c>
      <c r="BE490">
        <v>0</v>
      </c>
      <c r="BF490">
        <v>0</v>
      </c>
      <c r="BG490">
        <v>0</v>
      </c>
      <c r="BH490">
        <v>0</v>
      </c>
      <c r="BI490">
        <v>0</v>
      </c>
      <c r="BJ490">
        <v>0</v>
      </c>
      <c r="BK490">
        <v>0</v>
      </c>
      <c r="BL490">
        <v>0</v>
      </c>
      <c r="BM490">
        <v>0</v>
      </c>
      <c r="BN490">
        <v>0</v>
      </c>
    </row>
    <row r="491" spans="1:66" x14ac:dyDescent="0.3">
      <c r="B491" t="s">
        <v>176</v>
      </c>
      <c r="C491">
        <v>3.9339</v>
      </c>
      <c r="D491">
        <v>-53.125799999999998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  <c r="AH491">
        <v>0</v>
      </c>
      <c r="AI491">
        <v>0</v>
      </c>
      <c r="AJ491">
        <v>0</v>
      </c>
      <c r="AK491">
        <v>0</v>
      </c>
      <c r="AL491">
        <v>0</v>
      </c>
      <c r="AM491">
        <v>0</v>
      </c>
      <c r="AN491">
        <v>0</v>
      </c>
      <c r="AO491">
        <v>0</v>
      </c>
      <c r="AP491">
        <v>0</v>
      </c>
      <c r="AQ491">
        <v>0</v>
      </c>
      <c r="AR491">
        <v>0</v>
      </c>
      <c r="AS491">
        <v>0</v>
      </c>
      <c r="AT491">
        <v>0</v>
      </c>
      <c r="AU491">
        <v>0</v>
      </c>
      <c r="AV491">
        <v>0</v>
      </c>
      <c r="AW491">
        <v>0</v>
      </c>
      <c r="AX491">
        <v>0</v>
      </c>
      <c r="AY491">
        <v>0</v>
      </c>
      <c r="AZ491">
        <v>0</v>
      </c>
      <c r="BA491">
        <v>0</v>
      </c>
      <c r="BB491">
        <v>0</v>
      </c>
      <c r="BC491">
        <v>0</v>
      </c>
      <c r="BD491">
        <v>0</v>
      </c>
      <c r="BE491">
        <v>0</v>
      </c>
      <c r="BF491">
        <v>0</v>
      </c>
      <c r="BG491">
        <v>0</v>
      </c>
      <c r="BH491">
        <v>0</v>
      </c>
      <c r="BI491">
        <v>0</v>
      </c>
      <c r="BJ491">
        <v>0</v>
      </c>
      <c r="BK491">
        <v>0</v>
      </c>
      <c r="BL491">
        <v>0</v>
      </c>
      <c r="BM491">
        <v>0</v>
      </c>
      <c r="BN491">
        <v>6</v>
      </c>
    </row>
    <row r="492" spans="1:66" x14ac:dyDescent="0.3">
      <c r="B492" t="s">
        <v>463</v>
      </c>
      <c r="C492">
        <v>-12.827500000000001</v>
      </c>
      <c r="D492">
        <v>45.166200000000003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  <c r="AH492">
        <v>0</v>
      </c>
      <c r="AI492">
        <v>0</v>
      </c>
      <c r="AJ492">
        <v>0</v>
      </c>
      <c r="AK492">
        <v>0</v>
      </c>
      <c r="AL492">
        <v>0</v>
      </c>
      <c r="AM492">
        <v>0</v>
      </c>
      <c r="AN492">
        <v>0</v>
      </c>
      <c r="AO492">
        <v>0</v>
      </c>
      <c r="AP492">
        <v>0</v>
      </c>
      <c r="AQ492">
        <v>0</v>
      </c>
      <c r="AR492">
        <v>0</v>
      </c>
      <c r="AS492">
        <v>0</v>
      </c>
      <c r="AT492">
        <v>0</v>
      </c>
      <c r="AU492">
        <v>0</v>
      </c>
      <c r="AV492">
        <v>0</v>
      </c>
      <c r="AW492">
        <v>0</v>
      </c>
      <c r="AX492">
        <v>0</v>
      </c>
      <c r="AY492">
        <v>0</v>
      </c>
      <c r="AZ492">
        <v>0</v>
      </c>
      <c r="BA492">
        <v>0</v>
      </c>
      <c r="BB492">
        <v>0</v>
      </c>
      <c r="BC492">
        <v>0</v>
      </c>
      <c r="BD492">
        <v>0</v>
      </c>
      <c r="BE492">
        <v>0</v>
      </c>
      <c r="BF492">
        <v>0</v>
      </c>
      <c r="BG492">
        <v>0</v>
      </c>
      <c r="BH492">
        <v>0</v>
      </c>
      <c r="BI492">
        <v>0</v>
      </c>
      <c r="BJ492">
        <v>0</v>
      </c>
      <c r="BK492">
        <v>0</v>
      </c>
      <c r="BL492">
        <v>0</v>
      </c>
      <c r="BM492">
        <v>0</v>
      </c>
      <c r="BN492">
        <v>0</v>
      </c>
    </row>
    <row r="493" spans="1:66" x14ac:dyDescent="0.3">
      <c r="A493" t="s">
        <v>575</v>
      </c>
      <c r="B493" t="s">
        <v>38</v>
      </c>
      <c r="C493">
        <v>18.335799999999999</v>
      </c>
      <c r="D493">
        <v>-64.896299999999997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  <c r="AH493">
        <v>0</v>
      </c>
      <c r="AI493">
        <v>0</v>
      </c>
      <c r="AJ493">
        <v>0</v>
      </c>
      <c r="AK493">
        <v>0</v>
      </c>
      <c r="AL493">
        <v>0</v>
      </c>
      <c r="AM493">
        <v>0</v>
      </c>
      <c r="AN493">
        <v>0</v>
      </c>
      <c r="AO493">
        <v>0</v>
      </c>
      <c r="AP493">
        <v>0</v>
      </c>
      <c r="AQ493">
        <v>0</v>
      </c>
      <c r="AR493">
        <v>0</v>
      </c>
      <c r="AS493">
        <v>0</v>
      </c>
      <c r="AT493">
        <v>0</v>
      </c>
      <c r="AU493">
        <v>0</v>
      </c>
      <c r="AV493">
        <v>0</v>
      </c>
      <c r="AW493">
        <v>0</v>
      </c>
      <c r="AX493">
        <v>0</v>
      </c>
      <c r="AY493">
        <v>0</v>
      </c>
      <c r="AZ493">
        <v>0</v>
      </c>
      <c r="BA493">
        <v>0</v>
      </c>
      <c r="BB493">
        <v>0</v>
      </c>
      <c r="BC493">
        <v>0</v>
      </c>
      <c r="BD493">
        <v>0</v>
      </c>
      <c r="BE493">
        <v>0</v>
      </c>
      <c r="BF493">
        <v>0</v>
      </c>
      <c r="BG493">
        <v>0</v>
      </c>
      <c r="BH493">
        <v>0</v>
      </c>
      <c r="BI493">
        <v>0</v>
      </c>
      <c r="BJ493">
        <v>0</v>
      </c>
      <c r="BK493">
        <v>0</v>
      </c>
      <c r="BL493">
        <v>0</v>
      </c>
      <c r="BM493">
        <v>0</v>
      </c>
      <c r="BN493">
        <v>0</v>
      </c>
    </row>
    <row r="494" spans="1:66" x14ac:dyDescent="0.3">
      <c r="A494" t="s">
        <v>38</v>
      </c>
      <c r="B494" t="s">
        <v>38</v>
      </c>
      <c r="C494">
        <v>37.090200000000003</v>
      </c>
      <c r="D494">
        <v>-95.712900000000005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0</v>
      </c>
      <c r="AG494">
        <v>0</v>
      </c>
      <c r="AH494">
        <v>0</v>
      </c>
      <c r="AI494">
        <v>0</v>
      </c>
      <c r="AJ494">
        <v>0</v>
      </c>
      <c r="AK494">
        <v>0</v>
      </c>
      <c r="AL494">
        <v>0</v>
      </c>
      <c r="AM494">
        <v>0</v>
      </c>
      <c r="AN494">
        <v>0</v>
      </c>
      <c r="AO494">
        <v>0</v>
      </c>
      <c r="AP494">
        <v>0</v>
      </c>
      <c r="AQ494">
        <v>0</v>
      </c>
      <c r="AR494">
        <v>0</v>
      </c>
      <c r="AS494">
        <v>0</v>
      </c>
      <c r="AT494">
        <v>0</v>
      </c>
      <c r="AU494">
        <v>0</v>
      </c>
      <c r="AV494">
        <v>0</v>
      </c>
      <c r="AW494">
        <v>0</v>
      </c>
      <c r="AX494">
        <v>0</v>
      </c>
      <c r="AY494">
        <v>0</v>
      </c>
      <c r="AZ494">
        <v>0</v>
      </c>
      <c r="BA494">
        <v>0</v>
      </c>
      <c r="BB494">
        <v>0</v>
      </c>
      <c r="BC494">
        <v>0</v>
      </c>
      <c r="BD494">
        <v>0</v>
      </c>
      <c r="BE494">
        <v>0</v>
      </c>
      <c r="BF494">
        <v>0</v>
      </c>
      <c r="BG494">
        <v>0</v>
      </c>
      <c r="BH494">
        <v>0</v>
      </c>
      <c r="BI494">
        <v>0</v>
      </c>
      <c r="BJ494">
        <v>0</v>
      </c>
      <c r="BK494">
        <v>0</v>
      </c>
      <c r="BL494">
        <v>0</v>
      </c>
      <c r="BM494">
        <v>0</v>
      </c>
      <c r="BN494">
        <v>178</v>
      </c>
    </row>
    <row r="495" spans="1:66" x14ac:dyDescent="0.3">
      <c r="B495" t="s">
        <v>469</v>
      </c>
      <c r="C495">
        <v>72</v>
      </c>
      <c r="D495">
        <v>-40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0</v>
      </c>
      <c r="AH495">
        <v>0</v>
      </c>
      <c r="AI495">
        <v>0</v>
      </c>
      <c r="AJ495">
        <v>0</v>
      </c>
      <c r="AK495">
        <v>0</v>
      </c>
      <c r="AL495">
        <v>0</v>
      </c>
      <c r="AM495">
        <v>0</v>
      </c>
      <c r="AN495">
        <v>0</v>
      </c>
      <c r="AO495">
        <v>0</v>
      </c>
      <c r="AP495">
        <v>0</v>
      </c>
      <c r="AQ495">
        <v>0</v>
      </c>
      <c r="AR495">
        <v>0</v>
      </c>
      <c r="AS495">
        <v>0</v>
      </c>
      <c r="AT495">
        <v>0</v>
      </c>
      <c r="AU495">
        <v>0</v>
      </c>
      <c r="AV495">
        <v>0</v>
      </c>
      <c r="AW495">
        <v>0</v>
      </c>
      <c r="AX495">
        <v>0</v>
      </c>
      <c r="AY495">
        <v>0</v>
      </c>
      <c r="AZ495">
        <v>0</v>
      </c>
      <c r="BA495">
        <v>0</v>
      </c>
      <c r="BB495">
        <v>0</v>
      </c>
      <c r="BC495">
        <v>0</v>
      </c>
      <c r="BD495">
        <v>0</v>
      </c>
      <c r="BE495">
        <v>0</v>
      </c>
      <c r="BF495">
        <v>0</v>
      </c>
      <c r="BG495">
        <v>0</v>
      </c>
      <c r="BH495">
        <v>0</v>
      </c>
      <c r="BI495">
        <v>0</v>
      </c>
      <c r="BJ495">
        <v>0</v>
      </c>
      <c r="BK495">
        <v>0</v>
      </c>
      <c r="BL495">
        <v>0</v>
      </c>
      <c r="BM495">
        <v>0</v>
      </c>
      <c r="BN495">
        <v>0</v>
      </c>
    </row>
    <row r="496" spans="1:66" x14ac:dyDescent="0.3">
      <c r="B496" t="s">
        <v>456</v>
      </c>
      <c r="C496">
        <v>13.4443</v>
      </c>
      <c r="D496">
        <v>144.7937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  <c r="AQ496">
        <v>0</v>
      </c>
      <c r="AR496">
        <v>0</v>
      </c>
      <c r="AS496">
        <v>0</v>
      </c>
      <c r="AT496">
        <v>0</v>
      </c>
      <c r="AU496">
        <v>0</v>
      </c>
      <c r="AV496">
        <v>0</v>
      </c>
      <c r="AW496">
        <v>0</v>
      </c>
      <c r="AX496">
        <v>0</v>
      </c>
      <c r="AY496">
        <v>0</v>
      </c>
      <c r="AZ496">
        <v>0</v>
      </c>
      <c r="BA496">
        <v>0</v>
      </c>
      <c r="BB496">
        <v>0</v>
      </c>
      <c r="BC496">
        <v>0</v>
      </c>
      <c r="BD496">
        <v>0</v>
      </c>
      <c r="BE496">
        <v>0</v>
      </c>
      <c r="BF496">
        <v>0</v>
      </c>
      <c r="BG496">
        <v>0</v>
      </c>
      <c r="BH496">
        <v>0</v>
      </c>
      <c r="BI496">
        <v>0</v>
      </c>
      <c r="BJ496">
        <v>0</v>
      </c>
      <c r="BK496">
        <v>0</v>
      </c>
      <c r="BL496">
        <v>0</v>
      </c>
      <c r="BM496">
        <v>0</v>
      </c>
      <c r="BN496">
        <v>0</v>
      </c>
    </row>
    <row r="497" spans="2:66" x14ac:dyDescent="0.3">
      <c r="B497" t="s">
        <v>576</v>
      </c>
      <c r="C497">
        <v>49.45</v>
      </c>
      <c r="D497">
        <v>-2.58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0</v>
      </c>
      <c r="AI497">
        <v>0</v>
      </c>
      <c r="AJ497">
        <v>0</v>
      </c>
      <c r="AK497">
        <v>0</v>
      </c>
      <c r="AL497">
        <v>0</v>
      </c>
      <c r="AM497">
        <v>0</v>
      </c>
      <c r="AN497">
        <v>0</v>
      </c>
      <c r="AO497">
        <v>0</v>
      </c>
      <c r="AP497">
        <v>0</v>
      </c>
      <c r="AQ497">
        <v>0</v>
      </c>
      <c r="AR497">
        <v>0</v>
      </c>
      <c r="AS497">
        <v>0</v>
      </c>
      <c r="AT497">
        <v>0</v>
      </c>
      <c r="AU497">
        <v>0</v>
      </c>
      <c r="AV497">
        <v>0</v>
      </c>
      <c r="AW497">
        <v>0</v>
      </c>
      <c r="AX497">
        <v>0</v>
      </c>
      <c r="AY497">
        <v>0</v>
      </c>
      <c r="AZ497">
        <v>0</v>
      </c>
      <c r="BA497">
        <v>0</v>
      </c>
      <c r="BB497">
        <v>0</v>
      </c>
      <c r="BC497">
        <v>0</v>
      </c>
      <c r="BD497">
        <v>0</v>
      </c>
      <c r="BE497">
        <v>0</v>
      </c>
      <c r="BF497">
        <v>0</v>
      </c>
      <c r="BG497">
        <v>0</v>
      </c>
      <c r="BH497">
        <v>0</v>
      </c>
      <c r="BI497">
        <v>0</v>
      </c>
      <c r="BJ497">
        <v>0</v>
      </c>
      <c r="BK497">
        <v>0</v>
      </c>
      <c r="BL497">
        <v>0</v>
      </c>
      <c r="BM497">
        <v>0</v>
      </c>
      <c r="BN497">
        <v>0</v>
      </c>
    </row>
    <row r="498" spans="2:66" x14ac:dyDescent="0.3">
      <c r="B498" t="s">
        <v>577</v>
      </c>
      <c r="C498">
        <v>49.19</v>
      </c>
      <c r="D498">
        <v>-2.11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0</v>
      </c>
      <c r="AF498">
        <v>0</v>
      </c>
      <c r="AG498">
        <v>0</v>
      </c>
      <c r="AH498">
        <v>0</v>
      </c>
      <c r="AI498">
        <v>0</v>
      </c>
      <c r="AJ498">
        <v>0</v>
      </c>
      <c r="AK498">
        <v>0</v>
      </c>
      <c r="AL498">
        <v>0</v>
      </c>
      <c r="AM498">
        <v>0</v>
      </c>
      <c r="AN498">
        <v>0</v>
      </c>
      <c r="AO498">
        <v>0</v>
      </c>
      <c r="AP498">
        <v>0</v>
      </c>
      <c r="AQ498">
        <v>0</v>
      </c>
      <c r="AR498">
        <v>0</v>
      </c>
      <c r="AS498">
        <v>0</v>
      </c>
      <c r="AT498">
        <v>0</v>
      </c>
      <c r="AU498">
        <v>0</v>
      </c>
      <c r="AV498">
        <v>0</v>
      </c>
      <c r="AW498">
        <v>0</v>
      </c>
      <c r="AX498">
        <v>0</v>
      </c>
      <c r="AY498">
        <v>0</v>
      </c>
      <c r="AZ498">
        <v>0</v>
      </c>
      <c r="BA498">
        <v>0</v>
      </c>
      <c r="BB498">
        <v>0</v>
      </c>
      <c r="BC498">
        <v>0</v>
      </c>
      <c r="BD498">
        <v>0</v>
      </c>
      <c r="BE498">
        <v>0</v>
      </c>
      <c r="BF498">
        <v>0</v>
      </c>
      <c r="BG498">
        <v>0</v>
      </c>
      <c r="BH498">
        <v>0</v>
      </c>
      <c r="BI498">
        <v>0</v>
      </c>
      <c r="BJ498">
        <v>0</v>
      </c>
      <c r="BK498">
        <v>0</v>
      </c>
      <c r="BL498">
        <v>0</v>
      </c>
      <c r="BM498">
        <v>0</v>
      </c>
      <c r="BN498">
        <v>0</v>
      </c>
    </row>
    <row r="499" spans="2:66" x14ac:dyDescent="0.3">
      <c r="B499" t="s">
        <v>436</v>
      </c>
      <c r="C499">
        <v>18.2</v>
      </c>
      <c r="D499">
        <v>-66.5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0</v>
      </c>
      <c r="AH499">
        <v>0</v>
      </c>
      <c r="AI499">
        <v>0</v>
      </c>
      <c r="AJ499">
        <v>0</v>
      </c>
      <c r="AK499">
        <v>0</v>
      </c>
      <c r="AL499">
        <v>0</v>
      </c>
      <c r="AM499">
        <v>0</v>
      </c>
      <c r="AN499">
        <v>0</v>
      </c>
      <c r="AO499">
        <v>0</v>
      </c>
      <c r="AP499">
        <v>0</v>
      </c>
      <c r="AQ499">
        <v>0</v>
      </c>
      <c r="AR499">
        <v>0</v>
      </c>
      <c r="AS499">
        <v>0</v>
      </c>
      <c r="AT499">
        <v>0</v>
      </c>
      <c r="AU499">
        <v>0</v>
      </c>
      <c r="AV499">
        <v>0</v>
      </c>
      <c r="AW499">
        <v>0</v>
      </c>
      <c r="AX499">
        <v>0</v>
      </c>
      <c r="AY499">
        <v>0</v>
      </c>
      <c r="AZ499">
        <v>0</v>
      </c>
      <c r="BA499">
        <v>0</v>
      </c>
      <c r="BB499">
        <v>0</v>
      </c>
      <c r="BC499">
        <v>0</v>
      </c>
      <c r="BD499">
        <v>0</v>
      </c>
      <c r="BE499">
        <v>0</v>
      </c>
      <c r="BF499">
        <v>0</v>
      </c>
      <c r="BG499">
        <v>0</v>
      </c>
      <c r="BH499">
        <v>0</v>
      </c>
      <c r="BI499">
        <v>0</v>
      </c>
      <c r="BJ499">
        <v>0</v>
      </c>
      <c r="BK499">
        <v>0</v>
      </c>
      <c r="BL499">
        <v>0</v>
      </c>
      <c r="BM499">
        <v>0</v>
      </c>
      <c r="BN499">
        <v>0</v>
      </c>
    </row>
    <row r="500" spans="2:66" x14ac:dyDescent="0.3">
      <c r="B500" t="s">
        <v>578</v>
      </c>
      <c r="C500">
        <v>-1.44</v>
      </c>
      <c r="D500">
        <v>15.555999999999999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0</v>
      </c>
      <c r="AH500">
        <v>0</v>
      </c>
      <c r="AI500">
        <v>0</v>
      </c>
      <c r="AJ500">
        <v>0</v>
      </c>
      <c r="AK500">
        <v>0</v>
      </c>
      <c r="AL500">
        <v>0</v>
      </c>
      <c r="AM500">
        <v>0</v>
      </c>
      <c r="AN500">
        <v>0</v>
      </c>
      <c r="AO500">
        <v>0</v>
      </c>
      <c r="AP500">
        <v>0</v>
      </c>
      <c r="AQ500">
        <v>0</v>
      </c>
      <c r="AR500">
        <v>0</v>
      </c>
      <c r="AS500">
        <v>0</v>
      </c>
      <c r="AT500">
        <v>0</v>
      </c>
      <c r="AU500">
        <v>0</v>
      </c>
      <c r="AV500">
        <v>0</v>
      </c>
      <c r="AW500">
        <v>0</v>
      </c>
      <c r="AX500">
        <v>0</v>
      </c>
      <c r="AY500">
        <v>0</v>
      </c>
      <c r="AZ500">
        <v>0</v>
      </c>
      <c r="BA500">
        <v>0</v>
      </c>
      <c r="BB500">
        <v>0</v>
      </c>
      <c r="BC500">
        <v>0</v>
      </c>
      <c r="BD500">
        <v>0</v>
      </c>
      <c r="BE500">
        <v>0</v>
      </c>
      <c r="BF500">
        <v>0</v>
      </c>
      <c r="BG500">
        <v>0</v>
      </c>
      <c r="BH500">
        <v>0</v>
      </c>
      <c r="BI500">
        <v>0</v>
      </c>
      <c r="BJ500">
        <v>0</v>
      </c>
      <c r="BK500">
        <v>0</v>
      </c>
      <c r="BL500">
        <v>0</v>
      </c>
      <c r="BM500">
        <v>0</v>
      </c>
      <c r="BN500">
        <v>0</v>
      </c>
    </row>
    <row r="501" spans="2:66" x14ac:dyDescent="0.3">
      <c r="B501" t="s">
        <v>579</v>
      </c>
      <c r="C501">
        <v>24.25</v>
      </c>
      <c r="D501">
        <v>-76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0</v>
      </c>
      <c r="AG501">
        <v>0</v>
      </c>
      <c r="AH501">
        <v>0</v>
      </c>
      <c r="AI501">
        <v>0</v>
      </c>
      <c r="AJ501">
        <v>0</v>
      </c>
      <c r="AK501">
        <v>0</v>
      </c>
      <c r="AL501">
        <v>0</v>
      </c>
      <c r="AM501">
        <v>0</v>
      </c>
      <c r="AN501">
        <v>0</v>
      </c>
      <c r="AO501">
        <v>0</v>
      </c>
      <c r="AP501">
        <v>0</v>
      </c>
      <c r="AQ501">
        <v>0</v>
      </c>
      <c r="AR501">
        <v>0</v>
      </c>
      <c r="AS501">
        <v>0</v>
      </c>
      <c r="AT501">
        <v>0</v>
      </c>
      <c r="AU501">
        <v>0</v>
      </c>
      <c r="AV501">
        <v>0</v>
      </c>
      <c r="AW501">
        <v>0</v>
      </c>
      <c r="AX501">
        <v>0</v>
      </c>
      <c r="AY501">
        <v>0</v>
      </c>
      <c r="AZ501">
        <v>0</v>
      </c>
      <c r="BA501">
        <v>0</v>
      </c>
      <c r="BB501">
        <v>0</v>
      </c>
      <c r="BC501">
        <v>0</v>
      </c>
      <c r="BD501">
        <v>0</v>
      </c>
      <c r="BE501">
        <v>0</v>
      </c>
      <c r="BF501">
        <v>0</v>
      </c>
      <c r="BG501">
        <v>0</v>
      </c>
      <c r="BH501">
        <v>0</v>
      </c>
      <c r="BI501">
        <v>0</v>
      </c>
      <c r="BJ501">
        <v>0</v>
      </c>
      <c r="BK501">
        <v>0</v>
      </c>
      <c r="BL501">
        <v>0</v>
      </c>
      <c r="BM501">
        <v>0</v>
      </c>
      <c r="BN501">
        <v>0</v>
      </c>
    </row>
    <row r="502" spans="2:66" x14ac:dyDescent="0.3">
      <c r="B502" t="s">
        <v>580</v>
      </c>
      <c r="C502">
        <v>13.466699999999999</v>
      </c>
      <c r="D502">
        <v>-16.600000000000001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H502">
        <v>0</v>
      </c>
      <c r="AI502">
        <v>0</v>
      </c>
      <c r="AJ502">
        <v>0</v>
      </c>
      <c r="AK502">
        <v>0</v>
      </c>
      <c r="AL502">
        <v>0</v>
      </c>
      <c r="AM502">
        <v>0</v>
      </c>
      <c r="AN502">
        <v>0</v>
      </c>
      <c r="AO502">
        <v>0</v>
      </c>
      <c r="AP502">
        <v>0</v>
      </c>
      <c r="AQ502">
        <v>0</v>
      </c>
      <c r="AR502">
        <v>0</v>
      </c>
      <c r="AS502">
        <v>0</v>
      </c>
      <c r="AT502">
        <v>0</v>
      </c>
      <c r="AU502">
        <v>0</v>
      </c>
      <c r="AV502">
        <v>0</v>
      </c>
      <c r="AW502">
        <v>0</v>
      </c>
      <c r="AX502">
        <v>0</v>
      </c>
      <c r="AY502">
        <v>0</v>
      </c>
      <c r="AZ502">
        <v>0</v>
      </c>
      <c r="BA502">
        <v>0</v>
      </c>
      <c r="BB502">
        <v>0</v>
      </c>
      <c r="BC502">
        <v>0</v>
      </c>
      <c r="BD502">
        <v>0</v>
      </c>
      <c r="BE502">
        <v>0</v>
      </c>
      <c r="BF502">
        <v>0</v>
      </c>
      <c r="BG502">
        <v>0</v>
      </c>
      <c r="BH502">
        <v>0</v>
      </c>
      <c r="BI502">
        <v>0</v>
      </c>
      <c r="BJ502">
        <v>0</v>
      </c>
      <c r="BK502">
        <v>0</v>
      </c>
      <c r="BL502">
        <v>0</v>
      </c>
      <c r="BM502">
        <v>0</v>
      </c>
      <c r="BN502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94E2C-39F4-45A5-AC83-3AA5FECFF5B3}">
  <sheetPr codeName="Sheet11"/>
  <dimension ref="A1:BS254"/>
  <sheetViews>
    <sheetView workbookViewId="0">
      <selection sqref="A1:CA1000"/>
    </sheetView>
  </sheetViews>
  <sheetFormatPr defaultRowHeight="14.4" x14ac:dyDescent="0.3"/>
  <sheetData>
    <row r="1" spans="1:71" x14ac:dyDescent="0.3">
      <c r="A1" t="s">
        <v>0</v>
      </c>
      <c r="B1" t="s">
        <v>1</v>
      </c>
      <c r="C1" t="s">
        <v>2</v>
      </c>
      <c r="D1" t="s">
        <v>3</v>
      </c>
      <c r="E1">
        <v>43852</v>
      </c>
      <c r="F1">
        <v>43853</v>
      </c>
      <c r="G1">
        <v>43854</v>
      </c>
      <c r="H1">
        <v>43855</v>
      </c>
      <c r="I1">
        <v>43856</v>
      </c>
      <c r="J1">
        <v>43857</v>
      </c>
      <c r="K1">
        <v>43858</v>
      </c>
      <c r="L1">
        <v>43859</v>
      </c>
      <c r="M1">
        <v>43860</v>
      </c>
      <c r="N1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>
        <v>43874</v>
      </c>
      <c r="AB1">
        <v>43875</v>
      </c>
      <c r="AC1">
        <v>43876</v>
      </c>
      <c r="AD1">
        <v>43877</v>
      </c>
      <c r="AE1">
        <v>43878</v>
      </c>
      <c r="AF1">
        <v>43879</v>
      </c>
      <c r="AG1">
        <v>43880</v>
      </c>
      <c r="AH1">
        <v>43881</v>
      </c>
      <c r="AI1">
        <v>43882</v>
      </c>
      <c r="AJ1">
        <v>43883</v>
      </c>
      <c r="AK1">
        <v>43884</v>
      </c>
      <c r="AL1">
        <v>43885</v>
      </c>
      <c r="AM1">
        <v>43886</v>
      </c>
      <c r="AN1">
        <v>43887</v>
      </c>
      <c r="AO1">
        <v>43888</v>
      </c>
      <c r="AP1">
        <v>43889</v>
      </c>
      <c r="AQ1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>
        <v>43903</v>
      </c>
      <c r="BE1">
        <v>43904</v>
      </c>
      <c r="BF1">
        <v>43905</v>
      </c>
      <c r="BG1">
        <v>43906</v>
      </c>
      <c r="BH1">
        <v>43907</v>
      </c>
      <c r="BI1">
        <v>43908</v>
      </c>
      <c r="BJ1">
        <v>43909</v>
      </c>
      <c r="BK1">
        <v>43910</v>
      </c>
      <c r="BL1">
        <v>43911</v>
      </c>
      <c r="BM1">
        <v>43912</v>
      </c>
      <c r="BN1">
        <v>43913</v>
      </c>
      <c r="BO1">
        <v>43914</v>
      </c>
      <c r="BP1">
        <v>43915</v>
      </c>
      <c r="BQ1">
        <v>43916</v>
      </c>
      <c r="BR1">
        <v>43917</v>
      </c>
      <c r="BS1">
        <v>43918</v>
      </c>
    </row>
    <row r="2" spans="1:71" x14ac:dyDescent="0.3">
      <c r="B2" t="s">
        <v>72</v>
      </c>
      <c r="C2">
        <v>33</v>
      </c>
      <c r="D2">
        <v>65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1</v>
      </c>
      <c r="BN2">
        <v>1</v>
      </c>
      <c r="BO2">
        <v>1</v>
      </c>
      <c r="BP2">
        <v>2</v>
      </c>
      <c r="BQ2">
        <v>4</v>
      </c>
      <c r="BR2">
        <v>4</v>
      </c>
      <c r="BS2">
        <v>4</v>
      </c>
    </row>
    <row r="3" spans="1:71" x14ac:dyDescent="0.3">
      <c r="B3" t="s">
        <v>230</v>
      </c>
      <c r="C3">
        <v>41.153300000000002</v>
      </c>
      <c r="D3">
        <v>20.168299999999999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1</v>
      </c>
      <c r="BC3">
        <v>1</v>
      </c>
      <c r="BD3">
        <v>1</v>
      </c>
      <c r="BE3">
        <v>1</v>
      </c>
      <c r="BF3">
        <v>1</v>
      </c>
      <c r="BG3">
        <v>1</v>
      </c>
      <c r="BH3">
        <v>1</v>
      </c>
      <c r="BI3">
        <v>2</v>
      </c>
      <c r="BJ3">
        <v>2</v>
      </c>
      <c r="BK3">
        <v>2</v>
      </c>
      <c r="BL3">
        <v>2</v>
      </c>
      <c r="BM3">
        <v>2</v>
      </c>
      <c r="BN3">
        <v>4</v>
      </c>
      <c r="BO3">
        <v>5</v>
      </c>
      <c r="BP3">
        <v>5</v>
      </c>
      <c r="BQ3">
        <v>6</v>
      </c>
      <c r="BR3">
        <v>8</v>
      </c>
      <c r="BS3">
        <v>10</v>
      </c>
    </row>
    <row r="4" spans="1:71" x14ac:dyDescent="0.3">
      <c r="B4" t="s">
        <v>75</v>
      </c>
      <c r="C4">
        <v>28.033899999999999</v>
      </c>
      <c r="D4">
        <v>1.6596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1</v>
      </c>
      <c r="BD4">
        <v>2</v>
      </c>
      <c r="BE4">
        <v>3</v>
      </c>
      <c r="BF4">
        <v>4</v>
      </c>
      <c r="BG4">
        <v>4</v>
      </c>
      <c r="BH4">
        <v>4</v>
      </c>
      <c r="BI4">
        <v>7</v>
      </c>
      <c r="BJ4">
        <v>9</v>
      </c>
      <c r="BK4">
        <v>11</v>
      </c>
      <c r="BL4">
        <v>15</v>
      </c>
      <c r="BM4">
        <v>17</v>
      </c>
      <c r="BN4">
        <v>17</v>
      </c>
      <c r="BO4">
        <v>19</v>
      </c>
      <c r="BP4">
        <v>21</v>
      </c>
      <c r="BQ4">
        <v>25</v>
      </c>
      <c r="BR4">
        <v>26</v>
      </c>
      <c r="BS4">
        <v>29</v>
      </c>
    </row>
    <row r="5" spans="1:71" x14ac:dyDescent="0.3">
      <c r="B5" t="s">
        <v>109</v>
      </c>
      <c r="C5">
        <v>42.506300000000003</v>
      </c>
      <c r="D5">
        <v>1.5218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1</v>
      </c>
      <c r="BN5">
        <v>1</v>
      </c>
      <c r="BO5">
        <v>1</v>
      </c>
      <c r="BP5">
        <v>1</v>
      </c>
      <c r="BQ5">
        <v>3</v>
      </c>
      <c r="BR5">
        <v>3</v>
      </c>
      <c r="BS5">
        <v>3</v>
      </c>
    </row>
    <row r="6" spans="1:71" x14ac:dyDescent="0.3">
      <c r="B6" t="s">
        <v>532</v>
      </c>
      <c r="C6">
        <v>-11.2027</v>
      </c>
      <c r="D6">
        <v>17.873899999999999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</row>
    <row r="7" spans="1:71" x14ac:dyDescent="0.3">
      <c r="B7" t="s">
        <v>424</v>
      </c>
      <c r="C7">
        <v>17.0608</v>
      </c>
      <c r="D7">
        <v>-61.796399999999998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</row>
    <row r="8" spans="1:71" x14ac:dyDescent="0.3">
      <c r="B8" t="s">
        <v>123</v>
      </c>
      <c r="C8">
        <v>-38.4161</v>
      </c>
      <c r="D8">
        <v>-63.616700000000002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1</v>
      </c>
      <c r="AZ8">
        <v>1</v>
      </c>
      <c r="BA8">
        <v>1</v>
      </c>
      <c r="BB8">
        <v>1</v>
      </c>
      <c r="BC8">
        <v>1</v>
      </c>
      <c r="BD8">
        <v>2</v>
      </c>
      <c r="BE8">
        <v>2</v>
      </c>
      <c r="BF8">
        <v>2</v>
      </c>
      <c r="BG8">
        <v>2</v>
      </c>
      <c r="BH8">
        <v>2</v>
      </c>
      <c r="BI8">
        <v>2</v>
      </c>
      <c r="BJ8">
        <v>3</v>
      </c>
      <c r="BK8">
        <v>3</v>
      </c>
      <c r="BL8">
        <v>4</v>
      </c>
      <c r="BM8">
        <v>4</v>
      </c>
      <c r="BN8">
        <v>4</v>
      </c>
      <c r="BO8">
        <v>6</v>
      </c>
      <c r="BP8">
        <v>8</v>
      </c>
      <c r="BQ8">
        <v>9</v>
      </c>
      <c r="BR8">
        <v>13</v>
      </c>
      <c r="BS8">
        <v>18</v>
      </c>
    </row>
    <row r="9" spans="1:71" x14ac:dyDescent="0.3">
      <c r="B9" t="s">
        <v>105</v>
      </c>
      <c r="C9">
        <v>40.069099999999999</v>
      </c>
      <c r="D9">
        <v>45.038200000000003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1</v>
      </c>
      <c r="BR9">
        <v>1</v>
      </c>
      <c r="BS9">
        <v>1</v>
      </c>
    </row>
    <row r="10" spans="1:71" x14ac:dyDescent="0.3">
      <c r="A10" t="s">
        <v>412</v>
      </c>
      <c r="B10" t="s">
        <v>48</v>
      </c>
      <c r="C10">
        <v>-35.473500000000001</v>
      </c>
      <c r="D10">
        <v>149.01240000000001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</row>
    <row r="11" spans="1:71" x14ac:dyDescent="0.3">
      <c r="A11" t="s">
        <v>47</v>
      </c>
      <c r="B11" t="s">
        <v>48</v>
      </c>
      <c r="C11">
        <v>-33.8688</v>
      </c>
      <c r="D11">
        <v>151.20930000000001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1</v>
      </c>
      <c r="AV11">
        <v>1</v>
      </c>
      <c r="AW11">
        <v>1</v>
      </c>
      <c r="AX11">
        <v>1</v>
      </c>
      <c r="AY11">
        <v>2</v>
      </c>
      <c r="AZ11">
        <v>2</v>
      </c>
      <c r="BA11">
        <v>2</v>
      </c>
      <c r="BB11">
        <v>2</v>
      </c>
      <c r="BC11">
        <v>2</v>
      </c>
      <c r="BD11">
        <v>2</v>
      </c>
      <c r="BE11">
        <v>2</v>
      </c>
      <c r="BF11">
        <v>2</v>
      </c>
      <c r="BG11">
        <v>2</v>
      </c>
      <c r="BH11">
        <v>4</v>
      </c>
      <c r="BI11">
        <v>5</v>
      </c>
      <c r="BJ11">
        <v>5</v>
      </c>
      <c r="BK11">
        <v>6</v>
      </c>
      <c r="BL11">
        <v>6</v>
      </c>
      <c r="BM11">
        <v>6</v>
      </c>
      <c r="BN11">
        <v>6</v>
      </c>
      <c r="BO11">
        <v>7</v>
      </c>
      <c r="BP11">
        <v>7</v>
      </c>
      <c r="BQ11">
        <v>7</v>
      </c>
      <c r="BR11">
        <v>7</v>
      </c>
      <c r="BS11">
        <v>8</v>
      </c>
    </row>
    <row r="12" spans="1:71" x14ac:dyDescent="0.3">
      <c r="A12" t="s">
        <v>133</v>
      </c>
      <c r="B12" t="s">
        <v>48</v>
      </c>
      <c r="C12">
        <v>-12.4634</v>
      </c>
      <c r="D12">
        <v>130.84559999999999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</row>
    <row r="13" spans="1:71" x14ac:dyDescent="0.3">
      <c r="A13" t="s">
        <v>50</v>
      </c>
      <c r="B13" t="s">
        <v>48</v>
      </c>
      <c r="C13">
        <v>-28.0167</v>
      </c>
      <c r="D13">
        <v>153.4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1</v>
      </c>
      <c r="BR13">
        <v>1</v>
      </c>
      <c r="BS13">
        <v>1</v>
      </c>
    </row>
    <row r="14" spans="1:71" x14ac:dyDescent="0.3">
      <c r="A14" t="s">
        <v>61</v>
      </c>
      <c r="B14" t="s">
        <v>48</v>
      </c>
      <c r="C14">
        <v>-34.9285</v>
      </c>
      <c r="D14">
        <v>138.60069999999999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</row>
    <row r="15" spans="1:71" x14ac:dyDescent="0.3">
      <c r="A15" t="s">
        <v>110</v>
      </c>
      <c r="B15" t="s">
        <v>48</v>
      </c>
      <c r="C15">
        <v>-41.454500000000003</v>
      </c>
      <c r="D15">
        <v>145.97069999999999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</row>
    <row r="16" spans="1:71" x14ac:dyDescent="0.3">
      <c r="A16" t="s">
        <v>49</v>
      </c>
      <c r="B16" t="s">
        <v>48</v>
      </c>
      <c r="C16">
        <v>-37.813600000000001</v>
      </c>
      <c r="D16">
        <v>144.9631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3</v>
      </c>
      <c r="BR16">
        <v>3</v>
      </c>
      <c r="BS16">
        <v>3</v>
      </c>
    </row>
    <row r="17" spans="1:71" x14ac:dyDescent="0.3">
      <c r="A17" t="s">
        <v>97</v>
      </c>
      <c r="B17" t="s">
        <v>48</v>
      </c>
      <c r="C17">
        <v>-31.950500000000002</v>
      </c>
      <c r="D17">
        <v>115.8605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1</v>
      </c>
      <c r="AS17">
        <v>1</v>
      </c>
      <c r="AT17">
        <v>1</v>
      </c>
      <c r="AU17">
        <v>1</v>
      </c>
      <c r="AV17">
        <v>1</v>
      </c>
      <c r="AW17">
        <v>1</v>
      </c>
      <c r="AX17">
        <v>1</v>
      </c>
      <c r="AY17">
        <v>1</v>
      </c>
      <c r="AZ17">
        <v>1</v>
      </c>
      <c r="BA17">
        <v>1</v>
      </c>
      <c r="BB17">
        <v>1</v>
      </c>
      <c r="BC17">
        <v>1</v>
      </c>
      <c r="BD17">
        <v>1</v>
      </c>
      <c r="BE17">
        <v>1</v>
      </c>
      <c r="BF17">
        <v>1</v>
      </c>
      <c r="BG17">
        <v>1</v>
      </c>
      <c r="BH17">
        <v>1</v>
      </c>
      <c r="BI17">
        <v>1</v>
      </c>
      <c r="BJ17">
        <v>1</v>
      </c>
      <c r="BK17">
        <v>1</v>
      </c>
      <c r="BL17">
        <v>1</v>
      </c>
      <c r="BM17">
        <v>1</v>
      </c>
      <c r="BN17">
        <v>1</v>
      </c>
      <c r="BO17">
        <v>1</v>
      </c>
      <c r="BP17">
        <v>1</v>
      </c>
      <c r="BQ17">
        <v>2</v>
      </c>
      <c r="BR17">
        <v>2</v>
      </c>
      <c r="BS17">
        <v>2</v>
      </c>
    </row>
    <row r="18" spans="1:71" x14ac:dyDescent="0.3">
      <c r="B18" t="s">
        <v>78</v>
      </c>
      <c r="C18">
        <v>47.516199999999998</v>
      </c>
      <c r="D18">
        <v>14.5501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1</v>
      </c>
      <c r="BD18">
        <v>1</v>
      </c>
      <c r="BE18">
        <v>1</v>
      </c>
      <c r="BF18">
        <v>1</v>
      </c>
      <c r="BG18">
        <v>3</v>
      </c>
      <c r="BH18">
        <v>3</v>
      </c>
      <c r="BI18">
        <v>4</v>
      </c>
      <c r="BJ18">
        <v>6</v>
      </c>
      <c r="BK18">
        <v>6</v>
      </c>
      <c r="BL18">
        <v>8</v>
      </c>
      <c r="BM18">
        <v>16</v>
      </c>
      <c r="BN18">
        <v>21</v>
      </c>
      <c r="BO18">
        <v>28</v>
      </c>
      <c r="BP18">
        <v>30</v>
      </c>
      <c r="BQ18">
        <v>49</v>
      </c>
      <c r="BR18">
        <v>58</v>
      </c>
      <c r="BS18">
        <v>68</v>
      </c>
    </row>
    <row r="19" spans="1:71" x14ac:dyDescent="0.3">
      <c r="B19" t="s">
        <v>104</v>
      </c>
      <c r="C19">
        <v>40.143099999999997</v>
      </c>
      <c r="D19">
        <v>47.576900000000002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1</v>
      </c>
      <c r="BE19">
        <v>1</v>
      </c>
      <c r="BF19">
        <v>1</v>
      </c>
      <c r="BG19">
        <v>1</v>
      </c>
      <c r="BH19">
        <v>1</v>
      </c>
      <c r="BI19">
        <v>1</v>
      </c>
      <c r="BJ19">
        <v>1</v>
      </c>
      <c r="BK19">
        <v>1</v>
      </c>
      <c r="BL19">
        <v>1</v>
      </c>
      <c r="BM19">
        <v>1</v>
      </c>
      <c r="BN19">
        <v>1</v>
      </c>
      <c r="BO19">
        <v>1</v>
      </c>
      <c r="BP19">
        <v>2</v>
      </c>
      <c r="BQ19">
        <v>3</v>
      </c>
      <c r="BR19">
        <v>3</v>
      </c>
      <c r="BS19">
        <v>4</v>
      </c>
    </row>
    <row r="20" spans="1:71" x14ac:dyDescent="0.3">
      <c r="B20" t="s">
        <v>581</v>
      </c>
      <c r="C20">
        <v>25.034300000000002</v>
      </c>
      <c r="D20">
        <v>-77.396299999999997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</row>
    <row r="21" spans="1:71" x14ac:dyDescent="0.3">
      <c r="B21" t="s">
        <v>73</v>
      </c>
      <c r="C21">
        <v>26.0275</v>
      </c>
      <c r="D21">
        <v>50.55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1</v>
      </c>
      <c r="BH21">
        <v>1</v>
      </c>
      <c r="BI21">
        <v>1</v>
      </c>
      <c r="BJ21">
        <v>1</v>
      </c>
      <c r="BK21">
        <v>1</v>
      </c>
      <c r="BL21">
        <v>1</v>
      </c>
      <c r="BM21">
        <v>2</v>
      </c>
      <c r="BN21">
        <v>2</v>
      </c>
      <c r="BO21">
        <v>3</v>
      </c>
      <c r="BP21">
        <v>4</v>
      </c>
      <c r="BQ21">
        <v>4</v>
      </c>
      <c r="BR21">
        <v>4</v>
      </c>
      <c r="BS21">
        <v>4</v>
      </c>
    </row>
    <row r="22" spans="1:71" x14ac:dyDescent="0.3">
      <c r="B22" t="s">
        <v>202</v>
      </c>
      <c r="C22">
        <v>23.684999999999999</v>
      </c>
      <c r="D22">
        <v>90.356300000000005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1</v>
      </c>
      <c r="BJ22">
        <v>1</v>
      </c>
      <c r="BK22">
        <v>1</v>
      </c>
      <c r="BL22">
        <v>2</v>
      </c>
      <c r="BM22">
        <v>2</v>
      </c>
      <c r="BN22">
        <v>3</v>
      </c>
      <c r="BO22">
        <v>4</v>
      </c>
      <c r="BP22">
        <v>5</v>
      </c>
      <c r="BQ22">
        <v>5</v>
      </c>
      <c r="BR22">
        <v>5</v>
      </c>
      <c r="BS22">
        <v>5</v>
      </c>
    </row>
    <row r="23" spans="1:71" x14ac:dyDescent="0.3">
      <c r="B23" t="s">
        <v>485</v>
      </c>
      <c r="C23">
        <v>13.193899999999999</v>
      </c>
      <c r="D23">
        <v>-59.543199999999999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</row>
    <row r="24" spans="1:71" x14ac:dyDescent="0.3">
      <c r="B24" t="s">
        <v>91</v>
      </c>
      <c r="C24">
        <v>53.709800000000001</v>
      </c>
      <c r="D24">
        <v>27.953399999999998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</row>
    <row r="25" spans="1:71" x14ac:dyDescent="0.3">
      <c r="B25" t="s">
        <v>63</v>
      </c>
      <c r="C25">
        <v>50.833300000000001</v>
      </c>
      <c r="D25">
        <v>4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3</v>
      </c>
      <c r="BC25">
        <v>3</v>
      </c>
      <c r="BD25">
        <v>3</v>
      </c>
      <c r="BE25">
        <v>4</v>
      </c>
      <c r="BF25">
        <v>4</v>
      </c>
      <c r="BG25">
        <v>5</v>
      </c>
      <c r="BH25">
        <v>10</v>
      </c>
      <c r="BI25">
        <v>14</v>
      </c>
      <c r="BJ25">
        <v>21</v>
      </c>
      <c r="BK25">
        <v>37</v>
      </c>
      <c r="BL25">
        <v>67</v>
      </c>
      <c r="BM25">
        <v>75</v>
      </c>
      <c r="BN25">
        <v>88</v>
      </c>
      <c r="BO25">
        <v>122</v>
      </c>
      <c r="BP25">
        <v>178</v>
      </c>
      <c r="BQ25">
        <v>220</v>
      </c>
      <c r="BR25">
        <v>289</v>
      </c>
      <c r="BS25">
        <v>353</v>
      </c>
    </row>
    <row r="26" spans="1:71" x14ac:dyDescent="0.3">
      <c r="B26" t="s">
        <v>468</v>
      </c>
      <c r="C26">
        <v>9.3077000000000005</v>
      </c>
      <c r="D26">
        <v>2.3157999999999999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</row>
    <row r="27" spans="1:71" x14ac:dyDescent="0.3">
      <c r="B27" t="s">
        <v>156</v>
      </c>
      <c r="C27">
        <v>27.514199999999999</v>
      </c>
      <c r="D27">
        <v>90.433599999999998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</row>
    <row r="28" spans="1:71" x14ac:dyDescent="0.3">
      <c r="B28" t="s">
        <v>346</v>
      </c>
      <c r="C28">
        <v>-16.290199999999999</v>
      </c>
      <c r="D28">
        <v>-63.588700000000003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</row>
    <row r="29" spans="1:71" x14ac:dyDescent="0.3">
      <c r="B29" t="s">
        <v>140</v>
      </c>
      <c r="C29">
        <v>43.915900000000001</v>
      </c>
      <c r="D29">
        <v>17.679099999999998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1</v>
      </c>
      <c r="BM29">
        <v>1</v>
      </c>
      <c r="BN29">
        <v>1</v>
      </c>
      <c r="BO29">
        <v>3</v>
      </c>
      <c r="BP29">
        <v>3</v>
      </c>
      <c r="BQ29">
        <v>3</v>
      </c>
      <c r="BR29">
        <v>4</v>
      </c>
      <c r="BS29">
        <v>5</v>
      </c>
    </row>
    <row r="30" spans="1:71" x14ac:dyDescent="0.3">
      <c r="B30" t="s">
        <v>81</v>
      </c>
      <c r="C30">
        <v>-14.234999999999999</v>
      </c>
      <c r="D30">
        <v>-51.9253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1</v>
      </c>
      <c r="BI30">
        <v>3</v>
      </c>
      <c r="BJ30">
        <v>6</v>
      </c>
      <c r="BK30">
        <v>11</v>
      </c>
      <c r="BL30">
        <v>15</v>
      </c>
      <c r="BM30">
        <v>25</v>
      </c>
      <c r="BN30">
        <v>34</v>
      </c>
      <c r="BO30">
        <v>46</v>
      </c>
      <c r="BP30">
        <v>59</v>
      </c>
      <c r="BQ30">
        <v>77</v>
      </c>
      <c r="BR30">
        <v>92</v>
      </c>
      <c r="BS30">
        <v>111</v>
      </c>
    </row>
    <row r="31" spans="1:71" x14ac:dyDescent="0.3">
      <c r="B31" t="s">
        <v>233</v>
      </c>
      <c r="C31">
        <v>4.5353000000000003</v>
      </c>
      <c r="D31">
        <v>114.7277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1</v>
      </c>
    </row>
    <row r="32" spans="1:71" x14ac:dyDescent="0.3">
      <c r="B32" t="s">
        <v>199</v>
      </c>
      <c r="C32">
        <v>42.733899999999998</v>
      </c>
      <c r="D32">
        <v>25.485800000000001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1</v>
      </c>
      <c r="BC32">
        <v>1</v>
      </c>
      <c r="BD32">
        <v>1</v>
      </c>
      <c r="BE32">
        <v>2</v>
      </c>
      <c r="BF32">
        <v>2</v>
      </c>
      <c r="BG32">
        <v>2</v>
      </c>
      <c r="BH32">
        <v>2</v>
      </c>
      <c r="BI32">
        <v>2</v>
      </c>
      <c r="BJ32">
        <v>3</v>
      </c>
      <c r="BK32">
        <v>3</v>
      </c>
      <c r="BL32">
        <v>3</v>
      </c>
      <c r="BM32">
        <v>3</v>
      </c>
      <c r="BN32">
        <v>3</v>
      </c>
      <c r="BO32">
        <v>3</v>
      </c>
      <c r="BP32">
        <v>3</v>
      </c>
      <c r="BQ32">
        <v>3</v>
      </c>
      <c r="BR32">
        <v>3</v>
      </c>
      <c r="BS32">
        <v>7</v>
      </c>
    </row>
    <row r="33" spans="1:71" x14ac:dyDescent="0.3">
      <c r="B33" t="s">
        <v>279</v>
      </c>
      <c r="C33">
        <v>12.238300000000001</v>
      </c>
      <c r="D33">
        <v>-1.5616000000000001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1</v>
      </c>
      <c r="BJ33">
        <v>1</v>
      </c>
      <c r="BK33">
        <v>1</v>
      </c>
      <c r="BL33">
        <v>2</v>
      </c>
      <c r="BM33">
        <v>4</v>
      </c>
      <c r="BN33">
        <v>4</v>
      </c>
      <c r="BO33">
        <v>4</v>
      </c>
      <c r="BP33">
        <v>4</v>
      </c>
      <c r="BQ33">
        <v>7</v>
      </c>
      <c r="BR33">
        <v>9</v>
      </c>
      <c r="BS33">
        <v>11</v>
      </c>
    </row>
    <row r="34" spans="1:71" x14ac:dyDescent="0.3">
      <c r="B34" t="s">
        <v>533</v>
      </c>
      <c r="C34">
        <v>16.538799999999998</v>
      </c>
      <c r="D34">
        <v>-23.041799999999999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1</v>
      </c>
      <c r="BP34">
        <v>1</v>
      </c>
      <c r="BQ34">
        <v>1</v>
      </c>
      <c r="BR34">
        <v>1</v>
      </c>
      <c r="BS34">
        <v>1</v>
      </c>
    </row>
    <row r="35" spans="1:71" x14ac:dyDescent="0.3">
      <c r="B35" t="s">
        <v>51</v>
      </c>
      <c r="C35">
        <v>11.55</v>
      </c>
      <c r="D35">
        <v>104.91670000000001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</row>
    <row r="36" spans="1:71" x14ac:dyDescent="0.3">
      <c r="B36" t="s">
        <v>157</v>
      </c>
      <c r="C36">
        <v>3.8479999999999999</v>
      </c>
      <c r="D36">
        <v>11.5021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1</v>
      </c>
      <c r="BQ36">
        <v>1</v>
      </c>
      <c r="BR36">
        <v>2</v>
      </c>
      <c r="BS36">
        <v>2</v>
      </c>
    </row>
    <row r="37" spans="1:71" x14ac:dyDescent="0.3">
      <c r="A37" t="s">
        <v>227</v>
      </c>
      <c r="B37" t="s">
        <v>45</v>
      </c>
      <c r="C37">
        <v>53.933300000000003</v>
      </c>
      <c r="D37">
        <v>-116.5765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1</v>
      </c>
      <c r="BL37">
        <v>1</v>
      </c>
      <c r="BM37">
        <v>1</v>
      </c>
      <c r="BN37">
        <v>1</v>
      </c>
      <c r="BO37">
        <v>1</v>
      </c>
      <c r="BP37">
        <v>2</v>
      </c>
      <c r="BQ37">
        <v>2</v>
      </c>
      <c r="BR37">
        <v>2</v>
      </c>
      <c r="BS37">
        <v>2</v>
      </c>
    </row>
    <row r="38" spans="1:71" x14ac:dyDescent="0.3">
      <c r="A38" t="s">
        <v>44</v>
      </c>
      <c r="B38" t="s">
        <v>45</v>
      </c>
      <c r="C38">
        <v>49.282699999999998</v>
      </c>
      <c r="D38">
        <v>-123.1207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1</v>
      </c>
      <c r="BA38">
        <v>1</v>
      </c>
      <c r="BB38">
        <v>1</v>
      </c>
      <c r="BC38">
        <v>1</v>
      </c>
      <c r="BD38">
        <v>1</v>
      </c>
      <c r="BE38">
        <v>1</v>
      </c>
      <c r="BF38">
        <v>1</v>
      </c>
      <c r="BG38">
        <v>4</v>
      </c>
      <c r="BH38">
        <v>4</v>
      </c>
      <c r="BI38">
        <v>7</v>
      </c>
      <c r="BJ38">
        <v>7</v>
      </c>
      <c r="BK38">
        <v>8</v>
      </c>
      <c r="BL38">
        <v>10</v>
      </c>
      <c r="BM38">
        <v>10</v>
      </c>
      <c r="BN38">
        <v>13</v>
      </c>
      <c r="BO38">
        <v>13</v>
      </c>
      <c r="BP38">
        <v>13</v>
      </c>
      <c r="BQ38">
        <v>14</v>
      </c>
      <c r="BR38">
        <v>14</v>
      </c>
      <c r="BS38">
        <v>17</v>
      </c>
    </row>
    <row r="39" spans="1:71" x14ac:dyDescent="0.3">
      <c r="A39" t="s">
        <v>249</v>
      </c>
      <c r="B39" t="s">
        <v>45</v>
      </c>
      <c r="C39">
        <v>37.648899999999998</v>
      </c>
      <c r="D39">
        <v>-122.66549999999999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</row>
    <row r="40" spans="1:71" x14ac:dyDescent="0.3">
      <c r="A40" t="s">
        <v>417</v>
      </c>
      <c r="B40" t="s">
        <v>45</v>
      </c>
      <c r="C40">
        <v>53.760899999999999</v>
      </c>
      <c r="D40">
        <v>-98.813900000000004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1</v>
      </c>
      <c r="BS40">
        <v>1</v>
      </c>
    </row>
    <row r="41" spans="1:71" x14ac:dyDescent="0.3">
      <c r="A41" t="s">
        <v>350</v>
      </c>
      <c r="B41" t="s">
        <v>45</v>
      </c>
      <c r="C41">
        <v>46.565300000000001</v>
      </c>
      <c r="D41">
        <v>-66.4619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</row>
    <row r="42" spans="1:71" x14ac:dyDescent="0.3">
      <c r="A42" t="s">
        <v>458</v>
      </c>
      <c r="B42" t="s">
        <v>45</v>
      </c>
      <c r="C42">
        <v>53.1355</v>
      </c>
      <c r="D42">
        <v>-57.660400000000003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</row>
    <row r="43" spans="1:71" x14ac:dyDescent="0.3">
      <c r="A43" t="s">
        <v>467</v>
      </c>
      <c r="B43" t="s">
        <v>45</v>
      </c>
      <c r="C43">
        <v>44.681999999999903</v>
      </c>
      <c r="D43">
        <v>-63.744300000000003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</row>
    <row r="44" spans="1:71" x14ac:dyDescent="0.3">
      <c r="A44" t="s">
        <v>226</v>
      </c>
      <c r="B44" t="s">
        <v>45</v>
      </c>
      <c r="C44">
        <v>51.253799999999998</v>
      </c>
      <c r="D44">
        <v>-85.3232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1</v>
      </c>
      <c r="BI44">
        <v>1</v>
      </c>
      <c r="BJ44">
        <v>1</v>
      </c>
      <c r="BK44">
        <v>2</v>
      </c>
      <c r="BL44">
        <v>3</v>
      </c>
      <c r="BM44">
        <v>5</v>
      </c>
      <c r="BN44">
        <v>6</v>
      </c>
      <c r="BO44">
        <v>7</v>
      </c>
      <c r="BP44">
        <v>8</v>
      </c>
      <c r="BQ44">
        <v>13</v>
      </c>
      <c r="BR44">
        <v>18</v>
      </c>
      <c r="BS44">
        <v>18</v>
      </c>
    </row>
    <row r="45" spans="1:71" x14ac:dyDescent="0.3">
      <c r="A45" t="s">
        <v>459</v>
      </c>
      <c r="B45" t="s">
        <v>45</v>
      </c>
      <c r="C45">
        <v>46.5107</v>
      </c>
      <c r="D45">
        <v>-63.416800000000002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</row>
    <row r="46" spans="1:71" x14ac:dyDescent="0.3">
      <c r="A46" t="s">
        <v>228</v>
      </c>
      <c r="B46" t="s">
        <v>45</v>
      </c>
      <c r="C46">
        <v>52.939900000000002</v>
      </c>
      <c r="D46">
        <v>-73.549099999999996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1</v>
      </c>
      <c r="BK46">
        <v>1</v>
      </c>
      <c r="BL46">
        <v>5</v>
      </c>
      <c r="BM46">
        <v>4</v>
      </c>
      <c r="BN46">
        <v>4</v>
      </c>
      <c r="BO46">
        <v>4</v>
      </c>
      <c r="BP46">
        <v>6</v>
      </c>
      <c r="BQ46">
        <v>8</v>
      </c>
      <c r="BR46">
        <v>18</v>
      </c>
      <c r="BS46">
        <v>22</v>
      </c>
    </row>
    <row r="47" spans="1:71" x14ac:dyDescent="0.3">
      <c r="A47" t="s">
        <v>418</v>
      </c>
      <c r="B47" t="s">
        <v>45</v>
      </c>
      <c r="C47">
        <v>52.939900000000002</v>
      </c>
      <c r="D47">
        <v>-106.4509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</row>
    <row r="48" spans="1:71" x14ac:dyDescent="0.3">
      <c r="B48" t="s">
        <v>460</v>
      </c>
      <c r="C48">
        <v>6.6111000000000004</v>
      </c>
      <c r="D48">
        <v>20.939399999999999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</row>
    <row r="49" spans="1:71" x14ac:dyDescent="0.3">
      <c r="B49" t="s">
        <v>523</v>
      </c>
      <c r="C49">
        <v>15.4542</v>
      </c>
      <c r="D49">
        <v>18.732199999999999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</row>
    <row r="50" spans="1:71" x14ac:dyDescent="0.3">
      <c r="B50" t="s">
        <v>124</v>
      </c>
      <c r="C50">
        <v>-35.6751</v>
      </c>
      <c r="D50">
        <v>-71.543000000000006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1</v>
      </c>
      <c r="BN50">
        <v>2</v>
      </c>
      <c r="BO50">
        <v>2</v>
      </c>
      <c r="BP50">
        <v>3</v>
      </c>
      <c r="BQ50">
        <v>4</v>
      </c>
      <c r="BR50">
        <v>5</v>
      </c>
      <c r="BS50">
        <v>6</v>
      </c>
    </row>
    <row r="51" spans="1:71" x14ac:dyDescent="0.3">
      <c r="A51" t="s">
        <v>4</v>
      </c>
      <c r="B51" t="s">
        <v>337</v>
      </c>
      <c r="C51">
        <v>31.825700000000001</v>
      </c>
      <c r="D51">
        <v>117.2264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1</v>
      </c>
      <c r="X51">
        <v>3</v>
      </c>
      <c r="Y51">
        <v>4</v>
      </c>
      <c r="Z51">
        <v>4</v>
      </c>
      <c r="AA51">
        <v>5</v>
      </c>
      <c r="AB51">
        <v>6</v>
      </c>
      <c r="AC51">
        <v>6</v>
      </c>
      <c r="AD51">
        <v>6</v>
      </c>
      <c r="AE51">
        <v>6</v>
      </c>
      <c r="AF51">
        <v>6</v>
      </c>
      <c r="AG51">
        <v>6</v>
      </c>
      <c r="AH51">
        <v>6</v>
      </c>
      <c r="AI51">
        <v>6</v>
      </c>
      <c r="AJ51">
        <v>6</v>
      </c>
      <c r="AK51">
        <v>6</v>
      </c>
      <c r="AL51">
        <v>6</v>
      </c>
      <c r="AM51">
        <v>6</v>
      </c>
      <c r="AN51">
        <v>6</v>
      </c>
      <c r="AO51">
        <v>6</v>
      </c>
      <c r="AP51">
        <v>6</v>
      </c>
      <c r="AQ51">
        <v>6</v>
      </c>
      <c r="AR51">
        <v>6</v>
      </c>
      <c r="AS51">
        <v>6</v>
      </c>
      <c r="AT51">
        <v>6</v>
      </c>
      <c r="AU51">
        <v>6</v>
      </c>
      <c r="AV51">
        <v>6</v>
      </c>
      <c r="AW51">
        <v>6</v>
      </c>
      <c r="AX51">
        <v>6</v>
      </c>
      <c r="AY51">
        <v>6</v>
      </c>
      <c r="AZ51">
        <v>6</v>
      </c>
      <c r="BA51">
        <v>6</v>
      </c>
      <c r="BB51">
        <v>6</v>
      </c>
      <c r="BC51">
        <v>6</v>
      </c>
      <c r="BD51">
        <v>6</v>
      </c>
      <c r="BE51">
        <v>6</v>
      </c>
      <c r="BF51">
        <v>6</v>
      </c>
      <c r="BG51">
        <v>6</v>
      </c>
      <c r="BH51">
        <v>6</v>
      </c>
      <c r="BI51">
        <v>6</v>
      </c>
      <c r="BJ51">
        <v>6</v>
      </c>
      <c r="BK51">
        <v>6</v>
      </c>
      <c r="BL51">
        <v>6</v>
      </c>
      <c r="BM51">
        <v>6</v>
      </c>
      <c r="BN51">
        <v>6</v>
      </c>
      <c r="BO51">
        <v>6</v>
      </c>
      <c r="BP51">
        <v>6</v>
      </c>
      <c r="BQ51">
        <v>6</v>
      </c>
      <c r="BR51">
        <v>6</v>
      </c>
      <c r="BS51">
        <v>6</v>
      </c>
    </row>
    <row r="52" spans="1:71" x14ac:dyDescent="0.3">
      <c r="A52" t="s">
        <v>5</v>
      </c>
      <c r="B52" t="s">
        <v>337</v>
      </c>
      <c r="C52">
        <v>40.182400000000001</v>
      </c>
      <c r="D52">
        <v>116.41419999999999</v>
      </c>
      <c r="E52">
        <v>0</v>
      </c>
      <c r="F52">
        <v>0</v>
      </c>
      <c r="G52">
        <v>0</v>
      </c>
      <c r="H52">
        <v>0</v>
      </c>
      <c r="I52">
        <v>0</v>
      </c>
      <c r="J52">
        <v>1</v>
      </c>
      <c r="K52">
        <v>1</v>
      </c>
      <c r="L52">
        <v>1</v>
      </c>
      <c r="M52">
        <v>1</v>
      </c>
      <c r="N52">
        <v>1</v>
      </c>
      <c r="O52">
        <v>1</v>
      </c>
      <c r="P52">
        <v>1</v>
      </c>
      <c r="Q52">
        <v>1</v>
      </c>
      <c r="R52">
        <v>1</v>
      </c>
      <c r="S52">
        <v>1</v>
      </c>
      <c r="T52">
        <v>1</v>
      </c>
      <c r="U52">
        <v>1</v>
      </c>
      <c r="V52">
        <v>2</v>
      </c>
      <c r="W52">
        <v>2</v>
      </c>
      <c r="X52">
        <v>2</v>
      </c>
      <c r="Y52">
        <v>3</v>
      </c>
      <c r="Z52">
        <v>3</v>
      </c>
      <c r="AA52">
        <v>3</v>
      </c>
      <c r="AB52">
        <v>3</v>
      </c>
      <c r="AC52">
        <v>4</v>
      </c>
      <c r="AD52">
        <v>4</v>
      </c>
      <c r="AE52">
        <v>4</v>
      </c>
      <c r="AF52">
        <v>4</v>
      </c>
      <c r="AG52">
        <v>4</v>
      </c>
      <c r="AH52">
        <v>4</v>
      </c>
      <c r="AI52">
        <v>4</v>
      </c>
      <c r="AJ52">
        <v>4</v>
      </c>
      <c r="AK52">
        <v>4</v>
      </c>
      <c r="AL52">
        <v>4</v>
      </c>
      <c r="AM52">
        <v>4</v>
      </c>
      <c r="AN52">
        <v>4</v>
      </c>
      <c r="AO52">
        <v>5</v>
      </c>
      <c r="AP52">
        <v>7</v>
      </c>
      <c r="AQ52">
        <v>8</v>
      </c>
      <c r="AR52">
        <v>8</v>
      </c>
      <c r="AS52">
        <v>8</v>
      </c>
      <c r="AT52">
        <v>8</v>
      </c>
      <c r="AU52">
        <v>8</v>
      </c>
      <c r="AV52">
        <v>8</v>
      </c>
      <c r="AW52">
        <v>8</v>
      </c>
      <c r="AX52">
        <v>8</v>
      </c>
      <c r="AY52">
        <v>8</v>
      </c>
      <c r="AZ52">
        <v>8</v>
      </c>
      <c r="BA52">
        <v>8</v>
      </c>
      <c r="BB52">
        <v>8</v>
      </c>
      <c r="BC52">
        <v>8</v>
      </c>
      <c r="BD52">
        <v>8</v>
      </c>
      <c r="BE52">
        <v>8</v>
      </c>
      <c r="BF52">
        <v>8</v>
      </c>
      <c r="BG52">
        <v>8</v>
      </c>
      <c r="BH52">
        <v>8</v>
      </c>
      <c r="BI52">
        <v>8</v>
      </c>
      <c r="BJ52">
        <v>8</v>
      </c>
      <c r="BK52">
        <v>8</v>
      </c>
      <c r="BL52">
        <v>8</v>
      </c>
      <c r="BM52">
        <v>8</v>
      </c>
      <c r="BN52">
        <v>8</v>
      </c>
      <c r="BO52">
        <v>8</v>
      </c>
      <c r="BP52">
        <v>8</v>
      </c>
      <c r="BQ52">
        <v>8</v>
      </c>
      <c r="BR52">
        <v>8</v>
      </c>
      <c r="BS52">
        <v>8</v>
      </c>
    </row>
    <row r="53" spans="1:71" x14ac:dyDescent="0.3">
      <c r="A53" t="s">
        <v>6</v>
      </c>
      <c r="B53" t="s">
        <v>337</v>
      </c>
      <c r="C53">
        <v>30.057200000000002</v>
      </c>
      <c r="D53">
        <v>107.874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1</v>
      </c>
      <c r="P53">
        <v>2</v>
      </c>
      <c r="Q53">
        <v>2</v>
      </c>
      <c r="R53">
        <v>2</v>
      </c>
      <c r="S53">
        <v>2</v>
      </c>
      <c r="T53">
        <v>2</v>
      </c>
      <c r="U53">
        <v>2</v>
      </c>
      <c r="V53">
        <v>2</v>
      </c>
      <c r="W53">
        <v>2</v>
      </c>
      <c r="X53">
        <v>2</v>
      </c>
      <c r="Y53">
        <v>3</v>
      </c>
      <c r="Z53">
        <v>3</v>
      </c>
      <c r="AA53">
        <v>4</v>
      </c>
      <c r="AB53">
        <v>5</v>
      </c>
      <c r="AC53">
        <v>5</v>
      </c>
      <c r="AD53">
        <v>5</v>
      </c>
      <c r="AE53">
        <v>5</v>
      </c>
      <c r="AF53">
        <v>5</v>
      </c>
      <c r="AG53">
        <v>5</v>
      </c>
      <c r="AH53">
        <v>6</v>
      </c>
      <c r="AI53">
        <v>6</v>
      </c>
      <c r="AJ53">
        <v>6</v>
      </c>
      <c r="AK53">
        <v>6</v>
      </c>
      <c r="AL53">
        <v>6</v>
      </c>
      <c r="AM53">
        <v>6</v>
      </c>
      <c r="AN53">
        <v>6</v>
      </c>
      <c r="AO53">
        <v>6</v>
      </c>
      <c r="AP53">
        <v>6</v>
      </c>
      <c r="AQ53">
        <v>6</v>
      </c>
      <c r="AR53">
        <v>6</v>
      </c>
      <c r="AS53">
        <v>6</v>
      </c>
      <c r="AT53">
        <v>6</v>
      </c>
      <c r="AU53">
        <v>6</v>
      </c>
      <c r="AV53">
        <v>6</v>
      </c>
      <c r="AW53">
        <v>6</v>
      </c>
      <c r="AX53">
        <v>6</v>
      </c>
      <c r="AY53">
        <v>6</v>
      </c>
      <c r="AZ53">
        <v>6</v>
      </c>
      <c r="BA53">
        <v>6</v>
      </c>
      <c r="BB53">
        <v>6</v>
      </c>
      <c r="BC53">
        <v>6</v>
      </c>
      <c r="BD53">
        <v>6</v>
      </c>
      <c r="BE53">
        <v>6</v>
      </c>
      <c r="BF53">
        <v>6</v>
      </c>
      <c r="BG53">
        <v>6</v>
      </c>
      <c r="BH53">
        <v>6</v>
      </c>
      <c r="BI53">
        <v>6</v>
      </c>
      <c r="BJ53">
        <v>6</v>
      </c>
      <c r="BK53">
        <v>6</v>
      </c>
      <c r="BL53">
        <v>6</v>
      </c>
      <c r="BM53">
        <v>6</v>
      </c>
      <c r="BN53">
        <v>6</v>
      </c>
      <c r="BO53">
        <v>6</v>
      </c>
      <c r="BP53">
        <v>6</v>
      </c>
      <c r="BQ53">
        <v>6</v>
      </c>
      <c r="BR53">
        <v>6</v>
      </c>
      <c r="BS53">
        <v>6</v>
      </c>
    </row>
    <row r="54" spans="1:71" x14ac:dyDescent="0.3">
      <c r="A54" t="s">
        <v>7</v>
      </c>
      <c r="B54" t="s">
        <v>337</v>
      </c>
      <c r="C54">
        <v>26.078900000000001</v>
      </c>
      <c r="D54">
        <v>117.98739999999999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1</v>
      </c>
      <c r="AI54">
        <v>1</v>
      </c>
      <c r="AJ54">
        <v>1</v>
      </c>
      <c r="AK54">
        <v>1</v>
      </c>
      <c r="AL54">
        <v>1</v>
      </c>
      <c r="AM54">
        <v>1</v>
      </c>
      <c r="AN54">
        <v>1</v>
      </c>
      <c r="AO54">
        <v>1</v>
      </c>
      <c r="AP54">
        <v>1</v>
      </c>
      <c r="AQ54">
        <v>1</v>
      </c>
      <c r="AR54">
        <v>1</v>
      </c>
      <c r="AS54">
        <v>1</v>
      </c>
      <c r="AT54">
        <v>1</v>
      </c>
      <c r="AU54">
        <v>1</v>
      </c>
      <c r="AV54">
        <v>1</v>
      </c>
      <c r="AW54">
        <v>1</v>
      </c>
      <c r="AX54">
        <v>1</v>
      </c>
      <c r="AY54">
        <v>1</v>
      </c>
      <c r="AZ54">
        <v>1</v>
      </c>
      <c r="BA54">
        <v>1</v>
      </c>
      <c r="BB54">
        <v>1</v>
      </c>
      <c r="BC54">
        <v>1</v>
      </c>
      <c r="BD54">
        <v>1</v>
      </c>
      <c r="BE54">
        <v>1</v>
      </c>
      <c r="BF54">
        <v>1</v>
      </c>
      <c r="BG54">
        <v>1</v>
      </c>
      <c r="BH54">
        <v>1</v>
      </c>
      <c r="BI54">
        <v>1</v>
      </c>
      <c r="BJ54">
        <v>1</v>
      </c>
      <c r="BK54">
        <v>1</v>
      </c>
      <c r="BL54">
        <v>1</v>
      </c>
      <c r="BM54">
        <v>1</v>
      </c>
      <c r="BN54">
        <v>1</v>
      </c>
      <c r="BO54">
        <v>1</v>
      </c>
      <c r="BP54">
        <v>1</v>
      </c>
      <c r="BQ54">
        <v>1</v>
      </c>
      <c r="BR54">
        <v>1</v>
      </c>
      <c r="BS54">
        <v>1</v>
      </c>
    </row>
    <row r="55" spans="1:71" x14ac:dyDescent="0.3">
      <c r="A55" t="s">
        <v>8</v>
      </c>
      <c r="B55" t="s">
        <v>337</v>
      </c>
      <c r="C55">
        <v>37.809899999999999</v>
      </c>
      <c r="D55">
        <v>101.0583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1</v>
      </c>
      <c r="W55">
        <v>2</v>
      </c>
      <c r="X55">
        <v>2</v>
      </c>
      <c r="Y55">
        <v>2</v>
      </c>
      <c r="Z55">
        <v>2</v>
      </c>
      <c r="AA55">
        <v>2</v>
      </c>
      <c r="AB55">
        <v>2</v>
      </c>
      <c r="AC55">
        <v>2</v>
      </c>
      <c r="AD55">
        <v>2</v>
      </c>
      <c r="AE55">
        <v>2</v>
      </c>
      <c r="AF55">
        <v>2</v>
      </c>
      <c r="AG55">
        <v>2</v>
      </c>
      <c r="AH55">
        <v>2</v>
      </c>
      <c r="AI55">
        <v>2</v>
      </c>
      <c r="AJ55">
        <v>2</v>
      </c>
      <c r="AK55">
        <v>2</v>
      </c>
      <c r="AL55">
        <v>2</v>
      </c>
      <c r="AM55">
        <v>2</v>
      </c>
      <c r="AN55">
        <v>2</v>
      </c>
      <c r="AO55">
        <v>2</v>
      </c>
      <c r="AP55">
        <v>2</v>
      </c>
      <c r="AQ55">
        <v>2</v>
      </c>
      <c r="AR55">
        <v>2</v>
      </c>
      <c r="AS55">
        <v>2</v>
      </c>
      <c r="AT55">
        <v>2</v>
      </c>
      <c r="AU55">
        <v>2</v>
      </c>
      <c r="AV55">
        <v>2</v>
      </c>
      <c r="AW55">
        <v>2</v>
      </c>
      <c r="AX55">
        <v>2</v>
      </c>
      <c r="AY55">
        <v>2</v>
      </c>
      <c r="AZ55">
        <v>2</v>
      </c>
      <c r="BA55">
        <v>2</v>
      </c>
      <c r="BB55">
        <v>2</v>
      </c>
      <c r="BC55">
        <v>2</v>
      </c>
      <c r="BD55">
        <v>2</v>
      </c>
      <c r="BE55">
        <v>2</v>
      </c>
      <c r="BF55">
        <v>2</v>
      </c>
      <c r="BG55">
        <v>2</v>
      </c>
      <c r="BH55">
        <v>2</v>
      </c>
      <c r="BI55">
        <v>2</v>
      </c>
      <c r="BJ55">
        <v>2</v>
      </c>
      <c r="BK55">
        <v>2</v>
      </c>
      <c r="BL55">
        <v>2</v>
      </c>
      <c r="BM55">
        <v>2</v>
      </c>
      <c r="BN55">
        <v>2</v>
      </c>
      <c r="BO55">
        <v>2</v>
      </c>
      <c r="BP55">
        <v>2</v>
      </c>
      <c r="BQ55">
        <v>2</v>
      </c>
      <c r="BR55">
        <v>2</v>
      </c>
      <c r="BS55">
        <v>2</v>
      </c>
    </row>
    <row r="56" spans="1:71" x14ac:dyDescent="0.3">
      <c r="A56" t="s">
        <v>9</v>
      </c>
      <c r="B56" t="s">
        <v>337</v>
      </c>
      <c r="C56">
        <v>23.341699999999999</v>
      </c>
      <c r="D56">
        <v>113.42440000000001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1</v>
      </c>
      <c r="V56">
        <v>1</v>
      </c>
      <c r="W56">
        <v>1</v>
      </c>
      <c r="X56">
        <v>1</v>
      </c>
      <c r="Y56">
        <v>1</v>
      </c>
      <c r="Z56">
        <v>1</v>
      </c>
      <c r="AA56">
        <v>2</v>
      </c>
      <c r="AB56">
        <v>2</v>
      </c>
      <c r="AC56">
        <v>2</v>
      </c>
      <c r="AD56">
        <v>2</v>
      </c>
      <c r="AE56">
        <v>4</v>
      </c>
      <c r="AF56">
        <v>4</v>
      </c>
      <c r="AG56">
        <v>5</v>
      </c>
      <c r="AH56">
        <v>5</v>
      </c>
      <c r="AI56">
        <v>5</v>
      </c>
      <c r="AJ56">
        <v>5</v>
      </c>
      <c r="AK56">
        <v>6</v>
      </c>
      <c r="AL56">
        <v>6</v>
      </c>
      <c r="AM56">
        <v>7</v>
      </c>
      <c r="AN56">
        <v>7</v>
      </c>
      <c r="AO56">
        <v>7</v>
      </c>
      <c r="AP56">
        <v>7</v>
      </c>
      <c r="AQ56">
        <v>7</v>
      </c>
      <c r="AR56">
        <v>7</v>
      </c>
      <c r="AS56">
        <v>7</v>
      </c>
      <c r="AT56">
        <v>7</v>
      </c>
      <c r="AU56">
        <v>7</v>
      </c>
      <c r="AV56">
        <v>7</v>
      </c>
      <c r="AW56">
        <v>7</v>
      </c>
      <c r="AX56">
        <v>7</v>
      </c>
      <c r="AY56">
        <v>7</v>
      </c>
      <c r="AZ56">
        <v>8</v>
      </c>
      <c r="BA56">
        <v>8</v>
      </c>
      <c r="BB56">
        <v>8</v>
      </c>
      <c r="BC56">
        <v>8</v>
      </c>
      <c r="BD56">
        <v>8</v>
      </c>
      <c r="BE56">
        <v>8</v>
      </c>
      <c r="BF56">
        <v>8</v>
      </c>
      <c r="BG56">
        <v>8</v>
      </c>
      <c r="BH56">
        <v>8</v>
      </c>
      <c r="BI56">
        <v>8</v>
      </c>
      <c r="BJ56">
        <v>8</v>
      </c>
      <c r="BK56">
        <v>8</v>
      </c>
      <c r="BL56">
        <v>8</v>
      </c>
      <c r="BM56">
        <v>8</v>
      </c>
      <c r="BN56">
        <v>8</v>
      </c>
      <c r="BO56">
        <v>8</v>
      </c>
      <c r="BP56">
        <v>8</v>
      </c>
      <c r="BQ56">
        <v>8</v>
      </c>
      <c r="BR56">
        <v>8</v>
      </c>
      <c r="BS56">
        <v>8</v>
      </c>
    </row>
    <row r="57" spans="1:71" x14ac:dyDescent="0.3">
      <c r="A57" t="s">
        <v>10</v>
      </c>
      <c r="B57" t="s">
        <v>337</v>
      </c>
      <c r="C57">
        <v>23.829799999999999</v>
      </c>
      <c r="D57">
        <v>108.7881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1</v>
      </c>
      <c r="X57">
        <v>1</v>
      </c>
      <c r="Y57">
        <v>1</v>
      </c>
      <c r="Z57">
        <v>1</v>
      </c>
      <c r="AA57">
        <v>2</v>
      </c>
      <c r="AB57">
        <v>2</v>
      </c>
      <c r="AC57">
        <v>2</v>
      </c>
      <c r="AD57">
        <v>2</v>
      </c>
      <c r="AE57">
        <v>2</v>
      </c>
      <c r="AF57">
        <v>2</v>
      </c>
      <c r="AG57">
        <v>2</v>
      </c>
      <c r="AH57">
        <v>2</v>
      </c>
      <c r="AI57">
        <v>2</v>
      </c>
      <c r="AJ57">
        <v>2</v>
      </c>
      <c r="AK57">
        <v>2</v>
      </c>
      <c r="AL57">
        <v>2</v>
      </c>
      <c r="AM57">
        <v>2</v>
      </c>
      <c r="AN57">
        <v>2</v>
      </c>
      <c r="AO57">
        <v>2</v>
      </c>
      <c r="AP57">
        <v>2</v>
      </c>
      <c r="AQ57">
        <v>2</v>
      </c>
      <c r="AR57">
        <v>2</v>
      </c>
      <c r="AS57">
        <v>2</v>
      </c>
      <c r="AT57">
        <v>2</v>
      </c>
      <c r="AU57">
        <v>2</v>
      </c>
      <c r="AV57">
        <v>2</v>
      </c>
      <c r="AW57">
        <v>2</v>
      </c>
      <c r="AX57">
        <v>2</v>
      </c>
      <c r="AY57">
        <v>2</v>
      </c>
      <c r="AZ57">
        <v>2</v>
      </c>
      <c r="BA57">
        <v>2</v>
      </c>
      <c r="BB57">
        <v>2</v>
      </c>
      <c r="BC57">
        <v>2</v>
      </c>
      <c r="BD57">
        <v>2</v>
      </c>
      <c r="BE57">
        <v>2</v>
      </c>
      <c r="BF57">
        <v>2</v>
      </c>
      <c r="BG57">
        <v>2</v>
      </c>
      <c r="BH57">
        <v>2</v>
      </c>
      <c r="BI57">
        <v>2</v>
      </c>
      <c r="BJ57">
        <v>2</v>
      </c>
      <c r="BK57">
        <v>2</v>
      </c>
      <c r="BL57">
        <v>2</v>
      </c>
      <c r="BM57">
        <v>2</v>
      </c>
      <c r="BN57">
        <v>2</v>
      </c>
      <c r="BO57">
        <v>2</v>
      </c>
      <c r="BP57">
        <v>2</v>
      </c>
      <c r="BQ57">
        <v>2</v>
      </c>
      <c r="BR57">
        <v>2</v>
      </c>
      <c r="BS57">
        <v>2</v>
      </c>
    </row>
    <row r="58" spans="1:71" x14ac:dyDescent="0.3">
      <c r="A58" t="s">
        <v>11</v>
      </c>
      <c r="B58" t="s">
        <v>337</v>
      </c>
      <c r="C58">
        <v>26.8154</v>
      </c>
      <c r="D58">
        <v>106.87479999999999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2</v>
      </c>
      <c r="AG58">
        <v>2</v>
      </c>
      <c r="AH58">
        <v>2</v>
      </c>
      <c r="AI58">
        <v>2</v>
      </c>
      <c r="AJ58">
        <v>2</v>
      </c>
      <c r="AK58">
        <v>2</v>
      </c>
      <c r="AL58">
        <v>2</v>
      </c>
      <c r="AM58">
        <v>2</v>
      </c>
      <c r="AN58">
        <v>2</v>
      </c>
      <c r="AO58">
        <v>2</v>
      </c>
      <c r="AP58">
        <v>2</v>
      </c>
      <c r="AQ58">
        <v>2</v>
      </c>
      <c r="AR58">
        <v>2</v>
      </c>
      <c r="AS58">
        <v>2</v>
      </c>
      <c r="AT58">
        <v>2</v>
      </c>
      <c r="AU58">
        <v>2</v>
      </c>
      <c r="AV58">
        <v>2</v>
      </c>
      <c r="AW58">
        <v>2</v>
      </c>
      <c r="AX58">
        <v>2</v>
      </c>
      <c r="AY58">
        <v>2</v>
      </c>
      <c r="AZ58">
        <v>2</v>
      </c>
      <c r="BA58">
        <v>2</v>
      </c>
      <c r="BB58">
        <v>2</v>
      </c>
      <c r="BC58">
        <v>2</v>
      </c>
      <c r="BD58">
        <v>2</v>
      </c>
      <c r="BE58">
        <v>2</v>
      </c>
      <c r="BF58">
        <v>2</v>
      </c>
      <c r="BG58">
        <v>2</v>
      </c>
      <c r="BH58">
        <v>2</v>
      </c>
      <c r="BI58">
        <v>2</v>
      </c>
      <c r="BJ58">
        <v>2</v>
      </c>
      <c r="BK58">
        <v>2</v>
      </c>
      <c r="BL58">
        <v>2</v>
      </c>
      <c r="BM58">
        <v>2</v>
      </c>
      <c r="BN58">
        <v>2</v>
      </c>
      <c r="BO58">
        <v>2</v>
      </c>
      <c r="BP58">
        <v>2</v>
      </c>
      <c r="BQ58">
        <v>2</v>
      </c>
      <c r="BR58">
        <v>2</v>
      </c>
      <c r="BS58">
        <v>2</v>
      </c>
    </row>
    <row r="59" spans="1:71" x14ac:dyDescent="0.3">
      <c r="A59" t="s">
        <v>12</v>
      </c>
      <c r="B59" t="s">
        <v>337</v>
      </c>
      <c r="C59">
        <v>19.195900000000002</v>
      </c>
      <c r="D59">
        <v>109.7453</v>
      </c>
      <c r="E59">
        <v>0</v>
      </c>
      <c r="F59">
        <v>0</v>
      </c>
      <c r="G59">
        <v>0</v>
      </c>
      <c r="H59">
        <v>0</v>
      </c>
      <c r="I59">
        <v>0</v>
      </c>
      <c r="J59">
        <v>1</v>
      </c>
      <c r="K59">
        <v>1</v>
      </c>
      <c r="L59">
        <v>1</v>
      </c>
      <c r="M59">
        <v>1</v>
      </c>
      <c r="N59">
        <v>1</v>
      </c>
      <c r="O59">
        <v>1</v>
      </c>
      <c r="P59">
        <v>1</v>
      </c>
      <c r="Q59">
        <v>1</v>
      </c>
      <c r="R59">
        <v>1</v>
      </c>
      <c r="S59">
        <v>1</v>
      </c>
      <c r="T59">
        <v>1</v>
      </c>
      <c r="U59">
        <v>2</v>
      </c>
      <c r="V59">
        <v>2</v>
      </c>
      <c r="W59">
        <v>3</v>
      </c>
      <c r="X59">
        <v>3</v>
      </c>
      <c r="Y59">
        <v>3</v>
      </c>
      <c r="Z59">
        <v>4</v>
      </c>
      <c r="AA59">
        <v>4</v>
      </c>
      <c r="AB59">
        <v>4</v>
      </c>
      <c r="AC59">
        <v>4</v>
      </c>
      <c r="AD59">
        <v>4</v>
      </c>
      <c r="AE59">
        <v>4</v>
      </c>
      <c r="AF59">
        <v>4</v>
      </c>
      <c r="AG59">
        <v>4</v>
      </c>
      <c r="AH59">
        <v>4</v>
      </c>
      <c r="AI59">
        <v>4</v>
      </c>
      <c r="AJ59">
        <v>4</v>
      </c>
      <c r="AK59">
        <v>5</v>
      </c>
      <c r="AL59">
        <v>5</v>
      </c>
      <c r="AM59">
        <v>5</v>
      </c>
      <c r="AN59">
        <v>5</v>
      </c>
      <c r="AO59">
        <v>5</v>
      </c>
      <c r="AP59">
        <v>5</v>
      </c>
      <c r="AQ59">
        <v>5</v>
      </c>
      <c r="AR59">
        <v>5</v>
      </c>
      <c r="AS59">
        <v>5</v>
      </c>
      <c r="AT59">
        <v>5</v>
      </c>
      <c r="AU59">
        <v>5</v>
      </c>
      <c r="AV59">
        <v>6</v>
      </c>
      <c r="AW59">
        <v>6</v>
      </c>
      <c r="AX59">
        <v>6</v>
      </c>
      <c r="AY59">
        <v>6</v>
      </c>
      <c r="AZ59">
        <v>6</v>
      </c>
      <c r="BA59">
        <v>6</v>
      </c>
      <c r="BB59">
        <v>6</v>
      </c>
      <c r="BC59">
        <v>6</v>
      </c>
      <c r="BD59">
        <v>6</v>
      </c>
      <c r="BE59">
        <v>6</v>
      </c>
      <c r="BF59">
        <v>6</v>
      </c>
      <c r="BG59">
        <v>6</v>
      </c>
      <c r="BH59">
        <v>6</v>
      </c>
      <c r="BI59">
        <v>6</v>
      </c>
      <c r="BJ59">
        <v>6</v>
      </c>
      <c r="BK59">
        <v>6</v>
      </c>
      <c r="BL59">
        <v>6</v>
      </c>
      <c r="BM59">
        <v>6</v>
      </c>
      <c r="BN59">
        <v>6</v>
      </c>
      <c r="BO59">
        <v>6</v>
      </c>
      <c r="BP59">
        <v>6</v>
      </c>
      <c r="BQ59">
        <v>6</v>
      </c>
      <c r="BR59">
        <v>6</v>
      </c>
      <c r="BS59">
        <v>6</v>
      </c>
    </row>
    <row r="60" spans="1:71" x14ac:dyDescent="0.3">
      <c r="A60" t="s">
        <v>13</v>
      </c>
      <c r="B60" t="s">
        <v>337</v>
      </c>
      <c r="C60">
        <v>39.548999999999999</v>
      </c>
      <c r="D60">
        <v>116.1306</v>
      </c>
      <c r="E60">
        <v>0</v>
      </c>
      <c r="F60">
        <v>1</v>
      </c>
      <c r="G60">
        <v>1</v>
      </c>
      <c r="H60">
        <v>1</v>
      </c>
      <c r="I60">
        <v>1</v>
      </c>
      <c r="J60">
        <v>1</v>
      </c>
      <c r="K60">
        <v>1</v>
      </c>
      <c r="L60">
        <v>1</v>
      </c>
      <c r="M60">
        <v>1</v>
      </c>
      <c r="N60">
        <v>1</v>
      </c>
      <c r="O60">
        <v>1</v>
      </c>
      <c r="P60">
        <v>1</v>
      </c>
      <c r="Q60">
        <v>1</v>
      </c>
      <c r="R60">
        <v>1</v>
      </c>
      <c r="S60">
        <v>1</v>
      </c>
      <c r="T60">
        <v>1</v>
      </c>
      <c r="U60">
        <v>1</v>
      </c>
      <c r="V60">
        <v>1</v>
      </c>
      <c r="W60">
        <v>2</v>
      </c>
      <c r="X60">
        <v>2</v>
      </c>
      <c r="Y60">
        <v>2</v>
      </c>
      <c r="Z60">
        <v>2</v>
      </c>
      <c r="AA60">
        <v>3</v>
      </c>
      <c r="AB60">
        <v>3</v>
      </c>
      <c r="AC60">
        <v>3</v>
      </c>
      <c r="AD60">
        <v>3</v>
      </c>
      <c r="AE60">
        <v>3</v>
      </c>
      <c r="AF60">
        <v>4</v>
      </c>
      <c r="AG60">
        <v>4</v>
      </c>
      <c r="AH60">
        <v>5</v>
      </c>
      <c r="AI60">
        <v>5</v>
      </c>
      <c r="AJ60">
        <v>6</v>
      </c>
      <c r="AK60">
        <v>6</v>
      </c>
      <c r="AL60">
        <v>6</v>
      </c>
      <c r="AM60">
        <v>6</v>
      </c>
      <c r="AN60">
        <v>6</v>
      </c>
      <c r="AO60">
        <v>6</v>
      </c>
      <c r="AP60">
        <v>6</v>
      </c>
      <c r="AQ60">
        <v>6</v>
      </c>
      <c r="AR60">
        <v>6</v>
      </c>
      <c r="AS60">
        <v>6</v>
      </c>
      <c r="AT60">
        <v>6</v>
      </c>
      <c r="AU60">
        <v>6</v>
      </c>
      <c r="AV60">
        <v>6</v>
      </c>
      <c r="AW60">
        <v>6</v>
      </c>
      <c r="AX60">
        <v>6</v>
      </c>
      <c r="AY60">
        <v>6</v>
      </c>
      <c r="AZ60">
        <v>6</v>
      </c>
      <c r="BA60">
        <v>6</v>
      </c>
      <c r="BB60">
        <v>6</v>
      </c>
      <c r="BC60">
        <v>6</v>
      </c>
      <c r="BD60">
        <v>6</v>
      </c>
      <c r="BE60">
        <v>6</v>
      </c>
      <c r="BF60">
        <v>6</v>
      </c>
      <c r="BG60">
        <v>6</v>
      </c>
      <c r="BH60">
        <v>6</v>
      </c>
      <c r="BI60">
        <v>6</v>
      </c>
      <c r="BJ60">
        <v>6</v>
      </c>
      <c r="BK60">
        <v>6</v>
      </c>
      <c r="BL60">
        <v>6</v>
      </c>
      <c r="BM60">
        <v>6</v>
      </c>
      <c r="BN60">
        <v>6</v>
      </c>
      <c r="BO60">
        <v>6</v>
      </c>
      <c r="BP60">
        <v>6</v>
      </c>
      <c r="BQ60">
        <v>6</v>
      </c>
      <c r="BR60">
        <v>6</v>
      </c>
      <c r="BS60">
        <v>6</v>
      </c>
    </row>
    <row r="61" spans="1:71" x14ac:dyDescent="0.3">
      <c r="A61" t="s">
        <v>14</v>
      </c>
      <c r="B61" t="s">
        <v>337</v>
      </c>
      <c r="C61">
        <v>47.861999999999902</v>
      </c>
      <c r="D61">
        <v>127.7615</v>
      </c>
      <c r="E61">
        <v>0</v>
      </c>
      <c r="F61">
        <v>0</v>
      </c>
      <c r="G61">
        <v>1</v>
      </c>
      <c r="H61">
        <v>1</v>
      </c>
      <c r="I61">
        <v>1</v>
      </c>
      <c r="J61">
        <v>1</v>
      </c>
      <c r="K61">
        <v>1</v>
      </c>
      <c r="L61">
        <v>1</v>
      </c>
      <c r="M61">
        <v>2</v>
      </c>
      <c r="N61">
        <v>2</v>
      </c>
      <c r="O61">
        <v>2</v>
      </c>
      <c r="P61">
        <v>2</v>
      </c>
      <c r="Q61">
        <v>2</v>
      </c>
      <c r="R61">
        <v>2</v>
      </c>
      <c r="S61">
        <v>2</v>
      </c>
      <c r="T61">
        <v>3</v>
      </c>
      <c r="U61">
        <v>3</v>
      </c>
      <c r="V61">
        <v>5</v>
      </c>
      <c r="W61">
        <v>6</v>
      </c>
      <c r="X61">
        <v>7</v>
      </c>
      <c r="Y61">
        <v>8</v>
      </c>
      <c r="Z61">
        <v>8</v>
      </c>
      <c r="AA61">
        <v>9</v>
      </c>
      <c r="AB61">
        <v>11</v>
      </c>
      <c r="AC61">
        <v>11</v>
      </c>
      <c r="AD61">
        <v>11</v>
      </c>
      <c r="AE61">
        <v>11</v>
      </c>
      <c r="AF61">
        <v>11</v>
      </c>
      <c r="AG61">
        <v>12</v>
      </c>
      <c r="AH61">
        <v>12</v>
      </c>
      <c r="AI61">
        <v>12</v>
      </c>
      <c r="AJ61">
        <v>12</v>
      </c>
      <c r="AK61">
        <v>12</v>
      </c>
      <c r="AL61">
        <v>12</v>
      </c>
      <c r="AM61">
        <v>12</v>
      </c>
      <c r="AN61">
        <v>12</v>
      </c>
      <c r="AO61">
        <v>13</v>
      </c>
      <c r="AP61">
        <v>13</v>
      </c>
      <c r="AQ61">
        <v>13</v>
      </c>
      <c r="AR61">
        <v>13</v>
      </c>
      <c r="AS61">
        <v>13</v>
      </c>
      <c r="AT61">
        <v>13</v>
      </c>
      <c r="AU61">
        <v>13</v>
      </c>
      <c r="AV61">
        <v>13</v>
      </c>
      <c r="AW61">
        <v>13</v>
      </c>
      <c r="AX61">
        <v>13</v>
      </c>
      <c r="AY61">
        <v>13</v>
      </c>
      <c r="AZ61">
        <v>13</v>
      </c>
      <c r="BA61">
        <v>13</v>
      </c>
      <c r="BB61">
        <v>13</v>
      </c>
      <c r="BC61">
        <v>13</v>
      </c>
      <c r="BD61">
        <v>13</v>
      </c>
      <c r="BE61">
        <v>13</v>
      </c>
      <c r="BF61">
        <v>13</v>
      </c>
      <c r="BG61">
        <v>13</v>
      </c>
      <c r="BH61">
        <v>13</v>
      </c>
      <c r="BI61">
        <v>13</v>
      </c>
      <c r="BJ61">
        <v>13</v>
      </c>
      <c r="BK61">
        <v>13</v>
      </c>
      <c r="BL61">
        <v>13</v>
      </c>
      <c r="BM61">
        <v>13</v>
      </c>
      <c r="BN61">
        <v>13</v>
      </c>
      <c r="BO61">
        <v>13</v>
      </c>
      <c r="BP61">
        <v>13</v>
      </c>
      <c r="BQ61">
        <v>13</v>
      </c>
      <c r="BR61">
        <v>13</v>
      </c>
      <c r="BS61">
        <v>13</v>
      </c>
    </row>
    <row r="62" spans="1:71" x14ac:dyDescent="0.3">
      <c r="A62" t="s">
        <v>15</v>
      </c>
      <c r="B62" t="s">
        <v>337</v>
      </c>
      <c r="C62">
        <v>33.881999999999998</v>
      </c>
      <c r="D62">
        <v>113.613999999999</v>
      </c>
      <c r="E62">
        <v>0</v>
      </c>
      <c r="F62">
        <v>0</v>
      </c>
      <c r="G62">
        <v>0</v>
      </c>
      <c r="H62">
        <v>0</v>
      </c>
      <c r="I62">
        <v>1</v>
      </c>
      <c r="J62">
        <v>1</v>
      </c>
      <c r="K62">
        <v>1</v>
      </c>
      <c r="L62">
        <v>2</v>
      </c>
      <c r="M62">
        <v>2</v>
      </c>
      <c r="N62">
        <v>2</v>
      </c>
      <c r="O62">
        <v>2</v>
      </c>
      <c r="P62">
        <v>2</v>
      </c>
      <c r="Q62">
        <v>2</v>
      </c>
      <c r="R62">
        <v>2</v>
      </c>
      <c r="S62">
        <v>2</v>
      </c>
      <c r="T62">
        <v>2</v>
      </c>
      <c r="U62">
        <v>3</v>
      </c>
      <c r="V62">
        <v>4</v>
      </c>
      <c r="W62">
        <v>6</v>
      </c>
      <c r="X62">
        <v>6</v>
      </c>
      <c r="Y62">
        <v>7</v>
      </c>
      <c r="Z62">
        <v>8</v>
      </c>
      <c r="AA62">
        <v>10</v>
      </c>
      <c r="AB62">
        <v>11</v>
      </c>
      <c r="AC62">
        <v>13</v>
      </c>
      <c r="AD62">
        <v>13</v>
      </c>
      <c r="AE62">
        <v>16</v>
      </c>
      <c r="AF62">
        <v>19</v>
      </c>
      <c r="AG62">
        <v>19</v>
      </c>
      <c r="AH62">
        <v>19</v>
      </c>
      <c r="AI62">
        <v>19</v>
      </c>
      <c r="AJ62">
        <v>19</v>
      </c>
      <c r="AK62">
        <v>19</v>
      </c>
      <c r="AL62">
        <v>19</v>
      </c>
      <c r="AM62">
        <v>19</v>
      </c>
      <c r="AN62">
        <v>19</v>
      </c>
      <c r="AO62">
        <v>20</v>
      </c>
      <c r="AP62">
        <v>20</v>
      </c>
      <c r="AQ62">
        <v>21</v>
      </c>
      <c r="AR62">
        <v>22</v>
      </c>
      <c r="AS62">
        <v>22</v>
      </c>
      <c r="AT62">
        <v>22</v>
      </c>
      <c r="AU62">
        <v>22</v>
      </c>
      <c r="AV62">
        <v>22</v>
      </c>
      <c r="AW62">
        <v>22</v>
      </c>
      <c r="AX62">
        <v>22</v>
      </c>
      <c r="AY62">
        <v>22</v>
      </c>
      <c r="AZ62">
        <v>22</v>
      </c>
      <c r="BA62">
        <v>22</v>
      </c>
      <c r="BB62">
        <v>22</v>
      </c>
      <c r="BC62">
        <v>22</v>
      </c>
      <c r="BD62">
        <v>22</v>
      </c>
      <c r="BE62">
        <v>22</v>
      </c>
      <c r="BF62">
        <v>22</v>
      </c>
      <c r="BG62">
        <v>22</v>
      </c>
      <c r="BH62">
        <v>22</v>
      </c>
      <c r="BI62">
        <v>22</v>
      </c>
      <c r="BJ62">
        <v>22</v>
      </c>
      <c r="BK62">
        <v>22</v>
      </c>
      <c r="BL62">
        <v>22</v>
      </c>
      <c r="BM62">
        <v>22</v>
      </c>
      <c r="BN62">
        <v>22</v>
      </c>
      <c r="BO62">
        <v>22</v>
      </c>
      <c r="BP62">
        <v>22</v>
      </c>
      <c r="BQ62">
        <v>22</v>
      </c>
      <c r="BR62">
        <v>22</v>
      </c>
      <c r="BS62">
        <v>22</v>
      </c>
    </row>
    <row r="63" spans="1:71" x14ac:dyDescent="0.3">
      <c r="A63" t="s">
        <v>246</v>
      </c>
      <c r="B63" t="s">
        <v>337</v>
      </c>
      <c r="C63">
        <v>22.3</v>
      </c>
      <c r="D63">
        <v>114.2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1</v>
      </c>
      <c r="S63">
        <v>1</v>
      </c>
      <c r="T63">
        <v>1</v>
      </c>
      <c r="U63">
        <v>1</v>
      </c>
      <c r="V63">
        <v>1</v>
      </c>
      <c r="W63">
        <v>1</v>
      </c>
      <c r="X63">
        <v>1</v>
      </c>
      <c r="Y63">
        <v>1</v>
      </c>
      <c r="Z63">
        <v>1</v>
      </c>
      <c r="AA63">
        <v>1</v>
      </c>
      <c r="AB63">
        <v>1</v>
      </c>
      <c r="AC63">
        <v>1</v>
      </c>
      <c r="AD63">
        <v>1</v>
      </c>
      <c r="AE63">
        <v>1</v>
      </c>
      <c r="AF63">
        <v>1</v>
      </c>
      <c r="AG63">
        <v>2</v>
      </c>
      <c r="AH63">
        <v>2</v>
      </c>
      <c r="AI63">
        <v>2</v>
      </c>
      <c r="AJ63">
        <v>2</v>
      </c>
      <c r="AK63">
        <v>2</v>
      </c>
      <c r="AL63">
        <v>2</v>
      </c>
      <c r="AM63">
        <v>2</v>
      </c>
      <c r="AN63">
        <v>2</v>
      </c>
      <c r="AO63">
        <v>2</v>
      </c>
      <c r="AP63">
        <v>2</v>
      </c>
      <c r="AQ63">
        <v>2</v>
      </c>
      <c r="AR63">
        <v>2</v>
      </c>
      <c r="AS63">
        <v>2</v>
      </c>
      <c r="AT63">
        <v>2</v>
      </c>
      <c r="AU63">
        <v>2</v>
      </c>
      <c r="AV63">
        <v>2</v>
      </c>
      <c r="AW63">
        <v>2</v>
      </c>
      <c r="AX63">
        <v>2</v>
      </c>
      <c r="AY63">
        <v>3</v>
      </c>
      <c r="AZ63">
        <v>3</v>
      </c>
      <c r="BA63">
        <v>3</v>
      </c>
      <c r="BB63">
        <v>3</v>
      </c>
      <c r="BC63">
        <v>3</v>
      </c>
      <c r="BD63">
        <v>4</v>
      </c>
      <c r="BE63">
        <v>4</v>
      </c>
      <c r="BF63">
        <v>4</v>
      </c>
      <c r="BG63">
        <v>4</v>
      </c>
      <c r="BH63">
        <v>4</v>
      </c>
      <c r="BI63">
        <v>4</v>
      </c>
      <c r="BJ63">
        <v>4</v>
      </c>
      <c r="BK63">
        <v>4</v>
      </c>
      <c r="BL63">
        <v>4</v>
      </c>
      <c r="BM63">
        <v>4</v>
      </c>
      <c r="BN63">
        <v>4</v>
      </c>
      <c r="BO63">
        <v>4</v>
      </c>
      <c r="BP63">
        <v>4</v>
      </c>
      <c r="BQ63">
        <v>4</v>
      </c>
      <c r="BR63">
        <v>4</v>
      </c>
      <c r="BS63">
        <v>4</v>
      </c>
    </row>
    <row r="64" spans="1:71" x14ac:dyDescent="0.3">
      <c r="A64" t="s">
        <v>16</v>
      </c>
      <c r="B64" t="s">
        <v>337</v>
      </c>
      <c r="C64">
        <v>30.9756</v>
      </c>
      <c r="D64">
        <v>112.27070000000001</v>
      </c>
      <c r="E64">
        <v>17</v>
      </c>
      <c r="F64">
        <v>17</v>
      </c>
      <c r="G64">
        <v>24</v>
      </c>
      <c r="H64">
        <v>40</v>
      </c>
      <c r="I64">
        <v>52</v>
      </c>
      <c r="J64">
        <v>76</v>
      </c>
      <c r="K64">
        <v>125</v>
      </c>
      <c r="L64">
        <v>125</v>
      </c>
      <c r="M64">
        <v>162</v>
      </c>
      <c r="N64">
        <v>204</v>
      </c>
      <c r="O64">
        <v>249</v>
      </c>
      <c r="P64">
        <v>350</v>
      </c>
      <c r="Q64">
        <v>414</v>
      </c>
      <c r="R64">
        <v>479</v>
      </c>
      <c r="S64">
        <v>549</v>
      </c>
      <c r="T64">
        <v>618</v>
      </c>
      <c r="U64">
        <v>699</v>
      </c>
      <c r="V64">
        <v>780</v>
      </c>
      <c r="W64">
        <v>871</v>
      </c>
      <c r="X64">
        <v>974</v>
      </c>
      <c r="Y64">
        <v>1068</v>
      </c>
      <c r="Z64">
        <v>1068</v>
      </c>
      <c r="AA64">
        <v>1310</v>
      </c>
      <c r="AB64">
        <v>1457</v>
      </c>
      <c r="AC64">
        <v>1596</v>
      </c>
      <c r="AD64">
        <v>1696</v>
      </c>
      <c r="AE64">
        <v>1789</v>
      </c>
      <c r="AF64">
        <v>1921</v>
      </c>
      <c r="AG64">
        <v>2029</v>
      </c>
      <c r="AH64">
        <v>2144</v>
      </c>
      <c r="AI64">
        <v>2144</v>
      </c>
      <c r="AJ64">
        <v>2346</v>
      </c>
      <c r="AK64">
        <v>2346</v>
      </c>
      <c r="AL64">
        <v>2495</v>
      </c>
      <c r="AM64">
        <v>2563</v>
      </c>
      <c r="AN64">
        <v>2615</v>
      </c>
      <c r="AO64">
        <v>2641</v>
      </c>
      <c r="AP64">
        <v>2682</v>
      </c>
      <c r="AQ64">
        <v>2727</v>
      </c>
      <c r="AR64">
        <v>2761</v>
      </c>
      <c r="AS64">
        <v>2803</v>
      </c>
      <c r="AT64">
        <v>2835</v>
      </c>
      <c r="AU64">
        <v>2871</v>
      </c>
      <c r="AV64">
        <v>2902</v>
      </c>
      <c r="AW64">
        <v>2931</v>
      </c>
      <c r="AX64">
        <v>2959</v>
      </c>
      <c r="AY64">
        <v>2986</v>
      </c>
      <c r="AZ64">
        <v>3008</v>
      </c>
      <c r="BA64">
        <v>3024</v>
      </c>
      <c r="BB64">
        <v>3046</v>
      </c>
      <c r="BC64">
        <v>3056</v>
      </c>
      <c r="BD64">
        <v>3062</v>
      </c>
      <c r="BE64">
        <v>3075</v>
      </c>
      <c r="BF64">
        <v>3085</v>
      </c>
      <c r="BG64">
        <v>3099</v>
      </c>
      <c r="BH64">
        <v>3111</v>
      </c>
      <c r="BI64">
        <v>3122</v>
      </c>
      <c r="BJ64">
        <v>3130</v>
      </c>
      <c r="BK64">
        <v>3133</v>
      </c>
      <c r="BL64">
        <v>3139</v>
      </c>
      <c r="BM64">
        <v>3153</v>
      </c>
      <c r="BN64">
        <v>3153</v>
      </c>
      <c r="BO64">
        <v>3160</v>
      </c>
      <c r="BP64">
        <v>3163</v>
      </c>
      <c r="BQ64">
        <v>3169</v>
      </c>
      <c r="BR64">
        <v>3174</v>
      </c>
      <c r="BS64">
        <v>3177</v>
      </c>
    </row>
    <row r="65" spans="1:71" x14ac:dyDescent="0.3">
      <c r="A65" t="s">
        <v>17</v>
      </c>
      <c r="B65" t="s">
        <v>337</v>
      </c>
      <c r="C65">
        <v>27.610399999999998</v>
      </c>
      <c r="D65">
        <v>111.7088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1</v>
      </c>
      <c r="W65">
        <v>1</v>
      </c>
      <c r="X65">
        <v>1</v>
      </c>
      <c r="Y65">
        <v>1</v>
      </c>
      <c r="Z65">
        <v>2</v>
      </c>
      <c r="AA65">
        <v>2</v>
      </c>
      <c r="AB65">
        <v>2</v>
      </c>
      <c r="AC65">
        <v>2</v>
      </c>
      <c r="AD65">
        <v>3</v>
      </c>
      <c r="AE65">
        <v>3</v>
      </c>
      <c r="AF65">
        <v>4</v>
      </c>
      <c r="AG65">
        <v>4</v>
      </c>
      <c r="AH65">
        <v>4</v>
      </c>
      <c r="AI65">
        <v>4</v>
      </c>
      <c r="AJ65">
        <v>4</v>
      </c>
      <c r="AK65">
        <v>4</v>
      </c>
      <c r="AL65">
        <v>4</v>
      </c>
      <c r="AM65">
        <v>4</v>
      </c>
      <c r="AN65">
        <v>4</v>
      </c>
      <c r="AO65">
        <v>4</v>
      </c>
      <c r="AP65">
        <v>4</v>
      </c>
      <c r="AQ65">
        <v>4</v>
      </c>
      <c r="AR65">
        <v>4</v>
      </c>
      <c r="AS65">
        <v>4</v>
      </c>
      <c r="AT65">
        <v>4</v>
      </c>
      <c r="AU65">
        <v>4</v>
      </c>
      <c r="AV65">
        <v>4</v>
      </c>
      <c r="AW65">
        <v>4</v>
      </c>
      <c r="AX65">
        <v>4</v>
      </c>
      <c r="AY65">
        <v>4</v>
      </c>
      <c r="AZ65">
        <v>4</v>
      </c>
      <c r="BA65">
        <v>4</v>
      </c>
      <c r="BB65">
        <v>4</v>
      </c>
      <c r="BC65">
        <v>4</v>
      </c>
      <c r="BD65">
        <v>4</v>
      </c>
      <c r="BE65">
        <v>4</v>
      </c>
      <c r="BF65">
        <v>4</v>
      </c>
      <c r="BG65">
        <v>4</v>
      </c>
      <c r="BH65">
        <v>4</v>
      </c>
      <c r="BI65">
        <v>4</v>
      </c>
      <c r="BJ65">
        <v>4</v>
      </c>
      <c r="BK65">
        <v>4</v>
      </c>
      <c r="BL65">
        <v>4</v>
      </c>
      <c r="BM65">
        <v>4</v>
      </c>
      <c r="BN65">
        <v>4</v>
      </c>
      <c r="BO65">
        <v>4</v>
      </c>
      <c r="BP65">
        <v>4</v>
      </c>
      <c r="BQ65">
        <v>4</v>
      </c>
      <c r="BR65">
        <v>4</v>
      </c>
      <c r="BS65">
        <v>4</v>
      </c>
    </row>
    <row r="66" spans="1:71" x14ac:dyDescent="0.3">
      <c r="A66" t="s">
        <v>18</v>
      </c>
      <c r="B66" t="s">
        <v>337</v>
      </c>
      <c r="C66">
        <v>44.093499999999999</v>
      </c>
      <c r="D66">
        <v>113.9448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1</v>
      </c>
      <c r="AU66">
        <v>1</v>
      </c>
      <c r="AV66">
        <v>1</v>
      </c>
      <c r="AW66">
        <v>1</v>
      </c>
      <c r="AX66">
        <v>1</v>
      </c>
      <c r="AY66">
        <v>1</v>
      </c>
      <c r="AZ66">
        <v>1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1</v>
      </c>
      <c r="BH66">
        <v>1</v>
      </c>
      <c r="BI66">
        <v>1</v>
      </c>
      <c r="BJ66">
        <v>1</v>
      </c>
      <c r="BK66">
        <v>1</v>
      </c>
      <c r="BL66">
        <v>1</v>
      </c>
      <c r="BM66">
        <v>1</v>
      </c>
      <c r="BN66">
        <v>1</v>
      </c>
      <c r="BO66">
        <v>1</v>
      </c>
      <c r="BP66">
        <v>1</v>
      </c>
      <c r="BQ66">
        <v>1</v>
      </c>
      <c r="BR66">
        <v>1</v>
      </c>
      <c r="BS66">
        <v>1</v>
      </c>
    </row>
    <row r="67" spans="1:71" x14ac:dyDescent="0.3">
      <c r="A67" t="s">
        <v>19</v>
      </c>
      <c r="B67" t="s">
        <v>337</v>
      </c>
      <c r="C67">
        <v>32.9711</v>
      </c>
      <c r="D67">
        <v>119.455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</row>
    <row r="68" spans="1:71" x14ac:dyDescent="0.3">
      <c r="A68" t="s">
        <v>20</v>
      </c>
      <c r="B68" t="s">
        <v>337</v>
      </c>
      <c r="C68">
        <v>27.614000000000001</v>
      </c>
      <c r="D68">
        <v>115.7221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1</v>
      </c>
      <c r="Y68">
        <v>1</v>
      </c>
      <c r="Z68">
        <v>1</v>
      </c>
      <c r="AA68">
        <v>1</v>
      </c>
      <c r="AB68">
        <v>1</v>
      </c>
      <c r="AC68">
        <v>1</v>
      </c>
      <c r="AD68">
        <v>1</v>
      </c>
      <c r="AE68">
        <v>1</v>
      </c>
      <c r="AF68">
        <v>1</v>
      </c>
      <c r="AG68">
        <v>1</v>
      </c>
      <c r="AH68">
        <v>1</v>
      </c>
      <c r="AI68">
        <v>1</v>
      </c>
      <c r="AJ68">
        <v>1</v>
      </c>
      <c r="AK68">
        <v>1</v>
      </c>
      <c r="AL68">
        <v>1</v>
      </c>
      <c r="AM68">
        <v>1</v>
      </c>
      <c r="AN68">
        <v>1</v>
      </c>
      <c r="AO68">
        <v>1</v>
      </c>
      <c r="AP68">
        <v>1</v>
      </c>
      <c r="AQ68">
        <v>1</v>
      </c>
      <c r="AR68">
        <v>1</v>
      </c>
      <c r="AS68">
        <v>1</v>
      </c>
      <c r="AT68">
        <v>1</v>
      </c>
      <c r="AU68">
        <v>1</v>
      </c>
      <c r="AV68">
        <v>1</v>
      </c>
      <c r="AW68">
        <v>1</v>
      </c>
      <c r="AX68">
        <v>1</v>
      </c>
      <c r="AY68">
        <v>1</v>
      </c>
      <c r="AZ68">
        <v>1</v>
      </c>
      <c r="BA68">
        <v>1</v>
      </c>
      <c r="BB68">
        <v>1</v>
      </c>
      <c r="BC68">
        <v>1</v>
      </c>
      <c r="BD68">
        <v>1</v>
      </c>
      <c r="BE68">
        <v>1</v>
      </c>
      <c r="BF68">
        <v>1</v>
      </c>
      <c r="BG68">
        <v>1</v>
      </c>
      <c r="BH68">
        <v>1</v>
      </c>
      <c r="BI68">
        <v>1</v>
      </c>
      <c r="BJ68">
        <v>1</v>
      </c>
      <c r="BK68">
        <v>1</v>
      </c>
      <c r="BL68">
        <v>1</v>
      </c>
      <c r="BM68">
        <v>1</v>
      </c>
      <c r="BN68">
        <v>1</v>
      </c>
      <c r="BO68">
        <v>1</v>
      </c>
      <c r="BP68">
        <v>1</v>
      </c>
      <c r="BQ68">
        <v>1</v>
      </c>
      <c r="BR68">
        <v>1</v>
      </c>
      <c r="BS68">
        <v>1</v>
      </c>
    </row>
    <row r="69" spans="1:71" x14ac:dyDescent="0.3">
      <c r="A69" t="s">
        <v>21</v>
      </c>
      <c r="B69" t="s">
        <v>337</v>
      </c>
      <c r="C69">
        <v>43.6661</v>
      </c>
      <c r="D69">
        <v>126.1923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1</v>
      </c>
      <c r="V69">
        <v>1</v>
      </c>
      <c r="W69">
        <v>1</v>
      </c>
      <c r="X69">
        <v>1</v>
      </c>
      <c r="Y69">
        <v>1</v>
      </c>
      <c r="Z69">
        <v>1</v>
      </c>
      <c r="AA69">
        <v>1</v>
      </c>
      <c r="AB69">
        <v>1</v>
      </c>
      <c r="AC69">
        <v>1</v>
      </c>
      <c r="AD69">
        <v>1</v>
      </c>
      <c r="AE69">
        <v>1</v>
      </c>
      <c r="AF69">
        <v>1</v>
      </c>
      <c r="AG69">
        <v>1</v>
      </c>
      <c r="AH69">
        <v>1</v>
      </c>
      <c r="AI69">
        <v>1</v>
      </c>
      <c r="AJ69">
        <v>1</v>
      </c>
      <c r="AK69">
        <v>1</v>
      </c>
      <c r="AL69">
        <v>1</v>
      </c>
      <c r="AM69">
        <v>1</v>
      </c>
      <c r="AN69">
        <v>1</v>
      </c>
      <c r="AO69">
        <v>1</v>
      </c>
      <c r="AP69">
        <v>1</v>
      </c>
      <c r="AQ69">
        <v>1</v>
      </c>
      <c r="AR69">
        <v>1</v>
      </c>
      <c r="AS69">
        <v>1</v>
      </c>
      <c r="AT69">
        <v>1</v>
      </c>
      <c r="AU69">
        <v>1</v>
      </c>
      <c r="AV69">
        <v>1</v>
      </c>
      <c r="AW69">
        <v>1</v>
      </c>
      <c r="AX69">
        <v>1</v>
      </c>
      <c r="AY69">
        <v>1</v>
      </c>
      <c r="AZ69">
        <v>1</v>
      </c>
      <c r="BA69">
        <v>1</v>
      </c>
      <c r="BB69">
        <v>1</v>
      </c>
      <c r="BC69">
        <v>1</v>
      </c>
      <c r="BD69">
        <v>1</v>
      </c>
      <c r="BE69">
        <v>1</v>
      </c>
      <c r="BF69">
        <v>1</v>
      </c>
      <c r="BG69">
        <v>1</v>
      </c>
      <c r="BH69">
        <v>1</v>
      </c>
      <c r="BI69">
        <v>1</v>
      </c>
      <c r="BJ69">
        <v>1</v>
      </c>
      <c r="BK69">
        <v>1</v>
      </c>
      <c r="BL69">
        <v>1</v>
      </c>
      <c r="BM69">
        <v>1</v>
      </c>
      <c r="BN69">
        <v>1</v>
      </c>
      <c r="BO69">
        <v>1</v>
      </c>
      <c r="BP69">
        <v>1</v>
      </c>
      <c r="BQ69">
        <v>1</v>
      </c>
      <c r="BR69">
        <v>1</v>
      </c>
      <c r="BS69">
        <v>1</v>
      </c>
    </row>
    <row r="70" spans="1:71" x14ac:dyDescent="0.3">
      <c r="A70" t="s">
        <v>22</v>
      </c>
      <c r="B70" t="s">
        <v>337</v>
      </c>
      <c r="C70">
        <v>41.2956</v>
      </c>
      <c r="D70">
        <v>122.60850000000001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1</v>
      </c>
      <c r="AA70">
        <v>1</v>
      </c>
      <c r="AB70">
        <v>1</v>
      </c>
      <c r="AC70">
        <v>1</v>
      </c>
      <c r="AD70">
        <v>1</v>
      </c>
      <c r="AE70">
        <v>1</v>
      </c>
      <c r="AF70">
        <v>1</v>
      </c>
      <c r="AG70">
        <v>1</v>
      </c>
      <c r="AH70">
        <v>1</v>
      </c>
      <c r="AI70">
        <v>1</v>
      </c>
      <c r="AJ70">
        <v>1</v>
      </c>
      <c r="AK70">
        <v>1</v>
      </c>
      <c r="AL70">
        <v>1</v>
      </c>
      <c r="AM70">
        <v>1</v>
      </c>
      <c r="AN70">
        <v>1</v>
      </c>
      <c r="AO70">
        <v>1</v>
      </c>
      <c r="AP70">
        <v>1</v>
      </c>
      <c r="AQ70">
        <v>1</v>
      </c>
      <c r="AR70">
        <v>1</v>
      </c>
      <c r="AS70">
        <v>1</v>
      </c>
      <c r="AT70">
        <v>1</v>
      </c>
      <c r="AU70">
        <v>1</v>
      </c>
      <c r="AV70">
        <v>1</v>
      </c>
      <c r="AW70">
        <v>1</v>
      </c>
      <c r="AX70">
        <v>1</v>
      </c>
      <c r="AY70">
        <v>1</v>
      </c>
      <c r="AZ70">
        <v>1</v>
      </c>
      <c r="BA70">
        <v>1</v>
      </c>
      <c r="BB70">
        <v>1</v>
      </c>
      <c r="BC70">
        <v>1</v>
      </c>
      <c r="BD70">
        <v>1</v>
      </c>
      <c r="BE70">
        <v>1</v>
      </c>
      <c r="BF70">
        <v>1</v>
      </c>
      <c r="BG70">
        <v>1</v>
      </c>
      <c r="BH70">
        <v>1</v>
      </c>
      <c r="BI70">
        <v>1</v>
      </c>
      <c r="BJ70">
        <v>1</v>
      </c>
      <c r="BK70">
        <v>2</v>
      </c>
      <c r="BL70">
        <v>2</v>
      </c>
      <c r="BM70">
        <v>2</v>
      </c>
      <c r="BN70">
        <v>2</v>
      </c>
      <c r="BO70">
        <v>2</v>
      </c>
      <c r="BP70">
        <v>2</v>
      </c>
      <c r="BQ70">
        <v>2</v>
      </c>
      <c r="BR70">
        <v>2</v>
      </c>
      <c r="BS70">
        <v>2</v>
      </c>
    </row>
    <row r="71" spans="1:71" x14ac:dyDescent="0.3">
      <c r="A71" t="s">
        <v>257</v>
      </c>
      <c r="B71" t="s">
        <v>337</v>
      </c>
      <c r="C71">
        <v>22.166699999999999</v>
      </c>
      <c r="D71">
        <v>113.55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</row>
    <row r="72" spans="1:71" x14ac:dyDescent="0.3">
      <c r="A72" t="s">
        <v>23</v>
      </c>
      <c r="B72" t="s">
        <v>337</v>
      </c>
      <c r="C72">
        <v>37.269199999999998</v>
      </c>
      <c r="D72">
        <v>106.16549999999999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0</v>
      </c>
    </row>
    <row r="73" spans="1:71" x14ac:dyDescent="0.3">
      <c r="A73" t="s">
        <v>24</v>
      </c>
      <c r="B73" t="s">
        <v>337</v>
      </c>
      <c r="C73">
        <v>35.745199999999997</v>
      </c>
      <c r="D73">
        <v>95.995599999999996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</row>
    <row r="74" spans="1:71" x14ac:dyDescent="0.3">
      <c r="A74" t="s">
        <v>25</v>
      </c>
      <c r="B74" t="s">
        <v>337</v>
      </c>
      <c r="C74">
        <v>35.191699999999997</v>
      </c>
      <c r="D74">
        <v>108.87009999999999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1</v>
      </c>
      <c r="AI74">
        <v>1</v>
      </c>
      <c r="AJ74">
        <v>1</v>
      </c>
      <c r="AK74">
        <v>1</v>
      </c>
      <c r="AL74">
        <v>1</v>
      </c>
      <c r="AM74">
        <v>1</v>
      </c>
      <c r="AN74">
        <v>1</v>
      </c>
      <c r="AO74">
        <v>1</v>
      </c>
      <c r="AP74">
        <v>1</v>
      </c>
      <c r="AQ74">
        <v>1</v>
      </c>
      <c r="AR74">
        <v>1</v>
      </c>
      <c r="AS74">
        <v>1</v>
      </c>
      <c r="AT74">
        <v>1</v>
      </c>
      <c r="AU74">
        <v>1</v>
      </c>
      <c r="AV74">
        <v>1</v>
      </c>
      <c r="AW74">
        <v>1</v>
      </c>
      <c r="AX74">
        <v>1</v>
      </c>
      <c r="AY74">
        <v>1</v>
      </c>
      <c r="AZ74">
        <v>1</v>
      </c>
      <c r="BA74">
        <v>1</v>
      </c>
      <c r="BB74">
        <v>1</v>
      </c>
      <c r="BC74">
        <v>2</v>
      </c>
      <c r="BD74">
        <v>2</v>
      </c>
      <c r="BE74">
        <v>2</v>
      </c>
      <c r="BF74">
        <v>2</v>
      </c>
      <c r="BG74">
        <v>2</v>
      </c>
      <c r="BH74">
        <v>3</v>
      </c>
      <c r="BI74">
        <v>3</v>
      </c>
      <c r="BJ74">
        <v>3</v>
      </c>
      <c r="BK74">
        <v>3</v>
      </c>
      <c r="BL74">
        <v>3</v>
      </c>
      <c r="BM74">
        <v>3</v>
      </c>
      <c r="BN74">
        <v>3</v>
      </c>
      <c r="BO74">
        <v>3</v>
      </c>
      <c r="BP74">
        <v>3</v>
      </c>
      <c r="BQ74">
        <v>3</v>
      </c>
      <c r="BR74">
        <v>3</v>
      </c>
      <c r="BS74">
        <v>3</v>
      </c>
    </row>
    <row r="75" spans="1:71" x14ac:dyDescent="0.3">
      <c r="A75" t="s">
        <v>26</v>
      </c>
      <c r="B75" t="s">
        <v>337</v>
      </c>
      <c r="C75">
        <v>36.342700000000001</v>
      </c>
      <c r="D75">
        <v>118.1498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1</v>
      </c>
      <c r="X75">
        <v>1</v>
      </c>
      <c r="Y75">
        <v>1</v>
      </c>
      <c r="Z75">
        <v>2</v>
      </c>
      <c r="AA75">
        <v>2</v>
      </c>
      <c r="AB75">
        <v>2</v>
      </c>
      <c r="AC75">
        <v>2</v>
      </c>
      <c r="AD75">
        <v>2</v>
      </c>
      <c r="AE75">
        <v>2</v>
      </c>
      <c r="AF75">
        <v>3</v>
      </c>
      <c r="AG75">
        <v>3</v>
      </c>
      <c r="AH75">
        <v>4</v>
      </c>
      <c r="AI75">
        <v>4</v>
      </c>
      <c r="AJ75">
        <v>4</v>
      </c>
      <c r="AK75">
        <v>4</v>
      </c>
      <c r="AL75">
        <v>5</v>
      </c>
      <c r="AM75">
        <v>6</v>
      </c>
      <c r="AN75">
        <v>6</v>
      </c>
      <c r="AO75">
        <v>6</v>
      </c>
      <c r="AP75">
        <v>6</v>
      </c>
      <c r="AQ75">
        <v>6</v>
      </c>
      <c r="AR75">
        <v>6</v>
      </c>
      <c r="AS75">
        <v>6</v>
      </c>
      <c r="AT75">
        <v>6</v>
      </c>
      <c r="AU75">
        <v>6</v>
      </c>
      <c r="AV75">
        <v>6</v>
      </c>
      <c r="AW75">
        <v>6</v>
      </c>
      <c r="AX75">
        <v>6</v>
      </c>
      <c r="AY75">
        <v>6</v>
      </c>
      <c r="AZ75">
        <v>6</v>
      </c>
      <c r="BA75">
        <v>6</v>
      </c>
      <c r="BB75">
        <v>6</v>
      </c>
      <c r="BC75">
        <v>6</v>
      </c>
      <c r="BD75">
        <v>7</v>
      </c>
      <c r="BE75">
        <v>7</v>
      </c>
      <c r="BF75">
        <v>7</v>
      </c>
      <c r="BG75">
        <v>7</v>
      </c>
      <c r="BH75">
        <v>7</v>
      </c>
      <c r="BI75">
        <v>7</v>
      </c>
      <c r="BJ75">
        <v>7</v>
      </c>
      <c r="BK75">
        <v>7</v>
      </c>
      <c r="BL75">
        <v>7</v>
      </c>
      <c r="BM75">
        <v>7</v>
      </c>
      <c r="BN75">
        <v>7</v>
      </c>
      <c r="BO75">
        <v>7</v>
      </c>
      <c r="BP75">
        <v>7</v>
      </c>
      <c r="BQ75">
        <v>7</v>
      </c>
      <c r="BR75">
        <v>7</v>
      </c>
      <c r="BS75">
        <v>7</v>
      </c>
    </row>
    <row r="76" spans="1:71" x14ac:dyDescent="0.3">
      <c r="A76" t="s">
        <v>27</v>
      </c>
      <c r="B76" t="s">
        <v>337</v>
      </c>
      <c r="C76">
        <v>31.201999999999899</v>
      </c>
      <c r="D76">
        <v>121.4491</v>
      </c>
      <c r="E76">
        <v>0</v>
      </c>
      <c r="F76">
        <v>0</v>
      </c>
      <c r="G76">
        <v>0</v>
      </c>
      <c r="H76">
        <v>0</v>
      </c>
      <c r="I76">
        <v>1</v>
      </c>
      <c r="J76">
        <v>1</v>
      </c>
      <c r="K76">
        <v>1</v>
      </c>
      <c r="L76">
        <v>1</v>
      </c>
      <c r="M76">
        <v>1</v>
      </c>
      <c r="N76">
        <v>1</v>
      </c>
      <c r="O76">
        <v>1</v>
      </c>
      <c r="P76">
        <v>1</v>
      </c>
      <c r="Q76">
        <v>1</v>
      </c>
      <c r="R76">
        <v>1</v>
      </c>
      <c r="S76">
        <v>1</v>
      </c>
      <c r="T76">
        <v>1</v>
      </c>
      <c r="U76">
        <v>1</v>
      </c>
      <c r="V76">
        <v>1</v>
      </c>
      <c r="W76">
        <v>1</v>
      </c>
      <c r="X76">
        <v>1</v>
      </c>
      <c r="Y76">
        <v>1</v>
      </c>
      <c r="Z76">
        <v>1</v>
      </c>
      <c r="AA76">
        <v>1</v>
      </c>
      <c r="AB76">
        <v>1</v>
      </c>
      <c r="AC76">
        <v>1</v>
      </c>
      <c r="AD76">
        <v>1</v>
      </c>
      <c r="AE76">
        <v>1</v>
      </c>
      <c r="AF76">
        <v>1</v>
      </c>
      <c r="AG76">
        <v>2</v>
      </c>
      <c r="AH76">
        <v>2</v>
      </c>
      <c r="AI76">
        <v>2</v>
      </c>
      <c r="AJ76">
        <v>3</v>
      </c>
      <c r="AK76">
        <v>3</v>
      </c>
      <c r="AL76">
        <v>3</v>
      </c>
      <c r="AM76">
        <v>3</v>
      </c>
      <c r="AN76">
        <v>3</v>
      </c>
      <c r="AO76">
        <v>3</v>
      </c>
      <c r="AP76">
        <v>3</v>
      </c>
      <c r="AQ76">
        <v>3</v>
      </c>
      <c r="AR76">
        <v>3</v>
      </c>
      <c r="AS76">
        <v>3</v>
      </c>
      <c r="AT76">
        <v>3</v>
      </c>
      <c r="AU76">
        <v>3</v>
      </c>
      <c r="AV76">
        <v>3</v>
      </c>
      <c r="AW76">
        <v>3</v>
      </c>
      <c r="AX76">
        <v>3</v>
      </c>
      <c r="AY76">
        <v>3</v>
      </c>
      <c r="AZ76">
        <v>3</v>
      </c>
      <c r="BA76">
        <v>3</v>
      </c>
      <c r="BB76">
        <v>3</v>
      </c>
      <c r="BC76">
        <v>3</v>
      </c>
      <c r="BD76">
        <v>3</v>
      </c>
      <c r="BE76">
        <v>3</v>
      </c>
      <c r="BF76">
        <v>3</v>
      </c>
      <c r="BG76">
        <v>3</v>
      </c>
      <c r="BH76">
        <v>3</v>
      </c>
      <c r="BI76">
        <v>3</v>
      </c>
      <c r="BJ76">
        <v>3</v>
      </c>
      <c r="BK76">
        <v>3</v>
      </c>
      <c r="BL76">
        <v>3</v>
      </c>
      <c r="BM76">
        <v>4</v>
      </c>
      <c r="BN76">
        <v>4</v>
      </c>
      <c r="BO76">
        <v>4</v>
      </c>
      <c r="BP76">
        <v>5</v>
      </c>
      <c r="BQ76">
        <v>5</v>
      </c>
      <c r="BR76">
        <v>5</v>
      </c>
      <c r="BS76">
        <v>5</v>
      </c>
    </row>
    <row r="77" spans="1:71" x14ac:dyDescent="0.3">
      <c r="A77" t="s">
        <v>28</v>
      </c>
      <c r="B77" t="s">
        <v>337</v>
      </c>
      <c r="C77">
        <v>37.5777</v>
      </c>
      <c r="D77">
        <v>112.29219999999999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</row>
    <row r="78" spans="1:71" x14ac:dyDescent="0.3">
      <c r="A78" t="s">
        <v>29</v>
      </c>
      <c r="B78" t="s">
        <v>337</v>
      </c>
      <c r="C78">
        <v>30.617100000000001</v>
      </c>
      <c r="D78">
        <v>102.7103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1</v>
      </c>
      <c r="M78">
        <v>1</v>
      </c>
      <c r="N78">
        <v>1</v>
      </c>
      <c r="O78">
        <v>1</v>
      </c>
      <c r="P78">
        <v>1</v>
      </c>
      <c r="Q78">
        <v>1</v>
      </c>
      <c r="R78">
        <v>1</v>
      </c>
      <c r="S78">
        <v>1</v>
      </c>
      <c r="T78">
        <v>1</v>
      </c>
      <c r="U78">
        <v>1</v>
      </c>
      <c r="V78">
        <v>1</v>
      </c>
      <c r="W78">
        <v>1</v>
      </c>
      <c r="X78">
        <v>1</v>
      </c>
      <c r="Y78">
        <v>1</v>
      </c>
      <c r="Z78">
        <v>1</v>
      </c>
      <c r="AA78">
        <v>1</v>
      </c>
      <c r="AB78">
        <v>1</v>
      </c>
      <c r="AC78">
        <v>1</v>
      </c>
      <c r="AD78">
        <v>3</v>
      </c>
      <c r="AE78">
        <v>3</v>
      </c>
      <c r="AF78">
        <v>3</v>
      </c>
      <c r="AG78">
        <v>3</v>
      </c>
      <c r="AH78">
        <v>3</v>
      </c>
      <c r="AI78">
        <v>3</v>
      </c>
      <c r="AJ78">
        <v>3</v>
      </c>
      <c r="AK78">
        <v>3</v>
      </c>
      <c r="AL78">
        <v>3</v>
      </c>
      <c r="AM78">
        <v>3</v>
      </c>
      <c r="AN78">
        <v>3</v>
      </c>
      <c r="AO78">
        <v>3</v>
      </c>
      <c r="AP78">
        <v>3</v>
      </c>
      <c r="AQ78">
        <v>3</v>
      </c>
      <c r="AR78">
        <v>3</v>
      </c>
      <c r="AS78">
        <v>3</v>
      </c>
      <c r="AT78">
        <v>3</v>
      </c>
      <c r="AU78">
        <v>3</v>
      </c>
      <c r="AV78">
        <v>3</v>
      </c>
      <c r="AW78">
        <v>3</v>
      </c>
      <c r="AX78">
        <v>3</v>
      </c>
      <c r="AY78">
        <v>3</v>
      </c>
      <c r="AZ78">
        <v>3</v>
      </c>
      <c r="BA78">
        <v>3</v>
      </c>
      <c r="BB78">
        <v>3</v>
      </c>
      <c r="BC78">
        <v>3</v>
      </c>
      <c r="BD78">
        <v>3</v>
      </c>
      <c r="BE78">
        <v>3</v>
      </c>
      <c r="BF78">
        <v>3</v>
      </c>
      <c r="BG78">
        <v>3</v>
      </c>
      <c r="BH78">
        <v>3</v>
      </c>
      <c r="BI78">
        <v>3</v>
      </c>
      <c r="BJ78">
        <v>3</v>
      </c>
      <c r="BK78">
        <v>3</v>
      </c>
      <c r="BL78">
        <v>3</v>
      </c>
      <c r="BM78">
        <v>3</v>
      </c>
      <c r="BN78">
        <v>3</v>
      </c>
      <c r="BO78">
        <v>3</v>
      </c>
      <c r="BP78">
        <v>3</v>
      </c>
      <c r="BQ78">
        <v>3</v>
      </c>
      <c r="BR78">
        <v>3</v>
      </c>
      <c r="BS78">
        <v>3</v>
      </c>
    </row>
    <row r="79" spans="1:71" x14ac:dyDescent="0.3">
      <c r="A79" t="s">
        <v>30</v>
      </c>
      <c r="B79" t="s">
        <v>337</v>
      </c>
      <c r="C79">
        <v>39.305399999999999</v>
      </c>
      <c r="D79">
        <v>117.32299999999999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1</v>
      </c>
      <c r="T79">
        <v>1</v>
      </c>
      <c r="U79">
        <v>1</v>
      </c>
      <c r="V79">
        <v>1</v>
      </c>
      <c r="W79">
        <v>1</v>
      </c>
      <c r="X79">
        <v>1</v>
      </c>
      <c r="Y79">
        <v>2</v>
      </c>
      <c r="Z79">
        <v>2</v>
      </c>
      <c r="AA79">
        <v>3</v>
      </c>
      <c r="AB79">
        <v>3</v>
      </c>
      <c r="AC79">
        <v>3</v>
      </c>
      <c r="AD79">
        <v>3</v>
      </c>
      <c r="AE79">
        <v>3</v>
      </c>
      <c r="AF79">
        <v>3</v>
      </c>
      <c r="AG79">
        <v>3</v>
      </c>
      <c r="AH79">
        <v>3</v>
      </c>
      <c r="AI79">
        <v>3</v>
      </c>
      <c r="AJ79">
        <v>3</v>
      </c>
      <c r="AK79">
        <v>3</v>
      </c>
      <c r="AL79">
        <v>3</v>
      </c>
      <c r="AM79">
        <v>3</v>
      </c>
      <c r="AN79">
        <v>3</v>
      </c>
      <c r="AO79">
        <v>3</v>
      </c>
      <c r="AP79">
        <v>3</v>
      </c>
      <c r="AQ79">
        <v>3</v>
      </c>
      <c r="AR79">
        <v>3</v>
      </c>
      <c r="AS79">
        <v>3</v>
      </c>
      <c r="AT79">
        <v>3</v>
      </c>
      <c r="AU79">
        <v>3</v>
      </c>
      <c r="AV79">
        <v>3</v>
      </c>
      <c r="AW79">
        <v>3</v>
      </c>
      <c r="AX79">
        <v>3</v>
      </c>
      <c r="AY79">
        <v>3</v>
      </c>
      <c r="AZ79">
        <v>3</v>
      </c>
      <c r="BA79">
        <v>3</v>
      </c>
      <c r="BB79">
        <v>3</v>
      </c>
      <c r="BC79">
        <v>3</v>
      </c>
      <c r="BD79">
        <v>3</v>
      </c>
      <c r="BE79">
        <v>3</v>
      </c>
      <c r="BF79">
        <v>3</v>
      </c>
      <c r="BG79">
        <v>3</v>
      </c>
      <c r="BH79">
        <v>3</v>
      </c>
      <c r="BI79">
        <v>3</v>
      </c>
      <c r="BJ79">
        <v>3</v>
      </c>
      <c r="BK79">
        <v>3</v>
      </c>
      <c r="BL79">
        <v>3</v>
      </c>
      <c r="BM79">
        <v>3</v>
      </c>
      <c r="BN79">
        <v>3</v>
      </c>
      <c r="BO79">
        <v>3</v>
      </c>
      <c r="BP79">
        <v>3</v>
      </c>
      <c r="BQ79">
        <v>3</v>
      </c>
      <c r="BR79">
        <v>3</v>
      </c>
      <c r="BS79">
        <v>3</v>
      </c>
    </row>
    <row r="80" spans="1:71" x14ac:dyDescent="0.3">
      <c r="A80" t="s">
        <v>31</v>
      </c>
      <c r="B80" t="s">
        <v>337</v>
      </c>
      <c r="C80">
        <v>31.692699999999999</v>
      </c>
      <c r="D80">
        <v>88.092399999999998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  <c r="BS80">
        <v>0</v>
      </c>
    </row>
    <row r="81" spans="1:71" x14ac:dyDescent="0.3">
      <c r="A81" t="s">
        <v>32</v>
      </c>
      <c r="B81" t="s">
        <v>337</v>
      </c>
      <c r="C81">
        <v>41.112900000000003</v>
      </c>
      <c r="D81">
        <v>85.240099999999998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1</v>
      </c>
      <c r="AB81">
        <v>1</v>
      </c>
      <c r="AC81">
        <v>1</v>
      </c>
      <c r="AD81">
        <v>1</v>
      </c>
      <c r="AE81">
        <v>1</v>
      </c>
      <c r="AF81">
        <v>1</v>
      </c>
      <c r="AG81">
        <v>1</v>
      </c>
      <c r="AH81">
        <v>1</v>
      </c>
      <c r="AI81">
        <v>1</v>
      </c>
      <c r="AJ81">
        <v>2</v>
      </c>
      <c r="AK81">
        <v>2</v>
      </c>
      <c r="AL81">
        <v>2</v>
      </c>
      <c r="AM81">
        <v>2</v>
      </c>
      <c r="AN81">
        <v>2</v>
      </c>
      <c r="AO81">
        <v>2</v>
      </c>
      <c r="AP81">
        <v>3</v>
      </c>
      <c r="AQ81">
        <v>3</v>
      </c>
      <c r="AR81">
        <v>3</v>
      </c>
      <c r="AS81">
        <v>3</v>
      </c>
      <c r="AT81">
        <v>3</v>
      </c>
      <c r="AU81">
        <v>3</v>
      </c>
      <c r="AV81">
        <v>3</v>
      </c>
      <c r="AW81">
        <v>3</v>
      </c>
      <c r="AX81">
        <v>3</v>
      </c>
      <c r="AY81">
        <v>3</v>
      </c>
      <c r="AZ81">
        <v>3</v>
      </c>
      <c r="BA81">
        <v>3</v>
      </c>
      <c r="BB81">
        <v>3</v>
      </c>
      <c r="BC81">
        <v>3</v>
      </c>
      <c r="BD81">
        <v>3</v>
      </c>
      <c r="BE81">
        <v>3</v>
      </c>
      <c r="BF81">
        <v>3</v>
      </c>
      <c r="BG81">
        <v>3</v>
      </c>
      <c r="BH81">
        <v>3</v>
      </c>
      <c r="BI81">
        <v>3</v>
      </c>
      <c r="BJ81">
        <v>3</v>
      </c>
      <c r="BK81">
        <v>3</v>
      </c>
      <c r="BL81">
        <v>3</v>
      </c>
      <c r="BM81">
        <v>3</v>
      </c>
      <c r="BN81">
        <v>3</v>
      </c>
      <c r="BO81">
        <v>3</v>
      </c>
      <c r="BP81">
        <v>3</v>
      </c>
      <c r="BQ81">
        <v>3</v>
      </c>
      <c r="BR81">
        <v>3</v>
      </c>
      <c r="BS81">
        <v>3</v>
      </c>
    </row>
    <row r="82" spans="1:71" x14ac:dyDescent="0.3">
      <c r="A82" t="s">
        <v>33</v>
      </c>
      <c r="B82" t="s">
        <v>337</v>
      </c>
      <c r="C82">
        <v>24.974</v>
      </c>
      <c r="D82">
        <v>101.48699999999999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1</v>
      </c>
      <c r="AH82">
        <v>2</v>
      </c>
      <c r="AI82">
        <v>2</v>
      </c>
      <c r="AJ82">
        <v>2</v>
      </c>
      <c r="AK82">
        <v>2</v>
      </c>
      <c r="AL82">
        <v>2</v>
      </c>
      <c r="AM82">
        <v>2</v>
      </c>
      <c r="AN82">
        <v>2</v>
      </c>
      <c r="AO82">
        <v>2</v>
      </c>
      <c r="AP82">
        <v>2</v>
      </c>
      <c r="AQ82">
        <v>2</v>
      </c>
      <c r="AR82">
        <v>2</v>
      </c>
      <c r="AS82">
        <v>2</v>
      </c>
      <c r="AT82">
        <v>2</v>
      </c>
      <c r="AU82">
        <v>2</v>
      </c>
      <c r="AV82">
        <v>2</v>
      </c>
      <c r="AW82">
        <v>2</v>
      </c>
      <c r="AX82">
        <v>2</v>
      </c>
      <c r="AY82">
        <v>2</v>
      </c>
      <c r="AZ82">
        <v>2</v>
      </c>
      <c r="BA82">
        <v>2</v>
      </c>
      <c r="BB82">
        <v>2</v>
      </c>
      <c r="BC82">
        <v>2</v>
      </c>
      <c r="BD82">
        <v>2</v>
      </c>
      <c r="BE82">
        <v>2</v>
      </c>
      <c r="BF82">
        <v>2</v>
      </c>
      <c r="BG82">
        <v>2</v>
      </c>
      <c r="BH82">
        <v>2</v>
      </c>
      <c r="BI82">
        <v>2</v>
      </c>
      <c r="BJ82">
        <v>2</v>
      </c>
      <c r="BK82">
        <v>2</v>
      </c>
      <c r="BL82">
        <v>2</v>
      </c>
      <c r="BM82">
        <v>2</v>
      </c>
      <c r="BN82">
        <v>2</v>
      </c>
      <c r="BO82">
        <v>2</v>
      </c>
      <c r="BP82">
        <v>2</v>
      </c>
      <c r="BQ82">
        <v>2</v>
      </c>
      <c r="BR82">
        <v>2</v>
      </c>
      <c r="BS82">
        <v>2</v>
      </c>
    </row>
    <row r="83" spans="1:71" x14ac:dyDescent="0.3">
      <c r="A83" t="s">
        <v>34</v>
      </c>
      <c r="B83" t="s">
        <v>337</v>
      </c>
      <c r="C83">
        <v>29.183199999999999</v>
      </c>
      <c r="D83">
        <v>120.0934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1</v>
      </c>
      <c r="AI83">
        <v>1</v>
      </c>
      <c r="AJ83">
        <v>1</v>
      </c>
      <c r="AK83">
        <v>1</v>
      </c>
      <c r="AL83">
        <v>1</v>
      </c>
      <c r="AM83">
        <v>1</v>
      </c>
      <c r="AN83">
        <v>1</v>
      </c>
      <c r="AO83">
        <v>1</v>
      </c>
      <c r="AP83">
        <v>1</v>
      </c>
      <c r="AQ83">
        <v>1</v>
      </c>
      <c r="AR83">
        <v>1</v>
      </c>
      <c r="AS83">
        <v>1</v>
      </c>
      <c r="AT83">
        <v>1</v>
      </c>
      <c r="AU83">
        <v>1</v>
      </c>
      <c r="AV83">
        <v>1</v>
      </c>
      <c r="AW83">
        <v>1</v>
      </c>
      <c r="AX83">
        <v>1</v>
      </c>
      <c r="AY83">
        <v>1</v>
      </c>
      <c r="AZ83">
        <v>1</v>
      </c>
      <c r="BA83">
        <v>1</v>
      </c>
      <c r="BB83">
        <v>1</v>
      </c>
      <c r="BC83">
        <v>1</v>
      </c>
      <c r="BD83">
        <v>1</v>
      </c>
      <c r="BE83">
        <v>1</v>
      </c>
      <c r="BF83">
        <v>1</v>
      </c>
      <c r="BG83">
        <v>1</v>
      </c>
      <c r="BH83">
        <v>1</v>
      </c>
      <c r="BI83">
        <v>1</v>
      </c>
      <c r="BJ83">
        <v>1</v>
      </c>
      <c r="BK83">
        <v>1</v>
      </c>
      <c r="BL83">
        <v>1</v>
      </c>
      <c r="BM83">
        <v>1</v>
      </c>
      <c r="BN83">
        <v>1</v>
      </c>
      <c r="BO83">
        <v>1</v>
      </c>
      <c r="BP83">
        <v>1</v>
      </c>
      <c r="BQ83">
        <v>1</v>
      </c>
      <c r="BR83">
        <v>1</v>
      </c>
      <c r="BS83">
        <v>1</v>
      </c>
    </row>
    <row r="84" spans="1:71" x14ac:dyDescent="0.3">
      <c r="B84" t="s">
        <v>158</v>
      </c>
      <c r="C84">
        <v>4.5709</v>
      </c>
      <c r="D84">
        <v>-74.297300000000007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2</v>
      </c>
      <c r="BN84">
        <v>3</v>
      </c>
      <c r="BO84">
        <v>3</v>
      </c>
      <c r="BP84">
        <v>4</v>
      </c>
      <c r="BQ84">
        <v>6</v>
      </c>
      <c r="BR84">
        <v>6</v>
      </c>
      <c r="BS84">
        <v>6</v>
      </c>
    </row>
    <row r="85" spans="1:71" x14ac:dyDescent="0.3">
      <c r="B85" t="s">
        <v>461</v>
      </c>
      <c r="C85">
        <v>-4.0382999999999996</v>
      </c>
      <c r="D85">
        <v>21.758700000000001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</row>
    <row r="86" spans="1:71" x14ac:dyDescent="0.3">
      <c r="B86" t="s">
        <v>351</v>
      </c>
      <c r="C86">
        <v>-4.0382999999999996</v>
      </c>
      <c r="D86">
        <v>21.758700000000001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1</v>
      </c>
      <c r="BM86">
        <v>1</v>
      </c>
      <c r="BN86">
        <v>1</v>
      </c>
      <c r="BO86">
        <v>2</v>
      </c>
      <c r="BP86">
        <v>2</v>
      </c>
      <c r="BQ86">
        <v>3</v>
      </c>
      <c r="BR86">
        <v>3</v>
      </c>
      <c r="BS86">
        <v>6</v>
      </c>
    </row>
    <row r="87" spans="1:71" x14ac:dyDescent="0.3">
      <c r="B87" t="s">
        <v>159</v>
      </c>
      <c r="C87">
        <v>9.7489000000000008</v>
      </c>
      <c r="D87">
        <v>-83.753399999999999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1</v>
      </c>
      <c r="BK87">
        <v>1</v>
      </c>
      <c r="BL87">
        <v>2</v>
      </c>
      <c r="BM87">
        <v>2</v>
      </c>
      <c r="BN87">
        <v>2</v>
      </c>
      <c r="BO87">
        <v>2</v>
      </c>
      <c r="BP87">
        <v>2</v>
      </c>
      <c r="BQ87">
        <v>2</v>
      </c>
      <c r="BR87">
        <v>2</v>
      </c>
      <c r="BS87">
        <v>2</v>
      </c>
    </row>
    <row r="88" spans="1:71" x14ac:dyDescent="0.3">
      <c r="B88" t="s">
        <v>352</v>
      </c>
      <c r="C88">
        <v>7.54</v>
      </c>
      <c r="D88">
        <v>-5.5471000000000004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</row>
    <row r="89" spans="1:71" x14ac:dyDescent="0.3">
      <c r="B89" t="s">
        <v>76</v>
      </c>
      <c r="C89">
        <v>45.1</v>
      </c>
      <c r="D89">
        <v>15.2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1</v>
      </c>
      <c r="BK89">
        <v>1</v>
      </c>
      <c r="BL89">
        <v>1</v>
      </c>
      <c r="BM89">
        <v>1</v>
      </c>
      <c r="BN89">
        <v>1</v>
      </c>
      <c r="BO89">
        <v>1</v>
      </c>
      <c r="BP89">
        <v>1</v>
      </c>
      <c r="BQ89">
        <v>3</v>
      </c>
      <c r="BR89">
        <v>3</v>
      </c>
      <c r="BS89">
        <v>5</v>
      </c>
    </row>
    <row r="90" spans="1:71" x14ac:dyDescent="0.3">
      <c r="B90" t="s">
        <v>248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2</v>
      </c>
      <c r="AI90">
        <v>2</v>
      </c>
      <c r="AJ90">
        <v>2</v>
      </c>
      <c r="AK90">
        <v>3</v>
      </c>
      <c r="AL90">
        <v>3</v>
      </c>
      <c r="AM90">
        <v>3</v>
      </c>
      <c r="AN90">
        <v>4</v>
      </c>
      <c r="AO90">
        <v>4</v>
      </c>
      <c r="AP90">
        <v>6</v>
      </c>
      <c r="AQ90">
        <v>6</v>
      </c>
      <c r="AR90">
        <v>6</v>
      </c>
      <c r="AS90">
        <v>6</v>
      </c>
      <c r="AT90">
        <v>6</v>
      </c>
      <c r="AU90">
        <v>6</v>
      </c>
      <c r="AV90">
        <v>6</v>
      </c>
      <c r="AW90">
        <v>6</v>
      </c>
      <c r="AX90">
        <v>6</v>
      </c>
      <c r="AY90">
        <v>6</v>
      </c>
      <c r="AZ90">
        <v>6</v>
      </c>
      <c r="BA90">
        <v>6</v>
      </c>
      <c r="BB90">
        <v>7</v>
      </c>
      <c r="BC90">
        <v>7</v>
      </c>
      <c r="BD90">
        <v>7</v>
      </c>
      <c r="BE90">
        <v>7</v>
      </c>
      <c r="BF90">
        <v>7</v>
      </c>
      <c r="BG90">
        <v>7</v>
      </c>
      <c r="BH90">
        <v>7</v>
      </c>
      <c r="BI90">
        <v>7</v>
      </c>
      <c r="BJ90">
        <v>7</v>
      </c>
      <c r="BK90">
        <v>7</v>
      </c>
      <c r="BL90">
        <v>8</v>
      </c>
      <c r="BM90">
        <v>8</v>
      </c>
      <c r="BN90">
        <v>8</v>
      </c>
      <c r="BO90">
        <v>10</v>
      </c>
      <c r="BP90">
        <v>10</v>
      </c>
      <c r="BQ90">
        <v>10</v>
      </c>
      <c r="BR90">
        <v>10</v>
      </c>
      <c r="BS90">
        <v>10</v>
      </c>
    </row>
    <row r="91" spans="1:71" x14ac:dyDescent="0.3">
      <c r="B91" t="s">
        <v>410</v>
      </c>
      <c r="C91">
        <v>22</v>
      </c>
      <c r="D91">
        <v>-80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1</v>
      </c>
      <c r="BJ91">
        <v>1</v>
      </c>
      <c r="BK91">
        <v>1</v>
      </c>
      <c r="BL91">
        <v>1</v>
      </c>
      <c r="BM91">
        <v>1</v>
      </c>
      <c r="BN91">
        <v>1</v>
      </c>
      <c r="BO91">
        <v>1</v>
      </c>
      <c r="BP91">
        <v>1</v>
      </c>
      <c r="BQ91">
        <v>2</v>
      </c>
      <c r="BR91">
        <v>2</v>
      </c>
      <c r="BS91">
        <v>3</v>
      </c>
    </row>
    <row r="92" spans="1:71" x14ac:dyDescent="0.3">
      <c r="B92" t="s">
        <v>231</v>
      </c>
      <c r="C92">
        <v>35.126399999999997</v>
      </c>
      <c r="D92">
        <v>33.429900000000004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1</v>
      </c>
      <c r="BN92">
        <v>1</v>
      </c>
      <c r="BO92">
        <v>3</v>
      </c>
      <c r="BP92">
        <v>3</v>
      </c>
      <c r="BQ92">
        <v>3</v>
      </c>
      <c r="BR92">
        <v>5</v>
      </c>
      <c r="BS92">
        <v>5</v>
      </c>
    </row>
    <row r="93" spans="1:71" x14ac:dyDescent="0.3">
      <c r="B93" t="s">
        <v>341</v>
      </c>
      <c r="C93">
        <v>49.817500000000003</v>
      </c>
      <c r="D93">
        <v>15.4729999999999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1</v>
      </c>
      <c r="BN93">
        <v>1</v>
      </c>
      <c r="BO93">
        <v>3</v>
      </c>
      <c r="BP93">
        <v>6</v>
      </c>
      <c r="BQ93">
        <v>9</v>
      </c>
      <c r="BR93">
        <v>9</v>
      </c>
      <c r="BS93">
        <v>11</v>
      </c>
    </row>
    <row r="94" spans="1:71" x14ac:dyDescent="0.3">
      <c r="A94" t="s">
        <v>134</v>
      </c>
      <c r="B94" t="s">
        <v>87</v>
      </c>
      <c r="C94">
        <v>61.892600000000002</v>
      </c>
      <c r="D94">
        <v>-6.9118000000000004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</row>
    <row r="95" spans="1:71" x14ac:dyDescent="0.3">
      <c r="A95" t="s">
        <v>469</v>
      </c>
      <c r="B95" t="s">
        <v>87</v>
      </c>
      <c r="C95">
        <v>71.706900000000005</v>
      </c>
      <c r="D95">
        <v>-42.604300000000002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</row>
    <row r="96" spans="1:71" x14ac:dyDescent="0.3">
      <c r="B96" t="s">
        <v>87</v>
      </c>
      <c r="C96">
        <v>56.2639</v>
      </c>
      <c r="D96">
        <v>9.5017999999999994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1</v>
      </c>
      <c r="BF96">
        <v>2</v>
      </c>
      <c r="BG96">
        <v>3</v>
      </c>
      <c r="BH96">
        <v>4</v>
      </c>
      <c r="BI96">
        <v>4</v>
      </c>
      <c r="BJ96">
        <v>6</v>
      </c>
      <c r="BK96">
        <v>9</v>
      </c>
      <c r="BL96">
        <v>13</v>
      </c>
      <c r="BM96">
        <v>13</v>
      </c>
      <c r="BN96">
        <v>24</v>
      </c>
      <c r="BO96">
        <v>32</v>
      </c>
      <c r="BP96">
        <v>34</v>
      </c>
      <c r="BQ96">
        <v>41</v>
      </c>
      <c r="BR96">
        <v>52</v>
      </c>
      <c r="BS96">
        <v>65</v>
      </c>
    </row>
    <row r="97" spans="1:71" x14ac:dyDescent="0.3">
      <c r="B97" t="s">
        <v>483</v>
      </c>
      <c r="C97">
        <v>11.825100000000001</v>
      </c>
      <c r="D97">
        <v>42.590299999999999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</row>
    <row r="98" spans="1:71" x14ac:dyDescent="0.3">
      <c r="B98" t="s">
        <v>106</v>
      </c>
      <c r="C98">
        <v>18.735700000000001</v>
      </c>
      <c r="D98">
        <v>-70.162700000000001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1</v>
      </c>
      <c r="BI98">
        <v>1</v>
      </c>
      <c r="BJ98">
        <v>2</v>
      </c>
      <c r="BK98">
        <v>2</v>
      </c>
      <c r="BL98">
        <v>2</v>
      </c>
      <c r="BM98">
        <v>3</v>
      </c>
      <c r="BN98">
        <v>3</v>
      </c>
      <c r="BO98">
        <v>6</v>
      </c>
      <c r="BP98">
        <v>10</v>
      </c>
      <c r="BQ98">
        <v>10</v>
      </c>
      <c r="BR98">
        <v>20</v>
      </c>
      <c r="BS98">
        <v>28</v>
      </c>
    </row>
    <row r="99" spans="1:71" x14ac:dyDescent="0.3">
      <c r="B99" t="s">
        <v>103</v>
      </c>
      <c r="C99">
        <v>-1.8311999999999999</v>
      </c>
      <c r="D99">
        <v>-78.183400000000006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2</v>
      </c>
      <c r="BF99">
        <v>2</v>
      </c>
      <c r="BG99">
        <v>2</v>
      </c>
      <c r="BH99">
        <v>2</v>
      </c>
      <c r="BI99">
        <v>2</v>
      </c>
      <c r="BJ99">
        <v>3</v>
      </c>
      <c r="BK99">
        <v>5</v>
      </c>
      <c r="BL99">
        <v>7</v>
      </c>
      <c r="BM99">
        <v>14</v>
      </c>
      <c r="BN99">
        <v>18</v>
      </c>
      <c r="BO99">
        <v>27</v>
      </c>
      <c r="BP99">
        <v>28</v>
      </c>
      <c r="BQ99">
        <v>34</v>
      </c>
      <c r="BR99">
        <v>36</v>
      </c>
      <c r="BS99">
        <v>48</v>
      </c>
    </row>
    <row r="100" spans="1:71" x14ac:dyDescent="0.3">
      <c r="B100" t="s">
        <v>65</v>
      </c>
      <c r="C100">
        <v>26</v>
      </c>
      <c r="D100">
        <v>30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1</v>
      </c>
      <c r="AZ100">
        <v>1</v>
      </c>
      <c r="BA100">
        <v>1</v>
      </c>
      <c r="BB100">
        <v>1</v>
      </c>
      <c r="BC100">
        <v>1</v>
      </c>
      <c r="BD100">
        <v>2</v>
      </c>
      <c r="BE100">
        <v>2</v>
      </c>
      <c r="BF100">
        <v>2</v>
      </c>
      <c r="BG100">
        <v>2</v>
      </c>
      <c r="BH100">
        <v>4</v>
      </c>
      <c r="BI100">
        <v>6</v>
      </c>
      <c r="BJ100">
        <v>6</v>
      </c>
      <c r="BK100">
        <v>8</v>
      </c>
      <c r="BL100">
        <v>10</v>
      </c>
      <c r="BM100">
        <v>14</v>
      </c>
      <c r="BN100">
        <v>19</v>
      </c>
      <c r="BO100">
        <v>20</v>
      </c>
      <c r="BP100">
        <v>21</v>
      </c>
      <c r="BQ100">
        <v>24</v>
      </c>
      <c r="BR100">
        <v>30</v>
      </c>
      <c r="BS100">
        <v>36</v>
      </c>
    </row>
    <row r="101" spans="1:71" x14ac:dyDescent="0.3">
      <c r="B101" t="s">
        <v>524</v>
      </c>
      <c r="C101">
        <v>13.7942</v>
      </c>
      <c r="D101">
        <v>-88.896500000000003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</row>
    <row r="102" spans="1:71" x14ac:dyDescent="0.3">
      <c r="B102" t="s">
        <v>462</v>
      </c>
      <c r="C102">
        <v>1.5</v>
      </c>
      <c r="D102">
        <v>10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</row>
    <row r="103" spans="1:71" x14ac:dyDescent="0.3">
      <c r="B103" t="s">
        <v>556</v>
      </c>
      <c r="C103">
        <v>15.179399999999999</v>
      </c>
      <c r="D103">
        <v>39.782299999999999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</row>
    <row r="104" spans="1:71" x14ac:dyDescent="0.3">
      <c r="B104" t="s">
        <v>88</v>
      </c>
      <c r="C104">
        <v>58.595300000000002</v>
      </c>
      <c r="D104">
        <v>25.0136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0</v>
      </c>
      <c r="BP104">
        <v>1</v>
      </c>
      <c r="BQ104">
        <v>1</v>
      </c>
      <c r="BR104">
        <v>1</v>
      </c>
      <c r="BS104">
        <v>1</v>
      </c>
    </row>
    <row r="105" spans="1:71" x14ac:dyDescent="0.3">
      <c r="B105" t="s">
        <v>442</v>
      </c>
      <c r="C105">
        <v>-26.522500000000001</v>
      </c>
      <c r="D105">
        <v>31.465900000000001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</row>
    <row r="106" spans="1:71" x14ac:dyDescent="0.3">
      <c r="B106" t="s">
        <v>419</v>
      </c>
      <c r="C106">
        <v>9.1449999999999996</v>
      </c>
      <c r="D106">
        <v>40.489699999999999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</row>
    <row r="107" spans="1:71" x14ac:dyDescent="0.3">
      <c r="B107" t="s">
        <v>525</v>
      </c>
      <c r="C107">
        <v>-17.7134</v>
      </c>
      <c r="D107">
        <v>178.065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</row>
    <row r="108" spans="1:71" x14ac:dyDescent="0.3">
      <c r="B108" t="s">
        <v>54</v>
      </c>
      <c r="C108">
        <v>64</v>
      </c>
      <c r="D108">
        <v>26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1</v>
      </c>
      <c r="BM108">
        <v>1</v>
      </c>
      <c r="BN108">
        <v>1</v>
      </c>
      <c r="BO108">
        <v>1</v>
      </c>
      <c r="BP108">
        <v>3</v>
      </c>
      <c r="BQ108">
        <v>5</v>
      </c>
      <c r="BR108">
        <v>7</v>
      </c>
      <c r="BS108">
        <v>9</v>
      </c>
    </row>
    <row r="109" spans="1:71" x14ac:dyDescent="0.3">
      <c r="A109" t="s">
        <v>176</v>
      </c>
      <c r="B109" t="s">
        <v>41</v>
      </c>
      <c r="C109">
        <v>3.9339</v>
      </c>
      <c r="D109">
        <v>-53.125799999999998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</row>
    <row r="110" spans="1:71" x14ac:dyDescent="0.3">
      <c r="A110" t="s">
        <v>414</v>
      </c>
      <c r="B110" t="s">
        <v>41</v>
      </c>
      <c r="C110">
        <v>-17.6797</v>
      </c>
      <c r="D110">
        <v>149.4068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</row>
    <row r="111" spans="1:71" x14ac:dyDescent="0.3">
      <c r="A111" t="s">
        <v>416</v>
      </c>
      <c r="B111" t="s">
        <v>41</v>
      </c>
      <c r="C111">
        <v>16.25</v>
      </c>
      <c r="D111">
        <v>-61.583300000000001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1</v>
      </c>
      <c r="BN111">
        <v>1</v>
      </c>
      <c r="BO111">
        <v>1</v>
      </c>
      <c r="BP111">
        <v>1</v>
      </c>
      <c r="BQ111">
        <v>1</v>
      </c>
      <c r="BR111">
        <v>1</v>
      </c>
      <c r="BS111">
        <v>2</v>
      </c>
    </row>
    <row r="112" spans="1:71" x14ac:dyDescent="0.3">
      <c r="A112" t="s">
        <v>463</v>
      </c>
      <c r="B112" t="s">
        <v>41</v>
      </c>
      <c r="C112">
        <v>-12.827500000000001</v>
      </c>
      <c r="D112">
        <v>45.166200000000003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</row>
    <row r="113" spans="1:71" x14ac:dyDescent="0.3">
      <c r="A113" t="s">
        <v>521</v>
      </c>
      <c r="B113" t="s">
        <v>41</v>
      </c>
      <c r="C113">
        <v>-20.904299999999999</v>
      </c>
      <c r="D113">
        <v>165.61799999999999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</row>
    <row r="114" spans="1:71" x14ac:dyDescent="0.3">
      <c r="A114" t="s">
        <v>354</v>
      </c>
      <c r="B114" t="s">
        <v>41</v>
      </c>
      <c r="C114">
        <v>-21.135100000000001</v>
      </c>
      <c r="D114">
        <v>55.247100000000003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</row>
    <row r="115" spans="1:71" x14ac:dyDescent="0.3">
      <c r="A115" t="s">
        <v>130</v>
      </c>
      <c r="B115" t="s">
        <v>41</v>
      </c>
      <c r="C115">
        <v>17.899999999999999</v>
      </c>
      <c r="D115">
        <v>-62.833300000000001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</row>
    <row r="116" spans="1:71" x14ac:dyDescent="0.3">
      <c r="A116" t="s">
        <v>347</v>
      </c>
      <c r="B116" t="s">
        <v>41</v>
      </c>
      <c r="C116">
        <v>18.070799999999998</v>
      </c>
      <c r="D116">
        <v>-63.0501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</row>
    <row r="117" spans="1:71" x14ac:dyDescent="0.3">
      <c r="A117" t="s">
        <v>180</v>
      </c>
      <c r="B117" t="s">
        <v>41</v>
      </c>
      <c r="C117">
        <v>14.641500000000001</v>
      </c>
      <c r="D117">
        <v>-61.0242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  <c r="BR117">
        <v>1</v>
      </c>
      <c r="BS117">
        <v>1</v>
      </c>
    </row>
    <row r="118" spans="1:71" x14ac:dyDescent="0.3">
      <c r="B118" t="s">
        <v>41</v>
      </c>
      <c r="C118">
        <v>46.227600000000002</v>
      </c>
      <c r="D118">
        <v>2.2136999999999998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1</v>
      </c>
      <c r="AD118">
        <v>1</v>
      </c>
      <c r="AE118">
        <v>1</v>
      </c>
      <c r="AF118">
        <v>1</v>
      </c>
      <c r="AG118">
        <v>1</v>
      </c>
      <c r="AH118">
        <v>1</v>
      </c>
      <c r="AI118">
        <v>1</v>
      </c>
      <c r="AJ118">
        <v>1</v>
      </c>
      <c r="AK118">
        <v>1</v>
      </c>
      <c r="AL118">
        <v>1</v>
      </c>
      <c r="AM118">
        <v>1</v>
      </c>
      <c r="AN118">
        <v>2</v>
      </c>
      <c r="AO118">
        <v>2</v>
      </c>
      <c r="AP118">
        <v>2</v>
      </c>
      <c r="AQ118">
        <v>2</v>
      </c>
      <c r="AR118">
        <v>2</v>
      </c>
      <c r="AS118">
        <v>3</v>
      </c>
      <c r="AT118">
        <v>4</v>
      </c>
      <c r="AU118">
        <v>4</v>
      </c>
      <c r="AV118">
        <v>6</v>
      </c>
      <c r="AW118">
        <v>9</v>
      </c>
      <c r="AX118">
        <v>11</v>
      </c>
      <c r="AY118">
        <v>19</v>
      </c>
      <c r="AZ118">
        <v>19</v>
      </c>
      <c r="BA118">
        <v>33</v>
      </c>
      <c r="BB118">
        <v>48</v>
      </c>
      <c r="BC118">
        <v>48</v>
      </c>
      <c r="BD118">
        <v>79</v>
      </c>
      <c r="BE118">
        <v>91</v>
      </c>
      <c r="BF118">
        <v>91</v>
      </c>
      <c r="BG118">
        <v>148</v>
      </c>
      <c r="BH118">
        <v>148</v>
      </c>
      <c r="BI118">
        <v>148</v>
      </c>
      <c r="BJ118">
        <v>243</v>
      </c>
      <c r="BK118">
        <v>450</v>
      </c>
      <c r="BL118">
        <v>562</v>
      </c>
      <c r="BM118">
        <v>674</v>
      </c>
      <c r="BN118">
        <v>860</v>
      </c>
      <c r="BO118">
        <v>1100</v>
      </c>
      <c r="BP118">
        <v>1331</v>
      </c>
      <c r="BQ118">
        <v>1696</v>
      </c>
      <c r="BR118">
        <v>1995</v>
      </c>
      <c r="BS118">
        <v>2314</v>
      </c>
    </row>
    <row r="119" spans="1:71" x14ac:dyDescent="0.3">
      <c r="B119" t="s">
        <v>443</v>
      </c>
      <c r="C119">
        <v>-0.80369999999999997</v>
      </c>
      <c r="D119">
        <v>11.609400000000001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1</v>
      </c>
      <c r="BL119">
        <v>1</v>
      </c>
      <c r="BM119">
        <v>1</v>
      </c>
      <c r="BN119">
        <v>1</v>
      </c>
      <c r="BO119">
        <v>1</v>
      </c>
      <c r="BP119">
        <v>1</v>
      </c>
      <c r="BQ119">
        <v>1</v>
      </c>
      <c r="BR119">
        <v>1</v>
      </c>
      <c r="BS119">
        <v>1</v>
      </c>
    </row>
    <row r="120" spans="1:71" x14ac:dyDescent="0.3">
      <c r="B120" t="s">
        <v>582</v>
      </c>
      <c r="C120">
        <v>13.443199999999999</v>
      </c>
      <c r="D120">
        <v>-15.3101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1</v>
      </c>
      <c r="BO120">
        <v>1</v>
      </c>
      <c r="BP120">
        <v>1</v>
      </c>
      <c r="BQ120">
        <v>1</v>
      </c>
      <c r="BR120">
        <v>1</v>
      </c>
      <c r="BS120">
        <v>1</v>
      </c>
    </row>
    <row r="121" spans="1:71" x14ac:dyDescent="0.3">
      <c r="B121" t="s">
        <v>82</v>
      </c>
      <c r="C121">
        <v>42.315399999999997</v>
      </c>
      <c r="D121">
        <v>43.356900000000003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</row>
    <row r="122" spans="1:71" x14ac:dyDescent="0.3">
      <c r="B122" t="s">
        <v>53</v>
      </c>
      <c r="C122">
        <v>51</v>
      </c>
      <c r="D122">
        <v>9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2</v>
      </c>
      <c r="BA122">
        <v>2</v>
      </c>
      <c r="BB122">
        <v>3</v>
      </c>
      <c r="BC122">
        <v>3</v>
      </c>
      <c r="BD122">
        <v>7</v>
      </c>
      <c r="BE122">
        <v>9</v>
      </c>
      <c r="BF122">
        <v>11</v>
      </c>
      <c r="BG122">
        <v>17</v>
      </c>
      <c r="BH122">
        <v>24</v>
      </c>
      <c r="BI122">
        <v>28</v>
      </c>
      <c r="BJ122">
        <v>44</v>
      </c>
      <c r="BK122">
        <v>67</v>
      </c>
      <c r="BL122">
        <v>84</v>
      </c>
      <c r="BM122">
        <v>94</v>
      </c>
      <c r="BN122">
        <v>123</v>
      </c>
      <c r="BO122">
        <v>157</v>
      </c>
      <c r="BP122">
        <v>206</v>
      </c>
      <c r="BQ122">
        <v>267</v>
      </c>
      <c r="BR122">
        <v>342</v>
      </c>
      <c r="BS122">
        <v>433</v>
      </c>
    </row>
    <row r="123" spans="1:71" x14ac:dyDescent="0.3">
      <c r="B123" t="s">
        <v>435</v>
      </c>
      <c r="C123">
        <v>7.9465000000000003</v>
      </c>
      <c r="D123">
        <v>-1.0232000000000001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1</v>
      </c>
      <c r="BM123">
        <v>1</v>
      </c>
      <c r="BN123">
        <v>2</v>
      </c>
      <c r="BO123">
        <v>2</v>
      </c>
      <c r="BP123">
        <v>4</v>
      </c>
      <c r="BQ123">
        <v>4</v>
      </c>
      <c r="BR123">
        <v>4</v>
      </c>
      <c r="BS123">
        <v>5</v>
      </c>
    </row>
    <row r="124" spans="1:71" x14ac:dyDescent="0.3">
      <c r="B124" t="s">
        <v>83</v>
      </c>
      <c r="C124">
        <v>39.074199999999998</v>
      </c>
      <c r="D124">
        <v>21.824300000000001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1</v>
      </c>
      <c r="BC124">
        <v>1</v>
      </c>
      <c r="BD124">
        <v>1</v>
      </c>
      <c r="BE124">
        <v>3</v>
      </c>
      <c r="BF124">
        <v>4</v>
      </c>
      <c r="BG124">
        <v>4</v>
      </c>
      <c r="BH124">
        <v>5</v>
      </c>
      <c r="BI124">
        <v>5</v>
      </c>
      <c r="BJ124">
        <v>6</v>
      </c>
      <c r="BK124">
        <v>6</v>
      </c>
      <c r="BL124">
        <v>13</v>
      </c>
      <c r="BM124">
        <v>15</v>
      </c>
      <c r="BN124">
        <v>17</v>
      </c>
      <c r="BO124">
        <v>20</v>
      </c>
      <c r="BP124">
        <v>22</v>
      </c>
      <c r="BQ124">
        <v>26</v>
      </c>
      <c r="BR124">
        <v>28</v>
      </c>
      <c r="BS124">
        <v>32</v>
      </c>
    </row>
    <row r="125" spans="1:71" x14ac:dyDescent="0.3">
      <c r="B125" t="s">
        <v>444</v>
      </c>
      <c r="C125">
        <v>15.7835</v>
      </c>
      <c r="D125">
        <v>-90.230800000000002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1</v>
      </c>
      <c r="BH125">
        <v>1</v>
      </c>
      <c r="BI125">
        <v>1</v>
      </c>
      <c r="BJ125">
        <v>1</v>
      </c>
      <c r="BK125">
        <v>1</v>
      </c>
      <c r="BL125">
        <v>1</v>
      </c>
      <c r="BM125">
        <v>1</v>
      </c>
      <c r="BN125">
        <v>1</v>
      </c>
      <c r="BO125">
        <v>1</v>
      </c>
      <c r="BP125">
        <v>1</v>
      </c>
      <c r="BQ125">
        <v>1</v>
      </c>
      <c r="BR125">
        <v>1</v>
      </c>
      <c r="BS125">
        <v>1</v>
      </c>
    </row>
    <row r="126" spans="1:71" x14ac:dyDescent="0.3">
      <c r="B126" t="s">
        <v>421</v>
      </c>
      <c r="C126">
        <v>9.9456000000000007</v>
      </c>
      <c r="D126">
        <v>-9.6966000000000001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</row>
    <row r="127" spans="1:71" x14ac:dyDescent="0.3">
      <c r="B127" t="s">
        <v>411</v>
      </c>
      <c r="C127">
        <v>5</v>
      </c>
      <c r="D127">
        <v>-58.75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1</v>
      </c>
      <c r="BD127">
        <v>1</v>
      </c>
      <c r="BE127">
        <v>1</v>
      </c>
      <c r="BF127">
        <v>1</v>
      </c>
      <c r="BG127">
        <v>1</v>
      </c>
      <c r="BH127">
        <v>1</v>
      </c>
      <c r="BI127">
        <v>1</v>
      </c>
      <c r="BJ127">
        <v>1</v>
      </c>
      <c r="BK127">
        <v>1</v>
      </c>
      <c r="BL127">
        <v>1</v>
      </c>
      <c r="BM127">
        <v>1</v>
      </c>
      <c r="BN127">
        <v>1</v>
      </c>
      <c r="BO127">
        <v>1</v>
      </c>
      <c r="BP127">
        <v>1</v>
      </c>
      <c r="BQ127">
        <v>1</v>
      </c>
      <c r="BR127">
        <v>1</v>
      </c>
      <c r="BS127">
        <v>1</v>
      </c>
    </row>
    <row r="128" spans="1:71" x14ac:dyDescent="0.3">
      <c r="B128" t="s">
        <v>531</v>
      </c>
      <c r="C128">
        <v>18.9712</v>
      </c>
      <c r="D128">
        <v>-72.285200000000003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</row>
    <row r="129" spans="2:71" x14ac:dyDescent="0.3">
      <c r="B129" t="s">
        <v>281</v>
      </c>
      <c r="C129">
        <v>41.902900000000002</v>
      </c>
      <c r="D129">
        <v>12.4534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</row>
    <row r="130" spans="2:71" x14ac:dyDescent="0.3">
      <c r="B130" t="s">
        <v>348</v>
      </c>
      <c r="C130">
        <v>15.2</v>
      </c>
      <c r="D130">
        <v>-86.241900000000001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  <c r="BO130">
        <v>0</v>
      </c>
      <c r="BP130">
        <v>0</v>
      </c>
      <c r="BQ130">
        <v>1</v>
      </c>
      <c r="BR130">
        <v>1</v>
      </c>
      <c r="BS130">
        <v>1</v>
      </c>
    </row>
    <row r="131" spans="2:71" x14ac:dyDescent="0.3">
      <c r="B131" t="s">
        <v>132</v>
      </c>
      <c r="C131">
        <v>47.162500000000001</v>
      </c>
      <c r="D131">
        <v>19.503299999999999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1</v>
      </c>
      <c r="BG131">
        <v>1</v>
      </c>
      <c r="BH131">
        <v>1</v>
      </c>
      <c r="BI131">
        <v>1</v>
      </c>
      <c r="BJ131">
        <v>1</v>
      </c>
      <c r="BK131">
        <v>3</v>
      </c>
      <c r="BL131">
        <v>4</v>
      </c>
      <c r="BM131">
        <v>6</v>
      </c>
      <c r="BN131">
        <v>7</v>
      </c>
      <c r="BO131">
        <v>9</v>
      </c>
      <c r="BP131">
        <v>10</v>
      </c>
      <c r="BQ131">
        <v>10</v>
      </c>
      <c r="BR131">
        <v>10</v>
      </c>
      <c r="BS131">
        <v>11</v>
      </c>
    </row>
    <row r="132" spans="2:71" x14ac:dyDescent="0.3">
      <c r="B132" t="s">
        <v>92</v>
      </c>
      <c r="C132">
        <v>64.963099999999997</v>
      </c>
      <c r="D132">
        <v>-19.020800000000001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5</v>
      </c>
      <c r="BG132">
        <v>0</v>
      </c>
      <c r="BH132">
        <v>1</v>
      </c>
      <c r="BI132">
        <v>1</v>
      </c>
      <c r="BJ132">
        <v>1</v>
      </c>
      <c r="BK132">
        <v>0</v>
      </c>
      <c r="BL132">
        <v>1</v>
      </c>
      <c r="BM132">
        <v>1</v>
      </c>
      <c r="BN132">
        <v>1</v>
      </c>
      <c r="BO132">
        <v>2</v>
      </c>
      <c r="BP132">
        <v>2</v>
      </c>
      <c r="BQ132">
        <v>2</v>
      </c>
      <c r="BR132">
        <v>2</v>
      </c>
      <c r="BS132">
        <v>2</v>
      </c>
    </row>
    <row r="133" spans="2:71" x14ac:dyDescent="0.3">
      <c r="B133" t="s">
        <v>57</v>
      </c>
      <c r="C133">
        <v>21</v>
      </c>
      <c r="D133">
        <v>78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1</v>
      </c>
      <c r="BC133">
        <v>1</v>
      </c>
      <c r="BD133">
        <v>2</v>
      </c>
      <c r="BE133">
        <v>2</v>
      </c>
      <c r="BF133">
        <v>2</v>
      </c>
      <c r="BG133">
        <v>2</v>
      </c>
      <c r="BH133">
        <v>3</v>
      </c>
      <c r="BI133">
        <v>3</v>
      </c>
      <c r="BJ133">
        <v>4</v>
      </c>
      <c r="BK133">
        <v>5</v>
      </c>
      <c r="BL133">
        <v>4</v>
      </c>
      <c r="BM133">
        <v>7</v>
      </c>
      <c r="BN133">
        <v>10</v>
      </c>
      <c r="BO133">
        <v>10</v>
      </c>
      <c r="BP133">
        <v>12</v>
      </c>
      <c r="BQ133">
        <v>20</v>
      </c>
      <c r="BR133">
        <v>20</v>
      </c>
      <c r="BS133">
        <v>24</v>
      </c>
    </row>
    <row r="134" spans="2:71" x14ac:dyDescent="0.3">
      <c r="B134" t="s">
        <v>107</v>
      </c>
      <c r="C134">
        <v>-0.7893</v>
      </c>
      <c r="D134">
        <v>113.9213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1</v>
      </c>
      <c r="BC134">
        <v>1</v>
      </c>
      <c r="BD134">
        <v>4</v>
      </c>
      <c r="BE134">
        <v>5</v>
      </c>
      <c r="BF134">
        <v>5</v>
      </c>
      <c r="BG134">
        <v>5</v>
      </c>
      <c r="BH134">
        <v>5</v>
      </c>
      <c r="BI134">
        <v>19</v>
      </c>
      <c r="BJ134">
        <v>25</v>
      </c>
      <c r="BK134">
        <v>32</v>
      </c>
      <c r="BL134">
        <v>38</v>
      </c>
      <c r="BM134">
        <v>48</v>
      </c>
      <c r="BN134">
        <v>49</v>
      </c>
      <c r="BO134">
        <v>55</v>
      </c>
      <c r="BP134">
        <v>58</v>
      </c>
      <c r="BQ134">
        <v>78</v>
      </c>
      <c r="BR134">
        <v>87</v>
      </c>
      <c r="BS134">
        <v>102</v>
      </c>
    </row>
    <row r="135" spans="2:71" x14ac:dyDescent="0.3">
      <c r="B135" t="s">
        <v>338</v>
      </c>
      <c r="C135">
        <v>32</v>
      </c>
      <c r="D135">
        <v>53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2</v>
      </c>
      <c r="AH135">
        <v>2</v>
      </c>
      <c r="AI135">
        <v>4</v>
      </c>
      <c r="AJ135">
        <v>5</v>
      </c>
      <c r="AK135">
        <v>8</v>
      </c>
      <c r="AL135">
        <v>12</v>
      </c>
      <c r="AM135">
        <v>16</v>
      </c>
      <c r="AN135">
        <v>19</v>
      </c>
      <c r="AO135">
        <v>26</v>
      </c>
      <c r="AP135">
        <v>34</v>
      </c>
      <c r="AQ135">
        <v>43</v>
      </c>
      <c r="AR135">
        <v>54</v>
      </c>
      <c r="AS135">
        <v>66</v>
      </c>
      <c r="AT135">
        <v>77</v>
      </c>
      <c r="AU135">
        <v>92</v>
      </c>
      <c r="AV135">
        <v>107</v>
      </c>
      <c r="AW135">
        <v>124</v>
      </c>
      <c r="AX135">
        <v>145</v>
      </c>
      <c r="AY135">
        <v>194</v>
      </c>
      <c r="AZ135">
        <v>237</v>
      </c>
      <c r="BA135">
        <v>291</v>
      </c>
      <c r="BB135">
        <v>354</v>
      </c>
      <c r="BC135">
        <v>429</v>
      </c>
      <c r="BD135">
        <v>514</v>
      </c>
      <c r="BE135">
        <v>611</v>
      </c>
      <c r="BF135">
        <v>724</v>
      </c>
      <c r="BG135">
        <v>853</v>
      </c>
      <c r="BH135">
        <v>988</v>
      </c>
      <c r="BI135">
        <v>1135</v>
      </c>
      <c r="BJ135">
        <v>1284</v>
      </c>
      <c r="BK135">
        <v>1433</v>
      </c>
      <c r="BL135">
        <v>1556</v>
      </c>
      <c r="BM135">
        <v>1685</v>
      </c>
      <c r="BN135">
        <v>1812</v>
      </c>
      <c r="BO135">
        <v>1934</v>
      </c>
      <c r="BP135">
        <v>2077</v>
      </c>
      <c r="BQ135">
        <v>2234</v>
      </c>
      <c r="BR135">
        <v>2378</v>
      </c>
      <c r="BS135">
        <v>2517</v>
      </c>
    </row>
    <row r="136" spans="2:71" x14ac:dyDescent="0.3">
      <c r="B136" t="s">
        <v>70</v>
      </c>
      <c r="C136">
        <v>33</v>
      </c>
      <c r="D136">
        <v>44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2</v>
      </c>
      <c r="AV136">
        <v>2</v>
      </c>
      <c r="AW136">
        <v>3</v>
      </c>
      <c r="AX136">
        <v>4</v>
      </c>
      <c r="AY136">
        <v>6</v>
      </c>
      <c r="AZ136">
        <v>6</v>
      </c>
      <c r="BA136">
        <v>7</v>
      </c>
      <c r="BB136">
        <v>7</v>
      </c>
      <c r="BC136">
        <v>8</v>
      </c>
      <c r="BD136">
        <v>9</v>
      </c>
      <c r="BE136">
        <v>10</v>
      </c>
      <c r="BF136">
        <v>10</v>
      </c>
      <c r="BG136">
        <v>10</v>
      </c>
      <c r="BH136">
        <v>11</v>
      </c>
      <c r="BI136">
        <v>12</v>
      </c>
      <c r="BJ136">
        <v>13</v>
      </c>
      <c r="BK136">
        <v>17</v>
      </c>
      <c r="BL136">
        <v>17</v>
      </c>
      <c r="BM136">
        <v>20</v>
      </c>
      <c r="BN136">
        <v>23</v>
      </c>
      <c r="BO136">
        <v>27</v>
      </c>
      <c r="BP136">
        <v>29</v>
      </c>
      <c r="BQ136">
        <v>36</v>
      </c>
      <c r="BR136">
        <v>40</v>
      </c>
      <c r="BS136">
        <v>42</v>
      </c>
    </row>
    <row r="137" spans="2:71" x14ac:dyDescent="0.3">
      <c r="B137" t="s">
        <v>98</v>
      </c>
      <c r="C137">
        <v>53.142400000000002</v>
      </c>
      <c r="D137">
        <v>-7.6920999999999999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1</v>
      </c>
      <c r="BC137">
        <v>1</v>
      </c>
      <c r="BD137">
        <v>1</v>
      </c>
      <c r="BE137">
        <v>2</v>
      </c>
      <c r="BF137">
        <v>2</v>
      </c>
      <c r="BG137">
        <v>2</v>
      </c>
      <c r="BH137">
        <v>2</v>
      </c>
      <c r="BI137">
        <v>2</v>
      </c>
      <c r="BJ137">
        <v>3</v>
      </c>
      <c r="BK137">
        <v>3</v>
      </c>
      <c r="BL137">
        <v>3</v>
      </c>
      <c r="BM137">
        <v>4</v>
      </c>
      <c r="BN137">
        <v>6</v>
      </c>
      <c r="BO137">
        <v>7</v>
      </c>
      <c r="BP137">
        <v>9</v>
      </c>
      <c r="BQ137">
        <v>19</v>
      </c>
      <c r="BR137">
        <v>22</v>
      </c>
      <c r="BS137">
        <v>36</v>
      </c>
    </row>
    <row r="138" spans="2:71" x14ac:dyDescent="0.3">
      <c r="B138" t="s">
        <v>79</v>
      </c>
      <c r="C138">
        <v>31</v>
      </c>
      <c r="D138">
        <v>35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1</v>
      </c>
      <c r="BM138">
        <v>1</v>
      </c>
      <c r="BN138">
        <v>1</v>
      </c>
      <c r="BO138">
        <v>3</v>
      </c>
      <c r="BP138">
        <v>5</v>
      </c>
      <c r="BQ138">
        <v>8</v>
      </c>
      <c r="BR138">
        <v>12</v>
      </c>
      <c r="BS138">
        <v>12</v>
      </c>
    </row>
    <row r="139" spans="2:71" x14ac:dyDescent="0.3">
      <c r="B139" t="s">
        <v>58</v>
      </c>
      <c r="C139">
        <v>43</v>
      </c>
      <c r="D139">
        <v>12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1</v>
      </c>
      <c r="AJ139">
        <v>2</v>
      </c>
      <c r="AK139">
        <v>3</v>
      </c>
      <c r="AL139">
        <v>7</v>
      </c>
      <c r="AM139">
        <v>10</v>
      </c>
      <c r="AN139">
        <v>12</v>
      </c>
      <c r="AO139">
        <v>17</v>
      </c>
      <c r="AP139">
        <v>21</v>
      </c>
      <c r="AQ139">
        <v>29</v>
      </c>
      <c r="AR139">
        <v>34</v>
      </c>
      <c r="AS139">
        <v>52</v>
      </c>
      <c r="AT139">
        <v>79</v>
      </c>
      <c r="AU139">
        <v>107</v>
      </c>
      <c r="AV139">
        <v>148</v>
      </c>
      <c r="AW139">
        <v>197</v>
      </c>
      <c r="AX139">
        <v>233</v>
      </c>
      <c r="AY139">
        <v>366</v>
      </c>
      <c r="AZ139">
        <v>463</v>
      </c>
      <c r="BA139">
        <v>631</v>
      </c>
      <c r="BB139">
        <v>827</v>
      </c>
      <c r="BC139">
        <v>827</v>
      </c>
      <c r="BD139">
        <v>1266</v>
      </c>
      <c r="BE139">
        <v>1441</v>
      </c>
      <c r="BF139">
        <v>1809</v>
      </c>
      <c r="BG139">
        <v>2158</v>
      </c>
      <c r="BH139">
        <v>2503</v>
      </c>
      <c r="BI139">
        <v>2978</v>
      </c>
      <c r="BJ139">
        <v>3405</v>
      </c>
      <c r="BK139">
        <v>4032</v>
      </c>
      <c r="BL139">
        <v>4825</v>
      </c>
      <c r="BM139">
        <v>5476</v>
      </c>
      <c r="BN139">
        <v>6077</v>
      </c>
      <c r="BO139">
        <v>6820</v>
      </c>
      <c r="BP139">
        <v>7503</v>
      </c>
      <c r="BQ139">
        <v>8215</v>
      </c>
      <c r="BR139">
        <v>9134</v>
      </c>
      <c r="BS139">
        <v>10023</v>
      </c>
    </row>
    <row r="140" spans="2:71" x14ac:dyDescent="0.3">
      <c r="B140" t="s">
        <v>353</v>
      </c>
      <c r="C140">
        <v>18.1096</v>
      </c>
      <c r="D140">
        <v>-77.297499999999999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1</v>
      </c>
      <c r="BK140">
        <v>1</v>
      </c>
      <c r="BL140">
        <v>1</v>
      </c>
      <c r="BM140">
        <v>1</v>
      </c>
      <c r="BN140">
        <v>1</v>
      </c>
      <c r="BO140">
        <v>1</v>
      </c>
      <c r="BP140">
        <v>1</v>
      </c>
      <c r="BQ140">
        <v>1</v>
      </c>
      <c r="BR140">
        <v>1</v>
      </c>
      <c r="BS140">
        <v>1</v>
      </c>
    </row>
    <row r="141" spans="2:71" x14ac:dyDescent="0.3">
      <c r="B141" t="s">
        <v>36</v>
      </c>
      <c r="C141">
        <v>36</v>
      </c>
      <c r="D141">
        <v>138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1</v>
      </c>
      <c r="AB141">
        <v>1</v>
      </c>
      <c r="AC141">
        <v>1</v>
      </c>
      <c r="AD141">
        <v>1</v>
      </c>
      <c r="AE141">
        <v>1</v>
      </c>
      <c r="AF141">
        <v>1</v>
      </c>
      <c r="AG141">
        <v>1</v>
      </c>
      <c r="AH141">
        <v>1</v>
      </c>
      <c r="AI141">
        <v>1</v>
      </c>
      <c r="AJ141">
        <v>1</v>
      </c>
      <c r="AK141">
        <v>1</v>
      </c>
      <c r="AL141">
        <v>1</v>
      </c>
      <c r="AM141">
        <v>1</v>
      </c>
      <c r="AN141">
        <v>2</v>
      </c>
      <c r="AO141">
        <v>4</v>
      </c>
      <c r="AP141">
        <v>4</v>
      </c>
      <c r="AQ141">
        <v>5</v>
      </c>
      <c r="AR141">
        <v>6</v>
      </c>
      <c r="AS141">
        <v>6</v>
      </c>
      <c r="AT141">
        <v>6</v>
      </c>
      <c r="AU141">
        <v>6</v>
      </c>
      <c r="AV141">
        <v>6</v>
      </c>
      <c r="AW141">
        <v>6</v>
      </c>
      <c r="AX141">
        <v>6</v>
      </c>
      <c r="AY141">
        <v>6</v>
      </c>
      <c r="AZ141">
        <v>10</v>
      </c>
      <c r="BA141">
        <v>10</v>
      </c>
      <c r="BB141">
        <v>15</v>
      </c>
      <c r="BC141">
        <v>16</v>
      </c>
      <c r="BD141">
        <v>19</v>
      </c>
      <c r="BE141">
        <v>22</v>
      </c>
      <c r="BF141">
        <v>22</v>
      </c>
      <c r="BG141">
        <v>27</v>
      </c>
      <c r="BH141">
        <v>29</v>
      </c>
      <c r="BI141">
        <v>29</v>
      </c>
      <c r="BJ141">
        <v>29</v>
      </c>
      <c r="BK141">
        <v>33</v>
      </c>
      <c r="BL141">
        <v>35</v>
      </c>
      <c r="BM141">
        <v>41</v>
      </c>
      <c r="BN141">
        <v>42</v>
      </c>
      <c r="BO141">
        <v>43</v>
      </c>
      <c r="BP141">
        <v>45</v>
      </c>
      <c r="BQ141">
        <v>47</v>
      </c>
      <c r="BR141">
        <v>49</v>
      </c>
      <c r="BS141">
        <v>52</v>
      </c>
    </row>
    <row r="142" spans="2:71" x14ac:dyDescent="0.3">
      <c r="B142" t="s">
        <v>125</v>
      </c>
      <c r="C142">
        <v>31.24</v>
      </c>
      <c r="D142">
        <v>36.51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0</v>
      </c>
      <c r="BP142">
        <v>0</v>
      </c>
      <c r="BQ142">
        <v>0</v>
      </c>
      <c r="BR142">
        <v>1</v>
      </c>
      <c r="BS142">
        <v>1</v>
      </c>
    </row>
    <row r="143" spans="2:71" x14ac:dyDescent="0.3">
      <c r="B143" t="s">
        <v>413</v>
      </c>
      <c r="C143">
        <v>48.019599999999997</v>
      </c>
      <c r="D143">
        <v>66.923699999999997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3</v>
      </c>
      <c r="BL143">
        <v>0</v>
      </c>
      <c r="BM143">
        <v>0</v>
      </c>
      <c r="BN143">
        <v>0</v>
      </c>
      <c r="BO143">
        <v>0</v>
      </c>
      <c r="BP143">
        <v>0</v>
      </c>
      <c r="BQ143">
        <v>1</v>
      </c>
      <c r="BR143">
        <v>1</v>
      </c>
      <c r="BS143">
        <v>1</v>
      </c>
    </row>
    <row r="144" spans="2:71" x14ac:dyDescent="0.3">
      <c r="B144" t="s">
        <v>423</v>
      </c>
      <c r="C144">
        <v>-2.3599999999999999E-2</v>
      </c>
      <c r="D144">
        <v>37.906199999999998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0</v>
      </c>
      <c r="BP144">
        <v>0</v>
      </c>
      <c r="BQ144">
        <v>1</v>
      </c>
      <c r="BR144">
        <v>1</v>
      </c>
      <c r="BS144">
        <v>1</v>
      </c>
    </row>
    <row r="145" spans="2:71" x14ac:dyDescent="0.3">
      <c r="B145" t="s">
        <v>339</v>
      </c>
      <c r="C145">
        <v>36</v>
      </c>
      <c r="D145">
        <v>128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1</v>
      </c>
      <c r="AI145">
        <v>2</v>
      </c>
      <c r="AJ145">
        <v>2</v>
      </c>
      <c r="AK145">
        <v>6</v>
      </c>
      <c r="AL145">
        <v>8</v>
      </c>
      <c r="AM145">
        <v>10</v>
      </c>
      <c r="AN145">
        <v>12</v>
      </c>
      <c r="AO145">
        <v>13</v>
      </c>
      <c r="AP145">
        <v>13</v>
      </c>
      <c r="AQ145">
        <v>16</v>
      </c>
      <c r="AR145">
        <v>17</v>
      </c>
      <c r="AS145">
        <v>28</v>
      </c>
      <c r="AT145">
        <v>28</v>
      </c>
      <c r="AU145">
        <v>35</v>
      </c>
      <c r="AV145">
        <v>35</v>
      </c>
      <c r="AW145">
        <v>42</v>
      </c>
      <c r="AX145">
        <v>44</v>
      </c>
      <c r="AY145">
        <v>50</v>
      </c>
      <c r="AZ145">
        <v>53</v>
      </c>
      <c r="BA145">
        <v>54</v>
      </c>
      <c r="BB145">
        <v>60</v>
      </c>
      <c r="BC145">
        <v>66</v>
      </c>
      <c r="BD145">
        <v>66</v>
      </c>
      <c r="BE145">
        <v>72</v>
      </c>
      <c r="BF145">
        <v>75</v>
      </c>
      <c r="BG145">
        <v>75</v>
      </c>
      <c r="BH145">
        <v>81</v>
      </c>
      <c r="BI145">
        <v>84</v>
      </c>
      <c r="BJ145">
        <v>91</v>
      </c>
      <c r="BK145">
        <v>94</v>
      </c>
      <c r="BL145">
        <v>102</v>
      </c>
      <c r="BM145">
        <v>111</v>
      </c>
      <c r="BN145">
        <v>111</v>
      </c>
      <c r="BO145">
        <v>120</v>
      </c>
      <c r="BP145">
        <v>126</v>
      </c>
      <c r="BQ145">
        <v>131</v>
      </c>
      <c r="BR145">
        <v>139</v>
      </c>
      <c r="BS145">
        <v>144</v>
      </c>
    </row>
    <row r="146" spans="2:71" x14ac:dyDescent="0.3">
      <c r="B146" t="s">
        <v>74</v>
      </c>
      <c r="C146">
        <v>29.5</v>
      </c>
      <c r="D146">
        <v>47.75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</row>
    <row r="147" spans="2:71" x14ac:dyDescent="0.3">
      <c r="B147" t="s">
        <v>481</v>
      </c>
      <c r="C147">
        <v>41.2044</v>
      </c>
      <c r="D147">
        <v>74.766099999999994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</row>
    <row r="148" spans="2:71" x14ac:dyDescent="0.3">
      <c r="B148" t="s">
        <v>111</v>
      </c>
      <c r="C148">
        <v>56.879600000000003</v>
      </c>
      <c r="D148">
        <v>24.603200000000001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</row>
    <row r="149" spans="2:71" x14ac:dyDescent="0.3">
      <c r="B149" t="s">
        <v>67</v>
      </c>
      <c r="C149">
        <v>33.854700000000001</v>
      </c>
      <c r="D149">
        <v>35.862299999999998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1</v>
      </c>
      <c r="BB149">
        <v>3</v>
      </c>
      <c r="BC149">
        <v>3</v>
      </c>
      <c r="BD149">
        <v>3</v>
      </c>
      <c r="BE149">
        <v>3</v>
      </c>
      <c r="BF149">
        <v>3</v>
      </c>
      <c r="BG149">
        <v>3</v>
      </c>
      <c r="BH149">
        <v>3</v>
      </c>
      <c r="BI149">
        <v>3</v>
      </c>
      <c r="BJ149">
        <v>4</v>
      </c>
      <c r="BK149">
        <v>4</v>
      </c>
      <c r="BL149">
        <v>4</v>
      </c>
      <c r="BM149">
        <v>4</v>
      </c>
      <c r="BN149">
        <v>4</v>
      </c>
      <c r="BO149">
        <v>4</v>
      </c>
      <c r="BP149">
        <v>6</v>
      </c>
      <c r="BQ149">
        <v>6</v>
      </c>
      <c r="BR149">
        <v>8</v>
      </c>
      <c r="BS149">
        <v>8</v>
      </c>
    </row>
    <row r="150" spans="2:71" x14ac:dyDescent="0.3">
      <c r="B150" t="s">
        <v>470</v>
      </c>
      <c r="C150">
        <v>6.4280999999999997</v>
      </c>
      <c r="D150">
        <v>-9.4295000000000009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</row>
    <row r="151" spans="2:71" x14ac:dyDescent="0.3">
      <c r="B151" t="s">
        <v>136</v>
      </c>
      <c r="C151">
        <v>47.14</v>
      </c>
      <c r="D151">
        <v>9.5500000000000007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</row>
    <row r="152" spans="2:71" x14ac:dyDescent="0.3">
      <c r="B152" t="s">
        <v>93</v>
      </c>
      <c r="C152">
        <v>55.169400000000003</v>
      </c>
      <c r="D152">
        <v>23.8813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1</v>
      </c>
      <c r="BM152">
        <v>1</v>
      </c>
      <c r="BN152">
        <v>1</v>
      </c>
      <c r="BO152">
        <v>2</v>
      </c>
      <c r="BP152">
        <v>4</v>
      </c>
      <c r="BQ152">
        <v>4</v>
      </c>
      <c r="BR152">
        <v>5</v>
      </c>
      <c r="BS152">
        <v>7</v>
      </c>
    </row>
    <row r="153" spans="2:71" x14ac:dyDescent="0.3">
      <c r="B153" t="s">
        <v>99</v>
      </c>
      <c r="C153">
        <v>49.815300000000001</v>
      </c>
      <c r="D153">
        <v>6.1295999999999999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1</v>
      </c>
      <c r="BF153">
        <v>1</v>
      </c>
      <c r="BG153">
        <v>1</v>
      </c>
      <c r="BH153">
        <v>1</v>
      </c>
      <c r="BI153">
        <v>2</v>
      </c>
      <c r="BJ153">
        <v>4</v>
      </c>
      <c r="BK153">
        <v>4</v>
      </c>
      <c r="BL153">
        <v>8</v>
      </c>
      <c r="BM153">
        <v>8</v>
      </c>
      <c r="BN153">
        <v>8</v>
      </c>
      <c r="BO153">
        <v>8</v>
      </c>
      <c r="BP153">
        <v>8</v>
      </c>
      <c r="BQ153">
        <v>9</v>
      </c>
      <c r="BR153">
        <v>15</v>
      </c>
      <c r="BS153">
        <v>18</v>
      </c>
    </row>
    <row r="154" spans="2:71" x14ac:dyDescent="0.3">
      <c r="B154" t="s">
        <v>530</v>
      </c>
      <c r="C154">
        <v>-18.7669</v>
      </c>
      <c r="D154">
        <v>46.869100000000003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</row>
    <row r="155" spans="2:71" x14ac:dyDescent="0.3">
      <c r="B155" t="s">
        <v>43</v>
      </c>
      <c r="C155">
        <v>2.5</v>
      </c>
      <c r="D155">
        <v>112.5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2</v>
      </c>
      <c r="BI155">
        <v>2</v>
      </c>
      <c r="BJ155">
        <v>2</v>
      </c>
      <c r="BK155">
        <v>3</v>
      </c>
      <c r="BL155">
        <v>4</v>
      </c>
      <c r="BM155">
        <v>10</v>
      </c>
      <c r="BN155">
        <v>14</v>
      </c>
      <c r="BO155">
        <v>16</v>
      </c>
      <c r="BP155">
        <v>20</v>
      </c>
      <c r="BQ155">
        <v>23</v>
      </c>
      <c r="BR155">
        <v>26</v>
      </c>
      <c r="BS155">
        <v>27</v>
      </c>
    </row>
    <row r="156" spans="2:71" x14ac:dyDescent="0.3">
      <c r="B156" t="s">
        <v>200</v>
      </c>
      <c r="C156">
        <v>3.2027999999999999</v>
      </c>
      <c r="D156">
        <v>73.220699999999994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</row>
    <row r="157" spans="2:71" x14ac:dyDescent="0.3">
      <c r="B157" t="s">
        <v>177</v>
      </c>
      <c r="C157">
        <v>35.9375</v>
      </c>
      <c r="D157">
        <v>14.375400000000001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</row>
    <row r="158" spans="2:71" x14ac:dyDescent="0.3">
      <c r="B158" t="s">
        <v>445</v>
      </c>
      <c r="C158">
        <v>21.007899999999999</v>
      </c>
      <c r="D158">
        <v>10.940799999999999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</row>
    <row r="159" spans="2:71" x14ac:dyDescent="0.3">
      <c r="B159" t="s">
        <v>482</v>
      </c>
      <c r="C159">
        <v>-20.2</v>
      </c>
      <c r="D159">
        <v>57.5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1</v>
      </c>
      <c r="BM159">
        <v>2</v>
      </c>
      <c r="BN159">
        <v>2</v>
      </c>
      <c r="BO159">
        <v>2</v>
      </c>
      <c r="BP159">
        <v>2</v>
      </c>
      <c r="BQ159">
        <v>2</v>
      </c>
      <c r="BR159">
        <v>2</v>
      </c>
      <c r="BS159">
        <v>2</v>
      </c>
    </row>
    <row r="160" spans="2:71" x14ac:dyDescent="0.3">
      <c r="B160" t="s">
        <v>94</v>
      </c>
      <c r="C160">
        <v>23.634499999999999</v>
      </c>
      <c r="D160">
        <v>-102.5528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1</v>
      </c>
      <c r="BK160">
        <v>1</v>
      </c>
      <c r="BL160">
        <v>2</v>
      </c>
      <c r="BM160">
        <v>2</v>
      </c>
      <c r="BN160">
        <v>3</v>
      </c>
      <c r="BO160">
        <v>4</v>
      </c>
      <c r="BP160">
        <v>5</v>
      </c>
      <c r="BQ160">
        <v>6</v>
      </c>
      <c r="BR160">
        <v>8</v>
      </c>
      <c r="BS160">
        <v>12</v>
      </c>
    </row>
    <row r="161" spans="1:71" x14ac:dyDescent="0.3">
      <c r="B161" t="s">
        <v>345</v>
      </c>
      <c r="C161">
        <v>47.4116</v>
      </c>
      <c r="D161">
        <v>28.369900000000001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1</v>
      </c>
      <c r="BJ161">
        <v>1</v>
      </c>
      <c r="BK161">
        <v>1</v>
      </c>
      <c r="BL161">
        <v>1</v>
      </c>
      <c r="BM161">
        <v>1</v>
      </c>
      <c r="BN161">
        <v>1</v>
      </c>
      <c r="BO161">
        <v>1</v>
      </c>
      <c r="BP161">
        <v>1</v>
      </c>
      <c r="BQ161">
        <v>1</v>
      </c>
      <c r="BR161">
        <v>2</v>
      </c>
      <c r="BS161">
        <v>2</v>
      </c>
    </row>
    <row r="162" spans="1:71" x14ac:dyDescent="0.3">
      <c r="B162" t="s">
        <v>100</v>
      </c>
      <c r="C162">
        <v>43.7333</v>
      </c>
      <c r="D162">
        <v>7.4166999999999996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</row>
    <row r="163" spans="1:71" x14ac:dyDescent="0.3">
      <c r="B163" t="s">
        <v>282</v>
      </c>
      <c r="C163">
        <v>46.862499999999997</v>
      </c>
      <c r="D163">
        <v>103.8467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  <c r="BO163">
        <v>0</v>
      </c>
      <c r="BP163">
        <v>0</v>
      </c>
      <c r="BQ163">
        <v>0</v>
      </c>
      <c r="BR163">
        <v>0</v>
      </c>
      <c r="BS163">
        <v>0</v>
      </c>
    </row>
    <row r="164" spans="1:71" x14ac:dyDescent="0.3">
      <c r="B164" t="s">
        <v>484</v>
      </c>
      <c r="C164">
        <v>42.5</v>
      </c>
      <c r="D164">
        <v>19.3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0</v>
      </c>
      <c r="BM164">
        <v>0</v>
      </c>
      <c r="BN164">
        <v>1</v>
      </c>
      <c r="BO164">
        <v>1</v>
      </c>
      <c r="BP164">
        <v>1</v>
      </c>
      <c r="BQ164">
        <v>1</v>
      </c>
      <c r="BR164">
        <v>1</v>
      </c>
      <c r="BS164">
        <v>1</v>
      </c>
    </row>
    <row r="165" spans="1:71" x14ac:dyDescent="0.3">
      <c r="B165" t="s">
        <v>112</v>
      </c>
      <c r="C165">
        <v>31.791699999999999</v>
      </c>
      <c r="D165">
        <v>-7.0926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1</v>
      </c>
      <c r="BB165">
        <v>1</v>
      </c>
      <c r="BC165">
        <v>1</v>
      </c>
      <c r="BD165">
        <v>1</v>
      </c>
      <c r="BE165">
        <v>1</v>
      </c>
      <c r="BF165">
        <v>1</v>
      </c>
      <c r="BG165">
        <v>1</v>
      </c>
      <c r="BH165">
        <v>2</v>
      </c>
      <c r="BI165">
        <v>2</v>
      </c>
      <c r="BJ165">
        <v>2</v>
      </c>
      <c r="BK165">
        <v>3</v>
      </c>
      <c r="BL165">
        <v>3</v>
      </c>
      <c r="BM165">
        <v>4</v>
      </c>
      <c r="BN165">
        <v>4</v>
      </c>
      <c r="BO165">
        <v>5</v>
      </c>
      <c r="BP165">
        <v>6</v>
      </c>
      <c r="BQ165">
        <v>11</v>
      </c>
      <c r="BR165">
        <v>23</v>
      </c>
      <c r="BS165">
        <v>25</v>
      </c>
    </row>
    <row r="166" spans="1:71" x14ac:dyDescent="0.3">
      <c r="B166" t="s">
        <v>437</v>
      </c>
      <c r="C166">
        <v>-22.957599999999999</v>
      </c>
      <c r="D166">
        <v>18.490400000000001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0</v>
      </c>
      <c r="BP166">
        <v>0</v>
      </c>
      <c r="BQ166">
        <v>0</v>
      </c>
      <c r="BR166">
        <v>0</v>
      </c>
      <c r="BS166">
        <v>0</v>
      </c>
    </row>
    <row r="167" spans="1:71" x14ac:dyDescent="0.3">
      <c r="B167" t="s">
        <v>42</v>
      </c>
      <c r="C167">
        <v>28.166699999999999</v>
      </c>
      <c r="D167">
        <v>84.25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0</v>
      </c>
      <c r="BN167">
        <v>0</v>
      </c>
      <c r="BO167">
        <v>0</v>
      </c>
      <c r="BP167">
        <v>0</v>
      </c>
      <c r="BQ167">
        <v>0</v>
      </c>
      <c r="BR167">
        <v>0</v>
      </c>
      <c r="BS167">
        <v>0</v>
      </c>
    </row>
    <row r="168" spans="1:71" x14ac:dyDescent="0.3">
      <c r="A168" t="s">
        <v>422</v>
      </c>
      <c r="B168" t="s">
        <v>89</v>
      </c>
      <c r="C168">
        <v>12.518599999999999</v>
      </c>
      <c r="D168">
        <v>-70.035799999999995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  <c r="BO168">
        <v>0</v>
      </c>
      <c r="BP168">
        <v>0</v>
      </c>
      <c r="BQ168">
        <v>0</v>
      </c>
      <c r="BR168">
        <v>0</v>
      </c>
      <c r="BS168">
        <v>0</v>
      </c>
    </row>
    <row r="169" spans="1:71" x14ac:dyDescent="0.3">
      <c r="A169" t="s">
        <v>441</v>
      </c>
      <c r="B169" t="s">
        <v>89</v>
      </c>
      <c r="C169">
        <v>12.169600000000001</v>
      </c>
      <c r="D169">
        <v>-68.989999999999995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1</v>
      </c>
      <c r="BK169">
        <v>1</v>
      </c>
      <c r="BL169">
        <v>1</v>
      </c>
      <c r="BM169">
        <v>1</v>
      </c>
      <c r="BN169">
        <v>1</v>
      </c>
      <c r="BO169">
        <v>1</v>
      </c>
      <c r="BP169">
        <v>1</v>
      </c>
      <c r="BQ169">
        <v>1</v>
      </c>
      <c r="BR169">
        <v>1</v>
      </c>
      <c r="BS169">
        <v>1</v>
      </c>
    </row>
    <row r="170" spans="1:71" x14ac:dyDescent="0.3">
      <c r="A170" t="s">
        <v>534</v>
      </c>
      <c r="B170" t="s">
        <v>89</v>
      </c>
      <c r="C170">
        <v>18.0425</v>
      </c>
      <c r="D170">
        <v>-63.0548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0</v>
      </c>
      <c r="BQ170">
        <v>0</v>
      </c>
      <c r="BR170">
        <v>0</v>
      </c>
      <c r="BS170">
        <v>0</v>
      </c>
    </row>
    <row r="171" spans="1:71" x14ac:dyDescent="0.3">
      <c r="B171" t="s">
        <v>89</v>
      </c>
      <c r="C171">
        <v>52.132599999999996</v>
      </c>
      <c r="D171">
        <v>5.2912999999999997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1</v>
      </c>
      <c r="AX171">
        <v>1</v>
      </c>
      <c r="AY171">
        <v>3</v>
      </c>
      <c r="AZ171">
        <v>3</v>
      </c>
      <c r="BA171">
        <v>4</v>
      </c>
      <c r="BB171">
        <v>5</v>
      </c>
      <c r="BC171">
        <v>5</v>
      </c>
      <c r="BD171">
        <v>10</v>
      </c>
      <c r="BE171">
        <v>12</v>
      </c>
      <c r="BF171">
        <v>20</v>
      </c>
      <c r="BG171">
        <v>24</v>
      </c>
      <c r="BH171">
        <v>43</v>
      </c>
      <c r="BI171">
        <v>58</v>
      </c>
      <c r="BJ171">
        <v>76</v>
      </c>
      <c r="BK171">
        <v>106</v>
      </c>
      <c r="BL171">
        <v>136</v>
      </c>
      <c r="BM171">
        <v>179</v>
      </c>
      <c r="BN171">
        <v>213</v>
      </c>
      <c r="BO171">
        <v>276</v>
      </c>
      <c r="BP171">
        <v>356</v>
      </c>
      <c r="BQ171">
        <v>434</v>
      </c>
      <c r="BR171">
        <v>546</v>
      </c>
      <c r="BS171">
        <v>639</v>
      </c>
    </row>
    <row r="172" spans="1:71" x14ac:dyDescent="0.3">
      <c r="B172" t="s">
        <v>95</v>
      </c>
      <c r="C172">
        <v>-40.900599999999997</v>
      </c>
      <c r="D172">
        <v>174.886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  <c r="BO172">
        <v>0</v>
      </c>
      <c r="BP172">
        <v>0</v>
      </c>
      <c r="BQ172">
        <v>0</v>
      </c>
      <c r="BR172">
        <v>0</v>
      </c>
      <c r="BS172">
        <v>0</v>
      </c>
    </row>
    <row r="173" spans="1:71" x14ac:dyDescent="0.3">
      <c r="B173" t="s">
        <v>526</v>
      </c>
      <c r="C173">
        <v>12.865399999999999</v>
      </c>
      <c r="D173">
        <v>-85.2072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0</v>
      </c>
      <c r="BP173">
        <v>0</v>
      </c>
      <c r="BQ173">
        <v>0</v>
      </c>
      <c r="BR173">
        <v>1</v>
      </c>
      <c r="BS173">
        <v>1</v>
      </c>
    </row>
    <row r="174" spans="1:71" x14ac:dyDescent="0.3">
      <c r="B174" t="s">
        <v>535</v>
      </c>
      <c r="C174">
        <v>17.607800000000001</v>
      </c>
      <c r="D174">
        <v>8.0816999999999997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0</v>
      </c>
      <c r="BM174">
        <v>0</v>
      </c>
      <c r="BN174">
        <v>0</v>
      </c>
      <c r="BO174">
        <v>0</v>
      </c>
      <c r="BP174">
        <v>1</v>
      </c>
      <c r="BQ174">
        <v>1</v>
      </c>
      <c r="BR174">
        <v>1</v>
      </c>
      <c r="BS174">
        <v>1</v>
      </c>
    </row>
    <row r="175" spans="1:71" x14ac:dyDescent="0.3">
      <c r="B175" t="s">
        <v>96</v>
      </c>
      <c r="C175">
        <v>9.0820000000000007</v>
      </c>
      <c r="D175">
        <v>8.6753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0</v>
      </c>
      <c r="BM175">
        <v>0</v>
      </c>
      <c r="BN175">
        <v>1</v>
      </c>
      <c r="BO175">
        <v>1</v>
      </c>
      <c r="BP175">
        <v>1</v>
      </c>
      <c r="BQ175">
        <v>1</v>
      </c>
      <c r="BR175">
        <v>1</v>
      </c>
      <c r="BS175">
        <v>1</v>
      </c>
    </row>
    <row r="176" spans="1:71" x14ac:dyDescent="0.3">
      <c r="B176" t="s">
        <v>84</v>
      </c>
      <c r="C176">
        <v>41.608600000000003</v>
      </c>
      <c r="D176">
        <v>21.7453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0</v>
      </c>
      <c r="BL176">
        <v>0</v>
      </c>
      <c r="BM176">
        <v>1</v>
      </c>
      <c r="BN176">
        <v>2</v>
      </c>
      <c r="BO176">
        <v>2</v>
      </c>
      <c r="BP176">
        <v>3</v>
      </c>
      <c r="BQ176">
        <v>3</v>
      </c>
      <c r="BR176">
        <v>3</v>
      </c>
      <c r="BS176">
        <v>4</v>
      </c>
    </row>
    <row r="177" spans="2:71" x14ac:dyDescent="0.3">
      <c r="B177" t="s">
        <v>85</v>
      </c>
      <c r="C177">
        <v>60.472000000000001</v>
      </c>
      <c r="D177">
        <v>8.4688999999999997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3</v>
      </c>
      <c r="BF177">
        <v>3</v>
      </c>
      <c r="BG177">
        <v>3</v>
      </c>
      <c r="BH177">
        <v>3</v>
      </c>
      <c r="BI177">
        <v>6</v>
      </c>
      <c r="BJ177">
        <v>7</v>
      </c>
      <c r="BK177">
        <v>7</v>
      </c>
      <c r="BL177">
        <v>7</v>
      </c>
      <c r="BM177">
        <v>7</v>
      </c>
      <c r="BN177">
        <v>10</v>
      </c>
      <c r="BO177">
        <v>12</v>
      </c>
      <c r="BP177">
        <v>14</v>
      </c>
      <c r="BQ177">
        <v>14</v>
      </c>
      <c r="BR177">
        <v>19</v>
      </c>
      <c r="BS177">
        <v>23</v>
      </c>
    </row>
    <row r="178" spans="2:71" x14ac:dyDescent="0.3">
      <c r="B178" t="s">
        <v>71</v>
      </c>
      <c r="C178">
        <v>21</v>
      </c>
      <c r="D178">
        <v>57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0</v>
      </c>
      <c r="BP178">
        <v>0</v>
      </c>
      <c r="BQ178">
        <v>0</v>
      </c>
      <c r="BR178">
        <v>0</v>
      </c>
      <c r="BS178">
        <v>0</v>
      </c>
    </row>
    <row r="179" spans="2:71" x14ac:dyDescent="0.3">
      <c r="B179" t="s">
        <v>80</v>
      </c>
      <c r="C179">
        <v>30.375299999999999</v>
      </c>
      <c r="D179">
        <v>69.345100000000002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2</v>
      </c>
      <c r="BK179">
        <v>3</v>
      </c>
      <c r="BL179">
        <v>3</v>
      </c>
      <c r="BM179">
        <v>5</v>
      </c>
      <c r="BN179">
        <v>6</v>
      </c>
      <c r="BO179">
        <v>7</v>
      </c>
      <c r="BP179">
        <v>8</v>
      </c>
      <c r="BQ179">
        <v>9</v>
      </c>
      <c r="BR179">
        <v>11</v>
      </c>
      <c r="BS179">
        <v>12</v>
      </c>
    </row>
    <row r="180" spans="2:71" x14ac:dyDescent="0.3">
      <c r="B180" t="s">
        <v>283</v>
      </c>
      <c r="C180">
        <v>8.5380000000000003</v>
      </c>
      <c r="D180">
        <v>-80.7821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1</v>
      </c>
      <c r="BC180">
        <v>1</v>
      </c>
      <c r="BD180">
        <v>1</v>
      </c>
      <c r="BE180">
        <v>1</v>
      </c>
      <c r="BF180">
        <v>1</v>
      </c>
      <c r="BG180">
        <v>1</v>
      </c>
      <c r="BH180">
        <v>1</v>
      </c>
      <c r="BI180">
        <v>1</v>
      </c>
      <c r="BJ180">
        <v>1</v>
      </c>
      <c r="BK180">
        <v>1</v>
      </c>
      <c r="BL180">
        <v>1</v>
      </c>
      <c r="BM180">
        <v>3</v>
      </c>
      <c r="BN180">
        <v>6</v>
      </c>
      <c r="BO180">
        <v>6</v>
      </c>
      <c r="BP180">
        <v>8</v>
      </c>
      <c r="BQ180">
        <v>8</v>
      </c>
      <c r="BR180">
        <v>9</v>
      </c>
      <c r="BS180">
        <v>14</v>
      </c>
    </row>
    <row r="181" spans="2:71" x14ac:dyDescent="0.3">
      <c r="B181" t="s">
        <v>536</v>
      </c>
      <c r="C181">
        <v>-6.3150000000000004</v>
      </c>
      <c r="D181">
        <v>143.9555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0</v>
      </c>
      <c r="BP181">
        <v>0</v>
      </c>
      <c r="BQ181">
        <v>0</v>
      </c>
      <c r="BR181">
        <v>0</v>
      </c>
      <c r="BS181">
        <v>0</v>
      </c>
    </row>
    <row r="182" spans="2:71" x14ac:dyDescent="0.3">
      <c r="B182" t="s">
        <v>206</v>
      </c>
      <c r="C182">
        <v>-23.442499999999999</v>
      </c>
      <c r="D182">
        <v>-58.443800000000003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1</v>
      </c>
      <c r="BM182">
        <v>1</v>
      </c>
      <c r="BN182">
        <v>1</v>
      </c>
      <c r="BO182">
        <v>2</v>
      </c>
      <c r="BP182">
        <v>3</v>
      </c>
      <c r="BQ182">
        <v>3</v>
      </c>
      <c r="BR182">
        <v>3</v>
      </c>
      <c r="BS182">
        <v>3</v>
      </c>
    </row>
    <row r="183" spans="2:71" x14ac:dyDescent="0.3">
      <c r="B183" t="s">
        <v>160</v>
      </c>
      <c r="C183">
        <v>-9.19</v>
      </c>
      <c r="D183">
        <v>-75.015199999999993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3</v>
      </c>
      <c r="BL183">
        <v>5</v>
      </c>
      <c r="BM183">
        <v>5</v>
      </c>
      <c r="BN183">
        <v>5</v>
      </c>
      <c r="BO183">
        <v>7</v>
      </c>
      <c r="BP183">
        <v>9</v>
      </c>
      <c r="BQ183">
        <v>9</v>
      </c>
      <c r="BR183">
        <v>11</v>
      </c>
      <c r="BS183">
        <v>16</v>
      </c>
    </row>
    <row r="184" spans="2:71" x14ac:dyDescent="0.3">
      <c r="B184" t="s">
        <v>56</v>
      </c>
      <c r="C184">
        <v>13</v>
      </c>
      <c r="D184">
        <v>122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1</v>
      </c>
      <c r="Q184">
        <v>1</v>
      </c>
      <c r="R184">
        <v>1</v>
      </c>
      <c r="S184">
        <v>1</v>
      </c>
      <c r="T184">
        <v>1</v>
      </c>
      <c r="U184">
        <v>1</v>
      </c>
      <c r="V184">
        <v>1</v>
      </c>
      <c r="W184">
        <v>1</v>
      </c>
      <c r="X184">
        <v>1</v>
      </c>
      <c r="Y184">
        <v>1</v>
      </c>
      <c r="Z184">
        <v>1</v>
      </c>
      <c r="AA184">
        <v>1</v>
      </c>
      <c r="AB184">
        <v>1</v>
      </c>
      <c r="AC184">
        <v>1</v>
      </c>
      <c r="AD184">
        <v>1</v>
      </c>
      <c r="AE184">
        <v>1</v>
      </c>
      <c r="AF184">
        <v>1</v>
      </c>
      <c r="AG184">
        <v>1</v>
      </c>
      <c r="AH184">
        <v>1</v>
      </c>
      <c r="AI184">
        <v>1</v>
      </c>
      <c r="AJ184">
        <v>1</v>
      </c>
      <c r="AK184">
        <v>1</v>
      </c>
      <c r="AL184">
        <v>1</v>
      </c>
      <c r="AM184">
        <v>1</v>
      </c>
      <c r="AN184">
        <v>1</v>
      </c>
      <c r="AO184">
        <v>1</v>
      </c>
      <c r="AP184">
        <v>1</v>
      </c>
      <c r="AQ184">
        <v>1</v>
      </c>
      <c r="AR184">
        <v>1</v>
      </c>
      <c r="AS184">
        <v>1</v>
      </c>
      <c r="AT184">
        <v>1</v>
      </c>
      <c r="AU184">
        <v>1</v>
      </c>
      <c r="AV184">
        <v>1</v>
      </c>
      <c r="AW184">
        <v>1</v>
      </c>
      <c r="AX184">
        <v>1</v>
      </c>
      <c r="AY184">
        <v>1</v>
      </c>
      <c r="AZ184">
        <v>1</v>
      </c>
      <c r="BA184">
        <v>1</v>
      </c>
      <c r="BB184">
        <v>1</v>
      </c>
      <c r="BC184">
        <v>2</v>
      </c>
      <c r="BD184">
        <v>5</v>
      </c>
      <c r="BE184">
        <v>8</v>
      </c>
      <c r="BF184">
        <v>11</v>
      </c>
      <c r="BG184">
        <v>12</v>
      </c>
      <c r="BH184">
        <v>12</v>
      </c>
      <c r="BI184">
        <v>19</v>
      </c>
      <c r="BJ184">
        <v>17</v>
      </c>
      <c r="BK184">
        <v>18</v>
      </c>
      <c r="BL184">
        <v>19</v>
      </c>
      <c r="BM184">
        <v>25</v>
      </c>
      <c r="BN184">
        <v>33</v>
      </c>
      <c r="BO184">
        <v>35</v>
      </c>
      <c r="BP184">
        <v>38</v>
      </c>
      <c r="BQ184">
        <v>45</v>
      </c>
      <c r="BR184">
        <v>54</v>
      </c>
      <c r="BS184">
        <v>68</v>
      </c>
    </row>
    <row r="185" spans="2:71" x14ac:dyDescent="0.3">
      <c r="B185" t="s">
        <v>137</v>
      </c>
      <c r="C185">
        <v>51.919400000000003</v>
      </c>
      <c r="D185">
        <v>19.145099999999999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1</v>
      </c>
      <c r="BD185">
        <v>2</v>
      </c>
      <c r="BE185">
        <v>3</v>
      </c>
      <c r="BF185">
        <v>3</v>
      </c>
      <c r="BG185">
        <v>4</v>
      </c>
      <c r="BH185">
        <v>5</v>
      </c>
      <c r="BI185">
        <v>5</v>
      </c>
      <c r="BJ185">
        <v>5</v>
      </c>
      <c r="BK185">
        <v>5</v>
      </c>
      <c r="BL185">
        <v>5</v>
      </c>
      <c r="BM185">
        <v>7</v>
      </c>
      <c r="BN185">
        <v>8</v>
      </c>
      <c r="BO185">
        <v>10</v>
      </c>
      <c r="BP185">
        <v>14</v>
      </c>
      <c r="BQ185">
        <v>16</v>
      </c>
      <c r="BR185">
        <v>16</v>
      </c>
      <c r="BS185">
        <v>18</v>
      </c>
    </row>
    <row r="186" spans="2:71" x14ac:dyDescent="0.3">
      <c r="B186" t="s">
        <v>108</v>
      </c>
      <c r="C186">
        <v>39.399900000000002</v>
      </c>
      <c r="D186">
        <v>-8.2245000000000008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G186">
        <v>0</v>
      </c>
      <c r="BH186">
        <v>1</v>
      </c>
      <c r="BI186">
        <v>2</v>
      </c>
      <c r="BJ186">
        <v>3</v>
      </c>
      <c r="BK186">
        <v>6</v>
      </c>
      <c r="BL186">
        <v>12</v>
      </c>
      <c r="BM186">
        <v>14</v>
      </c>
      <c r="BN186">
        <v>23</v>
      </c>
      <c r="BO186">
        <v>33</v>
      </c>
      <c r="BP186">
        <v>43</v>
      </c>
      <c r="BQ186">
        <v>60</v>
      </c>
      <c r="BR186">
        <v>76</v>
      </c>
      <c r="BS186">
        <v>100</v>
      </c>
    </row>
    <row r="187" spans="2:71" x14ac:dyDescent="0.3">
      <c r="B187" t="s">
        <v>101</v>
      </c>
      <c r="C187">
        <v>25.354800000000001</v>
      </c>
      <c r="D187">
        <v>51.183900000000001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0</v>
      </c>
      <c r="BP187">
        <v>0</v>
      </c>
      <c r="BQ187">
        <v>0</v>
      </c>
      <c r="BR187">
        <v>0</v>
      </c>
      <c r="BS187">
        <v>1</v>
      </c>
    </row>
    <row r="188" spans="2:71" x14ac:dyDescent="0.3">
      <c r="B188" t="s">
        <v>86</v>
      </c>
      <c r="C188">
        <v>45.943199999999997</v>
      </c>
      <c r="D188">
        <v>24.966799999999999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0</v>
      </c>
      <c r="BL188">
        <v>0</v>
      </c>
      <c r="BM188">
        <v>3</v>
      </c>
      <c r="BN188">
        <v>7</v>
      </c>
      <c r="BO188">
        <v>11</v>
      </c>
      <c r="BP188">
        <v>17</v>
      </c>
      <c r="BQ188">
        <v>23</v>
      </c>
      <c r="BR188">
        <v>26</v>
      </c>
      <c r="BS188">
        <v>37</v>
      </c>
    </row>
    <row r="189" spans="2:71" x14ac:dyDescent="0.3">
      <c r="B189" t="s">
        <v>344</v>
      </c>
      <c r="C189">
        <v>60</v>
      </c>
      <c r="D189">
        <v>90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0</v>
      </c>
      <c r="BI189">
        <v>0</v>
      </c>
      <c r="BJ189">
        <v>1</v>
      </c>
      <c r="BK189">
        <v>1</v>
      </c>
      <c r="BL189">
        <v>1</v>
      </c>
      <c r="BM189">
        <v>1</v>
      </c>
      <c r="BN189">
        <v>1</v>
      </c>
      <c r="BO189">
        <v>1</v>
      </c>
      <c r="BP189">
        <v>3</v>
      </c>
      <c r="BQ189">
        <v>3</v>
      </c>
      <c r="BR189">
        <v>4</v>
      </c>
      <c r="BS189">
        <v>4</v>
      </c>
    </row>
    <row r="190" spans="2:71" x14ac:dyDescent="0.3">
      <c r="B190" t="s">
        <v>446</v>
      </c>
      <c r="C190">
        <v>-1.9402999999999999</v>
      </c>
      <c r="D190">
        <v>29.873899999999999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  <c r="BN190">
        <v>0</v>
      </c>
      <c r="BO190">
        <v>0</v>
      </c>
      <c r="BP190">
        <v>0</v>
      </c>
      <c r="BQ190">
        <v>0</v>
      </c>
      <c r="BR190">
        <v>0</v>
      </c>
      <c r="BS190">
        <v>0</v>
      </c>
    </row>
    <row r="191" spans="2:71" x14ac:dyDescent="0.3">
      <c r="B191" t="s">
        <v>447</v>
      </c>
      <c r="C191">
        <v>13.9094</v>
      </c>
      <c r="D191">
        <v>-60.978900000000003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0</v>
      </c>
      <c r="BJ191">
        <v>0</v>
      </c>
      <c r="BK191">
        <v>0</v>
      </c>
      <c r="BL191">
        <v>0</v>
      </c>
      <c r="BM191">
        <v>0</v>
      </c>
      <c r="BN191">
        <v>0</v>
      </c>
      <c r="BO191">
        <v>0</v>
      </c>
      <c r="BP191">
        <v>0</v>
      </c>
      <c r="BQ191">
        <v>0</v>
      </c>
      <c r="BR191">
        <v>0</v>
      </c>
      <c r="BS191">
        <v>0</v>
      </c>
    </row>
    <row r="192" spans="2:71" x14ac:dyDescent="0.3">
      <c r="B192" t="s">
        <v>448</v>
      </c>
      <c r="C192">
        <v>12.984299999999999</v>
      </c>
      <c r="D192">
        <v>-61.287199999999999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G192">
        <v>0</v>
      </c>
      <c r="BH192">
        <v>0</v>
      </c>
      <c r="BI192">
        <v>0</v>
      </c>
      <c r="BJ192">
        <v>0</v>
      </c>
      <c r="BK192">
        <v>0</v>
      </c>
      <c r="BL192">
        <v>0</v>
      </c>
      <c r="BM192">
        <v>0</v>
      </c>
      <c r="BN192">
        <v>0</v>
      </c>
      <c r="BO192">
        <v>0</v>
      </c>
      <c r="BP192">
        <v>0</v>
      </c>
      <c r="BQ192">
        <v>0</v>
      </c>
      <c r="BR192">
        <v>0</v>
      </c>
      <c r="BS192">
        <v>0</v>
      </c>
    </row>
    <row r="193" spans="2:71" x14ac:dyDescent="0.3">
      <c r="B193" t="s">
        <v>90</v>
      </c>
      <c r="C193">
        <v>43.942399999999999</v>
      </c>
      <c r="D193">
        <v>12.457800000000001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1</v>
      </c>
      <c r="AU193">
        <v>1</v>
      </c>
      <c r="AV193">
        <v>1</v>
      </c>
      <c r="AW193">
        <v>1</v>
      </c>
      <c r="AX193">
        <v>1</v>
      </c>
      <c r="AY193">
        <v>1</v>
      </c>
      <c r="AZ193">
        <v>1</v>
      </c>
      <c r="BA193">
        <v>2</v>
      </c>
      <c r="BB193">
        <v>2</v>
      </c>
      <c r="BC193">
        <v>3</v>
      </c>
      <c r="BD193">
        <v>5</v>
      </c>
      <c r="BE193">
        <v>5</v>
      </c>
      <c r="BF193">
        <v>5</v>
      </c>
      <c r="BG193">
        <v>7</v>
      </c>
      <c r="BH193">
        <v>7</v>
      </c>
      <c r="BI193">
        <v>11</v>
      </c>
      <c r="BJ193">
        <v>11</v>
      </c>
      <c r="BK193">
        <v>14</v>
      </c>
      <c r="BL193">
        <v>20</v>
      </c>
      <c r="BM193">
        <v>20</v>
      </c>
      <c r="BN193">
        <v>20</v>
      </c>
      <c r="BO193">
        <v>21</v>
      </c>
      <c r="BP193">
        <v>21</v>
      </c>
      <c r="BQ193">
        <v>21</v>
      </c>
      <c r="BR193">
        <v>21</v>
      </c>
      <c r="BS193">
        <v>22</v>
      </c>
    </row>
    <row r="194" spans="2:71" x14ac:dyDescent="0.3">
      <c r="B194" t="s">
        <v>113</v>
      </c>
      <c r="C194">
        <v>24</v>
      </c>
      <c r="D194">
        <v>45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0</v>
      </c>
      <c r="BK194">
        <v>0</v>
      </c>
      <c r="BL194">
        <v>0</v>
      </c>
      <c r="BM194">
        <v>0</v>
      </c>
      <c r="BN194">
        <v>0</v>
      </c>
      <c r="BO194">
        <v>1</v>
      </c>
      <c r="BP194">
        <v>2</v>
      </c>
      <c r="BQ194">
        <v>3</v>
      </c>
      <c r="BR194">
        <v>3</v>
      </c>
      <c r="BS194">
        <v>4</v>
      </c>
    </row>
    <row r="195" spans="2:71" x14ac:dyDescent="0.3">
      <c r="B195" t="s">
        <v>114</v>
      </c>
      <c r="C195">
        <v>14.497400000000001</v>
      </c>
      <c r="D195">
        <v>-14.452400000000001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>
        <v>0</v>
      </c>
      <c r="BO195">
        <v>0</v>
      </c>
      <c r="BP195">
        <v>0</v>
      </c>
      <c r="BQ195">
        <v>0</v>
      </c>
      <c r="BR195">
        <v>0</v>
      </c>
      <c r="BS195">
        <v>0</v>
      </c>
    </row>
    <row r="196" spans="2:71" x14ac:dyDescent="0.3">
      <c r="B196" t="s">
        <v>161</v>
      </c>
      <c r="C196">
        <v>44.016500000000001</v>
      </c>
      <c r="D196">
        <v>21.0059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0</v>
      </c>
      <c r="BJ196">
        <v>0</v>
      </c>
      <c r="BK196">
        <v>1</v>
      </c>
      <c r="BL196">
        <v>1</v>
      </c>
      <c r="BM196">
        <v>2</v>
      </c>
      <c r="BN196">
        <v>3</v>
      </c>
      <c r="BO196">
        <v>3</v>
      </c>
      <c r="BP196">
        <v>4</v>
      </c>
      <c r="BQ196">
        <v>1</v>
      </c>
      <c r="BR196">
        <v>1</v>
      </c>
      <c r="BS196">
        <v>10</v>
      </c>
    </row>
    <row r="197" spans="2:71" x14ac:dyDescent="0.3">
      <c r="B197" t="s">
        <v>438</v>
      </c>
      <c r="C197">
        <v>-4.6795999999999998</v>
      </c>
      <c r="D197">
        <v>55.491999999999997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0</v>
      </c>
      <c r="BM197">
        <v>0</v>
      </c>
      <c r="BN197">
        <v>0</v>
      </c>
      <c r="BO197">
        <v>0</v>
      </c>
      <c r="BP197">
        <v>0</v>
      </c>
      <c r="BQ197">
        <v>0</v>
      </c>
      <c r="BR197">
        <v>0</v>
      </c>
      <c r="BS197">
        <v>0</v>
      </c>
    </row>
    <row r="198" spans="2:71" x14ac:dyDescent="0.3">
      <c r="B198" t="s">
        <v>40</v>
      </c>
      <c r="C198">
        <v>1.2833000000000001</v>
      </c>
      <c r="D198">
        <v>103.83329999999999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2</v>
      </c>
      <c r="BM198">
        <v>2</v>
      </c>
      <c r="BN198">
        <v>2</v>
      </c>
      <c r="BO198">
        <v>2</v>
      </c>
      <c r="BP198">
        <v>2</v>
      </c>
      <c r="BQ198">
        <v>2</v>
      </c>
      <c r="BR198">
        <v>2</v>
      </c>
      <c r="BS198">
        <v>2</v>
      </c>
    </row>
    <row r="199" spans="2:71" x14ac:dyDescent="0.3">
      <c r="B199" t="s">
        <v>162</v>
      </c>
      <c r="C199">
        <v>48.668999999999997</v>
      </c>
      <c r="D199">
        <v>19.699000000000002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1</v>
      </c>
      <c r="BJ199">
        <v>1</v>
      </c>
      <c r="BK199">
        <v>1</v>
      </c>
      <c r="BL199">
        <v>1</v>
      </c>
      <c r="BM199">
        <v>0</v>
      </c>
      <c r="BN199">
        <v>0</v>
      </c>
      <c r="BO199">
        <v>0</v>
      </c>
      <c r="BP199">
        <v>0</v>
      </c>
      <c r="BQ199">
        <v>0</v>
      </c>
      <c r="BR199">
        <v>0</v>
      </c>
      <c r="BS199">
        <v>0</v>
      </c>
    </row>
    <row r="200" spans="2:71" x14ac:dyDescent="0.3">
      <c r="B200" t="s">
        <v>141</v>
      </c>
      <c r="C200">
        <v>46.151200000000003</v>
      </c>
      <c r="D200">
        <v>14.9955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1</v>
      </c>
      <c r="BF200">
        <v>1</v>
      </c>
      <c r="BG200">
        <v>1</v>
      </c>
      <c r="BH200">
        <v>1</v>
      </c>
      <c r="BI200">
        <v>1</v>
      </c>
      <c r="BJ200">
        <v>1</v>
      </c>
      <c r="BK200">
        <v>1</v>
      </c>
      <c r="BL200">
        <v>1</v>
      </c>
      <c r="BM200">
        <v>2</v>
      </c>
      <c r="BN200">
        <v>3</v>
      </c>
      <c r="BO200">
        <v>4</v>
      </c>
      <c r="BP200">
        <v>5</v>
      </c>
      <c r="BQ200">
        <v>6</v>
      </c>
      <c r="BR200">
        <v>9</v>
      </c>
      <c r="BS200">
        <v>9</v>
      </c>
    </row>
    <row r="201" spans="2:71" x14ac:dyDescent="0.3">
      <c r="B201" t="s">
        <v>471</v>
      </c>
      <c r="C201">
        <v>5.1520999999999999</v>
      </c>
      <c r="D201">
        <v>46.199599999999997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  <c r="BO201">
        <v>0</v>
      </c>
      <c r="BP201">
        <v>0</v>
      </c>
      <c r="BQ201">
        <v>0</v>
      </c>
      <c r="BR201">
        <v>0</v>
      </c>
      <c r="BS201">
        <v>0</v>
      </c>
    </row>
    <row r="202" spans="2:71" x14ac:dyDescent="0.3">
      <c r="B202" t="s">
        <v>145</v>
      </c>
      <c r="C202">
        <v>-30.5595</v>
      </c>
      <c r="D202">
        <v>22.9375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  <c r="BO202">
        <v>0</v>
      </c>
      <c r="BP202">
        <v>0</v>
      </c>
      <c r="BQ202">
        <v>0</v>
      </c>
      <c r="BR202">
        <v>1</v>
      </c>
      <c r="BS202">
        <v>1</v>
      </c>
    </row>
    <row r="203" spans="2:71" x14ac:dyDescent="0.3">
      <c r="B203" t="s">
        <v>60</v>
      </c>
      <c r="C203">
        <v>40</v>
      </c>
      <c r="D203">
        <v>-4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1</v>
      </c>
      <c r="AU203">
        <v>2</v>
      </c>
      <c r="AV203">
        <v>3</v>
      </c>
      <c r="AW203">
        <v>5</v>
      </c>
      <c r="AX203">
        <v>10</v>
      </c>
      <c r="AY203">
        <v>17</v>
      </c>
      <c r="AZ203">
        <v>28</v>
      </c>
      <c r="BA203">
        <v>35</v>
      </c>
      <c r="BB203">
        <v>54</v>
      </c>
      <c r="BC203">
        <v>55</v>
      </c>
      <c r="BD203">
        <v>133</v>
      </c>
      <c r="BE203">
        <v>195</v>
      </c>
      <c r="BF203">
        <v>289</v>
      </c>
      <c r="BG203">
        <v>342</v>
      </c>
      <c r="BH203">
        <v>533</v>
      </c>
      <c r="BI203">
        <v>623</v>
      </c>
      <c r="BJ203">
        <v>830</v>
      </c>
      <c r="BK203">
        <v>1043</v>
      </c>
      <c r="BL203">
        <v>1375</v>
      </c>
      <c r="BM203">
        <v>1772</v>
      </c>
      <c r="BN203">
        <v>2311</v>
      </c>
      <c r="BO203">
        <v>2808</v>
      </c>
      <c r="BP203">
        <v>3647</v>
      </c>
      <c r="BQ203">
        <v>4365</v>
      </c>
      <c r="BR203">
        <v>5138</v>
      </c>
      <c r="BS203">
        <v>5982</v>
      </c>
    </row>
    <row r="204" spans="2:71" x14ac:dyDescent="0.3">
      <c r="B204" t="s">
        <v>52</v>
      </c>
      <c r="C204">
        <v>7</v>
      </c>
      <c r="D204">
        <v>81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0</v>
      </c>
      <c r="BM204">
        <v>0</v>
      </c>
      <c r="BN204">
        <v>0</v>
      </c>
      <c r="BO204">
        <v>0</v>
      </c>
      <c r="BP204">
        <v>0</v>
      </c>
      <c r="BQ204">
        <v>0</v>
      </c>
      <c r="BR204">
        <v>0</v>
      </c>
      <c r="BS204">
        <v>1</v>
      </c>
    </row>
    <row r="205" spans="2:71" x14ac:dyDescent="0.3">
      <c r="B205" t="s">
        <v>420</v>
      </c>
      <c r="C205">
        <v>12.8628</v>
      </c>
      <c r="D205">
        <v>30.217600000000001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1</v>
      </c>
      <c r="BE205">
        <v>1</v>
      </c>
      <c r="BF205">
        <v>1</v>
      </c>
      <c r="BG205">
        <v>1</v>
      </c>
      <c r="BH205">
        <v>1</v>
      </c>
      <c r="BI205">
        <v>1</v>
      </c>
      <c r="BJ205">
        <v>1</v>
      </c>
      <c r="BK205">
        <v>1</v>
      </c>
      <c r="BL205">
        <v>1</v>
      </c>
      <c r="BM205">
        <v>1</v>
      </c>
      <c r="BN205">
        <v>1</v>
      </c>
      <c r="BO205">
        <v>1</v>
      </c>
      <c r="BP205">
        <v>1</v>
      </c>
      <c r="BQ205">
        <v>1</v>
      </c>
      <c r="BR205">
        <v>1</v>
      </c>
      <c r="BS205">
        <v>1</v>
      </c>
    </row>
    <row r="206" spans="2:71" x14ac:dyDescent="0.3">
      <c r="B206" t="s">
        <v>449</v>
      </c>
      <c r="C206">
        <v>3.9192999999999998</v>
      </c>
      <c r="D206">
        <v>-56.027799999999999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0</v>
      </c>
      <c r="BI206">
        <v>0</v>
      </c>
      <c r="BJ206">
        <v>0</v>
      </c>
      <c r="BK206">
        <v>0</v>
      </c>
      <c r="BL206">
        <v>0</v>
      </c>
      <c r="BM206">
        <v>0</v>
      </c>
      <c r="BN206">
        <v>0</v>
      </c>
      <c r="BO206">
        <v>0</v>
      </c>
      <c r="BP206">
        <v>0</v>
      </c>
      <c r="BQ206">
        <v>0</v>
      </c>
      <c r="BR206">
        <v>0</v>
      </c>
      <c r="BS206">
        <v>0</v>
      </c>
    </row>
    <row r="207" spans="2:71" x14ac:dyDescent="0.3">
      <c r="B207" t="s">
        <v>59</v>
      </c>
      <c r="C207">
        <v>63</v>
      </c>
      <c r="D207">
        <v>16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1</v>
      </c>
      <c r="BC207">
        <v>1</v>
      </c>
      <c r="BD207">
        <v>1</v>
      </c>
      <c r="BE207">
        <v>2</v>
      </c>
      <c r="BF207">
        <v>3</v>
      </c>
      <c r="BG207">
        <v>6</v>
      </c>
      <c r="BH207">
        <v>7</v>
      </c>
      <c r="BI207">
        <v>10</v>
      </c>
      <c r="BJ207">
        <v>11</v>
      </c>
      <c r="BK207">
        <v>16</v>
      </c>
      <c r="BL207">
        <v>20</v>
      </c>
      <c r="BM207">
        <v>21</v>
      </c>
      <c r="BN207">
        <v>25</v>
      </c>
      <c r="BO207">
        <v>36</v>
      </c>
      <c r="BP207">
        <v>62</v>
      </c>
      <c r="BQ207">
        <v>77</v>
      </c>
      <c r="BR207">
        <v>105</v>
      </c>
      <c r="BS207">
        <v>105</v>
      </c>
    </row>
    <row r="208" spans="2:71" x14ac:dyDescent="0.3">
      <c r="B208" t="s">
        <v>77</v>
      </c>
      <c r="C208">
        <v>46.818199999999997</v>
      </c>
      <c r="D208">
        <v>8.2274999999999991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1</v>
      </c>
      <c r="AW208">
        <v>1</v>
      </c>
      <c r="AX208">
        <v>1</v>
      </c>
      <c r="AY208">
        <v>2</v>
      </c>
      <c r="AZ208">
        <v>2</v>
      </c>
      <c r="BA208">
        <v>3</v>
      </c>
      <c r="BB208">
        <v>4</v>
      </c>
      <c r="BC208">
        <v>4</v>
      </c>
      <c r="BD208">
        <v>11</v>
      </c>
      <c r="BE208">
        <v>13</v>
      </c>
      <c r="BF208">
        <v>14</v>
      </c>
      <c r="BG208">
        <v>14</v>
      </c>
      <c r="BH208">
        <v>27</v>
      </c>
      <c r="BI208">
        <v>28</v>
      </c>
      <c r="BJ208">
        <v>41</v>
      </c>
      <c r="BK208">
        <v>54</v>
      </c>
      <c r="BL208">
        <v>75</v>
      </c>
      <c r="BM208">
        <v>98</v>
      </c>
      <c r="BN208">
        <v>120</v>
      </c>
      <c r="BO208">
        <v>122</v>
      </c>
      <c r="BP208">
        <v>153</v>
      </c>
      <c r="BQ208">
        <v>191</v>
      </c>
      <c r="BR208">
        <v>231</v>
      </c>
      <c r="BS208">
        <v>264</v>
      </c>
    </row>
    <row r="209" spans="1:71" x14ac:dyDescent="0.3">
      <c r="B209" t="s">
        <v>342</v>
      </c>
      <c r="C209">
        <v>23.7</v>
      </c>
      <c r="D209">
        <v>121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1</v>
      </c>
      <c r="AE209">
        <v>1</v>
      </c>
      <c r="AF209">
        <v>1</v>
      </c>
      <c r="AG209">
        <v>1</v>
      </c>
      <c r="AH209">
        <v>1</v>
      </c>
      <c r="AI209">
        <v>1</v>
      </c>
      <c r="AJ209">
        <v>1</v>
      </c>
      <c r="AK209">
        <v>1</v>
      </c>
      <c r="AL209">
        <v>1</v>
      </c>
      <c r="AM209">
        <v>1</v>
      </c>
      <c r="AN209">
        <v>1</v>
      </c>
      <c r="AO209">
        <v>1</v>
      </c>
      <c r="AP209">
        <v>1</v>
      </c>
      <c r="AQ209">
        <v>1</v>
      </c>
      <c r="AR209">
        <v>1</v>
      </c>
      <c r="AS209">
        <v>1</v>
      </c>
      <c r="AT209">
        <v>1</v>
      </c>
      <c r="AU209">
        <v>1</v>
      </c>
      <c r="AV209">
        <v>1</v>
      </c>
      <c r="AW209">
        <v>1</v>
      </c>
      <c r="AX209">
        <v>1</v>
      </c>
      <c r="AY209">
        <v>1</v>
      </c>
      <c r="AZ209">
        <v>1</v>
      </c>
      <c r="BA209">
        <v>1</v>
      </c>
      <c r="BB209">
        <v>1</v>
      </c>
      <c r="BC209">
        <v>1</v>
      </c>
      <c r="BD209">
        <v>1</v>
      </c>
      <c r="BE209">
        <v>1</v>
      </c>
      <c r="BF209">
        <v>1</v>
      </c>
      <c r="BG209">
        <v>1</v>
      </c>
      <c r="BH209">
        <v>1</v>
      </c>
      <c r="BI209">
        <v>1</v>
      </c>
      <c r="BJ209">
        <v>1</v>
      </c>
      <c r="BK209">
        <v>2</v>
      </c>
      <c r="BL209">
        <v>2</v>
      </c>
      <c r="BM209">
        <v>2</v>
      </c>
      <c r="BN209">
        <v>2</v>
      </c>
      <c r="BO209">
        <v>2</v>
      </c>
      <c r="BP209">
        <v>2</v>
      </c>
      <c r="BQ209">
        <v>2</v>
      </c>
      <c r="BR209">
        <v>2</v>
      </c>
      <c r="BS209">
        <v>2</v>
      </c>
    </row>
    <row r="210" spans="1:71" x14ac:dyDescent="0.3">
      <c r="B210" t="s">
        <v>472</v>
      </c>
      <c r="C210">
        <v>-6.3689999999999998</v>
      </c>
      <c r="D210">
        <v>34.888800000000003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  <c r="BI210">
        <v>0</v>
      </c>
      <c r="BJ210">
        <v>0</v>
      </c>
      <c r="BK210">
        <v>0</v>
      </c>
      <c r="BL210">
        <v>0</v>
      </c>
      <c r="BM210">
        <v>0</v>
      </c>
      <c r="BN210">
        <v>0</v>
      </c>
      <c r="BO210">
        <v>0</v>
      </c>
      <c r="BP210">
        <v>0</v>
      </c>
      <c r="BQ210">
        <v>0</v>
      </c>
      <c r="BR210">
        <v>0</v>
      </c>
      <c r="BS210">
        <v>0</v>
      </c>
    </row>
    <row r="211" spans="1:71" x14ac:dyDescent="0.3">
      <c r="B211" t="s">
        <v>35</v>
      </c>
      <c r="C211">
        <v>15</v>
      </c>
      <c r="D211">
        <v>101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1</v>
      </c>
      <c r="AS211">
        <v>1</v>
      </c>
      <c r="AT211">
        <v>1</v>
      </c>
      <c r="AU211">
        <v>1</v>
      </c>
      <c r="AV211">
        <v>1</v>
      </c>
      <c r="AW211">
        <v>1</v>
      </c>
      <c r="AX211">
        <v>1</v>
      </c>
      <c r="AY211">
        <v>1</v>
      </c>
      <c r="AZ211">
        <v>1</v>
      </c>
      <c r="BA211">
        <v>1</v>
      </c>
      <c r="BB211">
        <v>1</v>
      </c>
      <c r="BC211">
        <v>1</v>
      </c>
      <c r="BD211">
        <v>1</v>
      </c>
      <c r="BE211">
        <v>1</v>
      </c>
      <c r="BF211">
        <v>1</v>
      </c>
      <c r="BG211">
        <v>1</v>
      </c>
      <c r="BH211">
        <v>1</v>
      </c>
      <c r="BI211">
        <v>1</v>
      </c>
      <c r="BJ211">
        <v>1</v>
      </c>
      <c r="BK211">
        <v>1</v>
      </c>
      <c r="BL211">
        <v>1</v>
      </c>
      <c r="BM211">
        <v>1</v>
      </c>
      <c r="BN211">
        <v>1</v>
      </c>
      <c r="BO211">
        <v>4</v>
      </c>
      <c r="BP211">
        <v>4</v>
      </c>
      <c r="BQ211">
        <v>4</v>
      </c>
      <c r="BR211">
        <v>5</v>
      </c>
      <c r="BS211">
        <v>6</v>
      </c>
    </row>
    <row r="212" spans="1:71" x14ac:dyDescent="0.3">
      <c r="B212" t="s">
        <v>163</v>
      </c>
      <c r="C212">
        <v>8.6195000000000004</v>
      </c>
      <c r="D212">
        <v>0.82479999999999998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  <c r="BN212">
        <v>0</v>
      </c>
      <c r="BO212">
        <v>0</v>
      </c>
      <c r="BP212">
        <v>0</v>
      </c>
      <c r="BQ212">
        <v>0</v>
      </c>
      <c r="BR212">
        <v>1</v>
      </c>
      <c r="BS212">
        <v>1</v>
      </c>
    </row>
    <row r="213" spans="1:71" x14ac:dyDescent="0.3">
      <c r="B213" t="s">
        <v>439</v>
      </c>
      <c r="C213">
        <v>10.691800000000001</v>
      </c>
      <c r="D213">
        <v>-61.222499999999997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  <c r="BN213">
        <v>0</v>
      </c>
      <c r="BO213">
        <v>0</v>
      </c>
      <c r="BP213">
        <v>1</v>
      </c>
      <c r="BQ213">
        <v>1</v>
      </c>
      <c r="BR213">
        <v>2</v>
      </c>
      <c r="BS213">
        <v>3</v>
      </c>
    </row>
    <row r="214" spans="1:71" x14ac:dyDescent="0.3">
      <c r="B214" t="s">
        <v>138</v>
      </c>
      <c r="C214">
        <v>34</v>
      </c>
      <c r="D214">
        <v>9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1</v>
      </c>
      <c r="BK214">
        <v>1</v>
      </c>
      <c r="BL214">
        <v>1</v>
      </c>
      <c r="BM214">
        <v>3</v>
      </c>
      <c r="BN214">
        <v>3</v>
      </c>
      <c r="BO214">
        <v>4</v>
      </c>
      <c r="BP214">
        <v>5</v>
      </c>
      <c r="BQ214">
        <v>6</v>
      </c>
      <c r="BR214">
        <v>6</v>
      </c>
      <c r="BS214">
        <v>8</v>
      </c>
    </row>
    <row r="215" spans="1:71" x14ac:dyDescent="0.3">
      <c r="B215" t="s">
        <v>355</v>
      </c>
      <c r="C215">
        <v>38.963700000000003</v>
      </c>
      <c r="D215">
        <v>35.243299999999998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1</v>
      </c>
      <c r="BI215">
        <v>1</v>
      </c>
      <c r="BJ215">
        <v>3</v>
      </c>
      <c r="BK215">
        <v>4</v>
      </c>
      <c r="BL215">
        <v>9</v>
      </c>
      <c r="BM215">
        <v>30</v>
      </c>
      <c r="BN215">
        <v>37</v>
      </c>
      <c r="BO215">
        <v>44</v>
      </c>
      <c r="BP215">
        <v>59</v>
      </c>
      <c r="BQ215">
        <v>75</v>
      </c>
      <c r="BR215">
        <v>92</v>
      </c>
      <c r="BS215">
        <v>108</v>
      </c>
    </row>
    <row r="216" spans="1:71" x14ac:dyDescent="0.3">
      <c r="B216" t="s">
        <v>557</v>
      </c>
      <c r="C216">
        <v>1</v>
      </c>
      <c r="D216">
        <v>32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  <c r="BN216">
        <v>0</v>
      </c>
      <c r="BO216">
        <v>0</v>
      </c>
      <c r="BP216">
        <v>0</v>
      </c>
      <c r="BQ216">
        <v>0</v>
      </c>
      <c r="BR216">
        <v>0</v>
      </c>
      <c r="BS216">
        <v>0</v>
      </c>
    </row>
    <row r="217" spans="1:71" x14ac:dyDescent="0.3">
      <c r="B217" t="s">
        <v>129</v>
      </c>
      <c r="C217">
        <v>48.379399999999997</v>
      </c>
      <c r="D217">
        <v>31.165600000000001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1</v>
      </c>
      <c r="BE217">
        <v>1</v>
      </c>
      <c r="BF217">
        <v>1</v>
      </c>
      <c r="BG217">
        <v>1</v>
      </c>
      <c r="BH217">
        <v>2</v>
      </c>
      <c r="BI217">
        <v>2</v>
      </c>
      <c r="BJ217">
        <v>2</v>
      </c>
      <c r="BK217">
        <v>3</v>
      </c>
      <c r="BL217">
        <v>3</v>
      </c>
      <c r="BM217">
        <v>3</v>
      </c>
      <c r="BN217">
        <v>3</v>
      </c>
      <c r="BO217">
        <v>3</v>
      </c>
      <c r="BP217">
        <v>5</v>
      </c>
      <c r="BQ217">
        <v>5</v>
      </c>
      <c r="BR217">
        <v>5</v>
      </c>
      <c r="BS217">
        <v>9</v>
      </c>
    </row>
    <row r="218" spans="1:71" x14ac:dyDescent="0.3">
      <c r="B218" t="s">
        <v>55</v>
      </c>
      <c r="C218">
        <v>24</v>
      </c>
      <c r="D218">
        <v>54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2</v>
      </c>
      <c r="BL218">
        <v>2</v>
      </c>
      <c r="BM218">
        <v>2</v>
      </c>
      <c r="BN218">
        <v>2</v>
      </c>
      <c r="BO218">
        <v>2</v>
      </c>
      <c r="BP218">
        <v>2</v>
      </c>
      <c r="BQ218">
        <v>2</v>
      </c>
      <c r="BR218">
        <v>2</v>
      </c>
      <c r="BS218">
        <v>2</v>
      </c>
    </row>
    <row r="219" spans="1:71" x14ac:dyDescent="0.3">
      <c r="A219" t="s">
        <v>522</v>
      </c>
      <c r="B219" t="s">
        <v>349</v>
      </c>
      <c r="C219">
        <v>32.3078</v>
      </c>
      <c r="D219">
        <v>-64.750500000000002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  <c r="BN219">
        <v>0</v>
      </c>
      <c r="BO219">
        <v>0</v>
      </c>
      <c r="BP219">
        <v>0</v>
      </c>
      <c r="BQ219">
        <v>0</v>
      </c>
      <c r="BR219">
        <v>0</v>
      </c>
      <c r="BS219">
        <v>0</v>
      </c>
    </row>
    <row r="220" spans="1:71" x14ac:dyDescent="0.3">
      <c r="A220" t="s">
        <v>415</v>
      </c>
      <c r="B220" t="s">
        <v>349</v>
      </c>
      <c r="C220">
        <v>19.313300000000002</v>
      </c>
      <c r="D220">
        <v>-81.254599999999996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1</v>
      </c>
      <c r="BH220">
        <v>1</v>
      </c>
      <c r="BI220">
        <v>1</v>
      </c>
      <c r="BJ220">
        <v>1</v>
      </c>
      <c r="BK220">
        <v>1</v>
      </c>
      <c r="BL220">
        <v>1</v>
      </c>
      <c r="BM220">
        <v>1</v>
      </c>
      <c r="BN220">
        <v>1</v>
      </c>
      <c r="BO220">
        <v>1</v>
      </c>
      <c r="BP220">
        <v>1</v>
      </c>
      <c r="BQ220">
        <v>1</v>
      </c>
      <c r="BR220">
        <v>1</v>
      </c>
      <c r="BS220">
        <v>1</v>
      </c>
    </row>
    <row r="221" spans="1:71" x14ac:dyDescent="0.3">
      <c r="A221" t="s">
        <v>280</v>
      </c>
      <c r="B221" t="s">
        <v>349</v>
      </c>
      <c r="C221">
        <v>49.372300000000003</v>
      </c>
      <c r="D221">
        <v>-2.3643999999999998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  <c r="BN221">
        <v>0</v>
      </c>
      <c r="BO221">
        <v>0</v>
      </c>
      <c r="BP221">
        <v>0</v>
      </c>
      <c r="BQ221">
        <v>1</v>
      </c>
      <c r="BR221">
        <v>1</v>
      </c>
      <c r="BS221">
        <v>1</v>
      </c>
    </row>
    <row r="222" spans="1:71" x14ac:dyDescent="0.3">
      <c r="A222" t="s">
        <v>135</v>
      </c>
      <c r="B222" t="s">
        <v>349</v>
      </c>
      <c r="C222">
        <v>36.140799999999999</v>
      </c>
      <c r="D222">
        <v>-5.3536000000000001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  <c r="BN222">
        <v>0</v>
      </c>
      <c r="BO222">
        <v>0</v>
      </c>
      <c r="BP222">
        <v>0</v>
      </c>
      <c r="BQ222">
        <v>0</v>
      </c>
      <c r="BR222">
        <v>0</v>
      </c>
      <c r="BS222">
        <v>0</v>
      </c>
    </row>
    <row r="223" spans="1:71" x14ac:dyDescent="0.3">
      <c r="A223" t="s">
        <v>537</v>
      </c>
      <c r="B223" t="s">
        <v>349</v>
      </c>
      <c r="C223">
        <v>54.2361</v>
      </c>
      <c r="D223">
        <v>-4.5480999999999998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  <c r="BN223">
        <v>0</v>
      </c>
      <c r="BO223">
        <v>0</v>
      </c>
      <c r="BP223">
        <v>0</v>
      </c>
      <c r="BQ223">
        <v>0</v>
      </c>
      <c r="BR223">
        <v>0</v>
      </c>
      <c r="BS223">
        <v>0</v>
      </c>
    </row>
    <row r="224" spans="1:71" x14ac:dyDescent="0.3">
      <c r="A224" t="s">
        <v>486</v>
      </c>
      <c r="B224" t="s">
        <v>349</v>
      </c>
      <c r="C224">
        <v>16.7425</v>
      </c>
      <c r="D224">
        <v>-62.187399999999997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  <c r="BN224">
        <v>0</v>
      </c>
      <c r="BO224">
        <v>0</v>
      </c>
      <c r="BP224">
        <v>0</v>
      </c>
      <c r="BQ224">
        <v>0</v>
      </c>
      <c r="BR224">
        <v>0</v>
      </c>
      <c r="BS224">
        <v>0</v>
      </c>
    </row>
    <row r="225" spans="1:71" x14ac:dyDescent="0.3">
      <c r="B225" t="s">
        <v>349</v>
      </c>
      <c r="C225">
        <v>55.378100000000003</v>
      </c>
      <c r="D225">
        <v>-3.4359999999999999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1</v>
      </c>
      <c r="AW225">
        <v>2</v>
      </c>
      <c r="AX225">
        <v>2</v>
      </c>
      <c r="AY225">
        <v>3</v>
      </c>
      <c r="AZ225">
        <v>4</v>
      </c>
      <c r="BA225">
        <v>6</v>
      </c>
      <c r="BB225">
        <v>8</v>
      </c>
      <c r="BC225">
        <v>8</v>
      </c>
      <c r="BD225">
        <v>8</v>
      </c>
      <c r="BE225">
        <v>21</v>
      </c>
      <c r="BF225">
        <v>21</v>
      </c>
      <c r="BG225">
        <v>55</v>
      </c>
      <c r="BH225">
        <v>55</v>
      </c>
      <c r="BI225">
        <v>71</v>
      </c>
      <c r="BJ225">
        <v>137</v>
      </c>
      <c r="BK225">
        <v>177</v>
      </c>
      <c r="BL225">
        <v>233</v>
      </c>
      <c r="BM225">
        <v>281</v>
      </c>
      <c r="BN225">
        <v>335</v>
      </c>
      <c r="BO225">
        <v>422</v>
      </c>
      <c r="BP225">
        <v>465</v>
      </c>
      <c r="BQ225">
        <v>578</v>
      </c>
      <c r="BR225">
        <v>759</v>
      </c>
      <c r="BS225">
        <v>1019</v>
      </c>
    </row>
    <row r="226" spans="1:71" x14ac:dyDescent="0.3">
      <c r="B226" t="s">
        <v>434</v>
      </c>
      <c r="C226">
        <v>-32.522799999999997</v>
      </c>
      <c r="D226">
        <v>-55.765799999999999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  <c r="BN226">
        <v>0</v>
      </c>
      <c r="BO226">
        <v>0</v>
      </c>
      <c r="BP226">
        <v>0</v>
      </c>
      <c r="BQ226">
        <v>0</v>
      </c>
      <c r="BR226">
        <v>0</v>
      </c>
      <c r="BS226">
        <v>0</v>
      </c>
    </row>
    <row r="227" spans="1:71" x14ac:dyDescent="0.3">
      <c r="B227" t="s">
        <v>38</v>
      </c>
      <c r="C227">
        <v>37.090200000000003</v>
      </c>
      <c r="D227">
        <v>-95.712900000000005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1</v>
      </c>
      <c r="AR227">
        <v>1</v>
      </c>
      <c r="AS227">
        <v>6</v>
      </c>
      <c r="AT227">
        <v>7</v>
      </c>
      <c r="AU227">
        <v>11</v>
      </c>
      <c r="AV227">
        <v>12</v>
      </c>
      <c r="AW227">
        <v>14</v>
      </c>
      <c r="AX227">
        <v>17</v>
      </c>
      <c r="AY227">
        <v>21</v>
      </c>
      <c r="AZ227">
        <v>22</v>
      </c>
      <c r="BA227">
        <v>28</v>
      </c>
      <c r="BB227">
        <v>36</v>
      </c>
      <c r="BC227">
        <v>40</v>
      </c>
      <c r="BD227">
        <v>47</v>
      </c>
      <c r="BE227">
        <v>54</v>
      </c>
      <c r="BF227">
        <v>63</v>
      </c>
      <c r="BG227">
        <v>85</v>
      </c>
      <c r="BH227">
        <v>108</v>
      </c>
      <c r="BI227">
        <v>118</v>
      </c>
      <c r="BJ227">
        <v>200</v>
      </c>
      <c r="BK227">
        <v>244</v>
      </c>
      <c r="BL227">
        <v>307</v>
      </c>
      <c r="BM227">
        <v>417</v>
      </c>
      <c r="BN227">
        <v>557</v>
      </c>
      <c r="BO227">
        <v>706</v>
      </c>
      <c r="BP227">
        <v>942</v>
      </c>
      <c r="BQ227">
        <v>1209</v>
      </c>
      <c r="BR227">
        <v>1581</v>
      </c>
      <c r="BS227">
        <v>2026</v>
      </c>
    </row>
    <row r="228" spans="1:71" x14ac:dyDescent="0.3">
      <c r="B228" t="s">
        <v>464</v>
      </c>
      <c r="C228">
        <v>41.377499999999998</v>
      </c>
      <c r="D228">
        <v>64.585300000000004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  <c r="BN228">
        <v>0</v>
      </c>
      <c r="BO228">
        <v>0</v>
      </c>
      <c r="BP228">
        <v>0</v>
      </c>
      <c r="BQ228">
        <v>0</v>
      </c>
      <c r="BR228">
        <v>1</v>
      </c>
      <c r="BS228">
        <v>2</v>
      </c>
    </row>
    <row r="229" spans="1:71" x14ac:dyDescent="0.3">
      <c r="B229" t="s">
        <v>440</v>
      </c>
      <c r="C229">
        <v>6.4238</v>
      </c>
      <c r="D229">
        <v>-66.589699999999993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  <c r="BN229">
        <v>0</v>
      </c>
      <c r="BO229">
        <v>0</v>
      </c>
      <c r="BP229">
        <v>0</v>
      </c>
      <c r="BQ229">
        <v>0</v>
      </c>
      <c r="BR229">
        <v>1</v>
      </c>
      <c r="BS229">
        <v>2</v>
      </c>
    </row>
    <row r="230" spans="1:71" x14ac:dyDescent="0.3">
      <c r="B230" t="s">
        <v>343</v>
      </c>
      <c r="C230">
        <v>16</v>
      </c>
      <c r="D230">
        <v>108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  <c r="BN230">
        <v>0</v>
      </c>
      <c r="BO230">
        <v>0</v>
      </c>
      <c r="BP230">
        <v>0</v>
      </c>
      <c r="BQ230">
        <v>0</v>
      </c>
      <c r="BR230">
        <v>0</v>
      </c>
      <c r="BS230">
        <v>0</v>
      </c>
    </row>
    <row r="231" spans="1:71" x14ac:dyDescent="0.3">
      <c r="B231" t="s">
        <v>480</v>
      </c>
      <c r="C231">
        <v>-15.416700000000001</v>
      </c>
      <c r="D231">
        <v>28.283300000000001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  <c r="BN231">
        <v>0</v>
      </c>
      <c r="BO231">
        <v>0</v>
      </c>
      <c r="BP231">
        <v>0</v>
      </c>
      <c r="BQ231">
        <v>0</v>
      </c>
      <c r="BR231">
        <v>0</v>
      </c>
      <c r="BS231">
        <v>0</v>
      </c>
    </row>
    <row r="232" spans="1:71" x14ac:dyDescent="0.3">
      <c r="B232" t="s">
        <v>538</v>
      </c>
      <c r="C232">
        <v>-20</v>
      </c>
      <c r="D232">
        <v>30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  <c r="BN232">
        <v>1</v>
      </c>
      <c r="BO232">
        <v>1</v>
      </c>
      <c r="BP232">
        <v>1</v>
      </c>
      <c r="BQ232">
        <v>1</v>
      </c>
      <c r="BR232">
        <v>1</v>
      </c>
      <c r="BS232">
        <v>1</v>
      </c>
    </row>
    <row r="233" spans="1:71" x14ac:dyDescent="0.3">
      <c r="A233" t="s">
        <v>248</v>
      </c>
      <c r="B233" t="s">
        <v>45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1</v>
      </c>
      <c r="BN233">
        <v>1</v>
      </c>
      <c r="BO233">
        <v>1</v>
      </c>
      <c r="BP233">
        <v>1</v>
      </c>
      <c r="BQ233">
        <v>1</v>
      </c>
      <c r="BR233">
        <v>1</v>
      </c>
      <c r="BS233">
        <v>1</v>
      </c>
    </row>
    <row r="234" spans="1:71" x14ac:dyDescent="0.3">
      <c r="B234" t="s">
        <v>560</v>
      </c>
      <c r="C234">
        <v>15.414999999999999</v>
      </c>
      <c r="D234">
        <v>-61.371000000000002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  <c r="BN234">
        <v>0</v>
      </c>
      <c r="BO234">
        <v>0</v>
      </c>
      <c r="BP234">
        <v>0</v>
      </c>
      <c r="BQ234">
        <v>0</v>
      </c>
      <c r="BR234">
        <v>0</v>
      </c>
      <c r="BS234">
        <v>0</v>
      </c>
    </row>
    <row r="235" spans="1:71" x14ac:dyDescent="0.3">
      <c r="B235" t="s">
        <v>561</v>
      </c>
      <c r="C235">
        <v>12.1165</v>
      </c>
      <c r="D235">
        <v>-61.678999999999903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  <c r="BN235">
        <v>0</v>
      </c>
      <c r="BO235">
        <v>0</v>
      </c>
      <c r="BP235">
        <v>0</v>
      </c>
      <c r="BQ235">
        <v>0</v>
      </c>
      <c r="BR235">
        <v>0</v>
      </c>
      <c r="BS235">
        <v>0</v>
      </c>
    </row>
    <row r="236" spans="1:71" x14ac:dyDescent="0.3">
      <c r="B236" t="s">
        <v>562</v>
      </c>
      <c r="C236">
        <v>-18.665694999999999</v>
      </c>
      <c r="D236">
        <v>35.529561999999999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  <c r="BN236">
        <v>0</v>
      </c>
      <c r="BO236">
        <v>0</v>
      </c>
      <c r="BP236">
        <v>0</v>
      </c>
      <c r="BQ236">
        <v>0</v>
      </c>
      <c r="BR236">
        <v>0</v>
      </c>
      <c r="BS236">
        <v>0</v>
      </c>
    </row>
    <row r="237" spans="1:71" x14ac:dyDescent="0.3">
      <c r="B237" t="s">
        <v>563</v>
      </c>
      <c r="C237">
        <v>34.802075000000002</v>
      </c>
      <c r="D237">
        <v>38.996814999999998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  <c r="BN237">
        <v>0</v>
      </c>
      <c r="BO237">
        <v>0</v>
      </c>
      <c r="BP237">
        <v>0</v>
      </c>
      <c r="BQ237">
        <v>0</v>
      </c>
      <c r="BR237">
        <v>0</v>
      </c>
      <c r="BS237">
        <v>0</v>
      </c>
    </row>
    <row r="238" spans="1:71" x14ac:dyDescent="0.3">
      <c r="B238" t="s">
        <v>564</v>
      </c>
      <c r="C238">
        <v>-8.8742169999999998</v>
      </c>
      <c r="D238">
        <v>125.72753899999999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  <c r="BN238">
        <v>0</v>
      </c>
      <c r="BO238">
        <v>0</v>
      </c>
      <c r="BP238">
        <v>0</v>
      </c>
      <c r="BQ238">
        <v>0</v>
      </c>
      <c r="BR238">
        <v>0</v>
      </c>
      <c r="BS238">
        <v>0</v>
      </c>
    </row>
    <row r="239" spans="1:71" x14ac:dyDescent="0.3">
      <c r="B239" t="s">
        <v>583</v>
      </c>
      <c r="C239">
        <v>13.193899999999999</v>
      </c>
      <c r="D239">
        <v>-59.543199999999999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0</v>
      </c>
      <c r="BO239">
        <v>0</v>
      </c>
      <c r="BP239">
        <v>0</v>
      </c>
      <c r="BQ239">
        <v>0</v>
      </c>
      <c r="BR239">
        <v>0</v>
      </c>
      <c r="BS239">
        <v>0</v>
      </c>
    </row>
    <row r="240" spans="1:71" x14ac:dyDescent="0.3">
      <c r="A240" t="s">
        <v>508</v>
      </c>
      <c r="B240" t="s">
        <v>45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  <c r="BS240">
        <v>0</v>
      </c>
    </row>
    <row r="241" spans="1:71" x14ac:dyDescent="0.3">
      <c r="B241" t="s">
        <v>592</v>
      </c>
      <c r="C241">
        <v>19.856269999999999</v>
      </c>
      <c r="D241">
        <v>102.495496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0</v>
      </c>
      <c r="BP241">
        <v>0</v>
      </c>
      <c r="BQ241">
        <v>0</v>
      </c>
      <c r="BR241">
        <v>0</v>
      </c>
      <c r="BS241">
        <v>0</v>
      </c>
    </row>
    <row r="242" spans="1:71" x14ac:dyDescent="0.3">
      <c r="B242" t="s">
        <v>593</v>
      </c>
      <c r="C242">
        <v>26.335100000000001</v>
      </c>
      <c r="D242">
        <v>17.228331000000001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0</v>
      </c>
      <c r="BP242">
        <v>0</v>
      </c>
      <c r="BQ242">
        <v>0</v>
      </c>
      <c r="BR242">
        <v>0</v>
      </c>
      <c r="BS242">
        <v>0</v>
      </c>
    </row>
    <row r="243" spans="1:71" x14ac:dyDescent="0.3">
      <c r="B243" t="s">
        <v>597</v>
      </c>
      <c r="C243">
        <v>31.952200000000001</v>
      </c>
      <c r="D243">
        <v>35.233199999999997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  <c r="BN243">
        <v>0</v>
      </c>
      <c r="BO243">
        <v>0</v>
      </c>
      <c r="BP243">
        <v>0</v>
      </c>
      <c r="BQ243">
        <v>1</v>
      </c>
      <c r="BR243">
        <v>1</v>
      </c>
      <c r="BS243">
        <v>1</v>
      </c>
    </row>
    <row r="244" spans="1:71" x14ac:dyDescent="0.3">
      <c r="B244" t="s">
        <v>598</v>
      </c>
      <c r="C244">
        <v>11.803699999999999</v>
      </c>
      <c r="D244">
        <v>-15.180400000000001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0</v>
      </c>
      <c r="BP244">
        <v>0</v>
      </c>
      <c r="BQ244">
        <v>0</v>
      </c>
      <c r="BR244">
        <v>0</v>
      </c>
      <c r="BS244">
        <v>0</v>
      </c>
    </row>
    <row r="245" spans="1:71" x14ac:dyDescent="0.3">
      <c r="B245" t="s">
        <v>599</v>
      </c>
      <c r="C245">
        <v>17.570692000000001</v>
      </c>
      <c r="D245">
        <v>-3.9961660000000001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  <c r="BO245">
        <v>0</v>
      </c>
      <c r="BP245">
        <v>0</v>
      </c>
      <c r="BQ245">
        <v>0</v>
      </c>
      <c r="BR245">
        <v>0</v>
      </c>
      <c r="BS245">
        <v>0</v>
      </c>
    </row>
    <row r="246" spans="1:71" x14ac:dyDescent="0.3">
      <c r="B246" t="s">
        <v>600</v>
      </c>
      <c r="C246">
        <v>17.357821999999999</v>
      </c>
      <c r="D246">
        <v>-62.782997999999999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  <c r="BO246">
        <v>0</v>
      </c>
      <c r="BP246">
        <v>0</v>
      </c>
      <c r="BQ246">
        <v>0</v>
      </c>
      <c r="BR246">
        <v>0</v>
      </c>
      <c r="BS246">
        <v>0</v>
      </c>
    </row>
    <row r="247" spans="1:71" x14ac:dyDescent="0.3">
      <c r="A247" t="s">
        <v>553</v>
      </c>
      <c r="B247" t="s">
        <v>45</v>
      </c>
      <c r="C247">
        <v>64.825500000000005</v>
      </c>
      <c r="D247">
        <v>-124.84569999999999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0</v>
      </c>
      <c r="BP247">
        <v>0</v>
      </c>
      <c r="BQ247">
        <v>0</v>
      </c>
      <c r="BR247">
        <v>0</v>
      </c>
      <c r="BS247">
        <v>0</v>
      </c>
    </row>
    <row r="248" spans="1:71" x14ac:dyDescent="0.3">
      <c r="A248" t="s">
        <v>601</v>
      </c>
      <c r="B248" t="s">
        <v>45</v>
      </c>
      <c r="C248">
        <v>64.282300000000006</v>
      </c>
      <c r="D248">
        <v>-135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0</v>
      </c>
      <c r="BP248">
        <v>0</v>
      </c>
      <c r="BQ248">
        <v>0</v>
      </c>
      <c r="BR248">
        <v>0</v>
      </c>
      <c r="BS248">
        <v>0</v>
      </c>
    </row>
    <row r="249" spans="1:71" x14ac:dyDescent="0.3">
      <c r="B249" t="s">
        <v>457</v>
      </c>
      <c r="C249">
        <v>42.602635999999997</v>
      </c>
      <c r="D249">
        <v>20.902977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0</v>
      </c>
      <c r="BP249">
        <v>0</v>
      </c>
      <c r="BQ249">
        <v>1</v>
      </c>
      <c r="BR249">
        <v>1</v>
      </c>
      <c r="BS249">
        <v>1</v>
      </c>
    </row>
    <row r="250" spans="1:71" x14ac:dyDescent="0.3">
      <c r="B250" t="s">
        <v>616</v>
      </c>
      <c r="C250">
        <v>21.9162</v>
      </c>
      <c r="D250">
        <v>95.956000000000003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  <c r="BN250">
        <v>0</v>
      </c>
      <c r="BO250">
        <v>0</v>
      </c>
      <c r="BP250">
        <v>0</v>
      </c>
      <c r="BQ250">
        <v>0</v>
      </c>
      <c r="BR250">
        <v>0</v>
      </c>
      <c r="BS250">
        <v>0</v>
      </c>
    </row>
    <row r="251" spans="1:71" x14ac:dyDescent="0.3">
      <c r="A251" t="s">
        <v>617</v>
      </c>
      <c r="B251" t="s">
        <v>349</v>
      </c>
      <c r="C251">
        <v>18.220600000000001</v>
      </c>
      <c r="D251">
        <v>-63.068600000000004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0</v>
      </c>
      <c r="BQ251">
        <v>0</v>
      </c>
      <c r="BR251">
        <v>0</v>
      </c>
      <c r="BS251">
        <v>0</v>
      </c>
    </row>
    <row r="252" spans="1:71" x14ac:dyDescent="0.3">
      <c r="A252" t="s">
        <v>618</v>
      </c>
      <c r="B252" t="s">
        <v>349</v>
      </c>
      <c r="C252">
        <v>18.4207</v>
      </c>
      <c r="D252">
        <v>-64.64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>
        <v>0</v>
      </c>
      <c r="BO252">
        <v>0</v>
      </c>
      <c r="BP252">
        <v>0</v>
      </c>
      <c r="BQ252">
        <v>0</v>
      </c>
      <c r="BR252">
        <v>0</v>
      </c>
      <c r="BS252">
        <v>0</v>
      </c>
    </row>
    <row r="253" spans="1:71" x14ac:dyDescent="0.3">
      <c r="A253" t="s">
        <v>619</v>
      </c>
      <c r="B253" t="s">
        <v>349</v>
      </c>
      <c r="C253">
        <v>21.693999999999999</v>
      </c>
      <c r="D253">
        <v>-71.797899999999998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0</v>
      </c>
      <c r="BR253">
        <v>0</v>
      </c>
      <c r="BS253">
        <v>0</v>
      </c>
    </row>
    <row r="254" spans="1:71" x14ac:dyDescent="0.3">
      <c r="B254" t="s">
        <v>620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0</v>
      </c>
      <c r="BP254">
        <v>0</v>
      </c>
      <c r="BQ254">
        <v>0</v>
      </c>
      <c r="BR254">
        <v>0</v>
      </c>
      <c r="BS254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BS254"/>
  <sheetViews>
    <sheetView workbookViewId="0">
      <selection sqref="A1:CA1000"/>
    </sheetView>
  </sheetViews>
  <sheetFormatPr defaultRowHeight="14.4" x14ac:dyDescent="0.3"/>
  <cols>
    <col min="5" max="62" width="10.5546875" bestFit="1" customWidth="1"/>
  </cols>
  <sheetData>
    <row r="1" spans="1:71" s="16" customFormat="1" x14ac:dyDescent="0.3">
      <c r="A1" s="16" t="s">
        <v>0</v>
      </c>
      <c r="B1" s="16" t="s">
        <v>1</v>
      </c>
      <c r="C1" s="16" t="s">
        <v>2</v>
      </c>
      <c r="D1" s="16" t="s">
        <v>3</v>
      </c>
      <c r="E1" s="16">
        <v>43852</v>
      </c>
      <c r="F1" s="16">
        <v>43853</v>
      </c>
      <c r="G1" s="16">
        <v>43854</v>
      </c>
      <c r="H1" s="16">
        <v>43855</v>
      </c>
      <c r="I1" s="16">
        <v>43856</v>
      </c>
      <c r="J1" s="16">
        <v>43857</v>
      </c>
      <c r="K1" s="16">
        <v>43858</v>
      </c>
      <c r="L1" s="16">
        <v>43859</v>
      </c>
      <c r="M1" s="16">
        <v>43860</v>
      </c>
      <c r="N1" s="16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 s="16">
        <v>43874</v>
      </c>
      <c r="AB1" s="16">
        <v>43875</v>
      </c>
      <c r="AC1" s="16">
        <v>43876</v>
      </c>
      <c r="AD1" s="16">
        <v>43877</v>
      </c>
      <c r="AE1" s="16">
        <v>43878</v>
      </c>
      <c r="AF1" s="16">
        <v>43879</v>
      </c>
      <c r="AG1" s="16">
        <v>43880</v>
      </c>
      <c r="AH1" s="16">
        <v>43881</v>
      </c>
      <c r="AI1" s="16">
        <v>43882</v>
      </c>
      <c r="AJ1" s="16">
        <v>43883</v>
      </c>
      <c r="AK1" s="16">
        <v>43884</v>
      </c>
      <c r="AL1" s="16">
        <v>43885</v>
      </c>
      <c r="AM1" s="16">
        <v>43886</v>
      </c>
      <c r="AN1" s="16">
        <v>43887</v>
      </c>
      <c r="AO1" s="16">
        <v>43888</v>
      </c>
      <c r="AP1" s="16">
        <v>43889</v>
      </c>
      <c r="AQ1" s="16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 s="16">
        <v>43903</v>
      </c>
      <c r="BE1" s="16">
        <v>43904</v>
      </c>
      <c r="BF1" s="16">
        <v>43905</v>
      </c>
      <c r="BG1" s="16">
        <v>43906</v>
      </c>
      <c r="BH1" s="16">
        <v>43907</v>
      </c>
      <c r="BI1" s="16">
        <v>43908</v>
      </c>
      <c r="BJ1" s="16">
        <v>43909</v>
      </c>
      <c r="BK1" s="16">
        <v>43910</v>
      </c>
      <c r="BL1" s="16">
        <v>43911</v>
      </c>
      <c r="BM1" s="16">
        <v>43912</v>
      </c>
      <c r="BN1" s="16">
        <v>43913</v>
      </c>
      <c r="BO1" s="16">
        <v>43914</v>
      </c>
      <c r="BP1" s="16">
        <v>43915</v>
      </c>
      <c r="BQ1" s="16">
        <v>43916</v>
      </c>
      <c r="BR1" s="16">
        <v>43917</v>
      </c>
      <c r="BS1" s="16">
        <v>43918</v>
      </c>
    </row>
    <row r="2" spans="1:71" x14ac:dyDescent="0.3">
      <c r="B2" t="s">
        <v>72</v>
      </c>
      <c r="C2">
        <v>33</v>
      </c>
      <c r="D2">
        <v>65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1</v>
      </c>
      <c r="AM2">
        <v>1</v>
      </c>
      <c r="AN2">
        <v>1</v>
      </c>
      <c r="AO2">
        <v>1</v>
      </c>
      <c r="AP2">
        <v>1</v>
      </c>
      <c r="AQ2">
        <v>1</v>
      </c>
      <c r="AR2">
        <v>1</v>
      </c>
      <c r="AS2">
        <v>1</v>
      </c>
      <c r="AT2">
        <v>1</v>
      </c>
      <c r="AU2">
        <v>1</v>
      </c>
      <c r="AV2">
        <v>1</v>
      </c>
      <c r="AW2">
        <v>1</v>
      </c>
      <c r="AX2">
        <v>1</v>
      </c>
      <c r="AY2">
        <v>4</v>
      </c>
      <c r="AZ2">
        <v>4</v>
      </c>
      <c r="BA2">
        <v>5</v>
      </c>
      <c r="BB2">
        <v>7</v>
      </c>
      <c r="BC2">
        <v>7</v>
      </c>
      <c r="BD2">
        <v>7</v>
      </c>
      <c r="BE2">
        <v>11</v>
      </c>
      <c r="BF2">
        <v>16</v>
      </c>
      <c r="BG2">
        <v>21</v>
      </c>
      <c r="BH2">
        <v>22</v>
      </c>
      <c r="BI2">
        <v>22</v>
      </c>
      <c r="BJ2">
        <v>22</v>
      </c>
      <c r="BK2">
        <v>24</v>
      </c>
      <c r="BL2">
        <v>24</v>
      </c>
      <c r="BM2">
        <v>40</v>
      </c>
      <c r="BN2">
        <v>40</v>
      </c>
      <c r="BO2">
        <v>74</v>
      </c>
      <c r="BP2">
        <v>84</v>
      </c>
      <c r="BQ2">
        <v>94</v>
      </c>
      <c r="BR2">
        <v>110</v>
      </c>
      <c r="BS2">
        <v>110</v>
      </c>
    </row>
    <row r="3" spans="1:71" x14ac:dyDescent="0.3">
      <c r="B3" t="s">
        <v>230</v>
      </c>
      <c r="C3">
        <v>41.153300000000002</v>
      </c>
      <c r="D3">
        <v>20.168299999999999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2</v>
      </c>
      <c r="BA3">
        <v>10</v>
      </c>
      <c r="BB3">
        <v>12</v>
      </c>
      <c r="BC3">
        <v>23</v>
      </c>
      <c r="BD3">
        <v>33</v>
      </c>
      <c r="BE3">
        <v>38</v>
      </c>
      <c r="BF3">
        <v>42</v>
      </c>
      <c r="BG3">
        <v>51</v>
      </c>
      <c r="BH3">
        <v>55</v>
      </c>
      <c r="BI3">
        <v>59</v>
      </c>
      <c r="BJ3">
        <v>64</v>
      </c>
      <c r="BK3">
        <v>70</v>
      </c>
      <c r="BL3">
        <v>76</v>
      </c>
      <c r="BM3">
        <v>89</v>
      </c>
      <c r="BN3">
        <v>104</v>
      </c>
      <c r="BO3">
        <v>123</v>
      </c>
      <c r="BP3">
        <v>146</v>
      </c>
      <c r="BQ3">
        <v>174</v>
      </c>
      <c r="BR3">
        <v>186</v>
      </c>
      <c r="BS3">
        <v>197</v>
      </c>
    </row>
    <row r="4" spans="1:71" x14ac:dyDescent="0.3">
      <c r="B4" t="s">
        <v>75</v>
      </c>
      <c r="C4">
        <v>28.033899999999999</v>
      </c>
      <c r="D4">
        <v>1.6596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1</v>
      </c>
      <c r="AN4">
        <v>1</v>
      </c>
      <c r="AO4">
        <v>1</v>
      </c>
      <c r="AP4">
        <v>1</v>
      </c>
      <c r="AQ4">
        <v>1</v>
      </c>
      <c r="AR4">
        <v>1</v>
      </c>
      <c r="AS4">
        <v>3</v>
      </c>
      <c r="AT4">
        <v>5</v>
      </c>
      <c r="AU4">
        <v>12</v>
      </c>
      <c r="AV4">
        <v>12</v>
      </c>
      <c r="AW4">
        <v>17</v>
      </c>
      <c r="AX4">
        <v>17</v>
      </c>
      <c r="AY4">
        <v>19</v>
      </c>
      <c r="AZ4">
        <v>20</v>
      </c>
      <c r="BA4">
        <v>20</v>
      </c>
      <c r="BB4">
        <v>20</v>
      </c>
      <c r="BC4">
        <v>24</v>
      </c>
      <c r="BD4">
        <v>26</v>
      </c>
      <c r="BE4">
        <v>37</v>
      </c>
      <c r="BF4">
        <v>48</v>
      </c>
      <c r="BG4">
        <v>54</v>
      </c>
      <c r="BH4">
        <v>60</v>
      </c>
      <c r="BI4">
        <v>74</v>
      </c>
      <c r="BJ4">
        <v>87</v>
      </c>
      <c r="BK4">
        <v>90</v>
      </c>
      <c r="BL4">
        <v>139</v>
      </c>
      <c r="BM4">
        <v>201</v>
      </c>
      <c r="BN4">
        <v>230</v>
      </c>
      <c r="BO4">
        <v>264</v>
      </c>
      <c r="BP4">
        <v>302</v>
      </c>
      <c r="BQ4">
        <v>367</v>
      </c>
      <c r="BR4">
        <v>409</v>
      </c>
      <c r="BS4">
        <v>454</v>
      </c>
    </row>
    <row r="5" spans="1:71" x14ac:dyDescent="0.3">
      <c r="B5" t="s">
        <v>109</v>
      </c>
      <c r="C5">
        <v>42.506300000000003</v>
      </c>
      <c r="D5">
        <v>1.5218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2</v>
      </c>
      <c r="BH5">
        <v>39</v>
      </c>
      <c r="BI5">
        <v>39</v>
      </c>
      <c r="BJ5">
        <v>53</v>
      </c>
      <c r="BK5">
        <v>75</v>
      </c>
      <c r="BL5">
        <v>88</v>
      </c>
      <c r="BM5">
        <v>113</v>
      </c>
      <c r="BN5">
        <v>133</v>
      </c>
      <c r="BO5">
        <v>164</v>
      </c>
      <c r="BP5">
        <v>188</v>
      </c>
      <c r="BQ5">
        <v>224</v>
      </c>
      <c r="BR5">
        <v>267</v>
      </c>
      <c r="BS5">
        <v>308</v>
      </c>
    </row>
    <row r="6" spans="1:71" x14ac:dyDescent="0.3">
      <c r="B6" t="s">
        <v>532</v>
      </c>
      <c r="C6">
        <v>-11.2027</v>
      </c>
      <c r="D6">
        <v>17.873899999999999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2</v>
      </c>
      <c r="BM6">
        <v>2</v>
      </c>
      <c r="BN6">
        <v>3</v>
      </c>
      <c r="BO6">
        <v>3</v>
      </c>
      <c r="BP6">
        <v>3</v>
      </c>
      <c r="BQ6">
        <v>4</v>
      </c>
      <c r="BR6">
        <v>4</v>
      </c>
      <c r="BS6">
        <v>5</v>
      </c>
    </row>
    <row r="7" spans="1:71" x14ac:dyDescent="0.3">
      <c r="B7" t="s">
        <v>424</v>
      </c>
      <c r="C7">
        <v>17.0608</v>
      </c>
      <c r="D7">
        <v>-61.796399999999998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1</v>
      </c>
      <c r="BE7">
        <v>1</v>
      </c>
      <c r="BF7">
        <v>1</v>
      </c>
      <c r="BG7">
        <v>1</v>
      </c>
      <c r="BH7">
        <v>1</v>
      </c>
      <c r="BI7">
        <v>1</v>
      </c>
      <c r="BJ7">
        <v>1</v>
      </c>
      <c r="BK7">
        <v>1</v>
      </c>
      <c r="BL7">
        <v>1</v>
      </c>
      <c r="BM7">
        <v>1</v>
      </c>
      <c r="BN7">
        <v>3</v>
      </c>
      <c r="BO7">
        <v>3</v>
      </c>
      <c r="BP7">
        <v>3</v>
      </c>
      <c r="BQ7">
        <v>7</v>
      </c>
      <c r="BR7">
        <v>7</v>
      </c>
      <c r="BS7">
        <v>7</v>
      </c>
    </row>
    <row r="8" spans="1:71" x14ac:dyDescent="0.3">
      <c r="B8" t="s">
        <v>123</v>
      </c>
      <c r="C8">
        <v>-38.4161</v>
      </c>
      <c r="D8">
        <v>-63.616700000000002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1</v>
      </c>
      <c r="AU8">
        <v>1</v>
      </c>
      <c r="AV8">
        <v>1</v>
      </c>
      <c r="AW8">
        <v>2</v>
      </c>
      <c r="AX8">
        <v>8</v>
      </c>
      <c r="AY8">
        <v>12</v>
      </c>
      <c r="AZ8">
        <v>12</v>
      </c>
      <c r="BA8">
        <v>17</v>
      </c>
      <c r="BB8">
        <v>19</v>
      </c>
      <c r="BC8">
        <v>19</v>
      </c>
      <c r="BD8">
        <v>31</v>
      </c>
      <c r="BE8">
        <v>34</v>
      </c>
      <c r="BF8">
        <v>45</v>
      </c>
      <c r="BG8">
        <v>56</v>
      </c>
      <c r="BH8">
        <v>68</v>
      </c>
      <c r="BI8">
        <v>79</v>
      </c>
      <c r="BJ8">
        <v>97</v>
      </c>
      <c r="BK8">
        <v>128</v>
      </c>
      <c r="BL8">
        <v>158</v>
      </c>
      <c r="BM8">
        <v>266</v>
      </c>
      <c r="BN8">
        <v>301</v>
      </c>
      <c r="BO8">
        <v>387</v>
      </c>
      <c r="BP8">
        <v>387</v>
      </c>
      <c r="BQ8">
        <v>502</v>
      </c>
      <c r="BR8">
        <v>589</v>
      </c>
      <c r="BS8">
        <v>690</v>
      </c>
    </row>
    <row r="9" spans="1:71" x14ac:dyDescent="0.3">
      <c r="B9" t="s">
        <v>105</v>
      </c>
      <c r="C9">
        <v>40.069099999999999</v>
      </c>
      <c r="D9">
        <v>45.038200000000003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1</v>
      </c>
      <c r="AS9">
        <v>1</v>
      </c>
      <c r="AT9">
        <v>1</v>
      </c>
      <c r="AU9">
        <v>1</v>
      </c>
      <c r="AV9">
        <v>1</v>
      </c>
      <c r="AW9">
        <v>1</v>
      </c>
      <c r="AX9">
        <v>1</v>
      </c>
      <c r="AY9">
        <v>1</v>
      </c>
      <c r="AZ9">
        <v>1</v>
      </c>
      <c r="BA9">
        <v>1</v>
      </c>
      <c r="BB9">
        <v>1</v>
      </c>
      <c r="BC9">
        <v>4</v>
      </c>
      <c r="BD9">
        <v>8</v>
      </c>
      <c r="BE9">
        <v>18</v>
      </c>
      <c r="BF9">
        <v>26</v>
      </c>
      <c r="BG9">
        <v>52</v>
      </c>
      <c r="BH9">
        <v>78</v>
      </c>
      <c r="BI9">
        <v>84</v>
      </c>
      <c r="BJ9">
        <v>115</v>
      </c>
      <c r="BK9">
        <v>136</v>
      </c>
      <c r="BL9">
        <v>160</v>
      </c>
      <c r="BM9">
        <v>194</v>
      </c>
      <c r="BN9">
        <v>235</v>
      </c>
      <c r="BO9">
        <v>249</v>
      </c>
      <c r="BP9">
        <v>265</v>
      </c>
      <c r="BQ9">
        <v>290</v>
      </c>
      <c r="BR9">
        <v>329</v>
      </c>
      <c r="BS9">
        <v>407</v>
      </c>
    </row>
    <row r="10" spans="1:71" x14ac:dyDescent="0.3">
      <c r="A10" t="s">
        <v>412</v>
      </c>
      <c r="B10" t="s">
        <v>48</v>
      </c>
      <c r="C10">
        <v>-35.473500000000001</v>
      </c>
      <c r="D10">
        <v>149.01240000000001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1</v>
      </c>
      <c r="BE10">
        <v>1</v>
      </c>
      <c r="BF10">
        <v>1</v>
      </c>
      <c r="BG10">
        <v>2</v>
      </c>
      <c r="BH10">
        <v>2</v>
      </c>
      <c r="BI10">
        <v>3</v>
      </c>
      <c r="BJ10">
        <v>4</v>
      </c>
      <c r="BK10">
        <v>6</v>
      </c>
      <c r="BL10">
        <v>9</v>
      </c>
      <c r="BM10">
        <v>19</v>
      </c>
      <c r="BN10">
        <v>32</v>
      </c>
      <c r="BO10">
        <v>39</v>
      </c>
      <c r="BP10">
        <v>39</v>
      </c>
      <c r="BQ10">
        <v>53</v>
      </c>
      <c r="BR10">
        <v>62</v>
      </c>
      <c r="BS10">
        <v>71</v>
      </c>
    </row>
    <row r="11" spans="1:71" x14ac:dyDescent="0.3">
      <c r="A11" t="s">
        <v>47</v>
      </c>
      <c r="B11" t="s">
        <v>48</v>
      </c>
      <c r="C11">
        <v>-33.8688</v>
      </c>
      <c r="D11">
        <v>151.20930000000001</v>
      </c>
      <c r="E11">
        <v>0</v>
      </c>
      <c r="F11">
        <v>0</v>
      </c>
      <c r="G11">
        <v>0</v>
      </c>
      <c r="H11">
        <v>0</v>
      </c>
      <c r="I11">
        <v>3</v>
      </c>
      <c r="J11">
        <v>4</v>
      </c>
      <c r="K11">
        <v>4</v>
      </c>
      <c r="L11">
        <v>4</v>
      </c>
      <c r="M11">
        <v>4</v>
      </c>
      <c r="N11">
        <v>4</v>
      </c>
      <c r="O11">
        <v>4</v>
      </c>
      <c r="P11">
        <v>4</v>
      </c>
      <c r="Q11">
        <v>4</v>
      </c>
      <c r="R11">
        <v>4</v>
      </c>
      <c r="S11">
        <v>4</v>
      </c>
      <c r="T11">
        <v>4</v>
      </c>
      <c r="U11">
        <v>4</v>
      </c>
      <c r="V11">
        <v>4</v>
      </c>
      <c r="W11">
        <v>4</v>
      </c>
      <c r="X11">
        <v>4</v>
      </c>
      <c r="Y11">
        <v>4</v>
      </c>
      <c r="Z11">
        <v>4</v>
      </c>
      <c r="AA11">
        <v>4</v>
      </c>
      <c r="AB11">
        <v>4</v>
      </c>
      <c r="AC11">
        <v>4</v>
      </c>
      <c r="AD11">
        <v>4</v>
      </c>
      <c r="AE11">
        <v>4</v>
      </c>
      <c r="AF11">
        <v>4</v>
      </c>
      <c r="AG11">
        <v>4</v>
      </c>
      <c r="AH11">
        <v>4</v>
      </c>
      <c r="AI11">
        <v>4</v>
      </c>
      <c r="AJ11">
        <v>4</v>
      </c>
      <c r="AK11">
        <v>4</v>
      </c>
      <c r="AL11">
        <v>4</v>
      </c>
      <c r="AM11">
        <v>4</v>
      </c>
      <c r="AN11">
        <v>4</v>
      </c>
      <c r="AO11">
        <v>4</v>
      </c>
      <c r="AP11">
        <v>4</v>
      </c>
      <c r="AQ11">
        <v>4</v>
      </c>
      <c r="AR11">
        <v>6</v>
      </c>
      <c r="AS11">
        <v>6</v>
      </c>
      <c r="AT11">
        <v>13</v>
      </c>
      <c r="AU11">
        <v>22</v>
      </c>
      <c r="AV11">
        <v>22</v>
      </c>
      <c r="AW11">
        <v>26</v>
      </c>
      <c r="AX11">
        <v>28</v>
      </c>
      <c r="AY11">
        <v>38</v>
      </c>
      <c r="AZ11">
        <v>48</v>
      </c>
      <c r="BA11">
        <v>55</v>
      </c>
      <c r="BB11">
        <v>65</v>
      </c>
      <c r="BC11">
        <v>65</v>
      </c>
      <c r="BD11">
        <v>92</v>
      </c>
      <c r="BE11">
        <v>112</v>
      </c>
      <c r="BF11">
        <v>134</v>
      </c>
      <c r="BG11">
        <v>171</v>
      </c>
      <c r="BH11">
        <v>210</v>
      </c>
      <c r="BI11">
        <v>267</v>
      </c>
      <c r="BJ11">
        <v>307</v>
      </c>
      <c r="BK11">
        <v>353</v>
      </c>
      <c r="BL11">
        <v>436</v>
      </c>
      <c r="BM11">
        <v>669</v>
      </c>
      <c r="BN11">
        <v>669</v>
      </c>
      <c r="BO11">
        <v>818</v>
      </c>
      <c r="BP11">
        <v>1029</v>
      </c>
      <c r="BQ11">
        <v>1219</v>
      </c>
      <c r="BR11">
        <v>1405</v>
      </c>
      <c r="BS11">
        <v>1617</v>
      </c>
    </row>
    <row r="12" spans="1:71" x14ac:dyDescent="0.3">
      <c r="A12" t="s">
        <v>133</v>
      </c>
      <c r="B12" t="s">
        <v>48</v>
      </c>
      <c r="C12">
        <v>-12.4634</v>
      </c>
      <c r="D12">
        <v>130.84559999999999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1</v>
      </c>
      <c r="AV12">
        <v>1</v>
      </c>
      <c r="AW12">
        <v>0</v>
      </c>
      <c r="AX12">
        <v>0</v>
      </c>
      <c r="AY12">
        <v>0</v>
      </c>
      <c r="AZ12">
        <v>0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1</v>
      </c>
      <c r="BJ12">
        <v>1</v>
      </c>
      <c r="BK12">
        <v>3</v>
      </c>
      <c r="BL12">
        <v>3</v>
      </c>
      <c r="BM12">
        <v>5</v>
      </c>
      <c r="BN12">
        <v>5</v>
      </c>
      <c r="BO12">
        <v>6</v>
      </c>
      <c r="BP12">
        <v>6</v>
      </c>
      <c r="BQ12">
        <v>12</v>
      </c>
      <c r="BR12">
        <v>12</v>
      </c>
      <c r="BS12">
        <v>15</v>
      </c>
    </row>
    <row r="13" spans="1:71" x14ac:dyDescent="0.3">
      <c r="A13" t="s">
        <v>50</v>
      </c>
      <c r="B13" t="s">
        <v>48</v>
      </c>
      <c r="C13">
        <v>-28.0167</v>
      </c>
      <c r="D13">
        <v>153.4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1</v>
      </c>
      <c r="M13">
        <v>3</v>
      </c>
      <c r="N13">
        <v>2</v>
      </c>
      <c r="O13">
        <v>3</v>
      </c>
      <c r="P13">
        <v>2</v>
      </c>
      <c r="Q13">
        <v>2</v>
      </c>
      <c r="R13">
        <v>3</v>
      </c>
      <c r="S13">
        <v>3</v>
      </c>
      <c r="T13">
        <v>4</v>
      </c>
      <c r="U13">
        <v>5</v>
      </c>
      <c r="V13">
        <v>5</v>
      </c>
      <c r="W13">
        <v>5</v>
      </c>
      <c r="X13">
        <v>5</v>
      </c>
      <c r="Y13">
        <v>5</v>
      </c>
      <c r="Z13">
        <v>5</v>
      </c>
      <c r="AA13">
        <v>5</v>
      </c>
      <c r="AB13">
        <v>5</v>
      </c>
      <c r="AC13">
        <v>5</v>
      </c>
      <c r="AD13">
        <v>5</v>
      </c>
      <c r="AE13">
        <v>5</v>
      </c>
      <c r="AF13">
        <v>5</v>
      </c>
      <c r="AG13">
        <v>5</v>
      </c>
      <c r="AH13">
        <v>5</v>
      </c>
      <c r="AI13">
        <v>5</v>
      </c>
      <c r="AJ13">
        <v>5</v>
      </c>
      <c r="AK13">
        <v>5</v>
      </c>
      <c r="AL13">
        <v>5</v>
      </c>
      <c r="AM13">
        <v>5</v>
      </c>
      <c r="AN13">
        <v>5</v>
      </c>
      <c r="AO13">
        <v>5</v>
      </c>
      <c r="AP13">
        <v>5</v>
      </c>
      <c r="AQ13">
        <v>9</v>
      </c>
      <c r="AR13">
        <v>9</v>
      </c>
      <c r="AS13">
        <v>9</v>
      </c>
      <c r="AT13">
        <v>11</v>
      </c>
      <c r="AU13">
        <v>11</v>
      </c>
      <c r="AV13">
        <v>13</v>
      </c>
      <c r="AW13">
        <v>13</v>
      </c>
      <c r="AX13">
        <v>13</v>
      </c>
      <c r="AY13">
        <v>15</v>
      </c>
      <c r="AZ13">
        <v>15</v>
      </c>
      <c r="BA13">
        <v>18</v>
      </c>
      <c r="BB13">
        <v>20</v>
      </c>
      <c r="BC13">
        <v>20</v>
      </c>
      <c r="BD13">
        <v>35</v>
      </c>
      <c r="BE13">
        <v>46</v>
      </c>
      <c r="BF13">
        <v>61</v>
      </c>
      <c r="BG13">
        <v>68</v>
      </c>
      <c r="BH13">
        <v>78</v>
      </c>
      <c r="BI13">
        <v>94</v>
      </c>
      <c r="BJ13">
        <v>144</v>
      </c>
      <c r="BK13">
        <v>184</v>
      </c>
      <c r="BL13">
        <v>221</v>
      </c>
      <c r="BM13">
        <v>259</v>
      </c>
      <c r="BN13">
        <v>319</v>
      </c>
      <c r="BO13">
        <v>397</v>
      </c>
      <c r="BP13">
        <v>443</v>
      </c>
      <c r="BQ13">
        <v>493</v>
      </c>
      <c r="BR13">
        <v>555</v>
      </c>
      <c r="BS13">
        <v>625</v>
      </c>
    </row>
    <row r="14" spans="1:71" x14ac:dyDescent="0.3">
      <c r="A14" t="s">
        <v>61</v>
      </c>
      <c r="B14" t="s">
        <v>48</v>
      </c>
      <c r="C14">
        <v>-34.9285</v>
      </c>
      <c r="D14">
        <v>138.60069999999999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1</v>
      </c>
      <c r="P14">
        <v>2</v>
      </c>
      <c r="Q14">
        <v>2</v>
      </c>
      <c r="R14">
        <v>2</v>
      </c>
      <c r="S14">
        <v>2</v>
      </c>
      <c r="T14">
        <v>2</v>
      </c>
      <c r="U14">
        <v>2</v>
      </c>
      <c r="V14">
        <v>2</v>
      </c>
      <c r="W14">
        <v>2</v>
      </c>
      <c r="X14">
        <v>2</v>
      </c>
      <c r="Y14">
        <v>2</v>
      </c>
      <c r="Z14">
        <v>2</v>
      </c>
      <c r="AA14">
        <v>2</v>
      </c>
      <c r="AB14">
        <v>2</v>
      </c>
      <c r="AC14">
        <v>2</v>
      </c>
      <c r="AD14">
        <v>2</v>
      </c>
      <c r="AE14">
        <v>2</v>
      </c>
      <c r="AF14">
        <v>2</v>
      </c>
      <c r="AG14">
        <v>2</v>
      </c>
      <c r="AH14">
        <v>2</v>
      </c>
      <c r="AI14">
        <v>2</v>
      </c>
      <c r="AJ14">
        <v>2</v>
      </c>
      <c r="AK14">
        <v>2</v>
      </c>
      <c r="AL14">
        <v>2</v>
      </c>
      <c r="AM14">
        <v>2</v>
      </c>
      <c r="AN14">
        <v>2</v>
      </c>
      <c r="AO14">
        <v>2</v>
      </c>
      <c r="AP14">
        <v>2</v>
      </c>
      <c r="AQ14">
        <v>3</v>
      </c>
      <c r="AR14">
        <v>3</v>
      </c>
      <c r="AS14">
        <v>3</v>
      </c>
      <c r="AT14">
        <v>3</v>
      </c>
      <c r="AU14">
        <v>5</v>
      </c>
      <c r="AV14">
        <v>5</v>
      </c>
      <c r="AW14">
        <v>7</v>
      </c>
      <c r="AX14">
        <v>7</v>
      </c>
      <c r="AY14">
        <v>7</v>
      </c>
      <c r="AZ14">
        <v>7</v>
      </c>
      <c r="BA14">
        <v>7</v>
      </c>
      <c r="BB14">
        <v>9</v>
      </c>
      <c r="BC14">
        <v>9</v>
      </c>
      <c r="BD14">
        <v>16</v>
      </c>
      <c r="BE14">
        <v>19</v>
      </c>
      <c r="BF14">
        <v>20</v>
      </c>
      <c r="BG14">
        <v>29</v>
      </c>
      <c r="BH14">
        <v>29</v>
      </c>
      <c r="BI14">
        <v>37</v>
      </c>
      <c r="BJ14">
        <v>42</v>
      </c>
      <c r="BK14">
        <v>50</v>
      </c>
      <c r="BL14">
        <v>67</v>
      </c>
      <c r="BM14">
        <v>100</v>
      </c>
      <c r="BN14">
        <v>134</v>
      </c>
      <c r="BO14">
        <v>170</v>
      </c>
      <c r="BP14">
        <v>170</v>
      </c>
      <c r="BQ14">
        <v>235</v>
      </c>
      <c r="BR14">
        <v>257</v>
      </c>
      <c r="BS14">
        <v>287</v>
      </c>
    </row>
    <row r="15" spans="1:71" x14ac:dyDescent="0.3">
      <c r="A15" t="s">
        <v>110</v>
      </c>
      <c r="B15" t="s">
        <v>48</v>
      </c>
      <c r="C15">
        <v>-41.454500000000003</v>
      </c>
      <c r="D15">
        <v>145.97069999999999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1</v>
      </c>
      <c r="AT15">
        <v>1</v>
      </c>
      <c r="AU15">
        <v>1</v>
      </c>
      <c r="AV15">
        <v>1</v>
      </c>
      <c r="AW15">
        <v>1</v>
      </c>
      <c r="AX15">
        <v>1</v>
      </c>
      <c r="AY15">
        <v>2</v>
      </c>
      <c r="AZ15">
        <v>2</v>
      </c>
      <c r="BA15">
        <v>2</v>
      </c>
      <c r="BB15">
        <v>3</v>
      </c>
      <c r="BC15">
        <v>3</v>
      </c>
      <c r="BD15">
        <v>5</v>
      </c>
      <c r="BE15">
        <v>5</v>
      </c>
      <c r="BF15">
        <v>6</v>
      </c>
      <c r="BG15">
        <v>7</v>
      </c>
      <c r="BH15">
        <v>7</v>
      </c>
      <c r="BI15">
        <v>10</v>
      </c>
      <c r="BJ15">
        <v>10</v>
      </c>
      <c r="BK15">
        <v>10</v>
      </c>
      <c r="BL15">
        <v>16</v>
      </c>
      <c r="BM15">
        <v>22</v>
      </c>
      <c r="BN15">
        <v>28</v>
      </c>
      <c r="BO15">
        <v>28</v>
      </c>
      <c r="BP15">
        <v>36</v>
      </c>
      <c r="BQ15">
        <v>47</v>
      </c>
      <c r="BR15">
        <v>47</v>
      </c>
      <c r="BS15">
        <v>62</v>
      </c>
    </row>
    <row r="16" spans="1:71" x14ac:dyDescent="0.3">
      <c r="A16" t="s">
        <v>49</v>
      </c>
      <c r="B16" t="s">
        <v>48</v>
      </c>
      <c r="C16">
        <v>-37.813600000000001</v>
      </c>
      <c r="D16">
        <v>144.9631</v>
      </c>
      <c r="E16">
        <v>0</v>
      </c>
      <c r="F16">
        <v>0</v>
      </c>
      <c r="G16">
        <v>0</v>
      </c>
      <c r="H16">
        <v>0</v>
      </c>
      <c r="I16">
        <v>1</v>
      </c>
      <c r="J16">
        <v>1</v>
      </c>
      <c r="K16">
        <v>1</v>
      </c>
      <c r="L16">
        <v>1</v>
      </c>
      <c r="M16">
        <v>2</v>
      </c>
      <c r="N16">
        <v>3</v>
      </c>
      <c r="O16">
        <v>4</v>
      </c>
      <c r="P16">
        <v>4</v>
      </c>
      <c r="Q16">
        <v>4</v>
      </c>
      <c r="R16">
        <v>4</v>
      </c>
      <c r="S16">
        <v>4</v>
      </c>
      <c r="T16">
        <v>4</v>
      </c>
      <c r="U16">
        <v>4</v>
      </c>
      <c r="V16">
        <v>4</v>
      </c>
      <c r="W16">
        <v>4</v>
      </c>
      <c r="X16">
        <v>4</v>
      </c>
      <c r="Y16">
        <v>4</v>
      </c>
      <c r="Z16">
        <v>4</v>
      </c>
      <c r="AA16">
        <v>4</v>
      </c>
      <c r="AB16">
        <v>4</v>
      </c>
      <c r="AC16">
        <v>4</v>
      </c>
      <c r="AD16">
        <v>4</v>
      </c>
      <c r="AE16">
        <v>4</v>
      </c>
      <c r="AF16">
        <v>4</v>
      </c>
      <c r="AG16">
        <v>4</v>
      </c>
      <c r="AH16">
        <v>4</v>
      </c>
      <c r="AI16">
        <v>4</v>
      </c>
      <c r="AJ16">
        <v>4</v>
      </c>
      <c r="AK16">
        <v>4</v>
      </c>
      <c r="AL16">
        <v>4</v>
      </c>
      <c r="AM16">
        <v>4</v>
      </c>
      <c r="AN16">
        <v>4</v>
      </c>
      <c r="AO16">
        <v>4</v>
      </c>
      <c r="AP16">
        <v>4</v>
      </c>
      <c r="AQ16">
        <v>7</v>
      </c>
      <c r="AR16">
        <v>7</v>
      </c>
      <c r="AS16">
        <v>9</v>
      </c>
      <c r="AT16">
        <v>9</v>
      </c>
      <c r="AU16">
        <v>10</v>
      </c>
      <c r="AV16">
        <v>10</v>
      </c>
      <c r="AW16">
        <v>10</v>
      </c>
      <c r="AX16">
        <v>11</v>
      </c>
      <c r="AY16">
        <v>11</v>
      </c>
      <c r="AZ16">
        <v>15</v>
      </c>
      <c r="BA16">
        <v>18</v>
      </c>
      <c r="BB16">
        <v>21</v>
      </c>
      <c r="BC16">
        <v>21</v>
      </c>
      <c r="BD16">
        <v>36</v>
      </c>
      <c r="BE16">
        <v>49</v>
      </c>
      <c r="BF16">
        <v>57</v>
      </c>
      <c r="BG16">
        <v>71</v>
      </c>
      <c r="BH16">
        <v>94</v>
      </c>
      <c r="BI16">
        <v>121</v>
      </c>
      <c r="BJ16">
        <v>121</v>
      </c>
      <c r="BK16">
        <v>121</v>
      </c>
      <c r="BL16">
        <v>229</v>
      </c>
      <c r="BM16">
        <v>355</v>
      </c>
      <c r="BN16">
        <v>355</v>
      </c>
      <c r="BO16">
        <v>411</v>
      </c>
      <c r="BP16">
        <v>466</v>
      </c>
      <c r="BQ16">
        <v>520</v>
      </c>
      <c r="BR16">
        <v>574</v>
      </c>
      <c r="BS16">
        <v>685</v>
      </c>
    </row>
    <row r="17" spans="1:71" x14ac:dyDescent="0.3">
      <c r="A17" t="s">
        <v>97</v>
      </c>
      <c r="B17" t="s">
        <v>48</v>
      </c>
      <c r="C17">
        <v>-31.950500000000002</v>
      </c>
      <c r="D17">
        <v>115.8605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2</v>
      </c>
      <c r="AR17">
        <v>2</v>
      </c>
      <c r="AS17">
        <v>2</v>
      </c>
      <c r="AT17">
        <v>2</v>
      </c>
      <c r="AU17">
        <v>2</v>
      </c>
      <c r="AV17">
        <v>3</v>
      </c>
      <c r="AW17">
        <v>3</v>
      </c>
      <c r="AX17">
        <v>3</v>
      </c>
      <c r="AY17">
        <v>3</v>
      </c>
      <c r="AZ17">
        <v>4</v>
      </c>
      <c r="BA17">
        <v>6</v>
      </c>
      <c r="BB17">
        <v>9</v>
      </c>
      <c r="BC17">
        <v>9</v>
      </c>
      <c r="BD17">
        <v>14</v>
      </c>
      <c r="BE17">
        <v>17</v>
      </c>
      <c r="BF17">
        <v>17</v>
      </c>
      <c r="BG17">
        <v>28</v>
      </c>
      <c r="BH17">
        <v>31</v>
      </c>
      <c r="BI17">
        <v>35</v>
      </c>
      <c r="BJ17">
        <v>52</v>
      </c>
      <c r="BK17">
        <v>64</v>
      </c>
      <c r="BL17">
        <v>90</v>
      </c>
      <c r="BM17">
        <v>120</v>
      </c>
      <c r="BN17">
        <v>140</v>
      </c>
      <c r="BO17">
        <v>175</v>
      </c>
      <c r="BP17">
        <v>175</v>
      </c>
      <c r="BQ17">
        <v>231</v>
      </c>
      <c r="BR17">
        <v>231</v>
      </c>
      <c r="BS17">
        <v>278</v>
      </c>
    </row>
    <row r="18" spans="1:71" x14ac:dyDescent="0.3">
      <c r="B18" t="s">
        <v>78</v>
      </c>
      <c r="C18">
        <v>47.516199999999998</v>
      </c>
      <c r="D18">
        <v>14.5501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2</v>
      </c>
      <c r="AN18">
        <v>2</v>
      </c>
      <c r="AO18">
        <v>3</v>
      </c>
      <c r="AP18">
        <v>3</v>
      </c>
      <c r="AQ18">
        <v>9</v>
      </c>
      <c r="AR18">
        <v>14</v>
      </c>
      <c r="AS18">
        <v>18</v>
      </c>
      <c r="AT18">
        <v>21</v>
      </c>
      <c r="AU18">
        <v>29</v>
      </c>
      <c r="AV18">
        <v>41</v>
      </c>
      <c r="AW18">
        <v>55</v>
      </c>
      <c r="AX18">
        <v>79</v>
      </c>
      <c r="AY18">
        <v>104</v>
      </c>
      <c r="AZ18">
        <v>131</v>
      </c>
      <c r="BA18">
        <v>182</v>
      </c>
      <c r="BB18">
        <v>246</v>
      </c>
      <c r="BC18">
        <v>302</v>
      </c>
      <c r="BD18">
        <v>504</v>
      </c>
      <c r="BE18">
        <v>655</v>
      </c>
      <c r="BF18">
        <v>860</v>
      </c>
      <c r="BG18">
        <v>1018</v>
      </c>
      <c r="BH18">
        <v>1332</v>
      </c>
      <c r="BI18">
        <v>1646</v>
      </c>
      <c r="BJ18">
        <v>2013</v>
      </c>
      <c r="BK18">
        <v>2388</v>
      </c>
      <c r="BL18">
        <v>2814</v>
      </c>
      <c r="BM18">
        <v>3582</v>
      </c>
      <c r="BN18">
        <v>4474</v>
      </c>
      <c r="BO18">
        <v>5283</v>
      </c>
      <c r="BP18">
        <v>5588</v>
      </c>
      <c r="BQ18">
        <v>6909</v>
      </c>
      <c r="BR18">
        <v>7657</v>
      </c>
      <c r="BS18">
        <v>8271</v>
      </c>
    </row>
    <row r="19" spans="1:71" x14ac:dyDescent="0.3">
      <c r="B19" t="s">
        <v>104</v>
      </c>
      <c r="C19">
        <v>40.143099999999997</v>
      </c>
      <c r="D19">
        <v>47.576900000000002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3</v>
      </c>
      <c r="AS19">
        <v>3</v>
      </c>
      <c r="AT19">
        <v>3</v>
      </c>
      <c r="AU19">
        <v>3</v>
      </c>
      <c r="AV19">
        <v>6</v>
      </c>
      <c r="AW19">
        <v>6</v>
      </c>
      <c r="AX19">
        <v>9</v>
      </c>
      <c r="AY19">
        <v>9</v>
      </c>
      <c r="AZ19">
        <v>9</v>
      </c>
      <c r="BA19">
        <v>11</v>
      </c>
      <c r="BB19">
        <v>11</v>
      </c>
      <c r="BC19">
        <v>11</v>
      </c>
      <c r="BD19">
        <v>15</v>
      </c>
      <c r="BE19">
        <v>15</v>
      </c>
      <c r="BF19">
        <v>23</v>
      </c>
      <c r="BG19">
        <v>28</v>
      </c>
      <c r="BH19">
        <v>28</v>
      </c>
      <c r="BI19">
        <v>28</v>
      </c>
      <c r="BJ19">
        <v>44</v>
      </c>
      <c r="BK19">
        <v>44</v>
      </c>
      <c r="BL19">
        <v>53</v>
      </c>
      <c r="BM19">
        <v>65</v>
      </c>
      <c r="BN19">
        <v>72</v>
      </c>
      <c r="BO19">
        <v>87</v>
      </c>
      <c r="BP19">
        <v>93</v>
      </c>
      <c r="BQ19">
        <v>122</v>
      </c>
      <c r="BR19">
        <v>165</v>
      </c>
      <c r="BS19">
        <v>182</v>
      </c>
    </row>
    <row r="20" spans="1:71" x14ac:dyDescent="0.3">
      <c r="B20" t="s">
        <v>581</v>
      </c>
      <c r="C20">
        <v>25.034300000000002</v>
      </c>
      <c r="D20">
        <v>-77.396299999999997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1</v>
      </c>
      <c r="BH20">
        <v>1</v>
      </c>
      <c r="BI20">
        <v>1</v>
      </c>
      <c r="BJ20">
        <v>3</v>
      </c>
      <c r="BK20">
        <v>3</v>
      </c>
      <c r="BL20">
        <v>4</v>
      </c>
      <c r="BM20">
        <v>4</v>
      </c>
      <c r="BN20">
        <v>4</v>
      </c>
      <c r="BO20">
        <v>5</v>
      </c>
      <c r="BP20">
        <v>5</v>
      </c>
      <c r="BQ20">
        <v>9</v>
      </c>
      <c r="BR20">
        <v>10</v>
      </c>
      <c r="BS20">
        <v>10</v>
      </c>
    </row>
    <row r="21" spans="1:71" x14ac:dyDescent="0.3">
      <c r="B21" t="s">
        <v>73</v>
      </c>
      <c r="C21">
        <v>26.0275</v>
      </c>
      <c r="D21">
        <v>50.55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1</v>
      </c>
      <c r="AM21">
        <v>23</v>
      </c>
      <c r="AN21">
        <v>33</v>
      </c>
      <c r="AO21">
        <v>33</v>
      </c>
      <c r="AP21">
        <v>36</v>
      </c>
      <c r="AQ21">
        <v>41</v>
      </c>
      <c r="AR21">
        <v>47</v>
      </c>
      <c r="AS21">
        <v>49</v>
      </c>
      <c r="AT21">
        <v>49</v>
      </c>
      <c r="AU21">
        <v>52</v>
      </c>
      <c r="AV21">
        <v>55</v>
      </c>
      <c r="AW21">
        <v>60</v>
      </c>
      <c r="AX21">
        <v>85</v>
      </c>
      <c r="AY21">
        <v>85</v>
      </c>
      <c r="AZ21">
        <v>95</v>
      </c>
      <c r="BA21">
        <v>110</v>
      </c>
      <c r="BB21">
        <v>195</v>
      </c>
      <c r="BC21">
        <v>195</v>
      </c>
      <c r="BD21">
        <v>195</v>
      </c>
      <c r="BE21">
        <v>210</v>
      </c>
      <c r="BF21">
        <v>214</v>
      </c>
      <c r="BG21">
        <v>214</v>
      </c>
      <c r="BH21">
        <v>228</v>
      </c>
      <c r="BI21">
        <v>256</v>
      </c>
      <c r="BJ21">
        <v>278</v>
      </c>
      <c r="BK21">
        <v>285</v>
      </c>
      <c r="BL21">
        <v>305</v>
      </c>
      <c r="BM21">
        <v>334</v>
      </c>
      <c r="BN21">
        <v>377</v>
      </c>
      <c r="BO21">
        <v>392</v>
      </c>
      <c r="BP21">
        <v>419</v>
      </c>
      <c r="BQ21">
        <v>458</v>
      </c>
      <c r="BR21">
        <v>466</v>
      </c>
      <c r="BS21">
        <v>476</v>
      </c>
    </row>
    <row r="22" spans="1:71" x14ac:dyDescent="0.3">
      <c r="B22" t="s">
        <v>202</v>
      </c>
      <c r="C22">
        <v>23.684999999999999</v>
      </c>
      <c r="D22">
        <v>90.356300000000005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3</v>
      </c>
      <c r="AZ22">
        <v>3</v>
      </c>
      <c r="BA22">
        <v>3</v>
      </c>
      <c r="BB22">
        <v>3</v>
      </c>
      <c r="BC22">
        <v>3</v>
      </c>
      <c r="BD22">
        <v>3</v>
      </c>
      <c r="BE22">
        <v>3</v>
      </c>
      <c r="BF22">
        <v>5</v>
      </c>
      <c r="BG22">
        <v>8</v>
      </c>
      <c r="BH22">
        <v>10</v>
      </c>
      <c r="BI22">
        <v>14</v>
      </c>
      <c r="BJ22">
        <v>17</v>
      </c>
      <c r="BK22">
        <v>20</v>
      </c>
      <c r="BL22">
        <v>25</v>
      </c>
      <c r="BM22">
        <v>27</v>
      </c>
      <c r="BN22">
        <v>33</v>
      </c>
      <c r="BO22">
        <v>39</v>
      </c>
      <c r="BP22">
        <v>39</v>
      </c>
      <c r="BQ22">
        <v>44</v>
      </c>
      <c r="BR22">
        <v>48</v>
      </c>
      <c r="BS22">
        <v>48</v>
      </c>
    </row>
    <row r="23" spans="1:71" x14ac:dyDescent="0.3">
      <c r="B23" t="s">
        <v>485</v>
      </c>
      <c r="C23">
        <v>13.193899999999999</v>
      </c>
      <c r="D23">
        <v>-59.543199999999999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2</v>
      </c>
      <c r="BI23">
        <v>2</v>
      </c>
      <c r="BJ23">
        <v>5</v>
      </c>
      <c r="BK23">
        <v>5</v>
      </c>
      <c r="BL23">
        <v>6</v>
      </c>
      <c r="BM23">
        <v>14</v>
      </c>
      <c r="BN23">
        <v>17</v>
      </c>
      <c r="BO23">
        <v>18</v>
      </c>
      <c r="BP23">
        <v>18</v>
      </c>
      <c r="BQ23">
        <v>18</v>
      </c>
      <c r="BR23">
        <v>24</v>
      </c>
      <c r="BS23">
        <v>26</v>
      </c>
    </row>
    <row r="24" spans="1:71" x14ac:dyDescent="0.3">
      <c r="B24" t="s">
        <v>91</v>
      </c>
      <c r="C24">
        <v>53.709800000000001</v>
      </c>
      <c r="D24">
        <v>27.953399999999998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1</v>
      </c>
      <c r="AQ24">
        <v>1</v>
      </c>
      <c r="AR24">
        <v>1</v>
      </c>
      <c r="AS24">
        <v>1</v>
      </c>
      <c r="AT24">
        <v>1</v>
      </c>
      <c r="AU24">
        <v>6</v>
      </c>
      <c r="AV24">
        <v>6</v>
      </c>
      <c r="AW24">
        <v>6</v>
      </c>
      <c r="AX24">
        <v>6</v>
      </c>
      <c r="AY24">
        <v>6</v>
      </c>
      <c r="AZ24">
        <v>6</v>
      </c>
      <c r="BA24">
        <v>9</v>
      </c>
      <c r="BB24">
        <v>9</v>
      </c>
      <c r="BC24">
        <v>12</v>
      </c>
      <c r="BD24">
        <v>27</v>
      </c>
      <c r="BE24">
        <v>27</v>
      </c>
      <c r="BF24">
        <v>27</v>
      </c>
      <c r="BG24">
        <v>36</v>
      </c>
      <c r="BH24">
        <v>36</v>
      </c>
      <c r="BI24">
        <v>51</v>
      </c>
      <c r="BJ24">
        <v>51</v>
      </c>
      <c r="BK24">
        <v>69</v>
      </c>
      <c r="BL24">
        <v>76</v>
      </c>
      <c r="BM24">
        <v>76</v>
      </c>
      <c r="BN24">
        <v>81</v>
      </c>
      <c r="BO24">
        <v>81</v>
      </c>
      <c r="BP24">
        <v>86</v>
      </c>
      <c r="BQ24">
        <v>86</v>
      </c>
      <c r="BR24">
        <v>94</v>
      </c>
      <c r="BS24">
        <v>94</v>
      </c>
    </row>
    <row r="25" spans="1:71" x14ac:dyDescent="0.3">
      <c r="B25" t="s">
        <v>63</v>
      </c>
      <c r="C25">
        <v>50.833300000000001</v>
      </c>
      <c r="D25">
        <v>4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1</v>
      </c>
      <c r="S25">
        <v>1</v>
      </c>
      <c r="T25">
        <v>1</v>
      </c>
      <c r="U25">
        <v>1</v>
      </c>
      <c r="V25">
        <v>1</v>
      </c>
      <c r="W25">
        <v>1</v>
      </c>
      <c r="X25">
        <v>1</v>
      </c>
      <c r="Y25">
        <v>1</v>
      </c>
      <c r="Z25">
        <v>1</v>
      </c>
      <c r="AA25">
        <v>1</v>
      </c>
      <c r="AB25">
        <v>1</v>
      </c>
      <c r="AC25">
        <v>1</v>
      </c>
      <c r="AD25">
        <v>1</v>
      </c>
      <c r="AE25">
        <v>1</v>
      </c>
      <c r="AF25">
        <v>1</v>
      </c>
      <c r="AG25">
        <v>1</v>
      </c>
      <c r="AH25">
        <v>1</v>
      </c>
      <c r="AI25">
        <v>1</v>
      </c>
      <c r="AJ25">
        <v>1</v>
      </c>
      <c r="AK25">
        <v>1</v>
      </c>
      <c r="AL25">
        <v>1</v>
      </c>
      <c r="AM25">
        <v>1</v>
      </c>
      <c r="AN25">
        <v>1</v>
      </c>
      <c r="AO25">
        <v>1</v>
      </c>
      <c r="AP25">
        <v>1</v>
      </c>
      <c r="AQ25">
        <v>1</v>
      </c>
      <c r="AR25">
        <v>2</v>
      </c>
      <c r="AS25">
        <v>8</v>
      </c>
      <c r="AT25">
        <v>13</v>
      </c>
      <c r="AU25">
        <v>23</v>
      </c>
      <c r="AV25">
        <v>50</v>
      </c>
      <c r="AW25">
        <v>109</v>
      </c>
      <c r="AX25">
        <v>169</v>
      </c>
      <c r="AY25">
        <v>200</v>
      </c>
      <c r="AZ25">
        <v>239</v>
      </c>
      <c r="BA25">
        <v>267</v>
      </c>
      <c r="BB25">
        <v>314</v>
      </c>
      <c r="BC25">
        <v>314</v>
      </c>
      <c r="BD25">
        <v>559</v>
      </c>
      <c r="BE25">
        <v>689</v>
      </c>
      <c r="BF25">
        <v>886</v>
      </c>
      <c r="BG25">
        <v>1058</v>
      </c>
      <c r="BH25">
        <v>1243</v>
      </c>
      <c r="BI25">
        <v>1486</v>
      </c>
      <c r="BJ25">
        <v>1795</v>
      </c>
      <c r="BK25">
        <v>2257</v>
      </c>
      <c r="BL25">
        <v>2815</v>
      </c>
      <c r="BM25">
        <v>3401</v>
      </c>
      <c r="BN25">
        <v>3743</v>
      </c>
      <c r="BO25">
        <v>4269</v>
      </c>
      <c r="BP25">
        <v>4937</v>
      </c>
      <c r="BQ25">
        <v>6235</v>
      </c>
      <c r="BR25">
        <v>7284</v>
      </c>
      <c r="BS25">
        <v>9134</v>
      </c>
    </row>
    <row r="26" spans="1:71" x14ac:dyDescent="0.3">
      <c r="B26" t="s">
        <v>468</v>
      </c>
      <c r="C26">
        <v>9.3077000000000005</v>
      </c>
      <c r="D26">
        <v>2.3157999999999999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1</v>
      </c>
      <c r="BH26">
        <v>1</v>
      </c>
      <c r="BI26">
        <v>2</v>
      </c>
      <c r="BJ26">
        <v>2</v>
      </c>
      <c r="BK26">
        <v>2</v>
      </c>
      <c r="BL26">
        <v>2</v>
      </c>
      <c r="BM26">
        <v>2</v>
      </c>
      <c r="BN26">
        <v>5</v>
      </c>
      <c r="BO26">
        <v>6</v>
      </c>
      <c r="BP26">
        <v>6</v>
      </c>
      <c r="BQ26">
        <v>6</v>
      </c>
      <c r="BR26">
        <v>6</v>
      </c>
      <c r="BS26">
        <v>6</v>
      </c>
    </row>
    <row r="27" spans="1:71" x14ac:dyDescent="0.3">
      <c r="B27" t="s">
        <v>156</v>
      </c>
      <c r="C27">
        <v>27.514199999999999</v>
      </c>
      <c r="D27">
        <v>90.433599999999998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1</v>
      </c>
      <c r="AX27">
        <v>1</v>
      </c>
      <c r="AY27">
        <v>1</v>
      </c>
      <c r="AZ27">
        <v>1</v>
      </c>
      <c r="BA27">
        <v>1</v>
      </c>
      <c r="BB27">
        <v>1</v>
      </c>
      <c r="BC27">
        <v>1</v>
      </c>
      <c r="BD27">
        <v>1</v>
      </c>
      <c r="BE27">
        <v>1</v>
      </c>
      <c r="BF27">
        <v>1</v>
      </c>
      <c r="BG27">
        <v>1</v>
      </c>
      <c r="BH27">
        <v>1</v>
      </c>
      <c r="BI27">
        <v>1</v>
      </c>
      <c r="BJ27">
        <v>1</v>
      </c>
      <c r="BK27">
        <v>2</v>
      </c>
      <c r="BL27">
        <v>2</v>
      </c>
      <c r="BM27">
        <v>2</v>
      </c>
      <c r="BN27">
        <v>2</v>
      </c>
      <c r="BO27">
        <v>2</v>
      </c>
      <c r="BP27">
        <v>2</v>
      </c>
      <c r="BQ27">
        <v>2</v>
      </c>
      <c r="BR27">
        <v>3</v>
      </c>
      <c r="BS27">
        <v>3</v>
      </c>
    </row>
    <row r="28" spans="1:71" x14ac:dyDescent="0.3">
      <c r="B28" t="s">
        <v>346</v>
      </c>
      <c r="C28">
        <v>-16.290199999999999</v>
      </c>
      <c r="D28">
        <v>-63.588700000000003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2</v>
      </c>
      <c r="BC28">
        <v>2</v>
      </c>
      <c r="BD28">
        <v>3</v>
      </c>
      <c r="BE28">
        <v>10</v>
      </c>
      <c r="BF28">
        <v>10</v>
      </c>
      <c r="BG28">
        <v>11</v>
      </c>
      <c r="BH28">
        <v>11</v>
      </c>
      <c r="BI28">
        <v>12</v>
      </c>
      <c r="BJ28">
        <v>12</v>
      </c>
      <c r="BK28">
        <v>15</v>
      </c>
      <c r="BL28">
        <v>19</v>
      </c>
      <c r="BM28">
        <v>24</v>
      </c>
      <c r="BN28">
        <v>27</v>
      </c>
      <c r="BO28">
        <v>29</v>
      </c>
      <c r="BP28">
        <v>32</v>
      </c>
      <c r="BQ28">
        <v>43</v>
      </c>
      <c r="BR28">
        <v>61</v>
      </c>
      <c r="BS28">
        <v>74</v>
      </c>
    </row>
    <row r="29" spans="1:71" x14ac:dyDescent="0.3">
      <c r="B29" t="s">
        <v>140</v>
      </c>
      <c r="C29">
        <v>43.915900000000001</v>
      </c>
      <c r="D29">
        <v>17.679099999999998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2</v>
      </c>
      <c r="AW29">
        <v>2</v>
      </c>
      <c r="AX29">
        <v>3</v>
      </c>
      <c r="AY29">
        <v>3</v>
      </c>
      <c r="AZ29">
        <v>3</v>
      </c>
      <c r="BA29">
        <v>5</v>
      </c>
      <c r="BB29">
        <v>7</v>
      </c>
      <c r="BC29">
        <v>11</v>
      </c>
      <c r="BD29">
        <v>13</v>
      </c>
      <c r="BE29">
        <v>18</v>
      </c>
      <c r="BF29">
        <v>24</v>
      </c>
      <c r="BG29">
        <v>25</v>
      </c>
      <c r="BH29">
        <v>26</v>
      </c>
      <c r="BI29">
        <v>38</v>
      </c>
      <c r="BJ29">
        <v>63</v>
      </c>
      <c r="BK29">
        <v>89</v>
      </c>
      <c r="BL29">
        <v>93</v>
      </c>
      <c r="BM29">
        <v>126</v>
      </c>
      <c r="BN29">
        <v>136</v>
      </c>
      <c r="BO29">
        <v>166</v>
      </c>
      <c r="BP29">
        <v>176</v>
      </c>
      <c r="BQ29">
        <v>191</v>
      </c>
      <c r="BR29">
        <v>237</v>
      </c>
      <c r="BS29">
        <v>258</v>
      </c>
    </row>
    <row r="30" spans="1:71" x14ac:dyDescent="0.3">
      <c r="B30" t="s">
        <v>81</v>
      </c>
      <c r="C30">
        <v>-14.234999999999999</v>
      </c>
      <c r="D30">
        <v>-51.9253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1</v>
      </c>
      <c r="AO30">
        <v>1</v>
      </c>
      <c r="AP30">
        <v>1</v>
      </c>
      <c r="AQ30">
        <v>2</v>
      </c>
      <c r="AR30">
        <v>2</v>
      </c>
      <c r="AS30">
        <v>2</v>
      </c>
      <c r="AT30">
        <v>2</v>
      </c>
      <c r="AU30">
        <v>4</v>
      </c>
      <c r="AV30">
        <v>4</v>
      </c>
      <c r="AW30">
        <v>13</v>
      </c>
      <c r="AX30">
        <v>13</v>
      </c>
      <c r="AY30">
        <v>20</v>
      </c>
      <c r="AZ30">
        <v>25</v>
      </c>
      <c r="BA30">
        <v>31</v>
      </c>
      <c r="BB30">
        <v>38</v>
      </c>
      <c r="BC30">
        <v>52</v>
      </c>
      <c r="BD30">
        <v>151</v>
      </c>
      <c r="BE30">
        <v>151</v>
      </c>
      <c r="BF30">
        <v>162</v>
      </c>
      <c r="BG30">
        <v>200</v>
      </c>
      <c r="BH30">
        <v>321</v>
      </c>
      <c r="BI30">
        <v>372</v>
      </c>
      <c r="BJ30">
        <v>621</v>
      </c>
      <c r="BK30">
        <v>793</v>
      </c>
      <c r="BL30">
        <v>1021</v>
      </c>
      <c r="BM30">
        <v>1546</v>
      </c>
      <c r="BN30">
        <v>1924</v>
      </c>
      <c r="BO30">
        <v>2247</v>
      </c>
      <c r="BP30">
        <v>2554</v>
      </c>
      <c r="BQ30">
        <v>2985</v>
      </c>
      <c r="BR30">
        <v>3417</v>
      </c>
      <c r="BS30">
        <v>3904</v>
      </c>
    </row>
    <row r="31" spans="1:71" x14ac:dyDescent="0.3">
      <c r="B31" t="s">
        <v>233</v>
      </c>
      <c r="C31">
        <v>4.5353000000000003</v>
      </c>
      <c r="D31">
        <v>114.7277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1</v>
      </c>
      <c r="BA31">
        <v>1</v>
      </c>
      <c r="BB31">
        <v>11</v>
      </c>
      <c r="BC31">
        <v>11</v>
      </c>
      <c r="BD31">
        <v>37</v>
      </c>
      <c r="BE31">
        <v>40</v>
      </c>
      <c r="BF31">
        <v>50</v>
      </c>
      <c r="BG31">
        <v>54</v>
      </c>
      <c r="BH31">
        <v>56</v>
      </c>
      <c r="BI31">
        <v>68</v>
      </c>
      <c r="BJ31">
        <v>75</v>
      </c>
      <c r="BK31">
        <v>78</v>
      </c>
      <c r="BL31">
        <v>83</v>
      </c>
      <c r="BM31">
        <v>88</v>
      </c>
      <c r="BN31">
        <v>91</v>
      </c>
      <c r="BO31">
        <v>104</v>
      </c>
      <c r="BP31">
        <v>109</v>
      </c>
      <c r="BQ31">
        <v>114</v>
      </c>
      <c r="BR31">
        <v>115</v>
      </c>
      <c r="BS31">
        <v>120</v>
      </c>
    </row>
    <row r="32" spans="1:71" x14ac:dyDescent="0.3">
      <c r="B32" t="s">
        <v>199</v>
      </c>
      <c r="C32">
        <v>42.733899999999998</v>
      </c>
      <c r="D32">
        <v>25.485800000000001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4</v>
      </c>
      <c r="AZ32">
        <v>4</v>
      </c>
      <c r="BA32">
        <v>4</v>
      </c>
      <c r="BB32">
        <v>7</v>
      </c>
      <c r="BC32">
        <v>7</v>
      </c>
      <c r="BD32">
        <v>23</v>
      </c>
      <c r="BE32">
        <v>41</v>
      </c>
      <c r="BF32">
        <v>51</v>
      </c>
      <c r="BG32">
        <v>52</v>
      </c>
      <c r="BH32">
        <v>67</v>
      </c>
      <c r="BI32">
        <v>92</v>
      </c>
      <c r="BJ32">
        <v>94</v>
      </c>
      <c r="BK32">
        <v>127</v>
      </c>
      <c r="BL32">
        <v>163</v>
      </c>
      <c r="BM32">
        <v>187</v>
      </c>
      <c r="BN32">
        <v>201</v>
      </c>
      <c r="BO32">
        <v>218</v>
      </c>
      <c r="BP32">
        <v>242</v>
      </c>
      <c r="BQ32">
        <v>264</v>
      </c>
      <c r="BR32">
        <v>293</v>
      </c>
      <c r="BS32">
        <v>331</v>
      </c>
    </row>
    <row r="33" spans="1:71" x14ac:dyDescent="0.3">
      <c r="B33" t="s">
        <v>279</v>
      </c>
      <c r="C33">
        <v>12.238300000000001</v>
      </c>
      <c r="D33">
        <v>-1.5616000000000001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1</v>
      </c>
      <c r="BB33">
        <v>2</v>
      </c>
      <c r="BC33">
        <v>2</v>
      </c>
      <c r="BD33">
        <v>2</v>
      </c>
      <c r="BE33">
        <v>2</v>
      </c>
      <c r="BF33">
        <v>3</v>
      </c>
      <c r="BG33">
        <v>15</v>
      </c>
      <c r="BH33">
        <v>15</v>
      </c>
      <c r="BI33">
        <v>20</v>
      </c>
      <c r="BJ33">
        <v>33</v>
      </c>
      <c r="BK33">
        <v>40</v>
      </c>
      <c r="BL33">
        <v>64</v>
      </c>
      <c r="BM33">
        <v>75</v>
      </c>
      <c r="BN33">
        <v>99</v>
      </c>
      <c r="BO33">
        <v>114</v>
      </c>
      <c r="BP33">
        <v>146</v>
      </c>
      <c r="BQ33">
        <v>152</v>
      </c>
      <c r="BR33">
        <v>180</v>
      </c>
      <c r="BS33">
        <v>207</v>
      </c>
    </row>
    <row r="34" spans="1:71" x14ac:dyDescent="0.3">
      <c r="B34" t="s">
        <v>533</v>
      </c>
      <c r="C34">
        <v>16.538799999999998</v>
      </c>
      <c r="D34">
        <v>-23.041799999999999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1</v>
      </c>
      <c r="BL34">
        <v>3</v>
      </c>
      <c r="BM34">
        <v>3</v>
      </c>
      <c r="BN34">
        <v>3</v>
      </c>
      <c r="BO34">
        <v>3</v>
      </c>
      <c r="BP34">
        <v>4</v>
      </c>
      <c r="BQ34">
        <v>4</v>
      </c>
      <c r="BR34">
        <v>5</v>
      </c>
      <c r="BS34">
        <v>5</v>
      </c>
    </row>
    <row r="35" spans="1:71" x14ac:dyDescent="0.3">
      <c r="B35" t="s">
        <v>51</v>
      </c>
      <c r="C35">
        <v>11.55</v>
      </c>
      <c r="D35">
        <v>104.91670000000001</v>
      </c>
      <c r="E35">
        <v>0</v>
      </c>
      <c r="F35">
        <v>0</v>
      </c>
      <c r="G35">
        <v>0</v>
      </c>
      <c r="H35">
        <v>0</v>
      </c>
      <c r="I35">
        <v>0</v>
      </c>
      <c r="J35">
        <v>1</v>
      </c>
      <c r="K35">
        <v>1</v>
      </c>
      <c r="L35">
        <v>1</v>
      </c>
      <c r="M35">
        <v>1</v>
      </c>
      <c r="N35">
        <v>1</v>
      </c>
      <c r="O35">
        <v>1</v>
      </c>
      <c r="P35">
        <v>1</v>
      </c>
      <c r="Q35">
        <v>1</v>
      </c>
      <c r="R35">
        <v>1</v>
      </c>
      <c r="S35">
        <v>1</v>
      </c>
      <c r="T35">
        <v>1</v>
      </c>
      <c r="U35">
        <v>1</v>
      </c>
      <c r="V35">
        <v>1</v>
      </c>
      <c r="W35">
        <v>1</v>
      </c>
      <c r="X35">
        <v>1</v>
      </c>
      <c r="Y35">
        <v>1</v>
      </c>
      <c r="Z35">
        <v>1</v>
      </c>
      <c r="AA35">
        <v>1</v>
      </c>
      <c r="AB35">
        <v>1</v>
      </c>
      <c r="AC35">
        <v>1</v>
      </c>
      <c r="AD35">
        <v>1</v>
      </c>
      <c r="AE35">
        <v>1</v>
      </c>
      <c r="AF35">
        <v>1</v>
      </c>
      <c r="AG35">
        <v>1</v>
      </c>
      <c r="AH35">
        <v>1</v>
      </c>
      <c r="AI35">
        <v>1</v>
      </c>
      <c r="AJ35">
        <v>1</v>
      </c>
      <c r="AK35">
        <v>1</v>
      </c>
      <c r="AL35">
        <v>1</v>
      </c>
      <c r="AM35">
        <v>1</v>
      </c>
      <c r="AN35">
        <v>1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V35">
        <v>1</v>
      </c>
      <c r="AW35">
        <v>1</v>
      </c>
      <c r="AX35">
        <v>1</v>
      </c>
      <c r="AY35">
        <v>2</v>
      </c>
      <c r="AZ35">
        <v>2</v>
      </c>
      <c r="BA35">
        <v>2</v>
      </c>
      <c r="BB35">
        <v>3</v>
      </c>
      <c r="BC35">
        <v>3</v>
      </c>
      <c r="BD35">
        <v>5</v>
      </c>
      <c r="BE35">
        <v>7</v>
      </c>
      <c r="BF35">
        <v>7</v>
      </c>
      <c r="BG35">
        <v>7</v>
      </c>
      <c r="BH35">
        <v>33</v>
      </c>
      <c r="BI35">
        <v>35</v>
      </c>
      <c r="BJ35">
        <v>37</v>
      </c>
      <c r="BK35">
        <v>51</v>
      </c>
      <c r="BL35">
        <v>53</v>
      </c>
      <c r="BM35">
        <v>84</v>
      </c>
      <c r="BN35">
        <v>87</v>
      </c>
      <c r="BO35">
        <v>91</v>
      </c>
      <c r="BP35">
        <v>96</v>
      </c>
      <c r="BQ35">
        <v>96</v>
      </c>
      <c r="BR35">
        <v>99</v>
      </c>
      <c r="BS35">
        <v>99</v>
      </c>
    </row>
    <row r="36" spans="1:71" x14ac:dyDescent="0.3">
      <c r="B36" t="s">
        <v>157</v>
      </c>
      <c r="C36">
        <v>3.8479999999999999</v>
      </c>
      <c r="D36">
        <v>11.5021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1</v>
      </c>
      <c r="AX36">
        <v>1</v>
      </c>
      <c r="AY36">
        <v>2</v>
      </c>
      <c r="AZ36">
        <v>2</v>
      </c>
      <c r="BA36">
        <v>2</v>
      </c>
      <c r="BB36">
        <v>2</v>
      </c>
      <c r="BC36">
        <v>2</v>
      </c>
      <c r="BD36">
        <v>2</v>
      </c>
      <c r="BE36">
        <v>2</v>
      </c>
      <c r="BF36">
        <v>2</v>
      </c>
      <c r="BG36">
        <v>4</v>
      </c>
      <c r="BH36">
        <v>10</v>
      </c>
      <c r="BI36">
        <v>10</v>
      </c>
      <c r="BJ36">
        <v>13</v>
      </c>
      <c r="BK36">
        <v>20</v>
      </c>
      <c r="BL36">
        <v>27</v>
      </c>
      <c r="BM36">
        <v>40</v>
      </c>
      <c r="BN36">
        <v>56</v>
      </c>
      <c r="BO36">
        <v>66</v>
      </c>
      <c r="BP36">
        <v>75</v>
      </c>
      <c r="BQ36">
        <v>75</v>
      </c>
      <c r="BR36">
        <v>91</v>
      </c>
      <c r="BS36">
        <v>91</v>
      </c>
    </row>
    <row r="37" spans="1:71" x14ac:dyDescent="0.3">
      <c r="A37" t="s">
        <v>227</v>
      </c>
      <c r="B37" t="s">
        <v>45</v>
      </c>
      <c r="C37">
        <v>53.933300000000003</v>
      </c>
      <c r="D37">
        <v>-116.5765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1</v>
      </c>
      <c r="AX37">
        <v>2</v>
      </c>
      <c r="AY37">
        <v>4</v>
      </c>
      <c r="AZ37">
        <v>7</v>
      </c>
      <c r="BA37">
        <v>7</v>
      </c>
      <c r="BB37">
        <v>19</v>
      </c>
      <c r="BC37">
        <v>19</v>
      </c>
      <c r="BD37">
        <v>29</v>
      </c>
      <c r="BE37">
        <v>29</v>
      </c>
      <c r="BF37">
        <v>39</v>
      </c>
      <c r="BG37">
        <v>56</v>
      </c>
      <c r="BH37">
        <v>74</v>
      </c>
      <c r="BI37">
        <v>97</v>
      </c>
      <c r="BJ37">
        <v>119</v>
      </c>
      <c r="BK37">
        <v>146</v>
      </c>
      <c r="BL37">
        <v>195</v>
      </c>
      <c r="BM37">
        <v>259</v>
      </c>
      <c r="BN37">
        <v>301</v>
      </c>
      <c r="BO37">
        <v>359</v>
      </c>
      <c r="BP37">
        <v>358</v>
      </c>
      <c r="BQ37">
        <v>486</v>
      </c>
      <c r="BR37">
        <v>542</v>
      </c>
      <c r="BS37">
        <v>542</v>
      </c>
    </row>
    <row r="38" spans="1:71" x14ac:dyDescent="0.3">
      <c r="A38" t="s">
        <v>44</v>
      </c>
      <c r="B38" t="s">
        <v>45</v>
      </c>
      <c r="C38">
        <v>49.282699999999998</v>
      </c>
      <c r="D38">
        <v>-123.1207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1</v>
      </c>
      <c r="L38">
        <v>1</v>
      </c>
      <c r="M38">
        <v>1</v>
      </c>
      <c r="N38">
        <v>1</v>
      </c>
      <c r="O38">
        <v>1</v>
      </c>
      <c r="P38">
        <v>1</v>
      </c>
      <c r="Q38">
        <v>1</v>
      </c>
      <c r="R38">
        <v>1</v>
      </c>
      <c r="S38">
        <v>2</v>
      </c>
      <c r="T38">
        <v>2</v>
      </c>
      <c r="U38">
        <v>4</v>
      </c>
      <c r="V38">
        <v>4</v>
      </c>
      <c r="W38">
        <v>4</v>
      </c>
      <c r="X38">
        <v>4</v>
      </c>
      <c r="Y38">
        <v>4</v>
      </c>
      <c r="Z38">
        <v>4</v>
      </c>
      <c r="AA38">
        <v>4</v>
      </c>
      <c r="AB38">
        <v>4</v>
      </c>
      <c r="AC38">
        <v>4</v>
      </c>
      <c r="AD38">
        <v>4</v>
      </c>
      <c r="AE38">
        <v>5</v>
      </c>
      <c r="AF38">
        <v>5</v>
      </c>
      <c r="AG38">
        <v>5</v>
      </c>
      <c r="AH38">
        <v>5</v>
      </c>
      <c r="AI38">
        <v>6</v>
      </c>
      <c r="AJ38">
        <v>6</v>
      </c>
      <c r="AK38">
        <v>6</v>
      </c>
      <c r="AL38">
        <v>6</v>
      </c>
      <c r="AM38">
        <v>7</v>
      </c>
      <c r="AN38">
        <v>7</v>
      </c>
      <c r="AO38">
        <v>7</v>
      </c>
      <c r="AP38">
        <v>7</v>
      </c>
      <c r="AQ38">
        <v>8</v>
      </c>
      <c r="AR38">
        <v>8</v>
      </c>
      <c r="AS38">
        <v>8</v>
      </c>
      <c r="AT38">
        <v>9</v>
      </c>
      <c r="AU38">
        <v>12</v>
      </c>
      <c r="AV38">
        <v>13</v>
      </c>
      <c r="AW38">
        <v>21</v>
      </c>
      <c r="AX38">
        <v>21</v>
      </c>
      <c r="AY38">
        <v>27</v>
      </c>
      <c r="AZ38">
        <v>32</v>
      </c>
      <c r="BA38">
        <v>32</v>
      </c>
      <c r="BB38">
        <v>39</v>
      </c>
      <c r="BC38">
        <v>46</v>
      </c>
      <c r="BD38">
        <v>64</v>
      </c>
      <c r="BE38">
        <v>64</v>
      </c>
      <c r="BF38">
        <v>73</v>
      </c>
      <c r="BG38">
        <v>103</v>
      </c>
      <c r="BH38">
        <v>103</v>
      </c>
      <c r="BI38">
        <v>186</v>
      </c>
      <c r="BJ38">
        <v>231</v>
      </c>
      <c r="BK38">
        <v>271</v>
      </c>
      <c r="BL38">
        <v>424</v>
      </c>
      <c r="BM38">
        <v>424</v>
      </c>
      <c r="BN38">
        <v>472</v>
      </c>
      <c r="BO38">
        <v>617</v>
      </c>
      <c r="BP38">
        <v>617</v>
      </c>
      <c r="BQ38">
        <v>725</v>
      </c>
      <c r="BR38">
        <v>725</v>
      </c>
      <c r="BS38">
        <v>884</v>
      </c>
    </row>
    <row r="39" spans="1:71" x14ac:dyDescent="0.3">
      <c r="A39" t="s">
        <v>249</v>
      </c>
      <c r="B39" t="s">
        <v>45</v>
      </c>
      <c r="C39">
        <v>37.648899999999998</v>
      </c>
      <c r="D39">
        <v>-122.66549999999999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2</v>
      </c>
      <c r="BE39">
        <v>2</v>
      </c>
      <c r="BF39">
        <v>2</v>
      </c>
      <c r="BG39">
        <v>2</v>
      </c>
      <c r="BH39">
        <v>8</v>
      </c>
      <c r="BI39">
        <v>9</v>
      </c>
      <c r="BJ39">
        <v>9</v>
      </c>
      <c r="BK39">
        <v>10</v>
      </c>
      <c r="BL39">
        <v>10</v>
      </c>
      <c r="BM39">
        <v>13</v>
      </c>
      <c r="BN39">
        <v>13</v>
      </c>
      <c r="BO39">
        <v>13</v>
      </c>
      <c r="BP39">
        <v>13</v>
      </c>
      <c r="BQ39">
        <v>13</v>
      </c>
      <c r="BR39">
        <v>13</v>
      </c>
      <c r="BS39">
        <v>13</v>
      </c>
    </row>
    <row r="40" spans="1:71" x14ac:dyDescent="0.3">
      <c r="A40" t="s">
        <v>417</v>
      </c>
      <c r="B40" t="s">
        <v>45</v>
      </c>
      <c r="C40">
        <v>53.760899999999999</v>
      </c>
      <c r="D40">
        <v>-98.813900000000004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4</v>
      </c>
      <c r="BE40">
        <v>4</v>
      </c>
      <c r="BF40">
        <v>4</v>
      </c>
      <c r="BG40">
        <v>7</v>
      </c>
      <c r="BH40">
        <v>8</v>
      </c>
      <c r="BI40">
        <v>15</v>
      </c>
      <c r="BJ40">
        <v>17</v>
      </c>
      <c r="BK40">
        <v>17</v>
      </c>
      <c r="BL40">
        <v>18</v>
      </c>
      <c r="BM40">
        <v>20</v>
      </c>
      <c r="BN40">
        <v>20</v>
      </c>
      <c r="BO40">
        <v>21</v>
      </c>
      <c r="BP40">
        <v>35</v>
      </c>
      <c r="BQ40">
        <v>36</v>
      </c>
      <c r="BR40">
        <v>39</v>
      </c>
      <c r="BS40">
        <v>64</v>
      </c>
    </row>
    <row r="41" spans="1:71" x14ac:dyDescent="0.3">
      <c r="A41" t="s">
        <v>350</v>
      </c>
      <c r="B41" t="s">
        <v>45</v>
      </c>
      <c r="C41">
        <v>46.565300000000001</v>
      </c>
      <c r="D41">
        <v>-66.4619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1</v>
      </c>
      <c r="BC41">
        <v>1</v>
      </c>
      <c r="BD41">
        <v>1</v>
      </c>
      <c r="BE41">
        <v>1</v>
      </c>
      <c r="BF41">
        <v>2</v>
      </c>
      <c r="BG41">
        <v>6</v>
      </c>
      <c r="BH41">
        <v>8</v>
      </c>
      <c r="BI41">
        <v>11</v>
      </c>
      <c r="BJ41">
        <v>11</v>
      </c>
      <c r="BK41">
        <v>11</v>
      </c>
      <c r="BL41">
        <v>17</v>
      </c>
      <c r="BM41">
        <v>17</v>
      </c>
      <c r="BN41">
        <v>17</v>
      </c>
      <c r="BO41">
        <v>18</v>
      </c>
      <c r="BP41">
        <v>18</v>
      </c>
      <c r="BQ41">
        <v>33</v>
      </c>
      <c r="BR41">
        <v>45</v>
      </c>
      <c r="BS41">
        <v>51</v>
      </c>
    </row>
    <row r="42" spans="1:71" x14ac:dyDescent="0.3">
      <c r="A42" t="s">
        <v>458</v>
      </c>
      <c r="B42" t="s">
        <v>45</v>
      </c>
      <c r="C42">
        <v>53.1355</v>
      </c>
      <c r="D42">
        <v>-57.660400000000003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1</v>
      </c>
      <c r="BG42">
        <v>1</v>
      </c>
      <c r="BH42">
        <v>3</v>
      </c>
      <c r="BI42">
        <v>3</v>
      </c>
      <c r="BJ42">
        <v>3</v>
      </c>
      <c r="BK42">
        <v>4</v>
      </c>
      <c r="BL42">
        <v>6</v>
      </c>
      <c r="BM42">
        <v>9</v>
      </c>
      <c r="BN42">
        <v>24</v>
      </c>
      <c r="BO42">
        <v>35</v>
      </c>
      <c r="BP42">
        <v>35</v>
      </c>
      <c r="BQ42">
        <v>82</v>
      </c>
      <c r="BR42">
        <v>102</v>
      </c>
      <c r="BS42">
        <v>120</v>
      </c>
    </row>
    <row r="43" spans="1:71" x14ac:dyDescent="0.3">
      <c r="A43" t="s">
        <v>467</v>
      </c>
      <c r="B43" t="s">
        <v>45</v>
      </c>
      <c r="C43">
        <v>44.681999999999903</v>
      </c>
      <c r="D43">
        <v>-63.744300000000003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5</v>
      </c>
      <c r="BH43">
        <v>7</v>
      </c>
      <c r="BI43">
        <v>12</v>
      </c>
      <c r="BJ43">
        <v>14</v>
      </c>
      <c r="BK43">
        <v>15</v>
      </c>
      <c r="BL43">
        <v>21</v>
      </c>
      <c r="BM43">
        <v>28</v>
      </c>
      <c r="BN43">
        <v>41</v>
      </c>
      <c r="BO43">
        <v>51</v>
      </c>
      <c r="BP43">
        <v>68</v>
      </c>
      <c r="BQ43">
        <v>73</v>
      </c>
      <c r="BR43">
        <v>90</v>
      </c>
      <c r="BS43">
        <v>110</v>
      </c>
    </row>
    <row r="44" spans="1:71" x14ac:dyDescent="0.3">
      <c r="A44" t="s">
        <v>226</v>
      </c>
      <c r="B44" t="s">
        <v>45</v>
      </c>
      <c r="C44">
        <v>51.253799999999998</v>
      </c>
      <c r="D44">
        <v>-85.3232</v>
      </c>
      <c r="E44">
        <v>0</v>
      </c>
      <c r="F44">
        <v>0</v>
      </c>
      <c r="G44">
        <v>0</v>
      </c>
      <c r="H44">
        <v>0</v>
      </c>
      <c r="I44">
        <v>1</v>
      </c>
      <c r="J44">
        <v>1</v>
      </c>
      <c r="K44">
        <v>1</v>
      </c>
      <c r="L44">
        <v>1</v>
      </c>
      <c r="M44">
        <v>1</v>
      </c>
      <c r="N44">
        <v>3</v>
      </c>
      <c r="O44">
        <v>3</v>
      </c>
      <c r="P44">
        <v>3</v>
      </c>
      <c r="Q44">
        <v>3</v>
      </c>
      <c r="R44">
        <v>3</v>
      </c>
      <c r="S44">
        <v>3</v>
      </c>
      <c r="T44">
        <v>3</v>
      </c>
      <c r="U44">
        <v>3</v>
      </c>
      <c r="V44">
        <v>3</v>
      </c>
      <c r="W44">
        <v>3</v>
      </c>
      <c r="X44">
        <v>3</v>
      </c>
      <c r="Y44">
        <v>3</v>
      </c>
      <c r="Z44">
        <v>3</v>
      </c>
      <c r="AA44">
        <v>3</v>
      </c>
      <c r="AB44">
        <v>3</v>
      </c>
      <c r="AC44">
        <v>3</v>
      </c>
      <c r="AD44">
        <v>3</v>
      </c>
      <c r="AE44">
        <v>3</v>
      </c>
      <c r="AF44">
        <v>3</v>
      </c>
      <c r="AG44">
        <v>3</v>
      </c>
      <c r="AH44">
        <v>3</v>
      </c>
      <c r="AI44">
        <v>3</v>
      </c>
      <c r="AJ44">
        <v>3</v>
      </c>
      <c r="AK44">
        <v>3</v>
      </c>
      <c r="AL44">
        <v>4</v>
      </c>
      <c r="AM44">
        <v>4</v>
      </c>
      <c r="AN44">
        <v>4</v>
      </c>
      <c r="AO44">
        <v>6</v>
      </c>
      <c r="AP44">
        <v>6</v>
      </c>
      <c r="AQ44">
        <v>11</v>
      </c>
      <c r="AR44">
        <v>15</v>
      </c>
      <c r="AS44">
        <v>18</v>
      </c>
      <c r="AT44">
        <v>20</v>
      </c>
      <c r="AU44">
        <v>20</v>
      </c>
      <c r="AV44">
        <v>22</v>
      </c>
      <c r="AW44">
        <v>25</v>
      </c>
      <c r="AX44">
        <v>28</v>
      </c>
      <c r="AY44">
        <v>29</v>
      </c>
      <c r="AZ44">
        <v>34</v>
      </c>
      <c r="BA44">
        <v>36</v>
      </c>
      <c r="BB44">
        <v>41</v>
      </c>
      <c r="BC44">
        <v>42</v>
      </c>
      <c r="BD44">
        <v>74</v>
      </c>
      <c r="BE44">
        <v>79</v>
      </c>
      <c r="BF44">
        <v>104</v>
      </c>
      <c r="BG44">
        <v>177</v>
      </c>
      <c r="BH44">
        <v>185</v>
      </c>
      <c r="BI44">
        <v>221</v>
      </c>
      <c r="BJ44">
        <v>257</v>
      </c>
      <c r="BK44">
        <v>308</v>
      </c>
      <c r="BL44">
        <v>377</v>
      </c>
      <c r="BM44">
        <v>425</v>
      </c>
      <c r="BN44">
        <v>503</v>
      </c>
      <c r="BO44">
        <v>588</v>
      </c>
      <c r="BP44">
        <v>688</v>
      </c>
      <c r="BQ44">
        <v>858</v>
      </c>
      <c r="BR44">
        <v>994</v>
      </c>
      <c r="BS44">
        <v>1144</v>
      </c>
    </row>
    <row r="45" spans="1:71" x14ac:dyDescent="0.3">
      <c r="A45" t="s">
        <v>459</v>
      </c>
      <c r="B45" t="s">
        <v>45</v>
      </c>
      <c r="C45">
        <v>46.5107</v>
      </c>
      <c r="D45">
        <v>-63.416800000000002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1</v>
      </c>
      <c r="BG45">
        <v>1</v>
      </c>
      <c r="BH45">
        <v>1</v>
      </c>
      <c r="BI45">
        <v>1</v>
      </c>
      <c r="BJ45">
        <v>2</v>
      </c>
      <c r="BK45">
        <v>2</v>
      </c>
      <c r="BL45">
        <v>2</v>
      </c>
      <c r="BM45">
        <v>3</v>
      </c>
      <c r="BN45">
        <v>3</v>
      </c>
      <c r="BO45">
        <v>3</v>
      </c>
      <c r="BP45">
        <v>5</v>
      </c>
      <c r="BQ45">
        <v>5</v>
      </c>
      <c r="BR45">
        <v>9</v>
      </c>
      <c r="BS45">
        <v>11</v>
      </c>
    </row>
    <row r="46" spans="1:71" x14ac:dyDescent="0.3">
      <c r="A46" t="s">
        <v>228</v>
      </c>
      <c r="B46" t="s">
        <v>45</v>
      </c>
      <c r="C46">
        <v>52.939900000000002</v>
      </c>
      <c r="D46">
        <v>-73.549099999999996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1</v>
      </c>
      <c r="AQ46">
        <v>1</v>
      </c>
      <c r="AR46">
        <v>1</v>
      </c>
      <c r="AS46">
        <v>1</v>
      </c>
      <c r="AT46">
        <v>1</v>
      </c>
      <c r="AU46">
        <v>1</v>
      </c>
      <c r="AV46">
        <v>2</v>
      </c>
      <c r="AW46">
        <v>2</v>
      </c>
      <c r="AX46">
        <v>3</v>
      </c>
      <c r="AY46">
        <v>4</v>
      </c>
      <c r="AZ46">
        <v>4</v>
      </c>
      <c r="BA46">
        <v>4</v>
      </c>
      <c r="BB46">
        <v>8</v>
      </c>
      <c r="BC46">
        <v>9</v>
      </c>
      <c r="BD46">
        <v>17</v>
      </c>
      <c r="BE46">
        <v>17</v>
      </c>
      <c r="BF46">
        <v>24</v>
      </c>
      <c r="BG46">
        <v>50</v>
      </c>
      <c r="BH46">
        <v>74</v>
      </c>
      <c r="BI46">
        <v>94</v>
      </c>
      <c r="BJ46">
        <v>121</v>
      </c>
      <c r="BK46">
        <v>139</v>
      </c>
      <c r="BL46">
        <v>181</v>
      </c>
      <c r="BM46">
        <v>219</v>
      </c>
      <c r="BN46">
        <v>628</v>
      </c>
      <c r="BO46">
        <v>1013</v>
      </c>
      <c r="BP46">
        <v>1342</v>
      </c>
      <c r="BQ46">
        <v>1632</v>
      </c>
      <c r="BR46">
        <v>2024</v>
      </c>
      <c r="BS46">
        <v>2498</v>
      </c>
    </row>
    <row r="47" spans="1:71" x14ac:dyDescent="0.3">
      <c r="A47" t="s">
        <v>418</v>
      </c>
      <c r="B47" t="s">
        <v>45</v>
      </c>
      <c r="C47">
        <v>52.939900000000002</v>
      </c>
      <c r="D47">
        <v>-106.4509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2</v>
      </c>
      <c r="BE47">
        <v>2</v>
      </c>
      <c r="BF47">
        <v>2</v>
      </c>
      <c r="BG47">
        <v>7</v>
      </c>
      <c r="BH47">
        <v>7</v>
      </c>
      <c r="BI47">
        <v>8</v>
      </c>
      <c r="BJ47">
        <v>16</v>
      </c>
      <c r="BK47">
        <v>20</v>
      </c>
      <c r="BL47">
        <v>26</v>
      </c>
      <c r="BM47">
        <v>52</v>
      </c>
      <c r="BN47">
        <v>66</v>
      </c>
      <c r="BO47">
        <v>72</v>
      </c>
      <c r="BP47">
        <v>72</v>
      </c>
      <c r="BQ47">
        <v>95</v>
      </c>
      <c r="BR47">
        <v>95</v>
      </c>
      <c r="BS47">
        <v>134</v>
      </c>
    </row>
    <row r="48" spans="1:71" x14ac:dyDescent="0.3">
      <c r="B48" t="s">
        <v>460</v>
      </c>
      <c r="C48">
        <v>6.6111000000000004</v>
      </c>
      <c r="D48">
        <v>20.939399999999999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1</v>
      </c>
      <c r="BG48">
        <v>1</v>
      </c>
      <c r="BH48">
        <v>1</v>
      </c>
      <c r="BI48">
        <v>1</v>
      </c>
      <c r="BJ48">
        <v>1</v>
      </c>
      <c r="BK48">
        <v>3</v>
      </c>
      <c r="BL48">
        <v>3</v>
      </c>
      <c r="BM48">
        <v>3</v>
      </c>
      <c r="BN48">
        <v>3</v>
      </c>
      <c r="BO48">
        <v>3</v>
      </c>
      <c r="BP48">
        <v>3</v>
      </c>
      <c r="BQ48">
        <v>3</v>
      </c>
      <c r="BR48">
        <v>3</v>
      </c>
      <c r="BS48">
        <v>3</v>
      </c>
    </row>
    <row r="49" spans="1:71" x14ac:dyDescent="0.3">
      <c r="B49" t="s">
        <v>523</v>
      </c>
      <c r="C49">
        <v>15.4542</v>
      </c>
      <c r="D49">
        <v>18.732199999999999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1</v>
      </c>
      <c r="BK49">
        <v>1</v>
      </c>
      <c r="BL49">
        <v>1</v>
      </c>
      <c r="BM49">
        <v>1</v>
      </c>
      <c r="BN49">
        <v>1</v>
      </c>
      <c r="BO49">
        <v>3</v>
      </c>
      <c r="BP49">
        <v>3</v>
      </c>
      <c r="BQ49">
        <v>3</v>
      </c>
      <c r="BR49">
        <v>3</v>
      </c>
      <c r="BS49">
        <v>3</v>
      </c>
    </row>
    <row r="50" spans="1:71" x14ac:dyDescent="0.3">
      <c r="B50" t="s">
        <v>124</v>
      </c>
      <c r="C50">
        <v>-35.6751</v>
      </c>
      <c r="D50">
        <v>-71.543000000000006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1</v>
      </c>
      <c r="AU50">
        <v>1</v>
      </c>
      <c r="AV50">
        <v>4</v>
      </c>
      <c r="AW50">
        <v>4</v>
      </c>
      <c r="AX50">
        <v>4</v>
      </c>
      <c r="AY50">
        <v>8</v>
      </c>
      <c r="AZ50">
        <v>8</v>
      </c>
      <c r="BA50">
        <v>13</v>
      </c>
      <c r="BB50">
        <v>23</v>
      </c>
      <c r="BC50">
        <v>23</v>
      </c>
      <c r="BD50">
        <v>43</v>
      </c>
      <c r="BE50">
        <v>61</v>
      </c>
      <c r="BF50">
        <v>74</v>
      </c>
      <c r="BG50">
        <v>155</v>
      </c>
      <c r="BH50">
        <v>201</v>
      </c>
      <c r="BI50">
        <v>238</v>
      </c>
      <c r="BJ50">
        <v>238</v>
      </c>
      <c r="BK50">
        <v>434</v>
      </c>
      <c r="BL50">
        <v>537</v>
      </c>
      <c r="BM50">
        <v>632</v>
      </c>
      <c r="BN50">
        <v>746</v>
      </c>
      <c r="BO50">
        <v>922</v>
      </c>
      <c r="BP50">
        <v>1142</v>
      </c>
      <c r="BQ50">
        <v>1306</v>
      </c>
      <c r="BR50">
        <v>1610</v>
      </c>
      <c r="BS50">
        <v>1909</v>
      </c>
    </row>
    <row r="51" spans="1:71" x14ac:dyDescent="0.3">
      <c r="A51" t="s">
        <v>4</v>
      </c>
      <c r="B51" t="s">
        <v>337</v>
      </c>
      <c r="C51">
        <v>31.825700000000001</v>
      </c>
      <c r="D51">
        <v>117.2264</v>
      </c>
      <c r="E51">
        <v>1</v>
      </c>
      <c r="F51">
        <v>9</v>
      </c>
      <c r="G51">
        <v>15</v>
      </c>
      <c r="H51">
        <v>39</v>
      </c>
      <c r="I51">
        <v>60</v>
      </c>
      <c r="J51">
        <v>70</v>
      </c>
      <c r="K51">
        <v>106</v>
      </c>
      <c r="L51">
        <v>152</v>
      </c>
      <c r="M51">
        <v>200</v>
      </c>
      <c r="N51">
        <v>237</v>
      </c>
      <c r="O51">
        <v>297</v>
      </c>
      <c r="P51">
        <v>340</v>
      </c>
      <c r="Q51">
        <v>408</v>
      </c>
      <c r="R51">
        <v>480</v>
      </c>
      <c r="S51">
        <v>530</v>
      </c>
      <c r="T51">
        <v>591</v>
      </c>
      <c r="U51">
        <v>665</v>
      </c>
      <c r="V51">
        <v>733</v>
      </c>
      <c r="W51">
        <v>779</v>
      </c>
      <c r="X51">
        <v>830</v>
      </c>
      <c r="Y51">
        <v>860</v>
      </c>
      <c r="Z51">
        <v>889</v>
      </c>
      <c r="AA51">
        <v>910</v>
      </c>
      <c r="AB51">
        <v>934</v>
      </c>
      <c r="AC51">
        <v>950</v>
      </c>
      <c r="AD51">
        <v>962</v>
      </c>
      <c r="AE51">
        <v>973</v>
      </c>
      <c r="AF51">
        <v>982</v>
      </c>
      <c r="AG51">
        <v>986</v>
      </c>
      <c r="AH51">
        <v>987</v>
      </c>
      <c r="AI51">
        <v>988</v>
      </c>
      <c r="AJ51">
        <v>989</v>
      </c>
      <c r="AK51">
        <v>989</v>
      </c>
      <c r="AL51">
        <v>989</v>
      </c>
      <c r="AM51">
        <v>989</v>
      </c>
      <c r="AN51">
        <v>989</v>
      </c>
      <c r="AO51">
        <v>989</v>
      </c>
      <c r="AP51">
        <v>990</v>
      </c>
      <c r="AQ51">
        <v>990</v>
      </c>
      <c r="AR51">
        <v>990</v>
      </c>
      <c r="AS51">
        <v>990</v>
      </c>
      <c r="AT51">
        <v>990</v>
      </c>
      <c r="AU51">
        <v>990</v>
      </c>
      <c r="AV51">
        <v>990</v>
      </c>
      <c r="AW51">
        <v>990</v>
      </c>
      <c r="AX51">
        <v>990</v>
      </c>
      <c r="AY51">
        <v>990</v>
      </c>
      <c r="AZ51">
        <v>990</v>
      </c>
      <c r="BA51">
        <v>990</v>
      </c>
      <c r="BB51">
        <v>990</v>
      </c>
      <c r="BC51">
        <v>990</v>
      </c>
      <c r="BD51">
        <v>990</v>
      </c>
      <c r="BE51">
        <v>990</v>
      </c>
      <c r="BF51">
        <v>990</v>
      </c>
      <c r="BG51">
        <v>990</v>
      </c>
      <c r="BH51">
        <v>990</v>
      </c>
      <c r="BI51">
        <v>990</v>
      </c>
      <c r="BJ51">
        <v>990</v>
      </c>
      <c r="BK51">
        <v>990</v>
      </c>
      <c r="BL51">
        <v>990</v>
      </c>
      <c r="BM51">
        <v>990</v>
      </c>
      <c r="BN51">
        <v>990</v>
      </c>
      <c r="BO51">
        <v>990</v>
      </c>
      <c r="BP51">
        <v>990</v>
      </c>
      <c r="BQ51">
        <v>990</v>
      </c>
      <c r="BR51">
        <v>990</v>
      </c>
      <c r="BS51">
        <v>990</v>
      </c>
    </row>
    <row r="52" spans="1:71" x14ac:dyDescent="0.3">
      <c r="A52" t="s">
        <v>5</v>
      </c>
      <c r="B52" t="s">
        <v>337</v>
      </c>
      <c r="C52">
        <v>40.182400000000001</v>
      </c>
      <c r="D52">
        <v>116.41419999999999</v>
      </c>
      <c r="E52">
        <v>14</v>
      </c>
      <c r="F52">
        <v>22</v>
      </c>
      <c r="G52">
        <v>36</v>
      </c>
      <c r="H52">
        <v>41</v>
      </c>
      <c r="I52">
        <v>68</v>
      </c>
      <c r="J52">
        <v>80</v>
      </c>
      <c r="K52">
        <v>91</v>
      </c>
      <c r="L52">
        <v>111</v>
      </c>
      <c r="M52">
        <v>114</v>
      </c>
      <c r="N52">
        <v>139</v>
      </c>
      <c r="O52">
        <v>168</v>
      </c>
      <c r="P52">
        <v>191</v>
      </c>
      <c r="Q52">
        <v>212</v>
      </c>
      <c r="R52">
        <v>228</v>
      </c>
      <c r="S52">
        <v>253</v>
      </c>
      <c r="T52">
        <v>274</v>
      </c>
      <c r="U52">
        <v>297</v>
      </c>
      <c r="V52">
        <v>315</v>
      </c>
      <c r="W52">
        <v>326</v>
      </c>
      <c r="X52">
        <v>337</v>
      </c>
      <c r="Y52">
        <v>342</v>
      </c>
      <c r="Z52">
        <v>352</v>
      </c>
      <c r="AA52">
        <v>366</v>
      </c>
      <c r="AB52">
        <v>372</v>
      </c>
      <c r="AC52">
        <v>375</v>
      </c>
      <c r="AD52">
        <v>380</v>
      </c>
      <c r="AE52">
        <v>381</v>
      </c>
      <c r="AF52">
        <v>387</v>
      </c>
      <c r="AG52">
        <v>393</v>
      </c>
      <c r="AH52">
        <v>395</v>
      </c>
      <c r="AI52">
        <v>396</v>
      </c>
      <c r="AJ52">
        <v>399</v>
      </c>
      <c r="AK52">
        <v>399</v>
      </c>
      <c r="AL52">
        <v>399</v>
      </c>
      <c r="AM52">
        <v>400</v>
      </c>
      <c r="AN52">
        <v>400</v>
      </c>
      <c r="AO52">
        <v>410</v>
      </c>
      <c r="AP52">
        <v>410</v>
      </c>
      <c r="AQ52">
        <v>411</v>
      </c>
      <c r="AR52">
        <v>413</v>
      </c>
      <c r="AS52">
        <v>414</v>
      </c>
      <c r="AT52">
        <v>414</v>
      </c>
      <c r="AU52">
        <v>418</v>
      </c>
      <c r="AV52">
        <v>418</v>
      </c>
      <c r="AW52">
        <v>422</v>
      </c>
      <c r="AX52">
        <v>426</v>
      </c>
      <c r="AY52">
        <v>428</v>
      </c>
      <c r="AZ52">
        <v>428</v>
      </c>
      <c r="BA52">
        <v>429</v>
      </c>
      <c r="BB52">
        <v>435</v>
      </c>
      <c r="BC52">
        <v>435</v>
      </c>
      <c r="BD52">
        <v>436</v>
      </c>
      <c r="BE52">
        <v>437</v>
      </c>
      <c r="BF52">
        <v>442</v>
      </c>
      <c r="BG52">
        <v>452</v>
      </c>
      <c r="BH52">
        <v>456</v>
      </c>
      <c r="BI52">
        <v>469</v>
      </c>
      <c r="BJ52">
        <v>480</v>
      </c>
      <c r="BK52">
        <v>491</v>
      </c>
      <c r="BL52">
        <v>504</v>
      </c>
      <c r="BM52">
        <v>522</v>
      </c>
      <c r="BN52">
        <v>537</v>
      </c>
      <c r="BO52">
        <v>558</v>
      </c>
      <c r="BP52">
        <v>561</v>
      </c>
      <c r="BQ52">
        <v>566</v>
      </c>
      <c r="BR52">
        <v>569</v>
      </c>
      <c r="BS52">
        <v>573</v>
      </c>
    </row>
    <row r="53" spans="1:71" x14ac:dyDescent="0.3">
      <c r="A53" t="s">
        <v>6</v>
      </c>
      <c r="B53" t="s">
        <v>337</v>
      </c>
      <c r="C53">
        <v>30.057200000000002</v>
      </c>
      <c r="D53">
        <v>107.874</v>
      </c>
      <c r="E53">
        <v>6</v>
      </c>
      <c r="F53">
        <v>9</v>
      </c>
      <c r="G53">
        <v>27</v>
      </c>
      <c r="H53">
        <v>57</v>
      </c>
      <c r="I53">
        <v>75</v>
      </c>
      <c r="J53">
        <v>110</v>
      </c>
      <c r="K53">
        <v>132</v>
      </c>
      <c r="L53">
        <v>147</v>
      </c>
      <c r="M53">
        <v>182</v>
      </c>
      <c r="N53">
        <v>211</v>
      </c>
      <c r="O53">
        <v>247</v>
      </c>
      <c r="P53">
        <v>300</v>
      </c>
      <c r="Q53">
        <v>337</v>
      </c>
      <c r="R53">
        <v>366</v>
      </c>
      <c r="S53">
        <v>389</v>
      </c>
      <c r="T53">
        <v>411</v>
      </c>
      <c r="U53">
        <v>426</v>
      </c>
      <c r="V53">
        <v>428</v>
      </c>
      <c r="W53">
        <v>468</v>
      </c>
      <c r="X53">
        <v>486</v>
      </c>
      <c r="Y53">
        <v>505</v>
      </c>
      <c r="Z53">
        <v>518</v>
      </c>
      <c r="AA53">
        <v>529</v>
      </c>
      <c r="AB53">
        <v>537</v>
      </c>
      <c r="AC53">
        <v>544</v>
      </c>
      <c r="AD53">
        <v>551</v>
      </c>
      <c r="AE53">
        <v>553</v>
      </c>
      <c r="AF53">
        <v>555</v>
      </c>
      <c r="AG53">
        <v>560</v>
      </c>
      <c r="AH53">
        <v>567</v>
      </c>
      <c r="AI53">
        <v>572</v>
      </c>
      <c r="AJ53">
        <v>573</v>
      </c>
      <c r="AK53">
        <v>575</v>
      </c>
      <c r="AL53">
        <v>576</v>
      </c>
      <c r="AM53">
        <v>576</v>
      </c>
      <c r="AN53">
        <v>576</v>
      </c>
      <c r="AO53">
        <v>576</v>
      </c>
      <c r="AP53">
        <v>576</v>
      </c>
      <c r="AQ53">
        <v>576</v>
      </c>
      <c r="AR53">
        <v>576</v>
      </c>
      <c r="AS53">
        <v>576</v>
      </c>
      <c r="AT53">
        <v>576</v>
      </c>
      <c r="AU53">
        <v>576</v>
      </c>
      <c r="AV53">
        <v>576</v>
      </c>
      <c r="AW53">
        <v>576</v>
      </c>
      <c r="AX53">
        <v>576</v>
      </c>
      <c r="AY53">
        <v>576</v>
      </c>
      <c r="AZ53">
        <v>576</v>
      </c>
      <c r="BA53">
        <v>576</v>
      </c>
      <c r="BB53">
        <v>576</v>
      </c>
      <c r="BC53">
        <v>576</v>
      </c>
      <c r="BD53">
        <v>576</v>
      </c>
      <c r="BE53">
        <v>576</v>
      </c>
      <c r="BF53">
        <v>576</v>
      </c>
      <c r="BG53">
        <v>576</v>
      </c>
      <c r="BH53">
        <v>576</v>
      </c>
      <c r="BI53">
        <v>576</v>
      </c>
      <c r="BJ53">
        <v>576</v>
      </c>
      <c r="BK53">
        <v>576</v>
      </c>
      <c r="BL53">
        <v>576</v>
      </c>
      <c r="BM53">
        <v>577</v>
      </c>
      <c r="BN53">
        <v>578</v>
      </c>
      <c r="BO53">
        <v>578</v>
      </c>
      <c r="BP53">
        <v>578</v>
      </c>
      <c r="BQ53">
        <v>578</v>
      </c>
      <c r="BR53">
        <v>578</v>
      </c>
      <c r="BS53">
        <v>578</v>
      </c>
    </row>
    <row r="54" spans="1:71" x14ac:dyDescent="0.3">
      <c r="A54" t="s">
        <v>7</v>
      </c>
      <c r="B54" t="s">
        <v>337</v>
      </c>
      <c r="C54">
        <v>26.078900000000001</v>
      </c>
      <c r="D54">
        <v>117.98739999999999</v>
      </c>
      <c r="E54">
        <v>1</v>
      </c>
      <c r="F54">
        <v>5</v>
      </c>
      <c r="G54">
        <v>10</v>
      </c>
      <c r="H54">
        <v>18</v>
      </c>
      <c r="I54">
        <v>35</v>
      </c>
      <c r="J54">
        <v>59</v>
      </c>
      <c r="K54">
        <v>80</v>
      </c>
      <c r="L54">
        <v>84</v>
      </c>
      <c r="M54">
        <v>101</v>
      </c>
      <c r="N54">
        <v>120</v>
      </c>
      <c r="O54">
        <v>144</v>
      </c>
      <c r="P54">
        <v>159</v>
      </c>
      <c r="Q54">
        <v>179</v>
      </c>
      <c r="R54">
        <v>194</v>
      </c>
      <c r="S54">
        <v>205</v>
      </c>
      <c r="T54">
        <v>215</v>
      </c>
      <c r="U54">
        <v>224</v>
      </c>
      <c r="V54">
        <v>239</v>
      </c>
      <c r="W54">
        <v>250</v>
      </c>
      <c r="X54">
        <v>261</v>
      </c>
      <c r="Y54">
        <v>267</v>
      </c>
      <c r="Z54">
        <v>272</v>
      </c>
      <c r="AA54">
        <v>279</v>
      </c>
      <c r="AB54">
        <v>281</v>
      </c>
      <c r="AC54">
        <v>285</v>
      </c>
      <c r="AD54">
        <v>287</v>
      </c>
      <c r="AE54">
        <v>290</v>
      </c>
      <c r="AF54">
        <v>292</v>
      </c>
      <c r="AG54">
        <v>293</v>
      </c>
      <c r="AH54">
        <v>293</v>
      </c>
      <c r="AI54">
        <v>293</v>
      </c>
      <c r="AJ54">
        <v>293</v>
      </c>
      <c r="AK54">
        <v>293</v>
      </c>
      <c r="AL54">
        <v>293</v>
      </c>
      <c r="AM54">
        <v>294</v>
      </c>
      <c r="AN54">
        <v>294</v>
      </c>
      <c r="AO54">
        <v>296</v>
      </c>
      <c r="AP54">
        <v>296</v>
      </c>
      <c r="AQ54">
        <v>296</v>
      </c>
      <c r="AR54">
        <v>296</v>
      </c>
      <c r="AS54">
        <v>296</v>
      </c>
      <c r="AT54">
        <v>296</v>
      </c>
      <c r="AU54">
        <v>296</v>
      </c>
      <c r="AV54">
        <v>296</v>
      </c>
      <c r="AW54">
        <v>296</v>
      </c>
      <c r="AX54">
        <v>296</v>
      </c>
      <c r="AY54">
        <v>296</v>
      </c>
      <c r="AZ54">
        <v>296</v>
      </c>
      <c r="BA54">
        <v>296</v>
      </c>
      <c r="BB54">
        <v>296</v>
      </c>
      <c r="BC54">
        <v>296</v>
      </c>
      <c r="BD54">
        <v>296</v>
      </c>
      <c r="BE54">
        <v>296</v>
      </c>
      <c r="BF54">
        <v>296</v>
      </c>
      <c r="BG54">
        <v>296</v>
      </c>
      <c r="BH54">
        <v>296</v>
      </c>
      <c r="BI54">
        <v>296</v>
      </c>
      <c r="BJ54">
        <v>296</v>
      </c>
      <c r="BK54">
        <v>299</v>
      </c>
      <c r="BL54">
        <v>303</v>
      </c>
      <c r="BM54">
        <v>313</v>
      </c>
      <c r="BN54">
        <v>313</v>
      </c>
      <c r="BO54">
        <v>318</v>
      </c>
      <c r="BP54">
        <v>322</v>
      </c>
      <c r="BQ54">
        <v>328</v>
      </c>
      <c r="BR54">
        <v>331</v>
      </c>
      <c r="BS54">
        <v>337</v>
      </c>
    </row>
    <row r="55" spans="1:71" x14ac:dyDescent="0.3">
      <c r="A55" t="s">
        <v>8</v>
      </c>
      <c r="B55" t="s">
        <v>337</v>
      </c>
      <c r="C55">
        <v>37.809899999999999</v>
      </c>
      <c r="D55">
        <v>101.0583</v>
      </c>
      <c r="E55">
        <v>0</v>
      </c>
      <c r="F55">
        <v>2</v>
      </c>
      <c r="G55">
        <v>2</v>
      </c>
      <c r="H55">
        <v>4</v>
      </c>
      <c r="I55">
        <v>7</v>
      </c>
      <c r="J55">
        <v>14</v>
      </c>
      <c r="K55">
        <v>19</v>
      </c>
      <c r="L55">
        <v>24</v>
      </c>
      <c r="M55">
        <v>26</v>
      </c>
      <c r="N55">
        <v>29</v>
      </c>
      <c r="O55">
        <v>40</v>
      </c>
      <c r="P55">
        <v>51</v>
      </c>
      <c r="Q55">
        <v>55</v>
      </c>
      <c r="R55">
        <v>57</v>
      </c>
      <c r="S55">
        <v>62</v>
      </c>
      <c r="T55">
        <v>62</v>
      </c>
      <c r="U55">
        <v>67</v>
      </c>
      <c r="V55">
        <v>79</v>
      </c>
      <c r="W55">
        <v>83</v>
      </c>
      <c r="X55">
        <v>83</v>
      </c>
      <c r="Y55">
        <v>86</v>
      </c>
      <c r="Z55">
        <v>87</v>
      </c>
      <c r="AA55">
        <v>90</v>
      </c>
      <c r="AB55">
        <v>90</v>
      </c>
      <c r="AC55">
        <v>90</v>
      </c>
      <c r="AD55">
        <v>90</v>
      </c>
      <c r="AE55">
        <v>91</v>
      </c>
      <c r="AF55">
        <v>91</v>
      </c>
      <c r="AG55">
        <v>91</v>
      </c>
      <c r="AH55">
        <v>91</v>
      </c>
      <c r="AI55">
        <v>91</v>
      </c>
      <c r="AJ55">
        <v>91</v>
      </c>
      <c r="AK55">
        <v>91</v>
      </c>
      <c r="AL55">
        <v>91</v>
      </c>
      <c r="AM55">
        <v>91</v>
      </c>
      <c r="AN55">
        <v>91</v>
      </c>
      <c r="AO55">
        <v>91</v>
      </c>
      <c r="AP55">
        <v>91</v>
      </c>
      <c r="AQ55">
        <v>91</v>
      </c>
      <c r="AR55">
        <v>91</v>
      </c>
      <c r="AS55">
        <v>91</v>
      </c>
      <c r="AT55">
        <v>91</v>
      </c>
      <c r="AU55">
        <v>91</v>
      </c>
      <c r="AV55">
        <v>102</v>
      </c>
      <c r="AW55">
        <v>119</v>
      </c>
      <c r="AX55">
        <v>120</v>
      </c>
      <c r="AY55">
        <v>124</v>
      </c>
      <c r="AZ55">
        <v>124</v>
      </c>
      <c r="BA55">
        <v>125</v>
      </c>
      <c r="BB55">
        <v>127</v>
      </c>
      <c r="BC55">
        <v>127</v>
      </c>
      <c r="BD55">
        <v>127</v>
      </c>
      <c r="BE55">
        <v>129</v>
      </c>
      <c r="BF55">
        <v>133</v>
      </c>
      <c r="BG55">
        <v>133</v>
      </c>
      <c r="BH55">
        <v>133</v>
      </c>
      <c r="BI55">
        <v>133</v>
      </c>
      <c r="BJ55">
        <v>134</v>
      </c>
      <c r="BK55">
        <v>134</v>
      </c>
      <c r="BL55">
        <v>134</v>
      </c>
      <c r="BM55">
        <v>136</v>
      </c>
      <c r="BN55">
        <v>136</v>
      </c>
      <c r="BO55">
        <v>136</v>
      </c>
      <c r="BP55">
        <v>136</v>
      </c>
      <c r="BQ55">
        <v>136</v>
      </c>
      <c r="BR55">
        <v>136</v>
      </c>
      <c r="BS55">
        <v>136</v>
      </c>
    </row>
    <row r="56" spans="1:71" x14ac:dyDescent="0.3">
      <c r="A56" t="s">
        <v>9</v>
      </c>
      <c r="B56" t="s">
        <v>337</v>
      </c>
      <c r="C56">
        <v>23.341699999999999</v>
      </c>
      <c r="D56">
        <v>113.42440000000001</v>
      </c>
      <c r="E56">
        <v>26</v>
      </c>
      <c r="F56">
        <v>32</v>
      </c>
      <c r="G56">
        <v>53</v>
      </c>
      <c r="H56">
        <v>78</v>
      </c>
      <c r="I56">
        <v>111</v>
      </c>
      <c r="J56">
        <v>151</v>
      </c>
      <c r="K56">
        <v>207</v>
      </c>
      <c r="L56">
        <v>277</v>
      </c>
      <c r="M56">
        <v>354</v>
      </c>
      <c r="N56">
        <v>436</v>
      </c>
      <c r="O56">
        <v>535</v>
      </c>
      <c r="P56">
        <v>632</v>
      </c>
      <c r="Q56">
        <v>725</v>
      </c>
      <c r="R56">
        <v>813</v>
      </c>
      <c r="S56">
        <v>895</v>
      </c>
      <c r="T56">
        <v>970</v>
      </c>
      <c r="U56">
        <v>1034</v>
      </c>
      <c r="V56">
        <v>1095</v>
      </c>
      <c r="W56">
        <v>1131</v>
      </c>
      <c r="X56">
        <v>1159</v>
      </c>
      <c r="Y56">
        <v>1177</v>
      </c>
      <c r="Z56">
        <v>1219</v>
      </c>
      <c r="AA56">
        <v>1241</v>
      </c>
      <c r="AB56">
        <v>1261</v>
      </c>
      <c r="AC56">
        <v>1294</v>
      </c>
      <c r="AD56">
        <v>1316</v>
      </c>
      <c r="AE56">
        <v>1322</v>
      </c>
      <c r="AF56">
        <v>1328</v>
      </c>
      <c r="AG56">
        <v>1331</v>
      </c>
      <c r="AH56">
        <v>1332</v>
      </c>
      <c r="AI56">
        <v>1333</v>
      </c>
      <c r="AJ56">
        <v>1339</v>
      </c>
      <c r="AK56">
        <v>1342</v>
      </c>
      <c r="AL56">
        <v>1345</v>
      </c>
      <c r="AM56">
        <v>1347</v>
      </c>
      <c r="AN56">
        <v>1347</v>
      </c>
      <c r="AO56">
        <v>1347</v>
      </c>
      <c r="AP56">
        <v>1348</v>
      </c>
      <c r="AQ56">
        <v>1349</v>
      </c>
      <c r="AR56">
        <v>1349</v>
      </c>
      <c r="AS56">
        <v>1350</v>
      </c>
      <c r="AT56">
        <v>1350</v>
      </c>
      <c r="AU56">
        <v>1350</v>
      </c>
      <c r="AV56">
        <v>1351</v>
      </c>
      <c r="AW56">
        <v>1352</v>
      </c>
      <c r="AX56">
        <v>1352</v>
      </c>
      <c r="AY56">
        <v>1352</v>
      </c>
      <c r="AZ56">
        <v>1352</v>
      </c>
      <c r="BA56">
        <v>1353</v>
      </c>
      <c r="BB56">
        <v>1356</v>
      </c>
      <c r="BC56">
        <v>1356</v>
      </c>
      <c r="BD56">
        <v>1356</v>
      </c>
      <c r="BE56">
        <v>1356</v>
      </c>
      <c r="BF56">
        <v>1360</v>
      </c>
      <c r="BG56">
        <v>1361</v>
      </c>
      <c r="BH56">
        <v>1364</v>
      </c>
      <c r="BI56">
        <v>1370</v>
      </c>
      <c r="BJ56">
        <v>1378</v>
      </c>
      <c r="BK56">
        <v>1395</v>
      </c>
      <c r="BL56">
        <v>1400</v>
      </c>
      <c r="BM56">
        <v>1413</v>
      </c>
      <c r="BN56">
        <v>1415</v>
      </c>
      <c r="BO56">
        <v>1428</v>
      </c>
      <c r="BP56">
        <v>1433</v>
      </c>
      <c r="BQ56">
        <v>1448</v>
      </c>
      <c r="BR56">
        <v>1456</v>
      </c>
      <c r="BS56">
        <v>1467</v>
      </c>
    </row>
    <row r="57" spans="1:71" x14ac:dyDescent="0.3">
      <c r="A57" t="s">
        <v>10</v>
      </c>
      <c r="B57" t="s">
        <v>337</v>
      </c>
      <c r="C57">
        <v>23.829799999999999</v>
      </c>
      <c r="D57">
        <v>108.7881</v>
      </c>
      <c r="E57">
        <v>2</v>
      </c>
      <c r="F57">
        <v>5</v>
      </c>
      <c r="G57">
        <v>23</v>
      </c>
      <c r="H57">
        <v>23</v>
      </c>
      <c r="I57">
        <v>36</v>
      </c>
      <c r="J57">
        <v>46</v>
      </c>
      <c r="K57">
        <v>51</v>
      </c>
      <c r="L57">
        <v>58</v>
      </c>
      <c r="M57">
        <v>78</v>
      </c>
      <c r="N57">
        <v>87</v>
      </c>
      <c r="O57">
        <v>100</v>
      </c>
      <c r="P57">
        <v>111</v>
      </c>
      <c r="Q57">
        <v>127</v>
      </c>
      <c r="R57">
        <v>139</v>
      </c>
      <c r="S57">
        <v>150</v>
      </c>
      <c r="T57">
        <v>168</v>
      </c>
      <c r="U57">
        <v>172</v>
      </c>
      <c r="V57">
        <v>183</v>
      </c>
      <c r="W57">
        <v>195</v>
      </c>
      <c r="X57">
        <v>210</v>
      </c>
      <c r="Y57">
        <v>215</v>
      </c>
      <c r="Z57">
        <v>222</v>
      </c>
      <c r="AA57">
        <v>222</v>
      </c>
      <c r="AB57">
        <v>226</v>
      </c>
      <c r="AC57">
        <v>235</v>
      </c>
      <c r="AD57">
        <v>237</v>
      </c>
      <c r="AE57">
        <v>238</v>
      </c>
      <c r="AF57">
        <v>242</v>
      </c>
      <c r="AG57">
        <v>244</v>
      </c>
      <c r="AH57">
        <v>245</v>
      </c>
      <c r="AI57">
        <v>246</v>
      </c>
      <c r="AJ57">
        <v>249</v>
      </c>
      <c r="AK57">
        <v>249</v>
      </c>
      <c r="AL57">
        <v>251</v>
      </c>
      <c r="AM57">
        <v>252</v>
      </c>
      <c r="AN57">
        <v>252</v>
      </c>
      <c r="AO57">
        <v>252</v>
      </c>
      <c r="AP57">
        <v>252</v>
      </c>
      <c r="AQ57">
        <v>252</v>
      </c>
      <c r="AR57">
        <v>252</v>
      </c>
      <c r="AS57">
        <v>252</v>
      </c>
      <c r="AT57">
        <v>252</v>
      </c>
      <c r="AU57">
        <v>252</v>
      </c>
      <c r="AV57">
        <v>252</v>
      </c>
      <c r="AW57">
        <v>252</v>
      </c>
      <c r="AX57">
        <v>252</v>
      </c>
      <c r="AY57">
        <v>252</v>
      </c>
      <c r="AZ57">
        <v>252</v>
      </c>
      <c r="BA57">
        <v>252</v>
      </c>
      <c r="BB57">
        <v>252</v>
      </c>
      <c r="BC57">
        <v>252</v>
      </c>
      <c r="BD57">
        <v>252</v>
      </c>
      <c r="BE57">
        <v>252</v>
      </c>
      <c r="BF57">
        <v>252</v>
      </c>
      <c r="BG57">
        <v>252</v>
      </c>
      <c r="BH57">
        <v>253</v>
      </c>
      <c r="BI57">
        <v>253</v>
      </c>
      <c r="BJ57">
        <v>253</v>
      </c>
      <c r="BK57">
        <v>254</v>
      </c>
      <c r="BL57">
        <v>254</v>
      </c>
      <c r="BM57">
        <v>254</v>
      </c>
      <c r="BN57">
        <v>254</v>
      </c>
      <c r="BO57">
        <v>254</v>
      </c>
      <c r="BP57">
        <v>254</v>
      </c>
      <c r="BQ57">
        <v>254</v>
      </c>
      <c r="BR57">
        <v>254</v>
      </c>
      <c r="BS57">
        <v>254</v>
      </c>
    </row>
    <row r="58" spans="1:71" x14ac:dyDescent="0.3">
      <c r="A58" t="s">
        <v>11</v>
      </c>
      <c r="B58" t="s">
        <v>337</v>
      </c>
      <c r="C58">
        <v>26.8154</v>
      </c>
      <c r="D58">
        <v>106.87479999999999</v>
      </c>
      <c r="E58">
        <v>1</v>
      </c>
      <c r="F58">
        <v>3</v>
      </c>
      <c r="G58">
        <v>3</v>
      </c>
      <c r="H58">
        <v>4</v>
      </c>
      <c r="I58">
        <v>5</v>
      </c>
      <c r="J58">
        <v>7</v>
      </c>
      <c r="K58">
        <v>9</v>
      </c>
      <c r="L58">
        <v>9</v>
      </c>
      <c r="M58">
        <v>12</v>
      </c>
      <c r="N58">
        <v>29</v>
      </c>
      <c r="O58">
        <v>29</v>
      </c>
      <c r="P58">
        <v>38</v>
      </c>
      <c r="Q58">
        <v>46</v>
      </c>
      <c r="R58">
        <v>58</v>
      </c>
      <c r="S58">
        <v>64</v>
      </c>
      <c r="T58">
        <v>71</v>
      </c>
      <c r="U58">
        <v>81</v>
      </c>
      <c r="V58">
        <v>89</v>
      </c>
      <c r="W58">
        <v>99</v>
      </c>
      <c r="X58">
        <v>109</v>
      </c>
      <c r="Y58">
        <v>127</v>
      </c>
      <c r="Z58">
        <v>133</v>
      </c>
      <c r="AA58">
        <v>135</v>
      </c>
      <c r="AB58">
        <v>140</v>
      </c>
      <c r="AC58">
        <v>143</v>
      </c>
      <c r="AD58">
        <v>144</v>
      </c>
      <c r="AE58">
        <v>146</v>
      </c>
      <c r="AF58">
        <v>146</v>
      </c>
      <c r="AG58">
        <v>146</v>
      </c>
      <c r="AH58">
        <v>146</v>
      </c>
      <c r="AI58">
        <v>146</v>
      </c>
      <c r="AJ58">
        <v>146</v>
      </c>
      <c r="AK58">
        <v>146</v>
      </c>
      <c r="AL58">
        <v>146</v>
      </c>
      <c r="AM58">
        <v>146</v>
      </c>
      <c r="AN58">
        <v>146</v>
      </c>
      <c r="AO58">
        <v>146</v>
      </c>
      <c r="AP58">
        <v>146</v>
      </c>
      <c r="AQ58">
        <v>146</v>
      </c>
      <c r="AR58">
        <v>146</v>
      </c>
      <c r="AS58">
        <v>146</v>
      </c>
      <c r="AT58">
        <v>146</v>
      </c>
      <c r="AU58">
        <v>146</v>
      </c>
      <c r="AV58">
        <v>146</v>
      </c>
      <c r="AW58">
        <v>146</v>
      </c>
      <c r="AX58">
        <v>146</v>
      </c>
      <c r="AY58">
        <v>146</v>
      </c>
      <c r="AZ58">
        <v>146</v>
      </c>
      <c r="BA58">
        <v>146</v>
      </c>
      <c r="BB58">
        <v>146</v>
      </c>
      <c r="BC58">
        <v>146</v>
      </c>
      <c r="BD58">
        <v>146</v>
      </c>
      <c r="BE58">
        <v>146</v>
      </c>
      <c r="BF58">
        <v>146</v>
      </c>
      <c r="BG58">
        <v>146</v>
      </c>
      <c r="BH58">
        <v>147</v>
      </c>
      <c r="BI58">
        <v>146</v>
      </c>
      <c r="BJ58">
        <v>146</v>
      </c>
      <c r="BK58">
        <v>146</v>
      </c>
      <c r="BL58">
        <v>146</v>
      </c>
      <c r="BM58">
        <v>146</v>
      </c>
      <c r="BN58">
        <v>146</v>
      </c>
      <c r="BO58">
        <v>146</v>
      </c>
      <c r="BP58">
        <v>146</v>
      </c>
      <c r="BQ58">
        <v>146</v>
      </c>
      <c r="BR58">
        <v>146</v>
      </c>
      <c r="BS58">
        <v>146</v>
      </c>
    </row>
    <row r="59" spans="1:71" x14ac:dyDescent="0.3">
      <c r="A59" t="s">
        <v>12</v>
      </c>
      <c r="B59" t="s">
        <v>337</v>
      </c>
      <c r="C59">
        <v>19.195900000000002</v>
      </c>
      <c r="D59">
        <v>109.7453</v>
      </c>
      <c r="E59">
        <v>4</v>
      </c>
      <c r="F59">
        <v>5</v>
      </c>
      <c r="G59">
        <v>8</v>
      </c>
      <c r="H59">
        <v>19</v>
      </c>
      <c r="I59">
        <v>22</v>
      </c>
      <c r="J59">
        <v>33</v>
      </c>
      <c r="K59">
        <v>40</v>
      </c>
      <c r="L59">
        <v>43</v>
      </c>
      <c r="M59">
        <v>46</v>
      </c>
      <c r="N59">
        <v>52</v>
      </c>
      <c r="O59">
        <v>62</v>
      </c>
      <c r="P59">
        <v>64</v>
      </c>
      <c r="Q59">
        <v>72</v>
      </c>
      <c r="R59">
        <v>80</v>
      </c>
      <c r="S59">
        <v>99</v>
      </c>
      <c r="T59">
        <v>106</v>
      </c>
      <c r="U59">
        <v>117</v>
      </c>
      <c r="V59">
        <v>124</v>
      </c>
      <c r="W59">
        <v>131</v>
      </c>
      <c r="X59">
        <v>138</v>
      </c>
      <c r="Y59">
        <v>144</v>
      </c>
      <c r="Z59">
        <v>157</v>
      </c>
      <c r="AA59">
        <v>157</v>
      </c>
      <c r="AB59">
        <v>159</v>
      </c>
      <c r="AC59">
        <v>162</v>
      </c>
      <c r="AD59">
        <v>162</v>
      </c>
      <c r="AE59">
        <v>163</v>
      </c>
      <c r="AF59">
        <v>163</v>
      </c>
      <c r="AG59">
        <v>168</v>
      </c>
      <c r="AH59">
        <v>168</v>
      </c>
      <c r="AI59">
        <v>168</v>
      </c>
      <c r="AJ59">
        <v>168</v>
      </c>
      <c r="AK59">
        <v>168</v>
      </c>
      <c r="AL59">
        <v>168</v>
      </c>
      <c r="AM59">
        <v>168</v>
      </c>
      <c r="AN59">
        <v>168</v>
      </c>
      <c r="AO59">
        <v>168</v>
      </c>
      <c r="AP59">
        <v>168</v>
      </c>
      <c r="AQ59">
        <v>168</v>
      </c>
      <c r="AR59">
        <v>168</v>
      </c>
      <c r="AS59">
        <v>168</v>
      </c>
      <c r="AT59">
        <v>168</v>
      </c>
      <c r="AU59">
        <v>168</v>
      </c>
      <c r="AV59">
        <v>168</v>
      </c>
      <c r="AW59">
        <v>168</v>
      </c>
      <c r="AX59">
        <v>168</v>
      </c>
      <c r="AY59">
        <v>168</v>
      </c>
      <c r="AZ59">
        <v>168</v>
      </c>
      <c r="BA59">
        <v>168</v>
      </c>
      <c r="BB59">
        <v>168</v>
      </c>
      <c r="BC59">
        <v>168</v>
      </c>
      <c r="BD59">
        <v>168</v>
      </c>
      <c r="BE59">
        <v>168</v>
      </c>
      <c r="BF59">
        <v>168</v>
      </c>
      <c r="BG59">
        <v>168</v>
      </c>
      <c r="BH59">
        <v>168</v>
      </c>
      <c r="BI59">
        <v>168</v>
      </c>
      <c r="BJ59">
        <v>168</v>
      </c>
      <c r="BK59">
        <v>168</v>
      </c>
      <c r="BL59">
        <v>168</v>
      </c>
      <c r="BM59">
        <v>168</v>
      </c>
      <c r="BN59">
        <v>168</v>
      </c>
      <c r="BO59">
        <v>168</v>
      </c>
      <c r="BP59">
        <v>168</v>
      </c>
      <c r="BQ59">
        <v>168</v>
      </c>
      <c r="BR59">
        <v>168</v>
      </c>
      <c r="BS59">
        <v>168</v>
      </c>
    </row>
    <row r="60" spans="1:71" x14ac:dyDescent="0.3">
      <c r="A60" t="s">
        <v>13</v>
      </c>
      <c r="B60" t="s">
        <v>337</v>
      </c>
      <c r="C60">
        <v>39.548999999999999</v>
      </c>
      <c r="D60">
        <v>116.1306</v>
      </c>
      <c r="E60">
        <v>1</v>
      </c>
      <c r="F60">
        <v>1</v>
      </c>
      <c r="G60">
        <v>2</v>
      </c>
      <c r="H60">
        <v>8</v>
      </c>
      <c r="I60">
        <v>13</v>
      </c>
      <c r="J60">
        <v>18</v>
      </c>
      <c r="K60">
        <v>33</v>
      </c>
      <c r="L60">
        <v>48</v>
      </c>
      <c r="M60">
        <v>65</v>
      </c>
      <c r="N60">
        <v>82</v>
      </c>
      <c r="O60">
        <v>96</v>
      </c>
      <c r="P60">
        <v>104</v>
      </c>
      <c r="Q60">
        <v>113</v>
      </c>
      <c r="R60">
        <v>126</v>
      </c>
      <c r="S60">
        <v>135</v>
      </c>
      <c r="T60">
        <v>157</v>
      </c>
      <c r="U60">
        <v>172</v>
      </c>
      <c r="V60">
        <v>195</v>
      </c>
      <c r="W60">
        <v>206</v>
      </c>
      <c r="X60">
        <v>218</v>
      </c>
      <c r="Y60">
        <v>239</v>
      </c>
      <c r="Z60">
        <v>251</v>
      </c>
      <c r="AA60">
        <v>265</v>
      </c>
      <c r="AB60">
        <v>283</v>
      </c>
      <c r="AC60">
        <v>291</v>
      </c>
      <c r="AD60">
        <v>300</v>
      </c>
      <c r="AE60">
        <v>301</v>
      </c>
      <c r="AF60">
        <v>306</v>
      </c>
      <c r="AG60">
        <v>306</v>
      </c>
      <c r="AH60">
        <v>307</v>
      </c>
      <c r="AI60">
        <v>308</v>
      </c>
      <c r="AJ60">
        <v>309</v>
      </c>
      <c r="AK60">
        <v>311</v>
      </c>
      <c r="AL60">
        <v>311</v>
      </c>
      <c r="AM60">
        <v>311</v>
      </c>
      <c r="AN60">
        <v>312</v>
      </c>
      <c r="AO60">
        <v>317</v>
      </c>
      <c r="AP60">
        <v>318</v>
      </c>
      <c r="AQ60">
        <v>318</v>
      </c>
      <c r="AR60">
        <v>318</v>
      </c>
      <c r="AS60">
        <v>318</v>
      </c>
      <c r="AT60">
        <v>318</v>
      </c>
      <c r="AU60">
        <v>318</v>
      </c>
      <c r="AV60">
        <v>318</v>
      </c>
      <c r="AW60">
        <v>318</v>
      </c>
      <c r="AX60">
        <v>318</v>
      </c>
      <c r="AY60">
        <v>318</v>
      </c>
      <c r="AZ60">
        <v>318</v>
      </c>
      <c r="BA60">
        <v>318</v>
      </c>
      <c r="BB60">
        <v>318</v>
      </c>
      <c r="BC60">
        <v>318</v>
      </c>
      <c r="BD60">
        <v>318</v>
      </c>
      <c r="BE60">
        <v>318</v>
      </c>
      <c r="BF60">
        <v>318</v>
      </c>
      <c r="BG60">
        <v>318</v>
      </c>
      <c r="BH60">
        <v>318</v>
      </c>
      <c r="BI60">
        <v>318</v>
      </c>
      <c r="BJ60">
        <v>318</v>
      </c>
      <c r="BK60">
        <v>318</v>
      </c>
      <c r="BL60">
        <v>318</v>
      </c>
      <c r="BM60">
        <v>319</v>
      </c>
      <c r="BN60">
        <v>319</v>
      </c>
      <c r="BO60">
        <v>319</v>
      </c>
      <c r="BP60">
        <v>319</v>
      </c>
      <c r="BQ60">
        <v>319</v>
      </c>
      <c r="BR60">
        <v>319</v>
      </c>
      <c r="BS60">
        <v>319</v>
      </c>
    </row>
    <row r="61" spans="1:71" x14ac:dyDescent="0.3">
      <c r="A61" t="s">
        <v>14</v>
      </c>
      <c r="B61" t="s">
        <v>337</v>
      </c>
      <c r="C61">
        <v>47.861999999999902</v>
      </c>
      <c r="D61">
        <v>127.7615</v>
      </c>
      <c r="E61">
        <v>0</v>
      </c>
      <c r="F61">
        <v>2</v>
      </c>
      <c r="G61">
        <v>4</v>
      </c>
      <c r="H61">
        <v>9</v>
      </c>
      <c r="I61">
        <v>15</v>
      </c>
      <c r="J61">
        <v>21</v>
      </c>
      <c r="K61">
        <v>33</v>
      </c>
      <c r="L61">
        <v>38</v>
      </c>
      <c r="M61">
        <v>44</v>
      </c>
      <c r="N61">
        <v>59</v>
      </c>
      <c r="O61">
        <v>80</v>
      </c>
      <c r="P61">
        <v>95</v>
      </c>
      <c r="Q61">
        <v>121</v>
      </c>
      <c r="R61">
        <v>155</v>
      </c>
      <c r="S61">
        <v>190</v>
      </c>
      <c r="T61">
        <v>227</v>
      </c>
      <c r="U61">
        <v>277</v>
      </c>
      <c r="V61">
        <v>295</v>
      </c>
      <c r="W61">
        <v>307</v>
      </c>
      <c r="X61">
        <v>331</v>
      </c>
      <c r="Y61">
        <v>360</v>
      </c>
      <c r="Z61">
        <v>378</v>
      </c>
      <c r="AA61">
        <v>395</v>
      </c>
      <c r="AB61">
        <v>419</v>
      </c>
      <c r="AC61">
        <v>425</v>
      </c>
      <c r="AD61">
        <v>445</v>
      </c>
      <c r="AE61">
        <v>457</v>
      </c>
      <c r="AF61">
        <v>464</v>
      </c>
      <c r="AG61">
        <v>470</v>
      </c>
      <c r="AH61">
        <v>476</v>
      </c>
      <c r="AI61">
        <v>479</v>
      </c>
      <c r="AJ61">
        <v>479</v>
      </c>
      <c r="AK61">
        <v>480</v>
      </c>
      <c r="AL61">
        <v>480</v>
      </c>
      <c r="AM61">
        <v>480</v>
      </c>
      <c r="AN61">
        <v>480</v>
      </c>
      <c r="AO61">
        <v>480</v>
      </c>
      <c r="AP61">
        <v>480</v>
      </c>
      <c r="AQ61">
        <v>480</v>
      </c>
      <c r="AR61">
        <v>480</v>
      </c>
      <c r="AS61">
        <v>480</v>
      </c>
      <c r="AT61">
        <v>480</v>
      </c>
      <c r="AU61">
        <v>480</v>
      </c>
      <c r="AV61">
        <v>481</v>
      </c>
      <c r="AW61">
        <v>481</v>
      </c>
      <c r="AX61">
        <v>481</v>
      </c>
      <c r="AY61">
        <v>481</v>
      </c>
      <c r="AZ61">
        <v>481</v>
      </c>
      <c r="BA61">
        <v>481</v>
      </c>
      <c r="BB61">
        <v>482</v>
      </c>
      <c r="BC61">
        <v>482</v>
      </c>
      <c r="BD61">
        <v>482</v>
      </c>
      <c r="BE61">
        <v>482</v>
      </c>
      <c r="BF61">
        <v>482</v>
      </c>
      <c r="BG61">
        <v>482</v>
      </c>
      <c r="BH61">
        <v>482</v>
      </c>
      <c r="BI61">
        <v>482</v>
      </c>
      <c r="BJ61">
        <v>483</v>
      </c>
      <c r="BK61">
        <v>484</v>
      </c>
      <c r="BL61">
        <v>484</v>
      </c>
      <c r="BM61">
        <v>484</v>
      </c>
      <c r="BN61">
        <v>484</v>
      </c>
      <c r="BO61">
        <v>484</v>
      </c>
      <c r="BP61">
        <v>484</v>
      </c>
      <c r="BQ61">
        <v>484</v>
      </c>
      <c r="BR61">
        <v>484</v>
      </c>
      <c r="BS61">
        <v>484</v>
      </c>
    </row>
    <row r="62" spans="1:71" x14ac:dyDescent="0.3">
      <c r="A62" t="s">
        <v>15</v>
      </c>
      <c r="B62" t="s">
        <v>337</v>
      </c>
      <c r="C62">
        <v>33.881999999999998</v>
      </c>
      <c r="D62">
        <v>113.613999999999</v>
      </c>
      <c r="E62">
        <v>5</v>
      </c>
      <c r="F62">
        <v>5</v>
      </c>
      <c r="G62">
        <v>9</v>
      </c>
      <c r="H62">
        <v>32</v>
      </c>
      <c r="I62">
        <v>83</v>
      </c>
      <c r="J62">
        <v>128</v>
      </c>
      <c r="K62">
        <v>168</v>
      </c>
      <c r="L62">
        <v>206</v>
      </c>
      <c r="M62">
        <v>278</v>
      </c>
      <c r="N62">
        <v>352</v>
      </c>
      <c r="O62">
        <v>422</v>
      </c>
      <c r="P62">
        <v>493</v>
      </c>
      <c r="Q62">
        <v>566</v>
      </c>
      <c r="R62">
        <v>675</v>
      </c>
      <c r="S62">
        <v>764</v>
      </c>
      <c r="T62">
        <v>851</v>
      </c>
      <c r="U62">
        <v>914</v>
      </c>
      <c r="V62">
        <v>981</v>
      </c>
      <c r="W62">
        <v>1033</v>
      </c>
      <c r="X62">
        <v>1073</v>
      </c>
      <c r="Y62">
        <v>1105</v>
      </c>
      <c r="Z62">
        <v>1135</v>
      </c>
      <c r="AA62">
        <v>1169</v>
      </c>
      <c r="AB62">
        <v>1184</v>
      </c>
      <c r="AC62">
        <v>1212</v>
      </c>
      <c r="AD62">
        <v>1231</v>
      </c>
      <c r="AE62">
        <v>1246</v>
      </c>
      <c r="AF62">
        <v>1257</v>
      </c>
      <c r="AG62">
        <v>1262</v>
      </c>
      <c r="AH62">
        <v>1265</v>
      </c>
      <c r="AI62">
        <v>1267</v>
      </c>
      <c r="AJ62">
        <v>1270</v>
      </c>
      <c r="AK62">
        <v>1271</v>
      </c>
      <c r="AL62">
        <v>1271</v>
      </c>
      <c r="AM62">
        <v>1271</v>
      </c>
      <c r="AN62">
        <v>1271</v>
      </c>
      <c r="AO62">
        <v>1272</v>
      </c>
      <c r="AP62">
        <v>1272</v>
      </c>
      <c r="AQ62">
        <v>1272</v>
      </c>
      <c r="AR62">
        <v>1272</v>
      </c>
      <c r="AS62">
        <v>1272</v>
      </c>
      <c r="AT62">
        <v>1272</v>
      </c>
      <c r="AU62">
        <v>1272</v>
      </c>
      <c r="AV62">
        <v>1272</v>
      </c>
      <c r="AW62">
        <v>1272</v>
      </c>
      <c r="AX62">
        <v>1272</v>
      </c>
      <c r="AY62">
        <v>1272</v>
      </c>
      <c r="AZ62">
        <v>1272</v>
      </c>
      <c r="BA62">
        <v>1272</v>
      </c>
      <c r="BB62">
        <v>1273</v>
      </c>
      <c r="BC62">
        <v>1273</v>
      </c>
      <c r="BD62">
        <v>1273</v>
      </c>
      <c r="BE62">
        <v>1273</v>
      </c>
      <c r="BF62">
        <v>1273</v>
      </c>
      <c r="BG62">
        <v>1273</v>
      </c>
      <c r="BH62">
        <v>1273</v>
      </c>
      <c r="BI62">
        <v>1273</v>
      </c>
      <c r="BJ62">
        <v>1273</v>
      </c>
      <c r="BK62">
        <v>1273</v>
      </c>
      <c r="BL62">
        <v>1273</v>
      </c>
      <c r="BM62">
        <v>1274</v>
      </c>
      <c r="BN62">
        <v>1274</v>
      </c>
      <c r="BO62">
        <v>1274</v>
      </c>
      <c r="BP62">
        <v>1274</v>
      </c>
      <c r="BQ62">
        <v>1275</v>
      </c>
      <c r="BR62">
        <v>1275</v>
      </c>
      <c r="BS62">
        <v>1275</v>
      </c>
    </row>
    <row r="63" spans="1:71" x14ac:dyDescent="0.3">
      <c r="A63" t="s">
        <v>246</v>
      </c>
      <c r="B63" t="s">
        <v>337</v>
      </c>
      <c r="C63">
        <v>22.3</v>
      </c>
      <c r="D63">
        <v>114.2</v>
      </c>
      <c r="E63">
        <v>0</v>
      </c>
      <c r="F63">
        <v>2</v>
      </c>
      <c r="G63">
        <v>2</v>
      </c>
      <c r="H63">
        <v>5</v>
      </c>
      <c r="I63">
        <v>8</v>
      </c>
      <c r="J63">
        <v>8</v>
      </c>
      <c r="K63">
        <v>8</v>
      </c>
      <c r="L63">
        <v>10</v>
      </c>
      <c r="M63">
        <v>10</v>
      </c>
      <c r="N63">
        <v>12</v>
      </c>
      <c r="O63">
        <v>13</v>
      </c>
      <c r="P63">
        <v>15</v>
      </c>
      <c r="Q63">
        <v>15</v>
      </c>
      <c r="R63">
        <v>17</v>
      </c>
      <c r="S63">
        <v>21</v>
      </c>
      <c r="T63">
        <v>24</v>
      </c>
      <c r="U63">
        <v>25</v>
      </c>
      <c r="V63">
        <v>26</v>
      </c>
      <c r="W63">
        <v>29</v>
      </c>
      <c r="X63">
        <v>38</v>
      </c>
      <c r="Y63">
        <v>49</v>
      </c>
      <c r="Z63">
        <v>50</v>
      </c>
      <c r="AA63">
        <v>53</v>
      </c>
      <c r="AB63">
        <v>56</v>
      </c>
      <c r="AC63">
        <v>56</v>
      </c>
      <c r="AD63">
        <v>57</v>
      </c>
      <c r="AE63">
        <v>60</v>
      </c>
      <c r="AF63">
        <v>62</v>
      </c>
      <c r="AG63">
        <v>63</v>
      </c>
      <c r="AH63">
        <v>68</v>
      </c>
      <c r="AI63">
        <v>68</v>
      </c>
      <c r="AJ63">
        <v>69</v>
      </c>
      <c r="AK63">
        <v>74</v>
      </c>
      <c r="AL63">
        <v>79</v>
      </c>
      <c r="AM63">
        <v>84</v>
      </c>
      <c r="AN63">
        <v>91</v>
      </c>
      <c r="AO63">
        <v>92</v>
      </c>
      <c r="AP63">
        <v>94</v>
      </c>
      <c r="AQ63">
        <v>95</v>
      </c>
      <c r="AR63">
        <v>96</v>
      </c>
      <c r="AS63">
        <v>100</v>
      </c>
      <c r="AT63">
        <v>100</v>
      </c>
      <c r="AU63">
        <v>105</v>
      </c>
      <c r="AV63">
        <v>105</v>
      </c>
      <c r="AW63">
        <v>107</v>
      </c>
      <c r="AX63">
        <v>108</v>
      </c>
      <c r="AY63">
        <v>114</v>
      </c>
      <c r="AZ63">
        <v>115</v>
      </c>
      <c r="BA63">
        <v>120</v>
      </c>
      <c r="BB63">
        <v>126</v>
      </c>
      <c r="BC63">
        <v>129</v>
      </c>
      <c r="BD63">
        <v>134</v>
      </c>
      <c r="BE63">
        <v>140</v>
      </c>
      <c r="BF63">
        <v>145</v>
      </c>
      <c r="BG63">
        <v>155</v>
      </c>
      <c r="BH63">
        <v>162</v>
      </c>
      <c r="BI63">
        <v>181</v>
      </c>
      <c r="BJ63">
        <v>208</v>
      </c>
      <c r="BK63">
        <v>256</v>
      </c>
      <c r="BL63">
        <v>273</v>
      </c>
      <c r="BM63">
        <v>317</v>
      </c>
      <c r="BN63">
        <v>356</v>
      </c>
      <c r="BO63">
        <v>386</v>
      </c>
      <c r="BP63">
        <v>410</v>
      </c>
      <c r="BQ63">
        <v>453</v>
      </c>
      <c r="BR63">
        <v>519</v>
      </c>
      <c r="BS63">
        <v>561</v>
      </c>
    </row>
    <row r="64" spans="1:71" x14ac:dyDescent="0.3">
      <c r="A64" t="s">
        <v>16</v>
      </c>
      <c r="B64" t="s">
        <v>337</v>
      </c>
      <c r="C64">
        <v>30.9756</v>
      </c>
      <c r="D64">
        <v>112.27070000000001</v>
      </c>
      <c r="E64">
        <v>444</v>
      </c>
      <c r="F64">
        <v>444</v>
      </c>
      <c r="G64">
        <v>549</v>
      </c>
      <c r="H64">
        <v>761</v>
      </c>
      <c r="I64">
        <v>1058</v>
      </c>
      <c r="J64">
        <v>1423</v>
      </c>
      <c r="K64">
        <v>3554</v>
      </c>
      <c r="L64">
        <v>3554</v>
      </c>
      <c r="M64">
        <v>4903</v>
      </c>
      <c r="N64">
        <v>5806</v>
      </c>
      <c r="O64">
        <v>7153</v>
      </c>
      <c r="P64">
        <v>11177</v>
      </c>
      <c r="Q64">
        <v>13522</v>
      </c>
      <c r="R64">
        <v>16678</v>
      </c>
      <c r="S64">
        <v>19665</v>
      </c>
      <c r="T64">
        <v>22112</v>
      </c>
      <c r="U64">
        <v>24953</v>
      </c>
      <c r="V64">
        <v>27100</v>
      </c>
      <c r="W64">
        <v>29631</v>
      </c>
      <c r="X64">
        <v>31728</v>
      </c>
      <c r="Y64">
        <v>33366</v>
      </c>
      <c r="Z64">
        <v>33366</v>
      </c>
      <c r="AA64">
        <v>48206</v>
      </c>
      <c r="AB64">
        <v>54406</v>
      </c>
      <c r="AC64">
        <v>56249</v>
      </c>
      <c r="AD64">
        <v>58182</v>
      </c>
      <c r="AE64">
        <v>59989</v>
      </c>
      <c r="AF64">
        <v>61682</v>
      </c>
      <c r="AG64">
        <v>62031</v>
      </c>
      <c r="AH64">
        <v>62442</v>
      </c>
      <c r="AI64">
        <v>62662</v>
      </c>
      <c r="AJ64">
        <v>64084</v>
      </c>
      <c r="AK64">
        <v>64084</v>
      </c>
      <c r="AL64">
        <v>64287</v>
      </c>
      <c r="AM64">
        <v>64786</v>
      </c>
      <c r="AN64">
        <v>65187</v>
      </c>
      <c r="AO64">
        <v>65596</v>
      </c>
      <c r="AP64">
        <v>65914</v>
      </c>
      <c r="AQ64">
        <v>66337</v>
      </c>
      <c r="AR64">
        <v>66907</v>
      </c>
      <c r="AS64">
        <v>67103</v>
      </c>
      <c r="AT64">
        <v>67217</v>
      </c>
      <c r="AU64">
        <v>67332</v>
      </c>
      <c r="AV64">
        <v>67466</v>
      </c>
      <c r="AW64">
        <v>67592</v>
      </c>
      <c r="AX64">
        <v>67666</v>
      </c>
      <c r="AY64">
        <v>67707</v>
      </c>
      <c r="AZ64">
        <v>67743</v>
      </c>
      <c r="BA64">
        <v>67760</v>
      </c>
      <c r="BB64">
        <v>67773</v>
      </c>
      <c r="BC64">
        <v>67781</v>
      </c>
      <c r="BD64">
        <v>67786</v>
      </c>
      <c r="BE64">
        <v>67790</v>
      </c>
      <c r="BF64">
        <v>67794</v>
      </c>
      <c r="BG64">
        <v>67798</v>
      </c>
      <c r="BH64">
        <v>67799</v>
      </c>
      <c r="BI64">
        <v>67800</v>
      </c>
      <c r="BJ64">
        <v>67800</v>
      </c>
      <c r="BK64">
        <v>67800</v>
      </c>
      <c r="BL64">
        <v>67800</v>
      </c>
      <c r="BM64">
        <v>67800</v>
      </c>
      <c r="BN64">
        <v>67800</v>
      </c>
      <c r="BO64">
        <v>67801</v>
      </c>
      <c r="BP64">
        <v>67801</v>
      </c>
      <c r="BQ64">
        <v>67801</v>
      </c>
      <c r="BR64">
        <v>67801</v>
      </c>
      <c r="BS64">
        <v>67801</v>
      </c>
    </row>
    <row r="65" spans="1:71" x14ac:dyDescent="0.3">
      <c r="A65" t="s">
        <v>17</v>
      </c>
      <c r="B65" t="s">
        <v>337</v>
      </c>
      <c r="C65">
        <v>27.610399999999998</v>
      </c>
      <c r="D65">
        <v>111.7088</v>
      </c>
      <c r="E65">
        <v>4</v>
      </c>
      <c r="F65">
        <v>9</v>
      </c>
      <c r="G65">
        <v>24</v>
      </c>
      <c r="H65">
        <v>43</v>
      </c>
      <c r="I65">
        <v>69</v>
      </c>
      <c r="J65">
        <v>100</v>
      </c>
      <c r="K65">
        <v>143</v>
      </c>
      <c r="L65">
        <v>221</v>
      </c>
      <c r="M65">
        <v>277</v>
      </c>
      <c r="N65">
        <v>332</v>
      </c>
      <c r="O65">
        <v>389</v>
      </c>
      <c r="P65">
        <v>463</v>
      </c>
      <c r="Q65">
        <v>521</v>
      </c>
      <c r="R65">
        <v>593</v>
      </c>
      <c r="S65">
        <v>661</v>
      </c>
      <c r="T65">
        <v>711</v>
      </c>
      <c r="U65">
        <v>772</v>
      </c>
      <c r="V65">
        <v>803</v>
      </c>
      <c r="W65">
        <v>838</v>
      </c>
      <c r="X65">
        <v>879</v>
      </c>
      <c r="Y65">
        <v>912</v>
      </c>
      <c r="Z65">
        <v>946</v>
      </c>
      <c r="AA65">
        <v>968</v>
      </c>
      <c r="AB65">
        <v>988</v>
      </c>
      <c r="AC65">
        <v>1001</v>
      </c>
      <c r="AD65">
        <v>1004</v>
      </c>
      <c r="AE65">
        <v>1006</v>
      </c>
      <c r="AF65">
        <v>1007</v>
      </c>
      <c r="AG65">
        <v>1008</v>
      </c>
      <c r="AH65">
        <v>1010</v>
      </c>
      <c r="AI65">
        <v>1011</v>
      </c>
      <c r="AJ65">
        <v>1013</v>
      </c>
      <c r="AK65">
        <v>1016</v>
      </c>
      <c r="AL65">
        <v>1016</v>
      </c>
      <c r="AM65">
        <v>1016</v>
      </c>
      <c r="AN65">
        <v>1016</v>
      </c>
      <c r="AO65">
        <v>1017</v>
      </c>
      <c r="AP65">
        <v>1017</v>
      </c>
      <c r="AQ65">
        <v>1018</v>
      </c>
      <c r="AR65">
        <v>1018</v>
      </c>
      <c r="AS65">
        <v>1018</v>
      </c>
      <c r="AT65">
        <v>1018</v>
      </c>
      <c r="AU65">
        <v>1018</v>
      </c>
      <c r="AV65">
        <v>1018</v>
      </c>
      <c r="AW65">
        <v>1018</v>
      </c>
      <c r="AX65">
        <v>1018</v>
      </c>
      <c r="AY65">
        <v>1018</v>
      </c>
      <c r="AZ65">
        <v>1018</v>
      </c>
      <c r="BA65">
        <v>1018</v>
      </c>
      <c r="BB65">
        <v>1018</v>
      </c>
      <c r="BC65">
        <v>1018</v>
      </c>
      <c r="BD65">
        <v>1018</v>
      </c>
      <c r="BE65">
        <v>1018</v>
      </c>
      <c r="BF65">
        <v>1018</v>
      </c>
      <c r="BG65">
        <v>1018</v>
      </c>
      <c r="BH65">
        <v>1018</v>
      </c>
      <c r="BI65">
        <v>1018</v>
      </c>
      <c r="BJ65">
        <v>1018</v>
      </c>
      <c r="BK65">
        <v>1018</v>
      </c>
      <c r="BL65">
        <v>1018</v>
      </c>
      <c r="BM65">
        <v>1018</v>
      </c>
      <c r="BN65">
        <v>1018</v>
      </c>
      <c r="BO65">
        <v>1018</v>
      </c>
      <c r="BP65">
        <v>1018</v>
      </c>
      <c r="BQ65">
        <v>1018</v>
      </c>
      <c r="BR65">
        <v>1018</v>
      </c>
      <c r="BS65">
        <v>1018</v>
      </c>
    </row>
    <row r="66" spans="1:71" x14ac:dyDescent="0.3">
      <c r="A66" t="s">
        <v>18</v>
      </c>
      <c r="B66" t="s">
        <v>337</v>
      </c>
      <c r="C66">
        <v>44.093499999999999</v>
      </c>
      <c r="D66">
        <v>113.9448</v>
      </c>
      <c r="E66">
        <v>0</v>
      </c>
      <c r="F66">
        <v>0</v>
      </c>
      <c r="G66">
        <v>1</v>
      </c>
      <c r="H66">
        <v>7</v>
      </c>
      <c r="I66">
        <v>7</v>
      </c>
      <c r="J66">
        <v>11</v>
      </c>
      <c r="K66">
        <v>15</v>
      </c>
      <c r="L66">
        <v>16</v>
      </c>
      <c r="M66">
        <v>19</v>
      </c>
      <c r="N66">
        <v>20</v>
      </c>
      <c r="O66">
        <v>23</v>
      </c>
      <c r="P66">
        <v>27</v>
      </c>
      <c r="Q66">
        <v>34</v>
      </c>
      <c r="R66">
        <v>35</v>
      </c>
      <c r="S66">
        <v>42</v>
      </c>
      <c r="T66">
        <v>46</v>
      </c>
      <c r="U66">
        <v>50</v>
      </c>
      <c r="V66">
        <v>52</v>
      </c>
      <c r="W66">
        <v>54</v>
      </c>
      <c r="X66">
        <v>58</v>
      </c>
      <c r="Y66">
        <v>58</v>
      </c>
      <c r="Z66">
        <v>60</v>
      </c>
      <c r="AA66">
        <v>61</v>
      </c>
      <c r="AB66">
        <v>65</v>
      </c>
      <c r="AC66">
        <v>68</v>
      </c>
      <c r="AD66">
        <v>70</v>
      </c>
      <c r="AE66">
        <v>72</v>
      </c>
      <c r="AF66">
        <v>73</v>
      </c>
      <c r="AG66">
        <v>75</v>
      </c>
      <c r="AH66">
        <v>75</v>
      </c>
      <c r="AI66">
        <v>75</v>
      </c>
      <c r="AJ66">
        <v>75</v>
      </c>
      <c r="AK66">
        <v>75</v>
      </c>
      <c r="AL66">
        <v>75</v>
      </c>
      <c r="AM66">
        <v>75</v>
      </c>
      <c r="AN66">
        <v>75</v>
      </c>
      <c r="AO66">
        <v>75</v>
      </c>
      <c r="AP66">
        <v>75</v>
      </c>
      <c r="AQ66">
        <v>75</v>
      </c>
      <c r="AR66">
        <v>75</v>
      </c>
      <c r="AS66">
        <v>75</v>
      </c>
      <c r="AT66">
        <v>75</v>
      </c>
      <c r="AU66">
        <v>75</v>
      </c>
      <c r="AV66">
        <v>75</v>
      </c>
      <c r="AW66">
        <v>75</v>
      </c>
      <c r="AX66">
        <v>75</v>
      </c>
      <c r="AY66">
        <v>75</v>
      </c>
      <c r="AZ66">
        <v>75</v>
      </c>
      <c r="BA66">
        <v>75</v>
      </c>
      <c r="BB66">
        <v>75</v>
      </c>
      <c r="BC66">
        <v>75</v>
      </c>
      <c r="BD66">
        <v>75</v>
      </c>
      <c r="BE66">
        <v>75</v>
      </c>
      <c r="BF66">
        <v>75</v>
      </c>
      <c r="BG66">
        <v>75</v>
      </c>
      <c r="BH66">
        <v>75</v>
      </c>
      <c r="BI66">
        <v>75</v>
      </c>
      <c r="BJ66">
        <v>75</v>
      </c>
      <c r="BK66">
        <v>75</v>
      </c>
      <c r="BL66">
        <v>75</v>
      </c>
      <c r="BM66">
        <v>75</v>
      </c>
      <c r="BN66">
        <v>75</v>
      </c>
      <c r="BO66">
        <v>75</v>
      </c>
      <c r="BP66">
        <v>77</v>
      </c>
      <c r="BQ66">
        <v>89</v>
      </c>
      <c r="BR66">
        <v>92</v>
      </c>
      <c r="BS66">
        <v>94</v>
      </c>
    </row>
    <row r="67" spans="1:71" x14ac:dyDescent="0.3">
      <c r="A67" t="s">
        <v>19</v>
      </c>
      <c r="B67" t="s">
        <v>337</v>
      </c>
      <c r="C67">
        <v>32.9711</v>
      </c>
      <c r="D67">
        <v>119.455</v>
      </c>
      <c r="E67">
        <v>1</v>
      </c>
      <c r="F67">
        <v>5</v>
      </c>
      <c r="G67">
        <v>9</v>
      </c>
      <c r="H67">
        <v>18</v>
      </c>
      <c r="I67">
        <v>33</v>
      </c>
      <c r="J67">
        <v>47</v>
      </c>
      <c r="K67">
        <v>70</v>
      </c>
      <c r="L67">
        <v>99</v>
      </c>
      <c r="M67">
        <v>129</v>
      </c>
      <c r="N67">
        <v>168</v>
      </c>
      <c r="O67">
        <v>202</v>
      </c>
      <c r="P67">
        <v>236</v>
      </c>
      <c r="Q67">
        <v>271</v>
      </c>
      <c r="R67">
        <v>308</v>
      </c>
      <c r="S67">
        <v>341</v>
      </c>
      <c r="T67">
        <v>373</v>
      </c>
      <c r="U67">
        <v>408</v>
      </c>
      <c r="V67">
        <v>439</v>
      </c>
      <c r="W67">
        <v>468</v>
      </c>
      <c r="X67">
        <v>492</v>
      </c>
      <c r="Y67">
        <v>515</v>
      </c>
      <c r="Z67">
        <v>543</v>
      </c>
      <c r="AA67">
        <v>570</v>
      </c>
      <c r="AB67">
        <v>593</v>
      </c>
      <c r="AC67">
        <v>604</v>
      </c>
      <c r="AD67">
        <v>617</v>
      </c>
      <c r="AE67">
        <v>626</v>
      </c>
      <c r="AF67">
        <v>629</v>
      </c>
      <c r="AG67">
        <v>631</v>
      </c>
      <c r="AH67">
        <v>631</v>
      </c>
      <c r="AI67">
        <v>631</v>
      </c>
      <c r="AJ67">
        <v>631</v>
      </c>
      <c r="AK67">
        <v>631</v>
      </c>
      <c r="AL67">
        <v>631</v>
      </c>
      <c r="AM67">
        <v>631</v>
      </c>
      <c r="AN67">
        <v>631</v>
      </c>
      <c r="AO67">
        <v>631</v>
      </c>
      <c r="AP67">
        <v>631</v>
      </c>
      <c r="AQ67">
        <v>631</v>
      </c>
      <c r="AR67">
        <v>631</v>
      </c>
      <c r="AS67">
        <v>631</v>
      </c>
      <c r="AT67">
        <v>631</v>
      </c>
      <c r="AU67">
        <v>631</v>
      </c>
      <c r="AV67">
        <v>631</v>
      </c>
      <c r="AW67">
        <v>631</v>
      </c>
      <c r="AX67">
        <v>631</v>
      </c>
      <c r="AY67">
        <v>631</v>
      </c>
      <c r="AZ67">
        <v>631</v>
      </c>
      <c r="BA67">
        <v>631</v>
      </c>
      <c r="BB67">
        <v>631</v>
      </c>
      <c r="BC67">
        <v>631</v>
      </c>
      <c r="BD67">
        <v>631</v>
      </c>
      <c r="BE67">
        <v>631</v>
      </c>
      <c r="BF67">
        <v>631</v>
      </c>
      <c r="BG67">
        <v>631</v>
      </c>
      <c r="BH67">
        <v>631</v>
      </c>
      <c r="BI67">
        <v>631</v>
      </c>
      <c r="BJ67">
        <v>631</v>
      </c>
      <c r="BK67">
        <v>631</v>
      </c>
      <c r="BL67">
        <v>631</v>
      </c>
      <c r="BM67">
        <v>633</v>
      </c>
      <c r="BN67">
        <v>633</v>
      </c>
      <c r="BO67">
        <v>636</v>
      </c>
      <c r="BP67">
        <v>638</v>
      </c>
      <c r="BQ67">
        <v>640</v>
      </c>
      <c r="BR67">
        <v>641</v>
      </c>
      <c r="BS67">
        <v>641</v>
      </c>
    </row>
    <row r="68" spans="1:71" x14ac:dyDescent="0.3">
      <c r="A68" t="s">
        <v>20</v>
      </c>
      <c r="B68" t="s">
        <v>337</v>
      </c>
      <c r="C68">
        <v>27.614000000000001</v>
      </c>
      <c r="D68">
        <v>115.7221</v>
      </c>
      <c r="E68">
        <v>2</v>
      </c>
      <c r="F68">
        <v>7</v>
      </c>
      <c r="G68">
        <v>18</v>
      </c>
      <c r="H68">
        <v>18</v>
      </c>
      <c r="I68">
        <v>36</v>
      </c>
      <c r="J68">
        <v>72</v>
      </c>
      <c r="K68">
        <v>109</v>
      </c>
      <c r="L68">
        <v>109</v>
      </c>
      <c r="M68">
        <v>162</v>
      </c>
      <c r="N68">
        <v>240</v>
      </c>
      <c r="O68">
        <v>286</v>
      </c>
      <c r="P68">
        <v>333</v>
      </c>
      <c r="Q68">
        <v>391</v>
      </c>
      <c r="R68">
        <v>476</v>
      </c>
      <c r="S68">
        <v>548</v>
      </c>
      <c r="T68">
        <v>600</v>
      </c>
      <c r="U68">
        <v>661</v>
      </c>
      <c r="V68">
        <v>698</v>
      </c>
      <c r="W68">
        <v>740</v>
      </c>
      <c r="X68">
        <v>771</v>
      </c>
      <c r="Y68">
        <v>804</v>
      </c>
      <c r="Z68">
        <v>844</v>
      </c>
      <c r="AA68">
        <v>872</v>
      </c>
      <c r="AB68">
        <v>900</v>
      </c>
      <c r="AC68">
        <v>913</v>
      </c>
      <c r="AD68">
        <v>925</v>
      </c>
      <c r="AE68">
        <v>930</v>
      </c>
      <c r="AF68">
        <v>933</v>
      </c>
      <c r="AG68">
        <v>934</v>
      </c>
      <c r="AH68">
        <v>934</v>
      </c>
      <c r="AI68">
        <v>934</v>
      </c>
      <c r="AJ68">
        <v>934</v>
      </c>
      <c r="AK68">
        <v>934</v>
      </c>
      <c r="AL68">
        <v>934</v>
      </c>
      <c r="AM68">
        <v>934</v>
      </c>
      <c r="AN68">
        <v>934</v>
      </c>
      <c r="AO68">
        <v>934</v>
      </c>
      <c r="AP68">
        <v>935</v>
      </c>
      <c r="AQ68">
        <v>935</v>
      </c>
      <c r="AR68">
        <v>935</v>
      </c>
      <c r="AS68">
        <v>935</v>
      </c>
      <c r="AT68">
        <v>935</v>
      </c>
      <c r="AU68">
        <v>935</v>
      </c>
      <c r="AV68">
        <v>935</v>
      </c>
      <c r="AW68">
        <v>935</v>
      </c>
      <c r="AX68">
        <v>935</v>
      </c>
      <c r="AY68">
        <v>935</v>
      </c>
      <c r="AZ68">
        <v>935</v>
      </c>
      <c r="BA68">
        <v>935</v>
      </c>
      <c r="BB68">
        <v>935</v>
      </c>
      <c r="BC68">
        <v>935</v>
      </c>
      <c r="BD68">
        <v>935</v>
      </c>
      <c r="BE68">
        <v>935</v>
      </c>
      <c r="BF68">
        <v>935</v>
      </c>
      <c r="BG68">
        <v>935</v>
      </c>
      <c r="BH68">
        <v>935</v>
      </c>
      <c r="BI68">
        <v>935</v>
      </c>
      <c r="BJ68">
        <v>935</v>
      </c>
      <c r="BK68">
        <v>935</v>
      </c>
      <c r="BL68">
        <v>935</v>
      </c>
      <c r="BM68">
        <v>936</v>
      </c>
      <c r="BN68">
        <v>936</v>
      </c>
      <c r="BO68">
        <v>936</v>
      </c>
      <c r="BP68">
        <v>936</v>
      </c>
      <c r="BQ68">
        <v>936</v>
      </c>
      <c r="BR68">
        <v>936</v>
      </c>
      <c r="BS68">
        <v>936</v>
      </c>
    </row>
    <row r="69" spans="1:71" x14ac:dyDescent="0.3">
      <c r="A69" t="s">
        <v>21</v>
      </c>
      <c r="B69" t="s">
        <v>337</v>
      </c>
      <c r="C69">
        <v>43.6661</v>
      </c>
      <c r="D69">
        <v>126.1923</v>
      </c>
      <c r="E69">
        <v>0</v>
      </c>
      <c r="F69">
        <v>1</v>
      </c>
      <c r="G69">
        <v>3</v>
      </c>
      <c r="H69">
        <v>4</v>
      </c>
      <c r="I69">
        <v>4</v>
      </c>
      <c r="J69">
        <v>6</v>
      </c>
      <c r="K69">
        <v>8</v>
      </c>
      <c r="L69">
        <v>9</v>
      </c>
      <c r="M69">
        <v>14</v>
      </c>
      <c r="N69">
        <v>14</v>
      </c>
      <c r="O69">
        <v>17</v>
      </c>
      <c r="P69">
        <v>23</v>
      </c>
      <c r="Q69">
        <v>31</v>
      </c>
      <c r="R69">
        <v>42</v>
      </c>
      <c r="S69">
        <v>54</v>
      </c>
      <c r="T69">
        <v>59</v>
      </c>
      <c r="U69">
        <v>65</v>
      </c>
      <c r="V69">
        <v>69</v>
      </c>
      <c r="W69">
        <v>78</v>
      </c>
      <c r="X69">
        <v>80</v>
      </c>
      <c r="Y69">
        <v>81</v>
      </c>
      <c r="Z69">
        <v>83</v>
      </c>
      <c r="AA69">
        <v>84</v>
      </c>
      <c r="AB69">
        <v>86</v>
      </c>
      <c r="AC69">
        <v>88</v>
      </c>
      <c r="AD69">
        <v>89</v>
      </c>
      <c r="AE69">
        <v>89</v>
      </c>
      <c r="AF69">
        <v>89</v>
      </c>
      <c r="AG69">
        <v>90</v>
      </c>
      <c r="AH69">
        <v>91</v>
      </c>
      <c r="AI69">
        <v>91</v>
      </c>
      <c r="AJ69">
        <v>91</v>
      </c>
      <c r="AK69">
        <v>91</v>
      </c>
      <c r="AL69">
        <v>93</v>
      </c>
      <c r="AM69">
        <v>93</v>
      </c>
      <c r="AN69">
        <v>93</v>
      </c>
      <c r="AO69">
        <v>93</v>
      </c>
      <c r="AP69">
        <v>93</v>
      </c>
      <c r="AQ69">
        <v>93</v>
      </c>
      <c r="AR69">
        <v>93</v>
      </c>
      <c r="AS69">
        <v>93</v>
      </c>
      <c r="AT69">
        <v>93</v>
      </c>
      <c r="AU69">
        <v>93</v>
      </c>
      <c r="AV69">
        <v>93</v>
      </c>
      <c r="AW69">
        <v>93</v>
      </c>
      <c r="AX69">
        <v>93</v>
      </c>
      <c r="AY69">
        <v>93</v>
      </c>
      <c r="AZ69">
        <v>93</v>
      </c>
      <c r="BA69">
        <v>93</v>
      </c>
      <c r="BB69">
        <v>93</v>
      </c>
      <c r="BC69">
        <v>93</v>
      </c>
      <c r="BD69">
        <v>93</v>
      </c>
      <c r="BE69">
        <v>93</v>
      </c>
      <c r="BF69">
        <v>93</v>
      </c>
      <c r="BG69">
        <v>93</v>
      </c>
      <c r="BH69">
        <v>93</v>
      </c>
      <c r="BI69">
        <v>93</v>
      </c>
      <c r="BJ69">
        <v>93</v>
      </c>
      <c r="BK69">
        <v>93</v>
      </c>
      <c r="BL69">
        <v>93</v>
      </c>
      <c r="BM69">
        <v>93</v>
      </c>
      <c r="BN69">
        <v>93</v>
      </c>
      <c r="BO69">
        <v>93</v>
      </c>
      <c r="BP69">
        <v>94</v>
      </c>
      <c r="BQ69">
        <v>95</v>
      </c>
      <c r="BR69">
        <v>95</v>
      </c>
      <c r="BS69">
        <v>97</v>
      </c>
    </row>
    <row r="70" spans="1:71" x14ac:dyDescent="0.3">
      <c r="A70" t="s">
        <v>22</v>
      </c>
      <c r="B70" t="s">
        <v>337</v>
      </c>
      <c r="C70">
        <v>41.2956</v>
      </c>
      <c r="D70">
        <v>122.60850000000001</v>
      </c>
      <c r="E70">
        <v>2</v>
      </c>
      <c r="F70">
        <v>3</v>
      </c>
      <c r="G70">
        <v>4</v>
      </c>
      <c r="H70">
        <v>17</v>
      </c>
      <c r="I70">
        <v>21</v>
      </c>
      <c r="J70">
        <v>27</v>
      </c>
      <c r="K70">
        <v>34</v>
      </c>
      <c r="L70">
        <v>39</v>
      </c>
      <c r="M70">
        <v>41</v>
      </c>
      <c r="N70">
        <v>48</v>
      </c>
      <c r="O70">
        <v>64</v>
      </c>
      <c r="P70">
        <v>70</v>
      </c>
      <c r="Q70">
        <v>74</v>
      </c>
      <c r="R70">
        <v>81</v>
      </c>
      <c r="S70">
        <v>89</v>
      </c>
      <c r="T70">
        <v>94</v>
      </c>
      <c r="U70">
        <v>99</v>
      </c>
      <c r="V70">
        <v>105</v>
      </c>
      <c r="W70">
        <v>107</v>
      </c>
      <c r="X70">
        <v>108</v>
      </c>
      <c r="Y70">
        <v>111</v>
      </c>
      <c r="Z70">
        <v>116</v>
      </c>
      <c r="AA70">
        <v>117</v>
      </c>
      <c r="AB70">
        <v>119</v>
      </c>
      <c r="AC70">
        <v>119</v>
      </c>
      <c r="AD70">
        <v>121</v>
      </c>
      <c r="AE70">
        <v>121</v>
      </c>
      <c r="AF70">
        <v>121</v>
      </c>
      <c r="AG70">
        <v>121</v>
      </c>
      <c r="AH70">
        <v>121</v>
      </c>
      <c r="AI70">
        <v>121</v>
      </c>
      <c r="AJ70">
        <v>121</v>
      </c>
      <c r="AK70">
        <v>121</v>
      </c>
      <c r="AL70">
        <v>121</v>
      </c>
      <c r="AM70">
        <v>121</v>
      </c>
      <c r="AN70">
        <v>121</v>
      </c>
      <c r="AO70">
        <v>121</v>
      </c>
      <c r="AP70">
        <v>121</v>
      </c>
      <c r="AQ70">
        <v>121</v>
      </c>
      <c r="AR70">
        <v>122</v>
      </c>
      <c r="AS70">
        <v>122</v>
      </c>
      <c r="AT70">
        <v>125</v>
      </c>
      <c r="AU70">
        <v>125</v>
      </c>
      <c r="AV70">
        <v>125</v>
      </c>
      <c r="AW70">
        <v>125</v>
      </c>
      <c r="AX70">
        <v>125</v>
      </c>
      <c r="AY70">
        <v>125</v>
      </c>
      <c r="AZ70">
        <v>125</v>
      </c>
      <c r="BA70">
        <v>125</v>
      </c>
      <c r="BB70">
        <v>125</v>
      </c>
      <c r="BC70">
        <v>125</v>
      </c>
      <c r="BD70">
        <v>125</v>
      </c>
      <c r="BE70">
        <v>125</v>
      </c>
      <c r="BF70">
        <v>125</v>
      </c>
      <c r="BG70">
        <v>125</v>
      </c>
      <c r="BH70">
        <v>125</v>
      </c>
      <c r="BI70">
        <v>125</v>
      </c>
      <c r="BJ70">
        <v>125</v>
      </c>
      <c r="BK70">
        <v>126</v>
      </c>
      <c r="BL70">
        <v>126</v>
      </c>
      <c r="BM70">
        <v>127</v>
      </c>
      <c r="BN70">
        <v>127</v>
      </c>
      <c r="BO70">
        <v>127</v>
      </c>
      <c r="BP70">
        <v>127</v>
      </c>
      <c r="BQ70">
        <v>128</v>
      </c>
      <c r="BR70">
        <v>128</v>
      </c>
      <c r="BS70">
        <v>132</v>
      </c>
    </row>
    <row r="71" spans="1:71" x14ac:dyDescent="0.3">
      <c r="A71" t="s">
        <v>257</v>
      </c>
      <c r="B71" t="s">
        <v>337</v>
      </c>
      <c r="C71">
        <v>22.166699999999999</v>
      </c>
      <c r="D71">
        <v>113.55</v>
      </c>
      <c r="E71">
        <v>1</v>
      </c>
      <c r="F71">
        <v>2</v>
      </c>
      <c r="G71">
        <v>2</v>
      </c>
      <c r="H71">
        <v>2</v>
      </c>
      <c r="I71">
        <v>5</v>
      </c>
      <c r="J71">
        <v>6</v>
      </c>
      <c r="K71">
        <v>7</v>
      </c>
      <c r="L71">
        <v>7</v>
      </c>
      <c r="M71">
        <v>7</v>
      </c>
      <c r="N71">
        <v>7</v>
      </c>
      <c r="O71">
        <v>7</v>
      </c>
      <c r="P71">
        <v>8</v>
      </c>
      <c r="Q71">
        <v>8</v>
      </c>
      <c r="R71">
        <v>10</v>
      </c>
      <c r="S71">
        <v>10</v>
      </c>
      <c r="T71">
        <v>10</v>
      </c>
      <c r="U71">
        <v>10</v>
      </c>
      <c r="V71">
        <v>10</v>
      </c>
      <c r="W71">
        <v>10</v>
      </c>
      <c r="X71">
        <v>10</v>
      </c>
      <c r="Y71">
        <v>10</v>
      </c>
      <c r="Z71">
        <v>10</v>
      </c>
      <c r="AA71">
        <v>10</v>
      </c>
      <c r="AB71">
        <v>10</v>
      </c>
      <c r="AC71">
        <v>10</v>
      </c>
      <c r="AD71">
        <v>10</v>
      </c>
      <c r="AE71">
        <v>10</v>
      </c>
      <c r="AF71">
        <v>10</v>
      </c>
      <c r="AG71">
        <v>10</v>
      </c>
      <c r="AH71">
        <v>10</v>
      </c>
      <c r="AI71">
        <v>10</v>
      </c>
      <c r="AJ71">
        <v>10</v>
      </c>
      <c r="AK71">
        <v>10</v>
      </c>
      <c r="AL71">
        <v>10</v>
      </c>
      <c r="AM71">
        <v>10</v>
      </c>
      <c r="AN71">
        <v>10</v>
      </c>
      <c r="AO71">
        <v>10</v>
      </c>
      <c r="AP71">
        <v>10</v>
      </c>
      <c r="AQ71">
        <v>10</v>
      </c>
      <c r="AR71">
        <v>10</v>
      </c>
      <c r="AS71">
        <v>10</v>
      </c>
      <c r="AT71">
        <v>10</v>
      </c>
      <c r="AU71">
        <v>10</v>
      </c>
      <c r="AV71">
        <v>10</v>
      </c>
      <c r="AW71">
        <v>10</v>
      </c>
      <c r="AX71">
        <v>10</v>
      </c>
      <c r="AY71">
        <v>10</v>
      </c>
      <c r="AZ71">
        <v>10</v>
      </c>
      <c r="BA71">
        <v>10</v>
      </c>
      <c r="BB71">
        <v>10</v>
      </c>
      <c r="BC71">
        <v>10</v>
      </c>
      <c r="BD71">
        <v>10</v>
      </c>
      <c r="BE71">
        <v>10</v>
      </c>
      <c r="BF71">
        <v>10</v>
      </c>
      <c r="BG71">
        <v>11</v>
      </c>
      <c r="BH71">
        <v>12</v>
      </c>
      <c r="BI71">
        <v>15</v>
      </c>
      <c r="BJ71">
        <v>17</v>
      </c>
      <c r="BK71">
        <v>17</v>
      </c>
      <c r="BL71">
        <v>18</v>
      </c>
      <c r="BM71">
        <v>24</v>
      </c>
      <c r="BN71">
        <v>24</v>
      </c>
      <c r="BO71">
        <v>25</v>
      </c>
      <c r="BP71">
        <v>30</v>
      </c>
      <c r="BQ71">
        <v>31</v>
      </c>
      <c r="BR71">
        <v>33</v>
      </c>
      <c r="BS71">
        <v>37</v>
      </c>
    </row>
    <row r="72" spans="1:71" x14ac:dyDescent="0.3">
      <c r="A72" t="s">
        <v>23</v>
      </c>
      <c r="B72" t="s">
        <v>337</v>
      </c>
      <c r="C72">
        <v>37.269199999999998</v>
      </c>
      <c r="D72">
        <v>106.16549999999999</v>
      </c>
      <c r="E72">
        <v>1</v>
      </c>
      <c r="F72">
        <v>1</v>
      </c>
      <c r="G72">
        <v>2</v>
      </c>
      <c r="H72">
        <v>3</v>
      </c>
      <c r="I72">
        <v>4</v>
      </c>
      <c r="J72">
        <v>7</v>
      </c>
      <c r="K72">
        <v>11</v>
      </c>
      <c r="L72">
        <v>12</v>
      </c>
      <c r="M72">
        <v>17</v>
      </c>
      <c r="N72">
        <v>21</v>
      </c>
      <c r="O72">
        <v>26</v>
      </c>
      <c r="P72">
        <v>28</v>
      </c>
      <c r="Q72">
        <v>31</v>
      </c>
      <c r="R72">
        <v>34</v>
      </c>
      <c r="S72">
        <v>34</v>
      </c>
      <c r="T72">
        <v>40</v>
      </c>
      <c r="U72">
        <v>43</v>
      </c>
      <c r="V72">
        <v>45</v>
      </c>
      <c r="W72">
        <v>45</v>
      </c>
      <c r="X72">
        <v>49</v>
      </c>
      <c r="Y72">
        <v>53</v>
      </c>
      <c r="Z72">
        <v>58</v>
      </c>
      <c r="AA72">
        <v>64</v>
      </c>
      <c r="AB72">
        <v>67</v>
      </c>
      <c r="AC72">
        <v>70</v>
      </c>
      <c r="AD72">
        <v>70</v>
      </c>
      <c r="AE72">
        <v>70</v>
      </c>
      <c r="AF72">
        <v>70</v>
      </c>
      <c r="AG72">
        <v>71</v>
      </c>
      <c r="AH72">
        <v>71</v>
      </c>
      <c r="AI72">
        <v>71</v>
      </c>
      <c r="AJ72">
        <v>71</v>
      </c>
      <c r="AK72">
        <v>71</v>
      </c>
      <c r="AL72">
        <v>71</v>
      </c>
      <c r="AM72">
        <v>71</v>
      </c>
      <c r="AN72">
        <v>71</v>
      </c>
      <c r="AO72">
        <v>72</v>
      </c>
      <c r="AP72">
        <v>72</v>
      </c>
      <c r="AQ72">
        <v>73</v>
      </c>
      <c r="AR72">
        <v>73</v>
      </c>
      <c r="AS72">
        <v>74</v>
      </c>
      <c r="AT72">
        <v>74</v>
      </c>
      <c r="AU72">
        <v>75</v>
      </c>
      <c r="AV72">
        <v>75</v>
      </c>
      <c r="AW72">
        <v>75</v>
      </c>
      <c r="AX72">
        <v>75</v>
      </c>
      <c r="AY72">
        <v>75</v>
      </c>
      <c r="AZ72">
        <v>75</v>
      </c>
      <c r="BA72">
        <v>75</v>
      </c>
      <c r="BB72">
        <v>75</v>
      </c>
      <c r="BC72">
        <v>75</v>
      </c>
      <c r="BD72">
        <v>75</v>
      </c>
      <c r="BE72">
        <v>75</v>
      </c>
      <c r="BF72">
        <v>75</v>
      </c>
      <c r="BG72">
        <v>75</v>
      </c>
      <c r="BH72">
        <v>75</v>
      </c>
      <c r="BI72">
        <v>75</v>
      </c>
      <c r="BJ72">
        <v>75</v>
      </c>
      <c r="BK72">
        <v>75</v>
      </c>
      <c r="BL72">
        <v>75</v>
      </c>
      <c r="BM72">
        <v>75</v>
      </c>
      <c r="BN72">
        <v>75</v>
      </c>
      <c r="BO72">
        <v>75</v>
      </c>
      <c r="BP72">
        <v>75</v>
      </c>
      <c r="BQ72">
        <v>75</v>
      </c>
      <c r="BR72">
        <v>75</v>
      </c>
      <c r="BS72">
        <v>75</v>
      </c>
    </row>
    <row r="73" spans="1:71" x14ac:dyDescent="0.3">
      <c r="A73" t="s">
        <v>24</v>
      </c>
      <c r="B73" t="s">
        <v>337</v>
      </c>
      <c r="C73">
        <v>35.745199999999997</v>
      </c>
      <c r="D73">
        <v>95.995599999999996</v>
      </c>
      <c r="E73">
        <v>0</v>
      </c>
      <c r="F73">
        <v>0</v>
      </c>
      <c r="G73">
        <v>0</v>
      </c>
      <c r="H73">
        <v>1</v>
      </c>
      <c r="I73">
        <v>1</v>
      </c>
      <c r="J73">
        <v>6</v>
      </c>
      <c r="K73">
        <v>6</v>
      </c>
      <c r="L73">
        <v>6</v>
      </c>
      <c r="M73">
        <v>8</v>
      </c>
      <c r="N73">
        <v>8</v>
      </c>
      <c r="O73">
        <v>9</v>
      </c>
      <c r="P73">
        <v>11</v>
      </c>
      <c r="Q73">
        <v>13</v>
      </c>
      <c r="R73">
        <v>15</v>
      </c>
      <c r="S73">
        <v>17</v>
      </c>
      <c r="T73">
        <v>18</v>
      </c>
      <c r="U73">
        <v>18</v>
      </c>
      <c r="V73">
        <v>18</v>
      </c>
      <c r="W73">
        <v>18</v>
      </c>
      <c r="X73">
        <v>18</v>
      </c>
      <c r="Y73">
        <v>18</v>
      </c>
      <c r="Z73">
        <v>18</v>
      </c>
      <c r="AA73">
        <v>18</v>
      </c>
      <c r="AB73">
        <v>18</v>
      </c>
      <c r="AC73">
        <v>18</v>
      </c>
      <c r="AD73">
        <v>18</v>
      </c>
      <c r="AE73">
        <v>18</v>
      </c>
      <c r="AF73">
        <v>18</v>
      </c>
      <c r="AG73">
        <v>18</v>
      </c>
      <c r="AH73">
        <v>18</v>
      </c>
      <c r="AI73">
        <v>18</v>
      </c>
      <c r="AJ73">
        <v>18</v>
      </c>
      <c r="AK73">
        <v>18</v>
      </c>
      <c r="AL73">
        <v>18</v>
      </c>
      <c r="AM73">
        <v>18</v>
      </c>
      <c r="AN73">
        <v>18</v>
      </c>
      <c r="AO73">
        <v>18</v>
      </c>
      <c r="AP73">
        <v>18</v>
      </c>
      <c r="AQ73">
        <v>18</v>
      </c>
      <c r="AR73">
        <v>18</v>
      </c>
      <c r="AS73">
        <v>18</v>
      </c>
      <c r="AT73">
        <v>18</v>
      </c>
      <c r="AU73">
        <v>18</v>
      </c>
      <c r="AV73">
        <v>18</v>
      </c>
      <c r="AW73">
        <v>18</v>
      </c>
      <c r="AX73">
        <v>18</v>
      </c>
      <c r="AY73">
        <v>18</v>
      </c>
      <c r="AZ73">
        <v>18</v>
      </c>
      <c r="BA73">
        <v>18</v>
      </c>
      <c r="BB73">
        <v>18</v>
      </c>
      <c r="BC73">
        <v>18</v>
      </c>
      <c r="BD73">
        <v>18</v>
      </c>
      <c r="BE73">
        <v>18</v>
      </c>
      <c r="BF73">
        <v>18</v>
      </c>
      <c r="BG73">
        <v>18</v>
      </c>
      <c r="BH73">
        <v>18</v>
      </c>
      <c r="BI73">
        <v>18</v>
      </c>
      <c r="BJ73">
        <v>18</v>
      </c>
      <c r="BK73">
        <v>18</v>
      </c>
      <c r="BL73">
        <v>18</v>
      </c>
      <c r="BM73">
        <v>18</v>
      </c>
      <c r="BN73">
        <v>18</v>
      </c>
      <c r="BO73">
        <v>18</v>
      </c>
      <c r="BP73">
        <v>18</v>
      </c>
      <c r="BQ73">
        <v>18</v>
      </c>
      <c r="BR73">
        <v>18</v>
      </c>
      <c r="BS73">
        <v>18</v>
      </c>
    </row>
    <row r="74" spans="1:71" x14ac:dyDescent="0.3">
      <c r="A74" t="s">
        <v>25</v>
      </c>
      <c r="B74" t="s">
        <v>337</v>
      </c>
      <c r="C74">
        <v>35.191699999999997</v>
      </c>
      <c r="D74">
        <v>108.87009999999999</v>
      </c>
      <c r="E74">
        <v>0</v>
      </c>
      <c r="F74">
        <v>3</v>
      </c>
      <c r="G74">
        <v>5</v>
      </c>
      <c r="H74">
        <v>15</v>
      </c>
      <c r="I74">
        <v>22</v>
      </c>
      <c r="J74">
        <v>35</v>
      </c>
      <c r="K74">
        <v>46</v>
      </c>
      <c r="L74">
        <v>56</v>
      </c>
      <c r="M74">
        <v>63</v>
      </c>
      <c r="N74">
        <v>87</v>
      </c>
      <c r="O74">
        <v>101</v>
      </c>
      <c r="P74">
        <v>116</v>
      </c>
      <c r="Q74">
        <v>128</v>
      </c>
      <c r="R74">
        <v>142</v>
      </c>
      <c r="S74">
        <v>165</v>
      </c>
      <c r="T74">
        <v>173</v>
      </c>
      <c r="U74">
        <v>184</v>
      </c>
      <c r="V74">
        <v>195</v>
      </c>
      <c r="W74">
        <v>208</v>
      </c>
      <c r="X74">
        <v>213</v>
      </c>
      <c r="Y74">
        <v>219</v>
      </c>
      <c r="Z74">
        <v>225</v>
      </c>
      <c r="AA74">
        <v>229</v>
      </c>
      <c r="AB74">
        <v>230</v>
      </c>
      <c r="AC74">
        <v>232</v>
      </c>
      <c r="AD74">
        <v>236</v>
      </c>
      <c r="AE74">
        <v>240</v>
      </c>
      <c r="AF74">
        <v>240</v>
      </c>
      <c r="AG74">
        <v>242</v>
      </c>
      <c r="AH74">
        <v>245</v>
      </c>
      <c r="AI74">
        <v>245</v>
      </c>
      <c r="AJ74">
        <v>245</v>
      </c>
      <c r="AK74">
        <v>245</v>
      </c>
      <c r="AL74">
        <v>245</v>
      </c>
      <c r="AM74">
        <v>245</v>
      </c>
      <c r="AN74">
        <v>245</v>
      </c>
      <c r="AO74">
        <v>245</v>
      </c>
      <c r="AP74">
        <v>245</v>
      </c>
      <c r="AQ74">
        <v>245</v>
      </c>
      <c r="AR74">
        <v>245</v>
      </c>
      <c r="AS74">
        <v>245</v>
      </c>
      <c r="AT74">
        <v>245</v>
      </c>
      <c r="AU74">
        <v>245</v>
      </c>
      <c r="AV74">
        <v>245</v>
      </c>
      <c r="AW74">
        <v>245</v>
      </c>
      <c r="AX74">
        <v>245</v>
      </c>
      <c r="AY74">
        <v>245</v>
      </c>
      <c r="AZ74">
        <v>245</v>
      </c>
      <c r="BA74">
        <v>245</v>
      </c>
      <c r="BB74">
        <v>245</v>
      </c>
      <c r="BC74">
        <v>245</v>
      </c>
      <c r="BD74">
        <v>245</v>
      </c>
      <c r="BE74">
        <v>245</v>
      </c>
      <c r="BF74">
        <v>245</v>
      </c>
      <c r="BG74">
        <v>245</v>
      </c>
      <c r="BH74">
        <v>246</v>
      </c>
      <c r="BI74">
        <v>246</v>
      </c>
      <c r="BJ74">
        <v>246</v>
      </c>
      <c r="BK74">
        <v>247</v>
      </c>
      <c r="BL74">
        <v>248</v>
      </c>
      <c r="BM74">
        <v>248</v>
      </c>
      <c r="BN74">
        <v>248</v>
      </c>
      <c r="BO74">
        <v>249</v>
      </c>
      <c r="BP74">
        <v>250</v>
      </c>
      <c r="BQ74">
        <v>253</v>
      </c>
      <c r="BR74">
        <v>253</v>
      </c>
      <c r="BS74">
        <v>253</v>
      </c>
    </row>
    <row r="75" spans="1:71" x14ac:dyDescent="0.3">
      <c r="A75" t="s">
        <v>26</v>
      </c>
      <c r="B75" t="s">
        <v>337</v>
      </c>
      <c r="C75">
        <v>36.342700000000001</v>
      </c>
      <c r="D75">
        <v>118.1498</v>
      </c>
      <c r="E75">
        <v>2</v>
      </c>
      <c r="F75">
        <v>6</v>
      </c>
      <c r="G75">
        <v>15</v>
      </c>
      <c r="H75">
        <v>27</v>
      </c>
      <c r="I75">
        <v>46</v>
      </c>
      <c r="J75">
        <v>75</v>
      </c>
      <c r="K75">
        <v>95</v>
      </c>
      <c r="L75">
        <v>130</v>
      </c>
      <c r="M75">
        <v>158</v>
      </c>
      <c r="N75">
        <v>184</v>
      </c>
      <c r="O75">
        <v>206</v>
      </c>
      <c r="P75">
        <v>230</v>
      </c>
      <c r="Q75">
        <v>259</v>
      </c>
      <c r="R75">
        <v>275</v>
      </c>
      <c r="S75">
        <v>307</v>
      </c>
      <c r="T75">
        <v>347</v>
      </c>
      <c r="U75">
        <v>386</v>
      </c>
      <c r="V75">
        <v>416</v>
      </c>
      <c r="W75">
        <v>444</v>
      </c>
      <c r="X75">
        <v>466</v>
      </c>
      <c r="Y75">
        <v>487</v>
      </c>
      <c r="Z75">
        <v>497</v>
      </c>
      <c r="AA75">
        <v>509</v>
      </c>
      <c r="AB75">
        <v>523</v>
      </c>
      <c r="AC75">
        <v>532</v>
      </c>
      <c r="AD75">
        <v>537</v>
      </c>
      <c r="AE75">
        <v>541</v>
      </c>
      <c r="AF75">
        <v>543</v>
      </c>
      <c r="AG75">
        <v>544</v>
      </c>
      <c r="AH75">
        <v>546</v>
      </c>
      <c r="AI75">
        <v>749</v>
      </c>
      <c r="AJ75">
        <v>750</v>
      </c>
      <c r="AK75">
        <v>754</v>
      </c>
      <c r="AL75">
        <v>755</v>
      </c>
      <c r="AM75">
        <v>756</v>
      </c>
      <c r="AN75">
        <v>756</v>
      </c>
      <c r="AO75">
        <v>756</v>
      </c>
      <c r="AP75">
        <v>756</v>
      </c>
      <c r="AQ75">
        <v>756</v>
      </c>
      <c r="AR75">
        <v>758</v>
      </c>
      <c r="AS75">
        <v>758</v>
      </c>
      <c r="AT75">
        <v>758</v>
      </c>
      <c r="AU75">
        <v>758</v>
      </c>
      <c r="AV75">
        <v>758</v>
      </c>
      <c r="AW75">
        <v>758</v>
      </c>
      <c r="AX75">
        <v>758</v>
      </c>
      <c r="AY75">
        <v>758</v>
      </c>
      <c r="AZ75">
        <v>758</v>
      </c>
      <c r="BA75">
        <v>758</v>
      </c>
      <c r="BB75">
        <v>760</v>
      </c>
      <c r="BC75">
        <v>760</v>
      </c>
      <c r="BD75">
        <v>760</v>
      </c>
      <c r="BE75">
        <v>760</v>
      </c>
      <c r="BF75">
        <v>760</v>
      </c>
      <c r="BG75">
        <v>760</v>
      </c>
      <c r="BH75">
        <v>761</v>
      </c>
      <c r="BI75">
        <v>761</v>
      </c>
      <c r="BJ75">
        <v>761</v>
      </c>
      <c r="BK75">
        <v>762</v>
      </c>
      <c r="BL75">
        <v>764</v>
      </c>
      <c r="BM75">
        <v>767</v>
      </c>
      <c r="BN75">
        <v>768</v>
      </c>
      <c r="BO75">
        <v>768</v>
      </c>
      <c r="BP75">
        <v>769</v>
      </c>
      <c r="BQ75">
        <v>771</v>
      </c>
      <c r="BR75">
        <v>772</v>
      </c>
      <c r="BS75">
        <v>772</v>
      </c>
    </row>
    <row r="76" spans="1:71" x14ac:dyDescent="0.3">
      <c r="A76" t="s">
        <v>27</v>
      </c>
      <c r="B76" t="s">
        <v>337</v>
      </c>
      <c r="C76">
        <v>31.201999999999899</v>
      </c>
      <c r="D76">
        <v>121.4491</v>
      </c>
      <c r="E76">
        <v>9</v>
      </c>
      <c r="F76">
        <v>16</v>
      </c>
      <c r="G76">
        <v>20</v>
      </c>
      <c r="H76">
        <v>33</v>
      </c>
      <c r="I76">
        <v>40</v>
      </c>
      <c r="J76">
        <v>53</v>
      </c>
      <c r="K76">
        <v>66</v>
      </c>
      <c r="L76">
        <v>96</v>
      </c>
      <c r="M76">
        <v>112</v>
      </c>
      <c r="N76">
        <v>135</v>
      </c>
      <c r="O76">
        <v>169</v>
      </c>
      <c r="P76">
        <v>182</v>
      </c>
      <c r="Q76">
        <v>203</v>
      </c>
      <c r="R76">
        <v>219</v>
      </c>
      <c r="S76">
        <v>243</v>
      </c>
      <c r="T76">
        <v>257</v>
      </c>
      <c r="U76">
        <v>277</v>
      </c>
      <c r="V76">
        <v>286</v>
      </c>
      <c r="W76">
        <v>293</v>
      </c>
      <c r="X76">
        <v>299</v>
      </c>
      <c r="Y76">
        <v>303</v>
      </c>
      <c r="Z76">
        <v>311</v>
      </c>
      <c r="AA76">
        <v>315</v>
      </c>
      <c r="AB76">
        <v>318</v>
      </c>
      <c r="AC76">
        <v>326</v>
      </c>
      <c r="AD76">
        <v>328</v>
      </c>
      <c r="AE76">
        <v>333</v>
      </c>
      <c r="AF76">
        <v>333</v>
      </c>
      <c r="AG76">
        <v>333</v>
      </c>
      <c r="AH76">
        <v>334</v>
      </c>
      <c r="AI76">
        <v>334</v>
      </c>
      <c r="AJ76">
        <v>335</v>
      </c>
      <c r="AK76">
        <v>335</v>
      </c>
      <c r="AL76">
        <v>335</v>
      </c>
      <c r="AM76">
        <v>336</v>
      </c>
      <c r="AN76">
        <v>337</v>
      </c>
      <c r="AO76">
        <v>337</v>
      </c>
      <c r="AP76">
        <v>337</v>
      </c>
      <c r="AQ76">
        <v>337</v>
      </c>
      <c r="AR76">
        <v>337</v>
      </c>
      <c r="AS76">
        <v>337</v>
      </c>
      <c r="AT76">
        <v>338</v>
      </c>
      <c r="AU76">
        <v>338</v>
      </c>
      <c r="AV76">
        <v>339</v>
      </c>
      <c r="AW76">
        <v>342</v>
      </c>
      <c r="AX76">
        <v>342</v>
      </c>
      <c r="AY76">
        <v>342</v>
      </c>
      <c r="AZ76">
        <v>342</v>
      </c>
      <c r="BA76">
        <v>344</v>
      </c>
      <c r="BB76">
        <v>344</v>
      </c>
      <c r="BC76">
        <v>344</v>
      </c>
      <c r="BD76">
        <v>346</v>
      </c>
      <c r="BE76">
        <v>353</v>
      </c>
      <c r="BF76">
        <v>353</v>
      </c>
      <c r="BG76">
        <v>355</v>
      </c>
      <c r="BH76">
        <v>358</v>
      </c>
      <c r="BI76">
        <v>361</v>
      </c>
      <c r="BJ76">
        <v>363</v>
      </c>
      <c r="BK76">
        <v>371</v>
      </c>
      <c r="BL76">
        <v>380</v>
      </c>
      <c r="BM76">
        <v>404</v>
      </c>
      <c r="BN76">
        <v>404</v>
      </c>
      <c r="BO76">
        <v>414</v>
      </c>
      <c r="BP76">
        <v>433</v>
      </c>
      <c r="BQ76">
        <v>451</v>
      </c>
      <c r="BR76">
        <v>468</v>
      </c>
      <c r="BS76">
        <v>485</v>
      </c>
    </row>
    <row r="77" spans="1:71" x14ac:dyDescent="0.3">
      <c r="A77" t="s">
        <v>28</v>
      </c>
      <c r="B77" t="s">
        <v>337</v>
      </c>
      <c r="C77">
        <v>37.5777</v>
      </c>
      <c r="D77">
        <v>112.29219999999999</v>
      </c>
      <c r="E77">
        <v>1</v>
      </c>
      <c r="F77">
        <v>1</v>
      </c>
      <c r="G77">
        <v>1</v>
      </c>
      <c r="H77">
        <v>6</v>
      </c>
      <c r="I77">
        <v>9</v>
      </c>
      <c r="J77">
        <v>13</v>
      </c>
      <c r="K77">
        <v>27</v>
      </c>
      <c r="L77">
        <v>27</v>
      </c>
      <c r="M77">
        <v>35</v>
      </c>
      <c r="N77">
        <v>39</v>
      </c>
      <c r="O77">
        <v>47</v>
      </c>
      <c r="P77">
        <v>66</v>
      </c>
      <c r="Q77">
        <v>74</v>
      </c>
      <c r="R77">
        <v>81</v>
      </c>
      <c r="S77">
        <v>81</v>
      </c>
      <c r="T77">
        <v>96</v>
      </c>
      <c r="U77">
        <v>104</v>
      </c>
      <c r="V77">
        <v>115</v>
      </c>
      <c r="W77">
        <v>119</v>
      </c>
      <c r="X77">
        <v>119</v>
      </c>
      <c r="Y77">
        <v>124</v>
      </c>
      <c r="Z77">
        <v>126</v>
      </c>
      <c r="AA77">
        <v>126</v>
      </c>
      <c r="AB77">
        <v>127</v>
      </c>
      <c r="AC77">
        <v>128</v>
      </c>
      <c r="AD77">
        <v>129</v>
      </c>
      <c r="AE77">
        <v>130</v>
      </c>
      <c r="AF77">
        <v>131</v>
      </c>
      <c r="AG77">
        <v>131</v>
      </c>
      <c r="AH77">
        <v>132</v>
      </c>
      <c r="AI77">
        <v>132</v>
      </c>
      <c r="AJ77">
        <v>132</v>
      </c>
      <c r="AK77">
        <v>132</v>
      </c>
      <c r="AL77">
        <v>133</v>
      </c>
      <c r="AM77">
        <v>133</v>
      </c>
      <c r="AN77">
        <v>133</v>
      </c>
      <c r="AO77">
        <v>133</v>
      </c>
      <c r="AP77">
        <v>133</v>
      </c>
      <c r="AQ77">
        <v>133</v>
      </c>
      <c r="AR77">
        <v>133</v>
      </c>
      <c r="AS77">
        <v>133</v>
      </c>
      <c r="AT77">
        <v>133</v>
      </c>
      <c r="AU77">
        <v>133</v>
      </c>
      <c r="AV77">
        <v>133</v>
      </c>
      <c r="AW77">
        <v>133</v>
      </c>
      <c r="AX77">
        <v>133</v>
      </c>
      <c r="AY77">
        <v>133</v>
      </c>
      <c r="AZ77">
        <v>133</v>
      </c>
      <c r="BA77">
        <v>133</v>
      </c>
      <c r="BB77">
        <v>133</v>
      </c>
      <c r="BC77">
        <v>133</v>
      </c>
      <c r="BD77">
        <v>133</v>
      </c>
      <c r="BE77">
        <v>133</v>
      </c>
      <c r="BF77">
        <v>133</v>
      </c>
      <c r="BG77">
        <v>133</v>
      </c>
      <c r="BH77">
        <v>133</v>
      </c>
      <c r="BI77">
        <v>133</v>
      </c>
      <c r="BJ77">
        <v>133</v>
      </c>
      <c r="BK77">
        <v>133</v>
      </c>
      <c r="BL77">
        <v>133</v>
      </c>
      <c r="BM77">
        <v>133</v>
      </c>
      <c r="BN77">
        <v>134</v>
      </c>
      <c r="BO77">
        <v>134</v>
      </c>
      <c r="BP77">
        <v>134</v>
      </c>
      <c r="BQ77">
        <v>135</v>
      </c>
      <c r="BR77">
        <v>135</v>
      </c>
      <c r="BS77">
        <v>135</v>
      </c>
    </row>
    <row r="78" spans="1:71" x14ac:dyDescent="0.3">
      <c r="A78" t="s">
        <v>29</v>
      </c>
      <c r="B78" t="s">
        <v>337</v>
      </c>
      <c r="C78">
        <v>30.617100000000001</v>
      </c>
      <c r="D78">
        <v>102.7103</v>
      </c>
      <c r="E78">
        <v>5</v>
      </c>
      <c r="F78">
        <v>8</v>
      </c>
      <c r="G78">
        <v>15</v>
      </c>
      <c r="H78">
        <v>28</v>
      </c>
      <c r="I78">
        <v>44</v>
      </c>
      <c r="J78">
        <v>69</v>
      </c>
      <c r="K78">
        <v>90</v>
      </c>
      <c r="L78">
        <v>108</v>
      </c>
      <c r="M78">
        <v>142</v>
      </c>
      <c r="N78">
        <v>177</v>
      </c>
      <c r="O78">
        <v>207</v>
      </c>
      <c r="P78">
        <v>231</v>
      </c>
      <c r="Q78">
        <v>254</v>
      </c>
      <c r="R78">
        <v>282</v>
      </c>
      <c r="S78">
        <v>301</v>
      </c>
      <c r="T78">
        <v>321</v>
      </c>
      <c r="U78">
        <v>344</v>
      </c>
      <c r="V78">
        <v>364</v>
      </c>
      <c r="W78">
        <v>386</v>
      </c>
      <c r="X78">
        <v>405</v>
      </c>
      <c r="Y78">
        <v>417</v>
      </c>
      <c r="Z78">
        <v>436</v>
      </c>
      <c r="AA78">
        <v>451</v>
      </c>
      <c r="AB78">
        <v>463</v>
      </c>
      <c r="AC78">
        <v>470</v>
      </c>
      <c r="AD78">
        <v>481</v>
      </c>
      <c r="AE78">
        <v>495</v>
      </c>
      <c r="AF78">
        <v>508</v>
      </c>
      <c r="AG78">
        <v>514</v>
      </c>
      <c r="AH78">
        <v>520</v>
      </c>
      <c r="AI78">
        <v>525</v>
      </c>
      <c r="AJ78">
        <v>526</v>
      </c>
      <c r="AK78">
        <v>526</v>
      </c>
      <c r="AL78">
        <v>527</v>
      </c>
      <c r="AM78">
        <v>529</v>
      </c>
      <c r="AN78">
        <v>531</v>
      </c>
      <c r="AO78">
        <v>534</v>
      </c>
      <c r="AP78">
        <v>538</v>
      </c>
      <c r="AQ78">
        <v>538</v>
      </c>
      <c r="AR78">
        <v>538</v>
      </c>
      <c r="AS78">
        <v>538</v>
      </c>
      <c r="AT78">
        <v>538</v>
      </c>
      <c r="AU78">
        <v>538</v>
      </c>
      <c r="AV78">
        <v>539</v>
      </c>
      <c r="AW78">
        <v>539</v>
      </c>
      <c r="AX78">
        <v>539</v>
      </c>
      <c r="AY78">
        <v>539</v>
      </c>
      <c r="AZ78">
        <v>539</v>
      </c>
      <c r="BA78">
        <v>539</v>
      </c>
      <c r="BB78">
        <v>539</v>
      </c>
      <c r="BC78">
        <v>539</v>
      </c>
      <c r="BD78">
        <v>539</v>
      </c>
      <c r="BE78">
        <v>539</v>
      </c>
      <c r="BF78">
        <v>539</v>
      </c>
      <c r="BG78">
        <v>539</v>
      </c>
      <c r="BH78">
        <v>540</v>
      </c>
      <c r="BI78">
        <v>540</v>
      </c>
      <c r="BJ78">
        <v>540</v>
      </c>
      <c r="BK78">
        <v>541</v>
      </c>
      <c r="BL78">
        <v>542</v>
      </c>
      <c r="BM78">
        <v>543</v>
      </c>
      <c r="BN78">
        <v>543</v>
      </c>
      <c r="BO78">
        <v>545</v>
      </c>
      <c r="BP78">
        <v>547</v>
      </c>
      <c r="BQ78">
        <v>547</v>
      </c>
      <c r="BR78">
        <v>548</v>
      </c>
      <c r="BS78">
        <v>548</v>
      </c>
    </row>
    <row r="79" spans="1:71" x14ac:dyDescent="0.3">
      <c r="A79" t="s">
        <v>30</v>
      </c>
      <c r="B79" t="s">
        <v>337</v>
      </c>
      <c r="C79">
        <v>39.305399999999999</v>
      </c>
      <c r="D79">
        <v>117.32299999999999</v>
      </c>
      <c r="E79">
        <v>4</v>
      </c>
      <c r="F79">
        <v>4</v>
      </c>
      <c r="G79">
        <v>8</v>
      </c>
      <c r="H79">
        <v>10</v>
      </c>
      <c r="I79">
        <v>14</v>
      </c>
      <c r="J79">
        <v>23</v>
      </c>
      <c r="K79">
        <v>24</v>
      </c>
      <c r="L79">
        <v>27</v>
      </c>
      <c r="M79">
        <v>31</v>
      </c>
      <c r="N79">
        <v>32</v>
      </c>
      <c r="O79">
        <v>41</v>
      </c>
      <c r="P79">
        <v>48</v>
      </c>
      <c r="Q79">
        <v>60</v>
      </c>
      <c r="R79">
        <v>67</v>
      </c>
      <c r="S79">
        <v>69</v>
      </c>
      <c r="T79">
        <v>79</v>
      </c>
      <c r="U79">
        <v>81</v>
      </c>
      <c r="V79">
        <v>88</v>
      </c>
      <c r="W79">
        <v>91</v>
      </c>
      <c r="X79">
        <v>95</v>
      </c>
      <c r="Y79">
        <v>106</v>
      </c>
      <c r="Z79">
        <v>112</v>
      </c>
      <c r="AA79">
        <v>119</v>
      </c>
      <c r="AB79">
        <v>120</v>
      </c>
      <c r="AC79">
        <v>122</v>
      </c>
      <c r="AD79">
        <v>124</v>
      </c>
      <c r="AE79">
        <v>125</v>
      </c>
      <c r="AF79">
        <v>128</v>
      </c>
      <c r="AG79">
        <v>130</v>
      </c>
      <c r="AH79">
        <v>131</v>
      </c>
      <c r="AI79">
        <v>132</v>
      </c>
      <c r="AJ79">
        <v>135</v>
      </c>
      <c r="AK79">
        <v>135</v>
      </c>
      <c r="AL79">
        <v>135</v>
      </c>
      <c r="AM79">
        <v>135</v>
      </c>
      <c r="AN79">
        <v>135</v>
      </c>
      <c r="AO79">
        <v>136</v>
      </c>
      <c r="AP79">
        <v>136</v>
      </c>
      <c r="AQ79">
        <v>136</v>
      </c>
      <c r="AR79">
        <v>136</v>
      </c>
      <c r="AS79">
        <v>136</v>
      </c>
      <c r="AT79">
        <v>136</v>
      </c>
      <c r="AU79">
        <v>136</v>
      </c>
      <c r="AV79">
        <v>136</v>
      </c>
      <c r="AW79">
        <v>136</v>
      </c>
      <c r="AX79">
        <v>136</v>
      </c>
      <c r="AY79">
        <v>136</v>
      </c>
      <c r="AZ79">
        <v>136</v>
      </c>
      <c r="BA79">
        <v>136</v>
      </c>
      <c r="BB79">
        <v>136</v>
      </c>
      <c r="BC79">
        <v>136</v>
      </c>
      <c r="BD79">
        <v>136</v>
      </c>
      <c r="BE79">
        <v>136</v>
      </c>
      <c r="BF79">
        <v>136</v>
      </c>
      <c r="BG79">
        <v>136</v>
      </c>
      <c r="BH79">
        <v>136</v>
      </c>
      <c r="BI79">
        <v>136</v>
      </c>
      <c r="BJ79">
        <v>137</v>
      </c>
      <c r="BK79">
        <v>137</v>
      </c>
      <c r="BL79">
        <v>137</v>
      </c>
      <c r="BM79">
        <v>137</v>
      </c>
      <c r="BN79">
        <v>141</v>
      </c>
      <c r="BO79">
        <v>145</v>
      </c>
      <c r="BP79">
        <v>145</v>
      </c>
      <c r="BQ79">
        <v>151</v>
      </c>
      <c r="BR79">
        <v>155</v>
      </c>
      <c r="BS79">
        <v>161</v>
      </c>
    </row>
    <row r="80" spans="1:71" x14ac:dyDescent="0.3">
      <c r="A80" t="s">
        <v>31</v>
      </c>
      <c r="B80" t="s">
        <v>337</v>
      </c>
      <c r="C80">
        <v>31.692699999999999</v>
      </c>
      <c r="D80">
        <v>88.092399999999998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1</v>
      </c>
      <c r="N80">
        <v>1</v>
      </c>
      <c r="O80">
        <v>1</v>
      </c>
      <c r="P80">
        <v>1</v>
      </c>
      <c r="Q80">
        <v>1</v>
      </c>
      <c r="R80">
        <v>1</v>
      </c>
      <c r="S80">
        <v>1</v>
      </c>
      <c r="T80">
        <v>1</v>
      </c>
      <c r="U80">
        <v>1</v>
      </c>
      <c r="V80">
        <v>1</v>
      </c>
      <c r="W80">
        <v>1</v>
      </c>
      <c r="X80">
        <v>1</v>
      </c>
      <c r="Y80">
        <v>1</v>
      </c>
      <c r="Z80">
        <v>1</v>
      </c>
      <c r="AA80">
        <v>1</v>
      </c>
      <c r="AB80">
        <v>1</v>
      </c>
      <c r="AC80">
        <v>1</v>
      </c>
      <c r="AD80">
        <v>1</v>
      </c>
      <c r="AE80">
        <v>1</v>
      </c>
      <c r="AF80">
        <v>1</v>
      </c>
      <c r="AG80">
        <v>1</v>
      </c>
      <c r="AH80">
        <v>1</v>
      </c>
      <c r="AI80">
        <v>1</v>
      </c>
      <c r="AJ80">
        <v>1</v>
      </c>
      <c r="AK80">
        <v>1</v>
      </c>
      <c r="AL80">
        <v>1</v>
      </c>
      <c r="AM80">
        <v>1</v>
      </c>
      <c r="AN80">
        <v>1</v>
      </c>
      <c r="AO80">
        <v>1</v>
      </c>
      <c r="AP80">
        <v>1</v>
      </c>
      <c r="AQ80">
        <v>1</v>
      </c>
      <c r="AR80">
        <v>1</v>
      </c>
      <c r="AS80">
        <v>1</v>
      </c>
      <c r="AT80">
        <v>1</v>
      </c>
      <c r="AU80">
        <v>1</v>
      </c>
      <c r="AV80">
        <v>1</v>
      </c>
      <c r="AW80">
        <v>1</v>
      </c>
      <c r="AX80">
        <v>1</v>
      </c>
      <c r="AY80">
        <v>1</v>
      </c>
      <c r="AZ80">
        <v>1</v>
      </c>
      <c r="BA80">
        <v>1</v>
      </c>
      <c r="BB80">
        <v>1</v>
      </c>
      <c r="BC80">
        <v>1</v>
      </c>
      <c r="BD80">
        <v>1</v>
      </c>
      <c r="BE80">
        <v>1</v>
      </c>
      <c r="BF80">
        <v>1</v>
      </c>
      <c r="BG80">
        <v>1</v>
      </c>
      <c r="BH80">
        <v>1</v>
      </c>
      <c r="BI80">
        <v>1</v>
      </c>
      <c r="BJ80">
        <v>1</v>
      </c>
      <c r="BK80">
        <v>1</v>
      </c>
      <c r="BL80">
        <v>1</v>
      </c>
      <c r="BM80">
        <v>1</v>
      </c>
      <c r="BN80">
        <v>1</v>
      </c>
      <c r="BO80">
        <v>1</v>
      </c>
      <c r="BP80">
        <v>1</v>
      </c>
      <c r="BQ80">
        <v>1</v>
      </c>
      <c r="BR80">
        <v>1</v>
      </c>
      <c r="BS80">
        <v>1</v>
      </c>
    </row>
    <row r="81" spans="1:71" x14ac:dyDescent="0.3">
      <c r="A81" t="s">
        <v>32</v>
      </c>
      <c r="B81" t="s">
        <v>337</v>
      </c>
      <c r="C81">
        <v>41.112900000000003</v>
      </c>
      <c r="D81">
        <v>85.240099999999998</v>
      </c>
      <c r="E81">
        <v>0</v>
      </c>
      <c r="F81">
        <v>2</v>
      </c>
      <c r="G81">
        <v>2</v>
      </c>
      <c r="H81">
        <v>3</v>
      </c>
      <c r="I81">
        <v>4</v>
      </c>
      <c r="J81">
        <v>5</v>
      </c>
      <c r="K81">
        <v>10</v>
      </c>
      <c r="L81">
        <v>13</v>
      </c>
      <c r="M81">
        <v>14</v>
      </c>
      <c r="N81">
        <v>17</v>
      </c>
      <c r="O81">
        <v>18</v>
      </c>
      <c r="P81">
        <v>21</v>
      </c>
      <c r="Q81">
        <v>24</v>
      </c>
      <c r="R81">
        <v>29</v>
      </c>
      <c r="S81">
        <v>32</v>
      </c>
      <c r="T81">
        <v>36</v>
      </c>
      <c r="U81">
        <v>39</v>
      </c>
      <c r="V81">
        <v>42</v>
      </c>
      <c r="W81">
        <v>45</v>
      </c>
      <c r="X81">
        <v>49</v>
      </c>
      <c r="Y81">
        <v>55</v>
      </c>
      <c r="Z81">
        <v>59</v>
      </c>
      <c r="AA81">
        <v>63</v>
      </c>
      <c r="AB81">
        <v>65</v>
      </c>
      <c r="AC81">
        <v>70</v>
      </c>
      <c r="AD81">
        <v>71</v>
      </c>
      <c r="AE81">
        <v>75</v>
      </c>
      <c r="AF81">
        <v>76</v>
      </c>
      <c r="AG81">
        <v>76</v>
      </c>
      <c r="AH81">
        <v>76</v>
      </c>
      <c r="AI81">
        <v>76</v>
      </c>
      <c r="AJ81">
        <v>76</v>
      </c>
      <c r="AK81">
        <v>76</v>
      </c>
      <c r="AL81">
        <v>76</v>
      </c>
      <c r="AM81">
        <v>76</v>
      </c>
      <c r="AN81">
        <v>76</v>
      </c>
      <c r="AO81">
        <v>76</v>
      </c>
      <c r="AP81">
        <v>76</v>
      </c>
      <c r="AQ81">
        <v>76</v>
      </c>
      <c r="AR81">
        <v>76</v>
      </c>
      <c r="AS81">
        <v>76</v>
      </c>
      <c r="AT81">
        <v>76</v>
      </c>
      <c r="AU81">
        <v>76</v>
      </c>
      <c r="AV81">
        <v>76</v>
      </c>
      <c r="AW81">
        <v>76</v>
      </c>
      <c r="AX81">
        <v>76</v>
      </c>
      <c r="AY81">
        <v>76</v>
      </c>
      <c r="AZ81">
        <v>76</v>
      </c>
      <c r="BA81">
        <v>76</v>
      </c>
      <c r="BB81">
        <v>76</v>
      </c>
      <c r="BC81">
        <v>76</v>
      </c>
      <c r="BD81">
        <v>76</v>
      </c>
      <c r="BE81">
        <v>76</v>
      </c>
      <c r="BF81">
        <v>76</v>
      </c>
      <c r="BG81">
        <v>76</v>
      </c>
      <c r="BH81">
        <v>76</v>
      </c>
      <c r="BI81">
        <v>76</v>
      </c>
      <c r="BJ81">
        <v>76</v>
      </c>
      <c r="BK81">
        <v>76</v>
      </c>
      <c r="BL81">
        <v>76</v>
      </c>
      <c r="BM81">
        <v>76</v>
      </c>
      <c r="BN81">
        <v>76</v>
      </c>
      <c r="BO81">
        <v>76</v>
      </c>
      <c r="BP81">
        <v>76</v>
      </c>
      <c r="BQ81">
        <v>76</v>
      </c>
      <c r="BR81">
        <v>76</v>
      </c>
      <c r="BS81">
        <v>76</v>
      </c>
    </row>
    <row r="82" spans="1:71" x14ac:dyDescent="0.3">
      <c r="A82" t="s">
        <v>33</v>
      </c>
      <c r="B82" t="s">
        <v>337</v>
      </c>
      <c r="C82">
        <v>24.974</v>
      </c>
      <c r="D82">
        <v>101.48699999999999</v>
      </c>
      <c r="E82">
        <v>1</v>
      </c>
      <c r="F82">
        <v>2</v>
      </c>
      <c r="G82">
        <v>5</v>
      </c>
      <c r="H82">
        <v>11</v>
      </c>
      <c r="I82">
        <v>16</v>
      </c>
      <c r="J82">
        <v>26</v>
      </c>
      <c r="K82">
        <v>44</v>
      </c>
      <c r="L82">
        <v>55</v>
      </c>
      <c r="M82">
        <v>70</v>
      </c>
      <c r="N82">
        <v>83</v>
      </c>
      <c r="O82">
        <v>93</v>
      </c>
      <c r="P82">
        <v>105</v>
      </c>
      <c r="Q82">
        <v>117</v>
      </c>
      <c r="R82">
        <v>122</v>
      </c>
      <c r="S82">
        <v>128</v>
      </c>
      <c r="T82">
        <v>133</v>
      </c>
      <c r="U82">
        <v>138</v>
      </c>
      <c r="V82">
        <v>138</v>
      </c>
      <c r="W82">
        <v>141</v>
      </c>
      <c r="X82">
        <v>149</v>
      </c>
      <c r="Y82">
        <v>153</v>
      </c>
      <c r="Z82">
        <v>154</v>
      </c>
      <c r="AA82">
        <v>156</v>
      </c>
      <c r="AB82">
        <v>162</v>
      </c>
      <c r="AC82">
        <v>168</v>
      </c>
      <c r="AD82">
        <v>171</v>
      </c>
      <c r="AE82">
        <v>171</v>
      </c>
      <c r="AF82">
        <v>172</v>
      </c>
      <c r="AG82">
        <v>172</v>
      </c>
      <c r="AH82">
        <v>174</v>
      </c>
      <c r="AI82">
        <v>174</v>
      </c>
      <c r="AJ82">
        <v>174</v>
      </c>
      <c r="AK82">
        <v>174</v>
      </c>
      <c r="AL82">
        <v>174</v>
      </c>
      <c r="AM82">
        <v>174</v>
      </c>
      <c r="AN82">
        <v>174</v>
      </c>
      <c r="AO82">
        <v>174</v>
      </c>
      <c r="AP82">
        <v>174</v>
      </c>
      <c r="AQ82">
        <v>174</v>
      </c>
      <c r="AR82">
        <v>174</v>
      </c>
      <c r="AS82">
        <v>174</v>
      </c>
      <c r="AT82">
        <v>174</v>
      </c>
      <c r="AU82">
        <v>174</v>
      </c>
      <c r="AV82">
        <v>174</v>
      </c>
      <c r="AW82">
        <v>174</v>
      </c>
      <c r="AX82">
        <v>174</v>
      </c>
      <c r="AY82">
        <v>174</v>
      </c>
      <c r="AZ82">
        <v>174</v>
      </c>
      <c r="BA82">
        <v>174</v>
      </c>
      <c r="BB82">
        <v>174</v>
      </c>
      <c r="BC82">
        <v>174</v>
      </c>
      <c r="BD82">
        <v>174</v>
      </c>
      <c r="BE82">
        <v>174</v>
      </c>
      <c r="BF82">
        <v>174</v>
      </c>
      <c r="BG82">
        <v>176</v>
      </c>
      <c r="BH82">
        <v>176</v>
      </c>
      <c r="BI82">
        <v>176</v>
      </c>
      <c r="BJ82">
        <v>176</v>
      </c>
      <c r="BK82">
        <v>176</v>
      </c>
      <c r="BL82">
        <v>176</v>
      </c>
      <c r="BM82">
        <v>176</v>
      </c>
      <c r="BN82">
        <v>176</v>
      </c>
      <c r="BO82">
        <v>176</v>
      </c>
      <c r="BP82">
        <v>176</v>
      </c>
      <c r="BQ82">
        <v>178</v>
      </c>
      <c r="BR82">
        <v>180</v>
      </c>
      <c r="BS82">
        <v>180</v>
      </c>
    </row>
    <row r="83" spans="1:71" x14ac:dyDescent="0.3">
      <c r="A83" t="s">
        <v>34</v>
      </c>
      <c r="B83" t="s">
        <v>337</v>
      </c>
      <c r="C83">
        <v>29.183199999999999</v>
      </c>
      <c r="D83">
        <v>120.0934</v>
      </c>
      <c r="E83">
        <v>10</v>
      </c>
      <c r="F83">
        <v>27</v>
      </c>
      <c r="G83">
        <v>43</v>
      </c>
      <c r="H83">
        <v>62</v>
      </c>
      <c r="I83">
        <v>104</v>
      </c>
      <c r="J83">
        <v>128</v>
      </c>
      <c r="K83">
        <v>173</v>
      </c>
      <c r="L83">
        <v>296</v>
      </c>
      <c r="M83">
        <v>428</v>
      </c>
      <c r="N83">
        <v>538</v>
      </c>
      <c r="O83">
        <v>599</v>
      </c>
      <c r="P83">
        <v>661</v>
      </c>
      <c r="Q83">
        <v>724</v>
      </c>
      <c r="R83">
        <v>829</v>
      </c>
      <c r="S83">
        <v>895</v>
      </c>
      <c r="T83">
        <v>954</v>
      </c>
      <c r="U83">
        <v>1006</v>
      </c>
      <c r="V83">
        <v>1048</v>
      </c>
      <c r="W83">
        <v>1075</v>
      </c>
      <c r="X83">
        <v>1092</v>
      </c>
      <c r="Y83">
        <v>1117</v>
      </c>
      <c r="Z83">
        <v>1131</v>
      </c>
      <c r="AA83">
        <v>1145</v>
      </c>
      <c r="AB83">
        <v>1155</v>
      </c>
      <c r="AC83">
        <v>1162</v>
      </c>
      <c r="AD83">
        <v>1167</v>
      </c>
      <c r="AE83">
        <v>1171</v>
      </c>
      <c r="AF83">
        <v>1172</v>
      </c>
      <c r="AG83">
        <v>1174</v>
      </c>
      <c r="AH83">
        <v>1175</v>
      </c>
      <c r="AI83">
        <v>1203</v>
      </c>
      <c r="AJ83">
        <v>1205</v>
      </c>
      <c r="AK83">
        <v>1205</v>
      </c>
      <c r="AL83">
        <v>1205</v>
      </c>
      <c r="AM83">
        <v>1205</v>
      </c>
      <c r="AN83">
        <v>1205</v>
      </c>
      <c r="AO83">
        <v>1205</v>
      </c>
      <c r="AP83">
        <v>1205</v>
      </c>
      <c r="AQ83">
        <v>1205</v>
      </c>
      <c r="AR83">
        <v>1205</v>
      </c>
      <c r="AS83">
        <v>1206</v>
      </c>
      <c r="AT83">
        <v>1213</v>
      </c>
      <c r="AU83">
        <v>1213</v>
      </c>
      <c r="AV83">
        <v>1215</v>
      </c>
      <c r="AW83">
        <v>1215</v>
      </c>
      <c r="AX83">
        <v>1215</v>
      </c>
      <c r="AY83">
        <v>1215</v>
      </c>
      <c r="AZ83">
        <v>1215</v>
      </c>
      <c r="BA83">
        <v>1215</v>
      </c>
      <c r="BB83">
        <v>1215</v>
      </c>
      <c r="BC83">
        <v>1215</v>
      </c>
      <c r="BD83">
        <v>1215</v>
      </c>
      <c r="BE83">
        <v>1227</v>
      </c>
      <c r="BF83">
        <v>1231</v>
      </c>
      <c r="BG83">
        <v>1231</v>
      </c>
      <c r="BH83">
        <v>1232</v>
      </c>
      <c r="BI83">
        <v>1232</v>
      </c>
      <c r="BJ83">
        <v>1233</v>
      </c>
      <c r="BK83">
        <v>1234</v>
      </c>
      <c r="BL83">
        <v>1236</v>
      </c>
      <c r="BM83">
        <v>1238</v>
      </c>
      <c r="BN83">
        <v>1238</v>
      </c>
      <c r="BO83">
        <v>1240</v>
      </c>
      <c r="BP83">
        <v>1241</v>
      </c>
      <c r="BQ83">
        <v>1243</v>
      </c>
      <c r="BR83">
        <v>1247</v>
      </c>
      <c r="BS83">
        <v>1251</v>
      </c>
    </row>
    <row r="84" spans="1:71" x14ac:dyDescent="0.3">
      <c r="B84" t="s">
        <v>158</v>
      </c>
      <c r="C84">
        <v>4.5709</v>
      </c>
      <c r="D84">
        <v>-74.297300000000007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1</v>
      </c>
      <c r="AX84">
        <v>1</v>
      </c>
      <c r="AY84">
        <v>1</v>
      </c>
      <c r="AZ84">
        <v>1</v>
      </c>
      <c r="BA84">
        <v>3</v>
      </c>
      <c r="BB84">
        <v>9</v>
      </c>
      <c r="BC84">
        <v>9</v>
      </c>
      <c r="BD84">
        <v>13</v>
      </c>
      <c r="BE84">
        <v>22</v>
      </c>
      <c r="BF84">
        <v>34</v>
      </c>
      <c r="BG84">
        <v>54</v>
      </c>
      <c r="BH84">
        <v>65</v>
      </c>
      <c r="BI84">
        <v>93</v>
      </c>
      <c r="BJ84">
        <v>102</v>
      </c>
      <c r="BK84">
        <v>128</v>
      </c>
      <c r="BL84">
        <v>196</v>
      </c>
      <c r="BM84">
        <v>231</v>
      </c>
      <c r="BN84">
        <v>277</v>
      </c>
      <c r="BO84">
        <v>378</v>
      </c>
      <c r="BP84">
        <v>470</v>
      </c>
      <c r="BQ84">
        <v>491</v>
      </c>
      <c r="BR84">
        <v>539</v>
      </c>
      <c r="BS84">
        <v>608</v>
      </c>
    </row>
    <row r="85" spans="1:71" x14ac:dyDescent="0.3">
      <c r="B85" t="s">
        <v>461</v>
      </c>
      <c r="C85">
        <v>-4.0382999999999996</v>
      </c>
      <c r="D85">
        <v>21.758700000000001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1</v>
      </c>
      <c r="BG85">
        <v>1</v>
      </c>
      <c r="BH85">
        <v>1</v>
      </c>
      <c r="BI85">
        <v>1</v>
      </c>
      <c r="BJ85">
        <v>3</v>
      </c>
      <c r="BK85">
        <v>3</v>
      </c>
      <c r="BL85">
        <v>3</v>
      </c>
      <c r="BM85">
        <v>3</v>
      </c>
      <c r="BN85">
        <v>4</v>
      </c>
      <c r="BO85">
        <v>4</v>
      </c>
      <c r="BP85">
        <v>4</v>
      </c>
      <c r="BQ85">
        <v>4</v>
      </c>
      <c r="BR85">
        <v>4</v>
      </c>
      <c r="BS85">
        <v>4</v>
      </c>
    </row>
    <row r="86" spans="1:71" x14ac:dyDescent="0.3">
      <c r="B86" t="s">
        <v>351</v>
      </c>
      <c r="C86">
        <v>-4.0382999999999996</v>
      </c>
      <c r="D86">
        <v>21.758700000000001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1</v>
      </c>
      <c r="BC86">
        <v>1</v>
      </c>
      <c r="BD86">
        <v>2</v>
      </c>
      <c r="BE86">
        <v>2</v>
      </c>
      <c r="BF86">
        <v>2</v>
      </c>
      <c r="BG86">
        <v>2</v>
      </c>
      <c r="BH86">
        <v>3</v>
      </c>
      <c r="BI86">
        <v>4</v>
      </c>
      <c r="BJ86">
        <v>14</v>
      </c>
      <c r="BK86">
        <v>18</v>
      </c>
      <c r="BL86">
        <v>23</v>
      </c>
      <c r="BM86">
        <v>30</v>
      </c>
      <c r="BN86">
        <v>36</v>
      </c>
      <c r="BO86">
        <v>45</v>
      </c>
      <c r="BP86">
        <v>48</v>
      </c>
      <c r="BQ86">
        <v>51</v>
      </c>
      <c r="BR86">
        <v>51</v>
      </c>
      <c r="BS86">
        <v>65</v>
      </c>
    </row>
    <row r="87" spans="1:71" x14ac:dyDescent="0.3">
      <c r="B87" t="s">
        <v>159</v>
      </c>
      <c r="C87">
        <v>9.7489000000000008</v>
      </c>
      <c r="D87">
        <v>-83.753399999999999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1</v>
      </c>
      <c r="AX87">
        <v>1</v>
      </c>
      <c r="AY87">
        <v>5</v>
      </c>
      <c r="AZ87">
        <v>9</v>
      </c>
      <c r="BA87">
        <v>9</v>
      </c>
      <c r="BB87">
        <v>13</v>
      </c>
      <c r="BC87">
        <v>22</v>
      </c>
      <c r="BD87">
        <v>23</v>
      </c>
      <c r="BE87">
        <v>26</v>
      </c>
      <c r="BF87">
        <v>27</v>
      </c>
      <c r="BG87">
        <v>35</v>
      </c>
      <c r="BH87">
        <v>41</v>
      </c>
      <c r="BI87">
        <v>50</v>
      </c>
      <c r="BJ87">
        <v>69</v>
      </c>
      <c r="BK87">
        <v>89</v>
      </c>
      <c r="BL87">
        <v>117</v>
      </c>
      <c r="BM87">
        <v>134</v>
      </c>
      <c r="BN87">
        <v>158</v>
      </c>
      <c r="BO87">
        <v>177</v>
      </c>
      <c r="BP87">
        <v>201</v>
      </c>
      <c r="BQ87">
        <v>231</v>
      </c>
      <c r="BR87">
        <v>263</v>
      </c>
      <c r="BS87">
        <v>295</v>
      </c>
    </row>
    <row r="88" spans="1:71" x14ac:dyDescent="0.3">
      <c r="B88" t="s">
        <v>352</v>
      </c>
      <c r="C88">
        <v>7.54</v>
      </c>
      <c r="D88">
        <v>-5.5471000000000004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1</v>
      </c>
      <c r="BC88">
        <v>1</v>
      </c>
      <c r="BD88">
        <v>1</v>
      </c>
      <c r="BE88">
        <v>1</v>
      </c>
      <c r="BF88">
        <v>1</v>
      </c>
      <c r="BG88">
        <v>1</v>
      </c>
      <c r="BH88">
        <v>5</v>
      </c>
      <c r="BI88">
        <v>6</v>
      </c>
      <c r="BJ88">
        <v>9</v>
      </c>
      <c r="BK88">
        <v>9</v>
      </c>
      <c r="BL88">
        <v>14</v>
      </c>
      <c r="BM88">
        <v>14</v>
      </c>
      <c r="BN88">
        <v>25</v>
      </c>
      <c r="BO88">
        <v>73</v>
      </c>
      <c r="BP88">
        <v>80</v>
      </c>
      <c r="BQ88">
        <v>96</v>
      </c>
      <c r="BR88">
        <v>101</v>
      </c>
      <c r="BS88">
        <v>101</v>
      </c>
    </row>
    <row r="89" spans="1:71" x14ac:dyDescent="0.3">
      <c r="B89" t="s">
        <v>76</v>
      </c>
      <c r="C89">
        <v>45.1</v>
      </c>
      <c r="D89">
        <v>15.2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1</v>
      </c>
      <c r="AN89">
        <v>3</v>
      </c>
      <c r="AO89">
        <v>3</v>
      </c>
      <c r="AP89">
        <v>5</v>
      </c>
      <c r="AQ89">
        <v>6</v>
      </c>
      <c r="AR89">
        <v>7</v>
      </c>
      <c r="AS89">
        <v>7</v>
      </c>
      <c r="AT89">
        <v>9</v>
      </c>
      <c r="AU89">
        <v>10</v>
      </c>
      <c r="AV89">
        <v>10</v>
      </c>
      <c r="AW89">
        <v>11</v>
      </c>
      <c r="AX89">
        <v>12</v>
      </c>
      <c r="AY89">
        <v>12</v>
      </c>
      <c r="AZ89">
        <v>12</v>
      </c>
      <c r="BA89">
        <v>14</v>
      </c>
      <c r="BB89">
        <v>19</v>
      </c>
      <c r="BC89">
        <v>19</v>
      </c>
      <c r="BD89">
        <v>32</v>
      </c>
      <c r="BE89">
        <v>38</v>
      </c>
      <c r="BF89">
        <v>49</v>
      </c>
      <c r="BG89">
        <v>57</v>
      </c>
      <c r="BH89">
        <v>65</v>
      </c>
      <c r="BI89">
        <v>81</v>
      </c>
      <c r="BJ89">
        <v>105</v>
      </c>
      <c r="BK89">
        <v>128</v>
      </c>
      <c r="BL89">
        <v>206</v>
      </c>
      <c r="BM89">
        <v>254</v>
      </c>
      <c r="BN89">
        <v>315</v>
      </c>
      <c r="BO89">
        <v>382</v>
      </c>
      <c r="BP89">
        <v>442</v>
      </c>
      <c r="BQ89">
        <v>495</v>
      </c>
      <c r="BR89">
        <v>586</v>
      </c>
      <c r="BS89">
        <v>657</v>
      </c>
    </row>
    <row r="90" spans="1:71" x14ac:dyDescent="0.3">
      <c r="B90" t="s">
        <v>248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61</v>
      </c>
      <c r="V90">
        <v>61</v>
      </c>
      <c r="W90">
        <v>64</v>
      </c>
      <c r="X90">
        <v>135</v>
      </c>
      <c r="Y90">
        <v>135</v>
      </c>
      <c r="Z90">
        <v>175</v>
      </c>
      <c r="AA90">
        <v>175</v>
      </c>
      <c r="AB90">
        <v>218</v>
      </c>
      <c r="AC90">
        <v>285</v>
      </c>
      <c r="AD90">
        <v>355</v>
      </c>
      <c r="AE90">
        <v>454</v>
      </c>
      <c r="AF90">
        <v>542</v>
      </c>
      <c r="AG90">
        <v>621</v>
      </c>
      <c r="AH90">
        <v>634</v>
      </c>
      <c r="AI90">
        <v>634</v>
      </c>
      <c r="AJ90">
        <v>634</v>
      </c>
      <c r="AK90">
        <v>691</v>
      </c>
      <c r="AL90">
        <v>691</v>
      </c>
      <c r="AM90">
        <v>691</v>
      </c>
      <c r="AN90">
        <v>705</v>
      </c>
      <c r="AO90">
        <v>705</v>
      </c>
      <c r="AP90">
        <v>705</v>
      </c>
      <c r="AQ90">
        <v>705</v>
      </c>
      <c r="AR90">
        <v>705</v>
      </c>
      <c r="AS90">
        <v>705</v>
      </c>
      <c r="AT90">
        <v>706</v>
      </c>
      <c r="AU90">
        <v>706</v>
      </c>
      <c r="AV90">
        <v>706</v>
      </c>
      <c r="AW90">
        <v>706</v>
      </c>
      <c r="AX90">
        <v>706</v>
      </c>
      <c r="AY90">
        <v>706</v>
      </c>
      <c r="AZ90">
        <v>706</v>
      </c>
      <c r="BA90">
        <v>706</v>
      </c>
      <c r="BB90">
        <v>706</v>
      </c>
      <c r="BC90">
        <v>706</v>
      </c>
      <c r="BD90">
        <v>706</v>
      </c>
      <c r="BE90">
        <v>706</v>
      </c>
      <c r="BF90">
        <v>706</v>
      </c>
      <c r="BG90">
        <v>706</v>
      </c>
      <c r="BH90">
        <v>706</v>
      </c>
      <c r="BI90">
        <v>712</v>
      </c>
      <c r="BJ90">
        <v>712</v>
      </c>
      <c r="BK90">
        <v>712</v>
      </c>
      <c r="BL90">
        <v>712</v>
      </c>
      <c r="BM90">
        <v>712</v>
      </c>
      <c r="BN90">
        <v>712</v>
      </c>
      <c r="BO90">
        <v>712</v>
      </c>
      <c r="BP90">
        <v>712</v>
      </c>
      <c r="BQ90">
        <v>712</v>
      </c>
      <c r="BR90">
        <v>712</v>
      </c>
      <c r="BS90">
        <v>712</v>
      </c>
    </row>
    <row r="91" spans="1:71" x14ac:dyDescent="0.3">
      <c r="B91" t="s">
        <v>410</v>
      </c>
      <c r="C91">
        <v>22</v>
      </c>
      <c r="D91">
        <v>-80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3</v>
      </c>
      <c r="BD91">
        <v>4</v>
      </c>
      <c r="BE91">
        <v>4</v>
      </c>
      <c r="BF91">
        <v>4</v>
      </c>
      <c r="BG91">
        <v>4</v>
      </c>
      <c r="BH91">
        <v>5</v>
      </c>
      <c r="BI91">
        <v>7</v>
      </c>
      <c r="BJ91">
        <v>11</v>
      </c>
      <c r="BK91">
        <v>16</v>
      </c>
      <c r="BL91">
        <v>21</v>
      </c>
      <c r="BM91">
        <v>35</v>
      </c>
      <c r="BN91">
        <v>40</v>
      </c>
      <c r="BO91">
        <v>48</v>
      </c>
      <c r="BP91">
        <v>57</v>
      </c>
      <c r="BQ91">
        <v>67</v>
      </c>
      <c r="BR91">
        <v>80</v>
      </c>
      <c r="BS91">
        <v>119</v>
      </c>
    </row>
    <row r="92" spans="1:71" x14ac:dyDescent="0.3">
      <c r="B92" t="s">
        <v>231</v>
      </c>
      <c r="C92">
        <v>35.126399999999997</v>
      </c>
      <c r="D92">
        <v>33.429900000000004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2</v>
      </c>
      <c r="BA92">
        <v>3</v>
      </c>
      <c r="BB92">
        <v>6</v>
      </c>
      <c r="BC92">
        <v>6</v>
      </c>
      <c r="BD92">
        <v>14</v>
      </c>
      <c r="BE92">
        <v>26</v>
      </c>
      <c r="BF92">
        <v>26</v>
      </c>
      <c r="BG92">
        <v>33</v>
      </c>
      <c r="BH92">
        <v>46</v>
      </c>
      <c r="BI92">
        <v>49</v>
      </c>
      <c r="BJ92">
        <v>67</v>
      </c>
      <c r="BK92">
        <v>67</v>
      </c>
      <c r="BL92">
        <v>84</v>
      </c>
      <c r="BM92">
        <v>95</v>
      </c>
      <c r="BN92">
        <v>116</v>
      </c>
      <c r="BO92">
        <v>124</v>
      </c>
      <c r="BP92">
        <v>132</v>
      </c>
      <c r="BQ92">
        <v>146</v>
      </c>
      <c r="BR92">
        <v>162</v>
      </c>
      <c r="BS92">
        <v>179</v>
      </c>
    </row>
    <row r="93" spans="1:71" x14ac:dyDescent="0.3">
      <c r="B93" t="s">
        <v>341</v>
      </c>
      <c r="C93">
        <v>49.817500000000003</v>
      </c>
      <c r="D93">
        <v>15.4729999999999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3</v>
      </c>
      <c r="AS93">
        <v>3</v>
      </c>
      <c r="AT93">
        <v>5</v>
      </c>
      <c r="AU93">
        <v>8</v>
      </c>
      <c r="AV93">
        <v>12</v>
      </c>
      <c r="AW93">
        <v>18</v>
      </c>
      <c r="AX93">
        <v>19</v>
      </c>
      <c r="AY93">
        <v>31</v>
      </c>
      <c r="AZ93">
        <v>31</v>
      </c>
      <c r="BA93">
        <v>41</v>
      </c>
      <c r="BB93">
        <v>91</v>
      </c>
      <c r="BC93">
        <v>94</v>
      </c>
      <c r="BD93">
        <v>141</v>
      </c>
      <c r="BE93">
        <v>189</v>
      </c>
      <c r="BF93">
        <v>253</v>
      </c>
      <c r="BG93">
        <v>298</v>
      </c>
      <c r="BH93">
        <v>396</v>
      </c>
      <c r="BI93">
        <v>464</v>
      </c>
      <c r="BJ93">
        <v>694</v>
      </c>
      <c r="BK93">
        <v>833</v>
      </c>
      <c r="BL93">
        <v>995</v>
      </c>
      <c r="BM93">
        <v>1120</v>
      </c>
      <c r="BN93">
        <v>1236</v>
      </c>
      <c r="BO93">
        <v>1394</v>
      </c>
      <c r="BP93">
        <v>1654</v>
      </c>
      <c r="BQ93">
        <v>1925</v>
      </c>
      <c r="BR93">
        <v>2279</v>
      </c>
      <c r="BS93">
        <v>2631</v>
      </c>
    </row>
    <row r="94" spans="1:71" x14ac:dyDescent="0.3">
      <c r="A94" t="s">
        <v>134</v>
      </c>
      <c r="B94" t="s">
        <v>87</v>
      </c>
      <c r="C94">
        <v>61.892600000000002</v>
      </c>
      <c r="D94">
        <v>-6.9118000000000004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1</v>
      </c>
      <c r="AV94">
        <v>1</v>
      </c>
      <c r="AW94">
        <v>1</v>
      </c>
      <c r="AX94">
        <v>1</v>
      </c>
      <c r="AY94">
        <v>2</v>
      </c>
      <c r="AZ94">
        <v>2</v>
      </c>
      <c r="BA94">
        <v>2</v>
      </c>
      <c r="BB94">
        <v>2</v>
      </c>
      <c r="BC94">
        <v>2</v>
      </c>
      <c r="BD94">
        <v>3</v>
      </c>
      <c r="BE94">
        <v>9</v>
      </c>
      <c r="BF94">
        <v>11</v>
      </c>
      <c r="BG94">
        <v>18</v>
      </c>
      <c r="BH94">
        <v>47</v>
      </c>
      <c r="BI94">
        <v>58</v>
      </c>
      <c r="BJ94">
        <v>72</v>
      </c>
      <c r="BK94">
        <v>80</v>
      </c>
      <c r="BL94">
        <v>92</v>
      </c>
      <c r="BM94">
        <v>115</v>
      </c>
      <c r="BN94">
        <v>118</v>
      </c>
      <c r="BO94">
        <v>122</v>
      </c>
      <c r="BP94">
        <v>132</v>
      </c>
      <c r="BQ94">
        <v>140</v>
      </c>
      <c r="BR94">
        <v>144</v>
      </c>
      <c r="BS94">
        <v>155</v>
      </c>
    </row>
    <row r="95" spans="1:71" x14ac:dyDescent="0.3">
      <c r="A95" t="s">
        <v>469</v>
      </c>
      <c r="B95" t="s">
        <v>87</v>
      </c>
      <c r="C95">
        <v>71.706900000000005</v>
      </c>
      <c r="D95">
        <v>-42.604300000000002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1</v>
      </c>
      <c r="BH95">
        <v>1</v>
      </c>
      <c r="BI95">
        <v>1</v>
      </c>
      <c r="BJ95">
        <v>2</v>
      </c>
      <c r="BK95">
        <v>2</v>
      </c>
      <c r="BL95">
        <v>2</v>
      </c>
      <c r="BM95">
        <v>4</v>
      </c>
      <c r="BN95">
        <v>4</v>
      </c>
      <c r="BO95">
        <v>5</v>
      </c>
      <c r="BP95">
        <v>6</v>
      </c>
      <c r="BQ95">
        <v>6</v>
      </c>
      <c r="BR95">
        <v>10</v>
      </c>
      <c r="BS95">
        <v>10</v>
      </c>
    </row>
    <row r="96" spans="1:71" x14ac:dyDescent="0.3">
      <c r="B96" t="s">
        <v>87</v>
      </c>
      <c r="C96">
        <v>56.2639</v>
      </c>
      <c r="D96">
        <v>9.5017999999999994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1</v>
      </c>
      <c r="AP96">
        <v>1</v>
      </c>
      <c r="AQ96">
        <v>3</v>
      </c>
      <c r="AR96">
        <v>4</v>
      </c>
      <c r="AS96">
        <v>4</v>
      </c>
      <c r="AT96">
        <v>6</v>
      </c>
      <c r="AU96">
        <v>10</v>
      </c>
      <c r="AV96">
        <v>10</v>
      </c>
      <c r="AW96">
        <v>23</v>
      </c>
      <c r="AX96">
        <v>23</v>
      </c>
      <c r="AY96">
        <v>35</v>
      </c>
      <c r="AZ96">
        <v>90</v>
      </c>
      <c r="BA96">
        <v>262</v>
      </c>
      <c r="BB96">
        <v>442</v>
      </c>
      <c r="BC96">
        <v>615</v>
      </c>
      <c r="BD96">
        <v>801</v>
      </c>
      <c r="BE96">
        <v>827</v>
      </c>
      <c r="BF96">
        <v>864</v>
      </c>
      <c r="BG96">
        <v>914</v>
      </c>
      <c r="BH96">
        <v>977</v>
      </c>
      <c r="BI96">
        <v>1057</v>
      </c>
      <c r="BJ96">
        <v>1151</v>
      </c>
      <c r="BK96">
        <v>1255</v>
      </c>
      <c r="BL96">
        <v>1326</v>
      </c>
      <c r="BM96">
        <v>1395</v>
      </c>
      <c r="BN96">
        <v>1450</v>
      </c>
      <c r="BO96">
        <v>1591</v>
      </c>
      <c r="BP96">
        <v>1724</v>
      </c>
      <c r="BQ96">
        <v>1877</v>
      </c>
      <c r="BR96">
        <v>2046</v>
      </c>
      <c r="BS96">
        <v>2201</v>
      </c>
    </row>
    <row r="97" spans="1:71" x14ac:dyDescent="0.3">
      <c r="B97" t="s">
        <v>483</v>
      </c>
      <c r="C97">
        <v>11.825100000000001</v>
      </c>
      <c r="D97">
        <v>42.590299999999999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1</v>
      </c>
      <c r="BJ97">
        <v>1</v>
      </c>
      <c r="BK97">
        <v>1</v>
      </c>
      <c r="BL97">
        <v>1</v>
      </c>
      <c r="BM97">
        <v>1</v>
      </c>
      <c r="BN97">
        <v>3</v>
      </c>
      <c r="BO97">
        <v>3</v>
      </c>
      <c r="BP97">
        <v>11</v>
      </c>
      <c r="BQ97">
        <v>11</v>
      </c>
      <c r="BR97">
        <v>12</v>
      </c>
      <c r="BS97">
        <v>14</v>
      </c>
    </row>
    <row r="98" spans="1:71" x14ac:dyDescent="0.3">
      <c r="B98" t="s">
        <v>106</v>
      </c>
      <c r="C98">
        <v>18.735700000000001</v>
      </c>
      <c r="D98">
        <v>-70.162700000000001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1</v>
      </c>
      <c r="AS98">
        <v>1</v>
      </c>
      <c r="AT98">
        <v>1</v>
      </c>
      <c r="AU98">
        <v>1</v>
      </c>
      <c r="AV98">
        <v>1</v>
      </c>
      <c r="AW98">
        <v>2</v>
      </c>
      <c r="AX98">
        <v>2</v>
      </c>
      <c r="AY98">
        <v>5</v>
      </c>
      <c r="AZ98">
        <v>5</v>
      </c>
      <c r="BA98">
        <v>5</v>
      </c>
      <c r="BB98">
        <v>5</v>
      </c>
      <c r="BC98">
        <v>5</v>
      </c>
      <c r="BD98">
        <v>5</v>
      </c>
      <c r="BE98">
        <v>11</v>
      </c>
      <c r="BF98">
        <v>11</v>
      </c>
      <c r="BG98">
        <v>11</v>
      </c>
      <c r="BH98">
        <v>21</v>
      </c>
      <c r="BI98">
        <v>21</v>
      </c>
      <c r="BJ98">
        <v>34</v>
      </c>
      <c r="BK98">
        <v>72</v>
      </c>
      <c r="BL98">
        <v>112</v>
      </c>
      <c r="BM98">
        <v>202</v>
      </c>
      <c r="BN98">
        <v>245</v>
      </c>
      <c r="BO98">
        <v>312</v>
      </c>
      <c r="BP98">
        <v>392</v>
      </c>
      <c r="BQ98">
        <v>488</v>
      </c>
      <c r="BR98">
        <v>581</v>
      </c>
      <c r="BS98">
        <v>719</v>
      </c>
    </row>
    <row r="99" spans="1:71" x14ac:dyDescent="0.3">
      <c r="B99" t="s">
        <v>103</v>
      </c>
      <c r="C99">
        <v>-1.8311999999999999</v>
      </c>
      <c r="D99">
        <v>-78.183400000000006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6</v>
      </c>
      <c r="AS99">
        <v>6</v>
      </c>
      <c r="AT99">
        <v>7</v>
      </c>
      <c r="AU99">
        <v>10</v>
      </c>
      <c r="AV99">
        <v>13</v>
      </c>
      <c r="AW99">
        <v>13</v>
      </c>
      <c r="AX99">
        <v>13</v>
      </c>
      <c r="AY99">
        <v>14</v>
      </c>
      <c r="AZ99">
        <v>15</v>
      </c>
      <c r="BA99">
        <v>15</v>
      </c>
      <c r="BB99">
        <v>17</v>
      </c>
      <c r="BC99">
        <v>17</v>
      </c>
      <c r="BD99">
        <v>17</v>
      </c>
      <c r="BE99">
        <v>28</v>
      </c>
      <c r="BF99">
        <v>28</v>
      </c>
      <c r="BG99">
        <v>37</v>
      </c>
      <c r="BH99">
        <v>58</v>
      </c>
      <c r="BI99">
        <v>111</v>
      </c>
      <c r="BJ99">
        <v>199</v>
      </c>
      <c r="BK99">
        <v>367</v>
      </c>
      <c r="BL99">
        <v>506</v>
      </c>
      <c r="BM99">
        <v>789</v>
      </c>
      <c r="BN99">
        <v>981</v>
      </c>
      <c r="BO99">
        <v>1082</v>
      </c>
      <c r="BP99">
        <v>1173</v>
      </c>
      <c r="BQ99">
        <v>1403</v>
      </c>
      <c r="BR99">
        <v>1595</v>
      </c>
      <c r="BS99">
        <v>1823</v>
      </c>
    </row>
    <row r="100" spans="1:71" x14ac:dyDescent="0.3">
      <c r="B100" t="s">
        <v>65</v>
      </c>
      <c r="C100">
        <v>26</v>
      </c>
      <c r="D100">
        <v>30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1</v>
      </c>
      <c r="AC100">
        <v>1</v>
      </c>
      <c r="AD100">
        <v>1</v>
      </c>
      <c r="AE100">
        <v>1</v>
      </c>
      <c r="AF100">
        <v>1</v>
      </c>
      <c r="AG100">
        <v>1</v>
      </c>
      <c r="AH100">
        <v>1</v>
      </c>
      <c r="AI100">
        <v>1</v>
      </c>
      <c r="AJ100">
        <v>1</v>
      </c>
      <c r="AK100">
        <v>1</v>
      </c>
      <c r="AL100">
        <v>1</v>
      </c>
      <c r="AM100">
        <v>1</v>
      </c>
      <c r="AN100">
        <v>1</v>
      </c>
      <c r="AO100">
        <v>1</v>
      </c>
      <c r="AP100">
        <v>1</v>
      </c>
      <c r="AQ100">
        <v>1</v>
      </c>
      <c r="AR100">
        <v>2</v>
      </c>
      <c r="AS100">
        <v>2</v>
      </c>
      <c r="AT100">
        <v>2</v>
      </c>
      <c r="AU100">
        <v>2</v>
      </c>
      <c r="AV100">
        <v>3</v>
      </c>
      <c r="AW100">
        <v>15</v>
      </c>
      <c r="AX100">
        <v>15</v>
      </c>
      <c r="AY100">
        <v>49</v>
      </c>
      <c r="AZ100">
        <v>55</v>
      </c>
      <c r="BA100">
        <v>59</v>
      </c>
      <c r="BB100">
        <v>60</v>
      </c>
      <c r="BC100">
        <v>67</v>
      </c>
      <c r="BD100">
        <v>80</v>
      </c>
      <c r="BE100">
        <v>109</v>
      </c>
      <c r="BF100">
        <v>110</v>
      </c>
      <c r="BG100">
        <v>150</v>
      </c>
      <c r="BH100">
        <v>196</v>
      </c>
      <c r="BI100">
        <v>196</v>
      </c>
      <c r="BJ100">
        <v>256</v>
      </c>
      <c r="BK100">
        <v>285</v>
      </c>
      <c r="BL100">
        <v>294</v>
      </c>
      <c r="BM100">
        <v>327</v>
      </c>
      <c r="BN100">
        <v>366</v>
      </c>
      <c r="BO100">
        <v>402</v>
      </c>
      <c r="BP100">
        <v>456</v>
      </c>
      <c r="BQ100">
        <v>495</v>
      </c>
      <c r="BR100">
        <v>536</v>
      </c>
      <c r="BS100">
        <v>576</v>
      </c>
    </row>
    <row r="101" spans="1:71" x14ac:dyDescent="0.3">
      <c r="B101" t="s">
        <v>524</v>
      </c>
      <c r="C101">
        <v>13.7942</v>
      </c>
      <c r="D101">
        <v>-88.896500000000003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1</v>
      </c>
      <c r="BK101">
        <v>1</v>
      </c>
      <c r="BL101">
        <v>3</v>
      </c>
      <c r="BM101">
        <v>3</v>
      </c>
      <c r="BN101">
        <v>3</v>
      </c>
      <c r="BO101">
        <v>5</v>
      </c>
      <c r="BP101">
        <v>9</v>
      </c>
      <c r="BQ101">
        <v>13</v>
      </c>
      <c r="BR101">
        <v>13</v>
      </c>
      <c r="BS101">
        <v>19</v>
      </c>
    </row>
    <row r="102" spans="1:71" x14ac:dyDescent="0.3">
      <c r="B102" t="s">
        <v>462</v>
      </c>
      <c r="C102">
        <v>1.5</v>
      </c>
      <c r="D102">
        <v>10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1</v>
      </c>
      <c r="BG102">
        <v>1</v>
      </c>
      <c r="BH102">
        <v>1</v>
      </c>
      <c r="BI102">
        <v>4</v>
      </c>
      <c r="BJ102">
        <v>6</v>
      </c>
      <c r="BK102">
        <v>6</v>
      </c>
      <c r="BL102">
        <v>6</v>
      </c>
      <c r="BM102">
        <v>6</v>
      </c>
      <c r="BN102">
        <v>9</v>
      </c>
      <c r="BO102">
        <v>9</v>
      </c>
      <c r="BP102">
        <v>9</v>
      </c>
      <c r="BQ102">
        <v>12</v>
      </c>
      <c r="BR102">
        <v>12</v>
      </c>
      <c r="BS102">
        <v>12</v>
      </c>
    </row>
    <row r="103" spans="1:71" x14ac:dyDescent="0.3">
      <c r="B103" t="s">
        <v>556</v>
      </c>
      <c r="C103">
        <v>15.179399999999999</v>
      </c>
      <c r="D103">
        <v>39.782299999999999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1</v>
      </c>
      <c r="BM103">
        <v>1</v>
      </c>
      <c r="BN103">
        <v>1</v>
      </c>
      <c r="BO103">
        <v>1</v>
      </c>
      <c r="BP103">
        <v>4</v>
      </c>
      <c r="BQ103">
        <v>6</v>
      </c>
      <c r="BR103">
        <v>6</v>
      </c>
      <c r="BS103">
        <v>6</v>
      </c>
    </row>
    <row r="104" spans="1:71" x14ac:dyDescent="0.3">
      <c r="B104" t="s">
        <v>88</v>
      </c>
      <c r="C104">
        <v>58.595300000000002</v>
      </c>
      <c r="D104">
        <v>25.0136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1</v>
      </c>
      <c r="AP104">
        <v>1</v>
      </c>
      <c r="AQ104">
        <v>1</v>
      </c>
      <c r="AR104">
        <v>1</v>
      </c>
      <c r="AS104">
        <v>1</v>
      </c>
      <c r="AT104">
        <v>2</v>
      </c>
      <c r="AU104">
        <v>2</v>
      </c>
      <c r="AV104">
        <v>3</v>
      </c>
      <c r="AW104">
        <v>10</v>
      </c>
      <c r="AX104">
        <v>10</v>
      </c>
      <c r="AY104">
        <v>10</v>
      </c>
      <c r="AZ104">
        <v>10</v>
      </c>
      <c r="BA104">
        <v>12</v>
      </c>
      <c r="BB104">
        <v>16</v>
      </c>
      <c r="BC104">
        <v>16</v>
      </c>
      <c r="BD104">
        <v>79</v>
      </c>
      <c r="BE104">
        <v>115</v>
      </c>
      <c r="BF104">
        <v>171</v>
      </c>
      <c r="BG104">
        <v>205</v>
      </c>
      <c r="BH104">
        <v>225</v>
      </c>
      <c r="BI104">
        <v>258</v>
      </c>
      <c r="BJ104">
        <v>267</v>
      </c>
      <c r="BK104">
        <v>283</v>
      </c>
      <c r="BL104">
        <v>306</v>
      </c>
      <c r="BM104">
        <v>326</v>
      </c>
      <c r="BN104">
        <v>352</v>
      </c>
      <c r="BO104">
        <v>369</v>
      </c>
      <c r="BP104">
        <v>404</v>
      </c>
      <c r="BQ104">
        <v>538</v>
      </c>
      <c r="BR104">
        <v>575</v>
      </c>
      <c r="BS104">
        <v>645</v>
      </c>
    </row>
    <row r="105" spans="1:71" x14ac:dyDescent="0.3">
      <c r="B105" t="s">
        <v>442</v>
      </c>
      <c r="C105">
        <v>-26.522500000000001</v>
      </c>
      <c r="D105">
        <v>31.465900000000001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1</v>
      </c>
      <c r="BF105">
        <v>1</v>
      </c>
      <c r="BG105">
        <v>1</v>
      </c>
      <c r="BH105">
        <v>1</v>
      </c>
      <c r="BI105">
        <v>1</v>
      </c>
      <c r="BJ105">
        <v>1</v>
      </c>
      <c r="BK105">
        <v>1</v>
      </c>
      <c r="BL105">
        <v>1</v>
      </c>
      <c r="BM105">
        <v>4</v>
      </c>
      <c r="BN105">
        <v>4</v>
      </c>
      <c r="BO105">
        <v>4</v>
      </c>
      <c r="BP105">
        <v>4</v>
      </c>
      <c r="BQ105">
        <v>6</v>
      </c>
      <c r="BR105">
        <v>9</v>
      </c>
      <c r="BS105">
        <v>9</v>
      </c>
    </row>
    <row r="106" spans="1:71" x14ac:dyDescent="0.3">
      <c r="B106" t="s">
        <v>419</v>
      </c>
      <c r="C106">
        <v>9.1449999999999996</v>
      </c>
      <c r="D106">
        <v>40.489699999999999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1</v>
      </c>
      <c r="BE106">
        <v>1</v>
      </c>
      <c r="BF106">
        <v>1</v>
      </c>
      <c r="BG106">
        <v>5</v>
      </c>
      <c r="BH106">
        <v>5</v>
      </c>
      <c r="BI106">
        <v>6</v>
      </c>
      <c r="BJ106">
        <v>6</v>
      </c>
      <c r="BK106">
        <v>9</v>
      </c>
      <c r="BL106">
        <v>9</v>
      </c>
      <c r="BM106">
        <v>11</v>
      </c>
      <c r="BN106">
        <v>11</v>
      </c>
      <c r="BO106">
        <v>12</v>
      </c>
      <c r="BP106">
        <v>12</v>
      </c>
      <c r="BQ106">
        <v>12</v>
      </c>
      <c r="BR106">
        <v>16</v>
      </c>
      <c r="BS106">
        <v>16</v>
      </c>
    </row>
    <row r="107" spans="1:71" x14ac:dyDescent="0.3">
      <c r="B107" t="s">
        <v>525</v>
      </c>
      <c r="C107">
        <v>-17.7134</v>
      </c>
      <c r="D107">
        <v>178.065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1</v>
      </c>
      <c r="BK107">
        <v>1</v>
      </c>
      <c r="BL107">
        <v>1</v>
      </c>
      <c r="BM107">
        <v>2</v>
      </c>
      <c r="BN107">
        <v>3</v>
      </c>
      <c r="BO107">
        <v>4</v>
      </c>
      <c r="BP107">
        <v>5</v>
      </c>
      <c r="BQ107">
        <v>5</v>
      </c>
      <c r="BR107">
        <v>5</v>
      </c>
      <c r="BS107">
        <v>5</v>
      </c>
    </row>
    <row r="108" spans="1:71" x14ac:dyDescent="0.3">
      <c r="B108" t="s">
        <v>54</v>
      </c>
      <c r="C108">
        <v>64</v>
      </c>
      <c r="D108">
        <v>26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1</v>
      </c>
      <c r="M108">
        <v>1</v>
      </c>
      <c r="N108">
        <v>1</v>
      </c>
      <c r="O108">
        <v>1</v>
      </c>
      <c r="P108">
        <v>1</v>
      </c>
      <c r="Q108">
        <v>1</v>
      </c>
      <c r="R108">
        <v>1</v>
      </c>
      <c r="S108">
        <v>1</v>
      </c>
      <c r="T108">
        <v>1</v>
      </c>
      <c r="U108">
        <v>1</v>
      </c>
      <c r="V108">
        <v>1</v>
      </c>
      <c r="W108">
        <v>1</v>
      </c>
      <c r="X108">
        <v>1</v>
      </c>
      <c r="Y108">
        <v>1</v>
      </c>
      <c r="Z108">
        <v>1</v>
      </c>
      <c r="AA108">
        <v>1</v>
      </c>
      <c r="AB108">
        <v>1</v>
      </c>
      <c r="AC108">
        <v>1</v>
      </c>
      <c r="AD108">
        <v>1</v>
      </c>
      <c r="AE108">
        <v>1</v>
      </c>
      <c r="AF108">
        <v>1</v>
      </c>
      <c r="AG108">
        <v>1</v>
      </c>
      <c r="AH108">
        <v>1</v>
      </c>
      <c r="AI108">
        <v>1</v>
      </c>
      <c r="AJ108">
        <v>1</v>
      </c>
      <c r="AK108">
        <v>1</v>
      </c>
      <c r="AL108">
        <v>1</v>
      </c>
      <c r="AM108">
        <v>1</v>
      </c>
      <c r="AN108">
        <v>2</v>
      </c>
      <c r="AO108">
        <v>2</v>
      </c>
      <c r="AP108">
        <v>2</v>
      </c>
      <c r="AQ108">
        <v>3</v>
      </c>
      <c r="AR108">
        <v>6</v>
      </c>
      <c r="AS108">
        <v>6</v>
      </c>
      <c r="AT108">
        <v>6</v>
      </c>
      <c r="AU108">
        <v>6</v>
      </c>
      <c r="AV108">
        <v>12</v>
      </c>
      <c r="AW108">
        <v>15</v>
      </c>
      <c r="AX108">
        <v>15</v>
      </c>
      <c r="AY108">
        <v>23</v>
      </c>
      <c r="AZ108">
        <v>30</v>
      </c>
      <c r="BA108">
        <v>40</v>
      </c>
      <c r="BB108">
        <v>59</v>
      </c>
      <c r="BC108">
        <v>59</v>
      </c>
      <c r="BD108">
        <v>155</v>
      </c>
      <c r="BE108">
        <v>225</v>
      </c>
      <c r="BF108">
        <v>244</v>
      </c>
      <c r="BG108">
        <v>277</v>
      </c>
      <c r="BH108">
        <v>321</v>
      </c>
      <c r="BI108">
        <v>336</v>
      </c>
      <c r="BJ108">
        <v>400</v>
      </c>
      <c r="BK108">
        <v>450</v>
      </c>
      <c r="BL108">
        <v>523</v>
      </c>
      <c r="BM108">
        <v>626</v>
      </c>
      <c r="BN108">
        <v>700</v>
      </c>
      <c r="BO108">
        <v>792</v>
      </c>
      <c r="BP108">
        <v>880</v>
      </c>
      <c r="BQ108">
        <v>958</v>
      </c>
      <c r="BR108">
        <v>1041</v>
      </c>
      <c r="BS108">
        <v>1167</v>
      </c>
    </row>
    <row r="109" spans="1:71" x14ac:dyDescent="0.3">
      <c r="A109" t="s">
        <v>176</v>
      </c>
      <c r="B109" t="s">
        <v>41</v>
      </c>
      <c r="C109">
        <v>3.9339</v>
      </c>
      <c r="D109">
        <v>-53.125799999999998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5</v>
      </c>
      <c r="AY109">
        <v>5</v>
      </c>
      <c r="AZ109">
        <v>5</v>
      </c>
      <c r="BA109">
        <v>5</v>
      </c>
      <c r="BB109">
        <v>5</v>
      </c>
      <c r="BC109">
        <v>5</v>
      </c>
      <c r="BD109">
        <v>5</v>
      </c>
      <c r="BE109">
        <v>5</v>
      </c>
      <c r="BF109">
        <v>7</v>
      </c>
      <c r="BG109">
        <v>11</v>
      </c>
      <c r="BH109">
        <v>11</v>
      </c>
      <c r="BI109">
        <v>11</v>
      </c>
      <c r="BJ109">
        <v>11</v>
      </c>
      <c r="BK109">
        <v>15</v>
      </c>
      <c r="BL109">
        <v>18</v>
      </c>
      <c r="BM109">
        <v>18</v>
      </c>
      <c r="BN109">
        <v>20</v>
      </c>
      <c r="BO109">
        <v>23</v>
      </c>
      <c r="BP109">
        <v>28</v>
      </c>
      <c r="BQ109">
        <v>28</v>
      </c>
      <c r="BR109">
        <v>28</v>
      </c>
      <c r="BS109">
        <v>28</v>
      </c>
    </row>
    <row r="110" spans="1:71" x14ac:dyDescent="0.3">
      <c r="A110" t="s">
        <v>414</v>
      </c>
      <c r="B110" t="s">
        <v>41</v>
      </c>
      <c r="C110">
        <v>-17.6797</v>
      </c>
      <c r="D110">
        <v>149.4068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3</v>
      </c>
      <c r="BE110">
        <v>3</v>
      </c>
      <c r="BF110">
        <v>3</v>
      </c>
      <c r="BG110">
        <v>3</v>
      </c>
      <c r="BH110">
        <v>3</v>
      </c>
      <c r="BI110">
        <v>3</v>
      </c>
      <c r="BJ110">
        <v>6</v>
      </c>
      <c r="BK110">
        <v>11</v>
      </c>
      <c r="BL110">
        <v>15</v>
      </c>
      <c r="BM110">
        <v>18</v>
      </c>
      <c r="BN110">
        <v>18</v>
      </c>
      <c r="BO110">
        <v>25</v>
      </c>
      <c r="BP110">
        <v>25</v>
      </c>
      <c r="BQ110">
        <v>30</v>
      </c>
      <c r="BR110">
        <v>30</v>
      </c>
      <c r="BS110">
        <v>30</v>
      </c>
    </row>
    <row r="111" spans="1:71" x14ac:dyDescent="0.3">
      <c r="A111" t="s">
        <v>416</v>
      </c>
      <c r="B111" t="s">
        <v>41</v>
      </c>
      <c r="C111">
        <v>16.25</v>
      </c>
      <c r="D111">
        <v>-61.583300000000001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1</v>
      </c>
      <c r="BE111">
        <v>1</v>
      </c>
      <c r="BF111">
        <v>3</v>
      </c>
      <c r="BG111">
        <v>6</v>
      </c>
      <c r="BH111">
        <v>18</v>
      </c>
      <c r="BI111">
        <v>27</v>
      </c>
      <c r="BJ111">
        <v>33</v>
      </c>
      <c r="BK111">
        <v>45</v>
      </c>
      <c r="BL111">
        <v>53</v>
      </c>
      <c r="BM111">
        <v>58</v>
      </c>
      <c r="BN111">
        <v>62</v>
      </c>
      <c r="BO111">
        <v>62</v>
      </c>
      <c r="BP111">
        <v>73</v>
      </c>
      <c r="BQ111">
        <v>73</v>
      </c>
      <c r="BR111">
        <v>73</v>
      </c>
      <c r="BS111">
        <v>102</v>
      </c>
    </row>
    <row r="112" spans="1:71" x14ac:dyDescent="0.3">
      <c r="A112" t="s">
        <v>463</v>
      </c>
      <c r="B112" t="s">
        <v>41</v>
      </c>
      <c r="C112">
        <v>-12.827500000000001</v>
      </c>
      <c r="D112">
        <v>45.166200000000003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1</v>
      </c>
      <c r="BG112">
        <v>1</v>
      </c>
      <c r="BH112">
        <v>1</v>
      </c>
      <c r="BI112">
        <v>3</v>
      </c>
      <c r="BJ112">
        <v>3</v>
      </c>
      <c r="BK112">
        <v>6</v>
      </c>
      <c r="BL112">
        <v>7</v>
      </c>
      <c r="BM112">
        <v>11</v>
      </c>
      <c r="BN112">
        <v>24</v>
      </c>
      <c r="BO112">
        <v>36</v>
      </c>
      <c r="BP112">
        <v>36</v>
      </c>
      <c r="BQ112">
        <v>36</v>
      </c>
      <c r="BR112">
        <v>50</v>
      </c>
      <c r="BS112">
        <v>63</v>
      </c>
    </row>
    <row r="113" spans="1:71" x14ac:dyDescent="0.3">
      <c r="A113" t="s">
        <v>521</v>
      </c>
      <c r="B113" t="s">
        <v>41</v>
      </c>
      <c r="C113">
        <v>-20.904299999999999</v>
      </c>
      <c r="D113">
        <v>165.61799999999999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2</v>
      </c>
      <c r="BK113">
        <v>2</v>
      </c>
      <c r="BL113">
        <v>4</v>
      </c>
      <c r="BM113">
        <v>4</v>
      </c>
      <c r="BN113">
        <v>8</v>
      </c>
      <c r="BO113">
        <v>10</v>
      </c>
      <c r="BP113">
        <v>14</v>
      </c>
      <c r="BQ113">
        <v>14</v>
      </c>
      <c r="BR113">
        <v>15</v>
      </c>
      <c r="BS113">
        <v>15</v>
      </c>
    </row>
    <row r="114" spans="1:71" x14ac:dyDescent="0.3">
      <c r="A114" t="s">
        <v>354</v>
      </c>
      <c r="B114" t="s">
        <v>41</v>
      </c>
      <c r="C114">
        <v>-21.135100000000001</v>
      </c>
      <c r="D114">
        <v>55.247100000000003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1</v>
      </c>
      <c r="BC114">
        <v>1</v>
      </c>
      <c r="BD114">
        <v>5</v>
      </c>
      <c r="BE114">
        <v>6</v>
      </c>
      <c r="BF114">
        <v>7</v>
      </c>
      <c r="BG114">
        <v>9</v>
      </c>
      <c r="BH114">
        <v>9</v>
      </c>
      <c r="BI114">
        <v>12</v>
      </c>
      <c r="BJ114">
        <v>14</v>
      </c>
      <c r="BK114">
        <v>28</v>
      </c>
      <c r="BL114">
        <v>45</v>
      </c>
      <c r="BM114">
        <v>64</v>
      </c>
      <c r="BN114">
        <v>71</v>
      </c>
      <c r="BO114">
        <v>94</v>
      </c>
      <c r="BP114">
        <v>111</v>
      </c>
      <c r="BQ114">
        <v>135</v>
      </c>
      <c r="BR114">
        <v>145</v>
      </c>
      <c r="BS114">
        <v>183</v>
      </c>
    </row>
    <row r="115" spans="1:71" x14ac:dyDescent="0.3">
      <c r="A115" t="s">
        <v>130</v>
      </c>
      <c r="B115" t="s">
        <v>41</v>
      </c>
      <c r="C115">
        <v>17.899999999999999</v>
      </c>
      <c r="D115">
        <v>-62.833300000000001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3</v>
      </c>
      <c r="AV115">
        <v>3</v>
      </c>
      <c r="AW115">
        <v>3</v>
      </c>
      <c r="AX115">
        <v>3</v>
      </c>
      <c r="AY115">
        <v>3</v>
      </c>
      <c r="AZ115">
        <v>1</v>
      </c>
      <c r="BA115">
        <v>1</v>
      </c>
      <c r="BB115">
        <v>1</v>
      </c>
      <c r="BC115">
        <v>1</v>
      </c>
      <c r="BD115">
        <v>1</v>
      </c>
      <c r="BE115">
        <v>1</v>
      </c>
      <c r="BF115">
        <v>1</v>
      </c>
      <c r="BG115">
        <v>3</v>
      </c>
      <c r="BH115">
        <v>3</v>
      </c>
      <c r="BI115">
        <v>3</v>
      </c>
      <c r="BJ115">
        <v>3</v>
      </c>
      <c r="BK115">
        <v>3</v>
      </c>
      <c r="BL115">
        <v>3</v>
      </c>
      <c r="BM115">
        <v>3</v>
      </c>
      <c r="BN115">
        <v>3</v>
      </c>
      <c r="BO115">
        <v>3</v>
      </c>
      <c r="BP115">
        <v>3</v>
      </c>
      <c r="BQ115">
        <v>3</v>
      </c>
      <c r="BR115">
        <v>5</v>
      </c>
      <c r="BS115">
        <v>5</v>
      </c>
    </row>
    <row r="116" spans="1:71" x14ac:dyDescent="0.3">
      <c r="A116" t="s">
        <v>347</v>
      </c>
      <c r="B116" t="s">
        <v>41</v>
      </c>
      <c r="C116">
        <v>18.070799999999998</v>
      </c>
      <c r="D116">
        <v>-63.0501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2</v>
      </c>
      <c r="BA116">
        <v>2</v>
      </c>
      <c r="BB116">
        <v>2</v>
      </c>
      <c r="BC116">
        <v>2</v>
      </c>
      <c r="BD116">
        <v>2</v>
      </c>
      <c r="BE116">
        <v>2</v>
      </c>
      <c r="BF116">
        <v>2</v>
      </c>
      <c r="BG116">
        <v>2</v>
      </c>
      <c r="BH116">
        <v>2</v>
      </c>
      <c r="BI116">
        <v>3</v>
      </c>
      <c r="BJ116">
        <v>4</v>
      </c>
      <c r="BK116">
        <v>4</v>
      </c>
      <c r="BL116">
        <v>4</v>
      </c>
      <c r="BM116">
        <v>5</v>
      </c>
      <c r="BN116">
        <v>8</v>
      </c>
      <c r="BO116">
        <v>8</v>
      </c>
      <c r="BP116">
        <v>11</v>
      </c>
      <c r="BQ116">
        <v>11</v>
      </c>
      <c r="BR116">
        <v>11</v>
      </c>
      <c r="BS116">
        <v>11</v>
      </c>
    </row>
    <row r="117" spans="1:71" x14ac:dyDescent="0.3">
      <c r="A117" t="s">
        <v>180</v>
      </c>
      <c r="B117" t="s">
        <v>41</v>
      </c>
      <c r="C117">
        <v>14.641500000000001</v>
      </c>
      <c r="D117">
        <v>-61.0242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2</v>
      </c>
      <c r="AY117">
        <v>2</v>
      </c>
      <c r="AZ117">
        <v>2</v>
      </c>
      <c r="BA117">
        <v>2</v>
      </c>
      <c r="BB117">
        <v>3</v>
      </c>
      <c r="BC117">
        <v>3</v>
      </c>
      <c r="BD117">
        <v>3</v>
      </c>
      <c r="BE117">
        <v>9</v>
      </c>
      <c r="BF117">
        <v>9</v>
      </c>
      <c r="BG117">
        <v>15</v>
      </c>
      <c r="BH117">
        <v>16</v>
      </c>
      <c r="BI117">
        <v>19</v>
      </c>
      <c r="BJ117">
        <v>23</v>
      </c>
      <c r="BK117">
        <v>32</v>
      </c>
      <c r="BL117">
        <v>32</v>
      </c>
      <c r="BM117">
        <v>44</v>
      </c>
      <c r="BN117">
        <v>53</v>
      </c>
      <c r="BO117">
        <v>57</v>
      </c>
      <c r="BP117">
        <v>66</v>
      </c>
      <c r="BQ117">
        <v>66</v>
      </c>
      <c r="BR117">
        <v>81</v>
      </c>
      <c r="BS117">
        <v>93</v>
      </c>
    </row>
    <row r="118" spans="1:71" x14ac:dyDescent="0.3">
      <c r="B118" t="s">
        <v>41</v>
      </c>
      <c r="C118">
        <v>46.227600000000002</v>
      </c>
      <c r="D118">
        <v>2.2136999999999998</v>
      </c>
      <c r="E118">
        <v>0</v>
      </c>
      <c r="F118">
        <v>0</v>
      </c>
      <c r="G118">
        <v>2</v>
      </c>
      <c r="H118">
        <v>3</v>
      </c>
      <c r="I118">
        <v>3</v>
      </c>
      <c r="J118">
        <v>3</v>
      </c>
      <c r="K118">
        <v>4</v>
      </c>
      <c r="L118">
        <v>5</v>
      </c>
      <c r="M118">
        <v>5</v>
      </c>
      <c r="N118">
        <v>5</v>
      </c>
      <c r="O118">
        <v>6</v>
      </c>
      <c r="P118">
        <v>6</v>
      </c>
      <c r="Q118">
        <v>6</v>
      </c>
      <c r="R118">
        <v>6</v>
      </c>
      <c r="S118">
        <v>6</v>
      </c>
      <c r="T118">
        <v>6</v>
      </c>
      <c r="U118">
        <v>6</v>
      </c>
      <c r="V118">
        <v>11</v>
      </c>
      <c r="W118">
        <v>11</v>
      </c>
      <c r="X118">
        <v>11</v>
      </c>
      <c r="Y118">
        <v>11</v>
      </c>
      <c r="Z118">
        <v>11</v>
      </c>
      <c r="AA118">
        <v>11</v>
      </c>
      <c r="AB118">
        <v>11</v>
      </c>
      <c r="AC118">
        <v>12</v>
      </c>
      <c r="AD118">
        <v>12</v>
      </c>
      <c r="AE118">
        <v>12</v>
      </c>
      <c r="AF118">
        <v>12</v>
      </c>
      <c r="AG118">
        <v>12</v>
      </c>
      <c r="AH118">
        <v>12</v>
      </c>
      <c r="AI118">
        <v>12</v>
      </c>
      <c r="AJ118">
        <v>12</v>
      </c>
      <c r="AK118">
        <v>12</v>
      </c>
      <c r="AL118">
        <v>12</v>
      </c>
      <c r="AM118">
        <v>14</v>
      </c>
      <c r="AN118">
        <v>18</v>
      </c>
      <c r="AO118">
        <v>38</v>
      </c>
      <c r="AP118">
        <v>57</v>
      </c>
      <c r="AQ118">
        <v>100</v>
      </c>
      <c r="AR118">
        <v>130</v>
      </c>
      <c r="AS118">
        <v>191</v>
      </c>
      <c r="AT118">
        <v>204</v>
      </c>
      <c r="AU118">
        <v>285</v>
      </c>
      <c r="AV118">
        <v>377</v>
      </c>
      <c r="AW118">
        <v>653</v>
      </c>
      <c r="AX118">
        <v>949</v>
      </c>
      <c r="AY118">
        <v>1126</v>
      </c>
      <c r="AZ118">
        <v>1209</v>
      </c>
      <c r="BA118">
        <v>1784</v>
      </c>
      <c r="BB118">
        <v>2281</v>
      </c>
      <c r="BC118">
        <v>2281</v>
      </c>
      <c r="BD118">
        <v>3661</v>
      </c>
      <c r="BE118">
        <v>4469</v>
      </c>
      <c r="BF118">
        <v>4499</v>
      </c>
      <c r="BG118">
        <v>6633</v>
      </c>
      <c r="BH118">
        <v>7652</v>
      </c>
      <c r="BI118">
        <v>9043</v>
      </c>
      <c r="BJ118">
        <v>10871</v>
      </c>
      <c r="BK118">
        <v>12612</v>
      </c>
      <c r="BL118">
        <v>14282</v>
      </c>
      <c r="BM118">
        <v>16018</v>
      </c>
      <c r="BN118">
        <v>19856</v>
      </c>
      <c r="BO118">
        <v>22304</v>
      </c>
      <c r="BP118">
        <v>25233</v>
      </c>
      <c r="BQ118">
        <v>29155</v>
      </c>
      <c r="BR118">
        <v>32964</v>
      </c>
      <c r="BS118">
        <v>37575</v>
      </c>
    </row>
    <row r="119" spans="1:71" x14ac:dyDescent="0.3">
      <c r="B119" t="s">
        <v>443</v>
      </c>
      <c r="C119">
        <v>-0.80369999999999997</v>
      </c>
      <c r="D119">
        <v>11.609400000000001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1</v>
      </c>
      <c r="BF119">
        <v>1</v>
      </c>
      <c r="BG119">
        <v>1</v>
      </c>
      <c r="BH119">
        <v>1</v>
      </c>
      <c r="BI119">
        <v>1</v>
      </c>
      <c r="BJ119">
        <v>1</v>
      </c>
      <c r="BK119">
        <v>3</v>
      </c>
      <c r="BL119">
        <v>4</v>
      </c>
      <c r="BM119">
        <v>5</v>
      </c>
      <c r="BN119">
        <v>5</v>
      </c>
      <c r="BO119">
        <v>6</v>
      </c>
      <c r="BP119">
        <v>6</v>
      </c>
      <c r="BQ119">
        <v>7</v>
      </c>
      <c r="BR119">
        <v>7</v>
      </c>
      <c r="BS119">
        <v>7</v>
      </c>
    </row>
    <row r="120" spans="1:71" x14ac:dyDescent="0.3">
      <c r="B120" t="s">
        <v>582</v>
      </c>
      <c r="C120">
        <v>13.443199999999999</v>
      </c>
      <c r="D120">
        <v>-15.3101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1</v>
      </c>
      <c r="BI120">
        <v>1</v>
      </c>
      <c r="BJ120">
        <v>1</v>
      </c>
      <c r="BK120">
        <v>1</v>
      </c>
      <c r="BL120">
        <v>1</v>
      </c>
      <c r="BM120">
        <v>1</v>
      </c>
      <c r="BN120">
        <v>2</v>
      </c>
      <c r="BO120">
        <v>3</v>
      </c>
      <c r="BP120">
        <v>3</v>
      </c>
      <c r="BQ120">
        <v>3</v>
      </c>
      <c r="BR120">
        <v>3</v>
      </c>
      <c r="BS120">
        <v>3</v>
      </c>
    </row>
    <row r="121" spans="1:71" x14ac:dyDescent="0.3">
      <c r="B121" t="s">
        <v>82</v>
      </c>
      <c r="C121">
        <v>42.315399999999997</v>
      </c>
      <c r="D121">
        <v>43.356900000000003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1</v>
      </c>
      <c r="AO121">
        <v>1</v>
      </c>
      <c r="AP121">
        <v>1</v>
      </c>
      <c r="AQ121">
        <v>1</v>
      </c>
      <c r="AR121">
        <v>3</v>
      </c>
      <c r="AS121">
        <v>3</v>
      </c>
      <c r="AT121">
        <v>3</v>
      </c>
      <c r="AU121">
        <v>3</v>
      </c>
      <c r="AV121">
        <v>4</v>
      </c>
      <c r="AW121">
        <v>4</v>
      </c>
      <c r="AX121">
        <v>4</v>
      </c>
      <c r="AY121">
        <v>13</v>
      </c>
      <c r="AZ121">
        <v>15</v>
      </c>
      <c r="BA121">
        <v>15</v>
      </c>
      <c r="BB121">
        <v>24</v>
      </c>
      <c r="BC121">
        <v>24</v>
      </c>
      <c r="BD121">
        <v>25</v>
      </c>
      <c r="BE121">
        <v>30</v>
      </c>
      <c r="BF121">
        <v>33</v>
      </c>
      <c r="BG121">
        <v>33</v>
      </c>
      <c r="BH121">
        <v>34</v>
      </c>
      <c r="BI121">
        <v>38</v>
      </c>
      <c r="BJ121">
        <v>40</v>
      </c>
      <c r="BK121">
        <v>43</v>
      </c>
      <c r="BL121">
        <v>49</v>
      </c>
      <c r="BM121">
        <v>54</v>
      </c>
      <c r="BN121">
        <v>61</v>
      </c>
      <c r="BO121">
        <v>70</v>
      </c>
      <c r="BP121">
        <v>75</v>
      </c>
      <c r="BQ121">
        <v>79</v>
      </c>
      <c r="BR121">
        <v>83</v>
      </c>
      <c r="BS121">
        <v>90</v>
      </c>
    </row>
    <row r="122" spans="1:71" x14ac:dyDescent="0.3">
      <c r="B122" t="s">
        <v>53</v>
      </c>
      <c r="C122">
        <v>51</v>
      </c>
      <c r="D122">
        <v>9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1</v>
      </c>
      <c r="K122">
        <v>4</v>
      </c>
      <c r="L122">
        <v>4</v>
      </c>
      <c r="M122">
        <v>4</v>
      </c>
      <c r="N122">
        <v>5</v>
      </c>
      <c r="O122">
        <v>8</v>
      </c>
      <c r="P122">
        <v>10</v>
      </c>
      <c r="Q122">
        <v>12</v>
      </c>
      <c r="R122">
        <v>12</v>
      </c>
      <c r="S122">
        <v>12</v>
      </c>
      <c r="T122">
        <v>12</v>
      </c>
      <c r="U122">
        <v>13</v>
      </c>
      <c r="V122">
        <v>13</v>
      </c>
      <c r="W122">
        <v>14</v>
      </c>
      <c r="X122">
        <v>14</v>
      </c>
      <c r="Y122">
        <v>16</v>
      </c>
      <c r="Z122">
        <v>16</v>
      </c>
      <c r="AA122">
        <v>16</v>
      </c>
      <c r="AB122">
        <v>16</v>
      </c>
      <c r="AC122">
        <v>16</v>
      </c>
      <c r="AD122">
        <v>16</v>
      </c>
      <c r="AE122">
        <v>16</v>
      </c>
      <c r="AF122">
        <v>16</v>
      </c>
      <c r="AG122">
        <v>16</v>
      </c>
      <c r="AH122">
        <v>16</v>
      </c>
      <c r="AI122">
        <v>16</v>
      </c>
      <c r="AJ122">
        <v>16</v>
      </c>
      <c r="AK122">
        <v>16</v>
      </c>
      <c r="AL122">
        <v>16</v>
      </c>
      <c r="AM122">
        <v>17</v>
      </c>
      <c r="AN122">
        <v>27</v>
      </c>
      <c r="AO122">
        <v>46</v>
      </c>
      <c r="AP122">
        <v>48</v>
      </c>
      <c r="AQ122">
        <v>79</v>
      </c>
      <c r="AR122">
        <v>130</v>
      </c>
      <c r="AS122">
        <v>159</v>
      </c>
      <c r="AT122">
        <v>196</v>
      </c>
      <c r="AU122">
        <v>262</v>
      </c>
      <c r="AV122">
        <v>482</v>
      </c>
      <c r="AW122">
        <v>670</v>
      </c>
      <c r="AX122">
        <v>799</v>
      </c>
      <c r="AY122">
        <v>1040</v>
      </c>
      <c r="AZ122">
        <v>1176</v>
      </c>
      <c r="BA122">
        <v>1457</v>
      </c>
      <c r="BB122">
        <v>1908</v>
      </c>
      <c r="BC122">
        <v>2078</v>
      </c>
      <c r="BD122">
        <v>3675</v>
      </c>
      <c r="BE122">
        <v>4585</v>
      </c>
      <c r="BF122">
        <v>5795</v>
      </c>
      <c r="BG122">
        <v>7272</v>
      </c>
      <c r="BH122">
        <v>9257</v>
      </c>
      <c r="BI122">
        <v>12327</v>
      </c>
      <c r="BJ122">
        <v>15320</v>
      </c>
      <c r="BK122">
        <v>19848</v>
      </c>
      <c r="BL122">
        <v>22213</v>
      </c>
      <c r="BM122">
        <v>24873</v>
      </c>
      <c r="BN122">
        <v>29056</v>
      </c>
      <c r="BO122">
        <v>32986</v>
      </c>
      <c r="BP122">
        <v>37323</v>
      </c>
      <c r="BQ122">
        <v>43938</v>
      </c>
      <c r="BR122">
        <v>50871</v>
      </c>
      <c r="BS122">
        <v>57695</v>
      </c>
    </row>
    <row r="123" spans="1:71" x14ac:dyDescent="0.3">
      <c r="B123" t="s">
        <v>435</v>
      </c>
      <c r="C123">
        <v>7.9465000000000003</v>
      </c>
      <c r="D123">
        <v>-1.0232000000000001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3</v>
      </c>
      <c r="BF123">
        <v>6</v>
      </c>
      <c r="BG123">
        <v>6</v>
      </c>
      <c r="BH123">
        <v>7</v>
      </c>
      <c r="BI123">
        <v>7</v>
      </c>
      <c r="BJ123">
        <v>11</v>
      </c>
      <c r="BK123">
        <v>16</v>
      </c>
      <c r="BL123">
        <v>19</v>
      </c>
      <c r="BM123">
        <v>23</v>
      </c>
      <c r="BN123">
        <v>27</v>
      </c>
      <c r="BO123">
        <v>53</v>
      </c>
      <c r="BP123">
        <v>93</v>
      </c>
      <c r="BQ123">
        <v>132</v>
      </c>
      <c r="BR123">
        <v>137</v>
      </c>
      <c r="BS123">
        <v>141</v>
      </c>
    </row>
    <row r="124" spans="1:71" x14ac:dyDescent="0.3">
      <c r="B124" t="s">
        <v>83</v>
      </c>
      <c r="C124">
        <v>39.074199999999998</v>
      </c>
      <c r="D124">
        <v>21.824300000000001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1</v>
      </c>
      <c r="AO124">
        <v>3</v>
      </c>
      <c r="AP124">
        <v>4</v>
      </c>
      <c r="AQ124">
        <v>4</v>
      </c>
      <c r="AR124">
        <v>7</v>
      </c>
      <c r="AS124">
        <v>7</v>
      </c>
      <c r="AT124">
        <v>7</v>
      </c>
      <c r="AU124">
        <v>9</v>
      </c>
      <c r="AV124">
        <v>31</v>
      </c>
      <c r="AW124">
        <v>45</v>
      </c>
      <c r="AX124">
        <v>46</v>
      </c>
      <c r="AY124">
        <v>73</v>
      </c>
      <c r="AZ124">
        <v>73</v>
      </c>
      <c r="BA124">
        <v>89</v>
      </c>
      <c r="BB124">
        <v>99</v>
      </c>
      <c r="BC124">
        <v>99</v>
      </c>
      <c r="BD124">
        <v>190</v>
      </c>
      <c r="BE124">
        <v>228</v>
      </c>
      <c r="BF124">
        <v>331</v>
      </c>
      <c r="BG124">
        <v>331</v>
      </c>
      <c r="BH124">
        <v>387</v>
      </c>
      <c r="BI124">
        <v>418</v>
      </c>
      <c r="BJ124">
        <v>418</v>
      </c>
      <c r="BK124">
        <v>495</v>
      </c>
      <c r="BL124">
        <v>530</v>
      </c>
      <c r="BM124">
        <v>624</v>
      </c>
      <c r="BN124">
        <v>695</v>
      </c>
      <c r="BO124">
        <v>743</v>
      </c>
      <c r="BP124">
        <v>821</v>
      </c>
      <c r="BQ124">
        <v>892</v>
      </c>
      <c r="BR124">
        <v>966</v>
      </c>
      <c r="BS124">
        <v>1061</v>
      </c>
    </row>
    <row r="125" spans="1:71" x14ac:dyDescent="0.3">
      <c r="B125" t="s">
        <v>444</v>
      </c>
      <c r="C125">
        <v>15.7835</v>
      </c>
      <c r="D125">
        <v>-90.230800000000002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1</v>
      </c>
      <c r="BF125">
        <v>1</v>
      </c>
      <c r="BG125">
        <v>2</v>
      </c>
      <c r="BH125">
        <v>6</v>
      </c>
      <c r="BI125">
        <v>6</v>
      </c>
      <c r="BJ125">
        <v>9</v>
      </c>
      <c r="BK125">
        <v>12</v>
      </c>
      <c r="BL125">
        <v>17</v>
      </c>
      <c r="BM125">
        <v>19</v>
      </c>
      <c r="BN125">
        <v>20</v>
      </c>
      <c r="BO125">
        <v>21</v>
      </c>
      <c r="BP125">
        <v>24</v>
      </c>
      <c r="BQ125">
        <v>25</v>
      </c>
      <c r="BR125">
        <v>28</v>
      </c>
      <c r="BS125">
        <v>34</v>
      </c>
    </row>
    <row r="126" spans="1:71" x14ac:dyDescent="0.3">
      <c r="B126" t="s">
        <v>421</v>
      </c>
      <c r="C126">
        <v>9.9456000000000007</v>
      </c>
      <c r="D126">
        <v>-9.6966000000000001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1</v>
      </c>
      <c r="BE126">
        <v>1</v>
      </c>
      <c r="BF126">
        <v>1</v>
      </c>
      <c r="BG126">
        <v>1</v>
      </c>
      <c r="BH126">
        <v>1</v>
      </c>
      <c r="BI126">
        <v>1</v>
      </c>
      <c r="BJ126">
        <v>1</v>
      </c>
      <c r="BK126">
        <v>1</v>
      </c>
      <c r="BL126">
        <v>2</v>
      </c>
      <c r="BM126">
        <v>2</v>
      </c>
      <c r="BN126">
        <v>4</v>
      </c>
      <c r="BO126">
        <v>4</v>
      </c>
      <c r="BP126">
        <v>4</v>
      </c>
      <c r="BQ126">
        <v>4</v>
      </c>
      <c r="BR126">
        <v>8</v>
      </c>
      <c r="BS126">
        <v>8</v>
      </c>
    </row>
    <row r="127" spans="1:71" x14ac:dyDescent="0.3">
      <c r="B127" t="s">
        <v>411</v>
      </c>
      <c r="C127">
        <v>5</v>
      </c>
      <c r="D127">
        <v>-58.75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1</v>
      </c>
      <c r="BD127">
        <v>1</v>
      </c>
      <c r="BE127">
        <v>1</v>
      </c>
      <c r="BF127">
        <v>4</v>
      </c>
      <c r="BG127">
        <v>4</v>
      </c>
      <c r="BH127">
        <v>7</v>
      </c>
      <c r="BI127">
        <v>7</v>
      </c>
      <c r="BJ127">
        <v>7</v>
      </c>
      <c r="BK127">
        <v>7</v>
      </c>
      <c r="BL127">
        <v>7</v>
      </c>
      <c r="BM127">
        <v>19</v>
      </c>
      <c r="BN127">
        <v>20</v>
      </c>
      <c r="BO127">
        <v>5</v>
      </c>
      <c r="BP127">
        <v>5</v>
      </c>
      <c r="BQ127">
        <v>5</v>
      </c>
      <c r="BR127">
        <v>5</v>
      </c>
      <c r="BS127">
        <v>8</v>
      </c>
    </row>
    <row r="128" spans="1:71" x14ac:dyDescent="0.3">
      <c r="B128" t="s">
        <v>531</v>
      </c>
      <c r="C128">
        <v>18.9712</v>
      </c>
      <c r="D128">
        <v>-72.285200000000003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2</v>
      </c>
      <c r="BL128">
        <v>2</v>
      </c>
      <c r="BM128">
        <v>2</v>
      </c>
      <c r="BN128">
        <v>6</v>
      </c>
      <c r="BO128">
        <v>7</v>
      </c>
      <c r="BP128">
        <v>8</v>
      </c>
      <c r="BQ128">
        <v>8</v>
      </c>
      <c r="BR128">
        <v>8</v>
      </c>
      <c r="BS128">
        <v>8</v>
      </c>
    </row>
    <row r="129" spans="2:71" x14ac:dyDescent="0.3">
      <c r="B129" t="s">
        <v>281</v>
      </c>
      <c r="C129">
        <v>41.902900000000002</v>
      </c>
      <c r="D129">
        <v>12.4534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1</v>
      </c>
      <c r="AX129">
        <v>1</v>
      </c>
      <c r="AY129">
        <v>1</v>
      </c>
      <c r="AZ129">
        <v>1</v>
      </c>
      <c r="BA129">
        <v>1</v>
      </c>
      <c r="BB129">
        <v>1</v>
      </c>
      <c r="BC129">
        <v>1</v>
      </c>
      <c r="BD129">
        <v>1</v>
      </c>
      <c r="BE129">
        <v>1</v>
      </c>
      <c r="BF129">
        <v>1</v>
      </c>
      <c r="BG129">
        <v>1</v>
      </c>
      <c r="BH129">
        <v>1</v>
      </c>
      <c r="BI129">
        <v>1</v>
      </c>
      <c r="BJ129">
        <v>1</v>
      </c>
      <c r="BK129">
        <v>1</v>
      </c>
      <c r="BL129">
        <v>1</v>
      </c>
      <c r="BM129">
        <v>1</v>
      </c>
      <c r="BN129">
        <v>1</v>
      </c>
      <c r="BO129">
        <v>4</v>
      </c>
      <c r="BP129">
        <v>4</v>
      </c>
      <c r="BQ129">
        <v>4</v>
      </c>
      <c r="BR129">
        <v>4</v>
      </c>
      <c r="BS129">
        <v>6</v>
      </c>
    </row>
    <row r="130" spans="2:71" x14ac:dyDescent="0.3">
      <c r="B130" t="s">
        <v>348</v>
      </c>
      <c r="C130">
        <v>15.2</v>
      </c>
      <c r="D130">
        <v>-86.241900000000001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2</v>
      </c>
      <c r="BC130">
        <v>2</v>
      </c>
      <c r="BD130">
        <v>2</v>
      </c>
      <c r="BE130">
        <v>2</v>
      </c>
      <c r="BF130">
        <v>3</v>
      </c>
      <c r="BG130">
        <v>6</v>
      </c>
      <c r="BH130">
        <v>8</v>
      </c>
      <c r="BI130">
        <v>9</v>
      </c>
      <c r="BJ130">
        <v>12</v>
      </c>
      <c r="BK130">
        <v>24</v>
      </c>
      <c r="BL130">
        <v>24</v>
      </c>
      <c r="BM130">
        <v>26</v>
      </c>
      <c r="BN130">
        <v>30</v>
      </c>
      <c r="BO130">
        <v>30</v>
      </c>
      <c r="BP130">
        <v>36</v>
      </c>
      <c r="BQ130">
        <v>52</v>
      </c>
      <c r="BR130">
        <v>68</v>
      </c>
      <c r="BS130">
        <v>95</v>
      </c>
    </row>
    <row r="131" spans="2:71" x14ac:dyDescent="0.3">
      <c r="B131" t="s">
        <v>132</v>
      </c>
      <c r="C131">
        <v>47.162500000000001</v>
      </c>
      <c r="D131">
        <v>19.503299999999999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2</v>
      </c>
      <c r="AV131">
        <v>2</v>
      </c>
      <c r="AW131">
        <v>2</v>
      </c>
      <c r="AX131">
        <v>4</v>
      </c>
      <c r="AY131">
        <v>7</v>
      </c>
      <c r="AZ131">
        <v>9</v>
      </c>
      <c r="BA131">
        <v>9</v>
      </c>
      <c r="BB131">
        <v>13</v>
      </c>
      <c r="BC131">
        <v>13</v>
      </c>
      <c r="BD131">
        <v>19</v>
      </c>
      <c r="BE131">
        <v>30</v>
      </c>
      <c r="BF131">
        <v>32</v>
      </c>
      <c r="BG131">
        <v>39</v>
      </c>
      <c r="BH131">
        <v>50</v>
      </c>
      <c r="BI131">
        <v>58</v>
      </c>
      <c r="BJ131">
        <v>73</v>
      </c>
      <c r="BK131">
        <v>85</v>
      </c>
      <c r="BL131">
        <v>103</v>
      </c>
      <c r="BM131">
        <v>131</v>
      </c>
      <c r="BN131">
        <v>167</v>
      </c>
      <c r="BO131">
        <v>187</v>
      </c>
      <c r="BP131">
        <v>226</v>
      </c>
      <c r="BQ131">
        <v>261</v>
      </c>
      <c r="BR131">
        <v>300</v>
      </c>
      <c r="BS131">
        <v>343</v>
      </c>
    </row>
    <row r="132" spans="2:71" x14ac:dyDescent="0.3">
      <c r="B132" t="s">
        <v>92</v>
      </c>
      <c r="C132">
        <v>64.963099999999997</v>
      </c>
      <c r="D132">
        <v>-19.020800000000001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1</v>
      </c>
      <c r="AQ132">
        <v>1</v>
      </c>
      <c r="AR132">
        <v>3</v>
      </c>
      <c r="AS132">
        <v>6</v>
      </c>
      <c r="AT132">
        <v>11</v>
      </c>
      <c r="AU132">
        <v>26</v>
      </c>
      <c r="AV132">
        <v>34</v>
      </c>
      <c r="AW132">
        <v>43</v>
      </c>
      <c r="AX132">
        <v>50</v>
      </c>
      <c r="AY132">
        <v>50</v>
      </c>
      <c r="AZ132">
        <v>58</v>
      </c>
      <c r="BA132">
        <v>69</v>
      </c>
      <c r="BB132">
        <v>85</v>
      </c>
      <c r="BC132">
        <v>103</v>
      </c>
      <c r="BD132">
        <v>134</v>
      </c>
      <c r="BE132">
        <v>156</v>
      </c>
      <c r="BF132">
        <v>171</v>
      </c>
      <c r="BG132">
        <v>180</v>
      </c>
      <c r="BH132">
        <v>220</v>
      </c>
      <c r="BI132">
        <v>250</v>
      </c>
      <c r="BJ132">
        <v>330</v>
      </c>
      <c r="BK132">
        <v>409</v>
      </c>
      <c r="BL132">
        <v>473</v>
      </c>
      <c r="BM132">
        <v>568</v>
      </c>
      <c r="BN132">
        <v>588</v>
      </c>
      <c r="BO132">
        <v>648</v>
      </c>
      <c r="BP132">
        <v>737</v>
      </c>
      <c r="BQ132">
        <v>802</v>
      </c>
      <c r="BR132">
        <v>890</v>
      </c>
      <c r="BS132">
        <v>963</v>
      </c>
    </row>
    <row r="133" spans="2:71" x14ac:dyDescent="0.3">
      <c r="B133" t="s">
        <v>57</v>
      </c>
      <c r="C133">
        <v>21</v>
      </c>
      <c r="D133">
        <v>78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1</v>
      </c>
      <c r="N133">
        <v>1</v>
      </c>
      <c r="O133">
        <v>1</v>
      </c>
      <c r="P133">
        <v>2</v>
      </c>
      <c r="Q133">
        <v>3</v>
      </c>
      <c r="R133">
        <v>3</v>
      </c>
      <c r="S133">
        <v>3</v>
      </c>
      <c r="T133">
        <v>3</v>
      </c>
      <c r="U133">
        <v>3</v>
      </c>
      <c r="V133">
        <v>3</v>
      </c>
      <c r="W133">
        <v>3</v>
      </c>
      <c r="X133">
        <v>3</v>
      </c>
      <c r="Y133">
        <v>3</v>
      </c>
      <c r="Z133">
        <v>3</v>
      </c>
      <c r="AA133">
        <v>3</v>
      </c>
      <c r="AB133">
        <v>3</v>
      </c>
      <c r="AC133">
        <v>3</v>
      </c>
      <c r="AD133">
        <v>3</v>
      </c>
      <c r="AE133">
        <v>3</v>
      </c>
      <c r="AF133">
        <v>3</v>
      </c>
      <c r="AG133">
        <v>3</v>
      </c>
      <c r="AH133">
        <v>3</v>
      </c>
      <c r="AI133">
        <v>3</v>
      </c>
      <c r="AJ133">
        <v>3</v>
      </c>
      <c r="AK133">
        <v>3</v>
      </c>
      <c r="AL133">
        <v>3</v>
      </c>
      <c r="AM133">
        <v>3</v>
      </c>
      <c r="AN133">
        <v>3</v>
      </c>
      <c r="AO133">
        <v>3</v>
      </c>
      <c r="AP133">
        <v>3</v>
      </c>
      <c r="AQ133">
        <v>3</v>
      </c>
      <c r="AR133">
        <v>3</v>
      </c>
      <c r="AS133">
        <v>5</v>
      </c>
      <c r="AT133">
        <v>5</v>
      </c>
      <c r="AU133">
        <v>28</v>
      </c>
      <c r="AV133">
        <v>30</v>
      </c>
      <c r="AW133">
        <v>31</v>
      </c>
      <c r="AX133">
        <v>34</v>
      </c>
      <c r="AY133">
        <v>39</v>
      </c>
      <c r="AZ133">
        <v>43</v>
      </c>
      <c r="BA133">
        <v>56</v>
      </c>
      <c r="BB133">
        <v>62</v>
      </c>
      <c r="BC133">
        <v>73</v>
      </c>
      <c r="BD133">
        <v>82</v>
      </c>
      <c r="BE133">
        <v>102</v>
      </c>
      <c r="BF133">
        <v>113</v>
      </c>
      <c r="BG133">
        <v>119</v>
      </c>
      <c r="BH133">
        <v>142</v>
      </c>
      <c r="BI133">
        <v>156</v>
      </c>
      <c r="BJ133">
        <v>194</v>
      </c>
      <c r="BK133">
        <v>244</v>
      </c>
      <c r="BL133">
        <v>330</v>
      </c>
      <c r="BM133">
        <v>396</v>
      </c>
      <c r="BN133">
        <v>499</v>
      </c>
      <c r="BO133">
        <v>536</v>
      </c>
      <c r="BP133">
        <v>657</v>
      </c>
      <c r="BQ133">
        <v>727</v>
      </c>
      <c r="BR133">
        <v>887</v>
      </c>
      <c r="BS133">
        <v>987</v>
      </c>
    </row>
    <row r="134" spans="2:71" x14ac:dyDescent="0.3">
      <c r="B134" t="s">
        <v>107</v>
      </c>
      <c r="C134">
        <v>-0.7893</v>
      </c>
      <c r="D134">
        <v>113.9213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2</v>
      </c>
      <c r="AT134">
        <v>2</v>
      </c>
      <c r="AU134">
        <v>2</v>
      </c>
      <c r="AV134">
        <v>2</v>
      </c>
      <c r="AW134">
        <v>4</v>
      </c>
      <c r="AX134">
        <v>4</v>
      </c>
      <c r="AY134">
        <v>6</v>
      </c>
      <c r="AZ134">
        <v>19</v>
      </c>
      <c r="BA134">
        <v>27</v>
      </c>
      <c r="BB134">
        <v>34</v>
      </c>
      <c r="BC134">
        <v>34</v>
      </c>
      <c r="BD134">
        <v>69</v>
      </c>
      <c r="BE134">
        <v>96</v>
      </c>
      <c r="BF134">
        <v>117</v>
      </c>
      <c r="BG134">
        <v>134</v>
      </c>
      <c r="BH134">
        <v>172</v>
      </c>
      <c r="BI134">
        <v>227</v>
      </c>
      <c r="BJ134">
        <v>311</v>
      </c>
      <c r="BK134">
        <v>369</v>
      </c>
      <c r="BL134">
        <v>450</v>
      </c>
      <c r="BM134">
        <v>514</v>
      </c>
      <c r="BN134">
        <v>579</v>
      </c>
      <c r="BO134">
        <v>686</v>
      </c>
      <c r="BP134">
        <v>790</v>
      </c>
      <c r="BQ134">
        <v>893</v>
      </c>
      <c r="BR134">
        <v>1046</v>
      </c>
      <c r="BS134">
        <v>1155</v>
      </c>
    </row>
    <row r="135" spans="2:71" x14ac:dyDescent="0.3">
      <c r="B135" t="s">
        <v>338</v>
      </c>
      <c r="C135">
        <v>32</v>
      </c>
      <c r="D135">
        <v>53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2</v>
      </c>
      <c r="AH135">
        <v>5</v>
      </c>
      <c r="AI135">
        <v>18</v>
      </c>
      <c r="AJ135">
        <v>28</v>
      </c>
      <c r="AK135">
        <v>43</v>
      </c>
      <c r="AL135">
        <v>61</v>
      </c>
      <c r="AM135">
        <v>95</v>
      </c>
      <c r="AN135">
        <v>139</v>
      </c>
      <c r="AO135">
        <v>245</v>
      </c>
      <c r="AP135">
        <v>388</v>
      </c>
      <c r="AQ135">
        <v>593</v>
      </c>
      <c r="AR135">
        <v>978</v>
      </c>
      <c r="AS135">
        <v>1501</v>
      </c>
      <c r="AT135">
        <v>2336</v>
      </c>
      <c r="AU135">
        <v>2922</v>
      </c>
      <c r="AV135">
        <v>3513</v>
      </c>
      <c r="AW135">
        <v>4747</v>
      </c>
      <c r="AX135">
        <v>5823</v>
      </c>
      <c r="AY135">
        <v>6566</v>
      </c>
      <c r="AZ135">
        <v>7161</v>
      </c>
      <c r="BA135">
        <v>8042</v>
      </c>
      <c r="BB135">
        <v>9000</v>
      </c>
      <c r="BC135">
        <v>10075</v>
      </c>
      <c r="BD135">
        <v>11364</v>
      </c>
      <c r="BE135">
        <v>12729</v>
      </c>
      <c r="BF135">
        <v>13938</v>
      </c>
      <c r="BG135">
        <v>14991</v>
      </c>
      <c r="BH135">
        <v>16169</v>
      </c>
      <c r="BI135">
        <v>17361</v>
      </c>
      <c r="BJ135">
        <v>18407</v>
      </c>
      <c r="BK135">
        <v>19644</v>
      </c>
      <c r="BL135">
        <v>20610</v>
      </c>
      <c r="BM135">
        <v>21638</v>
      </c>
      <c r="BN135">
        <v>23049</v>
      </c>
      <c r="BO135">
        <v>24811</v>
      </c>
      <c r="BP135">
        <v>27017</v>
      </c>
      <c r="BQ135">
        <v>29406</v>
      </c>
      <c r="BR135">
        <v>32332</v>
      </c>
      <c r="BS135">
        <v>35408</v>
      </c>
    </row>
    <row r="136" spans="2:71" x14ac:dyDescent="0.3">
      <c r="B136" t="s">
        <v>70</v>
      </c>
      <c r="C136">
        <v>33</v>
      </c>
      <c r="D136">
        <v>44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1</v>
      </c>
      <c r="AM136">
        <v>1</v>
      </c>
      <c r="AN136">
        <v>5</v>
      </c>
      <c r="AO136">
        <v>7</v>
      </c>
      <c r="AP136">
        <v>7</v>
      </c>
      <c r="AQ136">
        <v>13</v>
      </c>
      <c r="AR136">
        <v>19</v>
      </c>
      <c r="AS136">
        <v>26</v>
      </c>
      <c r="AT136">
        <v>32</v>
      </c>
      <c r="AU136">
        <v>35</v>
      </c>
      <c r="AV136">
        <v>35</v>
      </c>
      <c r="AW136">
        <v>40</v>
      </c>
      <c r="AX136">
        <v>54</v>
      </c>
      <c r="AY136">
        <v>60</v>
      </c>
      <c r="AZ136">
        <v>60</v>
      </c>
      <c r="BA136">
        <v>71</v>
      </c>
      <c r="BB136">
        <v>71</v>
      </c>
      <c r="BC136">
        <v>71</v>
      </c>
      <c r="BD136">
        <v>101</v>
      </c>
      <c r="BE136">
        <v>110</v>
      </c>
      <c r="BF136">
        <v>116</v>
      </c>
      <c r="BG136">
        <v>124</v>
      </c>
      <c r="BH136">
        <v>154</v>
      </c>
      <c r="BI136">
        <v>164</v>
      </c>
      <c r="BJ136">
        <v>192</v>
      </c>
      <c r="BK136">
        <v>208</v>
      </c>
      <c r="BL136">
        <v>214</v>
      </c>
      <c r="BM136">
        <v>233</v>
      </c>
      <c r="BN136">
        <v>266</v>
      </c>
      <c r="BO136">
        <v>316</v>
      </c>
      <c r="BP136">
        <v>346</v>
      </c>
      <c r="BQ136">
        <v>382</v>
      </c>
      <c r="BR136">
        <v>458</v>
      </c>
      <c r="BS136">
        <v>506</v>
      </c>
    </row>
    <row r="137" spans="2:71" x14ac:dyDescent="0.3">
      <c r="B137" t="s">
        <v>98</v>
      </c>
      <c r="C137">
        <v>53.142400000000002</v>
      </c>
      <c r="D137">
        <v>-7.6920999999999999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1</v>
      </c>
      <c r="AR137">
        <v>1</v>
      </c>
      <c r="AS137">
        <v>1</v>
      </c>
      <c r="AT137">
        <v>2</v>
      </c>
      <c r="AU137">
        <v>6</v>
      </c>
      <c r="AV137">
        <v>6</v>
      </c>
      <c r="AW137">
        <v>18</v>
      </c>
      <c r="AX137">
        <v>18</v>
      </c>
      <c r="AY137">
        <v>19</v>
      </c>
      <c r="AZ137">
        <v>21</v>
      </c>
      <c r="BA137">
        <v>34</v>
      </c>
      <c r="BB137">
        <v>43</v>
      </c>
      <c r="BC137">
        <v>43</v>
      </c>
      <c r="BD137">
        <v>90</v>
      </c>
      <c r="BE137">
        <v>129</v>
      </c>
      <c r="BF137">
        <v>129</v>
      </c>
      <c r="BG137">
        <v>169</v>
      </c>
      <c r="BH137">
        <v>223</v>
      </c>
      <c r="BI137">
        <v>292</v>
      </c>
      <c r="BJ137">
        <v>557</v>
      </c>
      <c r="BK137">
        <v>683</v>
      </c>
      <c r="BL137">
        <v>785</v>
      </c>
      <c r="BM137">
        <v>906</v>
      </c>
      <c r="BN137">
        <v>1125</v>
      </c>
      <c r="BO137">
        <v>1329</v>
      </c>
      <c r="BP137">
        <v>1564</v>
      </c>
      <c r="BQ137">
        <v>1819</v>
      </c>
      <c r="BR137">
        <v>2121</v>
      </c>
      <c r="BS137">
        <v>2415</v>
      </c>
    </row>
    <row r="138" spans="2:71" x14ac:dyDescent="0.3">
      <c r="B138" t="s">
        <v>79</v>
      </c>
      <c r="C138">
        <v>31</v>
      </c>
      <c r="D138">
        <v>35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1</v>
      </c>
      <c r="AJ138">
        <v>1</v>
      </c>
      <c r="AK138">
        <v>1</v>
      </c>
      <c r="AL138">
        <v>1</v>
      </c>
      <c r="AM138">
        <v>1</v>
      </c>
      <c r="AN138">
        <v>2</v>
      </c>
      <c r="AO138">
        <v>3</v>
      </c>
      <c r="AP138">
        <v>4</v>
      </c>
      <c r="AQ138">
        <v>7</v>
      </c>
      <c r="AR138">
        <v>10</v>
      </c>
      <c r="AS138">
        <v>10</v>
      </c>
      <c r="AT138">
        <v>12</v>
      </c>
      <c r="AU138">
        <v>15</v>
      </c>
      <c r="AV138">
        <v>20</v>
      </c>
      <c r="AW138">
        <v>37</v>
      </c>
      <c r="AX138">
        <v>43</v>
      </c>
      <c r="AY138">
        <v>61</v>
      </c>
      <c r="AZ138">
        <v>61</v>
      </c>
      <c r="BA138">
        <v>75</v>
      </c>
      <c r="BB138">
        <v>79</v>
      </c>
      <c r="BC138">
        <v>100</v>
      </c>
      <c r="BD138">
        <v>126</v>
      </c>
      <c r="BE138">
        <v>155</v>
      </c>
      <c r="BF138">
        <v>213</v>
      </c>
      <c r="BG138">
        <v>218</v>
      </c>
      <c r="BH138">
        <v>250</v>
      </c>
      <c r="BI138">
        <v>304</v>
      </c>
      <c r="BJ138">
        <v>427</v>
      </c>
      <c r="BK138">
        <v>529</v>
      </c>
      <c r="BL138">
        <v>712</v>
      </c>
      <c r="BM138">
        <v>883</v>
      </c>
      <c r="BN138">
        <v>1071</v>
      </c>
      <c r="BO138">
        <v>1238</v>
      </c>
      <c r="BP138">
        <v>2369</v>
      </c>
      <c r="BQ138">
        <v>2693</v>
      </c>
      <c r="BR138">
        <v>3035</v>
      </c>
      <c r="BS138">
        <v>3619</v>
      </c>
    </row>
    <row r="139" spans="2:71" x14ac:dyDescent="0.3">
      <c r="B139" t="s">
        <v>58</v>
      </c>
      <c r="C139">
        <v>43</v>
      </c>
      <c r="D139">
        <v>12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2</v>
      </c>
      <c r="O139">
        <v>2</v>
      </c>
      <c r="P139">
        <v>2</v>
      </c>
      <c r="Q139">
        <v>2</v>
      </c>
      <c r="R139">
        <v>2</v>
      </c>
      <c r="S139">
        <v>2</v>
      </c>
      <c r="T139">
        <v>2</v>
      </c>
      <c r="U139">
        <v>3</v>
      </c>
      <c r="V139">
        <v>3</v>
      </c>
      <c r="W139">
        <v>3</v>
      </c>
      <c r="X139">
        <v>3</v>
      </c>
      <c r="Y139">
        <v>3</v>
      </c>
      <c r="Z139">
        <v>3</v>
      </c>
      <c r="AA139">
        <v>3</v>
      </c>
      <c r="AB139">
        <v>3</v>
      </c>
      <c r="AC139">
        <v>3</v>
      </c>
      <c r="AD139">
        <v>3</v>
      </c>
      <c r="AE139">
        <v>3</v>
      </c>
      <c r="AF139">
        <v>3</v>
      </c>
      <c r="AG139">
        <v>3</v>
      </c>
      <c r="AH139">
        <v>3</v>
      </c>
      <c r="AI139">
        <v>20</v>
      </c>
      <c r="AJ139">
        <v>62</v>
      </c>
      <c r="AK139">
        <v>155</v>
      </c>
      <c r="AL139">
        <v>229</v>
      </c>
      <c r="AM139">
        <v>322</v>
      </c>
      <c r="AN139">
        <v>453</v>
      </c>
      <c r="AO139">
        <v>655</v>
      </c>
      <c r="AP139">
        <v>888</v>
      </c>
      <c r="AQ139">
        <v>1128</v>
      </c>
      <c r="AR139">
        <v>1694</v>
      </c>
      <c r="AS139">
        <v>2036</v>
      </c>
      <c r="AT139">
        <v>2502</v>
      </c>
      <c r="AU139">
        <v>3089</v>
      </c>
      <c r="AV139">
        <v>3858</v>
      </c>
      <c r="AW139">
        <v>4636</v>
      </c>
      <c r="AX139">
        <v>5883</v>
      </c>
      <c r="AY139">
        <v>7375</v>
      </c>
      <c r="AZ139">
        <v>9172</v>
      </c>
      <c r="BA139">
        <v>10149</v>
      </c>
      <c r="BB139">
        <v>12462</v>
      </c>
      <c r="BC139">
        <v>12462</v>
      </c>
      <c r="BD139">
        <v>17660</v>
      </c>
      <c r="BE139">
        <v>21157</v>
      </c>
      <c r="BF139">
        <v>24747</v>
      </c>
      <c r="BG139">
        <v>27980</v>
      </c>
      <c r="BH139">
        <v>31506</v>
      </c>
      <c r="BI139">
        <v>35713</v>
      </c>
      <c r="BJ139">
        <v>41035</v>
      </c>
      <c r="BK139">
        <v>47021</v>
      </c>
      <c r="BL139">
        <v>53578</v>
      </c>
      <c r="BM139">
        <v>59138</v>
      </c>
      <c r="BN139">
        <v>63927</v>
      </c>
      <c r="BO139">
        <v>69176</v>
      </c>
      <c r="BP139">
        <v>74386</v>
      </c>
      <c r="BQ139">
        <v>80589</v>
      </c>
      <c r="BR139">
        <v>86498</v>
      </c>
      <c r="BS139">
        <v>92472</v>
      </c>
    </row>
    <row r="140" spans="2:71" x14ac:dyDescent="0.3">
      <c r="B140" t="s">
        <v>353</v>
      </c>
      <c r="C140">
        <v>18.1096</v>
      </c>
      <c r="D140">
        <v>-77.297499999999999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1</v>
      </c>
      <c r="BC140">
        <v>2</v>
      </c>
      <c r="BD140">
        <v>8</v>
      </c>
      <c r="BE140">
        <v>8</v>
      </c>
      <c r="BF140">
        <v>10</v>
      </c>
      <c r="BG140">
        <v>10</v>
      </c>
      <c r="BH140">
        <v>12</v>
      </c>
      <c r="BI140">
        <v>13</v>
      </c>
      <c r="BJ140">
        <v>15</v>
      </c>
      <c r="BK140">
        <v>16</v>
      </c>
      <c r="BL140">
        <v>16</v>
      </c>
      <c r="BM140">
        <v>19</v>
      </c>
      <c r="BN140">
        <v>19</v>
      </c>
      <c r="BO140">
        <v>21</v>
      </c>
      <c r="BP140">
        <v>26</v>
      </c>
      <c r="BQ140">
        <v>26</v>
      </c>
      <c r="BR140">
        <v>26</v>
      </c>
      <c r="BS140">
        <v>30</v>
      </c>
    </row>
    <row r="141" spans="2:71" x14ac:dyDescent="0.3">
      <c r="B141" t="s">
        <v>36</v>
      </c>
      <c r="C141">
        <v>36</v>
      </c>
      <c r="D141">
        <v>138</v>
      </c>
      <c r="E141">
        <v>2</v>
      </c>
      <c r="F141">
        <v>2</v>
      </c>
      <c r="G141">
        <v>2</v>
      </c>
      <c r="H141">
        <v>2</v>
      </c>
      <c r="I141">
        <v>4</v>
      </c>
      <c r="J141">
        <v>4</v>
      </c>
      <c r="K141">
        <v>7</v>
      </c>
      <c r="L141">
        <v>7</v>
      </c>
      <c r="M141">
        <v>11</v>
      </c>
      <c r="N141">
        <v>15</v>
      </c>
      <c r="O141">
        <v>20</v>
      </c>
      <c r="P141">
        <v>20</v>
      </c>
      <c r="Q141">
        <v>20</v>
      </c>
      <c r="R141">
        <v>22</v>
      </c>
      <c r="S141">
        <v>22</v>
      </c>
      <c r="T141">
        <v>22</v>
      </c>
      <c r="U141">
        <v>25</v>
      </c>
      <c r="V141">
        <v>25</v>
      </c>
      <c r="W141">
        <v>26</v>
      </c>
      <c r="X141">
        <v>26</v>
      </c>
      <c r="Y141">
        <v>26</v>
      </c>
      <c r="Z141">
        <v>28</v>
      </c>
      <c r="AA141">
        <v>28</v>
      </c>
      <c r="AB141">
        <v>29</v>
      </c>
      <c r="AC141">
        <v>43</v>
      </c>
      <c r="AD141">
        <v>59</v>
      </c>
      <c r="AE141">
        <v>66</v>
      </c>
      <c r="AF141">
        <v>74</v>
      </c>
      <c r="AG141">
        <v>84</v>
      </c>
      <c r="AH141">
        <v>94</v>
      </c>
      <c r="AI141">
        <v>105</v>
      </c>
      <c r="AJ141">
        <v>122</v>
      </c>
      <c r="AK141">
        <v>147</v>
      </c>
      <c r="AL141">
        <v>159</v>
      </c>
      <c r="AM141">
        <v>170</v>
      </c>
      <c r="AN141">
        <v>189</v>
      </c>
      <c r="AO141">
        <v>214</v>
      </c>
      <c r="AP141">
        <v>228</v>
      </c>
      <c r="AQ141">
        <v>241</v>
      </c>
      <c r="AR141">
        <v>256</v>
      </c>
      <c r="AS141">
        <v>274</v>
      </c>
      <c r="AT141">
        <v>293</v>
      </c>
      <c r="AU141">
        <v>331</v>
      </c>
      <c r="AV141">
        <v>360</v>
      </c>
      <c r="AW141">
        <v>420</v>
      </c>
      <c r="AX141">
        <v>461</v>
      </c>
      <c r="AY141">
        <v>502</v>
      </c>
      <c r="AZ141">
        <v>511</v>
      </c>
      <c r="BA141">
        <v>581</v>
      </c>
      <c r="BB141">
        <v>639</v>
      </c>
      <c r="BC141">
        <v>639</v>
      </c>
      <c r="BD141">
        <v>701</v>
      </c>
      <c r="BE141">
        <v>773</v>
      </c>
      <c r="BF141">
        <v>839</v>
      </c>
      <c r="BG141">
        <v>839</v>
      </c>
      <c r="BH141">
        <v>878</v>
      </c>
      <c r="BI141">
        <v>889</v>
      </c>
      <c r="BJ141">
        <v>924</v>
      </c>
      <c r="BK141">
        <v>963</v>
      </c>
      <c r="BL141">
        <v>1007</v>
      </c>
      <c r="BM141">
        <v>1101</v>
      </c>
      <c r="BN141">
        <v>1128</v>
      </c>
      <c r="BO141">
        <v>1193</v>
      </c>
      <c r="BP141">
        <v>1307</v>
      </c>
      <c r="BQ141">
        <v>1387</v>
      </c>
      <c r="BR141">
        <v>1468</v>
      </c>
      <c r="BS141">
        <v>1693</v>
      </c>
    </row>
    <row r="142" spans="2:71" x14ac:dyDescent="0.3">
      <c r="B142" t="s">
        <v>125</v>
      </c>
      <c r="C142">
        <v>31.24</v>
      </c>
      <c r="D142">
        <v>36.51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1</v>
      </c>
      <c r="AU142">
        <v>1</v>
      </c>
      <c r="AV142">
        <v>1</v>
      </c>
      <c r="AW142">
        <v>1</v>
      </c>
      <c r="AX142">
        <v>1</v>
      </c>
      <c r="AY142">
        <v>1</v>
      </c>
      <c r="AZ142">
        <v>1</v>
      </c>
      <c r="BA142">
        <v>1</v>
      </c>
      <c r="BB142">
        <v>1</v>
      </c>
      <c r="BC142">
        <v>1</v>
      </c>
      <c r="BD142">
        <v>1</v>
      </c>
      <c r="BE142">
        <v>1</v>
      </c>
      <c r="BF142">
        <v>8</v>
      </c>
      <c r="BG142">
        <v>17</v>
      </c>
      <c r="BH142">
        <v>34</v>
      </c>
      <c r="BI142">
        <v>52</v>
      </c>
      <c r="BJ142">
        <v>69</v>
      </c>
      <c r="BK142">
        <v>85</v>
      </c>
      <c r="BL142">
        <v>85</v>
      </c>
      <c r="BM142">
        <v>112</v>
      </c>
      <c r="BN142">
        <v>127</v>
      </c>
      <c r="BO142">
        <v>154</v>
      </c>
      <c r="BP142">
        <v>172</v>
      </c>
      <c r="BQ142">
        <v>212</v>
      </c>
      <c r="BR142">
        <v>235</v>
      </c>
      <c r="BS142">
        <v>246</v>
      </c>
    </row>
    <row r="143" spans="2:71" x14ac:dyDescent="0.3">
      <c r="B143" t="s">
        <v>413</v>
      </c>
      <c r="C143">
        <v>48.019599999999997</v>
      </c>
      <c r="D143">
        <v>66.923699999999997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4</v>
      </c>
      <c r="BE143">
        <v>6</v>
      </c>
      <c r="BF143">
        <v>9</v>
      </c>
      <c r="BG143">
        <v>10</v>
      </c>
      <c r="BH143">
        <v>33</v>
      </c>
      <c r="BI143">
        <v>35</v>
      </c>
      <c r="BJ143">
        <v>44</v>
      </c>
      <c r="BK143">
        <v>49</v>
      </c>
      <c r="BL143">
        <v>53</v>
      </c>
      <c r="BM143">
        <v>60</v>
      </c>
      <c r="BN143">
        <v>62</v>
      </c>
      <c r="BO143">
        <v>72</v>
      </c>
      <c r="BP143">
        <v>81</v>
      </c>
      <c r="BQ143">
        <v>111</v>
      </c>
      <c r="BR143">
        <v>150</v>
      </c>
      <c r="BS143">
        <v>228</v>
      </c>
    </row>
    <row r="144" spans="2:71" x14ac:dyDescent="0.3">
      <c r="B144" t="s">
        <v>423</v>
      </c>
      <c r="C144">
        <v>-2.3599999999999999E-2</v>
      </c>
      <c r="D144">
        <v>37.906199999999998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1</v>
      </c>
      <c r="BE144">
        <v>1</v>
      </c>
      <c r="BF144">
        <v>3</v>
      </c>
      <c r="BG144">
        <v>3</v>
      </c>
      <c r="BH144">
        <v>3</v>
      </c>
      <c r="BI144">
        <v>3</v>
      </c>
      <c r="BJ144">
        <v>7</v>
      </c>
      <c r="BK144">
        <v>7</v>
      </c>
      <c r="BL144">
        <v>7</v>
      </c>
      <c r="BM144">
        <v>15</v>
      </c>
      <c r="BN144">
        <v>16</v>
      </c>
      <c r="BO144">
        <v>25</v>
      </c>
      <c r="BP144">
        <v>28</v>
      </c>
      <c r="BQ144">
        <v>31</v>
      </c>
      <c r="BR144">
        <v>31</v>
      </c>
      <c r="BS144">
        <v>38</v>
      </c>
    </row>
    <row r="145" spans="2:71" x14ac:dyDescent="0.3">
      <c r="B145" t="s">
        <v>339</v>
      </c>
      <c r="C145">
        <v>36</v>
      </c>
      <c r="D145">
        <v>128</v>
      </c>
      <c r="E145">
        <v>1</v>
      </c>
      <c r="F145">
        <v>1</v>
      </c>
      <c r="G145">
        <v>2</v>
      </c>
      <c r="H145">
        <v>2</v>
      </c>
      <c r="I145">
        <v>3</v>
      </c>
      <c r="J145">
        <v>4</v>
      </c>
      <c r="K145">
        <v>4</v>
      </c>
      <c r="L145">
        <v>4</v>
      </c>
      <c r="M145">
        <v>4</v>
      </c>
      <c r="N145">
        <v>11</v>
      </c>
      <c r="O145">
        <v>12</v>
      </c>
      <c r="P145">
        <v>15</v>
      </c>
      <c r="Q145">
        <v>15</v>
      </c>
      <c r="R145">
        <v>16</v>
      </c>
      <c r="S145">
        <v>19</v>
      </c>
      <c r="T145">
        <v>23</v>
      </c>
      <c r="U145">
        <v>24</v>
      </c>
      <c r="V145">
        <v>24</v>
      </c>
      <c r="W145">
        <v>25</v>
      </c>
      <c r="X145">
        <v>27</v>
      </c>
      <c r="Y145">
        <v>28</v>
      </c>
      <c r="Z145">
        <v>28</v>
      </c>
      <c r="AA145">
        <v>28</v>
      </c>
      <c r="AB145">
        <v>28</v>
      </c>
      <c r="AC145">
        <v>28</v>
      </c>
      <c r="AD145">
        <v>29</v>
      </c>
      <c r="AE145">
        <v>30</v>
      </c>
      <c r="AF145">
        <v>31</v>
      </c>
      <c r="AG145">
        <v>31</v>
      </c>
      <c r="AH145">
        <v>104</v>
      </c>
      <c r="AI145">
        <v>204</v>
      </c>
      <c r="AJ145">
        <v>433</v>
      </c>
      <c r="AK145">
        <v>602</v>
      </c>
      <c r="AL145">
        <v>833</v>
      </c>
      <c r="AM145">
        <v>977</v>
      </c>
      <c r="AN145">
        <v>1261</v>
      </c>
      <c r="AO145">
        <v>1766</v>
      </c>
      <c r="AP145">
        <v>2337</v>
      </c>
      <c r="AQ145">
        <v>3150</v>
      </c>
      <c r="AR145">
        <v>3736</v>
      </c>
      <c r="AS145">
        <v>4335</v>
      </c>
      <c r="AT145">
        <v>5186</v>
      </c>
      <c r="AU145">
        <v>5621</v>
      </c>
      <c r="AV145">
        <v>6088</v>
      </c>
      <c r="AW145">
        <v>6593</v>
      </c>
      <c r="AX145">
        <v>7041</v>
      </c>
      <c r="AY145">
        <v>7314</v>
      </c>
      <c r="AZ145">
        <v>7478</v>
      </c>
      <c r="BA145">
        <v>7513</v>
      </c>
      <c r="BB145">
        <v>7755</v>
      </c>
      <c r="BC145">
        <v>7869</v>
      </c>
      <c r="BD145">
        <v>7979</v>
      </c>
      <c r="BE145">
        <v>8086</v>
      </c>
      <c r="BF145">
        <v>8162</v>
      </c>
      <c r="BG145">
        <v>8236</v>
      </c>
      <c r="BH145">
        <v>8320</v>
      </c>
      <c r="BI145">
        <v>8413</v>
      </c>
      <c r="BJ145">
        <v>8565</v>
      </c>
      <c r="BK145">
        <v>8652</v>
      </c>
      <c r="BL145">
        <v>8799</v>
      </c>
      <c r="BM145">
        <v>8961</v>
      </c>
      <c r="BN145">
        <v>8961</v>
      </c>
      <c r="BO145">
        <v>9037</v>
      </c>
      <c r="BP145">
        <v>9137</v>
      </c>
      <c r="BQ145">
        <v>9241</v>
      </c>
      <c r="BR145">
        <v>9332</v>
      </c>
      <c r="BS145">
        <v>9478</v>
      </c>
    </row>
    <row r="146" spans="2:71" x14ac:dyDescent="0.3">
      <c r="B146" t="s">
        <v>74</v>
      </c>
      <c r="C146">
        <v>29.5</v>
      </c>
      <c r="D146">
        <v>47.75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1</v>
      </c>
      <c r="AM146">
        <v>11</v>
      </c>
      <c r="AN146">
        <v>26</v>
      </c>
      <c r="AO146">
        <v>43</v>
      </c>
      <c r="AP146">
        <v>45</v>
      </c>
      <c r="AQ146">
        <v>45</v>
      </c>
      <c r="AR146">
        <v>45</v>
      </c>
      <c r="AS146">
        <v>56</v>
      </c>
      <c r="AT146">
        <v>56</v>
      </c>
      <c r="AU146">
        <v>56</v>
      </c>
      <c r="AV146">
        <v>58</v>
      </c>
      <c r="AW146">
        <v>58</v>
      </c>
      <c r="AX146">
        <v>61</v>
      </c>
      <c r="AY146">
        <v>64</v>
      </c>
      <c r="AZ146">
        <v>64</v>
      </c>
      <c r="BA146">
        <v>69</v>
      </c>
      <c r="BB146">
        <v>72</v>
      </c>
      <c r="BC146">
        <v>80</v>
      </c>
      <c r="BD146">
        <v>80</v>
      </c>
      <c r="BE146">
        <v>104</v>
      </c>
      <c r="BF146">
        <v>112</v>
      </c>
      <c r="BG146">
        <v>123</v>
      </c>
      <c r="BH146">
        <v>130</v>
      </c>
      <c r="BI146">
        <v>142</v>
      </c>
      <c r="BJ146">
        <v>148</v>
      </c>
      <c r="BK146">
        <v>159</v>
      </c>
      <c r="BL146">
        <v>176</v>
      </c>
      <c r="BM146">
        <v>188</v>
      </c>
      <c r="BN146">
        <v>189</v>
      </c>
      <c r="BO146">
        <v>191</v>
      </c>
      <c r="BP146">
        <v>195</v>
      </c>
      <c r="BQ146">
        <v>208</v>
      </c>
      <c r="BR146">
        <v>225</v>
      </c>
      <c r="BS146">
        <v>235</v>
      </c>
    </row>
    <row r="147" spans="2:71" x14ac:dyDescent="0.3">
      <c r="B147" t="s">
        <v>481</v>
      </c>
      <c r="C147">
        <v>41.2044</v>
      </c>
      <c r="D147">
        <v>74.766099999999994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3</v>
      </c>
      <c r="BJ147">
        <v>3</v>
      </c>
      <c r="BK147">
        <v>6</v>
      </c>
      <c r="BL147">
        <v>14</v>
      </c>
      <c r="BM147">
        <v>14</v>
      </c>
      <c r="BN147">
        <v>16</v>
      </c>
      <c r="BO147">
        <v>42</v>
      </c>
      <c r="BP147">
        <v>44</v>
      </c>
      <c r="BQ147">
        <v>44</v>
      </c>
      <c r="BR147">
        <v>58</v>
      </c>
      <c r="BS147">
        <v>58</v>
      </c>
    </row>
    <row r="148" spans="2:71" x14ac:dyDescent="0.3">
      <c r="B148" t="s">
        <v>111</v>
      </c>
      <c r="C148">
        <v>56.879600000000003</v>
      </c>
      <c r="D148">
        <v>24.603200000000001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1</v>
      </c>
      <c r="AT148">
        <v>1</v>
      </c>
      <c r="AU148">
        <v>1</v>
      </c>
      <c r="AV148">
        <v>1</v>
      </c>
      <c r="AW148">
        <v>1</v>
      </c>
      <c r="AX148">
        <v>1</v>
      </c>
      <c r="AY148">
        <v>2</v>
      </c>
      <c r="AZ148">
        <v>6</v>
      </c>
      <c r="BA148">
        <v>8</v>
      </c>
      <c r="BB148">
        <v>10</v>
      </c>
      <c r="BC148">
        <v>10</v>
      </c>
      <c r="BD148">
        <v>17</v>
      </c>
      <c r="BE148">
        <v>26</v>
      </c>
      <c r="BF148">
        <v>30</v>
      </c>
      <c r="BG148">
        <v>34</v>
      </c>
      <c r="BH148">
        <v>49</v>
      </c>
      <c r="BI148">
        <v>71</v>
      </c>
      <c r="BJ148">
        <v>86</v>
      </c>
      <c r="BK148">
        <v>111</v>
      </c>
      <c r="BL148">
        <v>124</v>
      </c>
      <c r="BM148">
        <v>139</v>
      </c>
      <c r="BN148">
        <v>180</v>
      </c>
      <c r="BO148">
        <v>197</v>
      </c>
      <c r="BP148">
        <v>221</v>
      </c>
      <c r="BQ148">
        <v>244</v>
      </c>
      <c r="BR148">
        <v>280</v>
      </c>
      <c r="BS148">
        <v>305</v>
      </c>
    </row>
    <row r="149" spans="2:71" x14ac:dyDescent="0.3">
      <c r="B149" t="s">
        <v>67</v>
      </c>
      <c r="C149">
        <v>33.854700000000001</v>
      </c>
      <c r="D149">
        <v>35.862299999999998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1</v>
      </c>
      <c r="AJ149">
        <v>1</v>
      </c>
      <c r="AK149">
        <v>1</v>
      </c>
      <c r="AL149">
        <v>1</v>
      </c>
      <c r="AM149">
        <v>1</v>
      </c>
      <c r="AN149">
        <v>2</v>
      </c>
      <c r="AO149">
        <v>2</v>
      </c>
      <c r="AP149">
        <v>2</v>
      </c>
      <c r="AQ149">
        <v>4</v>
      </c>
      <c r="AR149">
        <v>10</v>
      </c>
      <c r="AS149">
        <v>13</v>
      </c>
      <c r="AT149">
        <v>13</v>
      </c>
      <c r="AU149">
        <v>13</v>
      </c>
      <c r="AV149">
        <v>16</v>
      </c>
      <c r="AW149">
        <v>22</v>
      </c>
      <c r="AX149">
        <v>22</v>
      </c>
      <c r="AY149">
        <v>32</v>
      </c>
      <c r="AZ149">
        <v>32</v>
      </c>
      <c r="BA149">
        <v>41</v>
      </c>
      <c r="BB149">
        <v>61</v>
      </c>
      <c r="BC149">
        <v>61</v>
      </c>
      <c r="BD149">
        <v>77</v>
      </c>
      <c r="BE149">
        <v>93</v>
      </c>
      <c r="BF149">
        <v>110</v>
      </c>
      <c r="BG149">
        <v>110</v>
      </c>
      <c r="BH149">
        <v>120</v>
      </c>
      <c r="BI149">
        <v>133</v>
      </c>
      <c r="BJ149">
        <v>157</v>
      </c>
      <c r="BK149">
        <v>163</v>
      </c>
      <c r="BL149">
        <v>187</v>
      </c>
      <c r="BM149">
        <v>248</v>
      </c>
      <c r="BN149">
        <v>267</v>
      </c>
      <c r="BO149">
        <v>318</v>
      </c>
      <c r="BP149">
        <v>333</v>
      </c>
      <c r="BQ149">
        <v>368</v>
      </c>
      <c r="BR149">
        <v>391</v>
      </c>
      <c r="BS149">
        <v>412</v>
      </c>
    </row>
    <row r="150" spans="2:71" x14ac:dyDescent="0.3">
      <c r="B150" t="s">
        <v>470</v>
      </c>
      <c r="C150">
        <v>6.4280999999999997</v>
      </c>
      <c r="D150">
        <v>-9.4295000000000009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1</v>
      </c>
      <c r="BH150">
        <v>1</v>
      </c>
      <c r="BI150">
        <v>2</v>
      </c>
      <c r="BJ150">
        <v>2</v>
      </c>
      <c r="BK150">
        <v>2</v>
      </c>
      <c r="BL150">
        <v>3</v>
      </c>
      <c r="BM150">
        <v>3</v>
      </c>
      <c r="BN150">
        <v>3</v>
      </c>
      <c r="BO150">
        <v>3</v>
      </c>
      <c r="BP150">
        <v>3</v>
      </c>
      <c r="BQ150">
        <v>3</v>
      </c>
      <c r="BR150">
        <v>3</v>
      </c>
      <c r="BS150">
        <v>3</v>
      </c>
    </row>
    <row r="151" spans="2:71" x14ac:dyDescent="0.3">
      <c r="B151" t="s">
        <v>136</v>
      </c>
      <c r="C151">
        <v>47.14</v>
      </c>
      <c r="D151">
        <v>9.5500000000000007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1</v>
      </c>
      <c r="AV151">
        <v>1</v>
      </c>
      <c r="AW151">
        <v>1</v>
      </c>
      <c r="AX151">
        <v>1</v>
      </c>
      <c r="AY151">
        <v>1</v>
      </c>
      <c r="AZ151">
        <v>1</v>
      </c>
      <c r="BA151">
        <v>1</v>
      </c>
      <c r="BB151">
        <v>1</v>
      </c>
      <c r="BC151">
        <v>1</v>
      </c>
      <c r="BD151">
        <v>1</v>
      </c>
      <c r="BE151">
        <v>4</v>
      </c>
      <c r="BF151">
        <v>4</v>
      </c>
      <c r="BG151">
        <v>4</v>
      </c>
      <c r="BH151">
        <v>7</v>
      </c>
      <c r="BI151">
        <v>28</v>
      </c>
      <c r="BJ151">
        <v>28</v>
      </c>
      <c r="BK151">
        <v>28</v>
      </c>
      <c r="BL151">
        <v>37</v>
      </c>
      <c r="BM151">
        <v>37</v>
      </c>
      <c r="BN151">
        <v>51</v>
      </c>
      <c r="BO151">
        <v>51</v>
      </c>
      <c r="BP151">
        <v>51</v>
      </c>
      <c r="BQ151">
        <v>56</v>
      </c>
      <c r="BR151">
        <v>56</v>
      </c>
      <c r="BS151">
        <v>56</v>
      </c>
    </row>
    <row r="152" spans="2:71" x14ac:dyDescent="0.3">
      <c r="B152" t="s">
        <v>93</v>
      </c>
      <c r="C152">
        <v>55.169400000000003</v>
      </c>
      <c r="D152">
        <v>23.8813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1</v>
      </c>
      <c r="AQ152">
        <v>1</v>
      </c>
      <c r="AR152">
        <v>1</v>
      </c>
      <c r="AS152">
        <v>1</v>
      </c>
      <c r="AT152">
        <v>1</v>
      </c>
      <c r="AU152">
        <v>1</v>
      </c>
      <c r="AV152">
        <v>1</v>
      </c>
      <c r="AW152">
        <v>1</v>
      </c>
      <c r="AX152">
        <v>1</v>
      </c>
      <c r="AY152">
        <v>1</v>
      </c>
      <c r="AZ152">
        <v>1</v>
      </c>
      <c r="BA152">
        <v>1</v>
      </c>
      <c r="BB152">
        <v>3</v>
      </c>
      <c r="BC152">
        <v>3</v>
      </c>
      <c r="BD152">
        <v>6</v>
      </c>
      <c r="BE152">
        <v>8</v>
      </c>
      <c r="BF152">
        <v>12</v>
      </c>
      <c r="BG152">
        <v>17</v>
      </c>
      <c r="BH152">
        <v>25</v>
      </c>
      <c r="BI152">
        <v>27</v>
      </c>
      <c r="BJ152">
        <v>36</v>
      </c>
      <c r="BK152">
        <v>49</v>
      </c>
      <c r="BL152">
        <v>83</v>
      </c>
      <c r="BM152">
        <v>143</v>
      </c>
      <c r="BN152">
        <v>179</v>
      </c>
      <c r="BO152">
        <v>209</v>
      </c>
      <c r="BP152">
        <v>274</v>
      </c>
      <c r="BQ152">
        <v>299</v>
      </c>
      <c r="BR152">
        <v>358</v>
      </c>
      <c r="BS152">
        <v>394</v>
      </c>
    </row>
    <row r="153" spans="2:71" x14ac:dyDescent="0.3">
      <c r="B153" t="s">
        <v>99</v>
      </c>
      <c r="C153">
        <v>49.815300000000001</v>
      </c>
      <c r="D153">
        <v>6.1295999999999999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1</v>
      </c>
      <c r="AR153">
        <v>1</v>
      </c>
      <c r="AS153">
        <v>1</v>
      </c>
      <c r="AT153">
        <v>1</v>
      </c>
      <c r="AU153">
        <v>1</v>
      </c>
      <c r="AV153">
        <v>1</v>
      </c>
      <c r="AW153">
        <v>2</v>
      </c>
      <c r="AX153">
        <v>2</v>
      </c>
      <c r="AY153">
        <v>3</v>
      </c>
      <c r="AZ153">
        <v>3</v>
      </c>
      <c r="BA153">
        <v>5</v>
      </c>
      <c r="BB153">
        <v>7</v>
      </c>
      <c r="BC153">
        <v>19</v>
      </c>
      <c r="BD153">
        <v>34</v>
      </c>
      <c r="BE153">
        <v>51</v>
      </c>
      <c r="BF153">
        <v>59</v>
      </c>
      <c r="BG153">
        <v>77</v>
      </c>
      <c r="BH153">
        <v>140</v>
      </c>
      <c r="BI153">
        <v>203</v>
      </c>
      <c r="BJ153">
        <v>335</v>
      </c>
      <c r="BK153">
        <v>484</v>
      </c>
      <c r="BL153">
        <v>670</v>
      </c>
      <c r="BM153">
        <v>798</v>
      </c>
      <c r="BN153">
        <v>875</v>
      </c>
      <c r="BO153">
        <v>1099</v>
      </c>
      <c r="BP153">
        <v>1333</v>
      </c>
      <c r="BQ153">
        <v>1453</v>
      </c>
      <c r="BR153">
        <v>1605</v>
      </c>
      <c r="BS153">
        <v>1831</v>
      </c>
    </row>
    <row r="154" spans="2:71" x14ac:dyDescent="0.3">
      <c r="B154" t="s">
        <v>530</v>
      </c>
      <c r="C154">
        <v>-18.7669</v>
      </c>
      <c r="D154">
        <v>46.869100000000003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3</v>
      </c>
      <c r="BL154">
        <v>3</v>
      </c>
      <c r="BM154">
        <v>3</v>
      </c>
      <c r="BN154">
        <v>12</v>
      </c>
      <c r="BO154">
        <v>17</v>
      </c>
      <c r="BP154">
        <v>19</v>
      </c>
      <c r="BQ154">
        <v>23</v>
      </c>
      <c r="BR154">
        <v>26</v>
      </c>
      <c r="BS154">
        <v>26</v>
      </c>
    </row>
    <row r="155" spans="2:71" x14ac:dyDescent="0.3">
      <c r="B155" t="s">
        <v>43</v>
      </c>
      <c r="C155">
        <v>2.5</v>
      </c>
      <c r="D155">
        <v>112.5</v>
      </c>
      <c r="E155">
        <v>0</v>
      </c>
      <c r="F155">
        <v>0</v>
      </c>
      <c r="G155">
        <v>0</v>
      </c>
      <c r="H155">
        <v>3</v>
      </c>
      <c r="I155">
        <v>4</v>
      </c>
      <c r="J155">
        <v>4</v>
      </c>
      <c r="K155">
        <v>4</v>
      </c>
      <c r="L155">
        <v>7</v>
      </c>
      <c r="M155">
        <v>8</v>
      </c>
      <c r="N155">
        <v>8</v>
      </c>
      <c r="O155">
        <v>8</v>
      </c>
      <c r="P155">
        <v>8</v>
      </c>
      <c r="Q155">
        <v>8</v>
      </c>
      <c r="R155">
        <v>10</v>
      </c>
      <c r="S155">
        <v>12</v>
      </c>
      <c r="T155">
        <v>12</v>
      </c>
      <c r="U155">
        <v>12</v>
      </c>
      <c r="V155">
        <v>16</v>
      </c>
      <c r="W155">
        <v>16</v>
      </c>
      <c r="X155">
        <v>18</v>
      </c>
      <c r="Y155">
        <v>18</v>
      </c>
      <c r="Z155">
        <v>18</v>
      </c>
      <c r="AA155">
        <v>19</v>
      </c>
      <c r="AB155">
        <v>19</v>
      </c>
      <c r="AC155">
        <v>22</v>
      </c>
      <c r="AD155">
        <v>22</v>
      </c>
      <c r="AE155">
        <v>22</v>
      </c>
      <c r="AF155">
        <v>22</v>
      </c>
      <c r="AG155">
        <v>22</v>
      </c>
      <c r="AH155">
        <v>22</v>
      </c>
      <c r="AI155">
        <v>22</v>
      </c>
      <c r="AJ155">
        <v>22</v>
      </c>
      <c r="AK155">
        <v>22</v>
      </c>
      <c r="AL155">
        <v>22</v>
      </c>
      <c r="AM155">
        <v>22</v>
      </c>
      <c r="AN155">
        <v>22</v>
      </c>
      <c r="AO155">
        <v>23</v>
      </c>
      <c r="AP155">
        <v>23</v>
      </c>
      <c r="AQ155">
        <v>25</v>
      </c>
      <c r="AR155">
        <v>29</v>
      </c>
      <c r="AS155">
        <v>29</v>
      </c>
      <c r="AT155">
        <v>36</v>
      </c>
      <c r="AU155">
        <v>50</v>
      </c>
      <c r="AV155">
        <v>50</v>
      </c>
      <c r="AW155">
        <v>83</v>
      </c>
      <c r="AX155">
        <v>93</v>
      </c>
      <c r="AY155">
        <v>99</v>
      </c>
      <c r="AZ155">
        <v>117</v>
      </c>
      <c r="BA155">
        <v>129</v>
      </c>
      <c r="BB155">
        <v>149</v>
      </c>
      <c r="BC155">
        <v>149</v>
      </c>
      <c r="BD155">
        <v>197</v>
      </c>
      <c r="BE155">
        <v>238</v>
      </c>
      <c r="BF155">
        <v>428</v>
      </c>
      <c r="BG155">
        <v>566</v>
      </c>
      <c r="BH155">
        <v>673</v>
      </c>
      <c r="BI155">
        <v>790</v>
      </c>
      <c r="BJ155">
        <v>900</v>
      </c>
      <c r="BK155">
        <v>1030</v>
      </c>
      <c r="BL155">
        <v>1183</v>
      </c>
      <c r="BM155">
        <v>1306</v>
      </c>
      <c r="BN155">
        <v>1518</v>
      </c>
      <c r="BO155">
        <v>1624</v>
      </c>
      <c r="BP155">
        <v>1796</v>
      </c>
      <c r="BQ155">
        <v>2031</v>
      </c>
      <c r="BR155">
        <v>2161</v>
      </c>
      <c r="BS155">
        <v>2320</v>
      </c>
    </row>
    <row r="156" spans="2:71" x14ac:dyDescent="0.3">
      <c r="B156" t="s">
        <v>200</v>
      </c>
      <c r="C156">
        <v>3.2027999999999999</v>
      </c>
      <c r="D156">
        <v>73.220699999999994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4</v>
      </c>
      <c r="AZ156">
        <v>4</v>
      </c>
      <c r="BA156">
        <v>6</v>
      </c>
      <c r="BB156">
        <v>8</v>
      </c>
      <c r="BC156">
        <v>8</v>
      </c>
      <c r="BD156">
        <v>9</v>
      </c>
      <c r="BE156">
        <v>10</v>
      </c>
      <c r="BF156">
        <v>13</v>
      </c>
      <c r="BG156">
        <v>13</v>
      </c>
      <c r="BH156">
        <v>13</v>
      </c>
      <c r="BI156">
        <v>13</v>
      </c>
      <c r="BJ156">
        <v>13</v>
      </c>
      <c r="BK156">
        <v>13</v>
      </c>
      <c r="BL156">
        <v>13</v>
      </c>
      <c r="BM156">
        <v>13</v>
      </c>
      <c r="BN156">
        <v>13</v>
      </c>
      <c r="BO156">
        <v>13</v>
      </c>
      <c r="BP156">
        <v>13</v>
      </c>
      <c r="BQ156">
        <v>13</v>
      </c>
      <c r="BR156">
        <v>16</v>
      </c>
      <c r="BS156">
        <v>16</v>
      </c>
    </row>
    <row r="157" spans="2:71" x14ac:dyDescent="0.3">
      <c r="B157" t="s">
        <v>177</v>
      </c>
      <c r="C157">
        <v>35.9375</v>
      </c>
      <c r="D157">
        <v>14.375400000000001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3</v>
      </c>
      <c r="AY157">
        <v>3</v>
      </c>
      <c r="AZ157">
        <v>3</v>
      </c>
      <c r="BA157">
        <v>5</v>
      </c>
      <c r="BB157">
        <v>6</v>
      </c>
      <c r="BC157">
        <v>6</v>
      </c>
      <c r="BD157">
        <v>12</v>
      </c>
      <c r="BE157">
        <v>18</v>
      </c>
      <c r="BF157">
        <v>21</v>
      </c>
      <c r="BG157">
        <v>30</v>
      </c>
      <c r="BH157">
        <v>38</v>
      </c>
      <c r="BI157">
        <v>38</v>
      </c>
      <c r="BJ157">
        <v>53</v>
      </c>
      <c r="BK157">
        <v>64</v>
      </c>
      <c r="BL157">
        <v>73</v>
      </c>
      <c r="BM157">
        <v>90</v>
      </c>
      <c r="BN157">
        <v>107</v>
      </c>
      <c r="BO157">
        <v>110</v>
      </c>
      <c r="BP157">
        <v>129</v>
      </c>
      <c r="BQ157">
        <v>134</v>
      </c>
      <c r="BR157">
        <v>139</v>
      </c>
      <c r="BS157">
        <v>149</v>
      </c>
    </row>
    <row r="158" spans="2:71" x14ac:dyDescent="0.3">
      <c r="B158" t="s">
        <v>445</v>
      </c>
      <c r="C158">
        <v>21.007899999999999</v>
      </c>
      <c r="D158">
        <v>10.940799999999999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1</v>
      </c>
      <c r="BF158">
        <v>1</v>
      </c>
      <c r="BG158">
        <v>1</v>
      </c>
      <c r="BH158">
        <v>1</v>
      </c>
      <c r="BI158">
        <v>1</v>
      </c>
      <c r="BJ158">
        <v>2</v>
      </c>
      <c r="BK158">
        <v>2</v>
      </c>
      <c r="BL158">
        <v>2</v>
      </c>
      <c r="BM158">
        <v>2</v>
      </c>
      <c r="BN158">
        <v>2</v>
      </c>
      <c r="BO158">
        <v>2</v>
      </c>
      <c r="BP158">
        <v>2</v>
      </c>
      <c r="BQ158">
        <v>3</v>
      </c>
      <c r="BR158">
        <v>3</v>
      </c>
      <c r="BS158">
        <v>5</v>
      </c>
    </row>
    <row r="159" spans="2:71" x14ac:dyDescent="0.3">
      <c r="B159" t="s">
        <v>482</v>
      </c>
      <c r="C159">
        <v>-20.2</v>
      </c>
      <c r="D159">
        <v>57.5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3</v>
      </c>
      <c r="BJ159">
        <v>3</v>
      </c>
      <c r="BK159">
        <v>12</v>
      </c>
      <c r="BL159">
        <v>14</v>
      </c>
      <c r="BM159">
        <v>28</v>
      </c>
      <c r="BN159">
        <v>36</v>
      </c>
      <c r="BO159">
        <v>42</v>
      </c>
      <c r="BP159">
        <v>48</v>
      </c>
      <c r="BQ159">
        <v>81</v>
      </c>
      <c r="BR159">
        <v>94</v>
      </c>
      <c r="BS159">
        <v>102</v>
      </c>
    </row>
    <row r="160" spans="2:71" x14ac:dyDescent="0.3">
      <c r="B160" t="s">
        <v>94</v>
      </c>
      <c r="C160">
        <v>23.634499999999999</v>
      </c>
      <c r="D160">
        <v>-102.5528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1</v>
      </c>
      <c r="AQ160">
        <v>4</v>
      </c>
      <c r="AR160">
        <v>5</v>
      </c>
      <c r="AS160">
        <v>5</v>
      </c>
      <c r="AT160">
        <v>5</v>
      </c>
      <c r="AU160">
        <v>5</v>
      </c>
      <c r="AV160">
        <v>5</v>
      </c>
      <c r="AW160">
        <v>6</v>
      </c>
      <c r="AX160">
        <v>6</v>
      </c>
      <c r="AY160">
        <v>7</v>
      </c>
      <c r="AZ160">
        <v>7</v>
      </c>
      <c r="BA160">
        <v>7</v>
      </c>
      <c r="BB160">
        <v>8</v>
      </c>
      <c r="BC160">
        <v>12</v>
      </c>
      <c r="BD160">
        <v>12</v>
      </c>
      <c r="BE160">
        <v>26</v>
      </c>
      <c r="BF160">
        <v>41</v>
      </c>
      <c r="BG160">
        <v>53</v>
      </c>
      <c r="BH160">
        <v>82</v>
      </c>
      <c r="BI160">
        <v>93</v>
      </c>
      <c r="BJ160">
        <v>118</v>
      </c>
      <c r="BK160">
        <v>164</v>
      </c>
      <c r="BL160">
        <v>203</v>
      </c>
      <c r="BM160">
        <v>251</v>
      </c>
      <c r="BN160">
        <v>316</v>
      </c>
      <c r="BO160">
        <v>367</v>
      </c>
      <c r="BP160">
        <v>405</v>
      </c>
      <c r="BQ160">
        <v>475</v>
      </c>
      <c r="BR160">
        <v>585</v>
      </c>
      <c r="BS160">
        <v>717</v>
      </c>
    </row>
    <row r="161" spans="1:71" x14ac:dyDescent="0.3">
      <c r="B161" t="s">
        <v>345</v>
      </c>
      <c r="C161">
        <v>47.4116</v>
      </c>
      <c r="D161">
        <v>28.369900000000001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1</v>
      </c>
      <c r="AZ161">
        <v>1</v>
      </c>
      <c r="BA161">
        <v>3</v>
      </c>
      <c r="BB161">
        <v>3</v>
      </c>
      <c r="BC161">
        <v>3</v>
      </c>
      <c r="BD161">
        <v>6</v>
      </c>
      <c r="BE161">
        <v>12</v>
      </c>
      <c r="BF161">
        <v>23</v>
      </c>
      <c r="BG161">
        <v>23</v>
      </c>
      <c r="BH161">
        <v>30</v>
      </c>
      <c r="BI161">
        <v>30</v>
      </c>
      <c r="BJ161">
        <v>49</v>
      </c>
      <c r="BK161">
        <v>66</v>
      </c>
      <c r="BL161">
        <v>80</v>
      </c>
      <c r="BM161">
        <v>94</v>
      </c>
      <c r="BN161">
        <v>109</v>
      </c>
      <c r="BO161">
        <v>125</v>
      </c>
      <c r="BP161">
        <v>149</v>
      </c>
      <c r="BQ161">
        <v>177</v>
      </c>
      <c r="BR161">
        <v>199</v>
      </c>
      <c r="BS161">
        <v>231</v>
      </c>
    </row>
    <row r="162" spans="1:71" x14ac:dyDescent="0.3">
      <c r="B162" t="s">
        <v>100</v>
      </c>
      <c r="C162">
        <v>43.7333</v>
      </c>
      <c r="D162">
        <v>7.4166999999999996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1</v>
      </c>
      <c r="AR162">
        <v>1</v>
      </c>
      <c r="AS162">
        <v>1</v>
      </c>
      <c r="AT162">
        <v>1</v>
      </c>
      <c r="AU162">
        <v>1</v>
      </c>
      <c r="AV162">
        <v>1</v>
      </c>
      <c r="AW162">
        <v>1</v>
      </c>
      <c r="AX162">
        <v>1</v>
      </c>
      <c r="AY162">
        <v>1</v>
      </c>
      <c r="AZ162">
        <v>1</v>
      </c>
      <c r="BA162">
        <v>1</v>
      </c>
      <c r="BB162">
        <v>1</v>
      </c>
      <c r="BC162">
        <v>2</v>
      </c>
      <c r="BD162">
        <v>2</v>
      </c>
      <c r="BE162">
        <v>2</v>
      </c>
      <c r="BF162">
        <v>2</v>
      </c>
      <c r="BG162">
        <v>7</v>
      </c>
      <c r="BH162">
        <v>7</v>
      </c>
      <c r="BI162">
        <v>7</v>
      </c>
      <c r="BJ162">
        <v>7</v>
      </c>
      <c r="BK162">
        <v>11</v>
      </c>
      <c r="BL162">
        <v>11</v>
      </c>
      <c r="BM162">
        <v>23</v>
      </c>
      <c r="BN162">
        <v>23</v>
      </c>
      <c r="BO162">
        <v>23</v>
      </c>
      <c r="BP162">
        <v>31</v>
      </c>
      <c r="BQ162">
        <v>33</v>
      </c>
      <c r="BR162">
        <v>42</v>
      </c>
      <c r="BS162">
        <v>42</v>
      </c>
    </row>
    <row r="163" spans="1:71" x14ac:dyDescent="0.3">
      <c r="B163" t="s">
        <v>282</v>
      </c>
      <c r="C163">
        <v>46.862499999999997</v>
      </c>
      <c r="D163">
        <v>103.8467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1</v>
      </c>
      <c r="BB163">
        <v>1</v>
      </c>
      <c r="BC163">
        <v>1</v>
      </c>
      <c r="BD163">
        <v>1</v>
      </c>
      <c r="BE163">
        <v>1</v>
      </c>
      <c r="BF163">
        <v>1</v>
      </c>
      <c r="BG163">
        <v>1</v>
      </c>
      <c r="BH163">
        <v>5</v>
      </c>
      <c r="BI163">
        <v>6</v>
      </c>
      <c r="BJ163">
        <v>6</v>
      </c>
      <c r="BK163">
        <v>6</v>
      </c>
      <c r="BL163">
        <v>10</v>
      </c>
      <c r="BM163">
        <v>10</v>
      </c>
      <c r="BN163">
        <v>10</v>
      </c>
      <c r="BO163">
        <v>10</v>
      </c>
      <c r="BP163">
        <v>10</v>
      </c>
      <c r="BQ163">
        <v>11</v>
      </c>
      <c r="BR163">
        <v>11</v>
      </c>
      <c r="BS163">
        <v>12</v>
      </c>
    </row>
    <row r="164" spans="1:71" x14ac:dyDescent="0.3">
      <c r="B164" t="s">
        <v>484</v>
      </c>
      <c r="C164">
        <v>42.5</v>
      </c>
      <c r="D164">
        <v>19.3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2</v>
      </c>
      <c r="BI164">
        <v>2</v>
      </c>
      <c r="BJ164">
        <v>3</v>
      </c>
      <c r="BK164">
        <v>14</v>
      </c>
      <c r="BL164">
        <v>14</v>
      </c>
      <c r="BM164">
        <v>21</v>
      </c>
      <c r="BN164">
        <v>27</v>
      </c>
      <c r="BO164">
        <v>47</v>
      </c>
      <c r="BP164">
        <v>52</v>
      </c>
      <c r="BQ164">
        <v>69</v>
      </c>
      <c r="BR164">
        <v>82</v>
      </c>
      <c r="BS164">
        <v>84</v>
      </c>
    </row>
    <row r="165" spans="1:71" x14ac:dyDescent="0.3">
      <c r="B165" t="s">
        <v>112</v>
      </c>
      <c r="C165">
        <v>31.791699999999999</v>
      </c>
      <c r="D165">
        <v>-7.0926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1</v>
      </c>
      <c r="AT165">
        <v>1</v>
      </c>
      <c r="AU165">
        <v>1</v>
      </c>
      <c r="AV165">
        <v>2</v>
      </c>
      <c r="AW165">
        <v>2</v>
      </c>
      <c r="AX165">
        <v>2</v>
      </c>
      <c r="AY165">
        <v>2</v>
      </c>
      <c r="AZ165">
        <v>2</v>
      </c>
      <c r="BA165">
        <v>3</v>
      </c>
      <c r="BB165">
        <v>5</v>
      </c>
      <c r="BC165">
        <v>6</v>
      </c>
      <c r="BD165">
        <v>7</v>
      </c>
      <c r="BE165">
        <v>17</v>
      </c>
      <c r="BF165">
        <v>28</v>
      </c>
      <c r="BG165">
        <v>29</v>
      </c>
      <c r="BH165">
        <v>38</v>
      </c>
      <c r="BI165">
        <v>49</v>
      </c>
      <c r="BJ165">
        <v>63</v>
      </c>
      <c r="BK165">
        <v>77</v>
      </c>
      <c r="BL165">
        <v>96</v>
      </c>
      <c r="BM165">
        <v>115</v>
      </c>
      <c r="BN165">
        <v>143</v>
      </c>
      <c r="BO165">
        <v>170</v>
      </c>
      <c r="BP165">
        <v>225</v>
      </c>
      <c r="BQ165">
        <v>275</v>
      </c>
      <c r="BR165">
        <v>345</v>
      </c>
      <c r="BS165">
        <v>402</v>
      </c>
    </row>
    <row r="166" spans="1:71" x14ac:dyDescent="0.3">
      <c r="B166" t="s">
        <v>437</v>
      </c>
      <c r="C166">
        <v>-22.957599999999999</v>
      </c>
      <c r="D166">
        <v>18.490400000000001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2</v>
      </c>
      <c r="BF166">
        <v>2</v>
      </c>
      <c r="BG166">
        <v>2</v>
      </c>
      <c r="BH166">
        <v>2</v>
      </c>
      <c r="BI166">
        <v>2</v>
      </c>
      <c r="BJ166">
        <v>3</v>
      </c>
      <c r="BK166">
        <v>3</v>
      </c>
      <c r="BL166">
        <v>3</v>
      </c>
      <c r="BM166">
        <v>3</v>
      </c>
      <c r="BN166">
        <v>4</v>
      </c>
      <c r="BO166">
        <v>7</v>
      </c>
      <c r="BP166">
        <v>7</v>
      </c>
      <c r="BQ166">
        <v>8</v>
      </c>
      <c r="BR166">
        <v>8</v>
      </c>
      <c r="BS166">
        <v>8</v>
      </c>
    </row>
    <row r="167" spans="1:71" x14ac:dyDescent="0.3">
      <c r="B167" t="s">
        <v>42</v>
      </c>
      <c r="C167">
        <v>28.166699999999999</v>
      </c>
      <c r="D167">
        <v>84.25</v>
      </c>
      <c r="E167">
        <v>0</v>
      </c>
      <c r="F167">
        <v>0</v>
      </c>
      <c r="G167">
        <v>0</v>
      </c>
      <c r="H167">
        <v>1</v>
      </c>
      <c r="I167">
        <v>1</v>
      </c>
      <c r="J167">
        <v>1</v>
      </c>
      <c r="K167">
        <v>1</v>
      </c>
      <c r="L167">
        <v>1</v>
      </c>
      <c r="M167">
        <v>1</v>
      </c>
      <c r="N167">
        <v>1</v>
      </c>
      <c r="O167">
        <v>1</v>
      </c>
      <c r="P167">
        <v>1</v>
      </c>
      <c r="Q167">
        <v>1</v>
      </c>
      <c r="R167">
        <v>1</v>
      </c>
      <c r="S167">
        <v>1</v>
      </c>
      <c r="T167">
        <v>1</v>
      </c>
      <c r="U167">
        <v>1</v>
      </c>
      <c r="V167">
        <v>1</v>
      </c>
      <c r="W167">
        <v>1</v>
      </c>
      <c r="X167">
        <v>1</v>
      </c>
      <c r="Y167">
        <v>1</v>
      </c>
      <c r="Z167">
        <v>1</v>
      </c>
      <c r="AA167">
        <v>1</v>
      </c>
      <c r="AB167">
        <v>1</v>
      </c>
      <c r="AC167">
        <v>1</v>
      </c>
      <c r="AD167">
        <v>1</v>
      </c>
      <c r="AE167">
        <v>1</v>
      </c>
      <c r="AF167">
        <v>1</v>
      </c>
      <c r="AG167">
        <v>1</v>
      </c>
      <c r="AH167">
        <v>1</v>
      </c>
      <c r="AI167">
        <v>1</v>
      </c>
      <c r="AJ167">
        <v>1</v>
      </c>
      <c r="AK167">
        <v>1</v>
      </c>
      <c r="AL167">
        <v>1</v>
      </c>
      <c r="AM167">
        <v>1</v>
      </c>
      <c r="AN167">
        <v>1</v>
      </c>
      <c r="AO167">
        <v>1</v>
      </c>
      <c r="AP167">
        <v>1</v>
      </c>
      <c r="AQ167">
        <v>1</v>
      </c>
      <c r="AR167">
        <v>1</v>
      </c>
      <c r="AS167">
        <v>1</v>
      </c>
      <c r="AT167">
        <v>1</v>
      </c>
      <c r="AU167">
        <v>1</v>
      </c>
      <c r="AV167">
        <v>1</v>
      </c>
      <c r="AW167">
        <v>1</v>
      </c>
      <c r="AX167">
        <v>1</v>
      </c>
      <c r="AY167">
        <v>1</v>
      </c>
      <c r="AZ167">
        <v>1</v>
      </c>
      <c r="BA167">
        <v>1</v>
      </c>
      <c r="BB167">
        <v>1</v>
      </c>
      <c r="BC167">
        <v>1</v>
      </c>
      <c r="BD167">
        <v>1</v>
      </c>
      <c r="BE167">
        <v>1</v>
      </c>
      <c r="BF167">
        <v>1</v>
      </c>
      <c r="BG167">
        <v>1</v>
      </c>
      <c r="BH167">
        <v>1</v>
      </c>
      <c r="BI167">
        <v>1</v>
      </c>
      <c r="BJ167">
        <v>1</v>
      </c>
      <c r="BK167">
        <v>1</v>
      </c>
      <c r="BL167">
        <v>1</v>
      </c>
      <c r="BM167">
        <v>1</v>
      </c>
      <c r="BN167">
        <v>2</v>
      </c>
      <c r="BO167">
        <v>2</v>
      </c>
      <c r="BP167">
        <v>3</v>
      </c>
      <c r="BQ167">
        <v>3</v>
      </c>
      <c r="BR167">
        <v>4</v>
      </c>
      <c r="BS167">
        <v>5</v>
      </c>
    </row>
    <row r="168" spans="1:71" x14ac:dyDescent="0.3">
      <c r="A168" t="s">
        <v>422</v>
      </c>
      <c r="B168" t="s">
        <v>89</v>
      </c>
      <c r="C168">
        <v>12.518599999999999</v>
      </c>
      <c r="D168">
        <v>-70.035799999999995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2</v>
      </c>
      <c r="BE168">
        <v>2</v>
      </c>
      <c r="BF168">
        <v>2</v>
      </c>
      <c r="BG168">
        <v>2</v>
      </c>
      <c r="BH168">
        <v>3</v>
      </c>
      <c r="BI168">
        <v>4</v>
      </c>
      <c r="BJ168">
        <v>4</v>
      </c>
      <c r="BK168">
        <v>5</v>
      </c>
      <c r="BL168">
        <v>5</v>
      </c>
      <c r="BM168">
        <v>9</v>
      </c>
      <c r="BN168">
        <v>9</v>
      </c>
      <c r="BO168">
        <v>12</v>
      </c>
      <c r="BP168">
        <v>17</v>
      </c>
      <c r="BQ168">
        <v>28</v>
      </c>
      <c r="BR168">
        <v>33</v>
      </c>
      <c r="BS168">
        <v>46</v>
      </c>
    </row>
    <row r="169" spans="1:71" x14ac:dyDescent="0.3">
      <c r="A169" t="s">
        <v>441</v>
      </c>
      <c r="B169" t="s">
        <v>89</v>
      </c>
      <c r="C169">
        <v>12.169600000000001</v>
      </c>
      <c r="D169">
        <v>-68.989999999999995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1</v>
      </c>
      <c r="BF169">
        <v>1</v>
      </c>
      <c r="BG169">
        <v>1</v>
      </c>
      <c r="BH169">
        <v>3</v>
      </c>
      <c r="BI169">
        <v>3</v>
      </c>
      <c r="BJ169">
        <v>3</v>
      </c>
      <c r="BK169">
        <v>3</v>
      </c>
      <c r="BL169">
        <v>3</v>
      </c>
      <c r="BM169">
        <v>3</v>
      </c>
      <c r="BN169">
        <v>4</v>
      </c>
      <c r="BO169">
        <v>6</v>
      </c>
      <c r="BP169">
        <v>6</v>
      </c>
      <c r="BQ169">
        <v>6</v>
      </c>
      <c r="BR169">
        <v>8</v>
      </c>
      <c r="BS169">
        <v>8</v>
      </c>
    </row>
    <row r="170" spans="1:71" x14ac:dyDescent="0.3">
      <c r="A170" t="s">
        <v>534</v>
      </c>
      <c r="B170" t="s">
        <v>89</v>
      </c>
      <c r="C170">
        <v>18.0425</v>
      </c>
      <c r="D170">
        <v>-63.0548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1</v>
      </c>
      <c r="BL170">
        <v>1</v>
      </c>
      <c r="BM170">
        <v>1</v>
      </c>
      <c r="BN170">
        <v>2</v>
      </c>
      <c r="BO170">
        <v>2</v>
      </c>
      <c r="BP170">
        <v>3</v>
      </c>
      <c r="BQ170">
        <v>3</v>
      </c>
      <c r="BR170">
        <v>3</v>
      </c>
      <c r="BS170">
        <v>3</v>
      </c>
    </row>
    <row r="171" spans="1:71" x14ac:dyDescent="0.3">
      <c r="B171" t="s">
        <v>89</v>
      </c>
      <c r="C171">
        <v>52.132599999999996</v>
      </c>
      <c r="D171">
        <v>5.2912999999999997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1</v>
      </c>
      <c r="AP171">
        <v>1</v>
      </c>
      <c r="AQ171">
        <v>6</v>
      </c>
      <c r="AR171">
        <v>10</v>
      </c>
      <c r="AS171">
        <v>18</v>
      </c>
      <c r="AT171">
        <v>24</v>
      </c>
      <c r="AU171">
        <v>38</v>
      </c>
      <c r="AV171">
        <v>82</v>
      </c>
      <c r="AW171">
        <v>128</v>
      </c>
      <c r="AX171">
        <v>188</v>
      </c>
      <c r="AY171">
        <v>265</v>
      </c>
      <c r="AZ171">
        <v>321</v>
      </c>
      <c r="BA171">
        <v>382</v>
      </c>
      <c r="BB171">
        <v>503</v>
      </c>
      <c r="BC171">
        <v>503</v>
      </c>
      <c r="BD171">
        <v>804</v>
      </c>
      <c r="BE171">
        <v>959</v>
      </c>
      <c r="BF171">
        <v>1135</v>
      </c>
      <c r="BG171">
        <v>1413</v>
      </c>
      <c r="BH171">
        <v>1705</v>
      </c>
      <c r="BI171">
        <v>2051</v>
      </c>
      <c r="BJ171">
        <v>2460</v>
      </c>
      <c r="BK171">
        <v>2994</v>
      </c>
      <c r="BL171">
        <v>3631</v>
      </c>
      <c r="BM171">
        <v>4204</v>
      </c>
      <c r="BN171">
        <v>4749</v>
      </c>
      <c r="BO171">
        <v>5560</v>
      </c>
      <c r="BP171">
        <v>6412</v>
      </c>
      <c r="BQ171">
        <v>7431</v>
      </c>
      <c r="BR171">
        <v>8603</v>
      </c>
      <c r="BS171">
        <v>9762</v>
      </c>
    </row>
    <row r="172" spans="1:71" x14ac:dyDescent="0.3">
      <c r="B172" t="s">
        <v>95</v>
      </c>
      <c r="C172">
        <v>-40.900599999999997</v>
      </c>
      <c r="D172">
        <v>174.886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1</v>
      </c>
      <c r="AQ172">
        <v>1</v>
      </c>
      <c r="AR172">
        <v>1</v>
      </c>
      <c r="AS172">
        <v>1</v>
      </c>
      <c r="AT172">
        <v>1</v>
      </c>
      <c r="AU172">
        <v>3</v>
      </c>
      <c r="AV172">
        <v>3</v>
      </c>
      <c r="AW172">
        <v>4</v>
      </c>
      <c r="AX172">
        <v>5</v>
      </c>
      <c r="AY172">
        <v>5</v>
      </c>
      <c r="AZ172">
        <v>5</v>
      </c>
      <c r="BA172">
        <v>5</v>
      </c>
      <c r="BB172">
        <v>5</v>
      </c>
      <c r="BC172">
        <v>5</v>
      </c>
      <c r="BD172">
        <v>5</v>
      </c>
      <c r="BE172">
        <v>6</v>
      </c>
      <c r="BF172">
        <v>8</v>
      </c>
      <c r="BG172">
        <v>8</v>
      </c>
      <c r="BH172">
        <v>12</v>
      </c>
      <c r="BI172">
        <v>20</v>
      </c>
      <c r="BJ172">
        <v>28</v>
      </c>
      <c r="BK172">
        <v>39</v>
      </c>
      <c r="BL172">
        <v>52</v>
      </c>
      <c r="BM172">
        <v>102</v>
      </c>
      <c r="BN172">
        <v>102</v>
      </c>
      <c r="BO172">
        <v>155</v>
      </c>
      <c r="BP172">
        <v>205</v>
      </c>
      <c r="BQ172">
        <v>283</v>
      </c>
      <c r="BR172">
        <v>368</v>
      </c>
      <c r="BS172">
        <v>451</v>
      </c>
    </row>
    <row r="173" spans="1:71" x14ac:dyDescent="0.3">
      <c r="B173" t="s">
        <v>526</v>
      </c>
      <c r="C173">
        <v>12.865399999999999</v>
      </c>
      <c r="D173">
        <v>-85.2072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1</v>
      </c>
      <c r="BK173">
        <v>1</v>
      </c>
      <c r="BL173">
        <v>2</v>
      </c>
      <c r="BM173">
        <v>2</v>
      </c>
      <c r="BN173">
        <v>2</v>
      </c>
      <c r="BO173">
        <v>2</v>
      </c>
      <c r="BP173">
        <v>2</v>
      </c>
      <c r="BQ173">
        <v>2</v>
      </c>
      <c r="BR173">
        <v>2</v>
      </c>
      <c r="BS173">
        <v>4</v>
      </c>
    </row>
    <row r="174" spans="1:71" x14ac:dyDescent="0.3">
      <c r="B174" t="s">
        <v>535</v>
      </c>
      <c r="C174">
        <v>17.607800000000001</v>
      </c>
      <c r="D174">
        <v>8.0816999999999997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1</v>
      </c>
      <c r="BL174">
        <v>1</v>
      </c>
      <c r="BM174">
        <v>2</v>
      </c>
      <c r="BN174">
        <v>3</v>
      </c>
      <c r="BO174">
        <v>3</v>
      </c>
      <c r="BP174">
        <v>7</v>
      </c>
      <c r="BQ174">
        <v>10</v>
      </c>
      <c r="BR174">
        <v>10</v>
      </c>
      <c r="BS174">
        <v>10</v>
      </c>
    </row>
    <row r="175" spans="1:71" x14ac:dyDescent="0.3">
      <c r="B175" t="s">
        <v>96</v>
      </c>
      <c r="C175">
        <v>9.0820000000000007</v>
      </c>
      <c r="D175">
        <v>8.6753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1</v>
      </c>
      <c r="AQ175">
        <v>1</v>
      </c>
      <c r="AR175">
        <v>1</v>
      </c>
      <c r="AS175">
        <v>1</v>
      </c>
      <c r="AT175">
        <v>1</v>
      </c>
      <c r="AU175">
        <v>1</v>
      </c>
      <c r="AV175">
        <v>1</v>
      </c>
      <c r="AW175">
        <v>1</v>
      </c>
      <c r="AX175">
        <v>1</v>
      </c>
      <c r="AY175">
        <v>1</v>
      </c>
      <c r="AZ175">
        <v>2</v>
      </c>
      <c r="BA175">
        <v>2</v>
      </c>
      <c r="BB175">
        <v>2</v>
      </c>
      <c r="BC175">
        <v>2</v>
      </c>
      <c r="BD175">
        <v>2</v>
      </c>
      <c r="BE175">
        <v>2</v>
      </c>
      <c r="BF175">
        <v>2</v>
      </c>
      <c r="BG175">
        <v>2</v>
      </c>
      <c r="BH175">
        <v>3</v>
      </c>
      <c r="BI175">
        <v>8</v>
      </c>
      <c r="BJ175">
        <v>8</v>
      </c>
      <c r="BK175">
        <v>12</v>
      </c>
      <c r="BL175">
        <v>22</v>
      </c>
      <c r="BM175">
        <v>30</v>
      </c>
      <c r="BN175">
        <v>40</v>
      </c>
      <c r="BO175">
        <v>44</v>
      </c>
      <c r="BP175">
        <v>51</v>
      </c>
      <c r="BQ175">
        <v>65</v>
      </c>
      <c r="BR175">
        <v>70</v>
      </c>
      <c r="BS175">
        <v>89</v>
      </c>
    </row>
    <row r="176" spans="1:71" x14ac:dyDescent="0.3">
      <c r="B176" t="s">
        <v>84</v>
      </c>
      <c r="C176">
        <v>41.608600000000003</v>
      </c>
      <c r="D176">
        <v>21.7453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1</v>
      </c>
      <c r="AO176">
        <v>1</v>
      </c>
      <c r="AP176">
        <v>1</v>
      </c>
      <c r="AQ176">
        <v>1</v>
      </c>
      <c r="AR176">
        <v>1</v>
      </c>
      <c r="AS176">
        <v>1</v>
      </c>
      <c r="AT176">
        <v>1</v>
      </c>
      <c r="AU176">
        <v>1</v>
      </c>
      <c r="AV176">
        <v>1</v>
      </c>
      <c r="AW176">
        <v>3</v>
      </c>
      <c r="AX176">
        <v>3</v>
      </c>
      <c r="AY176">
        <v>3</v>
      </c>
      <c r="AZ176">
        <v>3</v>
      </c>
      <c r="BA176">
        <v>7</v>
      </c>
      <c r="BB176">
        <v>7</v>
      </c>
      <c r="BC176">
        <v>7</v>
      </c>
      <c r="BD176">
        <v>14</v>
      </c>
      <c r="BE176">
        <v>14</v>
      </c>
      <c r="BF176">
        <v>14</v>
      </c>
      <c r="BG176">
        <v>18</v>
      </c>
      <c r="BH176">
        <v>26</v>
      </c>
      <c r="BI176">
        <v>35</v>
      </c>
      <c r="BJ176">
        <v>48</v>
      </c>
      <c r="BK176">
        <v>67</v>
      </c>
      <c r="BL176">
        <v>85</v>
      </c>
      <c r="BM176">
        <v>115</v>
      </c>
      <c r="BN176">
        <v>136</v>
      </c>
      <c r="BO176">
        <v>148</v>
      </c>
      <c r="BP176">
        <v>177</v>
      </c>
      <c r="BQ176">
        <v>201</v>
      </c>
      <c r="BR176">
        <v>219</v>
      </c>
      <c r="BS176">
        <v>241</v>
      </c>
    </row>
    <row r="177" spans="2:71" x14ac:dyDescent="0.3">
      <c r="B177" t="s">
        <v>85</v>
      </c>
      <c r="C177">
        <v>60.472000000000001</v>
      </c>
      <c r="D177">
        <v>8.4688999999999997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1</v>
      </c>
      <c r="AO177">
        <v>1</v>
      </c>
      <c r="AP177">
        <v>6</v>
      </c>
      <c r="AQ177">
        <v>15</v>
      </c>
      <c r="AR177">
        <v>19</v>
      </c>
      <c r="AS177">
        <v>25</v>
      </c>
      <c r="AT177">
        <v>32</v>
      </c>
      <c r="AU177">
        <v>56</v>
      </c>
      <c r="AV177">
        <v>87</v>
      </c>
      <c r="AW177">
        <v>108</v>
      </c>
      <c r="AX177">
        <v>147</v>
      </c>
      <c r="AY177">
        <v>176</v>
      </c>
      <c r="AZ177">
        <v>205</v>
      </c>
      <c r="BA177">
        <v>400</v>
      </c>
      <c r="BB177">
        <v>598</v>
      </c>
      <c r="BC177">
        <v>702</v>
      </c>
      <c r="BD177">
        <v>996</v>
      </c>
      <c r="BE177">
        <v>1090</v>
      </c>
      <c r="BF177">
        <v>1221</v>
      </c>
      <c r="BG177">
        <v>1333</v>
      </c>
      <c r="BH177">
        <v>1463</v>
      </c>
      <c r="BI177">
        <v>1550</v>
      </c>
      <c r="BJ177">
        <v>1746</v>
      </c>
      <c r="BK177">
        <v>1914</v>
      </c>
      <c r="BL177">
        <v>2118</v>
      </c>
      <c r="BM177">
        <v>2385</v>
      </c>
      <c r="BN177">
        <v>2621</v>
      </c>
      <c r="BO177">
        <v>2863</v>
      </c>
      <c r="BP177">
        <v>3084</v>
      </c>
      <c r="BQ177">
        <v>3369</v>
      </c>
      <c r="BR177">
        <v>3755</v>
      </c>
      <c r="BS177">
        <v>4015</v>
      </c>
    </row>
    <row r="178" spans="2:71" x14ac:dyDescent="0.3">
      <c r="B178" t="s">
        <v>71</v>
      </c>
      <c r="C178">
        <v>21</v>
      </c>
      <c r="D178">
        <v>57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2</v>
      </c>
      <c r="AM178">
        <v>2</v>
      </c>
      <c r="AN178">
        <v>4</v>
      </c>
      <c r="AO178">
        <v>4</v>
      </c>
      <c r="AP178">
        <v>4</v>
      </c>
      <c r="AQ178">
        <v>6</v>
      </c>
      <c r="AR178">
        <v>6</v>
      </c>
      <c r="AS178">
        <v>6</v>
      </c>
      <c r="AT178">
        <v>12</v>
      </c>
      <c r="AU178">
        <v>15</v>
      </c>
      <c r="AV178">
        <v>16</v>
      </c>
      <c r="AW178">
        <v>16</v>
      </c>
      <c r="AX178">
        <v>16</v>
      </c>
      <c r="AY178">
        <v>16</v>
      </c>
      <c r="AZ178">
        <v>16</v>
      </c>
      <c r="BA178">
        <v>18</v>
      </c>
      <c r="BB178">
        <v>18</v>
      </c>
      <c r="BC178">
        <v>18</v>
      </c>
      <c r="BD178">
        <v>19</v>
      </c>
      <c r="BE178">
        <v>19</v>
      </c>
      <c r="BF178">
        <v>22</v>
      </c>
      <c r="BG178">
        <v>22</v>
      </c>
      <c r="BH178">
        <v>24</v>
      </c>
      <c r="BI178">
        <v>39</v>
      </c>
      <c r="BJ178">
        <v>48</v>
      </c>
      <c r="BK178">
        <v>48</v>
      </c>
      <c r="BL178">
        <v>52</v>
      </c>
      <c r="BM178">
        <v>55</v>
      </c>
      <c r="BN178">
        <v>66</v>
      </c>
      <c r="BO178">
        <v>84</v>
      </c>
      <c r="BP178">
        <v>99</v>
      </c>
      <c r="BQ178">
        <v>109</v>
      </c>
      <c r="BR178">
        <v>131</v>
      </c>
      <c r="BS178">
        <v>152</v>
      </c>
    </row>
    <row r="179" spans="2:71" x14ac:dyDescent="0.3">
      <c r="B179" t="s">
        <v>80</v>
      </c>
      <c r="C179">
        <v>30.375299999999999</v>
      </c>
      <c r="D179">
        <v>69.345100000000002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2</v>
      </c>
      <c r="AO179">
        <v>2</v>
      </c>
      <c r="AP179">
        <v>2</v>
      </c>
      <c r="AQ179">
        <v>4</v>
      </c>
      <c r="AR179">
        <v>4</v>
      </c>
      <c r="AS179">
        <v>4</v>
      </c>
      <c r="AT179">
        <v>5</v>
      </c>
      <c r="AU179">
        <v>5</v>
      </c>
      <c r="AV179">
        <v>5</v>
      </c>
      <c r="AW179">
        <v>6</v>
      </c>
      <c r="AX179">
        <v>6</v>
      </c>
      <c r="AY179">
        <v>6</v>
      </c>
      <c r="AZ179">
        <v>6</v>
      </c>
      <c r="BA179">
        <v>16</v>
      </c>
      <c r="BB179">
        <v>19</v>
      </c>
      <c r="BC179">
        <v>20</v>
      </c>
      <c r="BD179">
        <v>28</v>
      </c>
      <c r="BE179">
        <v>31</v>
      </c>
      <c r="BF179">
        <v>53</v>
      </c>
      <c r="BG179">
        <v>136</v>
      </c>
      <c r="BH179">
        <v>236</v>
      </c>
      <c r="BI179">
        <v>299</v>
      </c>
      <c r="BJ179">
        <v>454</v>
      </c>
      <c r="BK179">
        <v>501</v>
      </c>
      <c r="BL179">
        <v>730</v>
      </c>
      <c r="BM179">
        <v>776</v>
      </c>
      <c r="BN179">
        <v>875</v>
      </c>
      <c r="BO179">
        <v>972</v>
      </c>
      <c r="BP179">
        <v>1063</v>
      </c>
      <c r="BQ179">
        <v>1201</v>
      </c>
      <c r="BR179">
        <v>1373</v>
      </c>
      <c r="BS179">
        <v>1495</v>
      </c>
    </row>
    <row r="180" spans="2:71" x14ac:dyDescent="0.3">
      <c r="B180" t="s">
        <v>283</v>
      </c>
      <c r="C180">
        <v>8.5380000000000003</v>
      </c>
      <c r="D180">
        <v>-80.7821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1</v>
      </c>
      <c r="BB180">
        <v>8</v>
      </c>
      <c r="BC180">
        <v>11</v>
      </c>
      <c r="BD180">
        <v>27</v>
      </c>
      <c r="BE180">
        <v>36</v>
      </c>
      <c r="BF180">
        <v>43</v>
      </c>
      <c r="BG180">
        <v>55</v>
      </c>
      <c r="BH180">
        <v>69</v>
      </c>
      <c r="BI180">
        <v>86</v>
      </c>
      <c r="BJ180">
        <v>109</v>
      </c>
      <c r="BK180">
        <v>137</v>
      </c>
      <c r="BL180">
        <v>200</v>
      </c>
      <c r="BM180">
        <v>313</v>
      </c>
      <c r="BN180">
        <v>345</v>
      </c>
      <c r="BO180">
        <v>345</v>
      </c>
      <c r="BP180">
        <v>443</v>
      </c>
      <c r="BQ180">
        <v>558</v>
      </c>
      <c r="BR180">
        <v>674</v>
      </c>
      <c r="BS180">
        <v>786</v>
      </c>
    </row>
    <row r="181" spans="2:71" x14ac:dyDescent="0.3">
      <c r="B181" t="s">
        <v>536</v>
      </c>
      <c r="C181">
        <v>-6.3150000000000004</v>
      </c>
      <c r="D181">
        <v>143.9555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1</v>
      </c>
      <c r="BL181">
        <v>1</v>
      </c>
      <c r="BM181">
        <v>1</v>
      </c>
      <c r="BN181">
        <v>1</v>
      </c>
      <c r="BO181">
        <v>1</v>
      </c>
      <c r="BP181">
        <v>1</v>
      </c>
      <c r="BQ181">
        <v>1</v>
      </c>
      <c r="BR181">
        <v>1</v>
      </c>
      <c r="BS181">
        <v>1</v>
      </c>
    </row>
    <row r="182" spans="2:71" x14ac:dyDescent="0.3">
      <c r="B182" t="s">
        <v>206</v>
      </c>
      <c r="C182">
        <v>-23.442499999999999</v>
      </c>
      <c r="D182">
        <v>-58.443800000000003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1</v>
      </c>
      <c r="AZ182">
        <v>1</v>
      </c>
      <c r="BA182">
        <v>1</v>
      </c>
      <c r="BB182">
        <v>5</v>
      </c>
      <c r="BC182">
        <v>5</v>
      </c>
      <c r="BD182">
        <v>6</v>
      </c>
      <c r="BE182">
        <v>6</v>
      </c>
      <c r="BF182">
        <v>6</v>
      </c>
      <c r="BG182">
        <v>8</v>
      </c>
      <c r="BH182">
        <v>9</v>
      </c>
      <c r="BI182">
        <v>11</v>
      </c>
      <c r="BJ182">
        <v>11</v>
      </c>
      <c r="BK182">
        <v>13</v>
      </c>
      <c r="BL182">
        <v>18</v>
      </c>
      <c r="BM182">
        <v>22</v>
      </c>
      <c r="BN182">
        <v>22</v>
      </c>
      <c r="BO182">
        <v>27</v>
      </c>
      <c r="BP182">
        <v>37</v>
      </c>
      <c r="BQ182">
        <v>41</v>
      </c>
      <c r="BR182">
        <v>52</v>
      </c>
      <c r="BS182">
        <v>56</v>
      </c>
    </row>
    <row r="183" spans="2:71" x14ac:dyDescent="0.3">
      <c r="B183" t="s">
        <v>160</v>
      </c>
      <c r="C183">
        <v>-9.19</v>
      </c>
      <c r="D183">
        <v>-75.015199999999993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1</v>
      </c>
      <c r="AX183">
        <v>1</v>
      </c>
      <c r="AY183">
        <v>6</v>
      </c>
      <c r="AZ183">
        <v>7</v>
      </c>
      <c r="BA183">
        <v>11</v>
      </c>
      <c r="BB183">
        <v>11</v>
      </c>
      <c r="BC183">
        <v>15</v>
      </c>
      <c r="BD183">
        <v>28</v>
      </c>
      <c r="BE183">
        <v>38</v>
      </c>
      <c r="BF183">
        <v>43</v>
      </c>
      <c r="BG183">
        <v>86</v>
      </c>
      <c r="BH183">
        <v>117</v>
      </c>
      <c r="BI183">
        <v>145</v>
      </c>
      <c r="BJ183">
        <v>234</v>
      </c>
      <c r="BK183">
        <v>234</v>
      </c>
      <c r="BL183">
        <v>318</v>
      </c>
      <c r="BM183">
        <v>363</v>
      </c>
      <c r="BN183">
        <v>395</v>
      </c>
      <c r="BO183">
        <v>416</v>
      </c>
      <c r="BP183">
        <v>480</v>
      </c>
      <c r="BQ183">
        <v>580</v>
      </c>
      <c r="BR183">
        <v>635</v>
      </c>
      <c r="BS183">
        <v>671</v>
      </c>
    </row>
    <row r="184" spans="2:71" x14ac:dyDescent="0.3">
      <c r="B184" t="s">
        <v>56</v>
      </c>
      <c r="C184">
        <v>13</v>
      </c>
      <c r="D184">
        <v>122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1</v>
      </c>
      <c r="N184">
        <v>1</v>
      </c>
      <c r="O184">
        <v>1</v>
      </c>
      <c r="P184">
        <v>2</v>
      </c>
      <c r="Q184">
        <v>2</v>
      </c>
      <c r="R184">
        <v>2</v>
      </c>
      <c r="S184">
        <v>2</v>
      </c>
      <c r="T184">
        <v>2</v>
      </c>
      <c r="U184">
        <v>3</v>
      </c>
      <c r="V184">
        <v>3</v>
      </c>
      <c r="W184">
        <v>3</v>
      </c>
      <c r="X184">
        <v>3</v>
      </c>
      <c r="Y184">
        <v>3</v>
      </c>
      <c r="Z184">
        <v>3</v>
      </c>
      <c r="AA184">
        <v>3</v>
      </c>
      <c r="AB184">
        <v>3</v>
      </c>
      <c r="AC184">
        <v>3</v>
      </c>
      <c r="AD184">
        <v>3</v>
      </c>
      <c r="AE184">
        <v>3</v>
      </c>
      <c r="AF184">
        <v>3</v>
      </c>
      <c r="AG184">
        <v>3</v>
      </c>
      <c r="AH184">
        <v>3</v>
      </c>
      <c r="AI184">
        <v>3</v>
      </c>
      <c r="AJ184">
        <v>3</v>
      </c>
      <c r="AK184">
        <v>3</v>
      </c>
      <c r="AL184">
        <v>3</v>
      </c>
      <c r="AM184">
        <v>3</v>
      </c>
      <c r="AN184">
        <v>3</v>
      </c>
      <c r="AO184">
        <v>3</v>
      </c>
      <c r="AP184">
        <v>3</v>
      </c>
      <c r="AQ184">
        <v>3</v>
      </c>
      <c r="AR184">
        <v>3</v>
      </c>
      <c r="AS184">
        <v>3</v>
      </c>
      <c r="AT184">
        <v>3</v>
      </c>
      <c r="AU184">
        <v>3</v>
      </c>
      <c r="AV184">
        <v>3</v>
      </c>
      <c r="AW184">
        <v>5</v>
      </c>
      <c r="AX184">
        <v>6</v>
      </c>
      <c r="AY184">
        <v>10</v>
      </c>
      <c r="AZ184">
        <v>20</v>
      </c>
      <c r="BA184">
        <v>33</v>
      </c>
      <c r="BB184">
        <v>49</v>
      </c>
      <c r="BC184">
        <v>52</v>
      </c>
      <c r="BD184">
        <v>64</v>
      </c>
      <c r="BE184">
        <v>111</v>
      </c>
      <c r="BF184">
        <v>140</v>
      </c>
      <c r="BG184">
        <v>142</v>
      </c>
      <c r="BH184">
        <v>187</v>
      </c>
      <c r="BI184">
        <v>202</v>
      </c>
      <c r="BJ184">
        <v>217</v>
      </c>
      <c r="BK184">
        <v>230</v>
      </c>
      <c r="BL184">
        <v>307</v>
      </c>
      <c r="BM184">
        <v>380</v>
      </c>
      <c r="BN184">
        <v>462</v>
      </c>
      <c r="BO184">
        <v>552</v>
      </c>
      <c r="BP184">
        <v>636</v>
      </c>
      <c r="BQ184">
        <v>707</v>
      </c>
      <c r="BR184">
        <v>803</v>
      </c>
      <c r="BS184">
        <v>1075</v>
      </c>
    </row>
    <row r="185" spans="2:71" x14ac:dyDescent="0.3">
      <c r="B185" t="s">
        <v>137</v>
      </c>
      <c r="C185">
        <v>51.919400000000003</v>
      </c>
      <c r="D185">
        <v>19.145099999999999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1</v>
      </c>
      <c r="AV185">
        <v>1</v>
      </c>
      <c r="AW185">
        <v>5</v>
      </c>
      <c r="AX185">
        <v>5</v>
      </c>
      <c r="AY185">
        <v>11</v>
      </c>
      <c r="AZ185">
        <v>16</v>
      </c>
      <c r="BA185">
        <v>22</v>
      </c>
      <c r="BB185">
        <v>31</v>
      </c>
      <c r="BC185">
        <v>49</v>
      </c>
      <c r="BD185">
        <v>68</v>
      </c>
      <c r="BE185">
        <v>103</v>
      </c>
      <c r="BF185">
        <v>119</v>
      </c>
      <c r="BG185">
        <v>177</v>
      </c>
      <c r="BH185">
        <v>238</v>
      </c>
      <c r="BI185">
        <v>251</v>
      </c>
      <c r="BJ185">
        <v>355</v>
      </c>
      <c r="BK185">
        <v>425</v>
      </c>
      <c r="BL185">
        <v>536</v>
      </c>
      <c r="BM185">
        <v>634</v>
      </c>
      <c r="BN185">
        <v>749</v>
      </c>
      <c r="BO185">
        <v>901</v>
      </c>
      <c r="BP185">
        <v>1051</v>
      </c>
      <c r="BQ185">
        <v>1221</v>
      </c>
      <c r="BR185">
        <v>1389</v>
      </c>
      <c r="BS185">
        <v>1638</v>
      </c>
    </row>
    <row r="186" spans="2:71" x14ac:dyDescent="0.3">
      <c r="B186" t="s">
        <v>108</v>
      </c>
      <c r="C186">
        <v>39.399900000000002</v>
      </c>
      <c r="D186">
        <v>-8.2245000000000008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2</v>
      </c>
      <c r="AT186">
        <v>2</v>
      </c>
      <c r="AU186">
        <v>5</v>
      </c>
      <c r="AV186">
        <v>8</v>
      </c>
      <c r="AW186">
        <v>13</v>
      </c>
      <c r="AX186">
        <v>20</v>
      </c>
      <c r="AY186">
        <v>30</v>
      </c>
      <c r="AZ186">
        <v>30</v>
      </c>
      <c r="BA186">
        <v>41</v>
      </c>
      <c r="BB186">
        <v>59</v>
      </c>
      <c r="BC186">
        <v>59</v>
      </c>
      <c r="BD186">
        <v>112</v>
      </c>
      <c r="BE186">
        <v>169</v>
      </c>
      <c r="BF186">
        <v>245</v>
      </c>
      <c r="BG186">
        <v>331</v>
      </c>
      <c r="BH186">
        <v>448</v>
      </c>
      <c r="BI186">
        <v>448</v>
      </c>
      <c r="BJ186">
        <v>785</v>
      </c>
      <c r="BK186">
        <v>1020</v>
      </c>
      <c r="BL186">
        <v>1280</v>
      </c>
      <c r="BM186">
        <v>1600</v>
      </c>
      <c r="BN186">
        <v>2060</v>
      </c>
      <c r="BO186">
        <v>2362</v>
      </c>
      <c r="BP186">
        <v>2995</v>
      </c>
      <c r="BQ186">
        <v>3544</v>
      </c>
      <c r="BR186">
        <v>4268</v>
      </c>
      <c r="BS186">
        <v>5170</v>
      </c>
    </row>
    <row r="187" spans="2:71" x14ac:dyDescent="0.3">
      <c r="B187" t="s">
        <v>101</v>
      </c>
      <c r="C187">
        <v>25.354800000000001</v>
      </c>
      <c r="D187">
        <v>51.183900000000001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1</v>
      </c>
      <c r="AR187">
        <v>3</v>
      </c>
      <c r="AS187">
        <v>3</v>
      </c>
      <c r="AT187">
        <v>7</v>
      </c>
      <c r="AU187">
        <v>8</v>
      </c>
      <c r="AV187">
        <v>8</v>
      </c>
      <c r="AW187">
        <v>8</v>
      </c>
      <c r="AX187">
        <v>8</v>
      </c>
      <c r="AY187">
        <v>15</v>
      </c>
      <c r="AZ187">
        <v>18</v>
      </c>
      <c r="BA187">
        <v>24</v>
      </c>
      <c r="BB187">
        <v>262</v>
      </c>
      <c r="BC187">
        <v>262</v>
      </c>
      <c r="BD187">
        <v>320</v>
      </c>
      <c r="BE187">
        <v>337</v>
      </c>
      <c r="BF187">
        <v>401</v>
      </c>
      <c r="BG187">
        <v>439</v>
      </c>
      <c r="BH187">
        <v>439</v>
      </c>
      <c r="BI187">
        <v>452</v>
      </c>
      <c r="BJ187">
        <v>460</v>
      </c>
      <c r="BK187">
        <v>470</v>
      </c>
      <c r="BL187">
        <v>481</v>
      </c>
      <c r="BM187">
        <v>494</v>
      </c>
      <c r="BN187">
        <v>501</v>
      </c>
      <c r="BO187">
        <v>526</v>
      </c>
      <c r="BP187">
        <v>537</v>
      </c>
      <c r="BQ187">
        <v>549</v>
      </c>
      <c r="BR187">
        <v>562</v>
      </c>
      <c r="BS187">
        <v>590</v>
      </c>
    </row>
    <row r="188" spans="2:71" x14ac:dyDescent="0.3">
      <c r="B188" t="s">
        <v>86</v>
      </c>
      <c r="C188">
        <v>45.943199999999997</v>
      </c>
      <c r="D188">
        <v>24.966799999999999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1</v>
      </c>
      <c r="AO188">
        <v>1</v>
      </c>
      <c r="AP188">
        <v>3</v>
      </c>
      <c r="AQ188">
        <v>3</v>
      </c>
      <c r="AR188">
        <v>3</v>
      </c>
      <c r="AS188">
        <v>3</v>
      </c>
      <c r="AT188">
        <v>3</v>
      </c>
      <c r="AU188">
        <v>4</v>
      </c>
      <c r="AV188">
        <v>6</v>
      </c>
      <c r="AW188">
        <v>9</v>
      </c>
      <c r="AX188">
        <v>9</v>
      </c>
      <c r="AY188">
        <v>15</v>
      </c>
      <c r="AZ188">
        <v>15</v>
      </c>
      <c r="BA188">
        <v>25</v>
      </c>
      <c r="BB188">
        <v>45</v>
      </c>
      <c r="BC188">
        <v>49</v>
      </c>
      <c r="BD188">
        <v>89</v>
      </c>
      <c r="BE188">
        <v>123</v>
      </c>
      <c r="BF188">
        <v>131</v>
      </c>
      <c r="BG188">
        <v>158</v>
      </c>
      <c r="BH188">
        <v>184</v>
      </c>
      <c r="BI188">
        <v>260</v>
      </c>
      <c r="BJ188">
        <v>277</v>
      </c>
      <c r="BK188">
        <v>308</v>
      </c>
      <c r="BL188">
        <v>367</v>
      </c>
      <c r="BM188">
        <v>433</v>
      </c>
      <c r="BN188">
        <v>576</v>
      </c>
      <c r="BO188">
        <v>794</v>
      </c>
      <c r="BP188">
        <v>906</v>
      </c>
      <c r="BQ188">
        <v>1029</v>
      </c>
      <c r="BR188">
        <v>1292</v>
      </c>
      <c r="BS188">
        <v>1452</v>
      </c>
    </row>
    <row r="189" spans="2:71" x14ac:dyDescent="0.3">
      <c r="B189" t="s">
        <v>344</v>
      </c>
      <c r="C189">
        <v>60</v>
      </c>
      <c r="D189">
        <v>90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2</v>
      </c>
      <c r="O189">
        <v>2</v>
      </c>
      <c r="P189">
        <v>2</v>
      </c>
      <c r="Q189">
        <v>2</v>
      </c>
      <c r="R189">
        <v>2</v>
      </c>
      <c r="S189">
        <v>2</v>
      </c>
      <c r="T189">
        <v>2</v>
      </c>
      <c r="U189">
        <v>2</v>
      </c>
      <c r="V189">
        <v>2</v>
      </c>
      <c r="W189">
        <v>2</v>
      </c>
      <c r="X189">
        <v>2</v>
      </c>
      <c r="Y189">
        <v>2</v>
      </c>
      <c r="Z189">
        <v>2</v>
      </c>
      <c r="AA189">
        <v>2</v>
      </c>
      <c r="AB189">
        <v>2</v>
      </c>
      <c r="AC189">
        <v>2</v>
      </c>
      <c r="AD189">
        <v>2</v>
      </c>
      <c r="AE189">
        <v>2</v>
      </c>
      <c r="AF189">
        <v>2</v>
      </c>
      <c r="AG189">
        <v>2</v>
      </c>
      <c r="AH189">
        <v>2</v>
      </c>
      <c r="AI189">
        <v>2</v>
      </c>
      <c r="AJ189">
        <v>2</v>
      </c>
      <c r="AK189">
        <v>2</v>
      </c>
      <c r="AL189">
        <v>2</v>
      </c>
      <c r="AM189">
        <v>2</v>
      </c>
      <c r="AN189">
        <v>2</v>
      </c>
      <c r="AO189">
        <v>2</v>
      </c>
      <c r="AP189">
        <v>2</v>
      </c>
      <c r="AQ189">
        <v>2</v>
      </c>
      <c r="AR189">
        <v>2</v>
      </c>
      <c r="AS189">
        <v>3</v>
      </c>
      <c r="AT189">
        <v>3</v>
      </c>
      <c r="AU189">
        <v>3</v>
      </c>
      <c r="AV189">
        <v>4</v>
      </c>
      <c r="AW189">
        <v>13</v>
      </c>
      <c r="AX189">
        <v>13</v>
      </c>
      <c r="AY189">
        <v>17</v>
      </c>
      <c r="AZ189">
        <v>17</v>
      </c>
      <c r="BA189">
        <v>20</v>
      </c>
      <c r="BB189">
        <v>20</v>
      </c>
      <c r="BC189">
        <v>28</v>
      </c>
      <c r="BD189">
        <v>45</v>
      </c>
      <c r="BE189">
        <v>59</v>
      </c>
      <c r="BF189">
        <v>63</v>
      </c>
      <c r="BG189">
        <v>90</v>
      </c>
      <c r="BH189">
        <v>114</v>
      </c>
      <c r="BI189">
        <v>147</v>
      </c>
      <c r="BJ189">
        <v>199</v>
      </c>
      <c r="BK189">
        <v>253</v>
      </c>
      <c r="BL189">
        <v>306</v>
      </c>
      <c r="BM189">
        <v>367</v>
      </c>
      <c r="BN189">
        <v>438</v>
      </c>
      <c r="BO189">
        <v>495</v>
      </c>
      <c r="BP189">
        <v>658</v>
      </c>
      <c r="BQ189">
        <v>840</v>
      </c>
      <c r="BR189">
        <v>1036</v>
      </c>
      <c r="BS189">
        <v>1264</v>
      </c>
    </row>
    <row r="190" spans="2:71" x14ac:dyDescent="0.3">
      <c r="B190" t="s">
        <v>446</v>
      </c>
      <c r="C190">
        <v>-1.9402999999999999</v>
      </c>
      <c r="D190">
        <v>29.873899999999999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1</v>
      </c>
      <c r="BF190">
        <v>1</v>
      </c>
      <c r="BG190">
        <v>5</v>
      </c>
      <c r="BH190">
        <v>7</v>
      </c>
      <c r="BI190">
        <v>8</v>
      </c>
      <c r="BJ190">
        <v>8</v>
      </c>
      <c r="BK190">
        <v>17</v>
      </c>
      <c r="BL190">
        <v>17</v>
      </c>
      <c r="BM190">
        <v>19</v>
      </c>
      <c r="BN190">
        <v>36</v>
      </c>
      <c r="BO190">
        <v>40</v>
      </c>
      <c r="BP190">
        <v>41</v>
      </c>
      <c r="BQ190">
        <v>50</v>
      </c>
      <c r="BR190">
        <v>54</v>
      </c>
      <c r="BS190">
        <v>60</v>
      </c>
    </row>
    <row r="191" spans="2:71" x14ac:dyDescent="0.3">
      <c r="B191" t="s">
        <v>447</v>
      </c>
      <c r="C191">
        <v>13.9094</v>
      </c>
      <c r="D191">
        <v>-60.978900000000003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1</v>
      </c>
      <c r="BF191">
        <v>2</v>
      </c>
      <c r="BG191">
        <v>2</v>
      </c>
      <c r="BH191">
        <v>2</v>
      </c>
      <c r="BI191">
        <v>2</v>
      </c>
      <c r="BJ191">
        <v>2</v>
      </c>
      <c r="BK191">
        <v>2</v>
      </c>
      <c r="BL191">
        <v>2</v>
      </c>
      <c r="BM191">
        <v>2</v>
      </c>
      <c r="BN191">
        <v>3</v>
      </c>
      <c r="BO191">
        <v>3</v>
      </c>
      <c r="BP191">
        <v>3</v>
      </c>
      <c r="BQ191">
        <v>3</v>
      </c>
      <c r="BR191">
        <v>3</v>
      </c>
      <c r="BS191">
        <v>3</v>
      </c>
    </row>
    <row r="192" spans="2:71" x14ac:dyDescent="0.3">
      <c r="B192" t="s">
        <v>448</v>
      </c>
      <c r="C192">
        <v>12.984299999999999</v>
      </c>
      <c r="D192">
        <v>-61.287199999999999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1</v>
      </c>
      <c r="BF192">
        <v>1</v>
      </c>
      <c r="BG192">
        <v>1</v>
      </c>
      <c r="BH192">
        <v>1</v>
      </c>
      <c r="BI192">
        <v>1</v>
      </c>
      <c r="BJ192">
        <v>1</v>
      </c>
      <c r="BK192">
        <v>1</v>
      </c>
      <c r="BL192">
        <v>1</v>
      </c>
      <c r="BM192">
        <v>1</v>
      </c>
      <c r="BN192">
        <v>1</v>
      </c>
      <c r="BO192">
        <v>1</v>
      </c>
      <c r="BP192">
        <v>1</v>
      </c>
      <c r="BQ192">
        <v>1</v>
      </c>
      <c r="BR192">
        <v>1</v>
      </c>
      <c r="BS192">
        <v>1</v>
      </c>
    </row>
    <row r="193" spans="2:71" x14ac:dyDescent="0.3">
      <c r="B193" t="s">
        <v>90</v>
      </c>
      <c r="C193">
        <v>43.942399999999999</v>
      </c>
      <c r="D193">
        <v>12.457800000000001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1</v>
      </c>
      <c r="AP193">
        <v>1</v>
      </c>
      <c r="AQ193">
        <v>1</v>
      </c>
      <c r="AR193">
        <v>1</v>
      </c>
      <c r="AS193">
        <v>8</v>
      </c>
      <c r="AT193">
        <v>10</v>
      </c>
      <c r="AU193">
        <v>16</v>
      </c>
      <c r="AV193">
        <v>21</v>
      </c>
      <c r="AW193">
        <v>21</v>
      </c>
      <c r="AX193">
        <v>23</v>
      </c>
      <c r="AY193">
        <v>36</v>
      </c>
      <c r="AZ193">
        <v>36</v>
      </c>
      <c r="BA193">
        <v>51</v>
      </c>
      <c r="BB193">
        <v>62</v>
      </c>
      <c r="BC193">
        <v>69</v>
      </c>
      <c r="BD193">
        <v>80</v>
      </c>
      <c r="BE193">
        <v>80</v>
      </c>
      <c r="BF193">
        <v>101</v>
      </c>
      <c r="BG193">
        <v>109</v>
      </c>
      <c r="BH193">
        <v>109</v>
      </c>
      <c r="BI193">
        <v>119</v>
      </c>
      <c r="BJ193">
        <v>119</v>
      </c>
      <c r="BK193">
        <v>144</v>
      </c>
      <c r="BL193">
        <v>144</v>
      </c>
      <c r="BM193">
        <v>175</v>
      </c>
      <c r="BN193">
        <v>187</v>
      </c>
      <c r="BO193">
        <v>187</v>
      </c>
      <c r="BP193">
        <v>208</v>
      </c>
      <c r="BQ193">
        <v>208</v>
      </c>
      <c r="BR193">
        <v>223</v>
      </c>
      <c r="BS193">
        <v>224</v>
      </c>
    </row>
    <row r="194" spans="2:71" x14ac:dyDescent="0.3">
      <c r="B194" t="s">
        <v>113</v>
      </c>
      <c r="C194">
        <v>24</v>
      </c>
      <c r="D194">
        <v>45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1</v>
      </c>
      <c r="AT194">
        <v>1</v>
      </c>
      <c r="AU194">
        <v>1</v>
      </c>
      <c r="AV194">
        <v>5</v>
      </c>
      <c r="AW194">
        <v>5</v>
      </c>
      <c r="AX194">
        <v>5</v>
      </c>
      <c r="AY194">
        <v>11</v>
      </c>
      <c r="AZ194">
        <v>15</v>
      </c>
      <c r="BA194">
        <v>20</v>
      </c>
      <c r="BB194">
        <v>21</v>
      </c>
      <c r="BC194">
        <v>45</v>
      </c>
      <c r="BD194">
        <v>86</v>
      </c>
      <c r="BE194">
        <v>103</v>
      </c>
      <c r="BF194">
        <v>103</v>
      </c>
      <c r="BG194">
        <v>118</v>
      </c>
      <c r="BH194">
        <v>171</v>
      </c>
      <c r="BI194">
        <v>171</v>
      </c>
      <c r="BJ194">
        <v>274</v>
      </c>
      <c r="BK194">
        <v>344</v>
      </c>
      <c r="BL194">
        <v>392</v>
      </c>
      <c r="BM194">
        <v>511</v>
      </c>
      <c r="BN194">
        <v>562</v>
      </c>
      <c r="BO194">
        <v>767</v>
      </c>
      <c r="BP194">
        <v>900</v>
      </c>
      <c r="BQ194">
        <v>1012</v>
      </c>
      <c r="BR194">
        <v>1104</v>
      </c>
      <c r="BS194">
        <v>1203</v>
      </c>
    </row>
    <row r="195" spans="2:71" x14ac:dyDescent="0.3">
      <c r="B195" t="s">
        <v>114</v>
      </c>
      <c r="C195">
        <v>14.497400000000001</v>
      </c>
      <c r="D195">
        <v>-14.452400000000001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1</v>
      </c>
      <c r="AT195">
        <v>2</v>
      </c>
      <c r="AU195">
        <v>4</v>
      </c>
      <c r="AV195">
        <v>4</v>
      </c>
      <c r="AW195">
        <v>4</v>
      </c>
      <c r="AX195">
        <v>4</v>
      </c>
      <c r="AY195">
        <v>4</v>
      </c>
      <c r="AZ195">
        <v>4</v>
      </c>
      <c r="BA195">
        <v>4</v>
      </c>
      <c r="BB195">
        <v>4</v>
      </c>
      <c r="BC195">
        <v>4</v>
      </c>
      <c r="BD195">
        <v>10</v>
      </c>
      <c r="BE195">
        <v>10</v>
      </c>
      <c r="BF195">
        <v>24</v>
      </c>
      <c r="BG195">
        <v>24</v>
      </c>
      <c r="BH195">
        <v>26</v>
      </c>
      <c r="BI195">
        <v>31</v>
      </c>
      <c r="BJ195">
        <v>31</v>
      </c>
      <c r="BK195">
        <v>38</v>
      </c>
      <c r="BL195">
        <v>47</v>
      </c>
      <c r="BM195">
        <v>67</v>
      </c>
      <c r="BN195">
        <v>79</v>
      </c>
      <c r="BO195">
        <v>86</v>
      </c>
      <c r="BP195">
        <v>99</v>
      </c>
      <c r="BQ195">
        <v>105</v>
      </c>
      <c r="BR195">
        <v>119</v>
      </c>
      <c r="BS195">
        <v>130</v>
      </c>
    </row>
    <row r="196" spans="2:71" x14ac:dyDescent="0.3">
      <c r="B196" t="s">
        <v>161</v>
      </c>
      <c r="C196">
        <v>44.016500000000001</v>
      </c>
      <c r="D196">
        <v>21.0059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1</v>
      </c>
      <c r="AX196">
        <v>1</v>
      </c>
      <c r="AY196">
        <v>1</v>
      </c>
      <c r="AZ196">
        <v>1</v>
      </c>
      <c r="BA196">
        <v>5</v>
      </c>
      <c r="BB196">
        <v>12</v>
      </c>
      <c r="BC196">
        <v>19</v>
      </c>
      <c r="BD196">
        <v>35</v>
      </c>
      <c r="BE196">
        <v>46</v>
      </c>
      <c r="BF196">
        <v>48</v>
      </c>
      <c r="BG196">
        <v>55</v>
      </c>
      <c r="BH196">
        <v>65</v>
      </c>
      <c r="BI196">
        <v>83</v>
      </c>
      <c r="BJ196">
        <v>103</v>
      </c>
      <c r="BK196">
        <v>135</v>
      </c>
      <c r="BL196">
        <v>171</v>
      </c>
      <c r="BM196">
        <v>222</v>
      </c>
      <c r="BN196">
        <v>249</v>
      </c>
      <c r="BO196">
        <v>303</v>
      </c>
      <c r="BP196">
        <v>384</v>
      </c>
      <c r="BQ196">
        <v>384</v>
      </c>
      <c r="BR196">
        <v>457</v>
      </c>
      <c r="BS196">
        <v>659</v>
      </c>
    </row>
    <row r="197" spans="2:71" x14ac:dyDescent="0.3">
      <c r="B197" t="s">
        <v>438</v>
      </c>
      <c r="C197">
        <v>-4.6795999999999998</v>
      </c>
      <c r="D197">
        <v>55.491999999999997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2</v>
      </c>
      <c r="BF197">
        <v>2</v>
      </c>
      <c r="BG197">
        <v>3</v>
      </c>
      <c r="BH197">
        <v>4</v>
      </c>
      <c r="BI197">
        <v>4</v>
      </c>
      <c r="BJ197">
        <v>6</v>
      </c>
      <c r="BK197">
        <v>7</v>
      </c>
      <c r="BL197">
        <v>7</v>
      </c>
      <c r="BM197">
        <v>7</v>
      </c>
      <c r="BN197">
        <v>7</v>
      </c>
      <c r="BO197">
        <v>7</v>
      </c>
      <c r="BP197">
        <v>7</v>
      </c>
      <c r="BQ197">
        <v>7</v>
      </c>
      <c r="BR197">
        <v>7</v>
      </c>
      <c r="BS197">
        <v>8</v>
      </c>
    </row>
    <row r="198" spans="2:71" x14ac:dyDescent="0.3">
      <c r="B198" t="s">
        <v>40</v>
      </c>
      <c r="C198">
        <v>1.2833000000000001</v>
      </c>
      <c r="D198">
        <v>103.83329999999999</v>
      </c>
      <c r="E198">
        <v>0</v>
      </c>
      <c r="F198">
        <v>1</v>
      </c>
      <c r="G198">
        <v>3</v>
      </c>
      <c r="H198">
        <v>3</v>
      </c>
      <c r="I198">
        <v>4</v>
      </c>
      <c r="J198">
        <v>5</v>
      </c>
      <c r="K198">
        <v>7</v>
      </c>
      <c r="L198">
        <v>7</v>
      </c>
      <c r="M198">
        <v>10</v>
      </c>
      <c r="N198">
        <v>13</v>
      </c>
      <c r="O198">
        <v>16</v>
      </c>
      <c r="P198">
        <v>18</v>
      </c>
      <c r="Q198">
        <v>18</v>
      </c>
      <c r="R198">
        <v>24</v>
      </c>
      <c r="S198">
        <v>28</v>
      </c>
      <c r="T198">
        <v>28</v>
      </c>
      <c r="U198">
        <v>30</v>
      </c>
      <c r="V198">
        <v>33</v>
      </c>
      <c r="W198">
        <v>40</v>
      </c>
      <c r="X198">
        <v>45</v>
      </c>
      <c r="Y198">
        <v>47</v>
      </c>
      <c r="Z198">
        <v>50</v>
      </c>
      <c r="AA198">
        <v>58</v>
      </c>
      <c r="AB198">
        <v>67</v>
      </c>
      <c r="AC198">
        <v>72</v>
      </c>
      <c r="AD198">
        <v>75</v>
      </c>
      <c r="AE198">
        <v>77</v>
      </c>
      <c r="AF198">
        <v>81</v>
      </c>
      <c r="AG198">
        <v>84</v>
      </c>
      <c r="AH198">
        <v>84</v>
      </c>
      <c r="AI198">
        <v>85</v>
      </c>
      <c r="AJ198">
        <v>85</v>
      </c>
      <c r="AK198">
        <v>89</v>
      </c>
      <c r="AL198">
        <v>89</v>
      </c>
      <c r="AM198">
        <v>91</v>
      </c>
      <c r="AN198">
        <v>93</v>
      </c>
      <c r="AO198">
        <v>93</v>
      </c>
      <c r="AP198">
        <v>93</v>
      </c>
      <c r="AQ198">
        <v>102</v>
      </c>
      <c r="AR198">
        <v>106</v>
      </c>
      <c r="AS198">
        <v>108</v>
      </c>
      <c r="AT198">
        <v>110</v>
      </c>
      <c r="AU198">
        <v>110</v>
      </c>
      <c r="AV198">
        <v>117</v>
      </c>
      <c r="AW198">
        <v>130</v>
      </c>
      <c r="AX198">
        <v>138</v>
      </c>
      <c r="AY198">
        <v>150</v>
      </c>
      <c r="AZ198">
        <v>150</v>
      </c>
      <c r="BA198">
        <v>160</v>
      </c>
      <c r="BB198">
        <v>178</v>
      </c>
      <c r="BC198">
        <v>178</v>
      </c>
      <c r="BD198">
        <v>200</v>
      </c>
      <c r="BE198">
        <v>212</v>
      </c>
      <c r="BF198">
        <v>226</v>
      </c>
      <c r="BG198">
        <v>243</v>
      </c>
      <c r="BH198">
        <v>266</v>
      </c>
      <c r="BI198">
        <v>313</v>
      </c>
      <c r="BJ198">
        <v>345</v>
      </c>
      <c r="BK198">
        <v>385</v>
      </c>
      <c r="BL198">
        <v>432</v>
      </c>
      <c r="BM198">
        <v>455</v>
      </c>
      <c r="BN198">
        <v>509</v>
      </c>
      <c r="BO198">
        <v>558</v>
      </c>
      <c r="BP198">
        <v>631</v>
      </c>
      <c r="BQ198">
        <v>683</v>
      </c>
      <c r="BR198">
        <v>732</v>
      </c>
      <c r="BS198">
        <v>802</v>
      </c>
    </row>
    <row r="199" spans="2:71" x14ac:dyDescent="0.3">
      <c r="B199" t="s">
        <v>162</v>
      </c>
      <c r="C199">
        <v>48.668999999999997</v>
      </c>
      <c r="D199">
        <v>19.699000000000002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1</v>
      </c>
      <c r="AX199">
        <v>1</v>
      </c>
      <c r="AY199">
        <v>3</v>
      </c>
      <c r="AZ199">
        <v>3</v>
      </c>
      <c r="BA199">
        <v>7</v>
      </c>
      <c r="BB199">
        <v>10</v>
      </c>
      <c r="BC199">
        <v>16</v>
      </c>
      <c r="BD199">
        <v>32</v>
      </c>
      <c r="BE199">
        <v>44</v>
      </c>
      <c r="BF199">
        <v>54</v>
      </c>
      <c r="BG199">
        <v>63</v>
      </c>
      <c r="BH199">
        <v>72</v>
      </c>
      <c r="BI199">
        <v>105</v>
      </c>
      <c r="BJ199">
        <v>123</v>
      </c>
      <c r="BK199">
        <v>137</v>
      </c>
      <c r="BL199">
        <v>178</v>
      </c>
      <c r="BM199">
        <v>185</v>
      </c>
      <c r="BN199">
        <v>186</v>
      </c>
      <c r="BO199">
        <v>204</v>
      </c>
      <c r="BP199">
        <v>216</v>
      </c>
      <c r="BQ199">
        <v>226</v>
      </c>
      <c r="BR199">
        <v>269</v>
      </c>
      <c r="BS199">
        <v>292</v>
      </c>
    </row>
    <row r="200" spans="2:71" x14ac:dyDescent="0.3">
      <c r="B200" t="s">
        <v>141</v>
      </c>
      <c r="C200">
        <v>46.151200000000003</v>
      </c>
      <c r="D200">
        <v>14.9955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2</v>
      </c>
      <c r="AW200">
        <v>7</v>
      </c>
      <c r="AX200">
        <v>7</v>
      </c>
      <c r="AY200">
        <v>16</v>
      </c>
      <c r="AZ200">
        <v>16</v>
      </c>
      <c r="BA200">
        <v>31</v>
      </c>
      <c r="BB200">
        <v>57</v>
      </c>
      <c r="BC200">
        <v>89</v>
      </c>
      <c r="BD200">
        <v>141</v>
      </c>
      <c r="BE200">
        <v>181</v>
      </c>
      <c r="BF200">
        <v>219</v>
      </c>
      <c r="BG200">
        <v>253</v>
      </c>
      <c r="BH200">
        <v>275</v>
      </c>
      <c r="BI200">
        <v>275</v>
      </c>
      <c r="BJ200">
        <v>286</v>
      </c>
      <c r="BK200">
        <v>341</v>
      </c>
      <c r="BL200">
        <v>383</v>
      </c>
      <c r="BM200">
        <v>414</v>
      </c>
      <c r="BN200">
        <v>442</v>
      </c>
      <c r="BO200">
        <v>480</v>
      </c>
      <c r="BP200">
        <v>528</v>
      </c>
      <c r="BQ200">
        <v>562</v>
      </c>
      <c r="BR200">
        <v>632</v>
      </c>
      <c r="BS200">
        <v>684</v>
      </c>
    </row>
    <row r="201" spans="2:71" x14ac:dyDescent="0.3">
      <c r="B201" t="s">
        <v>471</v>
      </c>
      <c r="C201">
        <v>5.1520999999999999</v>
      </c>
      <c r="D201">
        <v>46.199599999999997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1</v>
      </c>
      <c r="BH201">
        <v>1</v>
      </c>
      <c r="BI201">
        <v>1</v>
      </c>
      <c r="BJ201">
        <v>1</v>
      </c>
      <c r="BK201">
        <v>1</v>
      </c>
      <c r="BL201">
        <v>1</v>
      </c>
      <c r="BM201">
        <v>1</v>
      </c>
      <c r="BN201">
        <v>1</v>
      </c>
      <c r="BO201">
        <v>1</v>
      </c>
      <c r="BP201">
        <v>1</v>
      </c>
      <c r="BQ201">
        <v>2</v>
      </c>
      <c r="BR201">
        <v>3</v>
      </c>
      <c r="BS201">
        <v>3</v>
      </c>
    </row>
    <row r="202" spans="2:71" x14ac:dyDescent="0.3">
      <c r="B202" t="s">
        <v>145</v>
      </c>
      <c r="C202">
        <v>-30.5595</v>
      </c>
      <c r="D202">
        <v>22.9375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1</v>
      </c>
      <c r="AW202">
        <v>1</v>
      </c>
      <c r="AX202">
        <v>1</v>
      </c>
      <c r="AY202">
        <v>3</v>
      </c>
      <c r="AZ202">
        <v>3</v>
      </c>
      <c r="BA202">
        <v>7</v>
      </c>
      <c r="BB202">
        <v>13</v>
      </c>
      <c r="BC202">
        <v>17</v>
      </c>
      <c r="BD202">
        <v>24</v>
      </c>
      <c r="BE202">
        <v>38</v>
      </c>
      <c r="BF202">
        <v>51</v>
      </c>
      <c r="BG202">
        <v>62</v>
      </c>
      <c r="BH202">
        <v>62</v>
      </c>
      <c r="BI202">
        <v>116</v>
      </c>
      <c r="BJ202">
        <v>150</v>
      </c>
      <c r="BK202">
        <v>202</v>
      </c>
      <c r="BL202">
        <v>240</v>
      </c>
      <c r="BM202">
        <v>274</v>
      </c>
      <c r="BN202">
        <v>402</v>
      </c>
      <c r="BO202">
        <v>554</v>
      </c>
      <c r="BP202">
        <v>709</v>
      </c>
      <c r="BQ202">
        <v>927</v>
      </c>
      <c r="BR202">
        <v>1170</v>
      </c>
      <c r="BS202">
        <v>1187</v>
      </c>
    </row>
    <row r="203" spans="2:71" x14ac:dyDescent="0.3">
      <c r="B203" t="s">
        <v>60</v>
      </c>
      <c r="C203">
        <v>40</v>
      </c>
      <c r="D203">
        <v>-4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1</v>
      </c>
      <c r="P203">
        <v>1</v>
      </c>
      <c r="Q203">
        <v>1</v>
      </c>
      <c r="R203">
        <v>1</v>
      </c>
      <c r="S203">
        <v>1</v>
      </c>
      <c r="T203">
        <v>1</v>
      </c>
      <c r="U203">
        <v>1</v>
      </c>
      <c r="V203">
        <v>1</v>
      </c>
      <c r="W203">
        <v>2</v>
      </c>
      <c r="X203">
        <v>2</v>
      </c>
      <c r="Y203">
        <v>2</v>
      </c>
      <c r="Z203">
        <v>2</v>
      </c>
      <c r="AA203">
        <v>2</v>
      </c>
      <c r="AB203">
        <v>2</v>
      </c>
      <c r="AC203">
        <v>2</v>
      </c>
      <c r="AD203">
        <v>2</v>
      </c>
      <c r="AE203">
        <v>2</v>
      </c>
      <c r="AF203">
        <v>2</v>
      </c>
      <c r="AG203">
        <v>2</v>
      </c>
      <c r="AH203">
        <v>2</v>
      </c>
      <c r="AI203">
        <v>2</v>
      </c>
      <c r="AJ203">
        <v>2</v>
      </c>
      <c r="AK203">
        <v>2</v>
      </c>
      <c r="AL203">
        <v>2</v>
      </c>
      <c r="AM203">
        <v>6</v>
      </c>
      <c r="AN203">
        <v>13</v>
      </c>
      <c r="AO203">
        <v>15</v>
      </c>
      <c r="AP203">
        <v>32</v>
      </c>
      <c r="AQ203">
        <v>45</v>
      </c>
      <c r="AR203">
        <v>84</v>
      </c>
      <c r="AS203">
        <v>120</v>
      </c>
      <c r="AT203">
        <v>165</v>
      </c>
      <c r="AU203">
        <v>222</v>
      </c>
      <c r="AV203">
        <v>259</v>
      </c>
      <c r="AW203">
        <v>400</v>
      </c>
      <c r="AX203">
        <v>500</v>
      </c>
      <c r="AY203">
        <v>673</v>
      </c>
      <c r="AZ203">
        <v>1073</v>
      </c>
      <c r="BA203">
        <v>1695</v>
      </c>
      <c r="BB203">
        <v>2277</v>
      </c>
      <c r="BC203">
        <v>2277</v>
      </c>
      <c r="BD203">
        <v>5232</v>
      </c>
      <c r="BE203">
        <v>6391</v>
      </c>
      <c r="BF203">
        <v>7798</v>
      </c>
      <c r="BG203">
        <v>9942</v>
      </c>
      <c r="BH203">
        <v>11748</v>
      </c>
      <c r="BI203">
        <v>13910</v>
      </c>
      <c r="BJ203">
        <v>17963</v>
      </c>
      <c r="BK203">
        <v>20410</v>
      </c>
      <c r="BL203">
        <v>25374</v>
      </c>
      <c r="BM203">
        <v>28768</v>
      </c>
      <c r="BN203">
        <v>35136</v>
      </c>
      <c r="BO203">
        <v>39885</v>
      </c>
      <c r="BP203">
        <v>49515</v>
      </c>
      <c r="BQ203">
        <v>57786</v>
      </c>
      <c r="BR203">
        <v>65719</v>
      </c>
      <c r="BS203">
        <v>73235</v>
      </c>
    </row>
    <row r="204" spans="2:71" x14ac:dyDescent="0.3">
      <c r="B204" t="s">
        <v>52</v>
      </c>
      <c r="C204">
        <v>7</v>
      </c>
      <c r="D204">
        <v>81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1</v>
      </c>
      <c r="K204">
        <v>1</v>
      </c>
      <c r="L204">
        <v>1</v>
      </c>
      <c r="M204">
        <v>1</v>
      </c>
      <c r="N204">
        <v>1</v>
      </c>
      <c r="O204">
        <v>1</v>
      </c>
      <c r="P204">
        <v>1</v>
      </c>
      <c r="Q204">
        <v>1</v>
      </c>
      <c r="R204">
        <v>1</v>
      </c>
      <c r="S204">
        <v>1</v>
      </c>
      <c r="T204">
        <v>1</v>
      </c>
      <c r="U204">
        <v>1</v>
      </c>
      <c r="V204">
        <v>1</v>
      </c>
      <c r="W204">
        <v>1</v>
      </c>
      <c r="X204">
        <v>1</v>
      </c>
      <c r="Y204">
        <v>1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>
        <v>1</v>
      </c>
      <c r="AH204">
        <v>1</v>
      </c>
      <c r="AI204">
        <v>1</v>
      </c>
      <c r="AJ204">
        <v>1</v>
      </c>
      <c r="AK204">
        <v>1</v>
      </c>
      <c r="AL204">
        <v>1</v>
      </c>
      <c r="AM204">
        <v>1</v>
      </c>
      <c r="AN204">
        <v>1</v>
      </c>
      <c r="AO204">
        <v>1</v>
      </c>
      <c r="AP204">
        <v>1</v>
      </c>
      <c r="AQ204">
        <v>1</v>
      </c>
      <c r="AR204">
        <v>1</v>
      </c>
      <c r="AS204">
        <v>1</v>
      </c>
      <c r="AT204">
        <v>1</v>
      </c>
      <c r="AU204">
        <v>1</v>
      </c>
      <c r="AV204">
        <v>1</v>
      </c>
      <c r="AW204">
        <v>1</v>
      </c>
      <c r="AX204">
        <v>1</v>
      </c>
      <c r="AY204">
        <v>1</v>
      </c>
      <c r="AZ204">
        <v>1</v>
      </c>
      <c r="BA204">
        <v>1</v>
      </c>
      <c r="BB204">
        <v>2</v>
      </c>
      <c r="BC204">
        <v>2</v>
      </c>
      <c r="BD204">
        <v>6</v>
      </c>
      <c r="BE204">
        <v>10</v>
      </c>
      <c r="BF204">
        <v>18</v>
      </c>
      <c r="BG204">
        <v>28</v>
      </c>
      <c r="BH204">
        <v>44</v>
      </c>
      <c r="BI204">
        <v>51</v>
      </c>
      <c r="BJ204">
        <v>60</v>
      </c>
      <c r="BK204">
        <v>73</v>
      </c>
      <c r="BL204">
        <v>77</v>
      </c>
      <c r="BM204">
        <v>82</v>
      </c>
      <c r="BN204">
        <v>97</v>
      </c>
      <c r="BO204">
        <v>102</v>
      </c>
      <c r="BP204">
        <v>102</v>
      </c>
      <c r="BQ204">
        <v>106</v>
      </c>
      <c r="BR204">
        <v>106</v>
      </c>
      <c r="BS204">
        <v>113</v>
      </c>
    </row>
    <row r="205" spans="2:71" x14ac:dyDescent="0.3">
      <c r="B205" t="s">
        <v>420</v>
      </c>
      <c r="C205">
        <v>12.8628</v>
      </c>
      <c r="D205">
        <v>30.217600000000001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1</v>
      </c>
      <c r="BE205">
        <v>1</v>
      </c>
      <c r="BF205">
        <v>1</v>
      </c>
      <c r="BG205">
        <v>1</v>
      </c>
      <c r="BH205">
        <v>1</v>
      </c>
      <c r="BI205">
        <v>2</v>
      </c>
      <c r="BJ205">
        <v>2</v>
      </c>
      <c r="BK205">
        <v>2</v>
      </c>
      <c r="BL205">
        <v>2</v>
      </c>
      <c r="BM205">
        <v>2</v>
      </c>
      <c r="BN205">
        <v>2</v>
      </c>
      <c r="BO205">
        <v>3</v>
      </c>
      <c r="BP205">
        <v>3</v>
      </c>
      <c r="BQ205">
        <v>3</v>
      </c>
      <c r="BR205">
        <v>3</v>
      </c>
      <c r="BS205">
        <v>5</v>
      </c>
    </row>
    <row r="206" spans="2:71" x14ac:dyDescent="0.3">
      <c r="B206" t="s">
        <v>449</v>
      </c>
      <c r="C206">
        <v>3.9192999999999998</v>
      </c>
      <c r="D206">
        <v>-56.027799999999999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1</v>
      </c>
      <c r="BF206">
        <v>1</v>
      </c>
      <c r="BG206">
        <v>1</v>
      </c>
      <c r="BH206">
        <v>1</v>
      </c>
      <c r="BI206">
        <v>1</v>
      </c>
      <c r="BJ206">
        <v>1</v>
      </c>
      <c r="BK206">
        <v>4</v>
      </c>
      <c r="BL206">
        <v>4</v>
      </c>
      <c r="BM206">
        <v>5</v>
      </c>
      <c r="BN206">
        <v>5</v>
      </c>
      <c r="BO206">
        <v>7</v>
      </c>
      <c r="BP206">
        <v>8</v>
      </c>
      <c r="BQ206">
        <v>8</v>
      </c>
      <c r="BR206">
        <v>8</v>
      </c>
      <c r="BS206">
        <v>8</v>
      </c>
    </row>
    <row r="207" spans="2:71" x14ac:dyDescent="0.3">
      <c r="B207" t="s">
        <v>59</v>
      </c>
      <c r="C207">
        <v>63</v>
      </c>
      <c r="D207">
        <v>16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1</v>
      </c>
      <c r="O207">
        <v>1</v>
      </c>
      <c r="P207">
        <v>1</v>
      </c>
      <c r="Q207">
        <v>1</v>
      </c>
      <c r="R207">
        <v>1</v>
      </c>
      <c r="S207">
        <v>1</v>
      </c>
      <c r="T207">
        <v>1</v>
      </c>
      <c r="U207">
        <v>1</v>
      </c>
      <c r="V207">
        <v>1</v>
      </c>
      <c r="W207">
        <v>1</v>
      </c>
      <c r="X207">
        <v>1</v>
      </c>
      <c r="Y207">
        <v>1</v>
      </c>
      <c r="Z207">
        <v>1</v>
      </c>
      <c r="AA207">
        <v>1</v>
      </c>
      <c r="AB207">
        <v>1</v>
      </c>
      <c r="AC207">
        <v>1</v>
      </c>
      <c r="AD207">
        <v>1</v>
      </c>
      <c r="AE207">
        <v>1</v>
      </c>
      <c r="AF207">
        <v>1</v>
      </c>
      <c r="AG207">
        <v>1</v>
      </c>
      <c r="AH207">
        <v>1</v>
      </c>
      <c r="AI207">
        <v>1</v>
      </c>
      <c r="AJ207">
        <v>1</v>
      </c>
      <c r="AK207">
        <v>1</v>
      </c>
      <c r="AL207">
        <v>1</v>
      </c>
      <c r="AM207">
        <v>1</v>
      </c>
      <c r="AN207">
        <v>2</v>
      </c>
      <c r="AO207">
        <v>7</v>
      </c>
      <c r="AP207">
        <v>7</v>
      </c>
      <c r="AQ207">
        <v>12</v>
      </c>
      <c r="AR207">
        <v>14</v>
      </c>
      <c r="AS207">
        <v>15</v>
      </c>
      <c r="AT207">
        <v>21</v>
      </c>
      <c r="AU207">
        <v>35</v>
      </c>
      <c r="AV207">
        <v>94</v>
      </c>
      <c r="AW207">
        <v>101</v>
      </c>
      <c r="AX207">
        <v>161</v>
      </c>
      <c r="AY207">
        <v>203</v>
      </c>
      <c r="AZ207">
        <v>248</v>
      </c>
      <c r="BA207">
        <v>355</v>
      </c>
      <c r="BB207">
        <v>500</v>
      </c>
      <c r="BC207">
        <v>599</v>
      </c>
      <c r="BD207">
        <v>814</v>
      </c>
      <c r="BE207">
        <v>961</v>
      </c>
      <c r="BF207">
        <v>1022</v>
      </c>
      <c r="BG207">
        <v>1103</v>
      </c>
      <c r="BH207">
        <v>1190</v>
      </c>
      <c r="BI207">
        <v>1279</v>
      </c>
      <c r="BJ207">
        <v>1439</v>
      </c>
      <c r="BK207">
        <v>1639</v>
      </c>
      <c r="BL207">
        <v>1763</v>
      </c>
      <c r="BM207">
        <v>1934</v>
      </c>
      <c r="BN207">
        <v>2046</v>
      </c>
      <c r="BO207">
        <v>2286</v>
      </c>
      <c r="BP207">
        <v>2526</v>
      </c>
      <c r="BQ207">
        <v>2840</v>
      </c>
      <c r="BR207">
        <v>3069</v>
      </c>
      <c r="BS207">
        <v>3447</v>
      </c>
    </row>
    <row r="208" spans="2:71" x14ac:dyDescent="0.3">
      <c r="B208" t="s">
        <v>77</v>
      </c>
      <c r="C208">
        <v>46.818199999999997</v>
      </c>
      <c r="D208">
        <v>8.2274999999999991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1</v>
      </c>
      <c r="AN208">
        <v>1</v>
      </c>
      <c r="AO208">
        <v>8</v>
      </c>
      <c r="AP208">
        <v>8</v>
      </c>
      <c r="AQ208">
        <v>18</v>
      </c>
      <c r="AR208">
        <v>27</v>
      </c>
      <c r="AS208">
        <v>42</v>
      </c>
      <c r="AT208">
        <v>56</v>
      </c>
      <c r="AU208">
        <v>90</v>
      </c>
      <c r="AV208">
        <v>114</v>
      </c>
      <c r="AW208">
        <v>214</v>
      </c>
      <c r="AX208">
        <v>268</v>
      </c>
      <c r="AY208">
        <v>337</v>
      </c>
      <c r="AZ208">
        <v>374</v>
      </c>
      <c r="BA208">
        <v>491</v>
      </c>
      <c r="BB208">
        <v>652</v>
      </c>
      <c r="BC208">
        <v>652</v>
      </c>
      <c r="BD208">
        <v>1139</v>
      </c>
      <c r="BE208">
        <v>1359</v>
      </c>
      <c r="BF208">
        <v>2200</v>
      </c>
      <c r="BG208">
        <v>2200</v>
      </c>
      <c r="BH208">
        <v>2700</v>
      </c>
      <c r="BI208">
        <v>3028</v>
      </c>
      <c r="BJ208">
        <v>4075</v>
      </c>
      <c r="BK208">
        <v>5294</v>
      </c>
      <c r="BL208">
        <v>6575</v>
      </c>
      <c r="BM208">
        <v>7474</v>
      </c>
      <c r="BN208">
        <v>8795</v>
      </c>
      <c r="BO208">
        <v>9877</v>
      </c>
      <c r="BP208">
        <v>10897</v>
      </c>
      <c r="BQ208">
        <v>11811</v>
      </c>
      <c r="BR208">
        <v>12928</v>
      </c>
      <c r="BS208">
        <v>14076</v>
      </c>
    </row>
    <row r="209" spans="1:71" x14ac:dyDescent="0.3">
      <c r="B209" t="s">
        <v>342</v>
      </c>
      <c r="C209">
        <v>23.7</v>
      </c>
      <c r="D209">
        <v>121</v>
      </c>
      <c r="E209">
        <v>1</v>
      </c>
      <c r="F209">
        <v>1</v>
      </c>
      <c r="G209">
        <v>3</v>
      </c>
      <c r="H209">
        <v>3</v>
      </c>
      <c r="I209">
        <v>4</v>
      </c>
      <c r="J209">
        <v>5</v>
      </c>
      <c r="K209">
        <v>8</v>
      </c>
      <c r="L209">
        <v>8</v>
      </c>
      <c r="M209">
        <v>9</v>
      </c>
      <c r="N209">
        <v>10</v>
      </c>
      <c r="O209">
        <v>10</v>
      </c>
      <c r="P209">
        <v>10</v>
      </c>
      <c r="Q209">
        <v>10</v>
      </c>
      <c r="R209">
        <v>11</v>
      </c>
      <c r="S209">
        <v>11</v>
      </c>
      <c r="T209">
        <v>16</v>
      </c>
      <c r="U209">
        <v>16</v>
      </c>
      <c r="V209">
        <v>17</v>
      </c>
      <c r="W209">
        <v>18</v>
      </c>
      <c r="X209">
        <v>18</v>
      </c>
      <c r="Y209">
        <v>18</v>
      </c>
      <c r="Z209">
        <v>18</v>
      </c>
      <c r="AA209">
        <v>18</v>
      </c>
      <c r="AB209">
        <v>18</v>
      </c>
      <c r="AC209">
        <v>18</v>
      </c>
      <c r="AD209">
        <v>20</v>
      </c>
      <c r="AE209">
        <v>22</v>
      </c>
      <c r="AF209">
        <v>22</v>
      </c>
      <c r="AG209">
        <v>23</v>
      </c>
      <c r="AH209">
        <v>24</v>
      </c>
      <c r="AI209">
        <v>26</v>
      </c>
      <c r="AJ209">
        <v>26</v>
      </c>
      <c r="AK209">
        <v>28</v>
      </c>
      <c r="AL209">
        <v>30</v>
      </c>
      <c r="AM209">
        <v>31</v>
      </c>
      <c r="AN209">
        <v>32</v>
      </c>
      <c r="AO209">
        <v>32</v>
      </c>
      <c r="AP209">
        <v>34</v>
      </c>
      <c r="AQ209">
        <v>39</v>
      </c>
      <c r="AR209">
        <v>40</v>
      </c>
      <c r="AS209">
        <v>41</v>
      </c>
      <c r="AT209">
        <v>42</v>
      </c>
      <c r="AU209">
        <v>42</v>
      </c>
      <c r="AV209">
        <v>44</v>
      </c>
      <c r="AW209">
        <v>45</v>
      </c>
      <c r="AX209">
        <v>45</v>
      </c>
      <c r="AY209">
        <v>45</v>
      </c>
      <c r="AZ209">
        <v>45</v>
      </c>
      <c r="BA209">
        <v>47</v>
      </c>
      <c r="BB209">
        <v>48</v>
      </c>
      <c r="BC209">
        <v>49</v>
      </c>
      <c r="BD209">
        <v>50</v>
      </c>
      <c r="BE209">
        <v>53</v>
      </c>
      <c r="BF209">
        <v>59</v>
      </c>
      <c r="BG209">
        <v>67</v>
      </c>
      <c r="BH209">
        <v>77</v>
      </c>
      <c r="BI209">
        <v>100</v>
      </c>
      <c r="BJ209">
        <v>108</v>
      </c>
      <c r="BK209">
        <v>135</v>
      </c>
      <c r="BL209">
        <v>153</v>
      </c>
      <c r="BM209">
        <v>169</v>
      </c>
      <c r="BN209">
        <v>195</v>
      </c>
      <c r="BO209">
        <v>215</v>
      </c>
      <c r="BP209">
        <v>235</v>
      </c>
      <c r="BQ209">
        <v>252</v>
      </c>
      <c r="BR209">
        <v>267</v>
      </c>
      <c r="BS209">
        <v>283</v>
      </c>
    </row>
    <row r="210" spans="1:71" x14ac:dyDescent="0.3">
      <c r="B210" t="s">
        <v>472</v>
      </c>
      <c r="C210">
        <v>-6.3689999999999998</v>
      </c>
      <c r="D210">
        <v>34.888800000000003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1</v>
      </c>
      <c r="BH210">
        <v>1</v>
      </c>
      <c r="BI210">
        <v>3</v>
      </c>
      <c r="BJ210">
        <v>6</v>
      </c>
      <c r="BK210">
        <v>6</v>
      </c>
      <c r="BL210">
        <v>6</v>
      </c>
      <c r="BM210">
        <v>12</v>
      </c>
      <c r="BN210">
        <v>12</v>
      </c>
      <c r="BO210">
        <v>12</v>
      </c>
      <c r="BP210">
        <v>12</v>
      </c>
      <c r="BQ210">
        <v>13</v>
      </c>
      <c r="BR210">
        <v>13</v>
      </c>
      <c r="BS210">
        <v>14</v>
      </c>
    </row>
    <row r="211" spans="1:71" x14ac:dyDescent="0.3">
      <c r="B211" t="s">
        <v>35</v>
      </c>
      <c r="C211">
        <v>15</v>
      </c>
      <c r="D211">
        <v>101</v>
      </c>
      <c r="E211">
        <v>2</v>
      </c>
      <c r="F211">
        <v>3</v>
      </c>
      <c r="G211">
        <v>5</v>
      </c>
      <c r="H211">
        <v>7</v>
      </c>
      <c r="I211">
        <v>8</v>
      </c>
      <c r="J211">
        <v>8</v>
      </c>
      <c r="K211">
        <v>14</v>
      </c>
      <c r="L211">
        <v>14</v>
      </c>
      <c r="M211">
        <v>14</v>
      </c>
      <c r="N211">
        <v>19</v>
      </c>
      <c r="O211">
        <v>19</v>
      </c>
      <c r="P211">
        <v>19</v>
      </c>
      <c r="Q211">
        <v>19</v>
      </c>
      <c r="R211">
        <v>25</v>
      </c>
      <c r="S211">
        <v>25</v>
      </c>
      <c r="T211">
        <v>25</v>
      </c>
      <c r="U211">
        <v>25</v>
      </c>
      <c r="V211">
        <v>32</v>
      </c>
      <c r="W211">
        <v>32</v>
      </c>
      <c r="X211">
        <v>32</v>
      </c>
      <c r="Y211">
        <v>33</v>
      </c>
      <c r="Z211">
        <v>33</v>
      </c>
      <c r="AA211">
        <v>33</v>
      </c>
      <c r="AB211">
        <v>33</v>
      </c>
      <c r="AC211">
        <v>33</v>
      </c>
      <c r="AD211">
        <v>34</v>
      </c>
      <c r="AE211">
        <v>35</v>
      </c>
      <c r="AF211">
        <v>35</v>
      </c>
      <c r="AG211">
        <v>35</v>
      </c>
      <c r="AH211">
        <v>35</v>
      </c>
      <c r="AI211">
        <v>35</v>
      </c>
      <c r="AJ211">
        <v>35</v>
      </c>
      <c r="AK211">
        <v>35</v>
      </c>
      <c r="AL211">
        <v>35</v>
      </c>
      <c r="AM211">
        <v>37</v>
      </c>
      <c r="AN211">
        <v>40</v>
      </c>
      <c r="AO211">
        <v>40</v>
      </c>
      <c r="AP211">
        <v>41</v>
      </c>
      <c r="AQ211">
        <v>42</v>
      </c>
      <c r="AR211">
        <v>42</v>
      </c>
      <c r="AS211">
        <v>43</v>
      </c>
      <c r="AT211">
        <v>43</v>
      </c>
      <c r="AU211">
        <v>43</v>
      </c>
      <c r="AV211">
        <v>47</v>
      </c>
      <c r="AW211">
        <v>48</v>
      </c>
      <c r="AX211">
        <v>50</v>
      </c>
      <c r="AY211">
        <v>50</v>
      </c>
      <c r="AZ211">
        <v>50</v>
      </c>
      <c r="BA211">
        <v>53</v>
      </c>
      <c r="BB211">
        <v>59</v>
      </c>
      <c r="BC211">
        <v>70</v>
      </c>
      <c r="BD211">
        <v>75</v>
      </c>
      <c r="BE211">
        <v>82</v>
      </c>
      <c r="BF211">
        <v>114</v>
      </c>
      <c r="BG211">
        <v>147</v>
      </c>
      <c r="BH211">
        <v>177</v>
      </c>
      <c r="BI211">
        <v>212</v>
      </c>
      <c r="BJ211">
        <v>272</v>
      </c>
      <c r="BK211">
        <v>322</v>
      </c>
      <c r="BL211">
        <v>411</v>
      </c>
      <c r="BM211">
        <v>599</v>
      </c>
      <c r="BN211">
        <v>721</v>
      </c>
      <c r="BO211">
        <v>827</v>
      </c>
      <c r="BP211">
        <v>934</v>
      </c>
      <c r="BQ211">
        <v>1045</v>
      </c>
      <c r="BR211">
        <v>1136</v>
      </c>
      <c r="BS211">
        <v>1245</v>
      </c>
    </row>
    <row r="212" spans="1:71" x14ac:dyDescent="0.3">
      <c r="B212" t="s">
        <v>163</v>
      </c>
      <c r="C212">
        <v>8.6195000000000004</v>
      </c>
      <c r="D212">
        <v>0.82479999999999998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1</v>
      </c>
      <c r="AX212">
        <v>1</v>
      </c>
      <c r="AY212">
        <v>1</v>
      </c>
      <c r="AZ212">
        <v>1</v>
      </c>
      <c r="BA212">
        <v>1</v>
      </c>
      <c r="BB212">
        <v>1</v>
      </c>
      <c r="BC212">
        <v>1</v>
      </c>
      <c r="BD212">
        <v>1</v>
      </c>
      <c r="BE212">
        <v>1</v>
      </c>
      <c r="BF212">
        <v>1</v>
      </c>
      <c r="BG212">
        <v>1</v>
      </c>
      <c r="BH212">
        <v>1</v>
      </c>
      <c r="BI212">
        <v>1</v>
      </c>
      <c r="BJ212">
        <v>1</v>
      </c>
      <c r="BK212">
        <v>9</v>
      </c>
      <c r="BL212">
        <v>16</v>
      </c>
      <c r="BM212">
        <v>16</v>
      </c>
      <c r="BN212">
        <v>18</v>
      </c>
      <c r="BO212">
        <v>20</v>
      </c>
      <c r="BP212">
        <v>23</v>
      </c>
      <c r="BQ212">
        <v>23</v>
      </c>
      <c r="BR212">
        <v>25</v>
      </c>
      <c r="BS212">
        <v>25</v>
      </c>
    </row>
    <row r="213" spans="1:71" x14ac:dyDescent="0.3">
      <c r="B213" t="s">
        <v>439</v>
      </c>
      <c r="C213">
        <v>10.691800000000001</v>
      </c>
      <c r="D213">
        <v>-61.222499999999997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2</v>
      </c>
      <c r="BF213">
        <v>2</v>
      </c>
      <c r="BG213">
        <v>4</v>
      </c>
      <c r="BH213">
        <v>5</v>
      </c>
      <c r="BI213">
        <v>7</v>
      </c>
      <c r="BJ213">
        <v>9</v>
      </c>
      <c r="BK213">
        <v>9</v>
      </c>
      <c r="BL213">
        <v>49</v>
      </c>
      <c r="BM213">
        <v>50</v>
      </c>
      <c r="BN213">
        <v>51</v>
      </c>
      <c r="BO213">
        <v>57</v>
      </c>
      <c r="BP213">
        <v>60</v>
      </c>
      <c r="BQ213">
        <v>65</v>
      </c>
      <c r="BR213">
        <v>66</v>
      </c>
      <c r="BS213">
        <v>74</v>
      </c>
    </row>
    <row r="214" spans="1:71" x14ac:dyDescent="0.3">
      <c r="B214" t="s">
        <v>138</v>
      </c>
      <c r="C214">
        <v>34</v>
      </c>
      <c r="D214">
        <v>9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1</v>
      </c>
      <c r="AV214">
        <v>1</v>
      </c>
      <c r="AW214">
        <v>1</v>
      </c>
      <c r="AX214">
        <v>1</v>
      </c>
      <c r="AY214">
        <v>2</v>
      </c>
      <c r="AZ214">
        <v>2</v>
      </c>
      <c r="BA214">
        <v>5</v>
      </c>
      <c r="BB214">
        <v>7</v>
      </c>
      <c r="BC214">
        <v>7</v>
      </c>
      <c r="BD214">
        <v>16</v>
      </c>
      <c r="BE214">
        <v>18</v>
      </c>
      <c r="BF214">
        <v>18</v>
      </c>
      <c r="BG214">
        <v>20</v>
      </c>
      <c r="BH214">
        <v>24</v>
      </c>
      <c r="BI214">
        <v>29</v>
      </c>
      <c r="BJ214">
        <v>39</v>
      </c>
      <c r="BK214">
        <v>54</v>
      </c>
      <c r="BL214">
        <v>60</v>
      </c>
      <c r="BM214">
        <v>75</v>
      </c>
      <c r="BN214">
        <v>89</v>
      </c>
      <c r="BO214">
        <v>114</v>
      </c>
      <c r="BP214">
        <v>173</v>
      </c>
      <c r="BQ214">
        <v>197</v>
      </c>
      <c r="BR214">
        <v>227</v>
      </c>
      <c r="BS214">
        <v>278</v>
      </c>
    </row>
    <row r="215" spans="1:71" x14ac:dyDescent="0.3">
      <c r="B215" t="s">
        <v>355</v>
      </c>
      <c r="C215">
        <v>38.963700000000003</v>
      </c>
      <c r="D215">
        <v>35.243299999999998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1</v>
      </c>
      <c r="BC215">
        <v>1</v>
      </c>
      <c r="BD215">
        <v>5</v>
      </c>
      <c r="BE215">
        <v>5</v>
      </c>
      <c r="BF215">
        <v>6</v>
      </c>
      <c r="BG215">
        <v>18</v>
      </c>
      <c r="BH215">
        <v>47</v>
      </c>
      <c r="BI215">
        <v>98</v>
      </c>
      <c r="BJ215">
        <v>192</v>
      </c>
      <c r="BK215">
        <v>359</v>
      </c>
      <c r="BL215">
        <v>670</v>
      </c>
      <c r="BM215">
        <v>1236</v>
      </c>
      <c r="BN215">
        <v>1529</v>
      </c>
      <c r="BO215">
        <v>1872</v>
      </c>
      <c r="BP215">
        <v>2433</v>
      </c>
      <c r="BQ215">
        <v>3629</v>
      </c>
      <c r="BR215">
        <v>5698</v>
      </c>
      <c r="BS215">
        <v>7402</v>
      </c>
    </row>
    <row r="216" spans="1:71" x14ac:dyDescent="0.3">
      <c r="B216" t="s">
        <v>557</v>
      </c>
      <c r="C216">
        <v>1</v>
      </c>
      <c r="D216">
        <v>32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1</v>
      </c>
      <c r="BM216">
        <v>1</v>
      </c>
      <c r="BN216">
        <v>9</v>
      </c>
      <c r="BO216">
        <v>9</v>
      </c>
      <c r="BP216">
        <v>14</v>
      </c>
      <c r="BQ216">
        <v>14</v>
      </c>
      <c r="BR216">
        <v>23</v>
      </c>
      <c r="BS216">
        <v>30</v>
      </c>
    </row>
    <row r="217" spans="1:71" x14ac:dyDescent="0.3">
      <c r="B217" t="s">
        <v>129</v>
      </c>
      <c r="C217">
        <v>48.379399999999997</v>
      </c>
      <c r="D217">
        <v>31.165600000000001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1</v>
      </c>
      <c r="AU217">
        <v>1</v>
      </c>
      <c r="AV217">
        <v>1</v>
      </c>
      <c r="AW217">
        <v>1</v>
      </c>
      <c r="AX217">
        <v>1</v>
      </c>
      <c r="AY217">
        <v>1</v>
      </c>
      <c r="AZ217">
        <v>1</v>
      </c>
      <c r="BA217">
        <v>1</v>
      </c>
      <c r="BB217">
        <v>1</v>
      </c>
      <c r="BC217">
        <v>1</v>
      </c>
      <c r="BD217">
        <v>3</v>
      </c>
      <c r="BE217">
        <v>3</v>
      </c>
      <c r="BF217">
        <v>3</v>
      </c>
      <c r="BG217">
        <v>7</v>
      </c>
      <c r="BH217">
        <v>14</v>
      </c>
      <c r="BI217">
        <v>14</v>
      </c>
      <c r="BJ217">
        <v>16</v>
      </c>
      <c r="BK217">
        <v>29</v>
      </c>
      <c r="BL217">
        <v>47</v>
      </c>
      <c r="BM217">
        <v>73</v>
      </c>
      <c r="BN217">
        <v>73</v>
      </c>
      <c r="BO217">
        <v>97</v>
      </c>
      <c r="BP217">
        <v>145</v>
      </c>
      <c r="BQ217">
        <v>196</v>
      </c>
      <c r="BR217">
        <v>310</v>
      </c>
      <c r="BS217">
        <v>356</v>
      </c>
    </row>
    <row r="218" spans="1:71" x14ac:dyDescent="0.3">
      <c r="B218" t="s">
        <v>55</v>
      </c>
      <c r="C218">
        <v>24</v>
      </c>
      <c r="D218">
        <v>54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4</v>
      </c>
      <c r="M218">
        <v>4</v>
      </c>
      <c r="N218">
        <v>4</v>
      </c>
      <c r="O218">
        <v>4</v>
      </c>
      <c r="P218">
        <v>5</v>
      </c>
      <c r="Q218">
        <v>5</v>
      </c>
      <c r="R218">
        <v>5</v>
      </c>
      <c r="S218">
        <v>5</v>
      </c>
      <c r="T218">
        <v>5</v>
      </c>
      <c r="U218">
        <v>5</v>
      </c>
      <c r="V218">
        <v>7</v>
      </c>
      <c r="W218">
        <v>7</v>
      </c>
      <c r="X218">
        <v>8</v>
      </c>
      <c r="Y218">
        <v>8</v>
      </c>
      <c r="Z218">
        <v>8</v>
      </c>
      <c r="AA218">
        <v>8</v>
      </c>
      <c r="AB218">
        <v>8</v>
      </c>
      <c r="AC218">
        <v>8</v>
      </c>
      <c r="AD218">
        <v>9</v>
      </c>
      <c r="AE218">
        <v>9</v>
      </c>
      <c r="AF218">
        <v>9</v>
      </c>
      <c r="AG218">
        <v>9</v>
      </c>
      <c r="AH218">
        <v>9</v>
      </c>
      <c r="AI218">
        <v>9</v>
      </c>
      <c r="AJ218">
        <v>13</v>
      </c>
      <c r="AK218">
        <v>13</v>
      </c>
      <c r="AL218">
        <v>13</v>
      </c>
      <c r="AM218">
        <v>13</v>
      </c>
      <c r="AN218">
        <v>13</v>
      </c>
      <c r="AO218">
        <v>13</v>
      </c>
      <c r="AP218">
        <v>19</v>
      </c>
      <c r="AQ218">
        <v>21</v>
      </c>
      <c r="AR218">
        <v>21</v>
      </c>
      <c r="AS218">
        <v>21</v>
      </c>
      <c r="AT218">
        <v>27</v>
      </c>
      <c r="AU218">
        <v>27</v>
      </c>
      <c r="AV218">
        <v>29</v>
      </c>
      <c r="AW218">
        <v>29</v>
      </c>
      <c r="AX218">
        <v>45</v>
      </c>
      <c r="AY218">
        <v>45</v>
      </c>
      <c r="AZ218">
        <v>45</v>
      </c>
      <c r="BA218">
        <v>74</v>
      </c>
      <c r="BB218">
        <v>74</v>
      </c>
      <c r="BC218">
        <v>85</v>
      </c>
      <c r="BD218">
        <v>85</v>
      </c>
      <c r="BE218">
        <v>85</v>
      </c>
      <c r="BF218">
        <v>98</v>
      </c>
      <c r="BG218">
        <v>98</v>
      </c>
      <c r="BH218">
        <v>98</v>
      </c>
      <c r="BI218">
        <v>113</v>
      </c>
      <c r="BJ218">
        <v>140</v>
      </c>
      <c r="BK218">
        <v>140</v>
      </c>
      <c r="BL218">
        <v>153</v>
      </c>
      <c r="BM218">
        <v>153</v>
      </c>
      <c r="BN218">
        <v>198</v>
      </c>
      <c r="BO218">
        <v>248</v>
      </c>
      <c r="BP218">
        <v>333</v>
      </c>
      <c r="BQ218">
        <v>333</v>
      </c>
      <c r="BR218">
        <v>405</v>
      </c>
      <c r="BS218">
        <v>468</v>
      </c>
    </row>
    <row r="219" spans="1:71" x14ac:dyDescent="0.3">
      <c r="A219" t="s">
        <v>522</v>
      </c>
      <c r="B219" t="s">
        <v>349</v>
      </c>
      <c r="C219">
        <v>32.3078</v>
      </c>
      <c r="D219">
        <v>-64.750500000000002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2</v>
      </c>
      <c r="BK219">
        <v>2</v>
      </c>
      <c r="BL219">
        <v>2</v>
      </c>
      <c r="BM219">
        <v>6</v>
      </c>
      <c r="BN219">
        <v>6</v>
      </c>
      <c r="BO219">
        <v>6</v>
      </c>
      <c r="BP219">
        <v>7</v>
      </c>
      <c r="BQ219">
        <v>15</v>
      </c>
      <c r="BR219">
        <v>17</v>
      </c>
      <c r="BS219">
        <v>17</v>
      </c>
    </row>
    <row r="220" spans="1:71" x14ac:dyDescent="0.3">
      <c r="A220" t="s">
        <v>415</v>
      </c>
      <c r="B220" t="s">
        <v>349</v>
      </c>
      <c r="C220">
        <v>19.313300000000002</v>
      </c>
      <c r="D220">
        <v>-81.254599999999996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1</v>
      </c>
      <c r="BE220">
        <v>1</v>
      </c>
      <c r="BF220">
        <v>1</v>
      </c>
      <c r="BG220">
        <v>1</v>
      </c>
      <c r="BH220">
        <v>1</v>
      </c>
      <c r="BI220">
        <v>1</v>
      </c>
      <c r="BJ220">
        <v>3</v>
      </c>
      <c r="BK220">
        <v>3</v>
      </c>
      <c r="BL220">
        <v>3</v>
      </c>
      <c r="BM220">
        <v>3</v>
      </c>
      <c r="BN220">
        <v>5</v>
      </c>
      <c r="BO220">
        <v>6</v>
      </c>
      <c r="BP220">
        <v>8</v>
      </c>
      <c r="BQ220">
        <v>8</v>
      </c>
      <c r="BR220">
        <v>8</v>
      </c>
      <c r="BS220">
        <v>8</v>
      </c>
    </row>
    <row r="221" spans="1:71" x14ac:dyDescent="0.3">
      <c r="A221" t="s">
        <v>280</v>
      </c>
      <c r="B221" t="s">
        <v>349</v>
      </c>
      <c r="C221">
        <v>49.372300000000003</v>
      </c>
      <c r="D221">
        <v>-2.3643999999999998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1</v>
      </c>
      <c r="BB221">
        <v>2</v>
      </c>
      <c r="BC221">
        <v>2</v>
      </c>
      <c r="BD221">
        <v>2</v>
      </c>
      <c r="BE221">
        <v>2</v>
      </c>
      <c r="BF221">
        <v>3</v>
      </c>
      <c r="BG221">
        <v>6</v>
      </c>
      <c r="BH221">
        <v>6</v>
      </c>
      <c r="BI221">
        <v>6</v>
      </c>
      <c r="BJ221">
        <v>11</v>
      </c>
      <c r="BK221">
        <v>14</v>
      </c>
      <c r="BL221">
        <v>32</v>
      </c>
      <c r="BM221">
        <v>32</v>
      </c>
      <c r="BN221">
        <v>36</v>
      </c>
      <c r="BO221">
        <v>36</v>
      </c>
      <c r="BP221">
        <v>46</v>
      </c>
      <c r="BQ221">
        <v>66</v>
      </c>
      <c r="BR221">
        <v>88</v>
      </c>
      <c r="BS221">
        <v>97</v>
      </c>
    </row>
    <row r="222" spans="1:71" x14ac:dyDescent="0.3">
      <c r="A222" t="s">
        <v>135</v>
      </c>
      <c r="B222" t="s">
        <v>349</v>
      </c>
      <c r="C222">
        <v>36.140799999999999</v>
      </c>
      <c r="D222">
        <v>-5.3536000000000001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1</v>
      </c>
      <c r="AV222">
        <v>1</v>
      </c>
      <c r="AW222">
        <v>1</v>
      </c>
      <c r="AX222">
        <v>1</v>
      </c>
      <c r="AY222">
        <v>1</v>
      </c>
      <c r="AZ222">
        <v>1</v>
      </c>
      <c r="BA222">
        <v>1</v>
      </c>
      <c r="BB222">
        <v>1</v>
      </c>
      <c r="BC222">
        <v>1</v>
      </c>
      <c r="BD222">
        <v>1</v>
      </c>
      <c r="BE222">
        <v>1</v>
      </c>
      <c r="BF222">
        <v>1</v>
      </c>
      <c r="BG222">
        <v>1</v>
      </c>
      <c r="BH222">
        <v>3</v>
      </c>
      <c r="BI222">
        <v>8</v>
      </c>
      <c r="BJ222">
        <v>10</v>
      </c>
      <c r="BK222">
        <v>10</v>
      </c>
      <c r="BL222">
        <v>10</v>
      </c>
      <c r="BM222">
        <v>15</v>
      </c>
      <c r="BN222">
        <v>15</v>
      </c>
      <c r="BO222">
        <v>15</v>
      </c>
      <c r="BP222">
        <v>26</v>
      </c>
      <c r="BQ222">
        <v>35</v>
      </c>
      <c r="BR222">
        <v>55</v>
      </c>
      <c r="BS222">
        <v>56</v>
      </c>
    </row>
    <row r="223" spans="1:71" x14ac:dyDescent="0.3">
      <c r="A223" t="s">
        <v>537</v>
      </c>
      <c r="B223" t="s">
        <v>349</v>
      </c>
      <c r="C223">
        <v>54.2361</v>
      </c>
      <c r="D223">
        <v>-4.5480999999999998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1</v>
      </c>
      <c r="BL223">
        <v>1</v>
      </c>
      <c r="BM223">
        <v>5</v>
      </c>
      <c r="BN223">
        <v>13</v>
      </c>
      <c r="BO223">
        <v>23</v>
      </c>
      <c r="BP223">
        <v>23</v>
      </c>
      <c r="BQ223">
        <v>25</v>
      </c>
      <c r="BR223">
        <v>29</v>
      </c>
      <c r="BS223">
        <v>32</v>
      </c>
    </row>
    <row r="224" spans="1:71" x14ac:dyDescent="0.3">
      <c r="A224" t="s">
        <v>486</v>
      </c>
      <c r="B224" t="s">
        <v>349</v>
      </c>
      <c r="C224">
        <v>16.7425</v>
      </c>
      <c r="D224">
        <v>-62.187399999999997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1</v>
      </c>
      <c r="BJ224">
        <v>1</v>
      </c>
      <c r="BK224">
        <v>1</v>
      </c>
      <c r="BL224">
        <v>1</v>
      </c>
      <c r="BM224">
        <v>1</v>
      </c>
      <c r="BN224">
        <v>1</v>
      </c>
      <c r="BO224">
        <v>1</v>
      </c>
      <c r="BP224">
        <v>1</v>
      </c>
      <c r="BQ224">
        <v>5</v>
      </c>
      <c r="BR224">
        <v>5</v>
      </c>
      <c r="BS224">
        <v>5</v>
      </c>
    </row>
    <row r="225" spans="1:71" x14ac:dyDescent="0.3">
      <c r="B225" t="s">
        <v>349</v>
      </c>
      <c r="C225">
        <v>55.378100000000003</v>
      </c>
      <c r="D225">
        <v>-3.4359999999999999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2</v>
      </c>
      <c r="O225">
        <v>2</v>
      </c>
      <c r="P225">
        <v>2</v>
      </c>
      <c r="Q225">
        <v>2</v>
      </c>
      <c r="R225">
        <v>2</v>
      </c>
      <c r="S225">
        <v>2</v>
      </c>
      <c r="T225">
        <v>2</v>
      </c>
      <c r="U225">
        <v>3</v>
      </c>
      <c r="V225">
        <v>3</v>
      </c>
      <c r="W225">
        <v>3</v>
      </c>
      <c r="X225">
        <v>8</v>
      </c>
      <c r="Y225">
        <v>8</v>
      </c>
      <c r="Z225">
        <v>9</v>
      </c>
      <c r="AA225">
        <v>9</v>
      </c>
      <c r="AB225">
        <v>9</v>
      </c>
      <c r="AC225">
        <v>9</v>
      </c>
      <c r="AD225">
        <v>9</v>
      </c>
      <c r="AE225">
        <v>9</v>
      </c>
      <c r="AF225">
        <v>9</v>
      </c>
      <c r="AG225">
        <v>9</v>
      </c>
      <c r="AH225">
        <v>9</v>
      </c>
      <c r="AI225">
        <v>9</v>
      </c>
      <c r="AJ225">
        <v>9</v>
      </c>
      <c r="AK225">
        <v>9</v>
      </c>
      <c r="AL225">
        <v>13</v>
      </c>
      <c r="AM225">
        <v>13</v>
      </c>
      <c r="AN225">
        <v>13</v>
      </c>
      <c r="AO225">
        <v>15</v>
      </c>
      <c r="AP225">
        <v>20</v>
      </c>
      <c r="AQ225">
        <v>23</v>
      </c>
      <c r="AR225">
        <v>36</v>
      </c>
      <c r="AS225">
        <v>40</v>
      </c>
      <c r="AT225">
        <v>51</v>
      </c>
      <c r="AU225">
        <v>85</v>
      </c>
      <c r="AV225">
        <v>115</v>
      </c>
      <c r="AW225">
        <v>163</v>
      </c>
      <c r="AX225">
        <v>206</v>
      </c>
      <c r="AY225">
        <v>273</v>
      </c>
      <c r="AZ225">
        <v>321</v>
      </c>
      <c r="BA225">
        <v>382</v>
      </c>
      <c r="BB225">
        <v>456</v>
      </c>
      <c r="BC225">
        <v>456</v>
      </c>
      <c r="BD225">
        <v>798</v>
      </c>
      <c r="BE225">
        <v>1140</v>
      </c>
      <c r="BF225">
        <v>1140</v>
      </c>
      <c r="BG225">
        <v>1543</v>
      </c>
      <c r="BH225">
        <v>1950</v>
      </c>
      <c r="BI225">
        <v>2626</v>
      </c>
      <c r="BJ225">
        <v>2689</v>
      </c>
      <c r="BK225">
        <v>3983</v>
      </c>
      <c r="BL225">
        <v>5018</v>
      </c>
      <c r="BM225">
        <v>5683</v>
      </c>
      <c r="BN225">
        <v>6650</v>
      </c>
      <c r="BO225">
        <v>8077</v>
      </c>
      <c r="BP225">
        <v>9529</v>
      </c>
      <c r="BQ225">
        <v>11658</v>
      </c>
      <c r="BR225">
        <v>14543</v>
      </c>
      <c r="BS225">
        <v>17089</v>
      </c>
    </row>
    <row r="226" spans="1:71" x14ac:dyDescent="0.3">
      <c r="B226" t="s">
        <v>434</v>
      </c>
      <c r="C226">
        <v>-32.522799999999997</v>
      </c>
      <c r="D226">
        <v>-55.765799999999999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4</v>
      </c>
      <c r="BF226">
        <v>4</v>
      </c>
      <c r="BG226">
        <v>8</v>
      </c>
      <c r="BH226">
        <v>29</v>
      </c>
      <c r="BI226">
        <v>50</v>
      </c>
      <c r="BJ226">
        <v>79</v>
      </c>
      <c r="BK226">
        <v>94</v>
      </c>
      <c r="BL226">
        <v>110</v>
      </c>
      <c r="BM226">
        <v>158</v>
      </c>
      <c r="BN226">
        <v>162</v>
      </c>
      <c r="BO226">
        <v>162</v>
      </c>
      <c r="BP226">
        <v>189</v>
      </c>
      <c r="BQ226">
        <v>217</v>
      </c>
      <c r="BR226">
        <v>238</v>
      </c>
      <c r="BS226">
        <v>274</v>
      </c>
    </row>
    <row r="227" spans="1:71" x14ac:dyDescent="0.3">
      <c r="B227" t="s">
        <v>38</v>
      </c>
      <c r="C227">
        <v>37.090200000000003</v>
      </c>
      <c r="D227">
        <v>-95.712900000000005</v>
      </c>
      <c r="E227">
        <v>1</v>
      </c>
      <c r="F227">
        <v>1</v>
      </c>
      <c r="G227">
        <v>2</v>
      </c>
      <c r="H227">
        <v>2</v>
      </c>
      <c r="I227">
        <v>5</v>
      </c>
      <c r="J227">
        <v>5</v>
      </c>
      <c r="K227">
        <v>5</v>
      </c>
      <c r="L227">
        <v>5</v>
      </c>
      <c r="M227">
        <v>5</v>
      </c>
      <c r="N227">
        <v>7</v>
      </c>
      <c r="O227">
        <v>8</v>
      </c>
      <c r="P227">
        <v>8</v>
      </c>
      <c r="Q227">
        <v>11</v>
      </c>
      <c r="R227">
        <v>11</v>
      </c>
      <c r="S227">
        <v>11</v>
      </c>
      <c r="T227">
        <v>11</v>
      </c>
      <c r="U227">
        <v>11</v>
      </c>
      <c r="V227">
        <v>11</v>
      </c>
      <c r="W227">
        <v>11</v>
      </c>
      <c r="X227">
        <v>11</v>
      </c>
      <c r="Y227">
        <v>12</v>
      </c>
      <c r="Z227">
        <v>12</v>
      </c>
      <c r="AA227">
        <v>13</v>
      </c>
      <c r="AB227">
        <v>13</v>
      </c>
      <c r="AC227">
        <v>13</v>
      </c>
      <c r="AD227">
        <v>13</v>
      </c>
      <c r="AE227">
        <v>13</v>
      </c>
      <c r="AF227">
        <v>13</v>
      </c>
      <c r="AG227">
        <v>13</v>
      </c>
      <c r="AH227">
        <v>13</v>
      </c>
      <c r="AI227">
        <v>15</v>
      </c>
      <c r="AJ227">
        <v>15</v>
      </c>
      <c r="AK227">
        <v>15</v>
      </c>
      <c r="AL227">
        <v>51</v>
      </c>
      <c r="AM227">
        <v>51</v>
      </c>
      <c r="AN227">
        <v>57</v>
      </c>
      <c r="AO227">
        <v>58</v>
      </c>
      <c r="AP227">
        <v>60</v>
      </c>
      <c r="AQ227">
        <v>68</v>
      </c>
      <c r="AR227">
        <v>74</v>
      </c>
      <c r="AS227">
        <v>98</v>
      </c>
      <c r="AT227">
        <v>118</v>
      </c>
      <c r="AU227">
        <v>149</v>
      </c>
      <c r="AV227">
        <v>217</v>
      </c>
      <c r="AW227">
        <v>262</v>
      </c>
      <c r="AX227">
        <v>402</v>
      </c>
      <c r="AY227">
        <v>518</v>
      </c>
      <c r="AZ227">
        <v>583</v>
      </c>
      <c r="BA227">
        <v>959</v>
      </c>
      <c r="BB227">
        <v>1281</v>
      </c>
      <c r="BC227">
        <v>1663</v>
      </c>
      <c r="BD227">
        <v>2179</v>
      </c>
      <c r="BE227">
        <v>2727</v>
      </c>
      <c r="BF227">
        <v>3499</v>
      </c>
      <c r="BG227">
        <v>4632</v>
      </c>
      <c r="BH227">
        <v>6421</v>
      </c>
      <c r="BI227">
        <v>7783</v>
      </c>
      <c r="BJ227">
        <v>13677</v>
      </c>
      <c r="BK227">
        <v>19100</v>
      </c>
      <c r="BL227">
        <v>25489</v>
      </c>
      <c r="BM227">
        <v>33276</v>
      </c>
      <c r="BN227">
        <v>43847</v>
      </c>
      <c r="BO227">
        <v>53740</v>
      </c>
      <c r="BP227">
        <v>65778</v>
      </c>
      <c r="BQ227">
        <v>83836</v>
      </c>
      <c r="BR227">
        <v>101657</v>
      </c>
      <c r="BS227">
        <v>121478</v>
      </c>
    </row>
    <row r="228" spans="1:71" x14ac:dyDescent="0.3">
      <c r="B228" t="s">
        <v>464</v>
      </c>
      <c r="C228">
        <v>41.377499999999998</v>
      </c>
      <c r="D228">
        <v>64.585300000000004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1</v>
      </c>
      <c r="BG228">
        <v>6</v>
      </c>
      <c r="BH228">
        <v>10</v>
      </c>
      <c r="BI228">
        <v>15</v>
      </c>
      <c r="BJ228">
        <v>23</v>
      </c>
      <c r="BK228">
        <v>33</v>
      </c>
      <c r="BL228">
        <v>43</v>
      </c>
      <c r="BM228">
        <v>43</v>
      </c>
      <c r="BN228">
        <v>46</v>
      </c>
      <c r="BO228">
        <v>50</v>
      </c>
      <c r="BP228">
        <v>60</v>
      </c>
      <c r="BQ228">
        <v>75</v>
      </c>
      <c r="BR228">
        <v>88</v>
      </c>
      <c r="BS228">
        <v>104</v>
      </c>
    </row>
    <row r="229" spans="1:71" x14ac:dyDescent="0.3">
      <c r="B229" t="s">
        <v>440</v>
      </c>
      <c r="C229">
        <v>6.4238</v>
      </c>
      <c r="D229">
        <v>-66.589699999999993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2</v>
      </c>
      <c r="BF229">
        <v>10</v>
      </c>
      <c r="BG229">
        <v>17</v>
      </c>
      <c r="BH229">
        <v>33</v>
      </c>
      <c r="BI229">
        <v>36</v>
      </c>
      <c r="BJ229">
        <v>42</v>
      </c>
      <c r="BK229">
        <v>42</v>
      </c>
      <c r="BL229">
        <v>70</v>
      </c>
      <c r="BM229">
        <v>70</v>
      </c>
      <c r="BN229">
        <v>77</v>
      </c>
      <c r="BO229">
        <v>84</v>
      </c>
      <c r="BP229">
        <v>91</v>
      </c>
      <c r="BQ229">
        <v>107</v>
      </c>
      <c r="BR229">
        <v>107</v>
      </c>
      <c r="BS229">
        <v>119</v>
      </c>
    </row>
    <row r="230" spans="1:71" x14ac:dyDescent="0.3">
      <c r="B230" t="s">
        <v>343</v>
      </c>
      <c r="C230">
        <v>16</v>
      </c>
      <c r="D230">
        <v>108</v>
      </c>
      <c r="E230">
        <v>0</v>
      </c>
      <c r="F230">
        <v>2</v>
      </c>
      <c r="G230">
        <v>2</v>
      </c>
      <c r="H230">
        <v>2</v>
      </c>
      <c r="I230">
        <v>2</v>
      </c>
      <c r="J230">
        <v>2</v>
      </c>
      <c r="K230">
        <v>2</v>
      </c>
      <c r="L230">
        <v>2</v>
      </c>
      <c r="M230">
        <v>2</v>
      </c>
      <c r="N230">
        <v>2</v>
      </c>
      <c r="O230">
        <v>6</v>
      </c>
      <c r="P230">
        <v>6</v>
      </c>
      <c r="Q230">
        <v>8</v>
      </c>
      <c r="R230">
        <v>8</v>
      </c>
      <c r="S230">
        <v>8</v>
      </c>
      <c r="T230">
        <v>10</v>
      </c>
      <c r="U230">
        <v>10</v>
      </c>
      <c r="V230">
        <v>13</v>
      </c>
      <c r="W230">
        <v>13</v>
      </c>
      <c r="X230">
        <v>14</v>
      </c>
      <c r="Y230">
        <v>15</v>
      </c>
      <c r="Z230">
        <v>15</v>
      </c>
      <c r="AA230">
        <v>16</v>
      </c>
      <c r="AB230">
        <v>16</v>
      </c>
      <c r="AC230">
        <v>16</v>
      </c>
      <c r="AD230">
        <v>16</v>
      </c>
      <c r="AE230">
        <v>16</v>
      </c>
      <c r="AF230">
        <v>16</v>
      </c>
      <c r="AG230">
        <v>16</v>
      </c>
      <c r="AH230">
        <v>16</v>
      </c>
      <c r="AI230">
        <v>16</v>
      </c>
      <c r="AJ230">
        <v>16</v>
      </c>
      <c r="AK230">
        <v>16</v>
      </c>
      <c r="AL230">
        <v>16</v>
      </c>
      <c r="AM230">
        <v>16</v>
      </c>
      <c r="AN230">
        <v>16</v>
      </c>
      <c r="AO230">
        <v>16</v>
      </c>
      <c r="AP230">
        <v>16</v>
      </c>
      <c r="AQ230">
        <v>16</v>
      </c>
      <c r="AR230">
        <v>16</v>
      </c>
      <c r="AS230">
        <v>16</v>
      </c>
      <c r="AT230">
        <v>16</v>
      </c>
      <c r="AU230">
        <v>16</v>
      </c>
      <c r="AV230">
        <v>16</v>
      </c>
      <c r="AW230">
        <v>16</v>
      </c>
      <c r="AX230">
        <v>18</v>
      </c>
      <c r="AY230">
        <v>30</v>
      </c>
      <c r="AZ230">
        <v>30</v>
      </c>
      <c r="BA230">
        <v>31</v>
      </c>
      <c r="BB230">
        <v>38</v>
      </c>
      <c r="BC230">
        <v>39</v>
      </c>
      <c r="BD230">
        <v>47</v>
      </c>
      <c r="BE230">
        <v>53</v>
      </c>
      <c r="BF230">
        <v>56</v>
      </c>
      <c r="BG230">
        <v>61</v>
      </c>
      <c r="BH230">
        <v>66</v>
      </c>
      <c r="BI230">
        <v>75</v>
      </c>
      <c r="BJ230">
        <v>85</v>
      </c>
      <c r="BK230">
        <v>91</v>
      </c>
      <c r="BL230">
        <v>94</v>
      </c>
      <c r="BM230">
        <v>113</v>
      </c>
      <c r="BN230">
        <v>123</v>
      </c>
      <c r="BO230">
        <v>134</v>
      </c>
      <c r="BP230">
        <v>141</v>
      </c>
      <c r="BQ230">
        <v>153</v>
      </c>
      <c r="BR230">
        <v>163</v>
      </c>
      <c r="BS230">
        <v>174</v>
      </c>
    </row>
    <row r="231" spans="1:71" x14ac:dyDescent="0.3">
      <c r="B231" t="s">
        <v>480</v>
      </c>
      <c r="C231">
        <v>-15.416700000000001</v>
      </c>
      <c r="D231">
        <v>28.283300000000001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2</v>
      </c>
      <c r="BJ231">
        <v>2</v>
      </c>
      <c r="BK231">
        <v>2</v>
      </c>
      <c r="BL231">
        <v>2</v>
      </c>
      <c r="BM231">
        <v>3</v>
      </c>
      <c r="BN231">
        <v>3</v>
      </c>
      <c r="BO231">
        <v>3</v>
      </c>
      <c r="BP231">
        <v>12</v>
      </c>
      <c r="BQ231">
        <v>16</v>
      </c>
      <c r="BR231">
        <v>22</v>
      </c>
      <c r="BS231">
        <v>28</v>
      </c>
    </row>
    <row r="232" spans="1:71" x14ac:dyDescent="0.3">
      <c r="B232" t="s">
        <v>538</v>
      </c>
      <c r="C232">
        <v>-20</v>
      </c>
      <c r="D232">
        <v>30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1</v>
      </c>
      <c r="BL232">
        <v>3</v>
      </c>
      <c r="BM232">
        <v>3</v>
      </c>
      <c r="BN232">
        <v>3</v>
      </c>
      <c r="BO232">
        <v>3</v>
      </c>
      <c r="BP232">
        <v>3</v>
      </c>
      <c r="BQ232">
        <v>3</v>
      </c>
      <c r="BR232">
        <v>5</v>
      </c>
      <c r="BS232">
        <v>7</v>
      </c>
    </row>
    <row r="233" spans="1:71" x14ac:dyDescent="0.3">
      <c r="A233" t="s">
        <v>248</v>
      </c>
      <c r="B233" t="s">
        <v>45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  <c r="BN233">
        <v>0</v>
      </c>
      <c r="BO233">
        <v>0</v>
      </c>
      <c r="BP233">
        <v>0</v>
      </c>
      <c r="BQ233">
        <v>0</v>
      </c>
      <c r="BR233">
        <v>0</v>
      </c>
      <c r="BS233">
        <v>0</v>
      </c>
    </row>
    <row r="234" spans="1:71" x14ac:dyDescent="0.3">
      <c r="B234" t="s">
        <v>560</v>
      </c>
      <c r="C234">
        <v>15.414999999999999</v>
      </c>
      <c r="D234">
        <v>-61.371000000000002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1</v>
      </c>
      <c r="BN234">
        <v>2</v>
      </c>
      <c r="BO234">
        <v>2</v>
      </c>
      <c r="BP234">
        <v>7</v>
      </c>
      <c r="BQ234">
        <v>11</v>
      </c>
      <c r="BR234">
        <v>11</v>
      </c>
      <c r="BS234">
        <v>11</v>
      </c>
    </row>
    <row r="235" spans="1:71" x14ac:dyDescent="0.3">
      <c r="B235" t="s">
        <v>561</v>
      </c>
      <c r="C235">
        <v>12.1165</v>
      </c>
      <c r="D235">
        <v>-61.678999999999903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1</v>
      </c>
      <c r="BN235">
        <v>1</v>
      </c>
      <c r="BO235">
        <v>1</v>
      </c>
      <c r="BP235">
        <v>1</v>
      </c>
      <c r="BQ235">
        <v>7</v>
      </c>
      <c r="BR235">
        <v>7</v>
      </c>
      <c r="BS235">
        <v>7</v>
      </c>
    </row>
    <row r="236" spans="1:71" x14ac:dyDescent="0.3">
      <c r="B236" t="s">
        <v>562</v>
      </c>
      <c r="C236">
        <v>-18.665694999999999</v>
      </c>
      <c r="D236">
        <v>35.529561999999999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1</v>
      </c>
      <c r="BN236">
        <v>1</v>
      </c>
      <c r="BO236">
        <v>3</v>
      </c>
      <c r="BP236">
        <v>5</v>
      </c>
      <c r="BQ236">
        <v>7</v>
      </c>
      <c r="BR236">
        <v>7</v>
      </c>
      <c r="BS236">
        <v>8</v>
      </c>
    </row>
    <row r="237" spans="1:71" x14ac:dyDescent="0.3">
      <c r="B237" t="s">
        <v>563</v>
      </c>
      <c r="C237">
        <v>34.802075000000002</v>
      </c>
      <c r="D237">
        <v>38.996814999999998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1</v>
      </c>
      <c r="BN237">
        <v>1</v>
      </c>
      <c r="BO237">
        <v>1</v>
      </c>
      <c r="BP237">
        <v>5</v>
      </c>
      <c r="BQ237">
        <v>5</v>
      </c>
      <c r="BR237">
        <v>5</v>
      </c>
      <c r="BS237">
        <v>5</v>
      </c>
    </row>
    <row r="238" spans="1:71" x14ac:dyDescent="0.3">
      <c r="B238" t="s">
        <v>564</v>
      </c>
      <c r="C238">
        <v>-8.8742169999999998</v>
      </c>
      <c r="D238">
        <v>125.72753899999999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1</v>
      </c>
      <c r="BN238">
        <v>1</v>
      </c>
      <c r="BO238">
        <v>1</v>
      </c>
      <c r="BP238">
        <v>1</v>
      </c>
      <c r="BQ238">
        <v>1</v>
      </c>
      <c r="BR238">
        <v>1</v>
      </c>
      <c r="BS238">
        <v>1</v>
      </c>
    </row>
    <row r="239" spans="1:71" x14ac:dyDescent="0.3">
      <c r="B239" t="s">
        <v>583</v>
      </c>
      <c r="C239">
        <v>13.193899999999999</v>
      </c>
      <c r="D239">
        <v>-59.543199999999999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1</v>
      </c>
      <c r="BO239">
        <v>1</v>
      </c>
      <c r="BP239">
        <v>2</v>
      </c>
      <c r="BQ239">
        <v>2</v>
      </c>
      <c r="BR239">
        <v>2</v>
      </c>
      <c r="BS239">
        <v>2</v>
      </c>
    </row>
    <row r="240" spans="1:71" x14ac:dyDescent="0.3">
      <c r="A240" t="s">
        <v>508</v>
      </c>
      <c r="B240" t="s">
        <v>45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  <c r="BS240">
        <v>0</v>
      </c>
    </row>
    <row r="241" spans="1:71" x14ac:dyDescent="0.3">
      <c r="B241" t="s">
        <v>592</v>
      </c>
      <c r="C241">
        <v>19.856269999999999</v>
      </c>
      <c r="D241">
        <v>102.495496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2</v>
      </c>
      <c r="BP241">
        <v>3</v>
      </c>
      <c r="BQ241">
        <v>6</v>
      </c>
      <c r="BR241">
        <v>6</v>
      </c>
      <c r="BS241">
        <v>8</v>
      </c>
    </row>
    <row r="242" spans="1:71" x14ac:dyDescent="0.3">
      <c r="B242" t="s">
        <v>593</v>
      </c>
      <c r="C242">
        <v>26.335100000000001</v>
      </c>
      <c r="D242">
        <v>17.228331000000001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1</v>
      </c>
      <c r="BP242">
        <v>1</v>
      </c>
      <c r="BQ242">
        <v>1</v>
      </c>
      <c r="BR242">
        <v>1</v>
      </c>
      <c r="BS242">
        <v>3</v>
      </c>
    </row>
    <row r="243" spans="1:71" x14ac:dyDescent="0.3">
      <c r="B243" t="s">
        <v>597</v>
      </c>
      <c r="C243">
        <v>31.952200000000001</v>
      </c>
      <c r="D243">
        <v>35.233199999999997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4</v>
      </c>
      <c r="AW243">
        <v>7</v>
      </c>
      <c r="AX243">
        <v>16</v>
      </c>
      <c r="AY243">
        <v>16</v>
      </c>
      <c r="AZ243">
        <v>19</v>
      </c>
      <c r="BA243">
        <v>26</v>
      </c>
      <c r="BB243">
        <v>30</v>
      </c>
      <c r="BC243">
        <v>30</v>
      </c>
      <c r="BD243">
        <v>31</v>
      </c>
      <c r="BE243">
        <v>35</v>
      </c>
      <c r="BF243">
        <v>38</v>
      </c>
      <c r="BG243">
        <v>38</v>
      </c>
      <c r="BH243">
        <v>39</v>
      </c>
      <c r="BI243">
        <v>41</v>
      </c>
      <c r="BJ243">
        <v>44</v>
      </c>
      <c r="BK243">
        <v>47</v>
      </c>
      <c r="BL243">
        <v>48</v>
      </c>
      <c r="BM243">
        <v>52</v>
      </c>
      <c r="BN243">
        <v>59</v>
      </c>
      <c r="BO243">
        <v>59</v>
      </c>
      <c r="BP243">
        <v>59</v>
      </c>
      <c r="BQ243">
        <v>84</v>
      </c>
      <c r="BR243">
        <v>91</v>
      </c>
      <c r="BS243">
        <v>98</v>
      </c>
    </row>
    <row r="244" spans="1:71" x14ac:dyDescent="0.3">
      <c r="B244" t="s">
        <v>598</v>
      </c>
      <c r="C244">
        <v>11.803699999999999</v>
      </c>
      <c r="D244">
        <v>-15.180400000000001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0</v>
      </c>
      <c r="BP244">
        <v>2</v>
      </c>
      <c r="BQ244">
        <v>2</v>
      </c>
      <c r="BR244">
        <v>2</v>
      </c>
      <c r="BS244">
        <v>2</v>
      </c>
    </row>
    <row r="245" spans="1:71" x14ac:dyDescent="0.3">
      <c r="B245" t="s">
        <v>599</v>
      </c>
      <c r="C245">
        <v>17.570692000000001</v>
      </c>
      <c r="D245">
        <v>-3.9961660000000001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  <c r="BO245">
        <v>0</v>
      </c>
      <c r="BP245">
        <v>2</v>
      </c>
      <c r="BQ245">
        <v>4</v>
      </c>
      <c r="BR245">
        <v>11</v>
      </c>
      <c r="BS245">
        <v>18</v>
      </c>
    </row>
    <row r="246" spans="1:71" x14ac:dyDescent="0.3">
      <c r="B246" t="s">
        <v>600</v>
      </c>
      <c r="C246">
        <v>17.357821999999999</v>
      </c>
      <c r="D246">
        <v>-62.782997999999999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  <c r="BO246">
        <v>0</v>
      </c>
      <c r="BP246">
        <v>2</v>
      </c>
      <c r="BQ246">
        <v>2</v>
      </c>
      <c r="BR246">
        <v>2</v>
      </c>
      <c r="BS246">
        <v>2</v>
      </c>
    </row>
    <row r="247" spans="1:71" x14ac:dyDescent="0.3">
      <c r="A247" t="s">
        <v>553</v>
      </c>
      <c r="B247" t="s">
        <v>45</v>
      </c>
      <c r="C247">
        <v>64.825500000000005</v>
      </c>
      <c r="D247">
        <v>-124.84569999999999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0</v>
      </c>
      <c r="BP247">
        <v>0</v>
      </c>
      <c r="BQ247">
        <v>1</v>
      </c>
      <c r="BR247">
        <v>1</v>
      </c>
      <c r="BS247">
        <v>1</v>
      </c>
    </row>
    <row r="248" spans="1:71" x14ac:dyDescent="0.3">
      <c r="A248" t="s">
        <v>601</v>
      </c>
      <c r="B248" t="s">
        <v>45</v>
      </c>
      <c r="C248">
        <v>64.282300000000006</v>
      </c>
      <c r="D248">
        <v>-135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0</v>
      </c>
      <c r="BP248">
        <v>0</v>
      </c>
      <c r="BQ248">
        <v>3</v>
      </c>
      <c r="BR248">
        <v>3</v>
      </c>
      <c r="BS248">
        <v>4</v>
      </c>
    </row>
    <row r="249" spans="1:71" x14ac:dyDescent="0.3">
      <c r="B249" t="s">
        <v>457</v>
      </c>
      <c r="C249">
        <v>42.602635999999997</v>
      </c>
      <c r="D249">
        <v>20.902977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0</v>
      </c>
      <c r="BP249">
        <v>0</v>
      </c>
      <c r="BQ249">
        <v>71</v>
      </c>
      <c r="BR249">
        <v>86</v>
      </c>
      <c r="BS249">
        <v>91</v>
      </c>
    </row>
    <row r="250" spans="1:71" x14ac:dyDescent="0.3">
      <c r="B250" t="s">
        <v>616</v>
      </c>
      <c r="C250">
        <v>21.9162</v>
      </c>
      <c r="D250">
        <v>95.956000000000003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  <c r="BN250">
        <v>0</v>
      </c>
      <c r="BO250">
        <v>0</v>
      </c>
      <c r="BP250">
        <v>0</v>
      </c>
      <c r="BQ250">
        <v>0</v>
      </c>
      <c r="BR250">
        <v>8</v>
      </c>
      <c r="BS250">
        <v>8</v>
      </c>
    </row>
    <row r="251" spans="1:71" x14ac:dyDescent="0.3">
      <c r="A251" t="s">
        <v>617</v>
      </c>
      <c r="B251" t="s">
        <v>349</v>
      </c>
      <c r="C251">
        <v>18.220600000000001</v>
      </c>
      <c r="D251">
        <v>-63.068600000000004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0</v>
      </c>
      <c r="BQ251">
        <v>0</v>
      </c>
      <c r="BR251">
        <v>0</v>
      </c>
      <c r="BS251">
        <v>2</v>
      </c>
    </row>
    <row r="252" spans="1:71" x14ac:dyDescent="0.3">
      <c r="A252" t="s">
        <v>618</v>
      </c>
      <c r="B252" t="s">
        <v>349</v>
      </c>
      <c r="C252">
        <v>18.4207</v>
      </c>
      <c r="D252">
        <v>-64.64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>
        <v>0</v>
      </c>
      <c r="BO252">
        <v>0</v>
      </c>
      <c r="BP252">
        <v>0</v>
      </c>
      <c r="BQ252">
        <v>0</v>
      </c>
      <c r="BR252">
        <v>0</v>
      </c>
      <c r="BS252">
        <v>2</v>
      </c>
    </row>
    <row r="253" spans="1:71" x14ac:dyDescent="0.3">
      <c r="A253" t="s">
        <v>619</v>
      </c>
      <c r="B253" t="s">
        <v>349</v>
      </c>
      <c r="C253">
        <v>21.693999999999999</v>
      </c>
      <c r="D253">
        <v>-71.797899999999998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0</v>
      </c>
      <c r="BR253">
        <v>0</v>
      </c>
      <c r="BS253">
        <v>4</v>
      </c>
    </row>
    <row r="254" spans="1:71" x14ac:dyDescent="0.3">
      <c r="B254" t="s">
        <v>620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0</v>
      </c>
      <c r="BP254">
        <v>0</v>
      </c>
      <c r="BQ254">
        <v>0</v>
      </c>
      <c r="BR254">
        <v>0</v>
      </c>
      <c r="BS254">
        <v>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26</vt:i4>
      </vt:variant>
    </vt:vector>
  </HeadingPairs>
  <TitlesOfParts>
    <vt:vector size="38" baseType="lpstr">
      <vt:lpstr>Projections</vt:lpstr>
      <vt:lpstr>Country_Rates</vt:lpstr>
      <vt:lpstr>Country_Comparison</vt:lpstr>
      <vt:lpstr>Projections_Data</vt:lpstr>
      <vt:lpstr>Days_Since_100</vt:lpstr>
      <vt:lpstr>Deaths_since_10</vt:lpstr>
      <vt:lpstr>Country_Data</vt:lpstr>
      <vt:lpstr>CumulativeConfirmed</vt:lpstr>
      <vt:lpstr>CumulativeDead</vt:lpstr>
      <vt:lpstr>RecoveredRaw</vt:lpstr>
      <vt:lpstr>DeadRaw</vt:lpstr>
      <vt:lpstr>ConfirmedRaw</vt:lpstr>
      <vt:lpstr>Choice_range</vt:lpstr>
      <vt:lpstr>country</vt:lpstr>
      <vt:lpstr>country_by_day_jpg</vt:lpstr>
      <vt:lpstr>country_jpg</vt:lpstr>
      <vt:lpstr>criticalcare</vt:lpstr>
      <vt:lpstr>death_by_day_jpg</vt:lpstr>
      <vt:lpstr>graph_range</vt:lpstr>
      <vt:lpstr>image_jpg</vt:lpstr>
      <vt:lpstr>image2_jpg</vt:lpstr>
      <vt:lpstr>Show</vt:lpstr>
      <vt:lpstr>xMax</vt:lpstr>
      <vt:lpstr>xMax2</vt:lpstr>
      <vt:lpstr>xMax3</vt:lpstr>
      <vt:lpstr>xMax4</vt:lpstr>
      <vt:lpstr>xMin</vt:lpstr>
      <vt:lpstr>xMin2</vt:lpstr>
      <vt:lpstr>xMin3</vt:lpstr>
      <vt:lpstr>xMin4</vt:lpstr>
      <vt:lpstr>yMax</vt:lpstr>
      <vt:lpstr>yMax2</vt:lpstr>
      <vt:lpstr>yMax3</vt:lpstr>
      <vt:lpstr>yMax4</vt:lpstr>
      <vt:lpstr>yMin</vt:lpstr>
      <vt:lpstr>yMin2</vt:lpstr>
      <vt:lpstr>yMin3</vt:lpstr>
      <vt:lpstr>yMin4</vt:lpstr>
    </vt:vector>
  </TitlesOfParts>
  <Company>Deloitte LLP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gacheson</dc:creator>
  <cp:lastModifiedBy>Graeme Acheson</cp:lastModifiedBy>
  <dcterms:created xsi:type="dcterms:W3CDTF">2020-03-11T15:05:40Z</dcterms:created>
  <dcterms:modified xsi:type="dcterms:W3CDTF">2020-03-29T19:17:16Z</dcterms:modified>
</cp:coreProperties>
</file>