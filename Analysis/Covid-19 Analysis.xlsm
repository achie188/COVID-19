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6E1AEE41-2956-42AB-B679-F318AE3306EA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13" l="1"/>
  <c r="AG13" i="13"/>
  <c r="G2" i="8"/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B54" i="23" a="1"/>
  <c r="B54" i="23" s="1"/>
  <c r="C54" i="23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B89" i="23" a="1"/>
  <c r="B89" i="23" s="1"/>
  <c r="C89" i="23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B20" i="8" a="1"/>
  <c r="B20" i="8" s="1"/>
  <c r="C20" i="8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J4" i="8" l="1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C5" i="23"/>
  <c r="B5" i="23" s="1" a="1"/>
  <c r="B5" i="23" s="1"/>
  <c r="C5" i="8"/>
  <c r="B5" i="8" s="1" a="1"/>
  <c r="B5" i="8" s="1"/>
  <c r="K4" i="23" l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3" i="23" l="1"/>
  <c r="D4" i="23"/>
  <c r="D3" i="8"/>
  <c r="D4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2" i="20" l="1"/>
  <c r="L21" i="20"/>
  <c r="L9" i="20"/>
  <c r="L5" i="20"/>
  <c r="L11" i="20"/>
  <c r="L16" i="20"/>
  <c r="L10" i="20"/>
  <c r="L13" i="20"/>
  <c r="L7" i="20"/>
  <c r="L8" i="20"/>
  <c r="L6" i="20"/>
  <c r="L14" i="20"/>
  <c r="L19" i="20"/>
  <c r="L30" i="20"/>
  <c r="L22" i="20"/>
  <c r="L18" i="20"/>
  <c r="L26" i="20"/>
  <c r="L17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20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5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O38" i="14" s="1"/>
  <c r="N39" i="14"/>
  <c r="N40" i="14"/>
  <c r="N41" i="14"/>
  <c r="O41" i="14" s="1"/>
  <c r="N42" i="14"/>
  <c r="N43" i="14"/>
  <c r="O43" i="14" s="1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N107" i="14"/>
  <c r="O107" i="14" s="1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A4" i="23" l="1"/>
  <c r="F4" i="23"/>
  <c r="F3" i="23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E3" i="23" l="1"/>
  <c r="G3" i="23" s="1"/>
  <c r="E4" i="23"/>
  <c r="G4" i="23" s="1"/>
  <c r="F2" i="23"/>
  <c r="E2" i="23"/>
  <c r="C32" i="13"/>
  <c r="G2" i="23" l="1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5" i="20"/>
  <c r="H5" i="13" l="1"/>
  <c r="C24" i="13"/>
  <c r="C23" i="13"/>
  <c r="C16" i="13"/>
  <c r="C19" i="13"/>
  <c r="G5" i="13"/>
  <c r="B35" i="13"/>
  <c r="M33" i="20"/>
  <c r="M51" i="20"/>
  <c r="M50" i="20"/>
  <c r="M56" i="20"/>
  <c r="M21" i="20"/>
  <c r="M23" i="20"/>
  <c r="M17" i="20"/>
  <c r="M30" i="20"/>
  <c r="M14" i="20"/>
  <c r="M43" i="20"/>
  <c r="M24" i="20"/>
  <c r="M25" i="20"/>
  <c r="M26" i="20"/>
  <c r="M53" i="20"/>
  <c r="M10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6" i="14" l="1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5" i="20" s="1"/>
  <c r="G63" i="14"/>
  <c r="G55" i="14"/>
  <c r="F24" i="20" s="1"/>
  <c r="G47" i="14"/>
  <c r="F17" i="20" s="1"/>
  <c r="G39" i="14"/>
  <c r="F30" i="20" s="1"/>
  <c r="G31" i="14"/>
  <c r="F49" i="20" s="1"/>
  <c r="G23" i="14"/>
  <c r="F20" i="20" s="1"/>
  <c r="G15" i="14"/>
  <c r="F7" i="20" s="1"/>
  <c r="G7" i="14"/>
  <c r="F8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1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9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5" i="20" s="1"/>
  <c r="G10" i="14"/>
  <c r="F14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1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2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1" i="20" s="1"/>
  <c r="G38" i="14"/>
  <c r="F52" i="20" s="1"/>
  <c r="G30" i="14"/>
  <c r="G22" i="14"/>
  <c r="F43" i="20" s="1"/>
  <c r="G14" i="14"/>
  <c r="F13" i="20" s="1"/>
  <c r="G6" i="14"/>
  <c r="F19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6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1" i="20"/>
  <c r="M67" i="14"/>
  <c r="D56" i="20"/>
  <c r="M41" i="14"/>
  <c r="D15" i="20"/>
  <c r="M71" i="14"/>
  <c r="D44" i="20"/>
  <c r="M52" i="14"/>
  <c r="C15" i="13" s="1"/>
  <c r="C36" i="15" s="1"/>
  <c r="D24" i="20"/>
  <c r="M55" i="14"/>
  <c r="D10" i="20"/>
  <c r="M47" i="14"/>
  <c r="D39" i="20"/>
  <c r="M49" i="14"/>
  <c r="D37" i="20"/>
  <c r="M72" i="14"/>
  <c r="D43" i="20"/>
  <c r="M48" i="14"/>
  <c r="D5" i="20"/>
  <c r="M39" i="14"/>
  <c r="D26" i="20"/>
  <c r="M46" i="14"/>
  <c r="D55" i="20"/>
  <c r="M26" i="14"/>
  <c r="D17" i="20"/>
  <c r="M34" i="14"/>
  <c r="D30" i="20"/>
  <c r="M37" i="14"/>
  <c r="D28" i="20"/>
  <c r="M58" i="14"/>
  <c r="D21" i="20"/>
  <c r="M61" i="14"/>
  <c r="D47" i="20"/>
  <c r="M38" i="14"/>
  <c r="D23" i="20"/>
  <c r="M51" i="14"/>
  <c r="D51" i="20"/>
  <c r="M42" i="14"/>
  <c r="D50" i="20"/>
  <c r="M44" i="14"/>
  <c r="D14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E14" i="20"/>
  <c r="E47" i="20"/>
  <c r="E17" i="20"/>
  <c r="E53" i="20"/>
  <c r="E30" i="20"/>
  <c r="E10" i="20"/>
  <c r="E5" i="20"/>
  <c r="E56" i="20"/>
  <c r="E33" i="20"/>
  <c r="E11" i="20"/>
  <c r="E24" i="20"/>
  <c r="E43" i="20"/>
  <c r="E21" i="20"/>
  <c r="E55" i="20"/>
  <c r="E37" i="20"/>
  <c r="E44" i="20"/>
  <c r="E63" i="20"/>
  <c r="E50" i="20"/>
  <c r="E42" i="20"/>
  <c r="E51" i="20"/>
  <c r="E28" i="20"/>
  <c r="E26" i="20"/>
  <c r="E39" i="20"/>
  <c r="E15" i="20"/>
  <c r="E25" i="20"/>
  <c r="M1" i="8"/>
  <c r="M4" i="13"/>
  <c r="A11" i="8" l="1"/>
  <c r="J6" i="13"/>
  <c r="K6" i="13"/>
  <c r="I6" i="13"/>
  <c r="L6" i="13"/>
  <c r="H6" i="13"/>
  <c r="G6" i="13"/>
  <c r="G7" i="13" s="1"/>
  <c r="M5" i="13"/>
  <c r="M6" i="13"/>
  <c r="N1" i="8"/>
  <c r="N4" i="13"/>
  <c r="A12" i="8" l="1"/>
  <c r="L7" i="13"/>
  <c r="J7" i="13"/>
  <c r="H7" i="13"/>
  <c r="H8" i="13" s="1"/>
  <c r="K7" i="13"/>
  <c r="L15" i="13"/>
  <c r="K15" i="13"/>
  <c r="I15" i="13"/>
  <c r="J15" i="13"/>
  <c r="I7" i="13"/>
  <c r="M7" i="13"/>
  <c r="M13" i="13"/>
  <c r="M15" i="13"/>
  <c r="N5" i="13"/>
  <c r="N6" i="13"/>
  <c r="O1" i="8"/>
  <c r="O4" i="13"/>
  <c r="A13" i="8" l="1"/>
  <c r="L17" i="13"/>
  <c r="M17" i="13"/>
  <c r="K8" i="13"/>
  <c r="L8" i="13"/>
  <c r="I8" i="13"/>
  <c r="I14" i="13" s="1"/>
  <c r="J8" i="13"/>
  <c r="K17" i="13"/>
  <c r="M8" i="13"/>
  <c r="H14" i="13"/>
  <c r="N7" i="13"/>
  <c r="N8" i="13" s="1"/>
  <c r="N13" i="13"/>
  <c r="N15" i="13"/>
  <c r="O5" i="13"/>
  <c r="O6" i="13"/>
  <c r="P1" i="8"/>
  <c r="P4" i="13"/>
  <c r="A14" i="8" l="1"/>
  <c r="J14" i="13"/>
  <c r="J16" i="13" s="1"/>
  <c r="L14" i="13"/>
  <c r="M14" i="13"/>
  <c r="K14" i="13"/>
  <c r="N14" i="13"/>
  <c r="G14" i="13"/>
  <c r="N17" i="13"/>
  <c r="O7" i="13"/>
  <c r="O8" i="13" s="1"/>
  <c r="O13" i="13"/>
  <c r="O15" i="13"/>
  <c r="P5" i="13"/>
  <c r="P6" i="13"/>
  <c r="Q1" i="8"/>
  <c r="Q4" i="13"/>
  <c r="A15" i="8" l="1"/>
  <c r="H16" i="13"/>
  <c r="G16" i="13"/>
  <c r="L16" i="13"/>
  <c r="N16" i="13"/>
  <c r="M16" i="13"/>
  <c r="K16" i="13"/>
  <c r="I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13" i="13" s="1"/>
  <c r="T6" i="13"/>
  <c r="U1" i="8"/>
  <c r="U4" i="13"/>
  <c r="A19" i="8" l="1"/>
  <c r="S14" i="13"/>
  <c r="S16" i="13" s="1"/>
  <c r="S17" i="13"/>
  <c r="T7" i="13"/>
  <c r="T8" i="13" s="1"/>
  <c r="T15" i="13"/>
  <c r="U5" i="13"/>
  <c r="U6" i="13"/>
  <c r="V1" i="8"/>
  <c r="V4" i="13"/>
  <c r="A20" i="8" l="1"/>
  <c r="T14" i="13"/>
  <c r="T16" i="13" s="1"/>
  <c r="T17" i="13"/>
  <c r="U7" i="13"/>
  <c r="U13" i="13"/>
  <c r="U15" i="13"/>
  <c r="V5" i="13"/>
  <c r="V6" i="13"/>
  <c r="W1" i="8"/>
  <c r="W4" i="13"/>
  <c r="U8" i="13" l="1"/>
  <c r="U14" i="13" s="1"/>
  <c r="U16" i="13" s="1"/>
  <c r="E20" i="8"/>
  <c r="A21" i="8"/>
  <c r="F20" i="8"/>
  <c r="U17" i="13"/>
  <c r="V7" i="13"/>
  <c r="V13" i="13"/>
  <c r="V15" i="13"/>
  <c r="W5" i="13"/>
  <c r="W6" i="13"/>
  <c r="X1" i="8"/>
  <c r="X4" i="13"/>
  <c r="G20" i="8" l="1"/>
  <c r="A22" i="8"/>
  <c r="F19" i="8"/>
  <c r="V17" i="13"/>
  <c r="V8" i="13"/>
  <c r="W7" i="13"/>
  <c r="W13" i="13"/>
  <c r="W15" i="13"/>
  <c r="X5" i="13"/>
  <c r="Y1" i="8"/>
  <c r="Y4" i="13"/>
  <c r="A23" i="8" l="1"/>
  <c r="V14" i="13"/>
  <c r="W17" i="13"/>
  <c r="X7" i="13"/>
  <c r="W8" i="13"/>
  <c r="X13" i="13"/>
  <c r="X15" i="13"/>
  <c r="Y5" i="13"/>
  <c r="Y6" i="13"/>
  <c r="Z1" i="8"/>
  <c r="Z4" i="13"/>
  <c r="A24" i="8" l="1"/>
  <c r="F23" i="8"/>
  <c r="X8" i="13"/>
  <c r="X14" i="13" s="1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A25" i="8" l="1"/>
  <c r="X16" i="13"/>
  <c r="Y14" i="13"/>
  <c r="Y17" i="13"/>
  <c r="Z7" i="13"/>
  <c r="Z13" i="13"/>
  <c r="Z15" i="13"/>
  <c r="AA5" i="13"/>
  <c r="AA6" i="13"/>
  <c r="AB1" i="8"/>
  <c r="AB4" i="13"/>
  <c r="F21" i="8" l="1"/>
  <c r="A26" i="8"/>
  <c r="E25" i="8"/>
  <c r="F25" i="8"/>
  <c r="Y16" i="13"/>
  <c r="Z17" i="13"/>
  <c r="Z8" i="13"/>
  <c r="AA7" i="13"/>
  <c r="AA13" i="13"/>
  <c r="AA15" i="13"/>
  <c r="AB5" i="13"/>
  <c r="AB6" i="13"/>
  <c r="AC1" i="8"/>
  <c r="AC4" i="13"/>
  <c r="F22" i="8" l="1"/>
  <c r="G25" i="8"/>
  <c r="A27" i="8"/>
  <c r="E26" i="8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G26" i="8" l="1"/>
  <c r="A28" i="8"/>
  <c r="E27" i="8"/>
  <c r="F27" i="8"/>
  <c r="AB17" i="13"/>
  <c r="AA16" i="13"/>
  <c r="AB8" i="13"/>
  <c r="AC7" i="13"/>
  <c r="AC15" i="13"/>
  <c r="AD5" i="13"/>
  <c r="AD13" i="13" s="1"/>
  <c r="AD6" i="13"/>
  <c r="AE1" i="8"/>
  <c r="AE4" i="13"/>
  <c r="G27" i="8" l="1"/>
  <c r="E28" i="8"/>
  <c r="A29" i="8"/>
  <c r="F28" i="8"/>
  <c r="AC17" i="13"/>
  <c r="AB14" i="13"/>
  <c r="AC8" i="13"/>
  <c r="AD7" i="13"/>
  <c r="AD15" i="13"/>
  <c r="AE5" i="13"/>
  <c r="AE13" i="13" s="1"/>
  <c r="AE6" i="13"/>
  <c r="AF1" i="8"/>
  <c r="AF4" i="13"/>
  <c r="G28" i="8" l="1"/>
  <c r="E23" i="8"/>
  <c r="G23" i="8" s="1"/>
  <c r="E29" i="8"/>
  <c r="A30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G29" i="8" l="1"/>
  <c r="E30" i="8"/>
  <c r="A31" i="8"/>
  <c r="F30" i="8"/>
  <c r="AC16" i="13"/>
  <c r="AE17" i="13"/>
  <c r="AD14" i="13"/>
  <c r="AF7" i="13"/>
  <c r="AF8" i="13" s="1"/>
  <c r="AE8" i="13"/>
  <c r="AF15" i="13"/>
  <c r="AG5" i="13"/>
  <c r="AG6" i="13"/>
  <c r="AH1" i="8"/>
  <c r="AH4" i="13"/>
  <c r="G30" i="8" l="1"/>
  <c r="E31" i="8"/>
  <c r="A32" i="8"/>
  <c r="F31" i="8"/>
  <c r="AF14" i="13"/>
  <c r="AD16" i="13"/>
  <c r="AF17" i="13"/>
  <c r="AE14" i="13"/>
  <c r="AE16" i="13" s="1"/>
  <c r="AG7" i="13"/>
  <c r="AG8" i="13" s="1"/>
  <c r="AG15" i="13"/>
  <c r="AH5" i="13"/>
  <c r="AH13" i="13" s="1"/>
  <c r="AH6" i="13"/>
  <c r="AI1" i="8"/>
  <c r="AI4" i="13"/>
  <c r="G31" i="8" l="1"/>
  <c r="E32" i="8"/>
  <c r="A33" i="8"/>
  <c r="F32" i="8"/>
  <c r="AG17" i="13"/>
  <c r="AF16" i="13"/>
  <c r="AH7" i="13"/>
  <c r="AH8" i="13" s="1"/>
  <c r="AH15" i="13"/>
  <c r="AI5" i="13"/>
  <c r="AI13" i="13" s="1"/>
  <c r="AI6" i="13"/>
  <c r="AJ1" i="8"/>
  <c r="AJ4" i="13"/>
  <c r="G32" i="8" l="1"/>
  <c r="A34" i="8"/>
  <c r="E33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G33" i="8" l="1"/>
  <c r="A35" i="8"/>
  <c r="E34" i="8"/>
  <c r="F34" i="8"/>
  <c r="AG16" i="13"/>
  <c r="AH16" i="13"/>
  <c r="AJ7" i="13"/>
  <c r="AJ15" i="13"/>
  <c r="AJ17" i="13" s="1"/>
  <c r="AK5" i="13"/>
  <c r="AK13" i="13" s="1"/>
  <c r="AK6" i="13"/>
  <c r="AL1" i="8"/>
  <c r="AL4" i="13"/>
  <c r="G34" i="8" l="1"/>
  <c r="A36" i="8"/>
  <c r="E35" i="8"/>
  <c r="F35" i="8"/>
  <c r="AI14" i="13"/>
  <c r="AJ8" i="13"/>
  <c r="AK7" i="13"/>
  <c r="AK8" i="13" s="1"/>
  <c r="AL6" i="13"/>
  <c r="AK15" i="13"/>
  <c r="AL5" i="13"/>
  <c r="AM1" i="8"/>
  <c r="AM4" i="13"/>
  <c r="G35" i="8" l="1"/>
  <c r="E36" i="8"/>
  <c r="A37" i="8"/>
  <c r="F36" i="8"/>
  <c r="AK17" i="13"/>
  <c r="AI16" i="13"/>
  <c r="G12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G36" i="8" l="1"/>
  <c r="E37" i="8"/>
  <c r="A38" i="8"/>
  <c r="F37" i="8"/>
  <c r="AJ16" i="13"/>
  <c r="AK16" i="13"/>
  <c r="AM7" i="13"/>
  <c r="AM8" i="13" s="1"/>
  <c r="AM15" i="13"/>
  <c r="AN5" i="13"/>
  <c r="AN6" i="13"/>
  <c r="AO1" i="8"/>
  <c r="AO4" i="13"/>
  <c r="G37" i="8" l="1"/>
  <c r="E38" i="8"/>
  <c r="A39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E39" i="8" l="1"/>
  <c r="A40" i="8"/>
  <c r="F39" i="8"/>
  <c r="G38" i="8"/>
  <c r="AL16" i="13"/>
  <c r="AM16" i="13"/>
  <c r="AN17" i="13"/>
  <c r="AN14" i="13"/>
  <c r="AO7" i="13"/>
  <c r="AO15" i="13"/>
  <c r="AP5" i="13"/>
  <c r="AP6" i="13"/>
  <c r="AQ1" i="8"/>
  <c r="AQ4" i="13"/>
  <c r="E40" i="8" l="1"/>
  <c r="A41" i="8"/>
  <c r="F40" i="8"/>
  <c r="G39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F41" i="8"/>
  <c r="G40" i="8"/>
  <c r="AP17" i="13"/>
  <c r="AP14" i="13"/>
  <c r="AO14" i="13"/>
  <c r="AQ7" i="13"/>
  <c r="AQ8" i="13" s="1"/>
  <c r="AQ15" i="13"/>
  <c r="AR5" i="13"/>
  <c r="AR6" i="13"/>
  <c r="AS1" i="8"/>
  <c r="AS4" i="13"/>
  <c r="G41" i="8" l="1"/>
  <c r="A43" i="8"/>
  <c r="E42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5" i="13"/>
  <c r="AU6" i="13"/>
  <c r="AV1" i="8"/>
  <c r="E44" i="8" s="1"/>
  <c r="AV4" i="13"/>
  <c r="G44" i="8" l="1"/>
  <c r="E45" i="8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E46" i="8"/>
  <c r="A47" i="8"/>
  <c r="F46" i="8"/>
  <c r="AU14" i="13"/>
  <c r="AT14" i="13"/>
  <c r="AV7" i="13"/>
  <c r="AV8" i="13" s="1"/>
  <c r="AV15" i="13"/>
  <c r="AW5" i="13"/>
  <c r="AW6" i="13"/>
  <c r="AX1" i="8"/>
  <c r="G27" i="20"/>
  <c r="AX4" i="13"/>
  <c r="E47" i="8" l="1"/>
  <c r="A48" i="8"/>
  <c r="F47" i="8"/>
  <c r="G46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E48" i="8"/>
  <c r="A49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9" i="20"/>
  <c r="BA4" i="13"/>
  <c r="A51" i="8" l="1"/>
  <c r="E50" i="8"/>
  <c r="F50" i="8"/>
  <c r="G49" i="8"/>
  <c r="AY14" i="13"/>
  <c r="AZ7" i="13"/>
  <c r="AZ8" i="13" s="1"/>
  <c r="AZ15" i="13"/>
  <c r="AZ17" i="13" s="1"/>
  <c r="BA5" i="13"/>
  <c r="BA6" i="13"/>
  <c r="BB1" i="8"/>
  <c r="BB4" i="13"/>
  <c r="A52" i="8" l="1"/>
  <c r="E51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E53" i="8"/>
  <c r="A54" i="8"/>
  <c r="F53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E54" i="8"/>
  <c r="A55" i="8"/>
  <c r="F54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G40" i="20" s="1"/>
  <c r="E55" i="8"/>
  <c r="A56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7" i="20"/>
  <c r="J17" i="20" s="1"/>
  <c r="C16" i="15"/>
  <c r="C34" i="15"/>
  <c r="I3" i="13"/>
  <c r="C10" i="15"/>
  <c r="BG4" i="13"/>
  <c r="G55" i="8" l="1"/>
  <c r="E56" i="8"/>
  <c r="A57" i="8"/>
  <c r="F56" i="8"/>
  <c r="BE17" i="13"/>
  <c r="BH1" i="8"/>
  <c r="E2" i="8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A59" i="8"/>
  <c r="E58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A60" i="8"/>
  <c r="E59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E60" i="8"/>
  <c r="A61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3" i="8" l="1"/>
  <c r="E4" i="8"/>
  <c r="F3" i="8"/>
  <c r="F4" i="8"/>
  <c r="F7" i="8"/>
  <c r="F8" i="8"/>
  <c r="E7" i="8"/>
  <c r="E6" i="8"/>
  <c r="F5" i="8"/>
  <c r="E5" i="8"/>
  <c r="F6" i="8"/>
  <c r="F10" i="8"/>
  <c r="F9" i="8"/>
  <c r="E8" i="8"/>
  <c r="G8" i="8" s="1"/>
  <c r="E10" i="8"/>
  <c r="E9" i="8"/>
  <c r="E11" i="8"/>
  <c r="F11" i="8"/>
  <c r="E13" i="8"/>
  <c r="F13" i="8"/>
  <c r="F12" i="8"/>
  <c r="E15" i="8"/>
  <c r="F14" i="8"/>
  <c r="F15" i="8"/>
  <c r="E12" i="8"/>
  <c r="F16" i="8"/>
  <c r="E14" i="8"/>
  <c r="G14" i="8" s="1"/>
  <c r="E16" i="8"/>
  <c r="F17" i="8"/>
  <c r="F18" i="8"/>
  <c r="E18" i="8"/>
  <c r="E17" i="8"/>
  <c r="E19" i="8"/>
  <c r="G19" i="8" s="1"/>
  <c r="F24" i="8"/>
  <c r="E22" i="8"/>
  <c r="G22" i="8" s="1"/>
  <c r="G13" i="20" s="1"/>
  <c r="E21" i="8"/>
  <c r="G21" i="8" s="1"/>
  <c r="E24" i="8"/>
  <c r="E62" i="8"/>
  <c r="A63" i="8"/>
  <c r="F62" i="8"/>
  <c r="G61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18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17" i="8" l="1"/>
  <c r="G9" i="8"/>
  <c r="G6" i="8"/>
  <c r="G10" i="8"/>
  <c r="G16" i="20" s="1"/>
  <c r="G7" i="8"/>
  <c r="G19" i="20" s="1"/>
  <c r="G5" i="8"/>
  <c r="G13" i="8"/>
  <c r="G12" i="8"/>
  <c r="E63" i="8"/>
  <c r="A64" i="8"/>
  <c r="F63" i="8"/>
  <c r="G18" i="8"/>
  <c r="G14" i="20" s="1"/>
  <c r="J14" i="20" s="1"/>
  <c r="G62" i="8"/>
  <c r="G15" i="8"/>
  <c r="G24" i="8"/>
  <c r="G16" i="8"/>
  <c r="G4" i="8"/>
  <c r="G11" i="8"/>
  <c r="G3" i="8"/>
  <c r="G8" i="20"/>
  <c r="G60" i="20"/>
  <c r="G7" i="20"/>
  <c r="BK16" i="13"/>
  <c r="BJ16" i="13"/>
  <c r="BL17" i="13"/>
  <c r="G50" i="20"/>
  <c r="J50" i="20" s="1"/>
  <c r="G5" i="20"/>
  <c r="J5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E64" i="8" l="1"/>
  <c r="A65" i="8"/>
  <c r="F64" i="8"/>
  <c r="G63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G65" i="8"/>
  <c r="G58" i="20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A68" i="8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G44" i="20" s="1"/>
  <c r="J44" i="20" s="1"/>
  <c r="E68" i="8"/>
  <c r="A69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8" i="8" l="1"/>
  <c r="G48" i="20" s="1"/>
  <c r="E69" i="8"/>
  <c r="A70" i="8"/>
  <c r="F69" i="8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E70" i="8"/>
  <c r="A71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0" i="20"/>
  <c r="G10" i="20"/>
  <c r="J10" i="20" s="1"/>
  <c r="X3" i="13"/>
  <c r="BV4" i="13"/>
  <c r="G70" i="8" l="1"/>
  <c r="E71" i="8"/>
  <c r="A72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G71" i="8" l="1"/>
  <c r="E72" i="8"/>
  <c r="A73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A74" i="8"/>
  <c r="E73" i="8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G73" i="8" l="1"/>
  <c r="G53" i="20" s="1"/>
  <c r="J53" i="20" s="1"/>
  <c r="A75" i="8"/>
  <c r="E74" i="8"/>
  <c r="F74" i="8"/>
  <c r="BZ17" i="13"/>
  <c r="BY17" i="13"/>
  <c r="BX17" i="13"/>
  <c r="BX8" i="13"/>
  <c r="BW8" i="13"/>
  <c r="BV10" i="13"/>
  <c r="BV12" i="13"/>
  <c r="BV14" i="13"/>
  <c r="BV11" i="13"/>
  <c r="BX7" i="13"/>
  <c r="BY15" i="13"/>
  <c r="CA17" i="13" s="1"/>
  <c r="AA27" i="13"/>
  <c r="AA28" i="13" s="1"/>
  <c r="AA25" i="13"/>
  <c r="BY5" i="13"/>
  <c r="BY13" i="13" s="1"/>
  <c r="BY6" i="13"/>
  <c r="AB3" i="13"/>
  <c r="BZ4" i="13"/>
  <c r="G74" i="8" l="1"/>
  <c r="A76" i="8"/>
  <c r="E75" i="8"/>
  <c r="F75" i="8"/>
  <c r="BX14" i="13"/>
  <c r="BW11" i="13"/>
  <c r="BX11" i="13" s="1"/>
  <c r="BW12" i="13"/>
  <c r="BX12" i="13" s="1"/>
  <c r="BW10" i="13"/>
  <c r="BX10" i="13" s="1"/>
  <c r="BW14" i="13"/>
  <c r="BV16" i="13"/>
  <c r="BY7" i="13"/>
  <c r="CH8" i="13" s="1"/>
  <c r="CI14" i="13" s="1"/>
  <c r="CK16" i="13" s="1"/>
  <c r="BZ13" i="13"/>
  <c r="AB27" i="13"/>
  <c r="AB28" i="13" s="1"/>
  <c r="AB25" i="13"/>
  <c r="BZ15" i="13"/>
  <c r="CB17" i="13" s="1"/>
  <c r="BZ5" i="13"/>
  <c r="BZ6" i="13"/>
  <c r="AC3" i="13"/>
  <c r="CA4" i="13"/>
  <c r="G75" i="8" l="1"/>
  <c r="E76" i="8"/>
  <c r="A77" i="8"/>
  <c r="F76" i="8"/>
  <c r="CD8" i="13"/>
  <c r="CE14" i="13" s="1"/>
  <c r="CG16" i="13" s="1"/>
  <c r="CA8" i="13"/>
  <c r="CB14" i="13" s="1"/>
  <c r="CD16" i="13" s="1"/>
  <c r="CI8" i="13"/>
  <c r="CJ14" i="13" s="1"/>
  <c r="CL16" i="13" s="1"/>
  <c r="CB8" i="13"/>
  <c r="CC14" i="13" s="1"/>
  <c r="CE16" i="13" s="1"/>
  <c r="CF8" i="13"/>
  <c r="CG14" i="13" s="1"/>
  <c r="CI16" i="13" s="1"/>
  <c r="BY8" i="13"/>
  <c r="BY10" i="13" s="1"/>
  <c r="CC8" i="13"/>
  <c r="CD14" i="13" s="1"/>
  <c r="CF16" i="13" s="1"/>
  <c r="BZ8" i="13"/>
  <c r="CA14" i="13" s="1"/>
  <c r="CC16" i="13" s="1"/>
  <c r="CG8" i="13"/>
  <c r="CH14" i="13" s="1"/>
  <c r="CJ16" i="13" s="1"/>
  <c r="CE8" i="13"/>
  <c r="CF14" i="13" s="1"/>
  <c r="CH16" i="13" s="1"/>
  <c r="BW16" i="13"/>
  <c r="BX16" i="13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G76" i="8" l="1"/>
  <c r="BY12" i="13"/>
  <c r="BZ12" i="13" s="1"/>
  <c r="CA12" i="13" s="1"/>
  <c r="CB12" i="13" s="1"/>
  <c r="CC12" i="13" s="1"/>
  <c r="CD12" i="13" s="1"/>
  <c r="CE12" i="13" s="1"/>
  <c r="CF12" i="13" s="1"/>
  <c r="CG12" i="13" s="1"/>
  <c r="CH12" i="13" s="1"/>
  <c r="CI12" i="13" s="1"/>
  <c r="BZ10" i="13"/>
  <c r="CA10" i="13" s="1"/>
  <c r="CB10" i="13" s="1"/>
  <c r="CC10" i="13" s="1"/>
  <c r="CD10" i="13" s="1"/>
  <c r="CE10" i="13" s="1"/>
  <c r="CF10" i="13" s="1"/>
  <c r="CG10" i="13" s="1"/>
  <c r="CH10" i="13" s="1"/>
  <c r="CI10" i="13" s="1"/>
  <c r="BY11" i="13"/>
  <c r="BZ11" i="13" s="1"/>
  <c r="CA11" i="13" s="1"/>
  <c r="CB11" i="13" s="1"/>
  <c r="CC11" i="13" s="1"/>
  <c r="CD11" i="13" s="1"/>
  <c r="CE11" i="13" s="1"/>
  <c r="CF11" i="13" s="1"/>
  <c r="CG11" i="13" s="1"/>
  <c r="CH11" i="13" s="1"/>
  <c r="CI11" i="13" s="1"/>
  <c r="E77" i="8"/>
  <c r="A78" i="8"/>
  <c r="F77" i="8"/>
  <c r="BZ14" i="13"/>
  <c r="CB16" i="13" s="1"/>
  <c r="BY14" i="13"/>
  <c r="CK14" i="13"/>
  <c r="CM16" i="13" s="1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G77" i="8" l="1"/>
  <c r="E78" i="8"/>
  <c r="A79" i="8"/>
  <c r="F78" i="8"/>
  <c r="CA16" i="13"/>
  <c r="BZ16" i="13"/>
  <c r="BY16" i="13"/>
  <c r="G35" i="20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G78" i="8" l="1"/>
  <c r="E79" i="8"/>
  <c r="A80" i="8"/>
  <c r="F79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E80" i="8"/>
  <c r="A81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A82" i="8"/>
  <c r="E81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G38" i="20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21" i="20"/>
  <c r="J21" i="20" s="1"/>
  <c r="AJ3" i="13"/>
  <c r="CH4" i="13"/>
  <c r="G82" i="8" l="1"/>
  <c r="A84" i="8"/>
  <c r="E83" i="8"/>
  <c r="F83" i="8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G83" i="8" l="1"/>
  <c r="G42" i="20" s="1"/>
  <c r="J42" i="20" s="1"/>
  <c r="E84" i="8"/>
  <c r="A85" i="8"/>
  <c r="F84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G88" i="8"/>
  <c r="G36" i="20" s="1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E92" i="8"/>
  <c r="A93" i="8"/>
  <c r="F92" i="8"/>
  <c r="G55" i="20"/>
  <c r="J55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E93" i="8"/>
  <c r="A94" i="8"/>
  <c r="F93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G51" i="20" s="1"/>
  <c r="J51" i="20" s="1"/>
  <c r="E96" i="8"/>
  <c r="A97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E97" i="8"/>
  <c r="A98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E101" i="8"/>
  <c r="A102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E103" i="8"/>
  <c r="A104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G105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A109" i="8"/>
  <c r="F108" i="8"/>
  <c r="G107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G108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E111" i="8"/>
  <c r="A112" i="8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1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1" i="20"/>
  <c r="J11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5" i="20"/>
  <c r="J15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3" i="20"/>
  <c r="E13" i="20" s="1"/>
  <c r="M13" i="20"/>
  <c r="D36" i="20"/>
  <c r="E36" i="20" s="1"/>
  <c r="M36" i="20"/>
  <c r="D52" i="20"/>
  <c r="E52" i="20" s="1"/>
  <c r="M52" i="20"/>
  <c r="M20" i="20"/>
  <c r="D20" i="20"/>
  <c r="E20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6" i="20"/>
  <c r="E16" i="20" s="1"/>
  <c r="M16" i="20"/>
  <c r="D4" i="20"/>
  <c r="E4" i="20" s="1"/>
  <c r="M4" i="20"/>
  <c r="M19" i="20"/>
  <c r="D19" i="20"/>
  <c r="E19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2" i="20"/>
  <c r="E12" i="20" s="1"/>
  <c r="M12" i="20"/>
  <c r="M34" i="20"/>
  <c r="D34" i="20"/>
  <c r="E34" i="20" s="1"/>
  <c r="D18" i="20"/>
  <c r="E18" i="20" s="1"/>
  <c r="M18" i="20"/>
  <c r="M49" i="20"/>
  <c r="D49" i="20"/>
  <c r="E49" i="20" s="1"/>
  <c r="M9" i="20"/>
  <c r="D9" i="20"/>
  <c r="E9" i="20" s="1"/>
  <c r="D48" i="20"/>
  <c r="E48" i="20" s="1"/>
  <c r="M48" i="20"/>
  <c r="M29" i="20"/>
  <c r="D29" i="20"/>
  <c r="E29" i="20" s="1"/>
  <c r="M61" i="20"/>
  <c r="D61" i="20"/>
  <c r="E61" i="20" s="1"/>
  <c r="D7" i="20"/>
  <c r="E7" i="20" s="1"/>
  <c r="M7" i="20"/>
  <c r="D54" i="20"/>
  <c r="E54" i="20" s="1"/>
  <c r="M54" i="20"/>
  <c r="M40" i="20"/>
  <c r="D40" i="20"/>
  <c r="E40" i="20" s="1"/>
  <c r="D8" i="20"/>
  <c r="E8" i="20" s="1"/>
  <c r="M8" i="20"/>
  <c r="BG20" i="13" l="1"/>
  <c r="BG26" i="13" s="1"/>
  <c r="BH9" i="13"/>
  <c r="CG22" i="13"/>
  <c r="CG21" i="13"/>
  <c r="CG23" i="13"/>
  <c r="J6" i="20"/>
  <c r="J32" i="20"/>
  <c r="J8" i="20"/>
  <c r="J59" i="20"/>
  <c r="J40" i="20"/>
  <c r="J35" i="20"/>
  <c r="J36" i="20"/>
  <c r="J58" i="20"/>
  <c r="J54" i="20"/>
  <c r="J20" i="20"/>
  <c r="J60" i="20"/>
  <c r="J4" i="20"/>
  <c r="J12" i="20"/>
  <c r="J57" i="20"/>
  <c r="J7" i="20"/>
  <c r="J22" i="20"/>
  <c r="J48" i="20"/>
  <c r="J16" i="20"/>
  <c r="J18" i="20"/>
  <c r="J38" i="20"/>
  <c r="J45" i="20"/>
  <c r="J9" i="20"/>
  <c r="J46" i="20"/>
  <c r="J61" i="20"/>
  <c r="J49" i="20"/>
  <c r="J52" i="20"/>
  <c r="J29" i="20"/>
  <c r="J41" i="20"/>
  <c r="J34" i="20"/>
  <c r="J31" i="20"/>
  <c r="J19" i="20"/>
  <c r="J27" i="20"/>
  <c r="J13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77" i="23"/>
  <c r="E77" i="23"/>
  <c r="G77" i="23"/>
  <c r="E76" i="23"/>
  <c r="F76" i="23"/>
  <c r="G76" i="23"/>
  <c r="H66" i="20"/>
  <c r="F75" i="23"/>
  <c r="E75" i="23"/>
  <c r="G75" i="23"/>
  <c r="H63" i="20"/>
  <c r="F74" i="23"/>
  <c r="E74" i="23"/>
  <c r="G74" i="23"/>
  <c r="H38" i="20"/>
  <c r="F73" i="23"/>
  <c r="E73" i="23"/>
  <c r="G73" i="23"/>
  <c r="F72" i="23"/>
  <c r="E72" i="23"/>
  <c r="G72" i="23"/>
  <c r="E71" i="23"/>
  <c r="F71" i="23"/>
  <c r="G71" i="23"/>
  <c r="H25" i="20"/>
  <c r="E70" i="23"/>
  <c r="F70" i="23"/>
  <c r="G70" i="23"/>
  <c r="H29" i="20"/>
  <c r="E69" i="23"/>
  <c r="F69" i="23"/>
  <c r="G69" i="23"/>
  <c r="E68" i="23"/>
  <c r="F68" i="23"/>
  <c r="G68" i="23"/>
  <c r="H4" i="20"/>
  <c r="F67" i="23"/>
  <c r="E67" i="23"/>
  <c r="G67" i="23"/>
  <c r="H35" i="20"/>
  <c r="E66" i="23"/>
  <c r="F66" i="23"/>
  <c r="G66" i="23"/>
  <c r="E65" i="23"/>
  <c r="F65" i="23"/>
  <c r="G65" i="23"/>
  <c r="F64" i="23"/>
  <c r="E64" i="23"/>
  <c r="G64" i="23"/>
  <c r="E62" i="23"/>
  <c r="F62" i="23"/>
  <c r="G62" i="23"/>
  <c r="F63" i="23"/>
  <c r="E63" i="23"/>
  <c r="G63" i="23"/>
  <c r="H49" i="20"/>
  <c r="E61" i="23"/>
  <c r="F61" i="23"/>
  <c r="G61" i="23"/>
  <c r="H65" i="20"/>
  <c r="E60" i="23"/>
  <c r="F60" i="23"/>
  <c r="G60" i="23"/>
  <c r="E59" i="23"/>
  <c r="F59" i="23"/>
  <c r="G59" i="23"/>
  <c r="F58" i="23"/>
  <c r="E58" i="23"/>
  <c r="G58" i="23"/>
  <c r="H31" i="20"/>
  <c r="F57" i="23"/>
  <c r="E57" i="23"/>
  <c r="G57" i="23"/>
  <c r="H37" i="20"/>
  <c r="E55" i="23"/>
  <c r="F55" i="23"/>
  <c r="G55" i="23"/>
  <c r="H28" i="20"/>
  <c r="F56" i="23"/>
  <c r="E56" i="23"/>
  <c r="G56" i="23"/>
  <c r="H26" i="20"/>
  <c r="E54" i="23"/>
  <c r="F54" i="23"/>
  <c r="G54" i="23"/>
  <c r="H24" i="20"/>
  <c r="E52" i="23"/>
  <c r="F52" i="23"/>
  <c r="G52" i="23"/>
  <c r="H51" i="20"/>
  <c r="F53" i="23"/>
  <c r="E53" i="23"/>
  <c r="G53" i="23"/>
  <c r="H33" i="20"/>
  <c r="E51" i="23"/>
  <c r="F51" i="23"/>
  <c r="G51" i="23"/>
  <c r="E50" i="23"/>
  <c r="F50" i="23"/>
  <c r="G50" i="23"/>
  <c r="E48" i="23"/>
  <c r="F48" i="23"/>
  <c r="G48" i="23"/>
  <c r="H41" i="20"/>
  <c r="F49" i="23"/>
  <c r="E49" i="23"/>
  <c r="G49" i="23"/>
  <c r="E46" i="23"/>
  <c r="F46" i="23"/>
  <c r="G46" i="23"/>
  <c r="H17" i="20"/>
  <c r="E47" i="23"/>
  <c r="F47" i="23"/>
  <c r="G47" i="23"/>
  <c r="E45" i="23"/>
  <c r="F45" i="23"/>
  <c r="G45" i="23"/>
  <c r="H30" i="20"/>
  <c r="E44" i="23"/>
  <c r="F44" i="23"/>
  <c r="G44" i="23"/>
  <c r="F43" i="23"/>
  <c r="E43" i="23"/>
  <c r="G43" i="23"/>
  <c r="H45" i="20"/>
  <c r="F42" i="23"/>
  <c r="E42" i="23"/>
  <c r="G42" i="23"/>
  <c r="H20" i="20"/>
  <c r="E41" i="23"/>
  <c r="F41" i="23"/>
  <c r="G41" i="23"/>
  <c r="E40" i="23"/>
  <c r="F40" i="23"/>
  <c r="G40" i="23"/>
  <c r="H44" i="20"/>
  <c r="E39" i="23"/>
  <c r="F39" i="23"/>
  <c r="G39" i="23"/>
  <c r="H47" i="20"/>
  <c r="E38" i="23"/>
  <c r="F38" i="23"/>
  <c r="G38" i="23"/>
  <c r="H48" i="20"/>
  <c r="E37" i="23"/>
  <c r="F37" i="23"/>
  <c r="G37" i="23"/>
  <c r="E36" i="23"/>
  <c r="F36" i="23"/>
  <c r="G36" i="23"/>
  <c r="H57" i="20"/>
  <c r="F35" i="23"/>
  <c r="E35" i="23"/>
  <c r="G35" i="23"/>
  <c r="H32" i="20"/>
  <c r="E34" i="23"/>
  <c r="F34" i="23"/>
  <c r="G34" i="23"/>
  <c r="H15" i="20"/>
  <c r="E32" i="23"/>
  <c r="F32" i="23"/>
  <c r="G32" i="23"/>
  <c r="H18" i="20"/>
  <c r="F33" i="23"/>
  <c r="E33" i="23"/>
  <c r="G33" i="23"/>
  <c r="H27" i="20"/>
  <c r="E31" i="23"/>
  <c r="F31" i="23"/>
  <c r="G31" i="23"/>
  <c r="H50" i="20"/>
  <c r="E30" i="23"/>
  <c r="F30" i="23"/>
  <c r="G30" i="23"/>
  <c r="H10" i="20"/>
  <c r="E29" i="23"/>
  <c r="F29" i="23"/>
  <c r="G29" i="23"/>
  <c r="H11" i="20"/>
  <c r="E28" i="23"/>
  <c r="F28" i="23"/>
  <c r="G28" i="23"/>
  <c r="H21" i="20"/>
  <c r="F27" i="23"/>
  <c r="E27" i="23"/>
  <c r="G27" i="23"/>
  <c r="H9" i="20"/>
  <c r="E26" i="23"/>
  <c r="F26" i="23"/>
  <c r="G26" i="23"/>
  <c r="E25" i="23"/>
  <c r="F25" i="23"/>
  <c r="G25" i="23"/>
  <c r="E24" i="23"/>
  <c r="F24" i="23"/>
  <c r="G24" i="23"/>
  <c r="H46" i="20"/>
  <c r="E23" i="23"/>
  <c r="F23" i="23"/>
  <c r="G23" i="23"/>
  <c r="H12" i="20"/>
  <c r="E22" i="23"/>
  <c r="F22" i="23"/>
  <c r="G22" i="23"/>
  <c r="F21" i="23"/>
  <c r="E21" i="23"/>
  <c r="G21" i="23"/>
  <c r="E20" i="23"/>
  <c r="F20" i="23"/>
  <c r="G20" i="23"/>
  <c r="H14" i="20"/>
  <c r="E19" i="23"/>
  <c r="F19" i="23"/>
  <c r="G19" i="23"/>
  <c r="H5" i="20"/>
  <c r="E18" i="23"/>
  <c r="F18" i="23"/>
  <c r="G18" i="23"/>
  <c r="H13" i="20"/>
  <c r="E10" i="23"/>
  <c r="F10" i="23"/>
  <c r="G10" i="23"/>
  <c r="H7" i="20"/>
  <c r="E16" i="23"/>
  <c r="F16" i="23"/>
  <c r="G16" i="23"/>
  <c r="F17" i="23"/>
  <c r="E17" i="23"/>
  <c r="G17" i="23"/>
  <c r="H56" i="20"/>
  <c r="E9" i="23"/>
  <c r="F9" i="23"/>
  <c r="G9" i="23"/>
  <c r="H60" i="20"/>
  <c r="E15" i="23"/>
  <c r="F15" i="23"/>
  <c r="G15" i="23"/>
  <c r="E8" i="23"/>
  <c r="F8" i="23"/>
  <c r="G8" i="23"/>
  <c r="H16" i="20"/>
  <c r="E7" i="23"/>
  <c r="F7" i="23"/>
  <c r="G7" i="23"/>
  <c r="H6" i="20"/>
  <c r="E14" i="23"/>
  <c r="F14" i="23"/>
  <c r="G14" i="23"/>
  <c r="E13" i="23"/>
  <c r="F13" i="23"/>
  <c r="G13" i="23"/>
  <c r="E6" i="23"/>
  <c r="F6" i="23"/>
  <c r="G6" i="23"/>
  <c r="H19" i="20"/>
  <c r="E5" i="23"/>
  <c r="F5" i="23"/>
  <c r="G5" i="23"/>
  <c r="H22" i="20"/>
  <c r="E12" i="23"/>
  <c r="F12" i="23"/>
  <c r="G12" i="23"/>
  <c r="F11" i="23"/>
  <c r="E11" i="23"/>
  <c r="G11" i="23"/>
  <c r="H8" i="20"/>
</calcChain>
</file>

<file path=xl/sharedStrings.xml><?xml version="1.0" encoding="utf-8"?>
<sst xmlns="http://schemas.openxmlformats.org/spreadsheetml/2006/main" count="2612" uniqueCount="624">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</sst>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23" fillId="4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20.406185000588678</c:v>
                </c:pt>
                <c:pt idx="1">
                  <c:v>28.850123621521924</c:v>
                </c:pt>
                <c:pt idx="2">
                  <c:v>36.414485302774622</c:v>
                </c:pt>
                <c:pt idx="3">
                  <c:v>48.20081629449394</c:v>
                </c:pt>
                <c:pt idx="4">
                  <c:v>56.644754915427185</c:v>
                </c:pt>
                <c:pt idx="5">
                  <c:v>67.551508967465963</c:v>
                </c:pt>
                <c:pt idx="6">
                  <c:v>80.745163062674166</c:v>
                </c:pt>
                <c:pt idx="7">
                  <c:v>103.43824810643225</c:v>
                </c:pt>
                <c:pt idx="8">
                  <c:v>140.55639496095131</c:v>
                </c:pt>
                <c:pt idx="9">
                  <c:v>198.9603037557396</c:v>
                </c:pt>
                <c:pt idx="10">
                  <c:v>233.61563517915312</c:v>
                </c:pt>
                <c:pt idx="11">
                  <c:v>223.58845806679489</c:v>
                </c:pt>
                <c:pt idx="12">
                  <c:v>296.41742867234416</c:v>
                </c:pt>
                <c:pt idx="13">
                  <c:v>403.90173070130692</c:v>
                </c:pt>
                <c:pt idx="14">
                  <c:v>492.21125544523375</c:v>
                </c:pt>
                <c:pt idx="15">
                  <c:v>611.1300576900436</c:v>
                </c:pt>
                <c:pt idx="16">
                  <c:v>773.14812997920023</c:v>
                </c:pt>
                <c:pt idx="17">
                  <c:v>868.4942702405715</c:v>
                </c:pt>
                <c:pt idx="18">
                  <c:v>999.37531886503677</c:v>
                </c:pt>
                <c:pt idx="19">
                  <c:v>1185.4937993014405</c:v>
                </c:pt>
                <c:pt idx="20">
                  <c:v>1357.8908794788276</c:v>
                </c:pt>
                <c:pt idx="21">
                  <c:v>1709.0179937993016</c:v>
                </c:pt>
                <c:pt idx="22">
                  <c:v>2166.2220870452497</c:v>
                </c:pt>
                <c:pt idx="23">
                  <c:v>2464.2227542090186</c:v>
                </c:pt>
                <c:pt idx="24">
                  <c:v>2702.4121894745108</c:v>
                </c:pt>
                <c:pt idx="25">
                  <c:v>3046.5026882775405</c:v>
                </c:pt>
                <c:pt idx="26">
                  <c:v>3368.2519328126846</c:v>
                </c:pt>
                <c:pt idx="27">
                  <c:v>3705.0771260939528</c:v>
                </c:pt>
                <c:pt idx="28">
                  <c:v>4075.5848387033484</c:v>
                </c:pt>
                <c:pt idx="29">
                  <c:v>4483.1433225736837</c:v>
                </c:pt>
                <c:pt idx="30">
                  <c:v>4931.4576548310533</c:v>
                </c:pt>
                <c:pt idx="31">
                  <c:v>5424.6034203141589</c:v>
                </c:pt>
                <c:pt idx="32">
                  <c:v>5967.0637623455741</c:v>
                </c:pt>
                <c:pt idx="33">
                  <c:v>6563.7701385801329</c:v>
                </c:pt>
                <c:pt idx="34">
                  <c:v>7220.1471524381468</c:v>
                </c:pt>
                <c:pt idx="35">
                  <c:v>7942.1618676819626</c:v>
                </c:pt>
                <c:pt idx="36">
                  <c:v>8736.3780544501587</c:v>
                </c:pt>
                <c:pt idx="37">
                  <c:v>9610.0158598951748</c:v>
                </c:pt>
                <c:pt idx="38">
                  <c:v>10571.017445884694</c:v>
                </c:pt>
                <c:pt idx="39">
                  <c:v>11628.119190473162</c:v>
                </c:pt>
                <c:pt idx="40">
                  <c:v>12790.931109520481</c:v>
                </c:pt>
                <c:pt idx="41">
                  <c:v>14070.024220472531</c:v>
                </c:pt>
                <c:pt idx="42">
                  <c:v>15477.026642519784</c:v>
                </c:pt>
                <c:pt idx="43">
                  <c:v>17024.729306771766</c:v>
                </c:pt>
                <c:pt idx="44">
                  <c:v>18727.202237448942</c:v>
                </c:pt>
                <c:pt idx="45">
                  <c:v>20599.922461193841</c:v>
                </c:pt>
                <c:pt idx="46">
                  <c:v>22659.914707313223</c:v>
                </c:pt>
                <c:pt idx="47">
                  <c:v>24925.906178044548</c:v>
                </c:pt>
                <c:pt idx="48">
                  <c:v>27418.496795849002</c:v>
                </c:pt>
                <c:pt idx="49">
                  <c:v>30160.346475433904</c:v>
                </c:pt>
                <c:pt idx="50">
                  <c:v>33176.381122977298</c:v>
                </c:pt>
                <c:pt idx="51">
                  <c:v>36494.019235275031</c:v>
                </c:pt>
                <c:pt idx="52">
                  <c:v>40143.421158802536</c:v>
                </c:pt>
                <c:pt idx="53">
                  <c:v>44157.763274682795</c:v>
                </c:pt>
                <c:pt idx="54">
                  <c:v>48573.539602151082</c:v>
                </c:pt>
                <c:pt idx="55">
                  <c:v>53430.893562366196</c:v>
                </c:pt>
                <c:pt idx="56">
                  <c:v>58773.982918602822</c:v>
                </c:pt>
                <c:pt idx="57">
                  <c:v>64651.381210463114</c:v>
                </c:pt>
                <c:pt idx="58">
                  <c:v>71116.519331509437</c:v>
                </c:pt>
                <c:pt idx="59">
                  <c:v>78228.171264660385</c:v>
                </c:pt>
                <c:pt idx="60">
                  <c:v>86050.988391126433</c:v>
                </c:pt>
                <c:pt idx="61">
                  <c:v>94656.087230239078</c:v>
                </c:pt>
                <c:pt idx="62">
                  <c:v>104121.69595326301</c:v>
                </c:pt>
                <c:pt idx="63">
                  <c:v>114533.86554858933</c:v>
                </c:pt>
                <c:pt idx="64">
                  <c:v>125987.25210344826</c:v>
                </c:pt>
                <c:pt idx="65">
                  <c:v>138585.97731379309</c:v>
                </c:pt>
                <c:pt idx="66">
                  <c:v>152444.57504517242</c:v>
                </c:pt>
                <c:pt idx="67">
                  <c:v>167689.0325496897</c:v>
                </c:pt>
                <c:pt idx="68">
                  <c:v>184457.93580465866</c:v>
                </c:pt>
                <c:pt idx="69">
                  <c:v>202903.72938512452</c:v>
                </c:pt>
                <c:pt idx="70">
                  <c:v>223194.10232363699</c:v>
                </c:pt>
                <c:pt idx="71">
                  <c:v>245513.5125560007</c:v>
                </c:pt>
                <c:pt idx="72">
                  <c:v>270064.86381160078</c:v>
                </c:pt>
                <c:pt idx="73">
                  <c:v>297071.35019276087</c:v>
                </c:pt>
                <c:pt idx="74">
                  <c:v>326778.48521203699</c:v>
                </c:pt>
                <c:pt idx="75">
                  <c:v>359456.33373324072</c:v>
                </c:pt>
                <c:pt idx="76">
                  <c:v>395401.96710656479</c:v>
                </c:pt>
                <c:pt idx="77">
                  <c:v>434942.1638172213</c:v>
                </c:pt>
                <c:pt idx="78">
                  <c:v>478436.38019894349</c:v>
                </c:pt>
                <c:pt idx="79">
                  <c:v>526280.01821883791</c:v>
                </c:pt>
                <c:pt idx="80">
                  <c:v>578908.02004072175</c:v>
                </c:pt>
                <c:pt idx="81">
                  <c:v>636798.82204479398</c:v>
                </c:pt>
                <c:pt idx="82">
                  <c:v>700478.7042492734</c:v>
                </c:pt>
                <c:pt idx="83">
                  <c:v>770526.57467420085</c:v>
                </c:pt>
                <c:pt idx="84">
                  <c:v>847579.23214162095</c:v>
                </c:pt>
                <c:pt idx="85">
                  <c:v>932337.15535578318</c:v>
                </c:pt>
                <c:pt idx="86">
                  <c:v>1025570.8708913615</c:v>
                </c:pt>
                <c:pt idx="87">
                  <c:v>1128127.9579804977</c:v>
                </c:pt>
                <c:pt idx="88">
                  <c:v>1240940.7537785477</c:v>
                </c:pt>
                <c:pt idx="89">
                  <c:v>1365034.8291564027</c:v>
                </c:pt>
                <c:pt idx="90">
                  <c:v>1501538.3120720431</c:v>
                </c:pt>
                <c:pt idx="91">
                  <c:v>1651692.1432792472</c:v>
                </c:pt>
                <c:pt idx="92">
                  <c:v>1816861.3576071723</c:v>
                </c:pt>
                <c:pt idx="93">
                  <c:v>1998547.4933678897</c:v>
                </c:pt>
                <c:pt idx="94">
                  <c:v>2198402.2427046788</c:v>
                </c:pt>
                <c:pt idx="95">
                  <c:v>2418242.4669751469</c:v>
                </c:pt>
                <c:pt idx="96">
                  <c:v>2660066.7136726617</c:v>
                </c:pt>
                <c:pt idx="97">
                  <c:v>2926073.3850399284</c:v>
                </c:pt>
                <c:pt idx="98">
                  <c:v>3218680.7235439215</c:v>
                </c:pt>
                <c:pt idx="99">
                  <c:v>3540548.7958983141</c:v>
                </c:pt>
                <c:pt idx="100">
                  <c:v>3894603.675488146</c:v>
                </c:pt>
                <c:pt idx="101">
                  <c:v>4284064.043036961</c:v>
                </c:pt>
                <c:pt idx="102">
                  <c:v>4712470.447340657</c:v>
                </c:pt>
                <c:pt idx="103">
                  <c:v>4776877.5841999929</c:v>
                </c:pt>
                <c:pt idx="104">
                  <c:v>4776877.5841999929</c:v>
                </c:pt>
                <c:pt idx="105">
                  <c:v>4776877.5841999929</c:v>
                </c:pt>
                <c:pt idx="106">
                  <c:v>4776877.5841999929</c:v>
                </c:pt>
                <c:pt idx="107">
                  <c:v>4776877.5841999929</c:v>
                </c:pt>
                <c:pt idx="108">
                  <c:v>4776877.5841999929</c:v>
                </c:pt>
                <c:pt idx="109">
                  <c:v>4776877.5841999929</c:v>
                </c:pt>
                <c:pt idx="110">
                  <c:v>4776877.5841999929</c:v>
                </c:pt>
                <c:pt idx="111">
                  <c:v>4776877.5841999929</c:v>
                </c:pt>
                <c:pt idx="112">
                  <c:v>4776877.5841999929</c:v>
                </c:pt>
                <c:pt idx="113">
                  <c:v>4776877.5841999929</c:v>
                </c:pt>
                <c:pt idx="114">
                  <c:v>4776877.5841999929</c:v>
                </c:pt>
                <c:pt idx="115">
                  <c:v>4776877.5841999929</c:v>
                </c:pt>
                <c:pt idx="116">
                  <c:v>4776877.5841999929</c:v>
                </c:pt>
                <c:pt idx="117">
                  <c:v>4776877.5841999929</c:v>
                </c:pt>
                <c:pt idx="118">
                  <c:v>4776877.5841999929</c:v>
                </c:pt>
                <c:pt idx="119">
                  <c:v>4776877.5841999929</c:v>
                </c:pt>
                <c:pt idx="120">
                  <c:v>4776877.5841999929</c:v>
                </c:pt>
                <c:pt idx="121">
                  <c:v>4776877.5841999929</c:v>
                </c:pt>
                <c:pt idx="122">
                  <c:v>4776877.5841999929</c:v>
                </c:pt>
                <c:pt idx="123">
                  <c:v>4776877.5841999929</c:v>
                </c:pt>
                <c:pt idx="124">
                  <c:v>4776877.5841999929</c:v>
                </c:pt>
                <c:pt idx="125">
                  <c:v>4776877.5841999929</c:v>
                </c:pt>
                <c:pt idx="126">
                  <c:v>4776877.5841999929</c:v>
                </c:pt>
                <c:pt idx="127">
                  <c:v>4776877.5841999929</c:v>
                </c:pt>
                <c:pt idx="128">
                  <c:v>4776877.5841999929</c:v>
                </c:pt>
                <c:pt idx="129">
                  <c:v>4776877.5841999929</c:v>
                </c:pt>
                <c:pt idx="130">
                  <c:v>4776877.5841999929</c:v>
                </c:pt>
                <c:pt idx="131">
                  <c:v>4776877.5841999929</c:v>
                </c:pt>
                <c:pt idx="132">
                  <c:v>4776877.5841999929</c:v>
                </c:pt>
                <c:pt idx="133">
                  <c:v>4776877.5841999929</c:v>
                </c:pt>
                <c:pt idx="134">
                  <c:v>4776877.5841999929</c:v>
                </c:pt>
                <c:pt idx="135">
                  <c:v>4776877.5841999929</c:v>
                </c:pt>
                <c:pt idx="136">
                  <c:v>4776877.5841999929</c:v>
                </c:pt>
                <c:pt idx="137">
                  <c:v>4776877.5841999929</c:v>
                </c:pt>
                <c:pt idx="138">
                  <c:v>4776877.5841999929</c:v>
                </c:pt>
                <c:pt idx="139">
                  <c:v>4776877.5841999929</c:v>
                </c:pt>
                <c:pt idx="140">
                  <c:v>4776877.5841999929</c:v>
                </c:pt>
                <c:pt idx="141">
                  <c:v>4776877.5841999929</c:v>
                </c:pt>
                <c:pt idx="142">
                  <c:v>4776877.5841999929</c:v>
                </c:pt>
                <c:pt idx="143">
                  <c:v>4776877.5841999929</c:v>
                </c:pt>
                <c:pt idx="144">
                  <c:v>4776877.5841999929</c:v>
                </c:pt>
                <c:pt idx="145">
                  <c:v>4776877.5841999929</c:v>
                </c:pt>
                <c:pt idx="146">
                  <c:v>4776877.5841999929</c:v>
                </c:pt>
                <c:pt idx="147">
                  <c:v>4776877.5841999929</c:v>
                </c:pt>
                <c:pt idx="148">
                  <c:v>4776877.5841999929</c:v>
                </c:pt>
                <c:pt idx="149">
                  <c:v>4776877.5841999929</c:v>
                </c:pt>
                <c:pt idx="150">
                  <c:v>4776877.5841999929</c:v>
                </c:pt>
                <c:pt idx="151">
                  <c:v>4776877.5841999929</c:v>
                </c:pt>
                <c:pt idx="152">
                  <c:v>4776877.5841999929</c:v>
                </c:pt>
                <c:pt idx="153">
                  <c:v>4776877.5841999929</c:v>
                </c:pt>
                <c:pt idx="154">
                  <c:v>4776877.5841999929</c:v>
                </c:pt>
                <c:pt idx="155">
                  <c:v>4776877.5841999929</c:v>
                </c:pt>
                <c:pt idx="156">
                  <c:v>4776877.5841999929</c:v>
                </c:pt>
                <c:pt idx="157">
                  <c:v>4776877.5841999929</c:v>
                </c:pt>
                <c:pt idx="158">
                  <c:v>4776877.5841999929</c:v>
                </c:pt>
                <c:pt idx="159">
                  <c:v>4776877.5841999929</c:v>
                </c:pt>
                <c:pt idx="160">
                  <c:v>4776877.5841999929</c:v>
                </c:pt>
                <c:pt idx="161">
                  <c:v>4776877.5841999929</c:v>
                </c:pt>
                <c:pt idx="162">
                  <c:v>4776877.5841999929</c:v>
                </c:pt>
                <c:pt idx="163">
                  <c:v>4776877.5841999929</c:v>
                </c:pt>
                <c:pt idx="164">
                  <c:v>4776877.5841999929</c:v>
                </c:pt>
                <c:pt idx="165">
                  <c:v>4776877.5841999929</c:v>
                </c:pt>
                <c:pt idx="166">
                  <c:v>4776877.5841999929</c:v>
                </c:pt>
                <c:pt idx="167">
                  <c:v>4776877.5841999929</c:v>
                </c:pt>
                <c:pt idx="168">
                  <c:v>4776877.5841999929</c:v>
                </c:pt>
                <c:pt idx="169">
                  <c:v>4776877.5841999929</c:v>
                </c:pt>
                <c:pt idx="170">
                  <c:v>4776877.5841999929</c:v>
                </c:pt>
                <c:pt idx="171">
                  <c:v>4776877.5841999929</c:v>
                </c:pt>
                <c:pt idx="172">
                  <c:v>4776877.5841999929</c:v>
                </c:pt>
                <c:pt idx="173">
                  <c:v>4776877.5841999929</c:v>
                </c:pt>
                <c:pt idx="174">
                  <c:v>4776877.5841999929</c:v>
                </c:pt>
                <c:pt idx="175">
                  <c:v>4776877.5841999929</c:v>
                </c:pt>
                <c:pt idx="176">
                  <c:v>4776877.5841999929</c:v>
                </c:pt>
                <c:pt idx="177">
                  <c:v>4776877.5841999929</c:v>
                </c:pt>
                <c:pt idx="178">
                  <c:v>4776877.5841999929</c:v>
                </c:pt>
                <c:pt idx="179">
                  <c:v>4776877.5841999929</c:v>
                </c:pt>
                <c:pt idx="180">
                  <c:v>4776877.5841999929</c:v>
                </c:pt>
                <c:pt idx="181">
                  <c:v>4776877.5841999929</c:v>
                </c:pt>
                <c:pt idx="182">
                  <c:v>4776877.5841999929</c:v>
                </c:pt>
                <c:pt idx="183">
                  <c:v>4776877.5841999929</c:v>
                </c:pt>
                <c:pt idx="184">
                  <c:v>4776877.5841999929</c:v>
                </c:pt>
                <c:pt idx="185">
                  <c:v>4776877.5841999929</c:v>
                </c:pt>
                <c:pt idx="186">
                  <c:v>4776877.5841999929</c:v>
                </c:pt>
                <c:pt idx="187">
                  <c:v>4776877.5841999929</c:v>
                </c:pt>
                <c:pt idx="188">
                  <c:v>4776877.5841999929</c:v>
                </c:pt>
                <c:pt idx="189">
                  <c:v>4776877.5841999929</c:v>
                </c:pt>
                <c:pt idx="190">
                  <c:v>4776877.5841999929</c:v>
                </c:pt>
                <c:pt idx="191">
                  <c:v>4776877.5841999929</c:v>
                </c:pt>
                <c:pt idx="192">
                  <c:v>4776877.5841999929</c:v>
                </c:pt>
                <c:pt idx="193">
                  <c:v>4776877.5841999929</c:v>
                </c:pt>
                <c:pt idx="194">
                  <c:v>4776877.5841999929</c:v>
                </c:pt>
                <c:pt idx="195">
                  <c:v>4776877.5841999929</c:v>
                </c:pt>
                <c:pt idx="196">
                  <c:v>4776877.5841999929</c:v>
                </c:pt>
                <c:pt idx="197">
                  <c:v>4776877.5841999929</c:v>
                </c:pt>
                <c:pt idx="198">
                  <c:v>4776877.5841999929</c:v>
                </c:pt>
                <c:pt idx="199">
                  <c:v>4776877.5841999929</c:v>
                </c:pt>
                <c:pt idx="200">
                  <c:v>4776877.5841999929</c:v>
                </c:pt>
                <c:pt idx="201">
                  <c:v>4776877.5841999929</c:v>
                </c:pt>
                <c:pt idx="202">
                  <c:v>4776877.5841999929</c:v>
                </c:pt>
                <c:pt idx="203">
                  <c:v>4776877.5841999929</c:v>
                </c:pt>
                <c:pt idx="204">
                  <c:v>4776877.5841999929</c:v>
                </c:pt>
                <c:pt idx="205">
                  <c:v>4776877.5841999929</c:v>
                </c:pt>
                <c:pt idx="206">
                  <c:v>4776877.5841999929</c:v>
                </c:pt>
                <c:pt idx="207">
                  <c:v>4776877.5841999929</c:v>
                </c:pt>
                <c:pt idx="208">
                  <c:v>4776877.5841999929</c:v>
                </c:pt>
                <c:pt idx="209">
                  <c:v>4776877.5841999929</c:v>
                </c:pt>
                <c:pt idx="210">
                  <c:v>4776877.5841999929</c:v>
                </c:pt>
                <c:pt idx="211">
                  <c:v>4776877.5841999929</c:v>
                </c:pt>
                <c:pt idx="212">
                  <c:v>4776877.5841999929</c:v>
                </c:pt>
                <c:pt idx="213">
                  <c:v>4776877.5841999929</c:v>
                </c:pt>
                <c:pt idx="214">
                  <c:v>4776877.5841999929</c:v>
                </c:pt>
                <c:pt idx="215">
                  <c:v>4776877.5841999929</c:v>
                </c:pt>
                <c:pt idx="216">
                  <c:v>4776877.5841999929</c:v>
                </c:pt>
                <c:pt idx="217">
                  <c:v>4776877.5841999929</c:v>
                </c:pt>
                <c:pt idx="218">
                  <c:v>4776877.5841999929</c:v>
                </c:pt>
                <c:pt idx="219">
                  <c:v>4776877.5841999929</c:v>
                </c:pt>
                <c:pt idx="220">
                  <c:v>4776877.5841999929</c:v>
                </c:pt>
                <c:pt idx="221">
                  <c:v>4776877.5841999929</c:v>
                </c:pt>
                <c:pt idx="222">
                  <c:v>4776877.5841999929</c:v>
                </c:pt>
                <c:pt idx="223">
                  <c:v>4776877.5841999929</c:v>
                </c:pt>
                <c:pt idx="224">
                  <c:v>4776877.5841999929</c:v>
                </c:pt>
                <c:pt idx="225">
                  <c:v>4776877.5841999929</c:v>
                </c:pt>
                <c:pt idx="226">
                  <c:v>4776877.5841999929</c:v>
                </c:pt>
                <c:pt idx="227">
                  <c:v>4776877.5841999929</c:v>
                </c:pt>
                <c:pt idx="228">
                  <c:v>4776877.5841999929</c:v>
                </c:pt>
                <c:pt idx="229">
                  <c:v>4776877.5841999929</c:v>
                </c:pt>
                <c:pt idx="230">
                  <c:v>4776877.5841999929</c:v>
                </c:pt>
                <c:pt idx="231">
                  <c:v>4776877.5841999929</c:v>
                </c:pt>
                <c:pt idx="232">
                  <c:v>4776877.5841999929</c:v>
                </c:pt>
                <c:pt idx="233">
                  <c:v>4776877.5841999929</c:v>
                </c:pt>
                <c:pt idx="234">
                  <c:v>4776877.5841999929</c:v>
                </c:pt>
                <c:pt idx="235">
                  <c:v>4776877.5841999929</c:v>
                </c:pt>
                <c:pt idx="236">
                  <c:v>4776877.5841999929</c:v>
                </c:pt>
                <c:pt idx="237">
                  <c:v>4776877.5841999929</c:v>
                </c:pt>
                <c:pt idx="238">
                  <c:v>4776877.5841999929</c:v>
                </c:pt>
                <c:pt idx="239">
                  <c:v>4776877.5841999929</c:v>
                </c:pt>
                <c:pt idx="240">
                  <c:v>4776877.5841999929</c:v>
                </c:pt>
                <c:pt idx="241">
                  <c:v>4776877.5841999929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20.406185000588678</c:v>
                </c:pt>
                <c:pt idx="1">
                  <c:v>28.850123621521924</c:v>
                </c:pt>
                <c:pt idx="2">
                  <c:v>36.414485302774622</c:v>
                </c:pt>
                <c:pt idx="3">
                  <c:v>48.20081629449394</c:v>
                </c:pt>
                <c:pt idx="4">
                  <c:v>56.644754915427185</c:v>
                </c:pt>
                <c:pt idx="5">
                  <c:v>67.551508967465963</c:v>
                </c:pt>
                <c:pt idx="6">
                  <c:v>80.745163062674166</c:v>
                </c:pt>
                <c:pt idx="7">
                  <c:v>103.43824810643225</c:v>
                </c:pt>
                <c:pt idx="8">
                  <c:v>140.55639496095131</c:v>
                </c:pt>
                <c:pt idx="9">
                  <c:v>198.9603037557396</c:v>
                </c:pt>
                <c:pt idx="10">
                  <c:v>233.61563517915312</c:v>
                </c:pt>
                <c:pt idx="11">
                  <c:v>223.58845806679489</c:v>
                </c:pt>
                <c:pt idx="12">
                  <c:v>296.41742867234416</c:v>
                </c:pt>
                <c:pt idx="13">
                  <c:v>403.90173070130692</c:v>
                </c:pt>
                <c:pt idx="14">
                  <c:v>492.21125544523375</c:v>
                </c:pt>
                <c:pt idx="15">
                  <c:v>611.1300576900436</c:v>
                </c:pt>
                <c:pt idx="16">
                  <c:v>773.14812997920023</c:v>
                </c:pt>
                <c:pt idx="17">
                  <c:v>868.4942702405715</c:v>
                </c:pt>
                <c:pt idx="18">
                  <c:v>999.37531886503677</c:v>
                </c:pt>
                <c:pt idx="19">
                  <c:v>1185.4937993014405</c:v>
                </c:pt>
                <c:pt idx="20">
                  <c:v>1357.8908794788276</c:v>
                </c:pt>
                <c:pt idx="21">
                  <c:v>1709.0179937993016</c:v>
                </c:pt>
                <c:pt idx="22">
                  <c:v>2166.2220870452497</c:v>
                </c:pt>
                <c:pt idx="23">
                  <c:v>2464.2227542090186</c:v>
                </c:pt>
                <c:pt idx="24">
                  <c:v>2702.4121894745108</c:v>
                </c:pt>
                <c:pt idx="25">
                  <c:v>3046.5026882775405</c:v>
                </c:pt>
                <c:pt idx="26">
                  <c:v>3368.2519328126846</c:v>
                </c:pt>
                <c:pt idx="27">
                  <c:v>4210.3149160158555</c:v>
                </c:pt>
                <c:pt idx="28">
                  <c:v>5262.8936450198189</c:v>
                </c:pt>
                <c:pt idx="29">
                  <c:v>6578.6170562747739</c:v>
                </c:pt>
                <c:pt idx="30">
                  <c:v>8223.2713203434669</c:v>
                </c:pt>
                <c:pt idx="31">
                  <c:v>10279.089150429334</c:v>
                </c:pt>
                <c:pt idx="32">
                  <c:v>12848.861438036669</c:v>
                </c:pt>
                <c:pt idx="33">
                  <c:v>16061.076797545835</c:v>
                </c:pt>
                <c:pt idx="34">
                  <c:v>20076.345996932294</c:v>
                </c:pt>
                <c:pt idx="35">
                  <c:v>25095.432496165369</c:v>
                </c:pt>
                <c:pt idx="36">
                  <c:v>31369.29062020671</c:v>
                </c:pt>
                <c:pt idx="37">
                  <c:v>39211.613275258387</c:v>
                </c:pt>
                <c:pt idx="38">
                  <c:v>49014.516594072986</c:v>
                </c:pt>
                <c:pt idx="39">
                  <c:v>61268.14574259123</c:v>
                </c:pt>
                <c:pt idx="40">
                  <c:v>76585.182178239033</c:v>
                </c:pt>
                <c:pt idx="41">
                  <c:v>95731.477722798794</c:v>
                </c:pt>
                <c:pt idx="42">
                  <c:v>119664.3471534985</c:v>
                </c:pt>
                <c:pt idx="43">
                  <c:v>149580.43394187314</c:v>
                </c:pt>
                <c:pt idx="44">
                  <c:v>186975.54242734142</c:v>
                </c:pt>
                <c:pt idx="45">
                  <c:v>233719.42803417676</c:v>
                </c:pt>
                <c:pt idx="46">
                  <c:v>292149.28504272096</c:v>
                </c:pt>
                <c:pt idx="47">
                  <c:v>365186.60630340123</c:v>
                </c:pt>
                <c:pt idx="48">
                  <c:v>456483.25787925156</c:v>
                </c:pt>
                <c:pt idx="49">
                  <c:v>570604.0723490644</c:v>
                </c:pt>
                <c:pt idx="50">
                  <c:v>713255.09043633053</c:v>
                </c:pt>
                <c:pt idx="51">
                  <c:v>891568.86304541316</c:v>
                </c:pt>
                <c:pt idx="52">
                  <c:v>1114461.0788067663</c:v>
                </c:pt>
                <c:pt idx="53">
                  <c:v>1393076.3485084581</c:v>
                </c:pt>
                <c:pt idx="54">
                  <c:v>1741345.4356355725</c:v>
                </c:pt>
                <c:pt idx="55">
                  <c:v>2176681.7945444658</c:v>
                </c:pt>
                <c:pt idx="56">
                  <c:v>2720852.2431805818</c:v>
                </c:pt>
                <c:pt idx="57">
                  <c:v>3401065.3039757274</c:v>
                </c:pt>
                <c:pt idx="58">
                  <c:v>4251331.6299696593</c:v>
                </c:pt>
                <c:pt idx="59">
                  <c:v>4776877.5841999929</c:v>
                </c:pt>
                <c:pt idx="60">
                  <c:v>4776877.5841999929</c:v>
                </c:pt>
                <c:pt idx="61">
                  <c:v>4776877.5841999929</c:v>
                </c:pt>
                <c:pt idx="62">
                  <c:v>4776877.5841999929</c:v>
                </c:pt>
                <c:pt idx="63">
                  <c:v>4776877.5841999929</c:v>
                </c:pt>
                <c:pt idx="64">
                  <c:v>4776877.5841999929</c:v>
                </c:pt>
                <c:pt idx="65">
                  <c:v>4776877.5841999929</c:v>
                </c:pt>
                <c:pt idx="66">
                  <c:v>4776877.5841999929</c:v>
                </c:pt>
                <c:pt idx="67">
                  <c:v>4776877.5841999929</c:v>
                </c:pt>
                <c:pt idx="68">
                  <c:v>4776877.5841999929</c:v>
                </c:pt>
                <c:pt idx="69">
                  <c:v>4776877.5841999929</c:v>
                </c:pt>
                <c:pt idx="70">
                  <c:v>4776877.5841999929</c:v>
                </c:pt>
                <c:pt idx="71">
                  <c:v>4776877.5841999929</c:v>
                </c:pt>
                <c:pt idx="72">
                  <c:v>4776877.5841999929</c:v>
                </c:pt>
                <c:pt idx="73">
                  <c:v>4776877.5841999929</c:v>
                </c:pt>
                <c:pt idx="74">
                  <c:v>4776877.5841999929</c:v>
                </c:pt>
                <c:pt idx="75">
                  <c:v>4776877.5841999929</c:v>
                </c:pt>
                <c:pt idx="76">
                  <c:v>4776877.5841999929</c:v>
                </c:pt>
                <c:pt idx="77">
                  <c:v>4776877.5841999929</c:v>
                </c:pt>
                <c:pt idx="78">
                  <c:v>4776877.5841999929</c:v>
                </c:pt>
                <c:pt idx="79">
                  <c:v>4776877.5841999929</c:v>
                </c:pt>
                <c:pt idx="80">
                  <c:v>4776877.5841999929</c:v>
                </c:pt>
                <c:pt idx="81">
                  <c:v>4776877.5841999929</c:v>
                </c:pt>
                <c:pt idx="82">
                  <c:v>4776877.5841999929</c:v>
                </c:pt>
                <c:pt idx="83">
                  <c:v>4776877.5841999929</c:v>
                </c:pt>
                <c:pt idx="84">
                  <c:v>4776877.5841999929</c:v>
                </c:pt>
                <c:pt idx="85">
                  <c:v>4776877.5841999929</c:v>
                </c:pt>
                <c:pt idx="86">
                  <c:v>4776877.5841999929</c:v>
                </c:pt>
                <c:pt idx="87">
                  <c:v>4776877.5841999929</c:v>
                </c:pt>
                <c:pt idx="88">
                  <c:v>4776877.5841999929</c:v>
                </c:pt>
                <c:pt idx="89">
                  <c:v>4776877.5841999929</c:v>
                </c:pt>
                <c:pt idx="90">
                  <c:v>4776877.5841999929</c:v>
                </c:pt>
                <c:pt idx="91">
                  <c:v>4776877.5841999929</c:v>
                </c:pt>
                <c:pt idx="92">
                  <c:v>4776877.5841999929</c:v>
                </c:pt>
                <c:pt idx="93">
                  <c:v>4776877.5841999929</c:v>
                </c:pt>
                <c:pt idx="94">
                  <c:v>4776877.5841999929</c:v>
                </c:pt>
                <c:pt idx="95">
                  <c:v>4776877.5841999929</c:v>
                </c:pt>
                <c:pt idx="96">
                  <c:v>4776877.5841999929</c:v>
                </c:pt>
                <c:pt idx="97">
                  <c:v>4776877.5841999929</c:v>
                </c:pt>
                <c:pt idx="98">
                  <c:v>4776877.5841999929</c:v>
                </c:pt>
                <c:pt idx="99">
                  <c:v>4776877.5841999929</c:v>
                </c:pt>
                <c:pt idx="100">
                  <c:v>4776877.5841999929</c:v>
                </c:pt>
                <c:pt idx="101">
                  <c:v>4776877.5841999929</c:v>
                </c:pt>
                <c:pt idx="102">
                  <c:v>4776877.5841999929</c:v>
                </c:pt>
                <c:pt idx="103">
                  <c:v>4776877.5841999929</c:v>
                </c:pt>
                <c:pt idx="104">
                  <c:v>4776877.5841999929</c:v>
                </c:pt>
                <c:pt idx="105">
                  <c:v>4776877.5841999929</c:v>
                </c:pt>
                <c:pt idx="106">
                  <c:v>4776877.5841999929</c:v>
                </c:pt>
                <c:pt idx="107">
                  <c:v>4776877.5841999929</c:v>
                </c:pt>
                <c:pt idx="108">
                  <c:v>4776877.5841999929</c:v>
                </c:pt>
                <c:pt idx="109">
                  <c:v>4776877.5841999929</c:v>
                </c:pt>
                <c:pt idx="110">
                  <c:v>4776877.5841999929</c:v>
                </c:pt>
                <c:pt idx="111">
                  <c:v>4776877.5841999929</c:v>
                </c:pt>
                <c:pt idx="112">
                  <c:v>4776877.5841999929</c:v>
                </c:pt>
                <c:pt idx="113">
                  <c:v>4776877.5841999929</c:v>
                </c:pt>
                <c:pt idx="114">
                  <c:v>4776877.5841999929</c:v>
                </c:pt>
                <c:pt idx="115">
                  <c:v>4776877.5841999929</c:v>
                </c:pt>
                <c:pt idx="116">
                  <c:v>4776877.5841999929</c:v>
                </c:pt>
                <c:pt idx="117">
                  <c:v>4776877.5841999929</c:v>
                </c:pt>
                <c:pt idx="118">
                  <c:v>4776877.5841999929</c:v>
                </c:pt>
                <c:pt idx="119">
                  <c:v>4776877.5841999929</c:v>
                </c:pt>
                <c:pt idx="120">
                  <c:v>4776877.5841999929</c:v>
                </c:pt>
                <c:pt idx="121">
                  <c:v>4776877.5841999929</c:v>
                </c:pt>
                <c:pt idx="122">
                  <c:v>4776877.5841999929</c:v>
                </c:pt>
                <c:pt idx="123">
                  <c:v>4776877.5841999929</c:v>
                </c:pt>
                <c:pt idx="124">
                  <c:v>4776877.5841999929</c:v>
                </c:pt>
                <c:pt idx="125">
                  <c:v>4776877.5841999929</c:v>
                </c:pt>
                <c:pt idx="126">
                  <c:v>4776877.5841999929</c:v>
                </c:pt>
                <c:pt idx="127">
                  <c:v>4776877.5841999929</c:v>
                </c:pt>
                <c:pt idx="128">
                  <c:v>4776877.5841999929</c:v>
                </c:pt>
                <c:pt idx="129">
                  <c:v>4776877.5841999929</c:v>
                </c:pt>
                <c:pt idx="130">
                  <c:v>4776877.5841999929</c:v>
                </c:pt>
                <c:pt idx="131">
                  <c:v>4776877.5841999929</c:v>
                </c:pt>
                <c:pt idx="132">
                  <c:v>4776877.5841999929</c:v>
                </c:pt>
                <c:pt idx="133">
                  <c:v>4776877.5841999929</c:v>
                </c:pt>
                <c:pt idx="134">
                  <c:v>4776877.5841999929</c:v>
                </c:pt>
                <c:pt idx="135">
                  <c:v>4776877.5841999929</c:v>
                </c:pt>
                <c:pt idx="136">
                  <c:v>4776877.5841999929</c:v>
                </c:pt>
                <c:pt idx="137">
                  <c:v>4776877.5841999929</c:v>
                </c:pt>
                <c:pt idx="138">
                  <c:v>4776877.5841999929</c:v>
                </c:pt>
                <c:pt idx="139">
                  <c:v>4776877.5841999929</c:v>
                </c:pt>
                <c:pt idx="140">
                  <c:v>4776877.5841999929</c:v>
                </c:pt>
                <c:pt idx="141">
                  <c:v>4776877.5841999929</c:v>
                </c:pt>
                <c:pt idx="142">
                  <c:v>4776877.5841999929</c:v>
                </c:pt>
                <c:pt idx="143">
                  <c:v>4776877.5841999929</c:v>
                </c:pt>
                <c:pt idx="144">
                  <c:v>4776877.5841999929</c:v>
                </c:pt>
                <c:pt idx="145">
                  <c:v>4776877.5841999929</c:v>
                </c:pt>
                <c:pt idx="146">
                  <c:v>4776877.5841999929</c:v>
                </c:pt>
                <c:pt idx="147">
                  <c:v>4776877.5841999929</c:v>
                </c:pt>
                <c:pt idx="148">
                  <c:v>4776877.5841999929</c:v>
                </c:pt>
                <c:pt idx="149">
                  <c:v>4776877.5841999929</c:v>
                </c:pt>
                <c:pt idx="150">
                  <c:v>4776877.5841999929</c:v>
                </c:pt>
                <c:pt idx="151">
                  <c:v>4776877.5841999929</c:v>
                </c:pt>
                <c:pt idx="152">
                  <c:v>4776877.5841999929</c:v>
                </c:pt>
                <c:pt idx="153">
                  <c:v>4776877.5841999929</c:v>
                </c:pt>
                <c:pt idx="154">
                  <c:v>4776877.5841999929</c:v>
                </c:pt>
                <c:pt idx="155">
                  <c:v>4776877.5841999929</c:v>
                </c:pt>
                <c:pt idx="156">
                  <c:v>4776877.5841999929</c:v>
                </c:pt>
                <c:pt idx="157">
                  <c:v>4776877.5841999929</c:v>
                </c:pt>
                <c:pt idx="158">
                  <c:v>4776877.5841999929</c:v>
                </c:pt>
                <c:pt idx="159">
                  <c:v>4776877.5841999929</c:v>
                </c:pt>
                <c:pt idx="160">
                  <c:v>4776877.5841999929</c:v>
                </c:pt>
                <c:pt idx="161">
                  <c:v>4776877.5841999929</c:v>
                </c:pt>
                <c:pt idx="162">
                  <c:v>4776877.5841999929</c:v>
                </c:pt>
                <c:pt idx="163">
                  <c:v>4776877.5841999929</c:v>
                </c:pt>
                <c:pt idx="164">
                  <c:v>4776877.5841999929</c:v>
                </c:pt>
                <c:pt idx="165">
                  <c:v>4776877.5841999929</c:v>
                </c:pt>
                <c:pt idx="166">
                  <c:v>4776877.5841999929</c:v>
                </c:pt>
                <c:pt idx="167">
                  <c:v>4776877.5841999929</c:v>
                </c:pt>
                <c:pt idx="168">
                  <c:v>4776877.5841999929</c:v>
                </c:pt>
                <c:pt idx="169">
                  <c:v>4776877.5841999929</c:v>
                </c:pt>
                <c:pt idx="170">
                  <c:v>4776877.5841999929</c:v>
                </c:pt>
                <c:pt idx="171">
                  <c:v>4776877.5841999929</c:v>
                </c:pt>
                <c:pt idx="172">
                  <c:v>4776877.5841999929</c:v>
                </c:pt>
                <c:pt idx="173">
                  <c:v>4776877.5841999929</c:v>
                </c:pt>
                <c:pt idx="174">
                  <c:v>4776877.5841999929</c:v>
                </c:pt>
                <c:pt idx="175">
                  <c:v>4776877.5841999929</c:v>
                </c:pt>
                <c:pt idx="176">
                  <c:v>4776877.5841999929</c:v>
                </c:pt>
                <c:pt idx="177">
                  <c:v>4776877.5841999929</c:v>
                </c:pt>
                <c:pt idx="178">
                  <c:v>4776877.5841999929</c:v>
                </c:pt>
                <c:pt idx="179">
                  <c:v>4776877.5841999929</c:v>
                </c:pt>
                <c:pt idx="180">
                  <c:v>4776877.5841999929</c:v>
                </c:pt>
                <c:pt idx="181">
                  <c:v>4776877.5841999929</c:v>
                </c:pt>
                <c:pt idx="182">
                  <c:v>4776877.5841999929</c:v>
                </c:pt>
                <c:pt idx="183">
                  <c:v>4776877.5841999929</c:v>
                </c:pt>
                <c:pt idx="184">
                  <c:v>4776877.5841999929</c:v>
                </c:pt>
                <c:pt idx="185">
                  <c:v>4776877.5841999929</c:v>
                </c:pt>
                <c:pt idx="186">
                  <c:v>4776877.5841999929</c:v>
                </c:pt>
                <c:pt idx="187">
                  <c:v>4776877.5841999929</c:v>
                </c:pt>
                <c:pt idx="188">
                  <c:v>4776877.5841999929</c:v>
                </c:pt>
                <c:pt idx="189">
                  <c:v>4776877.5841999929</c:v>
                </c:pt>
                <c:pt idx="190">
                  <c:v>4776877.5841999929</c:v>
                </c:pt>
                <c:pt idx="191">
                  <c:v>4776877.5841999929</c:v>
                </c:pt>
                <c:pt idx="192">
                  <c:v>4776877.5841999929</c:v>
                </c:pt>
                <c:pt idx="193">
                  <c:v>4776877.5841999929</c:v>
                </c:pt>
                <c:pt idx="194">
                  <c:v>4776877.5841999929</c:v>
                </c:pt>
                <c:pt idx="195">
                  <c:v>4776877.5841999929</c:v>
                </c:pt>
                <c:pt idx="196">
                  <c:v>4776877.5841999929</c:v>
                </c:pt>
                <c:pt idx="197">
                  <c:v>4776877.5841999929</c:v>
                </c:pt>
                <c:pt idx="198">
                  <c:v>4776877.5841999929</c:v>
                </c:pt>
                <c:pt idx="199">
                  <c:v>4776877.5841999929</c:v>
                </c:pt>
                <c:pt idx="200">
                  <c:v>4776877.5841999929</c:v>
                </c:pt>
                <c:pt idx="201">
                  <c:v>4776877.5841999929</c:v>
                </c:pt>
                <c:pt idx="202">
                  <c:v>4776877.5841999929</c:v>
                </c:pt>
                <c:pt idx="203">
                  <c:v>4776877.5841999929</c:v>
                </c:pt>
                <c:pt idx="204">
                  <c:v>4776877.5841999929</c:v>
                </c:pt>
                <c:pt idx="205">
                  <c:v>4776877.5841999929</c:v>
                </c:pt>
                <c:pt idx="206">
                  <c:v>4776877.5841999929</c:v>
                </c:pt>
                <c:pt idx="207">
                  <c:v>4776877.5841999929</c:v>
                </c:pt>
                <c:pt idx="208">
                  <c:v>4776877.5841999929</c:v>
                </c:pt>
                <c:pt idx="209">
                  <c:v>4776877.5841999929</c:v>
                </c:pt>
                <c:pt idx="210">
                  <c:v>4776877.5841999929</c:v>
                </c:pt>
                <c:pt idx="211">
                  <c:v>4776877.5841999929</c:v>
                </c:pt>
                <c:pt idx="212">
                  <c:v>4776877.5841999929</c:v>
                </c:pt>
                <c:pt idx="213">
                  <c:v>4776877.5841999929</c:v>
                </c:pt>
                <c:pt idx="214">
                  <c:v>4776877.5841999929</c:v>
                </c:pt>
                <c:pt idx="215">
                  <c:v>4776877.5841999929</c:v>
                </c:pt>
                <c:pt idx="216">
                  <c:v>4776877.5841999929</c:v>
                </c:pt>
                <c:pt idx="217">
                  <c:v>4776877.5841999929</c:v>
                </c:pt>
                <c:pt idx="218">
                  <c:v>4776877.5841999929</c:v>
                </c:pt>
                <c:pt idx="219">
                  <c:v>4776877.5841999929</c:v>
                </c:pt>
                <c:pt idx="220">
                  <c:v>4776877.5841999929</c:v>
                </c:pt>
                <c:pt idx="221">
                  <c:v>4776877.5841999929</c:v>
                </c:pt>
                <c:pt idx="222">
                  <c:v>4776877.5841999929</c:v>
                </c:pt>
                <c:pt idx="223">
                  <c:v>4776877.5841999929</c:v>
                </c:pt>
                <c:pt idx="224">
                  <c:v>4776877.5841999929</c:v>
                </c:pt>
                <c:pt idx="225">
                  <c:v>4776877.5841999929</c:v>
                </c:pt>
                <c:pt idx="226">
                  <c:v>4776877.5841999929</c:v>
                </c:pt>
                <c:pt idx="227">
                  <c:v>4776877.5841999929</c:v>
                </c:pt>
                <c:pt idx="228">
                  <c:v>4776877.5841999929</c:v>
                </c:pt>
                <c:pt idx="229">
                  <c:v>4776877.5841999929</c:v>
                </c:pt>
                <c:pt idx="230">
                  <c:v>4776877.5841999929</c:v>
                </c:pt>
                <c:pt idx="231">
                  <c:v>4776877.5841999929</c:v>
                </c:pt>
                <c:pt idx="232">
                  <c:v>4776877.5841999929</c:v>
                </c:pt>
                <c:pt idx="233">
                  <c:v>4776877.5841999929</c:v>
                </c:pt>
                <c:pt idx="234">
                  <c:v>4776877.5841999929</c:v>
                </c:pt>
                <c:pt idx="235">
                  <c:v>4776877.5841999929</c:v>
                </c:pt>
                <c:pt idx="236">
                  <c:v>4776877.5841999929</c:v>
                </c:pt>
                <c:pt idx="237">
                  <c:v>4776877.5841999929</c:v>
                </c:pt>
                <c:pt idx="238">
                  <c:v>4776877.5841999929</c:v>
                </c:pt>
                <c:pt idx="239">
                  <c:v>4776877.5841999929</c:v>
                </c:pt>
                <c:pt idx="240">
                  <c:v>4776877.5841999929</c:v>
                </c:pt>
                <c:pt idx="241">
                  <c:v>4776877.5841999929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20.406185000588678</c:v>
                </c:pt>
                <c:pt idx="1">
                  <c:v>28.850123621521924</c:v>
                </c:pt>
                <c:pt idx="2">
                  <c:v>36.414485302774622</c:v>
                </c:pt>
                <c:pt idx="3">
                  <c:v>48.20081629449394</c:v>
                </c:pt>
                <c:pt idx="4">
                  <c:v>56.644754915427185</c:v>
                </c:pt>
                <c:pt idx="5">
                  <c:v>67.551508967465963</c:v>
                </c:pt>
                <c:pt idx="6">
                  <c:v>80.745163062674166</c:v>
                </c:pt>
                <c:pt idx="7">
                  <c:v>103.43824810643225</c:v>
                </c:pt>
                <c:pt idx="8">
                  <c:v>140.55639496095131</c:v>
                </c:pt>
                <c:pt idx="9">
                  <c:v>198.9603037557396</c:v>
                </c:pt>
                <c:pt idx="10">
                  <c:v>233.61563517915312</c:v>
                </c:pt>
                <c:pt idx="11">
                  <c:v>223.58845806679489</c:v>
                </c:pt>
                <c:pt idx="12">
                  <c:v>296.41742867234416</c:v>
                </c:pt>
                <c:pt idx="13">
                  <c:v>403.90173070130692</c:v>
                </c:pt>
                <c:pt idx="14">
                  <c:v>492.21125544523375</c:v>
                </c:pt>
                <c:pt idx="15">
                  <c:v>611.1300576900436</c:v>
                </c:pt>
                <c:pt idx="16">
                  <c:v>773.14812997920023</c:v>
                </c:pt>
                <c:pt idx="17">
                  <c:v>868.4942702405715</c:v>
                </c:pt>
                <c:pt idx="18">
                  <c:v>999.37531886503677</c:v>
                </c:pt>
                <c:pt idx="19">
                  <c:v>1185.4937993014405</c:v>
                </c:pt>
                <c:pt idx="20">
                  <c:v>1357.8908794788276</c:v>
                </c:pt>
                <c:pt idx="21">
                  <c:v>1709.0179937993016</c:v>
                </c:pt>
                <c:pt idx="22">
                  <c:v>2166.2220870452497</c:v>
                </c:pt>
                <c:pt idx="23">
                  <c:v>2464.2227542090186</c:v>
                </c:pt>
                <c:pt idx="24">
                  <c:v>2702.4121894745108</c:v>
                </c:pt>
                <c:pt idx="25">
                  <c:v>3046.5026882775405</c:v>
                </c:pt>
                <c:pt idx="26">
                  <c:v>3368.2519328126846</c:v>
                </c:pt>
                <c:pt idx="27">
                  <c:v>4715.5527059377582</c:v>
                </c:pt>
                <c:pt idx="28">
                  <c:v>6601.7737883128602</c:v>
                </c:pt>
                <c:pt idx="29">
                  <c:v>9242.4833036380041</c:v>
                </c:pt>
                <c:pt idx="30">
                  <c:v>12939.476625093203</c:v>
                </c:pt>
                <c:pt idx="31">
                  <c:v>18115.267275130485</c:v>
                </c:pt>
                <c:pt idx="32">
                  <c:v>25361.374185182678</c:v>
                </c:pt>
                <c:pt idx="33">
                  <c:v>35505.923859255745</c:v>
                </c:pt>
                <c:pt idx="34">
                  <c:v>49708.293402958036</c:v>
                </c:pt>
                <c:pt idx="35">
                  <c:v>69591.610764141253</c:v>
                </c:pt>
                <c:pt idx="36">
                  <c:v>97428.255069797742</c:v>
                </c:pt>
                <c:pt idx="37">
                  <c:v>136399.55709771681</c:v>
                </c:pt>
                <c:pt idx="38">
                  <c:v>190959.37993680354</c:v>
                </c:pt>
                <c:pt idx="39">
                  <c:v>267343.13191152498</c:v>
                </c:pt>
                <c:pt idx="40">
                  <c:v>374280.38467613497</c:v>
                </c:pt>
                <c:pt idx="41">
                  <c:v>523992.53854658885</c:v>
                </c:pt>
                <c:pt idx="42">
                  <c:v>733589.55396522442</c:v>
                </c:pt>
                <c:pt idx="43">
                  <c:v>1027025.3755513141</c:v>
                </c:pt>
                <c:pt idx="44">
                  <c:v>1437835.5257718395</c:v>
                </c:pt>
                <c:pt idx="45">
                  <c:v>2012969.7360805753</c:v>
                </c:pt>
                <c:pt idx="46">
                  <c:v>2818157.6305128052</c:v>
                </c:pt>
                <c:pt idx="47">
                  <c:v>3945420.6827179273</c:v>
                </c:pt>
                <c:pt idx="48">
                  <c:v>4776877.5841999929</c:v>
                </c:pt>
                <c:pt idx="49">
                  <c:v>4776877.5841999929</c:v>
                </c:pt>
                <c:pt idx="50">
                  <c:v>4776877.5841999929</c:v>
                </c:pt>
                <c:pt idx="51">
                  <c:v>4776877.5841999929</c:v>
                </c:pt>
                <c:pt idx="52">
                  <c:v>4776877.5841999929</c:v>
                </c:pt>
                <c:pt idx="53">
                  <c:v>4776877.5841999929</c:v>
                </c:pt>
                <c:pt idx="54">
                  <c:v>4776877.5841999929</c:v>
                </c:pt>
                <c:pt idx="55">
                  <c:v>4776877.5841999929</c:v>
                </c:pt>
                <c:pt idx="56">
                  <c:v>4776877.5841999929</c:v>
                </c:pt>
                <c:pt idx="57">
                  <c:v>4776877.5841999929</c:v>
                </c:pt>
                <c:pt idx="58">
                  <c:v>4776877.5841999929</c:v>
                </c:pt>
                <c:pt idx="59">
                  <c:v>4776877.5841999929</c:v>
                </c:pt>
                <c:pt idx="60">
                  <c:v>4776877.5841999929</c:v>
                </c:pt>
                <c:pt idx="61">
                  <c:v>4776877.5841999929</c:v>
                </c:pt>
                <c:pt idx="62">
                  <c:v>4776877.5841999929</c:v>
                </c:pt>
                <c:pt idx="63">
                  <c:v>4776877.5841999929</c:v>
                </c:pt>
                <c:pt idx="64">
                  <c:v>4776877.5841999929</c:v>
                </c:pt>
                <c:pt idx="65">
                  <c:v>4776877.5841999929</c:v>
                </c:pt>
                <c:pt idx="66">
                  <c:v>4776877.5841999929</c:v>
                </c:pt>
                <c:pt idx="67">
                  <c:v>4776877.5841999929</c:v>
                </c:pt>
                <c:pt idx="68">
                  <c:v>4776877.5841999929</c:v>
                </c:pt>
                <c:pt idx="69">
                  <c:v>4776877.5841999929</c:v>
                </c:pt>
                <c:pt idx="70">
                  <c:v>4776877.5841999929</c:v>
                </c:pt>
                <c:pt idx="71">
                  <c:v>4776877.5841999929</c:v>
                </c:pt>
                <c:pt idx="72">
                  <c:v>4776877.5841999929</c:v>
                </c:pt>
                <c:pt idx="73">
                  <c:v>4776877.5841999929</c:v>
                </c:pt>
                <c:pt idx="74">
                  <c:v>4776877.5841999929</c:v>
                </c:pt>
                <c:pt idx="75">
                  <c:v>4776877.5841999929</c:v>
                </c:pt>
                <c:pt idx="76">
                  <c:v>4776877.5841999929</c:v>
                </c:pt>
                <c:pt idx="77">
                  <c:v>4776877.5841999929</c:v>
                </c:pt>
                <c:pt idx="78">
                  <c:v>4776877.5841999929</c:v>
                </c:pt>
                <c:pt idx="79">
                  <c:v>4776877.5841999929</c:v>
                </c:pt>
                <c:pt idx="80">
                  <c:v>4776877.5841999929</c:v>
                </c:pt>
                <c:pt idx="81">
                  <c:v>4776877.5841999929</c:v>
                </c:pt>
                <c:pt idx="82">
                  <c:v>4776877.5841999929</c:v>
                </c:pt>
                <c:pt idx="83">
                  <c:v>4776877.5841999929</c:v>
                </c:pt>
                <c:pt idx="84">
                  <c:v>4776877.5841999929</c:v>
                </c:pt>
                <c:pt idx="85">
                  <c:v>4776877.5841999929</c:v>
                </c:pt>
                <c:pt idx="86">
                  <c:v>4776877.5841999929</c:v>
                </c:pt>
                <c:pt idx="87">
                  <c:v>4776877.5841999929</c:v>
                </c:pt>
                <c:pt idx="88">
                  <c:v>4776877.5841999929</c:v>
                </c:pt>
                <c:pt idx="89">
                  <c:v>4776877.5841999929</c:v>
                </c:pt>
                <c:pt idx="90">
                  <c:v>4776877.5841999929</c:v>
                </c:pt>
                <c:pt idx="91">
                  <c:v>4776877.5841999929</c:v>
                </c:pt>
                <c:pt idx="92">
                  <c:v>4776877.5841999929</c:v>
                </c:pt>
                <c:pt idx="93">
                  <c:v>4776877.5841999929</c:v>
                </c:pt>
                <c:pt idx="94">
                  <c:v>4776877.5841999929</c:v>
                </c:pt>
                <c:pt idx="95">
                  <c:v>4776877.5841999929</c:v>
                </c:pt>
                <c:pt idx="96">
                  <c:v>4776877.5841999929</c:v>
                </c:pt>
                <c:pt idx="97">
                  <c:v>4776877.5841999929</c:v>
                </c:pt>
                <c:pt idx="98">
                  <c:v>4776877.5841999929</c:v>
                </c:pt>
                <c:pt idx="99">
                  <c:v>4776877.5841999929</c:v>
                </c:pt>
                <c:pt idx="100">
                  <c:v>4776877.5841999929</c:v>
                </c:pt>
                <c:pt idx="101">
                  <c:v>4776877.5841999929</c:v>
                </c:pt>
                <c:pt idx="102">
                  <c:v>4776877.5841999929</c:v>
                </c:pt>
                <c:pt idx="103">
                  <c:v>4776877.5841999929</c:v>
                </c:pt>
                <c:pt idx="104">
                  <c:v>4776877.5841999929</c:v>
                </c:pt>
                <c:pt idx="105">
                  <c:v>4776877.5841999929</c:v>
                </c:pt>
                <c:pt idx="106">
                  <c:v>4776877.5841999929</c:v>
                </c:pt>
                <c:pt idx="107">
                  <c:v>4776877.5841999929</c:v>
                </c:pt>
                <c:pt idx="108">
                  <c:v>4776877.5841999929</c:v>
                </c:pt>
                <c:pt idx="109">
                  <c:v>4776877.5841999929</c:v>
                </c:pt>
                <c:pt idx="110">
                  <c:v>4776877.5841999929</c:v>
                </c:pt>
                <c:pt idx="111">
                  <c:v>4776877.5841999929</c:v>
                </c:pt>
                <c:pt idx="112">
                  <c:v>4776877.5841999929</c:v>
                </c:pt>
                <c:pt idx="113">
                  <c:v>4776877.5841999929</c:v>
                </c:pt>
                <c:pt idx="114">
                  <c:v>4776877.5841999929</c:v>
                </c:pt>
                <c:pt idx="115">
                  <c:v>4776877.5841999929</c:v>
                </c:pt>
                <c:pt idx="116">
                  <c:v>4776877.5841999929</c:v>
                </c:pt>
                <c:pt idx="117">
                  <c:v>4776877.5841999929</c:v>
                </c:pt>
                <c:pt idx="118">
                  <c:v>4776877.5841999929</c:v>
                </c:pt>
                <c:pt idx="119">
                  <c:v>4776877.5841999929</c:v>
                </c:pt>
                <c:pt idx="120">
                  <c:v>4776877.5841999929</c:v>
                </c:pt>
                <c:pt idx="121">
                  <c:v>4776877.5841999929</c:v>
                </c:pt>
                <c:pt idx="122">
                  <c:v>4776877.5841999929</c:v>
                </c:pt>
                <c:pt idx="123">
                  <c:v>4776877.5841999929</c:v>
                </c:pt>
                <c:pt idx="124">
                  <c:v>4776877.5841999929</c:v>
                </c:pt>
                <c:pt idx="125">
                  <c:v>4776877.5841999929</c:v>
                </c:pt>
                <c:pt idx="126">
                  <c:v>4776877.5841999929</c:v>
                </c:pt>
                <c:pt idx="127">
                  <c:v>4776877.5841999929</c:v>
                </c:pt>
                <c:pt idx="128">
                  <c:v>4776877.5841999929</c:v>
                </c:pt>
                <c:pt idx="129">
                  <c:v>4776877.5841999929</c:v>
                </c:pt>
                <c:pt idx="130">
                  <c:v>4776877.5841999929</c:v>
                </c:pt>
                <c:pt idx="131">
                  <c:v>4776877.5841999929</c:v>
                </c:pt>
                <c:pt idx="132">
                  <c:v>4776877.5841999929</c:v>
                </c:pt>
                <c:pt idx="133">
                  <c:v>4776877.5841999929</c:v>
                </c:pt>
                <c:pt idx="134">
                  <c:v>4776877.5841999929</c:v>
                </c:pt>
                <c:pt idx="135">
                  <c:v>4776877.5841999929</c:v>
                </c:pt>
                <c:pt idx="136">
                  <c:v>4776877.5841999929</c:v>
                </c:pt>
                <c:pt idx="137">
                  <c:v>4776877.5841999929</c:v>
                </c:pt>
                <c:pt idx="138">
                  <c:v>4776877.5841999929</c:v>
                </c:pt>
                <c:pt idx="139">
                  <c:v>4776877.5841999929</c:v>
                </c:pt>
                <c:pt idx="140">
                  <c:v>4776877.5841999929</c:v>
                </c:pt>
                <c:pt idx="141">
                  <c:v>4776877.5841999929</c:v>
                </c:pt>
                <c:pt idx="142">
                  <c:v>4776877.5841999929</c:v>
                </c:pt>
                <c:pt idx="143">
                  <c:v>4776877.5841999929</c:v>
                </c:pt>
                <c:pt idx="144">
                  <c:v>4776877.5841999929</c:v>
                </c:pt>
                <c:pt idx="145">
                  <c:v>4776877.5841999929</c:v>
                </c:pt>
                <c:pt idx="146">
                  <c:v>4776877.5841999929</c:v>
                </c:pt>
                <c:pt idx="147">
                  <c:v>4776877.5841999929</c:v>
                </c:pt>
                <c:pt idx="148">
                  <c:v>4776877.5841999929</c:v>
                </c:pt>
                <c:pt idx="149">
                  <c:v>4776877.5841999929</c:v>
                </c:pt>
                <c:pt idx="150">
                  <c:v>4776877.5841999929</c:v>
                </c:pt>
                <c:pt idx="151">
                  <c:v>4776877.5841999929</c:v>
                </c:pt>
                <c:pt idx="152">
                  <c:v>4776877.5841999929</c:v>
                </c:pt>
                <c:pt idx="153">
                  <c:v>4776877.5841999929</c:v>
                </c:pt>
                <c:pt idx="154">
                  <c:v>4776877.5841999929</c:v>
                </c:pt>
                <c:pt idx="155">
                  <c:v>4776877.5841999929</c:v>
                </c:pt>
                <c:pt idx="156">
                  <c:v>4776877.5841999929</c:v>
                </c:pt>
                <c:pt idx="157">
                  <c:v>4776877.5841999929</c:v>
                </c:pt>
                <c:pt idx="158">
                  <c:v>4776877.5841999929</c:v>
                </c:pt>
                <c:pt idx="159">
                  <c:v>4776877.5841999929</c:v>
                </c:pt>
                <c:pt idx="160">
                  <c:v>4776877.5841999929</c:v>
                </c:pt>
                <c:pt idx="161">
                  <c:v>4776877.5841999929</c:v>
                </c:pt>
                <c:pt idx="162">
                  <c:v>4776877.5841999929</c:v>
                </c:pt>
                <c:pt idx="163">
                  <c:v>4776877.5841999929</c:v>
                </c:pt>
                <c:pt idx="164">
                  <c:v>4776877.5841999929</c:v>
                </c:pt>
                <c:pt idx="165">
                  <c:v>4776877.5841999929</c:v>
                </c:pt>
                <c:pt idx="166">
                  <c:v>4776877.5841999929</c:v>
                </c:pt>
                <c:pt idx="167">
                  <c:v>4776877.5841999929</c:v>
                </c:pt>
                <c:pt idx="168">
                  <c:v>4776877.5841999929</c:v>
                </c:pt>
                <c:pt idx="169">
                  <c:v>4776877.5841999929</c:v>
                </c:pt>
                <c:pt idx="170">
                  <c:v>4776877.5841999929</c:v>
                </c:pt>
                <c:pt idx="171">
                  <c:v>4776877.5841999929</c:v>
                </c:pt>
                <c:pt idx="172">
                  <c:v>4776877.5841999929</c:v>
                </c:pt>
                <c:pt idx="173">
                  <c:v>4776877.5841999929</c:v>
                </c:pt>
                <c:pt idx="174">
                  <c:v>4776877.5841999929</c:v>
                </c:pt>
                <c:pt idx="175">
                  <c:v>4776877.5841999929</c:v>
                </c:pt>
                <c:pt idx="176">
                  <c:v>4776877.5841999929</c:v>
                </c:pt>
                <c:pt idx="177">
                  <c:v>4776877.5841999929</c:v>
                </c:pt>
                <c:pt idx="178">
                  <c:v>4776877.5841999929</c:v>
                </c:pt>
                <c:pt idx="179">
                  <c:v>4776877.5841999929</c:v>
                </c:pt>
                <c:pt idx="180">
                  <c:v>4776877.5841999929</c:v>
                </c:pt>
                <c:pt idx="181">
                  <c:v>4776877.5841999929</c:v>
                </c:pt>
                <c:pt idx="182">
                  <c:v>4776877.5841999929</c:v>
                </c:pt>
                <c:pt idx="183">
                  <c:v>4776877.5841999929</c:v>
                </c:pt>
                <c:pt idx="184">
                  <c:v>4776877.5841999929</c:v>
                </c:pt>
                <c:pt idx="185">
                  <c:v>4776877.5841999929</c:v>
                </c:pt>
                <c:pt idx="186">
                  <c:v>4776877.5841999929</c:v>
                </c:pt>
                <c:pt idx="187">
                  <c:v>4776877.5841999929</c:v>
                </c:pt>
                <c:pt idx="188">
                  <c:v>4776877.5841999929</c:v>
                </c:pt>
                <c:pt idx="189">
                  <c:v>4776877.5841999929</c:v>
                </c:pt>
                <c:pt idx="190">
                  <c:v>4776877.5841999929</c:v>
                </c:pt>
                <c:pt idx="191">
                  <c:v>4776877.5841999929</c:v>
                </c:pt>
                <c:pt idx="192">
                  <c:v>4776877.5841999929</c:v>
                </c:pt>
                <c:pt idx="193">
                  <c:v>4776877.5841999929</c:v>
                </c:pt>
                <c:pt idx="194">
                  <c:v>4776877.5841999929</c:v>
                </c:pt>
                <c:pt idx="195">
                  <c:v>4776877.5841999929</c:v>
                </c:pt>
                <c:pt idx="196">
                  <c:v>4776877.5841999929</c:v>
                </c:pt>
                <c:pt idx="197">
                  <c:v>4776877.5841999929</c:v>
                </c:pt>
                <c:pt idx="198">
                  <c:v>4776877.5841999929</c:v>
                </c:pt>
                <c:pt idx="199">
                  <c:v>4776877.5841999929</c:v>
                </c:pt>
                <c:pt idx="200">
                  <c:v>4776877.5841999929</c:v>
                </c:pt>
                <c:pt idx="201">
                  <c:v>4776877.5841999929</c:v>
                </c:pt>
                <c:pt idx="202">
                  <c:v>4776877.5841999929</c:v>
                </c:pt>
                <c:pt idx="203">
                  <c:v>4776877.5841999929</c:v>
                </c:pt>
                <c:pt idx="204">
                  <c:v>4776877.5841999929</c:v>
                </c:pt>
                <c:pt idx="205">
                  <c:v>4776877.5841999929</c:v>
                </c:pt>
                <c:pt idx="206">
                  <c:v>4776877.5841999929</c:v>
                </c:pt>
                <c:pt idx="207">
                  <c:v>4776877.5841999929</c:v>
                </c:pt>
                <c:pt idx="208">
                  <c:v>4776877.5841999929</c:v>
                </c:pt>
                <c:pt idx="209">
                  <c:v>4776877.5841999929</c:v>
                </c:pt>
                <c:pt idx="210">
                  <c:v>4776877.5841999929</c:v>
                </c:pt>
                <c:pt idx="211">
                  <c:v>4776877.5841999929</c:v>
                </c:pt>
                <c:pt idx="212">
                  <c:v>4776877.5841999929</c:v>
                </c:pt>
                <c:pt idx="213">
                  <c:v>4776877.5841999929</c:v>
                </c:pt>
                <c:pt idx="214">
                  <c:v>4776877.5841999929</c:v>
                </c:pt>
                <c:pt idx="215">
                  <c:v>4776877.5841999929</c:v>
                </c:pt>
                <c:pt idx="216">
                  <c:v>4776877.5841999929</c:v>
                </c:pt>
                <c:pt idx="217">
                  <c:v>4776877.5841999929</c:v>
                </c:pt>
                <c:pt idx="218">
                  <c:v>4776877.5841999929</c:v>
                </c:pt>
                <c:pt idx="219">
                  <c:v>4776877.5841999929</c:v>
                </c:pt>
                <c:pt idx="220">
                  <c:v>4776877.5841999929</c:v>
                </c:pt>
                <c:pt idx="221">
                  <c:v>4776877.5841999929</c:v>
                </c:pt>
                <c:pt idx="222">
                  <c:v>4776877.5841999929</c:v>
                </c:pt>
                <c:pt idx="223">
                  <c:v>4776877.5841999929</c:v>
                </c:pt>
                <c:pt idx="224">
                  <c:v>4776877.5841999929</c:v>
                </c:pt>
                <c:pt idx="225">
                  <c:v>4776877.5841999929</c:v>
                </c:pt>
                <c:pt idx="226">
                  <c:v>4776877.5841999929</c:v>
                </c:pt>
                <c:pt idx="227">
                  <c:v>4776877.5841999929</c:v>
                </c:pt>
                <c:pt idx="228">
                  <c:v>4776877.5841999929</c:v>
                </c:pt>
                <c:pt idx="229">
                  <c:v>4776877.5841999929</c:v>
                </c:pt>
                <c:pt idx="230">
                  <c:v>4776877.5841999929</c:v>
                </c:pt>
                <c:pt idx="231">
                  <c:v>4776877.5841999929</c:v>
                </c:pt>
                <c:pt idx="232">
                  <c:v>4776877.5841999929</c:v>
                </c:pt>
                <c:pt idx="233">
                  <c:v>4776877.5841999929</c:v>
                </c:pt>
                <c:pt idx="234">
                  <c:v>4776877.5841999929</c:v>
                </c:pt>
                <c:pt idx="235">
                  <c:v>4776877.5841999929</c:v>
                </c:pt>
                <c:pt idx="236">
                  <c:v>4776877.5841999929</c:v>
                </c:pt>
                <c:pt idx="237">
                  <c:v>4776877.5841999929</c:v>
                </c:pt>
                <c:pt idx="238">
                  <c:v>4776877.5841999929</c:v>
                </c:pt>
                <c:pt idx="239">
                  <c:v>4776877.5841999929</c:v>
                </c:pt>
                <c:pt idx="240">
                  <c:v>4776877.5841999929</c:v>
                </c:pt>
                <c:pt idx="241">
                  <c:v>4776877.5841999929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20.406185000588678</c:v>
                </c:pt>
                <c:pt idx="1">
                  <c:v>28.850123621521924</c:v>
                </c:pt>
                <c:pt idx="2">
                  <c:v>36.414485302774622</c:v>
                </c:pt>
                <c:pt idx="3">
                  <c:v>48.20081629449394</c:v>
                </c:pt>
                <c:pt idx="4">
                  <c:v>56.644754915427185</c:v>
                </c:pt>
                <c:pt idx="5">
                  <c:v>67.551508967465963</c:v>
                </c:pt>
                <c:pt idx="6">
                  <c:v>80.745163062674166</c:v>
                </c:pt>
                <c:pt idx="7">
                  <c:v>103.43824810643225</c:v>
                </c:pt>
                <c:pt idx="8">
                  <c:v>140.55639496095131</c:v>
                </c:pt>
                <c:pt idx="9">
                  <c:v>198.9603037557396</c:v>
                </c:pt>
                <c:pt idx="10">
                  <c:v>233.61563517915312</c:v>
                </c:pt>
                <c:pt idx="11">
                  <c:v>223.58845806679489</c:v>
                </c:pt>
                <c:pt idx="12">
                  <c:v>296.41742867234416</c:v>
                </c:pt>
                <c:pt idx="13">
                  <c:v>403.90173070130692</c:v>
                </c:pt>
                <c:pt idx="14">
                  <c:v>492.21125544523375</c:v>
                </c:pt>
                <c:pt idx="15">
                  <c:v>611.1300576900436</c:v>
                </c:pt>
                <c:pt idx="16">
                  <c:v>773.14812997920023</c:v>
                </c:pt>
                <c:pt idx="17">
                  <c:v>868.4942702405715</c:v>
                </c:pt>
                <c:pt idx="18">
                  <c:v>999.37531886503677</c:v>
                </c:pt>
                <c:pt idx="19">
                  <c:v>1185.4937993014405</c:v>
                </c:pt>
                <c:pt idx="20">
                  <c:v>1357.8908794788276</c:v>
                </c:pt>
                <c:pt idx="21">
                  <c:v>1709.0179937993016</c:v>
                </c:pt>
                <c:pt idx="22">
                  <c:v>2166.2220870452497</c:v>
                </c:pt>
                <c:pt idx="23">
                  <c:v>2464.2227542090186</c:v>
                </c:pt>
                <c:pt idx="24">
                  <c:v>2702.4121894745108</c:v>
                </c:pt>
                <c:pt idx="25">
                  <c:v>3046.5026882775405</c:v>
                </c:pt>
                <c:pt idx="26">
                  <c:v>3368.2519328126846</c:v>
                </c:pt>
                <c:pt idx="27">
                  <c:v>3929.5046437865831</c:v>
                </c:pt>
                <c:pt idx="28">
                  <c:v>4584.2790425258336</c:v>
                </c:pt>
                <c:pt idx="29">
                  <c:v>5348.158672613331</c:v>
                </c:pt>
                <c:pt idx="30">
                  <c:v>6239.3237676233803</c:v>
                </c:pt>
                <c:pt idx="31">
                  <c:v>7278.9839382621813</c:v>
                </c:pt>
                <c:pt idx="32">
                  <c:v>8491.882958281034</c:v>
                </c:pt>
                <c:pt idx="33">
                  <c:v>9906.8876629998758</c:v>
                </c:pt>
                <c:pt idx="34">
                  <c:v>11557.67497614762</c:v>
                </c:pt>
                <c:pt idx="35">
                  <c:v>13483.533416166747</c:v>
                </c:pt>
                <c:pt idx="36">
                  <c:v>15730.298157725525</c:v>
                </c:pt>
                <c:pt idx="37">
                  <c:v>18351.441902777497</c:v>
                </c:pt>
                <c:pt idx="38">
                  <c:v>21409.347523754295</c:v>
                </c:pt>
                <c:pt idx="39">
                  <c:v>24976.792767630493</c:v>
                </c:pt>
                <c:pt idx="40">
                  <c:v>29138.682356619702</c:v>
                </c:pt>
                <c:pt idx="41">
                  <c:v>33994.068709268045</c:v>
                </c:pt>
                <c:pt idx="42">
                  <c:v>39658.509374838271</c:v>
                </c:pt>
                <c:pt idx="43">
                  <c:v>46266.817287609119</c:v>
                </c:pt>
                <c:pt idx="44">
                  <c:v>53976.269296776503</c:v>
                </c:pt>
                <c:pt idx="45">
                  <c:v>62970.349334541235</c:v>
                </c:pt>
                <c:pt idx="46">
                  <c:v>73463.115309285844</c:v>
                </c:pt>
                <c:pt idx="47">
                  <c:v>85704.29365531716</c:v>
                </c:pt>
                <c:pt idx="48">
                  <c:v>99985.222788780811</c:v>
                </c:pt>
                <c:pt idx="49">
                  <c:v>116645.78692320753</c:v>
                </c:pt>
                <c:pt idx="50">
                  <c:v>136082.50526857923</c:v>
                </c:pt>
                <c:pt idx="51">
                  <c:v>158757.96913577607</c:v>
                </c:pt>
                <c:pt idx="52">
                  <c:v>185211.85154823516</c:v>
                </c:pt>
                <c:pt idx="53">
                  <c:v>216073.75138811368</c:v>
                </c:pt>
                <c:pt idx="54">
                  <c:v>252078.1777659262</c:v>
                </c:pt>
                <c:pt idx="55">
                  <c:v>294082.03123966057</c:v>
                </c:pt>
                <c:pt idx="56">
                  <c:v>343084.9979340611</c:v>
                </c:pt>
                <c:pt idx="57">
                  <c:v>400253.34193740576</c:v>
                </c:pt>
                <c:pt idx="58">
                  <c:v>466947.66223165463</c:v>
                </c:pt>
                <c:pt idx="59">
                  <c:v>544755.27476721467</c:v>
                </c:pt>
                <c:pt idx="60">
                  <c:v>635527.99037139316</c:v>
                </c:pt>
                <c:pt idx="61">
                  <c:v>741426.18759973405</c:v>
                </c:pt>
                <c:pt idx="62">
                  <c:v>864970.22945823683</c:v>
                </c:pt>
                <c:pt idx="63">
                  <c:v>1009100.4477076057</c:v>
                </c:pt>
                <c:pt idx="64">
                  <c:v>1177247.1223679911</c:v>
                </c:pt>
                <c:pt idx="65">
                  <c:v>1373412.1219271261</c:v>
                </c:pt>
                <c:pt idx="66">
                  <c:v>1602264.1472779512</c:v>
                </c:pt>
                <c:pt idx="67">
                  <c:v>1869249.8461787715</c:v>
                </c:pt>
                <c:pt idx="68">
                  <c:v>2180723.4427453149</c:v>
                </c:pt>
                <c:pt idx="69">
                  <c:v>2544097.9671393624</c:v>
                </c:pt>
                <c:pt idx="70">
                  <c:v>2968021.6847004145</c:v>
                </c:pt>
                <c:pt idx="71">
                  <c:v>3462583.9235102586</c:v>
                </c:pt>
                <c:pt idx="72">
                  <c:v>4039555.1990590962</c:v>
                </c:pt>
                <c:pt idx="73">
                  <c:v>4712667.3509483319</c:v>
                </c:pt>
                <c:pt idx="74">
                  <c:v>4776877.5841999929</c:v>
                </c:pt>
                <c:pt idx="75">
                  <c:v>4776877.5841999929</c:v>
                </c:pt>
                <c:pt idx="76">
                  <c:v>4776877.5841999929</c:v>
                </c:pt>
                <c:pt idx="77">
                  <c:v>4776877.5841999929</c:v>
                </c:pt>
                <c:pt idx="78">
                  <c:v>4776877.5841999929</c:v>
                </c:pt>
                <c:pt idx="79">
                  <c:v>4776877.5841999929</c:v>
                </c:pt>
                <c:pt idx="80">
                  <c:v>4776877.5841999929</c:v>
                </c:pt>
                <c:pt idx="81">
                  <c:v>4776877.5841999929</c:v>
                </c:pt>
                <c:pt idx="82">
                  <c:v>4776877.5841999929</c:v>
                </c:pt>
                <c:pt idx="83">
                  <c:v>4776877.5841999929</c:v>
                </c:pt>
                <c:pt idx="84">
                  <c:v>4776877.5841999929</c:v>
                </c:pt>
                <c:pt idx="85">
                  <c:v>4776877.5841999929</c:v>
                </c:pt>
                <c:pt idx="86">
                  <c:v>4776877.5841999929</c:v>
                </c:pt>
                <c:pt idx="87">
                  <c:v>4776877.5841999929</c:v>
                </c:pt>
                <c:pt idx="88">
                  <c:v>4776877.5841999929</c:v>
                </c:pt>
                <c:pt idx="89">
                  <c:v>4776877.5841999929</c:v>
                </c:pt>
                <c:pt idx="90">
                  <c:v>4776877.5841999929</c:v>
                </c:pt>
                <c:pt idx="91">
                  <c:v>4776877.5841999929</c:v>
                </c:pt>
                <c:pt idx="92">
                  <c:v>4776877.5841999929</c:v>
                </c:pt>
                <c:pt idx="93">
                  <c:v>4776877.5841999929</c:v>
                </c:pt>
                <c:pt idx="94">
                  <c:v>4776877.5841999929</c:v>
                </c:pt>
                <c:pt idx="95">
                  <c:v>4776877.5841999929</c:v>
                </c:pt>
                <c:pt idx="96">
                  <c:v>4776877.5841999929</c:v>
                </c:pt>
                <c:pt idx="97">
                  <c:v>4776877.5841999929</c:v>
                </c:pt>
                <c:pt idx="98">
                  <c:v>4776877.5841999929</c:v>
                </c:pt>
                <c:pt idx="99">
                  <c:v>4776877.5841999929</c:v>
                </c:pt>
                <c:pt idx="100">
                  <c:v>4776877.5841999929</c:v>
                </c:pt>
                <c:pt idx="101">
                  <c:v>4776877.5841999929</c:v>
                </c:pt>
                <c:pt idx="102">
                  <c:v>4776877.5841999929</c:v>
                </c:pt>
                <c:pt idx="103">
                  <c:v>4776877.5841999929</c:v>
                </c:pt>
                <c:pt idx="104">
                  <c:v>4776877.5841999929</c:v>
                </c:pt>
                <c:pt idx="105">
                  <c:v>4776877.5841999929</c:v>
                </c:pt>
                <c:pt idx="106">
                  <c:v>4776877.5841999929</c:v>
                </c:pt>
                <c:pt idx="107">
                  <c:v>4776877.5841999929</c:v>
                </c:pt>
                <c:pt idx="108">
                  <c:v>4776877.5841999929</c:v>
                </c:pt>
                <c:pt idx="109">
                  <c:v>4776877.5841999929</c:v>
                </c:pt>
                <c:pt idx="110">
                  <c:v>4776877.5841999929</c:v>
                </c:pt>
                <c:pt idx="111">
                  <c:v>4776877.5841999929</c:v>
                </c:pt>
                <c:pt idx="112">
                  <c:v>4776877.5841999929</c:v>
                </c:pt>
                <c:pt idx="113">
                  <c:v>4776877.5841999929</c:v>
                </c:pt>
                <c:pt idx="114">
                  <c:v>4776877.5841999929</c:v>
                </c:pt>
                <c:pt idx="115">
                  <c:v>4776877.5841999929</c:v>
                </c:pt>
                <c:pt idx="116">
                  <c:v>4776877.5841999929</c:v>
                </c:pt>
                <c:pt idx="117">
                  <c:v>4776877.5841999929</c:v>
                </c:pt>
                <c:pt idx="118">
                  <c:v>4776877.5841999929</c:v>
                </c:pt>
                <c:pt idx="119">
                  <c:v>4776877.5841999929</c:v>
                </c:pt>
                <c:pt idx="120">
                  <c:v>4776877.5841999929</c:v>
                </c:pt>
                <c:pt idx="121">
                  <c:v>4776877.5841999929</c:v>
                </c:pt>
                <c:pt idx="122">
                  <c:v>4776877.5841999929</c:v>
                </c:pt>
                <c:pt idx="123">
                  <c:v>4776877.5841999929</c:v>
                </c:pt>
                <c:pt idx="124">
                  <c:v>4776877.5841999929</c:v>
                </c:pt>
                <c:pt idx="125">
                  <c:v>4776877.5841999929</c:v>
                </c:pt>
                <c:pt idx="126">
                  <c:v>4776877.5841999929</c:v>
                </c:pt>
                <c:pt idx="127">
                  <c:v>4776877.5841999929</c:v>
                </c:pt>
                <c:pt idx="128">
                  <c:v>4776877.5841999929</c:v>
                </c:pt>
                <c:pt idx="129">
                  <c:v>4776877.5841999929</c:v>
                </c:pt>
                <c:pt idx="130">
                  <c:v>4776877.5841999929</c:v>
                </c:pt>
                <c:pt idx="131">
                  <c:v>4776877.5841999929</c:v>
                </c:pt>
                <c:pt idx="132">
                  <c:v>4776877.5841999929</c:v>
                </c:pt>
                <c:pt idx="133">
                  <c:v>4776877.5841999929</c:v>
                </c:pt>
                <c:pt idx="134">
                  <c:v>4776877.5841999929</c:v>
                </c:pt>
                <c:pt idx="135">
                  <c:v>4776877.5841999929</c:v>
                </c:pt>
                <c:pt idx="136">
                  <c:v>4776877.5841999929</c:v>
                </c:pt>
                <c:pt idx="137">
                  <c:v>4776877.5841999929</c:v>
                </c:pt>
                <c:pt idx="138">
                  <c:v>4776877.5841999929</c:v>
                </c:pt>
                <c:pt idx="139">
                  <c:v>4776877.5841999929</c:v>
                </c:pt>
                <c:pt idx="140">
                  <c:v>4776877.5841999929</c:v>
                </c:pt>
                <c:pt idx="141">
                  <c:v>4776877.5841999929</c:v>
                </c:pt>
                <c:pt idx="142">
                  <c:v>4776877.5841999929</c:v>
                </c:pt>
                <c:pt idx="143">
                  <c:v>4776877.5841999929</c:v>
                </c:pt>
                <c:pt idx="144">
                  <c:v>4776877.5841999929</c:v>
                </c:pt>
                <c:pt idx="145">
                  <c:v>4776877.5841999929</c:v>
                </c:pt>
                <c:pt idx="146">
                  <c:v>4776877.5841999929</c:v>
                </c:pt>
                <c:pt idx="147">
                  <c:v>4776877.5841999929</c:v>
                </c:pt>
                <c:pt idx="148">
                  <c:v>4776877.5841999929</c:v>
                </c:pt>
                <c:pt idx="149">
                  <c:v>4776877.5841999929</c:v>
                </c:pt>
                <c:pt idx="150">
                  <c:v>4776877.5841999929</c:v>
                </c:pt>
                <c:pt idx="151">
                  <c:v>4776877.5841999929</c:v>
                </c:pt>
                <c:pt idx="152">
                  <c:v>4776877.5841999929</c:v>
                </c:pt>
                <c:pt idx="153">
                  <c:v>4776877.5841999929</c:v>
                </c:pt>
                <c:pt idx="154">
                  <c:v>4776877.5841999929</c:v>
                </c:pt>
                <c:pt idx="155">
                  <c:v>4776877.5841999929</c:v>
                </c:pt>
                <c:pt idx="156">
                  <c:v>4776877.5841999929</c:v>
                </c:pt>
                <c:pt idx="157">
                  <c:v>4776877.5841999929</c:v>
                </c:pt>
                <c:pt idx="158">
                  <c:v>4776877.5841999929</c:v>
                </c:pt>
                <c:pt idx="159">
                  <c:v>4776877.5841999929</c:v>
                </c:pt>
                <c:pt idx="160">
                  <c:v>4776877.5841999929</c:v>
                </c:pt>
                <c:pt idx="161">
                  <c:v>4776877.5841999929</c:v>
                </c:pt>
                <c:pt idx="162">
                  <c:v>4776877.5841999929</c:v>
                </c:pt>
                <c:pt idx="163">
                  <c:v>4776877.5841999929</c:v>
                </c:pt>
                <c:pt idx="164">
                  <c:v>4776877.5841999929</c:v>
                </c:pt>
                <c:pt idx="165">
                  <c:v>4776877.5841999929</c:v>
                </c:pt>
                <c:pt idx="166">
                  <c:v>4776877.5841999929</c:v>
                </c:pt>
                <c:pt idx="167">
                  <c:v>4776877.5841999929</c:v>
                </c:pt>
                <c:pt idx="168">
                  <c:v>4776877.5841999929</c:v>
                </c:pt>
                <c:pt idx="169">
                  <c:v>4776877.5841999929</c:v>
                </c:pt>
                <c:pt idx="170">
                  <c:v>4776877.5841999929</c:v>
                </c:pt>
                <c:pt idx="171">
                  <c:v>4776877.5841999929</c:v>
                </c:pt>
                <c:pt idx="172">
                  <c:v>4776877.5841999929</c:v>
                </c:pt>
                <c:pt idx="173">
                  <c:v>4776877.5841999929</c:v>
                </c:pt>
                <c:pt idx="174">
                  <c:v>4776877.5841999929</c:v>
                </c:pt>
                <c:pt idx="175">
                  <c:v>4776877.5841999929</c:v>
                </c:pt>
                <c:pt idx="176">
                  <c:v>4776877.5841999929</c:v>
                </c:pt>
                <c:pt idx="177">
                  <c:v>4776877.5841999929</c:v>
                </c:pt>
                <c:pt idx="178">
                  <c:v>4776877.5841999929</c:v>
                </c:pt>
                <c:pt idx="179">
                  <c:v>4776877.5841999929</c:v>
                </c:pt>
                <c:pt idx="180">
                  <c:v>4776877.5841999929</c:v>
                </c:pt>
                <c:pt idx="181">
                  <c:v>4776877.5841999929</c:v>
                </c:pt>
                <c:pt idx="182">
                  <c:v>4776877.5841999929</c:v>
                </c:pt>
                <c:pt idx="183">
                  <c:v>4776877.5841999929</c:v>
                </c:pt>
                <c:pt idx="184">
                  <c:v>4776877.5841999929</c:v>
                </c:pt>
                <c:pt idx="185">
                  <c:v>4776877.5841999929</c:v>
                </c:pt>
                <c:pt idx="186">
                  <c:v>4776877.5841999929</c:v>
                </c:pt>
                <c:pt idx="187">
                  <c:v>4776877.5841999929</c:v>
                </c:pt>
                <c:pt idx="188">
                  <c:v>4776877.5841999929</c:v>
                </c:pt>
                <c:pt idx="189">
                  <c:v>4776877.5841999929</c:v>
                </c:pt>
                <c:pt idx="190">
                  <c:v>4776877.5841999929</c:v>
                </c:pt>
                <c:pt idx="191">
                  <c:v>4776877.5841999929</c:v>
                </c:pt>
                <c:pt idx="192">
                  <c:v>4776877.5841999929</c:v>
                </c:pt>
                <c:pt idx="193">
                  <c:v>4776877.5841999929</c:v>
                </c:pt>
                <c:pt idx="194">
                  <c:v>4776877.5841999929</c:v>
                </c:pt>
                <c:pt idx="195">
                  <c:v>4776877.5841999929</c:v>
                </c:pt>
                <c:pt idx="196">
                  <c:v>4776877.5841999929</c:v>
                </c:pt>
                <c:pt idx="197">
                  <c:v>4776877.5841999929</c:v>
                </c:pt>
                <c:pt idx="198">
                  <c:v>4776877.5841999929</c:v>
                </c:pt>
                <c:pt idx="199">
                  <c:v>4776877.5841999929</c:v>
                </c:pt>
                <c:pt idx="200">
                  <c:v>4776877.5841999929</c:v>
                </c:pt>
                <c:pt idx="201">
                  <c:v>4776877.5841999929</c:v>
                </c:pt>
                <c:pt idx="202">
                  <c:v>4776877.5841999929</c:v>
                </c:pt>
                <c:pt idx="203">
                  <c:v>4776877.5841999929</c:v>
                </c:pt>
                <c:pt idx="204">
                  <c:v>4776877.5841999929</c:v>
                </c:pt>
                <c:pt idx="205">
                  <c:v>4776877.5841999929</c:v>
                </c:pt>
                <c:pt idx="206">
                  <c:v>4776877.5841999929</c:v>
                </c:pt>
                <c:pt idx="207">
                  <c:v>4776877.5841999929</c:v>
                </c:pt>
                <c:pt idx="208">
                  <c:v>4776877.5841999929</c:v>
                </c:pt>
                <c:pt idx="209">
                  <c:v>4776877.5841999929</c:v>
                </c:pt>
                <c:pt idx="210">
                  <c:v>4776877.5841999929</c:v>
                </c:pt>
                <c:pt idx="211">
                  <c:v>4776877.5841999929</c:v>
                </c:pt>
                <c:pt idx="212">
                  <c:v>4776877.5841999929</c:v>
                </c:pt>
                <c:pt idx="213">
                  <c:v>4776877.5841999929</c:v>
                </c:pt>
                <c:pt idx="214">
                  <c:v>4776877.5841999929</c:v>
                </c:pt>
                <c:pt idx="215">
                  <c:v>4776877.5841999929</c:v>
                </c:pt>
                <c:pt idx="216">
                  <c:v>4776877.5841999929</c:v>
                </c:pt>
                <c:pt idx="217">
                  <c:v>4776877.5841999929</c:v>
                </c:pt>
                <c:pt idx="218">
                  <c:v>4776877.5841999929</c:v>
                </c:pt>
                <c:pt idx="219">
                  <c:v>4776877.5841999929</c:v>
                </c:pt>
                <c:pt idx="220">
                  <c:v>4776877.5841999929</c:v>
                </c:pt>
                <c:pt idx="221">
                  <c:v>4776877.5841999929</c:v>
                </c:pt>
                <c:pt idx="222">
                  <c:v>4776877.5841999929</c:v>
                </c:pt>
                <c:pt idx="223">
                  <c:v>4776877.5841999929</c:v>
                </c:pt>
                <c:pt idx="224">
                  <c:v>4776877.5841999929</c:v>
                </c:pt>
                <c:pt idx="225">
                  <c:v>4776877.5841999929</c:v>
                </c:pt>
                <c:pt idx="226">
                  <c:v>4776877.5841999929</c:v>
                </c:pt>
                <c:pt idx="227">
                  <c:v>4776877.5841999929</c:v>
                </c:pt>
                <c:pt idx="228">
                  <c:v>4776877.5841999929</c:v>
                </c:pt>
                <c:pt idx="229">
                  <c:v>4776877.5841999929</c:v>
                </c:pt>
                <c:pt idx="230">
                  <c:v>4776877.5841999929</c:v>
                </c:pt>
                <c:pt idx="231">
                  <c:v>4776877.5841999929</c:v>
                </c:pt>
                <c:pt idx="232">
                  <c:v>4776877.5841999929</c:v>
                </c:pt>
                <c:pt idx="233">
                  <c:v>4776877.5841999929</c:v>
                </c:pt>
                <c:pt idx="234">
                  <c:v>4776877.5841999929</c:v>
                </c:pt>
                <c:pt idx="235">
                  <c:v>4776877.5841999929</c:v>
                </c:pt>
                <c:pt idx="236">
                  <c:v>4776877.5841999929</c:v>
                </c:pt>
                <c:pt idx="237">
                  <c:v>4776877.5841999929</c:v>
                </c:pt>
                <c:pt idx="238">
                  <c:v>4776877.5841999929</c:v>
                </c:pt>
                <c:pt idx="239">
                  <c:v>4776877.5841999929</c:v>
                </c:pt>
                <c:pt idx="240">
                  <c:v>4776877.5841999929</c:v>
                </c:pt>
                <c:pt idx="241">
                  <c:v>4776877.5841999929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1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5894.256965679875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22337.469677261775</c:v>
                </c:pt>
                <c:pt idx="28">
                  <c:v>26059.56816120485</c:v>
                </c:pt>
                <c:pt idx="29">
                  <c:v>30401.880900582324</c:v>
                </c:pt>
                <c:pt idx="30">
                  <c:v>35467.754360917199</c:v>
                </c:pt>
                <c:pt idx="31">
                  <c:v>41377.755656633264</c:v>
                </c:pt>
                <c:pt idx="32">
                  <c:v>48272.542032338875</c:v>
                </c:pt>
                <c:pt idx="33">
                  <c:v>56316.208486536489</c:v>
                </c:pt>
                <c:pt idx="34">
                  <c:v>65700.193210756828</c:v>
                </c:pt>
                <c:pt idx="35">
                  <c:v>76647.833793049605</c:v>
                </c:pt>
                <c:pt idx="36">
                  <c:v>89419.682622867607</c:v>
                </c:pt>
                <c:pt idx="37">
                  <c:v>104319.70800327347</c:v>
                </c:pt>
                <c:pt idx="38">
                  <c:v>121702.52855611447</c:v>
                </c:pt>
                <c:pt idx="39">
                  <c:v>141981.8530980463</c:v>
                </c:pt>
                <c:pt idx="40">
                  <c:v>165640.32685533218</c:v>
                </c:pt>
                <c:pt idx="41">
                  <c:v>193241.01835601986</c:v>
                </c:pt>
                <c:pt idx="42">
                  <c:v>225440.82038600199</c:v>
                </c:pt>
                <c:pt idx="43">
                  <c:v>263006.08394993149</c:v>
                </c:pt>
                <c:pt idx="44">
                  <c:v>306830.8573231817</c:v>
                </c:pt>
                <c:pt idx="45">
                  <c:v>357958.16428186168</c:v>
                </c:pt>
                <c:pt idx="46">
                  <c:v>417604.82792993024</c:v>
                </c:pt>
                <c:pt idx="47">
                  <c:v>487190.43092719163</c:v>
                </c:pt>
                <c:pt idx="48">
                  <c:v>568371.10136774648</c:v>
                </c:pt>
                <c:pt idx="49">
                  <c:v>663078.92840831028</c:v>
                </c:pt>
                <c:pt idx="50">
                  <c:v>773567.9457331103</c:v>
                </c:pt>
                <c:pt idx="51">
                  <c:v>902467.77725570765</c:v>
                </c:pt>
                <c:pt idx="52">
                  <c:v>1052846.2218183111</c:v>
                </c:pt>
                <c:pt idx="53">
                  <c:v>1228282.2663961013</c:v>
                </c:pt>
                <c:pt idx="54">
                  <c:v>1432951.2655111132</c:v>
                </c:pt>
                <c:pt idx="55">
                  <c:v>1671724.3141143981</c:v>
                </c:pt>
                <c:pt idx="56">
                  <c:v>1950284.1789978382</c:v>
                </c:pt>
                <c:pt idx="57">
                  <c:v>2275260.5478877937</c:v>
                </c:pt>
                <c:pt idx="58">
                  <c:v>2654387.8151310184</c:v>
                </c:pt>
                <c:pt idx="59">
                  <c:v>3096689.1592511758</c:v>
                </c:pt>
                <c:pt idx="60">
                  <c:v>3612691.2933973158</c:v>
                </c:pt>
                <c:pt idx="61">
                  <c:v>4214674.9997164132</c:v>
                </c:pt>
                <c:pt idx="62">
                  <c:v>4916967.4103347082</c:v>
                </c:pt>
                <c:pt idx="63">
                  <c:v>5736282.9911963185</c:v>
                </c:pt>
                <c:pt idx="64">
                  <c:v>6692121.3441291191</c:v>
                </c:pt>
                <c:pt idx="65">
                  <c:v>7807231.294774143</c:v>
                </c:pt>
                <c:pt idx="66">
                  <c:v>9108152.3116094749</c:v>
                </c:pt>
                <c:pt idx="67">
                  <c:v>10625846.141769385</c:v>
                </c:pt>
                <c:pt idx="68">
                  <c:v>12396433.696507163</c:v>
                </c:pt>
                <c:pt idx="69">
                  <c:v>14462054.724077655</c:v>
                </c:pt>
                <c:pt idx="70">
                  <c:v>16871870.73013971</c:v>
                </c:pt>
                <c:pt idx="71">
                  <c:v>19683235.015050728</c:v>
                </c:pt>
                <c:pt idx="72">
                  <c:v>22963057.674785234</c:v>
                </c:pt>
                <c:pt idx="73">
                  <c:v>26789398.052317776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164-ABC4-CCF1AB3D6DD0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21061.7</c:v>
                </c:pt>
                <c:pt idx="28">
                  <c:v>23167.870000000003</c:v>
                </c:pt>
                <c:pt idx="29">
                  <c:v>25484.657000000007</c:v>
                </c:pt>
                <c:pt idx="30">
                  <c:v>28033.122700000011</c:v>
                </c:pt>
                <c:pt idx="31">
                  <c:v>30836.434970000013</c:v>
                </c:pt>
                <c:pt idx="32">
                  <c:v>33920.078467000014</c:v>
                </c:pt>
                <c:pt idx="33">
                  <c:v>37312.08631370002</c:v>
                </c:pt>
                <c:pt idx="34">
                  <c:v>41043.294945070025</c:v>
                </c:pt>
                <c:pt idx="35">
                  <c:v>45147.624439577034</c:v>
                </c:pt>
                <c:pt idx="36">
                  <c:v>49662.386883534738</c:v>
                </c:pt>
                <c:pt idx="37">
                  <c:v>54628.625571888217</c:v>
                </c:pt>
                <c:pt idx="38">
                  <c:v>60091.488129077043</c:v>
                </c:pt>
                <c:pt idx="39">
                  <c:v>66100.636941984747</c:v>
                </c:pt>
                <c:pt idx="40">
                  <c:v>72710.700636183232</c:v>
                </c:pt>
                <c:pt idx="41">
                  <c:v>79981.770699801564</c:v>
                </c:pt>
                <c:pt idx="42">
                  <c:v>87979.94776978172</c:v>
                </c:pt>
                <c:pt idx="43">
                  <c:v>96777.942546759907</c:v>
                </c:pt>
                <c:pt idx="44">
                  <c:v>106455.73680143591</c:v>
                </c:pt>
                <c:pt idx="45">
                  <c:v>117101.31048157951</c:v>
                </c:pt>
                <c:pt idx="46">
                  <c:v>128811.44152973747</c:v>
                </c:pt>
                <c:pt idx="47">
                  <c:v>141692.58568271121</c:v>
                </c:pt>
                <c:pt idx="48">
                  <c:v>155861.84425098234</c:v>
                </c:pt>
                <c:pt idx="49">
                  <c:v>171448.02867608058</c:v>
                </c:pt>
                <c:pt idx="50">
                  <c:v>188592.83154368866</c:v>
                </c:pt>
                <c:pt idx="51">
                  <c:v>207452.11469805756</c:v>
                </c:pt>
                <c:pt idx="52">
                  <c:v>228197.32616786333</c:v>
                </c:pt>
                <c:pt idx="53">
                  <c:v>251017.05878464968</c:v>
                </c:pt>
                <c:pt idx="54">
                  <c:v>276118.76466311468</c:v>
                </c:pt>
                <c:pt idx="55">
                  <c:v>303730.64112942619</c:v>
                </c:pt>
                <c:pt idx="56">
                  <c:v>334103.70524236886</c:v>
                </c:pt>
                <c:pt idx="57">
                  <c:v>367514.07576660579</c:v>
                </c:pt>
                <c:pt idx="58">
                  <c:v>404265.48334326642</c:v>
                </c:pt>
                <c:pt idx="59">
                  <c:v>444692.03167759307</c:v>
                </c:pt>
                <c:pt idx="60">
                  <c:v>489161.23484535242</c:v>
                </c:pt>
                <c:pt idx="61">
                  <c:v>538077.35832988773</c:v>
                </c:pt>
                <c:pt idx="62">
                  <c:v>591885.0941628766</c:v>
                </c:pt>
                <c:pt idx="63">
                  <c:v>651073.60357916437</c:v>
                </c:pt>
                <c:pt idx="64">
                  <c:v>716180.96393708081</c:v>
                </c:pt>
                <c:pt idx="65">
                  <c:v>787799.06033078895</c:v>
                </c:pt>
                <c:pt idx="66">
                  <c:v>866578.96636386798</c:v>
                </c:pt>
                <c:pt idx="67">
                  <c:v>953236.86300025485</c:v>
                </c:pt>
                <c:pt idx="68">
                  <c:v>1048560.5493002804</c:v>
                </c:pt>
                <c:pt idx="69">
                  <c:v>1153416.6042303084</c:v>
                </c:pt>
                <c:pt idx="70">
                  <c:v>1268758.2646533393</c:v>
                </c:pt>
                <c:pt idx="71">
                  <c:v>1395634.0911186733</c:v>
                </c:pt>
                <c:pt idx="72">
                  <c:v>1535197.5002305408</c:v>
                </c:pt>
                <c:pt idx="73">
                  <c:v>1688717.2502535949</c:v>
                </c:pt>
                <c:pt idx="74">
                  <c:v>1857588.9752789545</c:v>
                </c:pt>
                <c:pt idx="75">
                  <c:v>2043347.8728068501</c:v>
                </c:pt>
                <c:pt idx="76">
                  <c:v>2247682.6600875352</c:v>
                </c:pt>
                <c:pt idx="77">
                  <c:v>2472450.926096289</c:v>
                </c:pt>
                <c:pt idx="78">
                  <c:v>2719696.018705918</c:v>
                </c:pt>
                <c:pt idx="79">
                  <c:v>2991665.6205765102</c:v>
                </c:pt>
                <c:pt idx="80">
                  <c:v>3290832.1826341613</c:v>
                </c:pt>
                <c:pt idx="81">
                  <c:v>3619915.4008975779</c:v>
                </c:pt>
                <c:pt idx="82">
                  <c:v>3981906.940987336</c:v>
                </c:pt>
                <c:pt idx="83">
                  <c:v>4380097.6350860698</c:v>
                </c:pt>
                <c:pt idx="84">
                  <c:v>4818107.3985946774</c:v>
                </c:pt>
                <c:pt idx="85">
                  <c:v>5299918.1384541458</c:v>
                </c:pt>
                <c:pt idx="86">
                  <c:v>5829909.9522995604</c:v>
                </c:pt>
                <c:pt idx="87">
                  <c:v>6412900.9475295171</c:v>
                </c:pt>
                <c:pt idx="88">
                  <c:v>7054191.0422824696</c:v>
                </c:pt>
                <c:pt idx="89">
                  <c:v>7759610.1465107175</c:v>
                </c:pt>
                <c:pt idx="90">
                  <c:v>8535571.1611617897</c:v>
                </c:pt>
                <c:pt idx="91">
                  <c:v>9389128.2772779688</c:v>
                </c:pt>
                <c:pt idx="92">
                  <c:v>10328041.105005767</c:v>
                </c:pt>
                <c:pt idx="93">
                  <c:v>11360845.215506345</c:v>
                </c:pt>
                <c:pt idx="94">
                  <c:v>12496929.73705698</c:v>
                </c:pt>
                <c:pt idx="95">
                  <c:v>13746622.71076268</c:v>
                </c:pt>
                <c:pt idx="96">
                  <c:v>15121284.981838949</c:v>
                </c:pt>
                <c:pt idx="97">
                  <c:v>16633413.480022846</c:v>
                </c:pt>
                <c:pt idx="98">
                  <c:v>18296754.828025132</c:v>
                </c:pt>
                <c:pt idx="99">
                  <c:v>20126430.310827646</c:v>
                </c:pt>
                <c:pt idx="100">
                  <c:v>22139073.341910414</c:v>
                </c:pt>
                <c:pt idx="101">
                  <c:v>24352980.676101457</c:v>
                </c:pt>
                <c:pt idx="102">
                  <c:v>26788278.743711606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164-ABC4-CCF1AB3D6DD0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23933.75</c:v>
                </c:pt>
                <c:pt idx="28">
                  <c:v>29917.1875</c:v>
                </c:pt>
                <c:pt idx="29">
                  <c:v>37396.484375</c:v>
                </c:pt>
                <c:pt idx="30">
                  <c:v>46745.60546875</c:v>
                </c:pt>
                <c:pt idx="31">
                  <c:v>58432.0068359375</c:v>
                </c:pt>
                <c:pt idx="32">
                  <c:v>73040.008544921875</c:v>
                </c:pt>
                <c:pt idx="33">
                  <c:v>91300.010681152344</c:v>
                </c:pt>
                <c:pt idx="34">
                  <c:v>114125.01335144043</c:v>
                </c:pt>
                <c:pt idx="35">
                  <c:v>142656.26668930054</c:v>
                </c:pt>
                <c:pt idx="36">
                  <c:v>178320.33336162567</c:v>
                </c:pt>
                <c:pt idx="37">
                  <c:v>222900.41670203209</c:v>
                </c:pt>
                <c:pt idx="38">
                  <c:v>278625.52087754011</c:v>
                </c:pt>
                <c:pt idx="39">
                  <c:v>348281.90109692514</c:v>
                </c:pt>
                <c:pt idx="40">
                  <c:v>435352.37637115642</c:v>
                </c:pt>
                <c:pt idx="41">
                  <c:v>544190.47046394553</c:v>
                </c:pt>
                <c:pt idx="42">
                  <c:v>680238.08807993191</c:v>
                </c:pt>
                <c:pt idx="43">
                  <c:v>850297.61009991495</c:v>
                </c:pt>
                <c:pt idx="44">
                  <c:v>1062872.0126248938</c:v>
                </c:pt>
                <c:pt idx="45">
                  <c:v>1328590.0157811171</c:v>
                </c:pt>
                <c:pt idx="46">
                  <c:v>1660737.5197263965</c:v>
                </c:pt>
                <c:pt idx="47">
                  <c:v>2075921.8996579957</c:v>
                </c:pt>
                <c:pt idx="48">
                  <c:v>2594902.3745724945</c:v>
                </c:pt>
                <c:pt idx="49">
                  <c:v>3243627.9682156183</c:v>
                </c:pt>
                <c:pt idx="50">
                  <c:v>4054534.9602695229</c:v>
                </c:pt>
                <c:pt idx="51">
                  <c:v>5068168.7003369033</c:v>
                </c:pt>
                <c:pt idx="52">
                  <c:v>6335210.8754211292</c:v>
                </c:pt>
                <c:pt idx="53">
                  <c:v>7919013.5942764115</c:v>
                </c:pt>
                <c:pt idx="54">
                  <c:v>9898766.9928455148</c:v>
                </c:pt>
                <c:pt idx="55">
                  <c:v>12373458.741056893</c:v>
                </c:pt>
                <c:pt idx="56">
                  <c:v>15466823.426321115</c:v>
                </c:pt>
                <c:pt idx="57">
                  <c:v>19333529.282901395</c:v>
                </c:pt>
                <c:pt idx="58">
                  <c:v>24166911.603626743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1-4164-ABC4-CCF1AB3D6DD0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26805.8</c:v>
                </c:pt>
                <c:pt idx="28">
                  <c:v>37528.119999999995</c:v>
                </c:pt>
                <c:pt idx="29">
                  <c:v>52539.367999999988</c:v>
                </c:pt>
                <c:pt idx="30">
                  <c:v>73555.115199999971</c:v>
                </c:pt>
                <c:pt idx="31">
                  <c:v>102977.16127999996</c:v>
                </c:pt>
                <c:pt idx="32">
                  <c:v>144168.02579199994</c:v>
                </c:pt>
                <c:pt idx="33">
                  <c:v>201835.2361087999</c:v>
                </c:pt>
                <c:pt idx="34">
                  <c:v>282569.33055231982</c:v>
                </c:pt>
                <c:pt idx="35">
                  <c:v>395597.06277324772</c:v>
                </c:pt>
                <c:pt idx="36">
                  <c:v>553835.88788254675</c:v>
                </c:pt>
                <c:pt idx="37">
                  <c:v>775370.24303556536</c:v>
                </c:pt>
                <c:pt idx="38">
                  <c:v>1085518.3402497915</c:v>
                </c:pt>
                <c:pt idx="39">
                  <c:v>1519725.6763497081</c:v>
                </c:pt>
                <c:pt idx="40">
                  <c:v>2127615.9468895914</c:v>
                </c:pt>
                <c:pt idx="41">
                  <c:v>2978662.3256454277</c:v>
                </c:pt>
                <c:pt idx="42">
                  <c:v>4170127.2559035984</c:v>
                </c:pt>
                <c:pt idx="43">
                  <c:v>5838178.1582650375</c:v>
                </c:pt>
                <c:pt idx="44">
                  <c:v>8173449.4215710517</c:v>
                </c:pt>
                <c:pt idx="45">
                  <c:v>11442829.190199472</c:v>
                </c:pt>
                <c:pt idx="46">
                  <c:v>16019960.866279259</c:v>
                </c:pt>
                <c:pt idx="47">
                  <c:v>22427945.212790962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1-4164-ABC4-CCF1AB3D6DD0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31-4164-ABC4-CCF1AB3D6DD0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31-4164-ABC4-CCF1AB3D6DD0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31-4164-ABC4-CCF1AB3D6DD0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0.4137931034482758</c:v>
                </c:pt>
                <c:pt idx="1">
                  <c:v>0.4137931034482758</c:v>
                </c:pt>
                <c:pt idx="2">
                  <c:v>0.3878105139130445</c:v>
                </c:pt>
                <c:pt idx="3">
                  <c:v>0.36047114587337598</c:v>
                </c:pt>
                <c:pt idx="4">
                  <c:v>0.31946404668985179</c:v>
                </c:pt>
                <c:pt idx="5">
                  <c:v>0.29768224660644549</c:v>
                </c:pt>
                <c:pt idx="6">
                  <c:v>0.26327479160607559</c:v>
                </c:pt>
                <c:pt idx="7">
                  <c:v>0.24375103757513239</c:v>
                </c:pt>
                <c:pt idx="8">
                  <c:v>0.2331445047650933</c:v>
                </c:pt>
                <c:pt idx="9">
                  <c:v>0.25217557109651495</c:v>
                </c:pt>
                <c:pt idx="10">
                  <c:v>0.26866258743322646</c:v>
                </c:pt>
                <c:pt idx="11">
                  <c:v>0.26441332233001691</c:v>
                </c:pt>
                <c:pt idx="12">
                  <c:v>0.24732057987444014</c:v>
                </c:pt>
                <c:pt idx="13">
                  <c:v>0.23178383810369976</c:v>
                </c:pt>
                <c:pt idx="14">
                  <c:v>0.2226755189202918</c:v>
                </c:pt>
                <c:pt idx="15">
                  <c:v>0.21524172369653441</c:v>
                </c:pt>
                <c:pt idx="16">
                  <c:v>0.23076793559195466</c:v>
                </c:pt>
                <c:pt idx="17">
                  <c:v>0.24451873664365462</c:v>
                </c:pt>
                <c:pt idx="18">
                  <c:v>0.24004499929983139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31-4164-ABC4-CCF1AB3D6DD0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82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43"/>
          <c:order val="10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  <c:pt idx="20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11"/>
          <c:tx>
            <c:strRef>
              <c:f>Days_Since_100!$H$20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8"/>
          <c:order val="12"/>
          <c:tx>
            <c:strRef>
              <c:f>Days_Since_100!$H$23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  <c:pt idx="20">
                  <c:v>8271</c:v>
                </c:pt>
                <c:pt idx="21">
                  <c:v>8788</c:v>
                </c:pt>
                <c:pt idx="22">
                  <c:v>9618</c:v>
                </c:pt>
                <c:pt idx="23">
                  <c:v>10180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51"/>
          <c:order val="13"/>
          <c:tx>
            <c:strRef>
              <c:f>Days_Since_100!$H$24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14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15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  <c:pt idx="18">
                  <c:v>7443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16"/>
          <c:tx>
            <c:strRef>
              <c:f>Days_Since_100!$H$27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  <c:pt idx="17">
                  <c:v>4579</c:v>
                </c:pt>
                <c:pt idx="18">
                  <c:v>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17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  <c:pt idx="18">
                  <c:v>4695</c:v>
                </c:pt>
                <c:pt idx="19">
                  <c:v>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18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  <c:pt idx="21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19"/>
          <c:tx>
            <c:strRef>
              <c:f>Days_Since_100!$H$30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20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21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22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23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24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25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26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27"/>
          <c:tx>
            <c:strRef>
              <c:f>Days_Since_100!$H$38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28"/>
          <c:tx>
            <c:strRef>
              <c:f>Days_Since_100!$H$39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29"/>
          <c:tx>
            <c:strRef>
              <c:f>Days_Since_100!$H$40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30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31"/>
          <c:tx>
            <c:strRef>
              <c:f>Days_Since_100!$H$42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32"/>
          <c:tx>
            <c:strRef>
              <c:f>Days_Since_100!$H$43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33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34"/>
          <c:tx>
            <c:strRef>
              <c:f>Days_Since_100!$H$45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35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36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37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38"/>
          <c:tx>
            <c:strRef>
              <c:f>Days_Since_100!$H$49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  <c:pt idx="18">
                  <c:v>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39"/>
          <c:tx>
            <c:strRef>
              <c:f>Days_Since_100!$H$50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40"/>
          <c:tx>
            <c:strRef>
              <c:f>Days_Since_100!$H$51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41"/>
          <c:tx>
            <c:strRef>
              <c:f>Days_Since_100!$H$52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  <c:pt idx="18">
                  <c:v>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42"/>
          <c:tx>
            <c:strRef>
              <c:f>Days_Since_100!$H$53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43"/>
          <c:tx>
            <c:strRef>
              <c:f>Days_Since_100!$H$54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44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45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46"/>
          <c:tx>
            <c:strRef>
              <c:f>Days_Since_100!$H$57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47"/>
          <c:tx>
            <c:strRef>
              <c:f>Days_Since_100!$H$58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48"/>
          <c:tx>
            <c:strRef>
              <c:f>Days_Since_100!$H$59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49"/>
          <c:tx>
            <c:strRef>
              <c:f>Days_Since_100!$H$60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50"/>
          <c:tx>
            <c:strRef>
              <c:f>Days_Since_100!$H$61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51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52"/>
          <c:tx>
            <c:strRef>
              <c:f>Days_Since_100!$H$63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53"/>
          <c:tx>
            <c:strRef>
              <c:f>Days_Since_100!$H$64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54"/>
          <c:tx>
            <c:strRef>
              <c:f>Days_Since_100!$H$65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55"/>
          <c:tx>
            <c:strRef>
              <c:f>Days_Since_100!$H$66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56"/>
          <c:tx>
            <c:strRef>
              <c:f>Days_Since_100!$H$67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57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  <c:pt idx="18">
                  <c:v>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58"/>
          <c:tx>
            <c:strRef>
              <c:f>Days_Since_100!$H$69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59"/>
          <c:tx>
            <c:strRef>
              <c:f>Days_Since_100!$H$70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60"/>
          <c:tx>
            <c:strRef>
              <c:f>Days_Since_100!$H$71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61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62"/>
          <c:tx>
            <c:strRef>
              <c:f>Days_Since_100!$H$73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  <c:pt idx="21">
                  <c:v>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63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64"/>
          <c:tx>
            <c:strRef>
              <c:f>Days_Since_100!$H$75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65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66"/>
          <c:tx>
            <c:strRef>
              <c:f>Days_Since_100!$H$77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  <c:pt idx="16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67"/>
          <c:tx>
            <c:strRef>
              <c:f>Days_Since_100!$H$78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68"/>
          <c:tx>
            <c:strRef>
              <c:f>Days_Since_100!$H$79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69"/>
          <c:tx>
            <c:strRef>
              <c:f>Days_Since_100!$H$80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70"/>
          <c:tx>
            <c:strRef>
              <c:f>Days_Since_100!$H$81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71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72"/>
          <c:tx>
            <c:strRef>
              <c:f>Days_Since_100!$H$83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73"/>
          <c:tx>
            <c:strRef>
              <c:f>Days_Since_100!$H$84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74"/>
          <c:tx>
            <c:strRef>
              <c:f>Days_Since_100!$H$85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  <c:pt idx="10">
                  <c:v>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75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76"/>
          <c:tx>
            <c:strRef>
              <c:f>Days_Since_100!$H$87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77"/>
          <c:tx>
            <c:strRef>
              <c:f>Days_Since_100!$H$88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78"/>
          <c:tx>
            <c:strRef>
              <c:f>Days_Since_100!$H$89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79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  <c:pt idx="17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80"/>
          <c:tx>
            <c:strRef>
              <c:f>Days_Since_100!$H$91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81"/>
          <c:tx>
            <c:strRef>
              <c:f>Days_Since_100!$H$92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82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3"/>
          <c:order val="83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B-4C7E-BF82-300F91A3A73B}"/>
            </c:ext>
          </c:extLst>
        </c:ser>
        <c:ser>
          <c:idx val="34"/>
          <c:order val="84"/>
          <c:tx>
            <c:strRef>
              <c:f>Days_Since_100!$H$95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  <c:pt idx="16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85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86"/>
          <c:tx>
            <c:strRef>
              <c:f>Days_Since_100!$H$97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38"/>
          <c:order val="87"/>
          <c:tx>
            <c:strRef>
              <c:f>Days_Since_100!$H$98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4B-4C7E-BF82-300F91A3A73B}"/>
            </c:ext>
          </c:extLst>
        </c:ser>
        <c:ser>
          <c:idx val="45"/>
          <c:order val="88"/>
          <c:tx>
            <c:strRef>
              <c:f>Days_Since_100!$H$99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89"/>
          <c:tx>
            <c:strRef>
              <c:f>Days_Since_100!$H$100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  <c:pt idx="3">
                  <c:v>168</c:v>
                </c:pt>
                <c:pt idx="4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90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  <c:pt idx="4">
                  <c:v>162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4806396624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  <c:pt idx="36">
                  <c:v>30471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7"/>
          <c:order val="11"/>
          <c:tx>
            <c:strRef>
              <c:f>Deaths_since_10!$H$16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  <c:pt idx="35">
                  <c:v>2730</c:v>
                </c:pt>
                <c:pt idx="36">
                  <c:v>2857</c:v>
                </c:pt>
                <c:pt idx="37">
                  <c:v>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12"/>
          <c:tx>
            <c:strRef>
              <c:f>Deaths_since_10!$H$17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  <c:pt idx="35">
                  <c:v>2640</c:v>
                </c:pt>
                <c:pt idx="36">
                  <c:v>2757</c:v>
                </c:pt>
                <c:pt idx="37">
                  <c:v>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3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14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15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16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7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18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19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0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21"/>
          <c:tx>
            <c:strRef>
              <c:f>Deaths_since_10!$H$26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22"/>
          <c:tx>
            <c:strRef>
              <c:f>Deaths_since_10!$H$27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3"/>
          <c:tx>
            <c:strRef>
              <c:f>Deaths_since_10!$H$28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4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5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6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7"/>
          <c:tx>
            <c:strRef>
              <c:f>Deaths_since_10!$H$32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8"/>
          <c:tx>
            <c:strRef>
              <c:f>Deaths_since_10!$H$33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9"/>
          <c:tx>
            <c:strRef>
              <c:f>Deaths_since_10!$H$34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0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31"/>
          <c:tx>
            <c:strRef>
              <c:f>Deaths_since_10!$H$36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32"/>
          <c:tx>
            <c:strRef>
              <c:f>Deaths_since_10!$H$37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3"/>
          <c:tx>
            <c:strRef>
              <c:f>Deaths_since_10!$H$38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4"/>
          <c:tx>
            <c:strRef>
              <c:f>Deaths_since_10!$H$39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5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6"/>
          <c:tx>
            <c:strRef>
              <c:f>Deaths_since_10!$H$41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7"/>
          <c:tx>
            <c:strRef>
              <c:f>Deaths_since_10!$H$42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8"/>
          <c:tx>
            <c:strRef>
              <c:f>Deaths_since_10!$H$43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9"/>
          <c:tx>
            <c:strRef>
              <c:f>Deaths_since_10!$H$44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40"/>
          <c:tx>
            <c:strRef>
              <c:f>Deaths_since_10!$H$45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41"/>
          <c:tx>
            <c:strRef>
              <c:f>Deaths_since_10!$H$46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42"/>
          <c:tx>
            <c:strRef>
              <c:f>Deaths_since_10!$H$47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3"/>
          <c:tx>
            <c:strRef>
              <c:f>Deaths_since_10!$H$48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4"/>
          <c:tx>
            <c:strRef>
              <c:f>Deaths_since_10!$H$49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5"/>
          <c:tx>
            <c:strRef>
              <c:f>Deaths_since_10!$H$50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46"/>
          <c:tx>
            <c:strRef>
              <c:f>Deaths_since_10!$H$51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7"/>
          <c:tx>
            <c:strRef>
              <c:f>Deaths_since_10!$H$52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8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9"/>
          <c:tx>
            <c:strRef>
              <c:f>Deaths_since_10!$H$54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50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51"/>
          <c:tx>
            <c:strRef>
              <c:f>Deaths_since_10!$H$56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4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0.17142</cdr:x>
      <cdr:y>0.28825</cdr:y>
    </cdr:from>
    <cdr:to>
      <cdr:x>0.40968</cdr:x>
      <cdr:y>0.35608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822595" y="1862292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0.48731</cdr:x>
      <cdr:y>0.48318</cdr:y>
    </cdr:from>
    <cdr:to>
      <cdr:x>0.68622</cdr:x>
      <cdr:y>0.55101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181334" y="312165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0.57372</cdr:x>
      <cdr:y>0.70861</cdr:y>
    </cdr:from>
    <cdr:to>
      <cdr:x>0.68506</cdr:x>
      <cdr:y>0.76862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100105" y="4578133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2" t="str">
        <f>C7&amp;" Covid-19 Active Case Projections"</f>
        <v>United Kingdom Covid-19 Active Case Projections</v>
      </c>
      <c r="C2" s="103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4"/>
      <c r="C3" s="105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37" t="s">
        <v>542</v>
      </c>
      <c r="X3" s="138"/>
      <c r="Y3" s="139"/>
      <c r="Z3" s="131" t="s">
        <v>349</v>
      </c>
      <c r="AA3" s="156"/>
      <c r="AB3" s="156"/>
      <c r="AC3" s="132"/>
    </row>
    <row r="4" spans="1:32" x14ac:dyDescent="0.25">
      <c r="A4" s="46"/>
      <c r="B4" s="104"/>
      <c r="C4" s="105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0"/>
      <c r="X4" s="141"/>
      <c r="Y4" s="142"/>
      <c r="Z4" s="133"/>
      <c r="AA4" s="157"/>
      <c r="AB4" s="157"/>
      <c r="AC4" s="134"/>
    </row>
    <row r="5" spans="1:32" x14ac:dyDescent="0.25">
      <c r="A5" s="46"/>
      <c r="B5" s="106"/>
      <c r="C5" s="10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43"/>
      <c r="X5" s="144"/>
      <c r="Y5" s="145"/>
      <c r="Z5" s="135"/>
      <c r="AA5" s="158"/>
      <c r="AB5" s="158"/>
      <c r="AC5" s="136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0" t="s">
        <v>476</v>
      </c>
      <c r="C7" s="108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1"/>
      <c r="C8" s="109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37" t="s">
        <v>541</v>
      </c>
      <c r="X8" s="138"/>
      <c r="Y8" s="139"/>
      <c r="Z8" s="131">
        <v>4</v>
      </c>
      <c r="AA8" s="132"/>
      <c r="AB8" s="159" t="s">
        <v>550</v>
      </c>
      <c r="AC8" s="160"/>
      <c r="AD8" s="160"/>
      <c r="AE8" s="160"/>
      <c r="AF8" s="16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0"/>
      <c r="X9" s="141"/>
      <c r="Y9" s="142"/>
      <c r="Z9" s="133"/>
      <c r="AA9" s="134"/>
      <c r="AB9" s="159"/>
      <c r="AC9" s="160"/>
      <c r="AD9" s="160"/>
      <c r="AE9" s="160"/>
      <c r="AF9" s="160"/>
    </row>
    <row r="10" spans="1:32" ht="18.600000000000001" customHeight="1" x14ac:dyDescent="0.25">
      <c r="A10" s="46"/>
      <c r="B10" s="110" t="s">
        <v>504</v>
      </c>
      <c r="C10" s="118">
        <f>Projections_Data!C4</f>
        <v>25481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43"/>
      <c r="X10" s="144"/>
      <c r="Y10" s="145"/>
      <c r="Z10" s="135"/>
      <c r="AA10" s="136"/>
      <c r="AB10" s="159"/>
      <c r="AC10" s="160"/>
      <c r="AD10" s="160"/>
      <c r="AE10" s="160"/>
      <c r="AF10" s="160"/>
    </row>
    <row r="11" spans="1:32" ht="18.600000000000001" customHeight="1" x14ac:dyDescent="0.25">
      <c r="A11" s="46"/>
      <c r="B11" s="111"/>
      <c r="C11" s="11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0" t="s">
        <v>589</v>
      </c>
      <c r="C12" s="116">
        <f ca="1">Projections_Data!C6</f>
        <v>19147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1"/>
      <c r="C13" s="11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9" t="s">
        <v>543</v>
      </c>
      <c r="X13" s="129"/>
      <c r="Y13" s="129"/>
      <c r="Z13" s="129"/>
      <c r="AA13" s="129"/>
    </row>
    <row r="14" spans="1:32" ht="18.600000000000001" customHeight="1" x14ac:dyDescent="0.25">
      <c r="A14" s="46"/>
      <c r="B14" s="110" t="s">
        <v>590</v>
      </c>
      <c r="C14" s="114">
        <f ca="1">Projections_Data!C7</f>
        <v>4541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9"/>
      <c r="X14" s="129"/>
      <c r="Y14" s="129"/>
      <c r="Z14" s="129"/>
      <c r="AA14" s="129"/>
    </row>
    <row r="15" spans="1:32" ht="18.600000000000001" customHeight="1" x14ac:dyDescent="0.25">
      <c r="A15" s="46"/>
      <c r="B15" s="111"/>
      <c r="C15" s="11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61" t="s">
        <v>544</v>
      </c>
      <c r="X15" s="161"/>
      <c r="Y15" s="161"/>
      <c r="Z15" s="162">
        <v>0.4</v>
      </c>
      <c r="AA15" s="163"/>
    </row>
    <row r="16" spans="1:32" ht="18.600000000000001" customHeight="1" x14ac:dyDescent="0.25">
      <c r="A16" s="46"/>
      <c r="B16" s="110" t="s">
        <v>513</v>
      </c>
      <c r="C16" s="112">
        <f>Projections_Data!C8</f>
        <v>1793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61"/>
      <c r="X16" s="161"/>
      <c r="Y16" s="161"/>
      <c r="Z16" s="163"/>
      <c r="AA16" s="163"/>
    </row>
    <row r="17" spans="1:42" ht="18.600000000000001" customHeight="1" x14ac:dyDescent="0.25">
      <c r="A17" s="46"/>
      <c r="B17" s="111"/>
      <c r="C17" s="11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61" t="s">
        <v>545</v>
      </c>
      <c r="X17" s="161"/>
      <c r="Y17" s="161"/>
      <c r="Z17" s="162">
        <v>0.25</v>
      </c>
      <c r="AA17" s="163"/>
    </row>
    <row r="18" spans="1:42" ht="18.600000000000001" customHeight="1" x14ac:dyDescent="0.25">
      <c r="A18" s="46"/>
      <c r="B18" s="146" t="s">
        <v>602</v>
      </c>
      <c r="C18" s="154">
        <f ca="1">Projections_Data!C11</f>
        <v>0.16663026465042971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61"/>
      <c r="X18" s="161"/>
      <c r="Y18" s="161"/>
      <c r="Z18" s="163"/>
      <c r="AA18" s="163"/>
    </row>
    <row r="19" spans="1:42" ht="18.600000000000001" customHeight="1" x14ac:dyDescent="0.25">
      <c r="A19" s="46"/>
      <c r="B19" s="147"/>
      <c r="C19" s="155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61" t="s">
        <v>546</v>
      </c>
      <c r="X19" s="161"/>
      <c r="Y19" s="161"/>
      <c r="Z19" s="162">
        <v>0.1</v>
      </c>
      <c r="AA19" s="163"/>
    </row>
    <row r="20" spans="1:42" ht="18.600000000000001" customHeight="1" x14ac:dyDescent="0.25">
      <c r="A20" s="46"/>
      <c r="B20" s="150" t="s">
        <v>506</v>
      </c>
      <c r="C20" s="152">
        <f>Projections_Data!C14</f>
        <v>29716.323240997906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61"/>
      <c r="X20" s="161"/>
      <c r="Y20" s="161"/>
      <c r="Z20" s="163"/>
      <c r="AA20" s="163"/>
    </row>
    <row r="21" spans="1:42" ht="18.600000000000001" customHeight="1" x14ac:dyDescent="0.25">
      <c r="A21" s="46"/>
      <c r="B21" s="151"/>
      <c r="C21" s="153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46" t="s">
        <v>603</v>
      </c>
      <c r="C22" s="120">
        <f ca="1">Projections_Data!C13</f>
        <v>0.2464825136453194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47"/>
      <c r="C23" s="12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0" t="s">
        <v>604</v>
      </c>
      <c r="C24" s="112">
        <f ca="1">C16*(1+C22)</f>
        <v>2234.9431469660576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1"/>
      <c r="C25" s="11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614</v>
      </c>
    </row>
    <row r="26" spans="1:42" ht="18.600000000000001" customHeight="1" x14ac:dyDescent="0.25">
      <c r="A26" s="46"/>
      <c r="B26" s="148" t="s">
        <v>528</v>
      </c>
      <c r="C26" s="148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0" t="str">
        <f>"Source: Analysis of John Hopkins University and WHO data.
Data updated: "&amp;TEXT(Projections_Data!C2,"DD/MM/YYYY")&amp;"."</f>
        <v>Source: Analysis of John Hopkins University and WHO data.
Data updated: 31/03/2020.</v>
      </c>
      <c r="C27" s="10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4" t="str">
        <f>Projections_Data!B35</f>
        <v xml:space="preserve">United Kingdom critically ill projections </v>
      </c>
      <c r="C29" s="105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4"/>
      <c r="C30" s="105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4"/>
      <c r="C31" s="105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6"/>
      <c r="C32" s="10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9" t="s">
        <v>547</v>
      </c>
      <c r="X32" s="129"/>
      <c r="Y32" s="129"/>
      <c r="Z32" s="130"/>
      <c r="AA32" s="130"/>
      <c r="AB32" s="164" t="s">
        <v>548</v>
      </c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9"/>
      <c r="X33" s="129"/>
      <c r="Y33" s="129"/>
      <c r="Z33" s="130"/>
      <c r="AA33" s="130"/>
      <c r="AB33" s="164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</row>
    <row r="34" spans="1:43" ht="15.6" customHeight="1" x14ac:dyDescent="0.25">
      <c r="A34" s="46"/>
      <c r="B34" s="127" t="s">
        <v>464</v>
      </c>
      <c r="C34" s="149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9"/>
      <c r="X34" s="129"/>
      <c r="Y34" s="129"/>
      <c r="Z34" s="130"/>
      <c r="AA34" s="130"/>
      <c r="AB34" s="164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</row>
    <row r="35" spans="1:43" ht="18" customHeight="1" x14ac:dyDescent="0.25">
      <c r="A35" s="46"/>
      <c r="B35" s="127"/>
      <c r="C35" s="14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9"/>
      <c r="X35" s="129"/>
      <c r="Y35" s="129"/>
      <c r="Z35" s="130"/>
      <c r="AA35" s="130"/>
      <c r="AB35" s="164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</row>
    <row r="36" spans="1:43" ht="18" customHeight="1" x14ac:dyDescent="0.25">
      <c r="A36" s="46"/>
      <c r="B36" s="125" t="s">
        <v>518</v>
      </c>
      <c r="C36" s="122">
        <f>Projections_Data!C15</f>
        <v>0.17591538793610928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9"/>
      <c r="X36" s="129"/>
      <c r="Y36" s="129"/>
      <c r="Z36" s="130"/>
      <c r="AA36" s="130"/>
      <c r="AB36" s="164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</row>
    <row r="37" spans="1:43" ht="20.399999999999999" customHeight="1" x14ac:dyDescent="0.25">
      <c r="A37" s="46"/>
      <c r="B37" s="125"/>
      <c r="C37" s="12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25" t="s">
        <v>517</v>
      </c>
      <c r="C38" s="149">
        <f ca="1">Projections!C12*Projections!C36</f>
        <v>3368.2519328126846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25"/>
      <c r="C39" s="14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9" t="s">
        <v>464</v>
      </c>
      <c r="X39" s="129"/>
      <c r="Y39" s="129"/>
      <c r="Z39" s="167"/>
      <c r="AA39" s="167"/>
      <c r="AB39" s="166" t="s">
        <v>549</v>
      </c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</row>
    <row r="40" spans="1:43" ht="20.399999999999999" customHeight="1" x14ac:dyDescent="0.25">
      <c r="A40" s="46"/>
      <c r="B40" s="125" t="s">
        <v>487</v>
      </c>
      <c r="C40" s="128">
        <f ca="1">Projections_Data!D31</f>
        <v>43923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9"/>
      <c r="X40" s="129"/>
      <c r="Y40" s="129"/>
      <c r="Z40" s="167"/>
      <c r="AA40" s="167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</row>
    <row r="41" spans="1:43" ht="20.399999999999999" customHeight="1" x14ac:dyDescent="0.25">
      <c r="A41" s="46"/>
      <c r="B41" s="125"/>
      <c r="C41" s="12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9"/>
      <c r="X41" s="129"/>
      <c r="Y41" s="129"/>
      <c r="Z41" s="167"/>
      <c r="AA41" s="167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</row>
    <row r="42" spans="1:43" ht="20.399999999999999" customHeight="1" x14ac:dyDescent="0.25">
      <c r="A42" s="46"/>
      <c r="B42" s="127" t="s">
        <v>488</v>
      </c>
      <c r="C42" s="126">
        <f ca="1">IFERROR(C40-TODAY(),"N/A")</f>
        <v>1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9"/>
      <c r="X42" s="129"/>
      <c r="Y42" s="129"/>
      <c r="Z42" s="167"/>
      <c r="AA42" s="167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</row>
    <row r="43" spans="1:43" ht="18" customHeight="1" x14ac:dyDescent="0.25">
      <c r="A43" s="46"/>
      <c r="B43" s="127"/>
      <c r="C43" s="126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3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3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4"/>
      <c r="C45" s="124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37" t="s">
        <v>541</v>
      </c>
      <c r="X45" s="138"/>
      <c r="Y45" s="139"/>
      <c r="Z45" s="131"/>
      <c r="AA45" s="132"/>
    </row>
    <row r="46" spans="1:43" ht="15.6" customHeight="1" x14ac:dyDescent="0.25">
      <c r="A46" s="46"/>
      <c r="B46" s="124"/>
      <c r="C46" s="124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0"/>
      <c r="X46" s="141"/>
      <c r="Y46" s="142"/>
      <c r="Z46" s="133"/>
      <c r="AA46" s="134"/>
    </row>
    <row r="47" spans="1:43" ht="13.8" customHeight="1" x14ac:dyDescent="0.25">
      <c r="A47" s="46"/>
      <c r="B47" s="124"/>
      <c r="C47" s="124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43"/>
      <c r="X47" s="144"/>
      <c r="Y47" s="145"/>
      <c r="Z47" s="135"/>
      <c r="AA47" s="136"/>
    </row>
    <row r="48" spans="1:43" ht="14.4" customHeight="1" x14ac:dyDescent="0.25">
      <c r="A48" s="46"/>
      <c r="B48" s="124"/>
      <c r="C48" s="124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9" t="str">
        <f>"Source: Analysis of John Hopkins University and WHO data.
Data updated: "&amp;TEXT(Projections_Data!C2,"DD/MM/YYYY")&amp;"."</f>
        <v>Source: Analysis of John Hopkins University and WHO data.
Data updated: 31/03/2020.</v>
      </c>
      <c r="C49" s="9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0"/>
      <c r="C50" s="10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0"/>
      <c r="C51" s="10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0"/>
      <c r="C52" s="10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1"/>
      <c r="C53" s="10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  <mergeCell ref="W32:Y36"/>
    <mergeCell ref="Z32:AA36"/>
    <mergeCell ref="Z8:AA10"/>
    <mergeCell ref="W8:Y10"/>
    <mergeCell ref="B36:B37"/>
    <mergeCell ref="B22:B23"/>
    <mergeCell ref="B29:C32"/>
    <mergeCell ref="B26:C26"/>
    <mergeCell ref="B27:C27"/>
    <mergeCell ref="C34:C35"/>
    <mergeCell ref="B34:B35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Days_Since_100!$C$5:$C$102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558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557</v>
      </c>
      <c r="E3" s="64" t="s">
        <v>502</v>
      </c>
      <c r="F3" s="64" t="s">
        <v>564</v>
      </c>
      <c r="G3" s="64" t="s">
        <v>566</v>
      </c>
      <c r="H3" s="65" t="s">
        <v>567</v>
      </c>
      <c r="J3" s="72" t="s">
        <v>539</v>
      </c>
      <c r="K3" s="64" t="s">
        <v>514</v>
      </c>
      <c r="L3" s="64" t="s">
        <v>477</v>
      </c>
      <c r="M3" s="65" t="s">
        <v>515</v>
      </c>
      <c r="Q3" s="73" t="s">
        <v>540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2738</v>
      </c>
      <c r="E4" s="75">
        <f>D4*Projections_Data!$C$15</f>
        <v>481.65633216906718</v>
      </c>
      <c r="F4" s="79">
        <f>VLOOKUP(C4,Country_Data!C:G,5,FALSE)</f>
        <v>12</v>
      </c>
      <c r="G4" s="80">
        <f>IFERROR(VLOOKUP(C4,Days_Since_100!C:G,5,FALSE)-1,0)</f>
        <v>0.15957289018741139</v>
      </c>
      <c r="H4" s="84">
        <f>IFERROR(VLOOKUP(C4,Deaths_since_10!C:G,5,FALSE)-1,0)</f>
        <v>0.5</v>
      </c>
      <c r="J4" s="68">
        <f t="shared" ref="J4:J23" si="0">IFERROR(LOG((M4/E4),1+G4),"")</f>
        <v>16.548668424540132</v>
      </c>
      <c r="K4" s="67">
        <v>29.2</v>
      </c>
      <c r="L4" s="61">
        <f>VLOOKUP(C4,Country_Data!C:J,8,FALSE)</f>
        <v>19116201</v>
      </c>
      <c r="M4" s="60">
        <f t="shared" ref="M4:M10" si="1"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2">B4+1</f>
        <v>2</v>
      </c>
      <c r="C5" s="62" t="s">
        <v>63</v>
      </c>
      <c r="D5" s="75">
        <f>VLOOKUP(C5,Country_Data!B:F,5,FALSE)</f>
        <v>12775</v>
      </c>
      <c r="E5" s="75">
        <f>D5*Projections_Data!$C$15</f>
        <v>2247.3190808837962</v>
      </c>
      <c r="F5" s="75">
        <f>VLOOKUP(C5,Country_Data!C:G,5,FALSE)</f>
        <v>705</v>
      </c>
      <c r="G5" s="76">
        <f>IFERROR(VLOOKUP(C5,Days_Since_100!C:G,5,FALSE)-1,0)</f>
        <v>0.15426330740948457</v>
      </c>
      <c r="H5" s="77">
        <f>IFERROR(VLOOKUP(C5,Deaths_since_10!C:G,5,FALSE)-1,0)</f>
        <v>0.26227298393267295</v>
      </c>
      <c r="J5" s="68">
        <f t="shared" si="0"/>
        <v>-14.86027166144325</v>
      </c>
      <c r="K5" s="67">
        <v>2.2999999999999998</v>
      </c>
      <c r="L5" s="61">
        <f>VLOOKUP(C5,Country_Data!C:J,8,FALSE)</f>
        <v>11589623</v>
      </c>
      <c r="M5" s="60">
        <f t="shared" si="1"/>
        <v>266.561329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2"/>
        <v>3</v>
      </c>
      <c r="C6" s="62" t="s">
        <v>38</v>
      </c>
      <c r="D6" s="75">
        <f>VLOOKUP(C6,Country_Data!B:F,5,FALSE)</f>
        <v>188172</v>
      </c>
      <c r="E6" s="75">
        <f>D6*Projections_Data!$C$15</f>
        <v>33102.350378713556</v>
      </c>
      <c r="F6" s="75">
        <f>VLOOKUP(C6,Country_Data!C:G,5,FALSE)</f>
        <v>3873</v>
      </c>
      <c r="G6" s="76">
        <f>IFERROR(VLOOKUP(C6,Days_Since_100!C:G,5,FALSE)-1,0)</f>
        <v>0.17550610878046213</v>
      </c>
      <c r="H6" s="77">
        <f>IFERROR(VLOOKUP(C6,Deaths_since_10!C:G,5,FALSE)-1,0)</f>
        <v>0.26218855898130644</v>
      </c>
      <c r="J6" s="68" t="str">
        <f t="shared" si="0"/>
        <v/>
      </c>
      <c r="K6" s="67"/>
      <c r="L6" s="61">
        <f>VLOOKUP(C6,Country_Data!C:J,8,FALSE)</f>
        <v>331002651</v>
      </c>
      <c r="M6" s="60">
        <f t="shared" si="1"/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2"/>
        <v>4</v>
      </c>
      <c r="C7" s="62" t="s">
        <v>349</v>
      </c>
      <c r="D7" s="75">
        <f>VLOOKUP(C7,Country_Data!B:F,5,FALSE)</f>
        <v>25481</v>
      </c>
      <c r="E7" s="75">
        <f>D7*Projections_Data!$C$15</f>
        <v>4482.5000000000009</v>
      </c>
      <c r="F7" s="75">
        <f>VLOOKUP(C7,Country_Data!C:G,5,FALSE)</f>
        <v>1793</v>
      </c>
      <c r="G7" s="76">
        <f>IFERROR(VLOOKUP(C7,Days_Since_100!C:G,5,FALSE)-1,0)</f>
        <v>0.16621495392637287</v>
      </c>
      <c r="H7" s="77">
        <f>IFERROR(VLOOKUP(C7,Deaths_since_10!C:G,5,FALSE)-1,0)</f>
        <v>0.25322906695391389</v>
      </c>
      <c r="J7" s="68">
        <f t="shared" si="0"/>
        <v>7.7677046181355314</v>
      </c>
      <c r="K7" s="67">
        <v>21.8</v>
      </c>
      <c r="L7" s="61">
        <f>VLOOKUP(C7,Country_Data!C:J,8,FALSE)</f>
        <v>67886011</v>
      </c>
      <c r="M7" s="60">
        <f t="shared" si="1"/>
        <v>14799.150398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71808</v>
      </c>
      <c r="E8" s="75">
        <f>D8*Projections_Data!$C$15</f>
        <v>12632.132176916135</v>
      </c>
      <c r="F8" s="75">
        <f>VLOOKUP(C8,Country_Data!C:G,5,FALSE)</f>
        <v>775</v>
      </c>
      <c r="G8" s="76">
        <f>IFERROR(VLOOKUP(C8,Days_Since_100!C:G,5,FALSE)-1,0)</f>
        <v>0.10323113355270253</v>
      </c>
      <c r="H8" s="77">
        <f>IFERROR(VLOOKUP(C8,Deaths_since_10!C:G,5,FALSE)-1,0)</f>
        <v>0.23753670322254794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2"/>
        <v>6</v>
      </c>
      <c r="C9" s="62" t="s">
        <v>108</v>
      </c>
      <c r="D9" s="75">
        <f>VLOOKUP(C9,Country_Data!B:F,5,FALSE)</f>
        <v>7443</v>
      </c>
      <c r="E9" s="75">
        <f>D9*Projections_Data!$C$15</f>
        <v>1309.3382324084614</v>
      </c>
      <c r="F9" s="75">
        <f>VLOOKUP(C9,Country_Data!C:G,5,FALSE)</f>
        <v>160</v>
      </c>
      <c r="G9" s="76">
        <f>IFERROR(VLOOKUP(C9,Days_Since_100!C:G,5,FALSE)-1,0)</f>
        <v>0.15998096108635207</v>
      </c>
      <c r="H9" s="77">
        <f>IFERROR(VLOOKUP(C9,Deaths_since_10!C:G,5,FALSE)-1,0)</f>
        <v>0.21672868378641152</v>
      </c>
      <c r="J9" s="68">
        <f t="shared" si="0"/>
        <v>-0.68476718604251219</v>
      </c>
      <c r="K9" s="67">
        <v>11.6</v>
      </c>
      <c r="L9" s="61">
        <f>VLOOKUP(C9,Country_Data!C:J,8,FALSE)</f>
        <v>10196709</v>
      </c>
      <c r="M9" s="60">
        <f t="shared" si="1"/>
        <v>1182.818244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2"/>
        <v>7</v>
      </c>
      <c r="C10" s="62" t="s">
        <v>45</v>
      </c>
      <c r="D10" s="75">
        <f>VLOOKUP(C10,Country_Data!B:F,5,FALSE)</f>
        <v>8527</v>
      </c>
      <c r="E10" s="75">
        <f>D10*Projections_Data!$C$15</f>
        <v>1500.0305129312039</v>
      </c>
      <c r="F10" s="75">
        <f>VLOOKUP(C10,Country_Data!C:G,5,FALSE)</f>
        <v>101</v>
      </c>
      <c r="G10" s="76">
        <f>IFERROR(VLOOKUP(C10,Days_Since_100!C:G,5,FALSE)-1,0)</f>
        <v>0.1610207744696357</v>
      </c>
      <c r="H10" s="77">
        <f>IFERROR(VLOOKUP(C10,Deaths_since_10!C:G,5,FALSE)-1,0)</f>
        <v>0.21592714904321286</v>
      </c>
      <c r="J10" s="68">
        <f t="shared" si="0"/>
        <v>3.6948752910083016</v>
      </c>
      <c r="K10" s="67">
        <v>6.9</v>
      </c>
      <c r="L10" s="61">
        <f>VLOOKUP(C10,Country_Data!C:J,8,FALSE)</f>
        <v>37742154</v>
      </c>
      <c r="M10" s="60">
        <f t="shared" si="1"/>
        <v>2604.2086260000001</v>
      </c>
      <c r="O10" s="59">
        <f t="array" ref="O10">IF(OR(C10=$Q$4:$Q$22),1,0)</f>
        <v>0</v>
      </c>
    </row>
    <row r="11" spans="2:18" s="59" customFormat="1" ht="13.8" customHeight="1" x14ac:dyDescent="0.2">
      <c r="B11" s="66">
        <f t="shared" si="2"/>
        <v>8</v>
      </c>
      <c r="C11" s="62" t="s">
        <v>78</v>
      </c>
      <c r="D11" s="75">
        <f>VLOOKUP(C11,Country_Data!B:F,5,FALSE)</f>
        <v>10180</v>
      </c>
      <c r="E11" s="75">
        <f>D11*Projections_Data!$C$15</f>
        <v>1790.8186491895924</v>
      </c>
      <c r="F11" s="75">
        <f>VLOOKUP(C11,Country_Data!C:G,5,FALSE)</f>
        <v>128</v>
      </c>
      <c r="G11" s="76">
        <f>IFERROR(VLOOKUP(C11,Days_Since_100!C:G,5,FALSE)-1,0)</f>
        <v>8.060386628059435E-2</v>
      </c>
      <c r="H11" s="77">
        <f>IFERROR(VLOOKUP(C11,Deaths_since_10!C:G,5,FALSE)-1,0)</f>
        <v>0.21172139990932592</v>
      </c>
      <c r="I11" s="58"/>
      <c r="J11" s="68" t="str">
        <f t="shared" si="0"/>
        <v/>
      </c>
      <c r="K11" s="67">
        <v>12.2</v>
      </c>
      <c r="L11" s="61">
        <f>VLOOKUP(C11,Country_Data!C:J,8,FALSE)</f>
        <v>9006398</v>
      </c>
      <c r="M11" s="60"/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81</v>
      </c>
      <c r="D12" s="75">
        <f>VLOOKUP(C12,Country_Data!B:F,5,FALSE)</f>
        <v>5717</v>
      </c>
      <c r="E12" s="75">
        <f>D12*Projections_Data!$C$15</f>
        <v>1005.7082728307367</v>
      </c>
      <c r="F12" s="75">
        <f>VLOOKUP(C12,Country_Data!C:G,5,FALSE)</f>
        <v>201</v>
      </c>
      <c r="G12" s="76">
        <f>IFERROR(VLOOKUP(C12,Days_Since_100!C:G,5,FALSE)-1,0)</f>
        <v>0.13879295388550705</v>
      </c>
      <c r="H12" s="77">
        <f>IFERROR(VLOOKUP(C12,Deaths_since_10!C:G,5,FALSE)-1,0)</f>
        <v>0.21154923147385585</v>
      </c>
      <c r="J12" s="68">
        <f t="shared" si="0"/>
        <v>16.799742391792794</v>
      </c>
      <c r="K12" s="67">
        <v>4.2</v>
      </c>
      <c r="L12" s="61">
        <f>VLOOKUP(C12,Country_Data!C:J,8,FALSE)</f>
        <v>212559417</v>
      </c>
      <c r="M12" s="60">
        <f>(L12/100000)*K12</f>
        <v>8927.4955140000002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89</v>
      </c>
      <c r="D13" s="75">
        <f>VLOOKUP(C13,Country_Data!B:F,5,FALSE)</f>
        <v>12667</v>
      </c>
      <c r="E13" s="75">
        <f>D13*Projections_Data!$C$15</f>
        <v>2228.3202189866961</v>
      </c>
      <c r="F13" s="75">
        <f>VLOOKUP(C13,Country_Data!C:G,5,FALSE)</f>
        <v>1040</v>
      </c>
      <c r="G13" s="76">
        <f>IFERROR(VLOOKUP(C13,Days_Since_100!C:G,5,FALSE)-1,0)</f>
        <v>0.11146013981529723</v>
      </c>
      <c r="H13" s="77">
        <f>IFERROR(VLOOKUP(C13,Deaths_since_10!C:G,5,FALSE)-1,0)</f>
        <v>0.19044357790453215</v>
      </c>
      <c r="J13" s="68" t="str">
        <f t="shared" si="0"/>
        <v/>
      </c>
      <c r="K13" s="67"/>
      <c r="L13" s="61">
        <f>VLOOKUP(C13,Country_Data!C:J,8,FALSE)</f>
        <v>17134872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77</v>
      </c>
      <c r="D14" s="75">
        <f>VLOOKUP(C14,Country_Data!B:F,5,FALSE)</f>
        <v>16605</v>
      </c>
      <c r="E14" s="75">
        <f>D14*Projections_Data!$C$15</f>
        <v>2921.0750166790945</v>
      </c>
      <c r="F14" s="75">
        <f>VLOOKUP(C14,Country_Data!C:G,5,FALSE)</f>
        <v>433</v>
      </c>
      <c r="G14" s="76">
        <f>IFERROR(VLOOKUP(C14,Days_Since_100!C:G,5,FALSE)-1,0)</f>
        <v>7.0509293898893377E-2</v>
      </c>
      <c r="H14" s="77">
        <f>IFERROR(VLOOKUP(C14,Deaths_since_10!C:G,5,FALSE)-1,0)</f>
        <v>0.17785249390530899</v>
      </c>
      <c r="J14" s="68" t="str">
        <f t="shared" si="0"/>
        <v/>
      </c>
      <c r="K14" s="67"/>
      <c r="L14" s="61">
        <f>VLOOKUP(C14,Country_Data!C:J,8,FALSE)</f>
        <v>8654622</v>
      </c>
      <c r="M14" s="60">
        <f>(L14/100000)*K14</f>
        <v>0</v>
      </c>
      <c r="O14" s="59">
        <f t="array" ref="O14">IF(OR(C14=$Q$4:$Q$22),1,0)</f>
        <v>0</v>
      </c>
      <c r="P14" s="95" t="s">
        <v>593</v>
      </c>
      <c r="Q14" s="96">
        <v>20</v>
      </c>
      <c r="R14" s="95" t="s">
        <v>594</v>
      </c>
    </row>
    <row r="15" spans="2:18" s="59" customFormat="1" ht="13.8" customHeight="1" x14ac:dyDescent="0.3">
      <c r="B15" s="66">
        <f t="shared" si="2"/>
        <v>12</v>
      </c>
      <c r="C15" s="62" t="s">
        <v>103</v>
      </c>
      <c r="D15" s="75">
        <f>VLOOKUP(C15,Country_Data!B:F,5,FALSE)</f>
        <v>2240</v>
      </c>
      <c r="E15" s="75">
        <f>D15*Projections_Data!$C$15</f>
        <v>394.05046897688476</v>
      </c>
      <c r="F15" s="75">
        <f>VLOOKUP(C15,Country_Data!C:G,5,FALSE)</f>
        <v>75</v>
      </c>
      <c r="G15" s="76">
        <f>IFERROR(VLOOKUP(C15,Days_Since_100!C:G,5,FALSE)-1,0)</f>
        <v>9.809033602437589E-2</v>
      </c>
      <c r="H15" s="77">
        <f>IFERROR(VLOOKUP(C15,Deaths_since_10!C:G,5,FALSE)-1,0)</f>
        <v>0.17143034329661333</v>
      </c>
      <c r="J15" s="68" t="str">
        <f t="shared" si="0"/>
        <v/>
      </c>
      <c r="K15" s="67"/>
      <c r="L15" s="61">
        <f>VLOOKUP(C15,Country_Data!C:J,8,FALSE)</f>
        <v>17643054</v>
      </c>
      <c r="M15" s="60"/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41</v>
      </c>
      <c r="D16" s="75">
        <f>VLOOKUP(C16,Country_Data!B:F,5,FALSE)</f>
        <v>52827</v>
      </c>
      <c r="E16" s="75">
        <f>D16*Projections_Data!$C$15</f>
        <v>9293.0821985008442</v>
      </c>
      <c r="F16" s="75">
        <f>VLOOKUP(C16,Country_Data!C:G,5,FALSE)</f>
        <v>3532</v>
      </c>
      <c r="G16" s="76">
        <f>IFERROR(VLOOKUP(C16,Days_Since_100!C:G,5,FALSE)-1,0)</f>
        <v>0.12319911670972128</v>
      </c>
      <c r="H16" s="77">
        <f>IFERROR(VLOOKUP(C16,Deaths_since_10!C:G,5,FALSE)-1,0)</f>
        <v>0.15775483082822039</v>
      </c>
      <c r="J16" s="68">
        <f t="shared" si="0"/>
        <v>-6.8819892000029572</v>
      </c>
      <c r="K16" s="67">
        <v>6.4</v>
      </c>
      <c r="L16" s="61">
        <f>VLOOKUP(C16,Country_Data!C:J,8,FALSE)</f>
        <v>65273511</v>
      </c>
      <c r="M16" s="60">
        <f t="shared" ref="M16:M23" si="3">(L16/100000)*K16</f>
        <v>4177.5047039999999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2"/>
        <v>14</v>
      </c>
      <c r="C17" s="62" t="s">
        <v>137</v>
      </c>
      <c r="D17" s="75">
        <f>VLOOKUP(C17,Country_Data!B:F,5,FALSE)</f>
        <v>2311</v>
      </c>
      <c r="E17" s="75">
        <f>D17*Projections_Data!$C$15</f>
        <v>406.54046152034857</v>
      </c>
      <c r="F17" s="75">
        <f>VLOOKUP(C17,Country_Data!C:G,5,FALSE)</f>
        <v>33</v>
      </c>
      <c r="G17" s="76">
        <f>IFERROR(VLOOKUP(C17,Days_Since_100!C:G,5,FALSE)-1,0)</f>
        <v>0.13610077554644784</v>
      </c>
      <c r="H17" s="77">
        <f>IFERROR(VLOOKUP(C17,Deaths_since_10!C:G,5,FALSE)-1,0)</f>
        <v>0.15578962436501453</v>
      </c>
      <c r="J17" s="68" t="str">
        <f t="shared" si="0"/>
        <v/>
      </c>
      <c r="K17" s="67"/>
      <c r="L17" s="61">
        <f>VLOOKUP(C17,Country_Data!C:J,8,FALSE)</f>
        <v>37846611</v>
      </c>
      <c r="M17" s="60">
        <f t="shared" si="3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56</v>
      </c>
      <c r="D18" s="75">
        <f>VLOOKUP(C18,Country_Data!B:F,5,FALSE)</f>
        <v>2084</v>
      </c>
      <c r="E18" s="75">
        <f>D18*Projections_Data!$C$15</f>
        <v>366.60766845885172</v>
      </c>
      <c r="F18" s="75">
        <f>VLOOKUP(C18,Country_Data!C:G,5,FALSE)</f>
        <v>88</v>
      </c>
      <c r="G18" s="76">
        <f>IFERROR(VLOOKUP(C18,Days_Since_100!C:G,5,FALSE)-1,0)</f>
        <v>0.24135403478577611</v>
      </c>
      <c r="H18" s="77">
        <f>IFERROR(VLOOKUP(C18,Deaths_since_10!C:G,5,FALSE)-1,0)</f>
        <v>0.14354703364926591</v>
      </c>
      <c r="J18" s="68">
        <f t="shared" si="0"/>
        <v>16.746716873751996</v>
      </c>
      <c r="K18" s="67">
        <v>12.5</v>
      </c>
      <c r="L18" s="61">
        <f>VLOOKUP(C18,Country_Data!C:J,8,FALSE)</f>
        <v>109581078</v>
      </c>
      <c r="M18" s="60">
        <f t="shared" si="3"/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2"/>
        <v>16</v>
      </c>
      <c r="C19" s="62" t="s">
        <v>60</v>
      </c>
      <c r="D19" s="75">
        <f>VLOOKUP(C19,Country_Data!B:F,5,FALSE)</f>
        <v>95923</v>
      </c>
      <c r="E19" s="75">
        <f>D19*Projections_Data!$C$15</f>
        <v>16874.331756995409</v>
      </c>
      <c r="F19" s="75">
        <f>VLOOKUP(C19,Country_Data!C:G,5,FALSE)</f>
        <v>8464</v>
      </c>
      <c r="G19" s="76">
        <f>IFERROR(VLOOKUP(C19,Days_Since_100!C:G,5,FALSE)-1,0)</f>
        <v>0.10667480804163509</v>
      </c>
      <c r="H19" s="77">
        <f>IFERROR(VLOOKUP(C19,Deaths_since_10!C:G,5,FALSE)-1,0)</f>
        <v>0.1416113589586856</v>
      </c>
      <c r="J19" s="68">
        <f t="shared" si="0"/>
        <v>-16.761841148961587</v>
      </c>
      <c r="K19" s="67">
        <v>6.6</v>
      </c>
      <c r="L19" s="61">
        <f>VLOOKUP(C19,Country_Data!C:J,8,FALSE)</f>
        <v>46754778</v>
      </c>
      <c r="M19" s="60">
        <f t="shared" si="3"/>
        <v>3085.8153479999996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2"/>
        <v>17</v>
      </c>
      <c r="C20" s="62" t="s">
        <v>43</v>
      </c>
      <c r="D20" s="75">
        <f>VLOOKUP(C20,Country_Data!B:F,5,FALSE)</f>
        <v>2766</v>
      </c>
      <c r="E20" s="75">
        <f>D20*Projections_Data!$C$15</f>
        <v>486.58196303127829</v>
      </c>
      <c r="F20" s="75">
        <f>VLOOKUP(C20,Country_Data!C:G,5,FALSE)</f>
        <v>43</v>
      </c>
      <c r="G20" s="76">
        <f>IFERROR(VLOOKUP(C20,Days_Since_100!C:G,5,FALSE)-1,0)</f>
        <v>6.3722756885269849E-2</v>
      </c>
      <c r="H20" s="77">
        <f>IFERROR(VLOOKUP(C20,Deaths_since_10!C:G,5,FALSE)-1,0)</f>
        <v>0.13330844220540294</v>
      </c>
      <c r="J20" s="68">
        <f t="shared" si="0"/>
        <v>42.989690541399128</v>
      </c>
      <c r="K20" s="67">
        <v>21.4</v>
      </c>
      <c r="L20" s="61">
        <f>VLOOKUP(C20,Country_Data!C:J,8,FALSE)</f>
        <v>32365999</v>
      </c>
      <c r="M20" s="60">
        <f t="shared" si="3"/>
        <v>6926.323785999999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107</v>
      </c>
      <c r="D21" s="75">
        <f>VLOOKUP(C21,Country_Data!B:F,5,FALSE)</f>
        <v>1528</v>
      </c>
      <c r="E21" s="75">
        <f>D21*Projections_Data!$C$15</f>
        <v>268.79871276637499</v>
      </c>
      <c r="F21" s="75">
        <f>VLOOKUP(C21,Country_Data!C:G,5,FALSE)</f>
        <v>136</v>
      </c>
      <c r="G21" s="76">
        <f>IFERROR(VLOOKUP(C21,Days_Since_100!C:G,5,FALSE)-1,0)</f>
        <v>0.11340810669794421</v>
      </c>
      <c r="H21" s="77">
        <f>IFERROR(VLOOKUP(C21,Deaths_since_10!C:G,5,FALSE)-1,0)</f>
        <v>0.11760635116972784</v>
      </c>
      <c r="J21" s="68" t="str">
        <f t="shared" si="0"/>
        <v/>
      </c>
      <c r="K21" s="67"/>
      <c r="L21" s="61">
        <f>VLOOKUP(C21,Country_Data!C:J,8,FALSE)</f>
        <v>273523615</v>
      </c>
      <c r="M21" s="60">
        <f t="shared" si="3"/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58</v>
      </c>
      <c r="D22" s="75">
        <f>VLOOKUP(C22,Country_Data!B:F,5,FALSE)</f>
        <v>105792</v>
      </c>
      <c r="E22" s="75">
        <f>D22*Projections_Data!$C$15</f>
        <v>18610.440720536873</v>
      </c>
      <c r="F22" s="75">
        <f>VLOOKUP(C22,Country_Data!C:G,5,FALSE)</f>
        <v>12428</v>
      </c>
      <c r="G22" s="76">
        <f>IFERROR(VLOOKUP(C22,Days_Since_100!C:G,5,FALSE)-1,0)</f>
        <v>5.5930688970435183E-2</v>
      </c>
      <c r="H22" s="77">
        <f>IFERROR(VLOOKUP(C22,Deaths_since_10!C:G,5,FALSE)-1,0)</f>
        <v>8.6322401421550454E-2</v>
      </c>
      <c r="J22" s="68">
        <f t="shared" si="0"/>
        <v>-30.044923435549041</v>
      </c>
      <c r="K22" s="67">
        <v>6</v>
      </c>
      <c r="L22" s="61">
        <f>VLOOKUP(C22,Country_Data!C:J,8,FALSE)</f>
        <v>60461826</v>
      </c>
      <c r="M22" s="60">
        <f t="shared" si="3"/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2"/>
        <v>20</v>
      </c>
      <c r="C23" s="62" t="s">
        <v>145</v>
      </c>
      <c r="D23" s="75">
        <f>VLOOKUP(C23,Country_Data!B:F,5,FALSE)</f>
        <v>1353</v>
      </c>
      <c r="E23" s="75">
        <f>D23*Projections_Data!$C$15</f>
        <v>238.01351987755586</v>
      </c>
      <c r="F23" s="75">
        <f>VLOOKUP(C23,Country_Data!C:G,5,FALSE)</f>
        <v>5</v>
      </c>
      <c r="G23" s="76">
        <f>IFERROR(VLOOKUP(C23,Days_Since_100!C:G,5,FALSE)-1,0)</f>
        <v>7.8558268263291708E-2</v>
      </c>
      <c r="H23" s="77">
        <f>IFERROR(VLOOKUP(C23,Deaths_since_10!C:G,5,FALSE)-1,0)</f>
        <v>0</v>
      </c>
      <c r="J23" s="68" t="str">
        <f t="shared" si="0"/>
        <v/>
      </c>
      <c r="K23" s="67"/>
      <c r="L23" s="61">
        <f>VLOOKUP(C23,Country_Data!C:J,8,FALSE)</f>
        <v>59308690</v>
      </c>
      <c r="M23" s="60">
        <f t="shared" si="3"/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99</v>
      </c>
      <c r="D24" s="75">
        <f>VLOOKUP(C24,Country_Data!B:F,5,FALSE)</f>
        <v>2178</v>
      </c>
      <c r="E24" s="75">
        <f>D24*Projections_Data!$C$15</f>
        <v>383.14371492484599</v>
      </c>
      <c r="F24" s="75">
        <f>VLOOKUP(C24,Country_Data!C:G,5,FALSE)</f>
        <v>23</v>
      </c>
      <c r="G24" s="76">
        <f>IFERROR(VLOOKUP(C24,Days_Since_100!C:G,5,FALSE)-1,0)</f>
        <v>8.4322456615250951E-2</v>
      </c>
      <c r="H24" s="77">
        <f>IFERROR(VLOOKUP(C24,Deaths_since_10!C:G,5,FALSE)-1,0)</f>
        <v>0.20641593598215136</v>
      </c>
      <c r="J24" s="68">
        <f t="shared" ref="J24:J43" si="4">IFERROR(LOG((M24/E24),1+G24),"")</f>
        <v>-11.15950589275209</v>
      </c>
      <c r="K24" s="67">
        <v>24.8</v>
      </c>
      <c r="L24" s="61">
        <f>VLOOKUP(C24,Country_Data!C:J,8,FALSE)</f>
        <v>625978</v>
      </c>
      <c r="M24" s="60">
        <f t="shared" ref="M24:M27" si="5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35</v>
      </c>
      <c r="D25" s="75">
        <f>VLOOKUP(C25,Country_Data!B:F,5,FALSE)</f>
        <v>1651</v>
      </c>
      <c r="E25" s="75">
        <f>D25*Projections_Data!$C$15</f>
        <v>290.43630548251645</v>
      </c>
      <c r="F25" s="75">
        <f>VLOOKUP(C25,Country_Data!C:G,5,FALSE)</f>
        <v>10</v>
      </c>
      <c r="G25" s="76">
        <f>IFERROR(VLOOKUP(C25,Days_Since_100!C:G,5,FALSE)-1,0)</f>
        <v>9.5787032140719264E-2</v>
      </c>
      <c r="H25" s="77">
        <f>IFERROR(VLOOKUP(C25,Deaths_since_10!C:G,5,FALSE)-1,0)</f>
        <v>0.11111111111111116</v>
      </c>
      <c r="J25" s="68" t="str">
        <f t="shared" si="4"/>
        <v/>
      </c>
      <c r="K25" s="67"/>
      <c r="L25" s="61">
        <f>VLOOKUP(C25,Country_Data!C:J,8,FALSE)</f>
        <v>69799978</v>
      </c>
      <c r="M25" s="60">
        <f t="shared" si="5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48</v>
      </c>
      <c r="D26" s="75">
        <f>VLOOKUP(C26,Country_Data!B:F,5,FALSE)</f>
        <v>4559</v>
      </c>
      <c r="E26" s="75">
        <f>D26*Projections_Data!$C$15</f>
        <v>801.99825360072225</v>
      </c>
      <c r="F26" s="75">
        <f>VLOOKUP(C26,Country_Data!C:G,5,FALSE)</f>
        <v>18</v>
      </c>
      <c r="G26" s="76">
        <f>IFERROR(VLOOKUP(C26,Days_Since_100!C:G,5,FALSE)-1,0)</f>
        <v>0.1016221370339585</v>
      </c>
      <c r="H26" s="77">
        <f>IFERROR(VLOOKUP(C26,Deaths_since_10!C:G,5,FALSE)-1,0)</f>
        <v>6.7249181879538877E-2</v>
      </c>
      <c r="J26" s="68" t="str">
        <f t="shared" si="4"/>
        <v/>
      </c>
      <c r="K26" s="67"/>
      <c r="L26" s="61">
        <f>VLOOKUP(C26,Country_Data!C:J,8,FALSE)</f>
        <v>25499884</v>
      </c>
      <c r="M26" s="60">
        <f t="shared" si="5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86</v>
      </c>
      <c r="D27" s="75">
        <f>VLOOKUP(C27,Country_Data!B:F,5,FALSE)</f>
        <v>2245</v>
      </c>
      <c r="E27" s="75">
        <f>D27*Projections_Data!$C$15</f>
        <v>394.93004591656535</v>
      </c>
      <c r="F27" s="75">
        <f>VLOOKUP(C27,Country_Data!C:G,5,FALSE)</f>
        <v>82</v>
      </c>
      <c r="G27" s="76">
        <f>IFERROR(VLOOKUP(C27,Days_Since_100!C:G,5,FALSE)-1,0)</f>
        <v>0.16885380275510875</v>
      </c>
      <c r="H27" s="77">
        <f>IFERROR(VLOOKUP(C27,Deaths_since_10!C:G,5,FALSE)-1,0)</f>
        <v>0.28948769813552477</v>
      </c>
      <c r="J27" s="68" t="str">
        <f t="shared" si="4"/>
        <v/>
      </c>
      <c r="K27" s="67"/>
      <c r="L27" s="61">
        <f>VLOOKUP(C27,Country_Data!C:J,8,FALSE)</f>
        <v>19237691</v>
      </c>
      <c r="M27" s="60">
        <f t="shared" si="5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79</v>
      </c>
      <c r="D28" s="75">
        <f>VLOOKUP(C28,Country_Data!B:F,5,FALSE)</f>
        <v>5358</v>
      </c>
      <c r="E28" s="75">
        <f>D28*Projections_Data!$C$15</f>
        <v>942.5546485616735</v>
      </c>
      <c r="F28" s="75">
        <f>VLOOKUP(C28,Country_Data!C:G,5,FALSE)</f>
        <v>20</v>
      </c>
      <c r="G28" s="76">
        <f>IFERROR(VLOOKUP(C28,Days_Since_100!C:G,5,FALSE)-1,0)</f>
        <v>0.14750152446167952</v>
      </c>
      <c r="H28" s="77">
        <f>IFERROR(VLOOKUP(C28,Deaths_since_10!C:G,5,FALSE)-1,0)</f>
        <v>0.20112443398143132</v>
      </c>
      <c r="J28" s="68" t="str">
        <f t="shared" si="4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113</v>
      </c>
      <c r="D29" s="75">
        <f>VLOOKUP(C29,Country_Data!B:F,5,FALSE)</f>
        <v>1563</v>
      </c>
      <c r="E29" s="75">
        <f>D29*Projections_Data!$C$15</f>
        <v>274.95575134413883</v>
      </c>
      <c r="F29" s="75">
        <f>VLOOKUP(C29,Country_Data!C:G,5,FALSE)</f>
        <v>10</v>
      </c>
      <c r="G29" s="76">
        <f>IFERROR(VLOOKUP(C29,Days_Since_100!C:G,5,FALSE)-1,0)</f>
        <v>9.0826533078809391E-2</v>
      </c>
      <c r="H29" s="77">
        <f>IFERROR(VLOOKUP(C29,Deaths_since_10!C:G,5,FALSE)-1,0)</f>
        <v>0.1180339887498949</v>
      </c>
      <c r="J29" s="68">
        <f t="shared" si="4"/>
        <v>28.850251500739176</v>
      </c>
      <c r="K29" s="67">
        <v>9.6999999999999993</v>
      </c>
      <c r="L29" s="61">
        <f>VLOOKUP(C29,Country_Data!C:J,8,FALSE)</f>
        <v>34813871</v>
      </c>
      <c r="M29" s="60">
        <f t="shared" ref="M29:M36" si="6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57</v>
      </c>
      <c r="D30" s="75">
        <f>VLOOKUP(C30,Country_Data!B:F,5,FALSE)</f>
        <v>1397</v>
      </c>
      <c r="E30" s="75">
        <f>D30*Projections_Data!$C$15</f>
        <v>245.75379694674467</v>
      </c>
      <c r="F30" s="75">
        <f>VLOOKUP(C30,Country_Data!C:G,5,FALSE)</f>
        <v>35</v>
      </c>
      <c r="G30" s="76">
        <f>IFERROR(VLOOKUP(C30,Days_Since_100!C:G,5,FALSE)-1,0)</f>
        <v>0.13954741175383334</v>
      </c>
      <c r="H30" s="77">
        <f>IFERROR(VLOOKUP(C30,Deaths_since_10!C:G,5,FALSE)-1,0)</f>
        <v>0.11842691472014466</v>
      </c>
      <c r="J30" s="68" t="str">
        <f t="shared" si="4"/>
        <v/>
      </c>
      <c r="K30" s="67"/>
      <c r="L30" s="61">
        <f>VLOOKUP(C30,Country_Data!C:J,8,FALSE)</f>
        <v>1380004385</v>
      </c>
      <c r="M30" s="60">
        <f t="shared" si="6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344</v>
      </c>
      <c r="D31" s="75">
        <f>VLOOKUP(C31,Country_Data!B:F,5,FALSE)</f>
        <v>2337</v>
      </c>
      <c r="E31" s="75">
        <f>D31*Projections_Data!$C$15</f>
        <v>411.11426160668736</v>
      </c>
      <c r="F31" s="75">
        <f>VLOOKUP(C31,Country_Data!C:G,5,FALSE)</f>
        <v>17</v>
      </c>
      <c r="G31" s="76">
        <f>IFERROR(VLOOKUP(C31,Days_Since_100!C:G,5,FALSE)-1,0)</f>
        <v>0.22708849788106122</v>
      </c>
      <c r="H31" s="77">
        <f>IFERROR(VLOOKUP(C31,Deaths_since_10!C:G,5,FALSE)-1,0)</f>
        <v>0.45773797371132519</v>
      </c>
      <c r="J31" s="68">
        <f t="shared" si="4"/>
        <v>15.337216289616197</v>
      </c>
      <c r="K31" s="67">
        <v>6.5</v>
      </c>
      <c r="L31" s="61">
        <f>VLOOKUP(C31,Country_Data!C:J,8,FALSE)</f>
        <v>145934462</v>
      </c>
      <c r="M31" s="60">
        <f t="shared" si="6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98</v>
      </c>
      <c r="D32" s="75">
        <f>VLOOKUP(C32,Country_Data!B:F,5,FALSE)</f>
        <v>3235</v>
      </c>
      <c r="E32" s="75">
        <f>D32*Projections_Data!$C$15</f>
        <v>569.08627997331348</v>
      </c>
      <c r="F32" s="75">
        <f>VLOOKUP(C32,Country_Data!C:G,5,FALSE)</f>
        <v>71</v>
      </c>
      <c r="G32" s="76">
        <f>IFERROR(VLOOKUP(C32,Days_Since_100!C:G,5,FALSE)-1,0)</f>
        <v>0.12203994232092219</v>
      </c>
      <c r="H32" s="77">
        <f>IFERROR(VLOOKUP(C32,Deaths_since_10!C:G,5,FALSE)-1,0)</f>
        <v>0.30167016158314364</v>
      </c>
      <c r="J32" s="68" t="str">
        <f t="shared" si="4"/>
        <v/>
      </c>
      <c r="K32" s="67"/>
      <c r="L32" s="61">
        <f>VLOOKUP(C32,Country_Data!C:J,8,FALSE)</f>
        <v>4937786</v>
      </c>
      <c r="M32" s="60">
        <f t="shared" si="6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80</v>
      </c>
      <c r="D33" s="75">
        <f>VLOOKUP(C33,Country_Data!B:F,5,FALSE)</f>
        <v>1938</v>
      </c>
      <c r="E33" s="75">
        <f>D33*Projections_Data!$C$15</f>
        <v>340.9240218201798</v>
      </c>
      <c r="F33" s="75">
        <f>VLOOKUP(C33,Country_Data!C:G,5,FALSE)</f>
        <v>26</v>
      </c>
      <c r="G33" s="76">
        <f>IFERROR(VLOOKUP(C33,Days_Since_100!C:G,5,FALSE)-1,0)</f>
        <v>0.10042931945464395</v>
      </c>
      <c r="H33" s="77">
        <f>IFERROR(VLOOKUP(C33,Deaths_since_10!C:G,5,FALSE)-1,0)</f>
        <v>0.23636347834823446</v>
      </c>
      <c r="J33" s="68" t="str">
        <f t="shared" si="4"/>
        <v/>
      </c>
      <c r="K33" s="67"/>
      <c r="L33" s="61">
        <f>VLOOKUP(C33,Country_Data!C:J,8,FALSE)</f>
        <v>220892340</v>
      </c>
      <c r="M33" s="60">
        <f t="shared" si="6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111</v>
      </c>
      <c r="D34" s="75">
        <f>VLOOKUP(C34,Country_Data!B:F,5,FALSE)</f>
        <v>398</v>
      </c>
      <c r="E34" s="75">
        <f>D34*Projections_Data!$C$15</f>
        <v>70.014324398571489</v>
      </c>
      <c r="F34" s="75">
        <f>VLOOKUP(C34,Country_Data!C:G,5,FALSE)</f>
        <v>0</v>
      </c>
      <c r="G34" s="76">
        <f>IFERROR(VLOOKUP(C34,Days_Since_100!C:G,5,FALSE)-1,0)</f>
        <v>0.10280480362060485</v>
      </c>
      <c r="H34" s="77">
        <f>IFERROR(VLOOKUP(C34,Deaths_since_10!C:G,5,FALSE)-1,0)</f>
        <v>0</v>
      </c>
      <c r="J34" s="68">
        <f t="shared" si="4"/>
        <v>11.101366095010182</v>
      </c>
      <c r="K34" s="67">
        <v>11</v>
      </c>
      <c r="L34" s="61">
        <f>VLOOKUP(C34,Country_Data!C:J,8,FALSE)</f>
        <v>1886198</v>
      </c>
      <c r="M34" s="60">
        <f t="shared" si="6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67</v>
      </c>
      <c r="D35" s="75">
        <f>VLOOKUP(C35,Country_Data!B:F,5,FALSE)</f>
        <v>470</v>
      </c>
      <c r="E35" s="75">
        <f>D35*Projections_Data!$C$15</f>
        <v>82.680232329971361</v>
      </c>
      <c r="F35" s="75">
        <f>VLOOKUP(C35,Country_Data!C:G,5,FALSE)</f>
        <v>12</v>
      </c>
      <c r="G35" s="76">
        <f>IFERROR(VLOOKUP(C35,Days_Since_100!C:G,5,FALSE)-1,0)</f>
        <v>5.0146786753693773E-2</v>
      </c>
      <c r="H35" s="77">
        <f>IFERROR(VLOOKUP(C35,Deaths_since_10!C:G,5,FALSE)-1,0)</f>
        <v>0.1066819197003217</v>
      </c>
      <c r="J35" s="68">
        <f t="shared" si="4"/>
        <v>33.038063938396078</v>
      </c>
      <c r="K35" s="67">
        <v>6.1</v>
      </c>
      <c r="L35" s="61">
        <f>VLOOKUP(C35,Country_Data!C:J,8,FALSE)</f>
        <v>6825445</v>
      </c>
      <c r="M35" s="60">
        <f t="shared" si="6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342</v>
      </c>
      <c r="D36" s="75">
        <f>VLOOKUP(C36,Country_Data!B:F,5,FALSE)</f>
        <v>322</v>
      </c>
      <c r="E36" s="75">
        <f>D36*Projections_Data!$C$15</f>
        <v>56.644754915427185</v>
      </c>
      <c r="F36" s="75">
        <f>VLOOKUP(C36,Country_Data!C:G,5,FALSE)</f>
        <v>5</v>
      </c>
      <c r="G36" s="76">
        <f>IFERROR(VLOOKUP(C36,Days_Since_100!C:G,5,FALSE)-1,0)</f>
        <v>5.0246072638682637E-2</v>
      </c>
      <c r="H36" s="77">
        <f>IFERROR(VLOOKUP(C36,Deaths_since_10!C:G,5,FALSE)-1,0)</f>
        <v>0</v>
      </c>
      <c r="J36" s="68" t="str">
        <f t="shared" si="4"/>
        <v/>
      </c>
      <c r="K36" s="67"/>
      <c r="L36" s="61">
        <f>VLOOKUP(C36,Country_Data!C:J,8,FALSE)</f>
        <v>23816775</v>
      </c>
      <c r="M36" s="60">
        <f t="shared" si="6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7">B36+1</f>
        <v>34</v>
      </c>
      <c r="C37" s="62" t="s">
        <v>54</v>
      </c>
      <c r="D37" s="75">
        <f>VLOOKUP(C37,Country_Data!B:F,5,FALSE)</f>
        <v>1418</v>
      </c>
      <c r="E37" s="75">
        <f>D37*Projections_Data!$C$15</f>
        <v>249.44802009340296</v>
      </c>
      <c r="F37" s="75">
        <f>VLOOKUP(C37,Country_Data!C:G,5,FALSE)</f>
        <v>17</v>
      </c>
      <c r="G37" s="76">
        <f>IFERROR(VLOOKUP(C37,Days_Since_100!C:G,5,FALSE)-1,0)</f>
        <v>8.1588707633271529E-2</v>
      </c>
      <c r="H37" s="77">
        <f>IFERROR(VLOOKUP(C37,Deaths_since_10!C:G,5,FALSE)-1,0)</f>
        <v>0.23614325642206313</v>
      </c>
      <c r="I37" s="58"/>
      <c r="J37" s="68" t="str">
        <f t="shared" si="4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7"/>
        <v>35</v>
      </c>
      <c r="C38" s="62" t="s">
        <v>199</v>
      </c>
      <c r="D38" s="75">
        <f>VLOOKUP(C38,Country_Data!B:F,5,FALSE)</f>
        <v>399</v>
      </c>
      <c r="E38" s="75">
        <f>D38*Projections_Data!$C$15</f>
        <v>70.190239786507604</v>
      </c>
      <c r="F38" s="75">
        <f>VLOOKUP(C38,Country_Data!C:G,5,FALSE)</f>
        <v>8</v>
      </c>
      <c r="G38" s="76">
        <f>IFERROR(VLOOKUP(C38,Days_Since_100!C:G,5,FALSE)-1,0)</f>
        <v>8.6109953549167617E-2</v>
      </c>
      <c r="H38" s="77">
        <f>IFERROR(VLOOKUP(C38,Deaths_since_10!C:G,5,FALSE)-1,0)</f>
        <v>0</v>
      </c>
      <c r="J38" s="68" t="str">
        <f t="shared" si="4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7"/>
        <v>36</v>
      </c>
      <c r="C39" s="62" t="s">
        <v>92</v>
      </c>
      <c r="D39" s="75">
        <f>VLOOKUP(C39,Country_Data!B:F,5,FALSE)</f>
        <v>1135</v>
      </c>
      <c r="E39" s="75">
        <f>D39*Projections_Data!$C$15</f>
        <v>199.66396530748403</v>
      </c>
      <c r="F39" s="75">
        <f>VLOOKUP(C39,Country_Data!C:G,5,FALSE)</f>
        <v>5</v>
      </c>
      <c r="G39" s="76">
        <f>IFERROR(VLOOKUP(C39,Days_Since_100!C:G,5,FALSE)-1,0)</f>
        <v>7.1924750129228165E-2</v>
      </c>
      <c r="H39" s="77">
        <f>IFERROR(VLOOKUP(C39,Deaths_since_10!C:G,5,FALSE)-1,0)</f>
        <v>0</v>
      </c>
      <c r="J39" s="68" t="str">
        <f t="shared" si="4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7"/>
        <v>37</v>
      </c>
      <c r="C40" s="62" t="s">
        <v>92</v>
      </c>
      <c r="D40" s="75">
        <f>VLOOKUP(C40,Country_Data!B:F,5,FALSE)</f>
        <v>1135</v>
      </c>
      <c r="E40" s="75">
        <f>D40*Projections_Data!$C$15</f>
        <v>199.66396530748403</v>
      </c>
      <c r="F40" s="75">
        <f>VLOOKUP(C40,Country_Data!C:G,5,FALSE)</f>
        <v>5</v>
      </c>
      <c r="G40" s="76">
        <f>IFERROR(VLOOKUP(C40,Days_Since_100!C:G,5,FALSE)-1,0)</f>
        <v>7.1924750129228165E-2</v>
      </c>
      <c r="H40" s="77">
        <f>IFERROR(VLOOKUP(C40,Deaths_since_10!C:G,5,FALSE)-1,0)</f>
        <v>0</v>
      </c>
      <c r="J40" s="68">
        <f t="shared" si="4"/>
        <v>-18.758560337215286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7"/>
        <v>38</v>
      </c>
      <c r="C41" s="62" t="s">
        <v>160</v>
      </c>
      <c r="D41" s="75">
        <f>VLOOKUP(C41,Country_Data!B:F,5,FALSE)</f>
        <v>1065</v>
      </c>
      <c r="E41" s="75">
        <f>D41*Projections_Data!$C$15</f>
        <v>187.34988815195638</v>
      </c>
      <c r="F41" s="75">
        <f>VLOOKUP(C41,Country_Data!C:G,5,FALSE)</f>
        <v>30</v>
      </c>
      <c r="G41" s="76">
        <f>IFERROR(VLOOKUP(C41,Days_Since_100!C:G,5,FALSE)-1,0)</f>
        <v>0.12923498036123982</v>
      </c>
      <c r="H41" s="77">
        <f>IFERROR(VLOOKUP(C41,Deaths_since_10!C:G,5,FALSE)-1,0)</f>
        <v>0.27225963653939211</v>
      </c>
      <c r="J41" s="68">
        <f t="shared" si="4"/>
        <v>32.440646352968535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7"/>
        <v>39</v>
      </c>
      <c r="C42" s="62" t="s">
        <v>162</v>
      </c>
      <c r="D42" s="75">
        <f>VLOOKUP(C42,Country_Data!B:F,5,FALSE)</f>
        <v>363</v>
      </c>
      <c r="E42" s="75">
        <f>D42*Projections_Data!$C$15</f>
        <v>63.857285820807668</v>
      </c>
      <c r="F42" s="75">
        <f>VLOOKUP(C42,Country_Data!C:G,5,FALSE)</f>
        <v>1</v>
      </c>
      <c r="G42" s="76">
        <f>IFERROR(VLOOKUP(C42,Days_Since_100!C:G,5,FALSE)-1,0)</f>
        <v>9.9409884259598957E-2</v>
      </c>
      <c r="H42" s="77">
        <f>IFERROR(VLOOKUP(C42,Deaths_since_10!C:G,5,FALSE)-1,0)</f>
        <v>0</v>
      </c>
      <c r="I42" s="58"/>
      <c r="J42" s="68" t="str">
        <f t="shared" si="4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7"/>
        <v>40</v>
      </c>
      <c r="C43" s="62" t="s">
        <v>40</v>
      </c>
      <c r="D43" s="75">
        <f>VLOOKUP(C43,Country_Data!B:F,5,FALSE)</f>
        <v>926</v>
      </c>
      <c r="E43" s="75">
        <f>D43*Projections_Data!$C$15</f>
        <v>162.8976492288372</v>
      </c>
      <c r="F43" s="75">
        <f>VLOOKUP(C43,Country_Data!C:G,5,FALSE)</f>
        <v>3</v>
      </c>
      <c r="G43" s="76">
        <f>IFERROR(VLOOKUP(C43,Days_Since_100!C:G,5,FALSE)-1,0)</f>
        <v>6.2766990063207295E-2</v>
      </c>
      <c r="H43" s="77">
        <f>IFERROR(VLOOKUP(C43,Deaths_since_10!C:G,5,FALSE)-1,0)</f>
        <v>0</v>
      </c>
      <c r="J43" s="68" t="str">
        <f t="shared" si="4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7"/>
        <v>41</v>
      </c>
      <c r="C44" s="62" t="s">
        <v>65</v>
      </c>
      <c r="D44" s="75">
        <f>VLOOKUP(C44,Country_Data!B:F,5,FALSE)</f>
        <v>710</v>
      </c>
      <c r="E44" s="75">
        <f>D44*Projections_Data!$C$15</f>
        <v>124.89992543463759</v>
      </c>
      <c r="F44" s="75">
        <f>VLOOKUP(C44,Country_Data!C:G,5,FALSE)</f>
        <v>46</v>
      </c>
      <c r="G44" s="76">
        <f>IFERROR(VLOOKUP(C44,Days_Since_100!C:G,5,FALSE)-1,0)</f>
        <v>7.4807355670618358E-2</v>
      </c>
      <c r="H44" s="77">
        <f>IFERROR(VLOOKUP(C44,Deaths_since_10!C:G,5,FALSE)-1,0)</f>
        <v>0.13896221858789914</v>
      </c>
      <c r="J44" s="68">
        <f t="shared" ref="J44:J66" si="8">IFERROR(LOG((M44/E44),1+G44),"")</f>
        <v>34.456028539284574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7"/>
        <v>42</v>
      </c>
      <c r="C45" s="62" t="s">
        <v>85</v>
      </c>
      <c r="D45" s="75">
        <f>VLOOKUP(C45,Country_Data!B:F,5,FALSE)</f>
        <v>4641</v>
      </c>
      <c r="E45" s="75">
        <f>D45*Projections_Data!$C$15</f>
        <v>816.42331541148314</v>
      </c>
      <c r="F45" s="75">
        <f>VLOOKUP(C45,Country_Data!C:G,5,FALSE)</f>
        <v>39</v>
      </c>
      <c r="G45" s="76">
        <f>IFERROR(VLOOKUP(C45,Days_Since_100!C:G,5,FALSE)-1,0)</f>
        <v>6.6159329255062405E-2</v>
      </c>
      <c r="H45" s="77">
        <f>IFERROR(VLOOKUP(C45,Deaths_since_10!C:G,5,FALSE)-1,0)</f>
        <v>0.22740337821451306</v>
      </c>
      <c r="J45" s="68">
        <f t="shared" si="8"/>
        <v>-9.874401436474983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7"/>
        <v>43</v>
      </c>
      <c r="C46" s="62" t="s">
        <v>59</v>
      </c>
      <c r="D46" s="75">
        <f>VLOOKUP(C46,Country_Data!B:F,5,FALSE)</f>
        <v>4435</v>
      </c>
      <c r="E46" s="75">
        <f>D46*Projections_Data!$C$15</f>
        <v>780.18474549664461</v>
      </c>
      <c r="F46" s="75">
        <f>VLOOKUP(C46,Country_Data!C:G,5,FALSE)</f>
        <v>180</v>
      </c>
      <c r="G46" s="76">
        <f>IFERROR(VLOOKUP(C46,Days_Since_100!C:G,5,FALSE)-1,0)</f>
        <v>9.3238850444831156E-2</v>
      </c>
      <c r="H46" s="77">
        <f>IFERROR(VLOOKUP(C46,Deaths_since_10!C:G,5,FALSE)-1,0)</f>
        <v>0.18510370533357379</v>
      </c>
      <c r="J46" s="68">
        <f t="shared" si="8"/>
        <v>7.1405079043441058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7"/>
        <v>44</v>
      </c>
      <c r="C47" s="62" t="s">
        <v>83</v>
      </c>
      <c r="D47" s="75">
        <f>VLOOKUP(C47,Country_Data!B:F,5,FALSE)</f>
        <v>1314</v>
      </c>
      <c r="E47" s="75">
        <f>D47*Projections_Data!$C$15</f>
        <v>231.15281974804759</v>
      </c>
      <c r="F47" s="75">
        <f>VLOOKUP(C47,Country_Data!C:G,5,FALSE)</f>
        <v>49</v>
      </c>
      <c r="G47" s="76">
        <f>IFERROR(VLOOKUP(C47,Days_Since_100!C:G,5,FALSE)-1,0)</f>
        <v>8.0553071495846007E-2</v>
      </c>
      <c r="H47" s="77">
        <f>IFERROR(VLOOKUP(C47,Deaths_since_10!C:G,5,FALSE)-1,0)</f>
        <v>0.13512724186270764</v>
      </c>
      <c r="J47" s="68" t="str">
        <f t="shared" si="8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7"/>
        <v>45</v>
      </c>
      <c r="C48" s="62" t="s">
        <v>70</v>
      </c>
      <c r="D48" s="75">
        <f>VLOOKUP(C48,Country_Data!B:F,5,FALSE)</f>
        <v>694</v>
      </c>
      <c r="E48" s="75">
        <f>D48*Projections_Data!$C$15</f>
        <v>122.08527922765984</v>
      </c>
      <c r="F48" s="75">
        <f>VLOOKUP(C48,Country_Data!C:G,5,FALSE)</f>
        <v>50</v>
      </c>
      <c r="G48" s="76">
        <f>IFERROR(VLOOKUP(C48,Days_Since_100!C:G,5,FALSE)-1,0)</f>
        <v>0.12683212931206422</v>
      </c>
      <c r="H48" s="77">
        <f>IFERROR(VLOOKUP(C48,Deaths_since_10!C:G,5,FALSE)-1,0)</f>
        <v>6.790716584560208E-2</v>
      </c>
      <c r="J48" s="68">
        <f t="shared" si="8"/>
        <v>24.70599519677662</v>
      </c>
      <c r="K48" s="67">
        <v>5.8</v>
      </c>
      <c r="L48" s="61">
        <f>VLOOKUP(C48,Country_Data!C:J,8,FALSE)</f>
        <v>40222493</v>
      </c>
      <c r="M48" s="60">
        <f t="shared" ref="M48:M61" si="9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7"/>
        <v>46</v>
      </c>
      <c r="C49" s="62" t="s">
        <v>141</v>
      </c>
      <c r="D49" s="75">
        <f>VLOOKUP(C49,Country_Data!B:F,5,FALSE)</f>
        <v>802</v>
      </c>
      <c r="E49" s="75">
        <f>D49*Projections_Data!$C$15</f>
        <v>141.08414112475964</v>
      </c>
      <c r="F49" s="75">
        <f>VLOOKUP(C49,Country_Data!C:G,5,FALSE)</f>
        <v>15</v>
      </c>
      <c r="G49" s="76">
        <f>IFERROR(VLOOKUP(C49,Days_Since_100!C:G,5,FALSE)-1,0)</f>
        <v>7.3711514567222025E-2</v>
      </c>
      <c r="H49" s="77">
        <f>IFERROR(VLOOKUP(C49,Deaths_since_10!C:G,5,FALSE)-1,0)</f>
        <v>0.13621936646749933</v>
      </c>
      <c r="J49" s="68" t="str">
        <f t="shared" si="8"/>
        <v/>
      </c>
      <c r="K49" s="67"/>
      <c r="L49" s="61">
        <f>VLOOKUP(C49,Country_Data!C:J,8,FALSE)</f>
        <v>2078938</v>
      </c>
      <c r="M49" s="60">
        <f t="shared" si="9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7"/>
        <v>47</v>
      </c>
      <c r="C50" s="62" t="s">
        <v>87</v>
      </c>
      <c r="D50" s="75">
        <f>VLOOKUP(C50,Country_Data!B:F,5,FALSE)</f>
        <v>3039</v>
      </c>
      <c r="E50" s="75">
        <f>D50*Projections_Data!$C$15</f>
        <v>534.60686393783612</v>
      </c>
      <c r="F50" s="75">
        <f>VLOOKUP(C50,Country_Data!C:G,5,FALSE)</f>
        <v>90</v>
      </c>
      <c r="G50" s="76">
        <f>IFERROR(VLOOKUP(C50,Days_Since_100!C:G,5,FALSE)-1,0)</f>
        <v>8.4793223216788061E-2</v>
      </c>
      <c r="H50" s="77">
        <f>IFERROR(VLOOKUP(C50,Deaths_since_10!C:G,5,FALSE)-1,0)</f>
        <v>0.17028524790746813</v>
      </c>
      <c r="J50" s="68" t="str">
        <f t="shared" si="8"/>
        <v/>
      </c>
      <c r="K50" s="67"/>
      <c r="L50" s="61">
        <f>VLOOKUP(C50,Country_Data!C:J,8,FALSE)</f>
        <v>5792202</v>
      </c>
      <c r="M50" s="60">
        <f t="shared" si="9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7"/>
        <v>48</v>
      </c>
      <c r="C51" s="62" t="s">
        <v>90</v>
      </c>
      <c r="D51" s="75">
        <f>VLOOKUP(C51,Country_Data!B:F,5,FALSE)</f>
        <v>236</v>
      </c>
      <c r="E51" s="75">
        <f>D51*Projections_Data!$C$15</f>
        <v>41.516031552921788</v>
      </c>
      <c r="F51" s="75">
        <f>VLOOKUP(C51,Country_Data!C:G,5,FALSE)</f>
        <v>26</v>
      </c>
      <c r="G51" s="76">
        <f>IFERROR(VLOOKUP(C51,Days_Since_100!C:G,5,FALSE)-1,0)</f>
        <v>2.5580450076664984E-2</v>
      </c>
      <c r="H51" s="77">
        <f>IFERROR(VLOOKUP(C51,Deaths_since_10!C:G,5,FALSE)-1,0)</f>
        <v>4.3640227150435917E-2</v>
      </c>
      <c r="J51" s="68" t="str">
        <f t="shared" si="8"/>
        <v/>
      </c>
      <c r="K51" s="67"/>
      <c r="L51" s="61">
        <f>VLOOKUP(C51,Country_Data!C:J,8,FALSE)</f>
        <v>33931</v>
      </c>
      <c r="M51" s="60">
        <f t="shared" si="9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7"/>
        <v>49</v>
      </c>
      <c r="C52" s="62" t="s">
        <v>55</v>
      </c>
      <c r="D52" s="75">
        <f>VLOOKUP(C52,Country_Data!B:F,5,FALSE)</f>
        <v>664</v>
      </c>
      <c r="E52" s="75">
        <f>D52*Projections_Data!$C$15</f>
        <v>116.80781758957656</v>
      </c>
      <c r="F52" s="75">
        <f>VLOOKUP(C52,Country_Data!C:G,5,FALSE)</f>
        <v>6</v>
      </c>
      <c r="G52" s="76">
        <f>IFERROR(VLOOKUP(C52,Days_Since_100!C:G,5,FALSE)-1,0)</f>
        <v>0.14800761585935507</v>
      </c>
      <c r="H52" s="77">
        <f>IFERROR(VLOOKUP(C52,Deaths_since_10!C:G,5,FALSE)-1,0)</f>
        <v>0</v>
      </c>
      <c r="J52" s="68">
        <f t="shared" si="8"/>
        <v>12.575189585637586</v>
      </c>
      <c r="K52" s="67">
        <v>6.7</v>
      </c>
      <c r="L52" s="61">
        <f>VLOOKUP(C52,Country_Data!C:J,8,FALSE)</f>
        <v>9890402</v>
      </c>
      <c r="M52" s="60">
        <f t="shared" si="9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7"/>
        <v>50</v>
      </c>
      <c r="C53" s="62" t="s">
        <v>73</v>
      </c>
      <c r="D53" s="75">
        <f>VLOOKUP(C53,Country_Data!B:F,5,FALSE)</f>
        <v>567</v>
      </c>
      <c r="E53" s="75">
        <f>D53*Projections_Data!$C$15</f>
        <v>99.744024959773967</v>
      </c>
      <c r="F53" s="75">
        <f>VLOOKUP(C53,Country_Data!C:G,5,FALSE)</f>
        <v>4</v>
      </c>
      <c r="G53" s="76">
        <f>IFERROR(VLOOKUP(C53,Days_Since_100!C:G,5,FALSE)-1,0)</f>
        <v>4.362269817351816E-2</v>
      </c>
      <c r="H53" s="77">
        <f>IFERROR(VLOOKUP(C53,Deaths_since_10!C:G,5,FALSE)-1,0)</f>
        <v>0</v>
      </c>
      <c r="J53" s="68" t="str">
        <f t="shared" si="8"/>
        <v/>
      </c>
      <c r="K53" s="67"/>
      <c r="L53" s="61">
        <f>VLOOKUP(C53,Country_Data!C:J,8,FALSE)</f>
        <v>1701575</v>
      </c>
      <c r="M53" s="60">
        <f t="shared" si="9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7"/>
        <v>51</v>
      </c>
      <c r="C54" s="62" t="s">
        <v>88</v>
      </c>
      <c r="D54" s="75">
        <f>VLOOKUP(C54,Country_Data!B:F,5,FALSE)</f>
        <v>745</v>
      </c>
      <c r="E54" s="75">
        <f>D54*Projections_Data!$C$15</f>
        <v>131.05696401240141</v>
      </c>
      <c r="F54" s="75">
        <f>VLOOKUP(C54,Country_Data!C:G,5,FALSE)</f>
        <v>4</v>
      </c>
      <c r="G54" s="76">
        <f>IFERROR(VLOOKUP(C54,Days_Since_100!C:G,5,FALSE)-1,0)</f>
        <v>6.7271222464041713E-2</v>
      </c>
      <c r="H54" s="77">
        <f>IFERROR(VLOOKUP(C54,Deaths_since_10!C:G,5,FALSE)-1,0)</f>
        <v>0</v>
      </c>
      <c r="J54" s="68" t="str">
        <f t="shared" si="8"/>
        <v/>
      </c>
      <c r="K54" s="67"/>
      <c r="L54" s="61">
        <f>VLOOKUP(C54,Country_Data!C:J,8,FALSE)</f>
        <v>1326535</v>
      </c>
      <c r="M54" s="60">
        <f t="shared" si="9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7"/>
        <v>52</v>
      </c>
      <c r="C55" s="62" t="s">
        <v>74</v>
      </c>
      <c r="D55" s="75">
        <f>VLOOKUP(C55,Country_Data!B:F,5,FALSE)</f>
        <v>289</v>
      </c>
      <c r="E55" s="75">
        <f>D55*Projections_Data!$C$15</f>
        <v>50.839547113535581</v>
      </c>
      <c r="F55" s="75">
        <f>VLOOKUP(C55,Country_Data!C:G,5,FALSE)</f>
        <v>0</v>
      </c>
      <c r="G55" s="76">
        <f>IFERROR(VLOOKUP(C55,Days_Since_100!C:G,5,FALSE)-1,0)</f>
        <v>6.7989299915627965E-2</v>
      </c>
      <c r="H55" s="77">
        <f>IFERROR(VLOOKUP(C55,Deaths_since_10!C:G,5,FALSE)-1,0)</f>
        <v>0</v>
      </c>
      <c r="J55" s="68" t="str">
        <f t="shared" si="8"/>
        <v/>
      </c>
      <c r="K55" s="67"/>
      <c r="L55" s="61">
        <f>VLOOKUP(C55,Country_Data!C:J,8,FALSE)</f>
        <v>4270571</v>
      </c>
      <c r="M55" s="60">
        <f t="shared" si="9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7"/>
        <v>53</v>
      </c>
      <c r="C56" s="62" t="s">
        <v>338</v>
      </c>
      <c r="D56" s="75">
        <f>VLOOKUP(C56,Country_Data!B:F,5,FALSE)</f>
        <v>44605</v>
      </c>
      <c r="E56" s="75">
        <f>D56*Projections_Data!$C$15</f>
        <v>7846.7058788901541</v>
      </c>
      <c r="F56" s="75">
        <f>VLOOKUP(C56,Country_Data!C:G,5,FALSE)</f>
        <v>2898</v>
      </c>
      <c r="G56" s="76">
        <f>IFERROR(VLOOKUP(C56,Days_Since_100!C:G,5,FALSE)-1,0)</f>
        <v>8.689982332991053E-2</v>
      </c>
      <c r="H56" s="77">
        <f>IFERROR(VLOOKUP(C56,Deaths_since_10!C:G,5,FALSE)-1,0)</f>
        <v>5.342359703857702E-2</v>
      </c>
      <c r="J56" s="68" t="str">
        <f t="shared" si="8"/>
        <v/>
      </c>
      <c r="K56" s="67"/>
      <c r="L56" s="61">
        <f>VLOOKUP(C56,Country_Data!C:J,8,FALSE)</f>
        <v>83992949</v>
      </c>
      <c r="M56" s="60">
        <f t="shared" si="9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7"/>
        <v>54</v>
      </c>
      <c r="C57" s="62" t="s">
        <v>36</v>
      </c>
      <c r="D57" s="75">
        <f>VLOOKUP(C57,Country_Data!B:F,5,FALSE)</f>
        <v>1953</v>
      </c>
      <c r="E57" s="75">
        <f>D57*Projections_Data!$C$15</f>
        <v>343.5627526392214</v>
      </c>
      <c r="F57" s="75">
        <f>VLOOKUP(C57,Country_Data!C:G,5,FALSE)</f>
        <v>56</v>
      </c>
      <c r="G57" s="76">
        <f>IFERROR(VLOOKUP(C57,Days_Since_100!C:G,5,FALSE)-1,0)</f>
        <v>7.0841408045857257E-2</v>
      </c>
      <c r="H57" s="77">
        <f>IFERROR(VLOOKUP(C57,Deaths_since_10!C:G,5,FALSE)-1,0)</f>
        <v>3.5661981385701091E-2</v>
      </c>
      <c r="J57" s="68">
        <f t="shared" si="8"/>
        <v>48.084742433012607</v>
      </c>
      <c r="K57" s="67">
        <v>7.3</v>
      </c>
      <c r="L57" s="61">
        <f>VLOOKUP(C57,Country_Data!C:J,8,FALSE)</f>
        <v>126476461</v>
      </c>
      <c r="M57" s="60">
        <f t="shared" si="9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7"/>
        <v>55</v>
      </c>
      <c r="C58" s="62" t="s">
        <v>101</v>
      </c>
      <c r="D58" s="75">
        <f>VLOOKUP(C58,Country_Data!B:F,5,FALSE)</f>
        <v>781</v>
      </c>
      <c r="E58" s="75">
        <f>D58*Projections_Data!$C$15</f>
        <v>137.38991797810135</v>
      </c>
      <c r="F58" s="75">
        <f>VLOOKUP(C58,Country_Data!C:G,5,FALSE)</f>
        <v>2</v>
      </c>
      <c r="G58" s="76">
        <f>IFERROR(VLOOKUP(C58,Days_Since_100!C:G,5,FALSE)-1,0)</f>
        <v>7.3039570842387658E-2</v>
      </c>
      <c r="H58" s="77">
        <f>IFERROR(VLOOKUP(C58,Deaths_since_10!C:G,5,FALSE)-1,0)</f>
        <v>0</v>
      </c>
      <c r="J58" s="68" t="str">
        <f t="shared" si="8"/>
        <v/>
      </c>
      <c r="K58" s="67"/>
      <c r="L58" s="61">
        <f>VLOOKUP(C58,Country_Data!C:J,8,FALSE)</f>
        <v>2881053</v>
      </c>
      <c r="M58" s="60">
        <f t="shared" si="9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7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8"/>
        <v/>
      </c>
      <c r="K59" s="67"/>
      <c r="L59" s="61">
        <f>VLOOKUP(C59,Country_Data!C:J,8,FALSE)</f>
        <v>0</v>
      </c>
      <c r="M59" s="60">
        <f t="shared" si="9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10">B59+1</f>
        <v>57</v>
      </c>
      <c r="C60" s="62" t="s">
        <v>337</v>
      </c>
      <c r="D60" s="75">
        <f>VLOOKUP(C60,Country_Data!B:F,5,FALSE)</f>
        <v>82279</v>
      </c>
      <c r="E60" s="75">
        <f>D60*Projections_Data!$C$15</f>
        <v>14474.142203995136</v>
      </c>
      <c r="F60" s="75">
        <f>VLOOKUP(C60,Country_Data!C:G,5,FALSE)</f>
        <v>3309</v>
      </c>
      <c r="G60" s="76">
        <f>IFERROR(VLOOKUP(C60,Days_Since_100!C:G,5,FALSE)-1,0)</f>
        <v>1.2124825822807939E-3</v>
      </c>
      <c r="H60" s="77">
        <f>IFERROR(VLOOKUP(C60,Deaths_since_10!C:G,5,FALSE)-1,0)</f>
        <v>1.0915070563666252E-3</v>
      </c>
      <c r="I60" s="59"/>
      <c r="J60" s="68">
        <f t="shared" si="8"/>
        <v>1052.4700312497794</v>
      </c>
      <c r="K60" s="67">
        <v>3.6</v>
      </c>
      <c r="L60" s="61">
        <f>VLOOKUP(C60,Country_Data!C:J,8,FALSE)</f>
        <v>1439323776</v>
      </c>
      <c r="M60" s="60">
        <f t="shared" si="9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10"/>
        <v>58</v>
      </c>
      <c r="C61" s="62" t="s">
        <v>478</v>
      </c>
      <c r="D61" s="75">
        <f>VLOOKUP(C61,Country_Data!B:F,5,FALSE)</f>
        <v>3308</v>
      </c>
      <c r="E61" s="75">
        <f>D61*Projections_Data!$C$15</f>
        <v>581.92810329264955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8"/>
        <v/>
      </c>
      <c r="K61" s="67">
        <v>11.6</v>
      </c>
      <c r="L61" s="61" t="e">
        <f>VLOOKUP(C61,Country_Data!C:J,8,FALSE)</f>
        <v>#N/A</v>
      </c>
      <c r="M61" s="60" t="e">
        <f t="shared" si="9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10"/>
        <v>59</v>
      </c>
      <c r="C62" s="62" t="s">
        <v>475</v>
      </c>
      <c r="D62" s="75">
        <f>VLOOKUP(C62,Country_Data!B:F,5,FALSE)</f>
        <v>9786</v>
      </c>
      <c r="E62" s="75">
        <f>D62*Projections_Data!$C$15</f>
        <v>1721.5079863427654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8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10"/>
        <v>60</v>
      </c>
      <c r="C63" s="62" t="s">
        <v>231</v>
      </c>
      <c r="D63" s="75">
        <f>VLOOKUP(C63,Country_Data!B:F,5,FALSE)</f>
        <v>262</v>
      </c>
      <c r="E63" s="75">
        <f>D63*Projections_Data!$C$15</f>
        <v>46.08983163926063</v>
      </c>
      <c r="F63" s="75">
        <f>VLOOKUP(C63,Country_Data!C:G,5,FALSE)</f>
        <v>8</v>
      </c>
      <c r="G63" s="76">
        <f>IFERROR(VLOOKUP(C63,Days_Since_100!C:G,5,FALSE)-1,0)</f>
        <v>0.12406050085970821</v>
      </c>
      <c r="H63" s="77">
        <f>IFERROR(VLOOKUP(C63,Deaths_since_10!C:G,5,FALSE)-1,0)</f>
        <v>0</v>
      </c>
      <c r="J63" s="68" t="str">
        <f t="shared" si="8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10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8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10"/>
        <v>62</v>
      </c>
      <c r="C65" s="62" t="s">
        <v>132</v>
      </c>
      <c r="D65" s="75"/>
      <c r="E65" s="75"/>
      <c r="F65" s="75">
        <f>VLOOKUP(C65,Country_Data!C:G,5,FALSE)</f>
        <v>16</v>
      </c>
      <c r="G65" s="75"/>
      <c r="H65" s="77">
        <f>IFERROR(VLOOKUP(C65,Deaths_since_10!C:G,5,FALSE)-1,0)</f>
        <v>9.8560543306117854E-2</v>
      </c>
      <c r="J65" s="68" t="str">
        <f t="shared" si="8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10"/>
        <v>63</v>
      </c>
      <c r="C66" s="62" t="s">
        <v>93</v>
      </c>
      <c r="D66" s="75"/>
      <c r="E66" s="75"/>
      <c r="F66" s="75">
        <f>VLOOKUP(C66,Country_Data!C:G,5,FALSE)</f>
        <v>8</v>
      </c>
      <c r="G66" s="75"/>
      <c r="H66" s="77">
        <f>IFERROR(VLOOKUP(C66,Deaths_since_10!C:G,5,FALSE)-1,0)</f>
        <v>0</v>
      </c>
      <c r="I66" s="92"/>
      <c r="J66" s="68" t="str">
        <f t="shared" si="8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565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C1" zoomScale="80" zoomScaleNormal="80" workbookViewId="0">
      <selection activeCell="T6" sqref="T6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595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5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L13" sqref="L1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43921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25481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27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19147</v>
      </c>
      <c r="D6" s="42">
        <v>0.02</v>
      </c>
      <c r="F6" s="19" t="s">
        <v>583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4541</v>
      </c>
      <c r="F7" s="19" t="s">
        <v>588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593</v>
      </c>
      <c r="V7" s="40">
        <f t="shared" ref="V7" ca="1" si="15">(V5-U5)-(V6-U6)</f>
        <v>705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>
        <f t="shared" ref="AA7" ca="1" si="19">(AA5-Z5)-(AA6-Z6)</f>
        <v>1433</v>
      </c>
      <c r="AB7" s="40">
        <f t="shared" ref="AB7" ca="1" si="20">(AB5-AA5)-(AB6-AA6)</f>
        <v>2058</v>
      </c>
      <c r="AC7" s="40">
        <f t="shared" ref="AC7" ca="1" si="21">(AC5-AB5)-(AC6-AB6)</f>
        <v>2752</v>
      </c>
      <c r="AD7" s="40">
        <f t="shared" ref="AD7" ca="1" si="22">(AD5-AC5)-(AD6-AC6)</f>
        <v>2307</v>
      </c>
      <c r="AE7" s="40">
        <f t="shared" ref="AE7" ca="1" si="23">(AE5-AD5)-(AE6-AD6)</f>
        <v>2258</v>
      </c>
      <c r="AF7" s="40">
        <f t="shared" ref="AF7" ca="1" si="24">(AF5-AE5)-(AF6-AE6)</f>
        <v>2493</v>
      </c>
      <c r="AG7" s="40">
        <f t="shared" ref="AG7" ca="1" si="25">(AG5-AF5)-(AG6-AF6)</f>
        <v>2646</v>
      </c>
      <c r="AH7" s="40" t="e">
        <f t="shared" ref="AH7" ca="1" si="26">(AH5-AG5)-(AH6-AG6)</f>
        <v>#N/A</v>
      </c>
      <c r="AI7" s="40" t="e">
        <f ca="1">(AI5-AH5)-(AI6-AH6)</f>
        <v>#N/A</v>
      </c>
      <c r="AJ7" s="40" t="e">
        <f t="shared" ref="AJ7" ca="1" si="27">(AJ5-AI5)-(AJ6-AI6)</f>
        <v>#N/A</v>
      </c>
      <c r="AK7" s="40" t="e">
        <f t="shared" ref="AK7" ca="1" si="28">(AK5-AJ5)-(AK6-AJ6)</f>
        <v>#N/A</v>
      </c>
      <c r="AL7" s="40" t="e">
        <f t="shared" ref="AL7" ca="1" si="29">(AL5-AK5)-(AL6-AK6)</f>
        <v>#N/A</v>
      </c>
      <c r="AM7" s="40" t="e">
        <f t="shared" ref="AM7" ca="1" si="30">(AM5-AL5)-(AM6-AL6)</f>
        <v>#N/A</v>
      </c>
      <c r="AN7" s="40" t="e">
        <f t="shared" ref="AN7" ca="1" si="31">(AN5-AM5)-(AN6-AM6)</f>
        <v>#N/A</v>
      </c>
      <c r="AO7" s="40" t="e">
        <f t="shared" ref="AO7" ca="1" si="32">(AO5-AN5)-(AO6-AN6)</f>
        <v>#N/A</v>
      </c>
      <c r="AP7" s="40" t="e">
        <f t="shared" ref="AP7" ca="1" si="33">(AP5-AO5)-(AP6-AO6)</f>
        <v>#N/A</v>
      </c>
      <c r="AQ7" s="40" t="e">
        <f t="shared" ref="AQ7" ca="1" si="34">(AQ5-AP5)-(AQ6-AP6)</f>
        <v>#N/A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1793</v>
      </c>
      <c r="F8" s="19" t="s">
        <v>505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8">SUM(I7:S7)-H7</f>
        <v>1685</v>
      </c>
      <c r="T8" s="40">
        <f t="shared" ca="1" si="68"/>
        <v>2296</v>
      </c>
      <c r="U8" s="40">
        <f t="shared" ca="1" si="68"/>
        <v>2798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ca="1">SUM(V7:AF7)-U7</f>
        <v>17318</v>
      </c>
      <c r="AG8" s="40">
        <f ca="1">SUM(W7:AG7)-V7</f>
        <v>19147</v>
      </c>
      <c r="AH8" s="40" t="e">
        <f t="shared" ca="1" si="68"/>
        <v>#N/A</v>
      </c>
      <c r="AI8" s="40" t="e">
        <f ca="1">SUM(Y7:AI7)-X7</f>
        <v>#N/A</v>
      </c>
      <c r="AJ8" s="40" t="e">
        <f t="shared" ca="1" si="68"/>
        <v>#N/A</v>
      </c>
      <c r="AK8" s="40" t="e">
        <f ca="1">SUM(AA7:AK7)-Z7</f>
        <v>#N/A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8"/>
        <v>#N/A</v>
      </c>
      <c r="AP8" s="40" t="e">
        <f t="shared" ca="1" si="68"/>
        <v>#N/A</v>
      </c>
      <c r="AQ8" s="40" t="e">
        <f ca="1">SUM(AG7:AQ7)-AF7</f>
        <v>#N/A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573</v>
      </c>
      <c r="C9" s="85">
        <f ca="1">VLOOKUP(B2,Country_Data!C:P,14,FALSE)</f>
        <v>6</v>
      </c>
      <c r="F9" s="19" t="s">
        <v>584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164</v>
      </c>
      <c r="I9" s="40">
        <f t="shared" ca="1" si="72"/>
        <v>207</v>
      </c>
      <c r="J9" s="40">
        <f t="shared" ca="1" si="72"/>
        <v>274</v>
      </c>
      <c r="K9" s="40">
        <f t="shared" ca="1" si="72"/>
        <v>322</v>
      </c>
      <c r="L9" s="40">
        <f t="shared" ca="1" si="72"/>
        <v>384</v>
      </c>
      <c r="M9" s="40">
        <f t="shared" ca="1" si="72"/>
        <v>459</v>
      </c>
      <c r="N9" s="40">
        <f t="shared" ca="1" si="72"/>
        <v>588</v>
      </c>
      <c r="O9" s="40">
        <f t="shared" ca="1" si="72"/>
        <v>799</v>
      </c>
      <c r="P9" s="40">
        <f t="shared" ca="1" si="72"/>
        <v>1131</v>
      </c>
      <c r="Q9" s="40">
        <f t="shared" ca="1" si="72"/>
        <v>1328</v>
      </c>
      <c r="R9" s="40">
        <f t="shared" ca="1" si="72"/>
        <v>1271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17318</v>
      </c>
      <c r="AG9" s="40">
        <f t="shared" ca="1" si="72"/>
        <v>19147</v>
      </c>
      <c r="AH9" s="40">
        <f t="shared" ca="1" si="72"/>
        <v>22337.469677261775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26059.56816120485</v>
      </c>
      <c r="AJ9" s="40">
        <f t="shared" ca="1" si="72"/>
        <v>30401.880900582324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35467.754360917199</v>
      </c>
      <c r="AL9" s="40">
        <f t="shared" ca="1" si="72"/>
        <v>41377.755656633264</v>
      </c>
      <c r="AM9" s="40">
        <f t="shared" ca="1" si="72"/>
        <v>48272.542032338875</v>
      </c>
      <c r="AN9" s="40">
        <f t="shared" ca="1" si="72"/>
        <v>56316.208486536489</v>
      </c>
      <c r="AO9" s="40">
        <f t="shared" ca="1" si="72"/>
        <v>65700.193210756828</v>
      </c>
      <c r="AP9" s="40">
        <f t="shared" ca="1" si="72"/>
        <v>76647.833793049605</v>
      </c>
      <c r="AQ9" s="40">
        <f t="shared" ca="1" si="72"/>
        <v>89419.682622867607</v>
      </c>
      <c r="AR9" s="40">
        <f t="shared" ca="1" si="72"/>
        <v>104319.70800327347</v>
      </c>
      <c r="AS9" s="40">
        <f t="shared" ca="1" si="72"/>
        <v>121702.52855611447</v>
      </c>
      <c r="AT9" s="40">
        <f t="shared" ca="1" si="72"/>
        <v>141981.8530980463</v>
      </c>
      <c r="AU9" s="40">
        <f t="shared" ca="1" si="72"/>
        <v>165640.32685533218</v>
      </c>
      <c r="AV9" s="40">
        <f t="shared" ca="1" si="72"/>
        <v>193241.01835601986</v>
      </c>
      <c r="AW9" s="40">
        <f t="shared" ca="1" si="72"/>
        <v>225440.82038600199</v>
      </c>
      <c r="AX9" s="40">
        <f t="shared" ca="1" si="72"/>
        <v>263006.08394993149</v>
      </c>
      <c r="AY9" s="40">
        <f t="shared" ca="1" si="72"/>
        <v>306830.8573231817</v>
      </c>
      <c r="AZ9" s="40">
        <f t="shared" ca="1" si="72"/>
        <v>357958.16428186168</v>
      </c>
      <c r="BA9" s="40">
        <f t="shared" ca="1" si="72"/>
        <v>417604.82792993024</v>
      </c>
      <c r="BB9" s="40">
        <f t="shared" ca="1" si="72"/>
        <v>487190.43092719163</v>
      </c>
      <c r="BC9" s="40">
        <f t="shared" ca="1" si="72"/>
        <v>568371.10136774648</v>
      </c>
      <c r="BD9" s="40">
        <f t="shared" ca="1" si="72"/>
        <v>663078.92840831028</v>
      </c>
      <c r="BE9" s="40">
        <f t="shared" ca="1" si="72"/>
        <v>773567.9457331103</v>
      </c>
      <c r="BF9" s="40">
        <f t="shared" ca="1" si="72"/>
        <v>902467.77725570765</v>
      </c>
      <c r="BG9" s="40">
        <f t="shared" ca="1" si="72"/>
        <v>1052846.2218183111</v>
      </c>
      <c r="BH9" s="40">
        <f t="shared" ca="1" si="72"/>
        <v>1228282.2663961013</v>
      </c>
      <c r="BI9" s="40">
        <f t="shared" ca="1" si="72"/>
        <v>1432951.2655111132</v>
      </c>
      <c r="BJ9" s="40">
        <f t="shared" ca="1" si="72"/>
        <v>1671724.3141143981</v>
      </c>
      <c r="BK9" s="40">
        <f t="shared" ca="1" si="72"/>
        <v>1950284.1789978382</v>
      </c>
      <c r="BL9" s="40">
        <f t="shared" ca="1" si="72"/>
        <v>2275260.5478877937</v>
      </c>
      <c r="BM9" s="40">
        <f t="shared" ca="1" si="72"/>
        <v>2654387.8151310184</v>
      </c>
      <c r="BN9" s="40">
        <f t="shared" ca="1" si="72"/>
        <v>3096689.1592511758</v>
      </c>
      <c r="BO9" s="40">
        <f t="shared" ca="1" si="72"/>
        <v>3612691.2933973158</v>
      </c>
      <c r="BP9" s="40">
        <f t="shared" ca="1" si="72"/>
        <v>4214674.9997164132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4916967.4103347082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5736282.9911963185</v>
      </c>
      <c r="BS9" s="40">
        <f t="shared" ca="1" si="74"/>
        <v>6692121.3441291191</v>
      </c>
      <c r="BT9" s="40">
        <f t="shared" ca="1" si="74"/>
        <v>7807231.294774143</v>
      </c>
      <c r="BU9" s="40">
        <f t="shared" ca="1" si="74"/>
        <v>9108152.3116094749</v>
      </c>
      <c r="BV9" s="40">
        <f t="shared" ca="1" si="74"/>
        <v>10625846.141769385</v>
      </c>
      <c r="BW9" s="40">
        <f t="shared" ca="1" si="74"/>
        <v>12396433.696507163</v>
      </c>
      <c r="BX9" s="40">
        <f t="shared" ca="1" si="74"/>
        <v>14462054.724077655</v>
      </c>
      <c r="BY9" s="40">
        <f t="shared" ca="1" si="74"/>
        <v>16871870.73013971</v>
      </c>
      <c r="BZ9" s="40">
        <f t="shared" ca="1" si="74"/>
        <v>19683235.015050728</v>
      </c>
      <c r="CA9" s="40">
        <f t="shared" ca="1" si="74"/>
        <v>22963057.674785234</v>
      </c>
      <c r="CB9" s="40">
        <f t="shared" ca="1" si="74"/>
        <v>26789398.052317776</v>
      </c>
      <c r="CC9" s="40">
        <f t="shared" ca="1" si="74"/>
        <v>27154404.400000002</v>
      </c>
      <c r="CD9" s="40">
        <f t="shared" ca="1" si="74"/>
        <v>27154404.400000002</v>
      </c>
      <c r="CE9" s="40">
        <f t="shared" ca="1" si="74"/>
        <v>27154404.400000002</v>
      </c>
      <c r="CF9" s="40">
        <f t="shared" ca="1" si="74"/>
        <v>27154404.400000002</v>
      </c>
      <c r="CG9" s="40">
        <f t="shared" ca="1" si="74"/>
        <v>27154404.400000002</v>
      </c>
      <c r="CH9" s="40">
        <f t="shared" ca="1" si="74"/>
        <v>27154404.400000002</v>
      </c>
      <c r="CI9" s="40">
        <f t="shared" ca="1" si="74"/>
        <v>27154404.400000002</v>
      </c>
      <c r="CJ9" s="40">
        <f t="shared" ca="1" si="74"/>
        <v>27154404.400000002</v>
      </c>
      <c r="CK9" s="40">
        <f t="shared" ca="1" si="74"/>
        <v>27154404.400000002</v>
      </c>
      <c r="CL9" s="40">
        <f t="shared" ca="1" si="74"/>
        <v>27154404.400000002</v>
      </c>
      <c r="CM9" s="40">
        <f t="shared" ca="1" si="74"/>
        <v>27154404.400000002</v>
      </c>
      <c r="CN9" s="40">
        <f t="shared" ca="1" si="74"/>
        <v>27154404.400000002</v>
      </c>
      <c r="CO9" s="40">
        <f t="shared" ca="1" si="74"/>
        <v>27154404.400000002</v>
      </c>
      <c r="CP9" s="40">
        <f t="shared" ca="1" si="74"/>
        <v>27154404.400000002</v>
      </c>
      <c r="CQ9" s="40">
        <f t="shared" ca="1" si="74"/>
        <v>27154404.400000002</v>
      </c>
      <c r="CR9" s="40">
        <f t="shared" ca="1" si="74"/>
        <v>27154404.400000002</v>
      </c>
      <c r="CS9" s="40">
        <f t="shared" ca="1" si="74"/>
        <v>27154404.400000002</v>
      </c>
      <c r="CT9" s="40">
        <f t="shared" ca="1" si="74"/>
        <v>27154404.400000002</v>
      </c>
      <c r="CU9" s="40">
        <f t="shared" ca="1" si="74"/>
        <v>27154404.400000002</v>
      </c>
      <c r="CV9" s="40">
        <f t="shared" ca="1" si="74"/>
        <v>27154404.400000002</v>
      </c>
      <c r="CW9" s="40">
        <f t="shared" ca="1" si="74"/>
        <v>27154404.400000002</v>
      </c>
      <c r="CX9" s="40">
        <f t="shared" ca="1" si="74"/>
        <v>27154404.400000002</v>
      </c>
      <c r="CY9" s="40">
        <f t="shared" ca="1" si="74"/>
        <v>27154404.400000002</v>
      </c>
      <c r="CZ9" s="40">
        <f t="shared" ca="1" si="74"/>
        <v>27154404.400000002</v>
      </c>
      <c r="DA9" s="40">
        <f t="shared" ca="1" si="74"/>
        <v>27154404.400000002</v>
      </c>
      <c r="DB9" s="40">
        <f t="shared" ca="1" si="74"/>
        <v>27154404.400000002</v>
      </c>
      <c r="DC9" s="40">
        <f t="shared" ca="1" si="74"/>
        <v>27154404.400000002</v>
      </c>
      <c r="DD9" s="40">
        <f t="shared" ca="1" si="74"/>
        <v>27154404.400000002</v>
      </c>
      <c r="DE9" s="40">
        <f t="shared" ca="1" si="74"/>
        <v>27154404.400000002</v>
      </c>
      <c r="DF9" s="40">
        <f t="shared" ca="1" si="74"/>
        <v>27154404.400000002</v>
      </c>
      <c r="DG9" s="40">
        <f t="shared" ca="1" si="74"/>
        <v>27154404.400000002</v>
      </c>
      <c r="DH9" s="40">
        <f t="shared" ca="1" si="74"/>
        <v>27154404.400000002</v>
      </c>
      <c r="DI9" s="40">
        <f t="shared" ca="1" si="74"/>
        <v>27154404.400000002</v>
      </c>
      <c r="DJ9" s="40">
        <f t="shared" ca="1" si="74"/>
        <v>27154404.400000002</v>
      </c>
      <c r="DK9" s="40">
        <f t="shared" ca="1" si="74"/>
        <v>27154404.400000002</v>
      </c>
      <c r="DL9" s="40">
        <f t="shared" ca="1" si="74"/>
        <v>27154404.400000002</v>
      </c>
      <c r="DM9" s="40">
        <f t="shared" ca="1" si="74"/>
        <v>27154404.400000002</v>
      </c>
      <c r="DN9" s="40">
        <f t="shared" ca="1" si="74"/>
        <v>27154404.400000002</v>
      </c>
      <c r="DO9" s="40">
        <f t="shared" ca="1" si="74"/>
        <v>27154404.400000002</v>
      </c>
      <c r="DP9" s="40">
        <f t="shared" ca="1" si="74"/>
        <v>27154404.400000002</v>
      </c>
      <c r="DQ9" s="40">
        <f t="shared" ca="1" si="74"/>
        <v>27154404.400000002</v>
      </c>
      <c r="DR9" s="40">
        <f t="shared" ca="1" si="74"/>
        <v>27154404.400000002</v>
      </c>
      <c r="DS9" s="40">
        <f t="shared" ca="1" si="74"/>
        <v>27154404.400000002</v>
      </c>
      <c r="DT9" s="40">
        <f t="shared" ca="1" si="74"/>
        <v>27154404.400000002</v>
      </c>
      <c r="DU9" s="40">
        <f t="shared" ca="1" si="74"/>
        <v>27154404.400000002</v>
      </c>
      <c r="DV9" s="40">
        <f t="shared" ca="1" si="74"/>
        <v>27154404.400000002</v>
      </c>
      <c r="DW9" s="40">
        <f t="shared" ca="1" si="74"/>
        <v>27154404.400000002</v>
      </c>
      <c r="DX9" s="40">
        <f t="shared" ca="1" si="74"/>
        <v>27154404.400000002</v>
      </c>
      <c r="DY9" s="40">
        <f t="shared" ca="1" si="74"/>
        <v>27154404.400000002</v>
      </c>
      <c r="DZ9" s="40">
        <f t="shared" ca="1" si="74"/>
        <v>27154404.400000002</v>
      </c>
      <c r="EA9" s="40">
        <f t="shared" ca="1" si="74"/>
        <v>27154404.400000002</v>
      </c>
      <c r="EB9" s="40">
        <f t="shared" ca="1" si="74"/>
        <v>27154404.400000002</v>
      </c>
      <c r="EC9" s="40">
        <f t="shared" ca="1" si="74"/>
        <v>27154404.400000002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5"/>
        <v>27154404.400000002</v>
      </c>
      <c r="EF9" s="40">
        <f t="shared" ca="1" si="75"/>
        <v>27154404.400000002</v>
      </c>
      <c r="EG9" s="40">
        <f t="shared" ca="1" si="75"/>
        <v>27154404.400000002</v>
      </c>
      <c r="EH9" s="40">
        <f t="shared" ca="1" si="75"/>
        <v>27154404.400000002</v>
      </c>
      <c r="EI9" s="40">
        <f t="shared" ca="1" si="75"/>
        <v>27154404.400000002</v>
      </c>
      <c r="EJ9" s="40">
        <f t="shared" ca="1" si="75"/>
        <v>27154404.400000002</v>
      </c>
      <c r="EK9" s="40">
        <f t="shared" ca="1" si="75"/>
        <v>27154404.400000002</v>
      </c>
      <c r="EL9" s="40">
        <f t="shared" ca="1" si="75"/>
        <v>27154404.400000002</v>
      </c>
      <c r="EM9" s="40">
        <f t="shared" ca="1" si="75"/>
        <v>27154404.400000002</v>
      </c>
      <c r="EN9" s="40">
        <f t="shared" ca="1" si="75"/>
        <v>27154404.400000002</v>
      </c>
      <c r="EO9" s="40">
        <f t="shared" ca="1" si="75"/>
        <v>27154404.400000002</v>
      </c>
      <c r="EP9" s="40">
        <f t="shared" ca="1" si="75"/>
        <v>27154404.400000002</v>
      </c>
      <c r="EQ9" s="40">
        <f t="shared" ca="1" si="75"/>
        <v>27154404.400000002</v>
      </c>
      <c r="ER9" s="40">
        <f t="shared" ca="1" si="75"/>
        <v>27154404.400000002</v>
      </c>
      <c r="ES9" s="40">
        <f t="shared" ca="1" si="75"/>
        <v>27154404.400000002</v>
      </c>
      <c r="ET9" s="40">
        <f t="shared" ca="1" si="75"/>
        <v>27154404.400000002</v>
      </c>
      <c r="EU9" s="40">
        <f t="shared" ca="1" si="75"/>
        <v>27154404.400000002</v>
      </c>
      <c r="EV9" s="40">
        <f t="shared" ca="1" si="75"/>
        <v>27154404.400000002</v>
      </c>
      <c r="EW9" s="40">
        <f t="shared" ca="1" si="75"/>
        <v>27154404.400000002</v>
      </c>
      <c r="EX9" s="40">
        <f t="shared" ca="1" si="75"/>
        <v>27154404.400000002</v>
      </c>
      <c r="EY9" s="40">
        <f t="shared" ca="1" si="75"/>
        <v>27154404.400000002</v>
      </c>
      <c r="EZ9" s="40">
        <f t="shared" ca="1" si="75"/>
        <v>27154404.400000002</v>
      </c>
      <c r="FA9" s="40">
        <f t="shared" ca="1" si="75"/>
        <v>27154404.400000002</v>
      </c>
      <c r="FB9" s="40">
        <f t="shared" ca="1" si="75"/>
        <v>27154404.400000002</v>
      </c>
      <c r="FC9" s="40">
        <f t="shared" ca="1" si="75"/>
        <v>27154404.400000002</v>
      </c>
      <c r="FD9" s="40">
        <f t="shared" ca="1" si="75"/>
        <v>27154404.400000002</v>
      </c>
      <c r="FE9" s="40">
        <f t="shared" ca="1" si="75"/>
        <v>27154404.400000002</v>
      </c>
      <c r="FF9" s="40">
        <f t="shared" ca="1" si="75"/>
        <v>27154404.400000002</v>
      </c>
      <c r="FG9" s="40">
        <f t="shared" ca="1" si="75"/>
        <v>27154404.400000002</v>
      </c>
      <c r="FH9" s="40">
        <f t="shared" ca="1" si="75"/>
        <v>27154404.400000002</v>
      </c>
      <c r="FI9" s="40">
        <f t="shared" ca="1" si="75"/>
        <v>27154404.400000002</v>
      </c>
      <c r="FJ9" s="40">
        <f t="shared" ca="1" si="75"/>
        <v>27154404.400000002</v>
      </c>
      <c r="FK9" s="40">
        <f t="shared" ca="1" si="75"/>
        <v>27154404.400000002</v>
      </c>
      <c r="FL9" s="40">
        <f t="shared" ca="1" si="75"/>
        <v>27154404.400000002</v>
      </c>
      <c r="FM9" s="40">
        <f t="shared" ca="1" si="75"/>
        <v>27154404.400000002</v>
      </c>
      <c r="FN9" s="40">
        <f t="shared" ca="1" si="75"/>
        <v>27154404.400000002</v>
      </c>
      <c r="FO9" s="40">
        <f t="shared" ca="1" si="75"/>
        <v>27154404.400000002</v>
      </c>
      <c r="FP9" s="40">
        <f t="shared" ca="1" si="75"/>
        <v>27154404.400000002</v>
      </c>
      <c r="FQ9" s="40">
        <f t="shared" ca="1" si="75"/>
        <v>27154404.400000002</v>
      </c>
      <c r="FR9" s="40">
        <f t="shared" ca="1" si="75"/>
        <v>27154404.400000002</v>
      </c>
      <c r="FS9" s="40">
        <f t="shared" ca="1" si="75"/>
        <v>27154404.400000002</v>
      </c>
      <c r="FT9" s="40">
        <f t="shared" ca="1" si="75"/>
        <v>27154404.400000002</v>
      </c>
      <c r="FU9" s="40">
        <f t="shared" ca="1" si="75"/>
        <v>27154404.400000002</v>
      </c>
      <c r="FV9" s="40">
        <f t="shared" ca="1" si="75"/>
        <v>27154404.400000002</v>
      </c>
      <c r="FW9" s="40">
        <f t="shared" ca="1" si="75"/>
        <v>27154404.400000002</v>
      </c>
      <c r="FX9" s="40">
        <f t="shared" ca="1" si="75"/>
        <v>27154404.400000002</v>
      </c>
      <c r="FY9" s="40">
        <f t="shared" ca="1" si="75"/>
        <v>27154404.400000002</v>
      </c>
      <c r="FZ9" s="40">
        <f t="shared" ca="1" si="75"/>
        <v>27154404.400000002</v>
      </c>
      <c r="GA9" s="40">
        <f t="shared" ca="1" si="75"/>
        <v>27154404.400000002</v>
      </c>
      <c r="GB9" s="40">
        <f t="shared" ca="1" si="75"/>
        <v>27154404.400000002</v>
      </c>
      <c r="GC9" s="40">
        <f t="shared" ca="1" si="75"/>
        <v>27154404.400000002</v>
      </c>
      <c r="GD9" s="40">
        <f t="shared" ca="1" si="75"/>
        <v>27154404.400000002</v>
      </c>
      <c r="GE9" s="40">
        <f t="shared" ca="1" si="75"/>
        <v>27154404.400000002</v>
      </c>
      <c r="GF9" s="40">
        <f t="shared" ca="1" si="75"/>
        <v>27154404.400000002</v>
      </c>
      <c r="GG9" s="40">
        <f t="shared" ca="1" si="75"/>
        <v>27154404.400000002</v>
      </c>
      <c r="GH9" s="40">
        <f t="shared" ca="1" si="75"/>
        <v>27154404.400000002</v>
      </c>
      <c r="GI9" s="40">
        <f t="shared" ca="1" si="75"/>
        <v>27154404.400000002</v>
      </c>
      <c r="GJ9" s="40">
        <f t="shared" ca="1" si="75"/>
        <v>27154404.400000002</v>
      </c>
      <c r="GK9" s="40">
        <f t="shared" ca="1" si="75"/>
        <v>27154404.400000002</v>
      </c>
      <c r="GL9" s="40">
        <f t="shared" ca="1" si="75"/>
        <v>27154404.400000002</v>
      </c>
      <c r="GM9" s="40">
        <f t="shared" ca="1" si="75"/>
        <v>27154404.400000002</v>
      </c>
      <c r="GN9" s="40">
        <f t="shared" ca="1" si="75"/>
        <v>27154404.400000002</v>
      </c>
      <c r="GO9" s="40">
        <f t="shared" ca="1" si="75"/>
        <v>27154404.400000002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6"/>
        <v>27154404.400000002</v>
      </c>
      <c r="GR9" s="40">
        <f t="shared" ca="1" si="76"/>
        <v>27154404.400000002</v>
      </c>
      <c r="GS9" s="40">
        <f t="shared" ca="1" si="76"/>
        <v>27154404.400000002</v>
      </c>
      <c r="GT9" s="40">
        <f t="shared" ca="1" si="76"/>
        <v>27154404.400000002</v>
      </c>
      <c r="GU9" s="40">
        <f t="shared" ca="1" si="76"/>
        <v>27154404.400000002</v>
      </c>
      <c r="GV9" s="40">
        <f t="shared" ca="1" si="76"/>
        <v>27154404.400000002</v>
      </c>
      <c r="GW9" s="40">
        <f t="shared" ca="1" si="76"/>
        <v>27154404.400000002</v>
      </c>
      <c r="GX9" s="40">
        <f t="shared" ca="1" si="76"/>
        <v>27154404.400000002</v>
      </c>
      <c r="GY9" s="40">
        <f t="shared" ca="1" si="76"/>
        <v>27154404.400000002</v>
      </c>
      <c r="GZ9" s="40">
        <f t="shared" ca="1" si="76"/>
        <v>27154404.400000002</v>
      </c>
      <c r="HA9" s="40">
        <f t="shared" ca="1" si="76"/>
        <v>27154404.400000002</v>
      </c>
      <c r="HB9" s="40">
        <f t="shared" ca="1" si="76"/>
        <v>27154404.400000002</v>
      </c>
      <c r="HC9" s="40">
        <f t="shared" ca="1" si="76"/>
        <v>27154404.400000002</v>
      </c>
      <c r="HD9" s="40">
        <f t="shared" ca="1" si="76"/>
        <v>27154404.400000002</v>
      </c>
      <c r="HE9" s="40">
        <f t="shared" ca="1" si="76"/>
        <v>27154404.400000002</v>
      </c>
      <c r="HF9" s="40">
        <f t="shared" ca="1" si="76"/>
        <v>27154404.400000002</v>
      </c>
      <c r="HG9" s="40">
        <f t="shared" ca="1" si="76"/>
        <v>27154404.400000002</v>
      </c>
      <c r="HH9" s="40">
        <f t="shared" ca="1" si="76"/>
        <v>27154404.400000002</v>
      </c>
      <c r="HI9" s="40">
        <f t="shared" ca="1" si="76"/>
        <v>27154404.400000002</v>
      </c>
      <c r="HJ9" s="40">
        <f t="shared" ca="1" si="76"/>
        <v>27154404.400000002</v>
      </c>
      <c r="HK9" s="40">
        <f t="shared" ca="1" si="76"/>
        <v>27154404.400000002</v>
      </c>
      <c r="HL9" s="40">
        <f t="shared" ca="1" si="76"/>
        <v>27154404.400000002</v>
      </c>
      <c r="HM9" s="40">
        <f t="shared" ca="1" si="76"/>
        <v>27154404.400000002</v>
      </c>
      <c r="HN9" s="40">
        <f t="shared" ca="1" si="76"/>
        <v>27154404.400000002</v>
      </c>
      <c r="HO9" s="40">
        <f t="shared" ca="1" si="76"/>
        <v>27154404.400000002</v>
      </c>
      <c r="HP9" s="40">
        <f t="shared" ca="1" si="76"/>
        <v>27154404.400000002</v>
      </c>
      <c r="HQ9" s="40">
        <f t="shared" ca="1" si="76"/>
        <v>27154404.400000002</v>
      </c>
      <c r="HR9" s="40">
        <f t="shared" ca="1" si="76"/>
        <v>27154404.400000002</v>
      </c>
      <c r="HS9" s="40">
        <f t="shared" ca="1" si="76"/>
        <v>27154404.400000002</v>
      </c>
      <c r="HT9" s="40">
        <f t="shared" ca="1" si="76"/>
        <v>27154404.400000002</v>
      </c>
      <c r="HU9" s="40">
        <f t="shared" ca="1" si="76"/>
        <v>27154404.400000002</v>
      </c>
      <c r="HV9" s="40">
        <f t="shared" ca="1" si="76"/>
        <v>27154404.400000002</v>
      </c>
      <c r="HW9" s="40">
        <f t="shared" ca="1" si="76"/>
        <v>27154404.400000002</v>
      </c>
      <c r="HX9" s="40">
        <f t="shared" ca="1" si="76"/>
        <v>27154404.400000002</v>
      </c>
      <c r="HY9" s="40">
        <f t="shared" ca="1" si="76"/>
        <v>27154404.400000002</v>
      </c>
      <c r="HZ9" s="40">
        <f t="shared" ca="1" si="76"/>
        <v>27154404.400000002</v>
      </c>
      <c r="IA9" s="40">
        <f t="shared" ca="1" si="76"/>
        <v>27154404.400000002</v>
      </c>
      <c r="IB9" s="40">
        <f t="shared" ca="1" si="76"/>
        <v>27154404.400000002</v>
      </c>
      <c r="IC9" s="40">
        <f t="shared" ca="1" si="76"/>
        <v>27154404.400000002</v>
      </c>
      <c r="ID9" s="40">
        <f t="shared" ca="1" si="76"/>
        <v>27154404.400000002</v>
      </c>
      <c r="IE9" s="40">
        <f t="shared" ca="1" si="76"/>
        <v>27154404.400000002</v>
      </c>
      <c r="IF9" s="40">
        <f t="shared" ca="1" si="76"/>
        <v>27154404.400000002</v>
      </c>
      <c r="IG9" s="40">
        <f t="shared" ca="1" si="76"/>
        <v>27154404.400000002</v>
      </c>
      <c r="IH9" s="40">
        <f t="shared" ca="1" si="76"/>
        <v>27154404.400000002</v>
      </c>
      <c r="II9" s="40">
        <f t="shared" ca="1" si="76"/>
        <v>27154404.400000002</v>
      </c>
      <c r="IJ9" s="40">
        <f t="shared" ca="1" si="76"/>
        <v>27154404.400000002</v>
      </c>
      <c r="IK9" s="40">
        <f t="shared" ca="1" si="76"/>
        <v>27154404.400000002</v>
      </c>
      <c r="IL9" s="40">
        <f t="shared" ca="1" si="76"/>
        <v>27154404.400000002</v>
      </c>
      <c r="IM9" s="40">
        <f t="shared" ca="1" si="76"/>
        <v>27154404.400000002</v>
      </c>
      <c r="IN9" s="40">
        <f t="shared" ca="1" si="76"/>
        <v>27154404.400000002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78"/>
        <v>274</v>
      </c>
      <c r="K10" s="40">
        <f t="shared" ca="1" si="78"/>
        <v>322</v>
      </c>
      <c r="L10" s="40">
        <f t="shared" ca="1" si="78"/>
        <v>384</v>
      </c>
      <c r="M10" s="40">
        <f t="shared" ca="1" si="78"/>
        <v>459</v>
      </c>
      <c r="N10" s="40">
        <f t="shared" ca="1" si="78"/>
        <v>588</v>
      </c>
      <c r="O10" s="40">
        <f t="shared" ca="1" si="78"/>
        <v>799</v>
      </c>
      <c r="P10" s="40">
        <f t="shared" ca="1" si="78"/>
        <v>1131</v>
      </c>
      <c r="Q10" s="40">
        <f t="shared" ca="1" si="78"/>
        <v>1328</v>
      </c>
      <c r="R10" s="40">
        <f t="shared" ca="1" si="78"/>
        <v>1271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2798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17318</v>
      </c>
      <c r="AG10" s="40">
        <f t="shared" ca="1" si="78"/>
        <v>19147</v>
      </c>
      <c r="AH10" s="40">
        <f t="shared" ca="1" si="78"/>
        <v>21061.7</v>
      </c>
      <c r="AI10" s="40">
        <f t="shared" ca="1" si="78"/>
        <v>23167.870000000003</v>
      </c>
      <c r="AJ10" s="40">
        <f t="shared" ca="1" si="78"/>
        <v>25484.657000000007</v>
      </c>
      <c r="AK10" s="40">
        <f t="shared" ca="1" si="78"/>
        <v>28033.122700000011</v>
      </c>
      <c r="AL10" s="40">
        <f t="shared" ca="1" si="78"/>
        <v>30836.434970000013</v>
      </c>
      <c r="AM10" s="40">
        <f t="shared" ca="1" si="78"/>
        <v>33920.078467000014</v>
      </c>
      <c r="AN10" s="40">
        <f t="shared" ca="1" si="78"/>
        <v>37312.08631370002</v>
      </c>
      <c r="AO10" s="40">
        <f t="shared" ca="1" si="78"/>
        <v>41043.294945070025</v>
      </c>
      <c r="AP10" s="40">
        <f t="shared" ca="1" si="78"/>
        <v>45147.624439577034</v>
      </c>
      <c r="AQ10" s="40">
        <f t="shared" ca="1" si="78"/>
        <v>49662.386883534738</v>
      </c>
      <c r="AR10" s="40">
        <f t="shared" ca="1" si="78"/>
        <v>54628.625571888217</v>
      </c>
      <c r="AS10" s="40">
        <f t="shared" ca="1" si="78"/>
        <v>60091.488129077043</v>
      </c>
      <c r="AT10" s="40">
        <f t="shared" ca="1" si="78"/>
        <v>66100.636941984747</v>
      </c>
      <c r="AU10" s="40">
        <f t="shared" ca="1" si="78"/>
        <v>72710.700636183232</v>
      </c>
      <c r="AV10" s="40">
        <f t="shared" ca="1" si="78"/>
        <v>79981.770699801564</v>
      </c>
      <c r="AW10" s="40">
        <f t="shared" ca="1" si="78"/>
        <v>87979.94776978172</v>
      </c>
      <c r="AX10" s="40">
        <f t="shared" ca="1" si="78"/>
        <v>96777.942546759907</v>
      </c>
      <c r="AY10" s="40">
        <f t="shared" ca="1" si="78"/>
        <v>106455.73680143591</v>
      </c>
      <c r="AZ10" s="40">
        <f t="shared" ca="1" si="78"/>
        <v>117101.31048157951</v>
      </c>
      <c r="BA10" s="40">
        <f t="shared" ca="1" si="78"/>
        <v>128811.44152973747</v>
      </c>
      <c r="BB10" s="40">
        <f t="shared" ca="1" si="78"/>
        <v>141692.58568271121</v>
      </c>
      <c r="BC10" s="40">
        <f t="shared" ca="1" si="78"/>
        <v>155861.84425098234</v>
      </c>
      <c r="BD10" s="40">
        <f t="shared" ca="1" si="78"/>
        <v>171448.02867608058</v>
      </c>
      <c r="BE10" s="40">
        <f t="shared" ca="1" si="78"/>
        <v>188592.83154368866</v>
      </c>
      <c r="BF10" s="40">
        <f t="shared" ca="1" si="78"/>
        <v>207452.11469805756</v>
      </c>
      <c r="BG10" s="40">
        <f t="shared" ca="1" si="78"/>
        <v>228197.32616786333</v>
      </c>
      <c r="BH10" s="40">
        <f t="shared" ca="1" si="78"/>
        <v>251017.05878464968</v>
      </c>
      <c r="BI10" s="40">
        <f t="shared" ca="1" si="78"/>
        <v>276118.76466311468</v>
      </c>
      <c r="BJ10" s="40">
        <f t="shared" ca="1" si="78"/>
        <v>303730.64112942619</v>
      </c>
      <c r="BK10" s="40">
        <f t="shared" ca="1" si="78"/>
        <v>334103.70524236886</v>
      </c>
      <c r="BL10" s="40">
        <f t="shared" ca="1" si="78"/>
        <v>367514.07576660579</v>
      </c>
      <c r="BM10" s="40">
        <f t="shared" ca="1" si="78"/>
        <v>404265.48334326642</v>
      </c>
      <c r="BN10" s="40">
        <f t="shared" ca="1" si="78"/>
        <v>444692.03167759307</v>
      </c>
      <c r="BO10" s="40">
        <f t="shared" ca="1" si="78"/>
        <v>489161.23484535242</v>
      </c>
      <c r="BP10" s="40">
        <f t="shared" ca="1" si="78"/>
        <v>538077.35832988773</v>
      </c>
      <c r="BQ10" s="40">
        <f t="shared" ca="1" si="78"/>
        <v>591885.0941628766</v>
      </c>
      <c r="BR10" s="40">
        <f t="shared" ca="1" si="78"/>
        <v>651073.60357916437</v>
      </c>
      <c r="BS10" s="40">
        <f t="shared" ca="1" si="78"/>
        <v>716180.96393708081</v>
      </c>
      <c r="BT10" s="40">
        <f t="shared" ca="1" si="78"/>
        <v>787799.06033078895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866578.96636386798</v>
      </c>
      <c r="BV10" s="40">
        <f t="shared" ca="1" si="79"/>
        <v>953236.86300025485</v>
      </c>
      <c r="BW10" s="40">
        <f t="shared" ca="1" si="79"/>
        <v>1048560.5493002804</v>
      </c>
      <c r="BX10" s="40">
        <f t="shared" ca="1" si="79"/>
        <v>1153416.6042303084</v>
      </c>
      <c r="BY10" s="40">
        <f t="shared" ca="1" si="79"/>
        <v>1268758.2646533393</v>
      </c>
      <c r="BZ10" s="40">
        <f t="shared" ca="1" si="79"/>
        <v>1395634.0911186733</v>
      </c>
      <c r="CA10" s="40">
        <f t="shared" ca="1" si="79"/>
        <v>1535197.5002305408</v>
      </c>
      <c r="CB10" s="40">
        <f t="shared" ca="1" si="79"/>
        <v>1688717.2502535949</v>
      </c>
      <c r="CC10" s="40">
        <f t="shared" ca="1" si="79"/>
        <v>1857588.9752789545</v>
      </c>
      <c r="CD10" s="40">
        <f t="shared" ca="1" si="79"/>
        <v>2043347.8728068501</v>
      </c>
      <c r="CE10" s="40">
        <f t="shared" ca="1" si="79"/>
        <v>2247682.6600875352</v>
      </c>
      <c r="CF10" s="40">
        <f t="shared" ca="1" si="79"/>
        <v>2472450.926096289</v>
      </c>
      <c r="CG10" s="40">
        <f t="shared" ca="1" si="79"/>
        <v>2719696.018705918</v>
      </c>
      <c r="CH10" s="40">
        <f t="shared" ca="1" si="79"/>
        <v>2991665.6205765102</v>
      </c>
      <c r="CI10" s="40">
        <f t="shared" ca="1" si="79"/>
        <v>3290832.1826341613</v>
      </c>
      <c r="CJ10" s="40">
        <f t="shared" ca="1" si="79"/>
        <v>3619915.4008975779</v>
      </c>
      <c r="CK10" s="40">
        <f t="shared" ca="1" si="79"/>
        <v>3981906.940987336</v>
      </c>
      <c r="CL10" s="40">
        <f t="shared" ca="1" si="79"/>
        <v>4380097.6350860698</v>
      </c>
      <c r="CM10" s="40">
        <f t="shared" ca="1" si="79"/>
        <v>4818107.3985946774</v>
      </c>
      <c r="CN10" s="40">
        <f t="shared" ca="1" si="79"/>
        <v>5299918.1384541458</v>
      </c>
      <c r="CO10" s="40">
        <f t="shared" ca="1" si="79"/>
        <v>5829909.9522995604</v>
      </c>
      <c r="CP10" s="40">
        <f t="shared" ca="1" si="79"/>
        <v>6412900.9475295171</v>
      </c>
      <c r="CQ10" s="40">
        <f t="shared" ca="1" si="79"/>
        <v>7054191.0422824696</v>
      </c>
      <c r="CR10" s="40">
        <f t="shared" ca="1" si="79"/>
        <v>7759610.1465107175</v>
      </c>
      <c r="CS10" s="40">
        <f t="shared" ca="1" si="79"/>
        <v>8535571.1611617897</v>
      </c>
      <c r="CT10" s="40">
        <f t="shared" ca="1" si="79"/>
        <v>9389128.2772779688</v>
      </c>
      <c r="CU10" s="40">
        <f t="shared" ca="1" si="79"/>
        <v>10328041.105005767</v>
      </c>
      <c r="CV10" s="40">
        <f t="shared" ca="1" si="79"/>
        <v>11360845.215506345</v>
      </c>
      <c r="CW10" s="40">
        <f t="shared" ca="1" si="79"/>
        <v>12496929.73705698</v>
      </c>
      <c r="CX10" s="40">
        <f t="shared" ca="1" si="79"/>
        <v>13746622.71076268</v>
      </c>
      <c r="CY10" s="40">
        <f t="shared" ca="1" si="79"/>
        <v>15121284.981838949</v>
      </c>
      <c r="CZ10" s="40">
        <f t="shared" ca="1" si="79"/>
        <v>16633413.480022846</v>
      </c>
      <c r="DA10" s="40">
        <f t="shared" ca="1" si="79"/>
        <v>18296754.828025132</v>
      </c>
      <c r="DB10" s="40">
        <f t="shared" ca="1" si="79"/>
        <v>20126430.310827646</v>
      </c>
      <c r="DC10" s="40">
        <f t="shared" ca="1" si="79"/>
        <v>22139073.341910414</v>
      </c>
      <c r="DD10" s="40">
        <f t="shared" ca="1" si="79"/>
        <v>24352980.676101457</v>
      </c>
      <c r="DE10" s="40">
        <f t="shared" ca="1" si="79"/>
        <v>26788278.743711606</v>
      </c>
      <c r="DF10" s="40">
        <f t="shared" ca="1" si="79"/>
        <v>27154404.400000002</v>
      </c>
      <c r="DG10" s="40">
        <f t="shared" ca="1" si="79"/>
        <v>27154404.400000002</v>
      </c>
      <c r="DH10" s="40">
        <f t="shared" ca="1" si="79"/>
        <v>27154404.400000002</v>
      </c>
      <c r="DI10" s="40">
        <f t="shared" ca="1" si="79"/>
        <v>27154404.400000002</v>
      </c>
      <c r="DJ10" s="40">
        <f t="shared" ca="1" si="79"/>
        <v>27154404.400000002</v>
      </c>
      <c r="DK10" s="40">
        <f t="shared" ca="1" si="79"/>
        <v>27154404.400000002</v>
      </c>
      <c r="DL10" s="40">
        <f t="shared" ca="1" si="79"/>
        <v>27154404.400000002</v>
      </c>
      <c r="DM10" s="40">
        <f t="shared" ca="1" si="79"/>
        <v>27154404.400000002</v>
      </c>
      <c r="DN10" s="40">
        <f t="shared" ca="1" si="79"/>
        <v>27154404.400000002</v>
      </c>
      <c r="DO10" s="40">
        <f t="shared" ca="1" si="79"/>
        <v>27154404.400000002</v>
      </c>
      <c r="DP10" s="40">
        <f t="shared" ca="1" si="79"/>
        <v>27154404.400000002</v>
      </c>
      <c r="DQ10" s="40">
        <f t="shared" ca="1" si="79"/>
        <v>27154404.400000002</v>
      </c>
      <c r="DR10" s="40">
        <f t="shared" ca="1" si="79"/>
        <v>27154404.400000002</v>
      </c>
      <c r="DS10" s="40">
        <f t="shared" ca="1" si="79"/>
        <v>27154404.400000002</v>
      </c>
      <c r="DT10" s="40">
        <f t="shared" ca="1" si="79"/>
        <v>27154404.400000002</v>
      </c>
      <c r="DU10" s="40">
        <f t="shared" ca="1" si="79"/>
        <v>27154404.400000002</v>
      </c>
      <c r="DV10" s="40">
        <f t="shared" ca="1" si="79"/>
        <v>27154404.400000002</v>
      </c>
      <c r="DW10" s="40">
        <f t="shared" ca="1" si="79"/>
        <v>27154404.400000002</v>
      </c>
      <c r="DX10" s="40">
        <f t="shared" ca="1" si="79"/>
        <v>27154404.400000002</v>
      </c>
      <c r="DY10" s="40">
        <f t="shared" ca="1" si="79"/>
        <v>27154404.400000002</v>
      </c>
      <c r="DZ10" s="40">
        <f t="shared" ca="1" si="79"/>
        <v>27154404.400000002</v>
      </c>
      <c r="EA10" s="40">
        <f t="shared" ca="1" si="79"/>
        <v>27154404.400000002</v>
      </c>
      <c r="EB10" s="40">
        <f t="shared" ca="1" si="79"/>
        <v>27154404.400000002</v>
      </c>
      <c r="EC10" s="40">
        <f t="shared" ca="1" si="79"/>
        <v>27154404.400000002</v>
      </c>
      <c r="ED10" s="40">
        <f t="shared" ca="1" si="79"/>
        <v>27154404.400000002</v>
      </c>
      <c r="EE10" s="40">
        <f t="shared" ca="1" si="79"/>
        <v>27154404.400000002</v>
      </c>
      <c r="EF10" s="40">
        <f t="shared" ca="1" si="79"/>
        <v>27154404.400000002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0"/>
        <v>27154404.400000002</v>
      </c>
      <c r="EI10" s="40">
        <f t="shared" ca="1" si="80"/>
        <v>27154404.400000002</v>
      </c>
      <c r="EJ10" s="40">
        <f t="shared" ca="1" si="80"/>
        <v>27154404.400000002</v>
      </c>
      <c r="EK10" s="40">
        <f t="shared" ca="1" si="80"/>
        <v>27154404.400000002</v>
      </c>
      <c r="EL10" s="40">
        <f t="shared" ca="1" si="80"/>
        <v>27154404.400000002</v>
      </c>
      <c r="EM10" s="40">
        <f t="shared" ca="1" si="80"/>
        <v>27154404.400000002</v>
      </c>
      <c r="EN10" s="40">
        <f t="shared" ca="1" si="80"/>
        <v>27154404.400000002</v>
      </c>
      <c r="EO10" s="40">
        <f t="shared" ca="1" si="80"/>
        <v>27154404.400000002</v>
      </c>
      <c r="EP10" s="40">
        <f t="shared" ca="1" si="80"/>
        <v>27154404.400000002</v>
      </c>
      <c r="EQ10" s="40">
        <f t="shared" ca="1" si="80"/>
        <v>27154404.400000002</v>
      </c>
      <c r="ER10" s="40">
        <f t="shared" ca="1" si="80"/>
        <v>27154404.400000002</v>
      </c>
      <c r="ES10" s="40">
        <f t="shared" ca="1" si="80"/>
        <v>27154404.400000002</v>
      </c>
      <c r="ET10" s="40">
        <f t="shared" ca="1" si="80"/>
        <v>27154404.400000002</v>
      </c>
      <c r="EU10" s="40">
        <f t="shared" ca="1" si="80"/>
        <v>27154404.400000002</v>
      </c>
      <c r="EV10" s="40">
        <f t="shared" ca="1" si="80"/>
        <v>27154404.400000002</v>
      </c>
      <c r="EW10" s="40">
        <f t="shared" ca="1" si="80"/>
        <v>27154404.400000002</v>
      </c>
      <c r="EX10" s="40">
        <f t="shared" ca="1" si="80"/>
        <v>27154404.400000002</v>
      </c>
      <c r="EY10" s="40">
        <f t="shared" ca="1" si="80"/>
        <v>27154404.400000002</v>
      </c>
      <c r="EZ10" s="40">
        <f t="shared" ca="1" si="80"/>
        <v>27154404.400000002</v>
      </c>
      <c r="FA10" s="40">
        <f t="shared" ca="1" si="80"/>
        <v>27154404.400000002</v>
      </c>
      <c r="FB10" s="40">
        <f t="shared" ca="1" si="80"/>
        <v>27154404.400000002</v>
      </c>
      <c r="FC10" s="40">
        <f t="shared" ca="1" si="80"/>
        <v>27154404.400000002</v>
      </c>
      <c r="FD10" s="40">
        <f t="shared" ca="1" si="80"/>
        <v>27154404.400000002</v>
      </c>
      <c r="FE10" s="40">
        <f t="shared" ca="1" si="80"/>
        <v>27154404.400000002</v>
      </c>
      <c r="FF10" s="40">
        <f t="shared" ca="1" si="80"/>
        <v>27154404.400000002</v>
      </c>
      <c r="FG10" s="40">
        <f t="shared" ca="1" si="80"/>
        <v>27154404.400000002</v>
      </c>
      <c r="FH10" s="40">
        <f t="shared" ca="1" si="80"/>
        <v>27154404.400000002</v>
      </c>
      <c r="FI10" s="40">
        <f t="shared" ca="1" si="80"/>
        <v>27154404.400000002</v>
      </c>
      <c r="FJ10" s="40">
        <f t="shared" ca="1" si="80"/>
        <v>27154404.400000002</v>
      </c>
      <c r="FK10" s="40">
        <f t="shared" ca="1" si="80"/>
        <v>27154404.400000002</v>
      </c>
      <c r="FL10" s="40">
        <f t="shared" ca="1" si="80"/>
        <v>27154404.400000002</v>
      </c>
      <c r="FM10" s="40">
        <f t="shared" ca="1" si="80"/>
        <v>27154404.400000002</v>
      </c>
      <c r="FN10" s="40">
        <f t="shared" ca="1" si="80"/>
        <v>27154404.400000002</v>
      </c>
      <c r="FO10" s="40">
        <f t="shared" ca="1" si="80"/>
        <v>27154404.400000002</v>
      </c>
      <c r="FP10" s="40">
        <f t="shared" ca="1" si="80"/>
        <v>27154404.400000002</v>
      </c>
      <c r="FQ10" s="40">
        <f t="shared" ca="1" si="80"/>
        <v>27154404.400000002</v>
      </c>
      <c r="FR10" s="40">
        <f t="shared" ca="1" si="80"/>
        <v>27154404.400000002</v>
      </c>
      <c r="FS10" s="40">
        <f t="shared" ca="1" si="80"/>
        <v>27154404.400000002</v>
      </c>
      <c r="FT10" s="40">
        <f t="shared" ca="1" si="80"/>
        <v>27154404.400000002</v>
      </c>
      <c r="FU10" s="40">
        <f t="shared" ca="1" si="80"/>
        <v>27154404.400000002</v>
      </c>
      <c r="FV10" s="40">
        <f t="shared" ca="1" si="80"/>
        <v>27154404.400000002</v>
      </c>
      <c r="FW10" s="40">
        <f t="shared" ca="1" si="80"/>
        <v>27154404.400000002</v>
      </c>
      <c r="FX10" s="40">
        <f t="shared" ca="1" si="80"/>
        <v>27154404.400000002</v>
      </c>
      <c r="FY10" s="40">
        <f t="shared" ca="1" si="80"/>
        <v>27154404.400000002</v>
      </c>
      <c r="FZ10" s="40">
        <f t="shared" ca="1" si="80"/>
        <v>27154404.400000002</v>
      </c>
      <c r="GA10" s="40">
        <f t="shared" ca="1" si="80"/>
        <v>27154404.400000002</v>
      </c>
      <c r="GB10" s="40">
        <f t="shared" ca="1" si="80"/>
        <v>27154404.400000002</v>
      </c>
      <c r="GC10" s="40">
        <f t="shared" ca="1" si="80"/>
        <v>27154404.400000002</v>
      </c>
      <c r="GD10" s="40">
        <f t="shared" ca="1" si="80"/>
        <v>27154404.400000002</v>
      </c>
      <c r="GE10" s="40">
        <f t="shared" ca="1" si="80"/>
        <v>27154404.400000002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526</v>
      </c>
      <c r="C11" s="53">
        <f ca="1">HLOOKUP($C$5-1,G4:IN16,13,FALSE)</f>
        <v>0.16663026465042971</v>
      </c>
      <c r="E11" s="19"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4"/>
        <v>274</v>
      </c>
      <c r="K11" s="40">
        <f t="shared" ca="1" si="84"/>
        <v>322</v>
      </c>
      <c r="L11" s="40">
        <f t="shared" ca="1" si="84"/>
        <v>384</v>
      </c>
      <c r="M11" s="40">
        <f t="shared" ca="1" si="84"/>
        <v>459</v>
      </c>
      <c r="N11" s="40">
        <f t="shared" ca="1" si="84"/>
        <v>588</v>
      </c>
      <c r="O11" s="40">
        <f t="shared" ca="1" si="84"/>
        <v>799</v>
      </c>
      <c r="P11" s="40">
        <f t="shared" ca="1" si="84"/>
        <v>1131</v>
      </c>
      <c r="Q11" s="40">
        <f t="shared" ca="1" si="84"/>
        <v>1328</v>
      </c>
      <c r="R11" s="40">
        <f t="shared" ca="1" si="84"/>
        <v>1271</v>
      </c>
      <c r="S11" s="40">
        <f t="shared" ca="1" si="84"/>
        <v>1685</v>
      </c>
      <c r="T11" s="40">
        <f t="shared" ca="1" si="84"/>
        <v>2296</v>
      </c>
      <c r="U11" s="40">
        <f t="shared" ca="1" si="84"/>
        <v>2798</v>
      </c>
      <c r="V11" s="40">
        <f t="shared" ca="1" si="84"/>
        <v>3474</v>
      </c>
      <c r="W11" s="40">
        <f t="shared" ca="1" si="84"/>
        <v>4395</v>
      </c>
      <c r="X11" s="40">
        <f t="shared" ca="1" si="84"/>
        <v>4937</v>
      </c>
      <c r="Y11" s="40">
        <f t="shared" ca="1" si="84"/>
        <v>5681</v>
      </c>
      <c r="Z11" s="40">
        <f t="shared" ca="1" si="84"/>
        <v>6739</v>
      </c>
      <c r="AA11" s="40">
        <f t="shared" ca="1" si="84"/>
        <v>7719</v>
      </c>
      <c r="AB11" s="40">
        <f t="shared" ca="1" si="84"/>
        <v>9715</v>
      </c>
      <c r="AC11" s="40">
        <f t="shared" ca="1" si="84"/>
        <v>12314</v>
      </c>
      <c r="AD11" s="40">
        <f t="shared" ca="1" si="84"/>
        <v>14008</v>
      </c>
      <c r="AE11" s="40">
        <f t="shared" ca="1" si="84"/>
        <v>15362</v>
      </c>
      <c r="AF11" s="40">
        <f t="shared" ca="1" si="84"/>
        <v>17318</v>
      </c>
      <c r="AG11" s="40">
        <f t="shared" ca="1" si="84"/>
        <v>19147</v>
      </c>
      <c r="AH11" s="40">
        <f t="shared" ca="1" si="84"/>
        <v>23933.75</v>
      </c>
      <c r="AI11" s="40">
        <f t="shared" ca="1" si="84"/>
        <v>29917.1875</v>
      </c>
      <c r="AJ11" s="40">
        <f t="shared" ca="1" si="84"/>
        <v>37396.484375</v>
      </c>
      <c r="AK11" s="40">
        <f t="shared" ca="1" si="84"/>
        <v>46745.60546875</v>
      </c>
      <c r="AL11" s="40">
        <f t="shared" ca="1" si="84"/>
        <v>58432.0068359375</v>
      </c>
      <c r="AM11" s="40">
        <f t="shared" ca="1" si="84"/>
        <v>73040.008544921875</v>
      </c>
      <c r="AN11" s="40">
        <f t="shared" ca="1" si="84"/>
        <v>91300.010681152344</v>
      </c>
      <c r="AO11" s="40">
        <f t="shared" ca="1" si="84"/>
        <v>114125.01335144043</v>
      </c>
      <c r="AP11" s="40">
        <f t="shared" ca="1" si="84"/>
        <v>142656.26668930054</v>
      </c>
      <c r="AQ11" s="40">
        <f t="shared" ca="1" si="84"/>
        <v>178320.33336162567</v>
      </c>
      <c r="AR11" s="40">
        <f t="shared" ca="1" si="84"/>
        <v>222900.41670203209</v>
      </c>
      <c r="AS11" s="40">
        <f t="shared" ca="1" si="84"/>
        <v>278625.52087754011</v>
      </c>
      <c r="AT11" s="40">
        <f t="shared" ca="1" si="84"/>
        <v>348281.90109692514</v>
      </c>
      <c r="AU11" s="40">
        <f t="shared" ca="1" si="84"/>
        <v>435352.37637115642</v>
      </c>
      <c r="AV11" s="40">
        <f t="shared" ca="1" si="84"/>
        <v>544190.47046394553</v>
      </c>
      <c r="AW11" s="40">
        <f t="shared" ca="1" si="84"/>
        <v>680238.08807993191</v>
      </c>
      <c r="AX11" s="40">
        <f t="shared" ca="1" si="84"/>
        <v>850297.61009991495</v>
      </c>
      <c r="AY11" s="40">
        <f t="shared" ca="1" si="84"/>
        <v>1062872.0126248938</v>
      </c>
      <c r="AZ11" s="40">
        <f t="shared" ca="1" si="84"/>
        <v>1328590.0157811171</v>
      </c>
      <c r="BA11" s="40">
        <f t="shared" ca="1" si="84"/>
        <v>1660737.5197263965</v>
      </c>
      <c r="BB11" s="40">
        <f t="shared" ca="1" si="84"/>
        <v>2075921.8996579957</v>
      </c>
      <c r="BC11" s="40">
        <f t="shared" ca="1" si="84"/>
        <v>2594902.3745724945</v>
      </c>
      <c r="BD11" s="40">
        <f t="shared" ca="1" si="84"/>
        <v>3243627.9682156183</v>
      </c>
      <c r="BE11" s="40">
        <f t="shared" ca="1" si="84"/>
        <v>4054534.9602695229</v>
      </c>
      <c r="BF11" s="40">
        <f t="shared" ca="1" si="84"/>
        <v>5068168.7003369033</v>
      </c>
      <c r="BG11" s="40">
        <f t="shared" ca="1" si="84"/>
        <v>6335210.8754211292</v>
      </c>
      <c r="BH11" s="40">
        <f t="shared" ca="1" si="84"/>
        <v>7919013.5942764115</v>
      </c>
      <c r="BI11" s="40">
        <f t="shared" ca="1" si="84"/>
        <v>9898766.9928455148</v>
      </c>
      <c r="BJ11" s="40">
        <f t="shared" ca="1" si="84"/>
        <v>12373458.741056893</v>
      </c>
      <c r="BK11" s="40">
        <f t="shared" ca="1" si="84"/>
        <v>15466823.426321115</v>
      </c>
      <c r="BL11" s="40">
        <f t="shared" ca="1" si="84"/>
        <v>19333529.282901395</v>
      </c>
      <c r="BM11" s="40">
        <f t="shared" ca="1" si="84"/>
        <v>24166911.603626743</v>
      </c>
      <c r="BN11" s="40">
        <f t="shared" ca="1" si="84"/>
        <v>27154404.400000002</v>
      </c>
      <c r="BO11" s="40">
        <f t="shared" ca="1" si="84"/>
        <v>27154404.400000002</v>
      </c>
      <c r="BP11" s="40">
        <f t="shared" ca="1" si="84"/>
        <v>27154404.400000002</v>
      </c>
      <c r="BQ11" s="40">
        <f t="shared" ca="1" si="84"/>
        <v>27154404.400000002</v>
      </c>
      <c r="BR11" s="40">
        <f t="shared" ca="1" si="84"/>
        <v>27154404.400000002</v>
      </c>
      <c r="BS11" s="40">
        <f t="shared" ca="1" si="84"/>
        <v>27154404.400000002</v>
      </c>
      <c r="BT11" s="40">
        <f t="shared" ca="1" si="84"/>
        <v>27154404.400000002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5"/>
        <v>27154404.400000002</v>
      </c>
      <c r="BW11" s="40">
        <f t="shared" ca="1" si="85"/>
        <v>27154404.400000002</v>
      </c>
      <c r="BX11" s="40">
        <f t="shared" ca="1" si="85"/>
        <v>27154404.400000002</v>
      </c>
      <c r="BY11" s="40">
        <f t="shared" ca="1" si="85"/>
        <v>27154404.400000002</v>
      </c>
      <c r="BZ11" s="40">
        <f t="shared" ca="1" si="85"/>
        <v>27154404.400000002</v>
      </c>
      <c r="CA11" s="40">
        <f t="shared" ca="1" si="85"/>
        <v>27154404.400000002</v>
      </c>
      <c r="CB11" s="40">
        <f t="shared" ca="1" si="85"/>
        <v>27154404.400000002</v>
      </c>
      <c r="CC11" s="40">
        <f t="shared" ca="1" si="85"/>
        <v>27154404.400000002</v>
      </c>
      <c r="CD11" s="40">
        <f t="shared" ca="1" si="85"/>
        <v>27154404.400000002</v>
      </c>
      <c r="CE11" s="40">
        <f t="shared" ca="1" si="85"/>
        <v>27154404.400000002</v>
      </c>
      <c r="CF11" s="40">
        <f t="shared" ca="1" si="85"/>
        <v>27154404.400000002</v>
      </c>
      <c r="CG11" s="40">
        <f t="shared" ca="1" si="85"/>
        <v>27154404.400000002</v>
      </c>
      <c r="CH11" s="40">
        <f t="shared" ca="1" si="85"/>
        <v>27154404.400000002</v>
      </c>
      <c r="CI11" s="40">
        <f t="shared" ca="1" si="85"/>
        <v>27154404.400000002</v>
      </c>
      <c r="CJ11" s="40">
        <f t="shared" ca="1" si="85"/>
        <v>27154404.400000002</v>
      </c>
      <c r="CK11" s="40">
        <f t="shared" ca="1" si="85"/>
        <v>27154404.400000002</v>
      </c>
      <c r="CL11" s="40">
        <f t="shared" ca="1" si="85"/>
        <v>27154404.400000002</v>
      </c>
      <c r="CM11" s="40">
        <f t="shared" ca="1" si="85"/>
        <v>27154404.400000002</v>
      </c>
      <c r="CN11" s="40">
        <f t="shared" ca="1" si="85"/>
        <v>27154404.400000002</v>
      </c>
      <c r="CO11" s="40">
        <f t="shared" ca="1" si="85"/>
        <v>27154404.400000002</v>
      </c>
      <c r="CP11" s="40">
        <f t="shared" ca="1" si="85"/>
        <v>27154404.400000002</v>
      </c>
      <c r="CQ11" s="40">
        <f t="shared" ca="1" si="85"/>
        <v>27154404.400000002</v>
      </c>
      <c r="CR11" s="40">
        <f t="shared" ca="1" si="85"/>
        <v>27154404.400000002</v>
      </c>
      <c r="CS11" s="40">
        <f t="shared" ca="1" si="85"/>
        <v>27154404.400000002</v>
      </c>
      <c r="CT11" s="40">
        <f t="shared" ca="1" si="85"/>
        <v>27154404.400000002</v>
      </c>
      <c r="CU11" s="40">
        <f t="shared" ca="1" si="85"/>
        <v>27154404.400000002</v>
      </c>
      <c r="CV11" s="40">
        <f t="shared" ca="1" si="85"/>
        <v>27154404.400000002</v>
      </c>
      <c r="CW11" s="40">
        <f t="shared" ca="1" si="85"/>
        <v>27154404.400000002</v>
      </c>
      <c r="CX11" s="40">
        <f t="shared" ca="1" si="85"/>
        <v>27154404.400000002</v>
      </c>
      <c r="CY11" s="40">
        <f t="shared" ca="1" si="85"/>
        <v>27154404.400000002</v>
      </c>
      <c r="CZ11" s="40">
        <f t="shared" ca="1" si="85"/>
        <v>27154404.400000002</v>
      </c>
      <c r="DA11" s="40">
        <f t="shared" ca="1" si="85"/>
        <v>27154404.400000002</v>
      </c>
      <c r="DB11" s="40">
        <f t="shared" ca="1" si="85"/>
        <v>27154404.400000002</v>
      </c>
      <c r="DC11" s="40">
        <f t="shared" ca="1" si="85"/>
        <v>27154404.400000002</v>
      </c>
      <c r="DD11" s="40">
        <f t="shared" ca="1" si="85"/>
        <v>27154404.400000002</v>
      </c>
      <c r="DE11" s="40">
        <f t="shared" ca="1" si="85"/>
        <v>27154404.400000002</v>
      </c>
      <c r="DF11" s="40">
        <f t="shared" ca="1" si="85"/>
        <v>27154404.400000002</v>
      </c>
      <c r="DG11" s="40">
        <f t="shared" ca="1" si="85"/>
        <v>27154404.400000002</v>
      </c>
      <c r="DH11" s="40">
        <f t="shared" ca="1" si="85"/>
        <v>27154404.400000002</v>
      </c>
      <c r="DI11" s="40">
        <f t="shared" ca="1" si="85"/>
        <v>27154404.400000002</v>
      </c>
      <c r="DJ11" s="40">
        <f t="shared" ca="1" si="85"/>
        <v>27154404.400000002</v>
      </c>
      <c r="DK11" s="40">
        <f t="shared" ca="1" si="85"/>
        <v>27154404.400000002</v>
      </c>
      <c r="DL11" s="40">
        <f t="shared" ca="1" si="85"/>
        <v>27154404.400000002</v>
      </c>
      <c r="DM11" s="40">
        <f t="shared" ca="1" si="85"/>
        <v>27154404.400000002</v>
      </c>
      <c r="DN11" s="40">
        <f t="shared" ca="1" si="85"/>
        <v>27154404.400000002</v>
      </c>
      <c r="DO11" s="40">
        <f t="shared" ca="1" si="85"/>
        <v>27154404.400000002</v>
      </c>
      <c r="DP11" s="40">
        <f t="shared" ca="1" si="85"/>
        <v>27154404.400000002</v>
      </c>
      <c r="DQ11" s="40">
        <f t="shared" ca="1" si="85"/>
        <v>27154404.400000002</v>
      </c>
      <c r="DR11" s="40">
        <f t="shared" ca="1" si="85"/>
        <v>27154404.400000002</v>
      </c>
      <c r="DS11" s="40">
        <f t="shared" ca="1" si="85"/>
        <v>27154404.400000002</v>
      </c>
      <c r="DT11" s="40">
        <f t="shared" ca="1" si="85"/>
        <v>27154404.400000002</v>
      </c>
      <c r="DU11" s="40">
        <f t="shared" ca="1" si="85"/>
        <v>27154404.400000002</v>
      </c>
      <c r="DV11" s="40">
        <f t="shared" ca="1" si="85"/>
        <v>27154404.400000002</v>
      </c>
      <c r="DW11" s="40">
        <f t="shared" ca="1" si="85"/>
        <v>27154404.400000002</v>
      </c>
      <c r="DX11" s="40">
        <f t="shared" ca="1" si="85"/>
        <v>27154404.400000002</v>
      </c>
      <c r="DY11" s="40">
        <f t="shared" ca="1" si="85"/>
        <v>27154404.400000002</v>
      </c>
      <c r="DZ11" s="40">
        <f t="shared" ca="1" si="85"/>
        <v>27154404.400000002</v>
      </c>
      <c r="EA11" s="40">
        <f t="shared" ca="1" si="85"/>
        <v>27154404.400000002</v>
      </c>
      <c r="EB11" s="40">
        <f t="shared" ca="1" si="85"/>
        <v>27154404.400000002</v>
      </c>
      <c r="EC11" s="40">
        <f t="shared" ca="1" si="85"/>
        <v>27154404.400000002</v>
      </c>
      <c r="ED11" s="40">
        <f t="shared" ca="1" si="85"/>
        <v>27154404.400000002</v>
      </c>
      <c r="EE11" s="40">
        <f t="shared" ca="1" si="85"/>
        <v>27154404.400000002</v>
      </c>
      <c r="EF11" s="40">
        <f t="shared" ca="1" si="85"/>
        <v>27154404.400000002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6"/>
        <v>27154404.400000002</v>
      </c>
      <c r="EI11" s="40">
        <f t="shared" ca="1" si="86"/>
        <v>27154404.400000002</v>
      </c>
      <c r="EJ11" s="40">
        <f t="shared" ca="1" si="86"/>
        <v>27154404.400000002</v>
      </c>
      <c r="EK11" s="40">
        <f t="shared" ca="1" si="86"/>
        <v>27154404.400000002</v>
      </c>
      <c r="EL11" s="40">
        <f t="shared" ca="1" si="86"/>
        <v>27154404.400000002</v>
      </c>
      <c r="EM11" s="40">
        <f t="shared" ca="1" si="86"/>
        <v>27154404.400000002</v>
      </c>
      <c r="EN11" s="40">
        <f t="shared" ca="1" si="86"/>
        <v>27154404.400000002</v>
      </c>
      <c r="EO11" s="40">
        <f t="shared" ca="1" si="86"/>
        <v>27154404.400000002</v>
      </c>
      <c r="EP11" s="40">
        <f t="shared" ca="1" si="86"/>
        <v>27154404.400000002</v>
      </c>
      <c r="EQ11" s="40">
        <f t="shared" ca="1" si="86"/>
        <v>27154404.400000002</v>
      </c>
      <c r="ER11" s="40">
        <f t="shared" ca="1" si="86"/>
        <v>27154404.400000002</v>
      </c>
      <c r="ES11" s="40">
        <f t="shared" ca="1" si="86"/>
        <v>27154404.400000002</v>
      </c>
      <c r="ET11" s="40">
        <f t="shared" ca="1" si="86"/>
        <v>27154404.400000002</v>
      </c>
      <c r="EU11" s="40">
        <f t="shared" ca="1" si="86"/>
        <v>27154404.400000002</v>
      </c>
      <c r="EV11" s="40">
        <f t="shared" ca="1" si="86"/>
        <v>27154404.400000002</v>
      </c>
      <c r="EW11" s="40">
        <f t="shared" ca="1" si="86"/>
        <v>27154404.400000002</v>
      </c>
      <c r="EX11" s="40">
        <f t="shared" ca="1" si="86"/>
        <v>27154404.400000002</v>
      </c>
      <c r="EY11" s="40">
        <f t="shared" ca="1" si="86"/>
        <v>27154404.400000002</v>
      </c>
      <c r="EZ11" s="40">
        <f t="shared" ca="1" si="86"/>
        <v>27154404.400000002</v>
      </c>
      <c r="FA11" s="40">
        <f t="shared" ca="1" si="86"/>
        <v>27154404.400000002</v>
      </c>
      <c r="FB11" s="40">
        <f t="shared" ca="1" si="86"/>
        <v>27154404.400000002</v>
      </c>
      <c r="FC11" s="40">
        <f t="shared" ca="1" si="86"/>
        <v>27154404.400000002</v>
      </c>
      <c r="FD11" s="40">
        <f t="shared" ca="1" si="86"/>
        <v>27154404.400000002</v>
      </c>
      <c r="FE11" s="40">
        <f t="shared" ca="1" si="86"/>
        <v>27154404.400000002</v>
      </c>
      <c r="FF11" s="40">
        <f t="shared" ca="1" si="86"/>
        <v>27154404.400000002</v>
      </c>
      <c r="FG11" s="40">
        <f t="shared" ca="1" si="86"/>
        <v>27154404.400000002</v>
      </c>
      <c r="FH11" s="40">
        <f t="shared" ca="1" si="86"/>
        <v>27154404.400000002</v>
      </c>
      <c r="FI11" s="40">
        <f t="shared" ca="1" si="86"/>
        <v>27154404.400000002</v>
      </c>
      <c r="FJ11" s="40">
        <f t="shared" ca="1" si="86"/>
        <v>27154404.400000002</v>
      </c>
      <c r="FK11" s="40">
        <f t="shared" ca="1" si="86"/>
        <v>27154404.400000002</v>
      </c>
      <c r="FL11" s="40">
        <f t="shared" ca="1" si="86"/>
        <v>27154404.400000002</v>
      </c>
      <c r="FM11" s="40">
        <f t="shared" ca="1" si="86"/>
        <v>27154404.400000002</v>
      </c>
      <c r="FN11" s="40">
        <f t="shared" ca="1" si="86"/>
        <v>27154404.400000002</v>
      </c>
      <c r="FO11" s="40">
        <f t="shared" ca="1" si="86"/>
        <v>27154404.400000002</v>
      </c>
      <c r="FP11" s="40">
        <f t="shared" ca="1" si="86"/>
        <v>27154404.400000002</v>
      </c>
      <c r="FQ11" s="40">
        <f t="shared" ca="1" si="86"/>
        <v>27154404.400000002</v>
      </c>
      <c r="FR11" s="40">
        <f t="shared" ca="1" si="86"/>
        <v>27154404.400000002</v>
      </c>
      <c r="FS11" s="40">
        <f t="shared" ca="1" si="86"/>
        <v>27154404.400000002</v>
      </c>
      <c r="FT11" s="40">
        <f t="shared" ca="1" si="86"/>
        <v>27154404.400000002</v>
      </c>
      <c r="FU11" s="40">
        <f t="shared" ca="1" si="86"/>
        <v>27154404.400000002</v>
      </c>
      <c r="FV11" s="40">
        <f t="shared" ca="1" si="86"/>
        <v>27154404.400000002</v>
      </c>
      <c r="FW11" s="40">
        <f t="shared" ca="1" si="86"/>
        <v>27154404.400000002</v>
      </c>
      <c r="FX11" s="40">
        <f t="shared" ca="1" si="86"/>
        <v>27154404.400000002</v>
      </c>
      <c r="FY11" s="40">
        <f t="shared" ca="1" si="86"/>
        <v>27154404.400000002</v>
      </c>
      <c r="FZ11" s="40">
        <f t="shared" ca="1" si="86"/>
        <v>27154404.400000002</v>
      </c>
      <c r="GA11" s="40">
        <f t="shared" ca="1" si="86"/>
        <v>27154404.400000002</v>
      </c>
      <c r="GB11" s="40">
        <f t="shared" ca="1" si="86"/>
        <v>27154404.400000002</v>
      </c>
      <c r="GC11" s="40">
        <f t="shared" ca="1" si="86"/>
        <v>27154404.400000002</v>
      </c>
      <c r="GD11" s="40">
        <f t="shared" ca="1" si="86"/>
        <v>27154404.400000002</v>
      </c>
      <c r="GE11" s="40">
        <f t="shared" ca="1" si="86"/>
        <v>27154404.400000002</v>
      </c>
      <c r="GF11" s="40">
        <f t="shared" ca="1" si="86"/>
        <v>27154404.400000002</v>
      </c>
      <c r="GG11" s="40">
        <f t="shared" ca="1" si="86"/>
        <v>27154404.400000002</v>
      </c>
      <c r="GH11" s="40">
        <f t="shared" ca="1" si="86"/>
        <v>27154404.400000002</v>
      </c>
      <c r="GI11" s="40">
        <f t="shared" ca="1" si="86"/>
        <v>27154404.400000002</v>
      </c>
      <c r="GJ11" s="40">
        <f t="shared" ca="1" si="86"/>
        <v>27154404.400000002</v>
      </c>
      <c r="GK11" s="40">
        <f t="shared" ca="1" si="86"/>
        <v>27154404.400000002</v>
      </c>
      <c r="GL11" s="40">
        <f t="shared" ca="1" si="86"/>
        <v>27154404.400000002</v>
      </c>
      <c r="GM11" s="40">
        <f t="shared" ca="1" si="86"/>
        <v>27154404.400000002</v>
      </c>
      <c r="GN11" s="40">
        <f t="shared" ca="1" si="86"/>
        <v>27154404.400000002</v>
      </c>
      <c r="GO11" s="40">
        <f t="shared" ca="1" si="86"/>
        <v>27154404.400000002</v>
      </c>
      <c r="GP11" s="40">
        <f t="shared" ca="1" si="86"/>
        <v>27154404.400000002</v>
      </c>
      <c r="GQ11" s="40">
        <f t="shared" ca="1" si="86"/>
        <v>27154404.400000002</v>
      </c>
      <c r="GR11" s="40">
        <f t="shared" ca="1" si="86"/>
        <v>27154404.400000002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7"/>
        <v>27154404.400000002</v>
      </c>
      <c r="GU11" s="40">
        <f t="shared" ca="1" si="87"/>
        <v>27154404.400000002</v>
      </c>
      <c r="GV11" s="40">
        <f t="shared" ca="1" si="87"/>
        <v>27154404.400000002</v>
      </c>
      <c r="GW11" s="40">
        <f t="shared" ca="1" si="87"/>
        <v>27154404.400000002</v>
      </c>
      <c r="GX11" s="40">
        <f t="shared" ca="1" si="87"/>
        <v>27154404.400000002</v>
      </c>
      <c r="GY11" s="40">
        <f t="shared" ca="1" si="87"/>
        <v>27154404.400000002</v>
      </c>
      <c r="GZ11" s="40">
        <f t="shared" ca="1" si="87"/>
        <v>27154404.400000002</v>
      </c>
      <c r="HA11" s="40">
        <f t="shared" ca="1" si="87"/>
        <v>27154404.400000002</v>
      </c>
      <c r="HB11" s="40">
        <f t="shared" ca="1" si="87"/>
        <v>27154404.400000002</v>
      </c>
      <c r="HC11" s="40">
        <f t="shared" ca="1" si="87"/>
        <v>27154404.400000002</v>
      </c>
      <c r="HD11" s="40">
        <f t="shared" ca="1" si="87"/>
        <v>27154404.400000002</v>
      </c>
      <c r="HE11" s="40">
        <f t="shared" ca="1" si="87"/>
        <v>27154404.400000002</v>
      </c>
      <c r="HF11" s="40">
        <f t="shared" ca="1" si="87"/>
        <v>27154404.400000002</v>
      </c>
      <c r="HG11" s="40">
        <f t="shared" ca="1" si="87"/>
        <v>27154404.400000002</v>
      </c>
      <c r="HH11" s="40">
        <f t="shared" ca="1" si="87"/>
        <v>27154404.400000002</v>
      </c>
      <c r="HI11" s="40">
        <f t="shared" ca="1" si="87"/>
        <v>27154404.400000002</v>
      </c>
      <c r="HJ11" s="40">
        <f t="shared" ca="1" si="87"/>
        <v>27154404.400000002</v>
      </c>
      <c r="HK11" s="40">
        <f t="shared" ca="1" si="87"/>
        <v>27154404.400000002</v>
      </c>
      <c r="HL11" s="40">
        <f t="shared" ca="1" si="87"/>
        <v>27154404.400000002</v>
      </c>
      <c r="HM11" s="40">
        <f t="shared" ca="1" si="87"/>
        <v>27154404.400000002</v>
      </c>
      <c r="HN11" s="40">
        <f t="shared" ca="1" si="87"/>
        <v>27154404.400000002</v>
      </c>
      <c r="HO11" s="40">
        <f t="shared" ca="1" si="87"/>
        <v>27154404.400000002</v>
      </c>
      <c r="HP11" s="40">
        <f t="shared" ca="1" si="87"/>
        <v>27154404.400000002</v>
      </c>
      <c r="HQ11" s="40">
        <f t="shared" ca="1" si="87"/>
        <v>27154404.400000002</v>
      </c>
      <c r="HR11" s="40">
        <f t="shared" ca="1" si="87"/>
        <v>27154404.400000002</v>
      </c>
      <c r="HS11" s="40">
        <f t="shared" ca="1" si="87"/>
        <v>27154404.400000002</v>
      </c>
      <c r="HT11" s="40">
        <f t="shared" ca="1" si="87"/>
        <v>27154404.400000002</v>
      </c>
      <c r="HU11" s="40">
        <f t="shared" ca="1" si="87"/>
        <v>27154404.400000002</v>
      </c>
      <c r="HV11" s="40">
        <f t="shared" ca="1" si="87"/>
        <v>27154404.400000002</v>
      </c>
      <c r="HW11" s="40">
        <f t="shared" ca="1" si="87"/>
        <v>27154404.400000002</v>
      </c>
      <c r="HX11" s="40">
        <f t="shared" ca="1" si="87"/>
        <v>27154404.400000002</v>
      </c>
      <c r="HY11" s="40">
        <f t="shared" ca="1" si="87"/>
        <v>27154404.400000002</v>
      </c>
      <c r="HZ11" s="40">
        <f t="shared" ca="1" si="87"/>
        <v>27154404.400000002</v>
      </c>
      <c r="IA11" s="40">
        <f t="shared" ca="1" si="87"/>
        <v>27154404.400000002</v>
      </c>
      <c r="IB11" s="40">
        <f t="shared" ca="1" si="87"/>
        <v>27154404.400000002</v>
      </c>
      <c r="IC11" s="40">
        <f t="shared" ca="1" si="87"/>
        <v>27154404.400000002</v>
      </c>
      <c r="ID11" s="40">
        <f t="shared" ca="1" si="87"/>
        <v>27154404.400000002</v>
      </c>
      <c r="IE11" s="40">
        <f t="shared" ca="1" si="87"/>
        <v>27154404.400000002</v>
      </c>
      <c r="IF11" s="40">
        <f t="shared" ca="1" si="87"/>
        <v>27154404.400000002</v>
      </c>
      <c r="IG11" s="40">
        <f t="shared" ca="1" si="87"/>
        <v>27154404.400000002</v>
      </c>
      <c r="IH11" s="40">
        <f t="shared" ca="1" si="87"/>
        <v>27154404.400000002</v>
      </c>
      <c r="II11" s="40">
        <f t="shared" ca="1" si="87"/>
        <v>27154404.400000002</v>
      </c>
      <c r="IJ11" s="40">
        <f t="shared" ca="1" si="87"/>
        <v>27154404.400000002</v>
      </c>
      <c r="IK11" s="40">
        <f t="shared" ca="1" si="87"/>
        <v>27154404.400000002</v>
      </c>
      <c r="IL11" s="40">
        <f t="shared" ca="1" si="87"/>
        <v>27154404.400000002</v>
      </c>
      <c r="IM11" s="40">
        <f t="shared" ca="1" si="87"/>
        <v>27154404.400000002</v>
      </c>
      <c r="IN11" s="40">
        <f t="shared" ca="1" si="87"/>
        <v>27154404.400000002</v>
      </c>
    </row>
    <row r="12" spans="2:248" x14ac:dyDescent="0.3">
      <c r="B12" s="19" t="s">
        <v>527</v>
      </c>
      <c r="C12" s="74">
        <f>VLOOKUP(B2,Days_Since_100!C:G,5,FALSE)-1</f>
        <v>0.16621495392637287</v>
      </c>
      <c r="E12" s="19"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0"/>
        <v>274</v>
      </c>
      <c r="K12" s="40">
        <f t="shared" ca="1" si="90"/>
        <v>322</v>
      </c>
      <c r="L12" s="40">
        <f t="shared" ca="1" si="90"/>
        <v>384</v>
      </c>
      <c r="M12" s="40">
        <f t="shared" ca="1" si="90"/>
        <v>459</v>
      </c>
      <c r="N12" s="40">
        <f t="shared" ca="1" si="90"/>
        <v>588</v>
      </c>
      <c r="O12" s="40">
        <f t="shared" ca="1" si="90"/>
        <v>799</v>
      </c>
      <c r="P12" s="40">
        <f t="shared" ca="1" si="90"/>
        <v>1131</v>
      </c>
      <c r="Q12" s="40">
        <f t="shared" ca="1" si="90"/>
        <v>1328</v>
      </c>
      <c r="R12" s="40">
        <f t="shared" ca="1" si="90"/>
        <v>1271</v>
      </c>
      <c r="S12" s="40">
        <f t="shared" ca="1" si="90"/>
        <v>1685</v>
      </c>
      <c r="T12" s="40">
        <f t="shared" ca="1" si="90"/>
        <v>2296</v>
      </c>
      <c r="U12" s="40">
        <f t="shared" ca="1" si="90"/>
        <v>2798</v>
      </c>
      <c r="V12" s="40">
        <f t="shared" ca="1" si="90"/>
        <v>3474</v>
      </c>
      <c r="W12" s="40">
        <f t="shared" ca="1" si="90"/>
        <v>4395</v>
      </c>
      <c r="X12" s="40">
        <f t="shared" ca="1" si="90"/>
        <v>4937</v>
      </c>
      <c r="Y12" s="40">
        <f t="shared" ca="1" si="90"/>
        <v>5681</v>
      </c>
      <c r="Z12" s="40">
        <f t="shared" ca="1" si="90"/>
        <v>6739</v>
      </c>
      <c r="AA12" s="40">
        <f t="shared" ca="1" si="90"/>
        <v>7719</v>
      </c>
      <c r="AB12" s="40">
        <f t="shared" ca="1" si="90"/>
        <v>9715</v>
      </c>
      <c r="AC12" s="40">
        <f t="shared" ca="1" si="90"/>
        <v>12314</v>
      </c>
      <c r="AD12" s="40">
        <f t="shared" ca="1" si="90"/>
        <v>14008</v>
      </c>
      <c r="AE12" s="40">
        <f t="shared" ca="1" si="90"/>
        <v>15362</v>
      </c>
      <c r="AF12" s="40">
        <f t="shared" ca="1" si="90"/>
        <v>17318</v>
      </c>
      <c r="AG12" s="40">
        <f t="shared" ca="1" si="90"/>
        <v>19147</v>
      </c>
      <c r="AH12" s="40">
        <f t="shared" ca="1" si="90"/>
        <v>26805.8</v>
      </c>
      <c r="AI12" s="40">
        <f t="shared" ca="1" si="90"/>
        <v>37528.119999999995</v>
      </c>
      <c r="AJ12" s="40">
        <f t="shared" ca="1" si="90"/>
        <v>52539.367999999988</v>
      </c>
      <c r="AK12" s="40">
        <f t="shared" ca="1" si="90"/>
        <v>73555.115199999971</v>
      </c>
      <c r="AL12" s="40">
        <f t="shared" ca="1" si="90"/>
        <v>102977.16127999996</v>
      </c>
      <c r="AM12" s="40">
        <f t="shared" ca="1" si="90"/>
        <v>144168.02579199994</v>
      </c>
      <c r="AN12" s="40">
        <f t="shared" ca="1" si="90"/>
        <v>201835.2361087999</v>
      </c>
      <c r="AO12" s="40">
        <f t="shared" ca="1" si="90"/>
        <v>282569.33055231982</v>
      </c>
      <c r="AP12" s="40">
        <f t="shared" ca="1" si="90"/>
        <v>395597.06277324772</v>
      </c>
      <c r="AQ12" s="40">
        <f t="shared" ca="1" si="90"/>
        <v>553835.88788254675</v>
      </c>
      <c r="AR12" s="40">
        <f t="shared" ca="1" si="90"/>
        <v>775370.24303556536</v>
      </c>
      <c r="AS12" s="40">
        <f t="shared" ca="1" si="90"/>
        <v>1085518.3402497915</v>
      </c>
      <c r="AT12" s="40">
        <f t="shared" ca="1" si="90"/>
        <v>1519725.6763497081</v>
      </c>
      <c r="AU12" s="40">
        <f t="shared" ca="1" si="90"/>
        <v>2127615.9468895914</v>
      </c>
      <c r="AV12" s="40">
        <f t="shared" ca="1" si="90"/>
        <v>2978662.3256454277</v>
      </c>
      <c r="AW12" s="40">
        <f t="shared" ca="1" si="90"/>
        <v>4170127.2559035984</v>
      </c>
      <c r="AX12" s="40">
        <f t="shared" ca="1" si="90"/>
        <v>5838178.1582650375</v>
      </c>
      <c r="AY12" s="40">
        <f t="shared" ca="1" si="90"/>
        <v>8173449.4215710517</v>
      </c>
      <c r="AZ12" s="40">
        <f t="shared" ca="1" si="90"/>
        <v>11442829.190199472</v>
      </c>
      <c r="BA12" s="40">
        <f t="shared" ca="1" si="90"/>
        <v>16019960.866279259</v>
      </c>
      <c r="BB12" s="40">
        <f t="shared" ca="1" si="90"/>
        <v>22427945.212790962</v>
      </c>
      <c r="BC12" s="40">
        <f t="shared" ca="1" si="90"/>
        <v>27154404.400000002</v>
      </c>
      <c r="BD12" s="40">
        <f t="shared" ca="1" si="90"/>
        <v>27154404.400000002</v>
      </c>
      <c r="BE12" s="40">
        <f t="shared" ca="1" si="90"/>
        <v>27154404.400000002</v>
      </c>
      <c r="BF12" s="40">
        <f t="shared" ca="1" si="90"/>
        <v>27154404.400000002</v>
      </c>
      <c r="BG12" s="40">
        <f t="shared" ca="1" si="90"/>
        <v>27154404.400000002</v>
      </c>
      <c r="BH12" s="40">
        <f t="shared" ca="1" si="90"/>
        <v>27154404.400000002</v>
      </c>
      <c r="BI12" s="40">
        <f t="shared" ca="1" si="90"/>
        <v>27154404.400000002</v>
      </c>
      <c r="BJ12" s="40">
        <f t="shared" ca="1" si="90"/>
        <v>27154404.400000002</v>
      </c>
      <c r="BK12" s="40">
        <f t="shared" ca="1" si="90"/>
        <v>27154404.400000002</v>
      </c>
      <c r="BL12" s="40">
        <f t="shared" ca="1" si="90"/>
        <v>27154404.400000002</v>
      </c>
      <c r="BM12" s="40">
        <f t="shared" ca="1" si="90"/>
        <v>27154404.400000002</v>
      </c>
      <c r="BN12" s="40">
        <f t="shared" ca="1" si="90"/>
        <v>27154404.400000002</v>
      </c>
      <c r="BO12" s="40">
        <f t="shared" ca="1" si="90"/>
        <v>27154404.400000002</v>
      </c>
      <c r="BP12" s="40">
        <f t="shared" ca="1" si="90"/>
        <v>27154404.400000002</v>
      </c>
      <c r="BQ12" s="40">
        <f t="shared" ca="1" si="90"/>
        <v>27154404.400000002</v>
      </c>
      <c r="BR12" s="40">
        <f t="shared" ca="1" si="90"/>
        <v>27154404.400000002</v>
      </c>
      <c r="BS12" s="40">
        <f t="shared" ca="1" si="90"/>
        <v>27154404.400000002</v>
      </c>
      <c r="BT12" s="40">
        <f t="shared" ca="1" si="90"/>
        <v>27154404.400000002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1"/>
        <v>27154404.400000002</v>
      </c>
      <c r="BW12" s="40">
        <f t="shared" ca="1" si="91"/>
        <v>27154404.400000002</v>
      </c>
      <c r="BX12" s="40">
        <f t="shared" ca="1" si="91"/>
        <v>27154404.400000002</v>
      </c>
      <c r="BY12" s="40">
        <f t="shared" ca="1" si="91"/>
        <v>27154404.400000002</v>
      </c>
      <c r="BZ12" s="40">
        <f t="shared" ca="1" si="91"/>
        <v>27154404.400000002</v>
      </c>
      <c r="CA12" s="40">
        <f t="shared" ca="1" si="91"/>
        <v>27154404.400000002</v>
      </c>
      <c r="CB12" s="40">
        <f t="shared" ca="1" si="91"/>
        <v>27154404.400000002</v>
      </c>
      <c r="CC12" s="40">
        <f t="shared" ca="1" si="91"/>
        <v>27154404.400000002</v>
      </c>
      <c r="CD12" s="40">
        <f t="shared" ca="1" si="91"/>
        <v>27154404.400000002</v>
      </c>
      <c r="CE12" s="40">
        <f t="shared" ca="1" si="91"/>
        <v>27154404.400000002</v>
      </c>
      <c r="CF12" s="40">
        <f t="shared" ca="1" si="91"/>
        <v>27154404.400000002</v>
      </c>
      <c r="CG12" s="40">
        <f t="shared" ca="1" si="91"/>
        <v>27154404.400000002</v>
      </c>
      <c r="CH12" s="40">
        <f t="shared" ca="1" si="91"/>
        <v>27154404.400000002</v>
      </c>
      <c r="CI12" s="40">
        <f t="shared" ca="1" si="91"/>
        <v>27154404.400000002</v>
      </c>
      <c r="CJ12" s="40">
        <f t="shared" ca="1" si="91"/>
        <v>27154404.400000002</v>
      </c>
      <c r="CK12" s="40">
        <f t="shared" ca="1" si="91"/>
        <v>27154404.400000002</v>
      </c>
      <c r="CL12" s="40">
        <f t="shared" ca="1" si="91"/>
        <v>27154404.400000002</v>
      </c>
      <c r="CM12" s="40">
        <f t="shared" ca="1" si="91"/>
        <v>27154404.400000002</v>
      </c>
      <c r="CN12" s="40">
        <f t="shared" ca="1" si="91"/>
        <v>27154404.400000002</v>
      </c>
      <c r="CO12" s="40">
        <f t="shared" ca="1" si="91"/>
        <v>27154404.400000002</v>
      </c>
      <c r="CP12" s="40">
        <f t="shared" ca="1" si="91"/>
        <v>27154404.400000002</v>
      </c>
      <c r="CQ12" s="40">
        <f t="shared" ca="1" si="91"/>
        <v>27154404.400000002</v>
      </c>
      <c r="CR12" s="40">
        <f t="shared" ca="1" si="91"/>
        <v>27154404.400000002</v>
      </c>
      <c r="CS12" s="40">
        <f t="shared" ca="1" si="91"/>
        <v>27154404.400000002</v>
      </c>
      <c r="CT12" s="40">
        <f t="shared" ca="1" si="91"/>
        <v>27154404.400000002</v>
      </c>
      <c r="CU12" s="40">
        <f t="shared" ca="1" si="91"/>
        <v>27154404.400000002</v>
      </c>
      <c r="CV12" s="40">
        <f t="shared" ca="1" si="91"/>
        <v>27154404.400000002</v>
      </c>
      <c r="CW12" s="40">
        <f t="shared" ca="1" si="91"/>
        <v>27154404.400000002</v>
      </c>
      <c r="CX12" s="40">
        <f t="shared" ca="1" si="91"/>
        <v>27154404.400000002</v>
      </c>
      <c r="CY12" s="40">
        <f t="shared" ca="1" si="91"/>
        <v>27154404.400000002</v>
      </c>
      <c r="CZ12" s="40">
        <f t="shared" ca="1" si="91"/>
        <v>27154404.400000002</v>
      </c>
      <c r="DA12" s="40">
        <f t="shared" ca="1" si="91"/>
        <v>27154404.400000002</v>
      </c>
      <c r="DB12" s="40">
        <f t="shared" ca="1" si="91"/>
        <v>27154404.400000002</v>
      </c>
      <c r="DC12" s="40">
        <f t="shared" ca="1" si="91"/>
        <v>27154404.400000002</v>
      </c>
      <c r="DD12" s="40">
        <f t="shared" ca="1" si="91"/>
        <v>27154404.400000002</v>
      </c>
      <c r="DE12" s="40">
        <f t="shared" ca="1" si="91"/>
        <v>27154404.400000002</v>
      </c>
      <c r="DF12" s="40">
        <f t="shared" ca="1" si="91"/>
        <v>27154404.400000002</v>
      </c>
      <c r="DG12" s="40">
        <f t="shared" ca="1" si="91"/>
        <v>27154404.400000002</v>
      </c>
      <c r="DH12" s="40">
        <f t="shared" ca="1" si="91"/>
        <v>27154404.400000002</v>
      </c>
      <c r="DI12" s="40">
        <f t="shared" ca="1" si="91"/>
        <v>27154404.400000002</v>
      </c>
      <c r="DJ12" s="40">
        <f t="shared" ca="1" si="91"/>
        <v>27154404.400000002</v>
      </c>
      <c r="DK12" s="40">
        <f t="shared" ca="1" si="91"/>
        <v>27154404.400000002</v>
      </c>
      <c r="DL12" s="40">
        <f t="shared" ca="1" si="91"/>
        <v>27154404.400000002</v>
      </c>
      <c r="DM12" s="40">
        <f t="shared" ca="1" si="91"/>
        <v>27154404.400000002</v>
      </c>
      <c r="DN12" s="40">
        <f t="shared" ca="1" si="91"/>
        <v>27154404.400000002</v>
      </c>
      <c r="DO12" s="40">
        <f t="shared" ca="1" si="91"/>
        <v>27154404.400000002</v>
      </c>
      <c r="DP12" s="40">
        <f t="shared" ca="1" si="91"/>
        <v>27154404.400000002</v>
      </c>
      <c r="DQ12" s="40">
        <f t="shared" ca="1" si="91"/>
        <v>27154404.400000002</v>
      </c>
      <c r="DR12" s="40">
        <f t="shared" ca="1" si="91"/>
        <v>27154404.400000002</v>
      </c>
      <c r="DS12" s="40">
        <f t="shared" ca="1" si="91"/>
        <v>27154404.400000002</v>
      </c>
      <c r="DT12" s="40">
        <f t="shared" ca="1" si="91"/>
        <v>27154404.400000002</v>
      </c>
      <c r="DU12" s="40">
        <f t="shared" ca="1" si="91"/>
        <v>27154404.400000002</v>
      </c>
      <c r="DV12" s="40">
        <f t="shared" ca="1" si="91"/>
        <v>27154404.400000002</v>
      </c>
      <c r="DW12" s="40">
        <f t="shared" ca="1" si="91"/>
        <v>27154404.400000002</v>
      </c>
      <c r="DX12" s="40">
        <f t="shared" ca="1" si="91"/>
        <v>27154404.400000002</v>
      </c>
      <c r="DY12" s="40">
        <f t="shared" ca="1" si="91"/>
        <v>27154404.400000002</v>
      </c>
      <c r="DZ12" s="40">
        <f t="shared" ca="1" si="91"/>
        <v>27154404.400000002</v>
      </c>
      <c r="EA12" s="40">
        <f t="shared" ca="1" si="91"/>
        <v>27154404.400000002</v>
      </c>
      <c r="EB12" s="40">
        <f t="shared" ca="1" si="91"/>
        <v>27154404.400000002</v>
      </c>
      <c r="EC12" s="40">
        <f t="shared" ca="1" si="91"/>
        <v>27154404.400000002</v>
      </c>
      <c r="ED12" s="40">
        <f t="shared" ca="1" si="91"/>
        <v>27154404.400000002</v>
      </c>
      <c r="EE12" s="40">
        <f t="shared" ca="1" si="91"/>
        <v>27154404.400000002</v>
      </c>
      <c r="EF12" s="40">
        <f t="shared" ca="1" si="91"/>
        <v>27154404.400000002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2"/>
        <v>27154404.400000002</v>
      </c>
      <c r="EI12" s="40">
        <f t="shared" ca="1" si="92"/>
        <v>27154404.400000002</v>
      </c>
      <c r="EJ12" s="40">
        <f t="shared" ca="1" si="92"/>
        <v>27154404.400000002</v>
      </c>
      <c r="EK12" s="40">
        <f t="shared" ca="1" si="92"/>
        <v>27154404.400000002</v>
      </c>
      <c r="EL12" s="40">
        <f t="shared" ca="1" si="92"/>
        <v>27154404.400000002</v>
      </c>
      <c r="EM12" s="40">
        <f t="shared" ca="1" si="92"/>
        <v>27154404.400000002</v>
      </c>
      <c r="EN12" s="40">
        <f t="shared" ca="1" si="92"/>
        <v>27154404.400000002</v>
      </c>
      <c r="EO12" s="40">
        <f t="shared" ca="1" si="92"/>
        <v>27154404.400000002</v>
      </c>
      <c r="EP12" s="40">
        <f t="shared" ca="1" si="92"/>
        <v>27154404.400000002</v>
      </c>
      <c r="EQ12" s="40">
        <f t="shared" ca="1" si="92"/>
        <v>27154404.400000002</v>
      </c>
      <c r="ER12" s="40">
        <f t="shared" ca="1" si="92"/>
        <v>27154404.400000002</v>
      </c>
      <c r="ES12" s="40">
        <f t="shared" ca="1" si="92"/>
        <v>27154404.400000002</v>
      </c>
      <c r="ET12" s="40">
        <f t="shared" ca="1" si="92"/>
        <v>27154404.400000002</v>
      </c>
      <c r="EU12" s="40">
        <f t="shared" ca="1" si="92"/>
        <v>27154404.400000002</v>
      </c>
      <c r="EV12" s="40">
        <f t="shared" ca="1" si="92"/>
        <v>27154404.400000002</v>
      </c>
      <c r="EW12" s="40">
        <f t="shared" ca="1" si="92"/>
        <v>27154404.400000002</v>
      </c>
      <c r="EX12" s="40">
        <f t="shared" ca="1" si="92"/>
        <v>27154404.400000002</v>
      </c>
      <c r="EY12" s="40">
        <f t="shared" ca="1" si="92"/>
        <v>27154404.400000002</v>
      </c>
      <c r="EZ12" s="40">
        <f t="shared" ca="1" si="92"/>
        <v>27154404.400000002</v>
      </c>
      <c r="FA12" s="40">
        <f t="shared" ca="1" si="92"/>
        <v>27154404.400000002</v>
      </c>
      <c r="FB12" s="40">
        <f t="shared" ca="1" si="92"/>
        <v>27154404.400000002</v>
      </c>
      <c r="FC12" s="40">
        <f t="shared" ca="1" si="92"/>
        <v>27154404.400000002</v>
      </c>
      <c r="FD12" s="40">
        <f t="shared" ca="1" si="92"/>
        <v>27154404.400000002</v>
      </c>
      <c r="FE12" s="40">
        <f t="shared" ca="1" si="92"/>
        <v>27154404.400000002</v>
      </c>
      <c r="FF12" s="40">
        <f t="shared" ca="1" si="92"/>
        <v>27154404.400000002</v>
      </c>
      <c r="FG12" s="40">
        <f t="shared" ca="1" si="92"/>
        <v>27154404.400000002</v>
      </c>
      <c r="FH12" s="40">
        <f t="shared" ca="1" si="92"/>
        <v>27154404.400000002</v>
      </c>
      <c r="FI12" s="40">
        <f t="shared" ca="1" si="92"/>
        <v>27154404.400000002</v>
      </c>
      <c r="FJ12" s="40">
        <f t="shared" ca="1" si="92"/>
        <v>27154404.400000002</v>
      </c>
      <c r="FK12" s="40">
        <f t="shared" ca="1" si="92"/>
        <v>27154404.400000002</v>
      </c>
      <c r="FL12" s="40">
        <f t="shared" ca="1" si="92"/>
        <v>27154404.400000002</v>
      </c>
      <c r="FM12" s="40">
        <f t="shared" ca="1" si="92"/>
        <v>27154404.400000002</v>
      </c>
      <c r="FN12" s="40">
        <f t="shared" ca="1" si="92"/>
        <v>27154404.400000002</v>
      </c>
      <c r="FO12" s="40">
        <f t="shared" ca="1" si="92"/>
        <v>27154404.400000002</v>
      </c>
      <c r="FP12" s="40">
        <f t="shared" ca="1" si="92"/>
        <v>27154404.400000002</v>
      </c>
      <c r="FQ12" s="40">
        <f t="shared" ca="1" si="92"/>
        <v>27154404.400000002</v>
      </c>
      <c r="FR12" s="40">
        <f t="shared" ca="1" si="92"/>
        <v>27154404.400000002</v>
      </c>
      <c r="FS12" s="40">
        <f t="shared" ca="1" si="92"/>
        <v>27154404.400000002</v>
      </c>
      <c r="FT12" s="40">
        <f t="shared" ca="1" si="92"/>
        <v>27154404.400000002</v>
      </c>
      <c r="FU12" s="40">
        <f t="shared" ca="1" si="92"/>
        <v>27154404.400000002</v>
      </c>
      <c r="FV12" s="40">
        <f t="shared" ca="1" si="92"/>
        <v>27154404.400000002</v>
      </c>
      <c r="FW12" s="40">
        <f t="shared" ca="1" si="92"/>
        <v>27154404.400000002</v>
      </c>
      <c r="FX12" s="40">
        <f t="shared" ca="1" si="92"/>
        <v>27154404.400000002</v>
      </c>
      <c r="FY12" s="40">
        <f t="shared" ca="1" si="92"/>
        <v>27154404.400000002</v>
      </c>
      <c r="FZ12" s="40">
        <f t="shared" ca="1" si="92"/>
        <v>27154404.400000002</v>
      </c>
      <c r="GA12" s="40">
        <f t="shared" ca="1" si="92"/>
        <v>27154404.400000002</v>
      </c>
      <c r="GB12" s="40">
        <f t="shared" ca="1" si="92"/>
        <v>27154404.400000002</v>
      </c>
      <c r="GC12" s="40">
        <f t="shared" ca="1" si="92"/>
        <v>27154404.400000002</v>
      </c>
      <c r="GD12" s="40">
        <f t="shared" ca="1" si="92"/>
        <v>27154404.400000002</v>
      </c>
      <c r="GE12" s="40">
        <f t="shared" ca="1" si="92"/>
        <v>27154404.400000002</v>
      </c>
      <c r="GF12" s="40">
        <f t="shared" ca="1" si="92"/>
        <v>27154404.400000002</v>
      </c>
      <c r="GG12" s="40">
        <f t="shared" ca="1" si="92"/>
        <v>27154404.400000002</v>
      </c>
      <c r="GH12" s="40">
        <f t="shared" ca="1" si="92"/>
        <v>27154404.400000002</v>
      </c>
      <c r="GI12" s="40">
        <f t="shared" ca="1" si="92"/>
        <v>27154404.400000002</v>
      </c>
      <c r="GJ12" s="40">
        <f t="shared" ca="1" si="92"/>
        <v>27154404.400000002</v>
      </c>
      <c r="GK12" s="40">
        <f t="shared" ca="1" si="92"/>
        <v>27154404.400000002</v>
      </c>
      <c r="GL12" s="40">
        <f t="shared" ca="1" si="92"/>
        <v>27154404.400000002</v>
      </c>
      <c r="GM12" s="40">
        <f t="shared" ca="1" si="92"/>
        <v>27154404.400000002</v>
      </c>
      <c r="GN12" s="40">
        <f t="shared" ca="1" si="92"/>
        <v>27154404.400000002</v>
      </c>
      <c r="GO12" s="40">
        <f t="shared" ca="1" si="92"/>
        <v>27154404.400000002</v>
      </c>
      <c r="GP12" s="40">
        <f t="shared" ca="1" si="92"/>
        <v>27154404.400000002</v>
      </c>
      <c r="GQ12" s="40">
        <f t="shared" ca="1" si="92"/>
        <v>27154404.400000002</v>
      </c>
      <c r="GR12" s="40">
        <f t="shared" ca="1" si="92"/>
        <v>27154404.400000002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3"/>
        <v>27154404.400000002</v>
      </c>
      <c r="GU12" s="40">
        <f t="shared" ca="1" si="93"/>
        <v>27154404.400000002</v>
      </c>
      <c r="GV12" s="40">
        <f t="shared" ca="1" si="93"/>
        <v>27154404.400000002</v>
      </c>
      <c r="GW12" s="40">
        <f t="shared" ca="1" si="93"/>
        <v>27154404.400000002</v>
      </c>
      <c r="GX12" s="40">
        <f t="shared" ca="1" si="93"/>
        <v>27154404.400000002</v>
      </c>
      <c r="GY12" s="40">
        <f t="shared" ca="1" si="93"/>
        <v>27154404.400000002</v>
      </c>
      <c r="GZ12" s="40">
        <f t="shared" ca="1" si="93"/>
        <v>27154404.400000002</v>
      </c>
      <c r="HA12" s="40">
        <f t="shared" ca="1" si="93"/>
        <v>27154404.400000002</v>
      </c>
      <c r="HB12" s="40">
        <f t="shared" ca="1" si="93"/>
        <v>27154404.400000002</v>
      </c>
      <c r="HC12" s="40">
        <f t="shared" ca="1" si="93"/>
        <v>27154404.400000002</v>
      </c>
      <c r="HD12" s="40">
        <f t="shared" ca="1" si="93"/>
        <v>27154404.400000002</v>
      </c>
      <c r="HE12" s="40">
        <f t="shared" ca="1" si="93"/>
        <v>27154404.400000002</v>
      </c>
      <c r="HF12" s="40">
        <f t="shared" ca="1" si="93"/>
        <v>27154404.400000002</v>
      </c>
      <c r="HG12" s="40">
        <f t="shared" ca="1" si="93"/>
        <v>27154404.400000002</v>
      </c>
      <c r="HH12" s="40">
        <f t="shared" ca="1" si="93"/>
        <v>27154404.400000002</v>
      </c>
      <c r="HI12" s="40">
        <f t="shared" ca="1" si="93"/>
        <v>27154404.400000002</v>
      </c>
      <c r="HJ12" s="40">
        <f t="shared" ca="1" si="93"/>
        <v>27154404.400000002</v>
      </c>
      <c r="HK12" s="40">
        <f t="shared" ca="1" si="93"/>
        <v>27154404.400000002</v>
      </c>
      <c r="HL12" s="40">
        <f t="shared" ca="1" si="93"/>
        <v>27154404.400000002</v>
      </c>
      <c r="HM12" s="40">
        <f t="shared" ca="1" si="93"/>
        <v>27154404.400000002</v>
      </c>
      <c r="HN12" s="40">
        <f t="shared" ca="1" si="93"/>
        <v>27154404.400000002</v>
      </c>
      <c r="HO12" s="40">
        <f t="shared" ca="1" si="93"/>
        <v>27154404.400000002</v>
      </c>
      <c r="HP12" s="40">
        <f t="shared" ca="1" si="93"/>
        <v>27154404.400000002</v>
      </c>
      <c r="HQ12" s="40">
        <f t="shared" ca="1" si="93"/>
        <v>27154404.400000002</v>
      </c>
      <c r="HR12" s="40">
        <f t="shared" ca="1" si="93"/>
        <v>27154404.400000002</v>
      </c>
      <c r="HS12" s="40">
        <f t="shared" ca="1" si="93"/>
        <v>27154404.400000002</v>
      </c>
      <c r="HT12" s="40">
        <f t="shared" ca="1" si="93"/>
        <v>27154404.400000002</v>
      </c>
      <c r="HU12" s="40">
        <f t="shared" ca="1" si="93"/>
        <v>27154404.400000002</v>
      </c>
      <c r="HV12" s="40">
        <f t="shared" ca="1" si="93"/>
        <v>27154404.400000002</v>
      </c>
      <c r="HW12" s="40">
        <f t="shared" ca="1" si="93"/>
        <v>27154404.400000002</v>
      </c>
      <c r="HX12" s="40">
        <f t="shared" ca="1" si="93"/>
        <v>27154404.400000002</v>
      </c>
      <c r="HY12" s="40">
        <f t="shared" ca="1" si="93"/>
        <v>27154404.400000002</v>
      </c>
      <c r="HZ12" s="40">
        <f t="shared" ca="1" si="93"/>
        <v>27154404.400000002</v>
      </c>
      <c r="IA12" s="40">
        <f t="shared" ca="1" si="93"/>
        <v>27154404.400000002</v>
      </c>
      <c r="IB12" s="40">
        <f t="shared" ca="1" si="93"/>
        <v>27154404.400000002</v>
      </c>
      <c r="IC12" s="40">
        <f t="shared" ca="1" si="93"/>
        <v>27154404.400000002</v>
      </c>
      <c r="ID12" s="40">
        <f t="shared" ca="1" si="93"/>
        <v>27154404.400000002</v>
      </c>
      <c r="IE12" s="40">
        <f t="shared" ca="1" si="93"/>
        <v>27154404.400000002</v>
      </c>
      <c r="IF12" s="40">
        <f t="shared" ca="1" si="93"/>
        <v>27154404.400000002</v>
      </c>
      <c r="IG12" s="40">
        <f t="shared" ca="1" si="93"/>
        <v>27154404.400000002</v>
      </c>
      <c r="IH12" s="40">
        <f t="shared" ca="1" si="93"/>
        <v>27154404.400000002</v>
      </c>
      <c r="II12" s="40">
        <f t="shared" ca="1" si="93"/>
        <v>27154404.400000002</v>
      </c>
      <c r="IJ12" s="40">
        <f t="shared" ca="1" si="93"/>
        <v>27154404.400000002</v>
      </c>
      <c r="IK12" s="40">
        <f t="shared" ca="1" si="93"/>
        <v>27154404.400000002</v>
      </c>
      <c r="IL12" s="40">
        <f t="shared" ca="1" si="93"/>
        <v>27154404.400000002</v>
      </c>
      <c r="IM12" s="40">
        <f t="shared" ca="1" si="93"/>
        <v>27154404.400000002</v>
      </c>
      <c r="IN12" s="40">
        <f t="shared" ca="1" si="93"/>
        <v>27154404.400000002</v>
      </c>
    </row>
    <row r="13" spans="2:248" x14ac:dyDescent="0.3">
      <c r="B13" s="19" t="s">
        <v>586</v>
      </c>
      <c r="C13" s="74">
        <f ca="1">HLOOKUP($C$5-1,G4:IN17,14,FALSE)</f>
        <v>0.2464825136453194</v>
      </c>
      <c r="F13" s="19" t="s">
        <v>587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4">IF(ISNA(I5),NA(),IF(J4&lt;$C$10,(J5/OFFSET(J5,0,-J4))^(1/(J4)),(J5/OFFSET(J5,0,-$C$10))^(1/$C$10))-1)</f>
        <v>0.33177499932927024</v>
      </c>
      <c r="K13" s="53">
        <f t="shared" ca="1" si="94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4"/>
        <v>0.22855263432816053</v>
      </c>
      <c r="N13" s="53">
        <f t="shared" ca="1" si="94"/>
        <v>0.23303763733800897</v>
      </c>
      <c r="O13" s="53">
        <f t="shared" ca="1" si="94"/>
        <v>0.23960911526381667</v>
      </c>
      <c r="P13" s="53">
        <f t="shared" ca="1" si="94"/>
        <v>0.28858784541083837</v>
      </c>
      <c r="Q13" s="53">
        <f t="shared" ca="1" si="94"/>
        <v>0.28683129505090266</v>
      </c>
      <c r="R13" s="53">
        <f t="shared" ca="1" si="94"/>
        <v>0.27573309599233808</v>
      </c>
      <c r="S13" s="53">
        <f t="shared" ca="1" si="94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4"/>
        <v>0.23366652136662935</v>
      </c>
      <c r="V13" s="53">
        <f t="shared" ca="1" si="94"/>
        <v>0.2425893143830935</v>
      </c>
      <c r="W13" s="53">
        <f t="shared" ca="1" si="94"/>
        <v>0.26714939712946473</v>
      </c>
      <c r="X13" s="53">
        <f t="shared" ca="1" si="94"/>
        <v>0.23995747864251982</v>
      </c>
      <c r="Y13" s="53">
        <f t="shared" ca="1" si="94"/>
        <v>0.20549332492930561</v>
      </c>
      <c r="Z13" s="53">
        <f t="shared" ca="1" si="94"/>
        <v>0.20087447845210238</v>
      </c>
      <c r="AA13" s="53">
        <f t="shared" ca="1" si="94"/>
        <v>0.19151614981125942</v>
      </c>
      <c r="AB13" s="53">
        <f t="shared" ca="1" si="94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4"/>
        <v>0.20814226047075834</v>
      </c>
      <c r="AE13" s="53">
        <f t="shared" ca="1" si="94"/>
        <v>0.19361607286565263</v>
      </c>
      <c r="AF13" s="53">
        <f t="shared" ca="1" si="94"/>
        <v>0.18423929746453949</v>
      </c>
      <c r="AG13" s="53">
        <f ca="1">IF(ISNA(AF5),NA(),IF(AG4&lt;$C$10,(AG5/OFFSET(AG5,0,-AG4))^(1/(AG4)),(AG5/OFFSET(AG5,0,-$C$10))^(1/$C$10))-1)</f>
        <v>0.16621495392637287</v>
      </c>
      <c r="AH13" s="53" t="e">
        <f t="shared" ca="1" si="94"/>
        <v>#N/A</v>
      </c>
      <c r="AI13" s="53" t="e">
        <f t="shared" ca="1" si="94"/>
        <v>#N/A</v>
      </c>
      <c r="AJ13" s="53" t="e">
        <f t="shared" ca="1" si="94"/>
        <v>#N/A</v>
      </c>
      <c r="AK13" s="53" t="e">
        <f t="shared" ca="1" si="94"/>
        <v>#N/A</v>
      </c>
      <c r="AL13" s="53" t="e">
        <f t="shared" ca="1" si="94"/>
        <v>#N/A</v>
      </c>
      <c r="AM13" s="53" t="e">
        <f t="shared" ca="1" si="94"/>
        <v>#N/A</v>
      </c>
      <c r="AN13" s="53" t="e">
        <f t="shared" ca="1" si="94"/>
        <v>#N/A</v>
      </c>
      <c r="AO13" s="53" t="e">
        <f t="shared" ca="1" si="94"/>
        <v>#N/A</v>
      </c>
      <c r="AP13" s="53" t="e">
        <f t="shared" ca="1" si="94"/>
        <v>#N/A</v>
      </c>
      <c r="AQ13" s="53" t="e">
        <f t="shared" ca="1" si="94"/>
        <v>#N/A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29716.323240997906</v>
      </c>
      <c r="F14" s="19" t="s">
        <v>601</v>
      </c>
      <c r="G14" s="53">
        <f ca="1">H14</f>
        <v>0.4137931034482758</v>
      </c>
      <c r="H14" s="53">
        <f ca="1">IF(ISNA(G8),NA(),IF(H4&lt;$C$10,(H8/OFFSET(H8,0,-H4))^(1/(H4)),(H8/OFFSET(H8,0,-$C$10))^(1/$C$10))-1)</f>
        <v>0.4137931034482758</v>
      </c>
      <c r="I14" s="53">
        <f t="shared" ref="I14:BT14" ca="1" si="98">IF(ISNA(H8),NA(),IF(I4&lt;$C$10,(I8/OFFSET(I8,0,-I4))^(1/(I4)),(I8/OFFSET(I8,0,-$C$10))^(1/$C$10))-1)</f>
        <v>0.33584533484258183</v>
      </c>
      <c r="J14" s="53">
        <f t="shared" ca="1" si="98"/>
        <v>0.33177499932927024</v>
      </c>
      <c r="K14" s="53">
        <f t="shared" ca="1" si="98"/>
        <v>0.29077180589770335</v>
      </c>
      <c r="L14" s="53">
        <f t="shared" ca="1" si="98"/>
        <v>0.27049993459236288</v>
      </c>
      <c r="M14" s="53">
        <f t="shared" ca="1" si="98"/>
        <v>0.22855263432816053</v>
      </c>
      <c r="N14" s="53">
        <f t="shared" ca="1" si="98"/>
        <v>0.23220054380487376</v>
      </c>
      <c r="O14" s="53">
        <f t="shared" ca="1" si="98"/>
        <v>0.2386803361622456</v>
      </c>
      <c r="P14" s="53">
        <f t="shared" ca="1" si="98"/>
        <v>0.28564583332242544</v>
      </c>
      <c r="Q14" s="53">
        <f t="shared" ca="1" si="98"/>
        <v>0.28166159281500835</v>
      </c>
      <c r="R14" s="53">
        <f t="shared" ca="1" si="98"/>
        <v>0.22593254085261694</v>
      </c>
      <c r="S14" s="53">
        <f t="shared" ca="1" si="98"/>
        <v>0.23436760595569517</v>
      </c>
      <c r="T14" s="53">
        <f t="shared" ca="1" si="98"/>
        <v>0.23505136750278721</v>
      </c>
      <c r="U14" s="53">
        <f t="shared" ca="1" si="98"/>
        <v>0.19860758330239303</v>
      </c>
      <c r="V14" s="53">
        <f t="shared" ca="1" si="98"/>
        <v>0.21206622028442301</v>
      </c>
      <c r="W14" s="53">
        <f t="shared" ca="1" si="98"/>
        <v>0.28163000318904796</v>
      </c>
      <c r="X14" s="53">
        <f t="shared" ca="1" si="98"/>
        <v>0.23985998645749285</v>
      </c>
      <c r="Y14" s="53">
        <f t="shared" ca="1" si="98"/>
        <v>0.19864500825295339</v>
      </c>
      <c r="Z14" s="53">
        <f t="shared" ca="1" si="98"/>
        <v>0.19220118521485619</v>
      </c>
      <c r="AA14" s="53">
        <f t="shared" ca="1" si="98"/>
        <v>0.17313028197332891</v>
      </c>
      <c r="AB14" s="53">
        <f t="shared" ca="1" si="98"/>
        <v>0.17191681343557641</v>
      </c>
      <c r="AC14" s="53">
        <f t="shared" ca="1" si="98"/>
        <v>0.20056921893977764</v>
      </c>
      <c r="AD14" s="53">
        <f t="shared" ca="1" si="98"/>
        <v>0.19781643804142401</v>
      </c>
      <c r="AE14" s="53">
        <f t="shared" ca="1" si="98"/>
        <v>0.1791538162033961</v>
      </c>
      <c r="AF14" s="53">
        <f t="shared" ca="1" si="98"/>
        <v>0.17540447242333435</v>
      </c>
      <c r="AG14" s="53">
        <f t="shared" ca="1" si="98"/>
        <v>0.14533250532455866</v>
      </c>
      <c r="AH14" s="53" t="e">
        <f t="shared" ca="1" si="98"/>
        <v>#N/A</v>
      </c>
      <c r="AI14" s="53" t="e">
        <f t="shared" ca="1" si="98"/>
        <v>#N/A</v>
      </c>
      <c r="AJ14" s="53" t="e">
        <f t="shared" ca="1" si="98"/>
        <v>#N/A</v>
      </c>
      <c r="AK14" s="53" t="e">
        <f t="shared" ca="1" si="98"/>
        <v>#N/A</v>
      </c>
      <c r="AL14" s="53" t="e">
        <f t="shared" ca="1" si="98"/>
        <v>#N/A</v>
      </c>
      <c r="AM14" s="53" t="e">
        <f t="shared" ca="1" si="98"/>
        <v>#N/A</v>
      </c>
      <c r="AN14" s="53" t="e">
        <f t="shared" ca="1" si="98"/>
        <v>#N/A</v>
      </c>
      <c r="AO14" s="53" t="e">
        <f t="shared" ca="1" si="98"/>
        <v>#N/A</v>
      </c>
      <c r="AP14" s="53" t="e">
        <f t="shared" ca="1" si="98"/>
        <v>#N/A</v>
      </c>
      <c r="AQ14" s="53" t="e">
        <f t="shared" ca="1" si="98"/>
        <v>#N/A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0.17591538793610928</v>
      </c>
      <c r="E15" s="93"/>
      <c r="F15" s="19" t="s">
        <v>568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>
        <f t="shared" ca="1" si="102"/>
        <v>0.25</v>
      </c>
      <c r="O15" s="53">
        <f t="shared" ca="1" si="102"/>
        <v>0.17260393995585743</v>
      </c>
      <c r="P15" s="53">
        <f t="shared" ca="1" si="102"/>
        <v>0.37946208819056038</v>
      </c>
      <c r="Q15" s="53">
        <f t="shared" ca="1" si="102"/>
        <v>0.44625380425953898</v>
      </c>
      <c r="R15" s="53">
        <f t="shared" ca="1" si="102"/>
        <v>0.47577316159455196</v>
      </c>
      <c r="S15" s="53">
        <f t="shared" ca="1" si="102"/>
        <v>0.47996576656540446</v>
      </c>
      <c r="T15" s="53">
        <f t="shared" ca="1" si="102"/>
        <v>0.56721338021581857</v>
      </c>
      <c r="U15" s="53">
        <f t="shared" ca="1" si="102"/>
        <v>0.45724293460350629</v>
      </c>
      <c r="V15" s="53">
        <f t="shared" ca="1" si="102"/>
        <v>0.3844280551246313</v>
      </c>
      <c r="W15" s="53">
        <f t="shared" ca="1" si="102"/>
        <v>0.33108431554633166</v>
      </c>
      <c r="X15" s="53">
        <f t="shared" ca="1" si="102"/>
        <v>0.31764419159315649</v>
      </c>
      <c r="Y15" s="53">
        <f t="shared" ca="1" si="102"/>
        <v>0.26433216777748192</v>
      </c>
      <c r="Z15" s="53">
        <f t="shared" ca="1" si="102"/>
        <v>0.25110066863380553</v>
      </c>
      <c r="AA15" s="53">
        <f t="shared" ca="1" si="102"/>
        <v>0.21225276364631673</v>
      </c>
      <c r="AB15" s="53">
        <f t="shared" ca="1" si="102"/>
        <v>0.1990641741051542</v>
      </c>
      <c r="AC15" s="53">
        <f t="shared" ca="1" si="102"/>
        <v>0.219627223303684</v>
      </c>
      <c r="AD15" s="53">
        <f t="shared" ca="1" si="102"/>
        <v>0.24892768561407141</v>
      </c>
      <c r="AE15" s="53">
        <f t="shared" ca="1" si="102"/>
        <v>0.23817929415649886</v>
      </c>
      <c r="AF15" s="53">
        <f t="shared" ca="1" si="102"/>
        <v>0.24803917982554546</v>
      </c>
      <c r="AG15" s="53">
        <f t="shared" ca="1" si="102"/>
        <v>0.25322906695391389</v>
      </c>
      <c r="AH15" s="53" t="e">
        <f t="shared" ca="1" si="102"/>
        <v>#N/A</v>
      </c>
      <c r="AI15" s="53" t="e">
        <f t="shared" ca="1" si="102"/>
        <v>#N/A</v>
      </c>
      <c r="AJ15" s="53" t="e">
        <f t="shared" ca="1" si="102"/>
        <v>#N/A</v>
      </c>
      <c r="AK15" s="53" t="e">
        <f t="shared" ca="1" si="102"/>
        <v>#N/A</v>
      </c>
      <c r="AL15" s="53" t="e">
        <f t="shared" ca="1" si="102"/>
        <v>#N/A</v>
      </c>
      <c r="AM15" s="53" t="e">
        <f t="shared" ca="1" si="102"/>
        <v>#N/A</v>
      </c>
      <c r="AN15" s="53" t="e">
        <f t="shared" ca="1" si="102"/>
        <v>#N/A</v>
      </c>
      <c r="AO15" s="53" t="e">
        <f t="shared" ca="1" si="102"/>
        <v>#N/A</v>
      </c>
      <c r="AP15" s="53" t="e">
        <f t="shared" ca="1" si="102"/>
        <v>#N/A</v>
      </c>
      <c r="AQ15" s="53" t="e">
        <f t="shared" ca="1" si="102"/>
        <v>#N/A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3" t="s">
        <v>585</v>
      </c>
      <c r="F16" s="19" t="s">
        <v>569</v>
      </c>
      <c r="G16" s="94">
        <f ca="1">IFERROR(AVERAGE(E14:G14),NA())</f>
        <v>0.4137931034482758</v>
      </c>
      <c r="H16" s="94">
        <f t="shared" ref="H16:O16" ca="1" si="106">IFERROR(AVERAGE(F14:H14),NA())</f>
        <v>0.4137931034482758</v>
      </c>
      <c r="I16" s="94">
        <f t="shared" ca="1" si="106"/>
        <v>0.3878105139130445</v>
      </c>
      <c r="J16" s="94">
        <f t="shared" ca="1" si="106"/>
        <v>0.36047114587337598</v>
      </c>
      <c r="K16" s="94">
        <f t="shared" ca="1" si="106"/>
        <v>0.31946404668985179</v>
      </c>
      <c r="L16" s="94">
        <f t="shared" ca="1" si="106"/>
        <v>0.29768224660644549</v>
      </c>
      <c r="M16" s="94">
        <f ca="1">IFERROR(AVERAGE(K14:M14),NA())</f>
        <v>0.26327479160607559</v>
      </c>
      <c r="N16" s="94">
        <f t="shared" ca="1" si="106"/>
        <v>0.24375103757513239</v>
      </c>
      <c r="O16" s="94">
        <f t="shared" ca="1" si="106"/>
        <v>0.2331445047650933</v>
      </c>
      <c r="P16" s="94">
        <f ca="1">IFERROR(AVERAGE(N14:P14),NA())</f>
        <v>0.25217557109651495</v>
      </c>
      <c r="Q16" s="94">
        <f t="shared" ref="Q16:AC16" ca="1" si="107">IFERROR(AVERAGE(O14:Q14),NA())</f>
        <v>0.26866258743322646</v>
      </c>
      <c r="R16" s="94">
        <f t="shared" ca="1" si="107"/>
        <v>0.26441332233001691</v>
      </c>
      <c r="S16" s="94">
        <f t="shared" ca="1" si="107"/>
        <v>0.24732057987444014</v>
      </c>
      <c r="T16" s="94">
        <f t="shared" ca="1" si="107"/>
        <v>0.23178383810369976</v>
      </c>
      <c r="U16" s="94">
        <f t="shared" ca="1" si="107"/>
        <v>0.2226755189202918</v>
      </c>
      <c r="V16" s="94">
        <f t="shared" ca="1" si="107"/>
        <v>0.21524172369653441</v>
      </c>
      <c r="W16" s="94">
        <f t="shared" ca="1" si="107"/>
        <v>0.23076793559195466</v>
      </c>
      <c r="X16" s="94">
        <f t="shared" ca="1" si="107"/>
        <v>0.24451873664365462</v>
      </c>
      <c r="Y16" s="94">
        <f t="shared" ca="1" si="107"/>
        <v>0.24004499929983139</v>
      </c>
      <c r="Z16" s="94">
        <f t="shared" ca="1" si="107"/>
        <v>0.21023539330843413</v>
      </c>
      <c r="AA16" s="94">
        <f t="shared" ca="1" si="107"/>
        <v>0.18799215848037951</v>
      </c>
      <c r="AB16" s="94">
        <f t="shared" ca="1" si="107"/>
        <v>0.17908276020792049</v>
      </c>
      <c r="AC16" s="94">
        <f t="shared" ca="1" si="107"/>
        <v>0.18187210478289431</v>
      </c>
      <c r="AD16" s="94">
        <f ca="1">IFERROR(AVERAGE(AB14:AD14),NA())</f>
        <v>0.19010082347225934</v>
      </c>
      <c r="AE16" s="94">
        <f ca="1">IFERROR(AVERAGE(AC14:AE14),NA())</f>
        <v>0.19251315772819924</v>
      </c>
      <c r="AF16" s="94">
        <f t="shared" ref="AF16:CP16" ca="1" si="108">IFERROR(AVERAGE(AD14:AF14),NA())</f>
        <v>0.18412490888938482</v>
      </c>
      <c r="AG16" s="94">
        <f t="shared" ca="1" si="108"/>
        <v>0.16663026465042971</v>
      </c>
      <c r="AH16" s="94" t="e">
        <f t="shared" ca="1" si="108"/>
        <v>#N/A</v>
      </c>
      <c r="AI16" s="94" t="e">
        <f t="shared" ca="1" si="108"/>
        <v>#N/A</v>
      </c>
      <c r="AJ16" s="94" t="e">
        <f t="shared" ca="1" si="108"/>
        <v>#N/A</v>
      </c>
      <c r="AK16" s="94" t="e">
        <f t="shared" ca="1" si="108"/>
        <v>#N/A</v>
      </c>
      <c r="AL16" s="94" t="e">
        <f t="shared" ca="1" si="108"/>
        <v>#N/A</v>
      </c>
      <c r="AM16" s="94" t="e">
        <f t="shared" ca="1" si="108"/>
        <v>#N/A</v>
      </c>
      <c r="AN16" s="94" t="e">
        <f t="shared" ca="1" si="108"/>
        <v>#N/A</v>
      </c>
      <c r="AO16" s="94" t="e">
        <f t="shared" ca="1" si="108"/>
        <v>#N/A</v>
      </c>
      <c r="AP16" s="94" t="e">
        <f t="shared" ca="1" si="108"/>
        <v>#N/A</v>
      </c>
      <c r="AQ16" s="94" t="e">
        <f t="shared" ca="1" si="108"/>
        <v>#N/A</v>
      </c>
      <c r="AR16" s="94" t="e">
        <f t="shared" ca="1" si="108"/>
        <v>#N/A</v>
      </c>
      <c r="AS16" s="94" t="e">
        <f t="shared" ca="1" si="108"/>
        <v>#N/A</v>
      </c>
      <c r="AT16" s="94" t="e">
        <f t="shared" ca="1" si="108"/>
        <v>#N/A</v>
      </c>
      <c r="AU16" s="94" t="e">
        <f t="shared" ca="1" si="108"/>
        <v>#N/A</v>
      </c>
      <c r="AV16" s="94" t="e">
        <f t="shared" ca="1" si="108"/>
        <v>#N/A</v>
      </c>
      <c r="AW16" s="94" t="e">
        <f t="shared" ca="1" si="108"/>
        <v>#N/A</v>
      </c>
      <c r="AX16" s="94" t="e">
        <f t="shared" ca="1" si="108"/>
        <v>#N/A</v>
      </c>
      <c r="AY16" s="94" t="e">
        <f t="shared" ca="1" si="108"/>
        <v>#N/A</v>
      </c>
      <c r="AZ16" s="94" t="e">
        <f t="shared" ca="1" si="108"/>
        <v>#N/A</v>
      </c>
      <c r="BA16" s="94" t="e">
        <f t="shared" ca="1" si="108"/>
        <v>#N/A</v>
      </c>
      <c r="BB16" s="94" t="e">
        <f t="shared" ca="1" si="108"/>
        <v>#N/A</v>
      </c>
      <c r="BC16" s="94" t="e">
        <f t="shared" ca="1" si="108"/>
        <v>#N/A</v>
      </c>
      <c r="BD16" s="94" t="e">
        <f t="shared" ca="1" si="108"/>
        <v>#N/A</v>
      </c>
      <c r="BE16" s="94" t="e">
        <f t="shared" ca="1" si="108"/>
        <v>#N/A</v>
      </c>
      <c r="BF16" s="94" t="e">
        <f t="shared" ca="1" si="108"/>
        <v>#N/A</v>
      </c>
      <c r="BG16" s="94" t="e">
        <f t="shared" ca="1" si="108"/>
        <v>#N/A</v>
      </c>
      <c r="BH16" s="94" t="e">
        <f t="shared" ca="1" si="108"/>
        <v>#N/A</v>
      </c>
      <c r="BI16" s="94" t="e">
        <f t="shared" ca="1" si="108"/>
        <v>#N/A</v>
      </c>
      <c r="BJ16" s="94" t="e">
        <f t="shared" ca="1" si="108"/>
        <v>#N/A</v>
      </c>
      <c r="BK16" s="94" t="e">
        <f t="shared" ca="1" si="108"/>
        <v>#N/A</v>
      </c>
      <c r="BL16" s="94" t="e">
        <f t="shared" ca="1" si="108"/>
        <v>#N/A</v>
      </c>
      <c r="BM16" s="94" t="e">
        <f t="shared" ca="1" si="108"/>
        <v>#N/A</v>
      </c>
      <c r="BN16" s="94" t="e">
        <f t="shared" ca="1" si="108"/>
        <v>#N/A</v>
      </c>
      <c r="BO16" s="94" t="e">
        <f t="shared" ca="1" si="108"/>
        <v>#N/A</v>
      </c>
      <c r="BP16" s="94" t="e">
        <f t="shared" ca="1" si="108"/>
        <v>#N/A</v>
      </c>
      <c r="BQ16" s="94" t="e">
        <f t="shared" ca="1" si="108"/>
        <v>#N/A</v>
      </c>
      <c r="BR16" s="94" t="e">
        <f t="shared" ca="1" si="108"/>
        <v>#N/A</v>
      </c>
      <c r="BS16" s="94" t="e">
        <f t="shared" ca="1" si="108"/>
        <v>#N/A</v>
      </c>
      <c r="BT16" s="94" t="e">
        <f t="shared" ca="1" si="108"/>
        <v>#N/A</v>
      </c>
      <c r="BU16" s="94" t="e">
        <f t="shared" ca="1" si="108"/>
        <v>#N/A</v>
      </c>
      <c r="BV16" s="94" t="e">
        <f t="shared" ca="1" si="108"/>
        <v>#N/A</v>
      </c>
      <c r="BW16" s="94" t="e">
        <f t="shared" ca="1" si="108"/>
        <v>#N/A</v>
      </c>
      <c r="BX16" s="94" t="e">
        <f t="shared" ca="1" si="108"/>
        <v>#N/A</v>
      </c>
      <c r="BY16" s="94" t="e">
        <f t="shared" ca="1" si="108"/>
        <v>#N/A</v>
      </c>
      <c r="BZ16" s="94" t="e">
        <f t="shared" ca="1" si="108"/>
        <v>#N/A</v>
      </c>
      <c r="CA16" s="94" t="e">
        <f t="shared" ca="1" si="108"/>
        <v>#N/A</v>
      </c>
      <c r="CB16" s="94" t="e">
        <f t="shared" ca="1" si="108"/>
        <v>#N/A</v>
      </c>
      <c r="CC16" s="94" t="e">
        <f t="shared" ca="1" si="108"/>
        <v>#N/A</v>
      </c>
      <c r="CD16" s="94" t="e">
        <f t="shared" ca="1" si="108"/>
        <v>#N/A</v>
      </c>
      <c r="CE16" s="94" t="e">
        <f t="shared" ca="1" si="108"/>
        <v>#N/A</v>
      </c>
      <c r="CF16" s="94" t="e">
        <f t="shared" ca="1" si="108"/>
        <v>#N/A</v>
      </c>
      <c r="CG16" s="94" t="e">
        <f t="shared" ca="1" si="108"/>
        <v>#N/A</v>
      </c>
      <c r="CH16" s="94" t="e">
        <f t="shared" ca="1" si="108"/>
        <v>#N/A</v>
      </c>
      <c r="CI16" s="94" t="e">
        <f t="shared" ca="1" si="108"/>
        <v>#N/A</v>
      </c>
      <c r="CJ16" s="94" t="e">
        <f t="shared" ca="1" si="108"/>
        <v>#N/A</v>
      </c>
      <c r="CK16" s="94" t="e">
        <f t="shared" ca="1" si="108"/>
        <v>#N/A</v>
      </c>
      <c r="CL16" s="94" t="e">
        <f t="shared" ca="1" si="108"/>
        <v>#N/A</v>
      </c>
      <c r="CM16" s="94" t="e">
        <f t="shared" ca="1" si="108"/>
        <v>#N/A</v>
      </c>
      <c r="CN16" s="94" t="e">
        <f t="shared" ca="1" si="108"/>
        <v>#N/A</v>
      </c>
      <c r="CO16" s="94" t="e">
        <f t="shared" ca="1" si="108"/>
        <v>#N/A</v>
      </c>
      <c r="CP16" s="94" t="e">
        <f t="shared" ca="1" si="108"/>
        <v>#N/A</v>
      </c>
      <c r="CQ16" s="94" t="e">
        <f t="shared" ref="CQ16:FB16" ca="1" si="109">IFERROR(AVERAGE(CO14:CQ14),NA())</f>
        <v>#N/A</v>
      </c>
      <c r="CR16" s="94" t="e">
        <f t="shared" ca="1" si="109"/>
        <v>#N/A</v>
      </c>
      <c r="CS16" s="94" t="e">
        <f t="shared" ca="1" si="109"/>
        <v>#N/A</v>
      </c>
      <c r="CT16" s="94" t="e">
        <f t="shared" ca="1" si="109"/>
        <v>#N/A</v>
      </c>
      <c r="CU16" s="94" t="e">
        <f t="shared" ca="1" si="109"/>
        <v>#N/A</v>
      </c>
      <c r="CV16" s="94" t="e">
        <f t="shared" ca="1" si="109"/>
        <v>#N/A</v>
      </c>
      <c r="CW16" s="94" t="e">
        <f t="shared" ca="1" si="109"/>
        <v>#N/A</v>
      </c>
      <c r="CX16" s="94" t="e">
        <f t="shared" ca="1" si="109"/>
        <v>#N/A</v>
      </c>
      <c r="CY16" s="94" t="e">
        <f t="shared" ca="1" si="109"/>
        <v>#N/A</v>
      </c>
      <c r="CZ16" s="94" t="e">
        <f t="shared" ca="1" si="109"/>
        <v>#N/A</v>
      </c>
      <c r="DA16" s="94" t="e">
        <f t="shared" ca="1" si="109"/>
        <v>#N/A</v>
      </c>
      <c r="DB16" s="94" t="e">
        <f t="shared" ca="1" si="109"/>
        <v>#N/A</v>
      </c>
      <c r="DC16" s="94" t="e">
        <f t="shared" ca="1" si="109"/>
        <v>#N/A</v>
      </c>
      <c r="DD16" s="94" t="e">
        <f t="shared" ca="1" si="109"/>
        <v>#N/A</v>
      </c>
      <c r="DE16" s="94" t="e">
        <f t="shared" ca="1" si="109"/>
        <v>#N/A</v>
      </c>
      <c r="DF16" s="94" t="e">
        <f t="shared" ca="1" si="109"/>
        <v>#N/A</v>
      </c>
      <c r="DG16" s="94" t="e">
        <f t="shared" ca="1" si="109"/>
        <v>#N/A</v>
      </c>
      <c r="DH16" s="94" t="e">
        <f t="shared" ca="1" si="109"/>
        <v>#N/A</v>
      </c>
      <c r="DI16" s="94" t="e">
        <f t="shared" ca="1" si="109"/>
        <v>#N/A</v>
      </c>
      <c r="DJ16" s="94" t="e">
        <f t="shared" ca="1" si="109"/>
        <v>#N/A</v>
      </c>
      <c r="DK16" s="94" t="e">
        <f t="shared" ca="1" si="109"/>
        <v>#N/A</v>
      </c>
      <c r="DL16" s="94" t="e">
        <f t="shared" ca="1" si="109"/>
        <v>#N/A</v>
      </c>
      <c r="DM16" s="94" t="e">
        <f t="shared" ca="1" si="109"/>
        <v>#N/A</v>
      </c>
      <c r="DN16" s="94" t="e">
        <f t="shared" ca="1" si="109"/>
        <v>#N/A</v>
      </c>
      <c r="DO16" s="94" t="e">
        <f t="shared" ca="1" si="109"/>
        <v>#N/A</v>
      </c>
      <c r="DP16" s="94" t="e">
        <f t="shared" ca="1" si="109"/>
        <v>#N/A</v>
      </c>
      <c r="DQ16" s="94" t="e">
        <f t="shared" ca="1" si="109"/>
        <v>#N/A</v>
      </c>
      <c r="DR16" s="94" t="e">
        <f t="shared" ca="1" si="109"/>
        <v>#N/A</v>
      </c>
      <c r="DS16" s="94" t="e">
        <f t="shared" ca="1" si="109"/>
        <v>#N/A</v>
      </c>
      <c r="DT16" s="94" t="e">
        <f t="shared" ca="1" si="109"/>
        <v>#N/A</v>
      </c>
      <c r="DU16" s="94" t="e">
        <f t="shared" ca="1" si="109"/>
        <v>#N/A</v>
      </c>
      <c r="DV16" s="94" t="e">
        <f t="shared" ca="1" si="109"/>
        <v>#N/A</v>
      </c>
      <c r="DW16" s="94" t="e">
        <f t="shared" ca="1" si="109"/>
        <v>#N/A</v>
      </c>
      <c r="DX16" s="94" t="e">
        <f t="shared" ca="1" si="109"/>
        <v>#N/A</v>
      </c>
      <c r="DY16" s="94" t="e">
        <f t="shared" ca="1" si="109"/>
        <v>#N/A</v>
      </c>
      <c r="DZ16" s="94" t="e">
        <f t="shared" ca="1" si="109"/>
        <v>#N/A</v>
      </c>
      <c r="EA16" s="94" t="e">
        <f t="shared" ca="1" si="109"/>
        <v>#N/A</v>
      </c>
      <c r="EB16" s="94" t="e">
        <f t="shared" ca="1" si="109"/>
        <v>#N/A</v>
      </c>
      <c r="EC16" s="94" t="e">
        <f t="shared" ca="1" si="109"/>
        <v>#N/A</v>
      </c>
      <c r="ED16" s="94" t="e">
        <f t="shared" ca="1" si="109"/>
        <v>#N/A</v>
      </c>
      <c r="EE16" s="94" t="e">
        <f t="shared" ca="1" si="109"/>
        <v>#N/A</v>
      </c>
      <c r="EF16" s="94" t="e">
        <f t="shared" ca="1" si="109"/>
        <v>#N/A</v>
      </c>
      <c r="EG16" s="94" t="e">
        <f t="shared" ca="1" si="109"/>
        <v>#N/A</v>
      </c>
      <c r="EH16" s="94" t="e">
        <f t="shared" ca="1" si="109"/>
        <v>#N/A</v>
      </c>
      <c r="EI16" s="94" t="e">
        <f t="shared" ca="1" si="109"/>
        <v>#N/A</v>
      </c>
      <c r="EJ16" s="94" t="e">
        <f t="shared" ca="1" si="109"/>
        <v>#N/A</v>
      </c>
      <c r="EK16" s="94" t="e">
        <f t="shared" ca="1" si="109"/>
        <v>#N/A</v>
      </c>
      <c r="EL16" s="94" t="e">
        <f t="shared" ca="1" si="109"/>
        <v>#N/A</v>
      </c>
      <c r="EM16" s="94" t="e">
        <f t="shared" ca="1" si="109"/>
        <v>#N/A</v>
      </c>
      <c r="EN16" s="94" t="e">
        <f t="shared" ca="1" si="109"/>
        <v>#N/A</v>
      </c>
      <c r="EO16" s="94" t="e">
        <f t="shared" ca="1" si="109"/>
        <v>#N/A</v>
      </c>
      <c r="EP16" s="94" t="e">
        <f t="shared" ca="1" si="109"/>
        <v>#N/A</v>
      </c>
      <c r="EQ16" s="94" t="e">
        <f t="shared" ca="1" si="109"/>
        <v>#N/A</v>
      </c>
      <c r="ER16" s="94" t="e">
        <f t="shared" ca="1" si="109"/>
        <v>#N/A</v>
      </c>
      <c r="ES16" s="94" t="e">
        <f t="shared" ca="1" si="109"/>
        <v>#N/A</v>
      </c>
      <c r="ET16" s="94" t="e">
        <f t="shared" ca="1" si="109"/>
        <v>#N/A</v>
      </c>
      <c r="EU16" s="94" t="e">
        <f t="shared" ca="1" si="109"/>
        <v>#N/A</v>
      </c>
      <c r="EV16" s="94" t="e">
        <f t="shared" ca="1" si="109"/>
        <v>#N/A</v>
      </c>
      <c r="EW16" s="94" t="e">
        <f t="shared" ca="1" si="109"/>
        <v>#N/A</v>
      </c>
      <c r="EX16" s="94" t="e">
        <f t="shared" ca="1" si="109"/>
        <v>#N/A</v>
      </c>
      <c r="EY16" s="94" t="e">
        <f t="shared" ca="1" si="109"/>
        <v>#N/A</v>
      </c>
      <c r="EZ16" s="94" t="e">
        <f t="shared" ca="1" si="109"/>
        <v>#N/A</v>
      </c>
      <c r="FA16" s="94" t="e">
        <f t="shared" ca="1" si="109"/>
        <v>#N/A</v>
      </c>
      <c r="FB16" s="94" t="e">
        <f t="shared" ca="1" si="109"/>
        <v>#N/A</v>
      </c>
      <c r="FC16" s="94" t="e">
        <f t="shared" ref="FC16:HN16" ca="1" si="110">IFERROR(AVERAGE(FA14:FC14),NA())</f>
        <v>#N/A</v>
      </c>
      <c r="FD16" s="94" t="e">
        <f t="shared" ca="1" si="110"/>
        <v>#N/A</v>
      </c>
      <c r="FE16" s="94" t="e">
        <f t="shared" ca="1" si="110"/>
        <v>#N/A</v>
      </c>
      <c r="FF16" s="94" t="e">
        <f t="shared" ca="1" si="110"/>
        <v>#N/A</v>
      </c>
      <c r="FG16" s="94" t="e">
        <f t="shared" ca="1" si="110"/>
        <v>#N/A</v>
      </c>
      <c r="FH16" s="94" t="e">
        <f t="shared" ca="1" si="110"/>
        <v>#N/A</v>
      </c>
      <c r="FI16" s="94" t="e">
        <f t="shared" ca="1" si="110"/>
        <v>#N/A</v>
      </c>
      <c r="FJ16" s="94" t="e">
        <f t="shared" ca="1" si="110"/>
        <v>#N/A</v>
      </c>
      <c r="FK16" s="94" t="e">
        <f t="shared" ca="1" si="110"/>
        <v>#N/A</v>
      </c>
      <c r="FL16" s="94" t="e">
        <f t="shared" ca="1" si="110"/>
        <v>#N/A</v>
      </c>
      <c r="FM16" s="94" t="e">
        <f t="shared" ca="1" si="110"/>
        <v>#N/A</v>
      </c>
      <c r="FN16" s="94" t="e">
        <f t="shared" ca="1" si="110"/>
        <v>#N/A</v>
      </c>
      <c r="FO16" s="94" t="e">
        <f t="shared" ca="1" si="110"/>
        <v>#N/A</v>
      </c>
      <c r="FP16" s="94" t="e">
        <f t="shared" ca="1" si="110"/>
        <v>#N/A</v>
      </c>
      <c r="FQ16" s="94" t="e">
        <f t="shared" ca="1" si="110"/>
        <v>#N/A</v>
      </c>
      <c r="FR16" s="94" t="e">
        <f t="shared" ca="1" si="110"/>
        <v>#N/A</v>
      </c>
      <c r="FS16" s="94" t="e">
        <f t="shared" ca="1" si="110"/>
        <v>#N/A</v>
      </c>
      <c r="FT16" s="94" t="e">
        <f t="shared" ca="1" si="110"/>
        <v>#N/A</v>
      </c>
      <c r="FU16" s="94" t="e">
        <f t="shared" ca="1" si="110"/>
        <v>#N/A</v>
      </c>
      <c r="FV16" s="94" t="e">
        <f t="shared" ca="1" si="110"/>
        <v>#N/A</v>
      </c>
      <c r="FW16" s="94" t="e">
        <f t="shared" ca="1" si="110"/>
        <v>#N/A</v>
      </c>
      <c r="FX16" s="94" t="e">
        <f t="shared" ca="1" si="110"/>
        <v>#N/A</v>
      </c>
      <c r="FY16" s="94" t="e">
        <f t="shared" ca="1" si="110"/>
        <v>#N/A</v>
      </c>
      <c r="FZ16" s="94" t="e">
        <f t="shared" ca="1" si="110"/>
        <v>#N/A</v>
      </c>
      <c r="GA16" s="94" t="e">
        <f t="shared" ca="1" si="110"/>
        <v>#N/A</v>
      </c>
      <c r="GB16" s="94" t="e">
        <f t="shared" ca="1" si="110"/>
        <v>#N/A</v>
      </c>
      <c r="GC16" s="94" t="e">
        <f t="shared" ca="1" si="110"/>
        <v>#N/A</v>
      </c>
      <c r="GD16" s="94" t="e">
        <f t="shared" ca="1" si="110"/>
        <v>#N/A</v>
      </c>
      <c r="GE16" s="94" t="e">
        <f t="shared" ca="1" si="110"/>
        <v>#N/A</v>
      </c>
      <c r="GF16" s="94" t="e">
        <f t="shared" ca="1" si="110"/>
        <v>#N/A</v>
      </c>
      <c r="GG16" s="94" t="e">
        <f t="shared" ca="1" si="110"/>
        <v>#N/A</v>
      </c>
      <c r="GH16" s="94" t="e">
        <f t="shared" ca="1" si="110"/>
        <v>#N/A</v>
      </c>
      <c r="GI16" s="94" t="e">
        <f t="shared" ca="1" si="110"/>
        <v>#N/A</v>
      </c>
      <c r="GJ16" s="94" t="e">
        <f t="shared" ca="1" si="110"/>
        <v>#N/A</v>
      </c>
      <c r="GK16" s="94" t="e">
        <f t="shared" ca="1" si="110"/>
        <v>#N/A</v>
      </c>
      <c r="GL16" s="94" t="e">
        <f t="shared" ca="1" si="110"/>
        <v>#N/A</v>
      </c>
      <c r="GM16" s="94" t="e">
        <f t="shared" ca="1" si="110"/>
        <v>#N/A</v>
      </c>
      <c r="GN16" s="94" t="e">
        <f t="shared" ca="1" si="110"/>
        <v>#N/A</v>
      </c>
      <c r="GO16" s="94" t="e">
        <f t="shared" ca="1" si="110"/>
        <v>#N/A</v>
      </c>
      <c r="GP16" s="94" t="e">
        <f t="shared" ca="1" si="110"/>
        <v>#N/A</v>
      </c>
      <c r="GQ16" s="94" t="e">
        <f t="shared" ca="1" si="110"/>
        <v>#N/A</v>
      </c>
      <c r="GR16" s="94" t="e">
        <f t="shared" ca="1" si="110"/>
        <v>#N/A</v>
      </c>
      <c r="GS16" s="94" t="e">
        <f t="shared" ca="1" si="110"/>
        <v>#N/A</v>
      </c>
      <c r="GT16" s="94" t="e">
        <f t="shared" ca="1" si="110"/>
        <v>#N/A</v>
      </c>
      <c r="GU16" s="94" t="e">
        <f t="shared" ca="1" si="110"/>
        <v>#N/A</v>
      </c>
      <c r="GV16" s="94" t="e">
        <f t="shared" ca="1" si="110"/>
        <v>#N/A</v>
      </c>
      <c r="GW16" s="94" t="e">
        <f t="shared" ca="1" si="110"/>
        <v>#N/A</v>
      </c>
      <c r="GX16" s="94" t="e">
        <f t="shared" ca="1" si="110"/>
        <v>#N/A</v>
      </c>
      <c r="GY16" s="94" t="e">
        <f t="shared" ca="1" si="110"/>
        <v>#N/A</v>
      </c>
      <c r="GZ16" s="94" t="e">
        <f t="shared" ca="1" si="110"/>
        <v>#N/A</v>
      </c>
      <c r="HA16" s="94" t="e">
        <f t="shared" ca="1" si="110"/>
        <v>#N/A</v>
      </c>
      <c r="HB16" s="94" t="e">
        <f t="shared" ca="1" si="110"/>
        <v>#N/A</v>
      </c>
      <c r="HC16" s="94" t="e">
        <f t="shared" ca="1" si="110"/>
        <v>#N/A</v>
      </c>
      <c r="HD16" s="94" t="e">
        <f t="shared" ca="1" si="110"/>
        <v>#N/A</v>
      </c>
      <c r="HE16" s="94" t="e">
        <f t="shared" ca="1" si="110"/>
        <v>#N/A</v>
      </c>
      <c r="HF16" s="94" t="e">
        <f t="shared" ca="1" si="110"/>
        <v>#N/A</v>
      </c>
      <c r="HG16" s="94" t="e">
        <f t="shared" ca="1" si="110"/>
        <v>#N/A</v>
      </c>
      <c r="HH16" s="94" t="e">
        <f t="shared" ca="1" si="110"/>
        <v>#N/A</v>
      </c>
      <c r="HI16" s="94" t="e">
        <f t="shared" ca="1" si="110"/>
        <v>#N/A</v>
      </c>
      <c r="HJ16" s="94" t="e">
        <f t="shared" ca="1" si="110"/>
        <v>#N/A</v>
      </c>
      <c r="HK16" s="94" t="e">
        <f t="shared" ca="1" si="110"/>
        <v>#N/A</v>
      </c>
      <c r="HL16" s="94" t="e">
        <f t="shared" ca="1" si="110"/>
        <v>#N/A</v>
      </c>
      <c r="HM16" s="94" t="e">
        <f t="shared" ca="1" si="110"/>
        <v>#N/A</v>
      </c>
      <c r="HN16" s="94" t="e">
        <f t="shared" ca="1" si="110"/>
        <v>#N/A</v>
      </c>
      <c r="HO16" s="94" t="e">
        <f t="shared" ref="HO16:IN16" ca="1" si="111">IFERROR(AVERAGE(HM14:HO14),NA())</f>
        <v>#N/A</v>
      </c>
      <c r="HP16" s="94" t="e">
        <f t="shared" ca="1" si="111"/>
        <v>#N/A</v>
      </c>
      <c r="HQ16" s="94" t="e">
        <f t="shared" ca="1" si="111"/>
        <v>#N/A</v>
      </c>
      <c r="HR16" s="94" t="e">
        <f t="shared" ca="1" si="111"/>
        <v>#N/A</v>
      </c>
      <c r="HS16" s="94" t="e">
        <f t="shared" ca="1" si="111"/>
        <v>#N/A</v>
      </c>
      <c r="HT16" s="94" t="e">
        <f t="shared" ca="1" si="111"/>
        <v>#N/A</v>
      </c>
      <c r="HU16" s="94" t="e">
        <f t="shared" ca="1" si="111"/>
        <v>#N/A</v>
      </c>
      <c r="HV16" s="94" t="e">
        <f t="shared" ca="1" si="111"/>
        <v>#N/A</v>
      </c>
      <c r="HW16" s="94" t="e">
        <f t="shared" ca="1" si="111"/>
        <v>#N/A</v>
      </c>
      <c r="HX16" s="94" t="e">
        <f t="shared" ca="1" si="111"/>
        <v>#N/A</v>
      </c>
      <c r="HY16" s="94" t="e">
        <f t="shared" ca="1" si="111"/>
        <v>#N/A</v>
      </c>
      <c r="HZ16" s="94" t="e">
        <f t="shared" ca="1" si="111"/>
        <v>#N/A</v>
      </c>
      <c r="IA16" s="94" t="e">
        <f t="shared" ca="1" si="111"/>
        <v>#N/A</v>
      </c>
      <c r="IB16" s="94" t="e">
        <f t="shared" ca="1" si="111"/>
        <v>#N/A</v>
      </c>
      <c r="IC16" s="94" t="e">
        <f t="shared" ca="1" si="111"/>
        <v>#N/A</v>
      </c>
      <c r="ID16" s="94" t="e">
        <f t="shared" ca="1" si="111"/>
        <v>#N/A</v>
      </c>
      <c r="IE16" s="94" t="e">
        <f t="shared" ca="1" si="111"/>
        <v>#N/A</v>
      </c>
      <c r="IF16" s="94" t="e">
        <f t="shared" ca="1" si="111"/>
        <v>#N/A</v>
      </c>
      <c r="IG16" s="94" t="e">
        <f t="shared" ca="1" si="111"/>
        <v>#N/A</v>
      </c>
      <c r="IH16" s="94" t="e">
        <f t="shared" ca="1" si="111"/>
        <v>#N/A</v>
      </c>
      <c r="II16" s="94" t="e">
        <f t="shared" ca="1" si="111"/>
        <v>#N/A</v>
      </c>
      <c r="IJ16" s="94" t="e">
        <f t="shared" ca="1" si="111"/>
        <v>#N/A</v>
      </c>
      <c r="IK16" s="94" t="e">
        <f t="shared" ca="1" si="111"/>
        <v>#N/A</v>
      </c>
      <c r="IL16" s="94" t="e">
        <f t="shared" ca="1" si="111"/>
        <v>#N/A</v>
      </c>
      <c r="IM16" s="94" t="e">
        <f t="shared" ca="1" si="111"/>
        <v>#N/A</v>
      </c>
      <c r="IN16" s="94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3" t="s">
        <v>585</v>
      </c>
      <c r="F17" s="19" t="s">
        <v>568</v>
      </c>
      <c r="G17" s="94" t="e">
        <f t="shared" ref="G17:AC17" ca="1" si="112">IFERROR(AVERAGE(E15:G15),NA())</f>
        <v>#N/A</v>
      </c>
      <c r="H17" s="94" t="e">
        <f t="shared" ca="1" si="112"/>
        <v>#N/A</v>
      </c>
      <c r="I17" s="94" t="e">
        <f t="shared" ca="1" si="112"/>
        <v>#N/A</v>
      </c>
      <c r="J17" s="94" t="e">
        <f t="shared" ca="1" si="112"/>
        <v>#N/A</v>
      </c>
      <c r="K17" s="94" t="e">
        <f t="shared" ca="1" si="112"/>
        <v>#N/A</v>
      </c>
      <c r="L17" s="94" t="e">
        <f t="shared" ca="1" si="112"/>
        <v>#N/A</v>
      </c>
      <c r="M17" s="94" t="e">
        <f t="shared" ca="1" si="112"/>
        <v>#N/A</v>
      </c>
      <c r="N17" s="94" t="e">
        <f t="shared" ca="1" si="112"/>
        <v>#N/A</v>
      </c>
      <c r="O17" s="94" t="e">
        <f t="shared" ca="1" si="112"/>
        <v>#N/A</v>
      </c>
      <c r="P17" s="94">
        <f t="shared" ca="1" si="112"/>
        <v>0.26735534271547262</v>
      </c>
      <c r="Q17" s="94">
        <f t="shared" ca="1" si="112"/>
        <v>0.33277327746865226</v>
      </c>
      <c r="R17" s="94">
        <f t="shared" ca="1" si="112"/>
        <v>0.43382968468155042</v>
      </c>
      <c r="S17" s="94">
        <f t="shared" ca="1" si="112"/>
        <v>0.46733091080649847</v>
      </c>
      <c r="T17" s="94">
        <f t="shared" ca="1" si="112"/>
        <v>0.50765076945859167</v>
      </c>
      <c r="U17" s="94">
        <f t="shared" ca="1" si="112"/>
        <v>0.50147402712824307</v>
      </c>
      <c r="V17" s="94">
        <f t="shared" ca="1" si="112"/>
        <v>0.46962812331465204</v>
      </c>
      <c r="W17" s="94">
        <f t="shared" ca="1" si="112"/>
        <v>0.39091843509148977</v>
      </c>
      <c r="X17" s="94">
        <f t="shared" ca="1" si="112"/>
        <v>0.34438552075470646</v>
      </c>
      <c r="Y17" s="94">
        <f t="shared" ca="1" si="112"/>
        <v>0.30435355830565669</v>
      </c>
      <c r="Z17" s="94">
        <f t="shared" ca="1" si="112"/>
        <v>0.27769234266814796</v>
      </c>
      <c r="AA17" s="94">
        <f t="shared" ca="1" si="112"/>
        <v>0.24256186668586807</v>
      </c>
      <c r="AB17" s="94">
        <f t="shared" ca="1" si="112"/>
        <v>0.22080586879509215</v>
      </c>
      <c r="AC17" s="94">
        <f t="shared" ca="1" si="112"/>
        <v>0.2103147203517183</v>
      </c>
      <c r="AD17" s="94">
        <f ca="1">IFERROR(AVERAGE(AB15:AD15),NA())</f>
        <v>0.22253969434096987</v>
      </c>
      <c r="AE17" s="94">
        <f t="shared" ref="AE17:CP17" ca="1" si="113">IFERROR(AVERAGE(AC15:AE15),NA())</f>
        <v>0.23557806769141809</v>
      </c>
      <c r="AF17" s="94">
        <f t="shared" ca="1" si="113"/>
        <v>0.24504871986537191</v>
      </c>
      <c r="AG17" s="94">
        <f t="shared" ca="1" si="113"/>
        <v>0.2464825136453194</v>
      </c>
      <c r="AH17" s="94" t="e">
        <f t="shared" ca="1" si="113"/>
        <v>#N/A</v>
      </c>
      <c r="AI17" s="94" t="e">
        <f t="shared" ca="1" si="113"/>
        <v>#N/A</v>
      </c>
      <c r="AJ17" s="94" t="e">
        <f t="shared" ca="1" si="113"/>
        <v>#N/A</v>
      </c>
      <c r="AK17" s="94" t="e">
        <f t="shared" ca="1" si="113"/>
        <v>#N/A</v>
      </c>
      <c r="AL17" s="94" t="e">
        <f t="shared" ca="1" si="113"/>
        <v>#N/A</v>
      </c>
      <c r="AM17" s="94" t="e">
        <f t="shared" ca="1" si="113"/>
        <v>#N/A</v>
      </c>
      <c r="AN17" s="94" t="e">
        <f t="shared" ca="1" si="113"/>
        <v>#N/A</v>
      </c>
      <c r="AO17" s="94" t="e">
        <f t="shared" ca="1" si="113"/>
        <v>#N/A</v>
      </c>
      <c r="AP17" s="94" t="e">
        <f t="shared" ca="1" si="113"/>
        <v>#N/A</v>
      </c>
      <c r="AQ17" s="94" t="e">
        <f t="shared" ca="1" si="113"/>
        <v>#N/A</v>
      </c>
      <c r="AR17" s="94" t="e">
        <f t="shared" ca="1" si="113"/>
        <v>#N/A</v>
      </c>
      <c r="AS17" s="94" t="e">
        <f t="shared" ca="1" si="113"/>
        <v>#N/A</v>
      </c>
      <c r="AT17" s="94" t="e">
        <f t="shared" ca="1" si="113"/>
        <v>#N/A</v>
      </c>
      <c r="AU17" s="94" t="e">
        <f t="shared" ca="1" si="113"/>
        <v>#N/A</v>
      </c>
      <c r="AV17" s="94" t="e">
        <f t="shared" ca="1" si="113"/>
        <v>#N/A</v>
      </c>
      <c r="AW17" s="94" t="e">
        <f t="shared" ca="1" si="113"/>
        <v>#N/A</v>
      </c>
      <c r="AX17" s="94" t="e">
        <f t="shared" ca="1" si="113"/>
        <v>#N/A</v>
      </c>
      <c r="AY17" s="94" t="e">
        <f t="shared" ca="1" si="113"/>
        <v>#N/A</v>
      </c>
      <c r="AZ17" s="94" t="e">
        <f t="shared" ca="1" si="113"/>
        <v>#N/A</v>
      </c>
      <c r="BA17" s="94" t="e">
        <f t="shared" ca="1" si="113"/>
        <v>#N/A</v>
      </c>
      <c r="BB17" s="94" t="e">
        <f t="shared" ca="1" si="113"/>
        <v>#N/A</v>
      </c>
      <c r="BC17" s="94" t="e">
        <f t="shared" ca="1" si="113"/>
        <v>#N/A</v>
      </c>
      <c r="BD17" s="94" t="e">
        <f t="shared" ca="1" si="113"/>
        <v>#N/A</v>
      </c>
      <c r="BE17" s="94" t="e">
        <f t="shared" ca="1" si="113"/>
        <v>#N/A</v>
      </c>
      <c r="BF17" s="94" t="e">
        <f t="shared" ca="1" si="113"/>
        <v>#N/A</v>
      </c>
      <c r="BG17" s="94" t="e">
        <f t="shared" ca="1" si="113"/>
        <v>#N/A</v>
      </c>
      <c r="BH17" s="94" t="e">
        <f t="shared" ca="1" si="113"/>
        <v>#N/A</v>
      </c>
      <c r="BI17" s="94" t="e">
        <f t="shared" ca="1" si="113"/>
        <v>#N/A</v>
      </c>
      <c r="BJ17" s="94" t="e">
        <f t="shared" ca="1" si="113"/>
        <v>#N/A</v>
      </c>
      <c r="BK17" s="94" t="e">
        <f t="shared" ca="1" si="113"/>
        <v>#N/A</v>
      </c>
      <c r="BL17" s="94" t="e">
        <f t="shared" ca="1" si="113"/>
        <v>#N/A</v>
      </c>
      <c r="BM17" s="94" t="e">
        <f t="shared" ca="1" si="113"/>
        <v>#N/A</v>
      </c>
      <c r="BN17" s="94" t="e">
        <f t="shared" ca="1" si="113"/>
        <v>#N/A</v>
      </c>
      <c r="BO17" s="94" t="e">
        <f t="shared" ca="1" si="113"/>
        <v>#N/A</v>
      </c>
      <c r="BP17" s="94" t="e">
        <f t="shared" ca="1" si="113"/>
        <v>#N/A</v>
      </c>
      <c r="BQ17" s="94" t="e">
        <f t="shared" ca="1" si="113"/>
        <v>#N/A</v>
      </c>
      <c r="BR17" s="94" t="e">
        <f t="shared" ca="1" si="113"/>
        <v>#N/A</v>
      </c>
      <c r="BS17" s="94" t="e">
        <f t="shared" ca="1" si="113"/>
        <v>#N/A</v>
      </c>
      <c r="BT17" s="94" t="e">
        <f t="shared" ca="1" si="113"/>
        <v>#N/A</v>
      </c>
      <c r="BU17" s="94" t="e">
        <f t="shared" ca="1" si="113"/>
        <v>#N/A</v>
      </c>
      <c r="BV17" s="94" t="e">
        <f t="shared" ca="1" si="113"/>
        <v>#N/A</v>
      </c>
      <c r="BW17" s="94" t="e">
        <f t="shared" ca="1" si="113"/>
        <v>#N/A</v>
      </c>
      <c r="BX17" s="94" t="e">
        <f t="shared" ca="1" si="113"/>
        <v>#N/A</v>
      </c>
      <c r="BY17" s="94" t="e">
        <f t="shared" ca="1" si="113"/>
        <v>#N/A</v>
      </c>
      <c r="BZ17" s="94" t="e">
        <f t="shared" ca="1" si="113"/>
        <v>#N/A</v>
      </c>
      <c r="CA17" s="94" t="e">
        <f t="shared" ca="1" si="113"/>
        <v>#N/A</v>
      </c>
      <c r="CB17" s="94" t="e">
        <f t="shared" ca="1" si="113"/>
        <v>#N/A</v>
      </c>
      <c r="CC17" s="94" t="e">
        <f t="shared" ca="1" si="113"/>
        <v>#N/A</v>
      </c>
      <c r="CD17" s="94" t="e">
        <f t="shared" ca="1" si="113"/>
        <v>#N/A</v>
      </c>
      <c r="CE17" s="94" t="e">
        <f t="shared" ca="1" si="113"/>
        <v>#N/A</v>
      </c>
      <c r="CF17" s="94" t="e">
        <f t="shared" ca="1" si="113"/>
        <v>#N/A</v>
      </c>
      <c r="CG17" s="94" t="e">
        <f t="shared" ca="1" si="113"/>
        <v>#N/A</v>
      </c>
      <c r="CH17" s="94" t="e">
        <f t="shared" ca="1" si="113"/>
        <v>#N/A</v>
      </c>
      <c r="CI17" s="94" t="e">
        <f t="shared" ca="1" si="113"/>
        <v>#N/A</v>
      </c>
      <c r="CJ17" s="94" t="e">
        <f t="shared" ca="1" si="113"/>
        <v>#N/A</v>
      </c>
      <c r="CK17" s="94" t="e">
        <f t="shared" ca="1" si="113"/>
        <v>#N/A</v>
      </c>
      <c r="CL17" s="94" t="e">
        <f t="shared" ca="1" si="113"/>
        <v>#N/A</v>
      </c>
      <c r="CM17" s="94" t="e">
        <f t="shared" ca="1" si="113"/>
        <v>#N/A</v>
      </c>
      <c r="CN17" s="94" t="e">
        <f t="shared" ca="1" si="113"/>
        <v>#N/A</v>
      </c>
      <c r="CO17" s="94" t="e">
        <f t="shared" ca="1" si="113"/>
        <v>#N/A</v>
      </c>
      <c r="CP17" s="94" t="e">
        <f t="shared" ca="1" si="113"/>
        <v>#N/A</v>
      </c>
      <c r="CQ17" s="94" t="e">
        <f t="shared" ref="CQ17:FB17" ca="1" si="114">IFERROR(AVERAGE(CO15:CQ15),NA())</f>
        <v>#N/A</v>
      </c>
      <c r="CR17" s="94" t="e">
        <f t="shared" ca="1" si="114"/>
        <v>#N/A</v>
      </c>
      <c r="CS17" s="94" t="e">
        <f t="shared" ca="1" si="114"/>
        <v>#N/A</v>
      </c>
      <c r="CT17" s="94" t="e">
        <f t="shared" ca="1" si="114"/>
        <v>#N/A</v>
      </c>
      <c r="CU17" s="94" t="e">
        <f t="shared" ca="1" si="114"/>
        <v>#N/A</v>
      </c>
      <c r="CV17" s="94" t="e">
        <f t="shared" ca="1" si="114"/>
        <v>#N/A</v>
      </c>
      <c r="CW17" s="94" t="e">
        <f t="shared" ca="1" si="114"/>
        <v>#N/A</v>
      </c>
      <c r="CX17" s="94" t="e">
        <f t="shared" ca="1" si="114"/>
        <v>#N/A</v>
      </c>
      <c r="CY17" s="94" t="e">
        <f t="shared" ca="1" si="114"/>
        <v>#N/A</v>
      </c>
      <c r="CZ17" s="94" t="e">
        <f t="shared" ca="1" si="114"/>
        <v>#N/A</v>
      </c>
      <c r="DA17" s="94" t="e">
        <f t="shared" ca="1" si="114"/>
        <v>#N/A</v>
      </c>
      <c r="DB17" s="94" t="e">
        <f t="shared" ca="1" si="114"/>
        <v>#N/A</v>
      </c>
      <c r="DC17" s="94" t="e">
        <f t="shared" ca="1" si="114"/>
        <v>#N/A</v>
      </c>
      <c r="DD17" s="94" t="e">
        <f t="shared" ca="1" si="114"/>
        <v>#N/A</v>
      </c>
      <c r="DE17" s="94" t="e">
        <f t="shared" ca="1" si="114"/>
        <v>#N/A</v>
      </c>
      <c r="DF17" s="94" t="e">
        <f t="shared" ca="1" si="114"/>
        <v>#N/A</v>
      </c>
      <c r="DG17" s="94" t="e">
        <f t="shared" ca="1" si="114"/>
        <v>#N/A</v>
      </c>
      <c r="DH17" s="94" t="e">
        <f t="shared" ca="1" si="114"/>
        <v>#N/A</v>
      </c>
      <c r="DI17" s="94" t="e">
        <f t="shared" ca="1" si="114"/>
        <v>#N/A</v>
      </c>
      <c r="DJ17" s="94" t="e">
        <f t="shared" ca="1" si="114"/>
        <v>#N/A</v>
      </c>
      <c r="DK17" s="94" t="e">
        <f t="shared" ca="1" si="114"/>
        <v>#N/A</v>
      </c>
      <c r="DL17" s="94" t="e">
        <f t="shared" ca="1" si="114"/>
        <v>#N/A</v>
      </c>
      <c r="DM17" s="94" t="e">
        <f t="shared" ca="1" si="114"/>
        <v>#N/A</v>
      </c>
      <c r="DN17" s="94" t="e">
        <f t="shared" ca="1" si="114"/>
        <v>#N/A</v>
      </c>
      <c r="DO17" s="94" t="e">
        <f t="shared" ca="1" si="114"/>
        <v>#N/A</v>
      </c>
      <c r="DP17" s="94" t="e">
        <f t="shared" ca="1" si="114"/>
        <v>#N/A</v>
      </c>
      <c r="DQ17" s="94" t="e">
        <f t="shared" ca="1" si="114"/>
        <v>#N/A</v>
      </c>
      <c r="DR17" s="94" t="e">
        <f t="shared" ca="1" si="114"/>
        <v>#N/A</v>
      </c>
      <c r="DS17" s="94" t="e">
        <f t="shared" ca="1" si="114"/>
        <v>#N/A</v>
      </c>
      <c r="DT17" s="94" t="e">
        <f t="shared" ca="1" si="114"/>
        <v>#N/A</v>
      </c>
      <c r="DU17" s="94" t="e">
        <f t="shared" ca="1" si="114"/>
        <v>#N/A</v>
      </c>
      <c r="DV17" s="94" t="e">
        <f t="shared" ca="1" si="114"/>
        <v>#N/A</v>
      </c>
      <c r="DW17" s="94" t="e">
        <f t="shared" ca="1" si="114"/>
        <v>#N/A</v>
      </c>
      <c r="DX17" s="94" t="e">
        <f t="shared" ca="1" si="114"/>
        <v>#N/A</v>
      </c>
      <c r="DY17" s="94" t="e">
        <f t="shared" ca="1" si="114"/>
        <v>#N/A</v>
      </c>
      <c r="DZ17" s="94" t="e">
        <f t="shared" ca="1" si="114"/>
        <v>#N/A</v>
      </c>
      <c r="EA17" s="94" t="e">
        <f t="shared" ca="1" si="114"/>
        <v>#N/A</v>
      </c>
      <c r="EB17" s="94" t="e">
        <f t="shared" ca="1" si="114"/>
        <v>#N/A</v>
      </c>
      <c r="EC17" s="94" t="e">
        <f t="shared" ca="1" si="114"/>
        <v>#N/A</v>
      </c>
      <c r="ED17" s="94" t="e">
        <f t="shared" ca="1" si="114"/>
        <v>#N/A</v>
      </c>
      <c r="EE17" s="94" t="e">
        <f t="shared" ca="1" si="114"/>
        <v>#N/A</v>
      </c>
      <c r="EF17" s="94" t="e">
        <f t="shared" ca="1" si="114"/>
        <v>#N/A</v>
      </c>
      <c r="EG17" s="94" t="e">
        <f t="shared" ca="1" si="114"/>
        <v>#N/A</v>
      </c>
      <c r="EH17" s="94" t="e">
        <f t="shared" ca="1" si="114"/>
        <v>#N/A</v>
      </c>
      <c r="EI17" s="94" t="e">
        <f t="shared" ca="1" si="114"/>
        <v>#N/A</v>
      </c>
      <c r="EJ17" s="94" t="e">
        <f t="shared" ca="1" si="114"/>
        <v>#N/A</v>
      </c>
      <c r="EK17" s="94" t="e">
        <f t="shared" ca="1" si="114"/>
        <v>#N/A</v>
      </c>
      <c r="EL17" s="94" t="e">
        <f t="shared" ca="1" si="114"/>
        <v>#N/A</v>
      </c>
      <c r="EM17" s="94" t="e">
        <f t="shared" ca="1" si="114"/>
        <v>#N/A</v>
      </c>
      <c r="EN17" s="94" t="e">
        <f t="shared" ca="1" si="114"/>
        <v>#N/A</v>
      </c>
      <c r="EO17" s="94" t="e">
        <f t="shared" ca="1" si="114"/>
        <v>#N/A</v>
      </c>
      <c r="EP17" s="94" t="e">
        <f t="shared" ca="1" si="114"/>
        <v>#N/A</v>
      </c>
      <c r="EQ17" s="94" t="e">
        <f t="shared" ca="1" si="114"/>
        <v>#N/A</v>
      </c>
      <c r="ER17" s="94" t="e">
        <f t="shared" ca="1" si="114"/>
        <v>#N/A</v>
      </c>
      <c r="ES17" s="94" t="e">
        <f t="shared" ca="1" si="114"/>
        <v>#N/A</v>
      </c>
      <c r="ET17" s="94" t="e">
        <f t="shared" ca="1" si="114"/>
        <v>#N/A</v>
      </c>
      <c r="EU17" s="94" t="e">
        <f t="shared" ca="1" si="114"/>
        <v>#N/A</v>
      </c>
      <c r="EV17" s="94" t="e">
        <f t="shared" ca="1" si="114"/>
        <v>#N/A</v>
      </c>
      <c r="EW17" s="94" t="e">
        <f t="shared" ca="1" si="114"/>
        <v>#N/A</v>
      </c>
      <c r="EX17" s="94" t="e">
        <f t="shared" ca="1" si="114"/>
        <v>#N/A</v>
      </c>
      <c r="EY17" s="94" t="e">
        <f t="shared" ca="1" si="114"/>
        <v>#N/A</v>
      </c>
      <c r="EZ17" s="94" t="e">
        <f t="shared" ca="1" si="114"/>
        <v>#N/A</v>
      </c>
      <c r="FA17" s="94" t="e">
        <f t="shared" ca="1" si="114"/>
        <v>#N/A</v>
      </c>
      <c r="FB17" s="94" t="e">
        <f t="shared" ca="1" si="114"/>
        <v>#N/A</v>
      </c>
      <c r="FC17" s="94" t="e">
        <f t="shared" ref="FC17:HN17" ca="1" si="115">IFERROR(AVERAGE(FA15:FC15),NA())</f>
        <v>#N/A</v>
      </c>
      <c r="FD17" s="94" t="e">
        <f t="shared" ca="1" si="115"/>
        <v>#N/A</v>
      </c>
      <c r="FE17" s="94" t="e">
        <f t="shared" ca="1" si="115"/>
        <v>#N/A</v>
      </c>
      <c r="FF17" s="94" t="e">
        <f t="shared" ca="1" si="115"/>
        <v>#N/A</v>
      </c>
      <c r="FG17" s="94" t="e">
        <f t="shared" ca="1" si="115"/>
        <v>#N/A</v>
      </c>
      <c r="FH17" s="94" t="e">
        <f t="shared" ca="1" si="115"/>
        <v>#N/A</v>
      </c>
      <c r="FI17" s="94" t="e">
        <f t="shared" ca="1" si="115"/>
        <v>#N/A</v>
      </c>
      <c r="FJ17" s="94" t="e">
        <f t="shared" ca="1" si="115"/>
        <v>#N/A</v>
      </c>
      <c r="FK17" s="94" t="e">
        <f t="shared" ca="1" si="115"/>
        <v>#N/A</v>
      </c>
      <c r="FL17" s="94" t="e">
        <f t="shared" ca="1" si="115"/>
        <v>#N/A</v>
      </c>
      <c r="FM17" s="94" t="e">
        <f t="shared" ca="1" si="115"/>
        <v>#N/A</v>
      </c>
      <c r="FN17" s="94" t="e">
        <f t="shared" ca="1" si="115"/>
        <v>#N/A</v>
      </c>
      <c r="FO17" s="94" t="e">
        <f t="shared" ca="1" si="115"/>
        <v>#N/A</v>
      </c>
      <c r="FP17" s="94" t="e">
        <f t="shared" ca="1" si="115"/>
        <v>#N/A</v>
      </c>
      <c r="FQ17" s="94" t="e">
        <f t="shared" ca="1" si="115"/>
        <v>#N/A</v>
      </c>
      <c r="FR17" s="94" t="e">
        <f t="shared" ca="1" si="115"/>
        <v>#N/A</v>
      </c>
      <c r="FS17" s="94" t="e">
        <f t="shared" ca="1" si="115"/>
        <v>#N/A</v>
      </c>
      <c r="FT17" s="94" t="e">
        <f t="shared" ca="1" si="115"/>
        <v>#N/A</v>
      </c>
      <c r="FU17" s="94" t="e">
        <f t="shared" ca="1" si="115"/>
        <v>#N/A</v>
      </c>
      <c r="FV17" s="94" t="e">
        <f t="shared" ca="1" si="115"/>
        <v>#N/A</v>
      </c>
      <c r="FW17" s="94" t="e">
        <f t="shared" ca="1" si="115"/>
        <v>#N/A</v>
      </c>
      <c r="FX17" s="94" t="e">
        <f t="shared" ca="1" si="115"/>
        <v>#N/A</v>
      </c>
      <c r="FY17" s="94" t="e">
        <f t="shared" ca="1" si="115"/>
        <v>#N/A</v>
      </c>
      <c r="FZ17" s="94" t="e">
        <f t="shared" ca="1" si="115"/>
        <v>#N/A</v>
      </c>
      <c r="GA17" s="94" t="e">
        <f t="shared" ca="1" si="115"/>
        <v>#N/A</v>
      </c>
      <c r="GB17" s="94" t="e">
        <f t="shared" ca="1" si="115"/>
        <v>#N/A</v>
      </c>
      <c r="GC17" s="94" t="e">
        <f t="shared" ca="1" si="115"/>
        <v>#N/A</v>
      </c>
      <c r="GD17" s="94" t="e">
        <f t="shared" ca="1" si="115"/>
        <v>#N/A</v>
      </c>
      <c r="GE17" s="94" t="e">
        <f t="shared" ca="1" si="115"/>
        <v>#N/A</v>
      </c>
      <c r="GF17" s="94" t="e">
        <f t="shared" ca="1" si="115"/>
        <v>#N/A</v>
      </c>
      <c r="GG17" s="94" t="e">
        <f t="shared" ca="1" si="115"/>
        <v>#N/A</v>
      </c>
      <c r="GH17" s="94" t="e">
        <f t="shared" ca="1" si="115"/>
        <v>#N/A</v>
      </c>
      <c r="GI17" s="94" t="e">
        <f t="shared" ca="1" si="115"/>
        <v>#N/A</v>
      </c>
      <c r="GJ17" s="94" t="e">
        <f t="shared" ca="1" si="115"/>
        <v>#N/A</v>
      </c>
      <c r="GK17" s="94" t="e">
        <f t="shared" ca="1" si="115"/>
        <v>#N/A</v>
      </c>
      <c r="GL17" s="94" t="e">
        <f t="shared" ca="1" si="115"/>
        <v>#N/A</v>
      </c>
      <c r="GM17" s="94" t="e">
        <f t="shared" ca="1" si="115"/>
        <v>#N/A</v>
      </c>
      <c r="GN17" s="94" t="e">
        <f t="shared" ca="1" si="115"/>
        <v>#N/A</v>
      </c>
      <c r="GO17" s="94" t="e">
        <f t="shared" ca="1" si="115"/>
        <v>#N/A</v>
      </c>
      <c r="GP17" s="94" t="e">
        <f t="shared" ca="1" si="115"/>
        <v>#N/A</v>
      </c>
      <c r="GQ17" s="94" t="e">
        <f t="shared" ca="1" si="115"/>
        <v>#N/A</v>
      </c>
      <c r="GR17" s="94" t="e">
        <f t="shared" ca="1" si="115"/>
        <v>#N/A</v>
      </c>
      <c r="GS17" s="94" t="e">
        <f t="shared" ca="1" si="115"/>
        <v>#N/A</v>
      </c>
      <c r="GT17" s="94" t="e">
        <f t="shared" ca="1" si="115"/>
        <v>#N/A</v>
      </c>
      <c r="GU17" s="94" t="e">
        <f t="shared" ca="1" si="115"/>
        <v>#N/A</v>
      </c>
      <c r="GV17" s="94" t="e">
        <f t="shared" ca="1" si="115"/>
        <v>#N/A</v>
      </c>
      <c r="GW17" s="94" t="e">
        <f t="shared" ca="1" si="115"/>
        <v>#N/A</v>
      </c>
      <c r="GX17" s="94" t="e">
        <f t="shared" ca="1" si="115"/>
        <v>#N/A</v>
      </c>
      <c r="GY17" s="94" t="e">
        <f t="shared" ca="1" si="115"/>
        <v>#N/A</v>
      </c>
      <c r="GZ17" s="94" t="e">
        <f t="shared" ca="1" si="115"/>
        <v>#N/A</v>
      </c>
      <c r="HA17" s="94" t="e">
        <f t="shared" ca="1" si="115"/>
        <v>#N/A</v>
      </c>
      <c r="HB17" s="94" t="e">
        <f t="shared" ca="1" si="115"/>
        <v>#N/A</v>
      </c>
      <c r="HC17" s="94" t="e">
        <f t="shared" ca="1" si="115"/>
        <v>#N/A</v>
      </c>
      <c r="HD17" s="94" t="e">
        <f t="shared" ca="1" si="115"/>
        <v>#N/A</v>
      </c>
      <c r="HE17" s="94" t="e">
        <f t="shared" ca="1" si="115"/>
        <v>#N/A</v>
      </c>
      <c r="HF17" s="94" t="e">
        <f t="shared" ca="1" si="115"/>
        <v>#N/A</v>
      </c>
      <c r="HG17" s="94" t="e">
        <f t="shared" ca="1" si="115"/>
        <v>#N/A</v>
      </c>
      <c r="HH17" s="94" t="e">
        <f t="shared" ca="1" si="115"/>
        <v>#N/A</v>
      </c>
      <c r="HI17" s="94" t="e">
        <f t="shared" ca="1" si="115"/>
        <v>#N/A</v>
      </c>
      <c r="HJ17" s="94" t="e">
        <f t="shared" ca="1" si="115"/>
        <v>#N/A</v>
      </c>
      <c r="HK17" s="94" t="e">
        <f t="shared" ca="1" si="115"/>
        <v>#N/A</v>
      </c>
      <c r="HL17" s="94" t="e">
        <f t="shared" ca="1" si="115"/>
        <v>#N/A</v>
      </c>
      <c r="HM17" s="94" t="e">
        <f t="shared" ca="1" si="115"/>
        <v>#N/A</v>
      </c>
      <c r="HN17" s="94" t="e">
        <f t="shared" ca="1" si="115"/>
        <v>#N/A</v>
      </c>
      <c r="HO17" s="94" t="e">
        <f t="shared" ref="HO17:IN17" ca="1" si="116">IFERROR(AVERAGE(HM15:HO15),NA())</f>
        <v>#N/A</v>
      </c>
      <c r="HP17" s="94" t="e">
        <f t="shared" ca="1" si="116"/>
        <v>#N/A</v>
      </c>
      <c r="HQ17" s="94" t="e">
        <f t="shared" ca="1" si="116"/>
        <v>#N/A</v>
      </c>
      <c r="HR17" s="94" t="e">
        <f t="shared" ca="1" si="116"/>
        <v>#N/A</v>
      </c>
      <c r="HS17" s="94" t="e">
        <f t="shared" ca="1" si="116"/>
        <v>#N/A</v>
      </c>
      <c r="HT17" s="94" t="e">
        <f t="shared" ca="1" si="116"/>
        <v>#N/A</v>
      </c>
      <c r="HU17" s="94" t="e">
        <f t="shared" ca="1" si="116"/>
        <v>#N/A</v>
      </c>
      <c r="HV17" s="94" t="e">
        <f t="shared" ca="1" si="116"/>
        <v>#N/A</v>
      </c>
      <c r="HW17" s="94" t="e">
        <f t="shared" ca="1" si="116"/>
        <v>#N/A</v>
      </c>
      <c r="HX17" s="94" t="e">
        <f t="shared" ca="1" si="116"/>
        <v>#N/A</v>
      </c>
      <c r="HY17" s="94" t="e">
        <f t="shared" ca="1" si="116"/>
        <v>#N/A</v>
      </c>
      <c r="HZ17" s="94" t="e">
        <f t="shared" ca="1" si="116"/>
        <v>#N/A</v>
      </c>
      <c r="IA17" s="94" t="e">
        <f t="shared" ca="1" si="116"/>
        <v>#N/A</v>
      </c>
      <c r="IB17" s="94" t="e">
        <f t="shared" ca="1" si="116"/>
        <v>#N/A</v>
      </c>
      <c r="IC17" s="94" t="e">
        <f t="shared" ca="1" si="116"/>
        <v>#N/A</v>
      </c>
      <c r="ID17" s="94" t="e">
        <f t="shared" ca="1" si="116"/>
        <v>#N/A</v>
      </c>
      <c r="IE17" s="94" t="e">
        <f t="shared" ca="1" si="116"/>
        <v>#N/A</v>
      </c>
      <c r="IF17" s="94" t="e">
        <f t="shared" ca="1" si="116"/>
        <v>#N/A</v>
      </c>
      <c r="IG17" s="94" t="e">
        <f t="shared" ca="1" si="116"/>
        <v>#N/A</v>
      </c>
      <c r="IH17" s="94" t="e">
        <f t="shared" ca="1" si="116"/>
        <v>#N/A</v>
      </c>
      <c r="II17" s="94" t="e">
        <f t="shared" ca="1" si="116"/>
        <v>#N/A</v>
      </c>
      <c r="IJ17" s="94" t="e">
        <f t="shared" ca="1" si="116"/>
        <v>#N/A</v>
      </c>
      <c r="IK17" s="94" t="e">
        <f t="shared" ca="1" si="116"/>
        <v>#N/A</v>
      </c>
      <c r="IL17" s="94" t="e">
        <f t="shared" ca="1" si="116"/>
        <v>#N/A</v>
      </c>
      <c r="IM17" s="94" t="e">
        <f t="shared" ca="1" si="116"/>
        <v>#N/A</v>
      </c>
      <c r="IN17" s="94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7">$C$16</f>
        <v>4480.4767259999999</v>
      </c>
      <c r="I19" s="40">
        <f t="shared" si="117"/>
        <v>4480.4767259999999</v>
      </c>
      <c r="J19" s="40">
        <f t="shared" si="117"/>
        <v>4480.4767259999999</v>
      </c>
      <c r="K19" s="40">
        <f t="shared" si="117"/>
        <v>4480.4767259999999</v>
      </c>
      <c r="L19" s="40">
        <f t="shared" si="117"/>
        <v>4480.4767259999999</v>
      </c>
      <c r="M19" s="40">
        <f t="shared" si="117"/>
        <v>4480.4767259999999</v>
      </c>
      <c r="N19" s="40">
        <f t="shared" si="117"/>
        <v>4480.4767259999999</v>
      </c>
      <c r="O19" s="40">
        <f t="shared" si="117"/>
        <v>4480.4767259999999</v>
      </c>
      <c r="P19" s="40">
        <f t="shared" si="117"/>
        <v>4480.4767259999999</v>
      </c>
      <c r="Q19" s="40">
        <f t="shared" si="117"/>
        <v>4480.4767259999999</v>
      </c>
      <c r="R19" s="40">
        <f t="shared" si="117"/>
        <v>4480.4767259999999</v>
      </c>
      <c r="S19" s="40">
        <f t="shared" si="117"/>
        <v>4480.4767259999999</v>
      </c>
      <c r="T19" s="40">
        <f t="shared" si="117"/>
        <v>4480.4767259999999</v>
      </c>
      <c r="U19" s="40">
        <f t="shared" si="117"/>
        <v>4480.4767259999999</v>
      </c>
      <c r="V19" s="40">
        <f t="shared" si="117"/>
        <v>4480.4767259999999</v>
      </c>
      <c r="W19" s="40">
        <f t="shared" si="117"/>
        <v>4480.4767259999999</v>
      </c>
      <c r="X19" s="40">
        <f t="shared" si="117"/>
        <v>4480.4767259999999</v>
      </c>
      <c r="Y19" s="40">
        <f t="shared" si="117"/>
        <v>4480.4767259999999</v>
      </c>
      <c r="Z19" s="40">
        <f t="shared" si="117"/>
        <v>4480.4767259999999</v>
      </c>
      <c r="AA19" s="40">
        <f t="shared" si="117"/>
        <v>4480.4767259999999</v>
      </c>
      <c r="AB19" s="40">
        <f t="shared" si="117"/>
        <v>4480.4767259999999</v>
      </c>
      <c r="AC19" s="40">
        <f t="shared" si="117"/>
        <v>4480.4767259999999</v>
      </c>
      <c r="AD19" s="40">
        <f t="shared" si="117"/>
        <v>4480.4767259999999</v>
      </c>
      <c r="AE19" s="40">
        <f t="shared" si="117"/>
        <v>4480.4767259999999</v>
      </c>
      <c r="AF19" s="40">
        <f t="shared" si="117"/>
        <v>4480.4767259999999</v>
      </c>
      <c r="AG19" s="40">
        <f t="shared" si="117"/>
        <v>4480.4767259999999</v>
      </c>
      <c r="AH19" s="40">
        <f t="shared" si="117"/>
        <v>4480.4767259999999</v>
      </c>
      <c r="AI19" s="40">
        <f t="shared" si="117"/>
        <v>4480.4767259999999</v>
      </c>
      <c r="AJ19" s="40">
        <f t="shared" si="117"/>
        <v>4480.4767259999999</v>
      </c>
      <c r="AK19" s="40">
        <f t="shared" si="117"/>
        <v>4480.4767259999999</v>
      </c>
      <c r="AL19" s="40">
        <f t="shared" si="117"/>
        <v>4480.4767259999999</v>
      </c>
      <c r="AM19" s="40">
        <f t="shared" si="117"/>
        <v>4480.4767259999999</v>
      </c>
      <c r="AN19" s="40">
        <f t="shared" si="117"/>
        <v>4480.4767259999999</v>
      </c>
      <c r="AO19" s="40">
        <f t="shared" si="117"/>
        <v>4480.4767259999999</v>
      </c>
      <c r="AP19" s="40">
        <f t="shared" si="117"/>
        <v>4480.4767259999999</v>
      </c>
      <c r="AQ19" s="40">
        <f t="shared" si="117"/>
        <v>4480.4767259999999</v>
      </c>
      <c r="AR19" s="40">
        <f t="shared" si="117"/>
        <v>4480.4767259999999</v>
      </c>
      <c r="AS19" s="40">
        <f t="shared" si="117"/>
        <v>4480.4767259999999</v>
      </c>
      <c r="AT19" s="40">
        <f t="shared" si="117"/>
        <v>4480.4767259999999</v>
      </c>
      <c r="AU19" s="40">
        <f t="shared" si="117"/>
        <v>4480.4767259999999</v>
      </c>
      <c r="AV19" s="40">
        <f t="shared" si="117"/>
        <v>4480.4767259999999</v>
      </c>
      <c r="AW19" s="40">
        <f t="shared" si="117"/>
        <v>4480.4767259999999</v>
      </c>
      <c r="AX19" s="40">
        <f t="shared" si="117"/>
        <v>4480.4767259999999</v>
      </c>
      <c r="AY19" s="40">
        <f t="shared" si="117"/>
        <v>4480.4767259999999</v>
      </c>
      <c r="AZ19" s="40">
        <f t="shared" si="117"/>
        <v>4480.4767259999999</v>
      </c>
      <c r="BA19" s="40">
        <f t="shared" si="117"/>
        <v>4480.4767259999999</v>
      </c>
      <c r="BB19" s="40">
        <f t="shared" si="117"/>
        <v>4480.4767259999999</v>
      </c>
      <c r="BC19" s="40">
        <f t="shared" si="117"/>
        <v>4480.4767259999999</v>
      </c>
      <c r="BD19" s="40">
        <f t="shared" si="117"/>
        <v>4480.4767259999999</v>
      </c>
      <c r="BE19" s="40">
        <f t="shared" si="117"/>
        <v>4480.4767259999999</v>
      </c>
      <c r="BF19" s="40">
        <f t="shared" si="117"/>
        <v>4480.4767259999999</v>
      </c>
      <c r="BG19" s="40">
        <f t="shared" si="117"/>
        <v>4480.4767259999999</v>
      </c>
      <c r="BH19" s="40">
        <f t="shared" si="117"/>
        <v>4480.4767259999999</v>
      </c>
      <c r="BI19" s="40">
        <f t="shared" si="117"/>
        <v>4480.4767259999999</v>
      </c>
      <c r="BJ19" s="40">
        <f t="shared" si="117"/>
        <v>4480.4767259999999</v>
      </c>
      <c r="BK19" s="40">
        <f t="shared" si="117"/>
        <v>4480.4767259999999</v>
      </c>
      <c r="BL19" s="40">
        <f t="shared" si="117"/>
        <v>4480.4767259999999</v>
      </c>
      <c r="BM19" s="40">
        <f t="shared" si="117"/>
        <v>4480.4767259999999</v>
      </c>
      <c r="BN19" s="40">
        <f t="shared" si="117"/>
        <v>4480.4767259999999</v>
      </c>
      <c r="BO19" s="40">
        <f t="shared" si="117"/>
        <v>4480.4767259999999</v>
      </c>
      <c r="BP19" s="40">
        <f t="shared" si="117"/>
        <v>4480.4767259999999</v>
      </c>
      <c r="BQ19" s="40">
        <f t="shared" si="117"/>
        <v>4480.4767259999999</v>
      </c>
      <c r="BR19" s="40">
        <f t="shared" si="117"/>
        <v>4480.4767259999999</v>
      </c>
      <c r="BS19" s="40">
        <f t="shared" si="117"/>
        <v>4480.4767259999999</v>
      </c>
      <c r="BT19" s="40">
        <f t="shared" ref="BT19:EE19" si="118">$C$16</f>
        <v>4480.4767259999999</v>
      </c>
      <c r="BU19" s="40">
        <f t="shared" si="118"/>
        <v>4480.4767259999999</v>
      </c>
      <c r="BV19" s="40">
        <f t="shared" si="118"/>
        <v>4480.4767259999999</v>
      </c>
      <c r="BW19" s="40">
        <f t="shared" si="118"/>
        <v>4480.4767259999999</v>
      </c>
      <c r="BX19" s="40">
        <f t="shared" si="118"/>
        <v>4480.4767259999999</v>
      </c>
      <c r="BY19" s="40">
        <f t="shared" si="118"/>
        <v>4480.4767259999999</v>
      </c>
      <c r="BZ19" s="40">
        <f t="shared" si="118"/>
        <v>4480.4767259999999</v>
      </c>
      <c r="CA19" s="40">
        <f t="shared" si="118"/>
        <v>4480.4767259999999</v>
      </c>
      <c r="CB19" s="40">
        <f t="shared" si="118"/>
        <v>4480.4767259999999</v>
      </c>
      <c r="CC19" s="40">
        <f t="shared" si="118"/>
        <v>4480.4767259999999</v>
      </c>
      <c r="CD19" s="40">
        <f t="shared" si="118"/>
        <v>4480.4767259999999</v>
      </c>
      <c r="CE19" s="40">
        <f t="shared" si="118"/>
        <v>4480.4767259999999</v>
      </c>
      <c r="CF19" s="40">
        <f t="shared" si="118"/>
        <v>4480.4767259999999</v>
      </c>
      <c r="CG19" s="40">
        <f t="shared" si="118"/>
        <v>4480.4767259999999</v>
      </c>
      <c r="CH19" s="40">
        <f t="shared" si="118"/>
        <v>4480.4767259999999</v>
      </c>
      <c r="CI19" s="40">
        <f t="shared" si="118"/>
        <v>4480.4767259999999</v>
      </c>
      <c r="CJ19" s="40">
        <f t="shared" si="118"/>
        <v>4480.4767259999999</v>
      </c>
      <c r="CK19" s="40">
        <f t="shared" si="118"/>
        <v>4480.4767259999999</v>
      </c>
      <c r="CL19" s="40">
        <f t="shared" si="118"/>
        <v>4480.4767259999999</v>
      </c>
      <c r="CM19" s="40">
        <f t="shared" si="118"/>
        <v>4480.4767259999999</v>
      </c>
      <c r="CN19" s="40">
        <f t="shared" si="118"/>
        <v>4480.4767259999999</v>
      </c>
      <c r="CO19" s="40">
        <f t="shared" si="118"/>
        <v>4480.4767259999999</v>
      </c>
      <c r="CP19" s="40">
        <f t="shared" si="118"/>
        <v>4480.4767259999999</v>
      </c>
      <c r="CQ19" s="40">
        <f t="shared" si="118"/>
        <v>4480.4767259999999</v>
      </c>
      <c r="CR19" s="40">
        <f t="shared" si="118"/>
        <v>4480.4767259999999</v>
      </c>
      <c r="CS19" s="40">
        <f t="shared" si="118"/>
        <v>4480.4767259999999</v>
      </c>
      <c r="CT19" s="40">
        <f t="shared" si="118"/>
        <v>4480.4767259999999</v>
      </c>
      <c r="CU19" s="40">
        <f t="shared" si="118"/>
        <v>4480.4767259999999</v>
      </c>
      <c r="CV19" s="40">
        <f t="shared" si="118"/>
        <v>4480.4767259999999</v>
      </c>
      <c r="CW19" s="40">
        <f t="shared" si="118"/>
        <v>4480.4767259999999</v>
      </c>
      <c r="CX19" s="40">
        <f t="shared" si="118"/>
        <v>4480.4767259999999</v>
      </c>
      <c r="CY19" s="40">
        <f t="shared" si="118"/>
        <v>4480.4767259999999</v>
      </c>
      <c r="CZ19" s="40">
        <f t="shared" si="118"/>
        <v>4480.4767259999999</v>
      </c>
      <c r="DA19" s="40">
        <f t="shared" si="118"/>
        <v>4480.4767259999999</v>
      </c>
      <c r="DB19" s="40">
        <f t="shared" si="118"/>
        <v>4480.4767259999999</v>
      </c>
      <c r="DC19" s="40">
        <f t="shared" si="118"/>
        <v>4480.4767259999999</v>
      </c>
      <c r="DD19" s="40">
        <f t="shared" si="118"/>
        <v>4480.4767259999999</v>
      </c>
      <c r="DE19" s="40">
        <f t="shared" si="118"/>
        <v>4480.4767259999999</v>
      </c>
      <c r="DF19" s="40">
        <f t="shared" si="118"/>
        <v>4480.4767259999999</v>
      </c>
      <c r="DG19" s="40">
        <f t="shared" si="118"/>
        <v>4480.4767259999999</v>
      </c>
      <c r="DH19" s="40">
        <f t="shared" si="118"/>
        <v>4480.4767259999999</v>
      </c>
      <c r="DI19" s="40">
        <f t="shared" si="118"/>
        <v>4480.4767259999999</v>
      </c>
      <c r="DJ19" s="40">
        <f t="shared" si="118"/>
        <v>4480.4767259999999</v>
      </c>
      <c r="DK19" s="40">
        <f t="shared" si="118"/>
        <v>4480.4767259999999</v>
      </c>
      <c r="DL19" s="40">
        <f t="shared" si="118"/>
        <v>4480.4767259999999</v>
      </c>
      <c r="DM19" s="40">
        <f t="shared" si="118"/>
        <v>4480.4767259999999</v>
      </c>
      <c r="DN19" s="40">
        <f t="shared" si="118"/>
        <v>4480.4767259999999</v>
      </c>
      <c r="DO19" s="40">
        <f t="shared" si="118"/>
        <v>4480.4767259999999</v>
      </c>
      <c r="DP19" s="40">
        <f t="shared" si="118"/>
        <v>4480.4767259999999</v>
      </c>
      <c r="DQ19" s="40">
        <f t="shared" si="118"/>
        <v>4480.4767259999999</v>
      </c>
      <c r="DR19" s="40">
        <f t="shared" si="118"/>
        <v>4480.4767259999999</v>
      </c>
      <c r="DS19" s="40">
        <f t="shared" si="118"/>
        <v>4480.4767259999999</v>
      </c>
      <c r="DT19" s="40">
        <f t="shared" si="118"/>
        <v>4480.4767259999999</v>
      </c>
      <c r="DU19" s="40">
        <f t="shared" si="118"/>
        <v>4480.4767259999999</v>
      </c>
      <c r="DV19" s="40">
        <f t="shared" si="118"/>
        <v>4480.4767259999999</v>
      </c>
      <c r="DW19" s="40">
        <f t="shared" si="118"/>
        <v>4480.4767259999999</v>
      </c>
      <c r="DX19" s="40">
        <f t="shared" si="118"/>
        <v>4480.4767259999999</v>
      </c>
      <c r="DY19" s="40">
        <f t="shared" si="118"/>
        <v>4480.4767259999999</v>
      </c>
      <c r="DZ19" s="40">
        <f t="shared" si="118"/>
        <v>4480.4767259999999</v>
      </c>
      <c r="EA19" s="40">
        <f t="shared" si="118"/>
        <v>4480.4767259999999</v>
      </c>
      <c r="EB19" s="40">
        <f t="shared" si="118"/>
        <v>4480.4767259999999</v>
      </c>
      <c r="EC19" s="40">
        <f t="shared" si="118"/>
        <v>4480.4767259999999</v>
      </c>
      <c r="ED19" s="40">
        <f t="shared" si="118"/>
        <v>4480.4767259999999</v>
      </c>
      <c r="EE19" s="40">
        <f t="shared" si="118"/>
        <v>4480.4767259999999</v>
      </c>
      <c r="EF19" s="40">
        <f t="shared" ref="EF19:GQ19" si="119">$C$16</f>
        <v>4480.4767259999999</v>
      </c>
      <c r="EG19" s="40">
        <f t="shared" si="119"/>
        <v>4480.4767259999999</v>
      </c>
      <c r="EH19" s="40">
        <f t="shared" si="119"/>
        <v>4480.4767259999999</v>
      </c>
      <c r="EI19" s="40">
        <f t="shared" si="119"/>
        <v>4480.4767259999999</v>
      </c>
      <c r="EJ19" s="40">
        <f t="shared" si="119"/>
        <v>4480.4767259999999</v>
      </c>
      <c r="EK19" s="40">
        <f t="shared" si="119"/>
        <v>4480.4767259999999</v>
      </c>
      <c r="EL19" s="40">
        <f t="shared" si="119"/>
        <v>4480.4767259999999</v>
      </c>
      <c r="EM19" s="40">
        <f t="shared" si="119"/>
        <v>4480.4767259999999</v>
      </c>
      <c r="EN19" s="40">
        <f t="shared" si="119"/>
        <v>4480.4767259999999</v>
      </c>
      <c r="EO19" s="40">
        <f t="shared" si="119"/>
        <v>4480.4767259999999</v>
      </c>
      <c r="EP19" s="40">
        <f t="shared" si="119"/>
        <v>4480.4767259999999</v>
      </c>
      <c r="EQ19" s="40">
        <f t="shared" si="119"/>
        <v>4480.4767259999999</v>
      </c>
      <c r="ER19" s="40">
        <f t="shared" si="119"/>
        <v>4480.4767259999999</v>
      </c>
      <c r="ES19" s="40">
        <f t="shared" si="119"/>
        <v>4480.4767259999999</v>
      </c>
      <c r="ET19" s="40">
        <f t="shared" si="119"/>
        <v>4480.4767259999999</v>
      </c>
      <c r="EU19" s="40">
        <f t="shared" si="119"/>
        <v>4480.4767259999999</v>
      </c>
      <c r="EV19" s="40">
        <f t="shared" si="119"/>
        <v>4480.4767259999999</v>
      </c>
      <c r="EW19" s="40">
        <f t="shared" si="119"/>
        <v>4480.4767259999999</v>
      </c>
      <c r="EX19" s="40">
        <f t="shared" si="119"/>
        <v>4480.4767259999999</v>
      </c>
      <c r="EY19" s="40">
        <f t="shared" si="119"/>
        <v>4480.4767259999999</v>
      </c>
      <c r="EZ19" s="40">
        <f t="shared" si="119"/>
        <v>4480.4767259999999</v>
      </c>
      <c r="FA19" s="40">
        <f t="shared" si="119"/>
        <v>4480.4767259999999</v>
      </c>
      <c r="FB19" s="40">
        <f t="shared" si="119"/>
        <v>4480.4767259999999</v>
      </c>
      <c r="FC19" s="40">
        <f t="shared" si="119"/>
        <v>4480.4767259999999</v>
      </c>
      <c r="FD19" s="40">
        <f t="shared" si="119"/>
        <v>4480.4767259999999</v>
      </c>
      <c r="FE19" s="40">
        <f t="shared" si="119"/>
        <v>4480.4767259999999</v>
      </c>
      <c r="FF19" s="40">
        <f t="shared" si="119"/>
        <v>4480.4767259999999</v>
      </c>
      <c r="FG19" s="40">
        <f t="shared" si="119"/>
        <v>4480.4767259999999</v>
      </c>
      <c r="FH19" s="40">
        <f t="shared" si="119"/>
        <v>4480.4767259999999</v>
      </c>
      <c r="FI19" s="40">
        <f t="shared" si="119"/>
        <v>4480.4767259999999</v>
      </c>
      <c r="FJ19" s="40">
        <f t="shared" si="119"/>
        <v>4480.4767259999999</v>
      </c>
      <c r="FK19" s="40">
        <f t="shared" si="119"/>
        <v>4480.4767259999999</v>
      </c>
      <c r="FL19" s="40">
        <f t="shared" si="119"/>
        <v>4480.4767259999999</v>
      </c>
      <c r="FM19" s="40">
        <f t="shared" si="119"/>
        <v>4480.4767259999999</v>
      </c>
      <c r="FN19" s="40">
        <f t="shared" si="119"/>
        <v>4480.4767259999999</v>
      </c>
      <c r="FO19" s="40">
        <f t="shared" si="119"/>
        <v>4480.4767259999999</v>
      </c>
      <c r="FP19" s="40">
        <f t="shared" si="119"/>
        <v>4480.4767259999999</v>
      </c>
      <c r="FQ19" s="40">
        <f t="shared" si="119"/>
        <v>4480.4767259999999</v>
      </c>
      <c r="FR19" s="40">
        <f t="shared" si="119"/>
        <v>4480.4767259999999</v>
      </c>
      <c r="FS19" s="40">
        <f t="shared" si="119"/>
        <v>4480.4767259999999</v>
      </c>
      <c r="FT19" s="40">
        <f t="shared" si="119"/>
        <v>4480.4767259999999</v>
      </c>
      <c r="FU19" s="40">
        <f t="shared" si="119"/>
        <v>4480.4767259999999</v>
      </c>
      <c r="FV19" s="40">
        <f t="shared" si="119"/>
        <v>4480.4767259999999</v>
      </c>
      <c r="FW19" s="40">
        <f t="shared" si="119"/>
        <v>4480.4767259999999</v>
      </c>
      <c r="FX19" s="40">
        <f t="shared" si="119"/>
        <v>4480.4767259999999</v>
      </c>
      <c r="FY19" s="40">
        <f t="shared" si="119"/>
        <v>4480.4767259999999</v>
      </c>
      <c r="FZ19" s="40">
        <f t="shared" si="119"/>
        <v>4480.4767259999999</v>
      </c>
      <c r="GA19" s="40">
        <f t="shared" si="119"/>
        <v>4480.4767259999999</v>
      </c>
      <c r="GB19" s="40">
        <f t="shared" si="119"/>
        <v>4480.4767259999999</v>
      </c>
      <c r="GC19" s="40">
        <f t="shared" si="119"/>
        <v>4480.4767259999999</v>
      </c>
      <c r="GD19" s="40">
        <f t="shared" si="119"/>
        <v>4480.4767259999999</v>
      </c>
      <c r="GE19" s="40">
        <f t="shared" si="119"/>
        <v>4480.4767259999999</v>
      </c>
      <c r="GF19" s="40">
        <f t="shared" si="119"/>
        <v>4480.4767259999999</v>
      </c>
      <c r="GG19" s="40">
        <f t="shared" si="119"/>
        <v>4480.4767259999999</v>
      </c>
      <c r="GH19" s="40">
        <f t="shared" si="119"/>
        <v>4480.4767259999999</v>
      </c>
      <c r="GI19" s="40">
        <f t="shared" si="119"/>
        <v>4480.4767259999999</v>
      </c>
      <c r="GJ19" s="40">
        <f t="shared" si="119"/>
        <v>4480.4767259999999</v>
      </c>
      <c r="GK19" s="40">
        <f t="shared" si="119"/>
        <v>4480.4767259999999</v>
      </c>
      <c r="GL19" s="40">
        <f t="shared" si="119"/>
        <v>4480.4767259999999</v>
      </c>
      <c r="GM19" s="40">
        <f t="shared" si="119"/>
        <v>4480.4767259999999</v>
      </c>
      <c r="GN19" s="40">
        <f t="shared" si="119"/>
        <v>4480.4767259999999</v>
      </c>
      <c r="GO19" s="40">
        <f t="shared" si="119"/>
        <v>4480.4767259999999</v>
      </c>
      <c r="GP19" s="40">
        <f t="shared" si="119"/>
        <v>4480.4767259999999</v>
      </c>
      <c r="GQ19" s="40">
        <f t="shared" si="119"/>
        <v>4480.4767259999999</v>
      </c>
      <c r="GR19" s="40">
        <f t="shared" ref="GR19:IN19" si="120">$C$16</f>
        <v>4480.4767259999999</v>
      </c>
      <c r="GS19" s="40">
        <f t="shared" si="120"/>
        <v>4480.4767259999999</v>
      </c>
      <c r="GT19" s="40">
        <f t="shared" si="120"/>
        <v>4480.4767259999999</v>
      </c>
      <c r="GU19" s="40">
        <f t="shared" si="120"/>
        <v>4480.4767259999999</v>
      </c>
      <c r="GV19" s="40">
        <f t="shared" si="120"/>
        <v>4480.4767259999999</v>
      </c>
      <c r="GW19" s="40">
        <f t="shared" si="120"/>
        <v>4480.4767259999999</v>
      </c>
      <c r="GX19" s="40">
        <f t="shared" si="120"/>
        <v>4480.4767259999999</v>
      </c>
      <c r="GY19" s="40">
        <f t="shared" si="120"/>
        <v>4480.4767259999999</v>
      </c>
      <c r="GZ19" s="40">
        <f t="shared" si="120"/>
        <v>4480.4767259999999</v>
      </c>
      <c r="HA19" s="40">
        <f t="shared" si="120"/>
        <v>4480.4767259999999</v>
      </c>
      <c r="HB19" s="40">
        <f t="shared" si="120"/>
        <v>4480.4767259999999</v>
      </c>
      <c r="HC19" s="40">
        <f t="shared" si="120"/>
        <v>4480.4767259999999</v>
      </c>
      <c r="HD19" s="40">
        <f t="shared" si="120"/>
        <v>4480.4767259999999</v>
      </c>
      <c r="HE19" s="40">
        <f t="shared" si="120"/>
        <v>4480.4767259999999</v>
      </c>
      <c r="HF19" s="40">
        <f t="shared" si="120"/>
        <v>4480.4767259999999</v>
      </c>
      <c r="HG19" s="40">
        <f t="shared" si="120"/>
        <v>4480.4767259999999</v>
      </c>
      <c r="HH19" s="40">
        <f t="shared" si="120"/>
        <v>4480.4767259999999</v>
      </c>
      <c r="HI19" s="40">
        <f t="shared" si="120"/>
        <v>4480.4767259999999</v>
      </c>
      <c r="HJ19" s="40">
        <f t="shared" si="120"/>
        <v>4480.4767259999999</v>
      </c>
      <c r="HK19" s="40">
        <f t="shared" si="120"/>
        <v>4480.4767259999999</v>
      </c>
      <c r="HL19" s="40">
        <f t="shared" si="120"/>
        <v>4480.4767259999999</v>
      </c>
      <c r="HM19" s="40">
        <f t="shared" si="120"/>
        <v>4480.4767259999999</v>
      </c>
      <c r="HN19" s="40">
        <f t="shared" si="120"/>
        <v>4480.4767259999999</v>
      </c>
      <c r="HO19" s="40">
        <f t="shared" si="120"/>
        <v>4480.4767259999999</v>
      </c>
      <c r="HP19" s="40">
        <f t="shared" si="120"/>
        <v>4480.4767259999999</v>
      </c>
      <c r="HQ19" s="40">
        <f t="shared" si="120"/>
        <v>4480.4767259999999</v>
      </c>
      <c r="HR19" s="40">
        <f t="shared" si="120"/>
        <v>4480.4767259999999</v>
      </c>
      <c r="HS19" s="40">
        <f t="shared" si="120"/>
        <v>4480.4767259999999</v>
      </c>
      <c r="HT19" s="40">
        <f t="shared" si="120"/>
        <v>4480.4767259999999</v>
      </c>
      <c r="HU19" s="40">
        <f t="shared" si="120"/>
        <v>4480.4767259999999</v>
      </c>
      <c r="HV19" s="40">
        <f t="shared" si="120"/>
        <v>4480.4767259999999</v>
      </c>
      <c r="HW19" s="40">
        <f t="shared" si="120"/>
        <v>4480.4767259999999</v>
      </c>
      <c r="HX19" s="40">
        <f t="shared" si="120"/>
        <v>4480.4767259999999</v>
      </c>
      <c r="HY19" s="40">
        <f t="shared" si="120"/>
        <v>4480.4767259999999</v>
      </c>
      <c r="HZ19" s="40">
        <f t="shared" si="120"/>
        <v>4480.4767259999999</v>
      </c>
      <c r="IA19" s="40">
        <f t="shared" si="120"/>
        <v>4480.4767259999999</v>
      </c>
      <c r="IB19" s="40">
        <f t="shared" si="120"/>
        <v>4480.4767259999999</v>
      </c>
      <c r="IC19" s="40">
        <f t="shared" si="120"/>
        <v>4480.4767259999999</v>
      </c>
      <c r="ID19" s="40">
        <f t="shared" si="120"/>
        <v>4480.4767259999999</v>
      </c>
      <c r="IE19" s="40">
        <f t="shared" si="120"/>
        <v>4480.4767259999999</v>
      </c>
      <c r="IF19" s="40">
        <f t="shared" si="120"/>
        <v>4480.4767259999999</v>
      </c>
      <c r="IG19" s="40">
        <f t="shared" si="120"/>
        <v>4480.4767259999999</v>
      </c>
      <c r="IH19" s="40">
        <f t="shared" si="120"/>
        <v>4480.4767259999999</v>
      </c>
      <c r="II19" s="40">
        <f t="shared" si="120"/>
        <v>4480.4767259999999</v>
      </c>
      <c r="IJ19" s="40">
        <f t="shared" si="120"/>
        <v>4480.4767259999999</v>
      </c>
      <c r="IK19" s="40">
        <f t="shared" si="120"/>
        <v>4480.4767259999999</v>
      </c>
      <c r="IL19" s="40">
        <f t="shared" si="120"/>
        <v>4480.4767259999999</v>
      </c>
      <c r="IM19" s="40">
        <f t="shared" si="120"/>
        <v>4480.4767259999999</v>
      </c>
      <c r="IN19" s="40">
        <f t="shared" si="120"/>
        <v>4480.4767259999999</v>
      </c>
    </row>
    <row r="20" spans="2:248" x14ac:dyDescent="0.3">
      <c r="B20" s="19" t="s">
        <v>489</v>
      </c>
      <c r="C20" s="42">
        <v>0.4</v>
      </c>
      <c r="F20" s="19" t="s">
        <v>551</v>
      </c>
      <c r="G20" s="40">
        <f>G9*$C$15</f>
        <v>20.406185000588678</v>
      </c>
      <c r="H20" s="40">
        <f t="shared" ref="H20:BS20" ca="1" si="121">H9*$C$15</f>
        <v>28.850123621521924</v>
      </c>
      <c r="I20" s="40">
        <f t="shared" ca="1" si="121"/>
        <v>36.414485302774622</v>
      </c>
      <c r="J20" s="40">
        <f t="shared" ca="1" si="121"/>
        <v>48.20081629449394</v>
      </c>
      <c r="K20" s="40">
        <f t="shared" ca="1" si="121"/>
        <v>56.644754915427185</v>
      </c>
      <c r="L20" s="40">
        <f t="shared" ca="1" si="121"/>
        <v>67.551508967465963</v>
      </c>
      <c r="M20" s="40">
        <f t="shared" ca="1" si="121"/>
        <v>80.745163062674166</v>
      </c>
      <c r="N20" s="40">
        <f t="shared" ca="1" si="121"/>
        <v>103.43824810643225</v>
      </c>
      <c r="O20" s="40">
        <f t="shared" ca="1" si="121"/>
        <v>140.55639496095131</v>
      </c>
      <c r="P20" s="40">
        <f t="shared" ca="1" si="121"/>
        <v>198.9603037557396</v>
      </c>
      <c r="Q20" s="40">
        <f t="shared" ca="1" si="121"/>
        <v>233.61563517915312</v>
      </c>
      <c r="R20" s="40">
        <f t="shared" ca="1" si="121"/>
        <v>223.58845806679489</v>
      </c>
      <c r="S20" s="40">
        <f t="shared" ca="1" si="121"/>
        <v>296.41742867234416</v>
      </c>
      <c r="T20" s="40">
        <f t="shared" ca="1" si="121"/>
        <v>403.90173070130692</v>
      </c>
      <c r="U20" s="40">
        <f t="shared" ca="1" si="121"/>
        <v>492.21125544523375</v>
      </c>
      <c r="V20" s="40">
        <f t="shared" ca="1" si="121"/>
        <v>611.1300576900436</v>
      </c>
      <c r="W20" s="40">
        <f t="shared" ca="1" si="121"/>
        <v>773.14812997920023</v>
      </c>
      <c r="X20" s="40">
        <f t="shared" ca="1" si="121"/>
        <v>868.4942702405715</v>
      </c>
      <c r="Y20" s="40">
        <f t="shared" ca="1" si="121"/>
        <v>999.37531886503677</v>
      </c>
      <c r="Z20" s="40">
        <f t="shared" ca="1" si="121"/>
        <v>1185.4937993014405</v>
      </c>
      <c r="AA20" s="40">
        <f t="shared" ca="1" si="121"/>
        <v>1357.8908794788276</v>
      </c>
      <c r="AB20" s="40">
        <f t="shared" ca="1" si="121"/>
        <v>1709.0179937993016</v>
      </c>
      <c r="AC20" s="40">
        <f t="shared" ca="1" si="121"/>
        <v>2166.2220870452497</v>
      </c>
      <c r="AD20" s="40">
        <f t="shared" ca="1" si="121"/>
        <v>2464.2227542090186</v>
      </c>
      <c r="AE20" s="40">
        <f t="shared" ca="1" si="121"/>
        <v>2702.4121894745108</v>
      </c>
      <c r="AF20" s="40">
        <f t="shared" ca="1" si="121"/>
        <v>3046.5026882775405</v>
      </c>
      <c r="AG20" s="40">
        <f t="shared" ca="1" si="121"/>
        <v>3368.2519328126846</v>
      </c>
      <c r="AH20" s="40">
        <f t="shared" ca="1" si="121"/>
        <v>3929.5046437865831</v>
      </c>
      <c r="AI20" s="40">
        <f t="shared" ca="1" si="121"/>
        <v>4584.2790425258336</v>
      </c>
      <c r="AJ20" s="40">
        <f t="shared" ca="1" si="121"/>
        <v>5348.158672613331</v>
      </c>
      <c r="AK20" s="40">
        <f t="shared" ca="1" si="121"/>
        <v>6239.3237676233803</v>
      </c>
      <c r="AL20" s="40">
        <f t="shared" ca="1" si="121"/>
        <v>7278.9839382621813</v>
      </c>
      <c r="AM20" s="40">
        <f t="shared" ca="1" si="121"/>
        <v>8491.882958281034</v>
      </c>
      <c r="AN20" s="40">
        <f t="shared" ca="1" si="121"/>
        <v>9906.8876629998758</v>
      </c>
      <c r="AO20" s="40">
        <f t="shared" ca="1" si="121"/>
        <v>11557.67497614762</v>
      </c>
      <c r="AP20" s="40">
        <f t="shared" ca="1" si="121"/>
        <v>13483.533416166747</v>
      </c>
      <c r="AQ20" s="40">
        <f t="shared" ca="1" si="121"/>
        <v>15730.298157725525</v>
      </c>
      <c r="AR20" s="40">
        <f t="shared" ca="1" si="121"/>
        <v>18351.441902777497</v>
      </c>
      <c r="AS20" s="40">
        <f t="shared" ca="1" si="121"/>
        <v>21409.347523754295</v>
      </c>
      <c r="AT20" s="40">
        <f t="shared" ca="1" si="121"/>
        <v>24976.792767630493</v>
      </c>
      <c r="AU20" s="40">
        <f t="shared" ca="1" si="121"/>
        <v>29138.682356619702</v>
      </c>
      <c r="AV20" s="40">
        <f t="shared" ca="1" si="121"/>
        <v>33994.068709268045</v>
      </c>
      <c r="AW20" s="40">
        <f t="shared" ca="1" si="121"/>
        <v>39658.509374838271</v>
      </c>
      <c r="AX20" s="40">
        <f t="shared" ca="1" si="121"/>
        <v>46266.817287609119</v>
      </c>
      <c r="AY20" s="40">
        <f t="shared" ca="1" si="121"/>
        <v>53976.269296776503</v>
      </c>
      <c r="AZ20" s="40">
        <f t="shared" ca="1" si="121"/>
        <v>62970.349334541235</v>
      </c>
      <c r="BA20" s="40">
        <f t="shared" ca="1" si="121"/>
        <v>73463.115309285844</v>
      </c>
      <c r="BB20" s="40">
        <f t="shared" ca="1" si="121"/>
        <v>85704.29365531716</v>
      </c>
      <c r="BC20" s="40">
        <f t="shared" ca="1" si="121"/>
        <v>99985.222788780811</v>
      </c>
      <c r="BD20" s="40">
        <f t="shared" ca="1" si="121"/>
        <v>116645.78692320753</v>
      </c>
      <c r="BE20" s="40">
        <f t="shared" ca="1" si="121"/>
        <v>136082.50526857923</v>
      </c>
      <c r="BF20" s="40">
        <f t="shared" ca="1" si="121"/>
        <v>158757.96913577607</v>
      </c>
      <c r="BG20" s="40">
        <f t="shared" ca="1" si="121"/>
        <v>185211.85154823516</v>
      </c>
      <c r="BH20" s="40">
        <f t="shared" ca="1" si="121"/>
        <v>216073.75138811368</v>
      </c>
      <c r="BI20" s="40">
        <f t="shared" ca="1" si="121"/>
        <v>252078.1777659262</v>
      </c>
      <c r="BJ20" s="40">
        <f t="shared" ca="1" si="121"/>
        <v>294082.03123966057</v>
      </c>
      <c r="BK20" s="40">
        <f t="shared" ca="1" si="121"/>
        <v>343084.9979340611</v>
      </c>
      <c r="BL20" s="40">
        <f t="shared" ca="1" si="121"/>
        <v>400253.34193740576</v>
      </c>
      <c r="BM20" s="40">
        <f t="shared" ca="1" si="121"/>
        <v>466947.66223165463</v>
      </c>
      <c r="BN20" s="40">
        <f t="shared" ca="1" si="121"/>
        <v>544755.27476721467</v>
      </c>
      <c r="BO20" s="40">
        <f t="shared" ca="1" si="121"/>
        <v>635527.99037139316</v>
      </c>
      <c r="BP20" s="40">
        <f t="shared" ca="1" si="121"/>
        <v>741426.18759973405</v>
      </c>
      <c r="BQ20" s="40">
        <f t="shared" ca="1" si="121"/>
        <v>864970.22945823683</v>
      </c>
      <c r="BR20" s="40">
        <f t="shared" ca="1" si="121"/>
        <v>1009100.4477076057</v>
      </c>
      <c r="BS20" s="40">
        <f t="shared" ca="1" si="121"/>
        <v>1177247.1223679911</v>
      </c>
      <c r="BT20" s="40">
        <f t="shared" ref="BT20:EE20" ca="1" si="122">BT9*$C$15</f>
        <v>1373412.1219271261</v>
      </c>
      <c r="BU20" s="40">
        <f t="shared" ca="1" si="122"/>
        <v>1602264.1472779512</v>
      </c>
      <c r="BV20" s="40">
        <f t="shared" ca="1" si="122"/>
        <v>1869249.8461787715</v>
      </c>
      <c r="BW20" s="40">
        <f t="shared" ca="1" si="122"/>
        <v>2180723.4427453149</v>
      </c>
      <c r="BX20" s="40">
        <f t="shared" ca="1" si="122"/>
        <v>2544097.9671393624</v>
      </c>
      <c r="BY20" s="40">
        <f t="shared" ca="1" si="122"/>
        <v>2968021.6847004145</v>
      </c>
      <c r="BZ20" s="40">
        <f t="shared" ca="1" si="122"/>
        <v>3462583.9235102586</v>
      </c>
      <c r="CA20" s="40">
        <f t="shared" ca="1" si="122"/>
        <v>4039555.1990590962</v>
      </c>
      <c r="CB20" s="40">
        <f t="shared" ca="1" si="122"/>
        <v>4712667.3509483319</v>
      </c>
      <c r="CC20" s="40">
        <f t="shared" ca="1" si="122"/>
        <v>4776877.5841999929</v>
      </c>
      <c r="CD20" s="40">
        <f t="shared" ca="1" si="122"/>
        <v>4776877.5841999929</v>
      </c>
      <c r="CE20" s="40">
        <f t="shared" ca="1" si="122"/>
        <v>4776877.5841999929</v>
      </c>
      <c r="CF20" s="40">
        <f t="shared" ca="1" si="122"/>
        <v>4776877.5841999929</v>
      </c>
      <c r="CG20" s="40">
        <f t="shared" ca="1" si="122"/>
        <v>4776877.5841999929</v>
      </c>
      <c r="CH20" s="40">
        <f t="shared" ca="1" si="122"/>
        <v>4776877.5841999929</v>
      </c>
      <c r="CI20" s="40">
        <f t="shared" ca="1" si="122"/>
        <v>4776877.5841999929</v>
      </c>
      <c r="CJ20" s="40">
        <f t="shared" ca="1" si="122"/>
        <v>4776877.5841999929</v>
      </c>
      <c r="CK20" s="40">
        <f t="shared" ca="1" si="122"/>
        <v>4776877.5841999929</v>
      </c>
      <c r="CL20" s="40">
        <f t="shared" ca="1" si="122"/>
        <v>4776877.5841999929</v>
      </c>
      <c r="CM20" s="40">
        <f t="shared" ca="1" si="122"/>
        <v>4776877.5841999929</v>
      </c>
      <c r="CN20" s="40">
        <f t="shared" ca="1" si="122"/>
        <v>4776877.5841999929</v>
      </c>
      <c r="CO20" s="40">
        <f t="shared" ca="1" si="122"/>
        <v>4776877.5841999929</v>
      </c>
      <c r="CP20" s="40">
        <f t="shared" ca="1" si="122"/>
        <v>4776877.5841999929</v>
      </c>
      <c r="CQ20" s="40">
        <f t="shared" ca="1" si="122"/>
        <v>4776877.5841999929</v>
      </c>
      <c r="CR20" s="40">
        <f t="shared" ca="1" si="122"/>
        <v>4776877.5841999929</v>
      </c>
      <c r="CS20" s="40">
        <f t="shared" ca="1" si="122"/>
        <v>4776877.5841999929</v>
      </c>
      <c r="CT20" s="40">
        <f t="shared" ca="1" si="122"/>
        <v>4776877.5841999929</v>
      </c>
      <c r="CU20" s="40">
        <f t="shared" ca="1" si="122"/>
        <v>4776877.5841999929</v>
      </c>
      <c r="CV20" s="40">
        <f t="shared" ca="1" si="122"/>
        <v>4776877.5841999929</v>
      </c>
      <c r="CW20" s="40">
        <f t="shared" ca="1" si="122"/>
        <v>4776877.5841999929</v>
      </c>
      <c r="CX20" s="40">
        <f t="shared" ca="1" si="122"/>
        <v>4776877.5841999929</v>
      </c>
      <c r="CY20" s="40">
        <f t="shared" ca="1" si="122"/>
        <v>4776877.5841999929</v>
      </c>
      <c r="CZ20" s="40">
        <f t="shared" ca="1" si="122"/>
        <v>4776877.5841999929</v>
      </c>
      <c r="DA20" s="40">
        <f t="shared" ca="1" si="122"/>
        <v>4776877.5841999929</v>
      </c>
      <c r="DB20" s="40">
        <f t="shared" ca="1" si="122"/>
        <v>4776877.5841999929</v>
      </c>
      <c r="DC20" s="40">
        <f t="shared" ca="1" si="122"/>
        <v>4776877.5841999929</v>
      </c>
      <c r="DD20" s="40">
        <f t="shared" ca="1" si="122"/>
        <v>4776877.5841999929</v>
      </c>
      <c r="DE20" s="40">
        <f t="shared" ca="1" si="122"/>
        <v>4776877.5841999929</v>
      </c>
      <c r="DF20" s="40">
        <f t="shared" ca="1" si="122"/>
        <v>4776877.5841999929</v>
      </c>
      <c r="DG20" s="40">
        <f t="shared" ca="1" si="122"/>
        <v>4776877.5841999929</v>
      </c>
      <c r="DH20" s="40">
        <f t="shared" ca="1" si="122"/>
        <v>4776877.5841999929</v>
      </c>
      <c r="DI20" s="40">
        <f t="shared" ca="1" si="122"/>
        <v>4776877.5841999929</v>
      </c>
      <c r="DJ20" s="40">
        <f t="shared" ca="1" si="122"/>
        <v>4776877.5841999929</v>
      </c>
      <c r="DK20" s="40">
        <f t="shared" ca="1" si="122"/>
        <v>4776877.5841999929</v>
      </c>
      <c r="DL20" s="40">
        <f t="shared" ca="1" si="122"/>
        <v>4776877.5841999929</v>
      </c>
      <c r="DM20" s="40">
        <f t="shared" ca="1" si="122"/>
        <v>4776877.5841999929</v>
      </c>
      <c r="DN20" s="40">
        <f t="shared" ca="1" si="122"/>
        <v>4776877.5841999929</v>
      </c>
      <c r="DO20" s="40">
        <f t="shared" ca="1" si="122"/>
        <v>4776877.5841999929</v>
      </c>
      <c r="DP20" s="40">
        <f t="shared" ca="1" si="122"/>
        <v>4776877.5841999929</v>
      </c>
      <c r="DQ20" s="40">
        <f t="shared" ca="1" si="122"/>
        <v>4776877.5841999929</v>
      </c>
      <c r="DR20" s="40">
        <f t="shared" ca="1" si="122"/>
        <v>4776877.5841999929</v>
      </c>
      <c r="DS20" s="40">
        <f t="shared" ca="1" si="122"/>
        <v>4776877.5841999929</v>
      </c>
      <c r="DT20" s="40">
        <f t="shared" ca="1" si="122"/>
        <v>4776877.5841999929</v>
      </c>
      <c r="DU20" s="40">
        <f t="shared" ca="1" si="122"/>
        <v>4776877.5841999929</v>
      </c>
      <c r="DV20" s="40">
        <f t="shared" ca="1" si="122"/>
        <v>4776877.5841999929</v>
      </c>
      <c r="DW20" s="40">
        <f t="shared" ca="1" si="122"/>
        <v>4776877.5841999929</v>
      </c>
      <c r="DX20" s="40">
        <f t="shared" ca="1" si="122"/>
        <v>4776877.5841999929</v>
      </c>
      <c r="DY20" s="40">
        <f t="shared" ca="1" si="122"/>
        <v>4776877.5841999929</v>
      </c>
      <c r="DZ20" s="40">
        <f t="shared" ca="1" si="122"/>
        <v>4776877.5841999929</v>
      </c>
      <c r="EA20" s="40">
        <f t="shared" ca="1" si="122"/>
        <v>4776877.5841999929</v>
      </c>
      <c r="EB20" s="40">
        <f t="shared" ca="1" si="122"/>
        <v>4776877.5841999929</v>
      </c>
      <c r="EC20" s="40">
        <f t="shared" ca="1" si="122"/>
        <v>4776877.5841999929</v>
      </c>
      <c r="ED20" s="40">
        <f t="shared" ca="1" si="122"/>
        <v>4776877.5841999929</v>
      </c>
      <c r="EE20" s="40">
        <f t="shared" ca="1" si="122"/>
        <v>4776877.5841999929</v>
      </c>
      <c r="EF20" s="40">
        <f t="shared" ref="EF20:GQ20" ca="1" si="123">EF9*$C$15</f>
        <v>4776877.5841999929</v>
      </c>
      <c r="EG20" s="40">
        <f t="shared" ca="1" si="123"/>
        <v>4776877.5841999929</v>
      </c>
      <c r="EH20" s="40">
        <f t="shared" ca="1" si="123"/>
        <v>4776877.5841999929</v>
      </c>
      <c r="EI20" s="40">
        <f t="shared" ca="1" si="123"/>
        <v>4776877.5841999929</v>
      </c>
      <c r="EJ20" s="40">
        <f t="shared" ca="1" si="123"/>
        <v>4776877.5841999929</v>
      </c>
      <c r="EK20" s="40">
        <f t="shared" ca="1" si="123"/>
        <v>4776877.5841999929</v>
      </c>
      <c r="EL20" s="40">
        <f t="shared" ca="1" si="123"/>
        <v>4776877.5841999929</v>
      </c>
      <c r="EM20" s="40">
        <f t="shared" ca="1" si="123"/>
        <v>4776877.5841999929</v>
      </c>
      <c r="EN20" s="40">
        <f t="shared" ca="1" si="123"/>
        <v>4776877.5841999929</v>
      </c>
      <c r="EO20" s="40">
        <f t="shared" ca="1" si="123"/>
        <v>4776877.5841999929</v>
      </c>
      <c r="EP20" s="40">
        <f t="shared" ca="1" si="123"/>
        <v>4776877.5841999929</v>
      </c>
      <c r="EQ20" s="40">
        <f t="shared" ca="1" si="123"/>
        <v>4776877.5841999929</v>
      </c>
      <c r="ER20" s="40">
        <f t="shared" ca="1" si="123"/>
        <v>4776877.5841999929</v>
      </c>
      <c r="ES20" s="40">
        <f t="shared" ca="1" si="123"/>
        <v>4776877.5841999929</v>
      </c>
      <c r="ET20" s="40">
        <f t="shared" ca="1" si="123"/>
        <v>4776877.5841999929</v>
      </c>
      <c r="EU20" s="40">
        <f t="shared" ca="1" si="123"/>
        <v>4776877.5841999929</v>
      </c>
      <c r="EV20" s="40">
        <f t="shared" ca="1" si="123"/>
        <v>4776877.5841999929</v>
      </c>
      <c r="EW20" s="40">
        <f t="shared" ca="1" si="123"/>
        <v>4776877.5841999929</v>
      </c>
      <c r="EX20" s="40">
        <f t="shared" ca="1" si="123"/>
        <v>4776877.5841999929</v>
      </c>
      <c r="EY20" s="40">
        <f t="shared" ca="1" si="123"/>
        <v>4776877.5841999929</v>
      </c>
      <c r="EZ20" s="40">
        <f t="shared" ca="1" si="123"/>
        <v>4776877.5841999929</v>
      </c>
      <c r="FA20" s="40">
        <f t="shared" ca="1" si="123"/>
        <v>4776877.5841999929</v>
      </c>
      <c r="FB20" s="40">
        <f t="shared" ca="1" si="123"/>
        <v>4776877.5841999929</v>
      </c>
      <c r="FC20" s="40">
        <f t="shared" ca="1" si="123"/>
        <v>4776877.5841999929</v>
      </c>
      <c r="FD20" s="40">
        <f t="shared" ca="1" si="123"/>
        <v>4776877.5841999929</v>
      </c>
      <c r="FE20" s="40">
        <f t="shared" ca="1" si="123"/>
        <v>4776877.5841999929</v>
      </c>
      <c r="FF20" s="40">
        <f t="shared" ca="1" si="123"/>
        <v>4776877.5841999929</v>
      </c>
      <c r="FG20" s="40">
        <f t="shared" ca="1" si="123"/>
        <v>4776877.5841999929</v>
      </c>
      <c r="FH20" s="40">
        <f t="shared" ca="1" si="123"/>
        <v>4776877.5841999929</v>
      </c>
      <c r="FI20" s="40">
        <f t="shared" ca="1" si="123"/>
        <v>4776877.5841999929</v>
      </c>
      <c r="FJ20" s="40">
        <f t="shared" ca="1" si="123"/>
        <v>4776877.5841999929</v>
      </c>
      <c r="FK20" s="40">
        <f t="shared" ca="1" si="123"/>
        <v>4776877.5841999929</v>
      </c>
      <c r="FL20" s="40">
        <f t="shared" ca="1" si="123"/>
        <v>4776877.5841999929</v>
      </c>
      <c r="FM20" s="40">
        <f t="shared" ca="1" si="123"/>
        <v>4776877.5841999929</v>
      </c>
      <c r="FN20" s="40">
        <f t="shared" ca="1" si="123"/>
        <v>4776877.5841999929</v>
      </c>
      <c r="FO20" s="40">
        <f t="shared" ca="1" si="123"/>
        <v>4776877.5841999929</v>
      </c>
      <c r="FP20" s="40">
        <f t="shared" ca="1" si="123"/>
        <v>4776877.5841999929</v>
      </c>
      <c r="FQ20" s="40">
        <f t="shared" ca="1" si="123"/>
        <v>4776877.5841999929</v>
      </c>
      <c r="FR20" s="40">
        <f t="shared" ca="1" si="123"/>
        <v>4776877.5841999929</v>
      </c>
      <c r="FS20" s="40">
        <f t="shared" ca="1" si="123"/>
        <v>4776877.5841999929</v>
      </c>
      <c r="FT20" s="40">
        <f t="shared" ca="1" si="123"/>
        <v>4776877.5841999929</v>
      </c>
      <c r="FU20" s="40">
        <f t="shared" ca="1" si="123"/>
        <v>4776877.5841999929</v>
      </c>
      <c r="FV20" s="40">
        <f t="shared" ca="1" si="123"/>
        <v>4776877.5841999929</v>
      </c>
      <c r="FW20" s="40">
        <f t="shared" ca="1" si="123"/>
        <v>4776877.5841999929</v>
      </c>
      <c r="FX20" s="40">
        <f t="shared" ca="1" si="123"/>
        <v>4776877.5841999929</v>
      </c>
      <c r="FY20" s="40">
        <f t="shared" ca="1" si="123"/>
        <v>4776877.5841999929</v>
      </c>
      <c r="FZ20" s="40">
        <f t="shared" ca="1" si="123"/>
        <v>4776877.5841999929</v>
      </c>
      <c r="GA20" s="40">
        <f t="shared" ca="1" si="123"/>
        <v>4776877.5841999929</v>
      </c>
      <c r="GB20" s="40">
        <f t="shared" ca="1" si="123"/>
        <v>4776877.5841999929</v>
      </c>
      <c r="GC20" s="40">
        <f t="shared" ca="1" si="123"/>
        <v>4776877.5841999929</v>
      </c>
      <c r="GD20" s="40">
        <f t="shared" ca="1" si="123"/>
        <v>4776877.5841999929</v>
      </c>
      <c r="GE20" s="40">
        <f t="shared" ca="1" si="123"/>
        <v>4776877.5841999929</v>
      </c>
      <c r="GF20" s="40">
        <f t="shared" ca="1" si="123"/>
        <v>4776877.5841999929</v>
      </c>
      <c r="GG20" s="40">
        <f t="shared" ca="1" si="123"/>
        <v>4776877.5841999929</v>
      </c>
      <c r="GH20" s="40">
        <f t="shared" ca="1" si="123"/>
        <v>4776877.5841999929</v>
      </c>
      <c r="GI20" s="40">
        <f t="shared" ca="1" si="123"/>
        <v>4776877.5841999929</v>
      </c>
      <c r="GJ20" s="40">
        <f t="shared" ca="1" si="123"/>
        <v>4776877.5841999929</v>
      </c>
      <c r="GK20" s="40">
        <f t="shared" ca="1" si="123"/>
        <v>4776877.5841999929</v>
      </c>
      <c r="GL20" s="40">
        <f t="shared" ca="1" si="123"/>
        <v>4776877.5841999929</v>
      </c>
      <c r="GM20" s="40">
        <f t="shared" ca="1" si="123"/>
        <v>4776877.5841999929</v>
      </c>
      <c r="GN20" s="40">
        <f t="shared" ca="1" si="123"/>
        <v>4776877.5841999929</v>
      </c>
      <c r="GO20" s="40">
        <f t="shared" ca="1" si="123"/>
        <v>4776877.5841999929</v>
      </c>
      <c r="GP20" s="40">
        <f t="shared" ca="1" si="123"/>
        <v>4776877.5841999929</v>
      </c>
      <c r="GQ20" s="40">
        <f t="shared" ca="1" si="123"/>
        <v>4776877.5841999929</v>
      </c>
      <c r="GR20" s="40">
        <f t="shared" ref="GR20:IN20" ca="1" si="124">GR9*$C$15</f>
        <v>4776877.5841999929</v>
      </c>
      <c r="GS20" s="40">
        <f t="shared" ca="1" si="124"/>
        <v>4776877.5841999929</v>
      </c>
      <c r="GT20" s="40">
        <f t="shared" ca="1" si="124"/>
        <v>4776877.5841999929</v>
      </c>
      <c r="GU20" s="40">
        <f t="shared" ca="1" si="124"/>
        <v>4776877.5841999929</v>
      </c>
      <c r="GV20" s="40">
        <f t="shared" ca="1" si="124"/>
        <v>4776877.5841999929</v>
      </c>
      <c r="GW20" s="40">
        <f t="shared" ca="1" si="124"/>
        <v>4776877.5841999929</v>
      </c>
      <c r="GX20" s="40">
        <f t="shared" ca="1" si="124"/>
        <v>4776877.5841999929</v>
      </c>
      <c r="GY20" s="40">
        <f t="shared" ca="1" si="124"/>
        <v>4776877.5841999929</v>
      </c>
      <c r="GZ20" s="40">
        <f t="shared" ca="1" si="124"/>
        <v>4776877.5841999929</v>
      </c>
      <c r="HA20" s="40">
        <f t="shared" ca="1" si="124"/>
        <v>4776877.5841999929</v>
      </c>
      <c r="HB20" s="40">
        <f t="shared" ca="1" si="124"/>
        <v>4776877.5841999929</v>
      </c>
      <c r="HC20" s="40">
        <f t="shared" ca="1" si="124"/>
        <v>4776877.5841999929</v>
      </c>
      <c r="HD20" s="40">
        <f t="shared" ca="1" si="124"/>
        <v>4776877.5841999929</v>
      </c>
      <c r="HE20" s="40">
        <f t="shared" ca="1" si="124"/>
        <v>4776877.5841999929</v>
      </c>
      <c r="HF20" s="40">
        <f t="shared" ca="1" si="124"/>
        <v>4776877.5841999929</v>
      </c>
      <c r="HG20" s="40">
        <f t="shared" ca="1" si="124"/>
        <v>4776877.5841999929</v>
      </c>
      <c r="HH20" s="40">
        <f t="shared" ca="1" si="124"/>
        <v>4776877.5841999929</v>
      </c>
      <c r="HI20" s="40">
        <f t="shared" ca="1" si="124"/>
        <v>4776877.5841999929</v>
      </c>
      <c r="HJ20" s="40">
        <f t="shared" ca="1" si="124"/>
        <v>4776877.5841999929</v>
      </c>
      <c r="HK20" s="40">
        <f t="shared" ca="1" si="124"/>
        <v>4776877.5841999929</v>
      </c>
      <c r="HL20" s="40">
        <f t="shared" ca="1" si="124"/>
        <v>4776877.5841999929</v>
      </c>
      <c r="HM20" s="40">
        <f t="shared" ca="1" si="124"/>
        <v>4776877.5841999929</v>
      </c>
      <c r="HN20" s="40">
        <f t="shared" ca="1" si="124"/>
        <v>4776877.5841999929</v>
      </c>
      <c r="HO20" s="40">
        <f t="shared" ca="1" si="124"/>
        <v>4776877.5841999929</v>
      </c>
      <c r="HP20" s="40">
        <f t="shared" ca="1" si="124"/>
        <v>4776877.5841999929</v>
      </c>
      <c r="HQ20" s="40">
        <f t="shared" ca="1" si="124"/>
        <v>4776877.5841999929</v>
      </c>
      <c r="HR20" s="40">
        <f t="shared" ca="1" si="124"/>
        <v>4776877.5841999929</v>
      </c>
      <c r="HS20" s="40">
        <f t="shared" ca="1" si="124"/>
        <v>4776877.5841999929</v>
      </c>
      <c r="HT20" s="40">
        <f t="shared" ca="1" si="124"/>
        <v>4776877.5841999929</v>
      </c>
      <c r="HU20" s="40">
        <f t="shared" ca="1" si="124"/>
        <v>4776877.5841999929</v>
      </c>
      <c r="HV20" s="40">
        <f t="shared" ca="1" si="124"/>
        <v>4776877.5841999929</v>
      </c>
      <c r="HW20" s="40">
        <f t="shared" ca="1" si="124"/>
        <v>4776877.5841999929</v>
      </c>
      <c r="HX20" s="40">
        <f t="shared" ca="1" si="124"/>
        <v>4776877.5841999929</v>
      </c>
      <c r="HY20" s="40">
        <f t="shared" ca="1" si="124"/>
        <v>4776877.5841999929</v>
      </c>
      <c r="HZ20" s="40">
        <f t="shared" ca="1" si="124"/>
        <v>4776877.5841999929</v>
      </c>
      <c r="IA20" s="40">
        <f t="shared" ca="1" si="124"/>
        <v>4776877.5841999929</v>
      </c>
      <c r="IB20" s="40">
        <f t="shared" ca="1" si="124"/>
        <v>4776877.5841999929</v>
      </c>
      <c r="IC20" s="40">
        <f t="shared" ca="1" si="124"/>
        <v>4776877.5841999929</v>
      </c>
      <c r="ID20" s="40">
        <f t="shared" ca="1" si="124"/>
        <v>4776877.5841999929</v>
      </c>
      <c r="IE20" s="40">
        <f t="shared" ca="1" si="124"/>
        <v>4776877.5841999929</v>
      </c>
      <c r="IF20" s="40">
        <f t="shared" ca="1" si="124"/>
        <v>4776877.5841999929</v>
      </c>
      <c r="IG20" s="40">
        <f t="shared" ca="1" si="124"/>
        <v>4776877.5841999929</v>
      </c>
      <c r="IH20" s="40">
        <f t="shared" ca="1" si="124"/>
        <v>4776877.5841999929</v>
      </c>
      <c r="II20" s="40">
        <f t="shared" ca="1" si="124"/>
        <v>4776877.5841999929</v>
      </c>
      <c r="IJ20" s="40">
        <f t="shared" ca="1" si="124"/>
        <v>4776877.5841999929</v>
      </c>
      <c r="IK20" s="40">
        <f t="shared" ca="1" si="124"/>
        <v>4776877.5841999929</v>
      </c>
      <c r="IL20" s="40">
        <f t="shared" ca="1" si="124"/>
        <v>4776877.5841999929</v>
      </c>
      <c r="IM20" s="40">
        <f t="shared" ca="1" si="124"/>
        <v>4776877.5841999929</v>
      </c>
      <c r="IN20" s="40">
        <f t="shared" ca="1" si="124"/>
        <v>4776877.5841999929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20.406185000588678</v>
      </c>
      <c r="H21" s="40">
        <f t="shared" ref="H21:BS22" ca="1" si="125">H10*$C$15</f>
        <v>28.850123621521924</v>
      </c>
      <c r="I21" s="40">
        <f t="shared" ca="1" si="125"/>
        <v>36.414485302774622</v>
      </c>
      <c r="J21" s="40">
        <f t="shared" ca="1" si="125"/>
        <v>48.20081629449394</v>
      </c>
      <c r="K21" s="40">
        <f t="shared" ca="1" si="125"/>
        <v>56.644754915427185</v>
      </c>
      <c r="L21" s="40">
        <f t="shared" ca="1" si="125"/>
        <v>67.551508967465963</v>
      </c>
      <c r="M21" s="40">
        <f t="shared" ca="1" si="125"/>
        <v>80.745163062674166</v>
      </c>
      <c r="N21" s="40">
        <f t="shared" ca="1" si="125"/>
        <v>103.43824810643225</v>
      </c>
      <c r="O21" s="40">
        <f t="shared" ca="1" si="125"/>
        <v>140.55639496095131</v>
      </c>
      <c r="P21" s="40">
        <f t="shared" ca="1" si="125"/>
        <v>198.9603037557396</v>
      </c>
      <c r="Q21" s="40">
        <f t="shared" ca="1" si="125"/>
        <v>233.61563517915312</v>
      </c>
      <c r="R21" s="40">
        <f t="shared" ca="1" si="125"/>
        <v>223.58845806679489</v>
      </c>
      <c r="S21" s="40">
        <f t="shared" ca="1" si="125"/>
        <v>296.41742867234416</v>
      </c>
      <c r="T21" s="40">
        <f t="shared" ca="1" si="125"/>
        <v>403.90173070130692</v>
      </c>
      <c r="U21" s="40">
        <f t="shared" ca="1" si="125"/>
        <v>492.21125544523375</v>
      </c>
      <c r="V21" s="40">
        <f t="shared" ca="1" si="125"/>
        <v>611.1300576900436</v>
      </c>
      <c r="W21" s="40">
        <f t="shared" ca="1" si="125"/>
        <v>773.14812997920023</v>
      </c>
      <c r="X21" s="40">
        <f t="shared" ca="1" si="125"/>
        <v>868.4942702405715</v>
      </c>
      <c r="Y21" s="40">
        <f t="shared" ca="1" si="125"/>
        <v>999.37531886503677</v>
      </c>
      <c r="Z21" s="40">
        <f t="shared" ca="1" si="125"/>
        <v>1185.4937993014405</v>
      </c>
      <c r="AA21" s="40">
        <f t="shared" ca="1" si="125"/>
        <v>1357.8908794788276</v>
      </c>
      <c r="AB21" s="40">
        <f t="shared" ca="1" si="125"/>
        <v>1709.0179937993016</v>
      </c>
      <c r="AC21" s="40">
        <f t="shared" ca="1" si="125"/>
        <v>2166.2220870452497</v>
      </c>
      <c r="AD21" s="40">
        <f t="shared" ca="1" si="125"/>
        <v>2464.2227542090186</v>
      </c>
      <c r="AE21" s="40">
        <f t="shared" ca="1" si="125"/>
        <v>2702.4121894745108</v>
      </c>
      <c r="AF21" s="40">
        <f t="shared" ca="1" si="125"/>
        <v>3046.5026882775405</v>
      </c>
      <c r="AG21" s="40">
        <f t="shared" ca="1" si="125"/>
        <v>3368.2519328126846</v>
      </c>
      <c r="AH21" s="40">
        <f t="shared" ca="1" si="125"/>
        <v>3705.0771260939528</v>
      </c>
      <c r="AI21" s="40">
        <f t="shared" ca="1" si="125"/>
        <v>4075.5848387033484</v>
      </c>
      <c r="AJ21" s="40">
        <f t="shared" ca="1" si="125"/>
        <v>4483.1433225736837</v>
      </c>
      <c r="AK21" s="40">
        <f t="shared" ca="1" si="125"/>
        <v>4931.4576548310533</v>
      </c>
      <c r="AL21" s="40">
        <f t="shared" ca="1" si="125"/>
        <v>5424.6034203141589</v>
      </c>
      <c r="AM21" s="40">
        <f t="shared" ca="1" si="125"/>
        <v>5967.0637623455741</v>
      </c>
      <c r="AN21" s="40">
        <f t="shared" ca="1" si="125"/>
        <v>6563.7701385801329</v>
      </c>
      <c r="AO21" s="40">
        <f t="shared" ca="1" si="125"/>
        <v>7220.1471524381468</v>
      </c>
      <c r="AP21" s="40">
        <f t="shared" ca="1" si="125"/>
        <v>7942.1618676819626</v>
      </c>
      <c r="AQ21" s="40">
        <f t="shared" ca="1" si="125"/>
        <v>8736.3780544501587</v>
      </c>
      <c r="AR21" s="40">
        <f t="shared" ca="1" si="125"/>
        <v>9610.0158598951748</v>
      </c>
      <c r="AS21" s="40">
        <f t="shared" ca="1" si="125"/>
        <v>10571.017445884694</v>
      </c>
      <c r="AT21" s="40">
        <f t="shared" ca="1" si="125"/>
        <v>11628.119190473162</v>
      </c>
      <c r="AU21" s="40">
        <f t="shared" ca="1" si="125"/>
        <v>12790.931109520481</v>
      </c>
      <c r="AV21" s="40">
        <f t="shared" ca="1" si="125"/>
        <v>14070.024220472531</v>
      </c>
      <c r="AW21" s="40">
        <f t="shared" ca="1" si="125"/>
        <v>15477.026642519784</v>
      </c>
      <c r="AX21" s="40">
        <f t="shared" ca="1" si="125"/>
        <v>17024.729306771766</v>
      </c>
      <c r="AY21" s="40">
        <f t="shared" ca="1" si="125"/>
        <v>18727.202237448942</v>
      </c>
      <c r="AZ21" s="40">
        <f t="shared" ca="1" si="125"/>
        <v>20599.922461193841</v>
      </c>
      <c r="BA21" s="40">
        <f t="shared" ca="1" si="125"/>
        <v>22659.914707313223</v>
      </c>
      <c r="BB21" s="40">
        <f t="shared" ca="1" si="125"/>
        <v>24925.906178044548</v>
      </c>
      <c r="BC21" s="40">
        <f t="shared" ca="1" si="125"/>
        <v>27418.496795849002</v>
      </c>
      <c r="BD21" s="40">
        <f t="shared" ca="1" si="125"/>
        <v>30160.346475433904</v>
      </c>
      <c r="BE21" s="40">
        <f t="shared" ca="1" si="125"/>
        <v>33176.381122977298</v>
      </c>
      <c r="BF21" s="40">
        <f t="shared" ca="1" si="125"/>
        <v>36494.019235275031</v>
      </c>
      <c r="BG21" s="40">
        <f t="shared" ca="1" si="125"/>
        <v>40143.421158802536</v>
      </c>
      <c r="BH21" s="40">
        <f t="shared" ca="1" si="125"/>
        <v>44157.763274682795</v>
      </c>
      <c r="BI21" s="40">
        <f t="shared" ca="1" si="125"/>
        <v>48573.539602151082</v>
      </c>
      <c r="BJ21" s="40">
        <f t="shared" ca="1" si="125"/>
        <v>53430.893562366196</v>
      </c>
      <c r="BK21" s="40">
        <f t="shared" ca="1" si="125"/>
        <v>58773.982918602822</v>
      </c>
      <c r="BL21" s="40">
        <f t="shared" ca="1" si="125"/>
        <v>64651.381210463114</v>
      </c>
      <c r="BM21" s="40">
        <f t="shared" ca="1" si="125"/>
        <v>71116.519331509437</v>
      </c>
      <c r="BN21" s="40">
        <f t="shared" ca="1" si="125"/>
        <v>78228.171264660385</v>
      </c>
      <c r="BO21" s="40">
        <f t="shared" ca="1" si="125"/>
        <v>86050.988391126433</v>
      </c>
      <c r="BP21" s="40">
        <f t="shared" ca="1" si="125"/>
        <v>94656.087230239078</v>
      </c>
      <c r="BQ21" s="40">
        <f t="shared" ca="1" si="125"/>
        <v>104121.69595326301</v>
      </c>
      <c r="BR21" s="40">
        <f t="shared" ca="1" si="125"/>
        <v>114533.86554858933</v>
      </c>
      <c r="BS21" s="40">
        <f t="shared" ca="1" si="125"/>
        <v>125987.25210344826</v>
      </c>
      <c r="BT21" s="40">
        <f t="shared" ref="BT21:EE23" ca="1" si="126">BT10*$C$15</f>
        <v>138585.97731379309</v>
      </c>
      <c r="BU21" s="40">
        <f t="shared" ca="1" si="126"/>
        <v>152444.57504517242</v>
      </c>
      <c r="BV21" s="40">
        <f t="shared" ca="1" si="126"/>
        <v>167689.0325496897</v>
      </c>
      <c r="BW21" s="40">
        <f t="shared" ca="1" si="126"/>
        <v>184457.93580465866</v>
      </c>
      <c r="BX21" s="40">
        <f t="shared" ca="1" si="126"/>
        <v>202903.72938512452</v>
      </c>
      <c r="BY21" s="40">
        <f t="shared" ca="1" si="126"/>
        <v>223194.10232363699</v>
      </c>
      <c r="BZ21" s="40">
        <f t="shared" ca="1" si="126"/>
        <v>245513.5125560007</v>
      </c>
      <c r="CA21" s="40">
        <f t="shared" ca="1" si="126"/>
        <v>270064.86381160078</v>
      </c>
      <c r="CB21" s="40">
        <f t="shared" ca="1" si="126"/>
        <v>297071.35019276087</v>
      </c>
      <c r="CC21" s="40">
        <f t="shared" ca="1" si="126"/>
        <v>326778.48521203699</v>
      </c>
      <c r="CD21" s="40">
        <f t="shared" ca="1" si="126"/>
        <v>359456.33373324072</v>
      </c>
      <c r="CE21" s="40">
        <f t="shared" ca="1" si="126"/>
        <v>395401.96710656479</v>
      </c>
      <c r="CF21" s="40">
        <f t="shared" ca="1" si="126"/>
        <v>434942.1638172213</v>
      </c>
      <c r="CG21" s="40">
        <f t="shared" ca="1" si="126"/>
        <v>478436.38019894349</v>
      </c>
      <c r="CH21" s="40">
        <f t="shared" ca="1" si="126"/>
        <v>526280.01821883791</v>
      </c>
      <c r="CI21" s="40">
        <f t="shared" ca="1" si="126"/>
        <v>578908.02004072175</v>
      </c>
      <c r="CJ21" s="40">
        <f t="shared" ca="1" si="126"/>
        <v>636798.82204479398</v>
      </c>
      <c r="CK21" s="40">
        <f t="shared" ca="1" si="126"/>
        <v>700478.7042492734</v>
      </c>
      <c r="CL21" s="40">
        <f t="shared" ca="1" si="126"/>
        <v>770526.57467420085</v>
      </c>
      <c r="CM21" s="40">
        <f t="shared" ca="1" si="126"/>
        <v>847579.23214162095</v>
      </c>
      <c r="CN21" s="40">
        <f t="shared" ca="1" si="126"/>
        <v>932337.15535578318</v>
      </c>
      <c r="CO21" s="40">
        <f t="shared" ca="1" si="126"/>
        <v>1025570.8708913615</v>
      </c>
      <c r="CP21" s="40">
        <f t="shared" ca="1" si="126"/>
        <v>1128127.9579804977</v>
      </c>
      <c r="CQ21" s="40">
        <f t="shared" ca="1" si="126"/>
        <v>1240940.7537785477</v>
      </c>
      <c r="CR21" s="40">
        <f t="shared" ca="1" si="126"/>
        <v>1365034.8291564027</v>
      </c>
      <c r="CS21" s="40">
        <f t="shared" ca="1" si="126"/>
        <v>1501538.3120720431</v>
      </c>
      <c r="CT21" s="40">
        <f t="shared" ca="1" si="126"/>
        <v>1651692.1432792472</v>
      </c>
      <c r="CU21" s="40">
        <f t="shared" ca="1" si="126"/>
        <v>1816861.3576071723</v>
      </c>
      <c r="CV21" s="40">
        <f t="shared" ca="1" si="126"/>
        <v>1998547.4933678897</v>
      </c>
      <c r="CW21" s="40">
        <f t="shared" ca="1" si="126"/>
        <v>2198402.2427046788</v>
      </c>
      <c r="CX21" s="40">
        <f t="shared" ca="1" si="126"/>
        <v>2418242.4669751469</v>
      </c>
      <c r="CY21" s="40">
        <f t="shared" ca="1" si="126"/>
        <v>2660066.7136726617</v>
      </c>
      <c r="CZ21" s="40">
        <f t="shared" ca="1" si="126"/>
        <v>2926073.3850399284</v>
      </c>
      <c r="DA21" s="40">
        <f t="shared" ca="1" si="126"/>
        <v>3218680.7235439215</v>
      </c>
      <c r="DB21" s="40">
        <f t="shared" ca="1" si="126"/>
        <v>3540548.7958983141</v>
      </c>
      <c r="DC21" s="40">
        <f t="shared" ca="1" si="126"/>
        <v>3894603.675488146</v>
      </c>
      <c r="DD21" s="40">
        <f t="shared" ca="1" si="126"/>
        <v>4284064.043036961</v>
      </c>
      <c r="DE21" s="40">
        <f t="shared" ca="1" si="126"/>
        <v>4712470.447340657</v>
      </c>
      <c r="DF21" s="40">
        <f t="shared" ca="1" si="126"/>
        <v>4776877.5841999929</v>
      </c>
      <c r="DG21" s="40">
        <f t="shared" ca="1" si="126"/>
        <v>4776877.5841999929</v>
      </c>
      <c r="DH21" s="40">
        <f t="shared" ca="1" si="126"/>
        <v>4776877.5841999929</v>
      </c>
      <c r="DI21" s="40">
        <f t="shared" ca="1" si="126"/>
        <v>4776877.5841999929</v>
      </c>
      <c r="DJ21" s="40">
        <f t="shared" ca="1" si="126"/>
        <v>4776877.5841999929</v>
      </c>
      <c r="DK21" s="40">
        <f t="shared" ca="1" si="126"/>
        <v>4776877.5841999929</v>
      </c>
      <c r="DL21" s="40">
        <f t="shared" ca="1" si="126"/>
        <v>4776877.5841999929</v>
      </c>
      <c r="DM21" s="40">
        <f t="shared" ca="1" si="126"/>
        <v>4776877.5841999929</v>
      </c>
      <c r="DN21" s="40">
        <f t="shared" ca="1" si="126"/>
        <v>4776877.5841999929</v>
      </c>
      <c r="DO21" s="40">
        <f t="shared" ca="1" si="126"/>
        <v>4776877.5841999929</v>
      </c>
      <c r="DP21" s="40">
        <f t="shared" ca="1" si="126"/>
        <v>4776877.5841999929</v>
      </c>
      <c r="DQ21" s="40">
        <f t="shared" ca="1" si="126"/>
        <v>4776877.5841999929</v>
      </c>
      <c r="DR21" s="40">
        <f t="shared" ca="1" si="126"/>
        <v>4776877.5841999929</v>
      </c>
      <c r="DS21" s="40">
        <f t="shared" ca="1" si="126"/>
        <v>4776877.5841999929</v>
      </c>
      <c r="DT21" s="40">
        <f t="shared" ca="1" si="126"/>
        <v>4776877.5841999929</v>
      </c>
      <c r="DU21" s="40">
        <f t="shared" ca="1" si="126"/>
        <v>4776877.5841999929</v>
      </c>
      <c r="DV21" s="40">
        <f t="shared" ca="1" si="126"/>
        <v>4776877.5841999929</v>
      </c>
      <c r="DW21" s="40">
        <f t="shared" ca="1" si="126"/>
        <v>4776877.5841999929</v>
      </c>
      <c r="DX21" s="40">
        <f t="shared" ca="1" si="126"/>
        <v>4776877.5841999929</v>
      </c>
      <c r="DY21" s="40">
        <f t="shared" ca="1" si="126"/>
        <v>4776877.5841999929</v>
      </c>
      <c r="DZ21" s="40">
        <f t="shared" ca="1" si="126"/>
        <v>4776877.5841999929</v>
      </c>
      <c r="EA21" s="40">
        <f t="shared" ca="1" si="126"/>
        <v>4776877.5841999929</v>
      </c>
      <c r="EB21" s="40">
        <f t="shared" ca="1" si="126"/>
        <v>4776877.5841999929</v>
      </c>
      <c r="EC21" s="40">
        <f t="shared" ca="1" si="126"/>
        <v>4776877.5841999929</v>
      </c>
      <c r="ED21" s="40">
        <f t="shared" ca="1" si="126"/>
        <v>4776877.5841999929</v>
      </c>
      <c r="EE21" s="40">
        <f t="shared" ca="1" si="126"/>
        <v>4776877.5841999929</v>
      </c>
      <c r="EF21" s="40">
        <f t="shared" ref="EF21:GQ23" ca="1" si="127">EF10*$C$15</f>
        <v>4776877.5841999929</v>
      </c>
      <c r="EG21" s="40">
        <f t="shared" ca="1" si="127"/>
        <v>4776877.5841999929</v>
      </c>
      <c r="EH21" s="40">
        <f t="shared" ca="1" si="127"/>
        <v>4776877.5841999929</v>
      </c>
      <c r="EI21" s="40">
        <f t="shared" ca="1" si="127"/>
        <v>4776877.5841999929</v>
      </c>
      <c r="EJ21" s="40">
        <f t="shared" ca="1" si="127"/>
        <v>4776877.5841999929</v>
      </c>
      <c r="EK21" s="40">
        <f t="shared" ca="1" si="127"/>
        <v>4776877.5841999929</v>
      </c>
      <c r="EL21" s="40">
        <f t="shared" ca="1" si="127"/>
        <v>4776877.5841999929</v>
      </c>
      <c r="EM21" s="40">
        <f t="shared" ca="1" si="127"/>
        <v>4776877.5841999929</v>
      </c>
      <c r="EN21" s="40">
        <f t="shared" ca="1" si="127"/>
        <v>4776877.5841999929</v>
      </c>
      <c r="EO21" s="40">
        <f t="shared" ca="1" si="127"/>
        <v>4776877.5841999929</v>
      </c>
      <c r="EP21" s="40">
        <f t="shared" ca="1" si="127"/>
        <v>4776877.5841999929</v>
      </c>
      <c r="EQ21" s="40">
        <f t="shared" ca="1" si="127"/>
        <v>4776877.5841999929</v>
      </c>
      <c r="ER21" s="40">
        <f t="shared" ca="1" si="127"/>
        <v>4776877.5841999929</v>
      </c>
      <c r="ES21" s="40">
        <f t="shared" ca="1" si="127"/>
        <v>4776877.5841999929</v>
      </c>
      <c r="ET21" s="40">
        <f t="shared" ca="1" si="127"/>
        <v>4776877.5841999929</v>
      </c>
      <c r="EU21" s="40">
        <f t="shared" ca="1" si="127"/>
        <v>4776877.5841999929</v>
      </c>
      <c r="EV21" s="40">
        <f t="shared" ca="1" si="127"/>
        <v>4776877.5841999929</v>
      </c>
      <c r="EW21" s="40">
        <f t="shared" ca="1" si="127"/>
        <v>4776877.5841999929</v>
      </c>
      <c r="EX21" s="40">
        <f t="shared" ca="1" si="127"/>
        <v>4776877.5841999929</v>
      </c>
      <c r="EY21" s="40">
        <f t="shared" ca="1" si="127"/>
        <v>4776877.5841999929</v>
      </c>
      <c r="EZ21" s="40">
        <f t="shared" ca="1" si="127"/>
        <v>4776877.5841999929</v>
      </c>
      <c r="FA21" s="40">
        <f t="shared" ca="1" si="127"/>
        <v>4776877.5841999929</v>
      </c>
      <c r="FB21" s="40">
        <f t="shared" ca="1" si="127"/>
        <v>4776877.5841999929</v>
      </c>
      <c r="FC21" s="40">
        <f t="shared" ca="1" si="127"/>
        <v>4776877.5841999929</v>
      </c>
      <c r="FD21" s="40">
        <f t="shared" ca="1" si="127"/>
        <v>4776877.5841999929</v>
      </c>
      <c r="FE21" s="40">
        <f t="shared" ca="1" si="127"/>
        <v>4776877.5841999929</v>
      </c>
      <c r="FF21" s="40">
        <f t="shared" ca="1" si="127"/>
        <v>4776877.5841999929</v>
      </c>
      <c r="FG21" s="40">
        <f t="shared" ca="1" si="127"/>
        <v>4776877.5841999929</v>
      </c>
      <c r="FH21" s="40">
        <f t="shared" ca="1" si="127"/>
        <v>4776877.5841999929</v>
      </c>
      <c r="FI21" s="40">
        <f t="shared" ca="1" si="127"/>
        <v>4776877.5841999929</v>
      </c>
      <c r="FJ21" s="40">
        <f t="shared" ca="1" si="127"/>
        <v>4776877.5841999929</v>
      </c>
      <c r="FK21" s="40">
        <f t="shared" ca="1" si="127"/>
        <v>4776877.5841999929</v>
      </c>
      <c r="FL21" s="40">
        <f t="shared" ca="1" si="127"/>
        <v>4776877.5841999929</v>
      </c>
      <c r="FM21" s="40">
        <f t="shared" ca="1" si="127"/>
        <v>4776877.5841999929</v>
      </c>
      <c r="FN21" s="40">
        <f t="shared" ca="1" si="127"/>
        <v>4776877.5841999929</v>
      </c>
      <c r="FO21" s="40">
        <f t="shared" ca="1" si="127"/>
        <v>4776877.5841999929</v>
      </c>
      <c r="FP21" s="40">
        <f t="shared" ca="1" si="127"/>
        <v>4776877.5841999929</v>
      </c>
      <c r="FQ21" s="40">
        <f t="shared" ca="1" si="127"/>
        <v>4776877.5841999929</v>
      </c>
      <c r="FR21" s="40">
        <f t="shared" ca="1" si="127"/>
        <v>4776877.5841999929</v>
      </c>
      <c r="FS21" s="40">
        <f t="shared" ca="1" si="127"/>
        <v>4776877.5841999929</v>
      </c>
      <c r="FT21" s="40">
        <f t="shared" ca="1" si="127"/>
        <v>4776877.5841999929</v>
      </c>
      <c r="FU21" s="40">
        <f t="shared" ca="1" si="127"/>
        <v>4776877.5841999929</v>
      </c>
      <c r="FV21" s="40">
        <f t="shared" ca="1" si="127"/>
        <v>4776877.5841999929</v>
      </c>
      <c r="FW21" s="40">
        <f t="shared" ca="1" si="127"/>
        <v>4776877.5841999929</v>
      </c>
      <c r="FX21" s="40">
        <f t="shared" ca="1" si="127"/>
        <v>4776877.5841999929</v>
      </c>
      <c r="FY21" s="40">
        <f t="shared" ca="1" si="127"/>
        <v>4776877.5841999929</v>
      </c>
      <c r="FZ21" s="40">
        <f t="shared" ca="1" si="127"/>
        <v>4776877.5841999929</v>
      </c>
      <c r="GA21" s="40">
        <f t="shared" ca="1" si="127"/>
        <v>4776877.5841999929</v>
      </c>
      <c r="GB21" s="40">
        <f t="shared" ca="1" si="127"/>
        <v>4776877.5841999929</v>
      </c>
      <c r="GC21" s="40">
        <f t="shared" ca="1" si="127"/>
        <v>4776877.5841999929</v>
      </c>
      <c r="GD21" s="40">
        <f t="shared" ca="1" si="127"/>
        <v>4776877.5841999929</v>
      </c>
      <c r="GE21" s="40">
        <f t="shared" ca="1" si="127"/>
        <v>4776877.5841999929</v>
      </c>
      <c r="GF21" s="40">
        <f t="shared" ca="1" si="127"/>
        <v>4776877.5841999929</v>
      </c>
      <c r="GG21" s="40">
        <f t="shared" ca="1" si="127"/>
        <v>4776877.5841999929</v>
      </c>
      <c r="GH21" s="40">
        <f t="shared" ca="1" si="127"/>
        <v>4776877.5841999929</v>
      </c>
      <c r="GI21" s="40">
        <f t="shared" ca="1" si="127"/>
        <v>4776877.5841999929</v>
      </c>
      <c r="GJ21" s="40">
        <f t="shared" ca="1" si="127"/>
        <v>4776877.5841999929</v>
      </c>
      <c r="GK21" s="40">
        <f t="shared" ca="1" si="127"/>
        <v>4776877.5841999929</v>
      </c>
      <c r="GL21" s="40">
        <f t="shared" ca="1" si="127"/>
        <v>4776877.5841999929</v>
      </c>
      <c r="GM21" s="40">
        <f t="shared" ca="1" si="127"/>
        <v>4776877.5841999929</v>
      </c>
      <c r="GN21" s="40">
        <f t="shared" ca="1" si="127"/>
        <v>4776877.5841999929</v>
      </c>
      <c r="GO21" s="40">
        <f t="shared" ca="1" si="127"/>
        <v>4776877.5841999929</v>
      </c>
      <c r="GP21" s="40">
        <f t="shared" ca="1" si="127"/>
        <v>4776877.5841999929</v>
      </c>
      <c r="GQ21" s="40">
        <f t="shared" ca="1" si="127"/>
        <v>4776877.5841999929</v>
      </c>
      <c r="GR21" s="40">
        <f t="shared" ref="GR21:IN23" ca="1" si="128">GR10*$C$15</f>
        <v>4776877.5841999929</v>
      </c>
      <c r="GS21" s="40">
        <f t="shared" ca="1" si="128"/>
        <v>4776877.5841999929</v>
      </c>
      <c r="GT21" s="40">
        <f t="shared" ca="1" si="128"/>
        <v>4776877.5841999929</v>
      </c>
      <c r="GU21" s="40">
        <f t="shared" ca="1" si="128"/>
        <v>4776877.5841999929</v>
      </c>
      <c r="GV21" s="40">
        <f t="shared" ca="1" si="128"/>
        <v>4776877.5841999929</v>
      </c>
      <c r="GW21" s="40">
        <f t="shared" ca="1" si="128"/>
        <v>4776877.5841999929</v>
      </c>
      <c r="GX21" s="40">
        <f t="shared" ca="1" si="128"/>
        <v>4776877.5841999929</v>
      </c>
      <c r="GY21" s="40">
        <f t="shared" ca="1" si="128"/>
        <v>4776877.5841999929</v>
      </c>
      <c r="GZ21" s="40">
        <f t="shared" ca="1" si="128"/>
        <v>4776877.5841999929</v>
      </c>
      <c r="HA21" s="40">
        <f t="shared" ca="1" si="128"/>
        <v>4776877.5841999929</v>
      </c>
      <c r="HB21" s="40">
        <f t="shared" ca="1" si="128"/>
        <v>4776877.5841999929</v>
      </c>
      <c r="HC21" s="40">
        <f t="shared" ca="1" si="128"/>
        <v>4776877.5841999929</v>
      </c>
      <c r="HD21" s="40">
        <f t="shared" ca="1" si="128"/>
        <v>4776877.5841999929</v>
      </c>
      <c r="HE21" s="40">
        <f t="shared" ca="1" si="128"/>
        <v>4776877.5841999929</v>
      </c>
      <c r="HF21" s="40">
        <f t="shared" ca="1" si="128"/>
        <v>4776877.5841999929</v>
      </c>
      <c r="HG21" s="40">
        <f t="shared" ca="1" si="128"/>
        <v>4776877.5841999929</v>
      </c>
      <c r="HH21" s="40">
        <f t="shared" ca="1" si="128"/>
        <v>4776877.5841999929</v>
      </c>
      <c r="HI21" s="40">
        <f t="shared" ca="1" si="128"/>
        <v>4776877.5841999929</v>
      </c>
      <c r="HJ21" s="40">
        <f t="shared" ca="1" si="128"/>
        <v>4776877.5841999929</v>
      </c>
      <c r="HK21" s="40">
        <f t="shared" ca="1" si="128"/>
        <v>4776877.5841999929</v>
      </c>
      <c r="HL21" s="40">
        <f t="shared" ca="1" si="128"/>
        <v>4776877.5841999929</v>
      </c>
      <c r="HM21" s="40">
        <f t="shared" ca="1" si="128"/>
        <v>4776877.5841999929</v>
      </c>
      <c r="HN21" s="40">
        <f t="shared" ca="1" si="128"/>
        <v>4776877.5841999929</v>
      </c>
      <c r="HO21" s="40">
        <f t="shared" ca="1" si="128"/>
        <v>4776877.5841999929</v>
      </c>
      <c r="HP21" s="40">
        <f t="shared" ca="1" si="128"/>
        <v>4776877.5841999929</v>
      </c>
      <c r="HQ21" s="40">
        <f t="shared" ca="1" si="128"/>
        <v>4776877.5841999929</v>
      </c>
      <c r="HR21" s="40">
        <f t="shared" ca="1" si="128"/>
        <v>4776877.5841999929</v>
      </c>
      <c r="HS21" s="40">
        <f t="shared" ca="1" si="128"/>
        <v>4776877.5841999929</v>
      </c>
      <c r="HT21" s="40">
        <f t="shared" ca="1" si="128"/>
        <v>4776877.5841999929</v>
      </c>
      <c r="HU21" s="40">
        <f t="shared" ca="1" si="128"/>
        <v>4776877.5841999929</v>
      </c>
      <c r="HV21" s="40">
        <f t="shared" ca="1" si="128"/>
        <v>4776877.5841999929</v>
      </c>
      <c r="HW21" s="40">
        <f t="shared" ca="1" si="128"/>
        <v>4776877.5841999929</v>
      </c>
      <c r="HX21" s="40">
        <f t="shared" ca="1" si="128"/>
        <v>4776877.5841999929</v>
      </c>
      <c r="HY21" s="40">
        <f t="shared" ca="1" si="128"/>
        <v>4776877.5841999929</v>
      </c>
      <c r="HZ21" s="40">
        <f t="shared" ca="1" si="128"/>
        <v>4776877.5841999929</v>
      </c>
      <c r="IA21" s="40">
        <f t="shared" ca="1" si="128"/>
        <v>4776877.5841999929</v>
      </c>
      <c r="IB21" s="40">
        <f t="shared" ca="1" si="128"/>
        <v>4776877.5841999929</v>
      </c>
      <c r="IC21" s="40">
        <f t="shared" ca="1" si="128"/>
        <v>4776877.5841999929</v>
      </c>
      <c r="ID21" s="40">
        <f t="shared" ca="1" si="128"/>
        <v>4776877.5841999929</v>
      </c>
      <c r="IE21" s="40">
        <f t="shared" ca="1" si="128"/>
        <v>4776877.5841999929</v>
      </c>
      <c r="IF21" s="40">
        <f t="shared" ca="1" si="128"/>
        <v>4776877.5841999929</v>
      </c>
      <c r="IG21" s="40">
        <f t="shared" ca="1" si="128"/>
        <v>4776877.5841999929</v>
      </c>
      <c r="IH21" s="40">
        <f t="shared" ca="1" si="128"/>
        <v>4776877.5841999929</v>
      </c>
      <c r="II21" s="40">
        <f t="shared" ca="1" si="128"/>
        <v>4776877.5841999929</v>
      </c>
      <c r="IJ21" s="40">
        <f t="shared" ca="1" si="128"/>
        <v>4776877.5841999929</v>
      </c>
      <c r="IK21" s="40">
        <f t="shared" ca="1" si="128"/>
        <v>4776877.5841999929</v>
      </c>
      <c r="IL21" s="40">
        <f t="shared" ca="1" si="128"/>
        <v>4776877.5841999929</v>
      </c>
      <c r="IM21" s="40">
        <f t="shared" ca="1" si="128"/>
        <v>4776877.5841999929</v>
      </c>
      <c r="IN21" s="40">
        <f t="shared" ca="1" si="128"/>
        <v>4776877.5841999929</v>
      </c>
    </row>
    <row r="22" spans="2:248" x14ac:dyDescent="0.3">
      <c r="C22" s="40"/>
      <c r="F22" s="19" t="s">
        <v>495</v>
      </c>
      <c r="G22" s="40">
        <f t="shared" ref="G22:V23" si="129">G11*$C$15</f>
        <v>20.406185000588678</v>
      </c>
      <c r="H22" s="40">
        <f t="shared" ca="1" si="129"/>
        <v>28.850123621521924</v>
      </c>
      <c r="I22" s="40">
        <f t="shared" ca="1" si="129"/>
        <v>36.414485302774622</v>
      </c>
      <c r="J22" s="40">
        <f t="shared" ca="1" si="129"/>
        <v>48.20081629449394</v>
      </c>
      <c r="K22" s="40">
        <f t="shared" ca="1" si="129"/>
        <v>56.644754915427185</v>
      </c>
      <c r="L22" s="40">
        <f t="shared" ca="1" si="129"/>
        <v>67.551508967465963</v>
      </c>
      <c r="M22" s="40">
        <f t="shared" ca="1" si="129"/>
        <v>80.745163062674166</v>
      </c>
      <c r="N22" s="40">
        <f t="shared" ca="1" si="129"/>
        <v>103.43824810643225</v>
      </c>
      <c r="O22" s="40">
        <f t="shared" ca="1" si="129"/>
        <v>140.55639496095131</v>
      </c>
      <c r="P22" s="40">
        <f t="shared" ca="1" si="129"/>
        <v>198.9603037557396</v>
      </c>
      <c r="Q22" s="40">
        <f t="shared" ca="1" si="129"/>
        <v>233.61563517915312</v>
      </c>
      <c r="R22" s="40">
        <f t="shared" ca="1" si="129"/>
        <v>223.58845806679489</v>
      </c>
      <c r="S22" s="40">
        <f t="shared" ca="1" si="129"/>
        <v>296.41742867234416</v>
      </c>
      <c r="T22" s="40">
        <f t="shared" ca="1" si="129"/>
        <v>403.90173070130692</v>
      </c>
      <c r="U22" s="40">
        <f t="shared" ca="1" si="129"/>
        <v>492.21125544523375</v>
      </c>
      <c r="V22" s="40">
        <f t="shared" ca="1" si="129"/>
        <v>611.1300576900436</v>
      </c>
      <c r="W22" s="40">
        <f t="shared" ca="1" si="125"/>
        <v>773.14812997920023</v>
      </c>
      <c r="X22" s="40">
        <f t="shared" ca="1" si="125"/>
        <v>868.4942702405715</v>
      </c>
      <c r="Y22" s="40">
        <f t="shared" ca="1" si="125"/>
        <v>999.37531886503677</v>
      </c>
      <c r="Z22" s="40">
        <f t="shared" ca="1" si="125"/>
        <v>1185.4937993014405</v>
      </c>
      <c r="AA22" s="40">
        <f t="shared" ca="1" si="125"/>
        <v>1357.8908794788276</v>
      </c>
      <c r="AB22" s="40">
        <f t="shared" ca="1" si="125"/>
        <v>1709.0179937993016</v>
      </c>
      <c r="AC22" s="40">
        <f t="shared" ca="1" si="125"/>
        <v>2166.2220870452497</v>
      </c>
      <c r="AD22" s="40">
        <f t="shared" ca="1" si="125"/>
        <v>2464.2227542090186</v>
      </c>
      <c r="AE22" s="40">
        <f t="shared" ca="1" si="125"/>
        <v>2702.4121894745108</v>
      </c>
      <c r="AF22" s="40">
        <f t="shared" ca="1" si="125"/>
        <v>3046.5026882775405</v>
      </c>
      <c r="AG22" s="40">
        <f t="shared" ca="1" si="125"/>
        <v>3368.2519328126846</v>
      </c>
      <c r="AH22" s="40">
        <f t="shared" ca="1" si="125"/>
        <v>4210.3149160158555</v>
      </c>
      <c r="AI22" s="40">
        <f t="shared" ca="1" si="125"/>
        <v>5262.8936450198189</v>
      </c>
      <c r="AJ22" s="40">
        <f t="shared" ca="1" si="125"/>
        <v>6578.6170562747739</v>
      </c>
      <c r="AK22" s="40">
        <f t="shared" ca="1" si="125"/>
        <v>8223.2713203434669</v>
      </c>
      <c r="AL22" s="40">
        <f t="shared" ca="1" si="125"/>
        <v>10279.089150429334</v>
      </c>
      <c r="AM22" s="40">
        <f t="shared" ca="1" si="125"/>
        <v>12848.861438036669</v>
      </c>
      <c r="AN22" s="40">
        <f t="shared" ca="1" si="125"/>
        <v>16061.076797545835</v>
      </c>
      <c r="AO22" s="40">
        <f t="shared" ca="1" si="125"/>
        <v>20076.345996932294</v>
      </c>
      <c r="AP22" s="40">
        <f t="shared" ca="1" si="125"/>
        <v>25095.432496165369</v>
      </c>
      <c r="AQ22" s="40">
        <f t="shared" ca="1" si="125"/>
        <v>31369.29062020671</v>
      </c>
      <c r="AR22" s="40">
        <f t="shared" ca="1" si="125"/>
        <v>39211.613275258387</v>
      </c>
      <c r="AS22" s="40">
        <f t="shared" ca="1" si="125"/>
        <v>49014.516594072986</v>
      </c>
      <c r="AT22" s="40">
        <f t="shared" ca="1" si="125"/>
        <v>61268.14574259123</v>
      </c>
      <c r="AU22" s="40">
        <f t="shared" ca="1" si="125"/>
        <v>76585.182178239033</v>
      </c>
      <c r="AV22" s="40">
        <f t="shared" ca="1" si="125"/>
        <v>95731.477722798794</v>
      </c>
      <c r="AW22" s="40">
        <f t="shared" ca="1" si="125"/>
        <v>119664.3471534985</v>
      </c>
      <c r="AX22" s="40">
        <f t="shared" ca="1" si="125"/>
        <v>149580.43394187314</v>
      </c>
      <c r="AY22" s="40">
        <f t="shared" ca="1" si="125"/>
        <v>186975.54242734142</v>
      </c>
      <c r="AZ22" s="40">
        <f t="shared" ca="1" si="125"/>
        <v>233719.42803417676</v>
      </c>
      <c r="BA22" s="40">
        <f t="shared" ca="1" si="125"/>
        <v>292149.28504272096</v>
      </c>
      <c r="BB22" s="40">
        <f t="shared" ca="1" si="125"/>
        <v>365186.60630340123</v>
      </c>
      <c r="BC22" s="40">
        <f t="shared" ca="1" si="125"/>
        <v>456483.25787925156</v>
      </c>
      <c r="BD22" s="40">
        <f t="shared" ca="1" si="125"/>
        <v>570604.0723490644</v>
      </c>
      <c r="BE22" s="40">
        <f t="shared" ca="1" si="125"/>
        <v>713255.09043633053</v>
      </c>
      <c r="BF22" s="40">
        <f t="shared" ca="1" si="125"/>
        <v>891568.86304541316</v>
      </c>
      <c r="BG22" s="40">
        <f t="shared" ca="1" si="125"/>
        <v>1114461.0788067663</v>
      </c>
      <c r="BH22" s="40">
        <f t="shared" ca="1" si="125"/>
        <v>1393076.3485084581</v>
      </c>
      <c r="BI22" s="40">
        <f t="shared" ca="1" si="125"/>
        <v>1741345.4356355725</v>
      </c>
      <c r="BJ22" s="40">
        <f t="shared" ca="1" si="125"/>
        <v>2176681.7945444658</v>
      </c>
      <c r="BK22" s="40">
        <f t="shared" ca="1" si="125"/>
        <v>2720852.2431805818</v>
      </c>
      <c r="BL22" s="40">
        <f t="shared" ca="1" si="125"/>
        <v>3401065.3039757274</v>
      </c>
      <c r="BM22" s="40">
        <f t="shared" ca="1" si="125"/>
        <v>4251331.6299696593</v>
      </c>
      <c r="BN22" s="40">
        <f t="shared" ca="1" si="125"/>
        <v>4776877.5841999929</v>
      </c>
      <c r="BO22" s="40">
        <f t="shared" ca="1" si="125"/>
        <v>4776877.5841999929</v>
      </c>
      <c r="BP22" s="40">
        <f t="shared" ca="1" si="125"/>
        <v>4776877.5841999929</v>
      </c>
      <c r="BQ22" s="40">
        <f t="shared" ca="1" si="125"/>
        <v>4776877.5841999929</v>
      </c>
      <c r="BR22" s="40">
        <f t="shared" ca="1" si="125"/>
        <v>4776877.5841999929</v>
      </c>
      <c r="BS22" s="40">
        <f t="shared" ca="1" si="125"/>
        <v>4776877.5841999929</v>
      </c>
      <c r="BT22" s="40">
        <f t="shared" ca="1" si="126"/>
        <v>4776877.5841999929</v>
      </c>
      <c r="BU22" s="40">
        <f t="shared" ca="1" si="126"/>
        <v>4776877.5841999929</v>
      </c>
      <c r="BV22" s="40">
        <f t="shared" ca="1" si="126"/>
        <v>4776877.5841999929</v>
      </c>
      <c r="BW22" s="40">
        <f t="shared" ca="1" si="126"/>
        <v>4776877.5841999929</v>
      </c>
      <c r="BX22" s="40">
        <f t="shared" ca="1" si="126"/>
        <v>4776877.5841999929</v>
      </c>
      <c r="BY22" s="40">
        <f t="shared" ca="1" si="126"/>
        <v>4776877.5841999929</v>
      </c>
      <c r="BZ22" s="40">
        <f t="shared" ca="1" si="126"/>
        <v>4776877.5841999929</v>
      </c>
      <c r="CA22" s="40">
        <f t="shared" ca="1" si="126"/>
        <v>4776877.5841999929</v>
      </c>
      <c r="CB22" s="40">
        <f t="shared" ca="1" si="126"/>
        <v>4776877.5841999929</v>
      </c>
      <c r="CC22" s="40">
        <f t="shared" ca="1" si="126"/>
        <v>4776877.5841999929</v>
      </c>
      <c r="CD22" s="40">
        <f t="shared" ca="1" si="126"/>
        <v>4776877.5841999929</v>
      </c>
      <c r="CE22" s="40">
        <f t="shared" ca="1" si="126"/>
        <v>4776877.5841999929</v>
      </c>
      <c r="CF22" s="40">
        <f t="shared" ca="1" si="126"/>
        <v>4776877.5841999929</v>
      </c>
      <c r="CG22" s="40">
        <f t="shared" ca="1" si="126"/>
        <v>4776877.5841999929</v>
      </c>
      <c r="CH22" s="40">
        <f t="shared" ca="1" si="126"/>
        <v>4776877.5841999929</v>
      </c>
      <c r="CI22" s="40">
        <f t="shared" ca="1" si="126"/>
        <v>4776877.5841999929</v>
      </c>
      <c r="CJ22" s="40">
        <f t="shared" ca="1" si="126"/>
        <v>4776877.5841999929</v>
      </c>
      <c r="CK22" s="40">
        <f t="shared" ca="1" si="126"/>
        <v>4776877.5841999929</v>
      </c>
      <c r="CL22" s="40">
        <f t="shared" ca="1" si="126"/>
        <v>4776877.5841999929</v>
      </c>
      <c r="CM22" s="40">
        <f t="shared" ca="1" si="126"/>
        <v>4776877.5841999929</v>
      </c>
      <c r="CN22" s="40">
        <f t="shared" ca="1" si="126"/>
        <v>4776877.5841999929</v>
      </c>
      <c r="CO22" s="40">
        <f t="shared" ca="1" si="126"/>
        <v>4776877.5841999929</v>
      </c>
      <c r="CP22" s="40">
        <f t="shared" ca="1" si="126"/>
        <v>4776877.5841999929</v>
      </c>
      <c r="CQ22" s="40">
        <f t="shared" ca="1" si="126"/>
        <v>4776877.5841999929</v>
      </c>
      <c r="CR22" s="40">
        <f t="shared" ca="1" si="126"/>
        <v>4776877.5841999929</v>
      </c>
      <c r="CS22" s="40">
        <f t="shared" ca="1" si="126"/>
        <v>4776877.5841999929</v>
      </c>
      <c r="CT22" s="40">
        <f t="shared" ca="1" si="126"/>
        <v>4776877.5841999929</v>
      </c>
      <c r="CU22" s="40">
        <f t="shared" ca="1" si="126"/>
        <v>4776877.5841999929</v>
      </c>
      <c r="CV22" s="40">
        <f t="shared" ca="1" si="126"/>
        <v>4776877.5841999929</v>
      </c>
      <c r="CW22" s="40">
        <f t="shared" ca="1" si="126"/>
        <v>4776877.5841999929</v>
      </c>
      <c r="CX22" s="40">
        <f t="shared" ca="1" si="126"/>
        <v>4776877.5841999929</v>
      </c>
      <c r="CY22" s="40">
        <f t="shared" ca="1" si="126"/>
        <v>4776877.5841999929</v>
      </c>
      <c r="CZ22" s="40">
        <f t="shared" ca="1" si="126"/>
        <v>4776877.5841999929</v>
      </c>
      <c r="DA22" s="40">
        <f t="shared" ca="1" si="126"/>
        <v>4776877.5841999929</v>
      </c>
      <c r="DB22" s="40">
        <f t="shared" ca="1" si="126"/>
        <v>4776877.5841999929</v>
      </c>
      <c r="DC22" s="40">
        <f t="shared" ca="1" si="126"/>
        <v>4776877.5841999929</v>
      </c>
      <c r="DD22" s="40">
        <f t="shared" ca="1" si="126"/>
        <v>4776877.5841999929</v>
      </c>
      <c r="DE22" s="40">
        <f t="shared" ca="1" si="126"/>
        <v>4776877.5841999929</v>
      </c>
      <c r="DF22" s="40">
        <f t="shared" ca="1" si="126"/>
        <v>4776877.5841999929</v>
      </c>
      <c r="DG22" s="40">
        <f t="shared" ca="1" si="126"/>
        <v>4776877.5841999929</v>
      </c>
      <c r="DH22" s="40">
        <f t="shared" ca="1" si="126"/>
        <v>4776877.5841999929</v>
      </c>
      <c r="DI22" s="40">
        <f t="shared" ca="1" si="126"/>
        <v>4776877.5841999929</v>
      </c>
      <c r="DJ22" s="40">
        <f t="shared" ca="1" si="126"/>
        <v>4776877.5841999929</v>
      </c>
      <c r="DK22" s="40">
        <f t="shared" ca="1" si="126"/>
        <v>4776877.5841999929</v>
      </c>
      <c r="DL22" s="40">
        <f t="shared" ca="1" si="126"/>
        <v>4776877.5841999929</v>
      </c>
      <c r="DM22" s="40">
        <f t="shared" ca="1" si="126"/>
        <v>4776877.5841999929</v>
      </c>
      <c r="DN22" s="40">
        <f t="shared" ca="1" si="126"/>
        <v>4776877.5841999929</v>
      </c>
      <c r="DO22" s="40">
        <f t="shared" ca="1" si="126"/>
        <v>4776877.5841999929</v>
      </c>
      <c r="DP22" s="40">
        <f t="shared" ca="1" si="126"/>
        <v>4776877.5841999929</v>
      </c>
      <c r="DQ22" s="40">
        <f t="shared" ca="1" si="126"/>
        <v>4776877.5841999929</v>
      </c>
      <c r="DR22" s="40">
        <f t="shared" ca="1" si="126"/>
        <v>4776877.5841999929</v>
      </c>
      <c r="DS22" s="40">
        <f t="shared" ca="1" si="126"/>
        <v>4776877.5841999929</v>
      </c>
      <c r="DT22" s="40">
        <f t="shared" ca="1" si="126"/>
        <v>4776877.5841999929</v>
      </c>
      <c r="DU22" s="40">
        <f t="shared" ca="1" si="126"/>
        <v>4776877.5841999929</v>
      </c>
      <c r="DV22" s="40">
        <f t="shared" ca="1" si="126"/>
        <v>4776877.5841999929</v>
      </c>
      <c r="DW22" s="40">
        <f t="shared" ca="1" si="126"/>
        <v>4776877.5841999929</v>
      </c>
      <c r="DX22" s="40">
        <f t="shared" ca="1" si="126"/>
        <v>4776877.5841999929</v>
      </c>
      <c r="DY22" s="40">
        <f t="shared" ca="1" si="126"/>
        <v>4776877.5841999929</v>
      </c>
      <c r="DZ22" s="40">
        <f t="shared" ca="1" si="126"/>
        <v>4776877.5841999929</v>
      </c>
      <c r="EA22" s="40">
        <f t="shared" ca="1" si="126"/>
        <v>4776877.5841999929</v>
      </c>
      <c r="EB22" s="40">
        <f t="shared" ca="1" si="126"/>
        <v>4776877.5841999929</v>
      </c>
      <c r="EC22" s="40">
        <f t="shared" ca="1" si="126"/>
        <v>4776877.5841999929</v>
      </c>
      <c r="ED22" s="40">
        <f t="shared" ca="1" si="126"/>
        <v>4776877.5841999929</v>
      </c>
      <c r="EE22" s="40">
        <f t="shared" ca="1" si="126"/>
        <v>4776877.5841999929</v>
      </c>
      <c r="EF22" s="40">
        <f t="shared" ca="1" si="127"/>
        <v>4776877.5841999929</v>
      </c>
      <c r="EG22" s="40">
        <f t="shared" ca="1" si="127"/>
        <v>4776877.5841999929</v>
      </c>
      <c r="EH22" s="40">
        <f t="shared" ca="1" si="127"/>
        <v>4776877.5841999929</v>
      </c>
      <c r="EI22" s="40">
        <f t="shared" ca="1" si="127"/>
        <v>4776877.5841999929</v>
      </c>
      <c r="EJ22" s="40">
        <f t="shared" ca="1" si="127"/>
        <v>4776877.5841999929</v>
      </c>
      <c r="EK22" s="40">
        <f t="shared" ca="1" si="127"/>
        <v>4776877.5841999929</v>
      </c>
      <c r="EL22" s="40">
        <f t="shared" ca="1" si="127"/>
        <v>4776877.5841999929</v>
      </c>
      <c r="EM22" s="40">
        <f t="shared" ca="1" si="127"/>
        <v>4776877.5841999929</v>
      </c>
      <c r="EN22" s="40">
        <f t="shared" ca="1" si="127"/>
        <v>4776877.5841999929</v>
      </c>
      <c r="EO22" s="40">
        <f t="shared" ca="1" si="127"/>
        <v>4776877.5841999929</v>
      </c>
      <c r="EP22" s="40">
        <f t="shared" ca="1" si="127"/>
        <v>4776877.5841999929</v>
      </c>
      <c r="EQ22" s="40">
        <f t="shared" ca="1" si="127"/>
        <v>4776877.5841999929</v>
      </c>
      <c r="ER22" s="40">
        <f t="shared" ca="1" si="127"/>
        <v>4776877.5841999929</v>
      </c>
      <c r="ES22" s="40">
        <f t="shared" ca="1" si="127"/>
        <v>4776877.5841999929</v>
      </c>
      <c r="ET22" s="40">
        <f t="shared" ca="1" si="127"/>
        <v>4776877.5841999929</v>
      </c>
      <c r="EU22" s="40">
        <f t="shared" ca="1" si="127"/>
        <v>4776877.5841999929</v>
      </c>
      <c r="EV22" s="40">
        <f t="shared" ca="1" si="127"/>
        <v>4776877.5841999929</v>
      </c>
      <c r="EW22" s="40">
        <f t="shared" ca="1" si="127"/>
        <v>4776877.5841999929</v>
      </c>
      <c r="EX22" s="40">
        <f t="shared" ca="1" si="127"/>
        <v>4776877.5841999929</v>
      </c>
      <c r="EY22" s="40">
        <f t="shared" ca="1" si="127"/>
        <v>4776877.5841999929</v>
      </c>
      <c r="EZ22" s="40">
        <f t="shared" ca="1" si="127"/>
        <v>4776877.5841999929</v>
      </c>
      <c r="FA22" s="40">
        <f t="shared" ca="1" si="127"/>
        <v>4776877.5841999929</v>
      </c>
      <c r="FB22" s="40">
        <f t="shared" ca="1" si="127"/>
        <v>4776877.5841999929</v>
      </c>
      <c r="FC22" s="40">
        <f t="shared" ca="1" si="127"/>
        <v>4776877.5841999929</v>
      </c>
      <c r="FD22" s="40">
        <f t="shared" ca="1" si="127"/>
        <v>4776877.5841999929</v>
      </c>
      <c r="FE22" s="40">
        <f t="shared" ca="1" si="127"/>
        <v>4776877.5841999929</v>
      </c>
      <c r="FF22" s="40">
        <f t="shared" ca="1" si="127"/>
        <v>4776877.5841999929</v>
      </c>
      <c r="FG22" s="40">
        <f t="shared" ca="1" si="127"/>
        <v>4776877.5841999929</v>
      </c>
      <c r="FH22" s="40">
        <f t="shared" ca="1" si="127"/>
        <v>4776877.5841999929</v>
      </c>
      <c r="FI22" s="40">
        <f t="shared" ca="1" si="127"/>
        <v>4776877.5841999929</v>
      </c>
      <c r="FJ22" s="40">
        <f t="shared" ca="1" si="127"/>
        <v>4776877.5841999929</v>
      </c>
      <c r="FK22" s="40">
        <f t="shared" ca="1" si="127"/>
        <v>4776877.5841999929</v>
      </c>
      <c r="FL22" s="40">
        <f t="shared" ca="1" si="127"/>
        <v>4776877.5841999929</v>
      </c>
      <c r="FM22" s="40">
        <f t="shared" ca="1" si="127"/>
        <v>4776877.5841999929</v>
      </c>
      <c r="FN22" s="40">
        <f t="shared" ca="1" si="127"/>
        <v>4776877.5841999929</v>
      </c>
      <c r="FO22" s="40">
        <f t="shared" ca="1" si="127"/>
        <v>4776877.5841999929</v>
      </c>
      <c r="FP22" s="40">
        <f t="shared" ca="1" si="127"/>
        <v>4776877.5841999929</v>
      </c>
      <c r="FQ22" s="40">
        <f t="shared" ca="1" si="127"/>
        <v>4776877.5841999929</v>
      </c>
      <c r="FR22" s="40">
        <f t="shared" ca="1" si="127"/>
        <v>4776877.5841999929</v>
      </c>
      <c r="FS22" s="40">
        <f t="shared" ca="1" si="127"/>
        <v>4776877.5841999929</v>
      </c>
      <c r="FT22" s="40">
        <f t="shared" ca="1" si="127"/>
        <v>4776877.5841999929</v>
      </c>
      <c r="FU22" s="40">
        <f t="shared" ca="1" si="127"/>
        <v>4776877.5841999929</v>
      </c>
      <c r="FV22" s="40">
        <f t="shared" ca="1" si="127"/>
        <v>4776877.5841999929</v>
      </c>
      <c r="FW22" s="40">
        <f t="shared" ca="1" si="127"/>
        <v>4776877.5841999929</v>
      </c>
      <c r="FX22" s="40">
        <f t="shared" ca="1" si="127"/>
        <v>4776877.5841999929</v>
      </c>
      <c r="FY22" s="40">
        <f t="shared" ca="1" si="127"/>
        <v>4776877.5841999929</v>
      </c>
      <c r="FZ22" s="40">
        <f t="shared" ca="1" si="127"/>
        <v>4776877.5841999929</v>
      </c>
      <c r="GA22" s="40">
        <f t="shared" ca="1" si="127"/>
        <v>4776877.5841999929</v>
      </c>
      <c r="GB22" s="40">
        <f t="shared" ca="1" si="127"/>
        <v>4776877.5841999929</v>
      </c>
      <c r="GC22" s="40">
        <f t="shared" ca="1" si="127"/>
        <v>4776877.5841999929</v>
      </c>
      <c r="GD22" s="40">
        <f t="shared" ca="1" si="127"/>
        <v>4776877.5841999929</v>
      </c>
      <c r="GE22" s="40">
        <f t="shared" ca="1" si="127"/>
        <v>4776877.5841999929</v>
      </c>
      <c r="GF22" s="40">
        <f t="shared" ca="1" si="127"/>
        <v>4776877.5841999929</v>
      </c>
      <c r="GG22" s="40">
        <f t="shared" ca="1" si="127"/>
        <v>4776877.5841999929</v>
      </c>
      <c r="GH22" s="40">
        <f t="shared" ca="1" si="127"/>
        <v>4776877.5841999929</v>
      </c>
      <c r="GI22" s="40">
        <f t="shared" ca="1" si="127"/>
        <v>4776877.5841999929</v>
      </c>
      <c r="GJ22" s="40">
        <f t="shared" ca="1" si="127"/>
        <v>4776877.5841999929</v>
      </c>
      <c r="GK22" s="40">
        <f t="shared" ca="1" si="127"/>
        <v>4776877.5841999929</v>
      </c>
      <c r="GL22" s="40">
        <f t="shared" ca="1" si="127"/>
        <v>4776877.5841999929</v>
      </c>
      <c r="GM22" s="40">
        <f t="shared" ca="1" si="127"/>
        <v>4776877.5841999929</v>
      </c>
      <c r="GN22" s="40">
        <f t="shared" ca="1" si="127"/>
        <v>4776877.5841999929</v>
      </c>
      <c r="GO22" s="40">
        <f t="shared" ca="1" si="127"/>
        <v>4776877.5841999929</v>
      </c>
      <c r="GP22" s="40">
        <f t="shared" ca="1" si="127"/>
        <v>4776877.5841999929</v>
      </c>
      <c r="GQ22" s="40">
        <f t="shared" ca="1" si="127"/>
        <v>4776877.5841999929</v>
      </c>
      <c r="GR22" s="40">
        <f t="shared" ca="1" si="128"/>
        <v>4776877.5841999929</v>
      </c>
      <c r="GS22" s="40">
        <f t="shared" ca="1" si="128"/>
        <v>4776877.5841999929</v>
      </c>
      <c r="GT22" s="40">
        <f t="shared" ca="1" si="128"/>
        <v>4776877.5841999929</v>
      </c>
      <c r="GU22" s="40">
        <f t="shared" ca="1" si="128"/>
        <v>4776877.5841999929</v>
      </c>
      <c r="GV22" s="40">
        <f t="shared" ca="1" si="128"/>
        <v>4776877.5841999929</v>
      </c>
      <c r="GW22" s="40">
        <f t="shared" ca="1" si="128"/>
        <v>4776877.5841999929</v>
      </c>
      <c r="GX22" s="40">
        <f t="shared" ca="1" si="128"/>
        <v>4776877.5841999929</v>
      </c>
      <c r="GY22" s="40">
        <f t="shared" ca="1" si="128"/>
        <v>4776877.5841999929</v>
      </c>
      <c r="GZ22" s="40">
        <f t="shared" ca="1" si="128"/>
        <v>4776877.5841999929</v>
      </c>
      <c r="HA22" s="40">
        <f t="shared" ca="1" si="128"/>
        <v>4776877.5841999929</v>
      </c>
      <c r="HB22" s="40">
        <f t="shared" ca="1" si="128"/>
        <v>4776877.5841999929</v>
      </c>
      <c r="HC22" s="40">
        <f t="shared" ca="1" si="128"/>
        <v>4776877.5841999929</v>
      </c>
      <c r="HD22" s="40">
        <f t="shared" ca="1" si="128"/>
        <v>4776877.5841999929</v>
      </c>
      <c r="HE22" s="40">
        <f t="shared" ca="1" si="128"/>
        <v>4776877.5841999929</v>
      </c>
      <c r="HF22" s="40">
        <f t="shared" ca="1" si="128"/>
        <v>4776877.5841999929</v>
      </c>
      <c r="HG22" s="40">
        <f t="shared" ca="1" si="128"/>
        <v>4776877.5841999929</v>
      </c>
      <c r="HH22" s="40">
        <f t="shared" ca="1" si="128"/>
        <v>4776877.5841999929</v>
      </c>
      <c r="HI22" s="40">
        <f t="shared" ca="1" si="128"/>
        <v>4776877.5841999929</v>
      </c>
      <c r="HJ22" s="40">
        <f t="shared" ca="1" si="128"/>
        <v>4776877.5841999929</v>
      </c>
      <c r="HK22" s="40">
        <f t="shared" ca="1" si="128"/>
        <v>4776877.5841999929</v>
      </c>
      <c r="HL22" s="40">
        <f t="shared" ca="1" si="128"/>
        <v>4776877.5841999929</v>
      </c>
      <c r="HM22" s="40">
        <f t="shared" ca="1" si="128"/>
        <v>4776877.5841999929</v>
      </c>
      <c r="HN22" s="40">
        <f t="shared" ca="1" si="128"/>
        <v>4776877.5841999929</v>
      </c>
      <c r="HO22" s="40">
        <f t="shared" ca="1" si="128"/>
        <v>4776877.5841999929</v>
      </c>
      <c r="HP22" s="40">
        <f t="shared" ca="1" si="128"/>
        <v>4776877.5841999929</v>
      </c>
      <c r="HQ22" s="40">
        <f t="shared" ca="1" si="128"/>
        <v>4776877.5841999929</v>
      </c>
      <c r="HR22" s="40">
        <f t="shared" ca="1" si="128"/>
        <v>4776877.5841999929</v>
      </c>
      <c r="HS22" s="40">
        <f t="shared" ca="1" si="128"/>
        <v>4776877.5841999929</v>
      </c>
      <c r="HT22" s="40">
        <f t="shared" ca="1" si="128"/>
        <v>4776877.5841999929</v>
      </c>
      <c r="HU22" s="40">
        <f t="shared" ca="1" si="128"/>
        <v>4776877.5841999929</v>
      </c>
      <c r="HV22" s="40">
        <f t="shared" ca="1" si="128"/>
        <v>4776877.5841999929</v>
      </c>
      <c r="HW22" s="40">
        <f t="shared" ca="1" si="128"/>
        <v>4776877.5841999929</v>
      </c>
      <c r="HX22" s="40">
        <f t="shared" ca="1" si="128"/>
        <v>4776877.5841999929</v>
      </c>
      <c r="HY22" s="40">
        <f t="shared" ca="1" si="128"/>
        <v>4776877.5841999929</v>
      </c>
      <c r="HZ22" s="40">
        <f t="shared" ca="1" si="128"/>
        <v>4776877.5841999929</v>
      </c>
      <c r="IA22" s="40">
        <f t="shared" ca="1" si="128"/>
        <v>4776877.5841999929</v>
      </c>
      <c r="IB22" s="40">
        <f t="shared" ca="1" si="128"/>
        <v>4776877.5841999929</v>
      </c>
      <c r="IC22" s="40">
        <f t="shared" ca="1" si="128"/>
        <v>4776877.5841999929</v>
      </c>
      <c r="ID22" s="40">
        <f t="shared" ca="1" si="128"/>
        <v>4776877.5841999929</v>
      </c>
      <c r="IE22" s="40">
        <f t="shared" ca="1" si="128"/>
        <v>4776877.5841999929</v>
      </c>
      <c r="IF22" s="40">
        <f t="shared" ca="1" si="128"/>
        <v>4776877.5841999929</v>
      </c>
      <c r="IG22" s="40">
        <f t="shared" ca="1" si="128"/>
        <v>4776877.5841999929</v>
      </c>
      <c r="IH22" s="40">
        <f t="shared" ca="1" si="128"/>
        <v>4776877.5841999929</v>
      </c>
      <c r="II22" s="40">
        <f t="shared" ca="1" si="128"/>
        <v>4776877.5841999929</v>
      </c>
      <c r="IJ22" s="40">
        <f t="shared" ca="1" si="128"/>
        <v>4776877.5841999929</v>
      </c>
      <c r="IK22" s="40">
        <f t="shared" ca="1" si="128"/>
        <v>4776877.5841999929</v>
      </c>
      <c r="IL22" s="40">
        <f t="shared" ca="1" si="128"/>
        <v>4776877.5841999929</v>
      </c>
      <c r="IM22" s="40">
        <f t="shared" ca="1" si="128"/>
        <v>4776877.5841999929</v>
      </c>
      <c r="IN22" s="40">
        <f t="shared" ca="1" si="128"/>
        <v>4776877.5841999929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29"/>
        <v>20.406185000588678</v>
      </c>
      <c r="H23" s="40">
        <f t="shared" ref="H23:BS23" ca="1" si="130">H12*$C$15</f>
        <v>28.850123621521924</v>
      </c>
      <c r="I23" s="40">
        <f t="shared" ca="1" si="130"/>
        <v>36.414485302774622</v>
      </c>
      <c r="J23" s="40">
        <f t="shared" ca="1" si="130"/>
        <v>48.20081629449394</v>
      </c>
      <c r="K23" s="40">
        <f t="shared" ca="1" si="130"/>
        <v>56.644754915427185</v>
      </c>
      <c r="L23" s="40">
        <f t="shared" ca="1" si="130"/>
        <v>67.551508967465963</v>
      </c>
      <c r="M23" s="40">
        <f t="shared" ca="1" si="130"/>
        <v>80.745163062674166</v>
      </c>
      <c r="N23" s="40">
        <f t="shared" ca="1" si="130"/>
        <v>103.43824810643225</v>
      </c>
      <c r="O23" s="40">
        <f t="shared" ca="1" si="130"/>
        <v>140.55639496095131</v>
      </c>
      <c r="P23" s="40">
        <f t="shared" ca="1" si="130"/>
        <v>198.9603037557396</v>
      </c>
      <c r="Q23" s="40">
        <f t="shared" ca="1" si="130"/>
        <v>233.61563517915312</v>
      </c>
      <c r="R23" s="40">
        <f t="shared" ca="1" si="130"/>
        <v>223.58845806679489</v>
      </c>
      <c r="S23" s="40">
        <f t="shared" ca="1" si="130"/>
        <v>296.41742867234416</v>
      </c>
      <c r="T23" s="40">
        <f t="shared" ca="1" si="130"/>
        <v>403.90173070130692</v>
      </c>
      <c r="U23" s="40">
        <f t="shared" ca="1" si="130"/>
        <v>492.21125544523375</v>
      </c>
      <c r="V23" s="40">
        <f t="shared" ca="1" si="130"/>
        <v>611.1300576900436</v>
      </c>
      <c r="W23" s="40">
        <f t="shared" ca="1" si="130"/>
        <v>773.14812997920023</v>
      </c>
      <c r="X23" s="40">
        <f t="shared" ca="1" si="130"/>
        <v>868.4942702405715</v>
      </c>
      <c r="Y23" s="40">
        <f t="shared" ca="1" si="130"/>
        <v>999.37531886503677</v>
      </c>
      <c r="Z23" s="40">
        <f t="shared" ca="1" si="130"/>
        <v>1185.4937993014405</v>
      </c>
      <c r="AA23" s="40">
        <f t="shared" ca="1" si="130"/>
        <v>1357.8908794788276</v>
      </c>
      <c r="AB23" s="40">
        <f t="shared" ca="1" si="130"/>
        <v>1709.0179937993016</v>
      </c>
      <c r="AC23" s="40">
        <f t="shared" ca="1" si="130"/>
        <v>2166.2220870452497</v>
      </c>
      <c r="AD23" s="40">
        <f t="shared" ca="1" si="130"/>
        <v>2464.2227542090186</v>
      </c>
      <c r="AE23" s="40">
        <f t="shared" ca="1" si="130"/>
        <v>2702.4121894745108</v>
      </c>
      <c r="AF23" s="40">
        <f t="shared" ca="1" si="130"/>
        <v>3046.5026882775405</v>
      </c>
      <c r="AG23" s="40">
        <f t="shared" ca="1" si="130"/>
        <v>3368.2519328126846</v>
      </c>
      <c r="AH23" s="40">
        <f t="shared" ca="1" si="130"/>
        <v>4715.5527059377582</v>
      </c>
      <c r="AI23" s="40">
        <f t="shared" ca="1" si="130"/>
        <v>6601.7737883128602</v>
      </c>
      <c r="AJ23" s="40">
        <f t="shared" ca="1" si="130"/>
        <v>9242.4833036380041</v>
      </c>
      <c r="AK23" s="40">
        <f t="shared" ca="1" si="130"/>
        <v>12939.476625093203</v>
      </c>
      <c r="AL23" s="40">
        <f t="shared" ca="1" si="130"/>
        <v>18115.267275130485</v>
      </c>
      <c r="AM23" s="40">
        <f t="shared" ca="1" si="130"/>
        <v>25361.374185182678</v>
      </c>
      <c r="AN23" s="40">
        <f t="shared" ca="1" si="130"/>
        <v>35505.923859255745</v>
      </c>
      <c r="AO23" s="40">
        <f t="shared" ca="1" si="130"/>
        <v>49708.293402958036</v>
      </c>
      <c r="AP23" s="40">
        <f t="shared" ca="1" si="130"/>
        <v>69591.610764141253</v>
      </c>
      <c r="AQ23" s="40">
        <f t="shared" ca="1" si="130"/>
        <v>97428.255069797742</v>
      </c>
      <c r="AR23" s="40">
        <f t="shared" ca="1" si="130"/>
        <v>136399.55709771681</v>
      </c>
      <c r="AS23" s="40">
        <f t="shared" ca="1" si="130"/>
        <v>190959.37993680354</v>
      </c>
      <c r="AT23" s="40">
        <f t="shared" ca="1" si="130"/>
        <v>267343.13191152498</v>
      </c>
      <c r="AU23" s="40">
        <f t="shared" ca="1" si="130"/>
        <v>374280.38467613497</v>
      </c>
      <c r="AV23" s="40">
        <f t="shared" ca="1" si="130"/>
        <v>523992.53854658885</v>
      </c>
      <c r="AW23" s="40">
        <f t="shared" ca="1" si="130"/>
        <v>733589.55396522442</v>
      </c>
      <c r="AX23" s="40">
        <f t="shared" ca="1" si="130"/>
        <v>1027025.3755513141</v>
      </c>
      <c r="AY23" s="40">
        <f t="shared" ca="1" si="130"/>
        <v>1437835.5257718395</v>
      </c>
      <c r="AZ23" s="40">
        <f t="shared" ca="1" si="130"/>
        <v>2012969.7360805753</v>
      </c>
      <c r="BA23" s="40">
        <f t="shared" ca="1" si="130"/>
        <v>2818157.6305128052</v>
      </c>
      <c r="BB23" s="40">
        <f t="shared" ca="1" si="130"/>
        <v>3945420.6827179273</v>
      </c>
      <c r="BC23" s="40">
        <f t="shared" ca="1" si="130"/>
        <v>4776877.5841999929</v>
      </c>
      <c r="BD23" s="40">
        <f t="shared" ca="1" si="130"/>
        <v>4776877.5841999929</v>
      </c>
      <c r="BE23" s="40">
        <f t="shared" ca="1" si="130"/>
        <v>4776877.5841999929</v>
      </c>
      <c r="BF23" s="40">
        <f t="shared" ca="1" si="130"/>
        <v>4776877.5841999929</v>
      </c>
      <c r="BG23" s="40">
        <f t="shared" ca="1" si="130"/>
        <v>4776877.5841999929</v>
      </c>
      <c r="BH23" s="40">
        <f t="shared" ca="1" si="130"/>
        <v>4776877.5841999929</v>
      </c>
      <c r="BI23" s="40">
        <f t="shared" ca="1" si="130"/>
        <v>4776877.5841999929</v>
      </c>
      <c r="BJ23" s="40">
        <f t="shared" ca="1" si="130"/>
        <v>4776877.5841999929</v>
      </c>
      <c r="BK23" s="40">
        <f t="shared" ca="1" si="130"/>
        <v>4776877.5841999929</v>
      </c>
      <c r="BL23" s="40">
        <f t="shared" ca="1" si="130"/>
        <v>4776877.5841999929</v>
      </c>
      <c r="BM23" s="40">
        <f t="shared" ca="1" si="130"/>
        <v>4776877.5841999929</v>
      </c>
      <c r="BN23" s="40">
        <f t="shared" ca="1" si="130"/>
        <v>4776877.5841999929</v>
      </c>
      <c r="BO23" s="40">
        <f t="shared" ca="1" si="130"/>
        <v>4776877.5841999929</v>
      </c>
      <c r="BP23" s="40">
        <f t="shared" ca="1" si="130"/>
        <v>4776877.5841999929</v>
      </c>
      <c r="BQ23" s="40">
        <f t="shared" ca="1" si="130"/>
        <v>4776877.5841999929</v>
      </c>
      <c r="BR23" s="40">
        <f t="shared" ca="1" si="130"/>
        <v>4776877.5841999929</v>
      </c>
      <c r="BS23" s="40">
        <f t="shared" ca="1" si="130"/>
        <v>4776877.5841999929</v>
      </c>
      <c r="BT23" s="40">
        <f t="shared" ca="1" si="126"/>
        <v>4776877.5841999929</v>
      </c>
      <c r="BU23" s="40">
        <f t="shared" ca="1" si="126"/>
        <v>4776877.5841999929</v>
      </c>
      <c r="BV23" s="40">
        <f t="shared" ca="1" si="126"/>
        <v>4776877.5841999929</v>
      </c>
      <c r="BW23" s="40">
        <f t="shared" ca="1" si="126"/>
        <v>4776877.5841999929</v>
      </c>
      <c r="BX23" s="40">
        <f t="shared" ca="1" si="126"/>
        <v>4776877.5841999929</v>
      </c>
      <c r="BY23" s="40">
        <f t="shared" ca="1" si="126"/>
        <v>4776877.5841999929</v>
      </c>
      <c r="BZ23" s="40">
        <f t="shared" ca="1" si="126"/>
        <v>4776877.5841999929</v>
      </c>
      <c r="CA23" s="40">
        <f t="shared" ca="1" si="126"/>
        <v>4776877.5841999929</v>
      </c>
      <c r="CB23" s="40">
        <f t="shared" ca="1" si="126"/>
        <v>4776877.5841999929</v>
      </c>
      <c r="CC23" s="40">
        <f t="shared" ca="1" si="126"/>
        <v>4776877.5841999929</v>
      </c>
      <c r="CD23" s="40">
        <f t="shared" ca="1" si="126"/>
        <v>4776877.5841999929</v>
      </c>
      <c r="CE23" s="40">
        <f t="shared" ca="1" si="126"/>
        <v>4776877.5841999929</v>
      </c>
      <c r="CF23" s="40">
        <f t="shared" ca="1" si="126"/>
        <v>4776877.5841999929</v>
      </c>
      <c r="CG23" s="40">
        <f t="shared" ca="1" si="126"/>
        <v>4776877.5841999929</v>
      </c>
      <c r="CH23" s="40">
        <f t="shared" ca="1" si="126"/>
        <v>4776877.5841999929</v>
      </c>
      <c r="CI23" s="40">
        <f t="shared" ca="1" si="126"/>
        <v>4776877.5841999929</v>
      </c>
      <c r="CJ23" s="40">
        <f t="shared" ca="1" si="126"/>
        <v>4776877.5841999929</v>
      </c>
      <c r="CK23" s="40">
        <f t="shared" ca="1" si="126"/>
        <v>4776877.5841999929</v>
      </c>
      <c r="CL23" s="40">
        <f t="shared" ca="1" si="126"/>
        <v>4776877.5841999929</v>
      </c>
      <c r="CM23" s="40">
        <f t="shared" ca="1" si="126"/>
        <v>4776877.5841999929</v>
      </c>
      <c r="CN23" s="40">
        <f t="shared" ca="1" si="126"/>
        <v>4776877.5841999929</v>
      </c>
      <c r="CO23" s="40">
        <f t="shared" ca="1" si="126"/>
        <v>4776877.5841999929</v>
      </c>
      <c r="CP23" s="40">
        <f t="shared" ca="1" si="126"/>
        <v>4776877.5841999929</v>
      </c>
      <c r="CQ23" s="40">
        <f t="shared" ca="1" si="126"/>
        <v>4776877.5841999929</v>
      </c>
      <c r="CR23" s="40">
        <f t="shared" ca="1" si="126"/>
        <v>4776877.5841999929</v>
      </c>
      <c r="CS23" s="40">
        <f t="shared" ca="1" si="126"/>
        <v>4776877.5841999929</v>
      </c>
      <c r="CT23" s="40">
        <f t="shared" ca="1" si="126"/>
        <v>4776877.5841999929</v>
      </c>
      <c r="CU23" s="40">
        <f t="shared" ca="1" si="126"/>
        <v>4776877.5841999929</v>
      </c>
      <c r="CV23" s="40">
        <f t="shared" ca="1" si="126"/>
        <v>4776877.5841999929</v>
      </c>
      <c r="CW23" s="40">
        <f t="shared" ca="1" si="126"/>
        <v>4776877.5841999929</v>
      </c>
      <c r="CX23" s="40">
        <f t="shared" ca="1" si="126"/>
        <v>4776877.5841999929</v>
      </c>
      <c r="CY23" s="40">
        <f t="shared" ca="1" si="126"/>
        <v>4776877.5841999929</v>
      </c>
      <c r="CZ23" s="40">
        <f t="shared" ca="1" si="126"/>
        <v>4776877.5841999929</v>
      </c>
      <c r="DA23" s="40">
        <f t="shared" ca="1" si="126"/>
        <v>4776877.5841999929</v>
      </c>
      <c r="DB23" s="40">
        <f t="shared" ca="1" si="126"/>
        <v>4776877.5841999929</v>
      </c>
      <c r="DC23" s="40">
        <f t="shared" ca="1" si="126"/>
        <v>4776877.5841999929</v>
      </c>
      <c r="DD23" s="40">
        <f t="shared" ca="1" si="126"/>
        <v>4776877.5841999929</v>
      </c>
      <c r="DE23" s="40">
        <f t="shared" ca="1" si="126"/>
        <v>4776877.5841999929</v>
      </c>
      <c r="DF23" s="40">
        <f t="shared" ca="1" si="126"/>
        <v>4776877.5841999929</v>
      </c>
      <c r="DG23" s="40">
        <f t="shared" ca="1" si="126"/>
        <v>4776877.5841999929</v>
      </c>
      <c r="DH23" s="40">
        <f t="shared" ca="1" si="126"/>
        <v>4776877.5841999929</v>
      </c>
      <c r="DI23" s="40">
        <f t="shared" ca="1" si="126"/>
        <v>4776877.5841999929</v>
      </c>
      <c r="DJ23" s="40">
        <f t="shared" ca="1" si="126"/>
        <v>4776877.5841999929</v>
      </c>
      <c r="DK23" s="40">
        <f t="shared" ca="1" si="126"/>
        <v>4776877.5841999929</v>
      </c>
      <c r="DL23" s="40">
        <f t="shared" ca="1" si="126"/>
        <v>4776877.5841999929</v>
      </c>
      <c r="DM23" s="40">
        <f t="shared" ca="1" si="126"/>
        <v>4776877.5841999929</v>
      </c>
      <c r="DN23" s="40">
        <f t="shared" ca="1" si="126"/>
        <v>4776877.5841999929</v>
      </c>
      <c r="DO23" s="40">
        <f t="shared" ca="1" si="126"/>
        <v>4776877.5841999929</v>
      </c>
      <c r="DP23" s="40">
        <f t="shared" ca="1" si="126"/>
        <v>4776877.5841999929</v>
      </c>
      <c r="DQ23" s="40">
        <f t="shared" ca="1" si="126"/>
        <v>4776877.5841999929</v>
      </c>
      <c r="DR23" s="40">
        <f t="shared" ca="1" si="126"/>
        <v>4776877.5841999929</v>
      </c>
      <c r="DS23" s="40">
        <f t="shared" ca="1" si="126"/>
        <v>4776877.5841999929</v>
      </c>
      <c r="DT23" s="40">
        <f t="shared" ca="1" si="126"/>
        <v>4776877.5841999929</v>
      </c>
      <c r="DU23" s="40">
        <f t="shared" ca="1" si="126"/>
        <v>4776877.5841999929</v>
      </c>
      <c r="DV23" s="40">
        <f t="shared" ca="1" si="126"/>
        <v>4776877.5841999929</v>
      </c>
      <c r="DW23" s="40">
        <f t="shared" ca="1" si="126"/>
        <v>4776877.5841999929</v>
      </c>
      <c r="DX23" s="40">
        <f t="shared" ca="1" si="126"/>
        <v>4776877.5841999929</v>
      </c>
      <c r="DY23" s="40">
        <f t="shared" ca="1" si="126"/>
        <v>4776877.5841999929</v>
      </c>
      <c r="DZ23" s="40">
        <f t="shared" ca="1" si="126"/>
        <v>4776877.5841999929</v>
      </c>
      <c r="EA23" s="40">
        <f t="shared" ca="1" si="126"/>
        <v>4776877.5841999929</v>
      </c>
      <c r="EB23" s="40">
        <f t="shared" ca="1" si="126"/>
        <v>4776877.5841999929</v>
      </c>
      <c r="EC23" s="40">
        <f t="shared" ca="1" si="126"/>
        <v>4776877.5841999929</v>
      </c>
      <c r="ED23" s="40">
        <f t="shared" ca="1" si="126"/>
        <v>4776877.5841999929</v>
      </c>
      <c r="EE23" s="40">
        <f t="shared" ca="1" si="126"/>
        <v>4776877.5841999929</v>
      </c>
      <c r="EF23" s="40">
        <f t="shared" ca="1" si="127"/>
        <v>4776877.5841999929</v>
      </c>
      <c r="EG23" s="40">
        <f t="shared" ca="1" si="127"/>
        <v>4776877.5841999929</v>
      </c>
      <c r="EH23" s="40">
        <f t="shared" ca="1" si="127"/>
        <v>4776877.5841999929</v>
      </c>
      <c r="EI23" s="40">
        <f t="shared" ca="1" si="127"/>
        <v>4776877.5841999929</v>
      </c>
      <c r="EJ23" s="40">
        <f t="shared" ca="1" si="127"/>
        <v>4776877.5841999929</v>
      </c>
      <c r="EK23" s="40">
        <f t="shared" ca="1" si="127"/>
        <v>4776877.5841999929</v>
      </c>
      <c r="EL23" s="40">
        <f t="shared" ca="1" si="127"/>
        <v>4776877.5841999929</v>
      </c>
      <c r="EM23" s="40">
        <f t="shared" ca="1" si="127"/>
        <v>4776877.5841999929</v>
      </c>
      <c r="EN23" s="40">
        <f t="shared" ca="1" si="127"/>
        <v>4776877.5841999929</v>
      </c>
      <c r="EO23" s="40">
        <f t="shared" ca="1" si="127"/>
        <v>4776877.5841999929</v>
      </c>
      <c r="EP23" s="40">
        <f t="shared" ca="1" si="127"/>
        <v>4776877.5841999929</v>
      </c>
      <c r="EQ23" s="40">
        <f t="shared" ca="1" si="127"/>
        <v>4776877.5841999929</v>
      </c>
      <c r="ER23" s="40">
        <f t="shared" ca="1" si="127"/>
        <v>4776877.5841999929</v>
      </c>
      <c r="ES23" s="40">
        <f t="shared" ca="1" si="127"/>
        <v>4776877.5841999929</v>
      </c>
      <c r="ET23" s="40">
        <f t="shared" ca="1" si="127"/>
        <v>4776877.5841999929</v>
      </c>
      <c r="EU23" s="40">
        <f t="shared" ca="1" si="127"/>
        <v>4776877.5841999929</v>
      </c>
      <c r="EV23" s="40">
        <f t="shared" ca="1" si="127"/>
        <v>4776877.5841999929</v>
      </c>
      <c r="EW23" s="40">
        <f t="shared" ca="1" si="127"/>
        <v>4776877.5841999929</v>
      </c>
      <c r="EX23" s="40">
        <f t="shared" ca="1" si="127"/>
        <v>4776877.5841999929</v>
      </c>
      <c r="EY23" s="40">
        <f t="shared" ca="1" si="127"/>
        <v>4776877.5841999929</v>
      </c>
      <c r="EZ23" s="40">
        <f t="shared" ca="1" si="127"/>
        <v>4776877.5841999929</v>
      </c>
      <c r="FA23" s="40">
        <f t="shared" ca="1" si="127"/>
        <v>4776877.5841999929</v>
      </c>
      <c r="FB23" s="40">
        <f t="shared" ca="1" si="127"/>
        <v>4776877.5841999929</v>
      </c>
      <c r="FC23" s="40">
        <f t="shared" ca="1" si="127"/>
        <v>4776877.5841999929</v>
      </c>
      <c r="FD23" s="40">
        <f t="shared" ca="1" si="127"/>
        <v>4776877.5841999929</v>
      </c>
      <c r="FE23" s="40">
        <f t="shared" ca="1" si="127"/>
        <v>4776877.5841999929</v>
      </c>
      <c r="FF23" s="40">
        <f t="shared" ca="1" si="127"/>
        <v>4776877.5841999929</v>
      </c>
      <c r="FG23" s="40">
        <f t="shared" ca="1" si="127"/>
        <v>4776877.5841999929</v>
      </c>
      <c r="FH23" s="40">
        <f t="shared" ca="1" si="127"/>
        <v>4776877.5841999929</v>
      </c>
      <c r="FI23" s="40">
        <f t="shared" ca="1" si="127"/>
        <v>4776877.5841999929</v>
      </c>
      <c r="FJ23" s="40">
        <f t="shared" ca="1" si="127"/>
        <v>4776877.5841999929</v>
      </c>
      <c r="FK23" s="40">
        <f t="shared" ca="1" si="127"/>
        <v>4776877.5841999929</v>
      </c>
      <c r="FL23" s="40">
        <f t="shared" ca="1" si="127"/>
        <v>4776877.5841999929</v>
      </c>
      <c r="FM23" s="40">
        <f t="shared" ca="1" si="127"/>
        <v>4776877.5841999929</v>
      </c>
      <c r="FN23" s="40">
        <f t="shared" ca="1" si="127"/>
        <v>4776877.5841999929</v>
      </c>
      <c r="FO23" s="40">
        <f t="shared" ca="1" si="127"/>
        <v>4776877.5841999929</v>
      </c>
      <c r="FP23" s="40">
        <f t="shared" ca="1" si="127"/>
        <v>4776877.5841999929</v>
      </c>
      <c r="FQ23" s="40">
        <f t="shared" ca="1" si="127"/>
        <v>4776877.5841999929</v>
      </c>
      <c r="FR23" s="40">
        <f t="shared" ca="1" si="127"/>
        <v>4776877.5841999929</v>
      </c>
      <c r="FS23" s="40">
        <f t="shared" ca="1" si="127"/>
        <v>4776877.5841999929</v>
      </c>
      <c r="FT23" s="40">
        <f t="shared" ca="1" si="127"/>
        <v>4776877.5841999929</v>
      </c>
      <c r="FU23" s="40">
        <f t="shared" ca="1" si="127"/>
        <v>4776877.5841999929</v>
      </c>
      <c r="FV23" s="40">
        <f t="shared" ca="1" si="127"/>
        <v>4776877.5841999929</v>
      </c>
      <c r="FW23" s="40">
        <f t="shared" ca="1" si="127"/>
        <v>4776877.5841999929</v>
      </c>
      <c r="FX23" s="40">
        <f t="shared" ca="1" si="127"/>
        <v>4776877.5841999929</v>
      </c>
      <c r="FY23" s="40">
        <f t="shared" ca="1" si="127"/>
        <v>4776877.5841999929</v>
      </c>
      <c r="FZ23" s="40">
        <f t="shared" ca="1" si="127"/>
        <v>4776877.5841999929</v>
      </c>
      <c r="GA23" s="40">
        <f t="shared" ca="1" si="127"/>
        <v>4776877.5841999929</v>
      </c>
      <c r="GB23" s="40">
        <f t="shared" ca="1" si="127"/>
        <v>4776877.5841999929</v>
      </c>
      <c r="GC23" s="40">
        <f t="shared" ca="1" si="127"/>
        <v>4776877.5841999929</v>
      </c>
      <c r="GD23" s="40">
        <f t="shared" ca="1" si="127"/>
        <v>4776877.5841999929</v>
      </c>
      <c r="GE23" s="40">
        <f t="shared" ca="1" si="127"/>
        <v>4776877.5841999929</v>
      </c>
      <c r="GF23" s="40">
        <f t="shared" ca="1" si="127"/>
        <v>4776877.5841999929</v>
      </c>
      <c r="GG23" s="40">
        <f t="shared" ca="1" si="127"/>
        <v>4776877.5841999929</v>
      </c>
      <c r="GH23" s="40">
        <f t="shared" ca="1" si="127"/>
        <v>4776877.5841999929</v>
      </c>
      <c r="GI23" s="40">
        <f t="shared" ca="1" si="127"/>
        <v>4776877.5841999929</v>
      </c>
      <c r="GJ23" s="40">
        <f t="shared" ca="1" si="127"/>
        <v>4776877.5841999929</v>
      </c>
      <c r="GK23" s="40">
        <f t="shared" ca="1" si="127"/>
        <v>4776877.5841999929</v>
      </c>
      <c r="GL23" s="40">
        <f t="shared" ca="1" si="127"/>
        <v>4776877.5841999929</v>
      </c>
      <c r="GM23" s="40">
        <f t="shared" ca="1" si="127"/>
        <v>4776877.5841999929</v>
      </c>
      <c r="GN23" s="40">
        <f t="shared" ca="1" si="127"/>
        <v>4776877.5841999929</v>
      </c>
      <c r="GO23" s="40">
        <f t="shared" ca="1" si="127"/>
        <v>4776877.5841999929</v>
      </c>
      <c r="GP23" s="40">
        <f t="shared" ca="1" si="127"/>
        <v>4776877.5841999929</v>
      </c>
      <c r="GQ23" s="40">
        <f t="shared" ca="1" si="127"/>
        <v>4776877.5841999929</v>
      </c>
      <c r="GR23" s="40">
        <f t="shared" ca="1" si="128"/>
        <v>4776877.5841999929</v>
      </c>
      <c r="GS23" s="40">
        <f t="shared" ca="1" si="128"/>
        <v>4776877.5841999929</v>
      </c>
      <c r="GT23" s="40">
        <f t="shared" ca="1" si="128"/>
        <v>4776877.5841999929</v>
      </c>
      <c r="GU23" s="40">
        <f t="shared" ca="1" si="128"/>
        <v>4776877.5841999929</v>
      </c>
      <c r="GV23" s="40">
        <f t="shared" ca="1" si="128"/>
        <v>4776877.5841999929</v>
      </c>
      <c r="GW23" s="40">
        <f t="shared" ca="1" si="128"/>
        <v>4776877.5841999929</v>
      </c>
      <c r="GX23" s="40">
        <f t="shared" ca="1" si="128"/>
        <v>4776877.5841999929</v>
      </c>
      <c r="GY23" s="40">
        <f t="shared" ca="1" si="128"/>
        <v>4776877.5841999929</v>
      </c>
      <c r="GZ23" s="40">
        <f t="shared" ca="1" si="128"/>
        <v>4776877.5841999929</v>
      </c>
      <c r="HA23" s="40">
        <f t="shared" ca="1" si="128"/>
        <v>4776877.5841999929</v>
      </c>
      <c r="HB23" s="40">
        <f t="shared" ca="1" si="128"/>
        <v>4776877.5841999929</v>
      </c>
      <c r="HC23" s="40">
        <f t="shared" ca="1" si="128"/>
        <v>4776877.5841999929</v>
      </c>
      <c r="HD23" s="40">
        <f t="shared" ca="1" si="128"/>
        <v>4776877.5841999929</v>
      </c>
      <c r="HE23" s="40">
        <f t="shared" ca="1" si="128"/>
        <v>4776877.5841999929</v>
      </c>
      <c r="HF23" s="40">
        <f t="shared" ca="1" si="128"/>
        <v>4776877.5841999929</v>
      </c>
      <c r="HG23" s="40">
        <f t="shared" ca="1" si="128"/>
        <v>4776877.5841999929</v>
      </c>
      <c r="HH23" s="40">
        <f t="shared" ca="1" si="128"/>
        <v>4776877.5841999929</v>
      </c>
      <c r="HI23" s="40">
        <f t="shared" ca="1" si="128"/>
        <v>4776877.5841999929</v>
      </c>
      <c r="HJ23" s="40">
        <f t="shared" ca="1" si="128"/>
        <v>4776877.5841999929</v>
      </c>
      <c r="HK23" s="40">
        <f t="shared" ca="1" si="128"/>
        <v>4776877.5841999929</v>
      </c>
      <c r="HL23" s="40">
        <f t="shared" ca="1" si="128"/>
        <v>4776877.5841999929</v>
      </c>
      <c r="HM23" s="40">
        <f t="shared" ca="1" si="128"/>
        <v>4776877.5841999929</v>
      </c>
      <c r="HN23" s="40">
        <f t="shared" ca="1" si="128"/>
        <v>4776877.5841999929</v>
      </c>
      <c r="HO23" s="40">
        <f t="shared" ca="1" si="128"/>
        <v>4776877.5841999929</v>
      </c>
      <c r="HP23" s="40">
        <f t="shared" ca="1" si="128"/>
        <v>4776877.5841999929</v>
      </c>
      <c r="HQ23" s="40">
        <f t="shared" ca="1" si="128"/>
        <v>4776877.5841999929</v>
      </c>
      <c r="HR23" s="40">
        <f t="shared" ca="1" si="128"/>
        <v>4776877.5841999929</v>
      </c>
      <c r="HS23" s="40">
        <f t="shared" ca="1" si="128"/>
        <v>4776877.5841999929</v>
      </c>
      <c r="HT23" s="40">
        <f t="shared" ca="1" si="128"/>
        <v>4776877.5841999929</v>
      </c>
      <c r="HU23" s="40">
        <f t="shared" ca="1" si="128"/>
        <v>4776877.5841999929</v>
      </c>
      <c r="HV23" s="40">
        <f t="shared" ca="1" si="128"/>
        <v>4776877.5841999929</v>
      </c>
      <c r="HW23" s="40">
        <f t="shared" ca="1" si="128"/>
        <v>4776877.5841999929</v>
      </c>
      <c r="HX23" s="40">
        <f t="shared" ca="1" si="128"/>
        <v>4776877.5841999929</v>
      </c>
      <c r="HY23" s="40">
        <f t="shared" ca="1" si="128"/>
        <v>4776877.5841999929</v>
      </c>
      <c r="HZ23" s="40">
        <f t="shared" ca="1" si="128"/>
        <v>4776877.5841999929</v>
      </c>
      <c r="IA23" s="40">
        <f t="shared" ca="1" si="128"/>
        <v>4776877.5841999929</v>
      </c>
      <c r="IB23" s="40">
        <f t="shared" ca="1" si="128"/>
        <v>4776877.5841999929</v>
      </c>
      <c r="IC23" s="40">
        <f t="shared" ca="1" si="128"/>
        <v>4776877.5841999929</v>
      </c>
      <c r="ID23" s="40">
        <f t="shared" ca="1" si="128"/>
        <v>4776877.5841999929</v>
      </c>
      <c r="IE23" s="40">
        <f t="shared" ca="1" si="128"/>
        <v>4776877.5841999929</v>
      </c>
      <c r="IF23" s="40">
        <f t="shared" ca="1" si="128"/>
        <v>4776877.5841999929</v>
      </c>
      <c r="IG23" s="40">
        <f t="shared" ca="1" si="128"/>
        <v>4776877.5841999929</v>
      </c>
      <c r="IH23" s="40">
        <f t="shared" ca="1" si="128"/>
        <v>4776877.5841999929</v>
      </c>
      <c r="II23" s="40">
        <f t="shared" ca="1" si="128"/>
        <v>4776877.5841999929</v>
      </c>
      <c r="IJ23" s="40">
        <f t="shared" ca="1" si="128"/>
        <v>4776877.5841999929</v>
      </c>
      <c r="IK23" s="40">
        <f t="shared" ca="1" si="128"/>
        <v>4776877.5841999929</v>
      </c>
      <c r="IL23" s="40">
        <f t="shared" ca="1" si="128"/>
        <v>4776877.5841999929</v>
      </c>
      <c r="IM23" s="40">
        <f t="shared" ca="1" si="128"/>
        <v>4776877.5841999929</v>
      </c>
      <c r="IN23" s="40">
        <f t="shared" ca="1" si="128"/>
        <v>4776877.5841999929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1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0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1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38294</v>
      </c>
      <c r="D27" s="24">
        <f ca="1">IF(D31&lt;TODAY(),_xlfn.MAXIFS(G20:IN20,G4:IN4,"&lt;"&amp;C5+5),IF(D31="N/A",C16*1.5,_xlfn.MAXIFS(G20:IN20,G3:IN3,"&lt;"&amp;$D$31)*1.5))</f>
        <v>5894.2569656798751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1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1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43926</v>
      </c>
      <c r="D30" s="20">
        <f ca="1">IF(D31&lt;TODAY(),TODAY()+3+Projections!Z45,IFERROR(OFFSET(G26,-23,MATCH(1,G26:IN26,0))+3+Projections!Z45,xMax2+3+Projections!Z45))</f>
        <v>43927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43923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538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C1" zoomScale="94" workbookViewId="0">
      <selection activeCell="G3" sqref="G3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 t="shared" ref="G2:G33" si="8"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9">I3*1.3</f>
        <v>130</v>
      </c>
      <c r="K3" s="10">
        <f t="shared" si="9"/>
        <v>169</v>
      </c>
      <c r="L3" s="10">
        <f t="shared" si="9"/>
        <v>219.70000000000002</v>
      </c>
      <c r="M3" s="10">
        <f t="shared" si="9"/>
        <v>285.61</v>
      </c>
      <c r="N3" s="10">
        <f t="shared" si="9"/>
        <v>371.29300000000001</v>
      </c>
      <c r="O3" s="10">
        <f t="shared" si="9"/>
        <v>482.68090000000001</v>
      </c>
      <c r="P3" s="10">
        <f t="shared" si="9"/>
        <v>627.48517000000004</v>
      </c>
      <c r="Q3" s="10">
        <f t="shared" si="9"/>
        <v>815.73072100000013</v>
      </c>
      <c r="R3" s="10">
        <f t="shared" si="9"/>
        <v>1060.4499373000001</v>
      </c>
      <c r="S3" s="10">
        <f t="shared" si="9"/>
        <v>1378.5849184900003</v>
      </c>
      <c r="T3" s="10">
        <f t="shared" si="9"/>
        <v>1792.1603940370005</v>
      </c>
      <c r="U3" s="10">
        <f t="shared" si="9"/>
        <v>2329.8085122481007</v>
      </c>
      <c r="V3" s="10">
        <f t="shared" si="9"/>
        <v>3028.7510659225309</v>
      </c>
      <c r="W3" s="10">
        <f t="shared" si="9"/>
        <v>3937.37638569929</v>
      </c>
      <c r="X3" s="10">
        <f t="shared" si="9"/>
        <v>5118.5893014090771</v>
      </c>
      <c r="Y3" s="10">
        <f t="shared" si="9"/>
        <v>6654.1660918318003</v>
      </c>
      <c r="Z3" s="10">
        <f t="shared" si="9"/>
        <v>8650.4159193813412</v>
      </c>
      <c r="AA3" s="10">
        <f t="shared" si="9"/>
        <v>11245.540695195745</v>
      </c>
      <c r="AB3" s="10">
        <f t="shared" si="9"/>
        <v>14619.202903754469</v>
      </c>
      <c r="AC3" s="10">
        <f t="shared" si="9"/>
        <v>19004.963774880809</v>
      </c>
      <c r="AD3" s="10">
        <f t="shared" si="9"/>
        <v>24706.452907345054</v>
      </c>
      <c r="AE3" s="10">
        <f t="shared" si="9"/>
        <v>32118.388779548572</v>
      </c>
      <c r="AF3" s="10">
        <f t="shared" si="9"/>
        <v>41753.905413413144</v>
      </c>
      <c r="AG3" s="10">
        <f t="shared" si="9"/>
        <v>54280.077037437091</v>
      </c>
      <c r="AH3" s="10">
        <f t="shared" si="9"/>
        <v>70564.100148668222</v>
      </c>
      <c r="AI3" s="10">
        <f t="shared" si="9"/>
        <v>91733.330193268688</v>
      </c>
      <c r="AJ3" s="10">
        <f t="shared" si="9"/>
        <v>119253.32925124929</v>
      </c>
      <c r="AK3" s="10">
        <f t="shared" si="9"/>
        <v>155029.32802662408</v>
      </c>
      <c r="AL3" s="10">
        <f t="shared" si="9"/>
        <v>201538.1264346113</v>
      </c>
      <c r="AM3" s="10">
        <f t="shared" si="9"/>
        <v>261999.5643649947</v>
      </c>
      <c r="AN3" s="10">
        <f t="shared" si="9"/>
        <v>340599.43367449311</v>
      </c>
      <c r="AO3" s="10">
        <f t="shared" si="9"/>
        <v>442779.26377684105</v>
      </c>
      <c r="AP3" s="10">
        <f t="shared" ref="AP3:BH3" si="10">AO3*1.3</f>
        <v>575613.04290989344</v>
      </c>
      <c r="AQ3" s="10">
        <f t="shared" si="10"/>
        <v>748296.95578286145</v>
      </c>
      <c r="AR3" s="10">
        <f t="shared" si="10"/>
        <v>972786.04251771991</v>
      </c>
      <c r="AS3" s="10">
        <f t="shared" si="10"/>
        <v>1264621.8552730358</v>
      </c>
      <c r="AT3" s="10">
        <f t="shared" si="10"/>
        <v>1644008.4118549465</v>
      </c>
      <c r="AU3" s="10">
        <f t="shared" si="10"/>
        <v>2137210.9354114304</v>
      </c>
      <c r="AV3" s="10">
        <f t="shared" si="10"/>
        <v>2778374.2160348599</v>
      </c>
      <c r="AW3" s="10">
        <f t="shared" si="10"/>
        <v>3611886.4808453182</v>
      </c>
      <c r="AX3" s="10">
        <f t="shared" si="10"/>
        <v>4695452.4250989137</v>
      </c>
      <c r="AY3" s="10">
        <f t="shared" si="10"/>
        <v>6104088.1526285885</v>
      </c>
      <c r="AZ3" s="10">
        <f t="shared" si="10"/>
        <v>7935314.5984171657</v>
      </c>
      <c r="BA3" s="10">
        <f t="shared" si="10"/>
        <v>10315908.977942316</v>
      </c>
      <c r="BB3" s="10">
        <f t="shared" si="10"/>
        <v>13410681.671325011</v>
      </c>
      <c r="BC3" s="10">
        <f t="shared" si="10"/>
        <v>17433886.172722515</v>
      </c>
      <c r="BD3" s="10">
        <f t="shared" si="10"/>
        <v>22664052.02453927</v>
      </c>
      <c r="BE3" s="10">
        <f t="shared" si="10"/>
        <v>29463267.631901052</v>
      </c>
      <c r="BF3" s="10">
        <f t="shared" si="10"/>
        <v>38302247.921471372</v>
      </c>
      <c r="BG3" s="10">
        <f t="shared" si="10"/>
        <v>49792922.297912784</v>
      </c>
      <c r="BH3" s="10">
        <f t="shared" si="10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 t="shared" si="8"/>
        <v>1.2</v>
      </c>
      <c r="H4" s="15" t="s">
        <v>621</v>
      </c>
      <c r="I4" s="9">
        <v>100</v>
      </c>
      <c r="J4" s="10">
        <f t="shared" ref="J4:AO4" si="11">I4*1.2</f>
        <v>120</v>
      </c>
      <c r="K4" s="10">
        <f t="shared" si="11"/>
        <v>144</v>
      </c>
      <c r="L4" s="10">
        <f t="shared" si="11"/>
        <v>172.79999999999998</v>
      </c>
      <c r="M4" s="10">
        <f t="shared" si="11"/>
        <v>207.35999999999999</v>
      </c>
      <c r="N4" s="10">
        <f t="shared" si="11"/>
        <v>248.83199999999997</v>
      </c>
      <c r="O4" s="10">
        <f t="shared" si="11"/>
        <v>298.59839999999997</v>
      </c>
      <c r="P4" s="10">
        <f t="shared" si="11"/>
        <v>358.31807999999995</v>
      </c>
      <c r="Q4" s="10">
        <f t="shared" si="11"/>
        <v>429.98169599999994</v>
      </c>
      <c r="R4" s="10">
        <f t="shared" si="11"/>
        <v>515.97803519999991</v>
      </c>
      <c r="S4" s="10">
        <f t="shared" si="11"/>
        <v>619.17364223999982</v>
      </c>
      <c r="T4" s="10">
        <f t="shared" si="11"/>
        <v>743.00837068799979</v>
      </c>
      <c r="U4" s="10">
        <f t="shared" si="11"/>
        <v>891.61004482559974</v>
      </c>
      <c r="V4" s="10">
        <f t="shared" si="11"/>
        <v>1069.9320537907197</v>
      </c>
      <c r="W4" s="10">
        <f t="shared" si="11"/>
        <v>1283.9184645488635</v>
      </c>
      <c r="X4" s="10">
        <f t="shared" si="11"/>
        <v>1540.7021574586363</v>
      </c>
      <c r="Y4" s="10">
        <f t="shared" si="11"/>
        <v>1848.8425889503635</v>
      </c>
      <c r="Z4" s="10">
        <f t="shared" si="11"/>
        <v>2218.6111067404363</v>
      </c>
      <c r="AA4" s="10">
        <f t="shared" si="11"/>
        <v>2662.3333280885236</v>
      </c>
      <c r="AB4" s="10">
        <f t="shared" si="11"/>
        <v>3194.7999937062282</v>
      </c>
      <c r="AC4" s="10">
        <f t="shared" si="11"/>
        <v>3833.7599924474735</v>
      </c>
      <c r="AD4" s="10">
        <f t="shared" si="11"/>
        <v>4600.5119909369678</v>
      </c>
      <c r="AE4" s="10">
        <f t="shared" si="11"/>
        <v>5520.614389124361</v>
      </c>
      <c r="AF4" s="10">
        <f t="shared" si="11"/>
        <v>6624.7372669492333</v>
      </c>
      <c r="AG4" s="10">
        <f t="shared" si="11"/>
        <v>7949.6847203390798</v>
      </c>
      <c r="AH4" s="10">
        <f t="shared" si="11"/>
        <v>9539.6216644068954</v>
      </c>
      <c r="AI4" s="10">
        <f t="shared" si="11"/>
        <v>11447.545997288275</v>
      </c>
      <c r="AJ4" s="10">
        <f t="shared" si="11"/>
        <v>13737.055196745929</v>
      </c>
      <c r="AK4" s="10">
        <f t="shared" si="11"/>
        <v>16484.466236095115</v>
      </c>
      <c r="AL4" s="10">
        <f t="shared" si="11"/>
        <v>19781.359483314136</v>
      </c>
      <c r="AM4" s="10">
        <f t="shared" si="11"/>
        <v>23737.631379976963</v>
      </c>
      <c r="AN4" s="10">
        <f t="shared" si="11"/>
        <v>28485.157655972354</v>
      </c>
      <c r="AO4" s="10">
        <f t="shared" si="11"/>
        <v>34182.189187166827</v>
      </c>
      <c r="AP4" s="10">
        <f t="shared" ref="AP4:BH4" si="12">AO4*1.2</f>
        <v>41018.627024600188</v>
      </c>
      <c r="AQ4" s="10">
        <f t="shared" si="12"/>
        <v>49222.352429520222</v>
      </c>
      <c r="AR4" s="10">
        <f t="shared" si="12"/>
        <v>59066.822915424265</v>
      </c>
      <c r="AS4" s="10">
        <f t="shared" si="12"/>
        <v>70880.187498509113</v>
      </c>
      <c r="AT4" s="10">
        <f t="shared" si="12"/>
        <v>85056.224998210935</v>
      </c>
      <c r="AU4" s="10">
        <f t="shared" si="12"/>
        <v>102067.46999785311</v>
      </c>
      <c r="AV4" s="10">
        <f t="shared" si="12"/>
        <v>122480.96399742374</v>
      </c>
      <c r="AW4" s="10">
        <f t="shared" si="12"/>
        <v>146977.15679690847</v>
      </c>
      <c r="AX4" s="10">
        <f t="shared" si="12"/>
        <v>176372.58815629015</v>
      </c>
      <c r="AY4" s="10">
        <f t="shared" si="12"/>
        <v>211647.10578754818</v>
      </c>
      <c r="AZ4" s="10">
        <f t="shared" si="12"/>
        <v>253976.52694505779</v>
      </c>
      <c r="BA4" s="10">
        <f t="shared" si="12"/>
        <v>304771.83233406936</v>
      </c>
      <c r="BB4" s="10">
        <f t="shared" si="12"/>
        <v>365726.1988008832</v>
      </c>
      <c r="BC4" s="10">
        <f t="shared" si="12"/>
        <v>438871.43856105983</v>
      </c>
      <c r="BD4" s="10">
        <f t="shared" si="12"/>
        <v>526645.72627327172</v>
      </c>
      <c r="BE4" s="10">
        <f t="shared" si="12"/>
        <v>631974.87152792607</v>
      </c>
      <c r="BF4" s="10">
        <f t="shared" si="12"/>
        <v>758369.84583351121</v>
      </c>
      <c r="BG4" s="10">
        <f t="shared" si="12"/>
        <v>910043.81500021345</v>
      </c>
      <c r="BH4" s="10">
        <f t="shared" si="12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US</v>
      </c>
      <c r="D5" s="6">
        <f t="shared" ref="D5:D36" si="14">MAX(I5:JF5)</f>
        <v>188172</v>
      </c>
      <c r="E5" s="6">
        <f>IF(COUNTIF(I5:XFD5,"&gt;"&amp;0)=0,,HLOOKUP(COUNTIF(I5:XFD5,"&gt;"&amp;0)-1,I$1:XFD5,A5+1,FALSE))</f>
        <v>188172</v>
      </c>
      <c r="F5" s="7">
        <f>IF(COUNTIF(I5:XFD5,"&gt;"&amp;0)=0,,HLOOKUP(COUNTIF(I5:XFD5,"&gt;"&amp;0)-MIN($F$1+1,COUNTIF(I5:XFD5,"&gt;"&amp;0)),I$1:XFD5,A5+1,FALSE))</f>
        <v>83836</v>
      </c>
      <c r="G5" s="8">
        <f t="shared" si="8"/>
        <v>1.1755061087804621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si="13"/>
        <v>Italy</v>
      </c>
      <c r="D6" s="6">
        <f t="shared" si="14"/>
        <v>105792</v>
      </c>
      <c r="E6" s="6">
        <f>IF(COUNTIF(I6:XFD6,"&gt;"&amp;0)=0,,HLOOKUP(COUNTIF(I6:XFD6,"&gt;"&amp;0)-1,I$1:XFD6,A6+1,FALSE))</f>
        <v>105792</v>
      </c>
      <c r="F6" s="7">
        <f>IF(COUNTIF(I6:XFD6,"&gt;"&amp;0)=0,,HLOOKUP(COUNTIF(I6:XFD6,"&gt;"&amp;0)-MIN($F$1+1,COUNTIF(I6:XFD6,"&gt;"&amp;0)),I$1:XFD6,A6+1,FALSE))</f>
        <v>80589</v>
      </c>
      <c r="G6" s="8">
        <f t="shared" si="8"/>
        <v>1.0559306889704352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1</v>
      </c>
      <c r="C7" s="9" t="str">
        <f t="shared" si="13"/>
        <v>Spain</v>
      </c>
      <c r="D7" s="6">
        <f t="shared" si="14"/>
        <v>95923</v>
      </c>
      <c r="E7" s="6">
        <f>IF(COUNTIF(I7:XFD7,"&gt;"&amp;0)=0,,HLOOKUP(COUNTIF(I7:XFD7,"&gt;"&amp;0)-1,I$1:XFD7,A7+1,FALSE))</f>
        <v>95923</v>
      </c>
      <c r="F7" s="7">
        <f>IF(COUNTIF(I7:XFD7,"&gt;"&amp;0)=0,,HLOOKUP(COUNTIF(I7:XFD7,"&gt;"&amp;0)-MIN($F$1+1,COUNTIF(I7:XFD7,"&gt;"&amp;0)),I$1:XFD7,A7+1,FALSE))</f>
        <v>57786</v>
      </c>
      <c r="G7" s="8">
        <f t="shared" si="8"/>
        <v>1.1066748080416351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3"/>
        <v>China</v>
      </c>
      <c r="D8" s="6">
        <f t="shared" si="14"/>
        <v>82279</v>
      </c>
      <c r="E8" s="6">
        <f>IF(COUNTIF(I8:XFD8,"&gt;"&amp;0)=0,,HLOOKUP(COUNTIF(I8:XFD8,"&gt;"&amp;0)-1,I$1:XFD8,A8+1,FALSE))</f>
        <v>82279</v>
      </c>
      <c r="F8" s="7">
        <f>IF(COUNTIF(I8:XFD8,"&gt;"&amp;0)=0,,HLOOKUP(COUNTIF(I8:XFD8,"&gt;"&amp;0)-MIN($F$1+1,COUNTIF(I8:XFD8,"&gt;"&amp;0)),I$1:XFD8,A8+1,FALSE))</f>
        <v>81782</v>
      </c>
      <c r="G8" s="8">
        <f t="shared" si="8"/>
        <v>1.0012124825822808</v>
      </c>
      <c r="H8" s="13" t="s">
        <v>337</v>
      </c>
      <c r="I8" s="9">
        <v>548</v>
      </c>
      <c r="J8" s="9">
        <v>643</v>
      </c>
      <c r="K8" s="9">
        <v>920</v>
      </c>
      <c r="L8" s="9">
        <v>1406</v>
      </c>
      <c r="M8" s="9">
        <v>2075</v>
      </c>
      <c r="N8" s="9">
        <v>2877</v>
      </c>
      <c r="O8" s="9">
        <v>5509</v>
      </c>
      <c r="P8" s="9">
        <v>6087</v>
      </c>
      <c r="Q8" s="9">
        <v>8141</v>
      </c>
      <c r="R8" s="9">
        <v>9802</v>
      </c>
      <c r="S8" s="9">
        <v>11891</v>
      </c>
      <c r="T8" s="9">
        <v>16630</v>
      </c>
      <c r="U8" s="9">
        <v>19716</v>
      </c>
      <c r="V8" s="9">
        <v>23707</v>
      </c>
      <c r="W8" s="9">
        <v>27440</v>
      </c>
      <c r="X8" s="9">
        <v>30587</v>
      </c>
      <c r="Y8" s="9">
        <v>34110</v>
      </c>
      <c r="Z8" s="9">
        <v>36814</v>
      </c>
      <c r="AA8" s="9">
        <v>39829</v>
      </c>
      <c r="AB8" s="9">
        <v>42354</v>
      </c>
      <c r="AC8" s="9">
        <v>44386</v>
      </c>
      <c r="AD8" s="9">
        <v>50000</v>
      </c>
      <c r="AE8" s="9">
        <v>59895</v>
      </c>
      <c r="AF8" s="9">
        <v>66358</v>
      </c>
      <c r="AG8" s="9">
        <v>68413</v>
      </c>
      <c r="AH8" s="9">
        <v>70513</v>
      </c>
      <c r="AI8" s="9">
        <v>72434</v>
      </c>
      <c r="AJ8" s="9">
        <v>74211</v>
      </c>
      <c r="AK8" s="9">
        <v>74619</v>
      </c>
      <c r="AL8" s="9">
        <v>75077</v>
      </c>
      <c r="AM8" s="9">
        <v>75550</v>
      </c>
      <c r="AN8" s="9">
        <v>77001</v>
      </c>
      <c r="AO8" s="9">
        <v>77022</v>
      </c>
      <c r="AP8" s="9">
        <v>77241</v>
      </c>
      <c r="AQ8" s="9">
        <v>77754</v>
      </c>
      <c r="AR8" s="9">
        <v>78166</v>
      </c>
      <c r="AS8" s="9">
        <v>78600</v>
      </c>
      <c r="AT8" s="9">
        <v>78928</v>
      </c>
      <c r="AU8" s="9">
        <v>79356</v>
      </c>
      <c r="AV8" s="9">
        <v>79932</v>
      </c>
      <c r="AW8" s="9">
        <v>80136</v>
      </c>
      <c r="AX8" s="9">
        <v>80261</v>
      </c>
      <c r="AY8" s="9">
        <v>80386</v>
      </c>
      <c r="AZ8" s="9">
        <v>80537</v>
      </c>
      <c r="BA8" s="9">
        <v>80690</v>
      </c>
      <c r="BB8" s="9">
        <v>80770</v>
      </c>
      <c r="BC8" s="9">
        <v>80823</v>
      </c>
      <c r="BD8" s="9">
        <v>80860</v>
      </c>
      <c r="BE8" s="9">
        <v>80887</v>
      </c>
      <c r="BF8" s="9">
        <v>80921</v>
      </c>
      <c r="BG8" s="9">
        <v>80932</v>
      </c>
      <c r="BH8" s="9">
        <v>80945</v>
      </c>
      <c r="BI8" s="9">
        <v>80977</v>
      </c>
      <c r="BJ8" s="9">
        <v>81003</v>
      </c>
      <c r="BK8" s="9">
        <v>81033</v>
      </c>
      <c r="BL8" s="9">
        <v>81058</v>
      </c>
      <c r="BM8" s="9">
        <v>81102</v>
      </c>
      <c r="BN8" s="9">
        <v>81156</v>
      </c>
      <c r="BO8" s="9">
        <v>81250</v>
      </c>
      <c r="BP8" s="9">
        <v>81305</v>
      </c>
      <c r="BQ8" s="9">
        <v>81435</v>
      </c>
      <c r="BR8" s="9">
        <v>81498</v>
      </c>
      <c r="BS8" s="9">
        <v>81591</v>
      </c>
      <c r="BT8" s="9">
        <v>81661</v>
      </c>
      <c r="BU8" s="9">
        <v>81782</v>
      </c>
      <c r="BV8" s="9">
        <v>81897</v>
      </c>
      <c r="BW8" s="9">
        <v>81999</v>
      </c>
      <c r="BX8" s="9">
        <v>82122</v>
      </c>
      <c r="BY8" s="9">
        <v>82198</v>
      </c>
      <c r="BZ8" s="9">
        <v>82279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Germany</v>
      </c>
      <c r="D9" s="6">
        <f t="shared" si="14"/>
        <v>71808</v>
      </c>
      <c r="E9" s="6">
        <f>IF(COUNTIF(I9:XFD9,"&gt;"&amp;0)=0,,HLOOKUP(COUNTIF(I9:XFD9,"&gt;"&amp;0)-1,I$1:XFD9,A9+1,FALSE))</f>
        <v>71808</v>
      </c>
      <c r="F9" s="7">
        <f>IF(COUNTIF(I9:XFD9,"&gt;"&amp;0)=0,,HLOOKUP(COUNTIF(I9:XFD9,"&gt;"&amp;0)-MIN($F$1+1,COUNTIF(I9:XFD9,"&gt;"&amp;0)),I$1:XFD9,A9+1,FALSE))</f>
        <v>43938</v>
      </c>
      <c r="G9" s="8">
        <f t="shared" si="8"/>
        <v>1.1032311335527025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  <c r="AL9" s="9">
        <v>66885</v>
      </c>
      <c r="AM9" s="9">
        <v>71808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France</v>
      </c>
      <c r="D10" s="6">
        <f t="shared" si="14"/>
        <v>52827</v>
      </c>
      <c r="E10" s="6">
        <f>IF(COUNTIF(I10:XFD10,"&gt;"&amp;0)=0,,HLOOKUP(COUNTIF(I10:XFD10,"&gt;"&amp;0)-1,I$1:XFD10,A10+1,FALSE))</f>
        <v>52827</v>
      </c>
      <c r="F10" s="7">
        <f>IF(COUNTIF(I10:XFD10,"&gt;"&amp;0)=0,,HLOOKUP(COUNTIF(I10:XFD10,"&gt;"&amp;0)-MIN($F$1+1,COUNTIF(I10:XFD10,"&gt;"&amp;0)),I$1:XFD10,A10+1,FALSE))</f>
        <v>29551</v>
      </c>
      <c r="G10" s="8">
        <f t="shared" si="8"/>
        <v>1.1231991167097213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United Kingdom</v>
      </c>
      <c r="D11" s="6">
        <f t="shared" si="14"/>
        <v>25481</v>
      </c>
      <c r="E11" s="6">
        <f>IF(COUNTIF(I11:XFD11,"&gt;"&amp;0)=0,,HLOOKUP(COUNTIF(I11:XFD11,"&gt;"&amp;0)-1,I$1:XFD11,A11+1,FALSE))</f>
        <v>25481</v>
      </c>
      <c r="F11" s="7">
        <f>IF(COUNTIF(I11:XFD11,"&gt;"&amp;0)=0,,HLOOKUP(COUNTIF(I11:XFD11,"&gt;"&amp;0)-MIN($F$1+1,COUNTIF(I11:XFD11,"&gt;"&amp;0)),I$1:XFD11,A11+1,FALSE))</f>
        <v>11812</v>
      </c>
      <c r="G11" s="8">
        <f t="shared" si="8"/>
        <v>1.1662149539263729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0</v>
      </c>
      <c r="C12" s="9" t="str">
        <f t="shared" si="13"/>
        <v>World</v>
      </c>
      <c r="D12" s="6">
        <f t="shared" si="14"/>
        <v>854558</v>
      </c>
      <c r="E12" s="6">
        <f>IF(COUNTIF(I12:XFD12,"&gt;"&amp;0)=0,,HLOOKUP(COUNTIF(I12:XFD12,"&gt;"&amp;0)-1,I$1:XFD12,A12+1,FALSE))</f>
        <v>854558</v>
      </c>
      <c r="F12" s="7">
        <f>IF(COUNTIF(I12:XFD12,"&gt;"&amp;0)=0,,HLOOKUP(COUNTIF(I12:XFD12,"&gt;"&amp;0)-MIN($F$1+1,COUNTIF(I12:XFD12,"&gt;"&amp;0)),I$1:XFD12,A12+1,FALSE))</f>
        <v>527572</v>
      </c>
      <c r="G12" s="8">
        <f t="shared" si="8"/>
        <v>1.1012653153961487</v>
      </c>
      <c r="H12" s="13" t="s">
        <v>605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Europe</v>
      </c>
      <c r="D13" s="6">
        <f t="shared" si="14"/>
        <v>463747</v>
      </c>
      <c r="E13" s="6">
        <f>IF(COUNTIF(I13:XFD13,"&gt;"&amp;0)=0,,HLOOKUP(COUNTIF(I13:XFD13,"&gt;"&amp;0)-1,I$1:XFD13,A13+1,FALSE))</f>
        <v>463747</v>
      </c>
      <c r="F13" s="7">
        <f>IF(COUNTIF(I13:XFD13,"&gt;"&amp;0)=0,,HLOOKUP(COUNTIF(I13:XFD13,"&gt;"&amp;0)-MIN($F$1+1,COUNTIF(I13:XFD13,"&gt;"&amp;0)),I$1:XFD13,A13+1,FALSE))</f>
        <v>287075</v>
      </c>
      <c r="G13" s="8">
        <f t="shared" si="8"/>
        <v>1.1006700468382624</v>
      </c>
      <c r="H13" s="13" t="s">
        <v>608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North America</v>
      </c>
      <c r="D14" s="6">
        <f t="shared" si="14"/>
        <v>199550</v>
      </c>
      <c r="E14" s="6">
        <f>IF(COUNTIF(I14:XFD14,"&gt;"&amp;0)=0,,HLOOKUP(COUNTIF(I14:XFD14,"&gt;"&amp;0)-1,I$1:XFD14,A14+1,FALSE))</f>
        <v>199550</v>
      </c>
      <c r="F14" s="7">
        <f>IF(COUNTIF(I14:XFD14,"&gt;"&amp;0)=0,,HLOOKUP(COUNTIF(I14:XFD14,"&gt;"&amp;0)-MIN($F$1+1,COUNTIF(I14:XFD14,"&gt;"&amp;0)),I$1:XFD14,A14+1,FALSE))</f>
        <v>89242</v>
      </c>
      <c r="G14" s="8">
        <f t="shared" si="8"/>
        <v>1.1746175557440128</v>
      </c>
      <c r="H14" s="13" t="s">
        <v>610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Asia</v>
      </c>
      <c r="D15" s="6">
        <f t="shared" si="14"/>
        <v>110182</v>
      </c>
      <c r="E15" s="6">
        <f>IF(COUNTIF(I15:XFD15,"&gt;"&amp;0)=0,,HLOOKUP(COUNTIF(I15:XFD15,"&gt;"&amp;0)-1,I$1:XFD15,A15+1,FALSE))</f>
        <v>110182</v>
      </c>
      <c r="F15" s="7">
        <f>IF(COUNTIF(I15:XFD15,"&gt;"&amp;0)=0,,HLOOKUP(COUNTIF(I15:XFD15,"&gt;"&amp;0)-MIN($F$1+1,COUNTIF(I15:XFD15,"&gt;"&amp;0)),I$1:XFD15,A15+1,FALSE))</f>
        <v>101468</v>
      </c>
      <c r="G15" s="8">
        <f t="shared" si="8"/>
        <v>1.0166145244720224</v>
      </c>
      <c r="H15" s="13" t="s">
        <v>607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Middle East</v>
      </c>
      <c r="D16" s="6">
        <f t="shared" si="14"/>
        <v>55631</v>
      </c>
      <c r="E16" s="6">
        <f>IF(COUNTIF(I16:XFD16,"&gt;"&amp;0)=0,,HLOOKUP(COUNTIF(I16:XFD16,"&gt;"&amp;0)-1,I$1:XFD16,A16+1,FALSE))</f>
        <v>55631</v>
      </c>
      <c r="F16" s="7">
        <f>IF(COUNTIF(I16:XFD16,"&gt;"&amp;0)=0,,HLOOKUP(COUNTIF(I16:XFD16,"&gt;"&amp;0)-MIN($F$1+1,COUNTIF(I16:XFD16,"&gt;"&amp;0)),I$1:XFD16,A16+1,FALSE))</f>
        <v>35824</v>
      </c>
      <c r="G16" s="8">
        <f t="shared" si="8"/>
        <v>1.0920148847970048</v>
      </c>
      <c r="H16" s="13" t="s">
        <v>609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</row>
    <row r="17" spans="1:49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Iran</v>
      </c>
      <c r="D17" s="6">
        <f t="shared" si="14"/>
        <v>44605</v>
      </c>
      <c r="E17" s="6">
        <f>IF(COUNTIF(I17:XFD17,"&gt;"&amp;0)=0,,HLOOKUP(COUNTIF(I17:XFD17,"&gt;"&amp;0)-1,I$1:XFD17,A17+1,FALSE))</f>
        <v>44605</v>
      </c>
      <c r="F17" s="7">
        <f>IF(COUNTIF(I17:XFD17,"&gt;"&amp;0)=0,,HLOOKUP(COUNTIF(I17:XFD17,"&gt;"&amp;0)-MIN($F$1+1,COUNTIF(I17:XFD17,"&gt;"&amp;0)),I$1:XFD17,A17+1,FALSE))</f>
        <v>29406</v>
      </c>
      <c r="G17" s="8">
        <f t="shared" si="8"/>
        <v>1.0868998233299105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</row>
    <row r="18" spans="1:49" x14ac:dyDescent="0.25">
      <c r="A18" s="9">
        <f t="shared" si="7"/>
        <v>17</v>
      </c>
      <c r="B18" s="9">
        <f t="array" ref="B18">IF(C18="",0,IF(OR(C18=Country_Comparison!$S$10:$S$29),1,0))</f>
        <v>0</v>
      </c>
      <c r="C18" s="9" t="str">
        <f t="shared" si="13"/>
        <v>Switzerland</v>
      </c>
      <c r="D18" s="6">
        <f t="shared" si="14"/>
        <v>16605</v>
      </c>
      <c r="E18" s="6">
        <f>IF(COUNTIF(I18:XFD18,"&gt;"&amp;0)=0,,HLOOKUP(COUNTIF(I18:XFD18,"&gt;"&amp;0)-1,I$1:XFD18,A18+1,FALSE))</f>
        <v>16605</v>
      </c>
      <c r="F18" s="7">
        <f>IF(COUNTIF(I18:XFD18,"&gt;"&amp;0)=0,,HLOOKUP(COUNTIF(I18:XFD18,"&gt;"&amp;0)-MIN($F$1+1,COUNTIF(I18:XFD18,"&gt;"&amp;0)),I$1:XFD18,A18+1,FALSE))</f>
        <v>11811</v>
      </c>
      <c r="G18" s="8">
        <f t="shared" si="8"/>
        <v>1.0705092938988934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  <c r="AH18" s="9">
        <v>15922</v>
      </c>
      <c r="AI18" s="9">
        <v>16605</v>
      </c>
    </row>
    <row r="19" spans="1:49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South America</v>
      </c>
      <c r="D19" s="6">
        <f t="shared" si="14"/>
        <v>15263</v>
      </c>
      <c r="E19" s="6">
        <f>IF(COUNTIF(I19:XFD19,"&gt;"&amp;0)=0,,HLOOKUP(COUNTIF(I19:XFD19,"&gt;"&amp;0)-1,I$1:XFD19,A19+1,FALSE))</f>
        <v>15263</v>
      </c>
      <c r="F19" s="7">
        <f>IF(COUNTIF(I19:XFD19,"&gt;"&amp;0)=0,,HLOOKUP(COUNTIF(I19:XFD19,"&gt;"&amp;0)-MIN($F$1+1,COUNTIF(I19:XFD19,"&gt;"&amp;0)),I$1:XFD19,A19+1,FALSE))</f>
        <v>7992</v>
      </c>
      <c r="G19" s="8">
        <f t="shared" si="8"/>
        <v>1.1381431418771342</v>
      </c>
      <c r="H19" s="13" t="s">
        <v>611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</row>
    <row r="20" spans="1:49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Turkey</v>
      </c>
      <c r="D20" s="6">
        <f t="shared" si="14"/>
        <v>13531</v>
      </c>
      <c r="E20" s="6">
        <f>IF(COUNTIF(I20:XFD20,"&gt;"&amp;0)=0,,HLOOKUP(COUNTIF(I20:XFD20,"&gt;"&amp;0)-1,I$1:XFD20,A20+1,FALSE))</f>
        <v>13531</v>
      </c>
      <c r="F20" s="7">
        <f>IF(COUNTIF(I20:XFD20,"&gt;"&amp;0)=0,,HLOOKUP(COUNTIF(I20:XFD20,"&gt;"&amp;0)-MIN($F$1+1,COUNTIF(I20:XFD20,"&gt;"&amp;0)),I$1:XFD20,A20+1,FALSE))</f>
        <v>3629</v>
      </c>
      <c r="G20" s="8">
        <f t="shared" si="8"/>
        <v>1.3010937335048101</v>
      </c>
      <c r="H20" s="13" t="s">
        <v>355</v>
      </c>
      <c r="I20" s="9">
        <v>192</v>
      </c>
      <c r="J20" s="9">
        <v>359</v>
      </c>
      <c r="K20" s="9">
        <v>670</v>
      </c>
      <c r="L20" s="9">
        <v>1236</v>
      </c>
      <c r="M20" s="9">
        <v>1529</v>
      </c>
      <c r="N20" s="9">
        <v>1872</v>
      </c>
      <c r="O20" s="9">
        <v>2433</v>
      </c>
      <c r="P20" s="9">
        <v>3629</v>
      </c>
      <c r="Q20" s="9">
        <v>5698</v>
      </c>
      <c r="R20" s="9">
        <v>7402</v>
      </c>
      <c r="S20" s="9">
        <v>9217</v>
      </c>
      <c r="T20" s="9">
        <v>10827</v>
      </c>
      <c r="U20" s="9">
        <v>13531</v>
      </c>
    </row>
    <row r="21" spans="1:49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12775</v>
      </c>
      <c r="E21" s="6">
        <f>IF(COUNTIF(I21:XFD21,"&gt;"&amp;0)=0,,HLOOKUP(COUNTIF(I21:XFD21,"&gt;"&amp;0)-1,I$1:XFD21,A21+1,FALSE))</f>
        <v>12775</v>
      </c>
      <c r="F21" s="7">
        <f>IF(COUNTIF(I21:XFD21,"&gt;"&amp;0)=0,,HLOOKUP(COUNTIF(I21:XFD21,"&gt;"&amp;0)-MIN($F$1+1,COUNTIF(I21:XFD21,"&gt;"&amp;0)),I$1:XFD21,A21+1,FALSE))</f>
        <v>6235</v>
      </c>
      <c r="G21" s="8">
        <f t="shared" si="8"/>
        <v>1.1542633074094846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</row>
    <row r="22" spans="1:49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Netherlands</v>
      </c>
      <c r="D22" s="6">
        <f t="shared" si="14"/>
        <v>12667</v>
      </c>
      <c r="E22" s="6">
        <f>IF(COUNTIF(I22:XFD22,"&gt;"&amp;0)=0,,HLOOKUP(COUNTIF(I22:XFD22,"&gt;"&amp;0)-1,I$1:XFD22,A22+1,FALSE))</f>
        <v>12667</v>
      </c>
      <c r="F22" s="7">
        <f>IF(COUNTIF(I22:XFD22,"&gt;"&amp;0)=0,,HLOOKUP(COUNTIF(I22:XFD22,"&gt;"&amp;0)-MIN($F$1+1,COUNTIF(I22:XFD22,"&gt;"&amp;0)),I$1:XFD22,A22+1,FALSE))</f>
        <v>7468</v>
      </c>
      <c r="G22" s="8">
        <f t="shared" si="8"/>
        <v>1.1114601398152972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</row>
    <row r="23" spans="1:49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Austria</v>
      </c>
      <c r="D23" s="6">
        <f t="shared" si="14"/>
        <v>10180</v>
      </c>
      <c r="E23" s="6">
        <f>IF(COUNTIF(I23:XFD23,"&gt;"&amp;0)=0,,HLOOKUP(COUNTIF(I23:XFD23,"&gt;"&amp;0)-1,I$1:XFD23,A23+1,FALSE))</f>
        <v>10180</v>
      </c>
      <c r="F23" s="7">
        <f>IF(COUNTIF(I23:XFD23,"&gt;"&amp;0)=0,,HLOOKUP(COUNTIF(I23:XFD23,"&gt;"&amp;0)-MIN($F$1+1,COUNTIF(I23:XFD23,"&gt;"&amp;0)),I$1:XFD23,A23+1,FALSE))</f>
        <v>6909</v>
      </c>
      <c r="G23" s="8">
        <f t="shared" si="8"/>
        <v>1.0806038662805943</v>
      </c>
      <c r="H23" s="13" t="s">
        <v>78</v>
      </c>
      <c r="I23" s="9">
        <v>104</v>
      </c>
      <c r="J23" s="9">
        <v>131</v>
      </c>
      <c r="K23" s="9">
        <v>182</v>
      </c>
      <c r="L23" s="9">
        <v>246</v>
      </c>
      <c r="M23" s="9">
        <v>302</v>
      </c>
      <c r="N23" s="9">
        <v>504</v>
      </c>
      <c r="O23" s="9">
        <v>655</v>
      </c>
      <c r="P23" s="9">
        <v>860</v>
      </c>
      <c r="Q23" s="9">
        <v>1018</v>
      </c>
      <c r="R23" s="9">
        <v>1332</v>
      </c>
      <c r="S23" s="9">
        <v>1646</v>
      </c>
      <c r="T23" s="9">
        <v>2013</v>
      </c>
      <c r="U23" s="9">
        <v>2388</v>
      </c>
      <c r="V23" s="9">
        <v>2814</v>
      </c>
      <c r="W23" s="9">
        <v>3582</v>
      </c>
      <c r="X23" s="9">
        <v>4474</v>
      </c>
      <c r="Y23" s="9">
        <v>5283</v>
      </c>
      <c r="Z23" s="9">
        <v>5588</v>
      </c>
      <c r="AA23" s="9">
        <v>6909</v>
      </c>
      <c r="AB23" s="9">
        <v>7657</v>
      </c>
      <c r="AC23" s="9">
        <v>8271</v>
      </c>
      <c r="AD23" s="9">
        <v>8788</v>
      </c>
      <c r="AE23" s="9">
        <v>9618</v>
      </c>
      <c r="AF23" s="9">
        <v>10180</v>
      </c>
    </row>
    <row r="24" spans="1:49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Korea, South</v>
      </c>
      <c r="D24" s="6">
        <f t="shared" si="14"/>
        <v>9786</v>
      </c>
      <c r="E24" s="6">
        <f>IF(COUNTIF(I24:XFD24,"&gt;"&amp;0)=0,,HLOOKUP(COUNTIF(I24:XFD24,"&gt;"&amp;0)-1,I$1:XFD24,A24+1,FALSE))</f>
        <v>9786</v>
      </c>
      <c r="F24" s="7">
        <f>IF(COUNTIF(I24:XFD24,"&gt;"&amp;0)=0,,HLOOKUP(COUNTIF(I24:XFD24,"&gt;"&amp;0)-MIN($F$1+1,COUNTIF(I24:XFD24,"&gt;"&amp;0)),I$1:XFD24,A24+1,FALSE))</f>
        <v>9241</v>
      </c>
      <c r="G24" s="8">
        <f t="shared" si="8"/>
        <v>1.0115264611522676</v>
      </c>
      <c r="H24" s="13" t="s">
        <v>339</v>
      </c>
      <c r="I24" s="9">
        <v>104</v>
      </c>
      <c r="J24" s="9">
        <v>204</v>
      </c>
      <c r="K24" s="9">
        <v>433</v>
      </c>
      <c r="L24" s="9">
        <v>602</v>
      </c>
      <c r="M24" s="9">
        <v>833</v>
      </c>
      <c r="N24" s="9">
        <v>977</v>
      </c>
      <c r="O24" s="9">
        <v>1261</v>
      </c>
      <c r="P24" s="9">
        <v>1766</v>
      </c>
      <c r="Q24" s="9">
        <v>2337</v>
      </c>
      <c r="R24" s="9">
        <v>3150</v>
      </c>
      <c r="S24" s="9">
        <v>3736</v>
      </c>
      <c r="T24" s="9">
        <v>4335</v>
      </c>
      <c r="U24" s="9">
        <v>5186</v>
      </c>
      <c r="V24" s="9">
        <v>5621</v>
      </c>
      <c r="W24" s="9">
        <v>6088</v>
      </c>
      <c r="X24" s="9">
        <v>6593</v>
      </c>
      <c r="Y24" s="9">
        <v>7041</v>
      </c>
      <c r="Z24" s="9">
        <v>7314</v>
      </c>
      <c r="AA24" s="9">
        <v>7478</v>
      </c>
      <c r="AB24" s="9">
        <v>7513</v>
      </c>
      <c r="AC24" s="9">
        <v>7755</v>
      </c>
      <c r="AD24" s="9">
        <v>7869</v>
      </c>
      <c r="AE24" s="9">
        <v>7979</v>
      </c>
      <c r="AF24" s="9">
        <v>8086</v>
      </c>
      <c r="AG24" s="9">
        <v>8162</v>
      </c>
      <c r="AH24" s="9">
        <v>8236</v>
      </c>
      <c r="AI24" s="9">
        <v>8320</v>
      </c>
      <c r="AJ24" s="9">
        <v>8413</v>
      </c>
      <c r="AK24" s="9">
        <v>8565</v>
      </c>
      <c r="AL24" s="9">
        <v>8652</v>
      </c>
      <c r="AM24" s="9">
        <v>8799</v>
      </c>
      <c r="AN24" s="9">
        <v>8961</v>
      </c>
      <c r="AO24" s="9">
        <v>8961</v>
      </c>
      <c r="AP24" s="9">
        <v>9037</v>
      </c>
      <c r="AQ24" s="9">
        <v>9137</v>
      </c>
      <c r="AR24" s="9">
        <v>9241</v>
      </c>
      <c r="AS24" s="9">
        <v>9332</v>
      </c>
      <c r="AT24" s="9">
        <v>9478</v>
      </c>
      <c r="AU24" s="9">
        <v>9583</v>
      </c>
      <c r="AV24" s="9">
        <v>9661</v>
      </c>
      <c r="AW24" s="9">
        <v>9786</v>
      </c>
    </row>
    <row r="25" spans="1:49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Canada</v>
      </c>
      <c r="D25" s="6">
        <f t="shared" si="14"/>
        <v>8527</v>
      </c>
      <c r="E25" s="6">
        <f>IF(COUNTIF(I25:XFD25,"&gt;"&amp;0)=0,,HLOOKUP(COUNTIF(I25:XFD25,"&gt;"&amp;0)-1,I$1:XFD25,A25+1,FALSE))</f>
        <v>8527</v>
      </c>
      <c r="F25" s="7">
        <f>IF(COUNTIF(I25:XFD25,"&gt;"&amp;0)=0,,HLOOKUP(COUNTIF(I25:XFD25,"&gt;"&amp;0)-MIN($F$1+1,COUNTIF(I25:XFD25,"&gt;"&amp;0)),I$1:XFD25,A25+1,FALSE))</f>
        <v>4042</v>
      </c>
      <c r="G25" s="8">
        <f t="shared" si="8"/>
        <v>1.1610207744696357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  <c r="AB25" s="9">
        <v>7398</v>
      </c>
      <c r="AC25" s="9">
        <v>8527</v>
      </c>
    </row>
    <row r="26" spans="1:49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Portugal</v>
      </c>
      <c r="D26" s="6">
        <f t="shared" si="14"/>
        <v>7443</v>
      </c>
      <c r="E26" s="6">
        <f>IF(COUNTIF(I26:XFD26,"&gt;"&amp;0)=0,,HLOOKUP(COUNTIF(I26:XFD26,"&gt;"&amp;0)-1,I$1:XFD26,A26+1,FALSE))</f>
        <v>7443</v>
      </c>
      <c r="F26" s="7">
        <f>IF(COUNTIF(I26:XFD26,"&gt;"&amp;0)=0,,HLOOKUP(COUNTIF(I26:XFD26,"&gt;"&amp;0)-MIN($F$1+1,COUNTIF(I26:XFD26,"&gt;"&amp;0)),I$1:XFD26,A26+1,FALSE))</f>
        <v>3544</v>
      </c>
      <c r="G26" s="8">
        <f t="shared" si="8"/>
        <v>1.1599809610863521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</row>
    <row r="27" spans="1:49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Brazil</v>
      </c>
      <c r="D27" s="6">
        <f t="shared" si="14"/>
        <v>5717</v>
      </c>
      <c r="E27" s="6">
        <f>IF(COUNTIF(I27:XFD27,"&gt;"&amp;0)=0,,HLOOKUP(COUNTIF(I27:XFD27,"&gt;"&amp;0)-1,I$1:XFD27,A27+1,FALSE))</f>
        <v>5717</v>
      </c>
      <c r="F27" s="7">
        <f>IF(COUNTIF(I27:XFD27,"&gt;"&amp;0)=0,,HLOOKUP(COUNTIF(I27:XFD27,"&gt;"&amp;0)-MIN($F$1+1,COUNTIF(I27:XFD27,"&gt;"&amp;0)),I$1:XFD27,A27+1,FALSE))</f>
        <v>2985</v>
      </c>
      <c r="G27" s="8">
        <f t="shared" si="8"/>
        <v>1.1387929538855071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</row>
    <row r="28" spans="1:49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Israel</v>
      </c>
      <c r="D28" s="6">
        <f t="shared" si="14"/>
        <v>5358</v>
      </c>
      <c r="E28" s="6">
        <f>IF(COUNTIF(I28:XFD28,"&gt;"&amp;0)=0,,HLOOKUP(COUNTIF(I28:XFD28,"&gt;"&amp;0)-1,I$1:XFD28,A28+1,FALSE))</f>
        <v>5358</v>
      </c>
      <c r="F28" s="7">
        <f>IF(COUNTIF(I28:XFD28,"&gt;"&amp;0)=0,,HLOOKUP(COUNTIF(I28:XFD28,"&gt;"&amp;0)-MIN($F$1+1,COUNTIF(I28:XFD28,"&gt;"&amp;0)),I$1:XFD28,A28+1,FALSE))</f>
        <v>2693</v>
      </c>
      <c r="G28" s="8">
        <f t="shared" si="8"/>
        <v>1.1475015244616795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</row>
    <row r="29" spans="1:49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Africa</v>
      </c>
      <c r="D29" s="6">
        <f t="shared" si="14"/>
        <v>4979</v>
      </c>
      <c r="E29" s="6">
        <f>IF(COUNTIF(I29:XFD29,"&gt;"&amp;0)=0,,HLOOKUP(COUNTIF(I29:XFD29,"&gt;"&amp;0)-1,I$1:XFD29,A29+1,FALSE))</f>
        <v>4979</v>
      </c>
      <c r="F29" s="7">
        <f>IF(COUNTIF(I29:XFD29,"&gt;"&amp;0)=0,,HLOOKUP(COUNTIF(I29:XFD29,"&gt;"&amp;0)-MIN($F$1+1,COUNTIF(I29:XFD29,"&gt;"&amp;0)),I$1:XFD29,A29+1,FALSE))</f>
        <v>2878</v>
      </c>
      <c r="G29" s="8">
        <f t="shared" si="8"/>
        <v>1.1158614325172049</v>
      </c>
      <c r="H29" s="13" t="s">
        <v>612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</row>
    <row r="30" spans="1:49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Norway</v>
      </c>
      <c r="D30" s="6">
        <f t="shared" si="14"/>
        <v>4641</v>
      </c>
      <c r="E30" s="6">
        <f>IF(COUNTIF(I30:XFD30,"&gt;"&amp;0)=0,,HLOOKUP(COUNTIF(I30:XFD30,"&gt;"&amp;0)-1,I$1:XFD30,A30+1,FALSE))</f>
        <v>4641</v>
      </c>
      <c r="F30" s="7">
        <f>IF(COUNTIF(I30:XFD30,"&gt;"&amp;0)=0,,HLOOKUP(COUNTIF(I30:XFD30,"&gt;"&amp;0)-MIN($F$1+1,COUNTIF(I30:XFD30,"&gt;"&amp;0)),I$1:XFD30,A30+1,FALSE))</f>
        <v>3369</v>
      </c>
      <c r="G30" s="8">
        <f t="shared" si="8"/>
        <v>1.0661593292550624</v>
      </c>
      <c r="H30" s="13" t="s">
        <v>85</v>
      </c>
      <c r="I30" s="9">
        <v>108</v>
      </c>
      <c r="J30" s="9">
        <v>147</v>
      </c>
      <c r="K30" s="9">
        <v>176</v>
      </c>
      <c r="L30" s="9">
        <v>205</v>
      </c>
      <c r="M30" s="9">
        <v>400</v>
      </c>
      <c r="N30" s="9">
        <v>598</v>
      </c>
      <c r="O30" s="9">
        <v>702</v>
      </c>
      <c r="P30" s="9">
        <v>996</v>
      </c>
      <c r="Q30" s="9">
        <v>1090</v>
      </c>
      <c r="R30" s="9">
        <v>1221</v>
      </c>
      <c r="S30" s="9">
        <v>1333</v>
      </c>
      <c r="T30" s="9">
        <v>1463</v>
      </c>
      <c r="U30" s="9">
        <v>1550</v>
      </c>
      <c r="V30" s="9">
        <v>1746</v>
      </c>
      <c r="W30" s="9">
        <v>1914</v>
      </c>
      <c r="X30" s="9">
        <v>2118</v>
      </c>
      <c r="Y30" s="9">
        <v>2385</v>
      </c>
      <c r="Z30" s="9">
        <v>2621</v>
      </c>
      <c r="AA30" s="9">
        <v>2863</v>
      </c>
      <c r="AB30" s="9">
        <v>3084</v>
      </c>
      <c r="AC30" s="9">
        <v>3369</v>
      </c>
      <c r="AD30" s="9">
        <v>3755</v>
      </c>
      <c r="AE30" s="9">
        <v>4015</v>
      </c>
      <c r="AF30" s="9">
        <v>4284</v>
      </c>
      <c r="AG30" s="9">
        <v>4445</v>
      </c>
      <c r="AH30" s="9">
        <v>4641</v>
      </c>
    </row>
    <row r="31" spans="1:49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Australia</v>
      </c>
      <c r="D31" s="6">
        <f t="shared" si="14"/>
        <v>4559</v>
      </c>
      <c r="E31" s="6">
        <f>IF(COUNTIF(I31:XFD31,"&gt;"&amp;0)=0,,HLOOKUP(COUNTIF(I31:XFD31,"&gt;"&amp;0)-1,I$1:XFD31,A31+1,FALSE))</f>
        <v>4559</v>
      </c>
      <c r="F31" s="7">
        <f>IF(COUNTIF(I31:XFD31,"&gt;"&amp;0)=0,,HLOOKUP(COUNTIF(I31:XFD31,"&gt;"&amp;0)-MIN($F$1+1,COUNTIF(I31:XFD31,"&gt;"&amp;0)),I$1:XFD31,A31+1,FALSE))</f>
        <v>2810</v>
      </c>
      <c r="G31" s="8">
        <f t="shared" si="8"/>
        <v>1.1016221370339585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  <c r="AC31" s="9">
        <v>4361</v>
      </c>
      <c r="AD31" s="9">
        <v>4559</v>
      </c>
    </row>
    <row r="32" spans="1:49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Sweden</v>
      </c>
      <c r="D32" s="6">
        <f t="shared" si="14"/>
        <v>4435</v>
      </c>
      <c r="E32" s="6">
        <f>IF(COUNTIF(I32:XFD32,"&gt;"&amp;0)=0,,HLOOKUP(COUNTIF(I32:XFD32,"&gt;"&amp;0)-1,I$1:XFD32,A32+1,FALSE))</f>
        <v>4435</v>
      </c>
      <c r="F32" s="7">
        <f>IF(COUNTIF(I32:XFD32,"&gt;"&amp;0)=0,,HLOOKUP(COUNTIF(I32:XFD32,"&gt;"&amp;0)-MIN($F$1+1,COUNTIF(I32:XFD32,"&gt;"&amp;0)),I$1:XFD32,A32+1,FALSE))</f>
        <v>2840</v>
      </c>
      <c r="G32" s="8">
        <f t="shared" si="8"/>
        <v>1.0932388504448312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</row>
    <row r="33" spans="1:4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3308</v>
      </c>
      <c r="E33" s="6">
        <f>IF(COUNTIF(I33:XFD33,"&gt;"&amp;0)=0,,HLOOKUP(COUNTIF(I33:XFD33,"&gt;"&amp;0)-1,I$1:XFD33,A33+1,FALSE))</f>
        <v>3308</v>
      </c>
      <c r="F33" s="7">
        <f>IF(COUNTIF(I33:XFD33,"&gt;"&amp;0)=0,,HLOOKUP(COUNTIF(I33:XFD33,"&gt;"&amp;0)-MIN($F$1+1,COUNTIF(I33:XFD33,"&gt;"&amp;0)),I$1:XFD33,A33+1,FALSE))</f>
        <v>1925</v>
      </c>
      <c r="G33" s="8">
        <f t="shared" si="8"/>
        <v>1.1143636916574364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  <c r="AA33" s="9">
        <v>3308</v>
      </c>
    </row>
    <row r="34" spans="1:4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Ireland</v>
      </c>
      <c r="D34" s="6">
        <f t="shared" si="14"/>
        <v>3235</v>
      </c>
      <c r="E34" s="6">
        <f>IF(COUNTIF(I34:XFD34,"&gt;"&amp;0)=0,,HLOOKUP(COUNTIF(I34:XFD34,"&gt;"&amp;0)-1,I$1:XFD34,A34+1,FALSE))</f>
        <v>3235</v>
      </c>
      <c r="F34" s="7">
        <f>IF(COUNTIF(I34:XFD34,"&gt;"&amp;0)=0,,HLOOKUP(COUNTIF(I34:XFD34,"&gt;"&amp;0)-MIN($F$1+1,COUNTIF(I34:XFD34,"&gt;"&amp;0)),I$1:XFD34,A34+1,FALSE))</f>
        <v>1819</v>
      </c>
      <c r="G34" s="8">
        <f t="shared" ref="G34:G65" si="15">IF(COUNTIF(I34:XFD34,"&gt;"&amp;0)=0,,(E34/F34)^(1/MIN(COUNTIF(I34:XFD34,"&gt;"&amp;0)-1,$F$1)))</f>
        <v>1.1220399423209222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</row>
    <row r="35" spans="1:4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Denmark</v>
      </c>
      <c r="D35" s="6">
        <f t="shared" si="14"/>
        <v>3039</v>
      </c>
      <c r="E35" s="6">
        <f>IF(COUNTIF(I35:XFD35,"&gt;"&amp;0)=0,,HLOOKUP(COUNTIF(I35:XFD35,"&gt;"&amp;0)-1,I$1:XFD35,A35+1,FALSE))</f>
        <v>3039</v>
      </c>
      <c r="F35" s="7">
        <f>IF(COUNTIF(I35:XFD35,"&gt;"&amp;0)=0,,HLOOKUP(COUNTIF(I35:XFD35,"&gt;"&amp;0)-MIN($F$1+1,COUNTIF(I35:XFD35,"&gt;"&amp;0)),I$1:XFD35,A35+1,FALSE))</f>
        <v>2023</v>
      </c>
      <c r="G35" s="8">
        <f t="shared" si="15"/>
        <v>1.0847932232167881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  <c r="AD35" s="9">
        <v>3039</v>
      </c>
    </row>
    <row r="36" spans="1:4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Malaysia</v>
      </c>
      <c r="D36" s="6">
        <f t="shared" si="14"/>
        <v>2766</v>
      </c>
      <c r="E36" s="6">
        <f>IF(COUNTIF(I36:XFD36,"&gt;"&amp;0)=0,,HLOOKUP(COUNTIF(I36:XFD36,"&gt;"&amp;0)-1,I$1:XFD36,A36+1,FALSE))</f>
        <v>2766</v>
      </c>
      <c r="F36" s="7">
        <f>IF(COUNTIF(I36:XFD36,"&gt;"&amp;0)=0,,HLOOKUP(COUNTIF(I36:XFD36,"&gt;"&amp;0)-MIN($F$1+1,COUNTIF(I36:XFD36,"&gt;"&amp;0)),I$1:XFD36,A36+1,FALSE))</f>
        <v>2031</v>
      </c>
      <c r="G36" s="8">
        <f t="shared" si="15"/>
        <v>1.0637227568852698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  <c r="AD36" s="9">
        <v>2626</v>
      </c>
      <c r="AE36" s="9">
        <v>2766</v>
      </c>
    </row>
    <row r="37" spans="1:4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ref="C37:C68" si="16">IF(H37="","",H37)</f>
        <v>Chile</v>
      </c>
      <c r="D37" s="6">
        <f t="shared" ref="D37:D68" si="17">MAX(I37:JF37)</f>
        <v>2738</v>
      </c>
      <c r="E37" s="6">
        <f>IF(COUNTIF(I37:XFD37,"&gt;"&amp;0)=0,,HLOOKUP(COUNTIF(I37:XFD37,"&gt;"&amp;0)-1,I$1:XFD37,A37+1,FALSE))</f>
        <v>2738</v>
      </c>
      <c r="F37" s="7">
        <f>IF(COUNTIF(I37:XFD37,"&gt;"&amp;0)=0,,HLOOKUP(COUNTIF(I37:XFD37,"&gt;"&amp;0)-MIN($F$1+1,COUNTIF(I37:XFD37,"&gt;"&amp;0)),I$1:XFD37,A37+1,FALSE))</f>
        <v>1306</v>
      </c>
      <c r="G37" s="8">
        <f t="shared" si="15"/>
        <v>1.1595728901874114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</row>
    <row r="38" spans="1:4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6"/>
        <v>Russia</v>
      </c>
      <c r="D38" s="6">
        <f t="shared" si="17"/>
        <v>2337</v>
      </c>
      <c r="E38" s="6">
        <f>IF(COUNTIF(I38:XFD38,"&gt;"&amp;0)=0,,HLOOKUP(COUNTIF(I38:XFD38,"&gt;"&amp;0)-1,I$1:XFD38,A38+1,FALSE))</f>
        <v>2337</v>
      </c>
      <c r="F38" s="7">
        <f>IF(COUNTIF(I38:XFD38,"&gt;"&amp;0)=0,,HLOOKUP(COUNTIF(I38:XFD38,"&gt;"&amp;0)-MIN($F$1+1,COUNTIF(I38:XFD38,"&gt;"&amp;0)),I$1:XFD38,A38+1,FALSE))</f>
        <v>840</v>
      </c>
      <c r="G38" s="8">
        <f t="shared" si="15"/>
        <v>1.2270884978810612</v>
      </c>
      <c r="H38" s="13" t="s">
        <v>344</v>
      </c>
      <c r="I38" s="9">
        <v>114</v>
      </c>
      <c r="J38" s="9">
        <v>147</v>
      </c>
      <c r="K38" s="9">
        <v>199</v>
      </c>
      <c r="L38" s="9">
        <v>253</v>
      </c>
      <c r="M38" s="9">
        <v>306</v>
      </c>
      <c r="N38" s="9">
        <v>367</v>
      </c>
      <c r="O38" s="9">
        <v>438</v>
      </c>
      <c r="P38" s="9">
        <v>495</v>
      </c>
      <c r="Q38" s="9">
        <v>658</v>
      </c>
      <c r="R38" s="9">
        <v>840</v>
      </c>
      <c r="S38" s="9">
        <v>1036</v>
      </c>
      <c r="T38" s="9">
        <v>1264</v>
      </c>
      <c r="U38" s="9">
        <v>1534</v>
      </c>
      <c r="V38" s="9">
        <v>1836</v>
      </c>
      <c r="W38" s="9">
        <v>2337</v>
      </c>
    </row>
    <row r="39" spans="1:4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6"/>
        <v>Poland</v>
      </c>
      <c r="D39" s="6">
        <f t="shared" si="17"/>
        <v>2311</v>
      </c>
      <c r="E39" s="6">
        <f>IF(COUNTIF(I39:XFD39,"&gt;"&amp;0)=0,,HLOOKUP(COUNTIF(I39:XFD39,"&gt;"&amp;0)-1,I$1:XFD39,A39+1,FALSE))</f>
        <v>2311</v>
      </c>
      <c r="F39" s="7">
        <f>IF(COUNTIF(I39:XFD39,"&gt;"&amp;0)=0,,HLOOKUP(COUNTIF(I39:XFD39,"&gt;"&amp;0)-MIN($F$1+1,COUNTIF(I39:XFD39,"&gt;"&amp;0)),I$1:XFD39,A39+1,FALSE))</f>
        <v>1221</v>
      </c>
      <c r="G39" s="8">
        <f t="shared" si="15"/>
        <v>1.1361007755464478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</row>
    <row r="40" spans="1:4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6"/>
        <v>Romania</v>
      </c>
      <c r="D40" s="6">
        <f t="shared" si="17"/>
        <v>2245</v>
      </c>
      <c r="E40" s="6">
        <f>IF(COUNTIF(I40:XFD40,"&gt;"&amp;0)=0,,HLOOKUP(COUNTIF(I40:XFD40,"&gt;"&amp;0)-1,I$1:XFD40,A40+1,FALSE))</f>
        <v>2245</v>
      </c>
      <c r="F40" s="7">
        <f>IF(COUNTIF(I40:XFD40,"&gt;"&amp;0)=0,,HLOOKUP(COUNTIF(I40:XFD40,"&gt;"&amp;0)-MIN($F$1+1,COUNTIF(I40:XFD40,"&gt;"&amp;0)),I$1:XFD40,A40+1,FALSE))</f>
        <v>1029</v>
      </c>
      <c r="G40" s="8">
        <f t="shared" si="15"/>
        <v>1.1688538027551088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</row>
    <row r="41" spans="1:4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6"/>
        <v>Ecuador</v>
      </c>
      <c r="D41" s="6">
        <f t="shared" si="17"/>
        <v>2240</v>
      </c>
      <c r="E41" s="6">
        <f>IF(COUNTIF(I41:XFD41,"&gt;"&amp;0)=0,,HLOOKUP(COUNTIF(I41:XFD41,"&gt;"&amp;0)-1,I$1:XFD41,A41+1,FALSE))</f>
        <v>2240</v>
      </c>
      <c r="F41" s="7">
        <f>IF(COUNTIF(I41:XFD41,"&gt;"&amp;0)=0,,HLOOKUP(COUNTIF(I41:XFD41,"&gt;"&amp;0)-MIN($F$1+1,COUNTIF(I41:XFD41,"&gt;"&amp;0)),I$1:XFD41,A41+1,FALSE))</f>
        <v>1403</v>
      </c>
      <c r="G41" s="8">
        <f t="shared" si="15"/>
        <v>1.0980903360243759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</row>
    <row r="42" spans="1:4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6"/>
        <v>Luxembourg</v>
      </c>
      <c r="D42" s="6">
        <f t="shared" si="17"/>
        <v>2178</v>
      </c>
      <c r="E42" s="6">
        <f>IF(COUNTIF(I42:XFD42,"&gt;"&amp;0)=0,,HLOOKUP(COUNTIF(I42:XFD42,"&gt;"&amp;0)-1,I$1:XFD42,A42+1,FALSE))</f>
        <v>2178</v>
      </c>
      <c r="F42" s="7">
        <f>IF(COUNTIF(I42:XFD42,"&gt;"&amp;0)=0,,HLOOKUP(COUNTIF(I42:XFD42,"&gt;"&amp;0)-MIN($F$1+1,COUNTIF(I42:XFD42,"&gt;"&amp;0)),I$1:XFD42,A42+1,FALSE))</f>
        <v>1453</v>
      </c>
      <c r="G42" s="8">
        <f t="shared" si="15"/>
        <v>1.084322456615251</v>
      </c>
      <c r="H42" s="13" t="s">
        <v>99</v>
      </c>
      <c r="I42" s="9">
        <v>140</v>
      </c>
      <c r="J42" s="9">
        <v>203</v>
      </c>
      <c r="K42" s="9">
        <v>335</v>
      </c>
      <c r="L42" s="9">
        <v>484</v>
      </c>
      <c r="M42" s="9">
        <v>670</v>
      </c>
      <c r="N42" s="9">
        <v>798</v>
      </c>
      <c r="O42" s="9">
        <v>875</v>
      </c>
      <c r="P42" s="9">
        <v>1099</v>
      </c>
      <c r="Q42" s="9">
        <v>1333</v>
      </c>
      <c r="R42" s="9">
        <v>1453</v>
      </c>
      <c r="S42" s="9">
        <v>1605</v>
      </c>
      <c r="T42" s="9">
        <v>1831</v>
      </c>
      <c r="U42" s="9">
        <v>1950</v>
      </c>
      <c r="V42" s="9">
        <v>1988</v>
      </c>
      <c r="W42" s="9">
        <v>2178</v>
      </c>
    </row>
    <row r="43" spans="1:4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6"/>
        <v>Philippines</v>
      </c>
      <c r="D43" s="6">
        <f t="shared" si="17"/>
        <v>2084</v>
      </c>
      <c r="E43" s="6">
        <f>IF(COUNTIF(I43:XFD43,"&gt;"&amp;0)=0,,HLOOKUP(COUNTIF(I43:XFD43,"&gt;"&amp;0)-1,I$1:XFD43,A43+1,FALSE))</f>
        <v>2084</v>
      </c>
      <c r="F43" s="7">
        <f>IF(COUNTIF(I43:XFD43,"&gt;"&amp;0)=0,,HLOOKUP(COUNTIF(I43:XFD43,"&gt;"&amp;0)-MIN($F$1+1,COUNTIF(I43:XFD43,"&gt;"&amp;0)),I$1:XFD43,A43+1,FALSE))</f>
        <v>707</v>
      </c>
      <c r="G43" s="8">
        <f t="shared" si="15"/>
        <v>1.2413540347857761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</row>
    <row r="44" spans="1:4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6"/>
        <v>Japan</v>
      </c>
      <c r="D44" s="6">
        <f t="shared" si="17"/>
        <v>1953</v>
      </c>
      <c r="E44" s="6">
        <f>IF(COUNTIF(I44:XFD44,"&gt;"&amp;0)=0,,HLOOKUP(COUNTIF(I44:XFD44,"&gt;"&amp;0)-1,I$1:XFD44,A44+1,FALSE))</f>
        <v>1953</v>
      </c>
      <c r="F44" s="7">
        <f>IF(COUNTIF(I44:XFD44,"&gt;"&amp;0)=0,,HLOOKUP(COUNTIF(I44:XFD44,"&gt;"&amp;0)-MIN($F$1+1,COUNTIF(I44:XFD44,"&gt;"&amp;0)),I$1:XFD44,A44+1,FALSE))</f>
        <v>1387</v>
      </c>
      <c r="G44" s="8">
        <f t="shared" si="15"/>
        <v>1.0708414080458573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</row>
    <row r="45" spans="1:4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6"/>
        <v>Pakistan</v>
      </c>
      <c r="D45" s="6">
        <f t="shared" si="17"/>
        <v>1938</v>
      </c>
      <c r="E45" s="6">
        <f>IF(COUNTIF(I45:XFD45,"&gt;"&amp;0)=0,,HLOOKUP(COUNTIF(I45:XFD45,"&gt;"&amp;0)-1,I$1:XFD45,A45+1,FALSE))</f>
        <v>1938</v>
      </c>
      <c r="F45" s="7">
        <f>IF(COUNTIF(I45:XFD45,"&gt;"&amp;0)=0,,HLOOKUP(COUNTIF(I45:XFD45,"&gt;"&amp;0)-MIN($F$1+1,COUNTIF(I45:XFD45,"&gt;"&amp;0)),I$1:XFD45,A45+1,FALSE))</f>
        <v>1201</v>
      </c>
      <c r="G45" s="8">
        <f t="shared" si="15"/>
        <v>1.100429319454644</v>
      </c>
      <c r="H45" s="13" t="s">
        <v>80</v>
      </c>
      <c r="I45" s="9">
        <v>136</v>
      </c>
      <c r="J45" s="9">
        <v>236</v>
      </c>
      <c r="K45" s="9">
        <v>299</v>
      </c>
      <c r="L45" s="9">
        <v>454</v>
      </c>
      <c r="M45" s="9">
        <v>501</v>
      </c>
      <c r="N45" s="9">
        <v>730</v>
      </c>
      <c r="O45" s="9">
        <v>776</v>
      </c>
      <c r="P45" s="9">
        <v>875</v>
      </c>
      <c r="Q45" s="9">
        <v>972</v>
      </c>
      <c r="R45" s="9">
        <v>1063</v>
      </c>
      <c r="S45" s="9">
        <v>1201</v>
      </c>
      <c r="T45" s="9">
        <v>1373</v>
      </c>
      <c r="U45" s="9">
        <v>1495</v>
      </c>
      <c r="V45" s="9">
        <v>1597</v>
      </c>
      <c r="W45" s="9">
        <v>1717</v>
      </c>
      <c r="X45" s="9">
        <v>1938</v>
      </c>
    </row>
    <row r="46" spans="1:4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6"/>
        <v>Thailand</v>
      </c>
      <c r="D46" s="6">
        <f t="shared" si="17"/>
        <v>1651</v>
      </c>
      <c r="E46" s="6">
        <f>IF(COUNTIF(I46:XFD46,"&gt;"&amp;0)=0,,HLOOKUP(COUNTIF(I46:XFD46,"&gt;"&amp;0)-1,I$1:XFD46,A46+1,FALSE))</f>
        <v>1651</v>
      </c>
      <c r="F46" s="7">
        <f>IF(COUNTIF(I46:XFD46,"&gt;"&amp;0)=0,,HLOOKUP(COUNTIF(I46:XFD46,"&gt;"&amp;0)-MIN($F$1+1,COUNTIF(I46:XFD46,"&gt;"&amp;0)),I$1:XFD46,A46+1,FALSE))</f>
        <v>1045</v>
      </c>
      <c r="G46" s="8">
        <f t="shared" si="15"/>
        <v>1.0957870321407193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  <c r="X46" s="9">
        <v>1524</v>
      </c>
      <c r="Y46" s="9">
        <v>1651</v>
      </c>
    </row>
    <row r="47" spans="1:4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6"/>
        <v>Saudi Arabia</v>
      </c>
      <c r="D47" s="6">
        <f t="shared" si="17"/>
        <v>1563</v>
      </c>
      <c r="E47" s="6">
        <f>IF(COUNTIF(I47:XFD47,"&gt;"&amp;0)=0,,HLOOKUP(COUNTIF(I47:XFD47,"&gt;"&amp;0)-1,I$1:XFD47,A47+1,FALSE))</f>
        <v>1563</v>
      </c>
      <c r="F47" s="7">
        <f>IF(COUNTIF(I47:XFD47,"&gt;"&amp;0)=0,,HLOOKUP(COUNTIF(I47:XFD47,"&gt;"&amp;0)-MIN($F$1+1,COUNTIF(I47:XFD47,"&gt;"&amp;0)),I$1:XFD47,A47+1,FALSE))</f>
        <v>1012</v>
      </c>
      <c r="G47" s="8">
        <f t="shared" si="15"/>
        <v>1.0908265330788094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</row>
    <row r="48" spans="1:4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6"/>
        <v>Indonesia</v>
      </c>
      <c r="D48" s="6">
        <f t="shared" si="17"/>
        <v>1528</v>
      </c>
      <c r="E48" s="6">
        <f>IF(COUNTIF(I48:XFD48,"&gt;"&amp;0)=0,,HLOOKUP(COUNTIF(I48:XFD48,"&gt;"&amp;0)-1,I$1:XFD48,A48+1,FALSE))</f>
        <v>1528</v>
      </c>
      <c r="F48" s="7">
        <f>IF(COUNTIF(I48:XFD48,"&gt;"&amp;0)=0,,HLOOKUP(COUNTIF(I48:XFD48,"&gt;"&amp;0)-MIN($F$1+1,COUNTIF(I48:XFD48,"&gt;"&amp;0)),I$1:XFD48,A48+1,FALSE))</f>
        <v>893</v>
      </c>
      <c r="G48" s="8">
        <f t="shared" si="15"/>
        <v>1.1134081066979442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</row>
    <row r="49" spans="1:40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6"/>
        <v>Finland</v>
      </c>
      <c r="D49" s="6">
        <f t="shared" si="17"/>
        <v>1418</v>
      </c>
      <c r="E49" s="6">
        <f>IF(COUNTIF(I49:XFD49,"&gt;"&amp;0)=0,,HLOOKUP(COUNTIF(I49:XFD49,"&gt;"&amp;0)-1,I$1:XFD49,A49+1,FALSE))</f>
        <v>1418</v>
      </c>
      <c r="F49" s="7">
        <f>IF(COUNTIF(I49:XFD49,"&gt;"&amp;0)=0,,HLOOKUP(COUNTIF(I49:XFD49,"&gt;"&amp;0)-MIN($F$1+1,COUNTIF(I49:XFD49,"&gt;"&amp;0)),I$1:XFD49,A49+1,FALSE))</f>
        <v>958</v>
      </c>
      <c r="G49" s="8">
        <f t="shared" si="15"/>
        <v>1.0815887076332715</v>
      </c>
      <c r="H49" s="13" t="s">
        <v>54</v>
      </c>
      <c r="I49" s="9">
        <v>155</v>
      </c>
      <c r="J49" s="9">
        <v>225</v>
      </c>
      <c r="K49" s="9">
        <v>244</v>
      </c>
      <c r="L49" s="9">
        <v>277</v>
      </c>
      <c r="M49" s="9">
        <v>321</v>
      </c>
      <c r="N49" s="9">
        <v>336</v>
      </c>
      <c r="O49" s="9">
        <v>400</v>
      </c>
      <c r="P49" s="9">
        <v>450</v>
      </c>
      <c r="Q49" s="9">
        <v>523</v>
      </c>
      <c r="R49" s="9">
        <v>626</v>
      </c>
      <c r="S49" s="9">
        <v>700</v>
      </c>
      <c r="T49" s="9">
        <v>792</v>
      </c>
      <c r="U49" s="9">
        <v>880</v>
      </c>
      <c r="V49" s="9">
        <v>958</v>
      </c>
      <c r="W49" s="9">
        <v>1041</v>
      </c>
      <c r="X49" s="9">
        <v>1167</v>
      </c>
      <c r="Y49" s="9">
        <v>1240</v>
      </c>
      <c r="Z49" s="9">
        <v>1352</v>
      </c>
      <c r="AA49" s="9">
        <v>1418</v>
      </c>
    </row>
    <row r="50" spans="1:40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6"/>
        <v>India</v>
      </c>
      <c r="D50" s="6">
        <f t="shared" si="17"/>
        <v>1397</v>
      </c>
      <c r="E50" s="6">
        <f>IF(COUNTIF(I50:XFD50,"&gt;"&amp;0)=0,,HLOOKUP(COUNTIF(I50:XFD50,"&gt;"&amp;0)-1,I$1:XFD50,A50+1,FALSE))</f>
        <v>1397</v>
      </c>
      <c r="F50" s="7">
        <f>IF(COUNTIF(I50:XFD50,"&gt;"&amp;0)=0,,HLOOKUP(COUNTIF(I50:XFD50,"&gt;"&amp;0)-MIN($F$1+1,COUNTIF(I50:XFD50,"&gt;"&amp;0)),I$1:XFD50,A50+1,FALSE))</f>
        <v>727</v>
      </c>
      <c r="G50" s="8">
        <f t="shared" si="15"/>
        <v>1.1395474117538333</v>
      </c>
      <c r="H50" s="13" t="s">
        <v>57</v>
      </c>
      <c r="I50" s="9">
        <v>102</v>
      </c>
      <c r="J50" s="9">
        <v>113</v>
      </c>
      <c r="K50" s="9">
        <v>119</v>
      </c>
      <c r="L50" s="9">
        <v>142</v>
      </c>
      <c r="M50" s="9">
        <v>156</v>
      </c>
      <c r="N50" s="9">
        <v>194</v>
      </c>
      <c r="O50" s="9">
        <v>244</v>
      </c>
      <c r="P50" s="9">
        <v>330</v>
      </c>
      <c r="Q50" s="9">
        <v>396</v>
      </c>
      <c r="R50" s="9">
        <v>499</v>
      </c>
      <c r="S50" s="9">
        <v>536</v>
      </c>
      <c r="T50" s="9">
        <v>657</v>
      </c>
      <c r="U50" s="9">
        <v>727</v>
      </c>
      <c r="V50" s="9">
        <v>887</v>
      </c>
      <c r="W50" s="9">
        <v>987</v>
      </c>
      <c r="X50" s="9">
        <v>1024</v>
      </c>
      <c r="Y50" s="9">
        <v>1251</v>
      </c>
      <c r="Z50" s="9">
        <v>1397</v>
      </c>
    </row>
    <row r="51" spans="1:40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6"/>
        <v>South Africa</v>
      </c>
      <c r="D51" s="6">
        <f t="shared" si="17"/>
        <v>1353</v>
      </c>
      <c r="E51" s="6">
        <f>IF(COUNTIF(I51:XFD51,"&gt;"&amp;0)=0,,HLOOKUP(COUNTIF(I51:XFD51,"&gt;"&amp;0)-1,I$1:XFD51,A51+1,FALSE))</f>
        <v>1353</v>
      </c>
      <c r="F51" s="7">
        <f>IF(COUNTIF(I51:XFD51,"&gt;"&amp;0)=0,,HLOOKUP(COUNTIF(I51:XFD51,"&gt;"&amp;0)-MIN($F$1+1,COUNTIF(I51:XFD51,"&gt;"&amp;0)),I$1:XFD51,A51+1,FALSE))</f>
        <v>927</v>
      </c>
      <c r="G51" s="8">
        <f t="shared" si="15"/>
        <v>1.0785582682632917</v>
      </c>
      <c r="H51" s="13" t="s">
        <v>145</v>
      </c>
      <c r="I51" s="9">
        <v>116</v>
      </c>
      <c r="J51" s="9">
        <v>150</v>
      </c>
      <c r="K51" s="9">
        <v>202</v>
      </c>
      <c r="L51" s="9">
        <v>240</v>
      </c>
      <c r="M51" s="9">
        <v>274</v>
      </c>
      <c r="N51" s="9">
        <v>402</v>
      </c>
      <c r="O51" s="9">
        <v>554</v>
      </c>
      <c r="P51" s="9">
        <v>709</v>
      </c>
      <c r="Q51" s="9">
        <v>927</v>
      </c>
      <c r="R51" s="9">
        <v>1170</v>
      </c>
      <c r="S51" s="9">
        <v>1187</v>
      </c>
      <c r="T51" s="9">
        <v>1280</v>
      </c>
      <c r="U51" s="9">
        <v>1326</v>
      </c>
      <c r="V51" s="9">
        <v>1353</v>
      </c>
    </row>
    <row r="52" spans="1:40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6"/>
        <v>Greece</v>
      </c>
      <c r="D52" s="6">
        <f t="shared" si="17"/>
        <v>1314</v>
      </c>
      <c r="E52" s="6">
        <f>IF(COUNTIF(I52:XFD52,"&gt;"&amp;0)=0,,HLOOKUP(COUNTIF(I52:XFD52,"&gt;"&amp;0)-1,I$1:XFD52,A52+1,FALSE))</f>
        <v>1314</v>
      </c>
      <c r="F52" s="7">
        <f>IF(COUNTIF(I52:XFD52,"&gt;"&amp;0)=0,,HLOOKUP(COUNTIF(I52:XFD52,"&gt;"&amp;0)-MIN($F$1+1,COUNTIF(I52:XFD52,"&gt;"&amp;0)),I$1:XFD52,A52+1,FALSE))</f>
        <v>892</v>
      </c>
      <c r="G52" s="8">
        <f t="shared" si="15"/>
        <v>1.080553071495846</v>
      </c>
      <c r="H52" s="13" t="s">
        <v>83</v>
      </c>
      <c r="I52" s="9">
        <v>190</v>
      </c>
      <c r="J52" s="9">
        <v>228</v>
      </c>
      <c r="K52" s="9">
        <v>331</v>
      </c>
      <c r="L52" s="9">
        <v>331</v>
      </c>
      <c r="M52" s="9">
        <v>387</v>
      </c>
      <c r="N52" s="9">
        <v>418</v>
      </c>
      <c r="O52" s="9">
        <v>418</v>
      </c>
      <c r="P52" s="9">
        <v>495</v>
      </c>
      <c r="Q52" s="9">
        <v>530</v>
      </c>
      <c r="R52" s="9">
        <v>624</v>
      </c>
      <c r="S52" s="9">
        <v>695</v>
      </c>
      <c r="T52" s="9">
        <v>743</v>
      </c>
      <c r="U52" s="9">
        <v>821</v>
      </c>
      <c r="V52" s="9">
        <v>892</v>
      </c>
      <c r="W52" s="9">
        <v>966</v>
      </c>
      <c r="X52" s="9">
        <v>1061</v>
      </c>
      <c r="Y52" s="9">
        <v>1156</v>
      </c>
      <c r="Z52" s="9">
        <v>1212</v>
      </c>
      <c r="AA52" s="9">
        <v>1314</v>
      </c>
    </row>
    <row r="53" spans="1:40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6"/>
        <v>Panama</v>
      </c>
      <c r="D53" s="6">
        <f t="shared" si="17"/>
        <v>1181</v>
      </c>
      <c r="E53" s="6">
        <f>IF(COUNTIF(I53:XFD53,"&gt;"&amp;0)=0,,HLOOKUP(COUNTIF(I53:XFD53,"&gt;"&amp;0)-1,I$1:XFD53,A53+1,FALSE))</f>
        <v>1181</v>
      </c>
      <c r="F53" s="7">
        <f>IF(COUNTIF(I53:XFD53,"&gt;"&amp;0)=0,,HLOOKUP(COUNTIF(I53:XFD53,"&gt;"&amp;0)-MIN($F$1+1,COUNTIF(I53:XFD53,"&gt;"&amp;0)),I$1:XFD53,A53+1,FALSE))</f>
        <v>558</v>
      </c>
      <c r="G53" s="8">
        <f t="shared" si="15"/>
        <v>1.1617779773450874</v>
      </c>
      <c r="H53" s="13" t="s">
        <v>283</v>
      </c>
      <c r="I53" s="9">
        <v>109</v>
      </c>
      <c r="J53" s="9">
        <v>137</v>
      </c>
      <c r="K53" s="9">
        <v>200</v>
      </c>
      <c r="L53" s="9">
        <v>313</v>
      </c>
      <c r="M53" s="9">
        <v>345</v>
      </c>
      <c r="N53" s="9">
        <v>345</v>
      </c>
      <c r="O53" s="9">
        <v>443</v>
      </c>
      <c r="P53" s="9">
        <v>558</v>
      </c>
      <c r="Q53" s="9">
        <v>674</v>
      </c>
      <c r="R53" s="9">
        <v>786</v>
      </c>
      <c r="S53" s="9">
        <v>901</v>
      </c>
      <c r="T53" s="9">
        <v>989</v>
      </c>
      <c r="U53" s="9">
        <v>1181</v>
      </c>
    </row>
    <row r="54" spans="1:40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6"/>
        <v>Iceland</v>
      </c>
      <c r="D54" s="6">
        <f t="shared" si="17"/>
        <v>1135</v>
      </c>
      <c r="E54" s="6">
        <f>IF(COUNTIF(I54:XFD54,"&gt;"&amp;0)=0,,HLOOKUP(COUNTIF(I54:XFD54,"&gt;"&amp;0)-1,I$1:XFD54,A54+1,FALSE))</f>
        <v>1135</v>
      </c>
      <c r="F54" s="7">
        <f>IF(COUNTIF(I54:XFD54,"&gt;"&amp;0)=0,,HLOOKUP(COUNTIF(I54:XFD54,"&gt;"&amp;0)-MIN($F$1+1,COUNTIF(I54:XFD54,"&gt;"&amp;0)),I$1:XFD54,A54+1,FALSE))</f>
        <v>802</v>
      </c>
      <c r="G54" s="8">
        <f t="shared" si="15"/>
        <v>1.0719247501292282</v>
      </c>
      <c r="H54" s="13" t="s">
        <v>92</v>
      </c>
      <c r="I54" s="9">
        <v>103</v>
      </c>
      <c r="J54" s="9">
        <v>134</v>
      </c>
      <c r="K54" s="9">
        <v>156</v>
      </c>
      <c r="L54" s="9">
        <v>171</v>
      </c>
      <c r="M54" s="9">
        <v>180</v>
      </c>
      <c r="N54" s="9">
        <v>220</v>
      </c>
      <c r="O54" s="9">
        <v>250</v>
      </c>
      <c r="P54" s="9">
        <v>330</v>
      </c>
      <c r="Q54" s="9">
        <v>409</v>
      </c>
      <c r="R54" s="9">
        <v>473</v>
      </c>
      <c r="S54" s="9">
        <v>568</v>
      </c>
      <c r="T54" s="9">
        <v>588</v>
      </c>
      <c r="U54" s="9">
        <v>648</v>
      </c>
      <c r="V54" s="9">
        <v>737</v>
      </c>
      <c r="W54" s="9">
        <v>802</v>
      </c>
      <c r="X54" s="9">
        <v>890</v>
      </c>
      <c r="Y54" s="9">
        <v>963</v>
      </c>
      <c r="Z54" s="9">
        <v>1020</v>
      </c>
      <c r="AA54" s="9">
        <v>1086</v>
      </c>
      <c r="AB54" s="9">
        <v>1135</v>
      </c>
    </row>
    <row r="55" spans="1:40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6"/>
        <v>Dominican Republic</v>
      </c>
      <c r="D55" s="6">
        <f t="shared" si="17"/>
        <v>1109</v>
      </c>
      <c r="E55" s="6">
        <f>IF(COUNTIF(I55:XFD55,"&gt;"&amp;0)=0,,HLOOKUP(COUNTIF(I55:XFD55,"&gt;"&amp;0)-1,I$1:XFD55,A55+1,FALSE))</f>
        <v>1109</v>
      </c>
      <c r="F55" s="7">
        <f>IF(COUNTIF(I55:XFD55,"&gt;"&amp;0)=0,,HLOOKUP(COUNTIF(I55:XFD55,"&gt;"&amp;0)-MIN($F$1+1,COUNTIF(I55:XFD55,"&gt;"&amp;0)),I$1:XFD55,A55+1,FALSE))</f>
        <v>488</v>
      </c>
      <c r="G55" s="8">
        <f t="shared" si="15"/>
        <v>1.1784260784374749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</row>
    <row r="56" spans="1:40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6"/>
        <v>Mexico</v>
      </c>
      <c r="D56" s="6">
        <f t="shared" si="17"/>
        <v>1094</v>
      </c>
      <c r="E56" s="6">
        <f>IF(COUNTIF(I56:XFD56,"&gt;"&amp;0)=0,,HLOOKUP(COUNTIF(I56:XFD56,"&gt;"&amp;0)-1,I$1:XFD56,A56+1,FALSE))</f>
        <v>1094</v>
      </c>
      <c r="F56" s="7">
        <f>IF(COUNTIF(I56:XFD56,"&gt;"&amp;0)=0,,HLOOKUP(COUNTIF(I56:XFD56,"&gt;"&amp;0)-MIN($F$1+1,COUNTIF(I56:XFD56,"&gt;"&amp;0)),I$1:XFD56,A56+1,FALSE))</f>
        <v>475</v>
      </c>
      <c r="G56" s="8">
        <f t="shared" si="15"/>
        <v>1.1815843835511046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  <c r="N56" s="9">
        <v>367</v>
      </c>
      <c r="O56" s="9">
        <v>405</v>
      </c>
      <c r="P56" s="9">
        <v>475</v>
      </c>
      <c r="Q56" s="9">
        <v>585</v>
      </c>
      <c r="R56" s="9">
        <v>717</v>
      </c>
      <c r="S56" s="9">
        <v>848</v>
      </c>
      <c r="T56" s="9">
        <v>993</v>
      </c>
      <c r="U56" s="9">
        <v>1094</v>
      </c>
    </row>
    <row r="57" spans="1:40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6"/>
        <v>Peru</v>
      </c>
      <c r="D57" s="6">
        <f t="shared" si="17"/>
        <v>1065</v>
      </c>
      <c r="E57" s="6">
        <f>IF(COUNTIF(I57:XFD57,"&gt;"&amp;0)=0,,HLOOKUP(COUNTIF(I57:XFD57,"&gt;"&amp;0)-1,I$1:XFD57,A57+1,FALSE))</f>
        <v>1065</v>
      </c>
      <c r="F57" s="7">
        <f>IF(COUNTIF(I57:XFD57,"&gt;"&amp;0)=0,,HLOOKUP(COUNTIF(I57:XFD57,"&gt;"&amp;0)-MIN($F$1+1,COUNTIF(I57:XFD57,"&gt;"&amp;0)),I$1:XFD57,A57+1,FALSE))</f>
        <v>580</v>
      </c>
      <c r="G57" s="8">
        <f t="shared" si="15"/>
        <v>1.1292349803612398</v>
      </c>
      <c r="H57" s="13" t="s">
        <v>160</v>
      </c>
      <c r="I57" s="9">
        <v>117</v>
      </c>
      <c r="J57" s="9">
        <v>145</v>
      </c>
      <c r="K57" s="9">
        <v>234</v>
      </c>
      <c r="L57" s="9">
        <v>234</v>
      </c>
      <c r="M57" s="9">
        <v>318</v>
      </c>
      <c r="N57" s="9">
        <v>363</v>
      </c>
      <c r="O57" s="9">
        <v>395</v>
      </c>
      <c r="P57" s="9">
        <v>416</v>
      </c>
      <c r="Q57" s="9">
        <v>480</v>
      </c>
      <c r="R57" s="9">
        <v>580</v>
      </c>
      <c r="S57" s="9">
        <v>635</v>
      </c>
      <c r="T57" s="9">
        <v>671</v>
      </c>
      <c r="U57" s="9">
        <v>852</v>
      </c>
      <c r="V57" s="9">
        <v>950</v>
      </c>
      <c r="W57" s="9">
        <v>1065</v>
      </c>
    </row>
    <row r="58" spans="1:40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6"/>
        <v>Argentina</v>
      </c>
      <c r="D58" s="6">
        <f t="shared" si="17"/>
        <v>1054</v>
      </c>
      <c r="E58" s="6">
        <f>IF(COUNTIF(I58:XFD58,"&gt;"&amp;0)=0,,HLOOKUP(COUNTIF(I58:XFD58,"&gt;"&amp;0)-1,I$1:XFD58,A58+1,FALSE))</f>
        <v>1054</v>
      </c>
      <c r="F58" s="7">
        <f>IF(COUNTIF(I58:XFD58,"&gt;"&amp;0)=0,,HLOOKUP(COUNTIF(I58:XFD58,"&gt;"&amp;0)-MIN($F$1+1,COUNTIF(I58:XFD58,"&gt;"&amp;0)),I$1:XFD58,A58+1,FALSE))</f>
        <v>502</v>
      </c>
      <c r="G58" s="8">
        <f t="shared" si="15"/>
        <v>1.1599182423271317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  <c r="M58" s="9">
        <v>387</v>
      </c>
      <c r="N58" s="9">
        <v>387</v>
      </c>
      <c r="O58" s="9">
        <v>502</v>
      </c>
      <c r="P58" s="9">
        <v>589</v>
      </c>
      <c r="Q58" s="9">
        <v>690</v>
      </c>
      <c r="R58" s="9">
        <v>745</v>
      </c>
      <c r="S58" s="9">
        <v>820</v>
      </c>
      <c r="T58" s="9">
        <v>1054</v>
      </c>
    </row>
    <row r="59" spans="1:40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6"/>
        <v>Singapore</v>
      </c>
      <c r="D59" s="6">
        <f t="shared" si="17"/>
        <v>926</v>
      </c>
      <c r="E59" s="6">
        <f>IF(COUNTIF(I59:XFD59,"&gt;"&amp;0)=0,,HLOOKUP(COUNTIF(I59:XFD59,"&gt;"&amp;0)-1,I$1:XFD59,A59+1,FALSE))</f>
        <v>926</v>
      </c>
      <c r="F59" s="7">
        <f>IF(COUNTIF(I59:XFD59,"&gt;"&amp;0)=0,,HLOOKUP(COUNTIF(I59:XFD59,"&gt;"&amp;0)-MIN($F$1+1,COUNTIF(I59:XFD59,"&gt;"&amp;0)),I$1:XFD59,A59+1,FALSE))</f>
        <v>683</v>
      </c>
      <c r="G59" s="8">
        <f t="shared" si="15"/>
        <v>1.0627669900632073</v>
      </c>
      <c r="H59" s="13" t="s">
        <v>40</v>
      </c>
      <c r="I59" s="9">
        <v>102</v>
      </c>
      <c r="J59" s="9">
        <v>106</v>
      </c>
      <c r="K59" s="9">
        <v>108</v>
      </c>
      <c r="L59" s="9">
        <v>110</v>
      </c>
      <c r="M59" s="9">
        <v>110</v>
      </c>
      <c r="N59" s="9">
        <v>117</v>
      </c>
      <c r="O59" s="9">
        <v>130</v>
      </c>
      <c r="P59" s="9">
        <v>138</v>
      </c>
      <c r="Q59" s="9">
        <v>150</v>
      </c>
      <c r="R59" s="9">
        <v>150</v>
      </c>
      <c r="S59" s="9">
        <v>160</v>
      </c>
      <c r="T59" s="9">
        <v>178</v>
      </c>
      <c r="U59" s="9">
        <v>178</v>
      </c>
      <c r="V59" s="9">
        <v>200</v>
      </c>
      <c r="W59" s="9">
        <v>212</v>
      </c>
      <c r="X59" s="9">
        <v>226</v>
      </c>
      <c r="Y59" s="9">
        <v>243</v>
      </c>
      <c r="Z59" s="9">
        <v>266</v>
      </c>
      <c r="AA59" s="9">
        <v>313</v>
      </c>
      <c r="AB59" s="9">
        <v>345</v>
      </c>
      <c r="AC59" s="9">
        <v>385</v>
      </c>
      <c r="AD59" s="9">
        <v>432</v>
      </c>
      <c r="AE59" s="9">
        <v>455</v>
      </c>
      <c r="AF59" s="9">
        <v>509</v>
      </c>
      <c r="AG59" s="9">
        <v>558</v>
      </c>
      <c r="AH59" s="9">
        <v>631</v>
      </c>
      <c r="AI59" s="9">
        <v>683</v>
      </c>
      <c r="AJ59" s="9">
        <v>732</v>
      </c>
      <c r="AK59" s="9">
        <v>802</v>
      </c>
      <c r="AL59" s="9">
        <v>844</v>
      </c>
      <c r="AM59" s="9">
        <v>879</v>
      </c>
      <c r="AN59" s="9">
        <v>926</v>
      </c>
    </row>
    <row r="60" spans="1:40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6"/>
        <v>Colombia</v>
      </c>
      <c r="D60" s="6">
        <f t="shared" si="17"/>
        <v>906</v>
      </c>
      <c r="E60" s="6">
        <f>IF(COUNTIF(I60:XFD60,"&gt;"&amp;0)=0,,HLOOKUP(COUNTIF(I60:XFD60,"&gt;"&amp;0)-1,I$1:XFD60,A60+1,FALSE))</f>
        <v>906</v>
      </c>
      <c r="F60" s="7">
        <f>IF(COUNTIF(I60:XFD60,"&gt;"&amp;0)=0,,HLOOKUP(COUNTIF(I60:XFD60,"&gt;"&amp;0)-MIN($F$1+1,COUNTIF(I60:XFD60,"&gt;"&amp;0)),I$1:XFD60,A60+1,FALSE))</f>
        <v>491</v>
      </c>
      <c r="G60" s="8">
        <f t="shared" si="15"/>
        <v>1.130340636637611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</row>
    <row r="61" spans="1:40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6"/>
        <v>Serbia</v>
      </c>
      <c r="D61" s="6">
        <f t="shared" si="17"/>
        <v>900</v>
      </c>
      <c r="E61" s="6">
        <f>IF(COUNTIF(I61:XFD61,"&gt;"&amp;0)=0,,HLOOKUP(COUNTIF(I61:XFD61,"&gt;"&amp;0)-1,I$1:XFD61,A61+1,FALSE))</f>
        <v>900</v>
      </c>
      <c r="F61" s="7">
        <f>IF(COUNTIF(I61:XFD61,"&gt;"&amp;0)=0,,HLOOKUP(COUNTIF(I61:XFD61,"&gt;"&amp;0)-MIN($F$1+1,COUNTIF(I61:XFD61,"&gt;"&amp;0)),I$1:XFD61,A61+1,FALSE))</f>
        <v>384</v>
      </c>
      <c r="G61" s="8">
        <f t="shared" si="15"/>
        <v>1.1857203048896559</v>
      </c>
      <c r="H61" s="13" t="s">
        <v>161</v>
      </c>
      <c r="I61" s="9">
        <v>103</v>
      </c>
      <c r="J61" s="9">
        <v>135</v>
      </c>
      <c r="K61" s="9">
        <v>171</v>
      </c>
      <c r="L61" s="9">
        <v>222</v>
      </c>
      <c r="M61" s="9">
        <v>249</v>
      </c>
      <c r="N61" s="9">
        <v>303</v>
      </c>
      <c r="O61" s="9">
        <v>384</v>
      </c>
      <c r="P61" s="9">
        <v>384</v>
      </c>
      <c r="Q61" s="9">
        <v>457</v>
      </c>
      <c r="R61" s="9">
        <v>659</v>
      </c>
      <c r="S61" s="9">
        <v>741</v>
      </c>
      <c r="T61" s="9">
        <v>785</v>
      </c>
      <c r="U61" s="9">
        <v>900</v>
      </c>
    </row>
    <row r="62" spans="1:40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6"/>
        <v>Croatia</v>
      </c>
      <c r="D62" s="6">
        <f t="shared" si="17"/>
        <v>867</v>
      </c>
      <c r="E62" s="6">
        <f>IF(COUNTIF(I62:XFD62,"&gt;"&amp;0)=0,,HLOOKUP(COUNTIF(I62:XFD62,"&gt;"&amp;0)-1,I$1:XFD62,A62+1,FALSE))</f>
        <v>867</v>
      </c>
      <c r="F62" s="7">
        <f>IF(COUNTIF(I62:XFD62,"&gt;"&amp;0)=0,,HLOOKUP(COUNTIF(I62:XFD62,"&gt;"&amp;0)-MIN($F$1+1,COUNTIF(I62:XFD62,"&gt;"&amp;0)),I$1:XFD62,A62+1,FALSE))</f>
        <v>495</v>
      </c>
      <c r="G62" s="8">
        <f t="shared" si="15"/>
        <v>1.1186205146823636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  <c r="T62" s="9">
        <v>790</v>
      </c>
      <c r="U62" s="9">
        <v>867</v>
      </c>
    </row>
    <row r="63" spans="1:40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6"/>
        <v>Slovenia</v>
      </c>
      <c r="D63" s="6">
        <f t="shared" si="17"/>
        <v>802</v>
      </c>
      <c r="E63" s="6">
        <f>IF(COUNTIF(I63:XFD63,"&gt;"&amp;0)=0,,HLOOKUP(COUNTIF(I63:XFD63,"&gt;"&amp;0)-1,I$1:XFD63,A63+1,FALSE))</f>
        <v>802</v>
      </c>
      <c r="F63" s="7">
        <f>IF(COUNTIF(I63:XFD63,"&gt;"&amp;0)=0,,HLOOKUP(COUNTIF(I63:XFD63,"&gt;"&amp;0)-MIN($F$1+1,COUNTIF(I63:XFD63,"&gt;"&amp;0)),I$1:XFD63,A63+1,FALSE))</f>
        <v>562</v>
      </c>
      <c r="G63" s="8">
        <f t="shared" si="15"/>
        <v>1.073711514567222</v>
      </c>
      <c r="H63" s="13" t="s">
        <v>141</v>
      </c>
      <c r="I63" s="9">
        <v>141</v>
      </c>
      <c r="J63" s="9">
        <v>181</v>
      </c>
      <c r="K63" s="9">
        <v>219</v>
      </c>
      <c r="L63" s="9">
        <v>253</v>
      </c>
      <c r="M63" s="9">
        <v>275</v>
      </c>
      <c r="N63" s="9">
        <v>275</v>
      </c>
      <c r="O63" s="9">
        <v>286</v>
      </c>
      <c r="P63" s="9">
        <v>341</v>
      </c>
      <c r="Q63" s="9">
        <v>383</v>
      </c>
      <c r="R63" s="9">
        <v>414</v>
      </c>
      <c r="S63" s="9">
        <v>442</v>
      </c>
      <c r="T63" s="9">
        <v>480</v>
      </c>
      <c r="U63" s="9">
        <v>528</v>
      </c>
      <c r="V63" s="9">
        <v>562</v>
      </c>
      <c r="W63" s="9">
        <v>632</v>
      </c>
      <c r="X63" s="9">
        <v>684</v>
      </c>
      <c r="Y63" s="9">
        <v>730</v>
      </c>
      <c r="Z63" s="9">
        <v>756</v>
      </c>
      <c r="AA63" s="9">
        <v>802</v>
      </c>
    </row>
    <row r="64" spans="1:40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6"/>
        <v>Qatar</v>
      </c>
      <c r="D64" s="6">
        <f t="shared" si="17"/>
        <v>781</v>
      </c>
      <c r="E64" s="6">
        <f>IF(COUNTIF(I64:XFD64,"&gt;"&amp;0)=0,,HLOOKUP(COUNTIF(I64:XFD64,"&gt;"&amp;0)-1,I$1:XFD64,A64+1,FALSE))</f>
        <v>781</v>
      </c>
      <c r="F64" s="7">
        <f>IF(COUNTIF(I64:XFD64,"&gt;"&amp;0)=0,,HLOOKUP(COUNTIF(I64:XFD64,"&gt;"&amp;0)-MIN($F$1+1,COUNTIF(I64:XFD64,"&gt;"&amp;0)),I$1:XFD64,A64+1,FALSE))</f>
        <v>549</v>
      </c>
      <c r="G64" s="8">
        <f t="shared" si="15"/>
        <v>1.0730395708423877</v>
      </c>
      <c r="H64" s="13" t="s">
        <v>101</v>
      </c>
      <c r="I64" s="9">
        <v>262</v>
      </c>
      <c r="J64" s="9">
        <v>262</v>
      </c>
      <c r="K64" s="9">
        <v>320</v>
      </c>
      <c r="L64" s="9">
        <v>337</v>
      </c>
      <c r="M64" s="9">
        <v>401</v>
      </c>
      <c r="N64" s="9">
        <v>439</v>
      </c>
      <c r="O64" s="9">
        <v>439</v>
      </c>
      <c r="P64" s="9">
        <v>452</v>
      </c>
      <c r="Q64" s="9">
        <v>460</v>
      </c>
      <c r="R64" s="9">
        <v>470</v>
      </c>
      <c r="S64" s="9">
        <v>481</v>
      </c>
      <c r="T64" s="9">
        <v>494</v>
      </c>
      <c r="U64" s="9">
        <v>501</v>
      </c>
      <c r="V64" s="9">
        <v>526</v>
      </c>
      <c r="W64" s="9">
        <v>537</v>
      </c>
      <c r="X64" s="9">
        <v>549</v>
      </c>
      <c r="Y64" s="9">
        <v>562</v>
      </c>
      <c r="Z64" s="9">
        <v>590</v>
      </c>
      <c r="AA64" s="9">
        <v>634</v>
      </c>
      <c r="AB64" s="9">
        <v>693</v>
      </c>
      <c r="AC64" s="9">
        <v>781</v>
      </c>
    </row>
    <row r="65" spans="1:30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6"/>
        <v>Estonia</v>
      </c>
      <c r="D65" s="6">
        <f t="shared" si="17"/>
        <v>745</v>
      </c>
      <c r="E65" s="6">
        <f>IF(COUNTIF(I65:XFD65,"&gt;"&amp;0)=0,,HLOOKUP(COUNTIF(I65:XFD65,"&gt;"&amp;0)-1,I$1:XFD65,A65+1,FALSE))</f>
        <v>745</v>
      </c>
      <c r="F65" s="7">
        <f>IF(COUNTIF(I65:XFD65,"&gt;"&amp;0)=0,,HLOOKUP(COUNTIF(I65:XFD65,"&gt;"&amp;0)-MIN($F$1+1,COUNTIF(I65:XFD65,"&gt;"&amp;0)),I$1:XFD65,A65+1,FALSE))</f>
        <v>538</v>
      </c>
      <c r="G65" s="8">
        <f t="shared" si="15"/>
        <v>1.0672712224640417</v>
      </c>
      <c r="H65" s="13" t="s">
        <v>88</v>
      </c>
      <c r="I65" s="9">
        <v>115</v>
      </c>
      <c r="J65" s="9">
        <v>171</v>
      </c>
      <c r="K65" s="9">
        <v>205</v>
      </c>
      <c r="L65" s="9">
        <v>225</v>
      </c>
      <c r="M65" s="9">
        <v>258</v>
      </c>
      <c r="N65" s="9">
        <v>267</v>
      </c>
      <c r="O65" s="9">
        <v>283</v>
      </c>
      <c r="P65" s="9">
        <v>306</v>
      </c>
      <c r="Q65" s="9">
        <v>326</v>
      </c>
      <c r="R65" s="9">
        <v>352</v>
      </c>
      <c r="S65" s="9">
        <v>369</v>
      </c>
      <c r="T65" s="9">
        <v>404</v>
      </c>
      <c r="U65" s="9">
        <v>538</v>
      </c>
      <c r="V65" s="9">
        <v>575</v>
      </c>
      <c r="W65" s="9">
        <v>645</v>
      </c>
      <c r="X65" s="9">
        <v>679</v>
      </c>
      <c r="Y65" s="9">
        <v>715</v>
      </c>
      <c r="Z65" s="9">
        <v>745</v>
      </c>
    </row>
    <row r="66" spans="1:30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6"/>
        <v>Algeria</v>
      </c>
      <c r="D66" s="6">
        <f t="shared" si="17"/>
        <v>716</v>
      </c>
      <c r="E66" s="6">
        <f>IF(COUNTIF(I66:XFD66,"&gt;"&amp;0)=0,,HLOOKUP(COUNTIF(I66:XFD66,"&gt;"&amp;0)-1,I$1:XFD66,A66+1,FALSE))</f>
        <v>716</v>
      </c>
      <c r="F66" s="7">
        <f>IF(COUNTIF(I66:XFD66,"&gt;"&amp;0)=0,,HLOOKUP(COUNTIF(I66:XFD66,"&gt;"&amp;0)-MIN($F$1+1,COUNTIF(I66:XFD66,"&gt;"&amp;0)),I$1:XFD66,A66+1,FALSE))</f>
        <v>367</v>
      </c>
      <c r="G66" s="8">
        <f t="shared" ref="G66:G97" si="18">IF(COUNTIF(I66:XFD66,"&gt;"&amp;0)=0,,(E66/F66)^(1/MIN(COUNTIF(I66:XFD66,"&gt;"&amp;0)-1,$F$1)))</f>
        <v>1.143008319891323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</row>
    <row r="67" spans="1:30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6"/>
        <v>Egypt</v>
      </c>
      <c r="D67" s="6">
        <f t="shared" si="17"/>
        <v>710</v>
      </c>
      <c r="E67" s="6">
        <f>IF(COUNTIF(I67:XFD67,"&gt;"&amp;0)=0,,HLOOKUP(COUNTIF(I67:XFD67,"&gt;"&amp;0)-1,I$1:XFD67,A67+1,FALSE))</f>
        <v>710</v>
      </c>
      <c r="F67" s="7">
        <f>IF(COUNTIF(I67:XFD67,"&gt;"&amp;0)=0,,HLOOKUP(COUNTIF(I67:XFD67,"&gt;"&amp;0)-MIN($F$1+1,COUNTIF(I67:XFD67,"&gt;"&amp;0)),I$1:XFD67,A67+1,FALSE))</f>
        <v>495</v>
      </c>
      <c r="G67" s="8">
        <f t="shared" si="18"/>
        <v>1.0748073556706184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</row>
    <row r="68" spans="1:30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6"/>
        <v>Iraq</v>
      </c>
      <c r="D68" s="6">
        <f t="shared" si="17"/>
        <v>694</v>
      </c>
      <c r="E68" s="6">
        <f>IF(COUNTIF(I68:XFD68,"&gt;"&amp;0)=0,,HLOOKUP(COUNTIF(I68:XFD68,"&gt;"&amp;0)-1,I$1:XFD68,A68+1,FALSE))</f>
        <v>694</v>
      </c>
      <c r="F68" s="7">
        <f>IF(COUNTIF(I68:XFD68,"&gt;"&amp;0)=0,,HLOOKUP(COUNTIF(I68:XFD68,"&gt;"&amp;0)-MIN($F$1+1,COUNTIF(I68:XFD68,"&gt;"&amp;0)),I$1:XFD68,A68+1,FALSE))</f>
        <v>382</v>
      </c>
      <c r="G68" s="8">
        <f t="shared" si="18"/>
        <v>1.1268321293120642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  <c r="W68" s="9">
        <v>458</v>
      </c>
      <c r="X68" s="9">
        <v>506</v>
      </c>
      <c r="Y68" s="9">
        <v>547</v>
      </c>
      <c r="Z68" s="9">
        <v>630</v>
      </c>
      <c r="AA68" s="9">
        <v>694</v>
      </c>
    </row>
    <row r="69" spans="1:30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ref="C69:C100" si="19">IF(H69="","",H69)</f>
        <v>United Arab Emirates</v>
      </c>
      <c r="D69" s="6">
        <f t="shared" ref="D69:D100" si="20">MAX(I69:JF69)</f>
        <v>664</v>
      </c>
      <c r="E69" s="6">
        <f>IF(COUNTIF(I69:XFD69,"&gt;"&amp;0)=0,,HLOOKUP(COUNTIF(I69:XFD69,"&gt;"&amp;0)-1,I$1:XFD69,A69+1,FALSE))</f>
        <v>664</v>
      </c>
      <c r="F69" s="7">
        <f>IF(COUNTIF(I69:XFD69,"&gt;"&amp;0)=0,,HLOOKUP(COUNTIF(I69:XFD69,"&gt;"&amp;0)-MIN($F$1+1,COUNTIF(I69:XFD69,"&gt;"&amp;0)),I$1:XFD69,A69+1,FALSE))</f>
        <v>333</v>
      </c>
      <c r="G69" s="8">
        <f t="shared" si="18"/>
        <v>1.1480076158593551</v>
      </c>
      <c r="H69" s="13" t="s">
        <v>55</v>
      </c>
      <c r="I69" s="9">
        <v>113</v>
      </c>
      <c r="J69" s="9">
        <v>140</v>
      </c>
      <c r="K69" s="9">
        <v>140</v>
      </c>
      <c r="L69" s="9">
        <v>153</v>
      </c>
      <c r="M69" s="9">
        <v>153</v>
      </c>
      <c r="N69" s="9">
        <v>198</v>
      </c>
      <c r="O69" s="9">
        <v>248</v>
      </c>
      <c r="P69" s="9">
        <v>333</v>
      </c>
      <c r="Q69" s="9">
        <v>333</v>
      </c>
      <c r="R69" s="9">
        <v>405</v>
      </c>
      <c r="S69" s="9">
        <v>468</v>
      </c>
      <c r="T69" s="9">
        <v>570</v>
      </c>
      <c r="U69" s="9">
        <v>611</v>
      </c>
      <c r="V69" s="9">
        <v>664</v>
      </c>
    </row>
    <row r="70" spans="1:30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si="19"/>
        <v>New Zealand</v>
      </c>
      <c r="D70" s="6">
        <f t="shared" si="20"/>
        <v>647</v>
      </c>
      <c r="E70" s="6">
        <f>IF(COUNTIF(I70:XFD70,"&gt;"&amp;0)=0,,HLOOKUP(COUNTIF(I70:XFD70,"&gt;"&amp;0)-1,I$1:XFD70,A70+1,FALSE))</f>
        <v>647</v>
      </c>
      <c r="F70" s="7">
        <f>IF(COUNTIF(I70:XFD70,"&gt;"&amp;0)=0,,HLOOKUP(COUNTIF(I70:XFD70,"&gt;"&amp;0)-MIN($F$1+1,COUNTIF(I70:XFD70,"&gt;"&amp;0)),I$1:XFD70,A70+1,FALSE))</f>
        <v>283</v>
      </c>
      <c r="G70" s="8">
        <f t="shared" si="18"/>
        <v>1.179841230937023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</row>
    <row r="71" spans="1:30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9"/>
        <v>Ukraine</v>
      </c>
      <c r="D71" s="6">
        <f t="shared" si="20"/>
        <v>645</v>
      </c>
      <c r="E71" s="6">
        <f>IF(COUNTIF(I71:XFD71,"&gt;"&amp;0)=0,,HLOOKUP(COUNTIF(I71:XFD71,"&gt;"&amp;0)-1,I$1:XFD71,A71+1,FALSE))</f>
        <v>645</v>
      </c>
      <c r="F71" s="7">
        <f>IF(COUNTIF(I71:XFD71,"&gt;"&amp;0)=0,,HLOOKUP(COUNTIF(I71:XFD71,"&gt;"&amp;0)-MIN($F$1+1,COUNTIF(I71:XFD71,"&gt;"&amp;0)),I$1:XFD71,A71+1,FALSE))</f>
        <v>196</v>
      </c>
      <c r="G71" s="8">
        <f t="shared" si="18"/>
        <v>1.268997389391521</v>
      </c>
      <c r="H71" s="13" t="s">
        <v>129</v>
      </c>
      <c r="I71" s="9">
        <v>145</v>
      </c>
      <c r="J71" s="9">
        <v>196</v>
      </c>
      <c r="K71" s="9">
        <v>310</v>
      </c>
      <c r="L71" s="9">
        <v>356</v>
      </c>
      <c r="M71" s="9">
        <v>475</v>
      </c>
      <c r="N71" s="9">
        <v>548</v>
      </c>
      <c r="O71" s="9">
        <v>645</v>
      </c>
    </row>
    <row r="72" spans="1:30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9"/>
        <v>Morocco</v>
      </c>
      <c r="D72" s="6">
        <f t="shared" si="20"/>
        <v>617</v>
      </c>
      <c r="E72" s="6">
        <f>IF(COUNTIF(I72:XFD72,"&gt;"&amp;0)=0,,HLOOKUP(COUNTIF(I72:XFD72,"&gt;"&amp;0)-1,I$1:XFD72,A72+1,FALSE))</f>
        <v>617</v>
      </c>
      <c r="F72" s="7">
        <f>IF(COUNTIF(I72:XFD72,"&gt;"&amp;0)=0,,HLOOKUP(COUNTIF(I72:XFD72,"&gt;"&amp;0)-MIN($F$1+1,COUNTIF(I72:XFD72,"&gt;"&amp;0)),I$1:XFD72,A72+1,FALSE))</f>
        <v>275</v>
      </c>
      <c r="G72" s="8">
        <f t="shared" si="18"/>
        <v>1.1754130118103778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</row>
    <row r="73" spans="1:30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9"/>
        <v>Bahrain</v>
      </c>
      <c r="D73" s="6">
        <f t="shared" si="20"/>
        <v>567</v>
      </c>
      <c r="E73" s="6">
        <f>IF(COUNTIF(I73:XFD73,"&gt;"&amp;0)=0,,HLOOKUP(COUNTIF(I73:XFD73,"&gt;"&amp;0)-1,I$1:XFD73,A73+1,FALSE))</f>
        <v>567</v>
      </c>
      <c r="F73" s="7">
        <f>IF(COUNTIF(I73:XFD73,"&gt;"&amp;0)=0,,HLOOKUP(COUNTIF(I73:XFD73,"&gt;"&amp;0)-MIN($F$1+1,COUNTIF(I73:XFD73,"&gt;"&amp;0)),I$1:XFD73,A73+1,FALSE))</f>
        <v>458</v>
      </c>
      <c r="G73" s="8">
        <f t="shared" si="18"/>
        <v>1.0436226981735182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</row>
    <row r="74" spans="1:30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9"/>
        <v>Lithuania</v>
      </c>
      <c r="D74" s="6">
        <f t="shared" si="20"/>
        <v>537</v>
      </c>
      <c r="E74" s="6">
        <f>IF(COUNTIF(I74:XFD74,"&gt;"&amp;0)=0,,HLOOKUP(COUNTIF(I74:XFD74,"&gt;"&amp;0)-1,I$1:XFD74,A74+1,FALSE))</f>
        <v>537</v>
      </c>
      <c r="F74" s="7">
        <f>IF(COUNTIF(I74:XFD74,"&gt;"&amp;0)=0,,HLOOKUP(COUNTIF(I74:XFD74,"&gt;"&amp;0)-MIN($F$1+1,COUNTIF(I74:XFD74,"&gt;"&amp;0)),I$1:XFD74,A74+1,FALSE))</f>
        <v>299</v>
      </c>
      <c r="G74" s="8">
        <f t="shared" si="18"/>
        <v>1.1242441061966082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</row>
    <row r="75" spans="1:30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9"/>
        <v>Armenia</v>
      </c>
      <c r="D75" s="6">
        <f t="shared" si="20"/>
        <v>532</v>
      </c>
      <c r="E75" s="6">
        <f>IF(COUNTIF(I75:XFD75,"&gt;"&amp;0)=0,,HLOOKUP(COUNTIF(I75:XFD75,"&gt;"&amp;0)-1,I$1:XFD75,A75+1,FALSE))</f>
        <v>532</v>
      </c>
      <c r="F75" s="7">
        <f>IF(COUNTIF(I75:XFD75,"&gt;"&amp;0)=0,,HLOOKUP(COUNTIF(I75:XFD75,"&gt;"&amp;0)-MIN($F$1+1,COUNTIF(I75:XFD75,"&gt;"&amp;0)),I$1:XFD75,A75+1,FALSE))</f>
        <v>290</v>
      </c>
      <c r="G75" s="8">
        <f t="shared" si="18"/>
        <v>1.1290228377611877</v>
      </c>
      <c r="H75" s="13" t="s">
        <v>105</v>
      </c>
      <c r="I75" s="9">
        <v>115</v>
      </c>
      <c r="J75" s="9">
        <v>136</v>
      </c>
      <c r="K75" s="9">
        <v>160</v>
      </c>
      <c r="L75" s="9">
        <v>194</v>
      </c>
      <c r="M75" s="9">
        <v>235</v>
      </c>
      <c r="N75" s="9">
        <v>249</v>
      </c>
      <c r="O75" s="9">
        <v>265</v>
      </c>
      <c r="P75" s="9">
        <v>290</v>
      </c>
      <c r="Q75" s="9">
        <v>329</v>
      </c>
      <c r="R75" s="9">
        <v>407</v>
      </c>
      <c r="S75" s="9">
        <v>424</v>
      </c>
      <c r="T75" s="9">
        <v>482</v>
      </c>
      <c r="U75" s="9">
        <v>532</v>
      </c>
    </row>
    <row r="76" spans="1:30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9"/>
        <v>Hungary</v>
      </c>
      <c r="D76" s="6">
        <f t="shared" si="20"/>
        <v>492</v>
      </c>
      <c r="E76" s="6">
        <f>IF(COUNTIF(I76:XFD76,"&gt;"&amp;0)=0,,HLOOKUP(COUNTIF(I76:XFD76,"&gt;"&amp;0)-1,I$1:XFD76,A76+1,FALSE))</f>
        <v>492</v>
      </c>
      <c r="F76" s="7">
        <f>IF(COUNTIF(I76:XFD76,"&gt;"&amp;0)=0,,HLOOKUP(COUNTIF(I76:XFD76,"&gt;"&amp;0)-MIN($F$1+1,COUNTIF(I76:XFD76,"&gt;"&amp;0)),I$1:XFD76,A76+1,FALSE))</f>
        <v>261</v>
      </c>
      <c r="G76" s="8">
        <f t="shared" si="18"/>
        <v>1.1351804917218276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</row>
    <row r="77" spans="1:30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9"/>
        <v>Lebanon</v>
      </c>
      <c r="D77" s="6">
        <f t="shared" si="20"/>
        <v>470</v>
      </c>
      <c r="E77" s="6">
        <f>IF(COUNTIF(I77:XFD77,"&gt;"&amp;0)=0,,HLOOKUP(COUNTIF(I77:XFD77,"&gt;"&amp;0)-1,I$1:XFD77,A77+1,FALSE))</f>
        <v>470</v>
      </c>
      <c r="F77" s="7">
        <f>IF(COUNTIF(I77:XFD77,"&gt;"&amp;0)=0,,HLOOKUP(COUNTIF(I77:XFD77,"&gt;"&amp;0)-MIN($F$1+1,COUNTIF(I77:XFD77,"&gt;"&amp;0)),I$1:XFD77,A77+1,FALSE))</f>
        <v>368</v>
      </c>
      <c r="G77" s="8">
        <f t="shared" si="18"/>
        <v>1.0501467867536938</v>
      </c>
      <c r="H77" s="13" t="s">
        <v>67</v>
      </c>
      <c r="I77" s="9">
        <v>110</v>
      </c>
      <c r="J77" s="9">
        <v>110</v>
      </c>
      <c r="K77" s="9">
        <v>120</v>
      </c>
      <c r="L77" s="9">
        <v>133</v>
      </c>
      <c r="M77" s="9">
        <v>157</v>
      </c>
      <c r="N77" s="9">
        <v>163</v>
      </c>
      <c r="O77" s="9">
        <v>187</v>
      </c>
      <c r="P77" s="9">
        <v>248</v>
      </c>
      <c r="Q77" s="9">
        <v>267</v>
      </c>
      <c r="R77" s="9">
        <v>318</v>
      </c>
      <c r="S77" s="9">
        <v>333</v>
      </c>
      <c r="T77" s="9">
        <v>368</v>
      </c>
      <c r="U77" s="9">
        <v>391</v>
      </c>
      <c r="V77" s="9">
        <v>412</v>
      </c>
      <c r="W77" s="9">
        <v>438</v>
      </c>
      <c r="X77" s="9">
        <v>446</v>
      </c>
      <c r="Y77" s="9">
        <v>470</v>
      </c>
    </row>
    <row r="78" spans="1:30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9"/>
        <v>Bosnia and Herzegovina</v>
      </c>
      <c r="D78" s="6">
        <f t="shared" si="20"/>
        <v>420</v>
      </c>
      <c r="E78" s="6">
        <f>IF(COUNTIF(I78:XFD78,"&gt;"&amp;0)=0,,HLOOKUP(COUNTIF(I78:XFD78,"&gt;"&amp;0)-1,I$1:XFD78,A78+1,FALSE))</f>
        <v>420</v>
      </c>
      <c r="F78" s="7">
        <f>IF(COUNTIF(I78:XFD78,"&gt;"&amp;0)=0,,HLOOKUP(COUNTIF(I78:XFD78,"&gt;"&amp;0)-MIN($F$1+1,COUNTIF(I78:XFD78,"&gt;"&amp;0)),I$1:XFD78,A78+1,FALSE))</f>
        <v>191</v>
      </c>
      <c r="G78" s="8">
        <f t="shared" si="18"/>
        <v>1.1706934395826023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</row>
    <row r="79" spans="1:30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9"/>
        <v>Bulgaria</v>
      </c>
      <c r="D79" s="6">
        <f t="shared" si="20"/>
        <v>399</v>
      </c>
      <c r="E79" s="6">
        <f>IF(COUNTIF(I79:XFD79,"&gt;"&amp;0)=0,,HLOOKUP(COUNTIF(I79:XFD79,"&gt;"&amp;0)-1,I$1:XFD79,A79+1,FALSE))</f>
        <v>399</v>
      </c>
      <c r="F79" s="7">
        <f>IF(COUNTIF(I79:XFD79,"&gt;"&amp;0)=0,,HLOOKUP(COUNTIF(I79:XFD79,"&gt;"&amp;0)-MIN($F$1+1,COUNTIF(I79:XFD79,"&gt;"&amp;0)),I$1:XFD79,A79+1,FALSE))</f>
        <v>264</v>
      </c>
      <c r="G79" s="8">
        <f t="shared" si="18"/>
        <v>1.0861099535491676</v>
      </c>
      <c r="H79" s="13" t="s">
        <v>199</v>
      </c>
      <c r="I79" s="9">
        <v>127</v>
      </c>
      <c r="J79" s="9">
        <v>163</v>
      </c>
      <c r="K79" s="9">
        <v>187</v>
      </c>
      <c r="L79" s="9">
        <v>201</v>
      </c>
      <c r="M79" s="9">
        <v>218</v>
      </c>
      <c r="N79" s="9">
        <v>242</v>
      </c>
      <c r="O79" s="9">
        <v>264</v>
      </c>
      <c r="P79" s="9">
        <v>293</v>
      </c>
      <c r="Q79" s="9">
        <v>331</v>
      </c>
      <c r="R79" s="9">
        <v>346</v>
      </c>
      <c r="S79" s="9">
        <v>359</v>
      </c>
      <c r="T79" s="9">
        <v>399</v>
      </c>
    </row>
    <row r="80" spans="1:30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9"/>
        <v>Latvia</v>
      </c>
      <c r="D80" s="6">
        <f t="shared" si="20"/>
        <v>398</v>
      </c>
      <c r="E80" s="6">
        <f>IF(COUNTIF(I80:XFD80,"&gt;"&amp;0)=0,,HLOOKUP(COUNTIF(I80:XFD80,"&gt;"&amp;0)-1,I$1:XFD80,A80+1,FALSE))</f>
        <v>398</v>
      </c>
      <c r="F80" s="7">
        <f>IF(COUNTIF(I80:XFD80,"&gt;"&amp;0)=0,,HLOOKUP(COUNTIF(I80:XFD80,"&gt;"&amp;0)-MIN($F$1+1,COUNTIF(I80:XFD80,"&gt;"&amp;0)),I$1:XFD80,A80+1,FALSE))</f>
        <v>244</v>
      </c>
      <c r="G80" s="8">
        <f t="shared" si="18"/>
        <v>1.1028048036206048</v>
      </c>
      <c r="H80" s="13" t="s">
        <v>111</v>
      </c>
      <c r="I80" s="9">
        <v>111</v>
      </c>
      <c r="J80" s="9">
        <v>124</v>
      </c>
      <c r="K80" s="9">
        <v>139</v>
      </c>
      <c r="L80" s="9">
        <v>180</v>
      </c>
      <c r="M80" s="9">
        <v>197</v>
      </c>
      <c r="N80" s="9">
        <v>221</v>
      </c>
      <c r="O80" s="9">
        <v>244</v>
      </c>
      <c r="P80" s="9">
        <v>280</v>
      </c>
      <c r="Q80" s="9">
        <v>305</v>
      </c>
      <c r="R80" s="9">
        <v>347</v>
      </c>
      <c r="S80" s="9">
        <v>376</v>
      </c>
      <c r="T80" s="9">
        <v>398</v>
      </c>
    </row>
    <row r="81" spans="1:26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9"/>
        <v>Tunisia</v>
      </c>
      <c r="D81" s="6">
        <f t="shared" si="20"/>
        <v>394</v>
      </c>
      <c r="E81" s="6">
        <f>IF(COUNTIF(I81:XFD81,"&gt;"&amp;0)=0,,HLOOKUP(COUNTIF(I81:XFD81,"&gt;"&amp;0)-1,I$1:XFD81,A81+1,FALSE))</f>
        <v>394</v>
      </c>
      <c r="F81" s="7">
        <f>IF(COUNTIF(I81:XFD81,"&gt;"&amp;0)=0,,HLOOKUP(COUNTIF(I81:XFD81,"&gt;"&amp;0)-MIN($F$1+1,COUNTIF(I81:XFD81,"&gt;"&amp;0)),I$1:XFD81,A81+1,FALSE))</f>
        <v>197</v>
      </c>
      <c r="G81" s="8">
        <f t="shared" si="18"/>
        <v>1.1486983549970351</v>
      </c>
      <c r="H81" s="13" t="s">
        <v>138</v>
      </c>
      <c r="I81" s="9">
        <v>114</v>
      </c>
      <c r="J81" s="9">
        <v>173</v>
      </c>
      <c r="K81" s="9">
        <v>197</v>
      </c>
      <c r="L81" s="9">
        <v>227</v>
      </c>
      <c r="M81" s="9">
        <v>278</v>
      </c>
      <c r="N81" s="9">
        <v>312</v>
      </c>
      <c r="O81" s="9">
        <v>312</v>
      </c>
      <c r="P81" s="9">
        <v>394</v>
      </c>
    </row>
    <row r="82" spans="1:26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9"/>
        <v>Andorra</v>
      </c>
      <c r="D82" s="6">
        <f t="shared" si="20"/>
        <v>376</v>
      </c>
      <c r="E82" s="6">
        <f>IF(COUNTIF(I82:XFD82,"&gt;"&amp;0)=0,,HLOOKUP(COUNTIF(I82:XFD82,"&gt;"&amp;0)-1,I$1:XFD82,A82+1,FALSE))</f>
        <v>376</v>
      </c>
      <c r="F82" s="7">
        <f>IF(COUNTIF(I82:XFD82,"&gt;"&amp;0)=0,,HLOOKUP(COUNTIF(I82:XFD82,"&gt;"&amp;0)-MIN($F$1+1,COUNTIF(I82:XFD82,"&gt;"&amp;0)),I$1:XFD82,A82+1,FALSE))</f>
        <v>224</v>
      </c>
      <c r="G82" s="8">
        <f t="shared" si="18"/>
        <v>1.1091440794805394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  <c r="N82" s="9">
        <v>267</v>
      </c>
      <c r="O82" s="9">
        <v>308</v>
      </c>
      <c r="P82" s="9">
        <v>334</v>
      </c>
      <c r="Q82" s="9">
        <v>370</v>
      </c>
      <c r="R82" s="9">
        <v>376</v>
      </c>
    </row>
    <row r="83" spans="1:26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9"/>
        <v>Slovakia</v>
      </c>
      <c r="D83" s="6">
        <f t="shared" si="20"/>
        <v>363</v>
      </c>
      <c r="E83" s="6">
        <f>IF(COUNTIF(I83:XFD83,"&gt;"&amp;0)=0,,HLOOKUP(COUNTIF(I83:XFD83,"&gt;"&amp;0)-1,I$1:XFD83,A83+1,FALSE))</f>
        <v>363</v>
      </c>
      <c r="F83" s="7">
        <f>IF(COUNTIF(I83:XFD83,"&gt;"&amp;0)=0,,HLOOKUP(COUNTIF(I83:XFD83,"&gt;"&amp;0)-MIN($F$1+1,COUNTIF(I83:XFD83,"&gt;"&amp;0)),I$1:XFD83,A83+1,FALSE))</f>
        <v>226</v>
      </c>
      <c r="G83" s="8">
        <f t="shared" si="18"/>
        <v>1.099409884259599</v>
      </c>
      <c r="H83" s="13" t="s">
        <v>162</v>
      </c>
      <c r="I83" s="9">
        <v>105</v>
      </c>
      <c r="J83" s="9">
        <v>123</v>
      </c>
      <c r="K83" s="9">
        <v>137</v>
      </c>
      <c r="L83" s="9">
        <v>178</v>
      </c>
      <c r="M83" s="9">
        <v>185</v>
      </c>
      <c r="N83" s="9">
        <v>186</v>
      </c>
      <c r="O83" s="9">
        <v>204</v>
      </c>
      <c r="P83" s="9">
        <v>216</v>
      </c>
      <c r="Q83" s="9">
        <v>226</v>
      </c>
      <c r="R83" s="9">
        <v>269</v>
      </c>
      <c r="S83" s="9">
        <v>292</v>
      </c>
      <c r="T83" s="9">
        <v>314</v>
      </c>
      <c r="U83" s="9">
        <v>336</v>
      </c>
      <c r="V83" s="9">
        <v>363</v>
      </c>
    </row>
    <row r="84" spans="1:26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9"/>
        <v>Moldova</v>
      </c>
      <c r="D84" s="6">
        <f t="shared" si="20"/>
        <v>353</v>
      </c>
      <c r="E84" s="6">
        <f>IF(COUNTIF(I84:XFD84,"&gt;"&amp;0)=0,,HLOOKUP(COUNTIF(I84:XFD84,"&gt;"&amp;0)-1,I$1:XFD84,A84+1,FALSE))</f>
        <v>353</v>
      </c>
      <c r="F84" s="7">
        <f>IF(COUNTIF(I84:XFD84,"&gt;"&amp;0)=0,,HLOOKUP(COUNTIF(I84:XFD84,"&gt;"&amp;0)-MIN($F$1+1,COUNTIF(I84:XFD84,"&gt;"&amp;0)),I$1:XFD84,A84+1,FALSE))</f>
        <v>177</v>
      </c>
      <c r="G84" s="8">
        <f t="shared" si="18"/>
        <v>1.1480486383170696</v>
      </c>
      <c r="H84" s="13" t="s">
        <v>345</v>
      </c>
      <c r="I84" s="9">
        <v>109</v>
      </c>
      <c r="J84" s="9">
        <v>125</v>
      </c>
      <c r="K84" s="9">
        <v>149</v>
      </c>
      <c r="L84" s="9">
        <v>177</v>
      </c>
      <c r="M84" s="9">
        <v>199</v>
      </c>
      <c r="N84" s="9">
        <v>231</v>
      </c>
      <c r="O84" s="9">
        <v>263</v>
      </c>
      <c r="P84" s="9">
        <v>298</v>
      </c>
      <c r="Q84" s="9">
        <v>353</v>
      </c>
    </row>
    <row r="85" spans="1:26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9"/>
        <v>Costa Rica</v>
      </c>
      <c r="D85" s="6">
        <f t="shared" si="20"/>
        <v>347</v>
      </c>
      <c r="E85" s="6">
        <f>IF(COUNTIF(I85:XFD85,"&gt;"&amp;0)=0,,HLOOKUP(COUNTIF(I85:XFD85,"&gt;"&amp;0)-1,I$1:XFD85,A85+1,FALSE))</f>
        <v>347</v>
      </c>
      <c r="F85" s="7">
        <f>IF(COUNTIF(I85:XFD85,"&gt;"&amp;0)=0,,HLOOKUP(COUNTIF(I85:XFD85,"&gt;"&amp;0)-MIN($F$1+1,COUNTIF(I85:XFD85,"&gt;"&amp;0)),I$1:XFD85,A85+1,FALSE))</f>
        <v>231</v>
      </c>
      <c r="G85" s="8">
        <f t="shared" si="18"/>
        <v>1.0847845695685134</v>
      </c>
      <c r="H85" s="13" t="s">
        <v>159</v>
      </c>
      <c r="I85" s="9">
        <v>117</v>
      </c>
      <c r="J85" s="9">
        <v>134</v>
      </c>
      <c r="K85" s="9">
        <v>158</v>
      </c>
      <c r="L85" s="9">
        <v>177</v>
      </c>
      <c r="M85" s="9">
        <v>201</v>
      </c>
      <c r="N85" s="9">
        <v>231</v>
      </c>
      <c r="O85" s="9">
        <v>263</v>
      </c>
      <c r="P85" s="9">
        <v>295</v>
      </c>
      <c r="Q85" s="9">
        <v>314</v>
      </c>
      <c r="R85" s="9">
        <v>330</v>
      </c>
      <c r="S85" s="9">
        <v>347</v>
      </c>
    </row>
    <row r="86" spans="1:26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9"/>
        <v>Kazakhstan</v>
      </c>
      <c r="D86" s="6">
        <f t="shared" si="20"/>
        <v>343</v>
      </c>
      <c r="E86" s="6">
        <f>IF(COUNTIF(I86:XFD86,"&gt;"&amp;0)=0,,HLOOKUP(COUNTIF(I86:XFD86,"&gt;"&amp;0)-1,I$1:XFD86,A86+1,FALSE))</f>
        <v>343</v>
      </c>
      <c r="F86" s="7">
        <f>IF(COUNTIF(I86:XFD86,"&gt;"&amp;0)=0,,HLOOKUP(COUNTIF(I86:XFD86,"&gt;"&amp;0)-MIN($F$1+1,COUNTIF(I86:XFD86,"&gt;"&amp;0)),I$1:XFD86,A86+1,FALSE))</f>
        <v>111</v>
      </c>
      <c r="G86" s="8">
        <f t="shared" si="18"/>
        <v>1.2531245208776778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  <c r="M86" s="9">
        <v>302</v>
      </c>
      <c r="N86" s="9">
        <v>343</v>
      </c>
    </row>
    <row r="87" spans="1:26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9"/>
        <v>North Macedonia</v>
      </c>
      <c r="D87" s="6">
        <f t="shared" si="20"/>
        <v>329</v>
      </c>
      <c r="E87" s="6">
        <f>IF(COUNTIF(I87:XFD87,"&gt;"&amp;0)=0,,HLOOKUP(COUNTIF(I87:XFD87,"&gt;"&amp;0)-1,I$1:XFD87,A87+1,FALSE))</f>
        <v>329</v>
      </c>
      <c r="F87" s="7">
        <f>IF(COUNTIF(I87:XFD87,"&gt;"&amp;0)=0,,HLOOKUP(COUNTIF(I87:XFD87,"&gt;"&amp;0)-MIN($F$1+1,COUNTIF(I87:XFD87,"&gt;"&amp;0)),I$1:XFD87,A87+1,FALSE))</f>
        <v>201</v>
      </c>
      <c r="G87" s="8">
        <f t="shared" si="18"/>
        <v>1.1035702089190449</v>
      </c>
      <c r="H87" s="13" t="s">
        <v>84</v>
      </c>
      <c r="I87" s="9">
        <v>115</v>
      </c>
      <c r="J87" s="9">
        <v>136</v>
      </c>
      <c r="K87" s="9">
        <v>148</v>
      </c>
      <c r="L87" s="9">
        <v>177</v>
      </c>
      <c r="M87" s="9">
        <v>201</v>
      </c>
      <c r="N87" s="9">
        <v>219</v>
      </c>
      <c r="O87" s="9">
        <v>241</v>
      </c>
      <c r="P87" s="9">
        <v>259</v>
      </c>
      <c r="Q87" s="9">
        <v>285</v>
      </c>
      <c r="R87" s="9">
        <v>329</v>
      </c>
    </row>
    <row r="88" spans="1:26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9"/>
        <v>Taiwan*</v>
      </c>
      <c r="D88" s="6">
        <f t="shared" si="20"/>
        <v>322</v>
      </c>
      <c r="E88" s="6">
        <f>IF(COUNTIF(I88:XFD88,"&gt;"&amp;0)=0,,HLOOKUP(COUNTIF(I88:XFD88,"&gt;"&amp;0)-1,I$1:XFD88,A88+1,FALSE))</f>
        <v>322</v>
      </c>
      <c r="F88" s="7">
        <f>IF(COUNTIF(I88:XFD88,"&gt;"&amp;0)=0,,HLOOKUP(COUNTIF(I88:XFD88,"&gt;"&amp;0)-MIN($F$1+1,COUNTIF(I88:XFD88,"&gt;"&amp;0)),I$1:XFD88,A88+1,FALSE))</f>
        <v>252</v>
      </c>
      <c r="G88" s="8">
        <f t="shared" si="18"/>
        <v>1.0502460726386826</v>
      </c>
      <c r="H88" s="13" t="s">
        <v>342</v>
      </c>
      <c r="I88" s="9">
        <v>100</v>
      </c>
      <c r="J88" s="9">
        <v>108</v>
      </c>
      <c r="K88" s="9">
        <v>135</v>
      </c>
      <c r="L88" s="9">
        <v>153</v>
      </c>
      <c r="M88" s="9">
        <v>169</v>
      </c>
      <c r="N88" s="9">
        <v>195</v>
      </c>
      <c r="O88" s="9">
        <v>215</v>
      </c>
      <c r="P88" s="9">
        <v>235</v>
      </c>
      <c r="Q88" s="9">
        <v>252</v>
      </c>
      <c r="R88" s="9">
        <v>267</v>
      </c>
      <c r="S88" s="9">
        <v>283</v>
      </c>
      <c r="T88" s="9">
        <v>298</v>
      </c>
      <c r="U88" s="9">
        <v>306</v>
      </c>
      <c r="V88" s="9">
        <v>322</v>
      </c>
    </row>
    <row r="89" spans="1:26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9"/>
        <v>Azerbaijan</v>
      </c>
      <c r="D89" s="6">
        <f t="shared" si="20"/>
        <v>298</v>
      </c>
      <c r="E89" s="6">
        <f>IF(COUNTIF(I89:XFD89,"&gt;"&amp;0)=0,,HLOOKUP(COUNTIF(I89:XFD89,"&gt;"&amp;0)-1,I$1:XFD89,A89+1,FALSE))</f>
        <v>298</v>
      </c>
      <c r="F89" s="7">
        <f>IF(COUNTIF(I89:XFD89,"&gt;"&amp;0)=0,,HLOOKUP(COUNTIF(I89:XFD89,"&gt;"&amp;0)-MIN($F$1+1,COUNTIF(I89:XFD89,"&gt;"&amp;0)),I$1:XFD89,A89+1,FALSE))</f>
        <v>122</v>
      </c>
      <c r="G89" s="8">
        <f t="shared" si="18"/>
        <v>1.1955597531070836</v>
      </c>
      <c r="H89" s="13" t="s">
        <v>104</v>
      </c>
      <c r="I89" s="9">
        <v>122</v>
      </c>
      <c r="J89" s="9">
        <v>165</v>
      </c>
      <c r="K89" s="9">
        <v>182</v>
      </c>
      <c r="L89" s="9">
        <v>209</v>
      </c>
      <c r="M89" s="9">
        <v>273</v>
      </c>
      <c r="N89" s="9">
        <v>298</v>
      </c>
    </row>
    <row r="90" spans="1:26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9"/>
        <v>Kuwait</v>
      </c>
      <c r="D90" s="6">
        <f t="shared" si="20"/>
        <v>289</v>
      </c>
      <c r="E90" s="6">
        <f>IF(COUNTIF(I90:XFD90,"&gt;"&amp;0)=0,,HLOOKUP(COUNTIF(I90:XFD90,"&gt;"&amp;0)-1,I$1:XFD90,A90+1,FALSE))</f>
        <v>289</v>
      </c>
      <c r="F90" s="7">
        <f>IF(COUNTIF(I90:XFD90,"&gt;"&amp;0)=0,,HLOOKUP(COUNTIF(I90:XFD90,"&gt;"&amp;0)-MIN($F$1+1,COUNTIF(I90:XFD90,"&gt;"&amp;0)),I$1:XFD90,A90+1,FALSE))</f>
        <v>208</v>
      </c>
      <c r="G90" s="8">
        <f t="shared" si="18"/>
        <v>1.067989299915628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  <c r="Y90" s="9">
        <v>266</v>
      </c>
      <c r="Z90" s="9">
        <v>289</v>
      </c>
    </row>
    <row r="91" spans="1:26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9"/>
        <v>Jordan</v>
      </c>
      <c r="D91" s="6">
        <f t="shared" si="20"/>
        <v>274</v>
      </c>
      <c r="E91" s="6">
        <f>IF(COUNTIF(I91:XFD91,"&gt;"&amp;0)=0,,HLOOKUP(COUNTIF(I91:XFD91,"&gt;"&amp;0)-1,I$1:XFD91,A91+1,FALSE))</f>
        <v>274</v>
      </c>
      <c r="F91" s="7">
        <f>IF(COUNTIF(I91:XFD91,"&gt;"&amp;0)=0,,HLOOKUP(COUNTIF(I91:XFD91,"&gt;"&amp;0)-MIN($F$1+1,COUNTIF(I91:XFD91,"&gt;"&amp;0)),I$1:XFD91,A91+1,FALSE))</f>
        <v>212</v>
      </c>
      <c r="G91" s="8">
        <f t="shared" si="18"/>
        <v>1.0526474442834142</v>
      </c>
      <c r="H91" s="13" t="s">
        <v>125</v>
      </c>
      <c r="I91" s="9">
        <v>112</v>
      </c>
      <c r="J91" s="9">
        <v>127</v>
      </c>
      <c r="K91" s="9">
        <v>154</v>
      </c>
      <c r="L91" s="9">
        <v>172</v>
      </c>
      <c r="M91" s="9">
        <v>212</v>
      </c>
      <c r="N91" s="9">
        <v>235</v>
      </c>
      <c r="O91" s="9">
        <v>246</v>
      </c>
      <c r="P91" s="9">
        <v>259</v>
      </c>
      <c r="Q91" s="9">
        <v>268</v>
      </c>
      <c r="R91" s="9">
        <v>274</v>
      </c>
    </row>
    <row r="92" spans="1:26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9"/>
        <v>Cyprus</v>
      </c>
      <c r="D92" s="6">
        <f t="shared" si="20"/>
        <v>262</v>
      </c>
      <c r="E92" s="6">
        <f>IF(COUNTIF(I92:XFD92,"&gt;"&amp;0)=0,,HLOOKUP(COUNTIF(I92:XFD92,"&gt;"&amp;0)-1,I$1:XFD92,A92+1,FALSE))</f>
        <v>262</v>
      </c>
      <c r="F92" s="7">
        <f>IF(COUNTIF(I92:XFD92,"&gt;"&amp;0)=0,,HLOOKUP(COUNTIF(I92:XFD92,"&gt;"&amp;0)-MIN($F$1+1,COUNTIF(I92:XFD92,"&gt;"&amp;0)),I$1:XFD92,A92+1,FALSE))</f>
        <v>146</v>
      </c>
      <c r="G92" s="8">
        <f t="shared" si="18"/>
        <v>1.1240605008597082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</row>
    <row r="93" spans="1:26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9"/>
        <v>Burkina Faso</v>
      </c>
      <c r="D93" s="6">
        <f t="shared" si="20"/>
        <v>261</v>
      </c>
      <c r="E93" s="6">
        <f>IF(COUNTIF(I93:XFD93,"&gt;"&amp;0)=0,,HLOOKUP(COUNTIF(I93:XFD93,"&gt;"&amp;0)-1,I$1:XFD93,A93+1,FALSE))</f>
        <v>261</v>
      </c>
      <c r="F93" s="7">
        <f>IF(COUNTIF(I93:XFD93,"&gt;"&amp;0)=0,,HLOOKUP(COUNTIF(I93:XFD93,"&gt;"&amp;0)-MIN($F$1+1,COUNTIF(I93:XFD93,"&gt;"&amp;0)),I$1:XFD93,A93+1,FALSE))</f>
        <v>152</v>
      </c>
      <c r="G93" s="8">
        <f t="shared" si="18"/>
        <v>1.1141903273271696</v>
      </c>
      <c r="H93" s="13" t="s">
        <v>279</v>
      </c>
      <c r="I93" s="9">
        <v>114</v>
      </c>
      <c r="J93" s="9">
        <v>146</v>
      </c>
      <c r="K93" s="9">
        <v>152</v>
      </c>
      <c r="L93" s="9">
        <v>180</v>
      </c>
      <c r="M93" s="9">
        <v>207</v>
      </c>
      <c r="N93" s="9">
        <v>222</v>
      </c>
      <c r="O93" s="9">
        <v>246</v>
      </c>
      <c r="P93" s="9">
        <v>261</v>
      </c>
    </row>
    <row r="94" spans="1:26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9"/>
        <v>Albania</v>
      </c>
      <c r="D94" s="6">
        <f t="shared" si="20"/>
        <v>243</v>
      </c>
      <c r="E94" s="6">
        <f>IF(COUNTIF(I94:XFD94,"&gt;"&amp;0)=0,,HLOOKUP(COUNTIF(I94:XFD94,"&gt;"&amp;0)-1,I$1:XFD94,A94+1,FALSE))</f>
        <v>243</v>
      </c>
      <c r="F94" s="7">
        <f>IF(COUNTIF(I94:XFD94,"&gt;"&amp;0)=0,,HLOOKUP(COUNTIF(I94:XFD94,"&gt;"&amp;0)-MIN($F$1+1,COUNTIF(I94:XFD94,"&gt;"&amp;0)),I$1:XFD94,A94+1,FALSE))</f>
        <v>174</v>
      </c>
      <c r="G94" s="8">
        <f t="shared" si="18"/>
        <v>1.0690829541787212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</row>
    <row r="95" spans="1:26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9"/>
        <v>San Marino</v>
      </c>
      <c r="D95" s="6">
        <f t="shared" si="20"/>
        <v>236</v>
      </c>
      <c r="E95" s="6">
        <f>IF(COUNTIF(I95:XFD95,"&gt;"&amp;0)=0,,HLOOKUP(COUNTIF(I95:XFD95,"&gt;"&amp;0)-1,I$1:XFD95,A95+1,FALSE))</f>
        <v>236</v>
      </c>
      <c r="F95" s="7">
        <f>IF(COUNTIF(I95:XFD95,"&gt;"&amp;0)=0,,HLOOKUP(COUNTIF(I95:XFD95,"&gt;"&amp;0)-MIN($F$1+1,COUNTIF(I95:XFD95,"&gt;"&amp;0)),I$1:XFD95,A95+1,FALSE))</f>
        <v>208</v>
      </c>
      <c r="G95" s="8">
        <f t="shared" si="18"/>
        <v>1.025580450076665</v>
      </c>
      <c r="H95" s="13" t="s">
        <v>90</v>
      </c>
      <c r="I95" s="9">
        <v>101</v>
      </c>
      <c r="J95" s="9">
        <v>109</v>
      </c>
      <c r="K95" s="9">
        <v>109</v>
      </c>
      <c r="L95" s="9">
        <v>119</v>
      </c>
      <c r="M95" s="9">
        <v>119</v>
      </c>
      <c r="N95" s="9">
        <v>144</v>
      </c>
      <c r="O95" s="9">
        <v>144</v>
      </c>
      <c r="P95" s="9">
        <v>175</v>
      </c>
      <c r="Q95" s="9">
        <v>187</v>
      </c>
      <c r="R95" s="9">
        <v>187</v>
      </c>
      <c r="S95" s="9">
        <v>208</v>
      </c>
      <c r="T95" s="9">
        <v>208</v>
      </c>
      <c r="U95" s="9">
        <v>223</v>
      </c>
      <c r="V95" s="9">
        <v>224</v>
      </c>
      <c r="W95" s="9">
        <v>224</v>
      </c>
      <c r="X95" s="9">
        <v>230</v>
      </c>
      <c r="Y95" s="9">
        <v>236</v>
      </c>
    </row>
    <row r="96" spans="1:26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9"/>
        <v>Vietnam</v>
      </c>
      <c r="D96" s="6">
        <f t="shared" si="20"/>
        <v>212</v>
      </c>
      <c r="E96" s="6">
        <f>IF(COUNTIF(I96:XFD96,"&gt;"&amp;0)=0,,HLOOKUP(COUNTIF(I96:XFD96,"&gt;"&amp;0)-1,I$1:XFD96,A96+1,FALSE))</f>
        <v>212</v>
      </c>
      <c r="F96" s="7">
        <f>IF(COUNTIF(I96:XFD96,"&gt;"&amp;0)=0,,HLOOKUP(COUNTIF(I96:XFD96,"&gt;"&amp;0)-MIN($F$1+1,COUNTIF(I96:XFD96,"&gt;"&amp;0)),I$1:XFD96,A96+1,FALSE))</f>
        <v>153</v>
      </c>
      <c r="G96" s="8">
        <f t="shared" si="18"/>
        <v>1.0674041476450216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  <c r="Q96" s="9">
        <v>203</v>
      </c>
      <c r="R96" s="9">
        <v>212</v>
      </c>
    </row>
    <row r="97" spans="1:1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9"/>
        <v>Cameroon</v>
      </c>
      <c r="D97" s="6">
        <f t="shared" si="20"/>
        <v>193</v>
      </c>
      <c r="E97" s="6">
        <f>IF(COUNTIF(I97:XFD97,"&gt;"&amp;0)=0,,HLOOKUP(COUNTIF(I97:XFD97,"&gt;"&amp;0)-1,I$1:XFD97,A97+1,FALSE))</f>
        <v>193</v>
      </c>
      <c r="F97" s="7">
        <f>IF(COUNTIF(I97:XFD97,"&gt;"&amp;0)=0,,HLOOKUP(COUNTIF(I97:XFD97,"&gt;"&amp;0)-MIN($F$1+1,COUNTIF(I97:XFD97,"&gt;"&amp;0)),I$1:XFD97,A97+1,FALSE))</f>
        <v>139</v>
      </c>
      <c r="G97" s="8">
        <f t="shared" si="18"/>
        <v>1.1783417198050374</v>
      </c>
      <c r="H97" s="13" t="s">
        <v>157</v>
      </c>
      <c r="I97" s="9">
        <v>139</v>
      </c>
      <c r="J97" s="9">
        <v>139</v>
      </c>
      <c r="K97" s="9">
        <v>193</v>
      </c>
    </row>
    <row r="98" spans="1:1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9"/>
        <v>Oman</v>
      </c>
      <c r="D98" s="6">
        <f t="shared" si="20"/>
        <v>192</v>
      </c>
      <c r="E98" s="6">
        <f>IF(COUNTIF(I98:XFD98,"&gt;"&amp;0)=0,,HLOOKUP(COUNTIF(I98:XFD98,"&gt;"&amp;0)-1,I$1:XFD98,A98+1,FALSE))</f>
        <v>192</v>
      </c>
      <c r="F98" s="7">
        <f>IF(COUNTIF(I98:XFD98,"&gt;"&amp;0)=0,,HLOOKUP(COUNTIF(I98:XFD98,"&gt;"&amp;0)-MIN($F$1+1,COUNTIF(I98:XFD98,"&gt;"&amp;0)),I$1:XFD98,A98+1,FALSE))</f>
        <v>109</v>
      </c>
      <c r="G98" s="8">
        <f t="shared" ref="G98:G129" si="21">IF(COUNTIF(I98:XFD98,"&gt;"&amp;0)=0,,(E98/F98)^(1/MIN(COUNTIF(I98:XFD98,"&gt;"&amp;0)-1,$F$1)))</f>
        <v>1.1198889156802219</v>
      </c>
      <c r="H98" s="13" t="s">
        <v>71</v>
      </c>
      <c r="I98" s="9">
        <v>109</v>
      </c>
      <c r="J98" s="9">
        <v>131</v>
      </c>
      <c r="K98" s="9">
        <v>152</v>
      </c>
      <c r="L98" s="9">
        <v>167</v>
      </c>
      <c r="M98" s="9">
        <v>179</v>
      </c>
      <c r="N98" s="9">
        <v>192</v>
      </c>
    </row>
    <row r="99" spans="1:1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9"/>
        <v>Cuba</v>
      </c>
      <c r="D99" s="6">
        <f t="shared" si="20"/>
        <v>186</v>
      </c>
      <c r="E99" s="6">
        <f>IF(COUNTIF(I99:XFD99,"&gt;"&amp;0)=0,,HLOOKUP(COUNTIF(I99:XFD99,"&gt;"&amp;0)-1,I$1:XFD99,A99+1,FALSE))</f>
        <v>186</v>
      </c>
      <c r="F99" s="7">
        <f>IF(COUNTIF(I99:XFD99,"&gt;"&amp;0)=0,,HLOOKUP(COUNTIF(I99:XFD99,"&gt;"&amp;0)-MIN($F$1+1,COUNTIF(I99:XFD99,"&gt;"&amp;0)),I$1:XFD99,A99+1,FALSE))</f>
        <v>119</v>
      </c>
      <c r="G99" s="8">
        <f t="shared" si="21"/>
        <v>1.1605272103321789</v>
      </c>
      <c r="H99" s="13" t="s">
        <v>410</v>
      </c>
      <c r="I99" s="9">
        <v>119</v>
      </c>
      <c r="J99" s="9">
        <v>139</v>
      </c>
      <c r="K99" s="9">
        <v>170</v>
      </c>
      <c r="L99" s="9">
        <v>186</v>
      </c>
    </row>
    <row r="100" spans="1:1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9"/>
        <v>Cote d'Ivoire</v>
      </c>
      <c r="D100" s="6">
        <f t="shared" si="20"/>
        <v>179</v>
      </c>
      <c r="E100" s="6">
        <f>IF(COUNTIF(I100:XFD100,"&gt;"&amp;0)=0,,HLOOKUP(COUNTIF(I100:XFD100,"&gt;"&amp;0)-1,I$1:XFD100,A100+1,FALSE))</f>
        <v>179</v>
      </c>
      <c r="F100" s="7">
        <f>IF(COUNTIF(I100:XFD100,"&gt;"&amp;0)=0,,HLOOKUP(COUNTIF(I100:XFD100,"&gt;"&amp;0)-MIN($F$1+1,COUNTIF(I100:XFD100,"&gt;"&amp;0)),I$1:XFD100,A100+1,FALSE))</f>
        <v>101</v>
      </c>
      <c r="G100" s="8">
        <f t="shared" si="21"/>
        <v>1.153806322159681</v>
      </c>
      <c r="H100" s="13" t="s">
        <v>352</v>
      </c>
      <c r="I100" s="9">
        <v>101</v>
      </c>
      <c r="J100" s="9">
        <v>101</v>
      </c>
      <c r="K100" s="9">
        <v>165</v>
      </c>
      <c r="L100" s="9">
        <v>168</v>
      </c>
      <c r="M100" s="9">
        <v>179</v>
      </c>
    </row>
    <row r="101" spans="1:1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ref="C101:C132" si="22">IF(H101="","",H101)</f>
        <v>Senegal</v>
      </c>
      <c r="D101" s="6">
        <f t="shared" ref="D101:D132" si="23">MAX(I101:JF101)</f>
        <v>175</v>
      </c>
      <c r="E101" s="6">
        <f>IF(COUNTIF(I101:XFD101,"&gt;"&amp;0)=0,,HLOOKUP(COUNTIF(I101:XFD101,"&gt;"&amp;0)-1,I$1:XFD101,A101+1,FALSE))</f>
        <v>175</v>
      </c>
      <c r="F101" s="7">
        <f>IF(COUNTIF(I101:XFD101,"&gt;"&amp;0)=0,,HLOOKUP(COUNTIF(I101:XFD101,"&gt;"&amp;0)-MIN($F$1+1,COUNTIF(I101:XFD101,"&gt;"&amp;0)),I$1:XFD101,A101+1,FALSE))</f>
        <v>105</v>
      </c>
      <c r="G101" s="8">
        <f t="shared" si="21"/>
        <v>1.1075663432482901</v>
      </c>
      <c r="H101" s="13" t="s">
        <v>114</v>
      </c>
      <c r="I101" s="9">
        <v>105</v>
      </c>
      <c r="J101" s="9">
        <v>119</v>
      </c>
      <c r="K101" s="9">
        <v>130</v>
      </c>
      <c r="L101" s="9">
        <v>142</v>
      </c>
      <c r="M101" s="9">
        <v>162</v>
      </c>
      <c r="N101" s="9">
        <v>175</v>
      </c>
    </row>
    <row r="102" spans="1:1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22"/>
        <v>Afghanistan</v>
      </c>
      <c r="D102" s="6">
        <f t="shared" si="23"/>
        <v>174</v>
      </c>
      <c r="E102" s="6">
        <f>IF(COUNTIF(I102:XFD102,"&gt;"&amp;0)=0,,HLOOKUP(COUNTIF(I102:XFD102,"&gt;"&amp;0)-1,I$1:XFD102,A102+1,FALSE))</f>
        <v>174</v>
      </c>
      <c r="F102" s="7">
        <f>IF(COUNTIF(I102:XFD102,"&gt;"&amp;0)=0,,HLOOKUP(COUNTIF(I102:XFD102,"&gt;"&amp;0)-MIN($F$1+1,COUNTIF(I102:XFD102,"&gt;"&amp;0)),I$1:XFD102,A102+1,FALSE))</f>
        <v>110</v>
      </c>
      <c r="G102" s="8">
        <f t="shared" si="21"/>
        <v>1.1214738226757683</v>
      </c>
      <c r="H102" s="13" t="s">
        <v>72</v>
      </c>
      <c r="I102" s="9">
        <v>110</v>
      </c>
      <c r="J102" s="9">
        <v>110</v>
      </c>
      <c r="K102" s="9">
        <v>120</v>
      </c>
      <c r="L102" s="9">
        <v>170</v>
      </c>
      <c r="M102" s="9">
        <v>174</v>
      </c>
    </row>
    <row r="103" spans="1:1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22"/>
        <v>Malta</v>
      </c>
      <c r="D103" s="6">
        <f t="shared" si="23"/>
        <v>169</v>
      </c>
      <c r="E103" s="6">
        <f>IF(COUNTIF(I103:XFD103,"&gt;"&amp;0)=0,,HLOOKUP(COUNTIF(I103:XFD103,"&gt;"&amp;0)-1,I$1:XFD103,A103+1,FALSE))</f>
        <v>169</v>
      </c>
      <c r="F103" s="7">
        <f>IF(COUNTIF(I103:XFD103,"&gt;"&amp;0)=0,,HLOOKUP(COUNTIF(I103:XFD103,"&gt;"&amp;0)-MIN($F$1+1,COUNTIF(I103:XFD103,"&gt;"&amp;0)),I$1:XFD103,A103+1,FALSE))</f>
        <v>134</v>
      </c>
      <c r="G103" s="8">
        <f t="shared" si="21"/>
        <v>1.04750566717917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</row>
    <row r="104" spans="1:1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22"/>
        <v>Belarus</v>
      </c>
      <c r="D104" s="6">
        <f t="shared" si="23"/>
        <v>152</v>
      </c>
      <c r="E104" s="6">
        <f>IF(COUNTIF(I104:XFD104,"&gt;"&amp;0)=0,,HLOOKUP(COUNTIF(I104:XFD104,"&gt;"&amp;0)-1,I$1:XFD104,A104+1,FALSE))</f>
        <v>152</v>
      </c>
      <c r="F104" s="7">
        <f>IF(COUNTIF(I104:XFD104,"&gt;"&amp;0)=0,,HLOOKUP(COUNTIF(I104:XFD104,"&gt;"&amp;0)-MIN($F$1+1,COUNTIF(I104:XFD104,"&gt;"&amp;0)),I$1:XFD104,A104+1,FALSE))</f>
        <v>152</v>
      </c>
      <c r="G104" s="8">
        <f t="shared" si="21"/>
        <v>1</v>
      </c>
      <c r="H104" s="13" t="s">
        <v>91</v>
      </c>
      <c r="I104" s="9">
        <v>152</v>
      </c>
      <c r="J104" s="9">
        <v>152</v>
      </c>
    </row>
    <row r="105" spans="1:1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22"/>
        <v>Sri Lanka</v>
      </c>
      <c r="D105" s="6">
        <f t="shared" si="23"/>
        <v>143</v>
      </c>
      <c r="E105" s="6">
        <f>IF(COUNTIF(I105:XFD105,"&gt;"&amp;0)=0,,HLOOKUP(COUNTIF(I105:XFD105,"&gt;"&amp;0)-1,I$1:XFD105,A105+1,FALSE))</f>
        <v>143</v>
      </c>
      <c r="F105" s="7">
        <f>IF(COUNTIF(I105:XFD105,"&gt;"&amp;0)=0,,HLOOKUP(COUNTIF(I105:XFD105,"&gt;"&amp;0)-MIN($F$1+1,COUNTIF(I105:XFD105,"&gt;"&amp;0)),I$1:XFD105,A105+1,FALSE))</f>
        <v>106</v>
      </c>
      <c r="G105" s="8">
        <f t="shared" si="21"/>
        <v>1.061710309361088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  <c r="O105" s="9">
        <v>122</v>
      </c>
      <c r="P105" s="9">
        <v>143</v>
      </c>
    </row>
    <row r="106" spans="1:1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22"/>
        <v>Honduras</v>
      </c>
      <c r="D106" s="6">
        <f t="shared" si="23"/>
        <v>141</v>
      </c>
      <c r="E106" s="6">
        <f>IF(COUNTIF(I106:XFD106,"&gt;"&amp;0)=0,,HLOOKUP(COUNTIF(I106:XFD106,"&gt;"&amp;0)-1,I$1:XFD106,A106+1,FALSE))</f>
        <v>141</v>
      </c>
      <c r="F106" s="7">
        <f>IF(COUNTIF(I106:XFD106,"&gt;"&amp;0)=0,,HLOOKUP(COUNTIF(I106:XFD106,"&gt;"&amp;0)-MIN($F$1+1,COUNTIF(I106:XFD106,"&gt;"&amp;0)),I$1:XFD106,A106+1,FALSE))</f>
        <v>110</v>
      </c>
      <c r="G106" s="8">
        <f t="shared" si="21"/>
        <v>1.1321740951895083</v>
      </c>
      <c r="H106" s="13" t="s">
        <v>348</v>
      </c>
      <c r="I106" s="9">
        <v>110</v>
      </c>
      <c r="J106" s="9">
        <v>139</v>
      </c>
      <c r="K106" s="9">
        <v>141</v>
      </c>
    </row>
    <row r="107" spans="1:1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22"/>
        <v>Nigeria</v>
      </c>
      <c r="D107" s="6">
        <f t="shared" si="23"/>
        <v>135</v>
      </c>
      <c r="E107" s="6">
        <f>IF(COUNTIF(I107:XFD107,"&gt;"&amp;0)=0,,HLOOKUP(COUNTIF(I107:XFD107,"&gt;"&amp;0)-1,I$1:XFD107,A107+1,FALSE))</f>
        <v>135</v>
      </c>
      <c r="F107" s="7">
        <f>IF(COUNTIF(I107:XFD107,"&gt;"&amp;0)=0,,HLOOKUP(COUNTIF(I107:XFD107,"&gt;"&amp;0)-MIN($F$1+1,COUNTIF(I107:XFD107,"&gt;"&amp;0)),I$1:XFD107,A107+1,FALSE))</f>
        <v>111</v>
      </c>
      <c r="G107" s="8">
        <f t="shared" si="21"/>
        <v>1.1028219331407116</v>
      </c>
      <c r="H107" s="13" t="s">
        <v>96</v>
      </c>
      <c r="I107" s="9">
        <v>111</v>
      </c>
      <c r="J107" s="9">
        <v>131</v>
      </c>
      <c r="K107" s="9">
        <v>135</v>
      </c>
    </row>
    <row r="108" spans="1:1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22"/>
        <v>Brunei</v>
      </c>
      <c r="D108" s="6">
        <f t="shared" si="23"/>
        <v>129</v>
      </c>
      <c r="E108" s="6">
        <f>IF(COUNTIF(I108:XFD108,"&gt;"&amp;0)=0,,HLOOKUP(COUNTIF(I108:XFD108,"&gt;"&amp;0)-1,I$1:XFD108,A108+1,FALSE))</f>
        <v>129</v>
      </c>
      <c r="F108" s="7">
        <f>IF(COUNTIF(I108:XFD108,"&gt;"&amp;0)=0,,HLOOKUP(COUNTIF(I108:XFD108,"&gt;"&amp;0)-MIN($F$1+1,COUNTIF(I108:XFD108,"&gt;"&amp;0)),I$1:XFD108,A108+1,FALSE))</f>
        <v>114</v>
      </c>
      <c r="G108" s="8">
        <f t="shared" si="21"/>
        <v>1.0250309335349035</v>
      </c>
      <c r="H108" s="13" t="s">
        <v>233</v>
      </c>
      <c r="I108" s="9">
        <v>104</v>
      </c>
      <c r="J108" s="9">
        <v>109</v>
      </c>
      <c r="K108" s="9">
        <v>114</v>
      </c>
      <c r="L108" s="9">
        <v>115</v>
      </c>
      <c r="M108" s="9">
        <v>120</v>
      </c>
      <c r="N108" s="9">
        <v>126</v>
      </c>
      <c r="O108" s="9">
        <v>127</v>
      </c>
      <c r="P108" s="9">
        <v>129</v>
      </c>
    </row>
    <row r="109" spans="1:1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22"/>
        <v>Georgia</v>
      </c>
      <c r="D109" s="6">
        <f t="shared" si="23"/>
        <v>110</v>
      </c>
      <c r="E109" s="6">
        <f>IF(COUNTIF(I109:XFD109,"&gt;"&amp;0)=0,,HLOOKUP(COUNTIF(I109:XFD109,"&gt;"&amp;0)-1,I$1:XFD109,A109+1,FALSE))</f>
        <v>110</v>
      </c>
      <c r="F109" s="7">
        <f>IF(COUNTIF(I109:XFD109,"&gt;"&amp;0)=0,,HLOOKUP(COUNTIF(I109:XFD109,"&gt;"&amp;0)-MIN($F$1+1,COUNTIF(I109:XFD109,"&gt;"&amp;0)),I$1:XFD109,A109+1,FALSE))</f>
        <v>103</v>
      </c>
      <c r="G109" s="8">
        <f t="shared" si="21"/>
        <v>1.0679611650485437</v>
      </c>
      <c r="H109" s="13" t="s">
        <v>82</v>
      </c>
      <c r="I109" s="9">
        <v>103</v>
      </c>
      <c r="J109" s="9">
        <v>110</v>
      </c>
    </row>
    <row r="110" spans="1:1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22"/>
        <v>Cambodia</v>
      </c>
      <c r="D110" s="6">
        <f t="shared" si="23"/>
        <v>109</v>
      </c>
      <c r="E110" s="6">
        <f>IF(COUNTIF(I110:XFD110,"&gt;"&amp;0)=0,,HLOOKUP(COUNTIF(I110:XFD110,"&gt;"&amp;0)-1,I$1:XFD110,A110+1,FALSE))</f>
        <v>109</v>
      </c>
      <c r="F110" s="7">
        <f>IF(COUNTIF(I110:XFD110,"&gt;"&amp;0)=0,,HLOOKUP(COUNTIF(I110:XFD110,"&gt;"&amp;0)-MIN($F$1+1,COUNTIF(I110:XFD110,"&gt;"&amp;0)),I$1:XFD110,A110+1,FALSE))</f>
        <v>103</v>
      </c>
      <c r="G110" s="8">
        <f t="shared" si="21"/>
        <v>1.0287139676238803</v>
      </c>
      <c r="H110" s="13" t="s">
        <v>51</v>
      </c>
      <c r="I110" s="9">
        <v>103</v>
      </c>
      <c r="J110" s="9">
        <v>107</v>
      </c>
      <c r="K110" s="9">
        <v>109</v>
      </c>
    </row>
    <row r="111" spans="1:1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22"/>
        <v>Bolivia</v>
      </c>
      <c r="D111" s="6">
        <f t="shared" si="23"/>
        <v>107</v>
      </c>
      <c r="E111" s="6">
        <f>IF(COUNTIF(I111:XFD111,"&gt;"&amp;0)=0,,HLOOKUP(COUNTIF(I111:XFD111,"&gt;"&amp;0)-1,I$1:XFD111,A111+1,FALSE))</f>
        <v>107</v>
      </c>
      <c r="F111" s="7">
        <f>IF(COUNTIF(I111:XFD111,"&gt;"&amp;0)=0,,HLOOKUP(COUNTIF(I111:XFD111,"&gt;"&amp;0)-MIN($F$1+1,COUNTIF(I111:XFD111,"&gt;"&amp;0)),I$1:XFD111,A111+1,FALSE))</f>
        <v>107</v>
      </c>
      <c r="G111" s="8" t="e">
        <f t="shared" si="21"/>
        <v>#DIV/0!</v>
      </c>
      <c r="H111" s="13" t="s">
        <v>346</v>
      </c>
      <c r="I111" s="9">
        <v>107</v>
      </c>
    </row>
    <row r="112" spans="1:1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22"/>
        <v/>
      </c>
      <c r="D112" s="6">
        <f t="shared" si="23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1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22"/>
        <v/>
      </c>
      <c r="D113" s="6">
        <f t="shared" si="23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1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22"/>
        <v/>
      </c>
      <c r="D114" s="6">
        <f t="shared" si="23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1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22"/>
        <v/>
      </c>
      <c r="D115" s="6">
        <f t="shared" si="23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1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22"/>
        <v/>
      </c>
      <c r="D116" s="6">
        <f t="shared" si="23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1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22"/>
        <v/>
      </c>
      <c r="D117" s="6">
        <f t="shared" si="23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1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22"/>
        <v/>
      </c>
      <c r="D118" s="6">
        <f t="shared" si="23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1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22"/>
        <v/>
      </c>
      <c r="D119" s="6">
        <f t="shared" si="23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1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22"/>
        <v/>
      </c>
      <c r="D120" s="6">
        <f t="shared" si="23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1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22"/>
        <v/>
      </c>
      <c r="D121" s="6">
        <f t="shared" si="23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1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22"/>
        <v/>
      </c>
      <c r="D122" s="6">
        <f t="shared" si="23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1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22"/>
        <v/>
      </c>
      <c r="D123" s="6">
        <f t="shared" si="23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1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22"/>
        <v/>
      </c>
      <c r="D124" s="6">
        <f t="shared" si="23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1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22"/>
        <v/>
      </c>
      <c r="D125" s="6">
        <f t="shared" si="23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1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22"/>
        <v/>
      </c>
      <c r="D126" s="6">
        <f t="shared" si="23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1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22"/>
        <v/>
      </c>
      <c r="D127" s="6">
        <f t="shared" si="23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1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22"/>
        <v/>
      </c>
      <c r="D128" s="6">
        <f t="shared" si="23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1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22"/>
        <v/>
      </c>
      <c r="D129" s="6">
        <f t="shared" si="23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1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22"/>
        <v/>
      </c>
      <c r="D130" s="6">
        <f t="shared" si="23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4">IF(COUNTIF(I130:XFD130,"&gt;"&amp;0)=0,,(E130/F130)^(1/MIN(COUNTIF(I130:XFD130,"&gt;"&amp;0)-1,$F$1)))</f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22"/>
        <v/>
      </c>
      <c r="D131" s="6">
        <f t="shared" si="23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4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22"/>
        <v/>
      </c>
      <c r="D132" s="6">
        <f t="shared" si="23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4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ref="C133:C164" si="25">IF(H133="","",H133)</f>
        <v/>
      </c>
      <c r="D133" s="6">
        <f t="shared" ref="D133:D164" si="26"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4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si="25"/>
        <v/>
      </c>
      <c r="D134" s="6">
        <f t="shared" si="26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4"/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25"/>
        <v/>
      </c>
      <c r="D135" s="6">
        <f t="shared" si="26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4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25"/>
        <v/>
      </c>
      <c r="D136" s="6">
        <f t="shared" si="26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4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25"/>
        <v/>
      </c>
      <c r="D137" s="6">
        <f t="shared" si="26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4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25"/>
        <v/>
      </c>
      <c r="D138" s="6">
        <f t="shared" si="26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4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25"/>
        <v/>
      </c>
      <c r="D139" s="6">
        <f t="shared" si="26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4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25"/>
        <v/>
      </c>
      <c r="D140" s="6">
        <f t="shared" si="26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4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25"/>
        <v/>
      </c>
      <c r="D141" s="6">
        <f t="shared" si="26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4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25"/>
        <v/>
      </c>
      <c r="D142" s="6">
        <f t="shared" si="26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4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25"/>
        <v/>
      </c>
      <c r="D143" s="6">
        <f t="shared" si="26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4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25"/>
        <v/>
      </c>
      <c r="D144" s="6">
        <f t="shared" si="26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4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25"/>
        <v/>
      </c>
      <c r="D145" s="6">
        <f t="shared" si="26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4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25"/>
        <v/>
      </c>
      <c r="D146" s="6">
        <f t="shared" si="26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4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25"/>
        <v/>
      </c>
      <c r="D147" s="6">
        <f t="shared" si="26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4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25"/>
        <v/>
      </c>
      <c r="D148" s="6">
        <f t="shared" si="26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4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25"/>
        <v/>
      </c>
      <c r="D149" s="6">
        <f t="shared" si="26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4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25"/>
        <v/>
      </c>
      <c r="D150" s="6">
        <f t="shared" si="26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4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25"/>
        <v/>
      </c>
      <c r="D151" s="6">
        <f t="shared" si="26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4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25"/>
        <v/>
      </c>
      <c r="D152" s="6">
        <f t="shared" si="26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4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25"/>
        <v/>
      </c>
      <c r="D153" s="6">
        <f t="shared" si="26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4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25"/>
        <v/>
      </c>
      <c r="D154" s="6">
        <f t="shared" si="26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4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25"/>
        <v/>
      </c>
      <c r="D155" s="6">
        <f t="shared" si="26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4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25"/>
        <v/>
      </c>
      <c r="D156" s="6">
        <f t="shared" si="26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4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25"/>
        <v/>
      </c>
      <c r="D157" s="6">
        <f t="shared" si="26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4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25"/>
        <v/>
      </c>
      <c r="D158" s="6">
        <f t="shared" si="26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4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25"/>
        <v/>
      </c>
      <c r="D159" s="6">
        <f t="shared" si="26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4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25"/>
        <v/>
      </c>
      <c r="D160" s="6">
        <f t="shared" si="26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4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25"/>
        <v/>
      </c>
      <c r="D161" s="6">
        <f t="shared" si="26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4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25"/>
        <v/>
      </c>
      <c r="D162" s="6">
        <f t="shared" si="26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7">IF(COUNTIF(I162:XFD162,"&gt;"&amp;0)=0,,(E162/F162)^(1/MIN(COUNTIF(I162:XFD162,"&gt;"&amp;0)-1,$F$1)))</f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25"/>
        <v/>
      </c>
      <c r="D163" s="6">
        <f t="shared" si="26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7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25"/>
        <v/>
      </c>
      <c r="D164" s="6">
        <f t="shared" si="26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7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ref="C165:C200" si="28">IF(H165="","",H165)</f>
        <v/>
      </c>
      <c r="D165" s="6">
        <f t="shared" ref="D165:D200" si="29"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7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28"/>
        <v/>
      </c>
      <c r="D166" s="6">
        <f t="shared" si="2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7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28"/>
        <v/>
      </c>
      <c r="D167" s="6">
        <f t="shared" si="2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7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28"/>
        <v/>
      </c>
      <c r="D168" s="6">
        <f t="shared" si="2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7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28"/>
        <v/>
      </c>
      <c r="D169" s="6">
        <f t="shared" si="2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7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28"/>
        <v/>
      </c>
      <c r="D170" s="6">
        <f t="shared" si="2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7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28"/>
        <v/>
      </c>
      <c r="D171" s="6">
        <f t="shared" si="2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7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28"/>
        <v/>
      </c>
      <c r="D172" s="6">
        <f t="shared" si="2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7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28"/>
        <v/>
      </c>
      <c r="D173" s="6">
        <f t="shared" si="2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7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28"/>
        <v/>
      </c>
      <c r="D174" s="6">
        <f t="shared" si="2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7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28"/>
        <v/>
      </c>
      <c r="D175" s="6">
        <f t="shared" si="2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7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28"/>
        <v/>
      </c>
      <c r="D176" s="6">
        <f t="shared" si="2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7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28"/>
        <v/>
      </c>
      <c r="D177" s="6">
        <f t="shared" si="2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7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28"/>
        <v/>
      </c>
      <c r="D178" s="6">
        <f t="shared" si="2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7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28"/>
        <v/>
      </c>
      <c r="D179" s="6">
        <f t="shared" si="2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7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28"/>
        <v/>
      </c>
      <c r="D180" s="6">
        <f t="shared" si="2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7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28"/>
        <v/>
      </c>
      <c r="D181" s="6">
        <f t="shared" si="2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7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28"/>
        <v/>
      </c>
      <c r="D182" s="6">
        <f t="shared" si="2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7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28"/>
        <v/>
      </c>
      <c r="D183" s="6">
        <f t="shared" si="2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7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28"/>
        <v/>
      </c>
      <c r="D184" s="6">
        <f t="shared" si="2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7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28"/>
        <v/>
      </c>
      <c r="D185" s="6">
        <f t="shared" si="2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7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28"/>
        <v/>
      </c>
      <c r="D186" s="6">
        <f t="shared" si="2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7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28"/>
        <v/>
      </c>
      <c r="D187" s="6">
        <f t="shared" si="2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7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28"/>
        <v/>
      </c>
      <c r="D188" s="6">
        <f t="shared" si="2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7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28"/>
        <v/>
      </c>
      <c r="D189" s="6">
        <f t="shared" si="2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7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28"/>
        <v/>
      </c>
      <c r="D190" s="6">
        <f t="shared" si="2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7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28"/>
        <v/>
      </c>
      <c r="D191" s="6">
        <f t="shared" si="2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7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28"/>
        <v/>
      </c>
      <c r="D192" s="6">
        <f t="shared" si="2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7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28"/>
        <v/>
      </c>
      <c r="D193" s="6">
        <f t="shared" si="2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7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28"/>
        <v/>
      </c>
      <c r="D194" s="6">
        <f t="shared" si="2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0">IF(COUNTIF(I194:XFD194,"&gt;"&amp;0)=0,,(E194/F194)^(1/MIN(COUNTIF(I194:XFD194,"&gt;"&amp;0)-1,$F$1)))</f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28"/>
        <v/>
      </c>
      <c r="D195" s="6">
        <f t="shared" si="2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28"/>
        <v/>
      </c>
      <c r="D196" s="6">
        <f t="shared" si="2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28"/>
        <v/>
      </c>
      <c r="D197" s="6">
        <f t="shared" si="2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si="28"/>
        <v/>
      </c>
      <c r="D198" s="6">
        <f t="shared" si="29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0"/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8"/>
        <v/>
      </c>
      <c r="D199" s="6">
        <f t="shared" si="2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0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8"/>
        <v/>
      </c>
      <c r="D200" s="6">
        <f t="shared" si="2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0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 t="shared" ref="G2:G33" si="6"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7">I2*1.4</f>
        <v>14</v>
      </c>
      <c r="K2" s="10">
        <f t="shared" si="7"/>
        <v>19.599999999999998</v>
      </c>
      <c r="L2" s="10">
        <f t="shared" si="7"/>
        <v>27.439999999999994</v>
      </c>
      <c r="M2" s="10">
        <f t="shared" si="7"/>
        <v>38.41599999999999</v>
      </c>
      <c r="N2" s="10">
        <f t="shared" si="7"/>
        <v>53.782399999999981</v>
      </c>
      <c r="O2" s="10">
        <f t="shared" si="7"/>
        <v>75.295359999999974</v>
      </c>
      <c r="P2" s="10">
        <f t="shared" si="7"/>
        <v>105.41350399999996</v>
      </c>
      <c r="Q2" s="10">
        <f t="shared" si="7"/>
        <v>147.57890559999993</v>
      </c>
      <c r="R2" s="10">
        <f t="shared" si="7"/>
        <v>206.6104678399999</v>
      </c>
      <c r="S2" s="10">
        <f t="shared" si="7"/>
        <v>289.25465497599981</v>
      </c>
      <c r="T2" s="10">
        <f t="shared" si="7"/>
        <v>404.9565169663997</v>
      </c>
      <c r="U2" s="10">
        <f t="shared" si="7"/>
        <v>566.93912375295952</v>
      </c>
      <c r="V2" s="10">
        <f t="shared" si="7"/>
        <v>793.71477325414332</v>
      </c>
      <c r="W2" s="10">
        <f t="shared" si="7"/>
        <v>1111.2006825558005</v>
      </c>
      <c r="X2" s="10">
        <f t="shared" si="7"/>
        <v>1555.6809555781206</v>
      </c>
      <c r="Y2" s="10">
        <f t="shared" si="7"/>
        <v>2177.9533378093688</v>
      </c>
      <c r="Z2" s="10">
        <f t="shared" si="7"/>
        <v>3049.1346729331162</v>
      </c>
      <c r="AA2" s="10">
        <f t="shared" si="7"/>
        <v>4268.7885421063629</v>
      </c>
      <c r="AB2" s="10">
        <f t="shared" si="7"/>
        <v>5976.3039589489081</v>
      </c>
      <c r="AC2" s="10">
        <f t="shared" si="7"/>
        <v>8366.8255425284715</v>
      </c>
      <c r="AD2" s="10">
        <f t="shared" si="7"/>
        <v>11713.555759539859</v>
      </c>
      <c r="AE2" s="10">
        <f t="shared" si="7"/>
        <v>16398.9780633558</v>
      </c>
      <c r="AF2" s="10">
        <f t="shared" si="7"/>
        <v>22958.56928869812</v>
      </c>
      <c r="AG2" s="10">
        <f t="shared" si="7"/>
        <v>32141.997004177367</v>
      </c>
      <c r="AH2" s="10">
        <f t="shared" si="7"/>
        <v>44998.795805848313</v>
      </c>
      <c r="AI2" s="10">
        <f t="shared" si="7"/>
        <v>62998.314128187631</v>
      </c>
      <c r="AJ2" s="10">
        <f t="shared" si="7"/>
        <v>88197.639779462683</v>
      </c>
      <c r="AK2" s="10">
        <f t="shared" si="7"/>
        <v>123476.69569124775</v>
      </c>
      <c r="AL2" s="10">
        <f t="shared" si="7"/>
        <v>172867.37396774683</v>
      </c>
      <c r="AM2" s="10">
        <f t="shared" si="7"/>
        <v>242014.32355484553</v>
      </c>
      <c r="AN2" s="10">
        <f t="shared" si="7"/>
        <v>338820.05297678371</v>
      </c>
      <c r="AO2" s="10">
        <f t="shared" si="7"/>
        <v>474348.07416749717</v>
      </c>
      <c r="AP2" s="10">
        <f t="shared" ref="AP2:BH2" si="8">AO2*1.4</f>
        <v>664087.30383449595</v>
      </c>
      <c r="AQ2" s="10">
        <f t="shared" si="8"/>
        <v>929722.22536829428</v>
      </c>
      <c r="AR2" s="10">
        <f t="shared" si="8"/>
        <v>1301611.1155156118</v>
      </c>
      <c r="AS2" s="10">
        <f t="shared" si="8"/>
        <v>1822255.5617218565</v>
      </c>
      <c r="AT2" s="10">
        <f t="shared" si="8"/>
        <v>2551157.786410599</v>
      </c>
      <c r="AU2" s="10">
        <f t="shared" si="8"/>
        <v>3571620.9009748385</v>
      </c>
      <c r="AV2" s="10">
        <f t="shared" si="8"/>
        <v>5000269.2613647738</v>
      </c>
      <c r="AW2" s="10">
        <f t="shared" si="8"/>
        <v>7000376.9659106834</v>
      </c>
      <c r="AX2" s="10">
        <f t="shared" si="8"/>
        <v>9800527.7522749566</v>
      </c>
      <c r="AY2" s="10">
        <f t="shared" si="8"/>
        <v>13720738.853184938</v>
      </c>
      <c r="AZ2" s="10">
        <f t="shared" si="8"/>
        <v>19209034.394458912</v>
      </c>
      <c r="BA2" s="10">
        <f t="shared" si="8"/>
        <v>26892648.152242474</v>
      </c>
      <c r="BB2" s="10">
        <f t="shared" si="8"/>
        <v>37649707.413139462</v>
      </c>
      <c r="BC2" s="10">
        <f t="shared" si="8"/>
        <v>52709590.378395244</v>
      </c>
      <c r="BD2" s="10">
        <f t="shared" si="8"/>
        <v>73793426.529753342</v>
      </c>
      <c r="BE2" s="10">
        <f t="shared" si="8"/>
        <v>103310797.14165467</v>
      </c>
      <c r="BF2" s="10">
        <f t="shared" si="8"/>
        <v>144635115.99831653</v>
      </c>
      <c r="BG2" s="10">
        <f t="shared" si="8"/>
        <v>202489162.39764312</v>
      </c>
      <c r="BH2" s="10">
        <f t="shared" si="8"/>
        <v>283484827.35670036</v>
      </c>
    </row>
    <row r="3" spans="1:307" x14ac:dyDescent="0.25">
      <c r="A3" s="9">
        <f t="shared" si="5"/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 t="shared" si="6"/>
        <v>1.3</v>
      </c>
      <c r="H3" s="15" t="s">
        <v>431</v>
      </c>
      <c r="I3" s="9">
        <v>10</v>
      </c>
      <c r="J3" s="10">
        <f t="shared" ref="J3:AO3" si="9">I3*1.3</f>
        <v>13</v>
      </c>
      <c r="K3" s="10">
        <f t="shared" si="9"/>
        <v>16.900000000000002</v>
      </c>
      <c r="L3" s="10">
        <f t="shared" si="9"/>
        <v>21.970000000000002</v>
      </c>
      <c r="M3" s="10">
        <f t="shared" si="9"/>
        <v>28.561000000000003</v>
      </c>
      <c r="N3" s="10">
        <f t="shared" si="9"/>
        <v>37.129300000000008</v>
      </c>
      <c r="O3" s="10">
        <f t="shared" si="9"/>
        <v>48.268090000000015</v>
      </c>
      <c r="P3" s="10">
        <f t="shared" si="9"/>
        <v>62.748517000000021</v>
      </c>
      <c r="Q3" s="10">
        <f t="shared" si="9"/>
        <v>81.573072100000033</v>
      </c>
      <c r="R3" s="10">
        <f t="shared" si="9"/>
        <v>106.04499373000004</v>
      </c>
      <c r="S3" s="10">
        <f t="shared" si="9"/>
        <v>137.85849184900007</v>
      </c>
      <c r="T3" s="10">
        <f t="shared" si="9"/>
        <v>179.21603940370011</v>
      </c>
      <c r="U3" s="10">
        <f t="shared" si="9"/>
        <v>232.98085122481015</v>
      </c>
      <c r="V3" s="10">
        <f t="shared" si="9"/>
        <v>302.87510659225319</v>
      </c>
      <c r="W3" s="10">
        <f t="shared" si="9"/>
        <v>393.73763856992917</v>
      </c>
      <c r="X3" s="10">
        <f t="shared" si="9"/>
        <v>511.85893014090794</v>
      </c>
      <c r="Y3" s="10">
        <f t="shared" si="9"/>
        <v>665.4166091831803</v>
      </c>
      <c r="Z3" s="10">
        <f t="shared" si="9"/>
        <v>865.04159193813439</v>
      </c>
      <c r="AA3" s="10">
        <f t="shared" si="9"/>
        <v>1124.5540695195748</v>
      </c>
      <c r="AB3" s="10">
        <f t="shared" si="9"/>
        <v>1461.9202903754474</v>
      </c>
      <c r="AC3" s="10">
        <f t="shared" si="9"/>
        <v>1900.4963774880816</v>
      </c>
      <c r="AD3" s="10">
        <f t="shared" si="9"/>
        <v>2470.645290734506</v>
      </c>
      <c r="AE3" s="10">
        <f t="shared" si="9"/>
        <v>3211.8388779548582</v>
      </c>
      <c r="AF3" s="10">
        <f t="shared" si="9"/>
        <v>4175.3905413413158</v>
      </c>
      <c r="AG3" s="10">
        <f t="shared" si="9"/>
        <v>5428.0077037437104</v>
      </c>
      <c r="AH3" s="10">
        <f t="shared" si="9"/>
        <v>7056.410014866824</v>
      </c>
      <c r="AI3" s="10">
        <f t="shared" si="9"/>
        <v>9173.3330193268721</v>
      </c>
      <c r="AJ3" s="10">
        <f t="shared" si="9"/>
        <v>11925.332925124934</v>
      </c>
      <c r="AK3" s="10">
        <f t="shared" si="9"/>
        <v>15502.932802662415</v>
      </c>
      <c r="AL3" s="10">
        <f t="shared" si="9"/>
        <v>20153.81264346114</v>
      </c>
      <c r="AM3" s="10">
        <f t="shared" si="9"/>
        <v>26199.956436499484</v>
      </c>
      <c r="AN3" s="10">
        <f t="shared" si="9"/>
        <v>34059.943367449334</v>
      </c>
      <c r="AO3" s="10">
        <f t="shared" si="9"/>
        <v>44277.926377684133</v>
      </c>
      <c r="AP3" s="10">
        <f t="shared" ref="AP3:BH3" si="10">AO3*1.3</f>
        <v>57561.304290989377</v>
      </c>
      <c r="AQ3" s="10">
        <f t="shared" si="10"/>
        <v>74829.695578286191</v>
      </c>
      <c r="AR3" s="10">
        <f t="shared" si="10"/>
        <v>97278.604251772049</v>
      </c>
      <c r="AS3" s="10">
        <f t="shared" si="10"/>
        <v>126462.18552730366</v>
      </c>
      <c r="AT3" s="10">
        <f t="shared" si="10"/>
        <v>164400.84118549476</v>
      </c>
      <c r="AU3" s="10">
        <f t="shared" si="10"/>
        <v>213721.0935411432</v>
      </c>
      <c r="AV3" s="10">
        <f t="shared" si="10"/>
        <v>277837.42160348617</v>
      </c>
      <c r="AW3" s="10">
        <f t="shared" si="10"/>
        <v>361188.64808453206</v>
      </c>
      <c r="AX3" s="10">
        <f t="shared" si="10"/>
        <v>469545.24250989169</v>
      </c>
      <c r="AY3" s="10">
        <f t="shared" si="10"/>
        <v>610408.81526285922</v>
      </c>
      <c r="AZ3" s="10">
        <f t="shared" si="10"/>
        <v>793531.45984171703</v>
      </c>
      <c r="BA3" s="10">
        <f t="shared" si="10"/>
        <v>1031590.8977942322</v>
      </c>
      <c r="BB3" s="10">
        <f t="shared" si="10"/>
        <v>1341068.167132502</v>
      </c>
      <c r="BC3" s="10">
        <f t="shared" si="10"/>
        <v>1743388.6172722527</v>
      </c>
      <c r="BD3" s="10">
        <f t="shared" si="10"/>
        <v>2266405.2024539285</v>
      </c>
      <c r="BE3" s="10">
        <f t="shared" si="10"/>
        <v>2946326.7631901074</v>
      </c>
      <c r="BF3" s="10">
        <f t="shared" si="10"/>
        <v>3830224.7921471396</v>
      </c>
      <c r="BG3" s="10">
        <f t="shared" si="10"/>
        <v>4979292.2297912817</v>
      </c>
      <c r="BH3" s="10">
        <f t="shared" si="10"/>
        <v>6473079.8987286668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 t="shared" si="6"/>
        <v>1.2</v>
      </c>
      <c r="H4" s="15" t="s">
        <v>621</v>
      </c>
      <c r="I4" s="9">
        <v>10</v>
      </c>
      <c r="J4" s="10">
        <f t="shared" ref="J4:AO4" si="11">I4*1.2</f>
        <v>12</v>
      </c>
      <c r="K4" s="10">
        <f t="shared" si="11"/>
        <v>14.399999999999999</v>
      </c>
      <c r="L4" s="10">
        <f t="shared" si="11"/>
        <v>17.279999999999998</v>
      </c>
      <c r="M4" s="10">
        <f t="shared" si="11"/>
        <v>20.735999999999997</v>
      </c>
      <c r="N4" s="10">
        <f t="shared" si="11"/>
        <v>24.883199999999995</v>
      </c>
      <c r="O4" s="10">
        <f t="shared" si="11"/>
        <v>29.859839999999991</v>
      </c>
      <c r="P4" s="10">
        <f t="shared" si="11"/>
        <v>35.831807999999988</v>
      </c>
      <c r="Q4" s="10">
        <f t="shared" si="11"/>
        <v>42.998169599999983</v>
      </c>
      <c r="R4" s="10">
        <f t="shared" si="11"/>
        <v>51.597803519999978</v>
      </c>
      <c r="S4" s="10">
        <f t="shared" si="11"/>
        <v>61.917364223999968</v>
      </c>
      <c r="T4" s="10">
        <f t="shared" si="11"/>
        <v>74.300837068799964</v>
      </c>
      <c r="U4" s="10">
        <f t="shared" si="11"/>
        <v>89.16100448255996</v>
      </c>
      <c r="V4" s="10">
        <f t="shared" si="11"/>
        <v>106.99320537907195</v>
      </c>
      <c r="W4" s="10">
        <f t="shared" si="11"/>
        <v>128.39184645488635</v>
      </c>
      <c r="X4" s="10">
        <f t="shared" si="11"/>
        <v>154.07021574586361</v>
      </c>
      <c r="Y4" s="10">
        <f t="shared" si="11"/>
        <v>184.88425889503631</v>
      </c>
      <c r="Z4" s="10">
        <f t="shared" si="11"/>
        <v>221.86111067404357</v>
      </c>
      <c r="AA4" s="10">
        <f t="shared" si="11"/>
        <v>266.23333280885225</v>
      </c>
      <c r="AB4" s="10">
        <f t="shared" si="11"/>
        <v>319.47999937062269</v>
      </c>
      <c r="AC4" s="10">
        <f t="shared" si="11"/>
        <v>383.37599924474722</v>
      </c>
      <c r="AD4" s="10">
        <f t="shared" si="11"/>
        <v>460.05119909369665</v>
      </c>
      <c r="AE4" s="10">
        <f t="shared" si="11"/>
        <v>552.06143891243596</v>
      </c>
      <c r="AF4" s="10">
        <f t="shared" si="11"/>
        <v>662.47372669492313</v>
      </c>
      <c r="AG4" s="10">
        <f t="shared" si="11"/>
        <v>794.96847203390769</v>
      </c>
      <c r="AH4" s="10">
        <f t="shared" si="11"/>
        <v>953.9621664406892</v>
      </c>
      <c r="AI4" s="10">
        <f t="shared" si="11"/>
        <v>1144.7545997288271</v>
      </c>
      <c r="AJ4" s="10">
        <f t="shared" si="11"/>
        <v>1373.7055196745926</v>
      </c>
      <c r="AK4" s="10">
        <f t="shared" si="11"/>
        <v>1648.4466236095111</v>
      </c>
      <c r="AL4" s="10">
        <f t="shared" si="11"/>
        <v>1978.1359483314131</v>
      </c>
      <c r="AM4" s="10">
        <f t="shared" si="11"/>
        <v>2373.7631379976956</v>
      </c>
      <c r="AN4" s="10">
        <f t="shared" si="11"/>
        <v>2848.5157655972348</v>
      </c>
      <c r="AO4" s="10">
        <f t="shared" si="11"/>
        <v>3418.2189187166819</v>
      </c>
      <c r="AP4" s="10">
        <f t="shared" ref="AP4:BH4" si="12">AO4*1.2</f>
        <v>4101.8627024600182</v>
      </c>
      <c r="AQ4" s="10">
        <f t="shared" si="12"/>
        <v>4922.2352429520215</v>
      </c>
      <c r="AR4" s="10">
        <f t="shared" si="12"/>
        <v>5906.6822915424254</v>
      </c>
      <c r="AS4" s="10">
        <f t="shared" si="12"/>
        <v>7088.0187498509104</v>
      </c>
      <c r="AT4" s="10">
        <f t="shared" si="12"/>
        <v>8505.6224998210928</v>
      </c>
      <c r="AU4" s="10">
        <f t="shared" si="12"/>
        <v>10206.746999785311</v>
      </c>
      <c r="AV4" s="10">
        <f t="shared" si="12"/>
        <v>12248.096399742373</v>
      </c>
      <c r="AW4" s="10">
        <f t="shared" si="12"/>
        <v>14697.715679690848</v>
      </c>
      <c r="AX4" s="10">
        <f t="shared" si="12"/>
        <v>17637.258815629015</v>
      </c>
      <c r="AY4" s="10">
        <f t="shared" si="12"/>
        <v>21164.710578754817</v>
      </c>
      <c r="AZ4" s="10">
        <f t="shared" si="12"/>
        <v>25397.652694505781</v>
      </c>
      <c r="BA4" s="10">
        <f t="shared" si="12"/>
        <v>30477.183233406937</v>
      </c>
      <c r="BB4" s="10">
        <f t="shared" si="12"/>
        <v>36572.619880088321</v>
      </c>
      <c r="BC4" s="10">
        <f t="shared" si="12"/>
        <v>43887.143856105984</v>
      </c>
      <c r="BD4" s="10">
        <f t="shared" si="12"/>
        <v>52664.572627327179</v>
      </c>
      <c r="BE4" s="10">
        <f t="shared" si="12"/>
        <v>63197.487152792615</v>
      </c>
      <c r="BF4" s="10">
        <f t="shared" si="12"/>
        <v>75836.984583351135</v>
      </c>
      <c r="BG4" s="10">
        <f t="shared" si="12"/>
        <v>91004.381500021365</v>
      </c>
      <c r="BH4" s="10">
        <f t="shared" si="12"/>
        <v>109205.25780002563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12428</v>
      </c>
      <c r="E5" s="6">
        <f>IF(COUNTIF(I5:XFD5,"&gt;"&amp;0)=0,,HLOOKUP(COUNTIF(I5:XFD5,"&gt;"&amp;0)-1,I$1:XFD5,A5+1,FALSE))</f>
        <v>12428</v>
      </c>
      <c r="F5" s="7">
        <f>IF(COUNTIF(I5:XFD5,"&gt;"&amp;0)=0,,HLOOKUP(COUNTIF(I5:XFD5,"&gt;"&amp;0)-MIN($F$1+1,COUNTIF(I5:XFD5,"&gt;"&amp;0)),I$1:XFD5,A5+1,FALSE))</f>
        <v>8215</v>
      </c>
      <c r="G5" s="8">
        <f t="shared" si="6"/>
        <v>1.0863224014215505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Spain</v>
      </c>
      <c r="D6" s="6">
        <f t="shared" si="14"/>
        <v>8464</v>
      </c>
      <c r="E6" s="6">
        <f>IF(COUNTIF(I6:XFD6,"&gt;"&amp;0)=0,,HLOOKUP(COUNTIF(I6:XFD6,"&gt;"&amp;0)-1,I$1:XFD6,A6+1,FALSE))</f>
        <v>8464</v>
      </c>
      <c r="F6" s="7">
        <f>IF(COUNTIF(I6:XFD6,"&gt;"&amp;0)=0,,HLOOKUP(COUNTIF(I6:XFD6,"&gt;"&amp;0)-MIN($F$1+1,COUNTIF(I6:XFD6,"&gt;"&amp;0)),I$1:XFD6,A6+1,FALSE))</f>
        <v>4365</v>
      </c>
      <c r="G6" s="8">
        <f t="shared" si="6"/>
        <v>1.1416113589586856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US</v>
      </c>
      <c r="D7" s="6">
        <f t="shared" si="14"/>
        <v>3873</v>
      </c>
      <c r="E7" s="6">
        <f>IF(COUNTIF(I7:XFD7,"&gt;"&amp;0)=0,,HLOOKUP(COUNTIF(I7:XFD7,"&gt;"&amp;0)-1,I$1:XFD7,A7+1,FALSE))</f>
        <v>3873</v>
      </c>
      <c r="F7" s="7">
        <f>IF(COUNTIF(I7:XFD7,"&gt;"&amp;0)=0,,HLOOKUP(COUNTIF(I7:XFD7,"&gt;"&amp;0)-MIN($F$1+1,COUNTIF(I7:XFD7,"&gt;"&amp;0)),I$1:XFD7,A7+1,FALSE))</f>
        <v>1209</v>
      </c>
      <c r="G7" s="8">
        <f t="shared" si="6"/>
        <v>1.2621885589813064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3532</v>
      </c>
      <c r="E8" s="6">
        <f>IF(COUNTIF(I8:XFD8,"&gt;"&amp;0)=0,,HLOOKUP(COUNTIF(I8:XFD8,"&gt;"&amp;0)-1,I$1:XFD8,A8+1,FALSE))</f>
        <v>3532</v>
      </c>
      <c r="F8" s="7">
        <f>IF(COUNTIF(I8:XFD8,"&gt;"&amp;0)=0,,HLOOKUP(COUNTIF(I8:XFD8,"&gt;"&amp;0)-MIN($F$1+1,COUNTIF(I8:XFD8,"&gt;"&amp;0)),I$1:XFD8,A8+1,FALSE))</f>
        <v>1698</v>
      </c>
      <c r="G8" s="8">
        <f t="shared" si="6"/>
        <v>1.1577548308282204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China</v>
      </c>
      <c r="D9" s="6">
        <f t="shared" si="14"/>
        <v>3123</v>
      </c>
      <c r="E9" s="6">
        <f>IF(COUNTIF(I9:XFD9,"&gt;"&amp;0)=0,,HLOOKUP(COUNTIF(I9:XFD9,"&gt;"&amp;0)-1,I$1:XFD9,A9+1,FALSE))</f>
        <v>3309</v>
      </c>
      <c r="F9" s="7">
        <f>IF(COUNTIF(I9:XFD9,"&gt;"&amp;0)=0,,HLOOKUP(COUNTIF(I9:XFD9,"&gt;"&amp;0)-MIN($F$1+1,COUNTIF(I9:XFD9,"&gt;"&amp;0)),I$1:XFD9,A9+1,FALSE))</f>
        <v>3291</v>
      </c>
      <c r="G9" s="8">
        <f t="shared" si="6"/>
        <v>1.0010915070563666</v>
      </c>
      <c r="H9" s="13" t="s">
        <v>337</v>
      </c>
      <c r="I9" s="9">
        <v>17</v>
      </c>
      <c r="J9" s="9">
        <v>18</v>
      </c>
      <c r="K9" s="9">
        <v>26</v>
      </c>
      <c r="L9" s="9">
        <v>42</v>
      </c>
      <c r="M9" s="9">
        <v>56</v>
      </c>
      <c r="N9" s="9">
        <v>82</v>
      </c>
      <c r="O9" s="9">
        <v>131</v>
      </c>
      <c r="P9" s="9">
        <v>133</v>
      </c>
      <c r="Q9" s="9">
        <v>171</v>
      </c>
      <c r="R9" s="9">
        <v>213</v>
      </c>
      <c r="S9" s="9">
        <v>259</v>
      </c>
      <c r="T9" s="9">
        <v>361</v>
      </c>
      <c r="U9" s="9">
        <v>425</v>
      </c>
      <c r="V9" s="9">
        <v>491</v>
      </c>
      <c r="W9" s="9">
        <v>563</v>
      </c>
      <c r="X9" s="9">
        <v>633</v>
      </c>
      <c r="Y9" s="9">
        <v>718</v>
      </c>
      <c r="Z9" s="9">
        <v>805</v>
      </c>
      <c r="AA9" s="9">
        <v>905</v>
      </c>
      <c r="AB9" s="9">
        <v>1012</v>
      </c>
      <c r="AC9" s="9">
        <v>1112</v>
      </c>
      <c r="AD9" s="9">
        <v>1117</v>
      </c>
      <c r="AE9" s="9">
        <v>1369</v>
      </c>
      <c r="AF9" s="9">
        <v>1521</v>
      </c>
      <c r="AG9" s="9">
        <v>1663</v>
      </c>
      <c r="AH9" s="9">
        <v>1766</v>
      </c>
      <c r="AI9" s="9">
        <v>1864</v>
      </c>
      <c r="AJ9" s="9">
        <v>2003</v>
      </c>
      <c r="AK9" s="9">
        <v>2116</v>
      </c>
      <c r="AL9" s="9">
        <v>2238</v>
      </c>
      <c r="AM9" s="9">
        <v>2238</v>
      </c>
      <c r="AN9" s="9">
        <v>2443</v>
      </c>
      <c r="AO9" s="9">
        <v>2445</v>
      </c>
      <c r="AP9" s="9">
        <v>2595</v>
      </c>
      <c r="AQ9" s="9">
        <v>2665</v>
      </c>
      <c r="AR9" s="9">
        <v>2717</v>
      </c>
      <c r="AS9" s="9">
        <v>2746</v>
      </c>
      <c r="AT9" s="9">
        <v>2790</v>
      </c>
      <c r="AU9" s="9">
        <v>2837</v>
      </c>
      <c r="AV9" s="9">
        <v>2872</v>
      </c>
      <c r="AW9" s="9">
        <v>2914</v>
      </c>
      <c r="AX9" s="9">
        <v>2947</v>
      </c>
      <c r="AY9" s="9">
        <v>2983</v>
      </c>
      <c r="AZ9" s="9">
        <v>3015</v>
      </c>
      <c r="BA9" s="9">
        <v>3044</v>
      </c>
      <c r="BB9" s="9">
        <v>3072</v>
      </c>
      <c r="BC9" s="9">
        <v>3100</v>
      </c>
      <c r="BD9" s="9">
        <v>3123</v>
      </c>
      <c r="BE9" s="9">
        <v>3139</v>
      </c>
      <c r="BF9" s="9">
        <v>3161</v>
      </c>
      <c r="BG9" s="9">
        <v>3172</v>
      </c>
      <c r="BH9" s="9">
        <v>3180</v>
      </c>
      <c r="BI9" s="9">
        <v>3193</v>
      </c>
      <c r="BJ9" s="9">
        <v>3203</v>
      </c>
      <c r="BK9" s="9">
        <v>3217</v>
      </c>
      <c r="BL9" s="9">
        <v>3230</v>
      </c>
      <c r="BM9" s="9">
        <v>3241</v>
      </c>
      <c r="BN9" s="9">
        <v>3249</v>
      </c>
      <c r="BO9" s="9">
        <v>3253</v>
      </c>
      <c r="BP9" s="9">
        <v>3259</v>
      </c>
      <c r="BQ9" s="9">
        <v>3274</v>
      </c>
      <c r="BR9" s="9">
        <v>3274</v>
      </c>
      <c r="BS9" s="9">
        <v>3281</v>
      </c>
      <c r="BT9" s="9">
        <v>3285</v>
      </c>
      <c r="BU9" s="9">
        <v>3291</v>
      </c>
      <c r="BV9" s="9">
        <v>3296</v>
      </c>
      <c r="BW9" s="9">
        <v>3299</v>
      </c>
      <c r="BX9" s="9">
        <v>3304</v>
      </c>
      <c r="BY9" s="9">
        <v>3308</v>
      </c>
      <c r="BZ9" s="9">
        <v>3309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1793</v>
      </c>
      <c r="E10" s="6">
        <f>IF(COUNTIF(I10:XFD10,"&gt;"&amp;0)=0,,HLOOKUP(COUNTIF(I10:XFD10,"&gt;"&amp;0)-1,I$1:XFD10,A10+1,FALSE))</f>
        <v>1793</v>
      </c>
      <c r="F10" s="7">
        <f>IF(COUNTIF(I10:XFD10,"&gt;"&amp;0)=0,,HLOOKUP(COUNTIF(I10:XFD10,"&gt;"&amp;0)-MIN($F$1+1,COUNTIF(I10:XFD10,"&gt;"&amp;0)),I$1:XFD10,A10+1,FALSE))</f>
        <v>580</v>
      </c>
      <c r="G10" s="8">
        <f t="shared" si="6"/>
        <v>1.2532290669539139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  <c r="AC10" s="9">
        <v>1793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775</v>
      </c>
      <c r="E11" s="6">
        <f>IF(COUNTIF(I11:XFD11,"&gt;"&amp;0)=0,,HLOOKUP(COUNTIF(I11:XFD11,"&gt;"&amp;0)-1,I$1:XFD11,A11+1,FALSE))</f>
        <v>775</v>
      </c>
      <c r="F11" s="7">
        <f>IF(COUNTIF(I11:XFD11,"&gt;"&amp;0)=0,,HLOOKUP(COUNTIF(I11:XFD11,"&gt;"&amp;0)-MIN($F$1+1,COUNTIF(I11:XFD11,"&gt;"&amp;0)),I$1:XFD11,A11+1,FALSE))</f>
        <v>267</v>
      </c>
      <c r="G11" s="8">
        <f t="shared" si="6"/>
        <v>1.2375367032225479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Europe</v>
      </c>
      <c r="D12" s="6">
        <f t="shared" si="14"/>
        <v>30471</v>
      </c>
      <c r="E12" s="6">
        <f>IF(COUNTIF(I12:XFD12,"&gt;"&amp;0)=0,,HLOOKUP(COUNTIF(I12:XFD12,"&gt;"&amp;0)-1,I$1:XFD12,A12+1,FALSE))</f>
        <v>30471</v>
      </c>
      <c r="F12" s="7">
        <f>IF(COUNTIF(I12:XFD12,"&gt;"&amp;0)=0,,HLOOKUP(COUNTIF(I12:XFD12,"&gt;"&amp;0)-MIN($F$1+1,COUNTIF(I12:XFD12,"&gt;"&amp;0)),I$1:XFD12,A12+1,FALSE))</f>
        <v>16470</v>
      </c>
      <c r="G12" s="8">
        <f t="shared" si="6"/>
        <v>1.1309375437800169</v>
      </c>
      <c r="H12" s="13" t="s">
        <v>608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North America</v>
      </c>
      <c r="D13" s="6">
        <f t="shared" si="14"/>
        <v>4041</v>
      </c>
      <c r="E13" s="6">
        <f>IF(COUNTIF(I13:XFD13,"&gt;"&amp;0)=0,,HLOOKUP(COUNTIF(I13:XFD13,"&gt;"&amp;0)-1,I$1:XFD13,A13+1,FALSE))</f>
        <v>4041</v>
      </c>
      <c r="F13" s="7">
        <f>IF(COUNTIF(I13:XFD13,"&gt;"&amp;0)=0,,HLOOKUP(COUNTIF(I13:XFD13,"&gt;"&amp;0)-MIN($F$1+1,COUNTIF(I13:XFD13,"&gt;"&amp;0)),I$1:XFD13,A13+1,FALSE))</f>
        <v>1266</v>
      </c>
      <c r="G13" s="8">
        <f t="shared" si="6"/>
        <v>1.2612786052084932</v>
      </c>
      <c r="H13" s="13" t="s">
        <v>610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World</v>
      </c>
      <c r="D14" s="6">
        <f t="shared" si="14"/>
        <v>3982</v>
      </c>
      <c r="E14" s="6">
        <f>IF(COUNTIF(I14:XFD14,"&gt;"&amp;0)=0,,HLOOKUP(COUNTIF(I14:XFD14,"&gt;"&amp;0)-1,I$1:XFD14,A14+1,FALSE))</f>
        <v>42054</v>
      </c>
      <c r="F14" s="7">
        <f>IF(COUNTIF(I14:XFD14,"&gt;"&amp;0)=0,,HLOOKUP(COUNTIF(I14:XFD14,"&gt;"&amp;0)-MIN($F$1+1,COUNTIF(I14:XFD14,"&gt;"&amp;0)),I$1:XFD14,A14+1,FALSE))</f>
        <v>23944</v>
      </c>
      <c r="G14" s="8">
        <f t="shared" si="6"/>
        <v>1.1192371612690697</v>
      </c>
      <c r="H14" s="13" t="s">
        <v>605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Asia</v>
      </c>
      <c r="D15" s="6">
        <f t="shared" si="14"/>
        <v>3189</v>
      </c>
      <c r="E15" s="6">
        <f>IF(COUNTIF(I15:XFD15,"&gt;"&amp;0)=0,,HLOOKUP(COUNTIF(I15:XFD15,"&gt;"&amp;0)-1,I$1:XFD15,A15+1,FALSE))</f>
        <v>3905</v>
      </c>
      <c r="F15" s="7">
        <f>IF(COUNTIF(I15:XFD15,"&gt;"&amp;0)=0,,HLOOKUP(COUNTIF(I15:XFD15,"&gt;"&amp;0)-MIN($F$1+1,COUNTIF(I15:XFD15,"&gt;"&amp;0)),I$1:XFD15,A15+1,FALSE))</f>
        <v>3664</v>
      </c>
      <c r="G15" s="8">
        <f t="shared" si="6"/>
        <v>1.0128219728210952</v>
      </c>
      <c r="H15" s="13" t="s">
        <v>607</v>
      </c>
      <c r="I15" s="9">
        <v>17</v>
      </c>
      <c r="J15" s="9">
        <v>18</v>
      </c>
      <c r="K15" s="9">
        <v>26</v>
      </c>
      <c r="L15" s="9">
        <v>42</v>
      </c>
      <c r="M15" s="9">
        <v>56</v>
      </c>
      <c r="N15" s="9">
        <v>82</v>
      </c>
      <c r="O15" s="9">
        <v>131</v>
      </c>
      <c r="P15" s="9">
        <v>133</v>
      </c>
      <c r="Q15" s="9">
        <v>171</v>
      </c>
      <c r="R15" s="9">
        <v>213</v>
      </c>
      <c r="S15" s="9">
        <v>259</v>
      </c>
      <c r="T15" s="9">
        <v>362</v>
      </c>
      <c r="U15" s="9">
        <v>426</v>
      </c>
      <c r="V15" s="9">
        <v>492</v>
      </c>
      <c r="W15" s="9">
        <v>564</v>
      </c>
      <c r="X15" s="9">
        <v>634</v>
      </c>
      <c r="Y15" s="9">
        <v>719</v>
      </c>
      <c r="Z15" s="9">
        <v>806</v>
      </c>
      <c r="AA15" s="9">
        <v>906</v>
      </c>
      <c r="AB15" s="9">
        <v>1013</v>
      </c>
      <c r="AC15" s="9">
        <v>1113</v>
      </c>
      <c r="AD15" s="9">
        <v>1118</v>
      </c>
      <c r="AE15" s="9">
        <v>1371</v>
      </c>
      <c r="AF15" s="9">
        <v>1523</v>
      </c>
      <c r="AG15" s="9">
        <v>1665</v>
      </c>
      <c r="AH15" s="9">
        <v>1769</v>
      </c>
      <c r="AI15" s="9">
        <v>1867</v>
      </c>
      <c r="AJ15" s="9">
        <v>2006</v>
      </c>
      <c r="AK15" s="9">
        <v>2119</v>
      </c>
      <c r="AL15" s="9">
        <v>2242</v>
      </c>
      <c r="AM15" s="9">
        <v>2243</v>
      </c>
      <c r="AN15" s="9">
        <v>2448</v>
      </c>
      <c r="AO15" s="9">
        <v>2454</v>
      </c>
      <c r="AP15" s="9">
        <v>2606</v>
      </c>
      <c r="AQ15" s="9">
        <v>2678</v>
      </c>
      <c r="AR15" s="9">
        <v>2733</v>
      </c>
      <c r="AS15" s="9">
        <v>2765</v>
      </c>
      <c r="AT15" s="9">
        <v>2809</v>
      </c>
      <c r="AU15" s="9">
        <v>2860</v>
      </c>
      <c r="AV15" s="9">
        <v>2898</v>
      </c>
      <c r="AW15" s="9">
        <v>2951</v>
      </c>
      <c r="AX15" s="9">
        <v>2984</v>
      </c>
      <c r="AY15" s="9">
        <v>3027</v>
      </c>
      <c r="AZ15" s="9">
        <v>3059</v>
      </c>
      <c r="BA15" s="9">
        <v>3095</v>
      </c>
      <c r="BB15" s="9">
        <v>3125</v>
      </c>
      <c r="BC15" s="9">
        <v>3159</v>
      </c>
      <c r="BD15" s="9">
        <v>3189</v>
      </c>
      <c r="BE15" s="9">
        <v>3206</v>
      </c>
      <c r="BF15" s="9">
        <v>3241</v>
      </c>
      <c r="BG15" s="9">
        <v>3260</v>
      </c>
      <c r="BH15" s="9">
        <v>3279</v>
      </c>
      <c r="BI15" s="9">
        <v>3305</v>
      </c>
      <c r="BJ15" s="9">
        <v>3321</v>
      </c>
      <c r="BK15" s="9">
        <v>3341</v>
      </c>
      <c r="BL15" s="9">
        <v>3365</v>
      </c>
      <c r="BM15" s="9">
        <v>3401</v>
      </c>
      <c r="BN15" s="9">
        <v>3424</v>
      </c>
      <c r="BO15" s="9">
        <v>3450</v>
      </c>
      <c r="BP15" s="9">
        <v>3473</v>
      </c>
      <c r="BQ15" s="9">
        <v>3530</v>
      </c>
      <c r="BR15" s="9">
        <v>3549</v>
      </c>
      <c r="BS15" s="9">
        <v>3581</v>
      </c>
      <c r="BT15" s="9">
        <v>3610</v>
      </c>
      <c r="BU15" s="9">
        <v>3664</v>
      </c>
      <c r="BV15" s="9">
        <v>3704</v>
      </c>
      <c r="BW15" s="9">
        <v>3754</v>
      </c>
      <c r="BX15" s="9">
        <v>3803</v>
      </c>
      <c r="BY15" s="9">
        <v>3849</v>
      </c>
      <c r="BZ15" s="9">
        <v>3905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Middle East</v>
      </c>
      <c r="D16" s="6">
        <f t="shared" si="14"/>
        <v>3012</v>
      </c>
      <c r="E16" s="6">
        <f>IF(COUNTIF(I16:XFD16,"&gt;"&amp;0)=0,,HLOOKUP(COUNTIF(I16:XFD16,"&gt;"&amp;0)-1,I$1:XFD16,A16+1,FALSE))</f>
        <v>3012</v>
      </c>
      <c r="F16" s="7">
        <f>IF(COUNTIF(I16:XFD16,"&gt;"&amp;0)=0,,HLOOKUP(COUNTIF(I16:XFD16,"&gt;"&amp;0)-MIN($F$1+1,COUNTIF(I16:XFD16,"&gt;"&amp;0)),I$1:XFD16,A16+1,FALSE))</f>
        <v>2297</v>
      </c>
      <c r="G16" s="8">
        <f t="shared" si="6"/>
        <v>1.05569580173503</v>
      </c>
      <c r="H16" s="13" t="s">
        <v>609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  <c r="AT16" s="9">
        <v>3012</v>
      </c>
    </row>
    <row r="17" spans="1:46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Iran</v>
      </c>
      <c r="D17" s="6">
        <f t="shared" si="14"/>
        <v>2898</v>
      </c>
      <c r="E17" s="6">
        <f>IF(COUNTIF(I17:XFD17,"&gt;"&amp;0)=0,,HLOOKUP(COUNTIF(I17:XFD17,"&gt;"&amp;0)-1,I$1:XFD17,A17+1,FALSE))</f>
        <v>2898</v>
      </c>
      <c r="F17" s="7">
        <f>IF(COUNTIF(I17:XFD17,"&gt;"&amp;0)=0,,HLOOKUP(COUNTIF(I17:XFD17,"&gt;"&amp;0)-MIN($F$1+1,COUNTIF(I17:XFD17,"&gt;"&amp;0)),I$1:XFD17,A17+1,FALSE))</f>
        <v>2234</v>
      </c>
      <c r="G17" s="8">
        <f t="shared" si="6"/>
        <v>1.053423597038577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  <c r="AT17" s="9">
        <v>2898</v>
      </c>
    </row>
    <row r="18" spans="1:46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Netherlands</v>
      </c>
      <c r="D18" s="6">
        <f t="shared" si="14"/>
        <v>1040</v>
      </c>
      <c r="E18" s="6">
        <f>IF(COUNTIF(I18:XFD18,"&gt;"&amp;0)=0,,HLOOKUP(COUNTIF(I18:XFD18,"&gt;"&amp;0)-1,I$1:XFD18,A18+1,FALSE))</f>
        <v>1040</v>
      </c>
      <c r="F18" s="7">
        <f>IF(COUNTIF(I18:XFD18,"&gt;"&amp;0)=0,,HLOOKUP(COUNTIF(I18:XFD18,"&gt;"&amp;0)-MIN($F$1+1,COUNTIF(I18:XFD18,"&gt;"&amp;0)),I$1:XFD18,A18+1,FALSE))</f>
        <v>435</v>
      </c>
      <c r="G18" s="8">
        <f t="shared" si="6"/>
        <v>1.1904435779045321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</row>
    <row r="19" spans="1:46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Belgium</v>
      </c>
      <c r="D19" s="6">
        <f t="shared" si="14"/>
        <v>705</v>
      </c>
      <c r="E19" s="6">
        <f>IF(COUNTIF(I19:XFD19,"&gt;"&amp;0)=0,,HLOOKUP(COUNTIF(I19:XFD19,"&gt;"&amp;0)-1,I$1:XFD19,A19+1,FALSE))</f>
        <v>705</v>
      </c>
      <c r="F19" s="7">
        <f>IF(COUNTIF(I19:XFD19,"&gt;"&amp;0)=0,,HLOOKUP(COUNTIF(I19:XFD19,"&gt;"&amp;0)-MIN($F$1+1,COUNTIF(I19:XFD19,"&gt;"&amp;0)),I$1:XFD19,A19+1,FALSE))</f>
        <v>220</v>
      </c>
      <c r="G19" s="8">
        <f t="shared" si="6"/>
        <v>1.262272983932673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</row>
    <row r="20" spans="1:46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Switzerland</v>
      </c>
      <c r="D20" s="6">
        <f t="shared" si="14"/>
        <v>433</v>
      </c>
      <c r="E20" s="6">
        <f>IF(COUNTIF(I20:XFD20,"&gt;"&amp;0)=0,,HLOOKUP(COUNTIF(I20:XFD20,"&gt;"&amp;0)-1,I$1:XFD20,A20+1,FALSE))</f>
        <v>433</v>
      </c>
      <c r="F20" s="7">
        <f>IF(COUNTIF(I20:XFD20,"&gt;"&amp;0)=0,,HLOOKUP(COUNTIF(I20:XFD20,"&gt;"&amp;0)-MIN($F$1+1,COUNTIF(I20:XFD20,"&gt;"&amp;0)),I$1:XFD20,A20+1,FALSE))</f>
        <v>191</v>
      </c>
      <c r="G20" s="8">
        <f t="shared" si="6"/>
        <v>1.177852493905309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  <c r="Z20" s="9">
        <v>359</v>
      </c>
      <c r="AA20" s="9">
        <v>433</v>
      </c>
    </row>
    <row r="21" spans="1:46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South America</v>
      </c>
      <c r="D21" s="6">
        <f t="shared" si="14"/>
        <v>430</v>
      </c>
      <c r="E21" s="6">
        <f>IF(COUNTIF(I21:XFD21,"&gt;"&amp;0)=0,,HLOOKUP(COUNTIF(I21:XFD21,"&gt;"&amp;0)-1,I$1:XFD21,A21+1,FALSE))</f>
        <v>430</v>
      </c>
      <c r="F21" s="7">
        <f>IF(COUNTIF(I21:XFD21,"&gt;"&amp;0)=0,,HLOOKUP(COUNTIF(I21:XFD21,"&gt;"&amp;0)-MIN($F$1+1,COUNTIF(I21:XFD21,"&gt;"&amp;0)),I$1:XFD21,A21+1,FALSE))</f>
        <v>154</v>
      </c>
      <c r="G21" s="8">
        <f t="shared" si="6"/>
        <v>1.2279750614518825</v>
      </c>
      <c r="H21" s="13" t="s">
        <v>611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  <c r="U21" s="9">
        <v>343</v>
      </c>
      <c r="V21" s="9">
        <v>430</v>
      </c>
    </row>
    <row r="22" spans="1:46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Turkey</v>
      </c>
      <c r="D22" s="6">
        <f t="shared" si="14"/>
        <v>214</v>
      </c>
      <c r="E22" s="6">
        <f>IF(COUNTIF(I22:XFD22,"&gt;"&amp;0)=0,,HLOOKUP(COUNTIF(I22:XFD22,"&gt;"&amp;0)-1,I$1:XFD22,A22+1,FALSE))</f>
        <v>214</v>
      </c>
      <c r="F22" s="7">
        <f>IF(COUNTIF(I22:XFD22,"&gt;"&amp;0)=0,,HLOOKUP(COUNTIF(I22:XFD22,"&gt;"&amp;0)-MIN($F$1+1,COUNTIF(I22:XFD22,"&gt;"&amp;0)),I$1:XFD22,A22+1,FALSE))</f>
        <v>75</v>
      </c>
      <c r="G22" s="8">
        <f t="shared" si="6"/>
        <v>1.233305027813365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</row>
    <row r="23" spans="1:46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Brazil</v>
      </c>
      <c r="D23" s="6">
        <f t="shared" si="14"/>
        <v>201</v>
      </c>
      <c r="E23" s="6">
        <f>IF(COUNTIF(I23:XFD23,"&gt;"&amp;0)=0,,HLOOKUP(COUNTIF(I23:XFD23,"&gt;"&amp;0)-1,I$1:XFD23,A23+1,FALSE))</f>
        <v>201</v>
      </c>
      <c r="F23" s="7">
        <f>IF(COUNTIF(I23:XFD23,"&gt;"&amp;0)=0,,HLOOKUP(COUNTIF(I23:XFD23,"&gt;"&amp;0)-MIN($F$1+1,COUNTIF(I23:XFD23,"&gt;"&amp;0)),I$1:XFD23,A23+1,FALSE))</f>
        <v>77</v>
      </c>
      <c r="G23" s="8">
        <f t="shared" si="6"/>
        <v>1.2115492314738558</v>
      </c>
      <c r="H23" s="15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</row>
    <row r="24" spans="1:46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Sweden</v>
      </c>
      <c r="D24" s="6">
        <f t="shared" si="14"/>
        <v>180</v>
      </c>
      <c r="E24" s="6">
        <f>IF(COUNTIF(I24:XFD24,"&gt;"&amp;0)=0,,HLOOKUP(COUNTIF(I24:XFD24,"&gt;"&amp;0)-1,I$1:XFD24,A24+1,FALSE))</f>
        <v>180</v>
      </c>
      <c r="F24" s="7">
        <f>IF(COUNTIF(I24:XFD24,"&gt;"&amp;0)=0,,HLOOKUP(COUNTIF(I24:XFD24,"&gt;"&amp;0)-MIN($F$1+1,COUNTIF(I24:XFD24,"&gt;"&amp;0)),I$1:XFD24,A24+1,FALSE))</f>
        <v>77</v>
      </c>
      <c r="G24" s="8">
        <f t="shared" si="6"/>
        <v>1.1851037053335738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</row>
    <row r="25" spans="1:46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Africa</v>
      </c>
      <c r="D25" s="6">
        <f t="shared" si="14"/>
        <v>176</v>
      </c>
      <c r="E25" s="6">
        <f>IF(COUNTIF(I25:XFD25,"&gt;"&amp;0)=0,,HLOOKUP(COUNTIF(I25:XFD25,"&gt;"&amp;0)-1,I$1:XFD25,A25+1,FALSE))</f>
        <v>176</v>
      </c>
      <c r="F25" s="7">
        <f>IF(COUNTIF(I25:XFD25,"&gt;"&amp;0)=0,,HLOOKUP(COUNTIF(I25:XFD25,"&gt;"&amp;0)-MIN($F$1+1,COUNTIF(I25:XFD25,"&gt;"&amp;0)),I$1:XFD25,A25+1,FALSE))</f>
        <v>80</v>
      </c>
      <c r="G25" s="8">
        <f t="shared" si="6"/>
        <v>1.1708049129648923</v>
      </c>
      <c r="H25" s="13" t="s">
        <v>612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</row>
    <row r="26" spans="1:46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Korea, South</v>
      </c>
      <c r="D26" s="6">
        <f t="shared" si="14"/>
        <v>162</v>
      </c>
      <c r="E26" s="6">
        <f>IF(COUNTIF(I26:XFD26,"&gt;"&amp;0)=0,,HLOOKUP(COUNTIF(I26:XFD26,"&gt;"&amp;0)-1,I$1:XFD26,A26+1,FALSE))</f>
        <v>162</v>
      </c>
      <c r="F26" s="7">
        <f>IF(COUNTIF(I26:XFD26,"&gt;"&amp;0)=0,,HLOOKUP(COUNTIF(I26:XFD26,"&gt;"&amp;0)-MIN($F$1+1,COUNTIF(I26:XFD26,"&gt;"&amp;0)),I$1:XFD26,A26+1,FALSE))</f>
        <v>131</v>
      </c>
      <c r="G26" s="8">
        <f t="shared" si="6"/>
        <v>1.0433949820928812</v>
      </c>
      <c r="H26" s="13" t="s">
        <v>339</v>
      </c>
      <c r="I26" s="9">
        <v>8</v>
      </c>
      <c r="J26" s="9">
        <v>10</v>
      </c>
      <c r="K26" s="9">
        <v>12</v>
      </c>
      <c r="L26" s="9">
        <v>13</v>
      </c>
      <c r="M26" s="9">
        <v>13</v>
      </c>
      <c r="N26" s="9">
        <v>16</v>
      </c>
      <c r="O26" s="9">
        <v>17</v>
      </c>
      <c r="P26" s="9">
        <v>28</v>
      </c>
      <c r="Q26" s="9">
        <v>28</v>
      </c>
      <c r="R26" s="9">
        <v>35</v>
      </c>
      <c r="S26" s="9">
        <v>35</v>
      </c>
      <c r="T26" s="9">
        <v>42</v>
      </c>
      <c r="U26" s="9">
        <v>44</v>
      </c>
      <c r="V26" s="9">
        <v>50</v>
      </c>
      <c r="W26" s="9">
        <v>53</v>
      </c>
      <c r="X26" s="9">
        <v>54</v>
      </c>
      <c r="Y26" s="9">
        <v>60</v>
      </c>
      <c r="Z26" s="9">
        <v>66</v>
      </c>
      <c r="AA26" s="9">
        <v>66</v>
      </c>
      <c r="AB26" s="9">
        <v>72</v>
      </c>
      <c r="AC26" s="9">
        <v>75</v>
      </c>
      <c r="AD26" s="9">
        <v>75</v>
      </c>
      <c r="AE26" s="9">
        <v>81</v>
      </c>
      <c r="AF26" s="9">
        <v>84</v>
      </c>
      <c r="AG26" s="9">
        <v>91</v>
      </c>
      <c r="AH26" s="9">
        <v>94</v>
      </c>
      <c r="AI26" s="9">
        <v>102</v>
      </c>
      <c r="AJ26" s="9">
        <v>111</v>
      </c>
      <c r="AK26" s="9">
        <v>111</v>
      </c>
      <c r="AL26" s="9">
        <v>120</v>
      </c>
      <c r="AM26" s="9">
        <v>126</v>
      </c>
      <c r="AN26" s="9">
        <v>131</v>
      </c>
      <c r="AO26" s="9">
        <v>139</v>
      </c>
      <c r="AP26" s="9">
        <v>144</v>
      </c>
      <c r="AQ26" s="9">
        <v>152</v>
      </c>
      <c r="AR26" s="9">
        <v>158</v>
      </c>
      <c r="AS26" s="9">
        <v>162</v>
      </c>
    </row>
    <row r="27" spans="1:46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Portugal</v>
      </c>
      <c r="D27" s="6">
        <f t="shared" si="14"/>
        <v>160</v>
      </c>
      <c r="E27" s="6">
        <f>IF(COUNTIF(I27:XFD27,"&gt;"&amp;0)=0,,HLOOKUP(COUNTIF(I27:XFD27,"&gt;"&amp;0)-1,I$1:XFD27,A27+1,FALSE))</f>
        <v>160</v>
      </c>
      <c r="F27" s="7">
        <f>IF(COUNTIF(I27:XFD27,"&gt;"&amp;0)=0,,HLOOKUP(COUNTIF(I27:XFD27,"&gt;"&amp;0)-MIN($F$1+1,COUNTIF(I27:XFD27,"&gt;"&amp;0)),I$1:XFD27,A27+1,FALSE))</f>
        <v>60</v>
      </c>
      <c r="G27" s="8">
        <f t="shared" si="6"/>
        <v>1.2167286837864115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</row>
    <row r="28" spans="1:46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Indonesia</v>
      </c>
      <c r="D28" s="6">
        <f t="shared" si="14"/>
        <v>136</v>
      </c>
      <c r="E28" s="6">
        <f>IF(COUNTIF(I28:XFD28,"&gt;"&amp;0)=0,,HLOOKUP(COUNTIF(I28:XFD28,"&gt;"&amp;0)-1,I$1:XFD28,A28+1,FALSE))</f>
        <v>136</v>
      </c>
      <c r="F28" s="7">
        <f>IF(COUNTIF(I28:XFD28,"&gt;"&amp;0)=0,,HLOOKUP(COUNTIF(I28:XFD28,"&gt;"&amp;0)-MIN($F$1+1,COUNTIF(I28:XFD28,"&gt;"&amp;0)),I$1:XFD28,A28+1,FALSE))</f>
        <v>78</v>
      </c>
      <c r="G28" s="8">
        <f t="shared" si="6"/>
        <v>1.1176063511697278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</row>
    <row r="29" spans="1:46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Austria</v>
      </c>
      <c r="D29" s="6">
        <f t="shared" si="14"/>
        <v>128</v>
      </c>
      <c r="E29" s="6">
        <f>IF(COUNTIF(I29:XFD29,"&gt;"&amp;0)=0,,HLOOKUP(COUNTIF(I29:XFD29,"&gt;"&amp;0)-1,I$1:XFD29,A29+1,FALSE))</f>
        <v>128</v>
      </c>
      <c r="F29" s="7">
        <f>IF(COUNTIF(I29:XFD29,"&gt;"&amp;0)=0,,HLOOKUP(COUNTIF(I29:XFD29,"&gt;"&amp;0)-MIN($F$1+1,COUNTIF(I29:XFD29,"&gt;"&amp;0)),I$1:XFD29,A29+1,FALSE))</f>
        <v>49</v>
      </c>
      <c r="G29" s="8">
        <f t="shared" si="6"/>
        <v>1.2117213999093259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</row>
    <row r="30" spans="1:46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Canada</v>
      </c>
      <c r="D30" s="6">
        <f t="shared" si="14"/>
        <v>101</v>
      </c>
      <c r="E30" s="6">
        <f>IF(COUNTIF(I30:XFD30,"&gt;"&amp;0)=0,,HLOOKUP(COUNTIF(I30:XFD30,"&gt;"&amp;0)-1,I$1:XFD30,A30+1,FALSE))</f>
        <v>101</v>
      </c>
      <c r="F30" s="7">
        <f>IF(COUNTIF(I30:XFD30,"&gt;"&amp;0)=0,,HLOOKUP(COUNTIF(I30:XFD30,"&gt;"&amp;0)-MIN($F$1+1,COUNTIF(I30:XFD30,"&gt;"&amp;0)),I$1:XFD30,A30+1,FALSE))</f>
        <v>38</v>
      </c>
      <c r="G30" s="8">
        <f t="shared" si="6"/>
        <v>1.2159271490432129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  <c r="V30" s="9">
        <v>101</v>
      </c>
    </row>
    <row r="31" spans="1:46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Denmark</v>
      </c>
      <c r="D31" s="6">
        <f t="shared" si="14"/>
        <v>90</v>
      </c>
      <c r="E31" s="6">
        <f>IF(COUNTIF(I31:XFD31,"&gt;"&amp;0)=0,,HLOOKUP(COUNTIF(I31:XFD31,"&gt;"&amp;0)-1,I$1:XFD31,A31+1,FALSE))</f>
        <v>90</v>
      </c>
      <c r="F31" s="7">
        <f>IF(COUNTIF(I31:XFD31,"&gt;"&amp;0)=0,,HLOOKUP(COUNTIF(I31:XFD31,"&gt;"&amp;0)-MIN($F$1+1,COUNTIF(I31:XFD31,"&gt;"&amp;0)),I$1:XFD31,A31+1,FALSE))</f>
        <v>41</v>
      </c>
      <c r="G31" s="8">
        <f t="shared" si="6"/>
        <v>1.1702852479074681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</row>
    <row r="32" spans="1:46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Philippines</v>
      </c>
      <c r="D32" s="6">
        <f t="shared" si="14"/>
        <v>88</v>
      </c>
      <c r="E32" s="6">
        <f>IF(COUNTIF(I32:XFD32,"&gt;"&amp;0)=0,,HLOOKUP(COUNTIF(I32:XFD32,"&gt;"&amp;0)-1,I$1:XFD32,A32+1,FALSE))</f>
        <v>88</v>
      </c>
      <c r="F32" s="7">
        <f>IF(COUNTIF(I32:XFD32,"&gt;"&amp;0)=0,,HLOOKUP(COUNTIF(I32:XFD32,"&gt;"&amp;0)-MIN($F$1+1,COUNTIF(I32:XFD32,"&gt;"&amp;0)),I$1:XFD32,A32+1,FALSE))</f>
        <v>45</v>
      </c>
      <c r="G32" s="8">
        <f t="shared" si="6"/>
        <v>1.1435470336492659</v>
      </c>
      <c r="H32" s="13" t="s">
        <v>56</v>
      </c>
      <c r="I32" s="9">
        <v>8</v>
      </c>
      <c r="J32" s="9">
        <v>11</v>
      </c>
      <c r="K32" s="9">
        <v>12</v>
      </c>
      <c r="L32" s="9">
        <v>12</v>
      </c>
      <c r="M32" s="9">
        <v>19</v>
      </c>
      <c r="N32" s="9">
        <v>17</v>
      </c>
      <c r="O32" s="9">
        <v>18</v>
      </c>
      <c r="P32" s="9">
        <v>19</v>
      </c>
      <c r="Q32" s="9">
        <v>25</v>
      </c>
      <c r="R32" s="9">
        <v>33</v>
      </c>
      <c r="S32" s="9">
        <v>35</v>
      </c>
      <c r="T32" s="9">
        <v>38</v>
      </c>
      <c r="U32" s="9">
        <v>45</v>
      </c>
      <c r="V32" s="9">
        <v>54</v>
      </c>
      <c r="W32" s="9">
        <v>68</v>
      </c>
      <c r="X32" s="9">
        <v>71</v>
      </c>
      <c r="Y32" s="9">
        <v>78</v>
      </c>
      <c r="Z32" s="9">
        <v>88</v>
      </c>
    </row>
    <row r="33" spans="1:31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Romania</v>
      </c>
      <c r="D33" s="6">
        <f t="shared" si="14"/>
        <v>82</v>
      </c>
      <c r="E33" s="6">
        <f>IF(COUNTIF(I33:XFD33,"&gt;"&amp;0)=0,,HLOOKUP(COUNTIF(I33:XFD33,"&gt;"&amp;0)-1,I$1:XFD33,A33+1,FALSE))</f>
        <v>82</v>
      </c>
      <c r="F33" s="7">
        <f>IF(COUNTIF(I33:XFD33,"&gt;"&amp;0)=0,,HLOOKUP(COUNTIF(I33:XFD33,"&gt;"&amp;0)-MIN($F$1+1,COUNTIF(I33:XFD33,"&gt;"&amp;0)),I$1:XFD33,A33+1,FALSE))</f>
        <v>23</v>
      </c>
      <c r="G33" s="8">
        <f t="shared" si="6"/>
        <v>1.2894876981355248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</row>
    <row r="34" spans="1:31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Ecuador</v>
      </c>
      <c r="D34" s="6">
        <f t="shared" si="14"/>
        <v>75</v>
      </c>
      <c r="E34" s="6">
        <f>IF(COUNTIF(I34:XFD34,"&gt;"&amp;0)=0,,HLOOKUP(COUNTIF(I34:XFD34,"&gt;"&amp;0)-1,I$1:XFD34,A34+1,FALSE))</f>
        <v>75</v>
      </c>
      <c r="F34" s="7">
        <f>IF(COUNTIF(I34:XFD34,"&gt;"&amp;0)=0,,HLOOKUP(COUNTIF(I34:XFD34,"&gt;"&amp;0)-MIN($F$1+1,COUNTIF(I34:XFD34,"&gt;"&amp;0)),I$1:XFD34,A34+1,FALSE))</f>
        <v>34</v>
      </c>
      <c r="G34" s="8">
        <f t="shared" ref="G34:G65" si="16">IF(COUNTIF(I34:XFD34,"&gt;"&amp;0)=0,,(E34/F34)^(1/MIN(COUNTIF(I34:XFD34,"&gt;"&amp;0)-1,$F$1)))</f>
        <v>1.1714303432966133</v>
      </c>
      <c r="H34" s="13" t="s">
        <v>103</v>
      </c>
      <c r="I34" s="9">
        <v>14</v>
      </c>
      <c r="J34" s="9">
        <v>18</v>
      </c>
      <c r="K34" s="9">
        <v>27</v>
      </c>
      <c r="L34" s="9">
        <v>28</v>
      </c>
      <c r="M34" s="9">
        <v>34</v>
      </c>
      <c r="N34" s="9">
        <v>36</v>
      </c>
      <c r="O34" s="9">
        <v>48</v>
      </c>
      <c r="P34" s="9">
        <v>58</v>
      </c>
      <c r="Q34" s="9">
        <v>60</v>
      </c>
      <c r="R34" s="9">
        <v>75</v>
      </c>
    </row>
    <row r="35" spans="1:31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Ireland</v>
      </c>
      <c r="D35" s="6">
        <f t="shared" si="14"/>
        <v>71</v>
      </c>
      <c r="E35" s="6">
        <f>IF(COUNTIF(I35:XFD35,"&gt;"&amp;0)=0,,HLOOKUP(COUNTIF(I35:XFD35,"&gt;"&amp;0)-1,I$1:XFD35,A35+1,FALSE))</f>
        <v>71</v>
      </c>
      <c r="F35" s="7">
        <f>IF(COUNTIF(I35:XFD35,"&gt;"&amp;0)=0,,HLOOKUP(COUNTIF(I35:XFD35,"&gt;"&amp;0)-MIN($F$1+1,COUNTIF(I35:XFD35,"&gt;"&amp;0)),I$1:XFD35,A35+1,FALSE))</f>
        <v>19</v>
      </c>
      <c r="G35" s="8">
        <f t="shared" si="16"/>
        <v>1.3016701615831436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</row>
    <row r="36" spans="1:31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Japan</v>
      </c>
      <c r="D36" s="6">
        <f t="shared" si="14"/>
        <v>56</v>
      </c>
      <c r="E36" s="6">
        <f>IF(COUNTIF(I36:XFD36,"&gt;"&amp;0)=0,,HLOOKUP(COUNTIF(I36:XFD36,"&gt;"&amp;0)-1,I$1:XFD36,A36+1,FALSE))</f>
        <v>56</v>
      </c>
      <c r="F36" s="7">
        <f>IF(COUNTIF(I36:XFD36,"&gt;"&amp;0)=0,,HLOOKUP(COUNTIF(I36:XFD36,"&gt;"&amp;0)-MIN($F$1+1,COUNTIF(I36:XFD36,"&gt;"&amp;0)),I$1:XFD36,A36+1,FALSE))</f>
        <v>47</v>
      </c>
      <c r="G36" s="8">
        <f t="shared" si="16"/>
        <v>1.0356619813857011</v>
      </c>
      <c r="H36" s="13" t="s">
        <v>36</v>
      </c>
      <c r="I36" s="9">
        <v>10</v>
      </c>
      <c r="J36" s="9">
        <v>10</v>
      </c>
      <c r="K36" s="9">
        <v>15</v>
      </c>
      <c r="L36" s="9">
        <v>16</v>
      </c>
      <c r="M36" s="9">
        <v>19</v>
      </c>
      <c r="N36" s="9">
        <v>22</v>
      </c>
      <c r="O36" s="9">
        <v>22</v>
      </c>
      <c r="P36" s="9">
        <v>27</v>
      </c>
      <c r="Q36" s="9">
        <v>29</v>
      </c>
      <c r="R36" s="9">
        <v>29</v>
      </c>
      <c r="S36" s="9">
        <v>29</v>
      </c>
      <c r="T36" s="9">
        <v>33</v>
      </c>
      <c r="U36" s="9">
        <v>35</v>
      </c>
      <c r="V36" s="9">
        <v>41</v>
      </c>
      <c r="W36" s="9">
        <v>42</v>
      </c>
      <c r="X36" s="9">
        <v>43</v>
      </c>
      <c r="Y36" s="9">
        <v>45</v>
      </c>
      <c r="Z36" s="9">
        <v>47</v>
      </c>
      <c r="AA36" s="9">
        <v>49</v>
      </c>
      <c r="AB36" s="9">
        <v>52</v>
      </c>
      <c r="AC36" s="9">
        <v>54</v>
      </c>
      <c r="AD36" s="9">
        <v>54</v>
      </c>
      <c r="AE36" s="9">
        <v>56</v>
      </c>
    </row>
    <row r="37" spans="1:31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Dominican Republic</v>
      </c>
      <c r="D37" s="6">
        <f t="shared" ref="D37:D68" si="18">MAX(I37:BD37)</f>
        <v>51</v>
      </c>
      <c r="E37" s="6">
        <f>IF(COUNTIF(I37:XFD37,"&gt;"&amp;0)=0,,HLOOKUP(COUNTIF(I37:XFD37,"&gt;"&amp;0)-1,I$1:XFD37,A37+1,FALSE))</f>
        <v>51</v>
      </c>
      <c r="F37" s="7">
        <f>IF(COUNTIF(I37:XFD37,"&gt;"&amp;0)=0,,HLOOKUP(COUNTIF(I37:XFD37,"&gt;"&amp;0)-MIN($F$1+1,COUNTIF(I37:XFD37,"&gt;"&amp;0)),I$1:XFD37,A37+1,FALSE))</f>
        <v>10</v>
      </c>
      <c r="G37" s="8">
        <f t="shared" si="16"/>
        <v>1.3852049512676265</v>
      </c>
      <c r="H37" s="13" t="s">
        <v>106</v>
      </c>
      <c r="I37" s="9">
        <v>10</v>
      </c>
      <c r="J37" s="9">
        <v>10</v>
      </c>
      <c r="K37" s="9">
        <v>20</v>
      </c>
      <c r="L37" s="9">
        <v>28</v>
      </c>
      <c r="M37" s="9">
        <v>39</v>
      </c>
      <c r="N37" s="9">
        <v>42</v>
      </c>
      <c r="O37" s="9">
        <v>51</v>
      </c>
    </row>
    <row r="38" spans="1:31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Iraq</v>
      </c>
      <c r="D38" s="6">
        <f t="shared" si="18"/>
        <v>50</v>
      </c>
      <c r="E38" s="6">
        <f>IF(COUNTIF(I38:XFD38,"&gt;"&amp;0)=0,,HLOOKUP(COUNTIF(I38:XFD38,"&gt;"&amp;0)-1,I$1:XFD38,A38+1,FALSE))</f>
        <v>50</v>
      </c>
      <c r="F38" s="7">
        <f>IF(COUNTIF(I38:XFD38,"&gt;"&amp;0)=0,,HLOOKUP(COUNTIF(I38:XFD38,"&gt;"&amp;0)-MIN($F$1+1,COUNTIF(I38:XFD38,"&gt;"&amp;0)),I$1:XFD38,A38+1,FALSE))</f>
        <v>36</v>
      </c>
      <c r="G38" s="8">
        <f t="shared" si="16"/>
        <v>1.0679071658456021</v>
      </c>
      <c r="H38" s="13" t="s">
        <v>70</v>
      </c>
      <c r="I38" s="9">
        <v>8</v>
      </c>
      <c r="J38" s="9">
        <v>9</v>
      </c>
      <c r="K38" s="9">
        <v>10</v>
      </c>
      <c r="L38" s="9">
        <v>10</v>
      </c>
      <c r="M38" s="9">
        <v>10</v>
      </c>
      <c r="N38" s="9">
        <v>11</v>
      </c>
      <c r="O38" s="9">
        <v>12</v>
      </c>
      <c r="P38" s="9">
        <v>13</v>
      </c>
      <c r="Q38" s="9">
        <v>17</v>
      </c>
      <c r="R38" s="9">
        <v>17</v>
      </c>
      <c r="S38" s="9">
        <v>20</v>
      </c>
      <c r="T38" s="9">
        <v>23</v>
      </c>
      <c r="U38" s="9">
        <v>27</v>
      </c>
      <c r="V38" s="9">
        <v>29</v>
      </c>
      <c r="W38" s="9">
        <v>36</v>
      </c>
      <c r="X38" s="9">
        <v>40</v>
      </c>
      <c r="Y38" s="9">
        <v>42</v>
      </c>
      <c r="Z38" s="9">
        <v>42</v>
      </c>
      <c r="AA38" s="9">
        <v>46</v>
      </c>
      <c r="AB38" s="9">
        <v>50</v>
      </c>
    </row>
    <row r="39" spans="1:31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Greece</v>
      </c>
      <c r="D39" s="6">
        <f t="shared" si="18"/>
        <v>49</v>
      </c>
      <c r="E39" s="6">
        <f>IF(COUNTIF(I39:XFD39,"&gt;"&amp;0)=0,,HLOOKUP(COUNTIF(I39:XFD39,"&gt;"&amp;0)-1,I$1:XFD39,A39+1,FALSE))</f>
        <v>49</v>
      </c>
      <c r="F39" s="7">
        <f>IF(COUNTIF(I39:XFD39,"&gt;"&amp;0)=0,,HLOOKUP(COUNTIF(I39:XFD39,"&gt;"&amp;0)-MIN($F$1+1,COUNTIF(I39:XFD39,"&gt;"&amp;0)),I$1:XFD39,A39+1,FALSE))</f>
        <v>26</v>
      </c>
      <c r="G39" s="8">
        <f t="shared" si="16"/>
        <v>1.1351272418627076</v>
      </c>
      <c r="H39" s="13" t="s">
        <v>83</v>
      </c>
      <c r="I39" s="9">
        <v>13</v>
      </c>
      <c r="J39" s="9">
        <v>15</v>
      </c>
      <c r="K39" s="9">
        <v>17</v>
      </c>
      <c r="L39" s="9">
        <v>20</v>
      </c>
      <c r="M39" s="9">
        <v>22</v>
      </c>
      <c r="N39" s="9">
        <v>26</v>
      </c>
      <c r="O39" s="9">
        <v>28</v>
      </c>
      <c r="P39" s="9">
        <v>32</v>
      </c>
      <c r="Q39" s="9">
        <v>38</v>
      </c>
      <c r="R39" s="9">
        <v>43</v>
      </c>
      <c r="S39" s="9">
        <v>49</v>
      </c>
    </row>
    <row r="40" spans="1:31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Egypt</v>
      </c>
      <c r="D40" s="6">
        <f t="shared" si="18"/>
        <v>46</v>
      </c>
      <c r="E40" s="6">
        <f>IF(COUNTIF(I40:XFD40,"&gt;"&amp;0)=0,,HLOOKUP(COUNTIF(I40:XFD40,"&gt;"&amp;0)-1,I$1:XFD40,A40+1,FALSE))</f>
        <v>46</v>
      </c>
      <c r="F40" s="7">
        <f>IF(COUNTIF(I40:XFD40,"&gt;"&amp;0)=0,,HLOOKUP(COUNTIF(I40:XFD40,"&gt;"&amp;0)-MIN($F$1+1,COUNTIF(I40:XFD40,"&gt;"&amp;0)),I$1:XFD40,A40+1,FALSE))</f>
        <v>24</v>
      </c>
      <c r="G40" s="8">
        <f t="shared" si="16"/>
        <v>1.1389622185878991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</row>
    <row r="41" spans="1:31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>Algeria</v>
      </c>
      <c r="D41" s="6">
        <f t="shared" si="18"/>
        <v>44</v>
      </c>
      <c r="E41" s="6">
        <f>IF(COUNTIF(I41:XFD41,"&gt;"&amp;0)=0,,HLOOKUP(COUNTIF(I41:XFD41,"&gt;"&amp;0)-1,I$1:XFD41,A41+1,FALSE))</f>
        <v>44</v>
      </c>
      <c r="F41" s="7">
        <f>IF(COUNTIF(I41:XFD41,"&gt;"&amp;0)=0,,HLOOKUP(COUNTIF(I41:XFD41,"&gt;"&amp;0)-MIN($F$1+1,COUNTIF(I41:XFD41,"&gt;"&amp;0)),I$1:XFD41,A41+1,FALSE))</f>
        <v>25</v>
      </c>
      <c r="G41" s="8">
        <f t="shared" si="16"/>
        <v>1.1197022052804315</v>
      </c>
      <c r="H41" s="13" t="s">
        <v>75</v>
      </c>
      <c r="I41" s="9">
        <v>9</v>
      </c>
      <c r="J41" s="9">
        <v>11</v>
      </c>
      <c r="K41" s="9">
        <v>15</v>
      </c>
      <c r="L41" s="9">
        <v>17</v>
      </c>
      <c r="M41" s="9">
        <v>17</v>
      </c>
      <c r="N41" s="9">
        <v>19</v>
      </c>
      <c r="O41" s="9">
        <v>21</v>
      </c>
      <c r="P41" s="9">
        <v>25</v>
      </c>
      <c r="Q41" s="9">
        <v>26</v>
      </c>
      <c r="R41" s="9">
        <v>29</v>
      </c>
      <c r="S41" s="9">
        <v>31</v>
      </c>
      <c r="T41" s="9">
        <v>35</v>
      </c>
      <c r="U41" s="9">
        <v>44</v>
      </c>
    </row>
    <row r="42" spans="1:31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>Malaysia</v>
      </c>
      <c r="D42" s="6">
        <f t="shared" si="18"/>
        <v>43</v>
      </c>
      <c r="E42" s="6">
        <f>IF(COUNTIF(I42:XFD42,"&gt;"&amp;0)=0,,HLOOKUP(COUNTIF(I42:XFD42,"&gt;"&amp;0)-1,I$1:XFD42,A42+1,FALSE))</f>
        <v>43</v>
      </c>
      <c r="F42" s="7">
        <f>IF(COUNTIF(I42:XFD42,"&gt;"&amp;0)=0,,HLOOKUP(COUNTIF(I42:XFD42,"&gt;"&amp;0)-MIN($F$1+1,COUNTIF(I42:XFD42,"&gt;"&amp;0)),I$1:XFD42,A42+1,FALSE))</f>
        <v>23</v>
      </c>
      <c r="G42" s="8">
        <f t="shared" si="16"/>
        <v>1.1333084422054029</v>
      </c>
      <c r="H42" s="13" t="s">
        <v>43</v>
      </c>
      <c r="I42" s="9">
        <v>10</v>
      </c>
      <c r="J42" s="9">
        <v>14</v>
      </c>
      <c r="K42" s="9">
        <v>16</v>
      </c>
      <c r="L42" s="9">
        <v>20</v>
      </c>
      <c r="M42" s="9">
        <v>23</v>
      </c>
      <c r="N42" s="9">
        <v>26</v>
      </c>
      <c r="O42" s="9">
        <v>27</v>
      </c>
      <c r="P42" s="9">
        <v>35</v>
      </c>
      <c r="Q42" s="9">
        <v>37</v>
      </c>
      <c r="R42" s="9">
        <v>43</v>
      </c>
    </row>
    <row r="43" spans="1:31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>Norway</v>
      </c>
      <c r="D43" s="6">
        <f t="shared" si="18"/>
        <v>39</v>
      </c>
      <c r="E43" s="6">
        <f>IF(COUNTIF(I43:XFD43,"&gt;"&amp;0)=0,,HLOOKUP(COUNTIF(I43:XFD43,"&gt;"&amp;0)-1,I$1:XFD43,A43+1,FALSE))</f>
        <v>39</v>
      </c>
      <c r="F43" s="7">
        <f>IF(COUNTIF(I43:XFD43,"&gt;"&amp;0)=0,,HLOOKUP(COUNTIF(I43:XFD43,"&gt;"&amp;0)-MIN($F$1+1,COUNTIF(I43:XFD43,"&gt;"&amp;0)),I$1:XFD43,A43+1,FALSE))</f>
        <v>14</v>
      </c>
      <c r="G43" s="8">
        <f t="shared" si="16"/>
        <v>1.2274033782145131</v>
      </c>
      <c r="H43" s="13" t="s">
        <v>85</v>
      </c>
      <c r="I43" s="9">
        <v>10</v>
      </c>
      <c r="J43" s="9">
        <v>12</v>
      </c>
      <c r="K43" s="9">
        <v>14</v>
      </c>
      <c r="L43" s="9">
        <v>14</v>
      </c>
      <c r="M43" s="9">
        <v>19</v>
      </c>
      <c r="N43" s="9">
        <v>23</v>
      </c>
      <c r="O43" s="9">
        <v>25</v>
      </c>
      <c r="P43" s="9">
        <v>32</v>
      </c>
      <c r="Q43" s="9">
        <v>39</v>
      </c>
    </row>
    <row r="44" spans="1:31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>Morocco</v>
      </c>
      <c r="D44" s="6">
        <f t="shared" si="18"/>
        <v>36</v>
      </c>
      <c r="E44" s="6">
        <f>IF(COUNTIF(I44:XFD44,"&gt;"&amp;0)=0,,HLOOKUP(COUNTIF(I44:XFD44,"&gt;"&amp;0)-1,I$1:XFD44,A44+1,FALSE))</f>
        <v>36</v>
      </c>
      <c r="F44" s="7">
        <f>IF(COUNTIF(I44:XFD44,"&gt;"&amp;0)=0,,HLOOKUP(COUNTIF(I44:XFD44,"&gt;"&amp;0)-MIN($F$1+1,COUNTIF(I44:XFD44,"&gt;"&amp;0)),I$1:XFD44,A44+1,FALSE))</f>
        <v>11</v>
      </c>
      <c r="G44" s="8">
        <f t="shared" si="16"/>
        <v>1.2675992195350152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  <c r="M44" s="9">
        <v>33</v>
      </c>
      <c r="N44" s="9">
        <v>36</v>
      </c>
    </row>
    <row r="45" spans="1:31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>India</v>
      </c>
      <c r="D45" s="6">
        <f t="shared" si="18"/>
        <v>35</v>
      </c>
      <c r="E45" s="6">
        <f>IF(COUNTIF(I45:XFD45,"&gt;"&amp;0)=0,,HLOOKUP(COUNTIF(I45:XFD45,"&gt;"&amp;0)-1,I$1:XFD45,A45+1,FALSE))</f>
        <v>35</v>
      </c>
      <c r="F45" s="7">
        <f>IF(COUNTIF(I45:XFD45,"&gt;"&amp;0)=0,,HLOOKUP(COUNTIF(I45:XFD45,"&gt;"&amp;0)-MIN($F$1+1,COUNTIF(I45:XFD45,"&gt;"&amp;0)),I$1:XFD45,A45+1,FALSE))</f>
        <v>20</v>
      </c>
      <c r="G45" s="8">
        <f t="shared" si="16"/>
        <v>1.1184269147201447</v>
      </c>
      <c r="H45" s="13" t="s">
        <v>57</v>
      </c>
      <c r="I45" s="9">
        <v>10</v>
      </c>
      <c r="J45" s="9">
        <v>10</v>
      </c>
      <c r="K45" s="9">
        <v>12</v>
      </c>
      <c r="L45" s="9">
        <v>20</v>
      </c>
      <c r="M45" s="9">
        <v>20</v>
      </c>
      <c r="N45" s="9">
        <v>24</v>
      </c>
      <c r="O45" s="9">
        <v>27</v>
      </c>
      <c r="P45" s="9">
        <v>32</v>
      </c>
      <c r="Q45" s="9">
        <v>35</v>
      </c>
    </row>
    <row r="46" spans="1:31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>Poland</v>
      </c>
      <c r="D46" s="6">
        <f t="shared" si="18"/>
        <v>33</v>
      </c>
      <c r="E46" s="6">
        <f>IF(COUNTIF(I46:XFD46,"&gt;"&amp;0)=0,,HLOOKUP(COUNTIF(I46:XFD46,"&gt;"&amp;0)-1,I$1:XFD46,A46+1,FALSE))</f>
        <v>33</v>
      </c>
      <c r="F46" s="7">
        <f>IF(COUNTIF(I46:XFD46,"&gt;"&amp;0)=0,,HLOOKUP(COUNTIF(I46:XFD46,"&gt;"&amp;0)-MIN($F$1+1,COUNTIF(I46:XFD46,"&gt;"&amp;0)),I$1:XFD46,A46+1,FALSE))</f>
        <v>16</v>
      </c>
      <c r="G46" s="8">
        <f t="shared" si="16"/>
        <v>1.1557896243650145</v>
      </c>
      <c r="H46" s="13" t="s">
        <v>137</v>
      </c>
      <c r="I46" s="9">
        <v>8</v>
      </c>
      <c r="J46" s="9">
        <v>10</v>
      </c>
      <c r="K46" s="9">
        <v>14</v>
      </c>
      <c r="L46" s="9">
        <v>16</v>
      </c>
      <c r="M46" s="9">
        <v>16</v>
      </c>
      <c r="N46" s="9">
        <v>18</v>
      </c>
      <c r="O46" s="9">
        <v>22</v>
      </c>
      <c r="P46" s="9">
        <v>31</v>
      </c>
      <c r="Q46" s="9">
        <v>33</v>
      </c>
    </row>
    <row r="47" spans="1:31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>Czechia</v>
      </c>
      <c r="D47" s="6">
        <f t="shared" si="18"/>
        <v>31</v>
      </c>
      <c r="E47" s="6">
        <f>IF(COUNTIF(I47:XFD47,"&gt;"&amp;0)=0,,HLOOKUP(COUNTIF(I47:XFD47,"&gt;"&amp;0)-1,I$1:XFD47,A47+1,FALSE))</f>
        <v>31</v>
      </c>
      <c r="F47" s="7">
        <f>IF(COUNTIF(I47:XFD47,"&gt;"&amp;0)=0,,HLOOKUP(COUNTIF(I47:XFD47,"&gt;"&amp;0)-MIN($F$1+1,COUNTIF(I47:XFD47,"&gt;"&amp;0)),I$1:XFD47,A47+1,FALSE))</f>
        <v>9</v>
      </c>
      <c r="G47" s="8">
        <f t="shared" si="16"/>
        <v>1.2806304880261565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</row>
    <row r="48" spans="1:31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>Peru</v>
      </c>
      <c r="D48" s="6">
        <f t="shared" si="18"/>
        <v>30</v>
      </c>
      <c r="E48" s="6">
        <f>IF(COUNTIF(I48:XFD48,"&gt;"&amp;0)=0,,HLOOKUP(COUNTIF(I48:XFD48,"&gt;"&amp;0)-1,I$1:XFD48,A48+1,FALSE))</f>
        <v>30</v>
      </c>
      <c r="F48" s="7">
        <f>IF(COUNTIF(I48:XFD48,"&gt;"&amp;0)=0,,HLOOKUP(COUNTIF(I48:XFD48,"&gt;"&amp;0)-MIN($F$1+1,COUNTIF(I48:XFD48,"&gt;"&amp;0)),I$1:XFD48,A48+1,FALSE))</f>
        <v>9</v>
      </c>
      <c r="G48" s="8">
        <f t="shared" si="16"/>
        <v>1.2722596365393921</v>
      </c>
      <c r="H48" s="13" t="s">
        <v>160</v>
      </c>
      <c r="I48" s="9">
        <v>9</v>
      </c>
      <c r="J48" s="9">
        <v>9</v>
      </c>
      <c r="K48" s="9">
        <v>11</v>
      </c>
      <c r="L48" s="9">
        <v>16</v>
      </c>
      <c r="M48" s="9">
        <v>18</v>
      </c>
      <c r="N48" s="9">
        <v>24</v>
      </c>
      <c r="O48" s="9">
        <v>30</v>
      </c>
    </row>
    <row r="49" spans="1:22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>Panama</v>
      </c>
      <c r="D49" s="6">
        <f t="shared" si="18"/>
        <v>30</v>
      </c>
      <c r="E49" s="6">
        <f>IF(COUNTIF(I49:XFD49,"&gt;"&amp;0)=0,,HLOOKUP(COUNTIF(I49:XFD49,"&gt;"&amp;0)-1,I$1:XFD49,A49+1,FALSE))</f>
        <v>30</v>
      </c>
      <c r="F49" s="7">
        <f>IF(COUNTIF(I49:XFD49,"&gt;"&amp;0)=0,,HLOOKUP(COUNTIF(I49:XFD49,"&gt;"&amp;0)-MIN($F$1+1,COUNTIF(I49:XFD49,"&gt;"&amp;0)),I$1:XFD49,A49+1,FALSE))</f>
        <v>8</v>
      </c>
      <c r="G49" s="8">
        <f t="shared" si="16"/>
        <v>1.3025855423486761</v>
      </c>
      <c r="H49" s="13" t="s">
        <v>283</v>
      </c>
      <c r="I49" s="9">
        <v>8</v>
      </c>
      <c r="J49" s="9">
        <v>8</v>
      </c>
      <c r="K49" s="9">
        <v>9</v>
      </c>
      <c r="L49" s="9">
        <v>14</v>
      </c>
      <c r="M49" s="9">
        <v>17</v>
      </c>
      <c r="N49" s="9">
        <v>24</v>
      </c>
      <c r="O49" s="9">
        <v>30</v>
      </c>
    </row>
    <row r="50" spans="1:22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>Mexico</v>
      </c>
      <c r="D50" s="6">
        <f t="shared" si="18"/>
        <v>28</v>
      </c>
      <c r="E50" s="6">
        <f>IF(COUNTIF(I50:XFD50,"&gt;"&amp;0)=0,,HLOOKUP(COUNTIF(I50:XFD50,"&gt;"&amp;0)-1,I$1:XFD50,A50+1,FALSE))</f>
        <v>28</v>
      </c>
      <c r="F50" s="7">
        <f>IF(COUNTIF(I50:XFD50,"&gt;"&amp;0)=0,,HLOOKUP(COUNTIF(I50:XFD50,"&gt;"&amp;0)-MIN($F$1+1,COUNTIF(I50:XFD50,"&gt;"&amp;0)),I$1:XFD50,A50+1,FALSE))</f>
        <v>8</v>
      </c>
      <c r="G50" s="8">
        <f t="shared" si="16"/>
        <v>1.3677823998673806</v>
      </c>
      <c r="H50" s="13" t="s">
        <v>94</v>
      </c>
      <c r="I50" s="9">
        <v>8</v>
      </c>
      <c r="J50" s="9">
        <v>12</v>
      </c>
      <c r="K50" s="9">
        <v>16</v>
      </c>
      <c r="L50" s="9">
        <v>20</v>
      </c>
      <c r="M50" s="9">
        <v>28</v>
      </c>
    </row>
    <row r="51" spans="1:22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>Argentina</v>
      </c>
      <c r="D51" s="6">
        <f t="shared" si="18"/>
        <v>27</v>
      </c>
      <c r="E51" s="6">
        <f>IF(COUNTIF(I51:XFD51,"&gt;"&amp;0)=0,,HLOOKUP(COUNTIF(I51:XFD51,"&gt;"&amp;0)-1,I$1:XFD51,A51+1,FALSE))</f>
        <v>27</v>
      </c>
      <c r="F51" s="7">
        <f>IF(COUNTIF(I51:XFD51,"&gt;"&amp;0)=0,,HLOOKUP(COUNTIF(I51:XFD51,"&gt;"&amp;0)-MIN($F$1+1,COUNTIF(I51:XFD51,"&gt;"&amp;0)),I$1:XFD51,A51+1,FALSE))</f>
        <v>9</v>
      </c>
      <c r="G51" s="8">
        <f t="shared" si="16"/>
        <v>1.2457309396155174</v>
      </c>
      <c r="H51" s="13" t="s">
        <v>123</v>
      </c>
      <c r="I51" s="9">
        <v>8</v>
      </c>
      <c r="J51" s="9">
        <v>9</v>
      </c>
      <c r="K51" s="9">
        <v>13</v>
      </c>
      <c r="L51" s="9">
        <v>18</v>
      </c>
      <c r="M51" s="9">
        <v>19</v>
      </c>
      <c r="N51" s="9">
        <v>23</v>
      </c>
      <c r="O51" s="9">
        <v>27</v>
      </c>
    </row>
    <row r="52" spans="1:22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>San Marino</v>
      </c>
      <c r="D52" s="6">
        <f t="shared" si="18"/>
        <v>26</v>
      </c>
      <c r="E52" s="6">
        <f>IF(COUNTIF(I52:XFD52,"&gt;"&amp;0)=0,,HLOOKUP(COUNTIF(I52:XFD52,"&gt;"&amp;0)-1,I$1:XFD52,A52+1,FALSE))</f>
        <v>26</v>
      </c>
      <c r="F52" s="7">
        <f>IF(COUNTIF(I52:XFD52,"&gt;"&amp;0)=0,,HLOOKUP(COUNTIF(I52:XFD52,"&gt;"&amp;0)-MIN($F$1+1,COUNTIF(I52:XFD52,"&gt;"&amp;0)),I$1:XFD52,A52+1,FALSE))</f>
        <v>21</v>
      </c>
      <c r="G52" s="8">
        <f t="shared" si="16"/>
        <v>1.0436402271504359</v>
      </c>
      <c r="H52" s="13" t="s">
        <v>90</v>
      </c>
      <c r="I52" s="9">
        <v>11</v>
      </c>
      <c r="J52" s="9">
        <v>11</v>
      </c>
      <c r="K52" s="9">
        <v>14</v>
      </c>
      <c r="L52" s="9">
        <v>20</v>
      </c>
      <c r="M52" s="9">
        <v>20</v>
      </c>
      <c r="N52" s="9">
        <v>20</v>
      </c>
      <c r="O52" s="9">
        <v>21</v>
      </c>
      <c r="P52" s="9">
        <v>21</v>
      </c>
      <c r="Q52" s="9">
        <v>21</v>
      </c>
      <c r="R52" s="9">
        <v>21</v>
      </c>
      <c r="S52" s="9">
        <v>22</v>
      </c>
      <c r="T52" s="9">
        <v>22</v>
      </c>
      <c r="U52" s="9">
        <v>25</v>
      </c>
      <c r="V52" s="9">
        <v>26</v>
      </c>
    </row>
    <row r="53" spans="1:22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>Pakistan</v>
      </c>
      <c r="D53" s="6">
        <f t="shared" si="18"/>
        <v>26</v>
      </c>
      <c r="E53" s="6">
        <f>IF(COUNTIF(I53:XFD53,"&gt;"&amp;0)=0,,HLOOKUP(COUNTIF(I53:XFD53,"&gt;"&amp;0)-1,I$1:XFD53,A53+1,FALSE))</f>
        <v>26</v>
      </c>
      <c r="F53" s="7">
        <f>IF(COUNTIF(I53:XFD53,"&gt;"&amp;0)=0,,HLOOKUP(COUNTIF(I53:XFD53,"&gt;"&amp;0)-MIN($F$1+1,COUNTIF(I53:XFD53,"&gt;"&amp;0)),I$1:XFD53,A53+1,FALSE))</f>
        <v>9</v>
      </c>
      <c r="G53" s="8">
        <f t="shared" si="16"/>
        <v>1.2363634783482345</v>
      </c>
      <c r="H53" s="13" t="s">
        <v>80</v>
      </c>
      <c r="I53" s="9">
        <v>8</v>
      </c>
      <c r="J53" s="9">
        <v>9</v>
      </c>
      <c r="K53" s="9">
        <v>11</v>
      </c>
      <c r="L53" s="9">
        <v>12</v>
      </c>
      <c r="M53" s="9">
        <v>14</v>
      </c>
      <c r="N53" s="9">
        <v>21</v>
      </c>
      <c r="O53" s="9">
        <v>26</v>
      </c>
    </row>
    <row r="54" spans="1:22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>Luxembourg</v>
      </c>
      <c r="D54" s="6">
        <f t="shared" si="18"/>
        <v>23</v>
      </c>
      <c r="E54" s="6">
        <f>IF(COUNTIF(I54:XFD54,"&gt;"&amp;0)=0,,HLOOKUP(COUNTIF(I54:XFD54,"&gt;"&amp;0)-1,I$1:XFD54,A54+1,FALSE))</f>
        <v>23</v>
      </c>
      <c r="F54" s="7">
        <f>IF(COUNTIF(I54:XFD54,"&gt;"&amp;0)=0,,HLOOKUP(COUNTIF(I54:XFD54,"&gt;"&amp;0)-MIN($F$1+1,COUNTIF(I54:XFD54,"&gt;"&amp;0)),I$1:XFD54,A54+1,FALSE))</f>
        <v>9</v>
      </c>
      <c r="G54" s="8">
        <f t="shared" si="16"/>
        <v>1.2064159359821514</v>
      </c>
      <c r="H54" s="13" t="s">
        <v>99</v>
      </c>
      <c r="I54" s="9">
        <v>8</v>
      </c>
      <c r="J54" s="9">
        <v>8</v>
      </c>
      <c r="K54" s="9">
        <v>8</v>
      </c>
      <c r="L54" s="9">
        <v>8</v>
      </c>
      <c r="M54" s="9">
        <v>8</v>
      </c>
      <c r="N54" s="9">
        <v>9</v>
      </c>
      <c r="O54" s="9">
        <v>15</v>
      </c>
      <c r="P54" s="9">
        <v>18</v>
      </c>
      <c r="Q54" s="9">
        <v>21</v>
      </c>
      <c r="R54" s="9">
        <v>22</v>
      </c>
      <c r="S54" s="9">
        <v>23</v>
      </c>
    </row>
    <row r="55" spans="1:22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>Israel</v>
      </c>
      <c r="D55" s="6">
        <f t="shared" si="18"/>
        <v>20</v>
      </c>
      <c r="E55" s="6">
        <f>IF(COUNTIF(I55:XFD55,"&gt;"&amp;0)=0,,HLOOKUP(COUNTIF(I55:XFD55,"&gt;"&amp;0)-1,I$1:XFD55,A55+1,FALSE))</f>
        <v>20</v>
      </c>
      <c r="F55" s="7">
        <f>IF(COUNTIF(I55:XFD55,"&gt;"&amp;0)=0,,HLOOKUP(COUNTIF(I55:XFD55,"&gt;"&amp;0)-MIN($F$1+1,COUNTIF(I55:XFD55,"&gt;"&amp;0)),I$1:XFD55,A55+1,FALSE))</f>
        <v>8</v>
      </c>
      <c r="G55" s="8">
        <f t="shared" si="16"/>
        <v>1.2011244339814313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  <c r="M55" s="9">
        <v>16</v>
      </c>
      <c r="N55" s="9">
        <v>20</v>
      </c>
    </row>
    <row r="56" spans="1:22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>Australia</v>
      </c>
      <c r="D56" s="6">
        <f t="shared" si="18"/>
        <v>18</v>
      </c>
      <c r="E56" s="6">
        <f>IF(COUNTIF(I56:XFD56,"&gt;"&amp;0)=0,,HLOOKUP(COUNTIF(I56:XFD56,"&gt;"&amp;0)-1,I$1:XFD56,A56+1,FALSE))</f>
        <v>18</v>
      </c>
      <c r="F56" s="7">
        <f>IF(COUNTIF(I56:XFD56,"&gt;"&amp;0)=0,,HLOOKUP(COUNTIF(I56:XFD56,"&gt;"&amp;0)-MIN($F$1+1,COUNTIF(I56:XFD56,"&gt;"&amp;0)),I$1:XFD56,A56+1,FALSE))</f>
        <v>13</v>
      </c>
      <c r="G56" s="8">
        <f t="shared" si="16"/>
        <v>1.0672491818795389</v>
      </c>
      <c r="H56" s="13" t="s">
        <v>48</v>
      </c>
      <c r="I56" s="9">
        <v>8</v>
      </c>
      <c r="J56" s="9">
        <v>8</v>
      </c>
      <c r="K56" s="9">
        <v>13</v>
      </c>
      <c r="L56" s="9">
        <v>13</v>
      </c>
      <c r="M56" s="9">
        <v>14</v>
      </c>
      <c r="N56" s="9">
        <v>16</v>
      </c>
      <c r="O56" s="9">
        <v>17</v>
      </c>
      <c r="P56" s="9">
        <v>18</v>
      </c>
    </row>
    <row r="57" spans="1:22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>Finland</v>
      </c>
      <c r="D57" s="6">
        <f t="shared" si="18"/>
        <v>17</v>
      </c>
      <c r="E57" s="6">
        <f>IF(COUNTIF(I57:XFD57,"&gt;"&amp;0)=0,,HLOOKUP(COUNTIF(I57:XFD57,"&gt;"&amp;0)-1,I$1:XFD57,A57+1,FALSE))</f>
        <v>17</v>
      </c>
      <c r="F57" s="7">
        <f>IF(COUNTIF(I57:XFD57,"&gt;"&amp;0)=0,,HLOOKUP(COUNTIF(I57:XFD57,"&gt;"&amp;0)-MIN($F$1+1,COUNTIF(I57:XFD57,"&gt;"&amp;0)),I$1:XFD57,A57+1,FALSE))</f>
        <v>9</v>
      </c>
      <c r="G57" s="8">
        <f t="shared" si="16"/>
        <v>1.2361432564220631</v>
      </c>
      <c r="H57" s="13" t="s">
        <v>54</v>
      </c>
      <c r="I57" s="9">
        <v>9</v>
      </c>
      <c r="J57" s="9">
        <v>11</v>
      </c>
      <c r="K57" s="9">
        <v>13</v>
      </c>
      <c r="L57" s="9">
        <v>17</v>
      </c>
    </row>
    <row r="58" spans="1:22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>Russia</v>
      </c>
      <c r="D58" s="6">
        <f t="shared" si="18"/>
        <v>17</v>
      </c>
      <c r="E58" s="6">
        <f>IF(COUNTIF(I58:XFD58,"&gt;"&amp;0)=0,,HLOOKUP(COUNTIF(I58:XFD58,"&gt;"&amp;0)-1,I$1:XFD58,A58+1,FALSE))</f>
        <v>17</v>
      </c>
      <c r="F58" s="7">
        <f>IF(COUNTIF(I58:XFD58,"&gt;"&amp;0)=0,,HLOOKUP(COUNTIF(I58:XFD58,"&gt;"&amp;0)-MIN($F$1+1,COUNTIF(I58:XFD58,"&gt;"&amp;0)),I$1:XFD58,A58+1,FALSE))</f>
        <v>8</v>
      </c>
      <c r="G58" s="8">
        <f t="shared" si="16"/>
        <v>1.4577379737113252</v>
      </c>
      <c r="H58" s="13" t="s">
        <v>344</v>
      </c>
      <c r="I58" s="9">
        <v>8</v>
      </c>
      <c r="J58" s="9">
        <v>9</v>
      </c>
      <c r="K58" s="9">
        <v>17</v>
      </c>
    </row>
    <row r="59" spans="1:22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>Ukraine</v>
      </c>
      <c r="D59" s="6">
        <f t="shared" si="18"/>
        <v>17</v>
      </c>
      <c r="E59" s="6">
        <f>IF(COUNTIF(I59:XFD59,"&gt;"&amp;0)=0,,HLOOKUP(COUNTIF(I59:XFD59,"&gt;"&amp;0)-1,I$1:XFD59,A59+1,FALSE))</f>
        <v>17</v>
      </c>
      <c r="F59" s="7">
        <f>IF(COUNTIF(I59:XFD59,"&gt;"&amp;0)=0,,HLOOKUP(COUNTIF(I59:XFD59,"&gt;"&amp;0)-MIN($F$1+1,COUNTIF(I59:XFD59,"&gt;"&amp;0)),I$1:XFD59,A59+1,FALSE))</f>
        <v>9</v>
      </c>
      <c r="G59" s="8">
        <f t="shared" si="16"/>
        <v>1.2361432564220631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</row>
    <row r="60" spans="1:22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>Serbia</v>
      </c>
      <c r="D60" s="6">
        <f t="shared" si="18"/>
        <v>16</v>
      </c>
      <c r="E60" s="6">
        <f>IF(COUNTIF(I60:XFD60,"&gt;"&amp;0)=0,,HLOOKUP(COUNTIF(I60:XFD60,"&gt;"&amp;0)-1,I$1:XFD60,A60+1,FALSE))</f>
        <v>16</v>
      </c>
      <c r="F60" s="7">
        <f>IF(COUNTIF(I60:XFD60,"&gt;"&amp;0)=0,,HLOOKUP(COUNTIF(I60:XFD60,"&gt;"&amp;0)-MIN($F$1+1,COUNTIF(I60:XFD60,"&gt;"&amp;0)),I$1:XFD60,A60+1,FALSE))</f>
        <v>10</v>
      </c>
      <c r="G60" s="8">
        <f t="shared" si="16"/>
        <v>1.1696070952851465</v>
      </c>
      <c r="H60" s="13" t="s">
        <v>161</v>
      </c>
      <c r="I60" s="9">
        <v>10</v>
      </c>
      <c r="J60" s="9">
        <v>13</v>
      </c>
      <c r="K60" s="9">
        <v>16</v>
      </c>
      <c r="L60" s="9">
        <v>16</v>
      </c>
    </row>
    <row r="61" spans="1:22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>Hungary</v>
      </c>
      <c r="D61" s="6">
        <f t="shared" si="18"/>
        <v>16</v>
      </c>
      <c r="E61" s="6">
        <f>IF(COUNTIF(I61:XFD61,"&gt;"&amp;0)=0,,HLOOKUP(COUNTIF(I61:XFD61,"&gt;"&amp;0)-1,I$1:XFD61,A61+1,FALSE))</f>
        <v>16</v>
      </c>
      <c r="F61" s="7">
        <f>IF(COUNTIF(I61:XFD61,"&gt;"&amp;0)=0,,HLOOKUP(COUNTIF(I61:XFD61,"&gt;"&amp;0)-MIN($F$1+1,COUNTIF(I61:XFD61,"&gt;"&amp;0)),I$1:XFD61,A61+1,FALSE))</f>
        <v>10</v>
      </c>
      <c r="G61" s="8">
        <f t="shared" si="16"/>
        <v>1.0985605433061179</v>
      </c>
      <c r="H61" s="13" t="s">
        <v>132</v>
      </c>
      <c r="I61" s="9">
        <v>9</v>
      </c>
      <c r="J61" s="9">
        <v>10</v>
      </c>
      <c r="K61" s="9">
        <v>10</v>
      </c>
      <c r="L61" s="9">
        <v>10</v>
      </c>
      <c r="M61" s="9">
        <v>11</v>
      </c>
      <c r="N61" s="9">
        <v>13</v>
      </c>
      <c r="O61" s="9">
        <v>15</v>
      </c>
      <c r="P61" s="9">
        <v>16</v>
      </c>
    </row>
    <row r="62" spans="1:22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>Colombia</v>
      </c>
      <c r="D62" s="6">
        <f t="shared" si="18"/>
        <v>16</v>
      </c>
      <c r="E62" s="6">
        <f>IF(COUNTIF(I62:XFD62,"&gt;"&amp;0)=0,,HLOOKUP(COUNTIF(I62:XFD62,"&gt;"&amp;0)-1,I$1:XFD62,A62+1,FALSE))</f>
        <v>16</v>
      </c>
      <c r="F62" s="7">
        <f>IF(COUNTIF(I62:XFD62,"&gt;"&amp;0)=0,,HLOOKUP(COUNTIF(I62:XFD62,"&gt;"&amp;0)-MIN($F$1+1,COUNTIF(I62:XFD62,"&gt;"&amp;0)),I$1:XFD62,A62+1,FALSE))</f>
        <v>10</v>
      </c>
      <c r="G62" s="8">
        <f t="shared" si="16"/>
        <v>1.2649110640673518</v>
      </c>
      <c r="H62" s="13" t="s">
        <v>158</v>
      </c>
      <c r="I62" s="9">
        <v>10</v>
      </c>
      <c r="J62" s="9">
        <v>12</v>
      </c>
      <c r="K62" s="9">
        <v>16</v>
      </c>
    </row>
    <row r="63" spans="1:22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>Slovenia</v>
      </c>
      <c r="D63" s="6">
        <f t="shared" si="18"/>
        <v>15</v>
      </c>
      <c r="E63" s="6">
        <f>IF(COUNTIF(I63:XFD63,"&gt;"&amp;0)=0,,HLOOKUP(COUNTIF(I63:XFD63,"&gt;"&amp;0)-1,I$1:XFD63,A63+1,FALSE))</f>
        <v>15</v>
      </c>
      <c r="F63" s="7">
        <f>IF(COUNTIF(I63:XFD63,"&gt;"&amp;0)=0,,HLOOKUP(COUNTIF(I63:XFD63,"&gt;"&amp;0)-MIN($F$1+1,COUNTIF(I63:XFD63,"&gt;"&amp;0)),I$1:XFD63,A63+1,FALSE))</f>
        <v>9</v>
      </c>
      <c r="G63" s="8">
        <f t="shared" si="16"/>
        <v>1.1362193664674993</v>
      </c>
      <c r="H63" s="13" t="s">
        <v>141</v>
      </c>
      <c r="I63" s="9">
        <v>9</v>
      </c>
      <c r="J63" s="9">
        <v>9</v>
      </c>
      <c r="K63" s="9">
        <v>11</v>
      </c>
      <c r="L63" s="9">
        <v>11</v>
      </c>
      <c r="M63" s="9">
        <v>15</v>
      </c>
    </row>
    <row r="64" spans="1:22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>Albania</v>
      </c>
      <c r="D64" s="6">
        <f t="shared" si="18"/>
        <v>15</v>
      </c>
      <c r="E64" s="6">
        <f>IF(COUNTIF(I64:XFD64,"&gt;"&amp;0)=0,,HLOOKUP(COUNTIF(I64:XFD64,"&gt;"&amp;0)-1,I$1:XFD64,A64+1,FALSE))</f>
        <v>15</v>
      </c>
      <c r="F64" s="7">
        <f>IF(COUNTIF(I64:XFD64,"&gt;"&amp;0)=0,,HLOOKUP(COUNTIF(I64:XFD64,"&gt;"&amp;0)-MIN($F$1+1,COUNTIF(I64:XFD64,"&gt;"&amp;0)),I$1:XFD64,A64+1,FALSE))</f>
        <v>8</v>
      </c>
      <c r="G64" s="8">
        <f t="shared" si="16"/>
        <v>1.170173659660358</v>
      </c>
      <c r="H64" s="13" t="s">
        <v>230</v>
      </c>
      <c r="I64" s="9">
        <v>8</v>
      </c>
      <c r="J64" s="9">
        <v>10</v>
      </c>
      <c r="K64" s="9">
        <v>10</v>
      </c>
      <c r="L64" s="9">
        <v>11</v>
      </c>
      <c r="M64" s="9">
        <v>15</v>
      </c>
    </row>
    <row r="65" spans="1:13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>Burkina Faso</v>
      </c>
      <c r="D65" s="6">
        <f t="shared" si="18"/>
        <v>14</v>
      </c>
      <c r="E65" s="6">
        <f>IF(COUNTIF(I65:XFD65,"&gt;"&amp;0)=0,,HLOOKUP(COUNTIF(I65:XFD65,"&gt;"&amp;0)-1,I$1:XFD65,A65+1,FALSE))</f>
        <v>14</v>
      </c>
      <c r="F65" s="7">
        <f>IF(COUNTIF(I65:XFD65,"&gt;"&amp;0)=0,,HLOOKUP(COUNTIF(I65:XFD65,"&gt;"&amp;0)-MIN($F$1+1,COUNTIF(I65:XFD65,"&gt;"&amp;0)),I$1:XFD65,A65+1,FALSE))</f>
        <v>9</v>
      </c>
      <c r="G65" s="8">
        <f t="shared" si="16"/>
        <v>1.116789652944836</v>
      </c>
      <c r="H65" s="13" t="s">
        <v>279</v>
      </c>
      <c r="I65" s="9">
        <v>9</v>
      </c>
      <c r="J65" s="9">
        <v>11</v>
      </c>
      <c r="K65" s="9">
        <v>12</v>
      </c>
      <c r="L65" s="9">
        <v>12</v>
      </c>
      <c r="M65" s="9">
        <v>14</v>
      </c>
    </row>
    <row r="66" spans="1:13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>Bosnia and Herzegovina</v>
      </c>
      <c r="D66" s="6">
        <f t="shared" si="18"/>
        <v>13</v>
      </c>
      <c r="E66" s="6">
        <f>IF(COUNTIF(I66:XFD66,"&gt;"&amp;0)=0,,HLOOKUP(COUNTIF(I66:XFD66,"&gt;"&amp;0)-1,I$1:XFD66,A66+1,FALSE))</f>
        <v>13</v>
      </c>
      <c r="F66" s="7">
        <f>IF(COUNTIF(I66:XFD66,"&gt;"&amp;0)=0,,HLOOKUP(COUNTIF(I66:XFD66,"&gt;"&amp;0)-MIN($F$1+1,COUNTIF(I66:XFD66,"&gt;"&amp;0)),I$1:XFD66,A66+1,FALSE))</f>
        <v>10</v>
      </c>
      <c r="G66" s="8">
        <f t="shared" ref="G66:G97" si="20">IF(COUNTIF(I66:XFD66,"&gt;"&amp;0)=0,,(E66/F66)^(1/MIN(COUNTIF(I66:XFD66,"&gt;"&amp;0)-1,$F$1)))</f>
        <v>1.3</v>
      </c>
      <c r="H66" s="13" t="s">
        <v>140</v>
      </c>
      <c r="I66" s="9">
        <v>10</v>
      </c>
      <c r="J66" s="9">
        <v>13</v>
      </c>
    </row>
    <row r="67" spans="1:13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>Lebanon</v>
      </c>
      <c r="D67" s="6">
        <f t="shared" si="18"/>
        <v>12</v>
      </c>
      <c r="E67" s="6">
        <f>IF(COUNTIF(I67:XFD67,"&gt;"&amp;0)=0,,HLOOKUP(COUNTIF(I67:XFD67,"&gt;"&amp;0)-1,I$1:XFD67,A67+1,FALSE))</f>
        <v>12</v>
      </c>
      <c r="F67" s="7">
        <f>IF(COUNTIF(I67:XFD67,"&gt;"&amp;0)=0,,HLOOKUP(COUNTIF(I67:XFD67,"&gt;"&amp;0)-MIN($F$1+1,COUNTIF(I67:XFD67,"&gt;"&amp;0)),I$1:XFD67,A67+1,FALSE))</f>
        <v>8</v>
      </c>
      <c r="G67" s="8">
        <f t="shared" si="20"/>
        <v>1.1066819197003217</v>
      </c>
      <c r="H67" s="13" t="s">
        <v>67</v>
      </c>
      <c r="I67" s="9">
        <v>8</v>
      </c>
      <c r="J67" s="9">
        <v>8</v>
      </c>
      <c r="K67" s="9">
        <v>10</v>
      </c>
      <c r="L67" s="9">
        <v>11</v>
      </c>
      <c r="M67" s="9">
        <v>12</v>
      </c>
    </row>
    <row r="68" spans="1:13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>Chile</v>
      </c>
      <c r="D68" s="6">
        <f t="shared" si="18"/>
        <v>12</v>
      </c>
      <c r="E68" s="6">
        <f>IF(COUNTIF(I68:XFD68,"&gt;"&amp;0)=0,,HLOOKUP(COUNTIF(I68:XFD68,"&gt;"&amp;0)-1,I$1:XFD68,A68+1,FALSE))</f>
        <v>12</v>
      </c>
      <c r="F68" s="7">
        <f>IF(COUNTIF(I68:XFD68,"&gt;"&amp;0)=0,,HLOOKUP(COUNTIF(I68:XFD68,"&gt;"&amp;0)-MIN($F$1+1,COUNTIF(I68:XFD68,"&gt;"&amp;0)),I$1:XFD68,A68+1,FALSE))</f>
        <v>8</v>
      </c>
      <c r="G68" s="8">
        <f t="shared" si="20"/>
        <v>1.5</v>
      </c>
      <c r="H68" s="13" t="s">
        <v>124</v>
      </c>
      <c r="I68" s="9">
        <v>8</v>
      </c>
      <c r="J68" s="9">
        <v>12</v>
      </c>
    </row>
    <row r="69" spans="1:13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>Andorra</v>
      </c>
      <c r="D69" s="6">
        <f t="shared" ref="D69:D100" si="22">MAX(I69:BD69)</f>
        <v>12</v>
      </c>
      <c r="E69" s="6">
        <f>IF(COUNTIF(I69:XFD69,"&gt;"&amp;0)=0,,HLOOKUP(COUNTIF(I69:XFD69,"&gt;"&amp;0)-1,I$1:XFD69,A69+1,FALSE))</f>
        <v>12</v>
      </c>
      <c r="F69" s="7">
        <f>IF(COUNTIF(I69:XFD69,"&gt;"&amp;0)=0,,HLOOKUP(COUNTIF(I69:XFD69,"&gt;"&amp;0)-MIN($F$1+1,COUNTIF(I69:XFD69,"&gt;"&amp;0)),I$1:XFD69,A69+1,FALSE))</f>
        <v>8</v>
      </c>
      <c r="G69" s="8">
        <f t="shared" si="20"/>
        <v>1.5</v>
      </c>
      <c r="H69" s="13" t="s">
        <v>109</v>
      </c>
      <c r="I69" s="9">
        <v>8</v>
      </c>
      <c r="J69" s="9">
        <v>12</v>
      </c>
    </row>
    <row r="70" spans="1:13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>Saudi Arabia</v>
      </c>
      <c r="D70" s="6">
        <f t="shared" si="22"/>
        <v>10</v>
      </c>
      <c r="E70" s="6">
        <f>IF(COUNTIF(I70:XFD70,"&gt;"&amp;0)=0,,HLOOKUP(COUNTIF(I70:XFD70,"&gt;"&amp;0)-1,I$1:XFD70,A70+1,FALSE))</f>
        <v>10</v>
      </c>
      <c r="F70" s="7">
        <f>IF(COUNTIF(I70:XFD70,"&gt;"&amp;0)=0,,HLOOKUP(COUNTIF(I70:XFD70,"&gt;"&amp;0)-MIN($F$1+1,COUNTIF(I70:XFD70,"&gt;"&amp;0)),I$1:XFD70,A70+1,FALSE))</f>
        <v>8</v>
      </c>
      <c r="G70" s="8">
        <f t="shared" si="20"/>
        <v>1.1180339887498949</v>
      </c>
      <c r="H70" s="13" t="s">
        <v>113</v>
      </c>
      <c r="I70" s="9">
        <v>8</v>
      </c>
      <c r="J70" s="9">
        <v>8</v>
      </c>
      <c r="K70" s="9">
        <v>10</v>
      </c>
    </row>
    <row r="71" spans="1:13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>Thailand</v>
      </c>
      <c r="D71" s="6">
        <f t="shared" si="22"/>
        <v>10</v>
      </c>
      <c r="E71" s="6">
        <f>IF(COUNTIF(I71:XFD71,"&gt;"&amp;0)=0,,HLOOKUP(COUNTIF(I71:XFD71,"&gt;"&amp;0)-1,I$1:XFD71,A71+1,FALSE))</f>
        <v>10</v>
      </c>
      <c r="F71" s="7">
        <f>IF(COUNTIF(I71:XFD71,"&gt;"&amp;0)=0,,HLOOKUP(COUNTIF(I71:XFD71,"&gt;"&amp;0)-MIN($F$1+1,COUNTIF(I71:XFD71,"&gt;"&amp;0)),I$1:XFD71,A71+1,FALSE))</f>
        <v>9</v>
      </c>
      <c r="G71" s="8">
        <f t="shared" si="20"/>
        <v>1.1111111111111112</v>
      </c>
      <c r="H71" s="13" t="s">
        <v>35</v>
      </c>
      <c r="I71" s="9">
        <v>9</v>
      </c>
      <c r="J71" s="9">
        <v>10</v>
      </c>
    </row>
    <row r="72" spans="1:13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>Tunisia</v>
      </c>
      <c r="D72" s="6">
        <f t="shared" si="22"/>
        <v>10</v>
      </c>
      <c r="E72" s="6">
        <f>IF(COUNTIF(I72:XFD72,"&gt;"&amp;0)=0,,HLOOKUP(COUNTIF(I72:XFD72,"&gt;"&amp;0)-1,I$1:XFD72,A72+1,FALSE))</f>
        <v>10</v>
      </c>
      <c r="F72" s="7">
        <f>IF(COUNTIF(I72:XFD72,"&gt;"&amp;0)=0,,HLOOKUP(COUNTIF(I72:XFD72,"&gt;"&amp;0)-MIN($F$1+1,COUNTIF(I72:XFD72,"&gt;"&amp;0)),I$1:XFD72,A72+1,FALSE))</f>
        <v>8</v>
      </c>
      <c r="G72" s="8">
        <f t="shared" si="20"/>
        <v>1.0772173450159419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</row>
    <row r="73" spans="1:13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>North Macedonia</v>
      </c>
      <c r="D73" s="6">
        <f t="shared" si="22"/>
        <v>9</v>
      </c>
      <c r="E73" s="6">
        <f>IF(COUNTIF(I73:XFD73,"&gt;"&amp;0)=0,,HLOOKUP(COUNTIF(I73:XFD73,"&gt;"&amp;0)-1,I$1:XFD73,A73+1,FALSE))</f>
        <v>9</v>
      </c>
      <c r="F73" s="7">
        <f>IF(COUNTIF(I73:XFD73,"&gt;"&amp;0)=0,,HLOOKUP(COUNTIF(I73:XFD73,"&gt;"&amp;0)-MIN($F$1+1,COUNTIF(I73:XFD73,"&gt;"&amp;0)),I$1:XFD73,A73+1,FALSE))</f>
        <v>9</v>
      </c>
      <c r="G73" s="8" t="e">
        <f t="shared" si="20"/>
        <v>#DIV/0!</v>
      </c>
      <c r="H73" s="13" t="s">
        <v>84</v>
      </c>
      <c r="I73" s="9">
        <v>9</v>
      </c>
    </row>
    <row r="74" spans="1:13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>Bulgaria</v>
      </c>
      <c r="D74" s="6">
        <f t="shared" si="22"/>
        <v>8</v>
      </c>
      <c r="E74" s="6">
        <f>IF(COUNTIF(I74:XFD74,"&gt;"&amp;0)=0,,HLOOKUP(COUNTIF(I74:XFD74,"&gt;"&amp;0)-1,I$1:XFD74,A74+1,FALSE))</f>
        <v>8</v>
      </c>
      <c r="F74" s="7">
        <f>IF(COUNTIF(I74:XFD74,"&gt;"&amp;0)=0,,HLOOKUP(COUNTIF(I74:XFD74,"&gt;"&amp;0)-MIN($F$1+1,COUNTIF(I74:XFD74,"&gt;"&amp;0)),I$1:XFD74,A74+1,FALSE))</f>
        <v>8</v>
      </c>
      <c r="G74" s="8">
        <f t="shared" si="20"/>
        <v>1</v>
      </c>
      <c r="H74" s="13" t="s">
        <v>199</v>
      </c>
      <c r="I74" s="9">
        <v>8</v>
      </c>
      <c r="J74" s="9">
        <v>8</v>
      </c>
      <c r="K74" s="9">
        <v>8</v>
      </c>
    </row>
    <row r="75" spans="1:13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>Cyprus</v>
      </c>
      <c r="D75" s="6">
        <f t="shared" si="22"/>
        <v>8</v>
      </c>
      <c r="E75" s="6">
        <f>IF(COUNTIF(I75:XFD75,"&gt;"&amp;0)=0,,HLOOKUP(COUNTIF(I75:XFD75,"&gt;"&amp;0)-1,I$1:XFD75,A75+1,FALSE))</f>
        <v>8</v>
      </c>
      <c r="F75" s="7">
        <f>IF(COUNTIF(I75:XFD75,"&gt;"&amp;0)=0,,HLOOKUP(COUNTIF(I75:XFD75,"&gt;"&amp;0)-MIN($F$1+1,COUNTIF(I75:XFD75,"&gt;"&amp;0)),I$1:XFD75,A75+1,FALSE))</f>
        <v>8</v>
      </c>
      <c r="G75" s="8" t="e">
        <f t="shared" si="20"/>
        <v>#DIV/0!</v>
      </c>
      <c r="H75" s="13" t="s">
        <v>231</v>
      </c>
      <c r="I75" s="9">
        <v>8</v>
      </c>
    </row>
    <row r="76" spans="1:13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>Lithuania</v>
      </c>
      <c r="D76" s="6">
        <f t="shared" si="22"/>
        <v>8</v>
      </c>
      <c r="E76" s="6">
        <f>IF(COUNTIF(I76:XFD76,"&gt;"&amp;0)=0,,HLOOKUP(COUNTIF(I76:XFD76,"&gt;"&amp;0)-1,I$1:XFD76,A76+1,FALSE))</f>
        <v>8</v>
      </c>
      <c r="F76" s="7">
        <f>IF(COUNTIF(I76:XFD76,"&gt;"&amp;0)=0,,HLOOKUP(COUNTIF(I76:XFD76,"&gt;"&amp;0)-MIN($F$1+1,COUNTIF(I76:XFD76,"&gt;"&amp;0)),I$1:XFD76,A76+1,FALSE))</f>
        <v>8</v>
      </c>
      <c r="G76" s="8" t="e">
        <f t="shared" si="20"/>
        <v>#DIV/0!</v>
      </c>
      <c r="H76" s="13" t="s">
        <v>93</v>
      </c>
      <c r="I76" s="9">
        <v>8</v>
      </c>
    </row>
    <row r="77" spans="1:13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>Congo (Kinshasa)</v>
      </c>
      <c r="D77" s="6">
        <f t="shared" si="22"/>
        <v>8</v>
      </c>
      <c r="E77" s="6">
        <f>IF(COUNTIF(I77:XFD77,"&gt;"&amp;0)=0,,HLOOKUP(COUNTIF(I77:XFD77,"&gt;"&amp;0)-1,I$1:XFD77,A77+1,FALSE))</f>
        <v>8</v>
      </c>
      <c r="F77" s="7">
        <f>IF(COUNTIF(I77:XFD77,"&gt;"&amp;0)=0,,HLOOKUP(COUNTIF(I77:XFD77,"&gt;"&amp;0)-MIN($F$1+1,COUNTIF(I77:XFD77,"&gt;"&amp;0)),I$1:XFD77,A77+1,FALSE))</f>
        <v>8</v>
      </c>
      <c r="G77" s="8">
        <f t="shared" si="20"/>
        <v>1</v>
      </c>
      <c r="H77" s="13" t="s">
        <v>351</v>
      </c>
      <c r="I77" s="9">
        <v>8</v>
      </c>
      <c r="J77" s="9">
        <v>8</v>
      </c>
    </row>
    <row r="78" spans="1:13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13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13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570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571</v>
      </c>
      <c r="P1" s="52" t="s">
        <v>572</v>
      </c>
      <c r="Q1" s="52" t="s">
        <v>606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82279</v>
      </c>
      <c r="G2" s="41">
        <f>MAX(CumulativeDead!2:2)</f>
        <v>3309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4.0216823247730286E-2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607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105792</v>
      </c>
      <c r="G3" s="41">
        <f>MAX(CumulativeDead!3:3)</f>
        <v>12428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0.11747580157289776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608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44605</v>
      </c>
      <c r="G4" s="41">
        <f>MAX(CumulativeDead!4:4)</f>
        <v>2898</v>
      </c>
      <c r="J4" s="41">
        <v>83992949</v>
      </c>
      <c r="K4" s="52">
        <v>0</v>
      </c>
      <c r="L4" s="41">
        <v>0</v>
      </c>
      <c r="M4" s="69">
        <f t="shared" si="0"/>
        <v>6.4970294809998885E-2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609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9786</v>
      </c>
      <c r="G5" s="41">
        <f>MAX(CumulativeDead!5:5)</f>
        <v>162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1.6554261189454321E-2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607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95923</v>
      </c>
      <c r="G6" s="41">
        <f>MAX(CumulativeDead!6:6)</f>
        <v>8464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8.8237440447025223E-2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608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71808</v>
      </c>
      <c r="G7" s="41">
        <f>MAX(CumulativeDead!7:7)</f>
        <v>775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1.0792669340463457E-2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608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52827</v>
      </c>
      <c r="G8" s="41">
        <f>MAX(CumulativeDead!8:8)</f>
        <v>3532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6.6859749749181296E-2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608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188172</v>
      </c>
      <c r="G9" s="41">
        <f>MAX(CumulativeDead!9:9)</f>
        <v>3873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2.0582233275939034E-2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610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16605</v>
      </c>
      <c r="G10" s="41">
        <f>MAX(CumulativeDead!10:10)</f>
        <v>433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2.6076482987052094E-2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608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4641</v>
      </c>
      <c r="G11" s="41">
        <f>MAX(CumulativeDead!11:11)</f>
        <v>39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8.4033613445378148E-3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608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4435</v>
      </c>
      <c r="G12" s="41">
        <f>MAX(CumulativeDead!12:12)</f>
        <v>180</v>
      </c>
      <c r="J12" s="41">
        <v>10099265</v>
      </c>
      <c r="K12" s="52">
        <v>5.8</v>
      </c>
      <c r="L12" s="41">
        <v>585.75736999999992</v>
      </c>
      <c r="M12" s="69">
        <f t="shared" si="0"/>
        <v>4.0586245772266064E-2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608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3039</v>
      </c>
      <c r="G13" s="41">
        <f>MAX(CumulativeDead!13:13)</f>
        <v>90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2.9615004935834157E-2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608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12667</v>
      </c>
      <c r="G14" s="41">
        <f>MAX(CumulativeDead!14:14)</f>
        <v>1040</v>
      </c>
      <c r="J14" s="41">
        <v>17134872</v>
      </c>
      <c r="K14" s="52">
        <v>0</v>
      </c>
      <c r="L14" s="41">
        <v>0</v>
      </c>
      <c r="M14" s="69">
        <f t="shared" si="0"/>
        <v>8.2103102549932902E-2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608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25481</v>
      </c>
      <c r="G15" s="41">
        <f>MAX(CumulativeDead!15:15)</f>
        <v>1793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7.0366155174443709E-2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608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1953</v>
      </c>
      <c r="G16" s="41">
        <f>MAX(CumulativeDead!16:16)</f>
        <v>56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2.8673835125448029E-2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607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12775</v>
      </c>
      <c r="G18" s="41">
        <f>MAX(CumulativeDead!18:18)</f>
        <v>705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5.5185909980430527E-2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608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10180</v>
      </c>
      <c r="G19" s="41">
        <f>MAX(CumulativeDead!19:19)</f>
        <v>128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1.2573673870333988E-2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608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781</v>
      </c>
      <c r="G20" s="41">
        <f>MAX(CumulativeDead!20:20)</f>
        <v>2</v>
      </c>
      <c r="J20" s="41">
        <v>2881053</v>
      </c>
      <c r="K20" s="52">
        <v>0</v>
      </c>
      <c r="L20" s="41">
        <v>0</v>
      </c>
      <c r="M20" s="69">
        <f t="shared" si="0"/>
        <v>2.5608194622279128E-3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609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4559</v>
      </c>
      <c r="G21" s="41">
        <f>MAX(CumulativeDead!21:21)</f>
        <v>18</v>
      </c>
      <c r="J21" s="41">
        <v>25499884</v>
      </c>
      <c r="K21" s="52">
        <v>0</v>
      </c>
      <c r="L21" s="41">
        <v>0</v>
      </c>
      <c r="M21" s="69">
        <f t="shared" si="0"/>
        <v>3.9482342618995395E-3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613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926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3.2397408207343412E-3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607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2766</v>
      </c>
      <c r="G23" s="41">
        <f>MAX(CumulativeDead!23:23)</f>
        <v>43</v>
      </c>
      <c r="J23" s="41">
        <v>32365999</v>
      </c>
      <c r="K23" s="52">
        <v>0</v>
      </c>
      <c r="L23" s="41">
        <v>0</v>
      </c>
      <c r="M23" s="69">
        <f t="shared" si="0"/>
        <v>1.554591467823572E-2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607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8527</v>
      </c>
      <c r="G24" s="41">
        <f>MAX(CumulativeDead!24:24)</f>
        <v>101</v>
      </c>
      <c r="J24" s="41">
        <v>37742154</v>
      </c>
      <c r="K24" s="52">
        <v>0</v>
      </c>
      <c r="L24" s="41">
        <v>0</v>
      </c>
      <c r="M24" s="69">
        <f t="shared" si="0"/>
        <v>1.18447285094406E-2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610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1314</v>
      </c>
      <c r="G25" s="41">
        <f>MAX(CumulativeDead!25:25)</f>
        <v>49</v>
      </c>
      <c r="J25" s="41">
        <v>10423054</v>
      </c>
      <c r="K25" s="52">
        <v>6</v>
      </c>
      <c r="L25" s="41">
        <v>625.38324</v>
      </c>
      <c r="M25" s="69">
        <f t="shared" si="0"/>
        <v>3.7290715372907152E-2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608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567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7.0546737213403876E-3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609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5358</v>
      </c>
      <c r="G27" s="41">
        <f>MAX(CumulativeDead!27:27)</f>
        <v>20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3.7327360955580441E-3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609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1418</v>
      </c>
      <c r="G28" s="41">
        <f>MAX(CumulativeDead!28:28)</f>
        <v>17</v>
      </c>
      <c r="J28" s="41">
        <v>5540720</v>
      </c>
      <c r="K28" s="52">
        <v>6.1</v>
      </c>
      <c r="L28" s="41">
        <v>337.98392000000001</v>
      </c>
      <c r="M28" s="69">
        <f t="shared" si="0"/>
        <v>1.1988716502115656E-2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608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5717</v>
      </c>
      <c r="G29" s="41">
        <f>MAX(CumulativeDead!29:29)</f>
        <v>201</v>
      </c>
      <c r="J29" s="41">
        <v>212559417</v>
      </c>
      <c r="K29" s="52">
        <v>0</v>
      </c>
      <c r="L29" s="41">
        <v>0</v>
      </c>
      <c r="M29" s="69">
        <f t="shared" si="0"/>
        <v>3.5158299807591394E-2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611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3308</v>
      </c>
      <c r="G30" s="41">
        <f>MAX(CumulativeDead!30:30)</f>
        <v>31</v>
      </c>
      <c r="J30" s="41">
        <v>10708981</v>
      </c>
      <c r="K30" s="52">
        <v>11.6</v>
      </c>
      <c r="L30" s="41">
        <v>1242.241796</v>
      </c>
      <c r="M30" s="69">
        <f t="shared" si="0"/>
        <v>9.3712212817412335E-3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608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802</v>
      </c>
      <c r="G31" s="41">
        <f>MAX(CumulativeDead!31:31)</f>
        <v>15</v>
      </c>
      <c r="J31" s="41">
        <v>2078938</v>
      </c>
      <c r="K31" s="52">
        <v>6.4</v>
      </c>
      <c r="L31" s="41">
        <v>133.05203200000003</v>
      </c>
      <c r="M31" s="69">
        <f t="shared" si="0"/>
        <v>1.8703241895261846E-2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608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1135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4.4052863436123352E-3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608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7443</v>
      </c>
      <c r="G33" s="41">
        <f>MAX(CumulativeDead!33:33)</f>
        <v>160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2.1496708316539031E-2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608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694</v>
      </c>
      <c r="G34" s="41">
        <f>MAX(CumulativeDead!34:34)</f>
        <v>50</v>
      </c>
      <c r="J34" s="41">
        <v>40222493</v>
      </c>
      <c r="K34" s="52">
        <v>0</v>
      </c>
      <c r="L34" s="41">
        <v>0</v>
      </c>
      <c r="M34" s="69">
        <f t="shared" ref="M34:M65" si="2">G34/F34</f>
        <v>7.2046109510086456E-2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609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3235</v>
      </c>
      <c r="G35" s="41">
        <f>MAX(CumulativeDead!35:35)</f>
        <v>71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2.1947449768160741E-2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608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2245</v>
      </c>
      <c r="G36" s="41">
        <f>MAX(CumulativeDead!36:36)</f>
        <v>82</v>
      </c>
      <c r="J36" s="41">
        <v>19237691</v>
      </c>
      <c r="K36" s="52">
        <v>21.4</v>
      </c>
      <c r="L36" s="41">
        <v>4116.8658740000001</v>
      </c>
      <c r="M36" s="69">
        <f t="shared" si="2"/>
        <v>3.6525612472160358E-2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608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1563</v>
      </c>
      <c r="G37" s="41">
        <f>MAX(CumulativeDead!37:37)</f>
        <v>10</v>
      </c>
      <c r="J37" s="41">
        <v>34813871</v>
      </c>
      <c r="K37" s="52">
        <v>0</v>
      </c>
      <c r="L37" s="41">
        <v>0</v>
      </c>
      <c r="M37" s="69">
        <f t="shared" si="2"/>
        <v>6.3979526551503517E-3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609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664</v>
      </c>
      <c r="G38" s="41">
        <f>MAX(CumulativeDead!38:38)</f>
        <v>6</v>
      </c>
      <c r="J38" s="41">
        <v>9890402</v>
      </c>
      <c r="K38" s="52">
        <v>0</v>
      </c>
      <c r="L38" s="41">
        <v>0</v>
      </c>
      <c r="M38" s="69">
        <f t="shared" si="2"/>
        <v>9.0361445783132526E-3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609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1397</v>
      </c>
      <c r="G39" s="41">
        <f>MAX(CumulativeDead!39:39)</f>
        <v>35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2.5053686471009307E-2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607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710</v>
      </c>
      <c r="G40" s="41">
        <f>MAX(CumulativeDead!40:40)</f>
        <v>46</v>
      </c>
      <c r="J40" s="41">
        <v>102334404</v>
      </c>
      <c r="K40" s="52">
        <v>0</v>
      </c>
      <c r="L40" s="41">
        <v>0</v>
      </c>
      <c r="M40" s="69">
        <f t="shared" si="2"/>
        <v>6.4788732394366194E-2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612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289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609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236</v>
      </c>
      <c r="G42" s="41">
        <f>MAX(CumulativeDead!42:42)</f>
        <v>26</v>
      </c>
      <c r="J42" s="41">
        <v>33931</v>
      </c>
      <c r="K42" s="52">
        <v>0</v>
      </c>
      <c r="L42" s="41">
        <v>0</v>
      </c>
      <c r="M42" s="69">
        <f t="shared" si="2"/>
        <v>0.11016949152542373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608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745</v>
      </c>
      <c r="G43" s="41">
        <f>MAX(CumulativeDead!43:43)</f>
        <v>4</v>
      </c>
      <c r="J43" s="41">
        <v>1326535</v>
      </c>
      <c r="K43" s="52">
        <v>14.6</v>
      </c>
      <c r="L43" s="41">
        <v>193.67410999999998</v>
      </c>
      <c r="M43" s="69">
        <f t="shared" si="2"/>
        <v>5.3691275167785232E-3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608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470</v>
      </c>
      <c r="G44" s="41">
        <f>MAX(CumulativeDead!44:44)</f>
        <v>12</v>
      </c>
      <c r="J44" s="41">
        <v>6825445</v>
      </c>
      <c r="K44" s="52">
        <v>0</v>
      </c>
      <c r="L44" s="41">
        <v>0</v>
      </c>
      <c r="M44" s="69">
        <f t="shared" si="2"/>
        <v>2.553191489361702E-2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609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1651</v>
      </c>
      <c r="G45" s="41">
        <f>MAX(CumulativeDead!45:45)</f>
        <v>10</v>
      </c>
      <c r="J45" s="41">
        <v>69799978</v>
      </c>
      <c r="K45" s="52">
        <v>0</v>
      </c>
      <c r="L45" s="41">
        <v>0</v>
      </c>
      <c r="M45" s="69">
        <f t="shared" si="2"/>
        <v>6.0569351907934586E-3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607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1528</v>
      </c>
      <c r="G46" s="41">
        <f>MAX(CumulativeDead!46:46)</f>
        <v>136</v>
      </c>
      <c r="J46" s="41">
        <v>273523615</v>
      </c>
      <c r="K46" s="52">
        <v>0</v>
      </c>
      <c r="L46" s="41">
        <v>0</v>
      </c>
      <c r="M46" s="69">
        <f t="shared" si="2"/>
        <v>8.9005235602094238E-2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607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2311</v>
      </c>
      <c r="G47" s="41">
        <f>MAX(CumulativeDead!47:47)</f>
        <v>33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1.4279532669839896E-2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608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2084</v>
      </c>
      <c r="G48" s="41">
        <f>MAX(CumulativeDead!48:48)</f>
        <v>88</v>
      </c>
      <c r="J48" s="41">
        <v>109581078</v>
      </c>
      <c r="K48" s="52">
        <v>0</v>
      </c>
      <c r="L48" s="41">
        <v>0</v>
      </c>
      <c r="M48" s="69">
        <f t="shared" si="2"/>
        <v>4.2226487523992322E-2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607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322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1.5527950310559006E-2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607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212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607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2337</v>
      </c>
      <c r="G51" s="41">
        <f>MAX(CumulativeDead!51:51)</f>
        <v>17</v>
      </c>
      <c r="J51" s="41">
        <v>145934462</v>
      </c>
      <c r="K51" s="52">
        <v>0</v>
      </c>
      <c r="L51" s="41">
        <v>0</v>
      </c>
      <c r="M51" s="69">
        <f t="shared" si="2"/>
        <v>7.2742832691484807E-3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607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2738</v>
      </c>
      <c r="G52" s="41">
        <f>MAX(CumulativeDead!52:52)</f>
        <v>12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4.3827611395178961E-3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611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129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7.7519379844961239E-3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607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900</v>
      </c>
      <c r="G54" s="41">
        <f>MAX(CumulativeDead!54:54)</f>
        <v>16</v>
      </c>
      <c r="J54" s="41">
        <v>8737371</v>
      </c>
      <c r="K54" s="52" t="s">
        <v>511</v>
      </c>
      <c r="L54" s="41" t="e">
        <v>#VALUE!</v>
      </c>
      <c r="M54" s="69">
        <f t="shared" si="2"/>
        <v>1.7777777777777778E-2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608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2178</v>
      </c>
      <c r="G55" s="41">
        <f>MAX(CumulativeDead!55:55)</f>
        <v>23</v>
      </c>
      <c r="J55" s="41">
        <v>625978</v>
      </c>
      <c r="K55" s="52">
        <v>24.8</v>
      </c>
      <c r="L55" s="41">
        <v>155.24254400000001</v>
      </c>
      <c r="M55" s="69">
        <f t="shared" si="2"/>
        <v>1.0560146923783287E-2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608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243</v>
      </c>
      <c r="G56" s="41">
        <f>MAX(CumulativeDead!56:56)</f>
        <v>15</v>
      </c>
      <c r="J56" s="41">
        <v>2877797</v>
      </c>
      <c r="K56" s="52" t="s">
        <v>511</v>
      </c>
      <c r="L56" s="41" t="e">
        <v>#VALUE!</v>
      </c>
      <c r="M56" s="69">
        <f t="shared" si="2"/>
        <v>6.1728395061728392E-2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608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867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6.920415224913495E-3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608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363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2.7548209366391185E-3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608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1054</v>
      </c>
      <c r="G59" s="41">
        <f>MAX(CumulativeDead!59:59)</f>
        <v>27</v>
      </c>
      <c r="J59" s="41">
        <v>45195774</v>
      </c>
      <c r="K59" s="52" t="s">
        <v>511</v>
      </c>
      <c r="L59" s="41" t="e">
        <v>#VALUE!</v>
      </c>
      <c r="M59" s="69">
        <f t="shared" si="2"/>
        <v>2.5616698292220113E-2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611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1938</v>
      </c>
      <c r="G60" s="41">
        <f>MAX(CumulativeDead!60:60)</f>
        <v>26</v>
      </c>
      <c r="J60" s="41">
        <v>220892340</v>
      </c>
      <c r="K60" s="52">
        <v>0</v>
      </c>
      <c r="L60" s="41">
        <v>0</v>
      </c>
      <c r="M60" s="69">
        <f t="shared" si="2"/>
        <v>1.3415892672858616E-2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607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1065</v>
      </c>
      <c r="G61" s="41">
        <f>MAX(CumulativeDead!61:61)</f>
        <v>30</v>
      </c>
      <c r="J61" s="41">
        <v>32971854</v>
      </c>
      <c r="K61" s="52">
        <v>0</v>
      </c>
      <c r="L61" s="41">
        <v>0</v>
      </c>
      <c r="M61" s="69">
        <f t="shared" si="2"/>
        <v>2.8169014084507043E-2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611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152</v>
      </c>
      <c r="G62" s="41">
        <f>MAX(CumulativeDead!62:62)</f>
        <v>1</v>
      </c>
      <c r="J62" s="41">
        <v>9449323</v>
      </c>
      <c r="K62" s="52" t="s">
        <v>511</v>
      </c>
      <c r="L62" s="41" t="e">
        <v>#VALUE!</v>
      </c>
      <c r="M62" s="69">
        <f t="shared" si="2"/>
        <v>6.5789473684210523E-3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608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1181</v>
      </c>
      <c r="G63" s="41">
        <f>MAX(CumulativeDead!63:63)</f>
        <v>30</v>
      </c>
      <c r="J63" s="41">
        <v>4314767</v>
      </c>
      <c r="K63" s="52" t="s">
        <v>511</v>
      </c>
      <c r="L63" s="41" t="e">
        <v>#VALUE!</v>
      </c>
      <c r="M63" s="69">
        <f t="shared" si="2"/>
        <v>2.5402201524132091E-2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610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716</v>
      </c>
      <c r="G64" s="41">
        <f>MAX(CumulativeDead!64:64)</f>
        <v>44</v>
      </c>
      <c r="J64" s="41">
        <v>43851044</v>
      </c>
      <c r="K64" s="52" t="s">
        <v>511</v>
      </c>
      <c r="L64" s="41" t="e">
        <v>#VALUE!</v>
      </c>
      <c r="M64" s="69">
        <f t="shared" si="2"/>
        <v>6.1452513966480445E-2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612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110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608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1353</v>
      </c>
      <c r="G66" s="41">
        <f>MAX(CumulativeDead!66:66)</f>
        <v>5</v>
      </c>
      <c r="J66" s="41">
        <v>59308690</v>
      </c>
      <c r="K66" s="52">
        <v>0</v>
      </c>
      <c r="L66" s="41">
        <v>0</v>
      </c>
      <c r="M66" s="69">
        <f t="shared" ref="M66:M97" si="4">G66/F66</f>
        <v>3.6954915003695491E-3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612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399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2.0050125313283207E-2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608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347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5.763688760806916E-3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610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492</v>
      </c>
      <c r="G69" s="41">
        <f>MAX(CumulativeDead!69:69)</f>
        <v>16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3.2520325203252036E-2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608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192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5.208333333333333E-3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609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2240</v>
      </c>
      <c r="G71" s="41">
        <f>MAX(CumulativeDead!71:71)</f>
        <v>75</v>
      </c>
      <c r="J71" s="41">
        <v>17643054</v>
      </c>
      <c r="K71" s="52">
        <v>0</v>
      </c>
      <c r="L71" s="41">
        <v>0</v>
      </c>
      <c r="M71" s="69">
        <f t="shared" si="4"/>
        <v>3.3482142857142856E-2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611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398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608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394</v>
      </c>
      <c r="G73" s="41">
        <f>MAX(CumulativeDead!73:73)</f>
        <v>10</v>
      </c>
      <c r="J73" s="41">
        <v>11818619</v>
      </c>
      <c r="K73" s="52" t="s">
        <v>511</v>
      </c>
      <c r="L73" s="41" t="e">
        <v>#VALUE!</v>
      </c>
      <c r="M73" s="69">
        <f t="shared" si="4"/>
        <v>2.5380710659898477E-2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612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298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1.6778523489932886E-2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607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262</v>
      </c>
      <c r="G75" s="41">
        <f>MAX(CumulativeDead!75:75)</f>
        <v>8</v>
      </c>
      <c r="J75" s="41">
        <v>1207359</v>
      </c>
      <c r="K75" s="52">
        <v>11.4</v>
      </c>
      <c r="L75" s="41">
        <v>137.638926</v>
      </c>
      <c r="M75" s="69">
        <f t="shared" si="4"/>
        <v>3.0534351145038167E-2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608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329</v>
      </c>
      <c r="G76" s="41">
        <f>MAX(CumulativeDead!76:76)</f>
        <v>9</v>
      </c>
      <c r="J76" s="41">
        <v>2083374</v>
      </c>
      <c r="K76" s="52" t="s">
        <v>511</v>
      </c>
      <c r="L76" s="41" t="e">
        <v>#VALUE!</v>
      </c>
      <c r="M76" s="69">
        <f t="shared" si="4"/>
        <v>2.7355623100303952E-2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608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420</v>
      </c>
      <c r="G77" s="41">
        <f>MAX(CumulativeDead!77:77)</f>
        <v>13</v>
      </c>
      <c r="J77" s="41">
        <v>3280819</v>
      </c>
      <c r="K77" s="52" t="s">
        <v>511</v>
      </c>
      <c r="L77" s="41" t="e">
        <v>#VALUE!</v>
      </c>
      <c r="M77" s="69">
        <f t="shared" si="4"/>
        <v>3.0952380952380953E-2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608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906</v>
      </c>
      <c r="G78" s="41">
        <f>MAX(CumulativeDead!78:78)</f>
        <v>16</v>
      </c>
      <c r="J78" s="41">
        <v>50882891</v>
      </c>
      <c r="K78" s="52" t="s">
        <v>511</v>
      </c>
      <c r="L78" s="41" t="e">
        <v>#VALUE!</v>
      </c>
      <c r="M78" s="69">
        <f t="shared" si="4"/>
        <v>1.7660044150110375E-2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611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169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608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1094</v>
      </c>
      <c r="G80" s="41">
        <f>MAX(CumulativeDead!80:80)</f>
        <v>28</v>
      </c>
      <c r="J80" s="41">
        <v>128932753</v>
      </c>
      <c r="K80" s="52" t="s">
        <v>511</v>
      </c>
      <c r="L80" s="41" t="e">
        <v>#VALUE!</v>
      </c>
      <c r="M80" s="69">
        <f t="shared" si="4"/>
        <v>2.5594149908592323E-2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610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175</v>
      </c>
      <c r="G81" s="41">
        <f>MAX(CumulativeDead!81:81)</f>
        <v>0</v>
      </c>
      <c r="J81" s="41">
        <v>16743927</v>
      </c>
      <c r="K81" s="52" t="s">
        <v>511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612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18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607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532</v>
      </c>
      <c r="G83" s="41">
        <f>MAX(CumulativeDead!83:83)</f>
        <v>3</v>
      </c>
      <c r="J83" s="41">
        <v>2963243</v>
      </c>
      <c r="K83" s="52" t="s">
        <v>511</v>
      </c>
      <c r="L83" s="41" t="e">
        <v>#VALUE!</v>
      </c>
      <c r="M83" s="69">
        <f t="shared" si="4"/>
        <v>5.6390977443609019E-3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608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36</v>
      </c>
      <c r="G84" s="41">
        <f>MAX(CumulativeDead!84:84)</f>
        <v>1</v>
      </c>
      <c r="J84" s="41">
        <v>2961167</v>
      </c>
      <c r="K84" s="52" t="s">
        <v>511</v>
      </c>
      <c r="L84" s="41" t="e">
        <v>#VALUE!</v>
      </c>
      <c r="M84" s="69">
        <f t="shared" si="4"/>
        <v>2.7777777777777776E-2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610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174</v>
      </c>
      <c r="G85" s="41">
        <f>MAX(CumulativeDead!85:85)</f>
        <v>4</v>
      </c>
      <c r="J85" s="41">
        <v>38928346</v>
      </c>
      <c r="K85" s="52" t="s">
        <v>511</v>
      </c>
      <c r="L85" s="41" t="e">
        <v>#VALUE!</v>
      </c>
      <c r="M85" s="69">
        <f t="shared" si="4"/>
        <v>2.2988505747126436E-2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609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617</v>
      </c>
      <c r="G86" s="41">
        <f>MAX(CumulativeDead!86:86)</f>
        <v>36</v>
      </c>
      <c r="J86" s="41">
        <v>36910560</v>
      </c>
      <c r="K86" s="52" t="s">
        <v>511</v>
      </c>
      <c r="L86" s="41" t="e">
        <v>#VALUE!</v>
      </c>
      <c r="M86" s="69">
        <f t="shared" si="4"/>
        <v>5.834683954619125E-2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612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537</v>
      </c>
      <c r="G87" s="41">
        <f>MAX(CumulativeDead!87:87)</f>
        <v>8</v>
      </c>
      <c r="J87" s="41">
        <v>2722289</v>
      </c>
      <c r="K87" s="52">
        <v>15.5</v>
      </c>
      <c r="L87" s="41">
        <v>421.95479499999999</v>
      </c>
      <c r="M87" s="69">
        <f t="shared" si="4"/>
        <v>1.4897579143389199E-2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608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353</v>
      </c>
      <c r="G88" s="41">
        <f>MAX(CumulativeDead!88:88)</f>
        <v>4</v>
      </c>
      <c r="J88" s="41">
        <v>4033963</v>
      </c>
      <c r="K88" s="52" t="s">
        <v>511</v>
      </c>
      <c r="L88" s="41" t="e">
        <v>#VALUE!</v>
      </c>
      <c r="M88" s="69">
        <f t="shared" si="4"/>
        <v>1.1331444759206799E-2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608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65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4.6153846153846156E-2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611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143</v>
      </c>
      <c r="G90" s="41">
        <f>MAX(CumulativeDead!90:90)</f>
        <v>2</v>
      </c>
      <c r="J90" s="41">
        <v>21413249</v>
      </c>
      <c r="K90" s="52" t="s">
        <v>511</v>
      </c>
      <c r="L90" s="41" t="e">
        <v>#VALUE!</v>
      </c>
      <c r="M90" s="69">
        <f t="shared" si="4"/>
        <v>1.3986013986013986E-2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607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109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611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1109</v>
      </c>
      <c r="G92" s="41">
        <f>MAX(CumulativeDead!92:92)</f>
        <v>51</v>
      </c>
      <c r="J92" s="41">
        <v>10847910</v>
      </c>
      <c r="K92" s="52" t="s">
        <v>511</v>
      </c>
      <c r="L92" s="41" t="e">
        <v>#VALUE!</v>
      </c>
      <c r="M92" s="69">
        <f t="shared" si="4"/>
        <v>4.5987376014427414E-2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611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612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647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1.5455950540958269E-3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613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612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13531</v>
      </c>
      <c r="G96" s="41">
        <f>MAX(CumulativeDead!96:96)</f>
        <v>214</v>
      </c>
      <c r="J96" s="41">
        <v>84339067</v>
      </c>
      <c r="K96" s="52" t="s">
        <v>511</v>
      </c>
      <c r="L96" s="41" t="e">
        <v>#VALUE!</v>
      </c>
      <c r="M96" s="69">
        <f t="shared" si="4"/>
        <v>1.5815534698100656E-2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608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186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3.2258064516129031E-2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610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343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8.7463556851311956E-3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607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51</v>
      </c>
      <c r="G99" s="41">
        <f>MAX(CumulativeDead!99:99)</f>
        <v>5</v>
      </c>
      <c r="J99" s="41">
        <v>164689383</v>
      </c>
      <c r="K99" s="52" t="s">
        <v>511</v>
      </c>
      <c r="L99" s="41" t="e">
        <v>#VALUE!</v>
      </c>
      <c r="M99" s="69">
        <f t="shared" si="6"/>
        <v>9.8039215686274508E-2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607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107</v>
      </c>
      <c r="G100" s="41">
        <f>MAX(CumulativeDead!100:100)</f>
        <v>6</v>
      </c>
      <c r="J100" s="41">
        <v>11673021</v>
      </c>
      <c r="K100" s="52" t="s">
        <v>511</v>
      </c>
      <c r="L100" s="41" t="e">
        <v>#VALUE!</v>
      </c>
      <c r="M100" s="69">
        <f t="shared" si="6"/>
        <v>5.6074766355140186E-2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611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612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645</v>
      </c>
      <c r="G102" s="41">
        <f>MAX(CumulativeDead!102:102)</f>
        <v>17</v>
      </c>
      <c r="J102" s="41">
        <v>43733762</v>
      </c>
      <c r="K102" s="52" t="s">
        <v>511</v>
      </c>
      <c r="L102" s="41" t="e">
        <v>#VALUE!</v>
      </c>
      <c r="M102" s="69">
        <f t="shared" si="6"/>
        <v>2.6356589147286821E-2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608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612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261</v>
      </c>
      <c r="G104" s="41">
        <f>MAX(CumulativeDead!104:104)</f>
        <v>14</v>
      </c>
      <c r="J104" s="41">
        <v>20903273</v>
      </c>
      <c r="K104" s="52" t="s">
        <v>511</v>
      </c>
      <c r="L104" s="41" t="e">
        <v>#VALUE!</v>
      </c>
      <c r="M104" s="69">
        <f t="shared" si="6"/>
        <v>5.3639846743295021E-2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612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193</v>
      </c>
      <c r="G105" s="41">
        <f>MAX(CumulativeDead!105:105)</f>
        <v>6</v>
      </c>
      <c r="J105" s="41">
        <v>26545863</v>
      </c>
      <c r="K105" s="52" t="s">
        <v>511</v>
      </c>
      <c r="L105" s="41" t="e">
        <v>#VALUE!</v>
      </c>
      <c r="M105" s="69">
        <f t="shared" si="6"/>
        <v>3.1088082901554404E-2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612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98</v>
      </c>
      <c r="G106" s="41">
        <f>MAX(CumulativeDead!106:106)</f>
        <v>8</v>
      </c>
      <c r="K106" s="52" t="s">
        <v>511</v>
      </c>
      <c r="L106" s="41" t="e">
        <v>#N/A</v>
      </c>
      <c r="M106" s="69">
        <f t="shared" si="6"/>
        <v>8.1632653061224483E-2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 t="e">
        <f t="shared" ca="1" si="7"/>
        <v>#N/A</v>
      </c>
      <c r="Q106" s="52" t="s">
        <v>612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141</v>
      </c>
      <c r="G107" s="41">
        <f>MAX(CumulativeDead!107:107)</f>
        <v>7</v>
      </c>
      <c r="J107" s="41">
        <v>9904607</v>
      </c>
      <c r="K107" s="52" t="s">
        <v>511</v>
      </c>
      <c r="L107" s="41" t="e">
        <v>#VALUE!</v>
      </c>
      <c r="M107" s="69">
        <f t="shared" si="6"/>
        <v>4.9645390070921988E-2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611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52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1.9230769230769232E-2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608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135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1.4814814814814815E-2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612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376</v>
      </c>
      <c r="G110" s="41">
        <f>MAX(CumulativeDead!110:110)</f>
        <v>12</v>
      </c>
      <c r="J110" s="41">
        <v>77265</v>
      </c>
      <c r="K110" s="52" t="s">
        <v>511</v>
      </c>
      <c r="L110" s="41" t="e">
        <v>#VALUE!</v>
      </c>
      <c r="M110" s="69">
        <f t="shared" si="6"/>
        <v>3.1914893617021274E-2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608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610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607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610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179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5.5865921787709499E-3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612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26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612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611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22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612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2</v>
      </c>
      <c r="J118" s="41">
        <v>786552</v>
      </c>
      <c r="K118" s="52" t="s">
        <v>511</v>
      </c>
      <c r="L118" s="41" t="e">
        <v>#VALUE!</v>
      </c>
      <c r="M118" s="69">
        <f t="shared" si="6"/>
        <v>0.1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611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608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274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1.824817518248175E-2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609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59</v>
      </c>
      <c r="G121" s="41">
        <f>MAX(CumulativeDead!121:121)</f>
        <v>1</v>
      </c>
      <c r="J121" s="41">
        <v>53771296</v>
      </c>
      <c r="K121" s="52" t="s">
        <v>511</v>
      </c>
      <c r="L121" s="41" t="e">
        <v>#VALUE!</v>
      </c>
      <c r="M121" s="69">
        <f t="shared" si="6"/>
        <v>1.6949152542372881E-2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612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68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608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607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607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7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0.2857142857142857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612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612</v>
      </c>
    </row>
    <row r="127" spans="1:17" x14ac:dyDescent="0.3">
      <c r="A127" s="52">
        <v>126</v>
      </c>
      <c r="B127" s="2" t="s">
        <v>605</v>
      </c>
      <c r="C127" s="2" t="s">
        <v>605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42054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607</v>
      </c>
      <c r="C128" s="2" t="s">
        <v>607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3905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608</v>
      </c>
      <c r="C129" s="2" t="s">
        <v>608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30471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610</v>
      </c>
      <c r="C130" s="2" t="s">
        <v>610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4041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611</v>
      </c>
      <c r="C131" s="2" t="s">
        <v>611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430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612</v>
      </c>
      <c r="C132" s="2" t="s">
        <v>612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176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609</v>
      </c>
      <c r="C133" s="2" t="s">
        <v>609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3012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42054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AW2" activePane="bottomRight" state="frozen"/>
      <selection pane="topRight" activeCell="B1" sqref="B1"/>
      <selection pane="bottomLeft" activeCell="A2" sqref="A2"/>
      <selection pane="bottomRight" activeCell="BH15" sqref="BH15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606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107938</v>
      </c>
      <c r="BT128">
        <f t="shared" si="9"/>
        <v>110182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109607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426252</v>
      </c>
      <c r="BT129">
        <f t="shared" si="9"/>
        <v>463747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171730</v>
      </c>
      <c r="BT130">
        <f t="shared" si="9"/>
        <v>199550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12874</v>
      </c>
      <c r="BT131">
        <f t="shared" si="9"/>
        <v>15263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4492</v>
      </c>
      <c r="BT132">
        <f t="shared" si="9"/>
        <v>4979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51421</v>
      </c>
      <c r="BT133">
        <f t="shared" si="9"/>
        <v>55631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3849</v>
      </c>
      <c r="BT128">
        <f t="shared" si="9"/>
        <v>3905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27207</v>
      </c>
      <c r="BT129">
        <f t="shared" si="9"/>
        <v>30471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3109</v>
      </c>
      <c r="BT130">
        <f t="shared" si="9"/>
        <v>4041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343</v>
      </c>
      <c r="BT131">
        <f t="shared" si="9"/>
        <v>430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153</v>
      </c>
      <c r="BT132">
        <f t="shared" si="9"/>
        <v>176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2857</v>
      </c>
      <c r="BT133">
        <f t="shared" si="9"/>
        <v>3012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529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530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531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532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533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534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535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536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537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559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560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561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562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563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574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575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576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577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578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579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V257"/>
  <sheetViews>
    <sheetView workbookViewId="0">
      <selection sqref="A1:CA1000"/>
    </sheetView>
  </sheetViews>
  <sheetFormatPr defaultRowHeight="14.4" x14ac:dyDescent="0.3"/>
  <sheetData>
    <row r="1" spans="1:7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</row>
    <row r="141" spans="2:74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</row>
    <row r="145" spans="2:74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</row>
    <row r="209" spans="1:74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</row>
    <row r="211" spans="1:74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V257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</row>
    <row r="141" spans="2:74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</row>
    <row r="145" spans="2:74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</row>
    <row r="209" spans="1:74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</row>
    <row r="211" spans="1:74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2020-04-01T12:16:35Z</dcterms:modified>
</cp:coreProperties>
</file>