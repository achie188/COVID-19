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D626B6CA-D7B9-481F-9AAB-C1AE1505B76F}" xr6:coauthVersionLast="45" xr6:coauthVersionMax="45" xr10:uidLastSave="{00000000-0000-0000-0000-000000000000}"/>
  <bookViews>
    <workbookView xWindow="-108" yWindow="-108" windowWidth="23256" windowHeight="13176" activeTab="1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state="hidden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3" i="23"/>
  <c r="B13" i="23" s="1" a="1"/>
  <c r="B13" i="23" s="1"/>
  <c r="D13" i="23"/>
  <c r="C12" i="23"/>
  <c r="B12" i="23" s="1" a="1"/>
  <c r="B12" i="23" s="1"/>
  <c r="D12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C73" i="23"/>
  <c r="B73" i="23" s="1" a="1"/>
  <c r="B73" i="23" s="1"/>
  <c r="D73" i="23"/>
  <c r="E73" i="23"/>
  <c r="F73" i="23"/>
  <c r="G73" i="23"/>
  <c r="C74" i="23"/>
  <c r="B74" i="23" s="1" a="1"/>
  <c r="B74" i="23" s="1"/>
  <c r="D74" i="23"/>
  <c r="E74" i="23"/>
  <c r="F74" i="23"/>
  <c r="G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B33" i="8" a="1"/>
  <c r="B33" i="8" s="1"/>
  <c r="C33" i="8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C93" i="8"/>
  <c r="B93" i="8" s="1" a="1"/>
  <c r="B93" i="8" s="1"/>
  <c r="D93" i="8"/>
  <c r="C94" i="8"/>
  <c r="B94" i="8" s="1" a="1"/>
  <c r="B94" i="8" s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B98" i="8" a="1"/>
  <c r="B98" i="8" s="1"/>
  <c r="C98" i="8"/>
  <c r="D98" i="8"/>
  <c r="C99" i="8"/>
  <c r="B99" i="8" s="1" a="1"/>
  <c r="B99" i="8" s="1"/>
  <c r="D99" i="8"/>
  <c r="C100" i="8"/>
  <c r="B100" i="8" s="1" a="1"/>
  <c r="B100" i="8" s="1"/>
  <c r="D100" i="8"/>
  <c r="C101" i="8"/>
  <c r="B101" i="8" s="1" a="1"/>
  <c r="B101" i="8" s="1"/>
  <c r="D101" i="8"/>
  <c r="C102" i="8"/>
  <c r="B102" i="8" s="1" a="1"/>
  <c r="B102" i="8" s="1"/>
  <c r="D102" i="8"/>
  <c r="C103" i="8"/>
  <c r="B103" i="8" s="1" a="1"/>
  <c r="B103" i="8" s="1"/>
  <c r="D103" i="8"/>
  <c r="C104" i="8"/>
  <c r="B104" i="8" s="1" a="1"/>
  <c r="B104" i="8" s="1"/>
  <c r="D104" i="8"/>
  <c r="C105" i="8"/>
  <c r="B105" i="8" s="1" a="1"/>
  <c r="B105" i="8" s="1"/>
  <c r="D105" i="8"/>
  <c r="C106" i="8"/>
  <c r="B106" i="8" s="1" a="1"/>
  <c r="B106" i="8" s="1"/>
  <c r="D106" i="8"/>
  <c r="C107" i="8"/>
  <c r="B107" i="8" s="1" a="1"/>
  <c r="B107" i="8" s="1"/>
  <c r="D107" i="8"/>
  <c r="C108" i="8"/>
  <c r="B108" i="8" s="1" a="1"/>
  <c r="B108" i="8" s="1"/>
  <c r="D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X15" i="12" l="1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L15" i="20" l="1"/>
  <c r="L17" i="20"/>
  <c r="L7" i="20"/>
  <c r="L6" i="20"/>
  <c r="L20" i="20"/>
  <c r="L18" i="20"/>
  <c r="L11" i="20"/>
  <c r="L14" i="20"/>
  <c r="L8" i="20"/>
  <c r="L16" i="20"/>
  <c r="L4" i="20"/>
  <c r="L22" i="20"/>
  <c r="L13" i="20"/>
  <c r="L30" i="20"/>
  <c r="L23" i="20"/>
  <c r="L5" i="20"/>
  <c r="L26" i="20"/>
  <c r="L12" i="20"/>
  <c r="L24" i="20"/>
  <c r="L32" i="20"/>
  <c r="L25" i="20"/>
  <c r="L33" i="20"/>
  <c r="L31" i="20"/>
  <c r="L28" i="20"/>
  <c r="L9" i="20"/>
  <c r="L41" i="20"/>
  <c r="L29" i="20"/>
  <c r="L10" i="20"/>
  <c r="L38" i="20"/>
  <c r="L27" i="20"/>
  <c r="L35" i="20"/>
  <c r="L42" i="20"/>
  <c r="L37" i="20"/>
  <c r="L21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9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O37" i="14" s="1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O67" i="14" s="1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O75" i="14" s="1"/>
  <c r="N76" i="14"/>
  <c r="O76" i="14" s="1"/>
  <c r="N77" i="14"/>
  <c r="O77" i="14" s="1"/>
  <c r="N78" i="14"/>
  <c r="O78" i="14" s="1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N103" i="14"/>
  <c r="O103" i="14" s="1"/>
  <c r="N104" i="14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J4" i="23" l="1"/>
  <c r="C4" i="23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62" i="20" l="1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10" i="20"/>
  <c r="H58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F3" i="23" l="1"/>
  <c r="E3" i="23"/>
  <c r="G3" i="23" s="1"/>
  <c r="D3" i="23"/>
  <c r="F2" i="23"/>
  <c r="E2" i="23"/>
  <c r="L4" i="23"/>
  <c r="C32" i="13"/>
  <c r="G2" i="23" l="1"/>
  <c r="M4" i="23"/>
  <c r="B44" i="15"/>
  <c r="N4" i="23" l="1"/>
  <c r="O4" i="23" l="1"/>
  <c r="P4" i="23" l="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6" i="20"/>
  <c r="H5" i="13" l="1"/>
  <c r="C24" i="13"/>
  <c r="C23" i="13"/>
  <c r="C16" i="13"/>
  <c r="C19" i="13"/>
  <c r="G5" i="13"/>
  <c r="Q4" i="23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33" i="20"/>
  <c r="M51" i="20"/>
  <c r="M50" i="20"/>
  <c r="M56" i="20"/>
  <c r="M17" i="20"/>
  <c r="M10" i="20"/>
  <c r="M12" i="20"/>
  <c r="M30" i="20"/>
  <c r="M22" i="20"/>
  <c r="M43" i="20"/>
  <c r="M24" i="20"/>
  <c r="M25" i="20"/>
  <c r="M26" i="20"/>
  <c r="M53" i="20"/>
  <c r="M11" i="20"/>
  <c r="M55" i="20"/>
  <c r="C2" i="13"/>
  <c r="C3" i="8"/>
  <c r="C4" i="8"/>
  <c r="D4" i="8" l="1"/>
  <c r="D3" i="8"/>
  <c r="B27" i="15"/>
  <c r="B49" i="15"/>
  <c r="G8" i="13"/>
  <c r="H13" i="13"/>
  <c r="R4" i="23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F4" i="23" l="1"/>
  <c r="D4" i="23"/>
  <c r="E4" i="23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9" i="20" s="1"/>
  <c r="G63" i="14"/>
  <c r="G55" i="14"/>
  <c r="F24" i="20" s="1"/>
  <c r="G47" i="14"/>
  <c r="F12" i="20" s="1"/>
  <c r="G39" i="14"/>
  <c r="F30" i="20" s="1"/>
  <c r="G31" i="14"/>
  <c r="F49" i="20" s="1"/>
  <c r="G23" i="14"/>
  <c r="F21" i="20" s="1"/>
  <c r="G15" i="14"/>
  <c r="F8" i="20" s="1"/>
  <c r="G7" i="14"/>
  <c r="F16" i="20" s="1"/>
  <c r="G120" i="14"/>
  <c r="G112" i="14"/>
  <c r="G104" i="14"/>
  <c r="G96" i="14"/>
  <c r="G88" i="14"/>
  <c r="G80" i="14"/>
  <c r="G72" i="14"/>
  <c r="F34" i="20" s="1"/>
  <c r="G64" i="14"/>
  <c r="G56" i="14"/>
  <c r="G48" i="14"/>
  <c r="F5" i="20" s="1"/>
  <c r="G40" i="14"/>
  <c r="F44" i="20" s="1"/>
  <c r="G32" i="14"/>
  <c r="G24" i="14"/>
  <c r="F11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7" i="20" s="1"/>
  <c r="G25" i="14"/>
  <c r="F47" i="20" s="1"/>
  <c r="G17" i="14"/>
  <c r="F59" i="20" s="1"/>
  <c r="G9" i="14"/>
  <c r="F4" i="20" s="1"/>
  <c r="G122" i="14"/>
  <c r="G114" i="14"/>
  <c r="G106" i="14"/>
  <c r="G98" i="14"/>
  <c r="G90" i="14"/>
  <c r="G82" i="14"/>
  <c r="G74" i="14"/>
  <c r="G66" i="14"/>
  <c r="F10" i="20" s="1"/>
  <c r="G58" i="14"/>
  <c r="F42" i="20" s="1"/>
  <c r="G50" i="14"/>
  <c r="G42" i="14"/>
  <c r="F51" i="20" s="1"/>
  <c r="G34" i="14"/>
  <c r="F48" i="20" s="1"/>
  <c r="G26" i="14"/>
  <c r="F53" i="20" s="1"/>
  <c r="G18" i="14"/>
  <c r="F6" i="20" s="1"/>
  <c r="G10" i="14"/>
  <c r="F22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20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9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15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7" i="20" s="1"/>
  <c r="G38" i="14"/>
  <c r="F52" i="20" s="1"/>
  <c r="G30" i="14"/>
  <c r="G22" i="14"/>
  <c r="F43" i="20" s="1"/>
  <c r="G14" i="14"/>
  <c r="F14" i="20" s="1"/>
  <c r="G6" i="14"/>
  <c r="F13" i="20" s="1"/>
  <c r="G2" i="14"/>
  <c r="F60" i="20" s="1"/>
  <c r="G3" i="14"/>
  <c r="F23" i="20" s="1"/>
  <c r="A2" i="8"/>
  <c r="A3" i="8" s="1"/>
  <c r="G4" i="23" l="1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8" i="20"/>
  <c r="C8" i="13"/>
  <c r="A4" i="8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E62" i="14" s="1"/>
  <c r="P62" i="14" s="1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E100" i="14" s="1"/>
  <c r="P100" i="14" s="1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E91" i="14" s="1"/>
  <c r="P91" i="14" s="1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E105" i="14" s="1"/>
  <c r="P105" i="14" s="1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E106" i="14" s="1"/>
  <c r="P106" i="14" s="1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E65" i="14" s="1"/>
  <c r="P65" i="14" s="1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E107" i="14" s="1"/>
  <c r="P107" i="14" s="1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E121" i="14" s="1"/>
  <c r="P121" i="14" s="1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E109" i="14" s="1"/>
  <c r="P109" i="14" s="1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C15" i="13"/>
  <c r="C36" i="15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3" i="20"/>
  <c r="M66" i="14"/>
  <c r="D25" i="20"/>
  <c r="M45" i="14"/>
  <c r="D63" i="20"/>
  <c r="M75" i="14"/>
  <c r="D20" i="20"/>
  <c r="M67" i="14"/>
  <c r="D56" i="20"/>
  <c r="M41" i="14"/>
  <c r="D19" i="20"/>
  <c r="M71" i="14"/>
  <c r="D44" i="20"/>
  <c r="M52" i="14"/>
  <c r="D24" i="20"/>
  <c r="M55" i="14"/>
  <c r="D11" i="20"/>
  <c r="M47" i="14"/>
  <c r="D39" i="20"/>
  <c r="M49" i="14"/>
  <c r="D37" i="20"/>
  <c r="M72" i="14"/>
  <c r="D43" i="20"/>
  <c r="M48" i="14"/>
  <c r="D6" i="20"/>
  <c r="M39" i="14"/>
  <c r="D26" i="20"/>
  <c r="M46" i="14"/>
  <c r="D55" i="20"/>
  <c r="M26" i="14"/>
  <c r="D12" i="20"/>
  <c r="M34" i="14"/>
  <c r="D30" i="20"/>
  <c r="M37" i="14"/>
  <c r="D28" i="20"/>
  <c r="M58" i="14"/>
  <c r="D17" i="20"/>
  <c r="M61" i="14"/>
  <c r="D47" i="20"/>
  <c r="M38" i="14"/>
  <c r="D10" i="20"/>
  <c r="M51" i="14"/>
  <c r="D51" i="20"/>
  <c r="M42" i="14"/>
  <c r="D50" i="20"/>
  <c r="M44" i="14"/>
  <c r="D22" i="20"/>
  <c r="M40" i="14"/>
  <c r="D53" i="20"/>
  <c r="D42" i="20"/>
  <c r="L1" i="8"/>
  <c r="L4" i="13"/>
  <c r="A10" i="8" l="1"/>
  <c r="C9" i="13"/>
  <c r="X6" i="13" s="1"/>
  <c r="E10" i="20"/>
  <c r="G3" i="13"/>
  <c r="G25" i="13" s="1"/>
  <c r="K13" i="13"/>
  <c r="L5" i="13"/>
  <c r="E22" i="20"/>
  <c r="E47" i="20"/>
  <c r="E12" i="20"/>
  <c r="E53" i="20"/>
  <c r="E30" i="20"/>
  <c r="E11" i="20"/>
  <c r="E6" i="20"/>
  <c r="E56" i="20"/>
  <c r="E33" i="20"/>
  <c r="E20" i="20"/>
  <c r="E24" i="20"/>
  <c r="E43" i="20"/>
  <c r="E17" i="20"/>
  <c r="E55" i="20"/>
  <c r="E37" i="20"/>
  <c r="E44" i="20"/>
  <c r="E63" i="20"/>
  <c r="E50" i="20"/>
  <c r="E42" i="20"/>
  <c r="E51" i="20"/>
  <c r="E28" i="20"/>
  <c r="E26" i="20"/>
  <c r="E39" i="20"/>
  <c r="E19" i="20"/>
  <c r="E25" i="20"/>
  <c r="M1" i="8"/>
  <c r="M4" i="13"/>
  <c r="A11" i="8" l="1"/>
  <c r="J6" i="13"/>
  <c r="K6" i="13"/>
  <c r="I6" i="13"/>
  <c r="L6" i="13"/>
  <c r="H6" i="13"/>
  <c r="G6" i="13"/>
  <c r="G7" i="13" s="1"/>
  <c r="L13" i="13"/>
  <c r="M5" i="13"/>
  <c r="M6" i="13"/>
  <c r="N1" i="8"/>
  <c r="N4" i="13"/>
  <c r="A12" i="8" l="1"/>
  <c r="L7" i="13"/>
  <c r="J7" i="13"/>
  <c r="H7" i="13"/>
  <c r="H8" i="13" s="1"/>
  <c r="K7" i="13"/>
  <c r="L15" i="13"/>
  <c r="K15" i="13"/>
  <c r="I15" i="13"/>
  <c r="J15" i="13"/>
  <c r="I7" i="13"/>
  <c r="M7" i="13"/>
  <c r="M13" i="13"/>
  <c r="M15" i="13"/>
  <c r="N5" i="13"/>
  <c r="N6" i="13"/>
  <c r="O1" i="8"/>
  <c r="O4" i="13"/>
  <c r="L17" i="13" l="1"/>
  <c r="A13" i="8"/>
  <c r="M17" i="13"/>
  <c r="K8" i="13"/>
  <c r="L8" i="13"/>
  <c r="I8" i="13"/>
  <c r="I14" i="13" s="1"/>
  <c r="J8" i="13"/>
  <c r="K17" i="13"/>
  <c r="M8" i="13"/>
  <c r="H14" i="13"/>
  <c r="N7" i="13"/>
  <c r="N8" i="13" s="1"/>
  <c r="N13" i="13"/>
  <c r="N15" i="13"/>
  <c r="O5" i="13"/>
  <c r="O6" i="13"/>
  <c r="P1" i="8"/>
  <c r="P4" i="13"/>
  <c r="A14" i="8" l="1"/>
  <c r="J14" i="13"/>
  <c r="J16" i="13" s="1"/>
  <c r="L14" i="13"/>
  <c r="M14" i="13"/>
  <c r="K14" i="13"/>
  <c r="N14" i="13"/>
  <c r="G14" i="13"/>
  <c r="N17" i="13"/>
  <c r="O7" i="13"/>
  <c r="O8" i="13" s="1"/>
  <c r="O13" i="13"/>
  <c r="O15" i="13"/>
  <c r="P5" i="13"/>
  <c r="P6" i="13"/>
  <c r="Q1" i="8"/>
  <c r="Q4" i="13"/>
  <c r="H16" i="13" l="1"/>
  <c r="G16" i="13"/>
  <c r="A15" i="8"/>
  <c r="L16" i="13"/>
  <c r="N16" i="13"/>
  <c r="M16" i="13"/>
  <c r="K16" i="13"/>
  <c r="I16" i="13"/>
  <c r="O14" i="13"/>
  <c r="O16" i="13" s="1"/>
  <c r="O17" i="13"/>
  <c r="P7" i="13"/>
  <c r="P13" i="13"/>
  <c r="P15" i="13"/>
  <c r="Q5" i="13"/>
  <c r="Q6" i="13"/>
  <c r="R1" i="8"/>
  <c r="R4" i="13"/>
  <c r="A16" i="8" l="1"/>
  <c r="P17" i="13"/>
  <c r="Q7" i="13"/>
  <c r="Q8" i="13" s="1"/>
  <c r="P8" i="13"/>
  <c r="Q13" i="13"/>
  <c r="Q15" i="13"/>
  <c r="R5" i="13"/>
  <c r="R6" i="13"/>
  <c r="S1" i="8"/>
  <c r="S4" i="13"/>
  <c r="A17" i="8" l="1"/>
  <c r="Q14" i="13"/>
  <c r="P14" i="13"/>
  <c r="P16" i="13" s="1"/>
  <c r="Q17" i="13"/>
  <c r="R7" i="13"/>
  <c r="R8" i="13" s="1"/>
  <c r="R13" i="13"/>
  <c r="R15" i="13"/>
  <c r="S5" i="13"/>
  <c r="S6" i="13"/>
  <c r="T1" i="8"/>
  <c r="T4" i="13"/>
  <c r="A18" i="8" l="1"/>
  <c r="Q16" i="13"/>
  <c r="R14" i="13"/>
  <c r="R16" i="13" s="1"/>
  <c r="R17" i="13"/>
  <c r="S7" i="13"/>
  <c r="S8" i="13" s="1"/>
  <c r="S13" i="13"/>
  <c r="S15" i="13"/>
  <c r="T5" i="13"/>
  <c r="T6" i="13"/>
  <c r="U1" i="8"/>
  <c r="U4" i="13"/>
  <c r="A19" i="8" l="1"/>
  <c r="S14" i="13"/>
  <c r="S16" i="13" s="1"/>
  <c r="S17" i="13"/>
  <c r="T7" i="13"/>
  <c r="T8" i="13" s="1"/>
  <c r="T13" i="13"/>
  <c r="T15" i="13"/>
  <c r="U5" i="13"/>
  <c r="U6" i="13"/>
  <c r="V1" i="8"/>
  <c r="V4" i="13"/>
  <c r="A20" i="8" l="1"/>
  <c r="F19" i="8"/>
  <c r="T14" i="13"/>
  <c r="T16" i="13" s="1"/>
  <c r="T17" i="13"/>
  <c r="U7" i="13"/>
  <c r="U8" i="13" s="1"/>
  <c r="U13" i="13"/>
  <c r="U15" i="13"/>
  <c r="V5" i="13"/>
  <c r="V6" i="13"/>
  <c r="W1" i="8"/>
  <c r="W4" i="13"/>
  <c r="A21" i="8" l="1"/>
  <c r="U14" i="13"/>
  <c r="U16" i="13" s="1"/>
  <c r="U17" i="13"/>
  <c r="V7" i="13"/>
  <c r="V13" i="13"/>
  <c r="V15" i="13"/>
  <c r="W5" i="13"/>
  <c r="W6" i="13"/>
  <c r="X1" i="8"/>
  <c r="X4" i="13"/>
  <c r="A22" i="8" l="1"/>
  <c r="V17" i="13"/>
  <c r="V8" i="13"/>
  <c r="W7" i="13"/>
  <c r="W13" i="13"/>
  <c r="W15" i="13"/>
  <c r="X5" i="13"/>
  <c r="Y1" i="8"/>
  <c r="Y4" i="13"/>
  <c r="A23" i="8" l="1"/>
  <c r="V14" i="13"/>
  <c r="W17" i="13"/>
  <c r="X7" i="13"/>
  <c r="W8" i="13"/>
  <c r="X13" i="13"/>
  <c r="X15" i="13"/>
  <c r="Y5" i="13"/>
  <c r="Y6" i="13"/>
  <c r="Z1" i="8"/>
  <c r="Z4" i="13"/>
  <c r="X8" i="13" l="1"/>
  <c r="X14" i="13" s="1"/>
  <c r="F21" i="8"/>
  <c r="E19" i="8"/>
  <c r="G19" i="8" s="1"/>
  <c r="A24" i="8"/>
  <c r="E23" i="8"/>
  <c r="F23" i="8"/>
  <c r="V16" i="13"/>
  <c r="W14" i="13"/>
  <c r="W16" i="13" s="1"/>
  <c r="X17" i="13"/>
  <c r="Y7" i="13"/>
  <c r="Y8" i="13" s="1"/>
  <c r="Y13" i="13"/>
  <c r="Y15" i="13"/>
  <c r="Z5" i="13"/>
  <c r="Z6" i="13"/>
  <c r="AA1" i="8"/>
  <c r="AA4" i="13"/>
  <c r="F20" i="8" l="1"/>
  <c r="G23" i="8"/>
  <c r="A25" i="8"/>
  <c r="F24" i="8"/>
  <c r="X16" i="13"/>
  <c r="Y14" i="13"/>
  <c r="Y17" i="13"/>
  <c r="Z7" i="13"/>
  <c r="Z13" i="13"/>
  <c r="Z15" i="13"/>
  <c r="AA5" i="13"/>
  <c r="AA6" i="13"/>
  <c r="AB1" i="8"/>
  <c r="AB4" i="13"/>
  <c r="A26" i="8" l="1"/>
  <c r="E25" i="8"/>
  <c r="F25" i="8"/>
  <c r="Y16" i="13"/>
  <c r="Z17" i="13"/>
  <c r="Z8" i="13"/>
  <c r="AA7" i="13"/>
  <c r="AA13" i="13"/>
  <c r="AA15" i="13"/>
  <c r="AB5" i="13"/>
  <c r="AB6" i="13"/>
  <c r="AC1" i="8"/>
  <c r="AC4" i="13"/>
  <c r="G25" i="8" l="1"/>
  <c r="E24" i="8"/>
  <c r="G24" i="8" s="1"/>
  <c r="A27" i="8"/>
  <c r="E26" i="8"/>
  <c r="F26" i="8"/>
  <c r="AA8" i="13"/>
  <c r="AA14" i="13" s="1"/>
  <c r="AB13" i="13"/>
  <c r="Z14" i="13"/>
  <c r="Z16" i="13" s="1"/>
  <c r="AA17" i="13"/>
  <c r="AB7" i="13"/>
  <c r="AB15" i="13"/>
  <c r="AC5" i="13"/>
  <c r="AC13" i="13" s="1"/>
  <c r="AC6" i="13"/>
  <c r="AD1" i="8"/>
  <c r="AD4" i="13"/>
  <c r="G26" i="8" l="1"/>
  <c r="A28" i="8"/>
  <c r="F27" i="8"/>
  <c r="AB17" i="13"/>
  <c r="AA16" i="13"/>
  <c r="AB8" i="13"/>
  <c r="AC7" i="13"/>
  <c r="AC15" i="13"/>
  <c r="AD5" i="13"/>
  <c r="AD13" i="13" s="1"/>
  <c r="AD6" i="13"/>
  <c r="AE1" i="8"/>
  <c r="AE4" i="13"/>
  <c r="A29" i="8" l="1"/>
  <c r="E28" i="8"/>
  <c r="F28" i="8"/>
  <c r="AC17" i="13"/>
  <c r="AB14" i="13"/>
  <c r="AC8" i="13"/>
  <c r="AD7" i="13"/>
  <c r="AD15" i="13"/>
  <c r="AE5" i="13"/>
  <c r="AE13" i="13" s="1"/>
  <c r="AE6" i="13"/>
  <c r="AF1" i="8"/>
  <c r="E27" i="8" s="1"/>
  <c r="G27" i="8" s="1"/>
  <c r="AF4" i="13"/>
  <c r="G28" i="8" l="1"/>
  <c r="A30" i="8"/>
  <c r="E29" i="8"/>
  <c r="F29" i="8"/>
  <c r="AD17" i="13"/>
  <c r="AB16" i="13"/>
  <c r="AC14" i="13"/>
  <c r="AD8" i="13"/>
  <c r="AE7" i="13"/>
  <c r="AE15" i="13"/>
  <c r="AF5" i="13"/>
  <c r="AF13" i="13" s="1"/>
  <c r="AF6" i="13"/>
  <c r="AG1" i="8"/>
  <c r="AG4" i="13"/>
  <c r="G29" i="8" l="1"/>
  <c r="A31" i="8"/>
  <c r="E30" i="8"/>
  <c r="F30" i="8"/>
  <c r="AC16" i="13"/>
  <c r="AE17" i="13"/>
  <c r="C13" i="13" s="1"/>
  <c r="AD14" i="13"/>
  <c r="AF7" i="13"/>
  <c r="AF8" i="13" s="1"/>
  <c r="AE8" i="13"/>
  <c r="AF15" i="13"/>
  <c r="AG5" i="13"/>
  <c r="AG6" i="13"/>
  <c r="AH1" i="8"/>
  <c r="AH4" i="13"/>
  <c r="G30" i="8" l="1"/>
  <c r="A32" i="8"/>
  <c r="E31" i="8"/>
  <c r="F31" i="8"/>
  <c r="AD16" i="13"/>
  <c r="AF17" i="13"/>
  <c r="AF14" i="13"/>
  <c r="AE14" i="13"/>
  <c r="AE16" i="13" s="1"/>
  <c r="C11" i="13" s="1"/>
  <c r="AG7" i="13"/>
  <c r="AG13" i="13"/>
  <c r="AG15" i="13"/>
  <c r="AH5" i="13"/>
  <c r="AH13" i="13" s="1"/>
  <c r="AH6" i="13"/>
  <c r="AI1" i="8"/>
  <c r="AI4" i="13"/>
  <c r="G31" i="8" l="1"/>
  <c r="A33" i="8"/>
  <c r="E32" i="8"/>
  <c r="F32" i="8"/>
  <c r="AG17" i="13"/>
  <c r="AF16" i="13"/>
  <c r="AH7" i="13"/>
  <c r="AH8" i="13" s="1"/>
  <c r="AG8" i="13"/>
  <c r="AH15" i="13"/>
  <c r="AI5" i="13"/>
  <c r="AI13" i="13" s="1"/>
  <c r="AI6" i="13"/>
  <c r="AJ1" i="8"/>
  <c r="AJ4" i="13"/>
  <c r="AI7" i="13" l="1"/>
  <c r="AI8" i="13" s="1"/>
  <c r="G32" i="8"/>
  <c r="A34" i="8"/>
  <c r="E33" i="8"/>
  <c r="F33" i="8"/>
  <c r="AH17" i="13"/>
  <c r="AH14" i="13"/>
  <c r="AG14" i="13"/>
  <c r="AI15" i="13"/>
  <c r="AI17" i="13" s="1"/>
  <c r="AJ5" i="13"/>
  <c r="AJ13" i="13" s="1"/>
  <c r="AJ6" i="13"/>
  <c r="AK1" i="8"/>
  <c r="AK4" i="13"/>
  <c r="G33" i="8" l="1"/>
  <c r="A35" i="8"/>
  <c r="E34" i="8"/>
  <c r="F34" i="8"/>
  <c r="AG16" i="13"/>
  <c r="AH16" i="13"/>
  <c r="AJ7" i="13"/>
  <c r="AJ15" i="13"/>
  <c r="AJ17" i="13" s="1"/>
  <c r="AK5" i="13"/>
  <c r="AK13" i="13" s="1"/>
  <c r="AK6" i="13"/>
  <c r="AL1" i="8"/>
  <c r="AL4" i="13"/>
  <c r="G34" i="8" l="1"/>
  <c r="A36" i="8"/>
  <c r="E35" i="8"/>
  <c r="F35" i="8"/>
  <c r="AI14" i="13"/>
  <c r="AJ8" i="13"/>
  <c r="AK7" i="13"/>
  <c r="AK8" i="13" s="1"/>
  <c r="AL6" i="13"/>
  <c r="AK15" i="13"/>
  <c r="AL5" i="13"/>
  <c r="AM1" i="8"/>
  <c r="AM4" i="13"/>
  <c r="G35" i="8" l="1"/>
  <c r="A37" i="8"/>
  <c r="E36" i="8"/>
  <c r="F36" i="8"/>
  <c r="AK17" i="13"/>
  <c r="AI16" i="13"/>
  <c r="G15" i="20"/>
  <c r="AK14" i="13"/>
  <c r="AJ14" i="13"/>
  <c r="AL7" i="13"/>
  <c r="AL8" i="13" s="1"/>
  <c r="AL13" i="13"/>
  <c r="AL15" i="13"/>
  <c r="AL17" i="13" s="1"/>
  <c r="AM5" i="13"/>
  <c r="AM13" i="13" s="1"/>
  <c r="AM6" i="13"/>
  <c r="AN1" i="8"/>
  <c r="AN4" i="13"/>
  <c r="G36" i="8" l="1"/>
  <c r="A38" i="8"/>
  <c r="E37" i="8"/>
  <c r="F37" i="8"/>
  <c r="AJ16" i="13"/>
  <c r="AK16" i="13"/>
  <c r="AM7" i="13"/>
  <c r="AM8" i="13" s="1"/>
  <c r="AM15" i="13"/>
  <c r="AN5" i="13"/>
  <c r="AN6" i="13"/>
  <c r="AO1" i="8"/>
  <c r="AO4" i="13"/>
  <c r="G37" i="8" l="1"/>
  <c r="E38" i="8"/>
  <c r="A39" i="8"/>
  <c r="F38" i="8"/>
  <c r="AM17" i="13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A40" i="8" l="1"/>
  <c r="E39" i="8"/>
  <c r="F39" i="8"/>
  <c r="G38" i="8"/>
  <c r="AL16" i="13"/>
  <c r="AM16" i="13"/>
  <c r="AN17" i="13"/>
  <c r="AN14" i="13"/>
  <c r="AO7" i="13"/>
  <c r="AO15" i="13"/>
  <c r="AP5" i="13"/>
  <c r="AP6" i="13"/>
  <c r="AQ1" i="8"/>
  <c r="AQ4" i="13"/>
  <c r="G39" i="8" l="1"/>
  <c r="A41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42" i="8" l="1"/>
  <c r="E41" i="8"/>
  <c r="F41" i="8"/>
  <c r="AP17" i="13"/>
  <c r="AP14" i="13"/>
  <c r="AO14" i="13"/>
  <c r="AQ7" i="13"/>
  <c r="AQ8" i="13" s="1"/>
  <c r="AQ15" i="13"/>
  <c r="AR5" i="13"/>
  <c r="AR6" i="13"/>
  <c r="AS1" i="8"/>
  <c r="AS4" i="13"/>
  <c r="E40" i="8" l="1"/>
  <c r="G40" i="8" s="1"/>
  <c r="G41" i="8"/>
  <c r="E42" i="8"/>
  <c r="G42" i="8" s="1"/>
  <c r="A43" i="8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E43" i="8" l="1"/>
  <c r="A44" i="8"/>
  <c r="F43" i="8"/>
  <c r="AQ16" i="13"/>
  <c r="AR14" i="13"/>
  <c r="AS7" i="13"/>
  <c r="AS8" i="13" s="1"/>
  <c r="AS15" i="13"/>
  <c r="AS17" i="13" s="1"/>
  <c r="AT5" i="13"/>
  <c r="AT6" i="13"/>
  <c r="AU1" i="8"/>
  <c r="AU4" i="13"/>
  <c r="G43" i="8" l="1"/>
  <c r="E44" i="8"/>
  <c r="A45" i="8"/>
  <c r="F44" i="8"/>
  <c r="AR16" i="13"/>
  <c r="AS14" i="13"/>
  <c r="AS16" i="13" s="1"/>
  <c r="AT7" i="13"/>
  <c r="AT13" i="13"/>
  <c r="AT15" i="13"/>
  <c r="AU5" i="13"/>
  <c r="AU6" i="13"/>
  <c r="AV1" i="8"/>
  <c r="AV4" i="13"/>
  <c r="E45" i="8" l="1"/>
  <c r="A46" i="8"/>
  <c r="F45" i="8"/>
  <c r="G44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E46" i="8" l="1"/>
  <c r="A47" i="8"/>
  <c r="F46" i="8"/>
  <c r="G45" i="8"/>
  <c r="AU14" i="13"/>
  <c r="AT14" i="13"/>
  <c r="AV7" i="13"/>
  <c r="AV8" i="13" s="1"/>
  <c r="AV15" i="13"/>
  <c r="AW5" i="13"/>
  <c r="AW6" i="13"/>
  <c r="AX1" i="8"/>
  <c r="G27" i="20"/>
  <c r="AX4" i="13"/>
  <c r="A48" i="8" l="1"/>
  <c r="E47" i="8"/>
  <c r="F47" i="8"/>
  <c r="G46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G47" i="8" l="1"/>
  <c r="G29" i="20" s="1"/>
  <c r="A49" i="8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G48" i="8" l="1"/>
  <c r="A50" i="8"/>
  <c r="E49" i="8"/>
  <c r="F49" i="8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7" i="20"/>
  <c r="BA4" i="13"/>
  <c r="G49" i="8" l="1"/>
  <c r="E50" i="8"/>
  <c r="A51" i="8"/>
  <c r="F50" i="8"/>
  <c r="AY14" i="13"/>
  <c r="AZ7" i="13"/>
  <c r="AZ8" i="13" s="1"/>
  <c r="AZ15" i="13"/>
  <c r="AZ17" i="13" s="1"/>
  <c r="BA5" i="13"/>
  <c r="BA6" i="13"/>
  <c r="BB1" i="8"/>
  <c r="BB4" i="13"/>
  <c r="E51" i="8" l="1"/>
  <c r="A52" i="8"/>
  <c r="F51" i="8"/>
  <c r="G50" i="8"/>
  <c r="AY16" i="13"/>
  <c r="AZ14" i="13"/>
  <c r="BA7" i="13"/>
  <c r="BA8" i="13" s="1"/>
  <c r="BA13" i="13"/>
  <c r="BA15" i="13"/>
  <c r="BB5" i="13"/>
  <c r="BB13" i="13" s="1"/>
  <c r="BB6" i="13"/>
  <c r="BC1" i="8"/>
  <c r="BC4" i="13"/>
  <c r="E52" i="8" l="1"/>
  <c r="A53" i="8"/>
  <c r="F52" i="8"/>
  <c r="G51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E53" i="8" l="1"/>
  <c r="A54" i="8"/>
  <c r="F53" i="8"/>
  <c r="G52" i="8"/>
  <c r="BA16" i="13"/>
  <c r="BB17" i="13"/>
  <c r="BE1" i="8"/>
  <c r="BB14" i="13"/>
  <c r="BB16" i="13" s="1"/>
  <c r="G59" i="20"/>
  <c r="BC7" i="13"/>
  <c r="BC8" i="13" s="1"/>
  <c r="BC15" i="13"/>
  <c r="BD5" i="13"/>
  <c r="BD6" i="13"/>
  <c r="C29" i="13"/>
  <c r="BE4" i="13"/>
  <c r="E54" i="8" l="1"/>
  <c r="A55" i="8"/>
  <c r="F54" i="8"/>
  <c r="G53" i="8"/>
  <c r="G40" i="20" s="1"/>
  <c r="BC17" i="13"/>
  <c r="BF1" i="8"/>
  <c r="G9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10" i="13" l="1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A56" i="8"/>
  <c r="E55" i="8"/>
  <c r="F55" i="8"/>
  <c r="G54" i="8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12" i="20"/>
  <c r="J12" i="20" s="1"/>
  <c r="C16" i="15"/>
  <c r="C34" i="15"/>
  <c r="I3" i="13"/>
  <c r="C10" i="15"/>
  <c r="BG4" i="13"/>
  <c r="G55" i="8" l="1"/>
  <c r="A57" i="8"/>
  <c r="E56" i="8"/>
  <c r="F56" i="8"/>
  <c r="BE17" i="13"/>
  <c r="BH1" i="8"/>
  <c r="E2" i="8"/>
  <c r="G2" i="8" s="1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E57" i="8"/>
  <c r="F57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G57" i="8" l="1"/>
  <c r="E58" i="8"/>
  <c r="A59" i="8"/>
  <c r="F58" i="8"/>
  <c r="BG17" i="13"/>
  <c r="BF16" i="13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59" i="8" l="1"/>
  <c r="A60" i="8"/>
  <c r="F59" i="8"/>
  <c r="G58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60" i="8" l="1"/>
  <c r="A61" i="8"/>
  <c r="F60" i="8"/>
  <c r="G59" i="8"/>
  <c r="BH16" i="13"/>
  <c r="BI17" i="13"/>
  <c r="BI14" i="13"/>
  <c r="BL1" i="8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E61" i="8" l="1"/>
  <c r="A62" i="8"/>
  <c r="F61" i="8"/>
  <c r="G60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G61" i="8" l="1"/>
  <c r="E3" i="8"/>
  <c r="E4" i="8"/>
  <c r="F3" i="8"/>
  <c r="F4" i="8"/>
  <c r="E6" i="8"/>
  <c r="E5" i="8"/>
  <c r="F7" i="8"/>
  <c r="F5" i="8"/>
  <c r="F6" i="8"/>
  <c r="E7" i="8"/>
  <c r="F8" i="8"/>
  <c r="E9" i="8"/>
  <c r="E8" i="8"/>
  <c r="E10" i="8"/>
  <c r="F9" i="8"/>
  <c r="F10" i="8"/>
  <c r="E13" i="8"/>
  <c r="F11" i="8"/>
  <c r="E11" i="8"/>
  <c r="E15" i="8"/>
  <c r="E12" i="8"/>
  <c r="F12" i="8"/>
  <c r="F13" i="8"/>
  <c r="F14" i="8"/>
  <c r="F18" i="8"/>
  <c r="F16" i="8"/>
  <c r="F15" i="8"/>
  <c r="E14" i="8"/>
  <c r="E17" i="8"/>
  <c r="F17" i="8"/>
  <c r="E16" i="8"/>
  <c r="E18" i="8"/>
  <c r="G18" i="8" s="1"/>
  <c r="E21" i="8"/>
  <c r="G21" i="8" s="1"/>
  <c r="E20" i="8"/>
  <c r="G20" i="8" s="1"/>
  <c r="G14" i="20" s="1"/>
  <c r="E22" i="8"/>
  <c r="F22" i="8"/>
  <c r="E62" i="8"/>
  <c r="A63" i="8"/>
  <c r="F62" i="8"/>
  <c r="BK17" i="13"/>
  <c r="BJ14" i="13"/>
  <c r="G45" i="20"/>
  <c r="G57" i="20"/>
  <c r="G26" i="20"/>
  <c r="J26" i="20" s="1"/>
  <c r="G43" i="20"/>
  <c r="J43" i="20" s="1"/>
  <c r="G30" i="20"/>
  <c r="J30" i="20" s="1"/>
  <c r="G25" i="20"/>
  <c r="J25" i="20" s="1"/>
  <c r="G5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22" i="8" l="1"/>
  <c r="G7" i="8"/>
  <c r="G4" i="8"/>
  <c r="G62" i="8"/>
  <c r="G17" i="8"/>
  <c r="G16" i="8"/>
  <c r="A64" i="8"/>
  <c r="E63" i="8"/>
  <c r="F63" i="8"/>
  <c r="G10" i="8"/>
  <c r="G5" i="8"/>
  <c r="G12" i="8"/>
  <c r="G8" i="8"/>
  <c r="G13" i="20" s="1"/>
  <c r="G6" i="8"/>
  <c r="G14" i="8"/>
  <c r="G15" i="8"/>
  <c r="G9" i="8"/>
  <c r="G16" i="20" s="1"/>
  <c r="G11" i="8"/>
  <c r="G8" i="20" s="1"/>
  <c r="G13" i="8"/>
  <c r="G3" i="8"/>
  <c r="G18" i="20"/>
  <c r="BK16" i="13"/>
  <c r="BJ16" i="13"/>
  <c r="BL17" i="13"/>
  <c r="G22" i="20"/>
  <c r="J22" i="20" s="1"/>
  <c r="G50" i="20"/>
  <c r="J50" i="20" s="1"/>
  <c r="G6" i="20"/>
  <c r="J6" i="20" s="1"/>
  <c r="G60" i="20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G63" i="8" l="1"/>
  <c r="A65" i="8"/>
  <c r="E64" i="8"/>
  <c r="F64" i="8"/>
  <c r="C12" i="13"/>
  <c r="C14" i="13" s="1"/>
  <c r="C20" i="15" s="1"/>
  <c r="BL14" i="13"/>
  <c r="H54" i="20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G58" i="20" s="1"/>
  <c r="E66" i="8"/>
  <c r="A67" i="8"/>
  <c r="F66" i="8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E67" i="8" l="1"/>
  <c r="A68" i="8"/>
  <c r="F67" i="8"/>
  <c r="G66" i="8"/>
  <c r="G44" i="20" s="1"/>
  <c r="J44" i="20" s="1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68" i="8" l="1"/>
  <c r="A69" i="8"/>
  <c r="F68" i="8"/>
  <c r="G67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E69" i="8" l="1"/>
  <c r="A70" i="8"/>
  <c r="F69" i="8"/>
  <c r="G68" i="8"/>
  <c r="G48" i="20" s="1"/>
  <c r="BR17" i="13"/>
  <c r="BS15" i="13"/>
  <c r="G10" i="20"/>
  <c r="J10" i="20" s="1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E70" i="8" l="1"/>
  <c r="A71" i="8"/>
  <c r="F70" i="8"/>
  <c r="G69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21" i="20"/>
  <c r="G11" i="20"/>
  <c r="J11" i="20" s="1"/>
  <c r="X3" i="13"/>
  <c r="BV4" i="13"/>
  <c r="A72" i="8" l="1"/>
  <c r="E71" i="8"/>
  <c r="F71" i="8"/>
  <c r="G70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23" i="20"/>
  <c r="Y3" i="13"/>
  <c r="BW4" i="13"/>
  <c r="G71" i="8" l="1"/>
  <c r="G53" i="20" s="1"/>
  <c r="J53" i="20" s="1"/>
  <c r="A73" i="8"/>
  <c r="E72" i="8"/>
  <c r="F72" i="8"/>
  <c r="BS16" i="13"/>
  <c r="BU17" i="13"/>
  <c r="BU8" i="13"/>
  <c r="BU14" i="13" s="1"/>
  <c r="BV17" i="13"/>
  <c r="BT14" i="13"/>
  <c r="BT12" i="13"/>
  <c r="BT11" i="13"/>
  <c r="BT10" i="13"/>
  <c r="BV7" i="13"/>
  <c r="Y27" i="13"/>
  <c r="Y28" i="13" s="1"/>
  <c r="Y25" i="13"/>
  <c r="BW5" i="13"/>
  <c r="BW13" i="13" s="1"/>
  <c r="BW6" i="13"/>
  <c r="BW15" i="13" s="1"/>
  <c r="G49" i="20"/>
  <c r="Z3" i="13"/>
  <c r="BX4" i="13"/>
  <c r="G72" i="8" l="1"/>
  <c r="BY17" i="13"/>
  <c r="BX17" i="13"/>
  <c r="BW17" i="13"/>
  <c r="A74" i="8"/>
  <c r="E73" i="8"/>
  <c r="F73" i="8"/>
  <c r="BV8" i="13"/>
  <c r="BU12" i="13"/>
  <c r="BU10" i="13"/>
  <c r="BU11" i="13"/>
  <c r="BT16" i="13"/>
  <c r="BU16" i="13"/>
  <c r="BW7" i="13"/>
  <c r="CG8" i="13" s="1"/>
  <c r="BX15" i="13"/>
  <c r="BZ17" i="13" s="1"/>
  <c r="BX13" i="13"/>
  <c r="Z25" i="13"/>
  <c r="Z27" i="13"/>
  <c r="Z28" i="13" s="1"/>
  <c r="BX5" i="13"/>
  <c r="BX6" i="13"/>
  <c r="G54" i="20"/>
  <c r="G52" i="20"/>
  <c r="AA3" i="13"/>
  <c r="BY4" i="13"/>
  <c r="G73" i="8" l="1"/>
  <c r="E74" i="8"/>
  <c r="A75" i="8"/>
  <c r="F74" i="8"/>
  <c r="CE8" i="13"/>
  <c r="CF14" i="13" s="1"/>
  <c r="CH16" i="13" s="1"/>
  <c r="BX8" i="13"/>
  <c r="BY14" i="13" s="1"/>
  <c r="CA16" i="13" s="1"/>
  <c r="CC8" i="13"/>
  <c r="CD14" i="13" s="1"/>
  <c r="CF16" i="13" s="1"/>
  <c r="BY8" i="13"/>
  <c r="BZ14" i="13" s="1"/>
  <c r="CB16" i="13" s="1"/>
  <c r="BW8" i="13"/>
  <c r="BX14" i="13" s="1"/>
  <c r="BZ16" i="13" s="1"/>
  <c r="CD8" i="13"/>
  <c r="CE14" i="13" s="1"/>
  <c r="CG16" i="13" s="1"/>
  <c r="CA8" i="13"/>
  <c r="CB14" i="13" s="1"/>
  <c r="CD16" i="13" s="1"/>
  <c r="CB8" i="13"/>
  <c r="CC14" i="13" s="1"/>
  <c r="CE16" i="13" s="1"/>
  <c r="BZ8" i="13"/>
  <c r="CA14" i="13" s="1"/>
  <c r="CC16" i="13" s="1"/>
  <c r="CF8" i="13"/>
  <c r="CG14" i="13" s="1"/>
  <c r="CI16" i="13" s="1"/>
  <c r="BV10" i="13"/>
  <c r="BV12" i="13"/>
  <c r="BV14" i="13"/>
  <c r="BV11" i="13"/>
  <c r="CH14" i="13"/>
  <c r="CJ16" i="13" s="1"/>
  <c r="BX7" i="13"/>
  <c r="CH8" i="13" s="1"/>
  <c r="BY13" i="13"/>
  <c r="BY15" i="13"/>
  <c r="CA17" i="13" s="1"/>
  <c r="AA27" i="13"/>
  <c r="AA28" i="13" s="1"/>
  <c r="AA25" i="13"/>
  <c r="BY5" i="13"/>
  <c r="BY6" i="13"/>
  <c r="AB3" i="13"/>
  <c r="BZ4" i="13"/>
  <c r="BW11" i="13" l="1"/>
  <c r="BX11" i="13" s="1"/>
  <c r="BY11" i="13" s="1"/>
  <c r="BZ11" i="13" s="1"/>
  <c r="CA11" i="13" s="1"/>
  <c r="CB11" i="13" s="1"/>
  <c r="CC11" i="13" s="1"/>
  <c r="CD11" i="13" s="1"/>
  <c r="CE11" i="13" s="1"/>
  <c r="CF11" i="13" s="1"/>
  <c r="CG11" i="13" s="1"/>
  <c r="CH11" i="13" s="1"/>
  <c r="E75" i="8"/>
  <c r="A76" i="8"/>
  <c r="F75" i="8"/>
  <c r="G74" i="8"/>
  <c r="BW12" i="13"/>
  <c r="BX12" i="13" s="1"/>
  <c r="BY12" i="13" s="1"/>
  <c r="BZ12" i="13" s="1"/>
  <c r="CA12" i="13" s="1"/>
  <c r="CB12" i="13" s="1"/>
  <c r="CC12" i="13" s="1"/>
  <c r="CD12" i="13" s="1"/>
  <c r="CE12" i="13" s="1"/>
  <c r="CF12" i="13" s="1"/>
  <c r="CG12" i="13" s="1"/>
  <c r="BW10" i="13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BW14" i="13"/>
  <c r="BY16" i="13" s="1"/>
  <c r="BV16" i="13"/>
  <c r="CI14" i="13"/>
  <c r="CK16" i="13" s="1"/>
  <c r="BY7" i="13"/>
  <c r="CI8" i="13" s="1"/>
  <c r="BZ13" i="13"/>
  <c r="AB27" i="13"/>
  <c r="AB28" i="13" s="1"/>
  <c r="AB25" i="13"/>
  <c r="BZ15" i="13"/>
  <c r="CB17" i="13" s="1"/>
  <c r="BZ5" i="13"/>
  <c r="BZ6" i="13"/>
  <c r="AC3" i="13"/>
  <c r="CA4" i="13"/>
  <c r="E76" i="8" l="1"/>
  <c r="A77" i="8"/>
  <c r="F76" i="8"/>
  <c r="G75" i="8"/>
  <c r="G35" i="20" s="1"/>
  <c r="BW16" i="13"/>
  <c r="BX16" i="13"/>
  <c r="CJ14" i="13"/>
  <c r="CL16" i="13" s="1"/>
  <c r="CH10" i="13"/>
  <c r="CH12" i="13"/>
  <c r="CI12" i="13" s="1"/>
  <c r="BZ7" i="13"/>
  <c r="CJ8" i="13" s="1"/>
  <c r="CA15" i="13"/>
  <c r="CC17" i="13" s="1"/>
  <c r="CA13" i="13"/>
  <c r="AC27" i="13"/>
  <c r="AC28" i="13" s="1"/>
  <c r="AC25" i="13"/>
  <c r="CA5" i="13"/>
  <c r="CA6" i="13"/>
  <c r="G4" i="20"/>
  <c r="AD3" i="13"/>
  <c r="CB4" i="13"/>
  <c r="G76" i="8" l="1"/>
  <c r="E77" i="8"/>
  <c r="A78" i="8"/>
  <c r="F77" i="8"/>
  <c r="CK14" i="13"/>
  <c r="CM16" i="13" s="1"/>
  <c r="CI10" i="13"/>
  <c r="CI11" i="13"/>
  <c r="CA7" i="13"/>
  <c r="CK8" i="13" s="1"/>
  <c r="CB13" i="13"/>
  <c r="CB15" i="13"/>
  <c r="CD17" i="13" s="1"/>
  <c r="AD27" i="13"/>
  <c r="AD28" i="13" s="1"/>
  <c r="AD25" i="13"/>
  <c r="CB5" i="13"/>
  <c r="CB6" i="13"/>
  <c r="AE3" i="13"/>
  <c r="CC4" i="13"/>
  <c r="E78" i="8" l="1"/>
  <c r="A79" i="8"/>
  <c r="F78" i="8"/>
  <c r="G77" i="8"/>
  <c r="CL14" i="13"/>
  <c r="CN16" i="13" s="1"/>
  <c r="CJ10" i="13"/>
  <c r="CJ11" i="13"/>
  <c r="CJ12" i="13"/>
  <c r="CK12" i="13" s="1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A80" i="8" l="1"/>
  <c r="E79" i="8"/>
  <c r="F79" i="8"/>
  <c r="G78" i="8"/>
  <c r="CM14" i="13"/>
  <c r="CO16" i="13" s="1"/>
  <c r="CK10" i="13"/>
  <c r="CK11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G79" i="8" l="1"/>
  <c r="G38" i="20" s="1"/>
  <c r="A81" i="8"/>
  <c r="E80" i="8"/>
  <c r="F80" i="8"/>
  <c r="CN14" i="13"/>
  <c r="CP16" i="13" s="1"/>
  <c r="CL10" i="13"/>
  <c r="CL11" i="13"/>
  <c r="CL12" i="13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G80" i="8" l="1"/>
  <c r="A82" i="8"/>
  <c r="E81" i="8"/>
  <c r="F81" i="8"/>
  <c r="G34" i="20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G81" i="8" l="1"/>
  <c r="E82" i="8"/>
  <c r="A83" i="8"/>
  <c r="F82" i="8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17" i="20"/>
  <c r="J17" i="20" s="1"/>
  <c r="AJ3" i="13"/>
  <c r="CH4" i="13"/>
  <c r="E83" i="8" l="1"/>
  <c r="A84" i="8"/>
  <c r="F83" i="8"/>
  <c r="G82" i="8"/>
  <c r="G42" i="20" s="1"/>
  <c r="J42" i="20" s="1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E84" i="8" l="1"/>
  <c r="A85" i="8"/>
  <c r="F84" i="8"/>
  <c r="G83" i="8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E85" i="8" l="1"/>
  <c r="A86" i="8"/>
  <c r="F85" i="8"/>
  <c r="G84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E86" i="8" l="1"/>
  <c r="A87" i="8"/>
  <c r="F86" i="8"/>
  <c r="G85" i="8"/>
  <c r="G36" i="20" s="1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A88" i="8" l="1"/>
  <c r="E87" i="8"/>
  <c r="F87" i="8"/>
  <c r="G86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7" i="8" l="1"/>
  <c r="A89" i="8"/>
  <c r="E88" i="8"/>
  <c r="G88" i="8" s="1"/>
  <c r="F88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A90" i="8" l="1"/>
  <c r="E89" i="8"/>
  <c r="F89" i="8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G89" i="8" l="1"/>
  <c r="E90" i="8"/>
  <c r="A91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G90" i="8"/>
  <c r="G55" i="20" s="1"/>
  <c r="J55" i="20" s="1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E92" i="8" l="1"/>
  <c r="A93" i="8"/>
  <c r="F92" i="8"/>
  <c r="G91" i="8"/>
  <c r="G51" i="20" s="1"/>
  <c r="J51" i="20" s="1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E93" i="8" l="1"/>
  <c r="A94" i="8"/>
  <c r="F93" i="8"/>
  <c r="G92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E94" i="8" l="1"/>
  <c r="A95" i="8"/>
  <c r="F94" i="8"/>
  <c r="G93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E95" i="8" l="1"/>
  <c r="A96" i="8"/>
  <c r="F95" i="8"/>
  <c r="G94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E96" i="8" l="1"/>
  <c r="A97" i="8"/>
  <c r="F96" i="8"/>
  <c r="G95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E97" i="8" l="1"/>
  <c r="A98" i="8"/>
  <c r="F97" i="8"/>
  <c r="G96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8" i="8" l="1"/>
  <c r="A99" i="8"/>
  <c r="F98" i="8"/>
  <c r="G97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E99" i="8" l="1"/>
  <c r="A100" i="8"/>
  <c r="F99" i="8"/>
  <c r="G98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E100" i="8" l="1"/>
  <c r="A101" i="8"/>
  <c r="F100" i="8"/>
  <c r="G99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A102" i="8" l="1"/>
  <c r="E101" i="8"/>
  <c r="F101" i="8"/>
  <c r="G100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1" i="8" l="1"/>
  <c r="E102" i="8"/>
  <c r="A103" i="8"/>
  <c r="F102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E103" i="8" l="1"/>
  <c r="A104" i="8"/>
  <c r="F103" i="8"/>
  <c r="G102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G103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A106" i="8" l="1"/>
  <c r="E105" i="8"/>
  <c r="F105" i="8"/>
  <c r="G104" i="8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G105" i="8" l="1"/>
  <c r="A107" i="8"/>
  <c r="E106" i="8"/>
  <c r="F106" i="8"/>
  <c r="DM14" i="13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A108" i="8"/>
  <c r="E107" i="8"/>
  <c r="F107" i="8"/>
  <c r="DN14" i="13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E108" i="8"/>
  <c r="A109" i="8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08" i="8"/>
  <c r="DO14" i="13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DP14" i="13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DR14" i="13" l="1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DQ11" i="13" l="1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DS14" i="13" l="1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DT14" i="13" l="1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DT11" i="13" l="1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20" i="20"/>
  <c r="J20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19" i="20"/>
  <c r="J19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6" i="13" l="1"/>
  <c r="C7" i="13" s="1"/>
  <c r="GR27" i="13"/>
  <c r="GR28" i="13" s="1"/>
  <c r="GR25" i="13"/>
  <c r="GS3" i="13"/>
  <c r="C18" i="15" l="1"/>
  <c r="C27" i="13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I9" i="13" s="1"/>
  <c r="AG20" i="13"/>
  <c r="AG26" i="13" s="1"/>
  <c r="BG23" i="13"/>
  <c r="BG22" i="13"/>
  <c r="BG21" i="13"/>
  <c r="HP25" i="13"/>
  <c r="HP27" i="13"/>
  <c r="HP28" i="13" s="1"/>
  <c r="HQ3" i="13"/>
  <c r="AH20" i="13" l="1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4" i="20"/>
  <c r="D4" i="20"/>
  <c r="E4" i="20" s="1"/>
  <c r="M60" i="20"/>
  <c r="D60" i="20"/>
  <c r="E60" i="20" s="1"/>
  <c r="D14" i="20"/>
  <c r="E14" i="20" s="1"/>
  <c r="M14" i="20"/>
  <c r="D36" i="20"/>
  <c r="E36" i="20" s="1"/>
  <c r="M36" i="20"/>
  <c r="D52" i="20"/>
  <c r="E52" i="20" s="1"/>
  <c r="M52" i="20"/>
  <c r="M21" i="20"/>
  <c r="D21" i="20"/>
  <c r="E21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8" i="20"/>
  <c r="E18" i="20" s="1"/>
  <c r="M18" i="20"/>
  <c r="D9" i="20"/>
  <c r="E9" i="20" s="1"/>
  <c r="M9" i="20"/>
  <c r="M13" i="20"/>
  <c r="D13" i="20"/>
  <c r="E13" i="20" s="1"/>
  <c r="D45" i="20"/>
  <c r="E45" i="20" s="1"/>
  <c r="M45" i="20"/>
  <c r="D23" i="20"/>
  <c r="E23" i="20" s="1"/>
  <c r="M23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15" i="20"/>
  <c r="E15" i="20" s="1"/>
  <c r="M15" i="20"/>
  <c r="M34" i="20"/>
  <c r="D34" i="20"/>
  <c r="E34" i="20" s="1"/>
  <c r="D5" i="20"/>
  <c r="E5" i="20" s="1"/>
  <c r="M5" i="20"/>
  <c r="M49" i="20"/>
  <c r="D49" i="20"/>
  <c r="E49" i="20" s="1"/>
  <c r="M7" i="20"/>
  <c r="D7" i="20"/>
  <c r="E7" i="20" s="1"/>
  <c r="D48" i="20"/>
  <c r="E48" i="20" s="1"/>
  <c r="M48" i="20"/>
  <c r="M29" i="20"/>
  <c r="D29" i="20"/>
  <c r="E29" i="20" s="1"/>
  <c r="M61" i="20"/>
  <c r="D61" i="20"/>
  <c r="E61" i="20" s="1"/>
  <c r="D8" i="20"/>
  <c r="E8" i="20" s="1"/>
  <c r="M8" i="20"/>
  <c r="D54" i="20"/>
  <c r="E54" i="20" s="1"/>
  <c r="M54" i="20"/>
  <c r="M40" i="20"/>
  <c r="D40" i="20"/>
  <c r="E40" i="20" s="1"/>
  <c r="D16" i="20"/>
  <c r="E16" i="20" s="1"/>
  <c r="M16" i="20"/>
  <c r="BG20" i="13" l="1"/>
  <c r="BG26" i="13" s="1"/>
  <c r="BH9" i="13"/>
  <c r="CG22" i="13"/>
  <c r="CG21" i="13"/>
  <c r="CG23" i="13"/>
  <c r="J4" i="20"/>
  <c r="J32" i="20"/>
  <c r="J16" i="20"/>
  <c r="J59" i="20"/>
  <c r="J40" i="20"/>
  <c r="J35" i="20"/>
  <c r="J36" i="20"/>
  <c r="J58" i="20"/>
  <c r="J54" i="20"/>
  <c r="J21" i="20"/>
  <c r="J60" i="20"/>
  <c r="J9" i="20"/>
  <c r="J15" i="20"/>
  <c r="J57" i="20"/>
  <c r="J8" i="20"/>
  <c r="J23" i="20"/>
  <c r="J48" i="20"/>
  <c r="J18" i="20"/>
  <c r="J5" i="20"/>
  <c r="J38" i="20"/>
  <c r="J45" i="20"/>
  <c r="J7" i="20"/>
  <c r="J46" i="20"/>
  <c r="J61" i="20"/>
  <c r="J49" i="20"/>
  <c r="J52" i="20"/>
  <c r="J29" i="20"/>
  <c r="J41" i="20"/>
  <c r="J34" i="20"/>
  <c r="J31" i="20"/>
  <c r="J13" i="20"/>
  <c r="J27" i="20"/>
  <c r="J14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H9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E68" i="23"/>
  <c r="F68" i="23"/>
  <c r="G68" i="23"/>
  <c r="H38" i="20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F69" i="23"/>
  <c r="E69" i="23"/>
  <c r="G69" i="23"/>
  <c r="E67" i="23"/>
  <c r="F67" i="23"/>
  <c r="G67" i="23"/>
  <c r="H31" i="20"/>
  <c r="F66" i="23"/>
  <c r="E66" i="23"/>
  <c r="G66" i="23"/>
  <c r="H29" i="20"/>
  <c r="E64" i="23"/>
  <c r="F64" i="23"/>
  <c r="G64" i="23"/>
  <c r="F65" i="23"/>
  <c r="E65" i="23"/>
  <c r="G65" i="23"/>
  <c r="E62" i="23"/>
  <c r="F62" i="23"/>
  <c r="G62" i="23"/>
  <c r="H35" i="20"/>
  <c r="E63" i="23"/>
  <c r="F63" i="23"/>
  <c r="G63" i="23"/>
  <c r="F61" i="23"/>
  <c r="E61" i="23"/>
  <c r="G61" i="23"/>
  <c r="H49" i="20"/>
  <c r="F60" i="23"/>
  <c r="E60" i="23"/>
  <c r="G60" i="23"/>
  <c r="H37" i="20"/>
  <c r="E59" i="23"/>
  <c r="F59" i="23"/>
  <c r="G59" i="23"/>
  <c r="E57" i="23"/>
  <c r="F57" i="23"/>
  <c r="G57" i="23"/>
  <c r="F58" i="23"/>
  <c r="E58" i="23"/>
  <c r="G58" i="23"/>
  <c r="H65" i="20"/>
  <c r="E55" i="23"/>
  <c r="F55" i="23"/>
  <c r="G55" i="23"/>
  <c r="H28" i="20"/>
  <c r="F56" i="23"/>
  <c r="E56" i="23"/>
  <c r="G56" i="23"/>
  <c r="H33" i="20"/>
  <c r="E54" i="23"/>
  <c r="F54" i="23"/>
  <c r="G54" i="23"/>
  <c r="E53" i="23"/>
  <c r="F53" i="23"/>
  <c r="G53" i="23"/>
  <c r="E52" i="23"/>
  <c r="F52" i="23"/>
  <c r="G52" i="23"/>
  <c r="H26" i="20"/>
  <c r="E51" i="23"/>
  <c r="F51" i="23"/>
  <c r="G51" i="23"/>
  <c r="E50" i="23"/>
  <c r="F50" i="23"/>
  <c r="G50" i="23"/>
  <c r="H41" i="20"/>
  <c r="E49" i="23"/>
  <c r="F49" i="23"/>
  <c r="G49" i="23"/>
  <c r="E47" i="23"/>
  <c r="F47" i="23"/>
  <c r="G47" i="23"/>
  <c r="H12" i="20"/>
  <c r="F48" i="23"/>
  <c r="E48" i="23"/>
  <c r="G48" i="23"/>
  <c r="H24" i="20"/>
  <c r="E46" i="23"/>
  <c r="F46" i="23"/>
  <c r="G46" i="23"/>
  <c r="H51" i="20"/>
  <c r="E45" i="23"/>
  <c r="F45" i="23"/>
  <c r="G45" i="23"/>
  <c r="H45" i="20"/>
  <c r="E44" i="23"/>
  <c r="F44" i="23"/>
  <c r="G44" i="23"/>
  <c r="F43" i="23"/>
  <c r="E43" i="23"/>
  <c r="G43" i="23"/>
  <c r="H30" i="20"/>
  <c r="E42" i="23"/>
  <c r="F42" i="23"/>
  <c r="G42" i="23"/>
  <c r="F41" i="23"/>
  <c r="E41" i="23"/>
  <c r="G41" i="23"/>
  <c r="H21" i="20"/>
  <c r="F40" i="23"/>
  <c r="E40" i="23"/>
  <c r="G40" i="23"/>
  <c r="H47" i="20"/>
  <c r="E39" i="23"/>
  <c r="F39" i="23"/>
  <c r="G39" i="23"/>
  <c r="F38" i="23"/>
  <c r="E38" i="23"/>
  <c r="G38" i="23"/>
  <c r="H44" i="20"/>
  <c r="F37" i="23"/>
  <c r="E37" i="23"/>
  <c r="G37" i="23"/>
  <c r="H48" i="20"/>
  <c r="F36" i="23"/>
  <c r="E36" i="23"/>
  <c r="G36" i="23"/>
  <c r="H27" i="20"/>
  <c r="F35" i="23"/>
  <c r="E35" i="23"/>
  <c r="G35" i="23"/>
  <c r="H32" i="20"/>
  <c r="F34" i="23"/>
  <c r="E34" i="23"/>
  <c r="G34" i="23"/>
  <c r="H57" i="20"/>
  <c r="F33" i="23"/>
  <c r="E33" i="23"/>
  <c r="G33" i="23"/>
  <c r="H19" i="20"/>
  <c r="F32" i="23"/>
  <c r="E32" i="23"/>
  <c r="G32" i="23"/>
  <c r="H11" i="20"/>
  <c r="E30" i="23"/>
  <c r="F30" i="23"/>
  <c r="G30" i="23"/>
  <c r="H50" i="20"/>
  <c r="F31" i="23"/>
  <c r="E31" i="23"/>
  <c r="G31" i="23"/>
  <c r="H5" i="20"/>
  <c r="E29" i="23"/>
  <c r="F29" i="23"/>
  <c r="G29" i="23"/>
  <c r="H20" i="20"/>
  <c r="F28" i="23"/>
  <c r="E28" i="23"/>
  <c r="G28" i="23"/>
  <c r="H46" i="20"/>
  <c r="E27" i="23"/>
  <c r="F27" i="23"/>
  <c r="G27" i="23"/>
  <c r="H17" i="20"/>
  <c r="F26" i="23"/>
  <c r="E26" i="23"/>
  <c r="G26" i="23"/>
  <c r="H7" i="20"/>
  <c r="F25" i="23"/>
  <c r="E25" i="23"/>
  <c r="G25" i="23"/>
  <c r="F24" i="23"/>
  <c r="E24" i="23"/>
  <c r="G24" i="23"/>
  <c r="E23" i="23"/>
  <c r="F23" i="23"/>
  <c r="G23" i="23"/>
  <c r="H15" i="20"/>
  <c r="E22" i="23"/>
  <c r="F22" i="23"/>
  <c r="G22" i="23"/>
  <c r="E21" i="23"/>
  <c r="F21" i="23"/>
  <c r="G21" i="23"/>
  <c r="E20" i="23"/>
  <c r="F20" i="23"/>
  <c r="G20" i="23"/>
  <c r="H22" i="20"/>
  <c r="E19" i="23"/>
  <c r="F19" i="23"/>
  <c r="G19" i="23"/>
  <c r="H6" i="20"/>
  <c r="E11" i="23"/>
  <c r="F11" i="23"/>
  <c r="G11" i="23"/>
  <c r="H16" i="20"/>
  <c r="E10" i="23"/>
  <c r="F10" i="23"/>
  <c r="G10" i="23"/>
  <c r="H8" i="20"/>
  <c r="E18" i="23"/>
  <c r="F18" i="23"/>
  <c r="G18" i="23"/>
  <c r="H14" i="20"/>
  <c r="E17" i="23"/>
  <c r="F17" i="23"/>
  <c r="G17" i="23"/>
  <c r="E9" i="23"/>
  <c r="F9" i="23"/>
  <c r="G9" i="23"/>
  <c r="H4" i="20"/>
  <c r="E8" i="23"/>
  <c r="F8" i="23"/>
  <c r="G8" i="23"/>
  <c r="H18" i="20"/>
  <c r="E16" i="23"/>
  <c r="F16" i="23"/>
  <c r="G16" i="23"/>
  <c r="H56" i="20"/>
  <c r="F15" i="23"/>
  <c r="E15" i="23"/>
  <c r="G15" i="23"/>
  <c r="E14" i="23"/>
  <c r="F14" i="23"/>
  <c r="G14" i="23"/>
  <c r="F7" i="23"/>
  <c r="E7" i="23"/>
  <c r="G7" i="23"/>
  <c r="H60" i="20"/>
  <c r="E6" i="23"/>
  <c r="F6" i="23"/>
  <c r="G6" i="23"/>
  <c r="H13" i="20"/>
  <c r="E13" i="23"/>
  <c r="F13" i="23"/>
  <c r="G13" i="23"/>
  <c r="C22" i="15"/>
  <c r="C24" i="15" s="1"/>
  <c r="E5" i="23"/>
  <c r="F5" i="23"/>
  <c r="G5" i="23"/>
  <c r="H23" i="20"/>
  <c r="E12" i="23"/>
  <c r="F12" i="23"/>
  <c r="G12" i="23"/>
</calcChain>
</file>

<file path=xl/sharedStrings.xml><?xml version="1.0" encoding="utf-8"?>
<sst xmlns="http://schemas.openxmlformats.org/spreadsheetml/2006/main" count="2595" uniqueCount="621">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</sst>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17" fillId="6" borderId="27" xfId="0" applyFont="1" applyFill="1" applyBorder="1" applyAlignment="1">
      <alignment horizontal="center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18319.387129020597</c:v>
                </c:pt>
                <c:pt idx="26">
                  <c:v>21846.110192873683</c:v>
                </c:pt>
                <c:pt idx="27">
                  <c:v>26051.773850181995</c:v>
                </c:pt>
                <c:pt idx="28">
                  <c:v>31067.083098501458</c:v>
                </c:pt>
                <c:pt idx="29">
                  <c:v>37047.905367198342</c:v>
                </c:pt>
                <c:pt idx="30">
                  <c:v>44180.114616653198</c:v>
                </c:pt>
                <c:pt idx="31">
                  <c:v>52685.367990298881</c:v>
                </c:pt>
                <c:pt idx="32">
                  <c:v>62827.994548183509</c:v>
                </c:pt>
                <c:pt idx="33">
                  <c:v>74923.21017238441</c:v>
                </c:pt>
                <c:pt idx="34">
                  <c:v>89346.913949803682</c:v>
                </c:pt>
                <c:pt idx="35">
                  <c:v>106547.37048755008</c:v>
                </c:pt>
                <c:pt idx="36">
                  <c:v>127059.14122774471</c:v>
                </c:pt>
                <c:pt idx="37">
                  <c:v>151519.69772373108</c:v>
                </c:pt>
                <c:pt idx="38">
                  <c:v>180689.23319054881</c:v>
                </c:pt>
                <c:pt idx="39">
                  <c:v>215474.28803954832</c:v>
                </c:pt>
                <c:pt idx="40">
                  <c:v>256955.92363927735</c:v>
                </c:pt>
                <c:pt idx="41">
                  <c:v>306423.31989604066</c:v>
                </c:pt>
                <c:pt idx="42">
                  <c:v>365413.84081078559</c:v>
                </c:pt>
                <c:pt idx="43">
                  <c:v>435760.81318285951</c:v>
                </c:pt>
                <c:pt idx="44">
                  <c:v>519650.50334289973</c:v>
                </c:pt>
                <c:pt idx="45">
                  <c:v>619690.06265648955</c:v>
                </c:pt>
                <c:pt idx="46">
                  <c:v>738988.553431276</c:v>
                </c:pt>
                <c:pt idx="47">
                  <c:v>881253.57337732508</c:v>
                </c:pt>
                <c:pt idx="48">
                  <c:v>1050906.4815474534</c:v>
                </c:pt>
                <c:pt idx="49">
                  <c:v>1253219.8067871854</c:v>
                </c:pt>
                <c:pt idx="50">
                  <c:v>1494481.1091193103</c:v>
                </c:pt>
                <c:pt idx="51">
                  <c:v>1782188.3866010103</c:v>
                </c:pt>
                <c:pt idx="52">
                  <c:v>2125283.1005720957</c:v>
                </c:pt>
                <c:pt idx="53">
                  <c:v>2534428.0613296083</c:v>
                </c:pt>
                <c:pt idx="54">
                  <c:v>3022338.8104511295</c:v>
                </c:pt>
                <c:pt idx="55">
                  <c:v>3604178.7985755662</c:v>
                </c:pt>
                <c:pt idx="56">
                  <c:v>4298030.6401063763</c:v>
                </c:pt>
                <c:pt idx="57">
                  <c:v>5125458.0906458087</c:v>
                </c:pt>
                <c:pt idx="58">
                  <c:v>6112176.2124795802</c:v>
                </c:pt>
                <c:pt idx="59">
                  <c:v>7288850.55573521</c:v>
                </c:pt>
                <c:pt idx="60">
                  <c:v>8692050.192428736</c:v>
                </c:pt>
                <c:pt idx="61">
                  <c:v>10365384.222105194</c:v>
                </c:pt>
                <c:pt idx="62">
                  <c:v>12360857.069768719</c:v>
                </c:pt>
                <c:pt idx="63">
                  <c:v>14740484.696496833</c:v>
                </c:pt>
                <c:pt idx="64">
                  <c:v>17578221.951863635</c:v>
                </c:pt>
                <c:pt idx="65">
                  <c:v>20962260.967064057</c:v>
                </c:pt>
                <c:pt idx="66">
                  <c:v>24997772.018956136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16898.2</c:v>
                </c:pt>
                <c:pt idx="26">
                  <c:v>18588.020000000004</c:v>
                </c:pt>
                <c:pt idx="27">
                  <c:v>20446.822000000007</c:v>
                </c:pt>
                <c:pt idx="28">
                  <c:v>22491.50420000001</c:v>
                </c:pt>
                <c:pt idx="29">
                  <c:v>24740.654620000012</c:v>
                </c:pt>
                <c:pt idx="30">
                  <c:v>27214.720082000014</c:v>
                </c:pt>
                <c:pt idx="31">
                  <c:v>29936.192090200017</c:v>
                </c:pt>
                <c:pt idx="32">
                  <c:v>32929.811299220019</c:v>
                </c:pt>
                <c:pt idx="33">
                  <c:v>36222.79242914202</c:v>
                </c:pt>
                <c:pt idx="34">
                  <c:v>39845.071672056227</c:v>
                </c:pt>
                <c:pt idx="35">
                  <c:v>43829.578839261856</c:v>
                </c:pt>
                <c:pt idx="36">
                  <c:v>48212.536723188045</c:v>
                </c:pt>
                <c:pt idx="37">
                  <c:v>53033.790395506854</c:v>
                </c:pt>
                <c:pt idx="38">
                  <c:v>58337.169435057542</c:v>
                </c:pt>
                <c:pt idx="39">
                  <c:v>64170.8863785633</c:v>
                </c:pt>
                <c:pt idx="40">
                  <c:v>70587.97501641963</c:v>
                </c:pt>
                <c:pt idx="41">
                  <c:v>77646.772518061596</c:v>
                </c:pt>
                <c:pt idx="42">
                  <c:v>85411.449769867759</c:v>
                </c:pt>
                <c:pt idx="43">
                  <c:v>93952.594746854549</c:v>
                </c:pt>
                <c:pt idx="44">
                  <c:v>103347.85422154001</c:v>
                </c:pt>
                <c:pt idx="45">
                  <c:v>113682.63964369401</c:v>
                </c:pt>
                <c:pt idx="46">
                  <c:v>125050.90360806343</c:v>
                </c:pt>
                <c:pt idx="47">
                  <c:v>137555.99396886979</c:v>
                </c:pt>
                <c:pt idx="48">
                  <c:v>151311.59336575679</c:v>
                </c:pt>
                <c:pt idx="49">
                  <c:v>166442.75270233248</c:v>
                </c:pt>
                <c:pt idx="50">
                  <c:v>183087.02797256573</c:v>
                </c:pt>
                <c:pt idx="51">
                  <c:v>201395.73076982232</c:v>
                </c:pt>
                <c:pt idx="52">
                  <c:v>221535.30384680457</c:v>
                </c:pt>
                <c:pt idx="53">
                  <c:v>243688.83423148506</c:v>
                </c:pt>
                <c:pt idx="54">
                  <c:v>268057.71765463357</c:v>
                </c:pt>
                <c:pt idx="55">
                  <c:v>294863.48942009697</c:v>
                </c:pt>
                <c:pt idx="56">
                  <c:v>324349.8383621067</c:v>
                </c:pt>
                <c:pt idx="57">
                  <c:v>356784.82219831739</c:v>
                </c:pt>
                <c:pt idx="58">
                  <c:v>392463.30441814917</c:v>
                </c:pt>
                <c:pt idx="59">
                  <c:v>431709.63485996414</c:v>
                </c:pt>
                <c:pt idx="60">
                  <c:v>474880.59834596061</c:v>
                </c:pt>
                <c:pt idx="61">
                  <c:v>522368.65818055673</c:v>
                </c:pt>
                <c:pt idx="62">
                  <c:v>574605.52399861242</c:v>
                </c:pt>
                <c:pt idx="63">
                  <c:v>632066.0763984737</c:v>
                </c:pt>
                <c:pt idx="64">
                  <c:v>695272.68403832114</c:v>
                </c:pt>
                <c:pt idx="65">
                  <c:v>764799.95244215336</c:v>
                </c:pt>
                <c:pt idx="66">
                  <c:v>841279.94768636872</c:v>
                </c:pt>
                <c:pt idx="67">
                  <c:v>925407.94245500572</c:v>
                </c:pt>
                <c:pt idx="68">
                  <c:v>1017948.7367005064</c:v>
                </c:pt>
                <c:pt idx="69">
                  <c:v>1119743.6103705571</c:v>
                </c:pt>
                <c:pt idx="70">
                  <c:v>1231717.9714076128</c:v>
                </c:pt>
                <c:pt idx="71">
                  <c:v>1354889.7685483741</c:v>
                </c:pt>
                <c:pt idx="72">
                  <c:v>1490378.7454032116</c:v>
                </c:pt>
                <c:pt idx="73">
                  <c:v>1639416.6199435329</c:v>
                </c:pt>
                <c:pt idx="74">
                  <c:v>1803358.2819378863</c:v>
                </c:pt>
                <c:pt idx="75">
                  <c:v>1983694.1101316751</c:v>
                </c:pt>
                <c:pt idx="76">
                  <c:v>2182063.5211448427</c:v>
                </c:pt>
                <c:pt idx="77">
                  <c:v>2400269.8732593274</c:v>
                </c:pt>
                <c:pt idx="78">
                  <c:v>2640296.8605852602</c:v>
                </c:pt>
                <c:pt idx="79">
                  <c:v>2904326.5466437866</c:v>
                </c:pt>
                <c:pt idx="80">
                  <c:v>3194759.2013081657</c:v>
                </c:pt>
                <c:pt idx="81">
                  <c:v>3514235.1214389824</c:v>
                </c:pt>
                <c:pt idx="82">
                  <c:v>3865658.6335828812</c:v>
                </c:pt>
                <c:pt idx="83">
                  <c:v>4252224.4969411697</c:v>
                </c:pt>
                <c:pt idx="84">
                  <c:v>4677446.9466352873</c:v>
                </c:pt>
                <c:pt idx="85">
                  <c:v>5145191.6412988165</c:v>
                </c:pt>
                <c:pt idx="86">
                  <c:v>5659710.8054286987</c:v>
                </c:pt>
                <c:pt idx="87">
                  <c:v>6225681.8859715695</c:v>
                </c:pt>
                <c:pt idx="88">
                  <c:v>6848250.0745687271</c:v>
                </c:pt>
                <c:pt idx="89">
                  <c:v>7533075.0820256006</c:v>
                </c:pt>
                <c:pt idx="90">
                  <c:v>8286382.5902281618</c:v>
                </c:pt>
                <c:pt idx="91">
                  <c:v>9115020.8492509779</c:v>
                </c:pt>
                <c:pt idx="92">
                  <c:v>10026522.934176076</c:v>
                </c:pt>
                <c:pt idx="93">
                  <c:v>11029175.227593685</c:v>
                </c:pt>
                <c:pt idx="94">
                  <c:v>12132092.750353053</c:v>
                </c:pt>
                <c:pt idx="95">
                  <c:v>13345302.02538836</c:v>
                </c:pt>
                <c:pt idx="96">
                  <c:v>14679832.227927197</c:v>
                </c:pt>
                <c:pt idx="97">
                  <c:v>16147815.450719917</c:v>
                </c:pt>
                <c:pt idx="98">
                  <c:v>17762596.995791912</c:v>
                </c:pt>
                <c:pt idx="99">
                  <c:v>19538856.695371106</c:v>
                </c:pt>
                <c:pt idx="100">
                  <c:v>21492742.364908218</c:v>
                </c:pt>
                <c:pt idx="101">
                  <c:v>23642016.601399042</c:v>
                </c:pt>
                <c:pt idx="102">
                  <c:v>26006218.261538949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19202.5</c:v>
                </c:pt>
                <c:pt idx="26">
                  <c:v>24003.125</c:v>
                </c:pt>
                <c:pt idx="27">
                  <c:v>30003.90625</c:v>
                </c:pt>
                <c:pt idx="28">
                  <c:v>37504.8828125</c:v>
                </c:pt>
                <c:pt idx="29">
                  <c:v>46881.103515625</c:v>
                </c:pt>
                <c:pt idx="30">
                  <c:v>58601.37939453125</c:v>
                </c:pt>
                <c:pt idx="31">
                  <c:v>73251.724243164063</c:v>
                </c:pt>
                <c:pt idx="32">
                  <c:v>91564.655303955078</c:v>
                </c:pt>
                <c:pt idx="33">
                  <c:v>114455.81912994385</c:v>
                </c:pt>
                <c:pt idx="34">
                  <c:v>143069.77391242981</c:v>
                </c:pt>
                <c:pt idx="35">
                  <c:v>178837.21739053726</c:v>
                </c:pt>
                <c:pt idx="36">
                  <c:v>223546.52173817158</c:v>
                </c:pt>
                <c:pt idx="37">
                  <c:v>279433.15217271447</c:v>
                </c:pt>
                <c:pt idx="38">
                  <c:v>349291.44021589309</c:v>
                </c:pt>
                <c:pt idx="39">
                  <c:v>436614.30026986636</c:v>
                </c:pt>
                <c:pt idx="40">
                  <c:v>545767.87533733295</c:v>
                </c:pt>
                <c:pt idx="41">
                  <c:v>682209.84417166619</c:v>
                </c:pt>
                <c:pt idx="42">
                  <c:v>852762.30521458271</c:v>
                </c:pt>
                <c:pt idx="43">
                  <c:v>1065952.8815182284</c:v>
                </c:pt>
                <c:pt idx="44">
                  <c:v>1332441.1018977854</c:v>
                </c:pt>
                <c:pt idx="45">
                  <c:v>1665551.3773722318</c:v>
                </c:pt>
                <c:pt idx="46">
                  <c:v>2081939.2217152896</c:v>
                </c:pt>
                <c:pt idx="47">
                  <c:v>2602424.0271441122</c:v>
                </c:pt>
                <c:pt idx="48">
                  <c:v>3253030.0339301401</c:v>
                </c:pt>
                <c:pt idx="49">
                  <c:v>4066287.542412675</c:v>
                </c:pt>
                <c:pt idx="50">
                  <c:v>5082859.428015844</c:v>
                </c:pt>
                <c:pt idx="51">
                  <c:v>6353574.2850198047</c:v>
                </c:pt>
                <c:pt idx="52">
                  <c:v>7941967.8562747557</c:v>
                </c:pt>
                <c:pt idx="53">
                  <c:v>9927459.8203434441</c:v>
                </c:pt>
                <c:pt idx="54">
                  <c:v>12409324.775429305</c:v>
                </c:pt>
                <c:pt idx="55">
                  <c:v>15511655.969286632</c:v>
                </c:pt>
                <c:pt idx="56">
                  <c:v>19389569.961608291</c:v>
                </c:pt>
                <c:pt idx="57">
                  <c:v>24236962.452010363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21506.799999999999</c:v>
                </c:pt>
                <c:pt idx="26">
                  <c:v>30109.519999999997</c:v>
                </c:pt>
                <c:pt idx="27">
                  <c:v>42153.327999999994</c:v>
                </c:pt>
                <c:pt idx="28">
                  <c:v>59014.659199999987</c:v>
                </c:pt>
                <c:pt idx="29">
                  <c:v>82620.522879999975</c:v>
                </c:pt>
                <c:pt idx="30">
                  <c:v>115668.73203199996</c:v>
                </c:pt>
                <c:pt idx="31">
                  <c:v>161936.22484479993</c:v>
                </c:pt>
                <c:pt idx="32">
                  <c:v>226710.71478271988</c:v>
                </c:pt>
                <c:pt idx="33">
                  <c:v>317395.0006958078</c:v>
                </c:pt>
                <c:pt idx="34">
                  <c:v>444353.00097413087</c:v>
                </c:pt>
                <c:pt idx="35">
                  <c:v>622094.20136378321</c:v>
                </c:pt>
                <c:pt idx="36">
                  <c:v>870931.8819092965</c:v>
                </c:pt>
                <c:pt idx="37">
                  <c:v>1219304.634673015</c:v>
                </c:pt>
                <c:pt idx="38">
                  <c:v>1707026.4885422208</c:v>
                </c:pt>
                <c:pt idx="39">
                  <c:v>2389837.0839591091</c:v>
                </c:pt>
                <c:pt idx="40">
                  <c:v>3345771.9175427528</c:v>
                </c:pt>
                <c:pt idx="41">
                  <c:v>4684080.6845598537</c:v>
                </c:pt>
                <c:pt idx="42">
                  <c:v>6557712.9583837949</c:v>
                </c:pt>
                <c:pt idx="43">
                  <c:v>9180798.1417373121</c:v>
                </c:pt>
                <c:pt idx="44">
                  <c:v>12853117.398432236</c:v>
                </c:pt>
                <c:pt idx="45">
                  <c:v>17994364.357805129</c:v>
                </c:pt>
                <c:pt idx="46">
                  <c:v>25192110.100927178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2B-4CE8-970A-B2E080C52B48}"/>
            </c:ext>
          </c:extLst>
        </c:ser>
        <c:ser>
          <c:idx val="1"/>
          <c:order val="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20-4808-8A8C-44C61EFFD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0.4137931034482758</c:v>
                </c:pt>
                <c:pt idx="1">
                  <c:v>0.4137931034482758</c:v>
                </c:pt>
                <c:pt idx="2">
                  <c:v>0.3878105139130445</c:v>
                </c:pt>
                <c:pt idx="3">
                  <c:v>0.36047114587337598</c:v>
                </c:pt>
                <c:pt idx="4">
                  <c:v>0.31946404668985179</c:v>
                </c:pt>
                <c:pt idx="5">
                  <c:v>0.29768224660644549</c:v>
                </c:pt>
                <c:pt idx="6">
                  <c:v>0.26327479160607559</c:v>
                </c:pt>
                <c:pt idx="7">
                  <c:v>0.24375103757513239</c:v>
                </c:pt>
                <c:pt idx="8">
                  <c:v>0.2331445047650933</c:v>
                </c:pt>
                <c:pt idx="9">
                  <c:v>0.25217557109651495</c:v>
                </c:pt>
                <c:pt idx="10">
                  <c:v>0.26866258743322646</c:v>
                </c:pt>
                <c:pt idx="11">
                  <c:v>0.26441332233001691</c:v>
                </c:pt>
                <c:pt idx="12">
                  <c:v>0.24732057987444014</c:v>
                </c:pt>
                <c:pt idx="13">
                  <c:v>0.23178383810369976</c:v>
                </c:pt>
                <c:pt idx="14">
                  <c:v>0.20546183737703827</c:v>
                </c:pt>
                <c:pt idx="15">
                  <c:v>0.19802804215328088</c:v>
                </c:pt>
                <c:pt idx="16">
                  <c:v>0.21355425404870113</c:v>
                </c:pt>
                <c:pt idx="17">
                  <c:v>0.24451873664365462</c:v>
                </c:pt>
                <c:pt idx="18">
                  <c:v>0.24004499929983139</c:v>
                </c:pt>
                <c:pt idx="19">
                  <c:v>0.22812795673188679</c:v>
                </c:pt>
                <c:pt idx="20">
                  <c:v>0.20588472190383214</c:v>
                </c:pt>
                <c:pt idx="21">
                  <c:v>0.19697532363137316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4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307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18.048028311425682</c:v>
                </c:pt>
                <c:pt idx="1">
                  <c:v>25.516177957532861</c:v>
                </c:pt>
                <c:pt idx="2">
                  <c:v>32.206395348837205</c:v>
                </c:pt>
                <c:pt idx="3">
                  <c:v>42.630687563195146</c:v>
                </c:pt>
                <c:pt idx="4">
                  <c:v>50.098837209302324</c:v>
                </c:pt>
                <c:pt idx="5">
                  <c:v>59.74519716885743</c:v>
                </c:pt>
                <c:pt idx="6">
                  <c:v>71.414180990899894</c:v>
                </c:pt>
                <c:pt idx="7">
                  <c:v>91.48483316481294</c:v>
                </c:pt>
                <c:pt idx="8">
                  <c:v>124.31357431749241</c:v>
                </c:pt>
                <c:pt idx="9">
                  <c:v>175.9682760364004</c:v>
                </c:pt>
                <c:pt idx="10">
                  <c:v>206.61880687563195</c:v>
                </c:pt>
                <c:pt idx="11">
                  <c:v>197.75037917087968</c:v>
                </c:pt>
                <c:pt idx="12">
                  <c:v>262.16316986855406</c:v>
                </c:pt>
                <c:pt idx="13">
                  <c:v>357.22649140546002</c:v>
                </c:pt>
                <c:pt idx="14">
                  <c:v>349.29158240647115</c:v>
                </c:pt>
                <c:pt idx="15">
                  <c:v>540.50733063700704</c:v>
                </c:pt>
                <c:pt idx="16">
                  <c:v>683.80245197168858</c:v>
                </c:pt>
                <c:pt idx="17">
                  <c:v>768.13030839231544</c:v>
                </c:pt>
                <c:pt idx="18">
                  <c:v>883.88662790697674</c:v>
                </c:pt>
                <c:pt idx="19">
                  <c:v>1048.4970930232557</c:v>
                </c:pt>
                <c:pt idx="20">
                  <c:v>1200.9718149646108</c:v>
                </c:pt>
                <c:pt idx="21">
                  <c:v>1511.5223710819009</c:v>
                </c:pt>
                <c:pt idx="22">
                  <c:v>1915.8915571284124</c:v>
                </c:pt>
                <c:pt idx="23">
                  <c:v>2179.4550050556118</c:v>
                </c:pt>
                <c:pt idx="24">
                  <c:v>2390.1190596562183</c:v>
                </c:pt>
                <c:pt idx="25">
                  <c:v>2629.1309656218405</c:v>
                </c:pt>
                <c:pt idx="26">
                  <c:v>2892.0440621840248</c:v>
                </c:pt>
                <c:pt idx="27">
                  <c:v>3181.248468402428</c:v>
                </c:pt>
                <c:pt idx="28">
                  <c:v>3499.3733152426707</c:v>
                </c:pt>
                <c:pt idx="29">
                  <c:v>3849.3106467669381</c:v>
                </c:pt>
                <c:pt idx="30">
                  <c:v>4234.2417114436321</c:v>
                </c:pt>
                <c:pt idx="31">
                  <c:v>4657.6658825879958</c:v>
                </c:pt>
                <c:pt idx="32">
                  <c:v>5123.4324708467948</c:v>
                </c:pt>
                <c:pt idx="33">
                  <c:v>5635.7757179314749</c:v>
                </c:pt>
                <c:pt idx="34">
                  <c:v>6199.3532897246223</c:v>
                </c:pt>
                <c:pt idx="35">
                  <c:v>6819.2886186970854</c:v>
                </c:pt>
                <c:pt idx="36">
                  <c:v>7501.2174805667946</c:v>
                </c:pt>
                <c:pt idx="37">
                  <c:v>8251.3392286234757</c:v>
                </c:pt>
                <c:pt idx="38">
                  <c:v>9076.4731514858231</c:v>
                </c:pt>
                <c:pt idx="39">
                  <c:v>9984.1204666344056</c:v>
                </c:pt>
                <c:pt idx="40">
                  <c:v>10982.532513297847</c:v>
                </c:pt>
                <c:pt idx="41">
                  <c:v>12080.785764627632</c:v>
                </c:pt>
                <c:pt idx="42">
                  <c:v>13288.864341090395</c:v>
                </c:pt>
                <c:pt idx="43">
                  <c:v>14617.750775199438</c:v>
                </c:pt>
                <c:pt idx="44">
                  <c:v>16079.525852719382</c:v>
                </c:pt>
                <c:pt idx="45">
                  <c:v>17687.478437991322</c:v>
                </c:pt>
                <c:pt idx="46">
                  <c:v>19456.226281790456</c:v>
                </c:pt>
                <c:pt idx="47">
                  <c:v>21401.848909969503</c:v>
                </c:pt>
                <c:pt idx="48">
                  <c:v>23542.033800966456</c:v>
                </c:pt>
                <c:pt idx="49">
                  <c:v>25896.237181063105</c:v>
                </c:pt>
                <c:pt idx="50">
                  <c:v>28485.860899169416</c:v>
                </c:pt>
                <c:pt idx="51">
                  <c:v>31334.446989086358</c:v>
                </c:pt>
                <c:pt idx="52">
                  <c:v>34467.891687994997</c:v>
                </c:pt>
                <c:pt idx="53">
                  <c:v>37914.680856794505</c:v>
                </c:pt>
                <c:pt idx="54">
                  <c:v>41706.148942473956</c:v>
                </c:pt>
                <c:pt idx="55">
                  <c:v>45876.763836721359</c:v>
                </c:pt>
                <c:pt idx="56">
                  <c:v>50464.440220393495</c:v>
                </c:pt>
                <c:pt idx="57">
                  <c:v>55510.884242432847</c:v>
                </c:pt>
                <c:pt idx="58">
                  <c:v>61061.972666676142</c:v>
                </c:pt>
                <c:pt idx="59">
                  <c:v>67168.169933343757</c:v>
                </c:pt>
                <c:pt idx="60">
                  <c:v>73884.986926678146</c:v>
                </c:pt>
                <c:pt idx="61">
                  <c:v>81273.485619345971</c:v>
                </c:pt>
                <c:pt idx="62">
                  <c:v>89400.834181280574</c:v>
                </c:pt>
                <c:pt idx="63">
                  <c:v>98340.91759940864</c:v>
                </c:pt>
                <c:pt idx="64">
                  <c:v>108175.00935934951</c:v>
                </c:pt>
                <c:pt idx="65">
                  <c:v>118992.51029528448</c:v>
                </c:pt>
                <c:pt idx="66">
                  <c:v>130891.76132481292</c:v>
                </c:pt>
                <c:pt idx="67">
                  <c:v>143980.93745729423</c:v>
                </c:pt>
                <c:pt idx="68">
                  <c:v>158379.03120302368</c:v>
                </c:pt>
                <c:pt idx="69">
                  <c:v>174216.93432332604</c:v>
                </c:pt>
                <c:pt idx="70">
                  <c:v>191638.62775565867</c:v>
                </c:pt>
                <c:pt idx="71">
                  <c:v>210802.49053122452</c:v>
                </c:pt>
                <c:pt idx="72">
                  <c:v>231882.739584347</c:v>
                </c:pt>
                <c:pt idx="73">
                  <c:v>255071.0135427817</c:v>
                </c:pt>
                <c:pt idx="74">
                  <c:v>280578.11489705992</c:v>
                </c:pt>
                <c:pt idx="75">
                  <c:v>308635.9263867659</c:v>
                </c:pt>
                <c:pt idx="76">
                  <c:v>339499.51902544254</c:v>
                </c:pt>
                <c:pt idx="77">
                  <c:v>373449.47092798684</c:v>
                </c:pt>
                <c:pt idx="78">
                  <c:v>410794.41802078555</c:v>
                </c:pt>
                <c:pt idx="79">
                  <c:v>451873.85982286418</c:v>
                </c:pt>
                <c:pt idx="80">
                  <c:v>497061.24580515065</c:v>
                </c:pt>
                <c:pt idx="81">
                  <c:v>546767.37038566568</c:v>
                </c:pt>
                <c:pt idx="82">
                  <c:v>601444.10742423241</c:v>
                </c:pt>
                <c:pt idx="83">
                  <c:v>661588.51816665567</c:v>
                </c:pt>
                <c:pt idx="84">
                  <c:v>727747.36998332129</c:v>
                </c:pt>
                <c:pt idx="85">
                  <c:v>800522.1069816536</c:v>
                </c:pt>
                <c:pt idx="86">
                  <c:v>880574.31767981895</c:v>
                </c:pt>
                <c:pt idx="87">
                  <c:v>968631.74944780103</c:v>
                </c:pt>
                <c:pt idx="88">
                  <c:v>1065494.9243925812</c:v>
                </c:pt>
                <c:pt idx="89">
                  <c:v>1172044.4168318396</c:v>
                </c:pt>
                <c:pt idx="90">
                  <c:v>1289248.8585150237</c:v>
                </c:pt>
                <c:pt idx="91">
                  <c:v>1418173.7443665259</c:v>
                </c:pt>
                <c:pt idx="92">
                  <c:v>1559991.1188031787</c:v>
                </c:pt>
                <c:pt idx="93">
                  <c:v>1715990.2306834967</c:v>
                </c:pt>
                <c:pt idx="94">
                  <c:v>1887589.2537518463</c:v>
                </c:pt>
                <c:pt idx="95">
                  <c:v>2076348.1791270312</c:v>
                </c:pt>
                <c:pt idx="96">
                  <c:v>2283982.9970397344</c:v>
                </c:pt>
                <c:pt idx="97">
                  <c:v>2512381.2967437082</c:v>
                </c:pt>
                <c:pt idx="98">
                  <c:v>2763619.4264180791</c:v>
                </c:pt>
                <c:pt idx="99">
                  <c:v>3039981.3690598877</c:v>
                </c:pt>
                <c:pt idx="100">
                  <c:v>3343979.5059658769</c:v>
                </c:pt>
                <c:pt idx="101">
                  <c:v>3678377.4565624646</c:v>
                </c:pt>
                <c:pt idx="102">
                  <c:v>4046215.2022187114</c:v>
                </c:pt>
                <c:pt idx="103">
                  <c:v>4224857.4085439844</c:v>
                </c:pt>
                <c:pt idx="104">
                  <c:v>4224857.4085439844</c:v>
                </c:pt>
                <c:pt idx="105">
                  <c:v>4224857.4085439844</c:v>
                </c:pt>
                <c:pt idx="106">
                  <c:v>4224857.4085439844</c:v>
                </c:pt>
                <c:pt idx="107">
                  <c:v>4224857.4085439844</c:v>
                </c:pt>
                <c:pt idx="108">
                  <c:v>4224857.4085439844</c:v>
                </c:pt>
                <c:pt idx="109">
                  <c:v>4224857.4085439844</c:v>
                </c:pt>
                <c:pt idx="110">
                  <c:v>4224857.4085439844</c:v>
                </c:pt>
                <c:pt idx="111">
                  <c:v>4224857.4085439844</c:v>
                </c:pt>
                <c:pt idx="112">
                  <c:v>4224857.4085439844</c:v>
                </c:pt>
                <c:pt idx="113">
                  <c:v>4224857.4085439844</c:v>
                </c:pt>
                <c:pt idx="114">
                  <c:v>4224857.4085439844</c:v>
                </c:pt>
                <c:pt idx="115">
                  <c:v>4224857.4085439844</c:v>
                </c:pt>
                <c:pt idx="116">
                  <c:v>4224857.4085439844</c:v>
                </c:pt>
                <c:pt idx="117">
                  <c:v>4224857.4085439844</c:v>
                </c:pt>
                <c:pt idx="118">
                  <c:v>4224857.4085439844</c:v>
                </c:pt>
                <c:pt idx="119">
                  <c:v>4224857.4085439844</c:v>
                </c:pt>
                <c:pt idx="120">
                  <c:v>4224857.4085439844</c:v>
                </c:pt>
                <c:pt idx="121">
                  <c:v>4224857.4085439844</c:v>
                </c:pt>
                <c:pt idx="122">
                  <c:v>4224857.4085439844</c:v>
                </c:pt>
                <c:pt idx="123">
                  <c:v>4224857.4085439844</c:v>
                </c:pt>
                <c:pt idx="124">
                  <c:v>4224857.4085439844</c:v>
                </c:pt>
                <c:pt idx="125">
                  <c:v>4224857.4085439844</c:v>
                </c:pt>
                <c:pt idx="126">
                  <c:v>4224857.4085439844</c:v>
                </c:pt>
                <c:pt idx="127">
                  <c:v>4224857.4085439844</c:v>
                </c:pt>
                <c:pt idx="128">
                  <c:v>4224857.4085439844</c:v>
                </c:pt>
                <c:pt idx="129">
                  <c:v>4224857.4085439844</c:v>
                </c:pt>
                <c:pt idx="130">
                  <c:v>4224857.4085439844</c:v>
                </c:pt>
                <c:pt idx="131">
                  <c:v>4224857.4085439844</c:v>
                </c:pt>
                <c:pt idx="132">
                  <c:v>4224857.4085439844</c:v>
                </c:pt>
                <c:pt idx="133">
                  <c:v>4224857.4085439844</c:v>
                </c:pt>
                <c:pt idx="134">
                  <c:v>4224857.4085439844</c:v>
                </c:pt>
                <c:pt idx="135">
                  <c:v>4224857.4085439844</c:v>
                </c:pt>
                <c:pt idx="136">
                  <c:v>4224857.4085439844</c:v>
                </c:pt>
                <c:pt idx="137">
                  <c:v>4224857.4085439844</c:v>
                </c:pt>
                <c:pt idx="138">
                  <c:v>4224857.4085439844</c:v>
                </c:pt>
                <c:pt idx="139">
                  <c:v>4224857.4085439844</c:v>
                </c:pt>
                <c:pt idx="140">
                  <c:v>4224857.4085439844</c:v>
                </c:pt>
                <c:pt idx="141">
                  <c:v>4224857.4085439844</c:v>
                </c:pt>
                <c:pt idx="142">
                  <c:v>4224857.4085439844</c:v>
                </c:pt>
                <c:pt idx="143">
                  <c:v>4224857.4085439844</c:v>
                </c:pt>
                <c:pt idx="144">
                  <c:v>4224857.4085439844</c:v>
                </c:pt>
                <c:pt idx="145">
                  <c:v>4224857.4085439844</c:v>
                </c:pt>
                <c:pt idx="146">
                  <c:v>4224857.4085439844</c:v>
                </c:pt>
                <c:pt idx="147">
                  <c:v>4224857.4085439844</c:v>
                </c:pt>
                <c:pt idx="148">
                  <c:v>4224857.4085439844</c:v>
                </c:pt>
                <c:pt idx="149">
                  <c:v>4224857.4085439844</c:v>
                </c:pt>
                <c:pt idx="150">
                  <c:v>4224857.4085439844</c:v>
                </c:pt>
                <c:pt idx="151">
                  <c:v>4224857.4085439844</c:v>
                </c:pt>
                <c:pt idx="152">
                  <c:v>4224857.4085439844</c:v>
                </c:pt>
                <c:pt idx="153">
                  <c:v>4224857.4085439844</c:v>
                </c:pt>
                <c:pt idx="154">
                  <c:v>4224857.4085439844</c:v>
                </c:pt>
                <c:pt idx="155">
                  <c:v>4224857.4085439844</c:v>
                </c:pt>
                <c:pt idx="156">
                  <c:v>4224857.4085439844</c:v>
                </c:pt>
                <c:pt idx="157">
                  <c:v>4224857.4085439844</c:v>
                </c:pt>
                <c:pt idx="158">
                  <c:v>4224857.4085439844</c:v>
                </c:pt>
                <c:pt idx="159">
                  <c:v>4224857.4085439844</c:v>
                </c:pt>
                <c:pt idx="160">
                  <c:v>4224857.4085439844</c:v>
                </c:pt>
                <c:pt idx="161">
                  <c:v>4224857.4085439844</c:v>
                </c:pt>
                <c:pt idx="162">
                  <c:v>4224857.4085439844</c:v>
                </c:pt>
                <c:pt idx="163">
                  <c:v>4224857.4085439844</c:v>
                </c:pt>
                <c:pt idx="164">
                  <c:v>4224857.4085439844</c:v>
                </c:pt>
                <c:pt idx="165">
                  <c:v>4224857.4085439844</c:v>
                </c:pt>
                <c:pt idx="166">
                  <c:v>4224857.4085439844</c:v>
                </c:pt>
                <c:pt idx="167">
                  <c:v>4224857.4085439844</c:v>
                </c:pt>
                <c:pt idx="168">
                  <c:v>4224857.4085439844</c:v>
                </c:pt>
                <c:pt idx="169">
                  <c:v>4224857.4085439844</c:v>
                </c:pt>
                <c:pt idx="170">
                  <c:v>4224857.4085439844</c:v>
                </c:pt>
                <c:pt idx="171">
                  <c:v>4224857.4085439844</c:v>
                </c:pt>
                <c:pt idx="172">
                  <c:v>4224857.4085439844</c:v>
                </c:pt>
                <c:pt idx="173">
                  <c:v>4224857.4085439844</c:v>
                </c:pt>
                <c:pt idx="174">
                  <c:v>4224857.4085439844</c:v>
                </c:pt>
                <c:pt idx="175">
                  <c:v>4224857.4085439844</c:v>
                </c:pt>
                <c:pt idx="176">
                  <c:v>4224857.4085439844</c:v>
                </c:pt>
                <c:pt idx="177">
                  <c:v>4224857.4085439844</c:v>
                </c:pt>
                <c:pt idx="178">
                  <c:v>4224857.4085439844</c:v>
                </c:pt>
                <c:pt idx="179">
                  <c:v>4224857.4085439844</c:v>
                </c:pt>
                <c:pt idx="180">
                  <c:v>4224857.4085439844</c:v>
                </c:pt>
                <c:pt idx="181">
                  <c:v>4224857.4085439844</c:v>
                </c:pt>
                <c:pt idx="182">
                  <c:v>4224857.4085439844</c:v>
                </c:pt>
                <c:pt idx="183">
                  <c:v>4224857.4085439844</c:v>
                </c:pt>
                <c:pt idx="184">
                  <c:v>4224857.4085439844</c:v>
                </c:pt>
                <c:pt idx="185">
                  <c:v>4224857.4085439844</c:v>
                </c:pt>
                <c:pt idx="186">
                  <c:v>4224857.4085439844</c:v>
                </c:pt>
                <c:pt idx="187">
                  <c:v>4224857.4085439844</c:v>
                </c:pt>
                <c:pt idx="188">
                  <c:v>4224857.4085439844</c:v>
                </c:pt>
                <c:pt idx="189">
                  <c:v>4224857.4085439844</c:v>
                </c:pt>
                <c:pt idx="190">
                  <c:v>4224857.4085439844</c:v>
                </c:pt>
                <c:pt idx="191">
                  <c:v>4224857.4085439844</c:v>
                </c:pt>
                <c:pt idx="192">
                  <c:v>4224857.4085439844</c:v>
                </c:pt>
                <c:pt idx="193">
                  <c:v>4224857.4085439844</c:v>
                </c:pt>
                <c:pt idx="194">
                  <c:v>4224857.4085439844</c:v>
                </c:pt>
                <c:pt idx="195">
                  <c:v>4224857.4085439844</c:v>
                </c:pt>
                <c:pt idx="196">
                  <c:v>4224857.4085439844</c:v>
                </c:pt>
                <c:pt idx="197">
                  <c:v>4224857.4085439844</c:v>
                </c:pt>
                <c:pt idx="198">
                  <c:v>4224857.4085439844</c:v>
                </c:pt>
                <c:pt idx="199">
                  <c:v>4224857.4085439844</c:v>
                </c:pt>
                <c:pt idx="200">
                  <c:v>4224857.4085439844</c:v>
                </c:pt>
                <c:pt idx="201">
                  <c:v>4224857.4085439844</c:v>
                </c:pt>
                <c:pt idx="202">
                  <c:v>4224857.4085439844</c:v>
                </c:pt>
                <c:pt idx="203">
                  <c:v>4224857.4085439844</c:v>
                </c:pt>
                <c:pt idx="204">
                  <c:v>4224857.4085439844</c:v>
                </c:pt>
                <c:pt idx="205">
                  <c:v>4224857.4085439844</c:v>
                </c:pt>
                <c:pt idx="206">
                  <c:v>4224857.4085439844</c:v>
                </c:pt>
                <c:pt idx="207">
                  <c:v>4224857.4085439844</c:v>
                </c:pt>
                <c:pt idx="208">
                  <c:v>4224857.4085439844</c:v>
                </c:pt>
                <c:pt idx="209">
                  <c:v>4224857.4085439844</c:v>
                </c:pt>
                <c:pt idx="210">
                  <c:v>4224857.4085439844</c:v>
                </c:pt>
                <c:pt idx="211">
                  <c:v>4224857.4085439844</c:v>
                </c:pt>
                <c:pt idx="212">
                  <c:v>4224857.4085439844</c:v>
                </c:pt>
                <c:pt idx="213">
                  <c:v>4224857.4085439844</c:v>
                </c:pt>
                <c:pt idx="214">
                  <c:v>4224857.4085439844</c:v>
                </c:pt>
                <c:pt idx="215">
                  <c:v>4224857.4085439844</c:v>
                </c:pt>
                <c:pt idx="216">
                  <c:v>4224857.4085439844</c:v>
                </c:pt>
                <c:pt idx="217">
                  <c:v>4224857.4085439844</c:v>
                </c:pt>
                <c:pt idx="218">
                  <c:v>4224857.4085439844</c:v>
                </c:pt>
                <c:pt idx="219">
                  <c:v>4224857.4085439844</c:v>
                </c:pt>
                <c:pt idx="220">
                  <c:v>4224857.4085439844</c:v>
                </c:pt>
                <c:pt idx="221">
                  <c:v>4224857.4085439844</c:v>
                </c:pt>
                <c:pt idx="222">
                  <c:v>4224857.4085439844</c:v>
                </c:pt>
                <c:pt idx="223">
                  <c:v>4224857.4085439844</c:v>
                </c:pt>
                <c:pt idx="224">
                  <c:v>4224857.4085439844</c:v>
                </c:pt>
                <c:pt idx="225">
                  <c:v>4224857.4085439844</c:v>
                </c:pt>
                <c:pt idx="226">
                  <c:v>4224857.4085439844</c:v>
                </c:pt>
                <c:pt idx="227">
                  <c:v>4224857.4085439844</c:v>
                </c:pt>
                <c:pt idx="228">
                  <c:v>4224857.4085439844</c:v>
                </c:pt>
                <c:pt idx="229">
                  <c:v>4224857.4085439844</c:v>
                </c:pt>
                <c:pt idx="230">
                  <c:v>4224857.4085439844</c:v>
                </c:pt>
                <c:pt idx="231">
                  <c:v>4224857.4085439844</c:v>
                </c:pt>
                <c:pt idx="232">
                  <c:v>4224857.4085439844</c:v>
                </c:pt>
                <c:pt idx="233">
                  <c:v>4224857.4085439844</c:v>
                </c:pt>
                <c:pt idx="234">
                  <c:v>4224857.4085439844</c:v>
                </c:pt>
                <c:pt idx="235">
                  <c:v>4224857.4085439844</c:v>
                </c:pt>
                <c:pt idx="236">
                  <c:v>4224857.4085439844</c:v>
                </c:pt>
                <c:pt idx="237">
                  <c:v>4224857.4085439844</c:v>
                </c:pt>
                <c:pt idx="238">
                  <c:v>4224857.4085439844</c:v>
                </c:pt>
                <c:pt idx="239">
                  <c:v>4224857.4085439844</c:v>
                </c:pt>
                <c:pt idx="240">
                  <c:v>4224857.4085439844</c:v>
                </c:pt>
                <c:pt idx="241">
                  <c:v>4224857.4085439844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18.048028311425682</c:v>
                </c:pt>
                <c:pt idx="1">
                  <c:v>25.516177957532861</c:v>
                </c:pt>
                <c:pt idx="2">
                  <c:v>32.206395348837205</c:v>
                </c:pt>
                <c:pt idx="3">
                  <c:v>42.630687563195146</c:v>
                </c:pt>
                <c:pt idx="4">
                  <c:v>50.098837209302324</c:v>
                </c:pt>
                <c:pt idx="5">
                  <c:v>59.74519716885743</c:v>
                </c:pt>
                <c:pt idx="6">
                  <c:v>71.414180990899894</c:v>
                </c:pt>
                <c:pt idx="7">
                  <c:v>91.48483316481294</c:v>
                </c:pt>
                <c:pt idx="8">
                  <c:v>124.31357431749241</c:v>
                </c:pt>
                <c:pt idx="9">
                  <c:v>175.9682760364004</c:v>
                </c:pt>
                <c:pt idx="10">
                  <c:v>206.61880687563195</c:v>
                </c:pt>
                <c:pt idx="11">
                  <c:v>197.75037917087968</c:v>
                </c:pt>
                <c:pt idx="12">
                  <c:v>262.16316986855406</c:v>
                </c:pt>
                <c:pt idx="13">
                  <c:v>357.22649140546002</c:v>
                </c:pt>
                <c:pt idx="14">
                  <c:v>349.29158240647115</c:v>
                </c:pt>
                <c:pt idx="15">
                  <c:v>540.50733063700704</c:v>
                </c:pt>
                <c:pt idx="16">
                  <c:v>683.80245197168858</c:v>
                </c:pt>
                <c:pt idx="17">
                  <c:v>768.13030839231544</c:v>
                </c:pt>
                <c:pt idx="18">
                  <c:v>883.88662790697674</c:v>
                </c:pt>
                <c:pt idx="19">
                  <c:v>1048.4970930232557</c:v>
                </c:pt>
                <c:pt idx="20">
                  <c:v>1200.9718149646108</c:v>
                </c:pt>
                <c:pt idx="21">
                  <c:v>1511.5223710819009</c:v>
                </c:pt>
                <c:pt idx="22">
                  <c:v>1915.8915571284124</c:v>
                </c:pt>
                <c:pt idx="23">
                  <c:v>2179.4550050556118</c:v>
                </c:pt>
                <c:pt idx="24">
                  <c:v>2390.1190596562183</c:v>
                </c:pt>
                <c:pt idx="25">
                  <c:v>2987.6488245702731</c:v>
                </c:pt>
                <c:pt idx="26">
                  <c:v>3734.5610307128413</c:v>
                </c:pt>
                <c:pt idx="27">
                  <c:v>4668.2012883910511</c:v>
                </c:pt>
                <c:pt idx="28">
                  <c:v>5835.2516104888145</c:v>
                </c:pt>
                <c:pt idx="29">
                  <c:v>7294.0645131110177</c:v>
                </c:pt>
                <c:pt idx="30">
                  <c:v>9117.5806413887731</c:v>
                </c:pt>
                <c:pt idx="31">
                  <c:v>11396.975801735965</c:v>
                </c:pt>
                <c:pt idx="32">
                  <c:v>14246.219752169956</c:v>
                </c:pt>
                <c:pt idx="33">
                  <c:v>17807.774690212445</c:v>
                </c:pt>
                <c:pt idx="34">
                  <c:v>22259.718362765558</c:v>
                </c:pt>
                <c:pt idx="35">
                  <c:v>27824.647953456948</c:v>
                </c:pt>
                <c:pt idx="36">
                  <c:v>34780.809941821186</c:v>
                </c:pt>
                <c:pt idx="37">
                  <c:v>43476.012427276481</c:v>
                </c:pt>
                <c:pt idx="38">
                  <c:v>54345.015534095597</c:v>
                </c:pt>
                <c:pt idx="39">
                  <c:v>67931.269417619493</c:v>
                </c:pt>
                <c:pt idx="40">
                  <c:v>84914.08677202437</c:v>
                </c:pt>
                <c:pt idx="41">
                  <c:v>106142.60846503047</c:v>
                </c:pt>
                <c:pt idx="42">
                  <c:v>132678.26058128808</c:v>
                </c:pt>
                <c:pt idx="43">
                  <c:v>165847.82572661011</c:v>
                </c:pt>
                <c:pt idx="44">
                  <c:v>207309.78215826262</c:v>
                </c:pt>
                <c:pt idx="45">
                  <c:v>259137.22769782826</c:v>
                </c:pt>
                <c:pt idx="46">
                  <c:v>323921.53462228534</c:v>
                </c:pt>
                <c:pt idx="47">
                  <c:v>404901.91827785666</c:v>
                </c:pt>
                <c:pt idx="48">
                  <c:v>506127.39784732083</c:v>
                </c:pt>
                <c:pt idx="49">
                  <c:v>632659.24730915099</c:v>
                </c:pt>
                <c:pt idx="50">
                  <c:v>790824.05913643877</c:v>
                </c:pt>
                <c:pt idx="51">
                  <c:v>988530.07392054843</c:v>
                </c:pt>
                <c:pt idx="52">
                  <c:v>1235662.5924006857</c:v>
                </c:pt>
                <c:pt idx="53">
                  <c:v>1544578.2405008569</c:v>
                </c:pt>
                <c:pt idx="54">
                  <c:v>1930722.8006260709</c:v>
                </c:pt>
                <c:pt idx="55">
                  <c:v>2413403.500782589</c:v>
                </c:pt>
                <c:pt idx="56">
                  <c:v>3016754.3759782361</c:v>
                </c:pt>
                <c:pt idx="57">
                  <c:v>3770942.9699727953</c:v>
                </c:pt>
                <c:pt idx="58">
                  <c:v>4224857.4085439844</c:v>
                </c:pt>
                <c:pt idx="59">
                  <c:v>4224857.4085439844</c:v>
                </c:pt>
                <c:pt idx="60">
                  <c:v>4224857.4085439844</c:v>
                </c:pt>
                <c:pt idx="61">
                  <c:v>4224857.4085439844</c:v>
                </c:pt>
                <c:pt idx="62">
                  <c:v>4224857.4085439844</c:v>
                </c:pt>
                <c:pt idx="63">
                  <c:v>4224857.4085439844</c:v>
                </c:pt>
                <c:pt idx="64">
                  <c:v>4224857.4085439844</c:v>
                </c:pt>
                <c:pt idx="65">
                  <c:v>4224857.4085439844</c:v>
                </c:pt>
                <c:pt idx="66">
                  <c:v>4224857.4085439844</c:v>
                </c:pt>
                <c:pt idx="67">
                  <c:v>4224857.4085439844</c:v>
                </c:pt>
                <c:pt idx="68">
                  <c:v>4224857.4085439844</c:v>
                </c:pt>
                <c:pt idx="69">
                  <c:v>4224857.4085439844</c:v>
                </c:pt>
                <c:pt idx="70">
                  <c:v>4224857.4085439844</c:v>
                </c:pt>
                <c:pt idx="71">
                  <c:v>4224857.4085439844</c:v>
                </c:pt>
                <c:pt idx="72">
                  <c:v>4224857.4085439844</c:v>
                </c:pt>
                <c:pt idx="73">
                  <c:v>4224857.4085439844</c:v>
                </c:pt>
                <c:pt idx="74">
                  <c:v>4224857.4085439844</c:v>
                </c:pt>
                <c:pt idx="75">
                  <c:v>4224857.4085439844</c:v>
                </c:pt>
                <c:pt idx="76">
                  <c:v>4224857.4085439844</c:v>
                </c:pt>
                <c:pt idx="77">
                  <c:v>4224857.4085439844</c:v>
                </c:pt>
                <c:pt idx="78">
                  <c:v>4224857.4085439844</c:v>
                </c:pt>
                <c:pt idx="79">
                  <c:v>4224857.4085439844</c:v>
                </c:pt>
                <c:pt idx="80">
                  <c:v>4224857.4085439844</c:v>
                </c:pt>
                <c:pt idx="81">
                  <c:v>4224857.4085439844</c:v>
                </c:pt>
                <c:pt idx="82">
                  <c:v>4224857.4085439844</c:v>
                </c:pt>
                <c:pt idx="83">
                  <c:v>4224857.4085439844</c:v>
                </c:pt>
                <c:pt idx="84">
                  <c:v>4224857.4085439844</c:v>
                </c:pt>
                <c:pt idx="85">
                  <c:v>4224857.4085439844</c:v>
                </c:pt>
                <c:pt idx="86">
                  <c:v>4224857.4085439844</c:v>
                </c:pt>
                <c:pt idx="87">
                  <c:v>4224857.4085439844</c:v>
                </c:pt>
                <c:pt idx="88">
                  <c:v>4224857.4085439844</c:v>
                </c:pt>
                <c:pt idx="89">
                  <c:v>4224857.4085439844</c:v>
                </c:pt>
                <c:pt idx="90">
                  <c:v>4224857.4085439844</c:v>
                </c:pt>
                <c:pt idx="91">
                  <c:v>4224857.4085439844</c:v>
                </c:pt>
                <c:pt idx="92">
                  <c:v>4224857.4085439844</c:v>
                </c:pt>
                <c:pt idx="93">
                  <c:v>4224857.4085439844</c:v>
                </c:pt>
                <c:pt idx="94">
                  <c:v>4224857.4085439844</c:v>
                </c:pt>
                <c:pt idx="95">
                  <c:v>4224857.4085439844</c:v>
                </c:pt>
                <c:pt idx="96">
                  <c:v>4224857.4085439844</c:v>
                </c:pt>
                <c:pt idx="97">
                  <c:v>4224857.4085439844</c:v>
                </c:pt>
                <c:pt idx="98">
                  <c:v>4224857.4085439844</c:v>
                </c:pt>
                <c:pt idx="99">
                  <c:v>4224857.4085439844</c:v>
                </c:pt>
                <c:pt idx="100">
                  <c:v>4224857.4085439844</c:v>
                </c:pt>
                <c:pt idx="101">
                  <c:v>4224857.4085439844</c:v>
                </c:pt>
                <c:pt idx="102">
                  <c:v>4224857.4085439844</c:v>
                </c:pt>
                <c:pt idx="103">
                  <c:v>4224857.4085439844</c:v>
                </c:pt>
                <c:pt idx="104">
                  <c:v>4224857.4085439844</c:v>
                </c:pt>
                <c:pt idx="105">
                  <c:v>4224857.4085439844</c:v>
                </c:pt>
                <c:pt idx="106">
                  <c:v>4224857.4085439844</c:v>
                </c:pt>
                <c:pt idx="107">
                  <c:v>4224857.4085439844</c:v>
                </c:pt>
                <c:pt idx="108">
                  <c:v>4224857.4085439844</c:v>
                </c:pt>
                <c:pt idx="109">
                  <c:v>4224857.4085439844</c:v>
                </c:pt>
                <c:pt idx="110">
                  <c:v>4224857.4085439844</c:v>
                </c:pt>
                <c:pt idx="111">
                  <c:v>4224857.4085439844</c:v>
                </c:pt>
                <c:pt idx="112">
                  <c:v>4224857.4085439844</c:v>
                </c:pt>
                <c:pt idx="113">
                  <c:v>4224857.4085439844</c:v>
                </c:pt>
                <c:pt idx="114">
                  <c:v>4224857.4085439844</c:v>
                </c:pt>
                <c:pt idx="115">
                  <c:v>4224857.4085439844</c:v>
                </c:pt>
                <c:pt idx="116">
                  <c:v>4224857.4085439844</c:v>
                </c:pt>
                <c:pt idx="117">
                  <c:v>4224857.4085439844</c:v>
                </c:pt>
                <c:pt idx="118">
                  <c:v>4224857.4085439844</c:v>
                </c:pt>
                <c:pt idx="119">
                  <c:v>4224857.4085439844</c:v>
                </c:pt>
                <c:pt idx="120">
                  <c:v>4224857.4085439844</c:v>
                </c:pt>
                <c:pt idx="121">
                  <c:v>4224857.4085439844</c:v>
                </c:pt>
                <c:pt idx="122">
                  <c:v>4224857.4085439844</c:v>
                </c:pt>
                <c:pt idx="123">
                  <c:v>4224857.4085439844</c:v>
                </c:pt>
                <c:pt idx="124">
                  <c:v>4224857.4085439844</c:v>
                </c:pt>
                <c:pt idx="125">
                  <c:v>4224857.4085439844</c:v>
                </c:pt>
                <c:pt idx="126">
                  <c:v>4224857.4085439844</c:v>
                </c:pt>
                <c:pt idx="127">
                  <c:v>4224857.4085439844</c:v>
                </c:pt>
                <c:pt idx="128">
                  <c:v>4224857.4085439844</c:v>
                </c:pt>
                <c:pt idx="129">
                  <c:v>4224857.4085439844</c:v>
                </c:pt>
                <c:pt idx="130">
                  <c:v>4224857.4085439844</c:v>
                </c:pt>
                <c:pt idx="131">
                  <c:v>4224857.4085439844</c:v>
                </c:pt>
                <c:pt idx="132">
                  <c:v>4224857.4085439844</c:v>
                </c:pt>
                <c:pt idx="133">
                  <c:v>4224857.4085439844</c:v>
                </c:pt>
                <c:pt idx="134">
                  <c:v>4224857.4085439844</c:v>
                </c:pt>
                <c:pt idx="135">
                  <c:v>4224857.4085439844</c:v>
                </c:pt>
                <c:pt idx="136">
                  <c:v>4224857.4085439844</c:v>
                </c:pt>
                <c:pt idx="137">
                  <c:v>4224857.4085439844</c:v>
                </c:pt>
                <c:pt idx="138">
                  <c:v>4224857.4085439844</c:v>
                </c:pt>
                <c:pt idx="139">
                  <c:v>4224857.4085439844</c:v>
                </c:pt>
                <c:pt idx="140">
                  <c:v>4224857.4085439844</c:v>
                </c:pt>
                <c:pt idx="141">
                  <c:v>4224857.4085439844</c:v>
                </c:pt>
                <c:pt idx="142">
                  <c:v>4224857.4085439844</c:v>
                </c:pt>
                <c:pt idx="143">
                  <c:v>4224857.4085439844</c:v>
                </c:pt>
                <c:pt idx="144">
                  <c:v>4224857.4085439844</c:v>
                </c:pt>
                <c:pt idx="145">
                  <c:v>4224857.4085439844</c:v>
                </c:pt>
                <c:pt idx="146">
                  <c:v>4224857.4085439844</c:v>
                </c:pt>
                <c:pt idx="147">
                  <c:v>4224857.4085439844</c:v>
                </c:pt>
                <c:pt idx="148">
                  <c:v>4224857.4085439844</c:v>
                </c:pt>
                <c:pt idx="149">
                  <c:v>4224857.4085439844</c:v>
                </c:pt>
                <c:pt idx="150">
                  <c:v>4224857.4085439844</c:v>
                </c:pt>
                <c:pt idx="151">
                  <c:v>4224857.4085439844</c:v>
                </c:pt>
                <c:pt idx="152">
                  <c:v>4224857.4085439844</c:v>
                </c:pt>
                <c:pt idx="153">
                  <c:v>4224857.4085439844</c:v>
                </c:pt>
                <c:pt idx="154">
                  <c:v>4224857.4085439844</c:v>
                </c:pt>
                <c:pt idx="155">
                  <c:v>4224857.4085439844</c:v>
                </c:pt>
                <c:pt idx="156">
                  <c:v>4224857.4085439844</c:v>
                </c:pt>
                <c:pt idx="157">
                  <c:v>4224857.4085439844</c:v>
                </c:pt>
                <c:pt idx="158">
                  <c:v>4224857.4085439844</c:v>
                </c:pt>
                <c:pt idx="159">
                  <c:v>4224857.4085439844</c:v>
                </c:pt>
                <c:pt idx="160">
                  <c:v>4224857.4085439844</c:v>
                </c:pt>
                <c:pt idx="161">
                  <c:v>4224857.4085439844</c:v>
                </c:pt>
                <c:pt idx="162">
                  <c:v>4224857.4085439844</c:v>
                </c:pt>
                <c:pt idx="163">
                  <c:v>4224857.4085439844</c:v>
                </c:pt>
                <c:pt idx="164">
                  <c:v>4224857.4085439844</c:v>
                </c:pt>
                <c:pt idx="165">
                  <c:v>4224857.4085439844</c:v>
                </c:pt>
                <c:pt idx="166">
                  <c:v>4224857.4085439844</c:v>
                </c:pt>
                <c:pt idx="167">
                  <c:v>4224857.4085439844</c:v>
                </c:pt>
                <c:pt idx="168">
                  <c:v>4224857.4085439844</c:v>
                </c:pt>
                <c:pt idx="169">
                  <c:v>4224857.4085439844</c:v>
                </c:pt>
                <c:pt idx="170">
                  <c:v>4224857.4085439844</c:v>
                </c:pt>
                <c:pt idx="171">
                  <c:v>4224857.4085439844</c:v>
                </c:pt>
                <c:pt idx="172">
                  <c:v>4224857.4085439844</c:v>
                </c:pt>
                <c:pt idx="173">
                  <c:v>4224857.4085439844</c:v>
                </c:pt>
                <c:pt idx="174">
                  <c:v>4224857.4085439844</c:v>
                </c:pt>
                <c:pt idx="175">
                  <c:v>4224857.4085439844</c:v>
                </c:pt>
                <c:pt idx="176">
                  <c:v>4224857.4085439844</c:v>
                </c:pt>
                <c:pt idx="177">
                  <c:v>4224857.4085439844</c:v>
                </c:pt>
                <c:pt idx="178">
                  <c:v>4224857.4085439844</c:v>
                </c:pt>
                <c:pt idx="179">
                  <c:v>4224857.4085439844</c:v>
                </c:pt>
                <c:pt idx="180">
                  <c:v>4224857.4085439844</c:v>
                </c:pt>
                <c:pt idx="181">
                  <c:v>4224857.4085439844</c:v>
                </c:pt>
                <c:pt idx="182">
                  <c:v>4224857.4085439844</c:v>
                </c:pt>
                <c:pt idx="183">
                  <c:v>4224857.4085439844</c:v>
                </c:pt>
                <c:pt idx="184">
                  <c:v>4224857.4085439844</c:v>
                </c:pt>
                <c:pt idx="185">
                  <c:v>4224857.4085439844</c:v>
                </c:pt>
                <c:pt idx="186">
                  <c:v>4224857.4085439844</c:v>
                </c:pt>
                <c:pt idx="187">
                  <c:v>4224857.4085439844</c:v>
                </c:pt>
                <c:pt idx="188">
                  <c:v>4224857.4085439844</c:v>
                </c:pt>
                <c:pt idx="189">
                  <c:v>4224857.4085439844</c:v>
                </c:pt>
                <c:pt idx="190">
                  <c:v>4224857.4085439844</c:v>
                </c:pt>
                <c:pt idx="191">
                  <c:v>4224857.4085439844</c:v>
                </c:pt>
                <c:pt idx="192">
                  <c:v>4224857.4085439844</c:v>
                </c:pt>
                <c:pt idx="193">
                  <c:v>4224857.4085439844</c:v>
                </c:pt>
                <c:pt idx="194">
                  <c:v>4224857.4085439844</c:v>
                </c:pt>
                <c:pt idx="195">
                  <c:v>4224857.4085439844</c:v>
                </c:pt>
                <c:pt idx="196">
                  <c:v>4224857.4085439844</c:v>
                </c:pt>
                <c:pt idx="197">
                  <c:v>4224857.4085439844</c:v>
                </c:pt>
                <c:pt idx="198">
                  <c:v>4224857.4085439844</c:v>
                </c:pt>
                <c:pt idx="199">
                  <c:v>4224857.4085439844</c:v>
                </c:pt>
                <c:pt idx="200">
                  <c:v>4224857.4085439844</c:v>
                </c:pt>
                <c:pt idx="201">
                  <c:v>4224857.4085439844</c:v>
                </c:pt>
                <c:pt idx="202">
                  <c:v>4224857.4085439844</c:v>
                </c:pt>
                <c:pt idx="203">
                  <c:v>4224857.4085439844</c:v>
                </c:pt>
                <c:pt idx="204">
                  <c:v>4224857.4085439844</c:v>
                </c:pt>
                <c:pt idx="205">
                  <c:v>4224857.4085439844</c:v>
                </c:pt>
                <c:pt idx="206">
                  <c:v>4224857.4085439844</c:v>
                </c:pt>
                <c:pt idx="207">
                  <c:v>4224857.4085439844</c:v>
                </c:pt>
                <c:pt idx="208">
                  <c:v>4224857.4085439844</c:v>
                </c:pt>
                <c:pt idx="209">
                  <c:v>4224857.4085439844</c:v>
                </c:pt>
                <c:pt idx="210">
                  <c:v>4224857.4085439844</c:v>
                </c:pt>
                <c:pt idx="211">
                  <c:v>4224857.4085439844</c:v>
                </c:pt>
                <c:pt idx="212">
                  <c:v>4224857.4085439844</c:v>
                </c:pt>
                <c:pt idx="213">
                  <c:v>4224857.4085439844</c:v>
                </c:pt>
                <c:pt idx="214">
                  <c:v>4224857.4085439844</c:v>
                </c:pt>
                <c:pt idx="215">
                  <c:v>4224857.4085439844</c:v>
                </c:pt>
                <c:pt idx="216">
                  <c:v>4224857.4085439844</c:v>
                </c:pt>
                <c:pt idx="217">
                  <c:v>4224857.4085439844</c:v>
                </c:pt>
                <c:pt idx="218">
                  <c:v>4224857.4085439844</c:v>
                </c:pt>
                <c:pt idx="219">
                  <c:v>4224857.4085439844</c:v>
                </c:pt>
                <c:pt idx="220">
                  <c:v>4224857.4085439844</c:v>
                </c:pt>
                <c:pt idx="221">
                  <c:v>4224857.4085439844</c:v>
                </c:pt>
                <c:pt idx="222">
                  <c:v>4224857.4085439844</c:v>
                </c:pt>
                <c:pt idx="223">
                  <c:v>4224857.4085439844</c:v>
                </c:pt>
                <c:pt idx="224">
                  <c:v>4224857.4085439844</c:v>
                </c:pt>
                <c:pt idx="225">
                  <c:v>4224857.4085439844</c:v>
                </c:pt>
                <c:pt idx="226">
                  <c:v>4224857.4085439844</c:v>
                </c:pt>
                <c:pt idx="227">
                  <c:v>4224857.4085439844</c:v>
                </c:pt>
                <c:pt idx="228">
                  <c:v>4224857.4085439844</c:v>
                </c:pt>
                <c:pt idx="229">
                  <c:v>4224857.4085439844</c:v>
                </c:pt>
                <c:pt idx="230">
                  <c:v>4224857.4085439844</c:v>
                </c:pt>
                <c:pt idx="231">
                  <c:v>4224857.4085439844</c:v>
                </c:pt>
                <c:pt idx="232">
                  <c:v>4224857.4085439844</c:v>
                </c:pt>
                <c:pt idx="233">
                  <c:v>4224857.4085439844</c:v>
                </c:pt>
                <c:pt idx="234">
                  <c:v>4224857.4085439844</c:v>
                </c:pt>
                <c:pt idx="235">
                  <c:v>4224857.4085439844</c:v>
                </c:pt>
                <c:pt idx="236">
                  <c:v>4224857.4085439844</c:v>
                </c:pt>
                <c:pt idx="237">
                  <c:v>4224857.4085439844</c:v>
                </c:pt>
                <c:pt idx="238">
                  <c:v>4224857.4085439844</c:v>
                </c:pt>
                <c:pt idx="239">
                  <c:v>4224857.4085439844</c:v>
                </c:pt>
                <c:pt idx="240">
                  <c:v>4224857.4085439844</c:v>
                </c:pt>
                <c:pt idx="241">
                  <c:v>4224857.4085439844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18.048028311425682</c:v>
                </c:pt>
                <c:pt idx="1">
                  <c:v>25.516177957532861</c:v>
                </c:pt>
                <c:pt idx="2">
                  <c:v>32.206395348837205</c:v>
                </c:pt>
                <c:pt idx="3">
                  <c:v>42.630687563195146</c:v>
                </c:pt>
                <c:pt idx="4">
                  <c:v>50.098837209302324</c:v>
                </c:pt>
                <c:pt idx="5">
                  <c:v>59.74519716885743</c:v>
                </c:pt>
                <c:pt idx="6">
                  <c:v>71.414180990899894</c:v>
                </c:pt>
                <c:pt idx="7">
                  <c:v>91.48483316481294</c:v>
                </c:pt>
                <c:pt idx="8">
                  <c:v>124.31357431749241</c:v>
                </c:pt>
                <c:pt idx="9">
                  <c:v>175.9682760364004</c:v>
                </c:pt>
                <c:pt idx="10">
                  <c:v>206.61880687563195</c:v>
                </c:pt>
                <c:pt idx="11">
                  <c:v>197.75037917087968</c:v>
                </c:pt>
                <c:pt idx="12">
                  <c:v>262.16316986855406</c:v>
                </c:pt>
                <c:pt idx="13">
                  <c:v>357.22649140546002</c:v>
                </c:pt>
                <c:pt idx="14">
                  <c:v>349.29158240647115</c:v>
                </c:pt>
                <c:pt idx="15">
                  <c:v>540.50733063700704</c:v>
                </c:pt>
                <c:pt idx="16">
                  <c:v>683.80245197168858</c:v>
                </c:pt>
                <c:pt idx="17">
                  <c:v>768.13030839231544</c:v>
                </c:pt>
                <c:pt idx="18">
                  <c:v>883.88662790697674</c:v>
                </c:pt>
                <c:pt idx="19">
                  <c:v>1048.4970930232557</c:v>
                </c:pt>
                <c:pt idx="20">
                  <c:v>1200.9718149646108</c:v>
                </c:pt>
                <c:pt idx="21">
                  <c:v>1511.5223710819009</c:v>
                </c:pt>
                <c:pt idx="22">
                  <c:v>1915.8915571284124</c:v>
                </c:pt>
                <c:pt idx="23">
                  <c:v>2179.4550050556118</c:v>
                </c:pt>
                <c:pt idx="24">
                  <c:v>2390.1190596562183</c:v>
                </c:pt>
                <c:pt idx="25">
                  <c:v>3346.1666835187057</c:v>
                </c:pt>
                <c:pt idx="26">
                  <c:v>4684.6333569261878</c:v>
                </c:pt>
                <c:pt idx="27">
                  <c:v>6558.4866996966621</c:v>
                </c:pt>
                <c:pt idx="28">
                  <c:v>9181.8813795753267</c:v>
                </c:pt>
                <c:pt idx="29">
                  <c:v>12854.633931405457</c:v>
                </c:pt>
                <c:pt idx="30">
                  <c:v>17996.487503967637</c:v>
                </c:pt>
                <c:pt idx="31">
                  <c:v>25195.082505554692</c:v>
                </c:pt>
                <c:pt idx="32">
                  <c:v>35273.115507776565</c:v>
                </c:pt>
                <c:pt idx="33">
                  <c:v>49382.361710887184</c:v>
                </c:pt>
                <c:pt idx="34">
                  <c:v>69135.306395242049</c:v>
                </c:pt>
                <c:pt idx="35">
                  <c:v>96789.428953338866</c:v>
                </c:pt>
                <c:pt idx="36">
                  <c:v>135505.20053467443</c:v>
                </c:pt>
                <c:pt idx="37">
                  <c:v>189707.28074854417</c:v>
                </c:pt>
                <c:pt idx="38">
                  <c:v>265590.1930479618</c:v>
                </c:pt>
                <c:pt idx="39">
                  <c:v>371826.27026714652</c:v>
                </c:pt>
                <c:pt idx="40">
                  <c:v>520556.77837400511</c:v>
                </c:pt>
                <c:pt idx="41">
                  <c:v>728779.4897236072</c:v>
                </c:pt>
                <c:pt idx="42">
                  <c:v>1020291.28561305</c:v>
                </c:pt>
                <c:pt idx="43">
                  <c:v>1428407.7998582697</c:v>
                </c:pt>
                <c:pt idx="44">
                  <c:v>1999770.9198015777</c:v>
                </c:pt>
                <c:pt idx="45">
                  <c:v>2799679.2877222085</c:v>
                </c:pt>
                <c:pt idx="46">
                  <c:v>3919551.0028110915</c:v>
                </c:pt>
                <c:pt idx="47">
                  <c:v>4224857.4085439844</c:v>
                </c:pt>
                <c:pt idx="48">
                  <c:v>4224857.4085439844</c:v>
                </c:pt>
                <c:pt idx="49">
                  <c:v>4224857.4085439844</c:v>
                </c:pt>
                <c:pt idx="50">
                  <c:v>4224857.4085439844</c:v>
                </c:pt>
                <c:pt idx="51">
                  <c:v>4224857.4085439844</c:v>
                </c:pt>
                <c:pt idx="52">
                  <c:v>4224857.4085439844</c:v>
                </c:pt>
                <c:pt idx="53">
                  <c:v>4224857.4085439844</c:v>
                </c:pt>
                <c:pt idx="54">
                  <c:v>4224857.4085439844</c:v>
                </c:pt>
                <c:pt idx="55">
                  <c:v>4224857.4085439844</c:v>
                </c:pt>
                <c:pt idx="56">
                  <c:v>4224857.4085439844</c:v>
                </c:pt>
                <c:pt idx="57">
                  <c:v>4224857.4085439844</c:v>
                </c:pt>
                <c:pt idx="58">
                  <c:v>4224857.4085439844</c:v>
                </c:pt>
                <c:pt idx="59">
                  <c:v>4224857.4085439844</c:v>
                </c:pt>
                <c:pt idx="60">
                  <c:v>4224857.4085439844</c:v>
                </c:pt>
                <c:pt idx="61">
                  <c:v>4224857.4085439844</c:v>
                </c:pt>
                <c:pt idx="62">
                  <c:v>4224857.4085439844</c:v>
                </c:pt>
                <c:pt idx="63">
                  <c:v>4224857.4085439844</c:v>
                </c:pt>
                <c:pt idx="64">
                  <c:v>4224857.4085439844</c:v>
                </c:pt>
                <c:pt idx="65">
                  <c:v>4224857.4085439844</c:v>
                </c:pt>
                <c:pt idx="66">
                  <c:v>4224857.4085439844</c:v>
                </c:pt>
                <c:pt idx="67">
                  <c:v>4224857.4085439844</c:v>
                </c:pt>
                <c:pt idx="68">
                  <c:v>4224857.4085439844</c:v>
                </c:pt>
                <c:pt idx="69">
                  <c:v>4224857.4085439844</c:v>
                </c:pt>
                <c:pt idx="70">
                  <c:v>4224857.4085439844</c:v>
                </c:pt>
                <c:pt idx="71">
                  <c:v>4224857.4085439844</c:v>
                </c:pt>
                <c:pt idx="72">
                  <c:v>4224857.4085439844</c:v>
                </c:pt>
                <c:pt idx="73">
                  <c:v>4224857.4085439844</c:v>
                </c:pt>
                <c:pt idx="74">
                  <c:v>4224857.4085439844</c:v>
                </c:pt>
                <c:pt idx="75">
                  <c:v>4224857.4085439844</c:v>
                </c:pt>
                <c:pt idx="76">
                  <c:v>4224857.4085439844</c:v>
                </c:pt>
                <c:pt idx="77">
                  <c:v>4224857.4085439844</c:v>
                </c:pt>
                <c:pt idx="78">
                  <c:v>4224857.4085439844</c:v>
                </c:pt>
                <c:pt idx="79">
                  <c:v>4224857.4085439844</c:v>
                </c:pt>
                <c:pt idx="80">
                  <c:v>4224857.4085439844</c:v>
                </c:pt>
                <c:pt idx="81">
                  <c:v>4224857.4085439844</c:v>
                </c:pt>
                <c:pt idx="82">
                  <c:v>4224857.4085439844</c:v>
                </c:pt>
                <c:pt idx="83">
                  <c:v>4224857.4085439844</c:v>
                </c:pt>
                <c:pt idx="84">
                  <c:v>4224857.4085439844</c:v>
                </c:pt>
                <c:pt idx="85">
                  <c:v>4224857.4085439844</c:v>
                </c:pt>
                <c:pt idx="86">
                  <c:v>4224857.4085439844</c:v>
                </c:pt>
                <c:pt idx="87">
                  <c:v>4224857.4085439844</c:v>
                </c:pt>
                <c:pt idx="88">
                  <c:v>4224857.4085439844</c:v>
                </c:pt>
                <c:pt idx="89">
                  <c:v>4224857.4085439844</c:v>
                </c:pt>
                <c:pt idx="90">
                  <c:v>4224857.4085439844</c:v>
                </c:pt>
                <c:pt idx="91">
                  <c:v>4224857.4085439844</c:v>
                </c:pt>
                <c:pt idx="92">
                  <c:v>4224857.4085439844</c:v>
                </c:pt>
                <c:pt idx="93">
                  <c:v>4224857.4085439844</c:v>
                </c:pt>
                <c:pt idx="94">
                  <c:v>4224857.4085439844</c:v>
                </c:pt>
                <c:pt idx="95">
                  <c:v>4224857.4085439844</c:v>
                </c:pt>
                <c:pt idx="96">
                  <c:v>4224857.4085439844</c:v>
                </c:pt>
                <c:pt idx="97">
                  <c:v>4224857.4085439844</c:v>
                </c:pt>
                <c:pt idx="98">
                  <c:v>4224857.4085439844</c:v>
                </c:pt>
                <c:pt idx="99">
                  <c:v>4224857.4085439844</c:v>
                </c:pt>
                <c:pt idx="100">
                  <c:v>4224857.4085439844</c:v>
                </c:pt>
                <c:pt idx="101">
                  <c:v>4224857.4085439844</c:v>
                </c:pt>
                <c:pt idx="102">
                  <c:v>4224857.4085439844</c:v>
                </c:pt>
                <c:pt idx="103">
                  <c:v>4224857.4085439844</c:v>
                </c:pt>
                <c:pt idx="104">
                  <c:v>4224857.4085439844</c:v>
                </c:pt>
                <c:pt idx="105">
                  <c:v>4224857.4085439844</c:v>
                </c:pt>
                <c:pt idx="106">
                  <c:v>4224857.4085439844</c:v>
                </c:pt>
                <c:pt idx="107">
                  <c:v>4224857.4085439844</c:v>
                </c:pt>
                <c:pt idx="108">
                  <c:v>4224857.4085439844</c:v>
                </c:pt>
                <c:pt idx="109">
                  <c:v>4224857.4085439844</c:v>
                </c:pt>
                <c:pt idx="110">
                  <c:v>4224857.4085439844</c:v>
                </c:pt>
                <c:pt idx="111">
                  <c:v>4224857.4085439844</c:v>
                </c:pt>
                <c:pt idx="112">
                  <c:v>4224857.4085439844</c:v>
                </c:pt>
                <c:pt idx="113">
                  <c:v>4224857.4085439844</c:v>
                </c:pt>
                <c:pt idx="114">
                  <c:v>4224857.4085439844</c:v>
                </c:pt>
                <c:pt idx="115">
                  <c:v>4224857.4085439844</c:v>
                </c:pt>
                <c:pt idx="116">
                  <c:v>4224857.4085439844</c:v>
                </c:pt>
                <c:pt idx="117">
                  <c:v>4224857.4085439844</c:v>
                </c:pt>
                <c:pt idx="118">
                  <c:v>4224857.4085439844</c:v>
                </c:pt>
                <c:pt idx="119">
                  <c:v>4224857.4085439844</c:v>
                </c:pt>
                <c:pt idx="120">
                  <c:v>4224857.4085439844</c:v>
                </c:pt>
                <c:pt idx="121">
                  <c:v>4224857.4085439844</c:v>
                </c:pt>
                <c:pt idx="122">
                  <c:v>4224857.4085439844</c:v>
                </c:pt>
                <c:pt idx="123">
                  <c:v>4224857.4085439844</c:v>
                </c:pt>
                <c:pt idx="124">
                  <c:v>4224857.4085439844</c:v>
                </c:pt>
                <c:pt idx="125">
                  <c:v>4224857.4085439844</c:v>
                </c:pt>
                <c:pt idx="126">
                  <c:v>4224857.4085439844</c:v>
                </c:pt>
                <c:pt idx="127">
                  <c:v>4224857.4085439844</c:v>
                </c:pt>
                <c:pt idx="128">
                  <c:v>4224857.4085439844</c:v>
                </c:pt>
                <c:pt idx="129">
                  <c:v>4224857.4085439844</c:v>
                </c:pt>
                <c:pt idx="130">
                  <c:v>4224857.4085439844</c:v>
                </c:pt>
                <c:pt idx="131">
                  <c:v>4224857.4085439844</c:v>
                </c:pt>
                <c:pt idx="132">
                  <c:v>4224857.4085439844</c:v>
                </c:pt>
                <c:pt idx="133">
                  <c:v>4224857.4085439844</c:v>
                </c:pt>
                <c:pt idx="134">
                  <c:v>4224857.4085439844</c:v>
                </c:pt>
                <c:pt idx="135">
                  <c:v>4224857.4085439844</c:v>
                </c:pt>
                <c:pt idx="136">
                  <c:v>4224857.4085439844</c:v>
                </c:pt>
                <c:pt idx="137">
                  <c:v>4224857.4085439844</c:v>
                </c:pt>
                <c:pt idx="138">
                  <c:v>4224857.4085439844</c:v>
                </c:pt>
                <c:pt idx="139">
                  <c:v>4224857.4085439844</c:v>
                </c:pt>
                <c:pt idx="140">
                  <c:v>4224857.4085439844</c:v>
                </c:pt>
                <c:pt idx="141">
                  <c:v>4224857.4085439844</c:v>
                </c:pt>
                <c:pt idx="142">
                  <c:v>4224857.4085439844</c:v>
                </c:pt>
                <c:pt idx="143">
                  <c:v>4224857.4085439844</c:v>
                </c:pt>
                <c:pt idx="144">
                  <c:v>4224857.4085439844</c:v>
                </c:pt>
                <c:pt idx="145">
                  <c:v>4224857.4085439844</c:v>
                </c:pt>
                <c:pt idx="146">
                  <c:v>4224857.4085439844</c:v>
                </c:pt>
                <c:pt idx="147">
                  <c:v>4224857.4085439844</c:v>
                </c:pt>
                <c:pt idx="148">
                  <c:v>4224857.4085439844</c:v>
                </c:pt>
                <c:pt idx="149">
                  <c:v>4224857.4085439844</c:v>
                </c:pt>
                <c:pt idx="150">
                  <c:v>4224857.4085439844</c:v>
                </c:pt>
                <c:pt idx="151">
                  <c:v>4224857.4085439844</c:v>
                </c:pt>
                <c:pt idx="152">
                  <c:v>4224857.4085439844</c:v>
                </c:pt>
                <c:pt idx="153">
                  <c:v>4224857.4085439844</c:v>
                </c:pt>
                <c:pt idx="154">
                  <c:v>4224857.4085439844</c:v>
                </c:pt>
                <c:pt idx="155">
                  <c:v>4224857.4085439844</c:v>
                </c:pt>
                <c:pt idx="156">
                  <c:v>4224857.4085439844</c:v>
                </c:pt>
                <c:pt idx="157">
                  <c:v>4224857.4085439844</c:v>
                </c:pt>
                <c:pt idx="158">
                  <c:v>4224857.4085439844</c:v>
                </c:pt>
                <c:pt idx="159">
                  <c:v>4224857.4085439844</c:v>
                </c:pt>
                <c:pt idx="160">
                  <c:v>4224857.4085439844</c:v>
                </c:pt>
                <c:pt idx="161">
                  <c:v>4224857.4085439844</c:v>
                </c:pt>
                <c:pt idx="162">
                  <c:v>4224857.4085439844</c:v>
                </c:pt>
                <c:pt idx="163">
                  <c:v>4224857.4085439844</c:v>
                </c:pt>
                <c:pt idx="164">
                  <c:v>4224857.4085439844</c:v>
                </c:pt>
                <c:pt idx="165">
                  <c:v>4224857.4085439844</c:v>
                </c:pt>
                <c:pt idx="166">
                  <c:v>4224857.4085439844</c:v>
                </c:pt>
                <c:pt idx="167">
                  <c:v>4224857.4085439844</c:v>
                </c:pt>
                <c:pt idx="168">
                  <c:v>4224857.4085439844</c:v>
                </c:pt>
                <c:pt idx="169">
                  <c:v>4224857.4085439844</c:v>
                </c:pt>
                <c:pt idx="170">
                  <c:v>4224857.4085439844</c:v>
                </c:pt>
                <c:pt idx="171">
                  <c:v>4224857.4085439844</c:v>
                </c:pt>
                <c:pt idx="172">
                  <c:v>4224857.4085439844</c:v>
                </c:pt>
                <c:pt idx="173">
                  <c:v>4224857.4085439844</c:v>
                </c:pt>
                <c:pt idx="174">
                  <c:v>4224857.4085439844</c:v>
                </c:pt>
                <c:pt idx="175">
                  <c:v>4224857.4085439844</c:v>
                </c:pt>
                <c:pt idx="176">
                  <c:v>4224857.4085439844</c:v>
                </c:pt>
                <c:pt idx="177">
                  <c:v>4224857.4085439844</c:v>
                </c:pt>
                <c:pt idx="178">
                  <c:v>4224857.4085439844</c:v>
                </c:pt>
                <c:pt idx="179">
                  <c:v>4224857.4085439844</c:v>
                </c:pt>
                <c:pt idx="180">
                  <c:v>4224857.4085439844</c:v>
                </c:pt>
                <c:pt idx="181">
                  <c:v>4224857.4085439844</c:v>
                </c:pt>
                <c:pt idx="182">
                  <c:v>4224857.4085439844</c:v>
                </c:pt>
                <c:pt idx="183">
                  <c:v>4224857.4085439844</c:v>
                </c:pt>
                <c:pt idx="184">
                  <c:v>4224857.4085439844</c:v>
                </c:pt>
                <c:pt idx="185">
                  <c:v>4224857.4085439844</c:v>
                </c:pt>
                <c:pt idx="186">
                  <c:v>4224857.4085439844</c:v>
                </c:pt>
                <c:pt idx="187">
                  <c:v>4224857.4085439844</c:v>
                </c:pt>
                <c:pt idx="188">
                  <c:v>4224857.4085439844</c:v>
                </c:pt>
                <c:pt idx="189">
                  <c:v>4224857.4085439844</c:v>
                </c:pt>
                <c:pt idx="190">
                  <c:v>4224857.4085439844</c:v>
                </c:pt>
                <c:pt idx="191">
                  <c:v>4224857.4085439844</c:v>
                </c:pt>
                <c:pt idx="192">
                  <c:v>4224857.4085439844</c:v>
                </c:pt>
                <c:pt idx="193">
                  <c:v>4224857.4085439844</c:v>
                </c:pt>
                <c:pt idx="194">
                  <c:v>4224857.4085439844</c:v>
                </c:pt>
                <c:pt idx="195">
                  <c:v>4224857.4085439844</c:v>
                </c:pt>
                <c:pt idx="196">
                  <c:v>4224857.4085439844</c:v>
                </c:pt>
                <c:pt idx="197">
                  <c:v>4224857.4085439844</c:v>
                </c:pt>
                <c:pt idx="198">
                  <c:v>4224857.4085439844</c:v>
                </c:pt>
                <c:pt idx="199">
                  <c:v>4224857.4085439844</c:v>
                </c:pt>
                <c:pt idx="200">
                  <c:v>4224857.4085439844</c:v>
                </c:pt>
                <c:pt idx="201">
                  <c:v>4224857.4085439844</c:v>
                </c:pt>
                <c:pt idx="202">
                  <c:v>4224857.4085439844</c:v>
                </c:pt>
                <c:pt idx="203">
                  <c:v>4224857.4085439844</c:v>
                </c:pt>
                <c:pt idx="204">
                  <c:v>4224857.4085439844</c:v>
                </c:pt>
                <c:pt idx="205">
                  <c:v>4224857.4085439844</c:v>
                </c:pt>
                <c:pt idx="206">
                  <c:v>4224857.4085439844</c:v>
                </c:pt>
                <c:pt idx="207">
                  <c:v>4224857.4085439844</c:v>
                </c:pt>
                <c:pt idx="208">
                  <c:v>4224857.4085439844</c:v>
                </c:pt>
                <c:pt idx="209">
                  <c:v>4224857.4085439844</c:v>
                </c:pt>
                <c:pt idx="210">
                  <c:v>4224857.4085439844</c:v>
                </c:pt>
                <c:pt idx="211">
                  <c:v>4224857.4085439844</c:v>
                </c:pt>
                <c:pt idx="212">
                  <c:v>4224857.4085439844</c:v>
                </c:pt>
                <c:pt idx="213">
                  <c:v>4224857.4085439844</c:v>
                </c:pt>
                <c:pt idx="214">
                  <c:v>4224857.4085439844</c:v>
                </c:pt>
                <c:pt idx="215">
                  <c:v>4224857.4085439844</c:v>
                </c:pt>
                <c:pt idx="216">
                  <c:v>4224857.4085439844</c:v>
                </c:pt>
                <c:pt idx="217">
                  <c:v>4224857.4085439844</c:v>
                </c:pt>
                <c:pt idx="218">
                  <c:v>4224857.4085439844</c:v>
                </c:pt>
                <c:pt idx="219">
                  <c:v>4224857.4085439844</c:v>
                </c:pt>
                <c:pt idx="220">
                  <c:v>4224857.4085439844</c:v>
                </c:pt>
                <c:pt idx="221">
                  <c:v>4224857.4085439844</c:v>
                </c:pt>
                <c:pt idx="222">
                  <c:v>4224857.4085439844</c:v>
                </c:pt>
                <c:pt idx="223">
                  <c:v>4224857.4085439844</c:v>
                </c:pt>
                <c:pt idx="224">
                  <c:v>4224857.4085439844</c:v>
                </c:pt>
                <c:pt idx="225">
                  <c:v>4224857.4085439844</c:v>
                </c:pt>
                <c:pt idx="226">
                  <c:v>4224857.4085439844</c:v>
                </c:pt>
                <c:pt idx="227">
                  <c:v>4224857.4085439844</c:v>
                </c:pt>
                <c:pt idx="228">
                  <c:v>4224857.4085439844</c:v>
                </c:pt>
                <c:pt idx="229">
                  <c:v>4224857.4085439844</c:v>
                </c:pt>
                <c:pt idx="230">
                  <c:v>4224857.4085439844</c:v>
                </c:pt>
                <c:pt idx="231">
                  <c:v>4224857.4085439844</c:v>
                </c:pt>
                <c:pt idx="232">
                  <c:v>4224857.4085439844</c:v>
                </c:pt>
                <c:pt idx="233">
                  <c:v>4224857.4085439844</c:v>
                </c:pt>
                <c:pt idx="234">
                  <c:v>4224857.4085439844</c:v>
                </c:pt>
                <c:pt idx="235">
                  <c:v>4224857.4085439844</c:v>
                </c:pt>
                <c:pt idx="236">
                  <c:v>4224857.4085439844</c:v>
                </c:pt>
                <c:pt idx="237">
                  <c:v>4224857.4085439844</c:v>
                </c:pt>
                <c:pt idx="238">
                  <c:v>4224857.4085439844</c:v>
                </c:pt>
                <c:pt idx="239">
                  <c:v>4224857.4085439844</c:v>
                </c:pt>
                <c:pt idx="240">
                  <c:v>4224857.4085439844</c:v>
                </c:pt>
                <c:pt idx="241">
                  <c:v>4224857.4085439844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18.048028311425682</c:v>
                </c:pt>
                <c:pt idx="1">
                  <c:v>25.516177957532861</c:v>
                </c:pt>
                <c:pt idx="2">
                  <c:v>32.206395348837205</c:v>
                </c:pt>
                <c:pt idx="3">
                  <c:v>42.630687563195146</c:v>
                </c:pt>
                <c:pt idx="4">
                  <c:v>50.098837209302324</c:v>
                </c:pt>
                <c:pt idx="5">
                  <c:v>59.74519716885743</c:v>
                </c:pt>
                <c:pt idx="6">
                  <c:v>71.414180990899894</c:v>
                </c:pt>
                <c:pt idx="7">
                  <c:v>91.48483316481294</c:v>
                </c:pt>
                <c:pt idx="8">
                  <c:v>124.31357431749241</c:v>
                </c:pt>
                <c:pt idx="9">
                  <c:v>175.9682760364004</c:v>
                </c:pt>
                <c:pt idx="10">
                  <c:v>206.61880687563195</c:v>
                </c:pt>
                <c:pt idx="11">
                  <c:v>197.75037917087968</c:v>
                </c:pt>
                <c:pt idx="12">
                  <c:v>262.16316986855406</c:v>
                </c:pt>
                <c:pt idx="13">
                  <c:v>357.22649140546002</c:v>
                </c:pt>
                <c:pt idx="14">
                  <c:v>349.29158240647115</c:v>
                </c:pt>
                <c:pt idx="15">
                  <c:v>540.50733063700704</c:v>
                </c:pt>
                <c:pt idx="16">
                  <c:v>683.80245197168858</c:v>
                </c:pt>
                <c:pt idx="17">
                  <c:v>768.13030839231544</c:v>
                </c:pt>
                <c:pt idx="18">
                  <c:v>883.88662790697674</c:v>
                </c:pt>
                <c:pt idx="19">
                  <c:v>1048.4970930232557</c:v>
                </c:pt>
                <c:pt idx="20">
                  <c:v>1200.9718149646108</c:v>
                </c:pt>
                <c:pt idx="21">
                  <c:v>1511.5223710819009</c:v>
                </c:pt>
                <c:pt idx="22">
                  <c:v>1915.8915571284124</c:v>
                </c:pt>
                <c:pt idx="23">
                  <c:v>2179.4550050556118</c:v>
                </c:pt>
                <c:pt idx="24">
                  <c:v>2390.1190596562183</c:v>
                </c:pt>
                <c:pt idx="25">
                  <c:v>2850.2484271769913</c:v>
                </c:pt>
                <c:pt idx="26">
                  <c:v>3398.9587522026673</c:v>
                </c:pt>
                <c:pt idx="27">
                  <c:v>4053.3030345771026</c:v>
                </c:pt>
                <c:pt idx="28">
                  <c:v>4833.6172009928332</c:v>
                </c:pt>
                <c:pt idx="29">
                  <c:v>5764.1521116053027</c:v>
                </c:pt>
                <c:pt idx="30">
                  <c:v>6873.8272362361076</c:v>
                </c:pt>
                <c:pt idx="31">
                  <c:v>8197.1294231620232</c:v>
                </c:pt>
                <c:pt idx="32">
                  <c:v>9775.1846927216757</c:v>
                </c:pt>
                <c:pt idx="33">
                  <c:v>11657.036365293883</c:v>
                </c:pt>
                <c:pt idx="34">
                  <c:v>13901.169245729061</c:v>
                </c:pt>
                <c:pt idx="35">
                  <c:v>16577.327233338492</c:v>
                </c:pt>
                <c:pt idx="36">
                  <c:v>19768.68084572216</c:v>
                </c:pt>
                <c:pt idx="37">
                  <c:v>23574.412019453102</c:v>
                </c:pt>
                <c:pt idx="38">
                  <c:v>28112.796518903637</c:v>
                </c:pt>
                <c:pt idx="39">
                  <c:v>33524.879749328109</c:v>
                </c:pt>
                <c:pt idx="40">
                  <c:v>39978.860212329426</c:v>
                </c:pt>
                <c:pt idx="41">
                  <c:v>47675.316834179226</c:v>
                </c:pt>
                <c:pt idx="42">
                  <c:v>56853.442623619449</c:v>
                </c:pt>
                <c:pt idx="43">
                  <c:v>67798.478390811433</c:v>
                </c:pt>
                <c:pt idx="44">
                  <c:v>80850.577554993622</c:v>
                </c:pt>
                <c:pt idx="45">
                  <c:v>96415.377544254123</c:v>
                </c:pt>
                <c:pt idx="46">
                  <c:v>114976.60632885499</c:v>
                </c:pt>
                <c:pt idx="47">
                  <c:v>137111.11587809495</c:v>
                </c:pt>
                <c:pt idx="48">
                  <c:v>163506.80975542407</c:v>
                </c:pt>
                <c:pt idx="49">
                  <c:v>194984.02201150468</c:v>
                </c:pt>
                <c:pt idx="50">
                  <c:v>232521.0117954842</c:v>
                </c:pt>
                <c:pt idx="51">
                  <c:v>277284.36601438874</c:v>
                </c:pt>
                <c:pt idx="52">
                  <c:v>330665.25490448053</c:v>
                </c:pt>
                <c:pt idx="53">
                  <c:v>394322.66727714206</c:v>
                </c:pt>
                <c:pt idx="54">
                  <c:v>470234.96911847073</c:v>
                </c:pt>
                <c:pt idx="55">
                  <c:v>560761.38789768983</c:v>
                </c:pt>
                <c:pt idx="56">
                  <c:v>668715.33341392176</c:v>
                </c:pt>
                <c:pt idx="57">
                  <c:v>797451.83387070149</c:v>
                </c:pt>
                <c:pt idx="58">
                  <c:v>950971.80454529356</c:v>
                </c:pt>
                <c:pt idx="59">
                  <c:v>1134046.389548792</c:v>
                </c:pt>
                <c:pt idx="60">
                  <c:v>1352365.2410110938</c:v>
                </c:pt>
                <c:pt idx="61">
                  <c:v>1612713.3439599967</c:v>
                </c:pt>
                <c:pt idx="62">
                  <c:v>1923181.8823161393</c:v>
                </c:pt>
                <c:pt idx="63">
                  <c:v>2293419.6993664815</c:v>
                </c:pt>
                <c:pt idx="64">
                  <c:v>2734933.16768758</c:v>
                </c:pt>
                <c:pt idx="65">
                  <c:v>3261443.7879747036</c:v>
                </c:pt>
                <c:pt idx="66">
                  <c:v>3889314.6303507332</c:v>
                </c:pt>
                <c:pt idx="67">
                  <c:v>4224857.4085439844</c:v>
                </c:pt>
                <c:pt idx="68">
                  <c:v>4224857.4085439844</c:v>
                </c:pt>
                <c:pt idx="69">
                  <c:v>4224857.4085439844</c:v>
                </c:pt>
                <c:pt idx="70">
                  <c:v>4224857.4085439844</c:v>
                </c:pt>
                <c:pt idx="71">
                  <c:v>4224857.4085439844</c:v>
                </c:pt>
                <c:pt idx="72">
                  <c:v>4224857.4085439844</c:v>
                </c:pt>
                <c:pt idx="73">
                  <c:v>4224857.4085439844</c:v>
                </c:pt>
                <c:pt idx="74">
                  <c:v>4224857.4085439844</c:v>
                </c:pt>
                <c:pt idx="75">
                  <c:v>4224857.4085439844</c:v>
                </c:pt>
                <c:pt idx="76">
                  <c:v>4224857.4085439844</c:v>
                </c:pt>
                <c:pt idx="77">
                  <c:v>4224857.4085439844</c:v>
                </c:pt>
                <c:pt idx="78">
                  <c:v>4224857.4085439844</c:v>
                </c:pt>
                <c:pt idx="79">
                  <c:v>4224857.4085439844</c:v>
                </c:pt>
                <c:pt idx="80">
                  <c:v>4224857.4085439844</c:v>
                </c:pt>
                <c:pt idx="81">
                  <c:v>4224857.4085439844</c:v>
                </c:pt>
                <c:pt idx="82">
                  <c:v>4224857.4085439844</c:v>
                </c:pt>
                <c:pt idx="83">
                  <c:v>4224857.4085439844</c:v>
                </c:pt>
                <c:pt idx="84">
                  <c:v>4224857.4085439844</c:v>
                </c:pt>
                <c:pt idx="85">
                  <c:v>4224857.4085439844</c:v>
                </c:pt>
                <c:pt idx="86">
                  <c:v>4224857.4085439844</c:v>
                </c:pt>
                <c:pt idx="87">
                  <c:v>4224857.4085439844</c:v>
                </c:pt>
                <c:pt idx="88">
                  <c:v>4224857.4085439844</c:v>
                </c:pt>
                <c:pt idx="89">
                  <c:v>4224857.4085439844</c:v>
                </c:pt>
                <c:pt idx="90">
                  <c:v>4224857.4085439844</c:v>
                </c:pt>
                <c:pt idx="91">
                  <c:v>4224857.4085439844</c:v>
                </c:pt>
                <c:pt idx="92">
                  <c:v>4224857.4085439844</c:v>
                </c:pt>
                <c:pt idx="93">
                  <c:v>4224857.4085439844</c:v>
                </c:pt>
                <c:pt idx="94">
                  <c:v>4224857.4085439844</c:v>
                </c:pt>
                <c:pt idx="95">
                  <c:v>4224857.4085439844</c:v>
                </c:pt>
                <c:pt idx="96">
                  <c:v>4224857.4085439844</c:v>
                </c:pt>
                <c:pt idx="97">
                  <c:v>4224857.4085439844</c:v>
                </c:pt>
                <c:pt idx="98">
                  <c:v>4224857.4085439844</c:v>
                </c:pt>
                <c:pt idx="99">
                  <c:v>4224857.4085439844</c:v>
                </c:pt>
                <c:pt idx="100">
                  <c:v>4224857.4085439844</c:v>
                </c:pt>
                <c:pt idx="101">
                  <c:v>4224857.4085439844</c:v>
                </c:pt>
                <c:pt idx="102">
                  <c:v>4224857.4085439844</c:v>
                </c:pt>
                <c:pt idx="103">
                  <c:v>4224857.4085439844</c:v>
                </c:pt>
                <c:pt idx="104">
                  <c:v>4224857.4085439844</c:v>
                </c:pt>
                <c:pt idx="105">
                  <c:v>4224857.4085439844</c:v>
                </c:pt>
                <c:pt idx="106">
                  <c:v>4224857.4085439844</c:v>
                </c:pt>
                <c:pt idx="107">
                  <c:v>4224857.4085439844</c:v>
                </c:pt>
                <c:pt idx="108">
                  <c:v>4224857.4085439844</c:v>
                </c:pt>
                <c:pt idx="109">
                  <c:v>4224857.4085439844</c:v>
                </c:pt>
                <c:pt idx="110">
                  <c:v>4224857.4085439844</c:v>
                </c:pt>
                <c:pt idx="111">
                  <c:v>4224857.4085439844</c:v>
                </c:pt>
                <c:pt idx="112">
                  <c:v>4224857.4085439844</c:v>
                </c:pt>
                <c:pt idx="113">
                  <c:v>4224857.4085439844</c:v>
                </c:pt>
                <c:pt idx="114">
                  <c:v>4224857.4085439844</c:v>
                </c:pt>
                <c:pt idx="115">
                  <c:v>4224857.4085439844</c:v>
                </c:pt>
                <c:pt idx="116">
                  <c:v>4224857.4085439844</c:v>
                </c:pt>
                <c:pt idx="117">
                  <c:v>4224857.4085439844</c:v>
                </c:pt>
                <c:pt idx="118">
                  <c:v>4224857.4085439844</c:v>
                </c:pt>
                <c:pt idx="119">
                  <c:v>4224857.4085439844</c:v>
                </c:pt>
                <c:pt idx="120">
                  <c:v>4224857.4085439844</c:v>
                </c:pt>
                <c:pt idx="121">
                  <c:v>4224857.4085439844</c:v>
                </c:pt>
                <c:pt idx="122">
                  <c:v>4224857.4085439844</c:v>
                </c:pt>
                <c:pt idx="123">
                  <c:v>4224857.4085439844</c:v>
                </c:pt>
                <c:pt idx="124">
                  <c:v>4224857.4085439844</c:v>
                </c:pt>
                <c:pt idx="125">
                  <c:v>4224857.4085439844</c:v>
                </c:pt>
                <c:pt idx="126">
                  <c:v>4224857.4085439844</c:v>
                </c:pt>
                <c:pt idx="127">
                  <c:v>4224857.4085439844</c:v>
                </c:pt>
                <c:pt idx="128">
                  <c:v>4224857.4085439844</c:v>
                </c:pt>
                <c:pt idx="129">
                  <c:v>4224857.4085439844</c:v>
                </c:pt>
                <c:pt idx="130">
                  <c:v>4224857.4085439844</c:v>
                </c:pt>
                <c:pt idx="131">
                  <c:v>4224857.4085439844</c:v>
                </c:pt>
                <c:pt idx="132">
                  <c:v>4224857.4085439844</c:v>
                </c:pt>
                <c:pt idx="133">
                  <c:v>4224857.4085439844</c:v>
                </c:pt>
                <c:pt idx="134">
                  <c:v>4224857.4085439844</c:v>
                </c:pt>
                <c:pt idx="135">
                  <c:v>4224857.4085439844</c:v>
                </c:pt>
                <c:pt idx="136">
                  <c:v>4224857.4085439844</c:v>
                </c:pt>
                <c:pt idx="137">
                  <c:v>4224857.4085439844</c:v>
                </c:pt>
                <c:pt idx="138">
                  <c:v>4224857.4085439844</c:v>
                </c:pt>
                <c:pt idx="139">
                  <c:v>4224857.4085439844</c:v>
                </c:pt>
                <c:pt idx="140">
                  <c:v>4224857.4085439844</c:v>
                </c:pt>
                <c:pt idx="141">
                  <c:v>4224857.4085439844</c:v>
                </c:pt>
                <c:pt idx="142">
                  <c:v>4224857.4085439844</c:v>
                </c:pt>
                <c:pt idx="143">
                  <c:v>4224857.4085439844</c:v>
                </c:pt>
                <c:pt idx="144">
                  <c:v>4224857.4085439844</c:v>
                </c:pt>
                <c:pt idx="145">
                  <c:v>4224857.4085439844</c:v>
                </c:pt>
                <c:pt idx="146">
                  <c:v>4224857.4085439844</c:v>
                </c:pt>
                <c:pt idx="147">
                  <c:v>4224857.4085439844</c:v>
                </c:pt>
                <c:pt idx="148">
                  <c:v>4224857.4085439844</c:v>
                </c:pt>
                <c:pt idx="149">
                  <c:v>4224857.4085439844</c:v>
                </c:pt>
                <c:pt idx="150">
                  <c:v>4224857.4085439844</c:v>
                </c:pt>
                <c:pt idx="151">
                  <c:v>4224857.4085439844</c:v>
                </c:pt>
                <c:pt idx="152">
                  <c:v>4224857.4085439844</c:v>
                </c:pt>
                <c:pt idx="153">
                  <c:v>4224857.4085439844</c:v>
                </c:pt>
                <c:pt idx="154">
                  <c:v>4224857.4085439844</c:v>
                </c:pt>
                <c:pt idx="155">
                  <c:v>4224857.4085439844</c:v>
                </c:pt>
                <c:pt idx="156">
                  <c:v>4224857.4085439844</c:v>
                </c:pt>
                <c:pt idx="157">
                  <c:v>4224857.4085439844</c:v>
                </c:pt>
                <c:pt idx="158">
                  <c:v>4224857.4085439844</c:v>
                </c:pt>
                <c:pt idx="159">
                  <c:v>4224857.4085439844</c:v>
                </c:pt>
                <c:pt idx="160">
                  <c:v>4224857.4085439844</c:v>
                </c:pt>
                <c:pt idx="161">
                  <c:v>4224857.4085439844</c:v>
                </c:pt>
                <c:pt idx="162">
                  <c:v>4224857.4085439844</c:v>
                </c:pt>
                <c:pt idx="163">
                  <c:v>4224857.4085439844</c:v>
                </c:pt>
                <c:pt idx="164">
                  <c:v>4224857.4085439844</c:v>
                </c:pt>
                <c:pt idx="165">
                  <c:v>4224857.4085439844</c:v>
                </c:pt>
                <c:pt idx="166">
                  <c:v>4224857.4085439844</c:v>
                </c:pt>
                <c:pt idx="167">
                  <c:v>4224857.4085439844</c:v>
                </c:pt>
                <c:pt idx="168">
                  <c:v>4224857.4085439844</c:v>
                </c:pt>
                <c:pt idx="169">
                  <c:v>4224857.4085439844</c:v>
                </c:pt>
                <c:pt idx="170">
                  <c:v>4224857.4085439844</c:v>
                </c:pt>
                <c:pt idx="171">
                  <c:v>4224857.4085439844</c:v>
                </c:pt>
                <c:pt idx="172">
                  <c:v>4224857.4085439844</c:v>
                </c:pt>
                <c:pt idx="173">
                  <c:v>4224857.4085439844</c:v>
                </c:pt>
                <c:pt idx="174">
                  <c:v>4224857.4085439844</c:v>
                </c:pt>
                <c:pt idx="175">
                  <c:v>4224857.4085439844</c:v>
                </c:pt>
                <c:pt idx="176">
                  <c:v>4224857.4085439844</c:v>
                </c:pt>
                <c:pt idx="177">
                  <c:v>4224857.4085439844</c:v>
                </c:pt>
                <c:pt idx="178">
                  <c:v>4224857.4085439844</c:v>
                </c:pt>
                <c:pt idx="179">
                  <c:v>4224857.4085439844</c:v>
                </c:pt>
                <c:pt idx="180">
                  <c:v>4224857.4085439844</c:v>
                </c:pt>
                <c:pt idx="181">
                  <c:v>4224857.4085439844</c:v>
                </c:pt>
                <c:pt idx="182">
                  <c:v>4224857.4085439844</c:v>
                </c:pt>
                <c:pt idx="183">
                  <c:v>4224857.4085439844</c:v>
                </c:pt>
                <c:pt idx="184">
                  <c:v>4224857.4085439844</c:v>
                </c:pt>
                <c:pt idx="185">
                  <c:v>4224857.4085439844</c:v>
                </c:pt>
                <c:pt idx="186">
                  <c:v>4224857.4085439844</c:v>
                </c:pt>
                <c:pt idx="187">
                  <c:v>4224857.4085439844</c:v>
                </c:pt>
                <c:pt idx="188">
                  <c:v>4224857.4085439844</c:v>
                </c:pt>
                <c:pt idx="189">
                  <c:v>4224857.4085439844</c:v>
                </c:pt>
                <c:pt idx="190">
                  <c:v>4224857.4085439844</c:v>
                </c:pt>
                <c:pt idx="191">
                  <c:v>4224857.4085439844</c:v>
                </c:pt>
                <c:pt idx="192">
                  <c:v>4224857.4085439844</c:v>
                </c:pt>
                <c:pt idx="193">
                  <c:v>4224857.4085439844</c:v>
                </c:pt>
                <c:pt idx="194">
                  <c:v>4224857.4085439844</c:v>
                </c:pt>
                <c:pt idx="195">
                  <c:v>4224857.4085439844</c:v>
                </c:pt>
                <c:pt idx="196">
                  <c:v>4224857.4085439844</c:v>
                </c:pt>
                <c:pt idx="197">
                  <c:v>4224857.4085439844</c:v>
                </c:pt>
                <c:pt idx="198">
                  <c:v>4224857.4085439844</c:v>
                </c:pt>
                <c:pt idx="199">
                  <c:v>4224857.4085439844</c:v>
                </c:pt>
                <c:pt idx="200">
                  <c:v>4224857.4085439844</c:v>
                </c:pt>
                <c:pt idx="201">
                  <c:v>4224857.4085439844</c:v>
                </c:pt>
                <c:pt idx="202">
                  <c:v>4224857.4085439844</c:v>
                </c:pt>
                <c:pt idx="203">
                  <c:v>4224857.4085439844</c:v>
                </c:pt>
                <c:pt idx="204">
                  <c:v>4224857.4085439844</c:v>
                </c:pt>
                <c:pt idx="205">
                  <c:v>4224857.4085439844</c:v>
                </c:pt>
                <c:pt idx="206">
                  <c:v>4224857.4085439844</c:v>
                </c:pt>
                <c:pt idx="207">
                  <c:v>4224857.4085439844</c:v>
                </c:pt>
                <c:pt idx="208">
                  <c:v>4224857.4085439844</c:v>
                </c:pt>
                <c:pt idx="209">
                  <c:v>4224857.4085439844</c:v>
                </c:pt>
                <c:pt idx="210">
                  <c:v>4224857.4085439844</c:v>
                </c:pt>
                <c:pt idx="211">
                  <c:v>4224857.4085439844</c:v>
                </c:pt>
                <c:pt idx="212">
                  <c:v>4224857.4085439844</c:v>
                </c:pt>
                <c:pt idx="213">
                  <c:v>4224857.4085439844</c:v>
                </c:pt>
                <c:pt idx="214">
                  <c:v>4224857.4085439844</c:v>
                </c:pt>
                <c:pt idx="215">
                  <c:v>4224857.4085439844</c:v>
                </c:pt>
                <c:pt idx="216">
                  <c:v>4224857.4085439844</c:v>
                </c:pt>
                <c:pt idx="217">
                  <c:v>4224857.4085439844</c:v>
                </c:pt>
                <c:pt idx="218">
                  <c:v>4224857.4085439844</c:v>
                </c:pt>
                <c:pt idx="219">
                  <c:v>4224857.4085439844</c:v>
                </c:pt>
                <c:pt idx="220">
                  <c:v>4224857.4085439844</c:v>
                </c:pt>
                <c:pt idx="221">
                  <c:v>4224857.4085439844</c:v>
                </c:pt>
                <c:pt idx="222">
                  <c:v>4224857.4085439844</c:v>
                </c:pt>
                <c:pt idx="223">
                  <c:v>4224857.4085439844</c:v>
                </c:pt>
                <c:pt idx="224">
                  <c:v>4224857.4085439844</c:v>
                </c:pt>
                <c:pt idx="225">
                  <c:v>4224857.4085439844</c:v>
                </c:pt>
                <c:pt idx="226">
                  <c:v>4224857.4085439844</c:v>
                </c:pt>
                <c:pt idx="227">
                  <c:v>4224857.4085439844</c:v>
                </c:pt>
                <c:pt idx="228">
                  <c:v>4224857.4085439844</c:v>
                </c:pt>
                <c:pt idx="229">
                  <c:v>4224857.4085439844</c:v>
                </c:pt>
                <c:pt idx="230">
                  <c:v>4224857.4085439844</c:v>
                </c:pt>
                <c:pt idx="231">
                  <c:v>4224857.4085439844</c:v>
                </c:pt>
                <c:pt idx="232">
                  <c:v>4224857.4085439844</c:v>
                </c:pt>
                <c:pt idx="233">
                  <c:v>4224857.4085439844</c:v>
                </c:pt>
                <c:pt idx="234">
                  <c:v>4224857.4085439844</c:v>
                </c:pt>
                <c:pt idx="235">
                  <c:v>4224857.4085439844</c:v>
                </c:pt>
                <c:pt idx="236">
                  <c:v>4224857.4085439844</c:v>
                </c:pt>
                <c:pt idx="237">
                  <c:v>4224857.4085439844</c:v>
                </c:pt>
                <c:pt idx="238">
                  <c:v>4224857.4085439844</c:v>
                </c:pt>
                <c:pt idx="239">
                  <c:v>4224857.4085439844</c:v>
                </c:pt>
                <c:pt idx="240">
                  <c:v>4224857.4085439844</c:v>
                </c:pt>
                <c:pt idx="241">
                  <c:v>4224857.4085439844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1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7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6079.954551865654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4472C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27"/>
          <c:order val="10"/>
          <c:tx>
            <c:strRef>
              <c:f>Days_Since_100!$H$19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  <c:pt idx="16">
                  <c:v>9251</c:v>
                </c:pt>
                <c:pt idx="17">
                  <c:v>10656</c:v>
                </c:pt>
                <c:pt idx="18">
                  <c:v>11838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32"/>
          <c:order val="11"/>
          <c:tx>
            <c:strRef>
              <c:f>Days_Since_100!$H$23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  <c:pt idx="9">
                  <c:v>7402</c:v>
                </c:pt>
                <c:pt idx="10">
                  <c:v>9217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15"/>
          <c:order val="12"/>
          <c:tx>
            <c:strRef>
              <c:f>Days_Since_100!$H$25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  <c:pt idx="18">
                  <c:v>6280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13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  <c:pt idx="14">
                  <c:v>4268</c:v>
                </c:pt>
                <c:pt idx="15">
                  <c:v>5170</c:v>
                </c:pt>
                <c:pt idx="16">
                  <c:v>5962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14"/>
          <c:tx>
            <c:strRef>
              <c:f>Days_Since_100!$H$27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  <c:pt idx="22">
                  <c:v>4015</c:v>
                </c:pt>
                <c:pt idx="23">
                  <c:v>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15"/>
          <c:tx>
            <c:strRef>
              <c:f>Days_Since_100!$H$28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  <c:pt idx="14">
                  <c:v>3417</c:v>
                </c:pt>
                <c:pt idx="15">
                  <c:v>3904</c:v>
                </c:pt>
                <c:pt idx="16">
                  <c:v>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16"/>
          <c:tx>
            <c:strRef>
              <c:f>Days_Since_100!$H$29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  <c:pt idx="15">
                  <c:v>3035</c:v>
                </c:pt>
                <c:pt idx="16">
                  <c:v>3619</c:v>
                </c:pt>
                <c:pt idx="17">
                  <c:v>4247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17"/>
          <c:tx>
            <c:strRef>
              <c:f>Days_Since_100!$H$30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  <c:pt idx="17">
                  <c:v>3382</c:v>
                </c:pt>
                <c:pt idx="18">
                  <c:v>3672</c:v>
                </c:pt>
                <c:pt idx="19">
                  <c:v>4145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18"/>
          <c:tx>
            <c:strRef>
              <c:f>Days_Since_100!$H$31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  <c:pt idx="18">
                  <c:v>3640</c:v>
                </c:pt>
                <c:pt idx="19">
                  <c:v>3984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19"/>
          <c:tx>
            <c:strRef>
              <c:f>Days_Since_100!$H$32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  <c:pt idx="22">
                  <c:v>3447</c:v>
                </c:pt>
                <c:pt idx="23">
                  <c:v>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20"/>
          <c:tx>
            <c:strRef>
              <c:f>Days_Since_100!$H$33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  <c:pt idx="15">
                  <c:v>2631</c:v>
                </c:pt>
                <c:pt idx="16">
                  <c:v>2817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21"/>
          <c:tx>
            <c:strRef>
              <c:f>Days_Since_100!$H$34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  <c:pt idx="14">
                  <c:v>2415</c:v>
                </c:pt>
                <c:pt idx="15">
                  <c:v>2615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22"/>
          <c:tx>
            <c:strRef>
              <c:f>Days_Since_100!$H$35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  <c:pt idx="19">
                  <c:v>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23"/>
          <c:tx>
            <c:strRef>
              <c:f>Days_Since_100!$H$36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  <c:pt idx="18">
                  <c:v>2161</c:v>
                </c:pt>
                <c:pt idx="19">
                  <c:v>2320</c:v>
                </c:pt>
                <c:pt idx="20">
                  <c:v>2470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24"/>
          <c:tx>
            <c:strRef>
              <c:f>Days_Since_100!$H$37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  <c:pt idx="12">
                  <c:v>1909</c:v>
                </c:pt>
                <c:pt idx="13">
                  <c:v>2139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25"/>
          <c:tx>
            <c:strRef>
              <c:f>Days_Since_100!$H$38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  <c:pt idx="11">
                  <c:v>1831</c:v>
                </c:pt>
                <c:pt idx="12">
                  <c:v>1950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26"/>
          <c:tx>
            <c:strRef>
              <c:f>Days_Since_100!$H$39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  <c:pt idx="10">
                  <c:v>1823</c:v>
                </c:pt>
                <c:pt idx="11">
                  <c:v>1924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27"/>
          <c:tx>
            <c:strRef>
              <c:f>Days_Since_100!$H$40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28"/>
          <c:tx>
            <c:strRef>
              <c:f>Days_Since_100!$H$41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  <c:pt idx="14">
                  <c:v>1638</c:v>
                </c:pt>
                <c:pt idx="15">
                  <c:v>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29"/>
          <c:tx>
            <c:strRef>
              <c:f>Days_Since_100!$H$42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  <c:pt idx="14">
                  <c:v>1452</c:v>
                </c:pt>
                <c:pt idx="15">
                  <c:v>1815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30"/>
          <c:tx>
            <c:strRef>
              <c:f>Days_Since_100!$H$43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  <c:pt idx="12">
                  <c:v>1495</c:v>
                </c:pt>
                <c:pt idx="13">
                  <c:v>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31"/>
          <c:tx>
            <c:strRef>
              <c:f>Days_Since_100!$H$44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  <c:pt idx="11">
                  <c:v>1264</c:v>
                </c:pt>
                <c:pt idx="12">
                  <c:v>1534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32"/>
          <c:tx>
            <c:strRef>
              <c:f>Days_Since_100!$H$45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  <c:pt idx="14">
                  <c:v>1075</c:v>
                </c:pt>
                <c:pt idx="15">
                  <c:v>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33"/>
          <c:tx>
            <c:strRef>
              <c:f>Days_Since_100!$H$46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  <c:pt idx="13">
                  <c:v>1245</c:v>
                </c:pt>
                <c:pt idx="14">
                  <c:v>1388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34"/>
          <c:tx>
            <c:strRef>
              <c:f>Days_Since_100!$H$47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  <c:pt idx="14">
                  <c:v>1203</c:v>
                </c:pt>
                <c:pt idx="15">
                  <c:v>1299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35"/>
          <c:tx>
            <c:strRef>
              <c:f>Days_Since_100!$H$48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  <c:pt idx="13">
                  <c:v>1155</c:v>
                </c:pt>
                <c:pt idx="14">
                  <c:v>1285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36"/>
          <c:tx>
            <c:strRef>
              <c:f>Days_Since_100!$H$49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  <c:pt idx="10">
                  <c:v>1187</c:v>
                </c:pt>
                <c:pt idx="11">
                  <c:v>1280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37"/>
          <c:tx>
            <c:strRef>
              <c:f>Days_Since_100!$H$50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  <c:pt idx="14">
                  <c:v>1041</c:v>
                </c:pt>
                <c:pt idx="15">
                  <c:v>1167</c:v>
                </c:pt>
                <c:pt idx="16">
                  <c:v>1240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38"/>
          <c:tx>
            <c:strRef>
              <c:f>Days_Since_100!$H$51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  <c:pt idx="14">
                  <c:v>966</c:v>
                </c:pt>
                <c:pt idx="15">
                  <c:v>1061</c:v>
                </c:pt>
                <c:pt idx="16">
                  <c:v>1156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39"/>
          <c:tx>
            <c:strRef>
              <c:f>Days_Since_100!$H$52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  <c:pt idx="14">
                  <c:v>987</c:v>
                </c:pt>
                <c:pt idx="15">
                  <c:v>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40"/>
          <c:tx>
            <c:strRef>
              <c:f>Days_Since_100!$H$53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  <c:pt idx="16">
                  <c:v>963</c:v>
                </c:pt>
                <c:pt idx="17">
                  <c:v>1020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41"/>
          <c:tx>
            <c:strRef>
              <c:f>Days_Since_100!$H$54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  <c:pt idx="9">
                  <c:v>786</c:v>
                </c:pt>
                <c:pt idx="10">
                  <c:v>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42"/>
          <c:tx>
            <c:strRef>
              <c:f>Days_Since_100!$H$55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  <c:pt idx="7">
                  <c:v>719</c:v>
                </c:pt>
                <c:pt idx="8">
                  <c:v>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43"/>
          <c:tx>
            <c:strRef>
              <c:f>Days_Since_100!$H$56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  <c:pt idx="11">
                  <c:v>671</c:v>
                </c:pt>
                <c:pt idx="12">
                  <c:v>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44"/>
          <c:tx>
            <c:strRef>
              <c:f>Days_Since_100!$H$57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  <c:pt idx="9">
                  <c:v>717</c:v>
                </c:pt>
                <c:pt idx="10">
                  <c:v>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45"/>
          <c:tx>
            <c:strRef>
              <c:f>Days_Since_100!$H$58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  <c:pt idx="28">
                  <c:v>802</c:v>
                </c:pt>
                <c:pt idx="29">
                  <c:v>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46"/>
          <c:tx>
            <c:strRef>
              <c:f>Days_Since_100!$H$59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  <c:pt idx="8">
                  <c:v>690</c:v>
                </c:pt>
                <c:pt idx="9">
                  <c:v>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47"/>
          <c:tx>
            <c:strRef>
              <c:f>Days_Since_100!$H$60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  <c:pt idx="9">
                  <c:v>659</c:v>
                </c:pt>
                <c:pt idx="10">
                  <c:v>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48"/>
          <c:tx>
            <c:strRef>
              <c:f>Days_Since_100!$H$61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  <c:pt idx="15">
                  <c:v>684</c:v>
                </c:pt>
                <c:pt idx="16">
                  <c:v>730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49"/>
          <c:tx>
            <c:strRef>
              <c:f>Days_Since_100!$H$62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  <c:pt idx="9">
                  <c:v>657</c:v>
                </c:pt>
                <c:pt idx="10">
                  <c:v>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50"/>
          <c:tx>
            <c:strRef>
              <c:f>Days_Since_100!$H$63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  <c:pt idx="9">
                  <c:v>608</c:v>
                </c:pt>
                <c:pt idx="10">
                  <c:v>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51"/>
          <c:tx>
            <c:strRef>
              <c:f>Days_Since_100!$H$64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  <c:pt idx="14">
                  <c:v>645</c:v>
                </c:pt>
                <c:pt idx="15">
                  <c:v>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52"/>
          <c:tx>
            <c:strRef>
              <c:f>Days_Since_100!$H$65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  <c:pt idx="17">
                  <c:v>590</c:v>
                </c:pt>
                <c:pt idx="18">
                  <c:v>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53"/>
          <c:tx>
            <c:strRef>
              <c:f>Days_Since_100!$H$66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  <c:pt idx="14">
                  <c:v>576</c:v>
                </c:pt>
                <c:pt idx="15">
                  <c:v>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54"/>
          <c:tx>
            <c:strRef>
              <c:f>Days_Since_100!$H$67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  <c:pt idx="10">
                  <c:v>468</c:v>
                </c:pt>
                <c:pt idx="11">
                  <c:v>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55"/>
          <c:tx>
            <c:strRef>
              <c:f>Days_Since_100!$H$68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  <c:pt idx="14">
                  <c:v>458</c:v>
                </c:pt>
                <c:pt idx="15">
                  <c:v>506</c:v>
                </c:pt>
                <c:pt idx="16">
                  <c:v>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56"/>
          <c:tx>
            <c:strRef>
              <c:f>Days_Since_100!$H$69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  <c:pt idx="6">
                  <c:v>451</c:v>
                </c:pt>
                <c:pt idx="7">
                  <c:v>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57"/>
          <c:tx>
            <c:strRef>
              <c:f>Days_Since_100!$H$70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  <c:pt idx="7">
                  <c:v>454</c:v>
                </c:pt>
                <c:pt idx="8">
                  <c:v>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58"/>
          <c:tx>
            <c:strRef>
              <c:f>Days_Since_100!$H$71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  <c:pt idx="17">
                  <c:v>466</c:v>
                </c:pt>
                <c:pt idx="18">
                  <c:v>476</c:v>
                </c:pt>
                <c:pt idx="19">
                  <c:v>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59"/>
          <c:tx>
            <c:strRef>
              <c:f>Days_Since_100!$H$72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  <c:pt idx="6">
                  <c:v>402</c:v>
                </c:pt>
                <c:pt idx="7">
                  <c:v>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60"/>
          <c:tx>
            <c:strRef>
              <c:f>Days_Since_100!$H$73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  <c:pt idx="3">
                  <c:v>356</c:v>
                </c:pt>
                <c:pt idx="4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61"/>
          <c:tx>
            <c:strRef>
              <c:f>Days_Since_100!$H$74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  <c:pt idx="6">
                  <c:v>394</c:v>
                </c:pt>
                <c:pt idx="7">
                  <c:v>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62"/>
          <c:tx>
            <c:strRef>
              <c:f>Days_Since_100!$H$75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  <c:pt idx="12">
                  <c:v>391</c:v>
                </c:pt>
                <c:pt idx="13">
                  <c:v>412</c:v>
                </c:pt>
                <c:pt idx="14">
                  <c:v>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63"/>
          <c:tx>
            <c:strRef>
              <c:f>Days_Since_100!$H$76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  <c:pt idx="9">
                  <c:v>407</c:v>
                </c:pt>
                <c:pt idx="10">
                  <c:v>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64"/>
          <c:tx>
            <c:strRef>
              <c:f>Days_Since_100!$H$77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  <c:pt idx="7">
                  <c:v>343</c:v>
                </c:pt>
                <c:pt idx="8">
                  <c:v>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65"/>
          <c:tx>
            <c:strRef>
              <c:f>Days_Since_100!$H$78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  <c:pt idx="8">
                  <c:v>305</c:v>
                </c:pt>
                <c:pt idx="9">
                  <c:v>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66"/>
          <c:tx>
            <c:strRef>
              <c:f>Days_Since_100!$H$79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  <c:pt idx="8">
                  <c:v>331</c:v>
                </c:pt>
                <c:pt idx="9">
                  <c:v>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67"/>
          <c:tx>
            <c:strRef>
              <c:f>Days_Since_100!$H$80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  <c:pt idx="6">
                  <c:v>308</c:v>
                </c:pt>
                <c:pt idx="7">
                  <c:v>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68"/>
          <c:tx>
            <c:strRef>
              <c:f>Days_Since_100!$H$81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  <c:pt idx="6">
                  <c:v>258</c:v>
                </c:pt>
                <c:pt idx="7">
                  <c:v>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69"/>
          <c:tx>
            <c:strRef>
              <c:f>Days_Since_100!$H$82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  <c:pt idx="10">
                  <c:v>292</c:v>
                </c:pt>
                <c:pt idx="11">
                  <c:v>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70"/>
          <c:tx>
            <c:strRef>
              <c:f>Days_Since_100!$H$83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  <c:pt idx="6">
                  <c:v>263</c:v>
                </c:pt>
                <c:pt idx="7">
                  <c:v>295</c:v>
                </c:pt>
                <c:pt idx="8">
                  <c:v>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71"/>
          <c:tx>
            <c:strRef>
              <c:f>Days_Since_100!$H$84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  <c:pt idx="4">
                  <c:v>278</c:v>
                </c:pt>
                <c:pt idx="5">
                  <c:v>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72"/>
          <c:tx>
            <c:strRef>
              <c:f>Days_Since_100!$H$85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  <c:pt idx="10">
                  <c:v>283</c:v>
                </c:pt>
                <c:pt idx="11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73"/>
          <c:tx>
            <c:strRef>
              <c:f>Days_Since_100!$H$86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  <c:pt idx="2">
                  <c:v>228</c:v>
                </c:pt>
                <c:pt idx="3">
                  <c:v>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74"/>
          <c:tx>
            <c:strRef>
              <c:f>Days_Since_100!$H$87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  <c:pt idx="5">
                  <c:v>231</c:v>
                </c:pt>
                <c:pt idx="6">
                  <c:v>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75"/>
          <c:tx>
            <c:strRef>
              <c:f>Days_Since_100!$H$88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  <c:pt idx="6">
                  <c:v>241</c:v>
                </c:pt>
                <c:pt idx="7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76"/>
          <c:tx>
            <c:strRef>
              <c:f>Days_Since_100!$H$89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  <c:pt idx="6">
                  <c:v>246</c:v>
                </c:pt>
                <c:pt idx="7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77"/>
          <c:tx>
            <c:strRef>
              <c:f>Days_Since_100!$H$90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  <c:pt idx="13">
                  <c:v>225</c:v>
                </c:pt>
                <c:pt idx="14">
                  <c:v>235</c:v>
                </c:pt>
                <c:pt idx="15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78"/>
          <c:tx>
            <c:strRef>
              <c:f>Days_Since_100!$H$91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  <c:pt idx="12">
                  <c:v>223</c:v>
                </c:pt>
                <c:pt idx="13">
                  <c:v>224</c:v>
                </c:pt>
                <c:pt idx="14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79"/>
          <c:tx>
            <c:strRef>
              <c:f>Days_Since_100!$H$92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  <c:pt idx="4">
                  <c:v>207</c:v>
                </c:pt>
                <c:pt idx="5">
                  <c:v>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80"/>
          <c:tx>
            <c:strRef>
              <c:f>Days_Since_100!$H$93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  <c:pt idx="5">
                  <c:v>179</c:v>
                </c:pt>
                <c:pt idx="6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81"/>
          <c:tx>
            <c:strRef>
              <c:f>Days_Since_100!$H$94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  <c:pt idx="5">
                  <c:v>197</c:v>
                </c:pt>
                <c:pt idx="6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82"/>
          <c:tx>
            <c:strRef>
              <c:f>Days_Since_100!$H$95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  <c:pt idx="2">
                  <c:v>182</c:v>
                </c:pt>
                <c:pt idx="3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83"/>
          <c:tx>
            <c:strRef>
              <c:f>Days_Since_100!$H$96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  <c:pt idx="6">
                  <c:v>174</c:v>
                </c:pt>
                <c:pt idx="7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84"/>
          <c:tx>
            <c:strRef>
              <c:f>Days_Since_100!$H$97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152</c:v>
                </c:pt>
                <c:pt idx="3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85"/>
          <c:tx>
            <c:strRef>
              <c:f>Days_Since_100!$H$98</c:f>
              <c:strCache>
                <c:ptCount val="1"/>
                <c:pt idx="0">
                  <c:v>Cote d'Ivoire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101</c:v>
                </c:pt>
                <c:pt idx="1">
                  <c:v>101</c:v>
                </c:pt>
                <c:pt idx="2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86"/>
          <c:tx>
            <c:strRef>
              <c:f>Days_Since_100!$H$99</c:f>
              <c:strCache>
                <c:ptCount val="1"/>
                <c:pt idx="0">
                  <c:v>Malta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107</c:v>
                </c:pt>
                <c:pt idx="1">
                  <c:v>110</c:v>
                </c:pt>
                <c:pt idx="2">
                  <c:v>129</c:v>
                </c:pt>
                <c:pt idx="3">
                  <c:v>134</c:v>
                </c:pt>
                <c:pt idx="4">
                  <c:v>139</c:v>
                </c:pt>
                <c:pt idx="5">
                  <c:v>149</c:v>
                </c:pt>
                <c:pt idx="6">
                  <c:v>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87"/>
          <c:tx>
            <c:strRef>
              <c:f>Days_Since_100!$H$100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105</c:v>
                </c:pt>
                <c:pt idx="1">
                  <c:v>119</c:v>
                </c:pt>
                <c:pt idx="2">
                  <c:v>130</c:v>
                </c:pt>
                <c:pt idx="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88"/>
          <c:tx>
            <c:strRef>
              <c:f>Days_Since_100!$H$101</c:f>
              <c:strCache>
                <c:ptCount val="1"/>
                <c:pt idx="0">
                  <c:v>Cuba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119</c:v>
                </c:pt>
                <c:pt idx="1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1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352132024111191"/>
          <c:y val="7.8034561373258995E-2"/>
          <c:w val="0.1764786797588882"/>
          <c:h val="0.81018730542209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65000"/>
                  <a:lumOff val="35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1"/>
          <c:order val="10"/>
          <c:tx>
            <c:strRef>
              <c:f>Deaths_since_10!$H$13</c:f>
              <c:strCache>
                <c:ptCount val="1"/>
                <c:pt idx="0">
                  <c:v>World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Deaths_since_10!$I$13:$KU$13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1"/>
          <c:tx>
            <c:strRef>
              <c:f>Deaths_since_10!$H$14</c:f>
              <c:strCache>
                <c:ptCount val="1"/>
                <c:pt idx="0">
                  <c:v>Asia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1665</c:v>
                </c:pt>
                <c:pt idx="25">
                  <c:v>1769</c:v>
                </c:pt>
                <c:pt idx="26">
                  <c:v>1867</c:v>
                </c:pt>
                <c:pt idx="27">
                  <c:v>2006</c:v>
                </c:pt>
                <c:pt idx="28">
                  <c:v>2119</c:v>
                </c:pt>
                <c:pt idx="29">
                  <c:v>2242</c:v>
                </c:pt>
                <c:pt idx="30">
                  <c:v>2243</c:v>
                </c:pt>
                <c:pt idx="31">
                  <c:v>2448</c:v>
                </c:pt>
                <c:pt idx="32">
                  <c:v>2454</c:v>
                </c:pt>
                <c:pt idx="33">
                  <c:v>2606</c:v>
                </c:pt>
                <c:pt idx="34">
                  <c:v>2678</c:v>
                </c:pt>
                <c:pt idx="35">
                  <c:v>2733</c:v>
                </c:pt>
                <c:pt idx="36">
                  <c:v>2765</c:v>
                </c:pt>
                <c:pt idx="37">
                  <c:v>2809</c:v>
                </c:pt>
                <c:pt idx="38">
                  <c:v>2860</c:v>
                </c:pt>
                <c:pt idx="39">
                  <c:v>2898</c:v>
                </c:pt>
                <c:pt idx="40">
                  <c:v>2951</c:v>
                </c:pt>
                <c:pt idx="41">
                  <c:v>2984</c:v>
                </c:pt>
                <c:pt idx="42">
                  <c:v>3027</c:v>
                </c:pt>
                <c:pt idx="43">
                  <c:v>3059</c:v>
                </c:pt>
                <c:pt idx="44">
                  <c:v>3095</c:v>
                </c:pt>
                <c:pt idx="45">
                  <c:v>3125</c:v>
                </c:pt>
                <c:pt idx="46">
                  <c:v>3159</c:v>
                </c:pt>
                <c:pt idx="47">
                  <c:v>3189</c:v>
                </c:pt>
                <c:pt idx="48">
                  <c:v>3206</c:v>
                </c:pt>
                <c:pt idx="49">
                  <c:v>3241</c:v>
                </c:pt>
                <c:pt idx="50">
                  <c:v>3260</c:v>
                </c:pt>
                <c:pt idx="51">
                  <c:v>3279</c:v>
                </c:pt>
                <c:pt idx="52">
                  <c:v>3305</c:v>
                </c:pt>
                <c:pt idx="53">
                  <c:v>3321</c:v>
                </c:pt>
                <c:pt idx="54">
                  <c:v>3341</c:v>
                </c:pt>
                <c:pt idx="55">
                  <c:v>3365</c:v>
                </c:pt>
                <c:pt idx="56">
                  <c:v>3401</c:v>
                </c:pt>
                <c:pt idx="57">
                  <c:v>3424</c:v>
                </c:pt>
                <c:pt idx="58">
                  <c:v>3450</c:v>
                </c:pt>
                <c:pt idx="59">
                  <c:v>3473</c:v>
                </c:pt>
                <c:pt idx="60">
                  <c:v>3530</c:v>
                </c:pt>
                <c:pt idx="61">
                  <c:v>3549</c:v>
                </c:pt>
                <c:pt idx="62">
                  <c:v>3581</c:v>
                </c:pt>
                <c:pt idx="63">
                  <c:v>3610</c:v>
                </c:pt>
                <c:pt idx="64">
                  <c:v>3664</c:v>
                </c:pt>
                <c:pt idx="65">
                  <c:v>3704</c:v>
                </c:pt>
                <c:pt idx="66">
                  <c:v>3754</c:v>
                </c:pt>
                <c:pt idx="67">
                  <c:v>3803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9"/>
          <c:order val="12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  <c:pt idx="10">
                  <c:v>238</c:v>
                </c:pt>
                <c:pt idx="11">
                  <c:v>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13"/>
          <c:tx>
            <c:strRef>
              <c:f>Deaths_since_10!$H$22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  <c:pt idx="33">
                  <c:v>144</c:v>
                </c:pt>
                <c:pt idx="34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14"/>
          <c:tx>
            <c:strRef>
              <c:f>Deaths_since_10!$H$23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  <c:pt idx="8">
                  <c:v>111</c:v>
                </c:pt>
                <c:pt idx="9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15"/>
          <c:tx>
            <c:strRef>
              <c:f>Deaths_since_10!$H$24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  <c:pt idx="13">
                  <c:v>122</c:v>
                </c:pt>
                <c:pt idx="14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16"/>
          <c:tx>
            <c:strRef>
              <c:f>Deaths_since_10!$H$25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  <c:pt idx="7">
                  <c:v>108</c:v>
                </c:pt>
                <c:pt idx="8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17"/>
          <c:tx>
            <c:strRef>
              <c:f>Deaths_since_10!$H$26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  <c:pt idx="7">
                  <c:v>100</c:v>
                </c:pt>
                <c:pt idx="8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18"/>
          <c:tx>
            <c:strRef>
              <c:f>Deaths_since_10!$H$27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  <c:pt idx="10">
                  <c:v>102</c:v>
                </c:pt>
                <c:pt idx="11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19"/>
          <c:tx>
            <c:strRef>
              <c:f>Deaths_since_10!$H$28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  <c:pt idx="10">
                  <c:v>105</c:v>
                </c:pt>
                <c:pt idx="11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0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  <c:pt idx="7">
                  <c:v>68</c:v>
                </c:pt>
                <c:pt idx="8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1"/>
          <c:tx>
            <c:strRef>
              <c:f>Deaths_since_10!$H$30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  <c:pt idx="8">
                  <c:v>65</c:v>
                </c:pt>
                <c:pt idx="9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2"/>
          <c:tx>
            <c:strRef>
              <c:f>Deaths_since_10!$H$31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  <c:pt idx="14">
                  <c:v>68</c:v>
                </c:pt>
                <c:pt idx="1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23"/>
          <c:tx>
            <c:strRef>
              <c:f>Deaths_since_10!$H$32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  <c:pt idx="10">
                  <c:v>61</c:v>
                </c:pt>
                <c:pt idx="1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24"/>
          <c:tx>
            <c:strRef>
              <c:f>Deaths_since_10!$H$33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  <c:pt idx="6">
                  <c:v>48</c:v>
                </c:pt>
                <c:pt idx="7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25"/>
          <c:tx>
            <c:strRef>
              <c:f>Deaths_since_10!$H$34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  <c:pt idx="19">
                  <c:v>52</c:v>
                </c:pt>
                <c:pt idx="2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26"/>
          <c:tx>
            <c:strRef>
              <c:f>Deaths_since_10!$H$35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36</c:v>
                </c:pt>
                <c:pt idx="4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27"/>
          <c:tx>
            <c:strRef>
              <c:f>Deaths_since_10!$H$36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  <c:pt idx="4">
                  <c:v>37</c:v>
                </c:pt>
                <c:pt idx="5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28"/>
          <c:tx>
            <c:strRef>
              <c:f>Deaths_since_10!$H$37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29"/>
          <c:tx>
            <c:strRef>
              <c:f>Deaths_since_10!$H$38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  <c:pt idx="8">
                  <c:v>36</c:v>
                </c:pt>
                <c:pt idx="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30"/>
          <c:tx>
            <c:strRef>
              <c:f>Deaths_since_10!$H$39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28</c:v>
                </c:pt>
                <c:pt idx="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31"/>
          <c:tx>
            <c:strRef>
              <c:f>Deaths_since_10!$H$40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  <c:pt idx="7">
                  <c:v>32</c:v>
                </c:pt>
                <c:pt idx="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32"/>
          <c:tx>
            <c:strRef>
              <c:f>Deaths_since_10!$H$41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33"/>
          <c:tx>
            <c:strRef>
              <c:f>Deaths_since_10!$H$42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34"/>
          <c:tx>
            <c:strRef>
              <c:f>Deaths_since_10!$H$43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24</c:v>
                </c:pt>
                <c:pt idx="6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35"/>
          <c:tx>
            <c:strRef>
              <c:f>Deaths_since_10!$H$44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  <c:pt idx="2">
                  <c:v>25</c:v>
                </c:pt>
                <c:pt idx="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36"/>
          <c:tx>
            <c:strRef>
              <c:f>Deaths_since_10!$H$45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23</c:v>
                </c:pt>
                <c:pt idx="6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37"/>
          <c:tx>
            <c:strRef>
              <c:f>Deaths_since_10!$H$46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38"/>
          <c:tx>
            <c:strRef>
              <c:f>Deaths_since_10!$H$47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39"/>
          <c:tx>
            <c:strRef>
              <c:f>Deaths_since_10!$H$48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  <c:pt idx="7">
                  <c:v>18</c:v>
                </c:pt>
                <c:pt idx="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40"/>
          <c:tx>
            <c:strRef>
              <c:f>Deaths_since_10!$H$49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  <c:pt idx="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41"/>
          <c:tx>
            <c:strRef>
              <c:f>Deaths_since_10!$H$50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42"/>
          <c:tx>
            <c:strRef>
              <c:f>Deaths_since_10!$H$51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43"/>
          <c:tx>
            <c:strRef>
              <c:f>Deaths_since_10!$H$52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  <c:pt idx="3">
                  <c:v>13</c:v>
                </c:pt>
                <c:pt idx="4">
                  <c:v>14</c:v>
                </c:pt>
                <c:pt idx="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44"/>
          <c:tx>
            <c:strRef>
              <c:f>Deaths_since_10!$H$53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45"/>
          <c:tx>
            <c:strRef>
              <c:f>Deaths_since_10!$H$54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46"/>
          <c:tx>
            <c:strRef>
              <c:f>Deaths_since_10!$H$55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12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47"/>
          <c:tx>
            <c:strRef>
              <c:f>Deaths_since_10!$H$56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197765338162144"/>
          <c:y val="0.10493380998229521"/>
          <c:w val="0.16802234661837859"/>
          <c:h val="0.80913000777878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CumulativeConfirmed!$C$127:$BR$127</c:f>
              <c:numCache>
                <c:formatCode>General</c:formatCode>
                <c:ptCount val="68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CumulativeConfirmed!$C$128:$BR$128</c:f>
              <c:numCache>
                <c:formatCode>General</c:formatCode>
                <c:ptCount val="68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CumulativeConfirmed!$C$129:$BR$129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CumulativeConfirmed!$C$130:$BR$130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CumulativeConfirmed!$C$131:$BR$131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CumulativeConfirmed!$C$132:$BR$132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CumulativeConfirmed!$C$133:$BR$133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3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val>
            <c:numRef>
              <c:f>CumulativeConfirmed!$C$127:$BR$127</c:f>
              <c:numCache>
                <c:formatCode>General</c:formatCode>
                <c:ptCount val="68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D-47B5-ADE8-BE9B8864125A}"/>
            </c:ext>
          </c:extLst>
        </c:ser>
        <c:ser>
          <c:idx val="4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CumulativeConfirmed!$C$128:$BR$128</c:f>
              <c:numCache>
                <c:formatCode>General</c:formatCode>
                <c:ptCount val="68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CumulativeConfirmed!$C$129:$BR$129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CumulativeConfirmed!$C$130:$BR$130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CumulativeConfirmed!$C$131:$BR$131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CumulativeConfirmed!$C$132:$BR$132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CumulativeConfirmed!$C$133:$BR$133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cat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1"/>
        <c:lblAlgn val="ctr"/>
        <c:lblOffset val="100"/>
        <c:noMultiLvlLbl val="1"/>
      </c:cat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185876</xdr:colOff>
      <xdr:row>1</xdr:row>
      <xdr:rowOff>2511</xdr:rowOff>
    </xdr:from>
    <xdr:to>
      <xdr:col>20</xdr:col>
      <xdr:colOff>398863</xdr:colOff>
      <xdr:row>27</xdr:row>
      <xdr:rowOff>151849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0.27695</cdr:x>
      <cdr:y>0.70406</cdr:y>
    </cdr:from>
    <cdr:to>
      <cdr:x>0.38829</cdr:x>
      <cdr:y>0.76407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2907918" y="4597226"/>
          <a:ext cx="116903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0.10442</cdr:x>
      <cdr:y>0.49849</cdr:y>
    </cdr:from>
    <cdr:to>
      <cdr:x>0.34268</cdr:x>
      <cdr:y>0.56632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110298" y="3220563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0.53561</cdr:x>
      <cdr:y>0.18575</cdr:y>
    </cdr:from>
    <cdr:to>
      <cdr:x>0.73452</cdr:x>
      <cdr:y>0.25358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694859" y="1200071"/>
          <a:ext cx="2114913" cy="438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0.57528</cdr:x>
      <cdr:y>0.73169</cdr:y>
    </cdr:from>
    <cdr:to>
      <cdr:x>0.68662</cdr:x>
      <cdr:y>0.7917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116617" y="4727245"/>
          <a:ext cx="1183824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2" t="str">
        <f>C7&amp;" Covid-19 Active Case Projections"</f>
        <v>United Kingdom Covid-19 Active Case Projections</v>
      </c>
      <c r="C2" s="103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4"/>
      <c r="C3" s="105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5" t="s">
        <v>543</v>
      </c>
      <c r="X3" s="146"/>
      <c r="Y3" s="147"/>
      <c r="Z3" s="139" t="s">
        <v>349</v>
      </c>
      <c r="AA3" s="154"/>
      <c r="AB3" s="154"/>
      <c r="AC3" s="140"/>
    </row>
    <row r="4" spans="1:32" x14ac:dyDescent="0.25">
      <c r="A4" s="46"/>
      <c r="B4" s="104"/>
      <c r="C4" s="105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8"/>
      <c r="X4" s="149"/>
      <c r="Y4" s="150"/>
      <c r="Z4" s="141"/>
      <c r="AA4" s="155"/>
      <c r="AB4" s="155"/>
      <c r="AC4" s="142"/>
    </row>
    <row r="5" spans="1:32" x14ac:dyDescent="0.25">
      <c r="A5" s="46"/>
      <c r="B5" s="106"/>
      <c r="C5" s="10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1"/>
      <c r="X5" s="152"/>
      <c r="Y5" s="153"/>
      <c r="Z5" s="143"/>
      <c r="AA5" s="156"/>
      <c r="AB5" s="156"/>
      <c r="AC5" s="144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10" t="s">
        <v>477</v>
      </c>
      <c r="C7" s="108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1"/>
      <c r="C8" s="109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5" t="s">
        <v>542</v>
      </c>
      <c r="X8" s="146"/>
      <c r="Y8" s="147"/>
      <c r="Z8" s="139">
        <v>4</v>
      </c>
      <c r="AA8" s="140"/>
      <c r="AB8" s="157" t="s">
        <v>551</v>
      </c>
      <c r="AC8" s="158"/>
      <c r="AD8" s="158"/>
      <c r="AE8" s="158"/>
      <c r="AF8" s="158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8"/>
      <c r="X9" s="149"/>
      <c r="Y9" s="150"/>
      <c r="Z9" s="141"/>
      <c r="AA9" s="142"/>
      <c r="AB9" s="157"/>
      <c r="AC9" s="158"/>
      <c r="AD9" s="158"/>
      <c r="AE9" s="158"/>
      <c r="AF9" s="158"/>
    </row>
    <row r="10" spans="1:32" ht="18.600000000000001" customHeight="1" x14ac:dyDescent="0.25">
      <c r="A10" s="46"/>
      <c r="B10" s="110" t="s">
        <v>505</v>
      </c>
      <c r="C10" s="118">
        <f>Projections_Data!C4</f>
        <v>19780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1"/>
      <c r="X10" s="152"/>
      <c r="Y10" s="153"/>
      <c r="Z10" s="143"/>
      <c r="AA10" s="144"/>
      <c r="AB10" s="157"/>
      <c r="AC10" s="158"/>
      <c r="AD10" s="158"/>
      <c r="AE10" s="158"/>
      <c r="AF10" s="158"/>
    </row>
    <row r="11" spans="1:32" ht="18.600000000000001" customHeight="1" x14ac:dyDescent="0.25">
      <c r="A11" s="46"/>
      <c r="B11" s="111"/>
      <c r="C11" s="119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10" t="s">
        <v>590</v>
      </c>
      <c r="C12" s="116">
        <f ca="1">Projections_Data!C6</f>
        <v>15362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1"/>
      <c r="C13" s="11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59" t="s">
        <v>544</v>
      </c>
      <c r="X13" s="159"/>
      <c r="Y13" s="159"/>
      <c r="Z13" s="159"/>
      <c r="AA13" s="159"/>
    </row>
    <row r="14" spans="1:32" ht="18.600000000000001" customHeight="1" x14ac:dyDescent="0.25">
      <c r="A14" s="46"/>
      <c r="B14" s="110" t="s">
        <v>591</v>
      </c>
      <c r="C14" s="114">
        <f ca="1">Projections_Data!C7</f>
        <v>3187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59"/>
      <c r="X14" s="159"/>
      <c r="Y14" s="159"/>
      <c r="Z14" s="159"/>
      <c r="AA14" s="159"/>
    </row>
    <row r="15" spans="1:32" ht="18.600000000000001" customHeight="1" x14ac:dyDescent="0.25">
      <c r="A15" s="46"/>
      <c r="B15" s="111"/>
      <c r="C15" s="115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60" t="s">
        <v>545</v>
      </c>
      <c r="X15" s="160"/>
      <c r="Y15" s="160"/>
      <c r="Z15" s="161">
        <v>0.4</v>
      </c>
      <c r="AA15" s="162"/>
    </row>
    <row r="16" spans="1:32" ht="18.600000000000001" customHeight="1" x14ac:dyDescent="0.25">
      <c r="A16" s="46"/>
      <c r="B16" s="110" t="s">
        <v>514</v>
      </c>
      <c r="C16" s="112">
        <f>Projections_Data!C8</f>
        <v>1231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60"/>
      <c r="X16" s="160"/>
      <c r="Y16" s="160"/>
      <c r="Z16" s="162"/>
      <c r="AA16" s="162"/>
    </row>
    <row r="17" spans="1:42" ht="18.600000000000001" customHeight="1" x14ac:dyDescent="0.25">
      <c r="A17" s="46"/>
      <c r="B17" s="111"/>
      <c r="C17" s="113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60" t="s">
        <v>546</v>
      </c>
      <c r="X17" s="160"/>
      <c r="Y17" s="160"/>
      <c r="Z17" s="161">
        <v>0.25</v>
      </c>
      <c r="AA17" s="162"/>
    </row>
    <row r="18" spans="1:42" ht="18.600000000000001" customHeight="1" x14ac:dyDescent="0.25">
      <c r="A18" s="46"/>
      <c r="B18" s="124" t="s">
        <v>603</v>
      </c>
      <c r="C18" s="137">
        <f ca="1">Projections_Data!C11</f>
        <v>0.19251315772819924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60"/>
      <c r="X18" s="160"/>
      <c r="Y18" s="160"/>
      <c r="Z18" s="162"/>
      <c r="AA18" s="162"/>
    </row>
    <row r="19" spans="1:42" ht="18.600000000000001" customHeight="1" x14ac:dyDescent="0.25">
      <c r="A19" s="46"/>
      <c r="B19" s="125"/>
      <c r="C19" s="138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60" t="s">
        <v>547</v>
      </c>
      <c r="X19" s="160"/>
      <c r="Y19" s="160"/>
      <c r="Z19" s="161">
        <v>0.1</v>
      </c>
      <c r="AA19" s="162"/>
    </row>
    <row r="20" spans="1:42" ht="18.600000000000001" customHeight="1" x14ac:dyDescent="0.25">
      <c r="A20" s="46"/>
      <c r="B20" s="133" t="s">
        <v>507</v>
      </c>
      <c r="C20" s="135">
        <f>Projections_Data!C14</f>
        <v>23609.72592128261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60"/>
      <c r="X20" s="160"/>
      <c r="Y20" s="160"/>
      <c r="Z20" s="162"/>
      <c r="AA20" s="162"/>
    </row>
    <row r="21" spans="1:42" ht="18.600000000000001" customHeight="1" x14ac:dyDescent="0.25">
      <c r="A21" s="46"/>
      <c r="B21" s="134"/>
      <c r="C21" s="136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4" t="s">
        <v>604</v>
      </c>
      <c r="C22" s="120">
        <f ca="1">Projections_Data!C13</f>
        <v>0.23557806769141809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8.600000000000001" customHeight="1" x14ac:dyDescent="0.25">
      <c r="A23" s="46"/>
      <c r="B23" s="125"/>
      <c r="C23" s="121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10" t="s">
        <v>605</v>
      </c>
      <c r="C24" s="112">
        <f ca="1">C16*(1+C22)</f>
        <v>1520.9966013281357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1"/>
      <c r="C25" s="113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615</v>
      </c>
    </row>
    <row r="26" spans="1:42" ht="18.600000000000001" customHeight="1" x14ac:dyDescent="0.25">
      <c r="A26" s="46"/>
      <c r="B26" s="132" t="s">
        <v>529</v>
      </c>
      <c r="C26" s="132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00" t="str">
        <f>"Source: Analysis of John Hopkins University and WHO data.
Data updated: "&amp;TEXT(Projections_Data!C2,"DD/MM/YYYY")&amp;"."</f>
        <v>Source: Analysis of John Hopkins University and WHO data.
Data updated: 29/03/2020.</v>
      </c>
      <c r="C27" s="10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4" t="str">
        <f>Projections_Data!B35</f>
        <v xml:space="preserve">United Kingdom critically ill projections </v>
      </c>
      <c r="C29" s="105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4"/>
      <c r="C30" s="105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4"/>
      <c r="C31" s="105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6"/>
      <c r="C32" s="10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59" t="s">
        <v>548</v>
      </c>
      <c r="X32" s="159"/>
      <c r="Y32" s="159"/>
      <c r="Z32" s="167"/>
      <c r="AA32" s="167"/>
      <c r="AB32" s="163" t="s">
        <v>549</v>
      </c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59"/>
      <c r="X33" s="159"/>
      <c r="Y33" s="159"/>
      <c r="Z33" s="167"/>
      <c r="AA33" s="167"/>
      <c r="AB33" s="163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</row>
    <row r="34" spans="1:43" ht="15.6" customHeight="1" x14ac:dyDescent="0.25">
      <c r="A34" s="46"/>
      <c r="B34" s="129" t="s">
        <v>465</v>
      </c>
      <c r="C34" s="131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59"/>
      <c r="X34" s="159"/>
      <c r="Y34" s="159"/>
      <c r="Z34" s="167"/>
      <c r="AA34" s="167"/>
      <c r="AB34" s="163"/>
      <c r="AC34" s="164"/>
      <c r="AD34" s="164"/>
      <c r="AE34" s="164"/>
      <c r="AF34" s="164"/>
      <c r="AG34" s="164"/>
      <c r="AH34" s="164"/>
      <c r="AI34" s="164"/>
      <c r="AJ34" s="164"/>
      <c r="AK34" s="164"/>
      <c r="AL34" s="164"/>
      <c r="AM34" s="164"/>
      <c r="AN34" s="164"/>
      <c r="AO34" s="164"/>
      <c r="AP34" s="164"/>
    </row>
    <row r="35" spans="1:43" ht="18" customHeight="1" x14ac:dyDescent="0.25">
      <c r="A35" s="46"/>
      <c r="B35" s="129"/>
      <c r="C35" s="131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59"/>
      <c r="X35" s="159"/>
      <c r="Y35" s="159"/>
      <c r="Z35" s="167"/>
      <c r="AA35" s="167"/>
      <c r="AB35" s="163"/>
      <c r="AC35" s="164"/>
      <c r="AD35" s="164"/>
      <c r="AE35" s="164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</row>
    <row r="36" spans="1:43" ht="18" customHeight="1" x14ac:dyDescent="0.25">
      <c r="A36" s="46"/>
      <c r="B36" s="123" t="s">
        <v>519</v>
      </c>
      <c r="C36" s="122">
        <f>Projections_Data!C15</f>
        <v>0.15558645096056622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59"/>
      <c r="X36" s="159"/>
      <c r="Y36" s="159"/>
      <c r="Z36" s="167"/>
      <c r="AA36" s="167"/>
      <c r="AB36" s="163"/>
      <c r="AC36" s="164"/>
      <c r="AD36" s="164"/>
      <c r="AE36" s="164"/>
      <c r="AF36" s="164"/>
      <c r="AG36" s="164"/>
      <c r="AH36" s="164"/>
      <c r="AI36" s="164"/>
      <c r="AJ36" s="164"/>
      <c r="AK36" s="164"/>
      <c r="AL36" s="164"/>
      <c r="AM36" s="164"/>
      <c r="AN36" s="164"/>
      <c r="AO36" s="164"/>
      <c r="AP36" s="164"/>
    </row>
    <row r="37" spans="1:43" ht="20.399999999999999" customHeight="1" x14ac:dyDescent="0.25">
      <c r="A37" s="46"/>
      <c r="B37" s="123"/>
      <c r="C37" s="122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23" t="s">
        <v>518</v>
      </c>
      <c r="C38" s="131">
        <f ca="1">Projections!C12*Projections!C36</f>
        <v>2390.1190596562183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23"/>
      <c r="C39" s="131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59" t="s">
        <v>465</v>
      </c>
      <c r="X39" s="159"/>
      <c r="Y39" s="159"/>
      <c r="Z39" s="166"/>
      <c r="AA39" s="166"/>
      <c r="AB39" s="165" t="s">
        <v>550</v>
      </c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</row>
    <row r="40" spans="1:43" ht="20.399999999999999" customHeight="1" x14ac:dyDescent="0.25">
      <c r="A40" s="46"/>
      <c r="B40" s="123" t="s">
        <v>488</v>
      </c>
      <c r="C40" s="130">
        <f ca="1">Projections_Data!D31</f>
        <v>43923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59"/>
      <c r="X40" s="159"/>
      <c r="Y40" s="159"/>
      <c r="Z40" s="166"/>
      <c r="AA40" s="166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</row>
    <row r="41" spans="1:43" ht="20.399999999999999" customHeight="1" x14ac:dyDescent="0.25">
      <c r="A41" s="46"/>
      <c r="B41" s="123"/>
      <c r="C41" s="130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59"/>
      <c r="X41" s="159"/>
      <c r="Y41" s="159"/>
      <c r="Z41" s="166"/>
      <c r="AA41" s="166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</row>
    <row r="42" spans="1:43" ht="20.399999999999999" customHeight="1" x14ac:dyDescent="0.25">
      <c r="A42" s="46"/>
      <c r="B42" s="129" t="s">
        <v>489</v>
      </c>
      <c r="C42" s="128">
        <f ca="1">IFERROR(C40-TODAY(),"N/A")</f>
        <v>3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59"/>
      <c r="X42" s="159"/>
      <c r="Y42" s="159"/>
      <c r="Z42" s="166"/>
      <c r="AA42" s="166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</row>
    <row r="43" spans="1:43" ht="18" customHeight="1" x14ac:dyDescent="0.25">
      <c r="A43" s="46"/>
      <c r="B43" s="129"/>
      <c r="C43" s="128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26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26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27"/>
      <c r="C45" s="12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5" t="s">
        <v>542</v>
      </c>
      <c r="X45" s="146"/>
      <c r="Y45" s="147"/>
      <c r="Z45" s="139"/>
      <c r="AA45" s="140"/>
    </row>
    <row r="46" spans="1:43" ht="15.6" customHeight="1" x14ac:dyDescent="0.25">
      <c r="A46" s="46"/>
      <c r="B46" s="127"/>
      <c r="C46" s="12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8"/>
      <c r="X46" s="149"/>
      <c r="Y46" s="150"/>
      <c r="Z46" s="141"/>
      <c r="AA46" s="142"/>
    </row>
    <row r="47" spans="1:43" ht="13.8" customHeight="1" x14ac:dyDescent="0.25">
      <c r="A47" s="46"/>
      <c r="B47" s="127"/>
      <c r="C47" s="12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1"/>
      <c r="X47" s="152"/>
      <c r="Y47" s="153"/>
      <c r="Z47" s="143"/>
      <c r="AA47" s="144"/>
    </row>
    <row r="48" spans="1:43" ht="14.4" customHeight="1" x14ac:dyDescent="0.25">
      <c r="A48" s="46"/>
      <c r="B48" s="127"/>
      <c r="C48" s="12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9" t="str">
        <f>"Source: Analysis of John Hopkins University and WHO data.
Data updated: "&amp;TEXT(Projections_Data!C2,"DD/MM/YYYY")&amp;"."</f>
        <v>Source: Analysis of John Hopkins University and WHO data.
Data updated: 29/03/2020.</v>
      </c>
      <c r="C49" s="9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00"/>
      <c r="C50" s="100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00"/>
      <c r="C51" s="100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00"/>
      <c r="C52" s="100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1"/>
      <c r="C53" s="101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W32:Y36"/>
    <mergeCell ref="Z32:AA36"/>
    <mergeCell ref="W45:Y47"/>
    <mergeCell ref="Z45:AA47"/>
    <mergeCell ref="W3:Y5"/>
    <mergeCell ref="Z3:AC5"/>
    <mergeCell ref="AB8:AF10"/>
    <mergeCell ref="W13:AA14"/>
    <mergeCell ref="W15:Y16"/>
    <mergeCell ref="Z15:AA16"/>
    <mergeCell ref="W17:Y18"/>
    <mergeCell ref="Z17:AA18"/>
    <mergeCell ref="W19:Y20"/>
    <mergeCell ref="Z19:AA20"/>
    <mergeCell ref="AB32:AP36"/>
    <mergeCell ref="AB39:AQ42"/>
    <mergeCell ref="Z39:AA42"/>
    <mergeCell ref="W39:Y42"/>
    <mergeCell ref="B20:B21"/>
    <mergeCell ref="C20:C21"/>
    <mergeCell ref="B18:B19"/>
    <mergeCell ref="C18:C19"/>
    <mergeCell ref="Z8:AA10"/>
    <mergeCell ref="W8:Y10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Days_Since_100!$C$5:$C$140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tabSelected="1"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559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511</v>
      </c>
      <c r="C3" s="64" t="s">
        <v>477</v>
      </c>
      <c r="D3" s="64" t="s">
        <v>558</v>
      </c>
      <c r="E3" s="64" t="s">
        <v>503</v>
      </c>
      <c r="F3" s="64" t="s">
        <v>565</v>
      </c>
      <c r="G3" s="64" t="s">
        <v>567</v>
      </c>
      <c r="H3" s="65" t="s">
        <v>568</v>
      </c>
      <c r="J3" s="72" t="s">
        <v>540</v>
      </c>
      <c r="K3" s="64" t="s">
        <v>515</v>
      </c>
      <c r="L3" s="64" t="s">
        <v>478</v>
      </c>
      <c r="M3" s="65" t="s">
        <v>516</v>
      </c>
      <c r="Q3" s="73" t="s">
        <v>541</v>
      </c>
    </row>
    <row r="4" spans="2:18" s="59" customFormat="1" ht="13.8" customHeight="1" x14ac:dyDescent="0.3">
      <c r="B4" s="83">
        <v>1</v>
      </c>
      <c r="C4" s="78" t="s">
        <v>38</v>
      </c>
      <c r="D4" s="79">
        <f>VLOOKUP(C4,Country_Data!B:F,5,FALSE)</f>
        <v>140886</v>
      </c>
      <c r="E4" s="75">
        <f>D4*Projections_Data!$C$15</f>
        <v>21919.952730030334</v>
      </c>
      <c r="F4" s="79">
        <f>VLOOKUP(C4,Country_Data!C:G,5,FALSE)</f>
        <v>2467</v>
      </c>
      <c r="G4" s="80">
        <f>IFERROR(VLOOKUP(C4,Days_Since_100!C:G,5,FALSE)-1,0)</f>
        <v>0.21259014796915587</v>
      </c>
      <c r="H4" s="84">
        <f>IFERROR(VLOOKUP(C4,Deaths_since_10!C:G,5,FALSE)-1,0)</f>
        <v>0.28431894737958507</v>
      </c>
      <c r="J4" s="68" t="str">
        <f>IFERROR(LOG((M4/E4),1+G4),"")</f>
        <v/>
      </c>
      <c r="K4" s="67"/>
      <c r="L4" s="61">
        <f>VLOOKUP(C4,Country_Data!C:J,8,FALSE)</f>
        <v>331002651</v>
      </c>
      <c r="M4" s="60">
        <f>(L4/100000)*K4</f>
        <v>0</v>
      </c>
      <c r="O4" s="59">
        <f t="array" ref="O4">IF(OR(C4=$Q$4:$Q$22),1,0)</f>
        <v>1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56</v>
      </c>
      <c r="D5" s="75">
        <f>VLOOKUP(C5,Country_Data!B:F,5,FALSE)</f>
        <v>1418</v>
      </c>
      <c r="E5" s="75">
        <f>D5*Projections_Data!$C$15</f>
        <v>220.62158746208291</v>
      </c>
      <c r="F5" s="75">
        <f>VLOOKUP(C5,Country_Data!C:G,5,FALSE)</f>
        <v>71</v>
      </c>
      <c r="G5" s="76">
        <f>IFERROR(VLOOKUP(C5,Days_Since_100!C:G,5,FALSE)-1,0)</f>
        <v>0.20766764357056577</v>
      </c>
      <c r="H5" s="77">
        <f>IFERROR(VLOOKUP(C5,Deaths_since_10!C:G,5,FALSE)-1,0)</f>
        <v>0.15196175519870758</v>
      </c>
      <c r="J5" s="68">
        <f>IFERROR(LOG((M5/E5),1+G5),"")</f>
        <v>21.879851053920731</v>
      </c>
      <c r="K5" s="67">
        <v>12.5</v>
      </c>
      <c r="L5" s="61">
        <f>VLOOKUP(C5,Country_Data!C:J,8,FALSE)</f>
        <v>109581078</v>
      </c>
      <c r="M5" s="60">
        <f>(L5/100000)*K5</f>
        <v>13697.634750000001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63</v>
      </c>
      <c r="D6" s="75">
        <f>VLOOKUP(C6,Country_Data!B:F,5,FALSE)</f>
        <v>10836</v>
      </c>
      <c r="E6" s="75">
        <f>D6*Projections_Data!$C$15</f>
        <v>1685.9347826086955</v>
      </c>
      <c r="F6" s="75">
        <f>VLOOKUP(C6,Country_Data!C:G,5,FALSE)</f>
        <v>431</v>
      </c>
      <c r="G6" s="76">
        <f>IFERROR(VLOOKUP(C6,Days_Since_100!C:G,5,FALSE)-1,0)</f>
        <v>0.20478227177061337</v>
      </c>
      <c r="H6" s="77">
        <f>IFERROR(VLOOKUP(C6,Deaths_since_10!C:G,5,FALSE)-1,0)</f>
        <v>0.28713318624312789</v>
      </c>
      <c r="J6" s="68">
        <f>IFERROR(LOG((M6/E6),1+G6),"")</f>
        <v>-9.9006031427645507</v>
      </c>
      <c r="K6" s="67">
        <v>2.2999999999999998</v>
      </c>
      <c r="L6" s="61">
        <f>VLOOKUP(C6,Country_Data!C:J,8,FALSE)</f>
        <v>11589623</v>
      </c>
      <c r="M6" s="60">
        <f>(L6/100000)*K6</f>
        <v>266.561329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108</v>
      </c>
      <c r="D7" s="75">
        <f>VLOOKUP(C7,Country_Data!B:F,5,FALSE)</f>
        <v>5962</v>
      </c>
      <c r="E7" s="75">
        <f>D7*Projections_Data!$C$15</f>
        <v>927.60642062689578</v>
      </c>
      <c r="F7" s="75">
        <f>VLOOKUP(C7,Country_Data!C:G,5,FALSE)</f>
        <v>119</v>
      </c>
      <c r="G7" s="76">
        <f>IFERROR(VLOOKUP(C7,Days_Since_100!C:G,5,FALSE)-1,0)</f>
        <v>0.20343438366538336</v>
      </c>
      <c r="H7" s="77">
        <f>IFERROR(VLOOKUP(C7,Deaths_since_10!C:G,5,FALSE)-1,0)</f>
        <v>0.29242873213007869</v>
      </c>
      <c r="J7" s="68">
        <f>IFERROR(LOG((M7/E7),1+G7),"")</f>
        <v>1.3124981089554353</v>
      </c>
      <c r="K7" s="67">
        <v>11.6</v>
      </c>
      <c r="L7" s="61">
        <f>VLOOKUP(C7,Country_Data!C:J,8,FALSE)</f>
        <v>10196709</v>
      </c>
      <c r="M7" s="60">
        <f>(L7/100000)*K7</f>
        <v>1182.818244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349</v>
      </c>
      <c r="D8" s="75">
        <f>VLOOKUP(C8,Country_Data!B:F,5,FALSE)</f>
        <v>19780</v>
      </c>
      <c r="E8" s="75">
        <f>D8*Projections_Data!$C$15</f>
        <v>3077.5</v>
      </c>
      <c r="F8" s="75">
        <f>VLOOKUP(C8,Country_Data!C:G,5,FALSE)</f>
        <v>1231</v>
      </c>
      <c r="G8" s="76">
        <f>IFERROR(VLOOKUP(C8,Days_Since_100!C:G,5,FALSE)-1,0)</f>
        <v>0.19361607286565263</v>
      </c>
      <c r="H8" s="77">
        <f>IFERROR(VLOOKUP(C8,Deaths_since_10!C:G,5,FALSE)-1,0)</f>
        <v>0.23817929415649886</v>
      </c>
      <c r="J8" s="68">
        <f>IFERROR(LOG((M8/E8),1+G8),"")</f>
        <v>8.8732421083110626</v>
      </c>
      <c r="K8" s="67">
        <v>21.8</v>
      </c>
      <c r="L8" s="61">
        <f>VLOOKUP(C8,Country_Data!C:J,8,FALSE)</f>
        <v>67886011</v>
      </c>
      <c r="M8" s="60">
        <f>(L8/100000)*K8</f>
        <v>14799.150398</v>
      </c>
      <c r="O8" s="59">
        <f t="array" ref="O8">IF(OR(C8=$Q$4:$Q$22),1,0)</f>
        <v>1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124</v>
      </c>
      <c r="D9" s="75">
        <f>VLOOKUP(C9,Country_Data!B:F,5,FALSE)</f>
        <v>2139</v>
      </c>
      <c r="E9" s="75">
        <f>D9*Projections_Data!$C$15</f>
        <v>332.79941860465118</v>
      </c>
      <c r="F9" s="75">
        <f>VLOOKUP(C9,Country_Data!C:G,5,FALSE)</f>
        <v>7</v>
      </c>
      <c r="G9" s="76">
        <f>IFERROR(VLOOKUP(C9,Days_Since_100!C:G,5,FALSE)-1,0)</f>
        <v>0.18330301942665961</v>
      </c>
      <c r="H9" s="77">
        <f>IFERROR(VLOOKUP(C9,Deaths_since_10!C:G,5,FALSE)-1,0)</f>
        <v>0</v>
      </c>
      <c r="J9" s="68">
        <f>IFERROR(LOG((M9/E9),1+G9),"")</f>
        <v>16.753342702261655</v>
      </c>
      <c r="K9" s="67">
        <v>29.2</v>
      </c>
      <c r="L9" s="61">
        <f>VLOOKUP(C9,Country_Data!C:J,8,FALSE)</f>
        <v>19116201</v>
      </c>
      <c r="M9" s="60">
        <f>(L9/100000)*K9</f>
        <v>5581.9306919999999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145</v>
      </c>
      <c r="D10" s="75">
        <f>VLOOKUP(C10,Country_Data!B:F,5,FALSE)</f>
        <v>1280</v>
      </c>
      <c r="E10" s="75">
        <f>D10*Projections_Data!$C$15</f>
        <v>199.15065722952477</v>
      </c>
      <c r="F10" s="75">
        <f>VLOOKUP(C10,Country_Data!C:G,5,FALSE)</f>
        <v>2</v>
      </c>
      <c r="G10" s="76">
        <f>IFERROR(VLOOKUP(C10,Days_Since_100!C:G,5,FALSE)-1,0)</f>
        <v>0.18233362526317531</v>
      </c>
      <c r="H10" s="77">
        <f>IFERROR(VLOOKUP(C10,Deaths_since_10!C:G,5,FALSE)-1,0)</f>
        <v>0</v>
      </c>
      <c r="J10" s="68" t="str">
        <f>IFERROR(LOG((M10/E10),1+G10),"")</f>
        <v/>
      </c>
      <c r="K10" s="67"/>
      <c r="L10" s="61">
        <f>VLOOKUP(C10,Country_Data!C:J,8,FALSE)</f>
        <v>59308690</v>
      </c>
      <c r="M10" s="60">
        <f>(L10/100000)*K10</f>
        <v>0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45</v>
      </c>
      <c r="D11" s="75">
        <f>VLOOKUP(C11,Country_Data!B:F,5,FALSE)</f>
        <v>6280</v>
      </c>
      <c r="E11" s="75">
        <f>D11*Projections_Data!$C$15</f>
        <v>977.08291203235592</v>
      </c>
      <c r="F11" s="75">
        <f>VLOOKUP(C11,Country_Data!C:G,5,FALSE)</f>
        <v>64</v>
      </c>
      <c r="G11" s="76">
        <f>IFERROR(VLOOKUP(C11,Days_Since_100!C:G,5,FALSE)-1,0)</f>
        <v>0.17617268176154877</v>
      </c>
      <c r="H11" s="77">
        <f>IFERROR(VLOOKUP(C11,Deaths_since_10!C:G,5,FALSE)-1,0)</f>
        <v>0.19740571108299565</v>
      </c>
      <c r="J11" s="68">
        <f>IFERROR(LOG((M11/E11),1+G11),"")</f>
        <v>6.0414045892978283</v>
      </c>
      <c r="K11" s="67">
        <v>6.9</v>
      </c>
      <c r="L11" s="61">
        <f>VLOOKUP(C11,Country_Data!C:J,8,FALSE)</f>
        <v>37742154</v>
      </c>
      <c r="M11" s="60">
        <f>(L11/100000)*K11</f>
        <v>2604.2086260000001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137</v>
      </c>
      <c r="D12" s="75">
        <f>VLOOKUP(C12,Country_Data!B:F,5,FALSE)</f>
        <v>1862</v>
      </c>
      <c r="E12" s="75">
        <f>D12*Projections_Data!$C$15</f>
        <v>289.7019716885743</v>
      </c>
      <c r="F12" s="75">
        <f>VLOOKUP(C12,Country_Data!C:G,5,FALSE)</f>
        <v>22</v>
      </c>
      <c r="G12" s="76">
        <f>IFERROR(VLOOKUP(C12,Days_Since_100!C:G,5,FALSE)-1,0)</f>
        <v>0.15624795367199118</v>
      </c>
      <c r="H12" s="77">
        <f>IFERROR(VLOOKUP(C12,Deaths_since_10!C:G,5,FALSE)-1,0)</f>
        <v>0.17080491296489231</v>
      </c>
      <c r="J12" s="68" t="str">
        <f>IFERROR(LOG((M12/E12),1+G12),"")</f>
        <v/>
      </c>
      <c r="K12" s="67"/>
      <c r="L12" s="61">
        <f>VLOOKUP(C12,Country_Data!C:J,8,FALSE)</f>
        <v>37846611</v>
      </c>
      <c r="M12" s="60">
        <f>(L12/100000)*K12</f>
        <v>0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60</v>
      </c>
      <c r="D13" s="75">
        <f>VLOOKUP(C13,Country_Data!B:F,5,FALSE)</f>
        <v>80110</v>
      </c>
      <c r="E13" s="75">
        <f>D13*Projections_Data!$C$15</f>
        <v>12464.030586450961</v>
      </c>
      <c r="F13" s="75">
        <f>VLOOKUP(C13,Country_Data!C:G,5,FALSE)</f>
        <v>6803</v>
      </c>
      <c r="G13" s="76">
        <f>IFERROR(VLOOKUP(C13,Days_Since_100!C:G,5,FALSE)-1,0)</f>
        <v>0.14967589862615926</v>
      </c>
      <c r="H13" s="77">
        <f>IFERROR(VLOOKUP(C13,Deaths_since_10!C:G,5,FALSE)-1,0)</f>
        <v>0.1936051212383374</v>
      </c>
      <c r="J13" s="68">
        <f>IFERROR(LOG((M13/E13),1+G13),"")</f>
        <v>-10.00882041834741</v>
      </c>
      <c r="K13" s="67">
        <v>6.6</v>
      </c>
      <c r="L13" s="61">
        <f>VLOOKUP(C13,Country_Data!C:J,8,FALSE)</f>
        <v>46754778</v>
      </c>
      <c r="M13" s="60">
        <f>(L13/100000)*K13</f>
        <v>3085.8153479999996</v>
      </c>
      <c r="O13" s="59">
        <f t="array" ref="O13">IF(OR(C13=$Q$4:$Q$22),1,0)</f>
        <v>1</v>
      </c>
    </row>
    <row r="14" spans="2:18" s="59" customFormat="1" ht="13.8" customHeight="1" x14ac:dyDescent="0.3">
      <c r="B14" s="66">
        <f t="shared" si="0"/>
        <v>11</v>
      </c>
      <c r="C14" s="62" t="s">
        <v>89</v>
      </c>
      <c r="D14" s="75">
        <f>VLOOKUP(C14,Country_Data!B:F,5,FALSE)</f>
        <v>10930</v>
      </c>
      <c r="E14" s="75">
        <f>D14*Projections_Data!$C$15</f>
        <v>1700.5599089989889</v>
      </c>
      <c r="F14" s="75">
        <f>VLOOKUP(C14,Country_Data!C:G,5,FALSE)</f>
        <v>772</v>
      </c>
      <c r="G14" s="76">
        <f>IFERROR(VLOOKUP(C14,Days_Since_100!C:G,5,FALSE)-1,0)</f>
        <v>0.1439240548793892</v>
      </c>
      <c r="H14" s="77">
        <f>IFERROR(VLOOKUP(C14,Deaths_since_10!C:G,5,FALSE)-1,0)</f>
        <v>0.227516974086724</v>
      </c>
      <c r="J14" s="68" t="str">
        <f>IFERROR(LOG((M14/E14),1+G14),"")</f>
        <v/>
      </c>
      <c r="K14" s="67"/>
      <c r="L14" s="61">
        <f>VLOOKUP(C14,Country_Data!C:J,8,FALSE)</f>
        <v>17134872</v>
      </c>
      <c r="M14" s="60">
        <f>(L14/100000)*K14</f>
        <v>0</v>
      </c>
      <c r="O14" s="59">
        <f t="array" ref="O14">IF(OR(C14=$Q$4:$Q$22),1,0)</f>
        <v>0</v>
      </c>
      <c r="P14" s="95" t="s">
        <v>594</v>
      </c>
      <c r="Q14" s="96">
        <v>20</v>
      </c>
      <c r="R14" s="95" t="s">
        <v>595</v>
      </c>
    </row>
    <row r="15" spans="2:18" s="59" customFormat="1" ht="13.8" customHeight="1" x14ac:dyDescent="0.3">
      <c r="B15" s="66">
        <f t="shared" si="0"/>
        <v>12</v>
      </c>
      <c r="C15" s="62" t="s">
        <v>81</v>
      </c>
      <c r="D15" s="75">
        <f>VLOOKUP(C15,Country_Data!B:F,5,FALSE)</f>
        <v>4256</v>
      </c>
      <c r="E15" s="75">
        <f>D15*Projections_Data!$C$15</f>
        <v>662.17593528816985</v>
      </c>
      <c r="F15" s="75">
        <f>VLOOKUP(C15,Country_Data!C:G,5,FALSE)</f>
        <v>136</v>
      </c>
      <c r="G15" s="76">
        <f>IFERROR(VLOOKUP(C15,Days_Since_100!C:G,5,FALSE)-1,0)</f>
        <v>0.13626520910082607</v>
      </c>
      <c r="H15" s="77">
        <f>IFERROR(VLOOKUP(C15,Deaths_since_10!C:G,5,FALSE)-1,0)</f>
        <v>0.24209900915409777</v>
      </c>
      <c r="J15" s="68">
        <f>IFERROR(LOG((M15/E15),1+G15),"")</f>
        <v>20.363413214707638</v>
      </c>
      <c r="K15" s="67">
        <v>4.2</v>
      </c>
      <c r="L15" s="61">
        <f>VLOOKUP(C15,Country_Data!C:J,8,FALSE)</f>
        <v>212559417</v>
      </c>
      <c r="M15" s="60">
        <f>(L15/100000)*K15</f>
        <v>8927.4955140000002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53</v>
      </c>
      <c r="D16" s="75">
        <f>VLOOKUP(C16,Country_Data!B:F,5,FALSE)</f>
        <v>62095</v>
      </c>
      <c r="E16" s="75">
        <f>D16*Projections_Data!$C$15</f>
        <v>9661.1406723963592</v>
      </c>
      <c r="F16" s="75">
        <f>VLOOKUP(C16,Country_Data!C:G,5,FALSE)</f>
        <v>533</v>
      </c>
      <c r="G16" s="76">
        <f>IFERROR(VLOOKUP(C16,Days_Since_100!C:G,5,FALSE)-1,0)</f>
        <v>0.13486811764522422</v>
      </c>
      <c r="H16" s="77">
        <f>IFERROR(VLOOKUP(C16,Deaths_since_10!C:G,5,FALSE)-1,0)</f>
        <v>0.27692535733421098</v>
      </c>
      <c r="J16" s="68" t="str">
        <f>IFERROR(LOG((M16/E16),1+G16),"")</f>
        <v/>
      </c>
      <c r="K16" s="67"/>
      <c r="L16" s="61">
        <f>VLOOKUP(C16,Country_Data!C:J,8,FALSE)</f>
        <v>83783942</v>
      </c>
      <c r="M16" s="60">
        <f>(L16/100000)*K16</f>
        <v>0</v>
      </c>
      <c r="O16" s="59">
        <f t="array" ref="O16">IF(OR(C16=$Q$4:$Q$22),1,0)</f>
        <v>1</v>
      </c>
    </row>
    <row r="17" spans="2:15" s="59" customFormat="1" ht="13.8" customHeight="1" x14ac:dyDescent="0.3">
      <c r="B17" s="66">
        <f t="shared" si="0"/>
        <v>14</v>
      </c>
      <c r="C17" s="62" t="s">
        <v>107</v>
      </c>
      <c r="D17" s="75">
        <f>VLOOKUP(C17,Country_Data!B:F,5,FALSE)</f>
        <v>1285</v>
      </c>
      <c r="E17" s="75">
        <f>D17*Projections_Data!$C$15</f>
        <v>199.9285894843276</v>
      </c>
      <c r="F17" s="75">
        <f>VLOOKUP(C17,Country_Data!C:G,5,FALSE)</f>
        <v>114</v>
      </c>
      <c r="G17" s="76">
        <f>IFERROR(VLOOKUP(C17,Days_Since_100!C:G,5,FALSE)-1,0)</f>
        <v>0.13374609023979689</v>
      </c>
      <c r="H17" s="77">
        <f>IFERROR(VLOOKUP(C17,Deaths_since_10!C:G,5,FALSE)-1,0)</f>
        <v>0.15693359522062988</v>
      </c>
      <c r="J17" s="68" t="str">
        <f>IFERROR(LOG((M17/E17),1+G17),"")</f>
        <v/>
      </c>
      <c r="K17" s="67"/>
      <c r="L17" s="61">
        <f>VLOOKUP(C17,Country_Data!C:J,8,FALSE)</f>
        <v>273523615</v>
      </c>
      <c r="M17" s="60">
        <f>(L17/100000)*K17</f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41</v>
      </c>
      <c r="D18" s="75">
        <f>VLOOKUP(C18,Country_Data!B:F,5,FALSE)</f>
        <v>40708</v>
      </c>
      <c r="E18" s="75">
        <f>D18*Projections_Data!$C$15</f>
        <v>6333.6132457027297</v>
      </c>
      <c r="F18" s="75">
        <f>VLOOKUP(C18,Country_Data!C:G,5,FALSE)</f>
        <v>2611</v>
      </c>
      <c r="G18" s="76">
        <f>IFERROR(VLOOKUP(C18,Days_Since_100!C:G,5,FALSE)-1,0)</f>
        <v>0.12468202340703338</v>
      </c>
      <c r="H18" s="77">
        <f>IFERROR(VLOOKUP(C18,Deaths_since_10!C:G,5,FALSE)-1,0)</f>
        <v>0.18829714984615453</v>
      </c>
      <c r="J18" s="68">
        <f>IFERROR(LOG((M18/E18),1+G18),"")</f>
        <v>-3.5417492734673433</v>
      </c>
      <c r="K18" s="67">
        <v>6.4</v>
      </c>
      <c r="L18" s="61">
        <f>VLOOKUP(C18,Country_Data!C:J,8,FALSE)</f>
        <v>65273511</v>
      </c>
      <c r="M18" s="60">
        <f>(L18/100000)*K18</f>
        <v>4177.5047039999999</v>
      </c>
      <c r="O18" s="59">
        <f t="array" ref="O18">IF(OR(C18=$Q$4:$Q$22),1,0)</f>
        <v>1</v>
      </c>
    </row>
    <row r="19" spans="2:15" s="59" customFormat="1" ht="13.8" customHeight="1" x14ac:dyDescent="0.3">
      <c r="B19" s="66">
        <f t="shared" si="0"/>
        <v>16</v>
      </c>
      <c r="C19" s="62" t="s">
        <v>103</v>
      </c>
      <c r="D19" s="75">
        <f>VLOOKUP(C19,Country_Data!B:F,5,FALSE)</f>
        <v>1924</v>
      </c>
      <c r="E19" s="75">
        <f>D19*Projections_Data!$C$15</f>
        <v>299.34833164812943</v>
      </c>
      <c r="F19" s="75">
        <f>VLOOKUP(C19,Country_Data!C:G,5,FALSE)</f>
        <v>58</v>
      </c>
      <c r="G19" s="76">
        <f>IFERROR(VLOOKUP(C19,Days_Since_100!C:G,5,FALSE)-1,0)</f>
        <v>0.12200698701122303</v>
      </c>
      <c r="H19" s="77">
        <f>IFERROR(VLOOKUP(C19,Deaths_since_10!C:G,5,FALSE)-1,0)</f>
        <v>0.1652331886373577</v>
      </c>
      <c r="J19" s="68" t="str">
        <f>IFERROR(LOG((M19/E19),1+G19),"")</f>
        <v/>
      </c>
      <c r="K19" s="67"/>
      <c r="L19" s="61">
        <f>VLOOKUP(C19,Country_Data!C:J,8,FALSE)</f>
        <v>17643054</v>
      </c>
      <c r="M19" s="60"/>
      <c r="O19" s="59">
        <f t="array" ref="O19">IF(OR(C19=$Q$4:$Q$22),1,0)</f>
        <v>0</v>
      </c>
    </row>
    <row r="20" spans="2:15" s="59" customFormat="1" ht="13.8" customHeight="1" x14ac:dyDescent="0.2">
      <c r="B20" s="66">
        <f t="shared" si="0"/>
        <v>17</v>
      </c>
      <c r="C20" s="62" t="s">
        <v>78</v>
      </c>
      <c r="D20" s="75">
        <f>VLOOKUP(C20,Country_Data!B:F,5,FALSE)</f>
        <v>8788</v>
      </c>
      <c r="E20" s="75">
        <f>D20*Projections_Data!$C$15</f>
        <v>1367.2937310414559</v>
      </c>
      <c r="F20" s="75">
        <f>VLOOKUP(C20,Country_Data!C:G,5,FALSE)</f>
        <v>86</v>
      </c>
      <c r="G20" s="76">
        <f>IFERROR(VLOOKUP(C20,Days_Since_100!C:G,5,FALSE)-1,0)</f>
        <v>0.10713833221285163</v>
      </c>
      <c r="H20" s="77">
        <f>IFERROR(VLOOKUP(C20,Deaths_since_10!C:G,5,FALSE)-1,0)</f>
        <v>0.25160728984411285</v>
      </c>
      <c r="I20" s="58"/>
      <c r="J20" s="68" t="str">
        <f>IFERROR(LOG((M20/E20),1+G20),"")</f>
        <v/>
      </c>
      <c r="K20" s="67">
        <v>12.2</v>
      </c>
      <c r="L20" s="61">
        <f>VLOOKUP(C20,Country_Data!C:J,8,FALSE)</f>
        <v>9006398</v>
      </c>
      <c r="M20" s="60"/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43</v>
      </c>
      <c r="D21" s="75">
        <f>VLOOKUP(C21,Country_Data!B:F,5,FALSE)</f>
        <v>2470</v>
      </c>
      <c r="E21" s="75">
        <f>D21*Projections_Data!$C$15</f>
        <v>384.29853387259857</v>
      </c>
      <c r="F21" s="75">
        <f>VLOOKUP(C21,Country_Data!C:G,5,FALSE)</f>
        <v>35</v>
      </c>
      <c r="G21" s="76">
        <f>IFERROR(VLOOKUP(C21,Days_Since_100!C:G,5,FALSE)-1,0)</f>
        <v>8.7482271501330588E-2</v>
      </c>
      <c r="H21" s="77">
        <f>IFERROR(VLOOKUP(C21,Deaths_since_10!C:G,5,FALSE)-1,0)</f>
        <v>0.16947141871401028</v>
      </c>
      <c r="J21" s="68">
        <f>IFERROR(LOG((M21/E21),1+G21),"")</f>
        <v>34.47992038339369</v>
      </c>
      <c r="K21" s="67">
        <v>21.4</v>
      </c>
      <c r="L21" s="61">
        <f>VLOOKUP(C21,Country_Data!C:J,8,FALSE)</f>
        <v>32365999</v>
      </c>
      <c r="M21" s="60">
        <f>(L21/100000)*K21</f>
        <v>6926.323785999999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77</v>
      </c>
      <c r="D22" s="75">
        <f>VLOOKUP(C22,Country_Data!B:F,5,FALSE)</f>
        <v>14829</v>
      </c>
      <c r="E22" s="75">
        <f>D22*Projections_Data!$C$15</f>
        <v>2307.1914812942364</v>
      </c>
      <c r="F22" s="75">
        <f>VLOOKUP(C22,Country_Data!C:G,5,FALSE)</f>
        <v>300</v>
      </c>
      <c r="G22" s="76">
        <f>IFERROR(VLOOKUP(C22,Days_Since_100!C:G,5,FALSE)-1,0)</f>
        <v>8.466933504176799E-2</v>
      </c>
      <c r="H22" s="77">
        <f>IFERROR(VLOOKUP(C22,Deaths_since_10!C:G,5,FALSE)-1,0)</f>
        <v>0.19716024043688285</v>
      </c>
      <c r="J22" s="68" t="str">
        <f>IFERROR(LOG((M22/E22),1+G22),"")</f>
        <v/>
      </c>
      <c r="K22" s="67"/>
      <c r="L22" s="61">
        <f>VLOOKUP(C22,Country_Data!C:J,8,FALSE)</f>
        <v>8654622</v>
      </c>
      <c r="M22" s="60">
        <f>(L22/100000)*K22</f>
        <v>0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58</v>
      </c>
      <c r="D23" s="75">
        <f>VLOOKUP(C23,Country_Data!B:F,5,FALSE)</f>
        <v>97689</v>
      </c>
      <c r="E23" s="75">
        <f>D23*Projections_Data!$C$15</f>
        <v>15199.084807886755</v>
      </c>
      <c r="F23" s="75">
        <f>VLOOKUP(C23,Country_Data!C:G,5,FALSE)</f>
        <v>10779</v>
      </c>
      <c r="G23" s="76">
        <f>IFERROR(VLOOKUP(C23,Days_Since_100!C:G,5,FALSE)-1,0)</f>
        <v>7.1465134350410686E-2</v>
      </c>
      <c r="H23" s="77">
        <f>IFERROR(VLOOKUP(C23,Deaths_since_10!C:G,5,FALSE)-1,0)</f>
        <v>9.5869448379488187E-2</v>
      </c>
      <c r="J23" s="68">
        <f>IFERROR(LOG((M23/E23),1+G23),"")</f>
        <v>-20.754687570601522</v>
      </c>
      <c r="K23" s="67">
        <v>6</v>
      </c>
      <c r="L23" s="61">
        <f>VLOOKUP(C23,Country_Data!C:J,8,FALSE)</f>
        <v>60461826</v>
      </c>
      <c r="M23" s="60">
        <f>(L23/100000)*K23</f>
        <v>3627.7095599999998</v>
      </c>
      <c r="O23" s="59">
        <f t="array" ref="O23">IF(OR(C23=$Q$4:$Q$22),1,0)</f>
        <v>1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1950</v>
      </c>
      <c r="E24" s="75">
        <f>D24*Projections_Data!$C$15</f>
        <v>303.39357937310416</v>
      </c>
      <c r="F24" s="75">
        <f>VLOOKUP(C24,Country_Data!C:G,5,FALSE)</f>
        <v>21</v>
      </c>
      <c r="G24" s="76">
        <f>IFERROR(VLOOKUP(C24,Days_Since_100!C:G,5,FALSE)-1,0)</f>
        <v>0.12152093237905737</v>
      </c>
      <c r="H24" s="77">
        <f>IFERROR(VLOOKUP(C24,Deaths_since_10!C:G,5,FALSE)-1,0)</f>
        <v>0.21290241716173264</v>
      </c>
      <c r="J24" s="68">
        <f t="shared" ref="J24:J43" si="1">IFERROR(LOG((M24/E24),1+G24),"")</f>
        <v>-5.842419588255563</v>
      </c>
      <c r="K24" s="67">
        <v>24.8</v>
      </c>
      <c r="L24" s="61">
        <f>VLOOKUP(C24,Country_Data!C:J,8,FALSE)</f>
        <v>625978</v>
      </c>
      <c r="M24" s="60">
        <f t="shared" ref="M24:M27" si="2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1388</v>
      </c>
      <c r="E25" s="75">
        <f>D25*Projections_Data!$C$15</f>
        <v>215.95399393326591</v>
      </c>
      <c r="F25" s="75">
        <f>VLOOKUP(C25,Country_Data!C:G,5,FALSE)</f>
        <v>7</v>
      </c>
      <c r="G25" s="76">
        <f>IFERROR(VLOOKUP(C25,Days_Since_100!C:G,5,FALSE)-1,0)</f>
        <v>0.1091155425705399</v>
      </c>
      <c r="H25" s="77">
        <f>IFERROR(VLOOKUP(C25,Deaths_since_10!C:G,5,FALSE)-1,0)</f>
        <v>0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3984</v>
      </c>
      <c r="E26" s="75">
        <f>D26*Projections_Data!$C$15</f>
        <v>619.8564206268959</v>
      </c>
      <c r="F26" s="75">
        <f>VLOOKUP(C26,Country_Data!C:G,5,FALSE)</f>
        <v>16</v>
      </c>
      <c r="G26" s="76">
        <f>IFERROR(VLOOKUP(C26,Days_Since_100!C:G,5,FALSE)-1,0)</f>
        <v>0.14279330561342785</v>
      </c>
      <c r="H26" s="77">
        <f>IFERROR(VLOOKUP(C26,Deaths_since_10!C:G,5,FALSE)-1,0)</f>
        <v>0.1486983549970351</v>
      </c>
      <c r="J26" s="68" t="str">
        <f t="shared" si="1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1815</v>
      </c>
      <c r="E27" s="75">
        <f>D27*Projections_Data!$C$15</f>
        <v>282.38940849342771</v>
      </c>
      <c r="F27" s="75">
        <f>VLOOKUP(C27,Country_Data!C:G,5,FALSE)</f>
        <v>43</v>
      </c>
      <c r="G27" s="76">
        <f>IFERROR(VLOOKUP(C27,Days_Since_100!C:G,5,FALSE)-1,0)</f>
        <v>0.17980769763437077</v>
      </c>
      <c r="H27" s="77">
        <f>IFERROR(VLOOKUP(C27,Deaths_since_10!C:G,5,FALSE)-1,0)</f>
        <v>0.31345486686056256</v>
      </c>
      <c r="J27" s="68" t="str">
        <f t="shared" si="1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4247</v>
      </c>
      <c r="E28" s="75">
        <f>D28*Projections_Data!$C$15</f>
        <v>660.77565722952477</v>
      </c>
      <c r="F28" s="75">
        <f>VLOOKUP(C28,Country_Data!C:G,5,FALSE)</f>
        <v>15</v>
      </c>
      <c r="G28" s="76">
        <f>IFERROR(VLOOKUP(C28,Days_Since_100!C:G,5,FALSE)-1,0)</f>
        <v>0.27959437786008845</v>
      </c>
      <c r="H28" s="77">
        <f>IFERROR(VLOOKUP(C28,Deaths_since_10!C:G,5,FALSE)-1,0)</f>
        <v>0.23310603716523493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1299</v>
      </c>
      <c r="E29" s="75">
        <f>D29*Projections_Data!$C$15</f>
        <v>202.10679979777552</v>
      </c>
      <c r="F29" s="75">
        <f>VLOOKUP(C29,Country_Data!C:G,5,FALSE)</f>
        <v>8</v>
      </c>
      <c r="G29" s="76">
        <f>IFERROR(VLOOKUP(C29,Days_Since_100!C:G,5,FALSE)-1,0)</f>
        <v>0.11112458608486619</v>
      </c>
      <c r="H29" s="77">
        <f>IFERROR(VLOOKUP(C29,Deaths_since_10!C:G,5,FALSE)-1,0)</f>
        <v>0</v>
      </c>
      <c r="J29" s="68">
        <f t="shared" si="1"/>
        <v>26.723545376453909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1024</v>
      </c>
      <c r="E30" s="75">
        <f>D30*Projections_Data!$C$15</f>
        <v>159.32052578361981</v>
      </c>
      <c r="F30" s="75">
        <f>VLOOKUP(C30,Country_Data!C:G,5,FALSE)</f>
        <v>27</v>
      </c>
      <c r="G30" s="76">
        <f>IFERROR(VLOOKUP(C30,Days_Since_100!C:G,5,FALSE)-1,0)</f>
        <v>0.1382221515439408</v>
      </c>
      <c r="H30" s="77">
        <f>IFERROR(VLOOKUP(C30,Deaths_since_10!C:G,5,FALSE)-1,0)</f>
        <v>0.21975540946693473</v>
      </c>
      <c r="J30" s="68" t="str">
        <f t="shared" si="1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1534</v>
      </c>
      <c r="E31" s="75">
        <f>D31*Projections_Data!$C$15</f>
        <v>238.66961577350858</v>
      </c>
      <c r="F31" s="75">
        <f>VLOOKUP(C31,Country_Data!C:G,5,FALSE)</f>
        <v>8</v>
      </c>
      <c r="G31" s="76">
        <f>IFERROR(VLOOKUP(C31,Days_Since_100!C:G,5,FALSE)-1,0)</f>
        <v>0.25384551879896966</v>
      </c>
      <c r="H31" s="77">
        <f>IFERROR(VLOOKUP(C31,Deaths_since_10!C:G,5,FALSE)-1,0)</f>
        <v>0</v>
      </c>
      <c r="J31" s="68">
        <f t="shared" si="1"/>
        <v>16.278587607875583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2615</v>
      </c>
      <c r="E32" s="75">
        <f>D32*Projections_Data!$C$15</f>
        <v>406.85856926188069</v>
      </c>
      <c r="F32" s="75">
        <f>VLOOKUP(C32,Country_Data!C:G,5,FALSE)</f>
        <v>46</v>
      </c>
      <c r="G32" s="76">
        <f>IFERROR(VLOOKUP(C32,Days_Since_100!C:G,5,FALSE)-1,0)</f>
        <v>0.14495743719194887</v>
      </c>
      <c r="H32" s="77">
        <f>IFERROR(VLOOKUP(C32,Deaths_since_10!C:G,5,FALSE)-1,0)</f>
        <v>0.5035879292684402</v>
      </c>
      <c r="J32" s="68" t="str">
        <f t="shared" si="1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1597</v>
      </c>
      <c r="E33" s="75">
        <f>D33*Projections_Data!$C$15</f>
        <v>248.47156218402426</v>
      </c>
      <c r="F33" s="75">
        <f>VLOOKUP(C33,Country_Data!C:G,5,FALSE)</f>
        <v>14</v>
      </c>
      <c r="G33" s="76">
        <f>IFERROR(VLOOKUP(C33,Days_Since_100!C:G,5,FALSE)-1,0)</f>
        <v>0.10440338794773329</v>
      </c>
      <c r="H33" s="77">
        <f>IFERROR(VLOOKUP(C33,Deaths_since_10!C:G,5,FALSE)-1,0)</f>
        <v>0.15016331689560292</v>
      </c>
      <c r="J33" s="68" t="str">
        <f t="shared" si="1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347</v>
      </c>
      <c r="E34" s="75">
        <f>D34*Projections_Data!$C$15</f>
        <v>53.988498483316476</v>
      </c>
      <c r="F34" s="75">
        <f>VLOOKUP(C34,Country_Data!C:G,5,FALSE)</f>
        <v>0</v>
      </c>
      <c r="G34" s="76">
        <f>IFERROR(VLOOKUP(C34,Days_Since_100!C:G,5,FALSE)-1,0)</f>
        <v>0.11988299403915259</v>
      </c>
      <c r="H34" s="77">
        <f>IFERROR(VLOOKUP(C34,Deaths_since_10!C:G,5,FALSE)-1,0)</f>
        <v>0</v>
      </c>
      <c r="J34" s="68">
        <f t="shared" si="1"/>
        <v>11.890323570224245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438</v>
      </c>
      <c r="E35" s="75">
        <f>D35*Projections_Data!$C$15</f>
        <v>68.146865520727999</v>
      </c>
      <c r="F35" s="75">
        <f>VLOOKUP(C35,Country_Data!C:G,5,FALSE)</f>
        <v>10</v>
      </c>
      <c r="G35" s="76">
        <f>IFERROR(VLOOKUP(C35,Days_Since_100!C:G,5,FALSE)-1,0)</f>
        <v>6.6128119339313285E-2</v>
      </c>
      <c r="H35" s="77">
        <f>IFERROR(VLOOKUP(C35,Deaths_since_10!C:G,5,FALSE)-1,0)</f>
        <v>0.1180339887498949</v>
      </c>
      <c r="J35" s="68">
        <f t="shared" si="1"/>
        <v>28.264362955757004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298</v>
      </c>
      <c r="E36" s="75">
        <f>D36*Projections_Data!$C$15</f>
        <v>46.364762386248735</v>
      </c>
      <c r="F36" s="75">
        <f>VLOOKUP(C36,Country_Data!C:G,5,FALSE)</f>
        <v>2</v>
      </c>
      <c r="G36" s="76">
        <f>IFERROR(VLOOKUP(C36,Days_Since_100!C:G,5,FALSE)-1,0)</f>
        <v>6.7469710709584962E-2</v>
      </c>
      <c r="H36" s="77">
        <f>IFERROR(VLOOKUP(C36,Deaths_since_10!C:G,5,FALSE)-1,0)</f>
        <v>0</v>
      </c>
      <c r="J36" s="68" t="str">
        <f t="shared" si="1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1240</v>
      </c>
      <c r="E37" s="75">
        <f>D37*Projections_Data!$C$15</f>
        <v>192.92719919110212</v>
      </c>
      <c r="F37" s="75">
        <f>VLOOKUP(C37,Country_Data!C:G,5,FALSE)</f>
        <v>11</v>
      </c>
      <c r="G37" s="76">
        <f>IFERROR(VLOOKUP(C37,Days_Since_100!C:G,5,FALSE)-1,0)</f>
        <v>9.3803479849727367E-2</v>
      </c>
      <c r="H37" s="77">
        <f>IFERROR(VLOOKUP(C37,Deaths_since_10!C:G,5,FALSE)-1,0)</f>
        <v>0.22222222222222232</v>
      </c>
      <c r="I37" s="58"/>
      <c r="J37" s="68" t="str">
        <f t="shared" si="1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346</v>
      </c>
      <c r="E38" s="75">
        <f>D38*Projections_Data!$C$15</f>
        <v>53.832912032355914</v>
      </c>
      <c r="F38" s="75">
        <f>VLOOKUP(C38,Country_Data!C:G,5,FALSE)</f>
        <v>8</v>
      </c>
      <c r="G38" s="76">
        <f>IFERROR(VLOOKUP(C38,Days_Since_100!C:G,5,FALSE)-1,0)</f>
        <v>9.6791108484375554E-2</v>
      </c>
      <c r="H38" s="77">
        <f>IFERROR(VLOOKUP(C38,Deaths_since_10!C:G,5,FALSE)-1,0)</f>
        <v>0</v>
      </c>
      <c r="J38" s="68" t="str">
        <f t="shared" si="1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1020</v>
      </c>
      <c r="E39" s="75">
        <f>D39*Projections_Data!$C$15</f>
        <v>158.69817997977754</v>
      </c>
      <c r="F39" s="75">
        <f>VLOOKUP(C39,Country_Data!C:G,5,FALSE)</f>
        <v>5</v>
      </c>
      <c r="G39" s="76">
        <f>IFERROR(VLOOKUP(C39,Days_Since_100!C:G,5,FALSE)-1,0)</f>
        <v>9.4977091434474081E-2</v>
      </c>
      <c r="H39" s="77">
        <f>IFERROR(VLOOKUP(C39,Deaths_since_10!C:G,5,FALSE)-1,0)</f>
        <v>0</v>
      </c>
      <c r="J39" s="68" t="str">
        <f t="shared" si="1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1020</v>
      </c>
      <c r="E40" s="75">
        <f>D40*Projections_Data!$C$15</f>
        <v>158.69817997977754</v>
      </c>
      <c r="F40" s="75">
        <f>VLOOKUP(C40,Country_Data!C:G,5,FALSE)</f>
        <v>5</v>
      </c>
      <c r="G40" s="76">
        <f>IFERROR(VLOOKUP(C40,Days_Since_100!C:G,5,FALSE)-1,0)</f>
        <v>9.4977091434474081E-2</v>
      </c>
      <c r="H40" s="77">
        <f>IFERROR(VLOOKUP(C40,Deaths_since_10!C:G,5,FALSE)-1,0)</f>
        <v>0</v>
      </c>
      <c r="J40" s="68">
        <f t="shared" si="1"/>
        <v>-11.828719146671714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852</v>
      </c>
      <c r="E41" s="75">
        <f>D41*Projections_Data!$C$15</f>
        <v>132.55965621840244</v>
      </c>
      <c r="F41" s="75">
        <f>VLOOKUP(C41,Country_Data!C:G,5,FALSE)</f>
        <v>18</v>
      </c>
      <c r="G41" s="76">
        <f>IFERROR(VLOOKUP(C41,Days_Since_100!C:G,5,FALSE)-1,0)</f>
        <v>0.15416859466706412</v>
      </c>
      <c r="H41" s="77">
        <f>IFERROR(VLOOKUP(C41,Deaths_since_10!C:G,5,FALSE)-1,0)</f>
        <v>0.18920711500272103</v>
      </c>
      <c r="J41" s="68">
        <f t="shared" si="1"/>
        <v>29.912027762754651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314</v>
      </c>
      <c r="E42" s="75">
        <f>D42*Projections_Data!$C$15</f>
        <v>48.854145601617795</v>
      </c>
      <c r="F42" s="75">
        <f>VLOOKUP(C42,Country_Data!C:G,5,FALSE)</f>
        <v>1</v>
      </c>
      <c r="G42" s="76">
        <f>IFERROR(VLOOKUP(C42,Days_Since_100!C:G,5,FALSE)-1,0)</f>
        <v>9.0083826590395155E-2</v>
      </c>
      <c r="H42" s="77">
        <f>IFERROR(VLOOKUP(C42,Deaths_since_10!C:G,5,FALSE)-1,0)</f>
        <v>0</v>
      </c>
      <c r="I42" s="58"/>
      <c r="J42" s="68" t="str">
        <f t="shared" si="1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844</v>
      </c>
      <c r="E43" s="75">
        <f>D43*Projections_Data!$C$15</f>
        <v>131.31496461071788</v>
      </c>
      <c r="F43" s="75">
        <f>VLOOKUP(C43,Country_Data!C:G,5,FALSE)</f>
        <v>3</v>
      </c>
      <c r="G43" s="76">
        <f>IFERROR(VLOOKUP(C43,Days_Since_100!C:G,5,FALSE)-1,0)</f>
        <v>8.6279664638437392E-2</v>
      </c>
      <c r="H43" s="77">
        <f>IFERROR(VLOOKUP(C43,Deaths_since_10!C:G,5,FALSE)-1,0)</f>
        <v>0</v>
      </c>
      <c r="J43" s="68" t="str">
        <f t="shared" si="1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609</v>
      </c>
      <c r="E44" s="75">
        <f>D44*Projections_Data!$C$15</f>
        <v>94.752148634984835</v>
      </c>
      <c r="F44" s="75">
        <f>VLOOKUP(C44,Country_Data!C:G,5,FALSE)</f>
        <v>40</v>
      </c>
      <c r="G44" s="76">
        <f>IFERROR(VLOOKUP(C44,Days_Since_100!C:G,5,FALSE)-1,0)</f>
        <v>8.6621385240465143E-2</v>
      </c>
      <c r="H44" s="77">
        <f>IFERROR(VLOOKUP(C44,Deaths_since_10!C:G,5,FALSE)-1,0)</f>
        <v>0.1486983549970351</v>
      </c>
      <c r="J44" s="68">
        <f t="shared" ref="J44:J66" si="5">IFERROR(LOG((M44/E44),1+G44),"")</f>
        <v>33.247240694267319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4284</v>
      </c>
      <c r="E45" s="75">
        <f>D45*Projections_Data!$C$15</f>
        <v>666.53235591506575</v>
      </c>
      <c r="F45" s="75">
        <f>VLOOKUP(C45,Country_Data!C:G,5,FALSE)</f>
        <v>25</v>
      </c>
      <c r="G45" s="76">
        <f>IFERROR(VLOOKUP(C45,Days_Since_100!C:G,5,FALSE)-1,0)</f>
        <v>8.3940947756202755E-2</v>
      </c>
      <c r="H45" s="77">
        <f>IFERROR(VLOOKUP(C45,Deaths_since_10!C:G,5,FALSE)-1,0)</f>
        <v>0.15811517561929445</v>
      </c>
      <c r="J45" s="68">
        <f t="shared" si="5"/>
        <v>-5.3315016350283004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3700</v>
      </c>
      <c r="E46" s="75">
        <f>D46*Projections_Data!$C$15</f>
        <v>575.66986855409505</v>
      </c>
      <c r="F46" s="75">
        <f>VLOOKUP(C46,Country_Data!C:G,5,FALSE)</f>
        <v>110</v>
      </c>
      <c r="G46" s="76">
        <f>IFERROR(VLOOKUP(C46,Days_Since_100!C:G,5,FALSE)-1,0)</f>
        <v>0.10109578358577687</v>
      </c>
      <c r="H46" s="77">
        <f>IFERROR(VLOOKUP(C46,Deaths_since_10!C:G,5,FALSE)-1,0)</f>
        <v>0.25031095636244483</v>
      </c>
      <c r="J46" s="68">
        <f t="shared" si="5"/>
        <v>9.7661243918311662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1156</v>
      </c>
      <c r="E47" s="75">
        <f>D47*Projections_Data!$C$15</f>
        <v>179.85793731041457</v>
      </c>
      <c r="F47" s="75">
        <f>VLOOKUP(C47,Country_Data!C:G,5,FALSE)</f>
        <v>38</v>
      </c>
      <c r="G47" s="76">
        <f>IFERROR(VLOOKUP(C47,Days_Since_100!C:G,5,FALSE)-1,0)</f>
        <v>9.2430467772755431E-2</v>
      </c>
      <c r="H47" s="77">
        <f>IFERROR(VLOOKUP(C47,Deaths_since_10!C:G,5,FALSE)-1,0)</f>
        <v>0.13697448881013807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547</v>
      </c>
      <c r="E48" s="75">
        <f>D48*Projections_Data!$C$15</f>
        <v>85.105788675429721</v>
      </c>
      <c r="F48" s="75">
        <f>VLOOKUP(C48,Country_Data!C:G,5,FALSE)</f>
        <v>42</v>
      </c>
      <c r="G48" s="76">
        <f>IFERROR(VLOOKUP(C48,Days_Since_100!C:G,5,FALSE)-1,0)</f>
        <v>0.11598934650046067</v>
      </c>
      <c r="H48" s="77">
        <f>IFERROR(VLOOKUP(C48,Deaths_since_10!C:G,5,FALSE)-1,0)</f>
        <v>9.2388464140372939E-2</v>
      </c>
      <c r="J48" s="68">
        <f t="shared" si="5"/>
        <v>30.170717730791086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730</v>
      </c>
      <c r="E49" s="75">
        <f>D49*Projections_Data!$C$15</f>
        <v>113.57810920121335</v>
      </c>
      <c r="F49" s="75">
        <f>VLOOKUP(C49,Country_Data!C:G,5,FALSE)</f>
        <v>11</v>
      </c>
      <c r="G49" s="76">
        <f>IFERROR(VLOOKUP(C49,Days_Since_100!C:G,5,FALSE)-1,0)</f>
        <v>8.7467595231095263E-2</v>
      </c>
      <c r="H49" s="77">
        <f>IFERROR(VLOOKUP(C49,Deaths_since_10!C:G,5,FALSE)-1,0)</f>
        <v>0.10554159678513342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2564</v>
      </c>
      <c r="E50" s="75">
        <f>D50*Projections_Data!$C$15</f>
        <v>398.92366026289181</v>
      </c>
      <c r="F50" s="75">
        <f>VLOOKUP(C50,Country_Data!C:G,5,FALSE)</f>
        <v>72</v>
      </c>
      <c r="G50" s="76">
        <f>IFERROR(VLOOKUP(C50,Days_Since_100!C:G,5,FALSE)-1,0)</f>
        <v>8.3375405861493945E-2</v>
      </c>
      <c r="H50" s="77">
        <f>IFERROR(VLOOKUP(C50,Deaths_since_10!C:G,5,FALSE)-1,0)</f>
        <v>0.17607902252467356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224</v>
      </c>
      <c r="E51" s="75">
        <f>D51*Projections_Data!$C$15</f>
        <v>34.851365015166834</v>
      </c>
      <c r="F51" s="75">
        <f>VLOOKUP(C51,Country_Data!C:G,5,FALSE)</f>
        <v>22</v>
      </c>
      <c r="G51" s="76">
        <f>IFERROR(VLOOKUP(C51,Days_Since_100!C:G,5,FALSE)-1,0)</f>
        <v>3.676727950668246E-2</v>
      </c>
      <c r="H51" s="77">
        <f>IFERROR(VLOOKUP(C51,Deaths_since_10!C:G,5,FALSE)-1,0)</f>
        <v>9.3474199095688881E-3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570</v>
      </c>
      <c r="E52" s="75">
        <f>D52*Projections_Data!$C$15</f>
        <v>88.684277047522755</v>
      </c>
      <c r="F52" s="75">
        <f>VLOOKUP(C52,Country_Data!C:G,5,FALSE)</f>
        <v>3</v>
      </c>
      <c r="G52" s="76">
        <f>IFERROR(VLOOKUP(C52,Days_Since_100!C:G,5,FALSE)-1,0)</f>
        <v>0.18109446691031605</v>
      </c>
      <c r="H52" s="77">
        <f>IFERROR(VLOOKUP(C52,Deaths_since_10!C:G,5,FALSE)-1,0)</f>
        <v>0</v>
      </c>
      <c r="J52" s="68">
        <f t="shared" si="5"/>
        <v>12.083371758261611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499</v>
      </c>
      <c r="E53" s="75">
        <f>D53*Projections_Data!$C$15</f>
        <v>77.637639029322543</v>
      </c>
      <c r="F53" s="75">
        <f>VLOOKUP(C53,Country_Data!C:G,5,FALSE)</f>
        <v>4</v>
      </c>
      <c r="G53" s="76">
        <f>IFERROR(VLOOKUP(C53,Days_Since_100!C:G,5,FALSE)-1,0)</f>
        <v>4.9452764026918894E-2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679</v>
      </c>
      <c r="E54" s="75">
        <f>D54*Projections_Data!$C$15</f>
        <v>105.64320020222446</v>
      </c>
      <c r="F54" s="75">
        <f>VLOOKUP(C54,Country_Data!C:G,5,FALSE)</f>
        <v>3</v>
      </c>
      <c r="G54" s="76">
        <f>IFERROR(VLOOKUP(C54,Days_Since_100!C:G,5,FALSE)-1,0)</f>
        <v>0.12971444438331958</v>
      </c>
      <c r="H54" s="77">
        <f>IFERROR(VLOOKUP(C54,Deaths_since_10!C:G,5,FALSE)-1,0)</f>
        <v>0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255</v>
      </c>
      <c r="E55" s="75">
        <f>D55*Projections_Data!$C$15</f>
        <v>39.674544994944384</v>
      </c>
      <c r="F55" s="75">
        <f>VLOOKUP(C55,Country_Data!C:G,5,FALSE)</f>
        <v>0</v>
      </c>
      <c r="G55" s="76">
        <f>IFERROR(VLOOKUP(C55,Days_Since_100!C:G,5,FALSE)-1,0)</f>
        <v>5.9500979716015978E-2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38309</v>
      </c>
      <c r="E56" s="75">
        <f>D56*Projections_Data!$C$15</f>
        <v>5960.3613498483319</v>
      </c>
      <c r="F56" s="75">
        <f>VLOOKUP(C56,Country_Data!C:G,5,FALSE)</f>
        <v>2640</v>
      </c>
      <c r="G56" s="76">
        <f>IFERROR(VLOOKUP(C56,Days_Since_100!C:G,5,FALSE)-1,0)</f>
        <v>9.0765289629672008E-2</v>
      </c>
      <c r="H56" s="77">
        <f>IFERROR(VLOOKUP(C56,Deaths_since_10!C:G,5,FALSE)-1,0)</f>
        <v>6.4215282921297856E-2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1866</v>
      </c>
      <c r="E57" s="75">
        <f>D57*Projections_Data!$C$15</f>
        <v>290.32431749241658</v>
      </c>
      <c r="F57" s="75">
        <f>VLOOKUP(C57,Country_Data!C:G,5,FALSE)</f>
        <v>54</v>
      </c>
      <c r="G57" s="76">
        <f>IFERROR(VLOOKUP(C57,Days_Since_100!C:G,5,FALSE)-1,0)</f>
        <v>9.358926684359048E-2</v>
      </c>
      <c r="H57" s="77">
        <f>IFERROR(VLOOKUP(C57,Deaths_since_10!C:G,5,FALSE)-1,0)</f>
        <v>4.6610435928968297E-2</v>
      </c>
      <c r="J57" s="68">
        <f t="shared" si="5"/>
        <v>38.668860443530747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634</v>
      </c>
      <c r="E58" s="75">
        <f>D58*Projections_Data!$C$15</f>
        <v>98.641809908998994</v>
      </c>
      <c r="F58" s="75">
        <f>VLOOKUP(C58,Country_Data!C:G,5,FALSE)</f>
        <v>1</v>
      </c>
      <c r="G58" s="76">
        <f>IFERROR(VLOOKUP(C58,Days_Since_100!C:G,5,FALSE)-1,0)</f>
        <v>3.8055808113071077E-2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>
        <f>VLOOKUP(C59,Country_Data!C:J,8,FALSE)</f>
        <v>0</v>
      </c>
      <c r="M59" s="60">
        <f t="shared" si="6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82122</v>
      </c>
      <c r="E60" s="75">
        <f>D60*Projections_Data!$C$15</f>
        <v>12777.07052578362</v>
      </c>
      <c r="F60" s="75">
        <f>VLOOKUP(C60,Country_Data!C:G,5,FALSE)</f>
        <v>3304</v>
      </c>
      <c r="G60" s="76">
        <f>IFERROR(VLOOKUP(C60,Days_Since_100!C:G,5,FALSE)-1,0)</f>
        <v>1.2982389210189904E-3</v>
      </c>
      <c r="H60" s="77">
        <f>IFERROR(VLOOKUP(C60,Deaths_since_10!C:G,5,FALSE)-1,0)</f>
        <v>1.3980967632458707E-3</v>
      </c>
      <c r="I60" s="59"/>
      <c r="J60" s="68">
        <f t="shared" si="5"/>
        <v>1079.1147272797109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479</v>
      </c>
      <c r="D61" s="75">
        <f>VLOOKUP(C61,Country_Data!B:F,5,FALSE)</f>
        <v>2817</v>
      </c>
      <c r="E61" s="75">
        <f>D61*Projections_Data!$C$15</f>
        <v>438.28703235591507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476</v>
      </c>
      <c r="D62" s="75">
        <f>VLOOKUP(C62,Country_Data!B:F,5,FALSE)</f>
        <v>9583</v>
      </c>
      <c r="E62" s="75">
        <f>D62*Projections_Data!$C$15</f>
        <v>1490.9849595551061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214</v>
      </c>
      <c r="E63" s="75">
        <f>D63*Projections_Data!$C$15</f>
        <v>33.295500505561172</v>
      </c>
      <c r="F63" s="75">
        <f>VLOOKUP(C63,Country_Data!C:G,5,FALSE)</f>
        <v>5</v>
      </c>
      <c r="G63" s="76">
        <f>IFERROR(VLOOKUP(C63,Days_Since_100!C:G,5,FALSE)-1,0)</f>
        <v>0.11531724586667913</v>
      </c>
      <c r="H63" s="77">
        <f>IFERROR(VLOOKUP(C63,Deaths_since_10!C:G,5,FALSE)-1,0)</f>
        <v>0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6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13</v>
      </c>
      <c r="G65" s="75"/>
      <c r="H65" s="77">
        <f>IFERROR(VLOOKUP(C65,Deaths_since_10!C:G,5,FALSE)-1,0)</f>
        <v>7.6316922514810814E-2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7</v>
      </c>
      <c r="G66" s="75"/>
      <c r="H66" s="77">
        <f>IFERROR(VLOOKUP(C66,Deaths_since_10!C:G,5,FALSE)-1,0)</f>
        <v>0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566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G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topLeftCell="A4" zoomScale="80" zoomScaleNormal="80" workbookViewId="0">
      <selection activeCell="S22" sqref="S22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596</v>
      </c>
      <c r="T3" t="s">
        <v>514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150000</v>
      </c>
      <c r="T5">
        <v>10000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35</v>
      </c>
      <c r="T8">
        <v>30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98">
        <f ca="1">TODAY()-X14</f>
        <v>3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Z4" activePane="bottomRight" state="frozen"/>
      <selection pane="topRight" activeCell="G1" sqref="G1"/>
      <selection pane="bottomLeft" activeCell="A4" sqref="A4"/>
      <selection pane="bottomRight" activeCell="C13" sqref="C13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43919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19780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25</v>
      </c>
      <c r="F5" s="19" t="s">
        <v>505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2716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>
        <f>IF(VLOOKUP($B$2,Days_Since_100!$H:$KU,Projections_Data!AB$4+2,FALSE)=0,#N/A,VLOOKUP($B$2,Days_Since_100!$H:$KU,Projections_Data!AB$4+2,FALSE))</f>
        <v>11812</v>
      </c>
      <c r="AC5" s="40">
        <f>IF(VLOOKUP($B$2,Days_Since_100!$H:$KU,Projections_Data!AC$4+2,FALSE)=0,#N/A,VLOOKUP($B$2,Days_Since_100!$H:$KU,Projections_Data!AC$4+2,FALSE))</f>
        <v>14745</v>
      </c>
      <c r="AD5" s="40">
        <f>IF(VLOOKUP($B$2,Days_Since_100!$H:$KU,Projections_Data!AD$4+2,FALSE)=0,#N/A,VLOOKUP($B$2,Days_Since_100!$H:$KU,Projections_Data!AD$4+2,FALSE))</f>
        <v>17312</v>
      </c>
      <c r="AE5" s="40">
        <f>IF(VLOOKUP($B$2,Days_Since_100!$H:$KU,Projections_Data!AE$4+2,FALSE)=0,#N/A,VLOOKUP($B$2,Days_Since_100!$H:$KU,Projections_Data!AE$4+2,FALSE))</f>
        <v>19780</v>
      </c>
      <c r="AF5" s="40" t="e">
        <f>IF(VLOOKUP($B$2,Days_Since_100!$H:$KU,Projections_Data!AF$4+2,FALSE)=0,#N/A,VLOOKUP($B$2,Days_Since_100!$H:$KU,Projections_Data!AF$4+2,FALSE))</f>
        <v>#N/A</v>
      </c>
      <c r="AG5" s="40" t="e">
        <f>IF(VLOOKUP($B$2,Days_Since_100!$H:$KU,Projections_Data!AG$4+2,FALSE)=0,#N/A,VLOOKUP($B$2,Days_Since_100!$H:$KU,Projections_Data!AG$4+2,FALSE))</f>
        <v>#N/A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506</v>
      </c>
      <c r="C6" s="21">
        <f ca="1">HLOOKUP(C5-1,G4:IN8,5,FALSE)</f>
        <v>15362</v>
      </c>
      <c r="D6" s="42">
        <v>0.02</v>
      </c>
      <c r="F6" s="19" t="s">
        <v>584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>
        <f ca="1">IF(Projections_Data!AB$4+2-$C$9&lt;2,#N/A,IF(VLOOKUP($B$2,Deaths_since_10!$H:$KU,Projections_Data!AB$4+2-$C$9,FALSE)=0,#N/A,VLOOKUP($B$2,Deaths_since_10!$H:$KU,Projections_Data!AB$4+2-$C$9,FALSE)))</f>
        <v>580</v>
      </c>
      <c r="AC6" s="40">
        <f ca="1">IF(Projections_Data!AC$4+2-$C$9&lt;2,#N/A,IF(VLOOKUP($B$2,Deaths_since_10!$H:$KU,Projections_Data!AC$4+2-$C$9,FALSE)=0,#N/A,VLOOKUP($B$2,Deaths_since_10!$H:$KU,Projections_Data!AC$4+2-$C$9,FALSE)))</f>
        <v>761</v>
      </c>
      <c r="AD6" s="40">
        <f ca="1">IF(Projections_Data!AD$4+2-$C$9&lt;2,#N/A,IF(VLOOKUP($B$2,Deaths_since_10!$H:$KU,Projections_Data!AD$4+2-$C$9,FALSE)=0,#N/A,VLOOKUP($B$2,Deaths_since_10!$H:$KU,Projections_Data!AD$4+2-$C$9,FALSE)))</f>
        <v>1021</v>
      </c>
      <c r="AE6" s="40">
        <f ca="1">IF(Projections_Data!AE$4+2-$C$9&lt;2,#N/A,IF(VLOOKUP($B$2,Deaths_since_10!$H:$KU,Projections_Data!AE$4+2-$C$9,FALSE)=0,#N/A,VLOOKUP($B$2,Deaths_since_10!$H:$KU,Projections_Data!AE$4+2-$C$9,FALSE)))</f>
        <v>1231</v>
      </c>
      <c r="AF6" s="40" t="e">
        <f ca="1">IF(Projections_Data!AF$4+2-$C$9&lt;2,#N/A,IF(VLOOKUP($B$2,Deaths_since_10!$H:$KU,Projections_Data!AF$4+2-$C$9,FALSE)=0,#N/A,VLOOKUP($B$2,Deaths_since_10!$H:$KU,Projections_Data!AF$4+2-$C$9,FALSE)))</f>
        <v>#N/A</v>
      </c>
      <c r="AG6" s="40" t="e">
        <f ca="1">IF(Projections_Data!AG$4+2-$C$9&lt;2,#N/A,IF(VLOOKUP($B$2,Deaths_since_10!$H:$KU,Projections_Data!AG$4+2-$C$9,FALSE)=0,#N/A,VLOOKUP($B$2,Deaths_since_10!$H:$KU,Projections_Data!AG$4+2-$C$9,FALSE)))</f>
        <v>#N/A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508</v>
      </c>
      <c r="C7" s="21">
        <f ca="1">C4-C6-C8</f>
        <v>3187</v>
      </c>
      <c r="F7" s="19" t="s">
        <v>589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(U5-T5)-(U6-T6)</f>
        <v>40</v>
      </c>
      <c r="V7" s="40">
        <f t="shared" ref="V7" ca="1" si="15">(V5-U5)-(V6-U6)</f>
        <v>1258</v>
      </c>
      <c r="W7" s="40">
        <f t="shared" ref="W7" ca="1" si="16">(W5-V5)-(W6-V6)</f>
        <v>997</v>
      </c>
      <c r="X7" s="40">
        <f t="shared" ref="X7" ca="1" si="17">(X5-W5)-(X6-W6)</f>
        <v>630</v>
      </c>
      <c r="Y7" s="40">
        <f ca="1">(Y5-X5)-(Y6-X6)</f>
        <v>927</v>
      </c>
      <c r="Z7" s="40">
        <f t="shared" ref="Z7" ca="1" si="18">(Z5-Y5)-(Z6-Y6)</f>
        <v>1351</v>
      </c>
      <c r="AA7" s="40">
        <f t="shared" ref="AA7" ca="1" si="19">(AA5-Z5)-(AA6-Z6)</f>
        <v>1433</v>
      </c>
      <c r="AB7" s="40">
        <f t="shared" ref="AB7" ca="1" si="20">(AB5-AA5)-(AB6-AA6)</f>
        <v>2058</v>
      </c>
      <c r="AC7" s="40">
        <f t="shared" ref="AC7" ca="1" si="21">(AC5-AB5)-(AC6-AB6)</f>
        <v>2752</v>
      </c>
      <c r="AD7" s="40">
        <f t="shared" ref="AD7" ca="1" si="22">(AD5-AC5)-(AD6-AC6)</f>
        <v>2307</v>
      </c>
      <c r="AE7" s="40">
        <f t="shared" ref="AE7" ca="1" si="23">(AE5-AD5)-(AE6-AD6)</f>
        <v>2258</v>
      </c>
      <c r="AF7" s="40" t="e">
        <f t="shared" ref="AF7" ca="1" si="24">(AF5-AE5)-(AF6-AE6)</f>
        <v>#N/A</v>
      </c>
      <c r="AG7" s="40" t="e">
        <f t="shared" ref="AG7" ca="1" si="25">(AG5-AF5)-(AG6-AF6)</f>
        <v>#N/A</v>
      </c>
      <c r="AH7" s="40" t="e">
        <f t="shared" ref="AH7" ca="1" si="26">(AH5-AG5)-(AH6-AG6)</f>
        <v>#N/A</v>
      </c>
      <c r="AI7" s="40" t="e">
        <f ca="1">(AI5-AH5)-(AI6-AH6)</f>
        <v>#N/A</v>
      </c>
      <c r="AJ7" s="40" t="e">
        <f t="shared" ref="AJ7" ca="1" si="27">(AJ5-AI5)-(AJ6-AI6)</f>
        <v>#N/A</v>
      </c>
      <c r="AK7" s="40" t="e">
        <f t="shared" ref="AK7" ca="1" si="28">(AK5-AJ5)-(AK6-AJ6)</f>
        <v>#N/A</v>
      </c>
      <c r="AL7" s="40" t="e">
        <f t="shared" ref="AL7" ca="1" si="29">(AL5-AK5)-(AL6-AK6)</f>
        <v>#N/A</v>
      </c>
      <c r="AM7" s="40" t="e">
        <f t="shared" ref="AM7" ca="1" si="30">(AM5-AL5)-(AM6-AL6)</f>
        <v>#N/A</v>
      </c>
      <c r="AN7" s="40" t="e">
        <f t="shared" ref="AN7" ca="1" si="31">(AN5-AM5)-(AN6-AM6)</f>
        <v>#N/A</v>
      </c>
      <c r="AO7" s="40" t="e">
        <f t="shared" ref="AO7" ca="1" si="32">(AO5-AN5)-(AO6-AN6)</f>
        <v>#N/A</v>
      </c>
      <c r="AP7" s="40" t="e">
        <f t="shared" ref="AP7" ca="1" si="33">(AP5-AO5)-(AP6-AO6)</f>
        <v>#N/A</v>
      </c>
      <c r="AQ7" s="40" t="e">
        <f t="shared" ref="AQ7" ca="1" si="34">(AQ5-AP5)-(AQ6-AP6)</f>
        <v>#N/A</v>
      </c>
      <c r="AR7" s="40" t="e">
        <f t="shared" ref="AR7" ca="1" si="35">(AR5-AQ5)-(AR6-AQ6)</f>
        <v>#N/A</v>
      </c>
      <c r="AS7" s="40" t="e">
        <f t="shared" ref="AS7" ca="1" si="36">(AS5-AR5)-(AS6-AR6)</f>
        <v>#N/A</v>
      </c>
      <c r="AT7" s="40" t="e">
        <f t="shared" ref="AT7" ca="1" si="37">(AT5-AS5)-(AT6-AS6)</f>
        <v>#N/A</v>
      </c>
      <c r="AU7" s="40" t="e">
        <f t="shared" ref="AU7" ca="1" si="38">(AU5-AT5)-(AU6-AT6)</f>
        <v>#N/A</v>
      </c>
      <c r="AV7" s="40" t="e">
        <f t="shared" ref="AV7" ca="1" si="39">(AV5-AU5)-(AV6-AU6)</f>
        <v>#N/A</v>
      </c>
      <c r="AW7" s="40" t="e">
        <f t="shared" ref="AW7" ca="1" si="40">(AW5-AV5)-(AW6-AV6)</f>
        <v>#N/A</v>
      </c>
      <c r="AX7" s="40" t="e">
        <f t="shared" ref="AX7" ca="1" si="41">(AX5-AW5)-(AX6-AW6)</f>
        <v>#N/A</v>
      </c>
      <c r="AY7" s="40" t="e">
        <f t="shared" ref="AY7" ca="1" si="42">(AY5-AX5)-(AY6-AX6)</f>
        <v>#N/A</v>
      </c>
      <c r="AZ7" s="40" t="e">
        <f t="shared" ref="AZ7" ca="1" si="43">(AZ5-AY5)-(AZ6-AY6)</f>
        <v>#N/A</v>
      </c>
      <c r="BA7" s="40" t="e">
        <f t="shared" ref="BA7" ca="1" si="44">(BA5-AZ5)-(BA6-AZ6)</f>
        <v>#N/A</v>
      </c>
      <c r="BB7" s="40" t="e">
        <f t="shared" ref="BB7" ca="1" si="45">(BB5-BA5)-(BB6-BA6)</f>
        <v>#N/A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509</v>
      </c>
      <c r="C8" s="21">
        <f>VLOOKUP(B2,Country_Data!C:G,5,FALSE)</f>
        <v>1231</v>
      </c>
      <c r="F8" s="19" t="s">
        <v>506</v>
      </c>
      <c r="G8" s="40">
        <f>G5</f>
        <v>116</v>
      </c>
      <c r="H8" s="40">
        <f ca="1">SUM($G$7:H7)</f>
        <v>164</v>
      </c>
      <c r="I8" s="40">
        <f ca="1">SUM($G$7:I7)</f>
        <v>207</v>
      </c>
      <c r="J8" s="40">
        <f ca="1">SUM($G$7:J7)</f>
        <v>274</v>
      </c>
      <c r="K8" s="40">
        <f ca="1">SUM($G$7:K7)</f>
        <v>322</v>
      </c>
      <c r="L8" s="40">
        <f ca="1">SUM($G$7:L7)</f>
        <v>384</v>
      </c>
      <c r="M8" s="40">
        <f ca="1">SUM($G$7:M7)</f>
        <v>459</v>
      </c>
      <c r="N8" s="40">
        <f ca="1">SUM($G$7:N7)</f>
        <v>588</v>
      </c>
      <c r="O8" s="40">
        <f ca="1">SUM($G$7:O7)</f>
        <v>799</v>
      </c>
      <c r="P8" s="40">
        <f ca="1">SUM($G$7:P7)</f>
        <v>1131</v>
      </c>
      <c r="Q8" s="40">
        <f ca="1">SUM($G$7:Q7)</f>
        <v>1328</v>
      </c>
      <c r="R8" s="40">
        <f ca="1">SUM(H7:R7)-G7</f>
        <v>1271</v>
      </c>
      <c r="S8" s="40">
        <f t="shared" ref="S8:CD8" ca="1" si="68">SUM(I7:S7)-H7</f>
        <v>1685</v>
      </c>
      <c r="T8" s="40">
        <f t="shared" ca="1" si="68"/>
        <v>2296</v>
      </c>
      <c r="U8" s="40">
        <f t="shared" ca="1" si="68"/>
        <v>2245</v>
      </c>
      <c r="V8" s="40">
        <f t="shared" ca="1" si="68"/>
        <v>3474</v>
      </c>
      <c r="W8" s="40">
        <f t="shared" ca="1" si="68"/>
        <v>4395</v>
      </c>
      <c r="X8" s="40">
        <f t="shared" ca="1" si="68"/>
        <v>4937</v>
      </c>
      <c r="Y8" s="40">
        <f t="shared" ca="1" si="68"/>
        <v>5681</v>
      </c>
      <c r="Z8" s="40">
        <f t="shared" ca="1" si="68"/>
        <v>6739</v>
      </c>
      <c r="AA8" s="40">
        <f t="shared" ca="1" si="68"/>
        <v>7719</v>
      </c>
      <c r="AB8" s="40">
        <f t="shared" ca="1" si="68"/>
        <v>9715</v>
      </c>
      <c r="AC8" s="40">
        <f t="shared" ca="1" si="68"/>
        <v>12314</v>
      </c>
      <c r="AD8" s="40">
        <f t="shared" ca="1" si="68"/>
        <v>14008</v>
      </c>
      <c r="AE8" s="40">
        <f t="shared" ca="1" si="68"/>
        <v>15362</v>
      </c>
      <c r="AF8" s="40" t="e">
        <f t="shared" ca="1" si="68"/>
        <v>#N/A</v>
      </c>
      <c r="AG8" s="40" t="e">
        <f t="shared" ca="1" si="68"/>
        <v>#N/A</v>
      </c>
      <c r="AH8" s="40" t="e">
        <f t="shared" ca="1" si="68"/>
        <v>#N/A</v>
      </c>
      <c r="AI8" s="40" t="e">
        <f ca="1">SUM(Y7:AI7)-X7</f>
        <v>#N/A</v>
      </c>
      <c r="AJ8" s="40" t="e">
        <f t="shared" ca="1" si="68"/>
        <v>#N/A</v>
      </c>
      <c r="AK8" s="40" t="e">
        <f ca="1">SUM(AA7:AK7)-Z7</f>
        <v>#N/A</v>
      </c>
      <c r="AL8" s="40" t="e">
        <f ca="1">SUM(AB7:AL7)-AA7</f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68"/>
        <v>#N/A</v>
      </c>
      <c r="AP8" s="40" t="e">
        <f t="shared" ca="1" si="68"/>
        <v>#N/A</v>
      </c>
      <c r="AQ8" s="40" t="e">
        <f t="shared" ca="1" si="68"/>
        <v>#N/A</v>
      </c>
      <c r="AR8" s="40" t="e">
        <f t="shared" ca="1" si="68"/>
        <v>#N/A</v>
      </c>
      <c r="AS8" s="40" t="e">
        <f t="shared" ca="1" si="68"/>
        <v>#N/A</v>
      </c>
      <c r="AT8" s="40" t="e">
        <f t="shared" ca="1" si="68"/>
        <v>#N/A</v>
      </c>
      <c r="AU8" s="40" t="e">
        <f t="shared" ca="1" si="68"/>
        <v>#N/A</v>
      </c>
      <c r="AV8" s="40" t="e">
        <f t="shared" ca="1" si="68"/>
        <v>#N/A</v>
      </c>
      <c r="AW8" s="40" t="e">
        <f t="shared" ca="1" si="68"/>
        <v>#N/A</v>
      </c>
      <c r="AX8" s="40" t="e">
        <f t="shared" ca="1" si="68"/>
        <v>#N/A</v>
      </c>
      <c r="AY8" s="40" t="e">
        <f t="shared" ca="1" si="68"/>
        <v>#N/A</v>
      </c>
      <c r="AZ8" s="40" t="e">
        <f t="shared" ca="1" si="68"/>
        <v>#N/A</v>
      </c>
      <c r="BA8" s="40" t="e">
        <f t="shared" ca="1" si="68"/>
        <v>#N/A</v>
      </c>
      <c r="BB8" s="40" t="e">
        <f t="shared" ca="1" si="68"/>
        <v>#N/A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574</v>
      </c>
      <c r="C9" s="85">
        <f ca="1">VLOOKUP(B2,Country_Data!C:P,14,FALSE)</f>
        <v>6</v>
      </c>
      <c r="F9" s="19" t="s">
        <v>585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2"/>
        <v>164</v>
      </c>
      <c r="I9" s="40">
        <f t="shared" ca="1" si="72"/>
        <v>207</v>
      </c>
      <c r="J9" s="40">
        <f t="shared" ca="1" si="72"/>
        <v>274</v>
      </c>
      <c r="K9" s="40">
        <f t="shared" ca="1" si="72"/>
        <v>322</v>
      </c>
      <c r="L9" s="40">
        <f t="shared" ca="1" si="72"/>
        <v>384</v>
      </c>
      <c r="M9" s="40">
        <f t="shared" ca="1" si="72"/>
        <v>459</v>
      </c>
      <c r="N9" s="40">
        <f t="shared" ca="1" si="72"/>
        <v>588</v>
      </c>
      <c r="O9" s="40">
        <f t="shared" ca="1" si="72"/>
        <v>799</v>
      </c>
      <c r="P9" s="40">
        <f t="shared" ca="1" si="72"/>
        <v>1131</v>
      </c>
      <c r="Q9" s="40">
        <f t="shared" ca="1" si="72"/>
        <v>1328</v>
      </c>
      <c r="R9" s="40">
        <f t="shared" ca="1" si="72"/>
        <v>1271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2245</v>
      </c>
      <c r="V9" s="40">
        <f t="shared" ca="1" si="72"/>
        <v>3474</v>
      </c>
      <c r="W9" s="40">
        <f t="shared" ca="1" si="72"/>
        <v>4395</v>
      </c>
      <c r="X9" s="40">
        <f t="shared" ca="1" si="72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2"/>
        <v>6739</v>
      </c>
      <c r="AA9" s="40">
        <f t="shared" ca="1" si="72"/>
        <v>7719</v>
      </c>
      <c r="AB9" s="40">
        <f t="shared" ca="1" si="72"/>
        <v>9715</v>
      </c>
      <c r="AC9" s="40">
        <f t="shared" ca="1" si="72"/>
        <v>12314</v>
      </c>
      <c r="AD9" s="40">
        <f t="shared" ca="1" si="72"/>
        <v>14008</v>
      </c>
      <c r="AE9" s="40">
        <f t="shared" ca="1" si="72"/>
        <v>15362</v>
      </c>
      <c r="AF9" s="40">
        <f t="shared" ca="1" si="72"/>
        <v>18319.387129020597</v>
      </c>
      <c r="AG9" s="40">
        <f t="shared" ca="1" si="72"/>
        <v>21846.110192873683</v>
      </c>
      <c r="AH9" s="40">
        <f t="shared" ca="1" si="72"/>
        <v>26051.773850181995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31067.083098501458</v>
      </c>
      <c r="AJ9" s="40">
        <f t="shared" ca="1" si="72"/>
        <v>37047.905367198342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44180.114616653198</v>
      </c>
      <c r="AL9" s="40">
        <f t="shared" ca="1" si="72"/>
        <v>52685.367990298881</v>
      </c>
      <c r="AM9" s="40">
        <f t="shared" ca="1" si="72"/>
        <v>62827.994548183509</v>
      </c>
      <c r="AN9" s="40">
        <f t="shared" ca="1" si="72"/>
        <v>74923.21017238441</v>
      </c>
      <c r="AO9" s="40">
        <f t="shared" ca="1" si="72"/>
        <v>89346.913949803682</v>
      </c>
      <c r="AP9" s="40">
        <f t="shared" ca="1" si="72"/>
        <v>106547.37048755008</v>
      </c>
      <c r="AQ9" s="40">
        <f t="shared" ca="1" si="72"/>
        <v>127059.14122774471</v>
      </c>
      <c r="AR9" s="40">
        <f t="shared" ca="1" si="72"/>
        <v>151519.69772373108</v>
      </c>
      <c r="AS9" s="40">
        <f t="shared" ca="1" si="72"/>
        <v>180689.23319054881</v>
      </c>
      <c r="AT9" s="40">
        <f t="shared" ca="1" si="72"/>
        <v>215474.28803954832</v>
      </c>
      <c r="AU9" s="40">
        <f t="shared" ca="1" si="72"/>
        <v>256955.92363927735</v>
      </c>
      <c r="AV9" s="40">
        <f t="shared" ca="1" si="72"/>
        <v>306423.31989604066</v>
      </c>
      <c r="AW9" s="40">
        <f t="shared" ca="1" si="72"/>
        <v>365413.84081078559</v>
      </c>
      <c r="AX9" s="40">
        <f t="shared" ca="1" si="72"/>
        <v>435760.81318285951</v>
      </c>
      <c r="AY9" s="40">
        <f t="shared" ca="1" si="72"/>
        <v>519650.50334289973</v>
      </c>
      <c r="AZ9" s="40">
        <f t="shared" ca="1" si="72"/>
        <v>619690.06265648955</v>
      </c>
      <c r="BA9" s="40">
        <f t="shared" ca="1" si="72"/>
        <v>738988.553431276</v>
      </c>
      <c r="BB9" s="40">
        <f t="shared" ca="1" si="72"/>
        <v>881253.57337732508</v>
      </c>
      <c r="BC9" s="40">
        <f t="shared" ca="1" si="72"/>
        <v>1050906.4815474534</v>
      </c>
      <c r="BD9" s="40">
        <f t="shared" ca="1" si="72"/>
        <v>1253219.8067871854</v>
      </c>
      <c r="BE9" s="40">
        <f t="shared" ca="1" si="72"/>
        <v>1494481.1091193103</v>
      </c>
      <c r="BF9" s="40">
        <f t="shared" ca="1" si="72"/>
        <v>1782188.3866010103</v>
      </c>
      <c r="BG9" s="40">
        <f t="shared" ca="1" si="72"/>
        <v>2125283.1005720957</v>
      </c>
      <c r="BH9" s="40">
        <f t="shared" ca="1" si="72"/>
        <v>2534428.0613296083</v>
      </c>
      <c r="BI9" s="40">
        <f t="shared" ca="1" si="72"/>
        <v>3022338.8104511295</v>
      </c>
      <c r="BJ9" s="40">
        <f t="shared" ca="1" si="72"/>
        <v>3604178.7985755662</v>
      </c>
      <c r="BK9" s="40">
        <f t="shared" ca="1" si="72"/>
        <v>4298030.6401063763</v>
      </c>
      <c r="BL9" s="40">
        <f t="shared" ca="1" si="72"/>
        <v>5125458.0906458087</v>
      </c>
      <c r="BM9" s="40">
        <f t="shared" ca="1" si="72"/>
        <v>6112176.2124795802</v>
      </c>
      <c r="BN9" s="40">
        <f t="shared" ca="1" si="72"/>
        <v>7288850.55573521</v>
      </c>
      <c r="BO9" s="40">
        <f t="shared" ca="1" si="72"/>
        <v>8692050.192428736</v>
      </c>
      <c r="BP9" s="40">
        <f t="shared" ca="1" si="72"/>
        <v>10365384.222105194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12360857.069768719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14740484.696496833</v>
      </c>
      <c r="BS9" s="40">
        <f t="shared" ca="1" si="74"/>
        <v>17578221.951863635</v>
      </c>
      <c r="BT9" s="40">
        <f t="shared" ca="1" si="74"/>
        <v>20962260.967064057</v>
      </c>
      <c r="BU9" s="40">
        <f t="shared" ca="1" si="74"/>
        <v>24997772.018956136</v>
      </c>
      <c r="BV9" s="40">
        <f t="shared" ca="1" si="74"/>
        <v>27154404.400000002</v>
      </c>
      <c r="BW9" s="40">
        <f t="shared" ca="1" si="74"/>
        <v>27154404.400000002</v>
      </c>
      <c r="BX9" s="40">
        <f t="shared" ca="1" si="74"/>
        <v>27154404.400000002</v>
      </c>
      <c r="BY9" s="40">
        <f t="shared" ca="1" si="74"/>
        <v>27154404.400000002</v>
      </c>
      <c r="BZ9" s="40">
        <f t="shared" ca="1" si="74"/>
        <v>27154404.400000002</v>
      </c>
      <c r="CA9" s="40">
        <f t="shared" ca="1" si="74"/>
        <v>27154404.400000002</v>
      </c>
      <c r="CB9" s="40">
        <f t="shared" ca="1" si="74"/>
        <v>27154404.400000002</v>
      </c>
      <c r="CC9" s="40">
        <f t="shared" ca="1" si="74"/>
        <v>27154404.400000002</v>
      </c>
      <c r="CD9" s="40">
        <f t="shared" ca="1" si="74"/>
        <v>27154404.400000002</v>
      </c>
      <c r="CE9" s="40">
        <f t="shared" ca="1" si="74"/>
        <v>27154404.400000002</v>
      </c>
      <c r="CF9" s="40">
        <f t="shared" ca="1" si="74"/>
        <v>27154404.400000002</v>
      </c>
      <c r="CG9" s="40">
        <f t="shared" ca="1" si="74"/>
        <v>27154404.400000002</v>
      </c>
      <c r="CH9" s="40">
        <f t="shared" ca="1" si="74"/>
        <v>27154404.400000002</v>
      </c>
      <c r="CI9" s="40">
        <f t="shared" ca="1" si="74"/>
        <v>27154404.400000002</v>
      </c>
      <c r="CJ9" s="40">
        <f t="shared" ca="1" si="74"/>
        <v>27154404.400000002</v>
      </c>
      <c r="CK9" s="40">
        <f t="shared" ca="1" si="74"/>
        <v>27154404.400000002</v>
      </c>
      <c r="CL9" s="40">
        <f t="shared" ca="1" si="74"/>
        <v>27154404.400000002</v>
      </c>
      <c r="CM9" s="40">
        <f t="shared" ca="1" si="74"/>
        <v>27154404.400000002</v>
      </c>
      <c r="CN9" s="40">
        <f t="shared" ca="1" si="74"/>
        <v>27154404.400000002</v>
      </c>
      <c r="CO9" s="40">
        <f t="shared" ca="1" si="74"/>
        <v>27154404.400000002</v>
      </c>
      <c r="CP9" s="40">
        <f t="shared" ca="1" si="74"/>
        <v>27154404.400000002</v>
      </c>
      <c r="CQ9" s="40">
        <f t="shared" ca="1" si="74"/>
        <v>27154404.400000002</v>
      </c>
      <c r="CR9" s="40">
        <f t="shared" ca="1" si="74"/>
        <v>27154404.400000002</v>
      </c>
      <c r="CS9" s="40">
        <f t="shared" ca="1" si="74"/>
        <v>27154404.400000002</v>
      </c>
      <c r="CT9" s="40">
        <f t="shared" ca="1" si="74"/>
        <v>27154404.400000002</v>
      </c>
      <c r="CU9" s="40">
        <f t="shared" ca="1" si="74"/>
        <v>27154404.400000002</v>
      </c>
      <c r="CV9" s="40">
        <f t="shared" ca="1" si="74"/>
        <v>27154404.400000002</v>
      </c>
      <c r="CW9" s="40">
        <f t="shared" ca="1" si="74"/>
        <v>27154404.400000002</v>
      </c>
      <c r="CX9" s="40">
        <f t="shared" ca="1" si="74"/>
        <v>27154404.400000002</v>
      </c>
      <c r="CY9" s="40">
        <f t="shared" ca="1" si="74"/>
        <v>27154404.400000002</v>
      </c>
      <c r="CZ9" s="40">
        <f t="shared" ca="1" si="74"/>
        <v>27154404.400000002</v>
      </c>
      <c r="DA9" s="40">
        <f t="shared" ca="1" si="74"/>
        <v>27154404.400000002</v>
      </c>
      <c r="DB9" s="40">
        <f t="shared" ca="1" si="74"/>
        <v>27154404.400000002</v>
      </c>
      <c r="DC9" s="40">
        <f t="shared" ca="1" si="74"/>
        <v>27154404.400000002</v>
      </c>
      <c r="DD9" s="40">
        <f t="shared" ca="1" si="74"/>
        <v>27154404.400000002</v>
      </c>
      <c r="DE9" s="40">
        <f t="shared" ca="1" si="74"/>
        <v>27154404.400000002</v>
      </c>
      <c r="DF9" s="40">
        <f t="shared" ca="1" si="74"/>
        <v>27154404.400000002</v>
      </c>
      <c r="DG9" s="40">
        <f t="shared" ca="1" si="74"/>
        <v>27154404.400000002</v>
      </c>
      <c r="DH9" s="40">
        <f t="shared" ca="1" si="74"/>
        <v>27154404.400000002</v>
      </c>
      <c r="DI9" s="40">
        <f t="shared" ca="1" si="74"/>
        <v>27154404.400000002</v>
      </c>
      <c r="DJ9" s="40">
        <f t="shared" ca="1" si="74"/>
        <v>27154404.400000002</v>
      </c>
      <c r="DK9" s="40">
        <f t="shared" ca="1" si="74"/>
        <v>27154404.400000002</v>
      </c>
      <c r="DL9" s="40">
        <f t="shared" ca="1" si="74"/>
        <v>27154404.400000002</v>
      </c>
      <c r="DM9" s="40">
        <f t="shared" ca="1" si="74"/>
        <v>27154404.400000002</v>
      </c>
      <c r="DN9" s="40">
        <f t="shared" ca="1" si="74"/>
        <v>27154404.400000002</v>
      </c>
      <c r="DO9" s="40">
        <f t="shared" ca="1" si="74"/>
        <v>27154404.400000002</v>
      </c>
      <c r="DP9" s="40">
        <f t="shared" ca="1" si="74"/>
        <v>27154404.400000002</v>
      </c>
      <c r="DQ9" s="40">
        <f t="shared" ca="1" si="74"/>
        <v>27154404.400000002</v>
      </c>
      <c r="DR9" s="40">
        <f t="shared" ca="1" si="74"/>
        <v>27154404.400000002</v>
      </c>
      <c r="DS9" s="40">
        <f t="shared" ca="1" si="74"/>
        <v>27154404.400000002</v>
      </c>
      <c r="DT9" s="40">
        <f t="shared" ca="1" si="74"/>
        <v>27154404.400000002</v>
      </c>
      <c r="DU9" s="40">
        <f t="shared" ca="1" si="74"/>
        <v>27154404.400000002</v>
      </c>
      <c r="DV9" s="40">
        <f t="shared" ca="1" si="74"/>
        <v>27154404.400000002</v>
      </c>
      <c r="DW9" s="40">
        <f t="shared" ca="1" si="74"/>
        <v>27154404.400000002</v>
      </c>
      <c r="DX9" s="40">
        <f t="shared" ca="1" si="74"/>
        <v>27154404.400000002</v>
      </c>
      <c r="DY9" s="40">
        <f t="shared" ca="1" si="74"/>
        <v>27154404.400000002</v>
      </c>
      <c r="DZ9" s="40">
        <f t="shared" ca="1" si="74"/>
        <v>27154404.400000002</v>
      </c>
      <c r="EA9" s="40">
        <f t="shared" ca="1" si="74"/>
        <v>27154404.400000002</v>
      </c>
      <c r="EB9" s="40">
        <f t="shared" ca="1" si="74"/>
        <v>27154404.400000002</v>
      </c>
      <c r="EC9" s="40">
        <f t="shared" ca="1" si="74"/>
        <v>27154404.400000002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27154404.400000002</v>
      </c>
      <c r="EE9" s="40">
        <f t="shared" ca="1" si="75"/>
        <v>27154404.400000002</v>
      </c>
      <c r="EF9" s="40">
        <f t="shared" ca="1" si="75"/>
        <v>27154404.400000002</v>
      </c>
      <c r="EG9" s="40">
        <f t="shared" ca="1" si="75"/>
        <v>27154404.400000002</v>
      </c>
      <c r="EH9" s="40">
        <f t="shared" ca="1" si="75"/>
        <v>27154404.400000002</v>
      </c>
      <c r="EI9" s="40">
        <f t="shared" ca="1" si="75"/>
        <v>27154404.400000002</v>
      </c>
      <c r="EJ9" s="40">
        <f t="shared" ca="1" si="75"/>
        <v>27154404.400000002</v>
      </c>
      <c r="EK9" s="40">
        <f t="shared" ca="1" si="75"/>
        <v>27154404.400000002</v>
      </c>
      <c r="EL9" s="40">
        <f t="shared" ca="1" si="75"/>
        <v>27154404.400000002</v>
      </c>
      <c r="EM9" s="40">
        <f t="shared" ca="1" si="75"/>
        <v>27154404.400000002</v>
      </c>
      <c r="EN9" s="40">
        <f t="shared" ca="1" si="75"/>
        <v>27154404.400000002</v>
      </c>
      <c r="EO9" s="40">
        <f t="shared" ca="1" si="75"/>
        <v>27154404.400000002</v>
      </c>
      <c r="EP9" s="40">
        <f t="shared" ca="1" si="75"/>
        <v>27154404.400000002</v>
      </c>
      <c r="EQ9" s="40">
        <f t="shared" ca="1" si="75"/>
        <v>27154404.400000002</v>
      </c>
      <c r="ER9" s="40">
        <f t="shared" ca="1" si="75"/>
        <v>27154404.400000002</v>
      </c>
      <c r="ES9" s="40">
        <f t="shared" ca="1" si="75"/>
        <v>27154404.400000002</v>
      </c>
      <c r="ET9" s="40">
        <f t="shared" ca="1" si="75"/>
        <v>27154404.400000002</v>
      </c>
      <c r="EU9" s="40">
        <f t="shared" ca="1" si="75"/>
        <v>27154404.400000002</v>
      </c>
      <c r="EV9" s="40">
        <f t="shared" ca="1" si="75"/>
        <v>27154404.400000002</v>
      </c>
      <c r="EW9" s="40">
        <f t="shared" ca="1" si="75"/>
        <v>27154404.400000002</v>
      </c>
      <c r="EX9" s="40">
        <f t="shared" ca="1" si="75"/>
        <v>27154404.400000002</v>
      </c>
      <c r="EY9" s="40">
        <f t="shared" ca="1" si="75"/>
        <v>27154404.400000002</v>
      </c>
      <c r="EZ9" s="40">
        <f t="shared" ca="1" si="75"/>
        <v>27154404.400000002</v>
      </c>
      <c r="FA9" s="40">
        <f t="shared" ca="1" si="75"/>
        <v>27154404.400000002</v>
      </c>
      <c r="FB9" s="40">
        <f t="shared" ca="1" si="75"/>
        <v>27154404.400000002</v>
      </c>
      <c r="FC9" s="40">
        <f t="shared" ca="1" si="75"/>
        <v>27154404.400000002</v>
      </c>
      <c r="FD9" s="40">
        <f t="shared" ca="1" si="75"/>
        <v>27154404.400000002</v>
      </c>
      <c r="FE9" s="40">
        <f t="shared" ca="1" si="75"/>
        <v>27154404.400000002</v>
      </c>
      <c r="FF9" s="40">
        <f t="shared" ca="1" si="75"/>
        <v>27154404.400000002</v>
      </c>
      <c r="FG9" s="40">
        <f t="shared" ca="1" si="75"/>
        <v>27154404.400000002</v>
      </c>
      <c r="FH9" s="40">
        <f t="shared" ca="1" si="75"/>
        <v>27154404.400000002</v>
      </c>
      <c r="FI9" s="40">
        <f t="shared" ca="1" si="75"/>
        <v>27154404.400000002</v>
      </c>
      <c r="FJ9" s="40">
        <f t="shared" ca="1" si="75"/>
        <v>27154404.400000002</v>
      </c>
      <c r="FK9" s="40">
        <f t="shared" ca="1" si="75"/>
        <v>27154404.400000002</v>
      </c>
      <c r="FL9" s="40">
        <f t="shared" ca="1" si="75"/>
        <v>27154404.400000002</v>
      </c>
      <c r="FM9" s="40">
        <f t="shared" ca="1" si="75"/>
        <v>27154404.400000002</v>
      </c>
      <c r="FN9" s="40">
        <f t="shared" ca="1" si="75"/>
        <v>27154404.400000002</v>
      </c>
      <c r="FO9" s="40">
        <f t="shared" ca="1" si="75"/>
        <v>27154404.400000002</v>
      </c>
      <c r="FP9" s="40">
        <f t="shared" ca="1" si="75"/>
        <v>27154404.400000002</v>
      </c>
      <c r="FQ9" s="40">
        <f t="shared" ca="1" si="75"/>
        <v>27154404.400000002</v>
      </c>
      <c r="FR9" s="40">
        <f t="shared" ca="1" si="75"/>
        <v>27154404.400000002</v>
      </c>
      <c r="FS9" s="40">
        <f t="shared" ca="1" si="75"/>
        <v>27154404.400000002</v>
      </c>
      <c r="FT9" s="40">
        <f t="shared" ca="1" si="75"/>
        <v>27154404.400000002</v>
      </c>
      <c r="FU9" s="40">
        <f t="shared" ca="1" si="75"/>
        <v>27154404.400000002</v>
      </c>
      <c r="FV9" s="40">
        <f t="shared" ca="1" si="75"/>
        <v>27154404.400000002</v>
      </c>
      <c r="FW9" s="40">
        <f t="shared" ca="1" si="75"/>
        <v>27154404.400000002</v>
      </c>
      <c r="FX9" s="40">
        <f t="shared" ca="1" si="75"/>
        <v>27154404.400000002</v>
      </c>
      <c r="FY9" s="40">
        <f t="shared" ca="1" si="75"/>
        <v>27154404.400000002</v>
      </c>
      <c r="FZ9" s="40">
        <f t="shared" ca="1" si="75"/>
        <v>27154404.400000002</v>
      </c>
      <c r="GA9" s="40">
        <f t="shared" ca="1" si="75"/>
        <v>27154404.400000002</v>
      </c>
      <c r="GB9" s="40">
        <f t="shared" ca="1" si="75"/>
        <v>27154404.400000002</v>
      </c>
      <c r="GC9" s="40">
        <f t="shared" ca="1" si="75"/>
        <v>27154404.400000002</v>
      </c>
      <c r="GD9" s="40">
        <f t="shared" ca="1" si="75"/>
        <v>27154404.400000002</v>
      </c>
      <c r="GE9" s="40">
        <f t="shared" ca="1" si="75"/>
        <v>27154404.400000002</v>
      </c>
      <c r="GF9" s="40">
        <f t="shared" ca="1" si="75"/>
        <v>27154404.400000002</v>
      </c>
      <c r="GG9" s="40">
        <f t="shared" ca="1" si="75"/>
        <v>27154404.400000002</v>
      </c>
      <c r="GH9" s="40">
        <f t="shared" ca="1" si="75"/>
        <v>27154404.400000002</v>
      </c>
      <c r="GI9" s="40">
        <f t="shared" ca="1" si="75"/>
        <v>27154404.400000002</v>
      </c>
      <c r="GJ9" s="40">
        <f t="shared" ca="1" si="75"/>
        <v>27154404.400000002</v>
      </c>
      <c r="GK9" s="40">
        <f t="shared" ca="1" si="75"/>
        <v>27154404.400000002</v>
      </c>
      <c r="GL9" s="40">
        <f t="shared" ca="1" si="75"/>
        <v>27154404.400000002</v>
      </c>
      <c r="GM9" s="40">
        <f t="shared" ca="1" si="75"/>
        <v>27154404.400000002</v>
      </c>
      <c r="GN9" s="40">
        <f t="shared" ca="1" si="75"/>
        <v>27154404.400000002</v>
      </c>
      <c r="GO9" s="40">
        <f t="shared" ca="1" si="75"/>
        <v>27154404.400000002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27154404.400000002</v>
      </c>
      <c r="GQ9" s="40">
        <f t="shared" ca="1" si="76"/>
        <v>27154404.400000002</v>
      </c>
      <c r="GR9" s="40">
        <f t="shared" ca="1" si="76"/>
        <v>27154404.400000002</v>
      </c>
      <c r="GS9" s="40">
        <f t="shared" ca="1" si="76"/>
        <v>27154404.400000002</v>
      </c>
      <c r="GT9" s="40">
        <f t="shared" ca="1" si="76"/>
        <v>27154404.400000002</v>
      </c>
      <c r="GU9" s="40">
        <f t="shared" ca="1" si="76"/>
        <v>27154404.400000002</v>
      </c>
      <c r="GV9" s="40">
        <f t="shared" ca="1" si="76"/>
        <v>27154404.400000002</v>
      </c>
      <c r="GW9" s="40">
        <f t="shared" ca="1" si="76"/>
        <v>27154404.400000002</v>
      </c>
      <c r="GX9" s="40">
        <f t="shared" ca="1" si="76"/>
        <v>27154404.400000002</v>
      </c>
      <c r="GY9" s="40">
        <f t="shared" ca="1" si="76"/>
        <v>27154404.400000002</v>
      </c>
      <c r="GZ9" s="40">
        <f t="shared" ca="1" si="76"/>
        <v>27154404.400000002</v>
      </c>
      <c r="HA9" s="40">
        <f t="shared" ca="1" si="76"/>
        <v>27154404.400000002</v>
      </c>
      <c r="HB9" s="40">
        <f t="shared" ca="1" si="76"/>
        <v>27154404.400000002</v>
      </c>
      <c r="HC9" s="40">
        <f t="shared" ca="1" si="76"/>
        <v>27154404.400000002</v>
      </c>
      <c r="HD9" s="40">
        <f t="shared" ca="1" si="76"/>
        <v>27154404.400000002</v>
      </c>
      <c r="HE9" s="40">
        <f t="shared" ca="1" si="76"/>
        <v>27154404.400000002</v>
      </c>
      <c r="HF9" s="40">
        <f t="shared" ca="1" si="76"/>
        <v>27154404.400000002</v>
      </c>
      <c r="HG9" s="40">
        <f t="shared" ca="1" si="76"/>
        <v>27154404.400000002</v>
      </c>
      <c r="HH9" s="40">
        <f t="shared" ca="1" si="76"/>
        <v>27154404.400000002</v>
      </c>
      <c r="HI9" s="40">
        <f t="shared" ca="1" si="76"/>
        <v>27154404.400000002</v>
      </c>
      <c r="HJ9" s="40">
        <f t="shared" ca="1" si="76"/>
        <v>27154404.400000002</v>
      </c>
      <c r="HK9" s="40">
        <f t="shared" ca="1" si="76"/>
        <v>27154404.400000002</v>
      </c>
      <c r="HL9" s="40">
        <f t="shared" ca="1" si="76"/>
        <v>27154404.400000002</v>
      </c>
      <c r="HM9" s="40">
        <f t="shared" ca="1" si="76"/>
        <v>27154404.400000002</v>
      </c>
      <c r="HN9" s="40">
        <f t="shared" ca="1" si="76"/>
        <v>27154404.400000002</v>
      </c>
      <c r="HO9" s="40">
        <f t="shared" ca="1" si="76"/>
        <v>27154404.400000002</v>
      </c>
      <c r="HP9" s="40">
        <f t="shared" ca="1" si="76"/>
        <v>27154404.400000002</v>
      </c>
      <c r="HQ9" s="40">
        <f t="shared" ca="1" si="76"/>
        <v>27154404.400000002</v>
      </c>
      <c r="HR9" s="40">
        <f t="shared" ca="1" si="76"/>
        <v>27154404.400000002</v>
      </c>
      <c r="HS9" s="40">
        <f t="shared" ca="1" si="76"/>
        <v>27154404.400000002</v>
      </c>
      <c r="HT9" s="40">
        <f t="shared" ca="1" si="76"/>
        <v>27154404.400000002</v>
      </c>
      <c r="HU9" s="40">
        <f t="shared" ca="1" si="76"/>
        <v>27154404.400000002</v>
      </c>
      <c r="HV9" s="40">
        <f t="shared" ca="1" si="76"/>
        <v>27154404.400000002</v>
      </c>
      <c r="HW9" s="40">
        <f t="shared" ca="1" si="76"/>
        <v>27154404.400000002</v>
      </c>
      <c r="HX9" s="40">
        <f t="shared" ca="1" si="76"/>
        <v>27154404.400000002</v>
      </c>
      <c r="HY9" s="40">
        <f t="shared" ca="1" si="76"/>
        <v>27154404.400000002</v>
      </c>
      <c r="HZ9" s="40">
        <f t="shared" ca="1" si="76"/>
        <v>27154404.400000002</v>
      </c>
      <c r="IA9" s="40">
        <f t="shared" ca="1" si="76"/>
        <v>27154404.400000002</v>
      </c>
      <c r="IB9" s="40">
        <f t="shared" ca="1" si="76"/>
        <v>27154404.400000002</v>
      </c>
      <c r="IC9" s="40">
        <f t="shared" ca="1" si="76"/>
        <v>27154404.400000002</v>
      </c>
      <c r="ID9" s="40">
        <f t="shared" ca="1" si="76"/>
        <v>27154404.400000002</v>
      </c>
      <c r="IE9" s="40">
        <f t="shared" ca="1" si="76"/>
        <v>27154404.400000002</v>
      </c>
      <c r="IF9" s="40">
        <f t="shared" ca="1" si="76"/>
        <v>27154404.400000002</v>
      </c>
      <c r="IG9" s="40">
        <f t="shared" ca="1" si="76"/>
        <v>27154404.400000002</v>
      </c>
      <c r="IH9" s="40">
        <f t="shared" ca="1" si="76"/>
        <v>27154404.400000002</v>
      </c>
      <c r="II9" s="40">
        <f t="shared" ca="1" si="76"/>
        <v>27154404.400000002</v>
      </c>
      <c r="IJ9" s="40">
        <f t="shared" ca="1" si="76"/>
        <v>27154404.400000002</v>
      </c>
      <c r="IK9" s="40">
        <f t="shared" ca="1" si="76"/>
        <v>27154404.400000002</v>
      </c>
      <c r="IL9" s="40">
        <f t="shared" ca="1" si="76"/>
        <v>27154404.400000002</v>
      </c>
      <c r="IM9" s="40">
        <f t="shared" ca="1" si="76"/>
        <v>27154404.400000002</v>
      </c>
      <c r="IN9" s="40">
        <f t="shared" ca="1" si="76"/>
        <v>27154404.400000002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164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207</v>
      </c>
      <c r="J10" s="40">
        <f t="shared" ca="1" si="78"/>
        <v>274</v>
      </c>
      <c r="K10" s="40">
        <f t="shared" ca="1" si="78"/>
        <v>322</v>
      </c>
      <c r="L10" s="40">
        <f t="shared" ca="1" si="78"/>
        <v>384</v>
      </c>
      <c r="M10" s="40">
        <f t="shared" ca="1" si="78"/>
        <v>459</v>
      </c>
      <c r="N10" s="40">
        <f t="shared" ca="1" si="78"/>
        <v>588</v>
      </c>
      <c r="O10" s="40">
        <f t="shared" ca="1" si="78"/>
        <v>799</v>
      </c>
      <c r="P10" s="40">
        <f t="shared" ca="1" si="78"/>
        <v>1131</v>
      </c>
      <c r="Q10" s="40">
        <f t="shared" ca="1" si="78"/>
        <v>1328</v>
      </c>
      <c r="R10" s="40">
        <f t="shared" ca="1" si="78"/>
        <v>1271</v>
      </c>
      <c r="S10" s="40">
        <f t="shared" ca="1" si="78"/>
        <v>1685</v>
      </c>
      <c r="T10" s="40">
        <f t="shared" ca="1" si="78"/>
        <v>2296</v>
      </c>
      <c r="U10" s="40">
        <f t="shared" ca="1" si="78"/>
        <v>2245</v>
      </c>
      <c r="V10" s="40">
        <f t="shared" ca="1" si="78"/>
        <v>3474</v>
      </c>
      <c r="W10" s="40">
        <f t="shared" ca="1" si="78"/>
        <v>4395</v>
      </c>
      <c r="X10" s="40">
        <f t="shared" ca="1" si="78"/>
        <v>4937</v>
      </c>
      <c r="Y10" s="40">
        <f t="shared" ca="1" si="78"/>
        <v>5681</v>
      </c>
      <c r="Z10" s="40">
        <f t="shared" ca="1" si="78"/>
        <v>6739</v>
      </c>
      <c r="AA10" s="40">
        <f t="shared" ca="1" si="78"/>
        <v>7719</v>
      </c>
      <c r="AB10" s="40">
        <f t="shared" ca="1" si="78"/>
        <v>9715</v>
      </c>
      <c r="AC10" s="40">
        <f t="shared" ca="1" si="78"/>
        <v>12314</v>
      </c>
      <c r="AD10" s="40">
        <f t="shared" ca="1" si="78"/>
        <v>14008</v>
      </c>
      <c r="AE10" s="40">
        <f t="shared" ca="1" si="78"/>
        <v>15362</v>
      </c>
      <c r="AF10" s="40">
        <f t="shared" ca="1" si="78"/>
        <v>16898.2</v>
      </c>
      <c r="AG10" s="40">
        <f t="shared" ca="1" si="78"/>
        <v>18588.020000000004</v>
      </c>
      <c r="AH10" s="40">
        <f t="shared" ca="1" si="78"/>
        <v>20446.822000000007</v>
      </c>
      <c r="AI10" s="40">
        <f t="shared" ca="1" si="78"/>
        <v>22491.50420000001</v>
      </c>
      <c r="AJ10" s="40">
        <f t="shared" ca="1" si="78"/>
        <v>24740.654620000012</v>
      </c>
      <c r="AK10" s="40">
        <f t="shared" ca="1" si="78"/>
        <v>27214.720082000014</v>
      </c>
      <c r="AL10" s="40">
        <f t="shared" ca="1" si="78"/>
        <v>29936.192090200017</v>
      </c>
      <c r="AM10" s="40">
        <f t="shared" ca="1" si="78"/>
        <v>32929.811299220019</v>
      </c>
      <c r="AN10" s="40">
        <f t="shared" ca="1" si="78"/>
        <v>36222.79242914202</v>
      </c>
      <c r="AO10" s="40">
        <f t="shared" ca="1" si="78"/>
        <v>39845.071672056227</v>
      </c>
      <c r="AP10" s="40">
        <f t="shared" ca="1" si="78"/>
        <v>43829.578839261856</v>
      </c>
      <c r="AQ10" s="40">
        <f t="shared" ca="1" si="78"/>
        <v>48212.536723188045</v>
      </c>
      <c r="AR10" s="40">
        <f t="shared" ca="1" si="78"/>
        <v>53033.790395506854</v>
      </c>
      <c r="AS10" s="40">
        <f t="shared" ca="1" si="78"/>
        <v>58337.169435057542</v>
      </c>
      <c r="AT10" s="40">
        <f t="shared" ca="1" si="78"/>
        <v>64170.8863785633</v>
      </c>
      <c r="AU10" s="40">
        <f t="shared" ca="1" si="78"/>
        <v>70587.97501641963</v>
      </c>
      <c r="AV10" s="40">
        <f t="shared" ca="1" si="78"/>
        <v>77646.772518061596</v>
      </c>
      <c r="AW10" s="40">
        <f t="shared" ca="1" si="78"/>
        <v>85411.449769867759</v>
      </c>
      <c r="AX10" s="40">
        <f t="shared" ca="1" si="78"/>
        <v>93952.594746854549</v>
      </c>
      <c r="AY10" s="40">
        <f t="shared" ca="1" si="78"/>
        <v>103347.85422154001</v>
      </c>
      <c r="AZ10" s="40">
        <f t="shared" ca="1" si="78"/>
        <v>113682.63964369401</v>
      </c>
      <c r="BA10" s="40">
        <f t="shared" ca="1" si="78"/>
        <v>125050.90360806343</v>
      </c>
      <c r="BB10" s="40">
        <f t="shared" ca="1" si="78"/>
        <v>137555.99396886979</v>
      </c>
      <c r="BC10" s="40">
        <f t="shared" ca="1" si="78"/>
        <v>151311.59336575679</v>
      </c>
      <c r="BD10" s="40">
        <f t="shared" ca="1" si="78"/>
        <v>166442.75270233248</v>
      </c>
      <c r="BE10" s="40">
        <f t="shared" ca="1" si="78"/>
        <v>183087.02797256573</v>
      </c>
      <c r="BF10" s="40">
        <f t="shared" ca="1" si="78"/>
        <v>201395.73076982232</v>
      </c>
      <c r="BG10" s="40">
        <f t="shared" ca="1" si="78"/>
        <v>221535.30384680457</v>
      </c>
      <c r="BH10" s="40">
        <f t="shared" ca="1" si="78"/>
        <v>243688.83423148506</v>
      </c>
      <c r="BI10" s="40">
        <f t="shared" ca="1" si="78"/>
        <v>268057.71765463357</v>
      </c>
      <c r="BJ10" s="40">
        <f t="shared" ca="1" si="78"/>
        <v>294863.48942009697</v>
      </c>
      <c r="BK10" s="40">
        <f t="shared" ca="1" si="78"/>
        <v>324349.8383621067</v>
      </c>
      <c r="BL10" s="40">
        <f t="shared" ca="1" si="78"/>
        <v>356784.82219831739</v>
      </c>
      <c r="BM10" s="40">
        <f t="shared" ca="1" si="78"/>
        <v>392463.30441814917</v>
      </c>
      <c r="BN10" s="40">
        <f t="shared" ca="1" si="78"/>
        <v>431709.63485996414</v>
      </c>
      <c r="BO10" s="40">
        <f t="shared" ca="1" si="78"/>
        <v>474880.59834596061</v>
      </c>
      <c r="BP10" s="40">
        <f t="shared" ca="1" si="78"/>
        <v>522368.65818055673</v>
      </c>
      <c r="BQ10" s="40">
        <f t="shared" ca="1" si="78"/>
        <v>574605.52399861242</v>
      </c>
      <c r="BR10" s="40">
        <f t="shared" ca="1" si="78"/>
        <v>632066.0763984737</v>
      </c>
      <c r="BS10" s="40">
        <f t="shared" ca="1" si="78"/>
        <v>695272.68403832114</v>
      </c>
      <c r="BT10" s="40">
        <f t="shared" ca="1" si="78"/>
        <v>764799.95244215336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841279.94768636872</v>
      </c>
      <c r="BV10" s="40">
        <f t="shared" ca="1" si="79"/>
        <v>925407.94245500572</v>
      </c>
      <c r="BW10" s="40">
        <f t="shared" ca="1" si="79"/>
        <v>1017948.7367005064</v>
      </c>
      <c r="BX10" s="40">
        <f t="shared" ca="1" si="79"/>
        <v>1119743.6103705571</v>
      </c>
      <c r="BY10" s="40">
        <f t="shared" ca="1" si="79"/>
        <v>1231717.9714076128</v>
      </c>
      <c r="BZ10" s="40">
        <f t="shared" ca="1" si="79"/>
        <v>1354889.7685483741</v>
      </c>
      <c r="CA10" s="40">
        <f t="shared" ca="1" si="79"/>
        <v>1490378.7454032116</v>
      </c>
      <c r="CB10" s="40">
        <f t="shared" ca="1" si="79"/>
        <v>1639416.6199435329</v>
      </c>
      <c r="CC10" s="40">
        <f t="shared" ca="1" si="79"/>
        <v>1803358.2819378863</v>
      </c>
      <c r="CD10" s="40">
        <f t="shared" ca="1" si="79"/>
        <v>1983694.1101316751</v>
      </c>
      <c r="CE10" s="40">
        <f t="shared" ca="1" si="79"/>
        <v>2182063.5211448427</v>
      </c>
      <c r="CF10" s="40">
        <f t="shared" ca="1" si="79"/>
        <v>2400269.8732593274</v>
      </c>
      <c r="CG10" s="40">
        <f t="shared" ca="1" si="79"/>
        <v>2640296.8605852602</v>
      </c>
      <c r="CH10" s="40">
        <f t="shared" ca="1" si="79"/>
        <v>2904326.5466437866</v>
      </c>
      <c r="CI10" s="40">
        <f t="shared" ca="1" si="79"/>
        <v>3194759.2013081657</v>
      </c>
      <c r="CJ10" s="40">
        <f t="shared" ca="1" si="79"/>
        <v>3514235.1214389824</v>
      </c>
      <c r="CK10" s="40">
        <f t="shared" ca="1" si="79"/>
        <v>3865658.6335828812</v>
      </c>
      <c r="CL10" s="40">
        <f t="shared" ca="1" si="79"/>
        <v>4252224.4969411697</v>
      </c>
      <c r="CM10" s="40">
        <f t="shared" ca="1" si="79"/>
        <v>4677446.9466352873</v>
      </c>
      <c r="CN10" s="40">
        <f t="shared" ca="1" si="79"/>
        <v>5145191.6412988165</v>
      </c>
      <c r="CO10" s="40">
        <f t="shared" ca="1" si="79"/>
        <v>5659710.8054286987</v>
      </c>
      <c r="CP10" s="40">
        <f t="shared" ca="1" si="79"/>
        <v>6225681.8859715695</v>
      </c>
      <c r="CQ10" s="40">
        <f t="shared" ca="1" si="79"/>
        <v>6848250.0745687271</v>
      </c>
      <c r="CR10" s="40">
        <f t="shared" ca="1" si="79"/>
        <v>7533075.0820256006</v>
      </c>
      <c r="CS10" s="40">
        <f t="shared" ca="1" si="79"/>
        <v>8286382.5902281618</v>
      </c>
      <c r="CT10" s="40">
        <f t="shared" ca="1" si="79"/>
        <v>9115020.8492509779</v>
      </c>
      <c r="CU10" s="40">
        <f t="shared" ca="1" si="79"/>
        <v>10026522.934176076</v>
      </c>
      <c r="CV10" s="40">
        <f t="shared" ca="1" si="79"/>
        <v>11029175.227593685</v>
      </c>
      <c r="CW10" s="40">
        <f t="shared" ca="1" si="79"/>
        <v>12132092.750353053</v>
      </c>
      <c r="CX10" s="40">
        <f t="shared" ca="1" si="79"/>
        <v>13345302.02538836</v>
      </c>
      <c r="CY10" s="40">
        <f t="shared" ca="1" si="79"/>
        <v>14679832.227927197</v>
      </c>
      <c r="CZ10" s="40">
        <f t="shared" ca="1" si="79"/>
        <v>16147815.450719917</v>
      </c>
      <c r="DA10" s="40">
        <f t="shared" ca="1" si="79"/>
        <v>17762596.995791912</v>
      </c>
      <c r="DB10" s="40">
        <f t="shared" ca="1" si="79"/>
        <v>19538856.695371106</v>
      </c>
      <c r="DC10" s="40">
        <f t="shared" ca="1" si="79"/>
        <v>21492742.364908218</v>
      </c>
      <c r="DD10" s="40">
        <f t="shared" ca="1" si="79"/>
        <v>23642016.601399042</v>
      </c>
      <c r="DE10" s="40">
        <f t="shared" ca="1" si="79"/>
        <v>26006218.261538949</v>
      </c>
      <c r="DF10" s="40">
        <f t="shared" ca="1" si="79"/>
        <v>27154404.400000002</v>
      </c>
      <c r="DG10" s="40">
        <f t="shared" ca="1" si="79"/>
        <v>27154404.400000002</v>
      </c>
      <c r="DH10" s="40">
        <f t="shared" ca="1" si="79"/>
        <v>27154404.400000002</v>
      </c>
      <c r="DI10" s="40">
        <f t="shared" ca="1" si="79"/>
        <v>27154404.400000002</v>
      </c>
      <c r="DJ10" s="40">
        <f t="shared" ca="1" si="79"/>
        <v>27154404.400000002</v>
      </c>
      <c r="DK10" s="40">
        <f t="shared" ca="1" si="79"/>
        <v>27154404.400000002</v>
      </c>
      <c r="DL10" s="40">
        <f t="shared" ca="1" si="79"/>
        <v>27154404.400000002</v>
      </c>
      <c r="DM10" s="40">
        <f t="shared" ca="1" si="79"/>
        <v>27154404.400000002</v>
      </c>
      <c r="DN10" s="40">
        <f t="shared" ca="1" si="79"/>
        <v>27154404.400000002</v>
      </c>
      <c r="DO10" s="40">
        <f t="shared" ca="1" si="79"/>
        <v>27154404.400000002</v>
      </c>
      <c r="DP10" s="40">
        <f t="shared" ca="1" si="79"/>
        <v>27154404.400000002</v>
      </c>
      <c r="DQ10" s="40">
        <f t="shared" ca="1" si="79"/>
        <v>27154404.400000002</v>
      </c>
      <c r="DR10" s="40">
        <f t="shared" ca="1" si="79"/>
        <v>27154404.400000002</v>
      </c>
      <c r="DS10" s="40">
        <f t="shared" ca="1" si="79"/>
        <v>27154404.400000002</v>
      </c>
      <c r="DT10" s="40">
        <f t="shared" ca="1" si="79"/>
        <v>27154404.400000002</v>
      </c>
      <c r="DU10" s="40">
        <f t="shared" ca="1" si="79"/>
        <v>27154404.400000002</v>
      </c>
      <c r="DV10" s="40">
        <f t="shared" ca="1" si="79"/>
        <v>27154404.400000002</v>
      </c>
      <c r="DW10" s="40">
        <f t="shared" ca="1" si="79"/>
        <v>27154404.400000002</v>
      </c>
      <c r="DX10" s="40">
        <f t="shared" ca="1" si="79"/>
        <v>27154404.400000002</v>
      </c>
      <c r="DY10" s="40">
        <f t="shared" ca="1" si="79"/>
        <v>27154404.400000002</v>
      </c>
      <c r="DZ10" s="40">
        <f t="shared" ca="1" si="79"/>
        <v>27154404.400000002</v>
      </c>
      <c r="EA10" s="40">
        <f t="shared" ca="1" si="79"/>
        <v>27154404.400000002</v>
      </c>
      <c r="EB10" s="40">
        <f t="shared" ca="1" si="79"/>
        <v>27154404.400000002</v>
      </c>
      <c r="EC10" s="40">
        <f t="shared" ca="1" si="79"/>
        <v>27154404.400000002</v>
      </c>
      <c r="ED10" s="40">
        <f t="shared" ca="1" si="79"/>
        <v>27154404.400000002</v>
      </c>
      <c r="EE10" s="40">
        <f t="shared" ca="1" si="79"/>
        <v>27154404.400000002</v>
      </c>
      <c r="EF10" s="40">
        <f t="shared" ca="1" si="79"/>
        <v>27154404.400000002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27154404.400000002</v>
      </c>
      <c r="EH10" s="40">
        <f t="shared" ca="1" si="80"/>
        <v>27154404.400000002</v>
      </c>
      <c r="EI10" s="40">
        <f t="shared" ca="1" si="80"/>
        <v>27154404.400000002</v>
      </c>
      <c r="EJ10" s="40">
        <f t="shared" ca="1" si="80"/>
        <v>27154404.400000002</v>
      </c>
      <c r="EK10" s="40">
        <f t="shared" ca="1" si="80"/>
        <v>27154404.400000002</v>
      </c>
      <c r="EL10" s="40">
        <f t="shared" ca="1" si="80"/>
        <v>27154404.400000002</v>
      </c>
      <c r="EM10" s="40">
        <f t="shared" ca="1" si="80"/>
        <v>27154404.400000002</v>
      </c>
      <c r="EN10" s="40">
        <f t="shared" ca="1" si="80"/>
        <v>27154404.400000002</v>
      </c>
      <c r="EO10" s="40">
        <f t="shared" ca="1" si="80"/>
        <v>27154404.400000002</v>
      </c>
      <c r="EP10" s="40">
        <f t="shared" ca="1" si="80"/>
        <v>27154404.400000002</v>
      </c>
      <c r="EQ10" s="40">
        <f t="shared" ca="1" si="80"/>
        <v>27154404.400000002</v>
      </c>
      <c r="ER10" s="40">
        <f t="shared" ca="1" si="80"/>
        <v>27154404.400000002</v>
      </c>
      <c r="ES10" s="40">
        <f t="shared" ca="1" si="80"/>
        <v>27154404.400000002</v>
      </c>
      <c r="ET10" s="40">
        <f t="shared" ca="1" si="80"/>
        <v>27154404.400000002</v>
      </c>
      <c r="EU10" s="40">
        <f t="shared" ca="1" si="80"/>
        <v>27154404.400000002</v>
      </c>
      <c r="EV10" s="40">
        <f t="shared" ca="1" si="80"/>
        <v>27154404.400000002</v>
      </c>
      <c r="EW10" s="40">
        <f t="shared" ca="1" si="80"/>
        <v>27154404.400000002</v>
      </c>
      <c r="EX10" s="40">
        <f t="shared" ca="1" si="80"/>
        <v>27154404.400000002</v>
      </c>
      <c r="EY10" s="40">
        <f t="shared" ca="1" si="80"/>
        <v>27154404.400000002</v>
      </c>
      <c r="EZ10" s="40">
        <f t="shared" ca="1" si="80"/>
        <v>27154404.400000002</v>
      </c>
      <c r="FA10" s="40">
        <f t="shared" ca="1" si="80"/>
        <v>27154404.400000002</v>
      </c>
      <c r="FB10" s="40">
        <f t="shared" ca="1" si="80"/>
        <v>27154404.400000002</v>
      </c>
      <c r="FC10" s="40">
        <f t="shared" ca="1" si="80"/>
        <v>27154404.400000002</v>
      </c>
      <c r="FD10" s="40">
        <f t="shared" ca="1" si="80"/>
        <v>27154404.400000002</v>
      </c>
      <c r="FE10" s="40">
        <f t="shared" ca="1" si="80"/>
        <v>27154404.400000002</v>
      </c>
      <c r="FF10" s="40">
        <f t="shared" ca="1" si="80"/>
        <v>27154404.400000002</v>
      </c>
      <c r="FG10" s="40">
        <f t="shared" ca="1" si="80"/>
        <v>27154404.400000002</v>
      </c>
      <c r="FH10" s="40">
        <f t="shared" ca="1" si="80"/>
        <v>27154404.400000002</v>
      </c>
      <c r="FI10" s="40">
        <f t="shared" ca="1" si="80"/>
        <v>27154404.400000002</v>
      </c>
      <c r="FJ10" s="40">
        <f t="shared" ca="1" si="80"/>
        <v>27154404.400000002</v>
      </c>
      <c r="FK10" s="40">
        <f t="shared" ca="1" si="80"/>
        <v>27154404.400000002</v>
      </c>
      <c r="FL10" s="40">
        <f t="shared" ca="1" si="80"/>
        <v>27154404.400000002</v>
      </c>
      <c r="FM10" s="40">
        <f t="shared" ca="1" si="80"/>
        <v>27154404.400000002</v>
      </c>
      <c r="FN10" s="40">
        <f t="shared" ca="1" si="80"/>
        <v>27154404.400000002</v>
      </c>
      <c r="FO10" s="40">
        <f t="shared" ca="1" si="80"/>
        <v>27154404.400000002</v>
      </c>
      <c r="FP10" s="40">
        <f t="shared" ca="1" si="80"/>
        <v>27154404.400000002</v>
      </c>
      <c r="FQ10" s="40">
        <f t="shared" ca="1" si="80"/>
        <v>27154404.400000002</v>
      </c>
      <c r="FR10" s="40">
        <f t="shared" ca="1" si="80"/>
        <v>27154404.400000002</v>
      </c>
      <c r="FS10" s="40">
        <f t="shared" ca="1" si="80"/>
        <v>27154404.400000002</v>
      </c>
      <c r="FT10" s="40">
        <f t="shared" ca="1" si="80"/>
        <v>27154404.400000002</v>
      </c>
      <c r="FU10" s="40">
        <f t="shared" ca="1" si="80"/>
        <v>27154404.400000002</v>
      </c>
      <c r="FV10" s="40">
        <f t="shared" ca="1" si="80"/>
        <v>27154404.400000002</v>
      </c>
      <c r="FW10" s="40">
        <f t="shared" ca="1" si="80"/>
        <v>27154404.400000002</v>
      </c>
      <c r="FX10" s="40">
        <f t="shared" ca="1" si="80"/>
        <v>27154404.400000002</v>
      </c>
      <c r="FY10" s="40">
        <f t="shared" ca="1" si="80"/>
        <v>27154404.400000002</v>
      </c>
      <c r="FZ10" s="40">
        <f t="shared" ca="1" si="80"/>
        <v>27154404.400000002</v>
      </c>
      <c r="GA10" s="40">
        <f t="shared" ca="1" si="80"/>
        <v>27154404.400000002</v>
      </c>
      <c r="GB10" s="40">
        <f t="shared" ca="1" si="80"/>
        <v>27154404.400000002</v>
      </c>
      <c r="GC10" s="40">
        <f t="shared" ca="1" si="80"/>
        <v>27154404.400000002</v>
      </c>
      <c r="GD10" s="40">
        <f t="shared" ca="1" si="80"/>
        <v>27154404.400000002</v>
      </c>
      <c r="GE10" s="40">
        <f t="shared" ca="1" si="80"/>
        <v>27154404.400000002</v>
      </c>
      <c r="GF10" s="40">
        <f t="shared" ca="1" si="80"/>
        <v>27154404.400000002</v>
      </c>
      <c r="GG10" s="40">
        <f t="shared" ca="1" si="80"/>
        <v>27154404.400000002</v>
      </c>
      <c r="GH10" s="40">
        <f t="shared" ca="1" si="80"/>
        <v>27154404.400000002</v>
      </c>
      <c r="GI10" s="40">
        <f t="shared" ca="1" si="80"/>
        <v>27154404.400000002</v>
      </c>
      <c r="GJ10" s="40">
        <f t="shared" ca="1" si="80"/>
        <v>27154404.400000002</v>
      </c>
      <c r="GK10" s="40">
        <f t="shared" ca="1" si="80"/>
        <v>27154404.400000002</v>
      </c>
      <c r="GL10" s="40">
        <f t="shared" ca="1" si="80"/>
        <v>27154404.400000002</v>
      </c>
      <c r="GM10" s="40">
        <f t="shared" ca="1" si="80"/>
        <v>27154404.400000002</v>
      </c>
      <c r="GN10" s="40">
        <f t="shared" ca="1" si="80"/>
        <v>27154404.400000002</v>
      </c>
      <c r="GO10" s="40">
        <f t="shared" ca="1" si="80"/>
        <v>27154404.400000002</v>
      </c>
      <c r="GP10" s="40">
        <f t="shared" ca="1" si="80"/>
        <v>27154404.400000002</v>
      </c>
      <c r="GQ10" s="40">
        <f t="shared" ca="1" si="80"/>
        <v>27154404.400000002</v>
      </c>
      <c r="GR10" s="40">
        <f t="shared" ca="1" si="80"/>
        <v>27154404.400000002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1"/>
        <v>27154404.400000002</v>
      </c>
      <c r="GU10" s="40">
        <f t="shared" ca="1" si="81"/>
        <v>27154404.400000002</v>
      </c>
      <c r="GV10" s="40">
        <f t="shared" ca="1" si="81"/>
        <v>27154404.400000002</v>
      </c>
      <c r="GW10" s="40">
        <f t="shared" ca="1" si="81"/>
        <v>27154404.400000002</v>
      </c>
      <c r="GX10" s="40">
        <f t="shared" ca="1" si="81"/>
        <v>27154404.400000002</v>
      </c>
      <c r="GY10" s="40">
        <f t="shared" ca="1" si="81"/>
        <v>27154404.400000002</v>
      </c>
      <c r="GZ10" s="40">
        <f t="shared" ca="1" si="81"/>
        <v>27154404.400000002</v>
      </c>
      <c r="HA10" s="40">
        <f t="shared" ca="1" si="81"/>
        <v>27154404.400000002</v>
      </c>
      <c r="HB10" s="40">
        <f t="shared" ca="1" si="81"/>
        <v>27154404.400000002</v>
      </c>
      <c r="HC10" s="40">
        <f t="shared" ca="1" si="81"/>
        <v>27154404.400000002</v>
      </c>
      <c r="HD10" s="40">
        <f t="shared" ca="1" si="81"/>
        <v>27154404.400000002</v>
      </c>
      <c r="HE10" s="40">
        <f t="shared" ca="1" si="81"/>
        <v>27154404.400000002</v>
      </c>
      <c r="HF10" s="40">
        <f t="shared" ca="1" si="81"/>
        <v>27154404.400000002</v>
      </c>
      <c r="HG10" s="40">
        <f t="shared" ca="1" si="81"/>
        <v>27154404.400000002</v>
      </c>
      <c r="HH10" s="40">
        <f t="shared" ca="1" si="81"/>
        <v>27154404.400000002</v>
      </c>
      <c r="HI10" s="40">
        <f t="shared" ca="1" si="81"/>
        <v>27154404.400000002</v>
      </c>
      <c r="HJ10" s="40">
        <f t="shared" ca="1" si="81"/>
        <v>27154404.400000002</v>
      </c>
      <c r="HK10" s="40">
        <f t="shared" ca="1" si="81"/>
        <v>27154404.400000002</v>
      </c>
      <c r="HL10" s="40">
        <f t="shared" ca="1" si="81"/>
        <v>27154404.400000002</v>
      </c>
      <c r="HM10" s="40">
        <f t="shared" ca="1" si="81"/>
        <v>27154404.400000002</v>
      </c>
      <c r="HN10" s="40">
        <f t="shared" ca="1" si="81"/>
        <v>27154404.400000002</v>
      </c>
      <c r="HO10" s="40">
        <f t="shared" ca="1" si="81"/>
        <v>27154404.400000002</v>
      </c>
      <c r="HP10" s="40">
        <f t="shared" ca="1" si="81"/>
        <v>27154404.400000002</v>
      </c>
      <c r="HQ10" s="40">
        <f t="shared" ca="1" si="81"/>
        <v>27154404.400000002</v>
      </c>
      <c r="HR10" s="40">
        <f t="shared" ca="1" si="81"/>
        <v>27154404.400000002</v>
      </c>
      <c r="HS10" s="40">
        <f t="shared" ca="1" si="81"/>
        <v>27154404.400000002</v>
      </c>
      <c r="HT10" s="40">
        <f t="shared" ca="1" si="81"/>
        <v>27154404.400000002</v>
      </c>
      <c r="HU10" s="40">
        <f t="shared" ca="1" si="81"/>
        <v>27154404.400000002</v>
      </c>
      <c r="HV10" s="40">
        <f t="shared" ca="1" si="81"/>
        <v>27154404.400000002</v>
      </c>
      <c r="HW10" s="40">
        <f t="shared" ca="1" si="81"/>
        <v>27154404.400000002</v>
      </c>
      <c r="HX10" s="40">
        <f t="shared" ca="1" si="81"/>
        <v>27154404.400000002</v>
      </c>
      <c r="HY10" s="40">
        <f t="shared" ca="1" si="81"/>
        <v>27154404.400000002</v>
      </c>
      <c r="HZ10" s="40">
        <f t="shared" ca="1" si="81"/>
        <v>27154404.400000002</v>
      </c>
      <c r="IA10" s="40">
        <f t="shared" ca="1" si="81"/>
        <v>27154404.400000002</v>
      </c>
      <c r="IB10" s="40">
        <f t="shared" ca="1" si="81"/>
        <v>27154404.400000002</v>
      </c>
      <c r="IC10" s="40">
        <f t="shared" ca="1" si="81"/>
        <v>27154404.400000002</v>
      </c>
      <c r="ID10" s="40">
        <f t="shared" ca="1" si="81"/>
        <v>27154404.400000002</v>
      </c>
      <c r="IE10" s="40">
        <f t="shared" ca="1" si="81"/>
        <v>27154404.400000002</v>
      </c>
      <c r="IF10" s="40">
        <f t="shared" ca="1" si="81"/>
        <v>27154404.400000002</v>
      </c>
      <c r="IG10" s="40">
        <f t="shared" ca="1" si="81"/>
        <v>27154404.400000002</v>
      </c>
      <c r="IH10" s="40">
        <f t="shared" ca="1" si="81"/>
        <v>27154404.400000002</v>
      </c>
      <c r="II10" s="40">
        <f t="shared" ca="1" si="81"/>
        <v>27154404.400000002</v>
      </c>
      <c r="IJ10" s="40">
        <f t="shared" ca="1" si="81"/>
        <v>27154404.400000002</v>
      </c>
      <c r="IK10" s="40">
        <f t="shared" ca="1" si="81"/>
        <v>27154404.400000002</v>
      </c>
      <c r="IL10" s="40">
        <f t="shared" ca="1" si="81"/>
        <v>27154404.400000002</v>
      </c>
      <c r="IM10" s="40">
        <f t="shared" ca="1" si="81"/>
        <v>27154404.400000002</v>
      </c>
      <c r="IN10" s="40">
        <f t="shared" ca="1" si="81"/>
        <v>27154404.400000002</v>
      </c>
    </row>
    <row r="11" spans="2:248" x14ac:dyDescent="0.3">
      <c r="B11" s="19" t="s">
        <v>527</v>
      </c>
      <c r="C11" s="53">
        <f ca="1">HLOOKUP($C$5-1,G4:IN16,13,FALSE)</f>
        <v>0.19251315772819924</v>
      </c>
      <c r="E11" s="19">
        <v>0.25</v>
      </c>
      <c r="F11" s="19" t="s">
        <v>495</v>
      </c>
      <c r="G11" s="40">
        <f t="shared" ref="G11" si="82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3">IF(IF(AND(ISNA(H$8),ISNA(G$8)),G11*(1+$E$11),IF(AND(G$8&gt;0,ISNA(H$8)),G11*(1+$E$11),H$8))&gt;$C$21,$C$21,IF(AND(ISNA(H$8),ISNA(G$8)),G11*(1+$E$11),IF(AND(G$8&gt;0,ISNA(H$8)),G11*(1+$E$11),H$8)))</f>
        <v>164</v>
      </c>
      <c r="I11" s="40">
        <f t="shared" ref="I11:BT11" ca="1" si="84">IF(IF(AND(ISNA(I$8),ISNA(H$8)),H11*(1+$E$11),IF(AND(H$8&gt;0,ISNA(I$8)),H11*(1+$E$11),I$8))&gt;$C$21,$C$21,IF(AND(ISNA(I$8),ISNA(H$8)),H11*(1+$E$11),IF(AND(H$8&gt;0,ISNA(I$8)),H11*(1+$E$11),I$8)))</f>
        <v>207</v>
      </c>
      <c r="J11" s="40">
        <f t="shared" ca="1" si="84"/>
        <v>274</v>
      </c>
      <c r="K11" s="40">
        <f t="shared" ca="1" si="84"/>
        <v>322</v>
      </c>
      <c r="L11" s="40">
        <f t="shared" ca="1" si="84"/>
        <v>384</v>
      </c>
      <c r="M11" s="40">
        <f t="shared" ca="1" si="84"/>
        <v>459</v>
      </c>
      <c r="N11" s="40">
        <f t="shared" ca="1" si="84"/>
        <v>588</v>
      </c>
      <c r="O11" s="40">
        <f t="shared" ca="1" si="84"/>
        <v>799</v>
      </c>
      <c r="P11" s="40">
        <f t="shared" ca="1" si="84"/>
        <v>1131</v>
      </c>
      <c r="Q11" s="40">
        <f t="shared" ca="1" si="84"/>
        <v>1328</v>
      </c>
      <c r="R11" s="40">
        <f t="shared" ca="1" si="84"/>
        <v>1271</v>
      </c>
      <c r="S11" s="40">
        <f t="shared" ca="1" si="84"/>
        <v>1685</v>
      </c>
      <c r="T11" s="40">
        <f t="shared" ca="1" si="84"/>
        <v>2296</v>
      </c>
      <c r="U11" s="40">
        <f t="shared" ca="1" si="84"/>
        <v>2245</v>
      </c>
      <c r="V11" s="40">
        <f t="shared" ca="1" si="84"/>
        <v>3474</v>
      </c>
      <c r="W11" s="40">
        <f t="shared" ca="1" si="84"/>
        <v>4395</v>
      </c>
      <c r="X11" s="40">
        <f t="shared" ca="1" si="84"/>
        <v>4937</v>
      </c>
      <c r="Y11" s="40">
        <f t="shared" ca="1" si="84"/>
        <v>5681</v>
      </c>
      <c r="Z11" s="40">
        <f t="shared" ca="1" si="84"/>
        <v>6739</v>
      </c>
      <c r="AA11" s="40">
        <f t="shared" ca="1" si="84"/>
        <v>7719</v>
      </c>
      <c r="AB11" s="40">
        <f t="shared" ca="1" si="84"/>
        <v>9715</v>
      </c>
      <c r="AC11" s="40">
        <f t="shared" ca="1" si="84"/>
        <v>12314</v>
      </c>
      <c r="AD11" s="40">
        <f t="shared" ca="1" si="84"/>
        <v>14008</v>
      </c>
      <c r="AE11" s="40">
        <f t="shared" ca="1" si="84"/>
        <v>15362</v>
      </c>
      <c r="AF11" s="40">
        <f t="shared" ca="1" si="84"/>
        <v>19202.5</v>
      </c>
      <c r="AG11" s="40">
        <f t="shared" ca="1" si="84"/>
        <v>24003.125</v>
      </c>
      <c r="AH11" s="40">
        <f t="shared" ca="1" si="84"/>
        <v>30003.90625</v>
      </c>
      <c r="AI11" s="40">
        <f t="shared" ca="1" si="84"/>
        <v>37504.8828125</v>
      </c>
      <c r="AJ11" s="40">
        <f t="shared" ca="1" si="84"/>
        <v>46881.103515625</v>
      </c>
      <c r="AK11" s="40">
        <f t="shared" ca="1" si="84"/>
        <v>58601.37939453125</v>
      </c>
      <c r="AL11" s="40">
        <f t="shared" ca="1" si="84"/>
        <v>73251.724243164063</v>
      </c>
      <c r="AM11" s="40">
        <f t="shared" ca="1" si="84"/>
        <v>91564.655303955078</v>
      </c>
      <c r="AN11" s="40">
        <f t="shared" ca="1" si="84"/>
        <v>114455.81912994385</v>
      </c>
      <c r="AO11" s="40">
        <f t="shared" ca="1" si="84"/>
        <v>143069.77391242981</v>
      </c>
      <c r="AP11" s="40">
        <f t="shared" ca="1" si="84"/>
        <v>178837.21739053726</v>
      </c>
      <c r="AQ11" s="40">
        <f t="shared" ca="1" si="84"/>
        <v>223546.52173817158</v>
      </c>
      <c r="AR11" s="40">
        <f t="shared" ca="1" si="84"/>
        <v>279433.15217271447</v>
      </c>
      <c r="AS11" s="40">
        <f t="shared" ca="1" si="84"/>
        <v>349291.44021589309</v>
      </c>
      <c r="AT11" s="40">
        <f t="shared" ca="1" si="84"/>
        <v>436614.30026986636</v>
      </c>
      <c r="AU11" s="40">
        <f t="shared" ca="1" si="84"/>
        <v>545767.87533733295</v>
      </c>
      <c r="AV11" s="40">
        <f t="shared" ca="1" si="84"/>
        <v>682209.84417166619</v>
      </c>
      <c r="AW11" s="40">
        <f t="shared" ca="1" si="84"/>
        <v>852762.30521458271</v>
      </c>
      <c r="AX11" s="40">
        <f t="shared" ca="1" si="84"/>
        <v>1065952.8815182284</v>
      </c>
      <c r="AY11" s="40">
        <f t="shared" ca="1" si="84"/>
        <v>1332441.1018977854</v>
      </c>
      <c r="AZ11" s="40">
        <f t="shared" ca="1" si="84"/>
        <v>1665551.3773722318</v>
      </c>
      <c r="BA11" s="40">
        <f t="shared" ca="1" si="84"/>
        <v>2081939.2217152896</v>
      </c>
      <c r="BB11" s="40">
        <f t="shared" ca="1" si="84"/>
        <v>2602424.0271441122</v>
      </c>
      <c r="BC11" s="40">
        <f t="shared" ca="1" si="84"/>
        <v>3253030.0339301401</v>
      </c>
      <c r="BD11" s="40">
        <f t="shared" ca="1" si="84"/>
        <v>4066287.542412675</v>
      </c>
      <c r="BE11" s="40">
        <f t="shared" ca="1" si="84"/>
        <v>5082859.428015844</v>
      </c>
      <c r="BF11" s="40">
        <f t="shared" ca="1" si="84"/>
        <v>6353574.2850198047</v>
      </c>
      <c r="BG11" s="40">
        <f t="shared" ca="1" si="84"/>
        <v>7941967.8562747557</v>
      </c>
      <c r="BH11" s="40">
        <f t="shared" ca="1" si="84"/>
        <v>9927459.8203434441</v>
      </c>
      <c r="BI11" s="40">
        <f t="shared" ca="1" si="84"/>
        <v>12409324.775429305</v>
      </c>
      <c r="BJ11" s="40">
        <f t="shared" ca="1" si="84"/>
        <v>15511655.969286632</v>
      </c>
      <c r="BK11" s="40">
        <f t="shared" ca="1" si="84"/>
        <v>19389569.961608291</v>
      </c>
      <c r="BL11" s="40">
        <f t="shared" ca="1" si="84"/>
        <v>24236962.452010363</v>
      </c>
      <c r="BM11" s="40">
        <f t="shared" ca="1" si="84"/>
        <v>27154404.400000002</v>
      </c>
      <c r="BN11" s="40">
        <f t="shared" ca="1" si="84"/>
        <v>27154404.400000002</v>
      </c>
      <c r="BO11" s="40">
        <f t="shared" ca="1" si="84"/>
        <v>27154404.400000002</v>
      </c>
      <c r="BP11" s="40">
        <f t="shared" ca="1" si="84"/>
        <v>27154404.400000002</v>
      </c>
      <c r="BQ11" s="40">
        <f t="shared" ca="1" si="84"/>
        <v>27154404.400000002</v>
      </c>
      <c r="BR11" s="40">
        <f t="shared" ca="1" si="84"/>
        <v>27154404.400000002</v>
      </c>
      <c r="BS11" s="40">
        <f t="shared" ca="1" si="84"/>
        <v>27154404.400000002</v>
      </c>
      <c r="BT11" s="40">
        <f t="shared" ca="1" si="84"/>
        <v>27154404.400000002</v>
      </c>
      <c r="BU11" s="40">
        <f t="shared" ref="BU11:EF11" ca="1" si="85">IF(IF(AND(ISNA(BU$8),ISNA(BT$8)),BT11*(1+$E$11),IF(AND(BT$8&gt;0,ISNA(BU$8)),BT11*(1+$E$11),BU$8))&gt;$C$21,$C$21,IF(AND(ISNA(BU$8),ISNA(BT$8)),BT11*(1+$E$11),IF(AND(BT$8&gt;0,ISNA(BU$8)),BT11*(1+$E$11),BU$8)))</f>
        <v>27154404.400000002</v>
      </c>
      <c r="BV11" s="40">
        <f t="shared" ca="1" si="85"/>
        <v>27154404.400000002</v>
      </c>
      <c r="BW11" s="40">
        <f t="shared" ca="1" si="85"/>
        <v>27154404.400000002</v>
      </c>
      <c r="BX11" s="40">
        <f t="shared" ca="1" si="85"/>
        <v>27154404.400000002</v>
      </c>
      <c r="BY11" s="40">
        <f t="shared" ca="1" si="85"/>
        <v>27154404.400000002</v>
      </c>
      <c r="BZ11" s="40">
        <f t="shared" ca="1" si="85"/>
        <v>27154404.400000002</v>
      </c>
      <c r="CA11" s="40">
        <f t="shared" ca="1" si="85"/>
        <v>27154404.400000002</v>
      </c>
      <c r="CB11" s="40">
        <f t="shared" ca="1" si="85"/>
        <v>27154404.400000002</v>
      </c>
      <c r="CC11" s="40">
        <f t="shared" ca="1" si="85"/>
        <v>27154404.400000002</v>
      </c>
      <c r="CD11" s="40">
        <f t="shared" ca="1" si="85"/>
        <v>27154404.400000002</v>
      </c>
      <c r="CE11" s="40">
        <f t="shared" ca="1" si="85"/>
        <v>27154404.400000002</v>
      </c>
      <c r="CF11" s="40">
        <f t="shared" ca="1" si="85"/>
        <v>27154404.400000002</v>
      </c>
      <c r="CG11" s="40">
        <f t="shared" ca="1" si="85"/>
        <v>27154404.400000002</v>
      </c>
      <c r="CH11" s="40">
        <f t="shared" ca="1" si="85"/>
        <v>27154404.400000002</v>
      </c>
      <c r="CI11" s="40">
        <f t="shared" ca="1" si="85"/>
        <v>27154404.400000002</v>
      </c>
      <c r="CJ11" s="40">
        <f t="shared" ca="1" si="85"/>
        <v>27154404.400000002</v>
      </c>
      <c r="CK11" s="40">
        <f t="shared" ca="1" si="85"/>
        <v>27154404.400000002</v>
      </c>
      <c r="CL11" s="40">
        <f t="shared" ca="1" si="85"/>
        <v>27154404.400000002</v>
      </c>
      <c r="CM11" s="40">
        <f t="shared" ca="1" si="85"/>
        <v>27154404.400000002</v>
      </c>
      <c r="CN11" s="40">
        <f t="shared" ca="1" si="85"/>
        <v>27154404.400000002</v>
      </c>
      <c r="CO11" s="40">
        <f t="shared" ca="1" si="85"/>
        <v>27154404.400000002</v>
      </c>
      <c r="CP11" s="40">
        <f t="shared" ca="1" si="85"/>
        <v>27154404.400000002</v>
      </c>
      <c r="CQ11" s="40">
        <f t="shared" ca="1" si="85"/>
        <v>27154404.400000002</v>
      </c>
      <c r="CR11" s="40">
        <f t="shared" ca="1" si="85"/>
        <v>27154404.400000002</v>
      </c>
      <c r="CS11" s="40">
        <f t="shared" ca="1" si="85"/>
        <v>27154404.400000002</v>
      </c>
      <c r="CT11" s="40">
        <f t="shared" ca="1" si="85"/>
        <v>27154404.400000002</v>
      </c>
      <c r="CU11" s="40">
        <f t="shared" ca="1" si="85"/>
        <v>27154404.400000002</v>
      </c>
      <c r="CV11" s="40">
        <f t="shared" ca="1" si="85"/>
        <v>27154404.400000002</v>
      </c>
      <c r="CW11" s="40">
        <f t="shared" ca="1" si="85"/>
        <v>27154404.400000002</v>
      </c>
      <c r="CX11" s="40">
        <f t="shared" ca="1" si="85"/>
        <v>27154404.400000002</v>
      </c>
      <c r="CY11" s="40">
        <f t="shared" ca="1" si="85"/>
        <v>27154404.400000002</v>
      </c>
      <c r="CZ11" s="40">
        <f t="shared" ca="1" si="85"/>
        <v>27154404.400000002</v>
      </c>
      <c r="DA11" s="40">
        <f t="shared" ca="1" si="85"/>
        <v>27154404.400000002</v>
      </c>
      <c r="DB11" s="40">
        <f t="shared" ca="1" si="85"/>
        <v>27154404.400000002</v>
      </c>
      <c r="DC11" s="40">
        <f t="shared" ca="1" si="85"/>
        <v>27154404.400000002</v>
      </c>
      <c r="DD11" s="40">
        <f t="shared" ca="1" si="85"/>
        <v>27154404.400000002</v>
      </c>
      <c r="DE11" s="40">
        <f t="shared" ca="1" si="85"/>
        <v>27154404.400000002</v>
      </c>
      <c r="DF11" s="40">
        <f t="shared" ca="1" si="85"/>
        <v>27154404.400000002</v>
      </c>
      <c r="DG11" s="40">
        <f t="shared" ca="1" si="85"/>
        <v>27154404.400000002</v>
      </c>
      <c r="DH11" s="40">
        <f t="shared" ca="1" si="85"/>
        <v>27154404.400000002</v>
      </c>
      <c r="DI11" s="40">
        <f t="shared" ca="1" si="85"/>
        <v>27154404.400000002</v>
      </c>
      <c r="DJ11" s="40">
        <f t="shared" ca="1" si="85"/>
        <v>27154404.400000002</v>
      </c>
      <c r="DK11" s="40">
        <f t="shared" ca="1" si="85"/>
        <v>27154404.400000002</v>
      </c>
      <c r="DL11" s="40">
        <f t="shared" ca="1" si="85"/>
        <v>27154404.400000002</v>
      </c>
      <c r="DM11" s="40">
        <f t="shared" ca="1" si="85"/>
        <v>27154404.400000002</v>
      </c>
      <c r="DN11" s="40">
        <f t="shared" ca="1" si="85"/>
        <v>27154404.400000002</v>
      </c>
      <c r="DO11" s="40">
        <f t="shared" ca="1" si="85"/>
        <v>27154404.400000002</v>
      </c>
      <c r="DP11" s="40">
        <f t="shared" ca="1" si="85"/>
        <v>27154404.400000002</v>
      </c>
      <c r="DQ11" s="40">
        <f t="shared" ca="1" si="85"/>
        <v>27154404.400000002</v>
      </c>
      <c r="DR11" s="40">
        <f t="shared" ca="1" si="85"/>
        <v>27154404.400000002</v>
      </c>
      <c r="DS11" s="40">
        <f t="shared" ca="1" si="85"/>
        <v>27154404.400000002</v>
      </c>
      <c r="DT11" s="40">
        <f t="shared" ca="1" si="85"/>
        <v>27154404.400000002</v>
      </c>
      <c r="DU11" s="40">
        <f t="shared" ca="1" si="85"/>
        <v>27154404.400000002</v>
      </c>
      <c r="DV11" s="40">
        <f t="shared" ca="1" si="85"/>
        <v>27154404.400000002</v>
      </c>
      <c r="DW11" s="40">
        <f t="shared" ca="1" si="85"/>
        <v>27154404.400000002</v>
      </c>
      <c r="DX11" s="40">
        <f t="shared" ca="1" si="85"/>
        <v>27154404.400000002</v>
      </c>
      <c r="DY11" s="40">
        <f t="shared" ca="1" si="85"/>
        <v>27154404.400000002</v>
      </c>
      <c r="DZ11" s="40">
        <f t="shared" ca="1" si="85"/>
        <v>27154404.400000002</v>
      </c>
      <c r="EA11" s="40">
        <f t="shared" ca="1" si="85"/>
        <v>27154404.400000002</v>
      </c>
      <c r="EB11" s="40">
        <f t="shared" ca="1" si="85"/>
        <v>27154404.400000002</v>
      </c>
      <c r="EC11" s="40">
        <f t="shared" ca="1" si="85"/>
        <v>27154404.400000002</v>
      </c>
      <c r="ED11" s="40">
        <f t="shared" ca="1" si="85"/>
        <v>27154404.400000002</v>
      </c>
      <c r="EE11" s="40">
        <f t="shared" ca="1" si="85"/>
        <v>27154404.400000002</v>
      </c>
      <c r="EF11" s="40">
        <f t="shared" ca="1" si="85"/>
        <v>27154404.400000002</v>
      </c>
      <c r="EG11" s="40">
        <f t="shared" ref="EG11:GR11" ca="1" si="86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6"/>
        <v>27154404.400000002</v>
      </c>
      <c r="EI11" s="40">
        <f t="shared" ca="1" si="86"/>
        <v>27154404.400000002</v>
      </c>
      <c r="EJ11" s="40">
        <f t="shared" ca="1" si="86"/>
        <v>27154404.400000002</v>
      </c>
      <c r="EK11" s="40">
        <f t="shared" ca="1" si="86"/>
        <v>27154404.400000002</v>
      </c>
      <c r="EL11" s="40">
        <f t="shared" ca="1" si="86"/>
        <v>27154404.400000002</v>
      </c>
      <c r="EM11" s="40">
        <f t="shared" ca="1" si="86"/>
        <v>27154404.400000002</v>
      </c>
      <c r="EN11" s="40">
        <f t="shared" ca="1" si="86"/>
        <v>27154404.400000002</v>
      </c>
      <c r="EO11" s="40">
        <f t="shared" ca="1" si="86"/>
        <v>27154404.400000002</v>
      </c>
      <c r="EP11" s="40">
        <f t="shared" ca="1" si="86"/>
        <v>27154404.400000002</v>
      </c>
      <c r="EQ11" s="40">
        <f t="shared" ca="1" si="86"/>
        <v>27154404.400000002</v>
      </c>
      <c r="ER11" s="40">
        <f t="shared" ca="1" si="86"/>
        <v>27154404.400000002</v>
      </c>
      <c r="ES11" s="40">
        <f t="shared" ca="1" si="86"/>
        <v>27154404.400000002</v>
      </c>
      <c r="ET11" s="40">
        <f t="shared" ca="1" si="86"/>
        <v>27154404.400000002</v>
      </c>
      <c r="EU11" s="40">
        <f t="shared" ca="1" si="86"/>
        <v>27154404.400000002</v>
      </c>
      <c r="EV11" s="40">
        <f t="shared" ca="1" si="86"/>
        <v>27154404.400000002</v>
      </c>
      <c r="EW11" s="40">
        <f t="shared" ca="1" si="86"/>
        <v>27154404.400000002</v>
      </c>
      <c r="EX11" s="40">
        <f t="shared" ca="1" si="86"/>
        <v>27154404.400000002</v>
      </c>
      <c r="EY11" s="40">
        <f t="shared" ca="1" si="86"/>
        <v>27154404.400000002</v>
      </c>
      <c r="EZ11" s="40">
        <f t="shared" ca="1" si="86"/>
        <v>27154404.400000002</v>
      </c>
      <c r="FA11" s="40">
        <f t="shared" ca="1" si="86"/>
        <v>27154404.400000002</v>
      </c>
      <c r="FB11" s="40">
        <f t="shared" ca="1" si="86"/>
        <v>27154404.400000002</v>
      </c>
      <c r="FC11" s="40">
        <f t="shared" ca="1" si="86"/>
        <v>27154404.400000002</v>
      </c>
      <c r="FD11" s="40">
        <f t="shared" ca="1" si="86"/>
        <v>27154404.400000002</v>
      </c>
      <c r="FE11" s="40">
        <f t="shared" ca="1" si="86"/>
        <v>27154404.400000002</v>
      </c>
      <c r="FF11" s="40">
        <f t="shared" ca="1" si="86"/>
        <v>27154404.400000002</v>
      </c>
      <c r="FG11" s="40">
        <f t="shared" ca="1" si="86"/>
        <v>27154404.400000002</v>
      </c>
      <c r="FH11" s="40">
        <f t="shared" ca="1" si="86"/>
        <v>27154404.400000002</v>
      </c>
      <c r="FI11" s="40">
        <f t="shared" ca="1" si="86"/>
        <v>27154404.400000002</v>
      </c>
      <c r="FJ11" s="40">
        <f t="shared" ca="1" si="86"/>
        <v>27154404.400000002</v>
      </c>
      <c r="FK11" s="40">
        <f t="shared" ca="1" si="86"/>
        <v>27154404.400000002</v>
      </c>
      <c r="FL11" s="40">
        <f t="shared" ca="1" si="86"/>
        <v>27154404.400000002</v>
      </c>
      <c r="FM11" s="40">
        <f t="shared" ca="1" si="86"/>
        <v>27154404.400000002</v>
      </c>
      <c r="FN11" s="40">
        <f t="shared" ca="1" si="86"/>
        <v>27154404.400000002</v>
      </c>
      <c r="FO11" s="40">
        <f t="shared" ca="1" si="86"/>
        <v>27154404.400000002</v>
      </c>
      <c r="FP11" s="40">
        <f t="shared" ca="1" si="86"/>
        <v>27154404.400000002</v>
      </c>
      <c r="FQ11" s="40">
        <f t="shared" ca="1" si="86"/>
        <v>27154404.400000002</v>
      </c>
      <c r="FR11" s="40">
        <f t="shared" ca="1" si="86"/>
        <v>27154404.400000002</v>
      </c>
      <c r="FS11" s="40">
        <f t="shared" ca="1" si="86"/>
        <v>27154404.400000002</v>
      </c>
      <c r="FT11" s="40">
        <f t="shared" ca="1" si="86"/>
        <v>27154404.400000002</v>
      </c>
      <c r="FU11" s="40">
        <f t="shared" ca="1" si="86"/>
        <v>27154404.400000002</v>
      </c>
      <c r="FV11" s="40">
        <f t="shared" ca="1" si="86"/>
        <v>27154404.400000002</v>
      </c>
      <c r="FW11" s="40">
        <f t="shared" ca="1" si="86"/>
        <v>27154404.400000002</v>
      </c>
      <c r="FX11" s="40">
        <f t="shared" ca="1" si="86"/>
        <v>27154404.400000002</v>
      </c>
      <c r="FY11" s="40">
        <f t="shared" ca="1" si="86"/>
        <v>27154404.400000002</v>
      </c>
      <c r="FZ11" s="40">
        <f t="shared" ca="1" si="86"/>
        <v>27154404.400000002</v>
      </c>
      <c r="GA11" s="40">
        <f t="shared" ca="1" si="86"/>
        <v>27154404.400000002</v>
      </c>
      <c r="GB11" s="40">
        <f t="shared" ca="1" si="86"/>
        <v>27154404.400000002</v>
      </c>
      <c r="GC11" s="40">
        <f t="shared" ca="1" si="86"/>
        <v>27154404.400000002</v>
      </c>
      <c r="GD11" s="40">
        <f t="shared" ca="1" si="86"/>
        <v>27154404.400000002</v>
      </c>
      <c r="GE11" s="40">
        <f t="shared" ca="1" si="86"/>
        <v>27154404.400000002</v>
      </c>
      <c r="GF11" s="40">
        <f t="shared" ca="1" si="86"/>
        <v>27154404.400000002</v>
      </c>
      <c r="GG11" s="40">
        <f t="shared" ca="1" si="86"/>
        <v>27154404.400000002</v>
      </c>
      <c r="GH11" s="40">
        <f t="shared" ca="1" si="86"/>
        <v>27154404.400000002</v>
      </c>
      <c r="GI11" s="40">
        <f t="shared" ca="1" si="86"/>
        <v>27154404.400000002</v>
      </c>
      <c r="GJ11" s="40">
        <f t="shared" ca="1" si="86"/>
        <v>27154404.400000002</v>
      </c>
      <c r="GK11" s="40">
        <f t="shared" ca="1" si="86"/>
        <v>27154404.400000002</v>
      </c>
      <c r="GL11" s="40">
        <f t="shared" ca="1" si="86"/>
        <v>27154404.400000002</v>
      </c>
      <c r="GM11" s="40">
        <f t="shared" ca="1" si="86"/>
        <v>27154404.400000002</v>
      </c>
      <c r="GN11" s="40">
        <f t="shared" ca="1" si="86"/>
        <v>27154404.400000002</v>
      </c>
      <c r="GO11" s="40">
        <f t="shared" ca="1" si="86"/>
        <v>27154404.400000002</v>
      </c>
      <c r="GP11" s="40">
        <f t="shared" ca="1" si="86"/>
        <v>27154404.400000002</v>
      </c>
      <c r="GQ11" s="40">
        <f t="shared" ca="1" si="86"/>
        <v>27154404.400000002</v>
      </c>
      <c r="GR11" s="40">
        <f t="shared" ca="1" si="86"/>
        <v>27154404.400000002</v>
      </c>
      <c r="GS11" s="40">
        <f t="shared" ref="GS11:IN11" ca="1" si="87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7"/>
        <v>27154404.400000002</v>
      </c>
      <c r="GU11" s="40">
        <f t="shared" ca="1" si="87"/>
        <v>27154404.400000002</v>
      </c>
      <c r="GV11" s="40">
        <f t="shared" ca="1" si="87"/>
        <v>27154404.400000002</v>
      </c>
      <c r="GW11" s="40">
        <f t="shared" ca="1" si="87"/>
        <v>27154404.400000002</v>
      </c>
      <c r="GX11" s="40">
        <f t="shared" ca="1" si="87"/>
        <v>27154404.400000002</v>
      </c>
      <c r="GY11" s="40">
        <f t="shared" ca="1" si="87"/>
        <v>27154404.400000002</v>
      </c>
      <c r="GZ11" s="40">
        <f t="shared" ca="1" si="87"/>
        <v>27154404.400000002</v>
      </c>
      <c r="HA11" s="40">
        <f t="shared" ca="1" si="87"/>
        <v>27154404.400000002</v>
      </c>
      <c r="HB11" s="40">
        <f t="shared" ca="1" si="87"/>
        <v>27154404.400000002</v>
      </c>
      <c r="HC11" s="40">
        <f t="shared" ca="1" si="87"/>
        <v>27154404.400000002</v>
      </c>
      <c r="HD11" s="40">
        <f t="shared" ca="1" si="87"/>
        <v>27154404.400000002</v>
      </c>
      <c r="HE11" s="40">
        <f t="shared" ca="1" si="87"/>
        <v>27154404.400000002</v>
      </c>
      <c r="HF11" s="40">
        <f t="shared" ca="1" si="87"/>
        <v>27154404.400000002</v>
      </c>
      <c r="HG11" s="40">
        <f t="shared" ca="1" si="87"/>
        <v>27154404.400000002</v>
      </c>
      <c r="HH11" s="40">
        <f t="shared" ca="1" si="87"/>
        <v>27154404.400000002</v>
      </c>
      <c r="HI11" s="40">
        <f t="shared" ca="1" si="87"/>
        <v>27154404.400000002</v>
      </c>
      <c r="HJ11" s="40">
        <f t="shared" ca="1" si="87"/>
        <v>27154404.400000002</v>
      </c>
      <c r="HK11" s="40">
        <f t="shared" ca="1" si="87"/>
        <v>27154404.400000002</v>
      </c>
      <c r="HL11" s="40">
        <f t="shared" ca="1" si="87"/>
        <v>27154404.400000002</v>
      </c>
      <c r="HM11" s="40">
        <f t="shared" ca="1" si="87"/>
        <v>27154404.400000002</v>
      </c>
      <c r="HN11" s="40">
        <f t="shared" ca="1" si="87"/>
        <v>27154404.400000002</v>
      </c>
      <c r="HO11" s="40">
        <f t="shared" ca="1" si="87"/>
        <v>27154404.400000002</v>
      </c>
      <c r="HP11" s="40">
        <f t="shared" ca="1" si="87"/>
        <v>27154404.400000002</v>
      </c>
      <c r="HQ11" s="40">
        <f t="shared" ca="1" si="87"/>
        <v>27154404.400000002</v>
      </c>
      <c r="HR11" s="40">
        <f t="shared" ca="1" si="87"/>
        <v>27154404.400000002</v>
      </c>
      <c r="HS11" s="40">
        <f t="shared" ca="1" si="87"/>
        <v>27154404.400000002</v>
      </c>
      <c r="HT11" s="40">
        <f t="shared" ca="1" si="87"/>
        <v>27154404.400000002</v>
      </c>
      <c r="HU11" s="40">
        <f t="shared" ca="1" si="87"/>
        <v>27154404.400000002</v>
      </c>
      <c r="HV11" s="40">
        <f t="shared" ca="1" si="87"/>
        <v>27154404.400000002</v>
      </c>
      <c r="HW11" s="40">
        <f t="shared" ca="1" si="87"/>
        <v>27154404.400000002</v>
      </c>
      <c r="HX11" s="40">
        <f t="shared" ca="1" si="87"/>
        <v>27154404.400000002</v>
      </c>
      <c r="HY11" s="40">
        <f t="shared" ca="1" si="87"/>
        <v>27154404.400000002</v>
      </c>
      <c r="HZ11" s="40">
        <f t="shared" ca="1" si="87"/>
        <v>27154404.400000002</v>
      </c>
      <c r="IA11" s="40">
        <f t="shared" ca="1" si="87"/>
        <v>27154404.400000002</v>
      </c>
      <c r="IB11" s="40">
        <f t="shared" ca="1" si="87"/>
        <v>27154404.400000002</v>
      </c>
      <c r="IC11" s="40">
        <f t="shared" ca="1" si="87"/>
        <v>27154404.400000002</v>
      </c>
      <c r="ID11" s="40">
        <f t="shared" ca="1" si="87"/>
        <v>27154404.400000002</v>
      </c>
      <c r="IE11" s="40">
        <f t="shared" ca="1" si="87"/>
        <v>27154404.400000002</v>
      </c>
      <c r="IF11" s="40">
        <f t="shared" ca="1" si="87"/>
        <v>27154404.400000002</v>
      </c>
      <c r="IG11" s="40">
        <f t="shared" ca="1" si="87"/>
        <v>27154404.400000002</v>
      </c>
      <c r="IH11" s="40">
        <f t="shared" ca="1" si="87"/>
        <v>27154404.400000002</v>
      </c>
      <c r="II11" s="40">
        <f t="shared" ca="1" si="87"/>
        <v>27154404.400000002</v>
      </c>
      <c r="IJ11" s="40">
        <f t="shared" ca="1" si="87"/>
        <v>27154404.400000002</v>
      </c>
      <c r="IK11" s="40">
        <f t="shared" ca="1" si="87"/>
        <v>27154404.400000002</v>
      </c>
      <c r="IL11" s="40">
        <f t="shared" ca="1" si="87"/>
        <v>27154404.400000002</v>
      </c>
      <c r="IM11" s="40">
        <f t="shared" ca="1" si="87"/>
        <v>27154404.400000002</v>
      </c>
      <c r="IN11" s="40">
        <f t="shared" ca="1" si="87"/>
        <v>27154404.400000002</v>
      </c>
    </row>
    <row r="12" spans="2:248" x14ac:dyDescent="0.3">
      <c r="B12" s="19" t="s">
        <v>528</v>
      </c>
      <c r="C12" s="74">
        <f>VLOOKUP(B2,Days_Since_100!C:G,5,FALSE)-1</f>
        <v>0.19361607286565263</v>
      </c>
      <c r="E12" s="19">
        <v>0.4</v>
      </c>
      <c r="F12" s="19" t="s">
        <v>453</v>
      </c>
      <c r="G12" s="40">
        <f t="shared" ref="G12" si="88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89">IF(IF(AND(ISNA(H$8),ISNA(G$8)),G12*(1+$E$12),IF(AND(G$8&gt;0,ISNA(H$8)),G12*(1+$E$12),H$8))&gt;$C$21,$C$21,IF(AND(ISNA(H$8),ISNA(G$8)),G12*(1+$E$12),IF(AND(G$8&gt;0,ISNA(H$8)),G12*(1+$E$12),H$8)))</f>
        <v>164</v>
      </c>
      <c r="I12" s="40">
        <f t="shared" ref="I12:BT12" ca="1" si="90">IF(IF(AND(ISNA(I$8),ISNA(H$8)),H12*(1+$E$12),IF(AND(H$8&gt;0,ISNA(I$8)),H12*(1+$E$12),I$8))&gt;$C$21,$C$21,IF(AND(ISNA(I$8),ISNA(H$8)),H12*(1+$E$12),IF(AND(H$8&gt;0,ISNA(I$8)),H12*(1+$E$12),I$8)))</f>
        <v>207</v>
      </c>
      <c r="J12" s="40">
        <f t="shared" ca="1" si="90"/>
        <v>274</v>
      </c>
      <c r="K12" s="40">
        <f t="shared" ca="1" si="90"/>
        <v>322</v>
      </c>
      <c r="L12" s="40">
        <f t="shared" ca="1" si="90"/>
        <v>384</v>
      </c>
      <c r="M12" s="40">
        <f t="shared" ca="1" si="90"/>
        <v>459</v>
      </c>
      <c r="N12" s="40">
        <f t="shared" ca="1" si="90"/>
        <v>588</v>
      </c>
      <c r="O12" s="40">
        <f t="shared" ca="1" si="90"/>
        <v>799</v>
      </c>
      <c r="P12" s="40">
        <f t="shared" ca="1" si="90"/>
        <v>1131</v>
      </c>
      <c r="Q12" s="40">
        <f t="shared" ca="1" si="90"/>
        <v>1328</v>
      </c>
      <c r="R12" s="40">
        <f t="shared" ca="1" si="90"/>
        <v>1271</v>
      </c>
      <c r="S12" s="40">
        <f t="shared" ca="1" si="90"/>
        <v>1685</v>
      </c>
      <c r="T12" s="40">
        <f t="shared" ca="1" si="90"/>
        <v>2296</v>
      </c>
      <c r="U12" s="40">
        <f t="shared" ca="1" si="90"/>
        <v>2245</v>
      </c>
      <c r="V12" s="40">
        <f t="shared" ca="1" si="90"/>
        <v>3474</v>
      </c>
      <c r="W12" s="40">
        <f t="shared" ca="1" si="90"/>
        <v>4395</v>
      </c>
      <c r="X12" s="40">
        <f t="shared" ca="1" si="90"/>
        <v>4937</v>
      </c>
      <c r="Y12" s="40">
        <f t="shared" ca="1" si="90"/>
        <v>5681</v>
      </c>
      <c r="Z12" s="40">
        <f t="shared" ca="1" si="90"/>
        <v>6739</v>
      </c>
      <c r="AA12" s="40">
        <f t="shared" ca="1" si="90"/>
        <v>7719</v>
      </c>
      <c r="AB12" s="40">
        <f t="shared" ca="1" si="90"/>
        <v>9715</v>
      </c>
      <c r="AC12" s="40">
        <f t="shared" ca="1" si="90"/>
        <v>12314</v>
      </c>
      <c r="AD12" s="40">
        <f t="shared" ca="1" si="90"/>
        <v>14008</v>
      </c>
      <c r="AE12" s="40">
        <f t="shared" ca="1" si="90"/>
        <v>15362</v>
      </c>
      <c r="AF12" s="40">
        <f t="shared" ca="1" si="90"/>
        <v>21506.799999999999</v>
      </c>
      <c r="AG12" s="40">
        <f t="shared" ca="1" si="90"/>
        <v>30109.519999999997</v>
      </c>
      <c r="AH12" s="40">
        <f t="shared" ca="1" si="90"/>
        <v>42153.327999999994</v>
      </c>
      <c r="AI12" s="40">
        <f t="shared" ca="1" si="90"/>
        <v>59014.659199999987</v>
      </c>
      <c r="AJ12" s="40">
        <f t="shared" ca="1" si="90"/>
        <v>82620.522879999975</v>
      </c>
      <c r="AK12" s="40">
        <f t="shared" ca="1" si="90"/>
        <v>115668.73203199996</v>
      </c>
      <c r="AL12" s="40">
        <f t="shared" ca="1" si="90"/>
        <v>161936.22484479993</v>
      </c>
      <c r="AM12" s="40">
        <f t="shared" ca="1" si="90"/>
        <v>226710.71478271988</v>
      </c>
      <c r="AN12" s="40">
        <f t="shared" ca="1" si="90"/>
        <v>317395.0006958078</v>
      </c>
      <c r="AO12" s="40">
        <f t="shared" ca="1" si="90"/>
        <v>444353.00097413087</v>
      </c>
      <c r="AP12" s="40">
        <f t="shared" ca="1" si="90"/>
        <v>622094.20136378321</v>
      </c>
      <c r="AQ12" s="40">
        <f t="shared" ca="1" si="90"/>
        <v>870931.8819092965</v>
      </c>
      <c r="AR12" s="40">
        <f t="shared" ca="1" si="90"/>
        <v>1219304.634673015</v>
      </c>
      <c r="AS12" s="40">
        <f t="shared" ca="1" si="90"/>
        <v>1707026.4885422208</v>
      </c>
      <c r="AT12" s="40">
        <f t="shared" ca="1" si="90"/>
        <v>2389837.0839591091</v>
      </c>
      <c r="AU12" s="40">
        <f t="shared" ca="1" si="90"/>
        <v>3345771.9175427528</v>
      </c>
      <c r="AV12" s="40">
        <f t="shared" ca="1" si="90"/>
        <v>4684080.6845598537</v>
      </c>
      <c r="AW12" s="40">
        <f t="shared" ca="1" si="90"/>
        <v>6557712.9583837949</v>
      </c>
      <c r="AX12" s="40">
        <f t="shared" ca="1" si="90"/>
        <v>9180798.1417373121</v>
      </c>
      <c r="AY12" s="40">
        <f t="shared" ca="1" si="90"/>
        <v>12853117.398432236</v>
      </c>
      <c r="AZ12" s="40">
        <f t="shared" ca="1" si="90"/>
        <v>17994364.357805129</v>
      </c>
      <c r="BA12" s="40">
        <f t="shared" ca="1" si="90"/>
        <v>25192110.100927178</v>
      </c>
      <c r="BB12" s="40">
        <f t="shared" ca="1" si="90"/>
        <v>27154404.400000002</v>
      </c>
      <c r="BC12" s="40">
        <f t="shared" ca="1" si="90"/>
        <v>27154404.400000002</v>
      </c>
      <c r="BD12" s="40">
        <f t="shared" ca="1" si="90"/>
        <v>27154404.400000002</v>
      </c>
      <c r="BE12" s="40">
        <f t="shared" ca="1" si="90"/>
        <v>27154404.400000002</v>
      </c>
      <c r="BF12" s="40">
        <f t="shared" ca="1" si="90"/>
        <v>27154404.400000002</v>
      </c>
      <c r="BG12" s="40">
        <f t="shared" ca="1" si="90"/>
        <v>27154404.400000002</v>
      </c>
      <c r="BH12" s="40">
        <f t="shared" ca="1" si="90"/>
        <v>27154404.400000002</v>
      </c>
      <c r="BI12" s="40">
        <f t="shared" ca="1" si="90"/>
        <v>27154404.400000002</v>
      </c>
      <c r="BJ12" s="40">
        <f t="shared" ca="1" si="90"/>
        <v>27154404.400000002</v>
      </c>
      <c r="BK12" s="40">
        <f t="shared" ca="1" si="90"/>
        <v>27154404.400000002</v>
      </c>
      <c r="BL12" s="40">
        <f t="shared" ca="1" si="90"/>
        <v>27154404.400000002</v>
      </c>
      <c r="BM12" s="40">
        <f t="shared" ca="1" si="90"/>
        <v>27154404.400000002</v>
      </c>
      <c r="BN12" s="40">
        <f t="shared" ca="1" si="90"/>
        <v>27154404.400000002</v>
      </c>
      <c r="BO12" s="40">
        <f t="shared" ca="1" si="90"/>
        <v>27154404.400000002</v>
      </c>
      <c r="BP12" s="40">
        <f t="shared" ca="1" si="90"/>
        <v>27154404.400000002</v>
      </c>
      <c r="BQ12" s="40">
        <f t="shared" ca="1" si="90"/>
        <v>27154404.400000002</v>
      </c>
      <c r="BR12" s="40">
        <f t="shared" ca="1" si="90"/>
        <v>27154404.400000002</v>
      </c>
      <c r="BS12" s="40">
        <f t="shared" ca="1" si="90"/>
        <v>27154404.400000002</v>
      </c>
      <c r="BT12" s="40">
        <f t="shared" ca="1" si="90"/>
        <v>27154404.400000002</v>
      </c>
      <c r="BU12" s="40">
        <f t="shared" ref="BU12:EF12" ca="1" si="91">IF(IF(AND(ISNA(BU$8),ISNA(BT$8)),BT12*(1+$E$12),IF(AND(BT$8&gt;0,ISNA(BU$8)),BT12*(1+$E$12),BU$8))&gt;$C$21,$C$21,IF(AND(ISNA(BU$8),ISNA(BT$8)),BT12*(1+$E$12),IF(AND(BT$8&gt;0,ISNA(BU$8)),BT12*(1+$E$12),BU$8)))</f>
        <v>27154404.400000002</v>
      </c>
      <c r="BV12" s="40">
        <f t="shared" ca="1" si="91"/>
        <v>27154404.400000002</v>
      </c>
      <c r="BW12" s="40">
        <f t="shared" ca="1" si="91"/>
        <v>27154404.400000002</v>
      </c>
      <c r="BX12" s="40">
        <f t="shared" ca="1" si="91"/>
        <v>27154404.400000002</v>
      </c>
      <c r="BY12" s="40">
        <f t="shared" ca="1" si="91"/>
        <v>27154404.400000002</v>
      </c>
      <c r="BZ12" s="40">
        <f t="shared" ca="1" si="91"/>
        <v>27154404.400000002</v>
      </c>
      <c r="CA12" s="40">
        <f t="shared" ca="1" si="91"/>
        <v>27154404.400000002</v>
      </c>
      <c r="CB12" s="40">
        <f t="shared" ca="1" si="91"/>
        <v>27154404.400000002</v>
      </c>
      <c r="CC12" s="40">
        <f t="shared" ca="1" si="91"/>
        <v>27154404.400000002</v>
      </c>
      <c r="CD12" s="40">
        <f t="shared" ca="1" si="91"/>
        <v>27154404.400000002</v>
      </c>
      <c r="CE12" s="40">
        <f t="shared" ca="1" si="91"/>
        <v>27154404.400000002</v>
      </c>
      <c r="CF12" s="40">
        <f t="shared" ca="1" si="91"/>
        <v>27154404.400000002</v>
      </c>
      <c r="CG12" s="40">
        <f t="shared" ca="1" si="91"/>
        <v>27154404.400000002</v>
      </c>
      <c r="CH12" s="40">
        <f t="shared" ca="1" si="91"/>
        <v>27154404.400000002</v>
      </c>
      <c r="CI12" s="40">
        <f t="shared" ca="1" si="91"/>
        <v>27154404.400000002</v>
      </c>
      <c r="CJ12" s="40">
        <f t="shared" ca="1" si="91"/>
        <v>27154404.400000002</v>
      </c>
      <c r="CK12" s="40">
        <f t="shared" ca="1" si="91"/>
        <v>27154404.400000002</v>
      </c>
      <c r="CL12" s="40">
        <f t="shared" ca="1" si="91"/>
        <v>27154404.400000002</v>
      </c>
      <c r="CM12" s="40">
        <f t="shared" ca="1" si="91"/>
        <v>27154404.400000002</v>
      </c>
      <c r="CN12" s="40">
        <f t="shared" ca="1" si="91"/>
        <v>27154404.400000002</v>
      </c>
      <c r="CO12" s="40">
        <f t="shared" ca="1" si="91"/>
        <v>27154404.400000002</v>
      </c>
      <c r="CP12" s="40">
        <f t="shared" ca="1" si="91"/>
        <v>27154404.400000002</v>
      </c>
      <c r="CQ12" s="40">
        <f t="shared" ca="1" si="91"/>
        <v>27154404.400000002</v>
      </c>
      <c r="CR12" s="40">
        <f t="shared" ca="1" si="91"/>
        <v>27154404.400000002</v>
      </c>
      <c r="CS12" s="40">
        <f t="shared" ca="1" si="91"/>
        <v>27154404.400000002</v>
      </c>
      <c r="CT12" s="40">
        <f t="shared" ca="1" si="91"/>
        <v>27154404.400000002</v>
      </c>
      <c r="CU12" s="40">
        <f t="shared" ca="1" si="91"/>
        <v>27154404.400000002</v>
      </c>
      <c r="CV12" s="40">
        <f t="shared" ca="1" si="91"/>
        <v>27154404.400000002</v>
      </c>
      <c r="CW12" s="40">
        <f t="shared" ca="1" si="91"/>
        <v>27154404.400000002</v>
      </c>
      <c r="CX12" s="40">
        <f t="shared" ca="1" si="91"/>
        <v>27154404.400000002</v>
      </c>
      <c r="CY12" s="40">
        <f t="shared" ca="1" si="91"/>
        <v>27154404.400000002</v>
      </c>
      <c r="CZ12" s="40">
        <f t="shared" ca="1" si="91"/>
        <v>27154404.400000002</v>
      </c>
      <c r="DA12" s="40">
        <f t="shared" ca="1" si="91"/>
        <v>27154404.400000002</v>
      </c>
      <c r="DB12" s="40">
        <f t="shared" ca="1" si="91"/>
        <v>27154404.400000002</v>
      </c>
      <c r="DC12" s="40">
        <f t="shared" ca="1" si="91"/>
        <v>27154404.400000002</v>
      </c>
      <c r="DD12" s="40">
        <f t="shared" ca="1" si="91"/>
        <v>27154404.400000002</v>
      </c>
      <c r="DE12" s="40">
        <f t="shared" ca="1" si="91"/>
        <v>27154404.400000002</v>
      </c>
      <c r="DF12" s="40">
        <f t="shared" ca="1" si="91"/>
        <v>27154404.400000002</v>
      </c>
      <c r="DG12" s="40">
        <f t="shared" ca="1" si="91"/>
        <v>27154404.400000002</v>
      </c>
      <c r="DH12" s="40">
        <f t="shared" ca="1" si="91"/>
        <v>27154404.400000002</v>
      </c>
      <c r="DI12" s="40">
        <f t="shared" ca="1" si="91"/>
        <v>27154404.400000002</v>
      </c>
      <c r="DJ12" s="40">
        <f t="shared" ca="1" si="91"/>
        <v>27154404.400000002</v>
      </c>
      <c r="DK12" s="40">
        <f t="shared" ca="1" si="91"/>
        <v>27154404.400000002</v>
      </c>
      <c r="DL12" s="40">
        <f t="shared" ca="1" si="91"/>
        <v>27154404.400000002</v>
      </c>
      <c r="DM12" s="40">
        <f t="shared" ca="1" si="91"/>
        <v>27154404.400000002</v>
      </c>
      <c r="DN12" s="40">
        <f t="shared" ca="1" si="91"/>
        <v>27154404.400000002</v>
      </c>
      <c r="DO12" s="40">
        <f t="shared" ca="1" si="91"/>
        <v>27154404.400000002</v>
      </c>
      <c r="DP12" s="40">
        <f t="shared" ca="1" si="91"/>
        <v>27154404.400000002</v>
      </c>
      <c r="DQ12" s="40">
        <f t="shared" ca="1" si="91"/>
        <v>27154404.400000002</v>
      </c>
      <c r="DR12" s="40">
        <f t="shared" ca="1" si="91"/>
        <v>27154404.400000002</v>
      </c>
      <c r="DS12" s="40">
        <f t="shared" ca="1" si="91"/>
        <v>27154404.400000002</v>
      </c>
      <c r="DT12" s="40">
        <f t="shared" ca="1" si="91"/>
        <v>27154404.400000002</v>
      </c>
      <c r="DU12" s="40">
        <f t="shared" ca="1" si="91"/>
        <v>27154404.400000002</v>
      </c>
      <c r="DV12" s="40">
        <f t="shared" ca="1" si="91"/>
        <v>27154404.400000002</v>
      </c>
      <c r="DW12" s="40">
        <f t="shared" ca="1" si="91"/>
        <v>27154404.400000002</v>
      </c>
      <c r="DX12" s="40">
        <f t="shared" ca="1" si="91"/>
        <v>27154404.400000002</v>
      </c>
      <c r="DY12" s="40">
        <f t="shared" ca="1" si="91"/>
        <v>27154404.400000002</v>
      </c>
      <c r="DZ12" s="40">
        <f t="shared" ca="1" si="91"/>
        <v>27154404.400000002</v>
      </c>
      <c r="EA12" s="40">
        <f t="shared" ca="1" si="91"/>
        <v>27154404.400000002</v>
      </c>
      <c r="EB12" s="40">
        <f t="shared" ca="1" si="91"/>
        <v>27154404.400000002</v>
      </c>
      <c r="EC12" s="40">
        <f t="shared" ca="1" si="91"/>
        <v>27154404.400000002</v>
      </c>
      <c r="ED12" s="40">
        <f t="shared" ca="1" si="91"/>
        <v>27154404.400000002</v>
      </c>
      <c r="EE12" s="40">
        <f t="shared" ca="1" si="91"/>
        <v>27154404.400000002</v>
      </c>
      <c r="EF12" s="40">
        <f t="shared" ca="1" si="91"/>
        <v>27154404.400000002</v>
      </c>
      <c r="EG12" s="40">
        <f t="shared" ref="EG12:GR12" ca="1" si="92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2"/>
        <v>27154404.400000002</v>
      </c>
      <c r="EI12" s="40">
        <f t="shared" ca="1" si="92"/>
        <v>27154404.400000002</v>
      </c>
      <c r="EJ12" s="40">
        <f t="shared" ca="1" si="92"/>
        <v>27154404.400000002</v>
      </c>
      <c r="EK12" s="40">
        <f t="shared" ca="1" si="92"/>
        <v>27154404.400000002</v>
      </c>
      <c r="EL12" s="40">
        <f t="shared" ca="1" si="92"/>
        <v>27154404.400000002</v>
      </c>
      <c r="EM12" s="40">
        <f t="shared" ca="1" si="92"/>
        <v>27154404.400000002</v>
      </c>
      <c r="EN12" s="40">
        <f t="shared" ca="1" si="92"/>
        <v>27154404.400000002</v>
      </c>
      <c r="EO12" s="40">
        <f t="shared" ca="1" si="92"/>
        <v>27154404.400000002</v>
      </c>
      <c r="EP12" s="40">
        <f t="shared" ca="1" si="92"/>
        <v>27154404.400000002</v>
      </c>
      <c r="EQ12" s="40">
        <f t="shared" ca="1" si="92"/>
        <v>27154404.400000002</v>
      </c>
      <c r="ER12" s="40">
        <f t="shared" ca="1" si="92"/>
        <v>27154404.400000002</v>
      </c>
      <c r="ES12" s="40">
        <f t="shared" ca="1" si="92"/>
        <v>27154404.400000002</v>
      </c>
      <c r="ET12" s="40">
        <f t="shared" ca="1" si="92"/>
        <v>27154404.400000002</v>
      </c>
      <c r="EU12" s="40">
        <f t="shared" ca="1" si="92"/>
        <v>27154404.400000002</v>
      </c>
      <c r="EV12" s="40">
        <f t="shared" ca="1" si="92"/>
        <v>27154404.400000002</v>
      </c>
      <c r="EW12" s="40">
        <f t="shared" ca="1" si="92"/>
        <v>27154404.400000002</v>
      </c>
      <c r="EX12" s="40">
        <f t="shared" ca="1" si="92"/>
        <v>27154404.400000002</v>
      </c>
      <c r="EY12" s="40">
        <f t="shared" ca="1" si="92"/>
        <v>27154404.400000002</v>
      </c>
      <c r="EZ12" s="40">
        <f t="shared" ca="1" si="92"/>
        <v>27154404.400000002</v>
      </c>
      <c r="FA12" s="40">
        <f t="shared" ca="1" si="92"/>
        <v>27154404.400000002</v>
      </c>
      <c r="FB12" s="40">
        <f t="shared" ca="1" si="92"/>
        <v>27154404.400000002</v>
      </c>
      <c r="FC12" s="40">
        <f t="shared" ca="1" si="92"/>
        <v>27154404.400000002</v>
      </c>
      <c r="FD12" s="40">
        <f t="shared" ca="1" si="92"/>
        <v>27154404.400000002</v>
      </c>
      <c r="FE12" s="40">
        <f t="shared" ca="1" si="92"/>
        <v>27154404.400000002</v>
      </c>
      <c r="FF12" s="40">
        <f t="shared" ca="1" si="92"/>
        <v>27154404.400000002</v>
      </c>
      <c r="FG12" s="40">
        <f t="shared" ca="1" si="92"/>
        <v>27154404.400000002</v>
      </c>
      <c r="FH12" s="40">
        <f t="shared" ca="1" si="92"/>
        <v>27154404.400000002</v>
      </c>
      <c r="FI12" s="40">
        <f t="shared" ca="1" si="92"/>
        <v>27154404.400000002</v>
      </c>
      <c r="FJ12" s="40">
        <f t="shared" ca="1" si="92"/>
        <v>27154404.400000002</v>
      </c>
      <c r="FK12" s="40">
        <f t="shared" ca="1" si="92"/>
        <v>27154404.400000002</v>
      </c>
      <c r="FL12" s="40">
        <f t="shared" ca="1" si="92"/>
        <v>27154404.400000002</v>
      </c>
      <c r="FM12" s="40">
        <f t="shared" ca="1" si="92"/>
        <v>27154404.400000002</v>
      </c>
      <c r="FN12" s="40">
        <f t="shared" ca="1" si="92"/>
        <v>27154404.400000002</v>
      </c>
      <c r="FO12" s="40">
        <f t="shared" ca="1" si="92"/>
        <v>27154404.400000002</v>
      </c>
      <c r="FP12" s="40">
        <f t="shared" ca="1" si="92"/>
        <v>27154404.400000002</v>
      </c>
      <c r="FQ12" s="40">
        <f t="shared" ca="1" si="92"/>
        <v>27154404.400000002</v>
      </c>
      <c r="FR12" s="40">
        <f t="shared" ca="1" si="92"/>
        <v>27154404.400000002</v>
      </c>
      <c r="FS12" s="40">
        <f t="shared" ca="1" si="92"/>
        <v>27154404.400000002</v>
      </c>
      <c r="FT12" s="40">
        <f t="shared" ca="1" si="92"/>
        <v>27154404.400000002</v>
      </c>
      <c r="FU12" s="40">
        <f t="shared" ca="1" si="92"/>
        <v>27154404.400000002</v>
      </c>
      <c r="FV12" s="40">
        <f t="shared" ca="1" si="92"/>
        <v>27154404.400000002</v>
      </c>
      <c r="FW12" s="40">
        <f t="shared" ca="1" si="92"/>
        <v>27154404.400000002</v>
      </c>
      <c r="FX12" s="40">
        <f t="shared" ca="1" si="92"/>
        <v>27154404.400000002</v>
      </c>
      <c r="FY12" s="40">
        <f t="shared" ca="1" si="92"/>
        <v>27154404.400000002</v>
      </c>
      <c r="FZ12" s="40">
        <f t="shared" ca="1" si="92"/>
        <v>27154404.400000002</v>
      </c>
      <c r="GA12" s="40">
        <f t="shared" ca="1" si="92"/>
        <v>27154404.400000002</v>
      </c>
      <c r="GB12" s="40">
        <f t="shared" ca="1" si="92"/>
        <v>27154404.400000002</v>
      </c>
      <c r="GC12" s="40">
        <f t="shared" ca="1" si="92"/>
        <v>27154404.400000002</v>
      </c>
      <c r="GD12" s="40">
        <f t="shared" ca="1" si="92"/>
        <v>27154404.400000002</v>
      </c>
      <c r="GE12" s="40">
        <f t="shared" ca="1" si="92"/>
        <v>27154404.400000002</v>
      </c>
      <c r="GF12" s="40">
        <f t="shared" ca="1" si="92"/>
        <v>27154404.400000002</v>
      </c>
      <c r="GG12" s="40">
        <f t="shared" ca="1" si="92"/>
        <v>27154404.400000002</v>
      </c>
      <c r="GH12" s="40">
        <f t="shared" ca="1" si="92"/>
        <v>27154404.400000002</v>
      </c>
      <c r="GI12" s="40">
        <f t="shared" ca="1" si="92"/>
        <v>27154404.400000002</v>
      </c>
      <c r="GJ12" s="40">
        <f t="shared" ca="1" si="92"/>
        <v>27154404.400000002</v>
      </c>
      <c r="GK12" s="40">
        <f t="shared" ca="1" si="92"/>
        <v>27154404.400000002</v>
      </c>
      <c r="GL12" s="40">
        <f t="shared" ca="1" si="92"/>
        <v>27154404.400000002</v>
      </c>
      <c r="GM12" s="40">
        <f t="shared" ca="1" si="92"/>
        <v>27154404.400000002</v>
      </c>
      <c r="GN12" s="40">
        <f t="shared" ca="1" si="92"/>
        <v>27154404.400000002</v>
      </c>
      <c r="GO12" s="40">
        <f t="shared" ca="1" si="92"/>
        <v>27154404.400000002</v>
      </c>
      <c r="GP12" s="40">
        <f t="shared" ca="1" si="92"/>
        <v>27154404.400000002</v>
      </c>
      <c r="GQ12" s="40">
        <f t="shared" ca="1" si="92"/>
        <v>27154404.400000002</v>
      </c>
      <c r="GR12" s="40">
        <f t="shared" ca="1" si="92"/>
        <v>27154404.400000002</v>
      </c>
      <c r="GS12" s="40">
        <f t="shared" ref="GS12:IN12" ca="1" si="93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3"/>
        <v>27154404.400000002</v>
      </c>
      <c r="GU12" s="40">
        <f t="shared" ca="1" si="93"/>
        <v>27154404.400000002</v>
      </c>
      <c r="GV12" s="40">
        <f t="shared" ca="1" si="93"/>
        <v>27154404.400000002</v>
      </c>
      <c r="GW12" s="40">
        <f t="shared" ca="1" si="93"/>
        <v>27154404.400000002</v>
      </c>
      <c r="GX12" s="40">
        <f t="shared" ca="1" si="93"/>
        <v>27154404.400000002</v>
      </c>
      <c r="GY12" s="40">
        <f t="shared" ca="1" si="93"/>
        <v>27154404.400000002</v>
      </c>
      <c r="GZ12" s="40">
        <f t="shared" ca="1" si="93"/>
        <v>27154404.400000002</v>
      </c>
      <c r="HA12" s="40">
        <f t="shared" ca="1" si="93"/>
        <v>27154404.400000002</v>
      </c>
      <c r="HB12" s="40">
        <f t="shared" ca="1" si="93"/>
        <v>27154404.400000002</v>
      </c>
      <c r="HC12" s="40">
        <f t="shared" ca="1" si="93"/>
        <v>27154404.400000002</v>
      </c>
      <c r="HD12" s="40">
        <f t="shared" ca="1" si="93"/>
        <v>27154404.400000002</v>
      </c>
      <c r="HE12" s="40">
        <f t="shared" ca="1" si="93"/>
        <v>27154404.400000002</v>
      </c>
      <c r="HF12" s="40">
        <f t="shared" ca="1" si="93"/>
        <v>27154404.400000002</v>
      </c>
      <c r="HG12" s="40">
        <f t="shared" ca="1" si="93"/>
        <v>27154404.400000002</v>
      </c>
      <c r="HH12" s="40">
        <f t="shared" ca="1" si="93"/>
        <v>27154404.400000002</v>
      </c>
      <c r="HI12" s="40">
        <f t="shared" ca="1" si="93"/>
        <v>27154404.400000002</v>
      </c>
      <c r="HJ12" s="40">
        <f t="shared" ca="1" si="93"/>
        <v>27154404.400000002</v>
      </c>
      <c r="HK12" s="40">
        <f t="shared" ca="1" si="93"/>
        <v>27154404.400000002</v>
      </c>
      <c r="HL12" s="40">
        <f t="shared" ca="1" si="93"/>
        <v>27154404.400000002</v>
      </c>
      <c r="HM12" s="40">
        <f t="shared" ca="1" si="93"/>
        <v>27154404.400000002</v>
      </c>
      <c r="HN12" s="40">
        <f t="shared" ca="1" si="93"/>
        <v>27154404.400000002</v>
      </c>
      <c r="HO12" s="40">
        <f t="shared" ca="1" si="93"/>
        <v>27154404.400000002</v>
      </c>
      <c r="HP12" s="40">
        <f t="shared" ca="1" si="93"/>
        <v>27154404.400000002</v>
      </c>
      <c r="HQ12" s="40">
        <f t="shared" ca="1" si="93"/>
        <v>27154404.400000002</v>
      </c>
      <c r="HR12" s="40">
        <f t="shared" ca="1" si="93"/>
        <v>27154404.400000002</v>
      </c>
      <c r="HS12" s="40">
        <f t="shared" ca="1" si="93"/>
        <v>27154404.400000002</v>
      </c>
      <c r="HT12" s="40">
        <f t="shared" ca="1" si="93"/>
        <v>27154404.400000002</v>
      </c>
      <c r="HU12" s="40">
        <f t="shared" ca="1" si="93"/>
        <v>27154404.400000002</v>
      </c>
      <c r="HV12" s="40">
        <f t="shared" ca="1" si="93"/>
        <v>27154404.400000002</v>
      </c>
      <c r="HW12" s="40">
        <f t="shared" ca="1" si="93"/>
        <v>27154404.400000002</v>
      </c>
      <c r="HX12" s="40">
        <f t="shared" ca="1" si="93"/>
        <v>27154404.400000002</v>
      </c>
      <c r="HY12" s="40">
        <f t="shared" ca="1" si="93"/>
        <v>27154404.400000002</v>
      </c>
      <c r="HZ12" s="40">
        <f t="shared" ca="1" si="93"/>
        <v>27154404.400000002</v>
      </c>
      <c r="IA12" s="40">
        <f t="shared" ca="1" si="93"/>
        <v>27154404.400000002</v>
      </c>
      <c r="IB12" s="40">
        <f t="shared" ca="1" si="93"/>
        <v>27154404.400000002</v>
      </c>
      <c r="IC12" s="40">
        <f t="shared" ca="1" si="93"/>
        <v>27154404.400000002</v>
      </c>
      <c r="ID12" s="40">
        <f t="shared" ca="1" si="93"/>
        <v>27154404.400000002</v>
      </c>
      <c r="IE12" s="40">
        <f t="shared" ca="1" si="93"/>
        <v>27154404.400000002</v>
      </c>
      <c r="IF12" s="40">
        <f t="shared" ca="1" si="93"/>
        <v>27154404.400000002</v>
      </c>
      <c r="IG12" s="40">
        <f t="shared" ca="1" si="93"/>
        <v>27154404.400000002</v>
      </c>
      <c r="IH12" s="40">
        <f t="shared" ca="1" si="93"/>
        <v>27154404.400000002</v>
      </c>
      <c r="II12" s="40">
        <f t="shared" ca="1" si="93"/>
        <v>27154404.400000002</v>
      </c>
      <c r="IJ12" s="40">
        <f t="shared" ca="1" si="93"/>
        <v>27154404.400000002</v>
      </c>
      <c r="IK12" s="40">
        <f t="shared" ca="1" si="93"/>
        <v>27154404.400000002</v>
      </c>
      <c r="IL12" s="40">
        <f t="shared" ca="1" si="93"/>
        <v>27154404.400000002</v>
      </c>
      <c r="IM12" s="40">
        <f t="shared" ca="1" si="93"/>
        <v>27154404.400000002</v>
      </c>
      <c r="IN12" s="40">
        <f t="shared" ca="1" si="93"/>
        <v>27154404.400000002</v>
      </c>
    </row>
    <row r="13" spans="2:248" x14ac:dyDescent="0.3">
      <c r="B13" s="19" t="s">
        <v>587</v>
      </c>
      <c r="C13" s="74">
        <f ca="1">HLOOKUP($C$5-1,G4:IN17,14,FALSE)</f>
        <v>0.23557806769141809</v>
      </c>
      <c r="F13" s="19" t="s">
        <v>588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4">IF(ISNA(I5),NA(),IF(J4&lt;$C$10,(J5/OFFSET(J5,0,-J4))^(1/(J4)),(J5/OFFSET(J5,0,-$C$10))^(1/$C$10))-1)</f>
        <v>0.33177499932927024</v>
      </c>
      <c r="K13" s="53">
        <f t="shared" ca="1" si="94"/>
        <v>0.29077180589770335</v>
      </c>
      <c r="L13" s="53">
        <f t="shared" ca="1" si="94"/>
        <v>0.27049993459236288</v>
      </c>
      <c r="M13" s="53">
        <f t="shared" ca="1" si="94"/>
        <v>0.22855263432816053</v>
      </c>
      <c r="N13" s="53">
        <f t="shared" ca="1" si="94"/>
        <v>0.23303763733800897</v>
      </c>
      <c r="O13" s="53">
        <f t="shared" ca="1" si="94"/>
        <v>0.23960911526381667</v>
      </c>
      <c r="P13" s="53">
        <f t="shared" ca="1" si="94"/>
        <v>0.28858784541083837</v>
      </c>
      <c r="Q13" s="53">
        <f t="shared" ca="1" si="94"/>
        <v>0.28683129505090266</v>
      </c>
      <c r="R13" s="53">
        <f t="shared" ca="1" si="94"/>
        <v>0.27573309599233808</v>
      </c>
      <c r="S13" s="53">
        <f t="shared" ca="1" si="94"/>
        <v>0.27139591569100419</v>
      </c>
      <c r="T13" s="53">
        <f t="shared" ca="1" si="94"/>
        <v>0.26926320102738721</v>
      </c>
      <c r="U13" s="53">
        <f t="shared" ca="1" si="94"/>
        <v>0.18877796979811801</v>
      </c>
      <c r="V13" s="53">
        <f t="shared" ca="1" si="94"/>
        <v>0.2425893143830935</v>
      </c>
      <c r="W13" s="53">
        <f t="shared" ca="1" si="94"/>
        <v>0.26714939712946473</v>
      </c>
      <c r="X13" s="53">
        <f t="shared" ca="1" si="94"/>
        <v>0.23995747864251982</v>
      </c>
      <c r="Y13" s="53">
        <f t="shared" ca="1" si="94"/>
        <v>0.20549332492930561</v>
      </c>
      <c r="Z13" s="53">
        <f t="shared" ca="1" si="94"/>
        <v>0.24621979719354981</v>
      </c>
      <c r="AA13" s="53">
        <f t="shared" ca="1" si="94"/>
        <v>0.19151614981125942</v>
      </c>
      <c r="AB13" s="53">
        <f t="shared" ca="1" si="94"/>
        <v>0.18444393048580521</v>
      </c>
      <c r="AC13" s="53">
        <f ca="1">IF(ISNA(AB5),NA(),IF(AC4&lt;$C$10,(AC5/OFFSET(AC5,0,-AC4))^(1/(AC4)),(AC5/OFFSET(AC5,0,-$C$10))^(1/$C$10))-1)</f>
        <v>0.20745498481491764</v>
      </c>
      <c r="AD13" s="53">
        <f t="shared" ca="1" si="94"/>
        <v>0.20814226047075834</v>
      </c>
      <c r="AE13" s="53">
        <f t="shared" ca="1" si="94"/>
        <v>0.19361607286565263</v>
      </c>
      <c r="AF13" s="53" t="e">
        <f t="shared" ca="1" si="94"/>
        <v>#N/A</v>
      </c>
      <c r="AG13" s="53" t="e">
        <f t="shared" ca="1" si="94"/>
        <v>#N/A</v>
      </c>
      <c r="AH13" s="53" t="e">
        <f t="shared" ca="1" si="94"/>
        <v>#N/A</v>
      </c>
      <c r="AI13" s="53" t="e">
        <f t="shared" ca="1" si="94"/>
        <v>#N/A</v>
      </c>
      <c r="AJ13" s="53" t="e">
        <f t="shared" ca="1" si="94"/>
        <v>#N/A</v>
      </c>
      <c r="AK13" s="53" t="e">
        <f t="shared" ca="1" si="94"/>
        <v>#N/A</v>
      </c>
      <c r="AL13" s="53" t="e">
        <f t="shared" ca="1" si="94"/>
        <v>#N/A</v>
      </c>
      <c r="AM13" s="53" t="e">
        <f t="shared" ca="1" si="94"/>
        <v>#N/A</v>
      </c>
      <c r="AN13" s="53" t="e">
        <f t="shared" ca="1" si="94"/>
        <v>#N/A</v>
      </c>
      <c r="AO13" s="53" t="e">
        <f t="shared" ca="1" si="94"/>
        <v>#N/A</v>
      </c>
      <c r="AP13" s="53" t="e">
        <f t="shared" ca="1" si="94"/>
        <v>#N/A</v>
      </c>
      <c r="AQ13" s="53" t="e">
        <f t="shared" ca="1" si="94"/>
        <v>#N/A</v>
      </c>
      <c r="AR13" s="53" t="e">
        <f t="shared" ca="1" si="94"/>
        <v>#N/A</v>
      </c>
      <c r="AS13" s="53" t="e">
        <f t="shared" ca="1" si="94"/>
        <v>#N/A</v>
      </c>
      <c r="AT13" s="53" t="e">
        <f t="shared" ca="1" si="94"/>
        <v>#N/A</v>
      </c>
      <c r="AU13" s="53" t="e">
        <f t="shared" ca="1" si="94"/>
        <v>#N/A</v>
      </c>
      <c r="AV13" s="53" t="e">
        <f t="shared" ca="1" si="94"/>
        <v>#N/A</v>
      </c>
      <c r="AW13" s="53" t="e">
        <f t="shared" ca="1" si="94"/>
        <v>#N/A</v>
      </c>
      <c r="AX13" s="53" t="e">
        <f t="shared" ca="1" si="94"/>
        <v>#N/A</v>
      </c>
      <c r="AY13" s="53" t="e">
        <f t="shared" ca="1" si="94"/>
        <v>#N/A</v>
      </c>
      <c r="AZ13" s="53" t="e">
        <f t="shared" ca="1" si="94"/>
        <v>#N/A</v>
      </c>
      <c r="BA13" s="53" t="e">
        <f t="shared" ca="1" si="94"/>
        <v>#N/A</v>
      </c>
      <c r="BB13" s="53" t="e">
        <f t="shared" ca="1" si="94"/>
        <v>#N/A</v>
      </c>
      <c r="BC13" s="53" t="e">
        <f t="shared" ca="1" si="94"/>
        <v>#N/A</v>
      </c>
      <c r="BD13" s="53" t="e">
        <f t="shared" ca="1" si="94"/>
        <v>#N/A</v>
      </c>
      <c r="BE13" s="53" t="e">
        <f t="shared" ca="1" si="94"/>
        <v>#N/A</v>
      </c>
      <c r="BF13" s="53" t="e">
        <f t="shared" ca="1" si="94"/>
        <v>#N/A</v>
      </c>
      <c r="BG13" s="53" t="e">
        <f t="shared" ca="1" si="94"/>
        <v>#N/A</v>
      </c>
      <c r="BH13" s="53" t="e">
        <f t="shared" ca="1" si="94"/>
        <v>#N/A</v>
      </c>
      <c r="BI13" s="53" t="e">
        <f t="shared" ca="1" si="94"/>
        <v>#N/A</v>
      </c>
      <c r="BJ13" s="53" t="e">
        <f t="shared" ca="1" si="94"/>
        <v>#N/A</v>
      </c>
      <c r="BK13" s="53" t="e">
        <f t="shared" ca="1" si="94"/>
        <v>#N/A</v>
      </c>
      <c r="BL13" s="53" t="e">
        <f t="shared" ca="1" si="94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4"/>
        <v>#N/A</v>
      </c>
      <c r="BO13" s="53" t="e">
        <f t="shared" ca="1" si="94"/>
        <v>#N/A</v>
      </c>
      <c r="BP13" s="53" t="e">
        <f t="shared" ca="1" si="94"/>
        <v>#N/A</v>
      </c>
      <c r="BQ13" s="53" t="e">
        <f t="shared" ca="1" si="94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4"/>
        <v>#N/A</v>
      </c>
      <c r="BT13" s="53" t="e">
        <f t="shared" ca="1" si="94"/>
        <v>#N/A</v>
      </c>
      <c r="BU13" s="53" t="e">
        <f t="shared" ref="BU13:EF13" ca="1" si="95">IF(ISNA(BT5),NA(),IF(BU4&lt;$C$10,(BU5/OFFSET(BU5,0,-BU4))^(1/(BU4)),(BU5/OFFSET(BU5,0,-$C$10))^(1/$C$10))-1)</f>
        <v>#N/A</v>
      </c>
      <c r="BV13" s="53" t="e">
        <f t="shared" ca="1" si="95"/>
        <v>#N/A</v>
      </c>
      <c r="BW13" s="53" t="e">
        <f t="shared" ca="1" si="95"/>
        <v>#N/A</v>
      </c>
      <c r="BX13" s="53" t="e">
        <f t="shared" ca="1" si="95"/>
        <v>#N/A</v>
      </c>
      <c r="BY13" s="53" t="e">
        <f t="shared" ca="1" si="95"/>
        <v>#N/A</v>
      </c>
      <c r="BZ13" s="53" t="e">
        <f t="shared" ca="1" si="95"/>
        <v>#N/A</v>
      </c>
      <c r="CA13" s="53" t="e">
        <f t="shared" ca="1" si="95"/>
        <v>#N/A</v>
      </c>
      <c r="CB13" s="53" t="e">
        <f t="shared" ca="1" si="95"/>
        <v>#N/A</v>
      </c>
      <c r="CC13" s="53" t="e">
        <f t="shared" ca="1" si="95"/>
        <v>#N/A</v>
      </c>
      <c r="CD13" s="53" t="e">
        <f t="shared" ca="1" si="95"/>
        <v>#N/A</v>
      </c>
      <c r="CE13" s="53" t="e">
        <f t="shared" ca="1" si="95"/>
        <v>#N/A</v>
      </c>
      <c r="CF13" s="53" t="e">
        <f t="shared" ca="1" si="95"/>
        <v>#N/A</v>
      </c>
      <c r="CG13" s="53" t="e">
        <f t="shared" ca="1" si="95"/>
        <v>#N/A</v>
      </c>
      <c r="CH13" s="53" t="e">
        <f t="shared" ca="1" si="95"/>
        <v>#N/A</v>
      </c>
      <c r="CI13" s="53" t="e">
        <f t="shared" ca="1" si="95"/>
        <v>#N/A</v>
      </c>
      <c r="CJ13" s="53" t="e">
        <f t="shared" ca="1" si="95"/>
        <v>#N/A</v>
      </c>
      <c r="CK13" s="53" t="e">
        <f t="shared" ca="1" si="95"/>
        <v>#N/A</v>
      </c>
      <c r="CL13" s="53" t="e">
        <f t="shared" ca="1" si="95"/>
        <v>#N/A</v>
      </c>
      <c r="CM13" s="53" t="e">
        <f t="shared" ca="1" si="95"/>
        <v>#N/A</v>
      </c>
      <c r="CN13" s="53" t="e">
        <f t="shared" ca="1" si="95"/>
        <v>#N/A</v>
      </c>
      <c r="CO13" s="53" t="e">
        <f t="shared" ca="1" si="95"/>
        <v>#N/A</v>
      </c>
      <c r="CP13" s="53" t="e">
        <f t="shared" ca="1" si="95"/>
        <v>#N/A</v>
      </c>
      <c r="CQ13" s="53" t="e">
        <f t="shared" ca="1" si="95"/>
        <v>#N/A</v>
      </c>
      <c r="CR13" s="53" t="e">
        <f t="shared" ca="1" si="95"/>
        <v>#N/A</v>
      </c>
      <c r="CS13" s="53" t="e">
        <f t="shared" ca="1" si="95"/>
        <v>#N/A</v>
      </c>
      <c r="CT13" s="53" t="e">
        <f t="shared" ca="1" si="95"/>
        <v>#N/A</v>
      </c>
      <c r="CU13" s="53" t="e">
        <f t="shared" ca="1" si="95"/>
        <v>#N/A</v>
      </c>
      <c r="CV13" s="53" t="e">
        <f t="shared" ca="1" si="95"/>
        <v>#N/A</v>
      </c>
      <c r="CW13" s="53" t="e">
        <f t="shared" ca="1" si="95"/>
        <v>#N/A</v>
      </c>
      <c r="CX13" s="53" t="e">
        <f t="shared" ca="1" si="95"/>
        <v>#N/A</v>
      </c>
      <c r="CY13" s="53" t="e">
        <f t="shared" ca="1" si="95"/>
        <v>#N/A</v>
      </c>
      <c r="CZ13" s="53" t="e">
        <f t="shared" ca="1" si="95"/>
        <v>#N/A</v>
      </c>
      <c r="DA13" s="53" t="e">
        <f t="shared" ca="1" si="95"/>
        <v>#N/A</v>
      </c>
      <c r="DB13" s="53" t="e">
        <f t="shared" ca="1" si="95"/>
        <v>#N/A</v>
      </c>
      <c r="DC13" s="53" t="e">
        <f t="shared" ca="1" si="95"/>
        <v>#N/A</v>
      </c>
      <c r="DD13" s="53" t="e">
        <f t="shared" ca="1" si="95"/>
        <v>#N/A</v>
      </c>
      <c r="DE13" s="53" t="e">
        <f t="shared" ca="1" si="95"/>
        <v>#N/A</v>
      </c>
      <c r="DF13" s="53" t="e">
        <f t="shared" ca="1" si="95"/>
        <v>#N/A</v>
      </c>
      <c r="DG13" s="53" t="e">
        <f t="shared" ca="1" si="95"/>
        <v>#N/A</v>
      </c>
      <c r="DH13" s="53" t="e">
        <f t="shared" ca="1" si="95"/>
        <v>#N/A</v>
      </c>
      <c r="DI13" s="53" t="e">
        <f t="shared" ca="1" si="95"/>
        <v>#N/A</v>
      </c>
      <c r="DJ13" s="53" t="e">
        <f t="shared" ca="1" si="95"/>
        <v>#N/A</v>
      </c>
      <c r="DK13" s="53" t="e">
        <f t="shared" ca="1" si="95"/>
        <v>#N/A</v>
      </c>
      <c r="DL13" s="53" t="e">
        <f t="shared" ca="1" si="95"/>
        <v>#N/A</v>
      </c>
      <c r="DM13" s="53" t="e">
        <f t="shared" ca="1" si="95"/>
        <v>#N/A</v>
      </c>
      <c r="DN13" s="53" t="e">
        <f t="shared" ca="1" si="95"/>
        <v>#N/A</v>
      </c>
      <c r="DO13" s="53" t="e">
        <f t="shared" ca="1" si="95"/>
        <v>#N/A</v>
      </c>
      <c r="DP13" s="53" t="e">
        <f t="shared" ca="1" si="95"/>
        <v>#N/A</v>
      </c>
      <c r="DQ13" s="53" t="e">
        <f t="shared" ca="1" si="95"/>
        <v>#N/A</v>
      </c>
      <c r="DR13" s="53" t="e">
        <f t="shared" ca="1" si="95"/>
        <v>#N/A</v>
      </c>
      <c r="DS13" s="53" t="e">
        <f t="shared" ca="1" si="95"/>
        <v>#N/A</v>
      </c>
      <c r="DT13" s="53" t="e">
        <f t="shared" ca="1" si="95"/>
        <v>#N/A</v>
      </c>
      <c r="DU13" s="53" t="e">
        <f t="shared" ca="1" si="95"/>
        <v>#N/A</v>
      </c>
      <c r="DV13" s="53" t="e">
        <f t="shared" ca="1" si="95"/>
        <v>#N/A</v>
      </c>
      <c r="DW13" s="53" t="e">
        <f t="shared" ca="1" si="95"/>
        <v>#N/A</v>
      </c>
      <c r="DX13" s="53" t="e">
        <f t="shared" ca="1" si="95"/>
        <v>#N/A</v>
      </c>
      <c r="DY13" s="53" t="e">
        <f t="shared" ca="1" si="95"/>
        <v>#N/A</v>
      </c>
      <c r="DZ13" s="53" t="e">
        <f t="shared" ca="1" si="95"/>
        <v>#N/A</v>
      </c>
      <c r="EA13" s="53" t="e">
        <f t="shared" ca="1" si="95"/>
        <v>#N/A</v>
      </c>
      <c r="EB13" s="53" t="e">
        <f t="shared" ca="1" si="95"/>
        <v>#N/A</v>
      </c>
      <c r="EC13" s="53" t="e">
        <f t="shared" ca="1" si="95"/>
        <v>#N/A</v>
      </c>
      <c r="ED13" s="53" t="e">
        <f t="shared" ca="1" si="95"/>
        <v>#N/A</v>
      </c>
      <c r="EE13" s="53" t="e">
        <f t="shared" ca="1" si="95"/>
        <v>#N/A</v>
      </c>
      <c r="EF13" s="53" t="e">
        <f t="shared" ca="1" si="95"/>
        <v>#N/A</v>
      </c>
      <c r="EG13" s="53" t="e">
        <f t="shared" ref="EG13:GR13" ca="1" si="96">IF(ISNA(EF5),NA(),IF(EG4&lt;$C$10,(EG5/OFFSET(EG5,0,-EG4))^(1/(EG4)),(EG5/OFFSET(EG5,0,-$C$10))^(1/$C$10))-1)</f>
        <v>#N/A</v>
      </c>
      <c r="EH13" s="53" t="e">
        <f t="shared" ca="1" si="96"/>
        <v>#N/A</v>
      </c>
      <c r="EI13" s="53" t="e">
        <f t="shared" ca="1" si="96"/>
        <v>#N/A</v>
      </c>
      <c r="EJ13" s="53" t="e">
        <f t="shared" ca="1" si="96"/>
        <v>#N/A</v>
      </c>
      <c r="EK13" s="53" t="e">
        <f t="shared" ca="1" si="96"/>
        <v>#N/A</v>
      </c>
      <c r="EL13" s="53" t="e">
        <f t="shared" ca="1" si="96"/>
        <v>#N/A</v>
      </c>
      <c r="EM13" s="53" t="e">
        <f t="shared" ca="1" si="96"/>
        <v>#N/A</v>
      </c>
      <c r="EN13" s="53" t="e">
        <f t="shared" ca="1" si="96"/>
        <v>#N/A</v>
      </c>
      <c r="EO13" s="53" t="e">
        <f t="shared" ca="1" si="96"/>
        <v>#N/A</v>
      </c>
      <c r="EP13" s="53" t="e">
        <f t="shared" ca="1" si="96"/>
        <v>#N/A</v>
      </c>
      <c r="EQ13" s="53" t="e">
        <f t="shared" ca="1" si="96"/>
        <v>#N/A</v>
      </c>
      <c r="ER13" s="53" t="e">
        <f t="shared" ca="1" si="96"/>
        <v>#N/A</v>
      </c>
      <c r="ES13" s="53" t="e">
        <f t="shared" ca="1" si="96"/>
        <v>#N/A</v>
      </c>
      <c r="ET13" s="53" t="e">
        <f t="shared" ca="1" si="96"/>
        <v>#N/A</v>
      </c>
      <c r="EU13" s="53" t="e">
        <f t="shared" ca="1" si="96"/>
        <v>#N/A</v>
      </c>
      <c r="EV13" s="53" t="e">
        <f t="shared" ca="1" si="96"/>
        <v>#N/A</v>
      </c>
      <c r="EW13" s="53" t="e">
        <f t="shared" ca="1" si="96"/>
        <v>#N/A</v>
      </c>
      <c r="EX13" s="53" t="e">
        <f t="shared" ca="1" si="96"/>
        <v>#N/A</v>
      </c>
      <c r="EY13" s="53" t="e">
        <f t="shared" ca="1" si="96"/>
        <v>#N/A</v>
      </c>
      <c r="EZ13" s="53" t="e">
        <f t="shared" ca="1" si="96"/>
        <v>#N/A</v>
      </c>
      <c r="FA13" s="53" t="e">
        <f t="shared" ca="1" si="96"/>
        <v>#N/A</v>
      </c>
      <c r="FB13" s="53" t="e">
        <f t="shared" ca="1" si="96"/>
        <v>#N/A</v>
      </c>
      <c r="FC13" s="53" t="e">
        <f t="shared" ca="1" si="96"/>
        <v>#N/A</v>
      </c>
      <c r="FD13" s="53" t="e">
        <f t="shared" ca="1" si="96"/>
        <v>#N/A</v>
      </c>
      <c r="FE13" s="53" t="e">
        <f t="shared" ca="1" si="96"/>
        <v>#N/A</v>
      </c>
      <c r="FF13" s="53" t="e">
        <f t="shared" ca="1" si="96"/>
        <v>#N/A</v>
      </c>
      <c r="FG13" s="53" t="e">
        <f t="shared" ca="1" si="96"/>
        <v>#N/A</v>
      </c>
      <c r="FH13" s="53" t="e">
        <f t="shared" ca="1" si="96"/>
        <v>#N/A</v>
      </c>
      <c r="FI13" s="53" t="e">
        <f t="shared" ca="1" si="96"/>
        <v>#N/A</v>
      </c>
      <c r="FJ13" s="53" t="e">
        <f t="shared" ca="1" si="96"/>
        <v>#N/A</v>
      </c>
      <c r="FK13" s="53" t="e">
        <f t="shared" ca="1" si="96"/>
        <v>#N/A</v>
      </c>
      <c r="FL13" s="53" t="e">
        <f t="shared" ca="1" si="96"/>
        <v>#N/A</v>
      </c>
      <c r="FM13" s="53" t="e">
        <f t="shared" ca="1" si="96"/>
        <v>#N/A</v>
      </c>
      <c r="FN13" s="53" t="e">
        <f t="shared" ca="1" si="96"/>
        <v>#N/A</v>
      </c>
      <c r="FO13" s="53" t="e">
        <f t="shared" ca="1" si="96"/>
        <v>#N/A</v>
      </c>
      <c r="FP13" s="53" t="e">
        <f t="shared" ca="1" si="96"/>
        <v>#N/A</v>
      </c>
      <c r="FQ13" s="53" t="e">
        <f t="shared" ca="1" si="96"/>
        <v>#N/A</v>
      </c>
      <c r="FR13" s="53" t="e">
        <f t="shared" ca="1" si="96"/>
        <v>#N/A</v>
      </c>
      <c r="FS13" s="53" t="e">
        <f t="shared" ca="1" si="96"/>
        <v>#N/A</v>
      </c>
      <c r="FT13" s="53" t="e">
        <f t="shared" ca="1" si="96"/>
        <v>#N/A</v>
      </c>
      <c r="FU13" s="53" t="e">
        <f t="shared" ca="1" si="96"/>
        <v>#N/A</v>
      </c>
      <c r="FV13" s="53" t="e">
        <f t="shared" ca="1" si="96"/>
        <v>#N/A</v>
      </c>
      <c r="FW13" s="53" t="e">
        <f t="shared" ca="1" si="96"/>
        <v>#N/A</v>
      </c>
      <c r="FX13" s="53" t="e">
        <f t="shared" ca="1" si="96"/>
        <v>#N/A</v>
      </c>
      <c r="FY13" s="53" t="e">
        <f t="shared" ca="1" si="96"/>
        <v>#N/A</v>
      </c>
      <c r="FZ13" s="53" t="e">
        <f t="shared" ca="1" si="96"/>
        <v>#N/A</v>
      </c>
      <c r="GA13" s="53" t="e">
        <f t="shared" ca="1" si="96"/>
        <v>#N/A</v>
      </c>
      <c r="GB13" s="53" t="e">
        <f t="shared" ca="1" si="96"/>
        <v>#N/A</v>
      </c>
      <c r="GC13" s="53" t="e">
        <f t="shared" ca="1" si="96"/>
        <v>#N/A</v>
      </c>
      <c r="GD13" s="53" t="e">
        <f t="shared" ca="1" si="96"/>
        <v>#N/A</v>
      </c>
      <c r="GE13" s="53" t="e">
        <f t="shared" ca="1" si="96"/>
        <v>#N/A</v>
      </c>
      <c r="GF13" s="53" t="e">
        <f t="shared" ca="1" si="96"/>
        <v>#N/A</v>
      </c>
      <c r="GG13" s="53" t="e">
        <f t="shared" ca="1" si="96"/>
        <v>#N/A</v>
      </c>
      <c r="GH13" s="53" t="e">
        <f t="shared" ca="1" si="96"/>
        <v>#N/A</v>
      </c>
      <c r="GI13" s="53" t="e">
        <f t="shared" ca="1" si="96"/>
        <v>#N/A</v>
      </c>
      <c r="GJ13" s="53" t="e">
        <f t="shared" ca="1" si="96"/>
        <v>#N/A</v>
      </c>
      <c r="GK13" s="53" t="e">
        <f t="shared" ca="1" si="96"/>
        <v>#N/A</v>
      </c>
      <c r="GL13" s="53" t="e">
        <f t="shared" ca="1" si="96"/>
        <v>#N/A</v>
      </c>
      <c r="GM13" s="53" t="e">
        <f t="shared" ca="1" si="96"/>
        <v>#N/A</v>
      </c>
      <c r="GN13" s="53" t="e">
        <f t="shared" ca="1" si="96"/>
        <v>#N/A</v>
      </c>
      <c r="GO13" s="53" t="e">
        <f t="shared" ca="1" si="96"/>
        <v>#N/A</v>
      </c>
      <c r="GP13" s="53" t="e">
        <f t="shared" ca="1" si="96"/>
        <v>#N/A</v>
      </c>
      <c r="GQ13" s="53" t="e">
        <f t="shared" ca="1" si="96"/>
        <v>#N/A</v>
      </c>
      <c r="GR13" s="53" t="e">
        <f t="shared" ca="1" si="96"/>
        <v>#N/A</v>
      </c>
      <c r="GS13" s="53" t="e">
        <f t="shared" ref="GS13:IN13" ca="1" si="97">IF(ISNA(GR5),NA(),IF(GS4&lt;$C$10,(GS5/OFFSET(GS5,0,-GS4))^(1/(GS4)),(GS5/OFFSET(GS5,0,-$C$10))^(1/$C$10))-1)</f>
        <v>#N/A</v>
      </c>
      <c r="GT13" s="53" t="e">
        <f t="shared" ca="1" si="97"/>
        <v>#N/A</v>
      </c>
      <c r="GU13" s="53" t="e">
        <f t="shared" ca="1" si="97"/>
        <v>#N/A</v>
      </c>
      <c r="GV13" s="53" t="e">
        <f t="shared" ca="1" si="97"/>
        <v>#N/A</v>
      </c>
      <c r="GW13" s="53" t="e">
        <f t="shared" ca="1" si="97"/>
        <v>#N/A</v>
      </c>
      <c r="GX13" s="53" t="e">
        <f t="shared" ca="1" si="97"/>
        <v>#N/A</v>
      </c>
      <c r="GY13" s="53" t="e">
        <f t="shared" ca="1" si="97"/>
        <v>#N/A</v>
      </c>
      <c r="GZ13" s="53" t="e">
        <f t="shared" ca="1" si="97"/>
        <v>#N/A</v>
      </c>
      <c r="HA13" s="53" t="e">
        <f t="shared" ca="1" si="97"/>
        <v>#N/A</v>
      </c>
      <c r="HB13" s="53" t="e">
        <f t="shared" ca="1" si="97"/>
        <v>#N/A</v>
      </c>
      <c r="HC13" s="53" t="e">
        <f t="shared" ca="1" si="97"/>
        <v>#N/A</v>
      </c>
      <c r="HD13" s="53" t="e">
        <f t="shared" ca="1" si="97"/>
        <v>#N/A</v>
      </c>
      <c r="HE13" s="53" t="e">
        <f t="shared" ca="1" si="97"/>
        <v>#N/A</v>
      </c>
      <c r="HF13" s="53" t="e">
        <f t="shared" ca="1" si="97"/>
        <v>#N/A</v>
      </c>
      <c r="HG13" s="53" t="e">
        <f t="shared" ca="1" si="97"/>
        <v>#N/A</v>
      </c>
      <c r="HH13" s="53" t="e">
        <f t="shared" ca="1" si="97"/>
        <v>#N/A</v>
      </c>
      <c r="HI13" s="53" t="e">
        <f t="shared" ca="1" si="97"/>
        <v>#N/A</v>
      </c>
      <c r="HJ13" s="53" t="e">
        <f t="shared" ca="1" si="97"/>
        <v>#N/A</v>
      </c>
      <c r="HK13" s="53" t="e">
        <f t="shared" ca="1" si="97"/>
        <v>#N/A</v>
      </c>
      <c r="HL13" s="53" t="e">
        <f t="shared" ca="1" si="97"/>
        <v>#N/A</v>
      </c>
      <c r="HM13" s="53" t="e">
        <f t="shared" ca="1" si="97"/>
        <v>#N/A</v>
      </c>
      <c r="HN13" s="53" t="e">
        <f t="shared" ca="1" si="97"/>
        <v>#N/A</v>
      </c>
      <c r="HO13" s="53" t="e">
        <f t="shared" ca="1" si="97"/>
        <v>#N/A</v>
      </c>
      <c r="HP13" s="53" t="e">
        <f t="shared" ca="1" si="97"/>
        <v>#N/A</v>
      </c>
      <c r="HQ13" s="53" t="e">
        <f t="shared" ca="1" si="97"/>
        <v>#N/A</v>
      </c>
      <c r="HR13" s="53" t="e">
        <f t="shared" ca="1" si="97"/>
        <v>#N/A</v>
      </c>
      <c r="HS13" s="53" t="e">
        <f t="shared" ca="1" si="97"/>
        <v>#N/A</v>
      </c>
      <c r="HT13" s="53" t="e">
        <f t="shared" ca="1" si="97"/>
        <v>#N/A</v>
      </c>
      <c r="HU13" s="53" t="e">
        <f t="shared" ca="1" si="97"/>
        <v>#N/A</v>
      </c>
      <c r="HV13" s="53" t="e">
        <f t="shared" ca="1" si="97"/>
        <v>#N/A</v>
      </c>
      <c r="HW13" s="53" t="e">
        <f t="shared" ca="1" si="97"/>
        <v>#N/A</v>
      </c>
      <c r="HX13" s="53" t="e">
        <f t="shared" ca="1" si="97"/>
        <v>#N/A</v>
      </c>
      <c r="HY13" s="53" t="e">
        <f t="shared" ca="1" si="97"/>
        <v>#N/A</v>
      </c>
      <c r="HZ13" s="53" t="e">
        <f t="shared" ca="1" si="97"/>
        <v>#N/A</v>
      </c>
      <c r="IA13" s="53" t="e">
        <f t="shared" ca="1" si="97"/>
        <v>#N/A</v>
      </c>
      <c r="IB13" s="53" t="e">
        <f t="shared" ca="1" si="97"/>
        <v>#N/A</v>
      </c>
      <c r="IC13" s="53" t="e">
        <f t="shared" ca="1" si="97"/>
        <v>#N/A</v>
      </c>
      <c r="ID13" s="53" t="e">
        <f t="shared" ca="1" si="97"/>
        <v>#N/A</v>
      </c>
      <c r="IE13" s="53" t="e">
        <f t="shared" ca="1" si="97"/>
        <v>#N/A</v>
      </c>
      <c r="IF13" s="53" t="e">
        <f t="shared" ca="1" si="97"/>
        <v>#N/A</v>
      </c>
      <c r="IG13" s="53" t="e">
        <f t="shared" ca="1" si="97"/>
        <v>#N/A</v>
      </c>
      <c r="IH13" s="53" t="e">
        <f t="shared" ca="1" si="97"/>
        <v>#N/A</v>
      </c>
      <c r="II13" s="53" t="e">
        <f t="shared" ca="1" si="97"/>
        <v>#N/A</v>
      </c>
      <c r="IJ13" s="53" t="e">
        <f t="shared" ca="1" si="97"/>
        <v>#N/A</v>
      </c>
      <c r="IK13" s="53" t="e">
        <f t="shared" ca="1" si="97"/>
        <v>#N/A</v>
      </c>
      <c r="IL13" s="53" t="e">
        <f t="shared" ca="1" si="97"/>
        <v>#N/A</v>
      </c>
      <c r="IM13" s="53" t="e">
        <f t="shared" ca="1" si="97"/>
        <v>#N/A</v>
      </c>
      <c r="IN13" s="53" t="e">
        <f t="shared" ca="1" si="97"/>
        <v>#N/A</v>
      </c>
    </row>
    <row r="14" spans="2:248" x14ac:dyDescent="0.3">
      <c r="B14" s="19" t="s">
        <v>452</v>
      </c>
      <c r="C14" s="21">
        <f>C4*(1+C12)</f>
        <v>23609.72592128261</v>
      </c>
      <c r="F14" s="19" t="s">
        <v>602</v>
      </c>
      <c r="G14" s="53">
        <f ca="1">H14</f>
        <v>0.4137931034482758</v>
      </c>
      <c r="H14" s="53">
        <f ca="1">IF(ISNA(G8),NA(),IF(H4&lt;$C$10,(H8/OFFSET(H8,0,-H4))^(1/(H4)),(H8/OFFSET(H8,0,-$C$10))^(1/$C$10))-1)</f>
        <v>0.4137931034482758</v>
      </c>
      <c r="I14" s="53">
        <f t="shared" ref="I14:BT14" ca="1" si="98">IF(ISNA(H8),NA(),IF(I4&lt;$C$10,(I8/OFFSET(I8,0,-I4))^(1/(I4)),(I8/OFFSET(I8,0,-$C$10))^(1/$C$10))-1)</f>
        <v>0.33584533484258183</v>
      </c>
      <c r="J14" s="53">
        <f t="shared" ca="1" si="98"/>
        <v>0.33177499932927024</v>
      </c>
      <c r="K14" s="53">
        <f t="shared" ca="1" si="98"/>
        <v>0.29077180589770335</v>
      </c>
      <c r="L14" s="53">
        <f t="shared" ca="1" si="98"/>
        <v>0.27049993459236288</v>
      </c>
      <c r="M14" s="53">
        <f t="shared" ca="1" si="98"/>
        <v>0.22855263432816053</v>
      </c>
      <c r="N14" s="53">
        <f t="shared" ca="1" si="98"/>
        <v>0.23220054380487376</v>
      </c>
      <c r="O14" s="53">
        <f t="shared" ca="1" si="98"/>
        <v>0.2386803361622456</v>
      </c>
      <c r="P14" s="53">
        <f t="shared" ca="1" si="98"/>
        <v>0.28564583332242544</v>
      </c>
      <c r="Q14" s="53">
        <f t="shared" ca="1" si="98"/>
        <v>0.28166159281500835</v>
      </c>
      <c r="R14" s="53">
        <f t="shared" ca="1" si="98"/>
        <v>0.22593254085261694</v>
      </c>
      <c r="S14" s="53">
        <f t="shared" ca="1" si="98"/>
        <v>0.23436760595569517</v>
      </c>
      <c r="T14" s="53">
        <f t="shared" ca="1" si="98"/>
        <v>0.23505136750278721</v>
      </c>
      <c r="U14" s="53">
        <f t="shared" ca="1" si="98"/>
        <v>0.14696653867263243</v>
      </c>
      <c r="V14" s="53">
        <f t="shared" ca="1" si="98"/>
        <v>0.21206622028442301</v>
      </c>
      <c r="W14" s="53">
        <f t="shared" ca="1" si="98"/>
        <v>0.28163000318904796</v>
      </c>
      <c r="X14" s="53">
        <f t="shared" ca="1" si="98"/>
        <v>0.23985998645749285</v>
      </c>
      <c r="Y14" s="53">
        <f t="shared" ca="1" si="98"/>
        <v>0.19864500825295339</v>
      </c>
      <c r="Z14" s="53">
        <f t="shared" ca="1" si="98"/>
        <v>0.24587887548521414</v>
      </c>
      <c r="AA14" s="53">
        <f t="shared" ca="1" si="98"/>
        <v>0.17313028197332891</v>
      </c>
      <c r="AB14" s="53">
        <f t="shared" ca="1" si="98"/>
        <v>0.17191681343557641</v>
      </c>
      <c r="AC14" s="53">
        <f t="shared" ca="1" si="98"/>
        <v>0.20056921893977764</v>
      </c>
      <c r="AD14" s="53">
        <f t="shared" ca="1" si="98"/>
        <v>0.19781643804142401</v>
      </c>
      <c r="AE14" s="53">
        <f t="shared" ca="1" si="98"/>
        <v>0.1791538162033961</v>
      </c>
      <c r="AF14" s="53" t="e">
        <f t="shared" ca="1" si="98"/>
        <v>#N/A</v>
      </c>
      <c r="AG14" s="53" t="e">
        <f t="shared" ca="1" si="98"/>
        <v>#N/A</v>
      </c>
      <c r="AH14" s="53" t="e">
        <f t="shared" ca="1" si="98"/>
        <v>#N/A</v>
      </c>
      <c r="AI14" s="53" t="e">
        <f t="shared" ca="1" si="98"/>
        <v>#N/A</v>
      </c>
      <c r="AJ14" s="53" t="e">
        <f t="shared" ca="1" si="98"/>
        <v>#N/A</v>
      </c>
      <c r="AK14" s="53" t="e">
        <f t="shared" ca="1" si="98"/>
        <v>#N/A</v>
      </c>
      <c r="AL14" s="53" t="e">
        <f t="shared" ca="1" si="98"/>
        <v>#N/A</v>
      </c>
      <c r="AM14" s="53" t="e">
        <f t="shared" ca="1" si="98"/>
        <v>#N/A</v>
      </c>
      <c r="AN14" s="53" t="e">
        <f t="shared" ca="1" si="98"/>
        <v>#N/A</v>
      </c>
      <c r="AO14" s="53" t="e">
        <f t="shared" ca="1" si="98"/>
        <v>#N/A</v>
      </c>
      <c r="AP14" s="53" t="e">
        <f t="shared" ca="1" si="98"/>
        <v>#N/A</v>
      </c>
      <c r="AQ14" s="53" t="e">
        <f t="shared" ca="1" si="98"/>
        <v>#N/A</v>
      </c>
      <c r="AR14" s="53" t="e">
        <f t="shared" ca="1" si="98"/>
        <v>#N/A</v>
      </c>
      <c r="AS14" s="53" t="e">
        <f t="shared" ca="1" si="98"/>
        <v>#N/A</v>
      </c>
      <c r="AT14" s="53" t="e">
        <f t="shared" ca="1" si="98"/>
        <v>#N/A</v>
      </c>
      <c r="AU14" s="53" t="e">
        <f t="shared" ca="1" si="98"/>
        <v>#N/A</v>
      </c>
      <c r="AV14" s="53" t="e">
        <f t="shared" ca="1" si="98"/>
        <v>#N/A</v>
      </c>
      <c r="AW14" s="53" t="e">
        <f t="shared" ca="1" si="98"/>
        <v>#N/A</v>
      </c>
      <c r="AX14" s="53" t="e">
        <f t="shared" ca="1" si="98"/>
        <v>#N/A</v>
      </c>
      <c r="AY14" s="53" t="e">
        <f t="shared" ca="1" si="98"/>
        <v>#N/A</v>
      </c>
      <c r="AZ14" s="53" t="e">
        <f t="shared" ca="1" si="98"/>
        <v>#N/A</v>
      </c>
      <c r="BA14" s="53" t="e">
        <f t="shared" ca="1" si="98"/>
        <v>#N/A</v>
      </c>
      <c r="BB14" s="53" t="e">
        <f t="shared" ca="1" si="98"/>
        <v>#N/A</v>
      </c>
      <c r="BC14" s="53" t="e">
        <f t="shared" ca="1" si="98"/>
        <v>#N/A</v>
      </c>
      <c r="BD14" s="53" t="e">
        <f t="shared" ca="1" si="98"/>
        <v>#N/A</v>
      </c>
      <c r="BE14" s="53" t="e">
        <f t="shared" ca="1" si="98"/>
        <v>#N/A</v>
      </c>
      <c r="BF14" s="53" t="e">
        <f t="shared" ca="1" si="98"/>
        <v>#N/A</v>
      </c>
      <c r="BG14" s="53" t="e">
        <f t="shared" ca="1" si="98"/>
        <v>#N/A</v>
      </c>
      <c r="BH14" s="53" t="e">
        <f t="shared" ca="1" si="98"/>
        <v>#N/A</v>
      </c>
      <c r="BI14" s="53" t="e">
        <f t="shared" ca="1" si="98"/>
        <v>#N/A</v>
      </c>
      <c r="BJ14" s="53" t="e">
        <f t="shared" ca="1" si="98"/>
        <v>#N/A</v>
      </c>
      <c r="BK14" s="53" t="e">
        <f t="shared" ca="1" si="98"/>
        <v>#N/A</v>
      </c>
      <c r="BL14" s="53" t="e">
        <f t="shared" ca="1" si="98"/>
        <v>#N/A</v>
      </c>
      <c r="BM14" s="53" t="e">
        <f t="shared" ca="1" si="98"/>
        <v>#N/A</v>
      </c>
      <c r="BN14" s="53" t="e">
        <f t="shared" ca="1" si="98"/>
        <v>#N/A</v>
      </c>
      <c r="BO14" s="53" t="e">
        <f t="shared" ca="1" si="98"/>
        <v>#N/A</v>
      </c>
      <c r="BP14" s="53" t="e">
        <f t="shared" ca="1" si="98"/>
        <v>#N/A</v>
      </c>
      <c r="BQ14" s="53" t="e">
        <f t="shared" ca="1" si="98"/>
        <v>#N/A</v>
      </c>
      <c r="BR14" s="53" t="e">
        <f t="shared" ca="1" si="98"/>
        <v>#N/A</v>
      </c>
      <c r="BS14" s="53" t="e">
        <f t="shared" ca="1" si="98"/>
        <v>#N/A</v>
      </c>
      <c r="BT14" s="53" t="e">
        <f t="shared" ca="1" si="98"/>
        <v>#N/A</v>
      </c>
      <c r="BU14" s="53" t="e">
        <f t="shared" ref="BU14:EF14" ca="1" si="99">IF(ISNA(BT8),NA(),IF(BU4&lt;$C$10,(BU8/OFFSET(BU8,0,-BU4))^(1/(BU4)),(BU8/OFFSET(BU8,0,-$C$10))^(1/$C$10))-1)</f>
        <v>#N/A</v>
      </c>
      <c r="BV14" s="53" t="e">
        <f t="shared" ca="1" si="99"/>
        <v>#N/A</v>
      </c>
      <c r="BW14" s="53" t="e">
        <f t="shared" ca="1" si="99"/>
        <v>#N/A</v>
      </c>
      <c r="BX14" s="53" t="e">
        <f t="shared" ca="1" si="99"/>
        <v>#N/A</v>
      </c>
      <c r="BY14" s="53" t="e">
        <f t="shared" ca="1" si="99"/>
        <v>#N/A</v>
      </c>
      <c r="BZ14" s="53" t="e">
        <f t="shared" ca="1" si="99"/>
        <v>#N/A</v>
      </c>
      <c r="CA14" s="53" t="e">
        <f t="shared" ca="1" si="99"/>
        <v>#N/A</v>
      </c>
      <c r="CB14" s="53" t="e">
        <f t="shared" ca="1" si="99"/>
        <v>#N/A</v>
      </c>
      <c r="CC14" s="53" t="e">
        <f t="shared" ca="1" si="99"/>
        <v>#N/A</v>
      </c>
      <c r="CD14" s="53" t="e">
        <f t="shared" ca="1" si="99"/>
        <v>#N/A</v>
      </c>
      <c r="CE14" s="53" t="e">
        <f t="shared" ca="1" si="99"/>
        <v>#N/A</v>
      </c>
      <c r="CF14" s="53" t="e">
        <f t="shared" ca="1" si="99"/>
        <v>#N/A</v>
      </c>
      <c r="CG14" s="53" t="e">
        <f t="shared" ca="1" si="99"/>
        <v>#N/A</v>
      </c>
      <c r="CH14" s="53" t="e">
        <f t="shared" ca="1" si="99"/>
        <v>#N/A</v>
      </c>
      <c r="CI14" s="53" t="e">
        <f t="shared" ca="1" si="99"/>
        <v>#N/A</v>
      </c>
      <c r="CJ14" s="53" t="e">
        <f t="shared" ca="1" si="99"/>
        <v>#N/A</v>
      </c>
      <c r="CK14" s="53" t="e">
        <f t="shared" ca="1" si="99"/>
        <v>#N/A</v>
      </c>
      <c r="CL14" s="53" t="e">
        <f t="shared" ca="1" si="99"/>
        <v>#N/A</v>
      </c>
      <c r="CM14" s="53" t="e">
        <f t="shared" ca="1" si="99"/>
        <v>#N/A</v>
      </c>
      <c r="CN14" s="53" t="e">
        <f t="shared" ca="1" si="99"/>
        <v>#N/A</v>
      </c>
      <c r="CO14" s="53" t="e">
        <f t="shared" ca="1" si="99"/>
        <v>#N/A</v>
      </c>
      <c r="CP14" s="53" t="e">
        <f t="shared" ca="1" si="99"/>
        <v>#N/A</v>
      </c>
      <c r="CQ14" s="53" t="e">
        <f t="shared" ca="1" si="99"/>
        <v>#N/A</v>
      </c>
      <c r="CR14" s="53" t="e">
        <f t="shared" ca="1" si="99"/>
        <v>#N/A</v>
      </c>
      <c r="CS14" s="53" t="e">
        <f t="shared" ca="1" si="99"/>
        <v>#N/A</v>
      </c>
      <c r="CT14" s="53" t="e">
        <f t="shared" ca="1" si="99"/>
        <v>#N/A</v>
      </c>
      <c r="CU14" s="53" t="e">
        <f t="shared" ca="1" si="99"/>
        <v>#N/A</v>
      </c>
      <c r="CV14" s="53" t="e">
        <f t="shared" ca="1" si="99"/>
        <v>#N/A</v>
      </c>
      <c r="CW14" s="53" t="e">
        <f t="shared" ca="1" si="99"/>
        <v>#N/A</v>
      </c>
      <c r="CX14" s="53" t="e">
        <f t="shared" ca="1" si="99"/>
        <v>#N/A</v>
      </c>
      <c r="CY14" s="53" t="e">
        <f t="shared" ca="1" si="99"/>
        <v>#N/A</v>
      </c>
      <c r="CZ14" s="53" t="e">
        <f t="shared" ca="1" si="99"/>
        <v>#N/A</v>
      </c>
      <c r="DA14" s="53" t="e">
        <f t="shared" ca="1" si="99"/>
        <v>#N/A</v>
      </c>
      <c r="DB14" s="53" t="e">
        <f t="shared" ca="1" si="99"/>
        <v>#N/A</v>
      </c>
      <c r="DC14" s="53" t="e">
        <f t="shared" ca="1" si="99"/>
        <v>#N/A</v>
      </c>
      <c r="DD14" s="53" t="e">
        <f t="shared" ca="1" si="99"/>
        <v>#N/A</v>
      </c>
      <c r="DE14" s="53" t="e">
        <f t="shared" ca="1" si="99"/>
        <v>#N/A</v>
      </c>
      <c r="DF14" s="53" t="e">
        <f t="shared" ca="1" si="99"/>
        <v>#N/A</v>
      </c>
      <c r="DG14" s="53" t="e">
        <f t="shared" ca="1" si="99"/>
        <v>#N/A</v>
      </c>
      <c r="DH14" s="53" t="e">
        <f t="shared" ca="1" si="99"/>
        <v>#N/A</v>
      </c>
      <c r="DI14" s="53" t="e">
        <f t="shared" ca="1" si="99"/>
        <v>#N/A</v>
      </c>
      <c r="DJ14" s="53" t="e">
        <f t="shared" ca="1" si="99"/>
        <v>#N/A</v>
      </c>
      <c r="DK14" s="53" t="e">
        <f t="shared" ca="1" si="99"/>
        <v>#N/A</v>
      </c>
      <c r="DL14" s="53" t="e">
        <f t="shared" ca="1" si="99"/>
        <v>#N/A</v>
      </c>
      <c r="DM14" s="53" t="e">
        <f t="shared" ca="1" si="99"/>
        <v>#N/A</v>
      </c>
      <c r="DN14" s="53" t="e">
        <f t="shared" ca="1" si="99"/>
        <v>#N/A</v>
      </c>
      <c r="DO14" s="53" t="e">
        <f t="shared" ca="1" si="99"/>
        <v>#N/A</v>
      </c>
      <c r="DP14" s="53" t="e">
        <f t="shared" ca="1" si="99"/>
        <v>#N/A</v>
      </c>
      <c r="DQ14" s="53" t="e">
        <f t="shared" ca="1" si="99"/>
        <v>#N/A</v>
      </c>
      <c r="DR14" s="53" t="e">
        <f t="shared" ca="1" si="99"/>
        <v>#N/A</v>
      </c>
      <c r="DS14" s="53" t="e">
        <f t="shared" ca="1" si="99"/>
        <v>#N/A</v>
      </c>
      <c r="DT14" s="53" t="e">
        <f t="shared" ca="1" si="99"/>
        <v>#N/A</v>
      </c>
      <c r="DU14" s="53" t="e">
        <f t="shared" ca="1" si="99"/>
        <v>#N/A</v>
      </c>
      <c r="DV14" s="53" t="e">
        <f t="shared" ca="1" si="99"/>
        <v>#N/A</v>
      </c>
      <c r="DW14" s="53" t="e">
        <f t="shared" ca="1" si="99"/>
        <v>#N/A</v>
      </c>
      <c r="DX14" s="53" t="e">
        <f t="shared" ca="1" si="99"/>
        <v>#N/A</v>
      </c>
      <c r="DY14" s="53" t="e">
        <f t="shared" ca="1" si="99"/>
        <v>#N/A</v>
      </c>
      <c r="DZ14" s="53" t="e">
        <f t="shared" ca="1" si="99"/>
        <v>#N/A</v>
      </c>
      <c r="EA14" s="53" t="e">
        <f t="shared" ca="1" si="99"/>
        <v>#N/A</v>
      </c>
      <c r="EB14" s="53" t="e">
        <f t="shared" ca="1" si="99"/>
        <v>#N/A</v>
      </c>
      <c r="EC14" s="53" t="e">
        <f t="shared" ca="1" si="99"/>
        <v>#N/A</v>
      </c>
      <c r="ED14" s="53" t="e">
        <f t="shared" ca="1" si="99"/>
        <v>#N/A</v>
      </c>
      <c r="EE14" s="53" t="e">
        <f t="shared" ca="1" si="99"/>
        <v>#N/A</v>
      </c>
      <c r="EF14" s="53" t="e">
        <f t="shared" ca="1" si="99"/>
        <v>#N/A</v>
      </c>
      <c r="EG14" s="53" t="e">
        <f t="shared" ref="EG14:GR14" ca="1" si="100">IF(ISNA(EF8),NA(),IF(EG4&lt;$C$10,(EG8/OFFSET(EG8,0,-EG4))^(1/(EG4)),(EG8/OFFSET(EG8,0,-$C$10))^(1/$C$10))-1)</f>
        <v>#N/A</v>
      </c>
      <c r="EH14" s="53" t="e">
        <f t="shared" ca="1" si="100"/>
        <v>#N/A</v>
      </c>
      <c r="EI14" s="53" t="e">
        <f t="shared" ca="1" si="100"/>
        <v>#N/A</v>
      </c>
      <c r="EJ14" s="53" t="e">
        <f t="shared" ca="1" si="100"/>
        <v>#N/A</v>
      </c>
      <c r="EK14" s="53" t="e">
        <f t="shared" ca="1" si="100"/>
        <v>#N/A</v>
      </c>
      <c r="EL14" s="53" t="e">
        <f t="shared" ca="1" si="100"/>
        <v>#N/A</v>
      </c>
      <c r="EM14" s="53" t="e">
        <f t="shared" ca="1" si="100"/>
        <v>#N/A</v>
      </c>
      <c r="EN14" s="53" t="e">
        <f t="shared" ca="1" si="100"/>
        <v>#N/A</v>
      </c>
      <c r="EO14" s="53" t="e">
        <f t="shared" ca="1" si="100"/>
        <v>#N/A</v>
      </c>
      <c r="EP14" s="53" t="e">
        <f t="shared" ca="1" si="100"/>
        <v>#N/A</v>
      </c>
      <c r="EQ14" s="53" t="e">
        <f t="shared" ca="1" si="100"/>
        <v>#N/A</v>
      </c>
      <c r="ER14" s="53" t="e">
        <f t="shared" ca="1" si="100"/>
        <v>#N/A</v>
      </c>
      <c r="ES14" s="53" t="e">
        <f t="shared" ca="1" si="100"/>
        <v>#N/A</v>
      </c>
      <c r="ET14" s="53" t="e">
        <f t="shared" ca="1" si="100"/>
        <v>#N/A</v>
      </c>
      <c r="EU14" s="53" t="e">
        <f t="shared" ca="1" si="100"/>
        <v>#N/A</v>
      </c>
      <c r="EV14" s="53" t="e">
        <f t="shared" ca="1" si="100"/>
        <v>#N/A</v>
      </c>
      <c r="EW14" s="53" t="e">
        <f t="shared" ca="1" si="100"/>
        <v>#N/A</v>
      </c>
      <c r="EX14" s="53" t="e">
        <f t="shared" ca="1" si="100"/>
        <v>#N/A</v>
      </c>
      <c r="EY14" s="53" t="e">
        <f t="shared" ca="1" si="100"/>
        <v>#N/A</v>
      </c>
      <c r="EZ14" s="53" t="e">
        <f t="shared" ca="1" si="100"/>
        <v>#N/A</v>
      </c>
      <c r="FA14" s="53" t="e">
        <f t="shared" ca="1" si="100"/>
        <v>#N/A</v>
      </c>
      <c r="FB14" s="53" t="e">
        <f t="shared" ca="1" si="100"/>
        <v>#N/A</v>
      </c>
      <c r="FC14" s="53" t="e">
        <f t="shared" ca="1" si="100"/>
        <v>#N/A</v>
      </c>
      <c r="FD14" s="53" t="e">
        <f t="shared" ca="1" si="100"/>
        <v>#N/A</v>
      </c>
      <c r="FE14" s="53" t="e">
        <f t="shared" ca="1" si="100"/>
        <v>#N/A</v>
      </c>
      <c r="FF14" s="53" t="e">
        <f t="shared" ca="1" si="100"/>
        <v>#N/A</v>
      </c>
      <c r="FG14" s="53" t="e">
        <f t="shared" ca="1" si="100"/>
        <v>#N/A</v>
      </c>
      <c r="FH14" s="53" t="e">
        <f t="shared" ca="1" si="100"/>
        <v>#N/A</v>
      </c>
      <c r="FI14" s="53" t="e">
        <f t="shared" ca="1" si="100"/>
        <v>#N/A</v>
      </c>
      <c r="FJ14" s="53" t="e">
        <f t="shared" ca="1" si="100"/>
        <v>#N/A</v>
      </c>
      <c r="FK14" s="53" t="e">
        <f t="shared" ca="1" si="100"/>
        <v>#N/A</v>
      </c>
      <c r="FL14" s="53" t="e">
        <f t="shared" ca="1" si="100"/>
        <v>#N/A</v>
      </c>
      <c r="FM14" s="53" t="e">
        <f t="shared" ca="1" si="100"/>
        <v>#N/A</v>
      </c>
      <c r="FN14" s="53" t="e">
        <f t="shared" ca="1" si="100"/>
        <v>#N/A</v>
      </c>
      <c r="FO14" s="53" t="e">
        <f t="shared" ca="1" si="100"/>
        <v>#N/A</v>
      </c>
      <c r="FP14" s="53" t="e">
        <f t="shared" ca="1" si="100"/>
        <v>#N/A</v>
      </c>
      <c r="FQ14" s="53" t="e">
        <f t="shared" ca="1" si="100"/>
        <v>#N/A</v>
      </c>
      <c r="FR14" s="53" t="e">
        <f t="shared" ca="1" si="100"/>
        <v>#N/A</v>
      </c>
      <c r="FS14" s="53" t="e">
        <f t="shared" ca="1" si="100"/>
        <v>#N/A</v>
      </c>
      <c r="FT14" s="53" t="e">
        <f t="shared" ca="1" si="100"/>
        <v>#N/A</v>
      </c>
      <c r="FU14" s="53" t="e">
        <f t="shared" ca="1" si="100"/>
        <v>#N/A</v>
      </c>
      <c r="FV14" s="53" t="e">
        <f t="shared" ca="1" si="100"/>
        <v>#N/A</v>
      </c>
      <c r="FW14" s="53" t="e">
        <f t="shared" ca="1" si="100"/>
        <v>#N/A</v>
      </c>
      <c r="FX14" s="53" t="e">
        <f t="shared" ca="1" si="100"/>
        <v>#N/A</v>
      </c>
      <c r="FY14" s="53" t="e">
        <f t="shared" ca="1" si="100"/>
        <v>#N/A</v>
      </c>
      <c r="FZ14" s="53" t="e">
        <f t="shared" ca="1" si="100"/>
        <v>#N/A</v>
      </c>
      <c r="GA14" s="53" t="e">
        <f t="shared" ca="1" si="100"/>
        <v>#N/A</v>
      </c>
      <c r="GB14" s="53" t="e">
        <f t="shared" ca="1" si="100"/>
        <v>#N/A</v>
      </c>
      <c r="GC14" s="53" t="e">
        <f t="shared" ca="1" si="100"/>
        <v>#N/A</v>
      </c>
      <c r="GD14" s="53" t="e">
        <f t="shared" ca="1" si="100"/>
        <v>#N/A</v>
      </c>
      <c r="GE14" s="53" t="e">
        <f t="shared" ca="1" si="100"/>
        <v>#N/A</v>
      </c>
      <c r="GF14" s="53" t="e">
        <f t="shared" ca="1" si="100"/>
        <v>#N/A</v>
      </c>
      <c r="GG14" s="53" t="e">
        <f t="shared" ca="1" si="100"/>
        <v>#N/A</v>
      </c>
      <c r="GH14" s="53" t="e">
        <f t="shared" ca="1" si="100"/>
        <v>#N/A</v>
      </c>
      <c r="GI14" s="53" t="e">
        <f t="shared" ca="1" si="100"/>
        <v>#N/A</v>
      </c>
      <c r="GJ14" s="53" t="e">
        <f t="shared" ca="1" si="100"/>
        <v>#N/A</v>
      </c>
      <c r="GK14" s="53" t="e">
        <f t="shared" ca="1" si="100"/>
        <v>#N/A</v>
      </c>
      <c r="GL14" s="53" t="e">
        <f t="shared" ca="1" si="100"/>
        <v>#N/A</v>
      </c>
      <c r="GM14" s="53" t="e">
        <f t="shared" ca="1" si="100"/>
        <v>#N/A</v>
      </c>
      <c r="GN14" s="53" t="e">
        <f t="shared" ca="1" si="100"/>
        <v>#N/A</v>
      </c>
      <c r="GO14" s="53" t="e">
        <f t="shared" ca="1" si="100"/>
        <v>#N/A</v>
      </c>
      <c r="GP14" s="53" t="e">
        <f t="shared" ca="1" si="100"/>
        <v>#N/A</v>
      </c>
      <c r="GQ14" s="53" t="e">
        <f t="shared" ca="1" si="100"/>
        <v>#N/A</v>
      </c>
      <c r="GR14" s="53" t="e">
        <f t="shared" ca="1" si="100"/>
        <v>#N/A</v>
      </c>
      <c r="GS14" s="53" t="e">
        <f t="shared" ref="GS14:IN14" ca="1" si="101">IF(ISNA(GR8),NA(),IF(GS4&lt;$C$10,(GS8/OFFSET(GS8,0,-GS4))^(1/(GS4)),(GS8/OFFSET(GS8,0,-$C$10))^(1/$C$10))-1)</f>
        <v>#N/A</v>
      </c>
      <c r="GT14" s="53" t="e">
        <f t="shared" ca="1" si="101"/>
        <v>#N/A</v>
      </c>
      <c r="GU14" s="53" t="e">
        <f t="shared" ca="1" si="101"/>
        <v>#N/A</v>
      </c>
      <c r="GV14" s="53" t="e">
        <f t="shared" ca="1" si="101"/>
        <v>#N/A</v>
      </c>
      <c r="GW14" s="53" t="e">
        <f t="shared" ca="1" si="101"/>
        <v>#N/A</v>
      </c>
      <c r="GX14" s="53" t="e">
        <f t="shared" ca="1" si="101"/>
        <v>#N/A</v>
      </c>
      <c r="GY14" s="53" t="e">
        <f t="shared" ca="1" si="101"/>
        <v>#N/A</v>
      </c>
      <c r="GZ14" s="53" t="e">
        <f t="shared" ca="1" si="101"/>
        <v>#N/A</v>
      </c>
      <c r="HA14" s="53" t="e">
        <f t="shared" ca="1" si="101"/>
        <v>#N/A</v>
      </c>
      <c r="HB14" s="53" t="e">
        <f t="shared" ca="1" si="101"/>
        <v>#N/A</v>
      </c>
      <c r="HC14" s="53" t="e">
        <f t="shared" ca="1" si="101"/>
        <v>#N/A</v>
      </c>
      <c r="HD14" s="53" t="e">
        <f t="shared" ca="1" si="101"/>
        <v>#N/A</v>
      </c>
      <c r="HE14" s="53" t="e">
        <f t="shared" ca="1" si="101"/>
        <v>#N/A</v>
      </c>
      <c r="HF14" s="53" t="e">
        <f t="shared" ca="1" si="101"/>
        <v>#N/A</v>
      </c>
      <c r="HG14" s="53" t="e">
        <f t="shared" ca="1" si="101"/>
        <v>#N/A</v>
      </c>
      <c r="HH14" s="53" t="e">
        <f t="shared" ca="1" si="101"/>
        <v>#N/A</v>
      </c>
      <c r="HI14" s="53" t="e">
        <f t="shared" ca="1" si="101"/>
        <v>#N/A</v>
      </c>
      <c r="HJ14" s="53" t="e">
        <f t="shared" ca="1" si="101"/>
        <v>#N/A</v>
      </c>
      <c r="HK14" s="53" t="e">
        <f t="shared" ca="1" si="101"/>
        <v>#N/A</v>
      </c>
      <c r="HL14" s="53" t="e">
        <f t="shared" ca="1" si="101"/>
        <v>#N/A</v>
      </c>
      <c r="HM14" s="53" t="e">
        <f t="shared" ca="1" si="101"/>
        <v>#N/A</v>
      </c>
      <c r="HN14" s="53" t="e">
        <f t="shared" ca="1" si="101"/>
        <v>#N/A</v>
      </c>
      <c r="HO14" s="53" t="e">
        <f t="shared" ca="1" si="101"/>
        <v>#N/A</v>
      </c>
      <c r="HP14" s="53" t="e">
        <f t="shared" ca="1" si="101"/>
        <v>#N/A</v>
      </c>
      <c r="HQ14" s="53" t="e">
        <f t="shared" ca="1" si="101"/>
        <v>#N/A</v>
      </c>
      <c r="HR14" s="53" t="e">
        <f t="shared" ca="1" si="101"/>
        <v>#N/A</v>
      </c>
      <c r="HS14" s="53" t="e">
        <f t="shared" ca="1" si="101"/>
        <v>#N/A</v>
      </c>
      <c r="HT14" s="53" t="e">
        <f t="shared" ca="1" si="101"/>
        <v>#N/A</v>
      </c>
      <c r="HU14" s="53" t="e">
        <f t="shared" ca="1" si="101"/>
        <v>#N/A</v>
      </c>
      <c r="HV14" s="53" t="e">
        <f t="shared" ca="1" si="101"/>
        <v>#N/A</v>
      </c>
      <c r="HW14" s="53" t="e">
        <f t="shared" ca="1" si="101"/>
        <v>#N/A</v>
      </c>
      <c r="HX14" s="53" t="e">
        <f t="shared" ca="1" si="101"/>
        <v>#N/A</v>
      </c>
      <c r="HY14" s="53" t="e">
        <f t="shared" ca="1" si="101"/>
        <v>#N/A</v>
      </c>
      <c r="HZ14" s="53" t="e">
        <f t="shared" ca="1" si="101"/>
        <v>#N/A</v>
      </c>
      <c r="IA14" s="53" t="e">
        <f t="shared" ca="1" si="101"/>
        <v>#N/A</v>
      </c>
      <c r="IB14" s="53" t="e">
        <f t="shared" ca="1" si="101"/>
        <v>#N/A</v>
      </c>
      <c r="IC14" s="53" t="e">
        <f t="shared" ca="1" si="101"/>
        <v>#N/A</v>
      </c>
      <c r="ID14" s="53" t="e">
        <f t="shared" ca="1" si="101"/>
        <v>#N/A</v>
      </c>
      <c r="IE14" s="53" t="e">
        <f t="shared" ca="1" si="101"/>
        <v>#N/A</v>
      </c>
      <c r="IF14" s="53" t="e">
        <f t="shared" ca="1" si="101"/>
        <v>#N/A</v>
      </c>
      <c r="IG14" s="53" t="e">
        <f t="shared" ca="1" si="101"/>
        <v>#N/A</v>
      </c>
      <c r="IH14" s="53" t="e">
        <f t="shared" ca="1" si="101"/>
        <v>#N/A</v>
      </c>
      <c r="II14" s="53" t="e">
        <f t="shared" ca="1" si="101"/>
        <v>#N/A</v>
      </c>
      <c r="IJ14" s="53" t="e">
        <f t="shared" ca="1" si="101"/>
        <v>#N/A</v>
      </c>
      <c r="IK14" s="53" t="e">
        <f t="shared" ca="1" si="101"/>
        <v>#N/A</v>
      </c>
      <c r="IL14" s="53" t="e">
        <f t="shared" ca="1" si="101"/>
        <v>#N/A</v>
      </c>
      <c r="IM14" s="53" t="e">
        <f t="shared" ca="1" si="101"/>
        <v>#N/A</v>
      </c>
      <c r="IN14" s="53" t="e">
        <f t="shared" ca="1" si="101"/>
        <v>#N/A</v>
      </c>
    </row>
    <row r="15" spans="2:248" x14ac:dyDescent="0.3">
      <c r="B15" s="19" t="s">
        <v>466</v>
      </c>
      <c r="C15" s="25">
        <f>IFERROR(IF(VLOOKUP(B2,Country_Data!C:M,11,FALSE)=0,0.047,VLOOKUP(B2,Country_Data!C:M,11,FALSE)*$C$32),0.047)</f>
        <v>0.15558645096056622</v>
      </c>
      <c r="E15" s="93"/>
      <c r="F15" s="19" t="s">
        <v>569</v>
      </c>
      <c r="G15" s="53" t="e">
        <f ca="1">H15</f>
        <v>#N/A</v>
      </c>
      <c r="H15" s="53" t="e">
        <f t="shared" ref="H15:BS15" ca="1" si="102">IF(ISNA(G6),NA(),IF(H4-$C$9&lt;$C$10,(H6/OFFSET(H6,0,-H4+$C$9))^(1/(H4-$C$9)),(H6/OFFSET(H6,0,-$C$10))^(1/$C$10))-1)</f>
        <v>#N/A</v>
      </c>
      <c r="I15" s="53" t="e">
        <f t="shared" ca="1" si="102"/>
        <v>#N/A</v>
      </c>
      <c r="J15" s="53" t="e">
        <f t="shared" ca="1" si="102"/>
        <v>#N/A</v>
      </c>
      <c r="K15" s="53" t="e">
        <f t="shared" ca="1" si="102"/>
        <v>#N/A</v>
      </c>
      <c r="L15" s="53" t="e">
        <f t="shared" ca="1" si="102"/>
        <v>#N/A</v>
      </c>
      <c r="M15" s="53" t="e">
        <f t="shared" ca="1" si="102"/>
        <v>#N/A</v>
      </c>
      <c r="N15" s="53">
        <f t="shared" ca="1" si="102"/>
        <v>0.25</v>
      </c>
      <c r="O15" s="53">
        <f t="shared" ca="1" si="102"/>
        <v>0.17260393995585743</v>
      </c>
      <c r="P15" s="53">
        <f t="shared" ca="1" si="102"/>
        <v>0.37946208819056038</v>
      </c>
      <c r="Q15" s="53">
        <f t="shared" ca="1" si="102"/>
        <v>0.44625380425953898</v>
      </c>
      <c r="R15" s="53">
        <f t="shared" ca="1" si="102"/>
        <v>0.47577316159455196</v>
      </c>
      <c r="S15" s="53">
        <f t="shared" ca="1" si="102"/>
        <v>0.47996576656540446</v>
      </c>
      <c r="T15" s="53">
        <f t="shared" ca="1" si="102"/>
        <v>0.56721338021581857</v>
      </c>
      <c r="U15" s="53">
        <f t="shared" ca="1" si="102"/>
        <v>0.45724293460350629</v>
      </c>
      <c r="V15" s="53">
        <f t="shared" ca="1" si="102"/>
        <v>0.3844280551246313</v>
      </c>
      <c r="W15" s="53">
        <f t="shared" ca="1" si="102"/>
        <v>0.33108431554633166</v>
      </c>
      <c r="X15" s="53">
        <f t="shared" ca="1" si="102"/>
        <v>0.31764419159315649</v>
      </c>
      <c r="Y15" s="53">
        <f t="shared" ca="1" si="102"/>
        <v>0.26433216777748192</v>
      </c>
      <c r="Z15" s="53">
        <f t="shared" ca="1" si="102"/>
        <v>0.25110066863380553</v>
      </c>
      <c r="AA15" s="53">
        <f t="shared" ca="1" si="102"/>
        <v>0.21225276364631673</v>
      </c>
      <c r="AB15" s="53">
        <f t="shared" ca="1" si="102"/>
        <v>0.1990641741051542</v>
      </c>
      <c r="AC15" s="53">
        <f t="shared" ca="1" si="102"/>
        <v>0.219627223303684</v>
      </c>
      <c r="AD15" s="53">
        <f t="shared" ca="1" si="102"/>
        <v>0.24892768561407141</v>
      </c>
      <c r="AE15" s="53">
        <f t="shared" ca="1" si="102"/>
        <v>0.23817929415649886</v>
      </c>
      <c r="AF15" s="53" t="e">
        <f t="shared" ca="1" si="102"/>
        <v>#N/A</v>
      </c>
      <c r="AG15" s="53" t="e">
        <f t="shared" ca="1" si="102"/>
        <v>#N/A</v>
      </c>
      <c r="AH15" s="53" t="e">
        <f t="shared" ca="1" si="102"/>
        <v>#N/A</v>
      </c>
      <c r="AI15" s="53" t="e">
        <f t="shared" ca="1" si="102"/>
        <v>#N/A</v>
      </c>
      <c r="AJ15" s="53" t="e">
        <f t="shared" ca="1" si="102"/>
        <v>#N/A</v>
      </c>
      <c r="AK15" s="53" t="e">
        <f t="shared" ca="1" si="102"/>
        <v>#N/A</v>
      </c>
      <c r="AL15" s="53" t="e">
        <f t="shared" ca="1" si="102"/>
        <v>#N/A</v>
      </c>
      <c r="AM15" s="53" t="e">
        <f t="shared" ca="1" si="102"/>
        <v>#N/A</v>
      </c>
      <c r="AN15" s="53" t="e">
        <f t="shared" ca="1" si="102"/>
        <v>#N/A</v>
      </c>
      <c r="AO15" s="53" t="e">
        <f t="shared" ca="1" si="102"/>
        <v>#N/A</v>
      </c>
      <c r="AP15" s="53" t="e">
        <f t="shared" ca="1" si="102"/>
        <v>#N/A</v>
      </c>
      <c r="AQ15" s="53" t="e">
        <f t="shared" ca="1" si="102"/>
        <v>#N/A</v>
      </c>
      <c r="AR15" s="53" t="e">
        <f t="shared" ca="1" si="102"/>
        <v>#N/A</v>
      </c>
      <c r="AS15" s="53" t="e">
        <f t="shared" ca="1" si="102"/>
        <v>#N/A</v>
      </c>
      <c r="AT15" s="53" t="e">
        <f t="shared" ca="1" si="102"/>
        <v>#N/A</v>
      </c>
      <c r="AU15" s="53" t="e">
        <f t="shared" ca="1" si="102"/>
        <v>#N/A</v>
      </c>
      <c r="AV15" s="53" t="e">
        <f t="shared" ca="1" si="102"/>
        <v>#N/A</v>
      </c>
      <c r="AW15" s="53" t="e">
        <f t="shared" ca="1" si="102"/>
        <v>#N/A</v>
      </c>
      <c r="AX15" s="53" t="e">
        <f t="shared" ca="1" si="102"/>
        <v>#N/A</v>
      </c>
      <c r="AY15" s="53" t="e">
        <f t="shared" ca="1" si="102"/>
        <v>#N/A</v>
      </c>
      <c r="AZ15" s="53" t="e">
        <f t="shared" ca="1" si="102"/>
        <v>#N/A</v>
      </c>
      <c r="BA15" s="53" t="e">
        <f t="shared" ca="1" si="102"/>
        <v>#N/A</v>
      </c>
      <c r="BB15" s="53" t="e">
        <f t="shared" ca="1" si="102"/>
        <v>#N/A</v>
      </c>
      <c r="BC15" s="53" t="e">
        <f t="shared" ca="1" si="102"/>
        <v>#N/A</v>
      </c>
      <c r="BD15" s="53" t="e">
        <f t="shared" ca="1" si="102"/>
        <v>#N/A</v>
      </c>
      <c r="BE15" s="53" t="e">
        <f t="shared" ca="1" si="102"/>
        <v>#N/A</v>
      </c>
      <c r="BF15" s="53" t="e">
        <f t="shared" ca="1" si="102"/>
        <v>#N/A</v>
      </c>
      <c r="BG15" s="53" t="e">
        <f t="shared" ca="1" si="102"/>
        <v>#N/A</v>
      </c>
      <c r="BH15" s="53" t="e">
        <f t="shared" ca="1" si="102"/>
        <v>#N/A</v>
      </c>
      <c r="BI15" s="53" t="e">
        <f t="shared" ca="1" si="102"/>
        <v>#N/A</v>
      </c>
      <c r="BJ15" s="53" t="e">
        <f t="shared" ca="1" si="102"/>
        <v>#N/A</v>
      </c>
      <c r="BK15" s="53" t="e">
        <f t="shared" ca="1" si="102"/>
        <v>#N/A</v>
      </c>
      <c r="BL15" s="53" t="e">
        <f t="shared" ca="1" si="102"/>
        <v>#N/A</v>
      </c>
      <c r="BM15" s="53" t="e">
        <f t="shared" ca="1" si="102"/>
        <v>#N/A</v>
      </c>
      <c r="BN15" s="53" t="e">
        <f t="shared" ca="1" si="102"/>
        <v>#N/A</v>
      </c>
      <c r="BO15" s="53" t="e">
        <f t="shared" ca="1" si="102"/>
        <v>#N/A</v>
      </c>
      <c r="BP15" s="53" t="e">
        <f t="shared" ca="1" si="102"/>
        <v>#N/A</v>
      </c>
      <c r="BQ15" s="53" t="e">
        <f t="shared" ca="1" si="102"/>
        <v>#N/A</v>
      </c>
      <c r="BR15" s="53" t="e">
        <f t="shared" ca="1" si="102"/>
        <v>#N/A</v>
      </c>
      <c r="BS15" s="53" t="e">
        <f t="shared" ca="1" si="102"/>
        <v>#N/A</v>
      </c>
      <c r="BT15" s="53" t="e">
        <f t="shared" ref="BT15:EE15" ca="1" si="103">IF(ISNA(BS6),NA(),IF(BT4-$C$9&lt;$C$10,(BT6/OFFSET(BT6,0,-BT4+$C$9))^(1/(BT4-$C$9)),(BT6/OFFSET(BT6,0,-$C$10))^(1/$C$10))-1)</f>
        <v>#N/A</v>
      </c>
      <c r="BU15" s="53" t="e">
        <f t="shared" ca="1" si="103"/>
        <v>#N/A</v>
      </c>
      <c r="BV15" s="53" t="e">
        <f t="shared" ca="1" si="103"/>
        <v>#N/A</v>
      </c>
      <c r="BW15" s="53" t="e">
        <f t="shared" ca="1" si="103"/>
        <v>#N/A</v>
      </c>
      <c r="BX15" s="53" t="e">
        <f t="shared" ca="1" si="103"/>
        <v>#N/A</v>
      </c>
      <c r="BY15" s="53" t="e">
        <f t="shared" ca="1" si="103"/>
        <v>#N/A</v>
      </c>
      <c r="BZ15" s="53" t="e">
        <f t="shared" ca="1" si="103"/>
        <v>#N/A</v>
      </c>
      <c r="CA15" s="53" t="e">
        <f t="shared" ca="1" si="103"/>
        <v>#N/A</v>
      </c>
      <c r="CB15" s="53" t="e">
        <f t="shared" ca="1" si="103"/>
        <v>#N/A</v>
      </c>
      <c r="CC15" s="53" t="e">
        <f t="shared" ca="1" si="103"/>
        <v>#N/A</v>
      </c>
      <c r="CD15" s="53" t="e">
        <f t="shared" ca="1" si="103"/>
        <v>#N/A</v>
      </c>
      <c r="CE15" s="53" t="e">
        <f t="shared" ca="1" si="103"/>
        <v>#N/A</v>
      </c>
      <c r="CF15" s="53" t="e">
        <f t="shared" ca="1" si="103"/>
        <v>#N/A</v>
      </c>
      <c r="CG15" s="53" t="e">
        <f t="shared" ca="1" si="103"/>
        <v>#N/A</v>
      </c>
      <c r="CH15" s="53" t="e">
        <f t="shared" ca="1" si="103"/>
        <v>#N/A</v>
      </c>
      <c r="CI15" s="53" t="e">
        <f t="shared" ca="1" si="103"/>
        <v>#N/A</v>
      </c>
      <c r="CJ15" s="53" t="e">
        <f t="shared" ca="1" si="103"/>
        <v>#N/A</v>
      </c>
      <c r="CK15" s="53" t="e">
        <f t="shared" ca="1" si="103"/>
        <v>#N/A</v>
      </c>
      <c r="CL15" s="53" t="e">
        <f t="shared" ca="1" si="103"/>
        <v>#N/A</v>
      </c>
      <c r="CM15" s="53" t="e">
        <f t="shared" ca="1" si="103"/>
        <v>#N/A</v>
      </c>
      <c r="CN15" s="53" t="e">
        <f t="shared" ca="1" si="103"/>
        <v>#N/A</v>
      </c>
      <c r="CO15" s="53" t="e">
        <f t="shared" ca="1" si="103"/>
        <v>#N/A</v>
      </c>
      <c r="CP15" s="53" t="e">
        <f t="shared" ca="1" si="103"/>
        <v>#N/A</v>
      </c>
      <c r="CQ15" s="53" t="e">
        <f t="shared" ca="1" si="103"/>
        <v>#N/A</v>
      </c>
      <c r="CR15" s="53" t="e">
        <f t="shared" ca="1" si="103"/>
        <v>#N/A</v>
      </c>
      <c r="CS15" s="53" t="e">
        <f t="shared" ca="1" si="103"/>
        <v>#N/A</v>
      </c>
      <c r="CT15" s="53" t="e">
        <f t="shared" ca="1" si="103"/>
        <v>#N/A</v>
      </c>
      <c r="CU15" s="53" t="e">
        <f t="shared" ca="1" si="103"/>
        <v>#N/A</v>
      </c>
      <c r="CV15" s="53" t="e">
        <f t="shared" ca="1" si="103"/>
        <v>#N/A</v>
      </c>
      <c r="CW15" s="53" t="e">
        <f t="shared" ca="1" si="103"/>
        <v>#N/A</v>
      </c>
      <c r="CX15" s="53" t="e">
        <f t="shared" ca="1" si="103"/>
        <v>#N/A</v>
      </c>
      <c r="CY15" s="53" t="e">
        <f t="shared" ca="1" si="103"/>
        <v>#N/A</v>
      </c>
      <c r="CZ15" s="53" t="e">
        <f t="shared" ca="1" si="103"/>
        <v>#N/A</v>
      </c>
      <c r="DA15" s="53" t="e">
        <f t="shared" ca="1" si="103"/>
        <v>#N/A</v>
      </c>
      <c r="DB15" s="53" t="e">
        <f t="shared" ca="1" si="103"/>
        <v>#N/A</v>
      </c>
      <c r="DC15" s="53" t="e">
        <f t="shared" ca="1" si="103"/>
        <v>#N/A</v>
      </c>
      <c r="DD15" s="53" t="e">
        <f t="shared" ca="1" si="103"/>
        <v>#N/A</v>
      </c>
      <c r="DE15" s="53" t="e">
        <f t="shared" ca="1" si="103"/>
        <v>#N/A</v>
      </c>
      <c r="DF15" s="53" t="e">
        <f t="shared" ca="1" si="103"/>
        <v>#N/A</v>
      </c>
      <c r="DG15" s="53" t="e">
        <f t="shared" ca="1" si="103"/>
        <v>#N/A</v>
      </c>
      <c r="DH15" s="53" t="e">
        <f t="shared" ca="1" si="103"/>
        <v>#N/A</v>
      </c>
      <c r="DI15" s="53" t="e">
        <f t="shared" ca="1" si="103"/>
        <v>#N/A</v>
      </c>
      <c r="DJ15" s="53" t="e">
        <f t="shared" ca="1" si="103"/>
        <v>#N/A</v>
      </c>
      <c r="DK15" s="53" t="e">
        <f t="shared" ca="1" si="103"/>
        <v>#N/A</v>
      </c>
      <c r="DL15" s="53" t="e">
        <f t="shared" ca="1" si="103"/>
        <v>#N/A</v>
      </c>
      <c r="DM15" s="53" t="e">
        <f t="shared" ca="1" si="103"/>
        <v>#N/A</v>
      </c>
      <c r="DN15" s="53" t="e">
        <f t="shared" ca="1" si="103"/>
        <v>#N/A</v>
      </c>
      <c r="DO15" s="53" t="e">
        <f t="shared" ca="1" si="103"/>
        <v>#N/A</v>
      </c>
      <c r="DP15" s="53" t="e">
        <f t="shared" ca="1" si="103"/>
        <v>#N/A</v>
      </c>
      <c r="DQ15" s="53" t="e">
        <f t="shared" ca="1" si="103"/>
        <v>#N/A</v>
      </c>
      <c r="DR15" s="53" t="e">
        <f t="shared" ca="1" si="103"/>
        <v>#N/A</v>
      </c>
      <c r="DS15" s="53" t="e">
        <f t="shared" ca="1" si="103"/>
        <v>#N/A</v>
      </c>
      <c r="DT15" s="53" t="e">
        <f t="shared" ca="1" si="103"/>
        <v>#N/A</v>
      </c>
      <c r="DU15" s="53" t="e">
        <f t="shared" ca="1" si="103"/>
        <v>#N/A</v>
      </c>
      <c r="DV15" s="53" t="e">
        <f t="shared" ca="1" si="103"/>
        <v>#N/A</v>
      </c>
      <c r="DW15" s="53" t="e">
        <f t="shared" ca="1" si="103"/>
        <v>#N/A</v>
      </c>
      <c r="DX15" s="53" t="e">
        <f t="shared" ca="1" si="103"/>
        <v>#N/A</v>
      </c>
      <c r="DY15" s="53" t="e">
        <f t="shared" ca="1" si="103"/>
        <v>#N/A</v>
      </c>
      <c r="DZ15" s="53" t="e">
        <f t="shared" ca="1" si="103"/>
        <v>#N/A</v>
      </c>
      <c r="EA15" s="53" t="e">
        <f t="shared" ca="1" si="103"/>
        <v>#N/A</v>
      </c>
      <c r="EB15" s="53" t="e">
        <f t="shared" ca="1" si="103"/>
        <v>#N/A</v>
      </c>
      <c r="EC15" s="53" t="e">
        <f t="shared" ca="1" si="103"/>
        <v>#N/A</v>
      </c>
      <c r="ED15" s="53" t="e">
        <f t="shared" ca="1" si="103"/>
        <v>#N/A</v>
      </c>
      <c r="EE15" s="53" t="e">
        <f t="shared" ca="1" si="103"/>
        <v>#N/A</v>
      </c>
      <c r="EF15" s="53" t="e">
        <f t="shared" ref="EF15:GQ15" ca="1" si="104">IF(ISNA(EE6),NA(),IF(EF4-$C$9&lt;$C$10,(EF6/OFFSET(EF6,0,-EF4+$C$9))^(1/(EF4-$C$9)),(EF6/OFFSET(EF6,0,-$C$10))^(1/$C$10))-1)</f>
        <v>#N/A</v>
      </c>
      <c r="EG15" s="53" t="e">
        <f t="shared" ca="1" si="104"/>
        <v>#N/A</v>
      </c>
      <c r="EH15" s="53" t="e">
        <f t="shared" ca="1" si="104"/>
        <v>#N/A</v>
      </c>
      <c r="EI15" s="53" t="e">
        <f t="shared" ca="1" si="104"/>
        <v>#N/A</v>
      </c>
      <c r="EJ15" s="53" t="e">
        <f t="shared" ca="1" si="104"/>
        <v>#N/A</v>
      </c>
      <c r="EK15" s="53" t="e">
        <f t="shared" ca="1" si="104"/>
        <v>#N/A</v>
      </c>
      <c r="EL15" s="53" t="e">
        <f t="shared" ca="1" si="104"/>
        <v>#N/A</v>
      </c>
      <c r="EM15" s="53" t="e">
        <f t="shared" ca="1" si="104"/>
        <v>#N/A</v>
      </c>
      <c r="EN15" s="53" t="e">
        <f t="shared" ca="1" si="104"/>
        <v>#N/A</v>
      </c>
      <c r="EO15" s="53" t="e">
        <f t="shared" ca="1" si="104"/>
        <v>#N/A</v>
      </c>
      <c r="EP15" s="53" t="e">
        <f t="shared" ca="1" si="104"/>
        <v>#N/A</v>
      </c>
      <c r="EQ15" s="53" t="e">
        <f t="shared" ca="1" si="104"/>
        <v>#N/A</v>
      </c>
      <c r="ER15" s="53" t="e">
        <f t="shared" ca="1" si="104"/>
        <v>#N/A</v>
      </c>
      <c r="ES15" s="53" t="e">
        <f t="shared" ca="1" si="104"/>
        <v>#N/A</v>
      </c>
      <c r="ET15" s="53" t="e">
        <f t="shared" ca="1" si="104"/>
        <v>#N/A</v>
      </c>
      <c r="EU15" s="53" t="e">
        <f t="shared" ca="1" si="104"/>
        <v>#N/A</v>
      </c>
      <c r="EV15" s="53" t="e">
        <f t="shared" ca="1" si="104"/>
        <v>#N/A</v>
      </c>
      <c r="EW15" s="53" t="e">
        <f t="shared" ca="1" si="104"/>
        <v>#N/A</v>
      </c>
      <c r="EX15" s="53" t="e">
        <f t="shared" ca="1" si="104"/>
        <v>#N/A</v>
      </c>
      <c r="EY15" s="53" t="e">
        <f t="shared" ca="1" si="104"/>
        <v>#N/A</v>
      </c>
      <c r="EZ15" s="53" t="e">
        <f t="shared" ca="1" si="104"/>
        <v>#N/A</v>
      </c>
      <c r="FA15" s="53" t="e">
        <f t="shared" ca="1" si="104"/>
        <v>#N/A</v>
      </c>
      <c r="FB15" s="53" t="e">
        <f t="shared" ca="1" si="104"/>
        <v>#N/A</v>
      </c>
      <c r="FC15" s="53" t="e">
        <f t="shared" ca="1" si="104"/>
        <v>#N/A</v>
      </c>
      <c r="FD15" s="53" t="e">
        <f t="shared" ca="1" si="104"/>
        <v>#N/A</v>
      </c>
      <c r="FE15" s="53" t="e">
        <f t="shared" ca="1" si="104"/>
        <v>#N/A</v>
      </c>
      <c r="FF15" s="53" t="e">
        <f t="shared" ca="1" si="104"/>
        <v>#N/A</v>
      </c>
      <c r="FG15" s="53" t="e">
        <f t="shared" ca="1" si="104"/>
        <v>#N/A</v>
      </c>
      <c r="FH15" s="53" t="e">
        <f t="shared" ca="1" si="104"/>
        <v>#N/A</v>
      </c>
      <c r="FI15" s="53" t="e">
        <f t="shared" ca="1" si="104"/>
        <v>#N/A</v>
      </c>
      <c r="FJ15" s="53" t="e">
        <f t="shared" ca="1" si="104"/>
        <v>#N/A</v>
      </c>
      <c r="FK15" s="53" t="e">
        <f t="shared" ca="1" si="104"/>
        <v>#N/A</v>
      </c>
      <c r="FL15" s="53" t="e">
        <f t="shared" ca="1" si="104"/>
        <v>#N/A</v>
      </c>
      <c r="FM15" s="53" t="e">
        <f t="shared" ca="1" si="104"/>
        <v>#N/A</v>
      </c>
      <c r="FN15" s="53" t="e">
        <f t="shared" ca="1" si="104"/>
        <v>#N/A</v>
      </c>
      <c r="FO15" s="53" t="e">
        <f t="shared" ca="1" si="104"/>
        <v>#N/A</v>
      </c>
      <c r="FP15" s="53" t="e">
        <f t="shared" ca="1" si="104"/>
        <v>#N/A</v>
      </c>
      <c r="FQ15" s="53" t="e">
        <f t="shared" ca="1" si="104"/>
        <v>#N/A</v>
      </c>
      <c r="FR15" s="53" t="e">
        <f t="shared" ca="1" si="104"/>
        <v>#N/A</v>
      </c>
      <c r="FS15" s="53" t="e">
        <f t="shared" ca="1" si="104"/>
        <v>#N/A</v>
      </c>
      <c r="FT15" s="53" t="e">
        <f t="shared" ca="1" si="104"/>
        <v>#N/A</v>
      </c>
      <c r="FU15" s="53" t="e">
        <f t="shared" ca="1" si="104"/>
        <v>#N/A</v>
      </c>
      <c r="FV15" s="53" t="e">
        <f t="shared" ca="1" si="104"/>
        <v>#N/A</v>
      </c>
      <c r="FW15" s="53" t="e">
        <f t="shared" ca="1" si="104"/>
        <v>#N/A</v>
      </c>
      <c r="FX15" s="53" t="e">
        <f t="shared" ca="1" si="104"/>
        <v>#N/A</v>
      </c>
      <c r="FY15" s="53" t="e">
        <f t="shared" ca="1" si="104"/>
        <v>#N/A</v>
      </c>
      <c r="FZ15" s="53" t="e">
        <f t="shared" ca="1" si="104"/>
        <v>#N/A</v>
      </c>
      <c r="GA15" s="53" t="e">
        <f t="shared" ca="1" si="104"/>
        <v>#N/A</v>
      </c>
      <c r="GB15" s="53" t="e">
        <f t="shared" ca="1" si="104"/>
        <v>#N/A</v>
      </c>
      <c r="GC15" s="53" t="e">
        <f t="shared" ca="1" si="104"/>
        <v>#N/A</v>
      </c>
      <c r="GD15" s="53" t="e">
        <f t="shared" ca="1" si="104"/>
        <v>#N/A</v>
      </c>
      <c r="GE15" s="53" t="e">
        <f t="shared" ca="1" si="104"/>
        <v>#N/A</v>
      </c>
      <c r="GF15" s="53" t="e">
        <f t="shared" ca="1" si="104"/>
        <v>#N/A</v>
      </c>
      <c r="GG15" s="53" t="e">
        <f t="shared" ca="1" si="104"/>
        <v>#N/A</v>
      </c>
      <c r="GH15" s="53" t="e">
        <f t="shared" ca="1" si="104"/>
        <v>#N/A</v>
      </c>
      <c r="GI15" s="53" t="e">
        <f t="shared" ca="1" si="104"/>
        <v>#N/A</v>
      </c>
      <c r="GJ15" s="53" t="e">
        <f t="shared" ca="1" si="104"/>
        <v>#N/A</v>
      </c>
      <c r="GK15" s="53" t="e">
        <f t="shared" ca="1" si="104"/>
        <v>#N/A</v>
      </c>
      <c r="GL15" s="53" t="e">
        <f t="shared" ca="1" si="104"/>
        <v>#N/A</v>
      </c>
      <c r="GM15" s="53" t="e">
        <f t="shared" ca="1" si="104"/>
        <v>#N/A</v>
      </c>
      <c r="GN15" s="53" t="e">
        <f t="shared" ca="1" si="104"/>
        <v>#N/A</v>
      </c>
      <c r="GO15" s="53" t="e">
        <f t="shared" ca="1" si="104"/>
        <v>#N/A</v>
      </c>
      <c r="GP15" s="53" t="e">
        <f t="shared" ca="1" si="104"/>
        <v>#N/A</v>
      </c>
      <c r="GQ15" s="53" t="e">
        <f t="shared" ca="1" si="104"/>
        <v>#N/A</v>
      </c>
      <c r="GR15" s="53" t="e">
        <f t="shared" ref="GR15:IN15" ca="1" si="105">IF(ISNA(GQ6),NA(),IF(GR4-$C$9&lt;$C$10,(GR6/OFFSET(GR6,0,-GR4+$C$9))^(1/(GR4-$C$9)),(GR6/OFFSET(GR6,0,-$C$10))^(1/$C$10))-1)</f>
        <v>#N/A</v>
      </c>
      <c r="GS15" s="53" t="e">
        <f t="shared" ca="1" si="105"/>
        <v>#N/A</v>
      </c>
      <c r="GT15" s="53" t="e">
        <f t="shared" ca="1" si="105"/>
        <v>#N/A</v>
      </c>
      <c r="GU15" s="53" t="e">
        <f t="shared" ca="1" si="105"/>
        <v>#N/A</v>
      </c>
      <c r="GV15" s="53" t="e">
        <f t="shared" ca="1" si="105"/>
        <v>#N/A</v>
      </c>
      <c r="GW15" s="53" t="e">
        <f t="shared" ca="1" si="105"/>
        <v>#N/A</v>
      </c>
      <c r="GX15" s="53" t="e">
        <f t="shared" ca="1" si="105"/>
        <v>#N/A</v>
      </c>
      <c r="GY15" s="53" t="e">
        <f t="shared" ca="1" si="105"/>
        <v>#N/A</v>
      </c>
      <c r="GZ15" s="53" t="e">
        <f t="shared" ca="1" si="105"/>
        <v>#N/A</v>
      </c>
      <c r="HA15" s="53" t="e">
        <f t="shared" ca="1" si="105"/>
        <v>#N/A</v>
      </c>
      <c r="HB15" s="53" t="e">
        <f t="shared" ca="1" si="105"/>
        <v>#N/A</v>
      </c>
      <c r="HC15" s="53" t="e">
        <f t="shared" ca="1" si="105"/>
        <v>#N/A</v>
      </c>
      <c r="HD15" s="53" t="e">
        <f t="shared" ca="1" si="105"/>
        <v>#N/A</v>
      </c>
      <c r="HE15" s="53" t="e">
        <f t="shared" ca="1" si="105"/>
        <v>#N/A</v>
      </c>
      <c r="HF15" s="53" t="e">
        <f t="shared" ca="1" si="105"/>
        <v>#N/A</v>
      </c>
      <c r="HG15" s="53" t="e">
        <f t="shared" ca="1" si="105"/>
        <v>#N/A</v>
      </c>
      <c r="HH15" s="53" t="e">
        <f t="shared" ca="1" si="105"/>
        <v>#N/A</v>
      </c>
      <c r="HI15" s="53" t="e">
        <f t="shared" ca="1" si="105"/>
        <v>#N/A</v>
      </c>
      <c r="HJ15" s="53" t="e">
        <f t="shared" ca="1" si="105"/>
        <v>#N/A</v>
      </c>
      <c r="HK15" s="53" t="e">
        <f t="shared" ca="1" si="105"/>
        <v>#N/A</v>
      </c>
      <c r="HL15" s="53" t="e">
        <f t="shared" ca="1" si="105"/>
        <v>#N/A</v>
      </c>
      <c r="HM15" s="53" t="e">
        <f t="shared" ca="1" si="105"/>
        <v>#N/A</v>
      </c>
      <c r="HN15" s="53" t="e">
        <f t="shared" ca="1" si="105"/>
        <v>#N/A</v>
      </c>
      <c r="HO15" s="53" t="e">
        <f t="shared" ca="1" si="105"/>
        <v>#N/A</v>
      </c>
      <c r="HP15" s="53" t="e">
        <f t="shared" ca="1" si="105"/>
        <v>#N/A</v>
      </c>
      <c r="HQ15" s="53" t="e">
        <f t="shared" ca="1" si="105"/>
        <v>#N/A</v>
      </c>
      <c r="HR15" s="53" t="e">
        <f t="shared" ca="1" si="105"/>
        <v>#N/A</v>
      </c>
      <c r="HS15" s="53" t="e">
        <f t="shared" ca="1" si="105"/>
        <v>#N/A</v>
      </c>
      <c r="HT15" s="53" t="e">
        <f t="shared" ca="1" si="105"/>
        <v>#N/A</v>
      </c>
      <c r="HU15" s="53" t="e">
        <f t="shared" ca="1" si="105"/>
        <v>#N/A</v>
      </c>
      <c r="HV15" s="53" t="e">
        <f t="shared" ca="1" si="105"/>
        <v>#N/A</v>
      </c>
      <c r="HW15" s="53" t="e">
        <f t="shared" ca="1" si="105"/>
        <v>#N/A</v>
      </c>
      <c r="HX15" s="53" t="e">
        <f t="shared" ca="1" si="105"/>
        <v>#N/A</v>
      </c>
      <c r="HY15" s="53" t="e">
        <f t="shared" ca="1" si="105"/>
        <v>#N/A</v>
      </c>
      <c r="HZ15" s="53" t="e">
        <f t="shared" ca="1" si="105"/>
        <v>#N/A</v>
      </c>
      <c r="IA15" s="53" t="e">
        <f t="shared" ca="1" si="105"/>
        <v>#N/A</v>
      </c>
      <c r="IB15" s="53" t="e">
        <f t="shared" ca="1" si="105"/>
        <v>#N/A</v>
      </c>
      <c r="IC15" s="53" t="e">
        <f t="shared" ca="1" si="105"/>
        <v>#N/A</v>
      </c>
      <c r="ID15" s="53" t="e">
        <f t="shared" ca="1" si="105"/>
        <v>#N/A</v>
      </c>
      <c r="IE15" s="53" t="e">
        <f t="shared" ca="1" si="105"/>
        <v>#N/A</v>
      </c>
      <c r="IF15" s="53" t="e">
        <f t="shared" ca="1" si="105"/>
        <v>#N/A</v>
      </c>
      <c r="IG15" s="53" t="e">
        <f t="shared" ca="1" si="105"/>
        <v>#N/A</v>
      </c>
      <c r="IH15" s="53" t="e">
        <f t="shared" ca="1" si="105"/>
        <v>#N/A</v>
      </c>
      <c r="II15" s="53" t="e">
        <f t="shared" ca="1" si="105"/>
        <v>#N/A</v>
      </c>
      <c r="IJ15" s="53" t="e">
        <f t="shared" ca="1" si="105"/>
        <v>#N/A</v>
      </c>
      <c r="IK15" s="53" t="e">
        <f t="shared" ca="1" si="105"/>
        <v>#N/A</v>
      </c>
      <c r="IL15" s="53" t="e">
        <f t="shared" ca="1" si="105"/>
        <v>#N/A</v>
      </c>
      <c r="IM15" s="53" t="e">
        <f t="shared" ca="1" si="105"/>
        <v>#N/A</v>
      </c>
      <c r="IN15" s="53" t="e">
        <f t="shared" ca="1" si="105"/>
        <v>#N/A</v>
      </c>
    </row>
    <row r="16" spans="2:248" x14ac:dyDescent="0.3">
      <c r="B16" s="19" t="s">
        <v>465</v>
      </c>
      <c r="C16" s="21">
        <f>IF(Projections!Z39="",VLOOKUP(B2,Country_Data!C:L,10,FALSE),Projections!Z39)</f>
        <v>4480.4767259999999</v>
      </c>
      <c r="E16" s="93" t="s">
        <v>586</v>
      </c>
      <c r="F16" s="19" t="s">
        <v>570</v>
      </c>
      <c r="G16" s="94">
        <f ca="1">IFERROR(AVERAGE(E14:G14),NA())</f>
        <v>0.4137931034482758</v>
      </c>
      <c r="H16" s="94">
        <f t="shared" ref="G16:O16" ca="1" si="106">IFERROR(AVERAGE(F14:H14),NA())</f>
        <v>0.4137931034482758</v>
      </c>
      <c r="I16" s="94">
        <f t="shared" ca="1" si="106"/>
        <v>0.3878105139130445</v>
      </c>
      <c r="J16" s="94">
        <f t="shared" ca="1" si="106"/>
        <v>0.36047114587337598</v>
      </c>
      <c r="K16" s="94">
        <f t="shared" ca="1" si="106"/>
        <v>0.31946404668985179</v>
      </c>
      <c r="L16" s="94">
        <f t="shared" ca="1" si="106"/>
        <v>0.29768224660644549</v>
      </c>
      <c r="M16" s="94">
        <f ca="1">IFERROR(AVERAGE(K14:M14),NA())</f>
        <v>0.26327479160607559</v>
      </c>
      <c r="N16" s="94">
        <f t="shared" ca="1" si="106"/>
        <v>0.24375103757513239</v>
      </c>
      <c r="O16" s="94">
        <f t="shared" ca="1" si="106"/>
        <v>0.2331445047650933</v>
      </c>
      <c r="P16" s="94">
        <f ca="1">IFERROR(AVERAGE(N14:P14),NA())</f>
        <v>0.25217557109651495</v>
      </c>
      <c r="Q16" s="94">
        <f t="shared" ref="Q16:AC16" ca="1" si="107">IFERROR(AVERAGE(O14:Q14),NA())</f>
        <v>0.26866258743322646</v>
      </c>
      <c r="R16" s="94">
        <f t="shared" ca="1" si="107"/>
        <v>0.26441332233001691</v>
      </c>
      <c r="S16" s="94">
        <f t="shared" ca="1" si="107"/>
        <v>0.24732057987444014</v>
      </c>
      <c r="T16" s="94">
        <f t="shared" ca="1" si="107"/>
        <v>0.23178383810369976</v>
      </c>
      <c r="U16" s="94">
        <f t="shared" ca="1" si="107"/>
        <v>0.20546183737703827</v>
      </c>
      <c r="V16" s="94">
        <f t="shared" ca="1" si="107"/>
        <v>0.19802804215328088</v>
      </c>
      <c r="W16" s="94">
        <f t="shared" ca="1" si="107"/>
        <v>0.21355425404870113</v>
      </c>
      <c r="X16" s="94">
        <f t="shared" ca="1" si="107"/>
        <v>0.24451873664365462</v>
      </c>
      <c r="Y16" s="94">
        <f t="shared" ca="1" si="107"/>
        <v>0.24004499929983139</v>
      </c>
      <c r="Z16" s="94">
        <f t="shared" ca="1" si="107"/>
        <v>0.22812795673188679</v>
      </c>
      <c r="AA16" s="94">
        <f t="shared" ca="1" si="107"/>
        <v>0.20588472190383214</v>
      </c>
      <c r="AB16" s="94">
        <f t="shared" ca="1" si="107"/>
        <v>0.19697532363137316</v>
      </c>
      <c r="AC16" s="94">
        <f t="shared" ca="1" si="107"/>
        <v>0.18187210478289431</v>
      </c>
      <c r="AD16" s="94">
        <f ca="1">IFERROR(AVERAGE(AB14:AD14),NA())</f>
        <v>0.19010082347225934</v>
      </c>
      <c r="AE16" s="94">
        <f ca="1">IFERROR(AVERAGE(AC14:AE14),NA())</f>
        <v>0.19251315772819924</v>
      </c>
      <c r="AF16" s="94" t="e">
        <f t="shared" ref="AE16:CP16" ca="1" si="108">IFERROR(AVERAGE(AD14:AF14),NA())</f>
        <v>#N/A</v>
      </c>
      <c r="AG16" s="94" t="e">
        <f t="shared" ca="1" si="108"/>
        <v>#N/A</v>
      </c>
      <c r="AH16" s="94" t="e">
        <f t="shared" ca="1" si="108"/>
        <v>#N/A</v>
      </c>
      <c r="AI16" s="94" t="e">
        <f t="shared" ca="1" si="108"/>
        <v>#N/A</v>
      </c>
      <c r="AJ16" s="94" t="e">
        <f t="shared" ca="1" si="108"/>
        <v>#N/A</v>
      </c>
      <c r="AK16" s="94" t="e">
        <f t="shared" ca="1" si="108"/>
        <v>#N/A</v>
      </c>
      <c r="AL16" s="94" t="e">
        <f t="shared" ca="1" si="108"/>
        <v>#N/A</v>
      </c>
      <c r="AM16" s="94" t="e">
        <f t="shared" ca="1" si="108"/>
        <v>#N/A</v>
      </c>
      <c r="AN16" s="94" t="e">
        <f t="shared" ca="1" si="108"/>
        <v>#N/A</v>
      </c>
      <c r="AO16" s="94" t="e">
        <f t="shared" ca="1" si="108"/>
        <v>#N/A</v>
      </c>
      <c r="AP16" s="94" t="e">
        <f t="shared" ca="1" si="108"/>
        <v>#N/A</v>
      </c>
      <c r="AQ16" s="94" t="e">
        <f t="shared" ca="1" si="108"/>
        <v>#N/A</v>
      </c>
      <c r="AR16" s="94" t="e">
        <f t="shared" ca="1" si="108"/>
        <v>#N/A</v>
      </c>
      <c r="AS16" s="94" t="e">
        <f t="shared" ca="1" si="108"/>
        <v>#N/A</v>
      </c>
      <c r="AT16" s="94" t="e">
        <f t="shared" ca="1" si="108"/>
        <v>#N/A</v>
      </c>
      <c r="AU16" s="94" t="e">
        <f t="shared" ca="1" si="108"/>
        <v>#N/A</v>
      </c>
      <c r="AV16" s="94" t="e">
        <f t="shared" ca="1" si="108"/>
        <v>#N/A</v>
      </c>
      <c r="AW16" s="94" t="e">
        <f t="shared" ca="1" si="108"/>
        <v>#N/A</v>
      </c>
      <c r="AX16" s="94" t="e">
        <f t="shared" ca="1" si="108"/>
        <v>#N/A</v>
      </c>
      <c r="AY16" s="94" t="e">
        <f t="shared" ca="1" si="108"/>
        <v>#N/A</v>
      </c>
      <c r="AZ16" s="94" t="e">
        <f t="shared" ca="1" si="108"/>
        <v>#N/A</v>
      </c>
      <c r="BA16" s="94" t="e">
        <f t="shared" ca="1" si="108"/>
        <v>#N/A</v>
      </c>
      <c r="BB16" s="94" t="e">
        <f t="shared" ca="1" si="108"/>
        <v>#N/A</v>
      </c>
      <c r="BC16" s="94" t="e">
        <f t="shared" ca="1" si="108"/>
        <v>#N/A</v>
      </c>
      <c r="BD16" s="94" t="e">
        <f t="shared" ca="1" si="108"/>
        <v>#N/A</v>
      </c>
      <c r="BE16" s="94" t="e">
        <f t="shared" ca="1" si="108"/>
        <v>#N/A</v>
      </c>
      <c r="BF16" s="94" t="e">
        <f t="shared" ca="1" si="108"/>
        <v>#N/A</v>
      </c>
      <c r="BG16" s="94" t="e">
        <f t="shared" ca="1" si="108"/>
        <v>#N/A</v>
      </c>
      <c r="BH16" s="94" t="e">
        <f t="shared" ca="1" si="108"/>
        <v>#N/A</v>
      </c>
      <c r="BI16" s="94" t="e">
        <f t="shared" ca="1" si="108"/>
        <v>#N/A</v>
      </c>
      <c r="BJ16" s="94" t="e">
        <f t="shared" ca="1" si="108"/>
        <v>#N/A</v>
      </c>
      <c r="BK16" s="94" t="e">
        <f t="shared" ca="1" si="108"/>
        <v>#N/A</v>
      </c>
      <c r="BL16" s="94" t="e">
        <f t="shared" ca="1" si="108"/>
        <v>#N/A</v>
      </c>
      <c r="BM16" s="94" t="e">
        <f t="shared" ca="1" si="108"/>
        <v>#N/A</v>
      </c>
      <c r="BN16" s="94" t="e">
        <f t="shared" ca="1" si="108"/>
        <v>#N/A</v>
      </c>
      <c r="BO16" s="94" t="e">
        <f t="shared" ca="1" si="108"/>
        <v>#N/A</v>
      </c>
      <c r="BP16" s="94" t="e">
        <f t="shared" ca="1" si="108"/>
        <v>#N/A</v>
      </c>
      <c r="BQ16" s="94" t="e">
        <f t="shared" ca="1" si="108"/>
        <v>#N/A</v>
      </c>
      <c r="BR16" s="94" t="e">
        <f t="shared" ca="1" si="108"/>
        <v>#N/A</v>
      </c>
      <c r="BS16" s="94" t="e">
        <f t="shared" ca="1" si="108"/>
        <v>#N/A</v>
      </c>
      <c r="BT16" s="94" t="e">
        <f t="shared" ca="1" si="108"/>
        <v>#N/A</v>
      </c>
      <c r="BU16" s="94" t="e">
        <f t="shared" ca="1" si="108"/>
        <v>#N/A</v>
      </c>
      <c r="BV16" s="94" t="e">
        <f t="shared" ca="1" si="108"/>
        <v>#N/A</v>
      </c>
      <c r="BW16" s="94" t="e">
        <f t="shared" ca="1" si="108"/>
        <v>#N/A</v>
      </c>
      <c r="BX16" s="94" t="e">
        <f t="shared" ca="1" si="108"/>
        <v>#N/A</v>
      </c>
      <c r="BY16" s="94" t="e">
        <f t="shared" ca="1" si="108"/>
        <v>#N/A</v>
      </c>
      <c r="BZ16" s="94" t="e">
        <f t="shared" ca="1" si="108"/>
        <v>#N/A</v>
      </c>
      <c r="CA16" s="94" t="e">
        <f t="shared" ca="1" si="108"/>
        <v>#N/A</v>
      </c>
      <c r="CB16" s="94" t="e">
        <f t="shared" ca="1" si="108"/>
        <v>#N/A</v>
      </c>
      <c r="CC16" s="94" t="e">
        <f t="shared" ca="1" si="108"/>
        <v>#N/A</v>
      </c>
      <c r="CD16" s="94" t="e">
        <f t="shared" ca="1" si="108"/>
        <v>#N/A</v>
      </c>
      <c r="CE16" s="94" t="e">
        <f t="shared" ca="1" si="108"/>
        <v>#N/A</v>
      </c>
      <c r="CF16" s="94" t="e">
        <f t="shared" ca="1" si="108"/>
        <v>#N/A</v>
      </c>
      <c r="CG16" s="94" t="e">
        <f t="shared" ca="1" si="108"/>
        <v>#N/A</v>
      </c>
      <c r="CH16" s="94" t="e">
        <f t="shared" ca="1" si="108"/>
        <v>#N/A</v>
      </c>
      <c r="CI16" s="94" t="e">
        <f t="shared" ca="1" si="108"/>
        <v>#N/A</v>
      </c>
      <c r="CJ16" s="94" t="e">
        <f t="shared" ca="1" si="108"/>
        <v>#N/A</v>
      </c>
      <c r="CK16" s="94" t="e">
        <f t="shared" ca="1" si="108"/>
        <v>#N/A</v>
      </c>
      <c r="CL16" s="94" t="e">
        <f t="shared" ca="1" si="108"/>
        <v>#N/A</v>
      </c>
      <c r="CM16" s="94" t="e">
        <f t="shared" ca="1" si="108"/>
        <v>#N/A</v>
      </c>
      <c r="CN16" s="94" t="e">
        <f t="shared" ca="1" si="108"/>
        <v>#N/A</v>
      </c>
      <c r="CO16" s="94" t="e">
        <f t="shared" ca="1" si="108"/>
        <v>#N/A</v>
      </c>
      <c r="CP16" s="94" t="e">
        <f t="shared" ca="1" si="108"/>
        <v>#N/A</v>
      </c>
      <c r="CQ16" s="94" t="e">
        <f t="shared" ref="CQ16:FB16" ca="1" si="109">IFERROR(AVERAGE(CO14:CQ14),NA())</f>
        <v>#N/A</v>
      </c>
      <c r="CR16" s="94" t="e">
        <f t="shared" ca="1" si="109"/>
        <v>#N/A</v>
      </c>
      <c r="CS16" s="94" t="e">
        <f t="shared" ca="1" si="109"/>
        <v>#N/A</v>
      </c>
      <c r="CT16" s="94" t="e">
        <f t="shared" ca="1" si="109"/>
        <v>#N/A</v>
      </c>
      <c r="CU16" s="94" t="e">
        <f t="shared" ca="1" si="109"/>
        <v>#N/A</v>
      </c>
      <c r="CV16" s="94" t="e">
        <f t="shared" ca="1" si="109"/>
        <v>#N/A</v>
      </c>
      <c r="CW16" s="94" t="e">
        <f t="shared" ca="1" si="109"/>
        <v>#N/A</v>
      </c>
      <c r="CX16" s="94" t="e">
        <f t="shared" ca="1" si="109"/>
        <v>#N/A</v>
      </c>
      <c r="CY16" s="94" t="e">
        <f t="shared" ca="1" si="109"/>
        <v>#N/A</v>
      </c>
      <c r="CZ16" s="94" t="e">
        <f t="shared" ca="1" si="109"/>
        <v>#N/A</v>
      </c>
      <c r="DA16" s="94" t="e">
        <f t="shared" ca="1" si="109"/>
        <v>#N/A</v>
      </c>
      <c r="DB16" s="94" t="e">
        <f t="shared" ca="1" si="109"/>
        <v>#N/A</v>
      </c>
      <c r="DC16" s="94" t="e">
        <f t="shared" ca="1" si="109"/>
        <v>#N/A</v>
      </c>
      <c r="DD16" s="94" t="e">
        <f t="shared" ca="1" si="109"/>
        <v>#N/A</v>
      </c>
      <c r="DE16" s="94" t="e">
        <f t="shared" ca="1" si="109"/>
        <v>#N/A</v>
      </c>
      <c r="DF16" s="94" t="e">
        <f t="shared" ca="1" si="109"/>
        <v>#N/A</v>
      </c>
      <c r="DG16" s="94" t="e">
        <f t="shared" ca="1" si="109"/>
        <v>#N/A</v>
      </c>
      <c r="DH16" s="94" t="e">
        <f t="shared" ca="1" si="109"/>
        <v>#N/A</v>
      </c>
      <c r="DI16" s="94" t="e">
        <f t="shared" ca="1" si="109"/>
        <v>#N/A</v>
      </c>
      <c r="DJ16" s="94" t="e">
        <f t="shared" ca="1" si="109"/>
        <v>#N/A</v>
      </c>
      <c r="DK16" s="94" t="e">
        <f t="shared" ca="1" si="109"/>
        <v>#N/A</v>
      </c>
      <c r="DL16" s="94" t="e">
        <f t="shared" ca="1" si="109"/>
        <v>#N/A</v>
      </c>
      <c r="DM16" s="94" t="e">
        <f t="shared" ca="1" si="109"/>
        <v>#N/A</v>
      </c>
      <c r="DN16" s="94" t="e">
        <f t="shared" ca="1" si="109"/>
        <v>#N/A</v>
      </c>
      <c r="DO16" s="94" t="e">
        <f t="shared" ca="1" si="109"/>
        <v>#N/A</v>
      </c>
      <c r="DP16" s="94" t="e">
        <f t="shared" ca="1" si="109"/>
        <v>#N/A</v>
      </c>
      <c r="DQ16" s="94" t="e">
        <f t="shared" ca="1" si="109"/>
        <v>#N/A</v>
      </c>
      <c r="DR16" s="94" t="e">
        <f t="shared" ca="1" si="109"/>
        <v>#N/A</v>
      </c>
      <c r="DS16" s="94" t="e">
        <f t="shared" ca="1" si="109"/>
        <v>#N/A</v>
      </c>
      <c r="DT16" s="94" t="e">
        <f t="shared" ca="1" si="109"/>
        <v>#N/A</v>
      </c>
      <c r="DU16" s="94" t="e">
        <f t="shared" ca="1" si="109"/>
        <v>#N/A</v>
      </c>
      <c r="DV16" s="94" t="e">
        <f t="shared" ca="1" si="109"/>
        <v>#N/A</v>
      </c>
      <c r="DW16" s="94" t="e">
        <f t="shared" ca="1" si="109"/>
        <v>#N/A</v>
      </c>
      <c r="DX16" s="94" t="e">
        <f t="shared" ca="1" si="109"/>
        <v>#N/A</v>
      </c>
      <c r="DY16" s="94" t="e">
        <f t="shared" ca="1" si="109"/>
        <v>#N/A</v>
      </c>
      <c r="DZ16" s="94" t="e">
        <f t="shared" ca="1" si="109"/>
        <v>#N/A</v>
      </c>
      <c r="EA16" s="94" t="e">
        <f t="shared" ca="1" si="109"/>
        <v>#N/A</v>
      </c>
      <c r="EB16" s="94" t="e">
        <f t="shared" ca="1" si="109"/>
        <v>#N/A</v>
      </c>
      <c r="EC16" s="94" t="e">
        <f t="shared" ca="1" si="109"/>
        <v>#N/A</v>
      </c>
      <c r="ED16" s="94" t="e">
        <f t="shared" ca="1" si="109"/>
        <v>#N/A</v>
      </c>
      <c r="EE16" s="94" t="e">
        <f t="shared" ca="1" si="109"/>
        <v>#N/A</v>
      </c>
      <c r="EF16" s="94" t="e">
        <f t="shared" ca="1" si="109"/>
        <v>#N/A</v>
      </c>
      <c r="EG16" s="94" t="e">
        <f t="shared" ca="1" si="109"/>
        <v>#N/A</v>
      </c>
      <c r="EH16" s="94" t="e">
        <f t="shared" ca="1" si="109"/>
        <v>#N/A</v>
      </c>
      <c r="EI16" s="94" t="e">
        <f t="shared" ca="1" si="109"/>
        <v>#N/A</v>
      </c>
      <c r="EJ16" s="94" t="e">
        <f t="shared" ca="1" si="109"/>
        <v>#N/A</v>
      </c>
      <c r="EK16" s="94" t="e">
        <f t="shared" ca="1" si="109"/>
        <v>#N/A</v>
      </c>
      <c r="EL16" s="94" t="e">
        <f t="shared" ca="1" si="109"/>
        <v>#N/A</v>
      </c>
      <c r="EM16" s="94" t="e">
        <f t="shared" ca="1" si="109"/>
        <v>#N/A</v>
      </c>
      <c r="EN16" s="94" t="e">
        <f t="shared" ca="1" si="109"/>
        <v>#N/A</v>
      </c>
      <c r="EO16" s="94" t="e">
        <f t="shared" ca="1" si="109"/>
        <v>#N/A</v>
      </c>
      <c r="EP16" s="94" t="e">
        <f t="shared" ca="1" si="109"/>
        <v>#N/A</v>
      </c>
      <c r="EQ16" s="94" t="e">
        <f t="shared" ca="1" si="109"/>
        <v>#N/A</v>
      </c>
      <c r="ER16" s="94" t="e">
        <f t="shared" ca="1" si="109"/>
        <v>#N/A</v>
      </c>
      <c r="ES16" s="94" t="e">
        <f t="shared" ca="1" si="109"/>
        <v>#N/A</v>
      </c>
      <c r="ET16" s="94" t="e">
        <f t="shared" ca="1" si="109"/>
        <v>#N/A</v>
      </c>
      <c r="EU16" s="94" t="e">
        <f t="shared" ca="1" si="109"/>
        <v>#N/A</v>
      </c>
      <c r="EV16" s="94" t="e">
        <f t="shared" ca="1" si="109"/>
        <v>#N/A</v>
      </c>
      <c r="EW16" s="94" t="e">
        <f t="shared" ca="1" si="109"/>
        <v>#N/A</v>
      </c>
      <c r="EX16" s="94" t="e">
        <f t="shared" ca="1" si="109"/>
        <v>#N/A</v>
      </c>
      <c r="EY16" s="94" t="e">
        <f t="shared" ca="1" si="109"/>
        <v>#N/A</v>
      </c>
      <c r="EZ16" s="94" t="e">
        <f t="shared" ca="1" si="109"/>
        <v>#N/A</v>
      </c>
      <c r="FA16" s="94" t="e">
        <f t="shared" ca="1" si="109"/>
        <v>#N/A</v>
      </c>
      <c r="FB16" s="94" t="e">
        <f t="shared" ca="1" si="109"/>
        <v>#N/A</v>
      </c>
      <c r="FC16" s="94" t="e">
        <f t="shared" ref="FC16:HN16" ca="1" si="110">IFERROR(AVERAGE(FA14:FC14),NA())</f>
        <v>#N/A</v>
      </c>
      <c r="FD16" s="94" t="e">
        <f t="shared" ca="1" si="110"/>
        <v>#N/A</v>
      </c>
      <c r="FE16" s="94" t="e">
        <f t="shared" ca="1" si="110"/>
        <v>#N/A</v>
      </c>
      <c r="FF16" s="94" t="e">
        <f t="shared" ca="1" si="110"/>
        <v>#N/A</v>
      </c>
      <c r="FG16" s="94" t="e">
        <f t="shared" ca="1" si="110"/>
        <v>#N/A</v>
      </c>
      <c r="FH16" s="94" t="e">
        <f t="shared" ca="1" si="110"/>
        <v>#N/A</v>
      </c>
      <c r="FI16" s="94" t="e">
        <f t="shared" ca="1" si="110"/>
        <v>#N/A</v>
      </c>
      <c r="FJ16" s="94" t="e">
        <f t="shared" ca="1" si="110"/>
        <v>#N/A</v>
      </c>
      <c r="FK16" s="94" t="e">
        <f t="shared" ca="1" si="110"/>
        <v>#N/A</v>
      </c>
      <c r="FL16" s="94" t="e">
        <f t="shared" ca="1" si="110"/>
        <v>#N/A</v>
      </c>
      <c r="FM16" s="94" t="e">
        <f t="shared" ca="1" si="110"/>
        <v>#N/A</v>
      </c>
      <c r="FN16" s="94" t="e">
        <f t="shared" ca="1" si="110"/>
        <v>#N/A</v>
      </c>
      <c r="FO16" s="94" t="e">
        <f t="shared" ca="1" si="110"/>
        <v>#N/A</v>
      </c>
      <c r="FP16" s="94" t="e">
        <f t="shared" ca="1" si="110"/>
        <v>#N/A</v>
      </c>
      <c r="FQ16" s="94" t="e">
        <f t="shared" ca="1" si="110"/>
        <v>#N/A</v>
      </c>
      <c r="FR16" s="94" t="e">
        <f t="shared" ca="1" si="110"/>
        <v>#N/A</v>
      </c>
      <c r="FS16" s="94" t="e">
        <f t="shared" ca="1" si="110"/>
        <v>#N/A</v>
      </c>
      <c r="FT16" s="94" t="e">
        <f t="shared" ca="1" si="110"/>
        <v>#N/A</v>
      </c>
      <c r="FU16" s="94" t="e">
        <f t="shared" ca="1" si="110"/>
        <v>#N/A</v>
      </c>
      <c r="FV16" s="94" t="e">
        <f t="shared" ca="1" si="110"/>
        <v>#N/A</v>
      </c>
      <c r="FW16" s="94" t="e">
        <f t="shared" ca="1" si="110"/>
        <v>#N/A</v>
      </c>
      <c r="FX16" s="94" t="e">
        <f t="shared" ca="1" si="110"/>
        <v>#N/A</v>
      </c>
      <c r="FY16" s="94" t="e">
        <f t="shared" ca="1" si="110"/>
        <v>#N/A</v>
      </c>
      <c r="FZ16" s="94" t="e">
        <f t="shared" ca="1" si="110"/>
        <v>#N/A</v>
      </c>
      <c r="GA16" s="94" t="e">
        <f t="shared" ca="1" si="110"/>
        <v>#N/A</v>
      </c>
      <c r="GB16" s="94" t="e">
        <f t="shared" ca="1" si="110"/>
        <v>#N/A</v>
      </c>
      <c r="GC16" s="94" t="e">
        <f t="shared" ca="1" si="110"/>
        <v>#N/A</v>
      </c>
      <c r="GD16" s="94" t="e">
        <f t="shared" ca="1" si="110"/>
        <v>#N/A</v>
      </c>
      <c r="GE16" s="94" t="e">
        <f t="shared" ca="1" si="110"/>
        <v>#N/A</v>
      </c>
      <c r="GF16" s="94" t="e">
        <f t="shared" ca="1" si="110"/>
        <v>#N/A</v>
      </c>
      <c r="GG16" s="94" t="e">
        <f t="shared" ca="1" si="110"/>
        <v>#N/A</v>
      </c>
      <c r="GH16" s="94" t="e">
        <f t="shared" ca="1" si="110"/>
        <v>#N/A</v>
      </c>
      <c r="GI16" s="94" t="e">
        <f t="shared" ca="1" si="110"/>
        <v>#N/A</v>
      </c>
      <c r="GJ16" s="94" t="e">
        <f t="shared" ca="1" si="110"/>
        <v>#N/A</v>
      </c>
      <c r="GK16" s="94" t="e">
        <f t="shared" ca="1" si="110"/>
        <v>#N/A</v>
      </c>
      <c r="GL16" s="94" t="e">
        <f t="shared" ca="1" si="110"/>
        <v>#N/A</v>
      </c>
      <c r="GM16" s="94" t="e">
        <f t="shared" ca="1" si="110"/>
        <v>#N/A</v>
      </c>
      <c r="GN16" s="94" t="e">
        <f t="shared" ca="1" si="110"/>
        <v>#N/A</v>
      </c>
      <c r="GO16" s="94" t="e">
        <f t="shared" ca="1" si="110"/>
        <v>#N/A</v>
      </c>
      <c r="GP16" s="94" t="e">
        <f t="shared" ca="1" si="110"/>
        <v>#N/A</v>
      </c>
      <c r="GQ16" s="94" t="e">
        <f t="shared" ca="1" si="110"/>
        <v>#N/A</v>
      </c>
      <c r="GR16" s="94" t="e">
        <f t="shared" ca="1" si="110"/>
        <v>#N/A</v>
      </c>
      <c r="GS16" s="94" t="e">
        <f t="shared" ca="1" si="110"/>
        <v>#N/A</v>
      </c>
      <c r="GT16" s="94" t="e">
        <f t="shared" ca="1" si="110"/>
        <v>#N/A</v>
      </c>
      <c r="GU16" s="94" t="e">
        <f t="shared" ca="1" si="110"/>
        <v>#N/A</v>
      </c>
      <c r="GV16" s="94" t="e">
        <f t="shared" ca="1" si="110"/>
        <v>#N/A</v>
      </c>
      <c r="GW16" s="94" t="e">
        <f t="shared" ca="1" si="110"/>
        <v>#N/A</v>
      </c>
      <c r="GX16" s="94" t="e">
        <f t="shared" ca="1" si="110"/>
        <v>#N/A</v>
      </c>
      <c r="GY16" s="94" t="e">
        <f t="shared" ca="1" si="110"/>
        <v>#N/A</v>
      </c>
      <c r="GZ16" s="94" t="e">
        <f t="shared" ca="1" si="110"/>
        <v>#N/A</v>
      </c>
      <c r="HA16" s="94" t="e">
        <f t="shared" ca="1" si="110"/>
        <v>#N/A</v>
      </c>
      <c r="HB16" s="94" t="e">
        <f t="shared" ca="1" si="110"/>
        <v>#N/A</v>
      </c>
      <c r="HC16" s="94" t="e">
        <f t="shared" ca="1" si="110"/>
        <v>#N/A</v>
      </c>
      <c r="HD16" s="94" t="e">
        <f t="shared" ca="1" si="110"/>
        <v>#N/A</v>
      </c>
      <c r="HE16" s="94" t="e">
        <f t="shared" ca="1" si="110"/>
        <v>#N/A</v>
      </c>
      <c r="HF16" s="94" t="e">
        <f t="shared" ca="1" si="110"/>
        <v>#N/A</v>
      </c>
      <c r="HG16" s="94" t="e">
        <f t="shared" ca="1" si="110"/>
        <v>#N/A</v>
      </c>
      <c r="HH16" s="94" t="e">
        <f t="shared" ca="1" si="110"/>
        <v>#N/A</v>
      </c>
      <c r="HI16" s="94" t="e">
        <f t="shared" ca="1" si="110"/>
        <v>#N/A</v>
      </c>
      <c r="HJ16" s="94" t="e">
        <f t="shared" ca="1" si="110"/>
        <v>#N/A</v>
      </c>
      <c r="HK16" s="94" t="e">
        <f t="shared" ca="1" si="110"/>
        <v>#N/A</v>
      </c>
      <c r="HL16" s="94" t="e">
        <f t="shared" ca="1" si="110"/>
        <v>#N/A</v>
      </c>
      <c r="HM16" s="94" t="e">
        <f t="shared" ca="1" si="110"/>
        <v>#N/A</v>
      </c>
      <c r="HN16" s="94" t="e">
        <f t="shared" ca="1" si="110"/>
        <v>#N/A</v>
      </c>
      <c r="HO16" s="94" t="e">
        <f t="shared" ref="HO16:IN16" ca="1" si="111">IFERROR(AVERAGE(HM14:HO14),NA())</f>
        <v>#N/A</v>
      </c>
      <c r="HP16" s="94" t="e">
        <f t="shared" ca="1" si="111"/>
        <v>#N/A</v>
      </c>
      <c r="HQ16" s="94" t="e">
        <f t="shared" ca="1" si="111"/>
        <v>#N/A</v>
      </c>
      <c r="HR16" s="94" t="e">
        <f t="shared" ca="1" si="111"/>
        <v>#N/A</v>
      </c>
      <c r="HS16" s="94" t="e">
        <f t="shared" ca="1" si="111"/>
        <v>#N/A</v>
      </c>
      <c r="HT16" s="94" t="e">
        <f t="shared" ca="1" si="111"/>
        <v>#N/A</v>
      </c>
      <c r="HU16" s="94" t="e">
        <f t="shared" ca="1" si="111"/>
        <v>#N/A</v>
      </c>
      <c r="HV16" s="94" t="e">
        <f t="shared" ca="1" si="111"/>
        <v>#N/A</v>
      </c>
      <c r="HW16" s="94" t="e">
        <f t="shared" ca="1" si="111"/>
        <v>#N/A</v>
      </c>
      <c r="HX16" s="94" t="e">
        <f t="shared" ca="1" si="111"/>
        <v>#N/A</v>
      </c>
      <c r="HY16" s="94" t="e">
        <f t="shared" ca="1" si="111"/>
        <v>#N/A</v>
      </c>
      <c r="HZ16" s="94" t="e">
        <f t="shared" ca="1" si="111"/>
        <v>#N/A</v>
      </c>
      <c r="IA16" s="94" t="e">
        <f t="shared" ca="1" si="111"/>
        <v>#N/A</v>
      </c>
      <c r="IB16" s="94" t="e">
        <f t="shared" ca="1" si="111"/>
        <v>#N/A</v>
      </c>
      <c r="IC16" s="94" t="e">
        <f t="shared" ca="1" si="111"/>
        <v>#N/A</v>
      </c>
      <c r="ID16" s="94" t="e">
        <f t="shared" ca="1" si="111"/>
        <v>#N/A</v>
      </c>
      <c r="IE16" s="94" t="e">
        <f t="shared" ca="1" si="111"/>
        <v>#N/A</v>
      </c>
      <c r="IF16" s="94" t="e">
        <f t="shared" ca="1" si="111"/>
        <v>#N/A</v>
      </c>
      <c r="IG16" s="94" t="e">
        <f t="shared" ca="1" si="111"/>
        <v>#N/A</v>
      </c>
      <c r="IH16" s="94" t="e">
        <f t="shared" ca="1" si="111"/>
        <v>#N/A</v>
      </c>
      <c r="II16" s="94" t="e">
        <f t="shared" ca="1" si="111"/>
        <v>#N/A</v>
      </c>
      <c r="IJ16" s="94" t="e">
        <f t="shared" ca="1" si="111"/>
        <v>#N/A</v>
      </c>
      <c r="IK16" s="94" t="e">
        <f t="shared" ca="1" si="111"/>
        <v>#N/A</v>
      </c>
      <c r="IL16" s="94" t="e">
        <f t="shared" ca="1" si="111"/>
        <v>#N/A</v>
      </c>
      <c r="IM16" s="94" t="e">
        <f t="shared" ca="1" si="111"/>
        <v>#N/A</v>
      </c>
      <c r="IN16" s="94" t="e">
        <f t="shared" ca="1" si="111"/>
        <v>#N/A</v>
      </c>
    </row>
    <row r="17" spans="2:248" x14ac:dyDescent="0.3">
      <c r="B17" s="19" t="s">
        <v>497</v>
      </c>
      <c r="C17" s="23">
        <v>2.5000000000000001E-2</v>
      </c>
      <c r="E17" s="93" t="s">
        <v>586</v>
      </c>
      <c r="F17" s="19" t="s">
        <v>569</v>
      </c>
      <c r="G17" s="94" t="e">
        <f t="shared" ref="G17:AC17" ca="1" si="112">IFERROR(AVERAGE(E15:G15),NA())</f>
        <v>#N/A</v>
      </c>
      <c r="H17" s="94" t="e">
        <f t="shared" ca="1" si="112"/>
        <v>#N/A</v>
      </c>
      <c r="I17" s="94" t="e">
        <f t="shared" ca="1" si="112"/>
        <v>#N/A</v>
      </c>
      <c r="J17" s="94" t="e">
        <f t="shared" ca="1" si="112"/>
        <v>#N/A</v>
      </c>
      <c r="K17" s="94" t="e">
        <f t="shared" ca="1" si="112"/>
        <v>#N/A</v>
      </c>
      <c r="L17" s="94" t="e">
        <f t="shared" ca="1" si="112"/>
        <v>#N/A</v>
      </c>
      <c r="M17" s="94" t="e">
        <f t="shared" ca="1" si="112"/>
        <v>#N/A</v>
      </c>
      <c r="N17" s="94" t="e">
        <f t="shared" ca="1" si="112"/>
        <v>#N/A</v>
      </c>
      <c r="O17" s="94" t="e">
        <f t="shared" ca="1" si="112"/>
        <v>#N/A</v>
      </c>
      <c r="P17" s="94">
        <f t="shared" ca="1" si="112"/>
        <v>0.26735534271547262</v>
      </c>
      <c r="Q17" s="94">
        <f t="shared" ca="1" si="112"/>
        <v>0.33277327746865226</v>
      </c>
      <c r="R17" s="94">
        <f t="shared" ca="1" si="112"/>
        <v>0.43382968468155042</v>
      </c>
      <c r="S17" s="94">
        <f t="shared" ca="1" si="112"/>
        <v>0.46733091080649847</v>
      </c>
      <c r="T17" s="94">
        <f t="shared" ca="1" si="112"/>
        <v>0.50765076945859167</v>
      </c>
      <c r="U17" s="94">
        <f t="shared" ca="1" si="112"/>
        <v>0.50147402712824307</v>
      </c>
      <c r="V17" s="94">
        <f t="shared" ca="1" si="112"/>
        <v>0.46962812331465204</v>
      </c>
      <c r="W17" s="94">
        <f t="shared" ca="1" si="112"/>
        <v>0.39091843509148977</v>
      </c>
      <c r="X17" s="94">
        <f t="shared" ca="1" si="112"/>
        <v>0.34438552075470646</v>
      </c>
      <c r="Y17" s="94">
        <f t="shared" ca="1" si="112"/>
        <v>0.30435355830565669</v>
      </c>
      <c r="Z17" s="94">
        <f t="shared" ca="1" si="112"/>
        <v>0.27769234266814796</v>
      </c>
      <c r="AA17" s="94">
        <f t="shared" ca="1" si="112"/>
        <v>0.24256186668586807</v>
      </c>
      <c r="AB17" s="94">
        <f t="shared" ca="1" si="112"/>
        <v>0.22080586879509215</v>
      </c>
      <c r="AC17" s="94">
        <f t="shared" ca="1" si="112"/>
        <v>0.2103147203517183</v>
      </c>
      <c r="AD17" s="94">
        <f ca="1">IFERROR(AVERAGE(AB15:AD15),NA())</f>
        <v>0.22253969434096987</v>
      </c>
      <c r="AE17" s="94">
        <f t="shared" ref="AE17:CP17" ca="1" si="113">IFERROR(AVERAGE(AC15:AE15),NA())</f>
        <v>0.23557806769141809</v>
      </c>
      <c r="AF17" s="94" t="e">
        <f t="shared" ca="1" si="113"/>
        <v>#N/A</v>
      </c>
      <c r="AG17" s="94" t="e">
        <f t="shared" ca="1" si="113"/>
        <v>#N/A</v>
      </c>
      <c r="AH17" s="94" t="e">
        <f t="shared" ca="1" si="113"/>
        <v>#N/A</v>
      </c>
      <c r="AI17" s="94" t="e">
        <f t="shared" ca="1" si="113"/>
        <v>#N/A</v>
      </c>
      <c r="AJ17" s="94" t="e">
        <f t="shared" ca="1" si="113"/>
        <v>#N/A</v>
      </c>
      <c r="AK17" s="94" t="e">
        <f t="shared" ca="1" si="113"/>
        <v>#N/A</v>
      </c>
      <c r="AL17" s="94" t="e">
        <f t="shared" ca="1" si="113"/>
        <v>#N/A</v>
      </c>
      <c r="AM17" s="94" t="e">
        <f t="shared" ca="1" si="113"/>
        <v>#N/A</v>
      </c>
      <c r="AN17" s="94" t="e">
        <f t="shared" ca="1" si="113"/>
        <v>#N/A</v>
      </c>
      <c r="AO17" s="94" t="e">
        <f t="shared" ca="1" si="113"/>
        <v>#N/A</v>
      </c>
      <c r="AP17" s="94" t="e">
        <f t="shared" ca="1" si="113"/>
        <v>#N/A</v>
      </c>
      <c r="AQ17" s="94" t="e">
        <f t="shared" ca="1" si="113"/>
        <v>#N/A</v>
      </c>
      <c r="AR17" s="94" t="e">
        <f t="shared" ca="1" si="113"/>
        <v>#N/A</v>
      </c>
      <c r="AS17" s="94" t="e">
        <f t="shared" ca="1" si="113"/>
        <v>#N/A</v>
      </c>
      <c r="AT17" s="94" t="e">
        <f t="shared" ca="1" si="113"/>
        <v>#N/A</v>
      </c>
      <c r="AU17" s="94" t="e">
        <f t="shared" ca="1" si="113"/>
        <v>#N/A</v>
      </c>
      <c r="AV17" s="94" t="e">
        <f t="shared" ca="1" si="113"/>
        <v>#N/A</v>
      </c>
      <c r="AW17" s="94" t="e">
        <f t="shared" ca="1" si="113"/>
        <v>#N/A</v>
      </c>
      <c r="AX17" s="94" t="e">
        <f t="shared" ca="1" si="113"/>
        <v>#N/A</v>
      </c>
      <c r="AY17" s="94" t="e">
        <f t="shared" ca="1" si="113"/>
        <v>#N/A</v>
      </c>
      <c r="AZ17" s="94" t="e">
        <f t="shared" ca="1" si="113"/>
        <v>#N/A</v>
      </c>
      <c r="BA17" s="94" t="e">
        <f t="shared" ca="1" si="113"/>
        <v>#N/A</v>
      </c>
      <c r="BB17" s="94" t="e">
        <f t="shared" ca="1" si="113"/>
        <v>#N/A</v>
      </c>
      <c r="BC17" s="94" t="e">
        <f t="shared" ca="1" si="113"/>
        <v>#N/A</v>
      </c>
      <c r="BD17" s="94" t="e">
        <f t="shared" ca="1" si="113"/>
        <v>#N/A</v>
      </c>
      <c r="BE17" s="94" t="e">
        <f t="shared" ca="1" si="113"/>
        <v>#N/A</v>
      </c>
      <c r="BF17" s="94" t="e">
        <f t="shared" ca="1" si="113"/>
        <v>#N/A</v>
      </c>
      <c r="BG17" s="94" t="e">
        <f t="shared" ca="1" si="113"/>
        <v>#N/A</v>
      </c>
      <c r="BH17" s="94" t="e">
        <f t="shared" ca="1" si="113"/>
        <v>#N/A</v>
      </c>
      <c r="BI17" s="94" t="e">
        <f t="shared" ca="1" si="113"/>
        <v>#N/A</v>
      </c>
      <c r="BJ17" s="94" t="e">
        <f t="shared" ca="1" si="113"/>
        <v>#N/A</v>
      </c>
      <c r="BK17" s="94" t="e">
        <f t="shared" ca="1" si="113"/>
        <v>#N/A</v>
      </c>
      <c r="BL17" s="94" t="e">
        <f t="shared" ca="1" si="113"/>
        <v>#N/A</v>
      </c>
      <c r="BM17" s="94" t="e">
        <f t="shared" ca="1" si="113"/>
        <v>#N/A</v>
      </c>
      <c r="BN17" s="94" t="e">
        <f t="shared" ca="1" si="113"/>
        <v>#N/A</v>
      </c>
      <c r="BO17" s="94" t="e">
        <f t="shared" ca="1" si="113"/>
        <v>#N/A</v>
      </c>
      <c r="BP17" s="94" t="e">
        <f t="shared" ca="1" si="113"/>
        <v>#N/A</v>
      </c>
      <c r="BQ17" s="94" t="e">
        <f t="shared" ca="1" si="113"/>
        <v>#N/A</v>
      </c>
      <c r="BR17" s="94" t="e">
        <f t="shared" ca="1" si="113"/>
        <v>#N/A</v>
      </c>
      <c r="BS17" s="94" t="e">
        <f t="shared" ca="1" si="113"/>
        <v>#N/A</v>
      </c>
      <c r="BT17" s="94" t="e">
        <f t="shared" ca="1" si="113"/>
        <v>#N/A</v>
      </c>
      <c r="BU17" s="94" t="e">
        <f t="shared" ca="1" si="113"/>
        <v>#N/A</v>
      </c>
      <c r="BV17" s="94" t="e">
        <f t="shared" ca="1" si="113"/>
        <v>#N/A</v>
      </c>
      <c r="BW17" s="94" t="e">
        <f t="shared" ca="1" si="113"/>
        <v>#N/A</v>
      </c>
      <c r="BX17" s="94" t="e">
        <f t="shared" ca="1" si="113"/>
        <v>#N/A</v>
      </c>
      <c r="BY17" s="94" t="e">
        <f t="shared" ca="1" si="113"/>
        <v>#N/A</v>
      </c>
      <c r="BZ17" s="94" t="e">
        <f t="shared" ca="1" si="113"/>
        <v>#N/A</v>
      </c>
      <c r="CA17" s="94" t="e">
        <f t="shared" ca="1" si="113"/>
        <v>#N/A</v>
      </c>
      <c r="CB17" s="94" t="e">
        <f t="shared" ca="1" si="113"/>
        <v>#N/A</v>
      </c>
      <c r="CC17" s="94" t="e">
        <f t="shared" ca="1" si="113"/>
        <v>#N/A</v>
      </c>
      <c r="CD17" s="94" t="e">
        <f t="shared" ca="1" si="113"/>
        <v>#N/A</v>
      </c>
      <c r="CE17" s="94" t="e">
        <f t="shared" ca="1" si="113"/>
        <v>#N/A</v>
      </c>
      <c r="CF17" s="94" t="e">
        <f t="shared" ca="1" si="113"/>
        <v>#N/A</v>
      </c>
      <c r="CG17" s="94" t="e">
        <f t="shared" ca="1" si="113"/>
        <v>#N/A</v>
      </c>
      <c r="CH17" s="94" t="e">
        <f t="shared" ca="1" si="113"/>
        <v>#N/A</v>
      </c>
      <c r="CI17" s="94" t="e">
        <f t="shared" ca="1" si="113"/>
        <v>#N/A</v>
      </c>
      <c r="CJ17" s="94" t="e">
        <f t="shared" ca="1" si="113"/>
        <v>#N/A</v>
      </c>
      <c r="CK17" s="94" t="e">
        <f t="shared" ca="1" si="113"/>
        <v>#N/A</v>
      </c>
      <c r="CL17" s="94" t="e">
        <f t="shared" ca="1" si="113"/>
        <v>#N/A</v>
      </c>
      <c r="CM17" s="94" t="e">
        <f t="shared" ca="1" si="113"/>
        <v>#N/A</v>
      </c>
      <c r="CN17" s="94" t="e">
        <f t="shared" ca="1" si="113"/>
        <v>#N/A</v>
      </c>
      <c r="CO17" s="94" t="e">
        <f t="shared" ca="1" si="113"/>
        <v>#N/A</v>
      </c>
      <c r="CP17" s="94" t="e">
        <f t="shared" ca="1" si="113"/>
        <v>#N/A</v>
      </c>
      <c r="CQ17" s="94" t="e">
        <f t="shared" ref="CQ17:FB17" ca="1" si="114">IFERROR(AVERAGE(CO15:CQ15),NA())</f>
        <v>#N/A</v>
      </c>
      <c r="CR17" s="94" t="e">
        <f t="shared" ca="1" si="114"/>
        <v>#N/A</v>
      </c>
      <c r="CS17" s="94" t="e">
        <f t="shared" ca="1" si="114"/>
        <v>#N/A</v>
      </c>
      <c r="CT17" s="94" t="e">
        <f t="shared" ca="1" si="114"/>
        <v>#N/A</v>
      </c>
      <c r="CU17" s="94" t="e">
        <f t="shared" ca="1" si="114"/>
        <v>#N/A</v>
      </c>
      <c r="CV17" s="94" t="e">
        <f t="shared" ca="1" si="114"/>
        <v>#N/A</v>
      </c>
      <c r="CW17" s="94" t="e">
        <f t="shared" ca="1" si="114"/>
        <v>#N/A</v>
      </c>
      <c r="CX17" s="94" t="e">
        <f t="shared" ca="1" si="114"/>
        <v>#N/A</v>
      </c>
      <c r="CY17" s="94" t="e">
        <f t="shared" ca="1" si="114"/>
        <v>#N/A</v>
      </c>
      <c r="CZ17" s="94" t="e">
        <f t="shared" ca="1" si="114"/>
        <v>#N/A</v>
      </c>
      <c r="DA17" s="94" t="e">
        <f t="shared" ca="1" si="114"/>
        <v>#N/A</v>
      </c>
      <c r="DB17" s="94" t="e">
        <f t="shared" ca="1" si="114"/>
        <v>#N/A</v>
      </c>
      <c r="DC17" s="94" t="e">
        <f t="shared" ca="1" si="114"/>
        <v>#N/A</v>
      </c>
      <c r="DD17" s="94" t="e">
        <f t="shared" ca="1" si="114"/>
        <v>#N/A</v>
      </c>
      <c r="DE17" s="94" t="e">
        <f t="shared" ca="1" si="114"/>
        <v>#N/A</v>
      </c>
      <c r="DF17" s="94" t="e">
        <f t="shared" ca="1" si="114"/>
        <v>#N/A</v>
      </c>
      <c r="DG17" s="94" t="e">
        <f t="shared" ca="1" si="114"/>
        <v>#N/A</v>
      </c>
      <c r="DH17" s="94" t="e">
        <f t="shared" ca="1" si="114"/>
        <v>#N/A</v>
      </c>
      <c r="DI17" s="94" t="e">
        <f t="shared" ca="1" si="114"/>
        <v>#N/A</v>
      </c>
      <c r="DJ17" s="94" t="e">
        <f t="shared" ca="1" si="114"/>
        <v>#N/A</v>
      </c>
      <c r="DK17" s="94" t="e">
        <f t="shared" ca="1" si="114"/>
        <v>#N/A</v>
      </c>
      <c r="DL17" s="94" t="e">
        <f t="shared" ca="1" si="114"/>
        <v>#N/A</v>
      </c>
      <c r="DM17" s="94" t="e">
        <f t="shared" ca="1" si="114"/>
        <v>#N/A</v>
      </c>
      <c r="DN17" s="94" t="e">
        <f t="shared" ca="1" si="114"/>
        <v>#N/A</v>
      </c>
      <c r="DO17" s="94" t="e">
        <f t="shared" ca="1" si="114"/>
        <v>#N/A</v>
      </c>
      <c r="DP17" s="94" t="e">
        <f t="shared" ca="1" si="114"/>
        <v>#N/A</v>
      </c>
      <c r="DQ17" s="94" t="e">
        <f t="shared" ca="1" si="114"/>
        <v>#N/A</v>
      </c>
      <c r="DR17" s="94" t="e">
        <f t="shared" ca="1" si="114"/>
        <v>#N/A</v>
      </c>
      <c r="DS17" s="94" t="e">
        <f t="shared" ca="1" si="114"/>
        <v>#N/A</v>
      </c>
      <c r="DT17" s="94" t="e">
        <f t="shared" ca="1" si="114"/>
        <v>#N/A</v>
      </c>
      <c r="DU17" s="94" t="e">
        <f t="shared" ca="1" si="114"/>
        <v>#N/A</v>
      </c>
      <c r="DV17" s="94" t="e">
        <f t="shared" ca="1" si="114"/>
        <v>#N/A</v>
      </c>
      <c r="DW17" s="94" t="e">
        <f t="shared" ca="1" si="114"/>
        <v>#N/A</v>
      </c>
      <c r="DX17" s="94" t="e">
        <f t="shared" ca="1" si="114"/>
        <v>#N/A</v>
      </c>
      <c r="DY17" s="94" t="e">
        <f t="shared" ca="1" si="114"/>
        <v>#N/A</v>
      </c>
      <c r="DZ17" s="94" t="e">
        <f t="shared" ca="1" si="114"/>
        <v>#N/A</v>
      </c>
      <c r="EA17" s="94" t="e">
        <f t="shared" ca="1" si="114"/>
        <v>#N/A</v>
      </c>
      <c r="EB17" s="94" t="e">
        <f t="shared" ca="1" si="114"/>
        <v>#N/A</v>
      </c>
      <c r="EC17" s="94" t="e">
        <f t="shared" ca="1" si="114"/>
        <v>#N/A</v>
      </c>
      <c r="ED17" s="94" t="e">
        <f t="shared" ca="1" si="114"/>
        <v>#N/A</v>
      </c>
      <c r="EE17" s="94" t="e">
        <f t="shared" ca="1" si="114"/>
        <v>#N/A</v>
      </c>
      <c r="EF17" s="94" t="e">
        <f t="shared" ca="1" si="114"/>
        <v>#N/A</v>
      </c>
      <c r="EG17" s="94" t="e">
        <f t="shared" ca="1" si="114"/>
        <v>#N/A</v>
      </c>
      <c r="EH17" s="94" t="e">
        <f t="shared" ca="1" si="114"/>
        <v>#N/A</v>
      </c>
      <c r="EI17" s="94" t="e">
        <f t="shared" ca="1" si="114"/>
        <v>#N/A</v>
      </c>
      <c r="EJ17" s="94" t="e">
        <f t="shared" ca="1" si="114"/>
        <v>#N/A</v>
      </c>
      <c r="EK17" s="94" t="e">
        <f t="shared" ca="1" si="114"/>
        <v>#N/A</v>
      </c>
      <c r="EL17" s="94" t="e">
        <f t="shared" ca="1" si="114"/>
        <v>#N/A</v>
      </c>
      <c r="EM17" s="94" t="e">
        <f t="shared" ca="1" si="114"/>
        <v>#N/A</v>
      </c>
      <c r="EN17" s="94" t="e">
        <f t="shared" ca="1" si="114"/>
        <v>#N/A</v>
      </c>
      <c r="EO17" s="94" t="e">
        <f t="shared" ca="1" si="114"/>
        <v>#N/A</v>
      </c>
      <c r="EP17" s="94" t="e">
        <f t="shared" ca="1" si="114"/>
        <v>#N/A</v>
      </c>
      <c r="EQ17" s="94" t="e">
        <f t="shared" ca="1" si="114"/>
        <v>#N/A</v>
      </c>
      <c r="ER17" s="94" t="e">
        <f t="shared" ca="1" si="114"/>
        <v>#N/A</v>
      </c>
      <c r="ES17" s="94" t="e">
        <f t="shared" ca="1" si="114"/>
        <v>#N/A</v>
      </c>
      <c r="ET17" s="94" t="e">
        <f t="shared" ca="1" si="114"/>
        <v>#N/A</v>
      </c>
      <c r="EU17" s="94" t="e">
        <f t="shared" ca="1" si="114"/>
        <v>#N/A</v>
      </c>
      <c r="EV17" s="94" t="e">
        <f t="shared" ca="1" si="114"/>
        <v>#N/A</v>
      </c>
      <c r="EW17" s="94" t="e">
        <f t="shared" ca="1" si="114"/>
        <v>#N/A</v>
      </c>
      <c r="EX17" s="94" t="e">
        <f t="shared" ca="1" si="114"/>
        <v>#N/A</v>
      </c>
      <c r="EY17" s="94" t="e">
        <f t="shared" ca="1" si="114"/>
        <v>#N/A</v>
      </c>
      <c r="EZ17" s="94" t="e">
        <f t="shared" ca="1" si="114"/>
        <v>#N/A</v>
      </c>
      <c r="FA17" s="94" t="e">
        <f t="shared" ca="1" si="114"/>
        <v>#N/A</v>
      </c>
      <c r="FB17" s="94" t="e">
        <f t="shared" ca="1" si="114"/>
        <v>#N/A</v>
      </c>
      <c r="FC17" s="94" t="e">
        <f t="shared" ref="FC17:HN17" ca="1" si="115">IFERROR(AVERAGE(FA15:FC15),NA())</f>
        <v>#N/A</v>
      </c>
      <c r="FD17" s="94" t="e">
        <f t="shared" ca="1" si="115"/>
        <v>#N/A</v>
      </c>
      <c r="FE17" s="94" t="e">
        <f t="shared" ca="1" si="115"/>
        <v>#N/A</v>
      </c>
      <c r="FF17" s="94" t="e">
        <f t="shared" ca="1" si="115"/>
        <v>#N/A</v>
      </c>
      <c r="FG17" s="94" t="e">
        <f t="shared" ca="1" si="115"/>
        <v>#N/A</v>
      </c>
      <c r="FH17" s="94" t="e">
        <f t="shared" ca="1" si="115"/>
        <v>#N/A</v>
      </c>
      <c r="FI17" s="94" t="e">
        <f t="shared" ca="1" si="115"/>
        <v>#N/A</v>
      </c>
      <c r="FJ17" s="94" t="e">
        <f t="shared" ca="1" si="115"/>
        <v>#N/A</v>
      </c>
      <c r="FK17" s="94" t="e">
        <f t="shared" ca="1" si="115"/>
        <v>#N/A</v>
      </c>
      <c r="FL17" s="94" t="e">
        <f t="shared" ca="1" si="115"/>
        <v>#N/A</v>
      </c>
      <c r="FM17" s="94" t="e">
        <f t="shared" ca="1" si="115"/>
        <v>#N/A</v>
      </c>
      <c r="FN17" s="94" t="e">
        <f t="shared" ca="1" si="115"/>
        <v>#N/A</v>
      </c>
      <c r="FO17" s="94" t="e">
        <f t="shared" ca="1" si="115"/>
        <v>#N/A</v>
      </c>
      <c r="FP17" s="94" t="e">
        <f t="shared" ca="1" si="115"/>
        <v>#N/A</v>
      </c>
      <c r="FQ17" s="94" t="e">
        <f t="shared" ca="1" si="115"/>
        <v>#N/A</v>
      </c>
      <c r="FR17" s="94" t="e">
        <f t="shared" ca="1" si="115"/>
        <v>#N/A</v>
      </c>
      <c r="FS17" s="94" t="e">
        <f t="shared" ca="1" si="115"/>
        <v>#N/A</v>
      </c>
      <c r="FT17" s="94" t="e">
        <f t="shared" ca="1" si="115"/>
        <v>#N/A</v>
      </c>
      <c r="FU17" s="94" t="e">
        <f t="shared" ca="1" si="115"/>
        <v>#N/A</v>
      </c>
      <c r="FV17" s="94" t="e">
        <f t="shared" ca="1" si="115"/>
        <v>#N/A</v>
      </c>
      <c r="FW17" s="94" t="e">
        <f t="shared" ca="1" si="115"/>
        <v>#N/A</v>
      </c>
      <c r="FX17" s="94" t="e">
        <f t="shared" ca="1" si="115"/>
        <v>#N/A</v>
      </c>
      <c r="FY17" s="94" t="e">
        <f t="shared" ca="1" si="115"/>
        <v>#N/A</v>
      </c>
      <c r="FZ17" s="94" t="e">
        <f t="shared" ca="1" si="115"/>
        <v>#N/A</v>
      </c>
      <c r="GA17" s="94" t="e">
        <f t="shared" ca="1" si="115"/>
        <v>#N/A</v>
      </c>
      <c r="GB17" s="94" t="e">
        <f t="shared" ca="1" si="115"/>
        <v>#N/A</v>
      </c>
      <c r="GC17" s="94" t="e">
        <f t="shared" ca="1" si="115"/>
        <v>#N/A</v>
      </c>
      <c r="GD17" s="94" t="e">
        <f t="shared" ca="1" si="115"/>
        <v>#N/A</v>
      </c>
      <c r="GE17" s="94" t="e">
        <f t="shared" ca="1" si="115"/>
        <v>#N/A</v>
      </c>
      <c r="GF17" s="94" t="e">
        <f t="shared" ca="1" si="115"/>
        <v>#N/A</v>
      </c>
      <c r="GG17" s="94" t="e">
        <f t="shared" ca="1" si="115"/>
        <v>#N/A</v>
      </c>
      <c r="GH17" s="94" t="e">
        <f t="shared" ca="1" si="115"/>
        <v>#N/A</v>
      </c>
      <c r="GI17" s="94" t="e">
        <f t="shared" ca="1" si="115"/>
        <v>#N/A</v>
      </c>
      <c r="GJ17" s="94" t="e">
        <f t="shared" ca="1" si="115"/>
        <v>#N/A</v>
      </c>
      <c r="GK17" s="94" t="e">
        <f t="shared" ca="1" si="115"/>
        <v>#N/A</v>
      </c>
      <c r="GL17" s="94" t="e">
        <f t="shared" ca="1" si="115"/>
        <v>#N/A</v>
      </c>
      <c r="GM17" s="94" t="e">
        <f t="shared" ca="1" si="115"/>
        <v>#N/A</v>
      </c>
      <c r="GN17" s="94" t="e">
        <f t="shared" ca="1" si="115"/>
        <v>#N/A</v>
      </c>
      <c r="GO17" s="94" t="e">
        <f t="shared" ca="1" si="115"/>
        <v>#N/A</v>
      </c>
      <c r="GP17" s="94" t="e">
        <f t="shared" ca="1" si="115"/>
        <v>#N/A</v>
      </c>
      <c r="GQ17" s="94" t="e">
        <f t="shared" ca="1" si="115"/>
        <v>#N/A</v>
      </c>
      <c r="GR17" s="94" t="e">
        <f t="shared" ca="1" si="115"/>
        <v>#N/A</v>
      </c>
      <c r="GS17" s="94" t="e">
        <f t="shared" ca="1" si="115"/>
        <v>#N/A</v>
      </c>
      <c r="GT17" s="94" t="e">
        <f t="shared" ca="1" si="115"/>
        <v>#N/A</v>
      </c>
      <c r="GU17" s="94" t="e">
        <f t="shared" ca="1" si="115"/>
        <v>#N/A</v>
      </c>
      <c r="GV17" s="94" t="e">
        <f t="shared" ca="1" si="115"/>
        <v>#N/A</v>
      </c>
      <c r="GW17" s="94" t="e">
        <f t="shared" ca="1" si="115"/>
        <v>#N/A</v>
      </c>
      <c r="GX17" s="94" t="e">
        <f t="shared" ca="1" si="115"/>
        <v>#N/A</v>
      </c>
      <c r="GY17" s="94" t="e">
        <f t="shared" ca="1" si="115"/>
        <v>#N/A</v>
      </c>
      <c r="GZ17" s="94" t="e">
        <f t="shared" ca="1" si="115"/>
        <v>#N/A</v>
      </c>
      <c r="HA17" s="94" t="e">
        <f t="shared" ca="1" si="115"/>
        <v>#N/A</v>
      </c>
      <c r="HB17" s="94" t="e">
        <f t="shared" ca="1" si="115"/>
        <v>#N/A</v>
      </c>
      <c r="HC17" s="94" t="e">
        <f t="shared" ca="1" si="115"/>
        <v>#N/A</v>
      </c>
      <c r="HD17" s="94" t="e">
        <f t="shared" ca="1" si="115"/>
        <v>#N/A</v>
      </c>
      <c r="HE17" s="94" t="e">
        <f t="shared" ca="1" si="115"/>
        <v>#N/A</v>
      </c>
      <c r="HF17" s="94" t="e">
        <f t="shared" ca="1" si="115"/>
        <v>#N/A</v>
      </c>
      <c r="HG17" s="94" t="e">
        <f t="shared" ca="1" si="115"/>
        <v>#N/A</v>
      </c>
      <c r="HH17" s="94" t="e">
        <f t="shared" ca="1" si="115"/>
        <v>#N/A</v>
      </c>
      <c r="HI17" s="94" t="e">
        <f t="shared" ca="1" si="115"/>
        <v>#N/A</v>
      </c>
      <c r="HJ17" s="94" t="e">
        <f t="shared" ca="1" si="115"/>
        <v>#N/A</v>
      </c>
      <c r="HK17" s="94" t="e">
        <f t="shared" ca="1" si="115"/>
        <v>#N/A</v>
      </c>
      <c r="HL17" s="94" t="e">
        <f t="shared" ca="1" si="115"/>
        <v>#N/A</v>
      </c>
      <c r="HM17" s="94" t="e">
        <f t="shared" ca="1" si="115"/>
        <v>#N/A</v>
      </c>
      <c r="HN17" s="94" t="e">
        <f t="shared" ca="1" si="115"/>
        <v>#N/A</v>
      </c>
      <c r="HO17" s="94" t="e">
        <f t="shared" ref="HO17:IN17" ca="1" si="116">IFERROR(AVERAGE(HM15:HO15),NA())</f>
        <v>#N/A</v>
      </c>
      <c r="HP17" s="94" t="e">
        <f t="shared" ca="1" si="116"/>
        <v>#N/A</v>
      </c>
      <c r="HQ17" s="94" t="e">
        <f t="shared" ca="1" si="116"/>
        <v>#N/A</v>
      </c>
      <c r="HR17" s="94" t="e">
        <f t="shared" ca="1" si="116"/>
        <v>#N/A</v>
      </c>
      <c r="HS17" s="94" t="e">
        <f t="shared" ca="1" si="116"/>
        <v>#N/A</v>
      </c>
      <c r="HT17" s="94" t="e">
        <f t="shared" ca="1" si="116"/>
        <v>#N/A</v>
      </c>
      <c r="HU17" s="94" t="e">
        <f t="shared" ca="1" si="116"/>
        <v>#N/A</v>
      </c>
      <c r="HV17" s="94" t="e">
        <f t="shared" ca="1" si="116"/>
        <v>#N/A</v>
      </c>
      <c r="HW17" s="94" t="e">
        <f t="shared" ca="1" si="116"/>
        <v>#N/A</v>
      </c>
      <c r="HX17" s="94" t="e">
        <f t="shared" ca="1" si="116"/>
        <v>#N/A</v>
      </c>
      <c r="HY17" s="94" t="e">
        <f t="shared" ca="1" si="116"/>
        <v>#N/A</v>
      </c>
      <c r="HZ17" s="94" t="e">
        <f t="shared" ca="1" si="116"/>
        <v>#N/A</v>
      </c>
      <c r="IA17" s="94" t="e">
        <f t="shared" ca="1" si="116"/>
        <v>#N/A</v>
      </c>
      <c r="IB17" s="94" t="e">
        <f t="shared" ca="1" si="116"/>
        <v>#N/A</v>
      </c>
      <c r="IC17" s="94" t="e">
        <f t="shared" ca="1" si="116"/>
        <v>#N/A</v>
      </c>
      <c r="ID17" s="94" t="e">
        <f t="shared" ca="1" si="116"/>
        <v>#N/A</v>
      </c>
      <c r="IE17" s="94" t="e">
        <f t="shared" ca="1" si="116"/>
        <v>#N/A</v>
      </c>
      <c r="IF17" s="94" t="e">
        <f t="shared" ca="1" si="116"/>
        <v>#N/A</v>
      </c>
      <c r="IG17" s="94" t="e">
        <f t="shared" ca="1" si="116"/>
        <v>#N/A</v>
      </c>
      <c r="IH17" s="94" t="e">
        <f t="shared" ca="1" si="116"/>
        <v>#N/A</v>
      </c>
      <c r="II17" s="94" t="e">
        <f t="shared" ca="1" si="116"/>
        <v>#N/A</v>
      </c>
      <c r="IJ17" s="94" t="e">
        <f t="shared" ca="1" si="116"/>
        <v>#N/A</v>
      </c>
      <c r="IK17" s="94" t="e">
        <f t="shared" ca="1" si="116"/>
        <v>#N/A</v>
      </c>
      <c r="IL17" s="94" t="e">
        <f t="shared" ca="1" si="116"/>
        <v>#N/A</v>
      </c>
      <c r="IM17" s="94" t="e">
        <f t="shared" ca="1" si="116"/>
        <v>#N/A</v>
      </c>
      <c r="IN17" s="94" t="e">
        <f t="shared" ca="1" si="116"/>
        <v>#N/A</v>
      </c>
    </row>
    <row r="19" spans="2:248" x14ac:dyDescent="0.3">
      <c r="B19" s="19" t="s">
        <v>478</v>
      </c>
      <c r="C19" s="40">
        <f>VLOOKUP(B2,Country_Data!B:J,9,FALSE)</f>
        <v>67886011</v>
      </c>
      <c r="F19" s="19" t="s">
        <v>465</v>
      </c>
      <c r="G19" s="40">
        <f>$C$16</f>
        <v>4480.4767259999999</v>
      </c>
      <c r="H19" s="40">
        <f t="shared" ref="H19:BS19" si="117">$C$16</f>
        <v>4480.4767259999999</v>
      </c>
      <c r="I19" s="40">
        <f t="shared" si="117"/>
        <v>4480.4767259999999</v>
      </c>
      <c r="J19" s="40">
        <f t="shared" si="117"/>
        <v>4480.4767259999999</v>
      </c>
      <c r="K19" s="40">
        <f t="shared" si="117"/>
        <v>4480.4767259999999</v>
      </c>
      <c r="L19" s="40">
        <f t="shared" si="117"/>
        <v>4480.4767259999999</v>
      </c>
      <c r="M19" s="40">
        <f t="shared" si="117"/>
        <v>4480.4767259999999</v>
      </c>
      <c r="N19" s="40">
        <f t="shared" si="117"/>
        <v>4480.4767259999999</v>
      </c>
      <c r="O19" s="40">
        <f t="shared" si="117"/>
        <v>4480.4767259999999</v>
      </c>
      <c r="P19" s="40">
        <f t="shared" si="117"/>
        <v>4480.4767259999999</v>
      </c>
      <c r="Q19" s="40">
        <f t="shared" si="117"/>
        <v>4480.4767259999999</v>
      </c>
      <c r="R19" s="40">
        <f t="shared" si="117"/>
        <v>4480.4767259999999</v>
      </c>
      <c r="S19" s="40">
        <f t="shared" si="117"/>
        <v>4480.4767259999999</v>
      </c>
      <c r="T19" s="40">
        <f t="shared" si="117"/>
        <v>4480.4767259999999</v>
      </c>
      <c r="U19" s="40">
        <f t="shared" si="117"/>
        <v>4480.4767259999999</v>
      </c>
      <c r="V19" s="40">
        <f t="shared" si="117"/>
        <v>4480.4767259999999</v>
      </c>
      <c r="W19" s="40">
        <f t="shared" si="117"/>
        <v>4480.4767259999999</v>
      </c>
      <c r="X19" s="40">
        <f t="shared" si="117"/>
        <v>4480.4767259999999</v>
      </c>
      <c r="Y19" s="40">
        <f t="shared" si="117"/>
        <v>4480.4767259999999</v>
      </c>
      <c r="Z19" s="40">
        <f t="shared" si="117"/>
        <v>4480.4767259999999</v>
      </c>
      <c r="AA19" s="40">
        <f t="shared" si="117"/>
        <v>4480.4767259999999</v>
      </c>
      <c r="AB19" s="40">
        <f t="shared" si="117"/>
        <v>4480.4767259999999</v>
      </c>
      <c r="AC19" s="40">
        <f t="shared" si="117"/>
        <v>4480.4767259999999</v>
      </c>
      <c r="AD19" s="40">
        <f t="shared" si="117"/>
        <v>4480.4767259999999</v>
      </c>
      <c r="AE19" s="40">
        <f t="shared" si="117"/>
        <v>4480.4767259999999</v>
      </c>
      <c r="AF19" s="40">
        <f t="shared" si="117"/>
        <v>4480.4767259999999</v>
      </c>
      <c r="AG19" s="40">
        <f t="shared" si="117"/>
        <v>4480.4767259999999</v>
      </c>
      <c r="AH19" s="40">
        <f t="shared" si="117"/>
        <v>4480.4767259999999</v>
      </c>
      <c r="AI19" s="40">
        <f t="shared" si="117"/>
        <v>4480.4767259999999</v>
      </c>
      <c r="AJ19" s="40">
        <f t="shared" si="117"/>
        <v>4480.4767259999999</v>
      </c>
      <c r="AK19" s="40">
        <f t="shared" si="117"/>
        <v>4480.4767259999999</v>
      </c>
      <c r="AL19" s="40">
        <f t="shared" si="117"/>
        <v>4480.4767259999999</v>
      </c>
      <c r="AM19" s="40">
        <f t="shared" si="117"/>
        <v>4480.4767259999999</v>
      </c>
      <c r="AN19" s="40">
        <f t="shared" si="117"/>
        <v>4480.4767259999999</v>
      </c>
      <c r="AO19" s="40">
        <f t="shared" si="117"/>
        <v>4480.4767259999999</v>
      </c>
      <c r="AP19" s="40">
        <f t="shared" si="117"/>
        <v>4480.4767259999999</v>
      </c>
      <c r="AQ19" s="40">
        <f t="shared" si="117"/>
        <v>4480.4767259999999</v>
      </c>
      <c r="AR19" s="40">
        <f t="shared" si="117"/>
        <v>4480.4767259999999</v>
      </c>
      <c r="AS19" s="40">
        <f t="shared" si="117"/>
        <v>4480.4767259999999</v>
      </c>
      <c r="AT19" s="40">
        <f t="shared" si="117"/>
        <v>4480.4767259999999</v>
      </c>
      <c r="AU19" s="40">
        <f t="shared" si="117"/>
        <v>4480.4767259999999</v>
      </c>
      <c r="AV19" s="40">
        <f t="shared" si="117"/>
        <v>4480.4767259999999</v>
      </c>
      <c r="AW19" s="40">
        <f t="shared" si="117"/>
        <v>4480.4767259999999</v>
      </c>
      <c r="AX19" s="40">
        <f t="shared" si="117"/>
        <v>4480.4767259999999</v>
      </c>
      <c r="AY19" s="40">
        <f t="shared" si="117"/>
        <v>4480.4767259999999</v>
      </c>
      <c r="AZ19" s="40">
        <f t="shared" si="117"/>
        <v>4480.4767259999999</v>
      </c>
      <c r="BA19" s="40">
        <f t="shared" si="117"/>
        <v>4480.4767259999999</v>
      </c>
      <c r="BB19" s="40">
        <f t="shared" si="117"/>
        <v>4480.4767259999999</v>
      </c>
      <c r="BC19" s="40">
        <f t="shared" si="117"/>
        <v>4480.4767259999999</v>
      </c>
      <c r="BD19" s="40">
        <f t="shared" si="117"/>
        <v>4480.4767259999999</v>
      </c>
      <c r="BE19" s="40">
        <f t="shared" si="117"/>
        <v>4480.4767259999999</v>
      </c>
      <c r="BF19" s="40">
        <f t="shared" si="117"/>
        <v>4480.4767259999999</v>
      </c>
      <c r="BG19" s="40">
        <f t="shared" si="117"/>
        <v>4480.4767259999999</v>
      </c>
      <c r="BH19" s="40">
        <f t="shared" si="117"/>
        <v>4480.4767259999999</v>
      </c>
      <c r="BI19" s="40">
        <f t="shared" si="117"/>
        <v>4480.4767259999999</v>
      </c>
      <c r="BJ19" s="40">
        <f t="shared" si="117"/>
        <v>4480.4767259999999</v>
      </c>
      <c r="BK19" s="40">
        <f t="shared" si="117"/>
        <v>4480.4767259999999</v>
      </c>
      <c r="BL19" s="40">
        <f t="shared" si="117"/>
        <v>4480.4767259999999</v>
      </c>
      <c r="BM19" s="40">
        <f t="shared" si="117"/>
        <v>4480.4767259999999</v>
      </c>
      <c r="BN19" s="40">
        <f t="shared" si="117"/>
        <v>4480.4767259999999</v>
      </c>
      <c r="BO19" s="40">
        <f t="shared" si="117"/>
        <v>4480.4767259999999</v>
      </c>
      <c r="BP19" s="40">
        <f t="shared" si="117"/>
        <v>4480.4767259999999</v>
      </c>
      <c r="BQ19" s="40">
        <f t="shared" si="117"/>
        <v>4480.4767259999999</v>
      </c>
      <c r="BR19" s="40">
        <f t="shared" si="117"/>
        <v>4480.4767259999999</v>
      </c>
      <c r="BS19" s="40">
        <f t="shared" si="117"/>
        <v>4480.4767259999999</v>
      </c>
      <c r="BT19" s="40">
        <f t="shared" ref="BT19:EE19" si="118">$C$16</f>
        <v>4480.4767259999999</v>
      </c>
      <c r="BU19" s="40">
        <f t="shared" si="118"/>
        <v>4480.4767259999999</v>
      </c>
      <c r="BV19" s="40">
        <f t="shared" si="118"/>
        <v>4480.4767259999999</v>
      </c>
      <c r="BW19" s="40">
        <f t="shared" si="118"/>
        <v>4480.4767259999999</v>
      </c>
      <c r="BX19" s="40">
        <f t="shared" si="118"/>
        <v>4480.4767259999999</v>
      </c>
      <c r="BY19" s="40">
        <f t="shared" si="118"/>
        <v>4480.4767259999999</v>
      </c>
      <c r="BZ19" s="40">
        <f t="shared" si="118"/>
        <v>4480.4767259999999</v>
      </c>
      <c r="CA19" s="40">
        <f t="shared" si="118"/>
        <v>4480.4767259999999</v>
      </c>
      <c r="CB19" s="40">
        <f t="shared" si="118"/>
        <v>4480.4767259999999</v>
      </c>
      <c r="CC19" s="40">
        <f t="shared" si="118"/>
        <v>4480.4767259999999</v>
      </c>
      <c r="CD19" s="40">
        <f t="shared" si="118"/>
        <v>4480.4767259999999</v>
      </c>
      <c r="CE19" s="40">
        <f t="shared" si="118"/>
        <v>4480.4767259999999</v>
      </c>
      <c r="CF19" s="40">
        <f t="shared" si="118"/>
        <v>4480.4767259999999</v>
      </c>
      <c r="CG19" s="40">
        <f t="shared" si="118"/>
        <v>4480.4767259999999</v>
      </c>
      <c r="CH19" s="40">
        <f t="shared" si="118"/>
        <v>4480.4767259999999</v>
      </c>
      <c r="CI19" s="40">
        <f t="shared" si="118"/>
        <v>4480.4767259999999</v>
      </c>
      <c r="CJ19" s="40">
        <f t="shared" si="118"/>
        <v>4480.4767259999999</v>
      </c>
      <c r="CK19" s="40">
        <f t="shared" si="118"/>
        <v>4480.4767259999999</v>
      </c>
      <c r="CL19" s="40">
        <f t="shared" si="118"/>
        <v>4480.4767259999999</v>
      </c>
      <c r="CM19" s="40">
        <f t="shared" si="118"/>
        <v>4480.4767259999999</v>
      </c>
      <c r="CN19" s="40">
        <f t="shared" si="118"/>
        <v>4480.4767259999999</v>
      </c>
      <c r="CO19" s="40">
        <f t="shared" si="118"/>
        <v>4480.4767259999999</v>
      </c>
      <c r="CP19" s="40">
        <f t="shared" si="118"/>
        <v>4480.4767259999999</v>
      </c>
      <c r="CQ19" s="40">
        <f t="shared" si="118"/>
        <v>4480.4767259999999</v>
      </c>
      <c r="CR19" s="40">
        <f t="shared" si="118"/>
        <v>4480.4767259999999</v>
      </c>
      <c r="CS19" s="40">
        <f t="shared" si="118"/>
        <v>4480.4767259999999</v>
      </c>
      <c r="CT19" s="40">
        <f t="shared" si="118"/>
        <v>4480.4767259999999</v>
      </c>
      <c r="CU19" s="40">
        <f t="shared" si="118"/>
        <v>4480.4767259999999</v>
      </c>
      <c r="CV19" s="40">
        <f t="shared" si="118"/>
        <v>4480.4767259999999</v>
      </c>
      <c r="CW19" s="40">
        <f t="shared" si="118"/>
        <v>4480.4767259999999</v>
      </c>
      <c r="CX19" s="40">
        <f t="shared" si="118"/>
        <v>4480.4767259999999</v>
      </c>
      <c r="CY19" s="40">
        <f t="shared" si="118"/>
        <v>4480.4767259999999</v>
      </c>
      <c r="CZ19" s="40">
        <f t="shared" si="118"/>
        <v>4480.4767259999999</v>
      </c>
      <c r="DA19" s="40">
        <f t="shared" si="118"/>
        <v>4480.4767259999999</v>
      </c>
      <c r="DB19" s="40">
        <f t="shared" si="118"/>
        <v>4480.4767259999999</v>
      </c>
      <c r="DC19" s="40">
        <f t="shared" si="118"/>
        <v>4480.4767259999999</v>
      </c>
      <c r="DD19" s="40">
        <f t="shared" si="118"/>
        <v>4480.4767259999999</v>
      </c>
      <c r="DE19" s="40">
        <f t="shared" si="118"/>
        <v>4480.4767259999999</v>
      </c>
      <c r="DF19" s="40">
        <f t="shared" si="118"/>
        <v>4480.4767259999999</v>
      </c>
      <c r="DG19" s="40">
        <f t="shared" si="118"/>
        <v>4480.4767259999999</v>
      </c>
      <c r="DH19" s="40">
        <f t="shared" si="118"/>
        <v>4480.4767259999999</v>
      </c>
      <c r="DI19" s="40">
        <f t="shared" si="118"/>
        <v>4480.4767259999999</v>
      </c>
      <c r="DJ19" s="40">
        <f t="shared" si="118"/>
        <v>4480.4767259999999</v>
      </c>
      <c r="DK19" s="40">
        <f t="shared" si="118"/>
        <v>4480.4767259999999</v>
      </c>
      <c r="DL19" s="40">
        <f t="shared" si="118"/>
        <v>4480.4767259999999</v>
      </c>
      <c r="DM19" s="40">
        <f t="shared" si="118"/>
        <v>4480.4767259999999</v>
      </c>
      <c r="DN19" s="40">
        <f t="shared" si="118"/>
        <v>4480.4767259999999</v>
      </c>
      <c r="DO19" s="40">
        <f t="shared" si="118"/>
        <v>4480.4767259999999</v>
      </c>
      <c r="DP19" s="40">
        <f t="shared" si="118"/>
        <v>4480.4767259999999</v>
      </c>
      <c r="DQ19" s="40">
        <f t="shared" si="118"/>
        <v>4480.4767259999999</v>
      </c>
      <c r="DR19" s="40">
        <f t="shared" si="118"/>
        <v>4480.4767259999999</v>
      </c>
      <c r="DS19" s="40">
        <f t="shared" si="118"/>
        <v>4480.4767259999999</v>
      </c>
      <c r="DT19" s="40">
        <f t="shared" si="118"/>
        <v>4480.4767259999999</v>
      </c>
      <c r="DU19" s="40">
        <f t="shared" si="118"/>
        <v>4480.4767259999999</v>
      </c>
      <c r="DV19" s="40">
        <f t="shared" si="118"/>
        <v>4480.4767259999999</v>
      </c>
      <c r="DW19" s="40">
        <f t="shared" si="118"/>
        <v>4480.4767259999999</v>
      </c>
      <c r="DX19" s="40">
        <f t="shared" si="118"/>
        <v>4480.4767259999999</v>
      </c>
      <c r="DY19" s="40">
        <f t="shared" si="118"/>
        <v>4480.4767259999999</v>
      </c>
      <c r="DZ19" s="40">
        <f t="shared" si="118"/>
        <v>4480.4767259999999</v>
      </c>
      <c r="EA19" s="40">
        <f t="shared" si="118"/>
        <v>4480.4767259999999</v>
      </c>
      <c r="EB19" s="40">
        <f t="shared" si="118"/>
        <v>4480.4767259999999</v>
      </c>
      <c r="EC19" s="40">
        <f t="shared" si="118"/>
        <v>4480.4767259999999</v>
      </c>
      <c r="ED19" s="40">
        <f t="shared" si="118"/>
        <v>4480.4767259999999</v>
      </c>
      <c r="EE19" s="40">
        <f t="shared" si="118"/>
        <v>4480.4767259999999</v>
      </c>
      <c r="EF19" s="40">
        <f t="shared" ref="EF19:GQ19" si="119">$C$16</f>
        <v>4480.4767259999999</v>
      </c>
      <c r="EG19" s="40">
        <f t="shared" si="119"/>
        <v>4480.4767259999999</v>
      </c>
      <c r="EH19" s="40">
        <f t="shared" si="119"/>
        <v>4480.4767259999999</v>
      </c>
      <c r="EI19" s="40">
        <f t="shared" si="119"/>
        <v>4480.4767259999999</v>
      </c>
      <c r="EJ19" s="40">
        <f t="shared" si="119"/>
        <v>4480.4767259999999</v>
      </c>
      <c r="EK19" s="40">
        <f t="shared" si="119"/>
        <v>4480.4767259999999</v>
      </c>
      <c r="EL19" s="40">
        <f t="shared" si="119"/>
        <v>4480.4767259999999</v>
      </c>
      <c r="EM19" s="40">
        <f t="shared" si="119"/>
        <v>4480.4767259999999</v>
      </c>
      <c r="EN19" s="40">
        <f t="shared" si="119"/>
        <v>4480.4767259999999</v>
      </c>
      <c r="EO19" s="40">
        <f t="shared" si="119"/>
        <v>4480.4767259999999</v>
      </c>
      <c r="EP19" s="40">
        <f t="shared" si="119"/>
        <v>4480.4767259999999</v>
      </c>
      <c r="EQ19" s="40">
        <f t="shared" si="119"/>
        <v>4480.4767259999999</v>
      </c>
      <c r="ER19" s="40">
        <f t="shared" si="119"/>
        <v>4480.4767259999999</v>
      </c>
      <c r="ES19" s="40">
        <f t="shared" si="119"/>
        <v>4480.4767259999999</v>
      </c>
      <c r="ET19" s="40">
        <f t="shared" si="119"/>
        <v>4480.4767259999999</v>
      </c>
      <c r="EU19" s="40">
        <f t="shared" si="119"/>
        <v>4480.4767259999999</v>
      </c>
      <c r="EV19" s="40">
        <f t="shared" si="119"/>
        <v>4480.4767259999999</v>
      </c>
      <c r="EW19" s="40">
        <f t="shared" si="119"/>
        <v>4480.4767259999999</v>
      </c>
      <c r="EX19" s="40">
        <f t="shared" si="119"/>
        <v>4480.4767259999999</v>
      </c>
      <c r="EY19" s="40">
        <f t="shared" si="119"/>
        <v>4480.4767259999999</v>
      </c>
      <c r="EZ19" s="40">
        <f t="shared" si="119"/>
        <v>4480.4767259999999</v>
      </c>
      <c r="FA19" s="40">
        <f t="shared" si="119"/>
        <v>4480.4767259999999</v>
      </c>
      <c r="FB19" s="40">
        <f t="shared" si="119"/>
        <v>4480.4767259999999</v>
      </c>
      <c r="FC19" s="40">
        <f t="shared" si="119"/>
        <v>4480.4767259999999</v>
      </c>
      <c r="FD19" s="40">
        <f t="shared" si="119"/>
        <v>4480.4767259999999</v>
      </c>
      <c r="FE19" s="40">
        <f t="shared" si="119"/>
        <v>4480.4767259999999</v>
      </c>
      <c r="FF19" s="40">
        <f t="shared" si="119"/>
        <v>4480.4767259999999</v>
      </c>
      <c r="FG19" s="40">
        <f t="shared" si="119"/>
        <v>4480.4767259999999</v>
      </c>
      <c r="FH19" s="40">
        <f t="shared" si="119"/>
        <v>4480.4767259999999</v>
      </c>
      <c r="FI19" s="40">
        <f t="shared" si="119"/>
        <v>4480.4767259999999</v>
      </c>
      <c r="FJ19" s="40">
        <f t="shared" si="119"/>
        <v>4480.4767259999999</v>
      </c>
      <c r="FK19" s="40">
        <f t="shared" si="119"/>
        <v>4480.4767259999999</v>
      </c>
      <c r="FL19" s="40">
        <f t="shared" si="119"/>
        <v>4480.4767259999999</v>
      </c>
      <c r="FM19" s="40">
        <f t="shared" si="119"/>
        <v>4480.4767259999999</v>
      </c>
      <c r="FN19" s="40">
        <f t="shared" si="119"/>
        <v>4480.4767259999999</v>
      </c>
      <c r="FO19" s="40">
        <f t="shared" si="119"/>
        <v>4480.4767259999999</v>
      </c>
      <c r="FP19" s="40">
        <f t="shared" si="119"/>
        <v>4480.4767259999999</v>
      </c>
      <c r="FQ19" s="40">
        <f t="shared" si="119"/>
        <v>4480.4767259999999</v>
      </c>
      <c r="FR19" s="40">
        <f t="shared" si="119"/>
        <v>4480.4767259999999</v>
      </c>
      <c r="FS19" s="40">
        <f t="shared" si="119"/>
        <v>4480.4767259999999</v>
      </c>
      <c r="FT19" s="40">
        <f t="shared" si="119"/>
        <v>4480.4767259999999</v>
      </c>
      <c r="FU19" s="40">
        <f t="shared" si="119"/>
        <v>4480.4767259999999</v>
      </c>
      <c r="FV19" s="40">
        <f t="shared" si="119"/>
        <v>4480.4767259999999</v>
      </c>
      <c r="FW19" s="40">
        <f t="shared" si="119"/>
        <v>4480.4767259999999</v>
      </c>
      <c r="FX19" s="40">
        <f t="shared" si="119"/>
        <v>4480.4767259999999</v>
      </c>
      <c r="FY19" s="40">
        <f t="shared" si="119"/>
        <v>4480.4767259999999</v>
      </c>
      <c r="FZ19" s="40">
        <f t="shared" si="119"/>
        <v>4480.4767259999999</v>
      </c>
      <c r="GA19" s="40">
        <f t="shared" si="119"/>
        <v>4480.4767259999999</v>
      </c>
      <c r="GB19" s="40">
        <f t="shared" si="119"/>
        <v>4480.4767259999999</v>
      </c>
      <c r="GC19" s="40">
        <f t="shared" si="119"/>
        <v>4480.4767259999999</v>
      </c>
      <c r="GD19" s="40">
        <f t="shared" si="119"/>
        <v>4480.4767259999999</v>
      </c>
      <c r="GE19" s="40">
        <f t="shared" si="119"/>
        <v>4480.4767259999999</v>
      </c>
      <c r="GF19" s="40">
        <f t="shared" si="119"/>
        <v>4480.4767259999999</v>
      </c>
      <c r="GG19" s="40">
        <f t="shared" si="119"/>
        <v>4480.4767259999999</v>
      </c>
      <c r="GH19" s="40">
        <f t="shared" si="119"/>
        <v>4480.4767259999999</v>
      </c>
      <c r="GI19" s="40">
        <f t="shared" si="119"/>
        <v>4480.4767259999999</v>
      </c>
      <c r="GJ19" s="40">
        <f t="shared" si="119"/>
        <v>4480.4767259999999</v>
      </c>
      <c r="GK19" s="40">
        <f t="shared" si="119"/>
        <v>4480.4767259999999</v>
      </c>
      <c r="GL19" s="40">
        <f t="shared" si="119"/>
        <v>4480.4767259999999</v>
      </c>
      <c r="GM19" s="40">
        <f t="shared" si="119"/>
        <v>4480.4767259999999</v>
      </c>
      <c r="GN19" s="40">
        <f t="shared" si="119"/>
        <v>4480.4767259999999</v>
      </c>
      <c r="GO19" s="40">
        <f t="shared" si="119"/>
        <v>4480.4767259999999</v>
      </c>
      <c r="GP19" s="40">
        <f t="shared" si="119"/>
        <v>4480.4767259999999</v>
      </c>
      <c r="GQ19" s="40">
        <f t="shared" si="119"/>
        <v>4480.4767259999999</v>
      </c>
      <c r="GR19" s="40">
        <f t="shared" ref="GR19:IN19" si="120">$C$16</f>
        <v>4480.4767259999999</v>
      </c>
      <c r="GS19" s="40">
        <f t="shared" si="120"/>
        <v>4480.4767259999999</v>
      </c>
      <c r="GT19" s="40">
        <f t="shared" si="120"/>
        <v>4480.4767259999999</v>
      </c>
      <c r="GU19" s="40">
        <f t="shared" si="120"/>
        <v>4480.4767259999999</v>
      </c>
      <c r="GV19" s="40">
        <f t="shared" si="120"/>
        <v>4480.4767259999999</v>
      </c>
      <c r="GW19" s="40">
        <f t="shared" si="120"/>
        <v>4480.4767259999999</v>
      </c>
      <c r="GX19" s="40">
        <f t="shared" si="120"/>
        <v>4480.4767259999999</v>
      </c>
      <c r="GY19" s="40">
        <f t="shared" si="120"/>
        <v>4480.4767259999999</v>
      </c>
      <c r="GZ19" s="40">
        <f t="shared" si="120"/>
        <v>4480.4767259999999</v>
      </c>
      <c r="HA19" s="40">
        <f t="shared" si="120"/>
        <v>4480.4767259999999</v>
      </c>
      <c r="HB19" s="40">
        <f t="shared" si="120"/>
        <v>4480.4767259999999</v>
      </c>
      <c r="HC19" s="40">
        <f t="shared" si="120"/>
        <v>4480.4767259999999</v>
      </c>
      <c r="HD19" s="40">
        <f t="shared" si="120"/>
        <v>4480.4767259999999</v>
      </c>
      <c r="HE19" s="40">
        <f t="shared" si="120"/>
        <v>4480.4767259999999</v>
      </c>
      <c r="HF19" s="40">
        <f t="shared" si="120"/>
        <v>4480.4767259999999</v>
      </c>
      <c r="HG19" s="40">
        <f t="shared" si="120"/>
        <v>4480.4767259999999</v>
      </c>
      <c r="HH19" s="40">
        <f t="shared" si="120"/>
        <v>4480.4767259999999</v>
      </c>
      <c r="HI19" s="40">
        <f t="shared" si="120"/>
        <v>4480.4767259999999</v>
      </c>
      <c r="HJ19" s="40">
        <f t="shared" si="120"/>
        <v>4480.4767259999999</v>
      </c>
      <c r="HK19" s="40">
        <f t="shared" si="120"/>
        <v>4480.4767259999999</v>
      </c>
      <c r="HL19" s="40">
        <f t="shared" si="120"/>
        <v>4480.4767259999999</v>
      </c>
      <c r="HM19" s="40">
        <f t="shared" si="120"/>
        <v>4480.4767259999999</v>
      </c>
      <c r="HN19" s="40">
        <f t="shared" si="120"/>
        <v>4480.4767259999999</v>
      </c>
      <c r="HO19" s="40">
        <f t="shared" si="120"/>
        <v>4480.4767259999999</v>
      </c>
      <c r="HP19" s="40">
        <f t="shared" si="120"/>
        <v>4480.4767259999999</v>
      </c>
      <c r="HQ19" s="40">
        <f t="shared" si="120"/>
        <v>4480.4767259999999</v>
      </c>
      <c r="HR19" s="40">
        <f t="shared" si="120"/>
        <v>4480.4767259999999</v>
      </c>
      <c r="HS19" s="40">
        <f t="shared" si="120"/>
        <v>4480.4767259999999</v>
      </c>
      <c r="HT19" s="40">
        <f t="shared" si="120"/>
        <v>4480.4767259999999</v>
      </c>
      <c r="HU19" s="40">
        <f t="shared" si="120"/>
        <v>4480.4767259999999</v>
      </c>
      <c r="HV19" s="40">
        <f t="shared" si="120"/>
        <v>4480.4767259999999</v>
      </c>
      <c r="HW19" s="40">
        <f t="shared" si="120"/>
        <v>4480.4767259999999</v>
      </c>
      <c r="HX19" s="40">
        <f t="shared" si="120"/>
        <v>4480.4767259999999</v>
      </c>
      <c r="HY19" s="40">
        <f t="shared" si="120"/>
        <v>4480.4767259999999</v>
      </c>
      <c r="HZ19" s="40">
        <f t="shared" si="120"/>
        <v>4480.4767259999999</v>
      </c>
      <c r="IA19" s="40">
        <f t="shared" si="120"/>
        <v>4480.4767259999999</v>
      </c>
      <c r="IB19" s="40">
        <f t="shared" si="120"/>
        <v>4480.4767259999999</v>
      </c>
      <c r="IC19" s="40">
        <f t="shared" si="120"/>
        <v>4480.4767259999999</v>
      </c>
      <c r="ID19" s="40">
        <f t="shared" si="120"/>
        <v>4480.4767259999999</v>
      </c>
      <c r="IE19" s="40">
        <f t="shared" si="120"/>
        <v>4480.4767259999999</v>
      </c>
      <c r="IF19" s="40">
        <f t="shared" si="120"/>
        <v>4480.4767259999999</v>
      </c>
      <c r="IG19" s="40">
        <f t="shared" si="120"/>
        <v>4480.4767259999999</v>
      </c>
      <c r="IH19" s="40">
        <f t="shared" si="120"/>
        <v>4480.4767259999999</v>
      </c>
      <c r="II19" s="40">
        <f t="shared" si="120"/>
        <v>4480.4767259999999</v>
      </c>
      <c r="IJ19" s="40">
        <f t="shared" si="120"/>
        <v>4480.4767259999999</v>
      </c>
      <c r="IK19" s="40">
        <f t="shared" si="120"/>
        <v>4480.4767259999999</v>
      </c>
      <c r="IL19" s="40">
        <f t="shared" si="120"/>
        <v>4480.4767259999999</v>
      </c>
      <c r="IM19" s="40">
        <f t="shared" si="120"/>
        <v>4480.4767259999999</v>
      </c>
      <c r="IN19" s="40">
        <f t="shared" si="120"/>
        <v>4480.4767259999999</v>
      </c>
    </row>
    <row r="20" spans="2:248" x14ac:dyDescent="0.3">
      <c r="B20" s="19" t="s">
        <v>490</v>
      </c>
      <c r="C20" s="42">
        <v>0.4</v>
      </c>
      <c r="F20" s="19" t="s">
        <v>552</v>
      </c>
      <c r="G20" s="40">
        <f>G9*$C$15</f>
        <v>18.048028311425682</v>
      </c>
      <c r="H20" s="40">
        <f t="shared" ref="H20:BS20" ca="1" si="121">H9*$C$15</f>
        <v>25.516177957532861</v>
      </c>
      <c r="I20" s="40">
        <f t="shared" ca="1" si="121"/>
        <v>32.206395348837205</v>
      </c>
      <c r="J20" s="40">
        <f t="shared" ca="1" si="121"/>
        <v>42.630687563195146</v>
      </c>
      <c r="K20" s="40">
        <f t="shared" ca="1" si="121"/>
        <v>50.098837209302324</v>
      </c>
      <c r="L20" s="40">
        <f t="shared" ca="1" si="121"/>
        <v>59.74519716885743</v>
      </c>
      <c r="M20" s="40">
        <f t="shared" ca="1" si="121"/>
        <v>71.414180990899894</v>
      </c>
      <c r="N20" s="40">
        <f t="shared" ca="1" si="121"/>
        <v>91.48483316481294</v>
      </c>
      <c r="O20" s="40">
        <f t="shared" ca="1" si="121"/>
        <v>124.31357431749241</v>
      </c>
      <c r="P20" s="40">
        <f t="shared" ca="1" si="121"/>
        <v>175.9682760364004</v>
      </c>
      <c r="Q20" s="40">
        <f t="shared" ca="1" si="121"/>
        <v>206.61880687563195</v>
      </c>
      <c r="R20" s="40">
        <f t="shared" ca="1" si="121"/>
        <v>197.75037917087968</v>
      </c>
      <c r="S20" s="40">
        <f t="shared" ca="1" si="121"/>
        <v>262.16316986855406</v>
      </c>
      <c r="T20" s="40">
        <f t="shared" ca="1" si="121"/>
        <v>357.22649140546002</v>
      </c>
      <c r="U20" s="40">
        <f t="shared" ca="1" si="121"/>
        <v>349.29158240647115</v>
      </c>
      <c r="V20" s="40">
        <f t="shared" ca="1" si="121"/>
        <v>540.50733063700704</v>
      </c>
      <c r="W20" s="40">
        <f t="shared" ca="1" si="121"/>
        <v>683.80245197168858</v>
      </c>
      <c r="X20" s="40">
        <f t="shared" ca="1" si="121"/>
        <v>768.13030839231544</v>
      </c>
      <c r="Y20" s="40">
        <f t="shared" ca="1" si="121"/>
        <v>883.88662790697674</v>
      </c>
      <c r="Z20" s="40">
        <f t="shared" ca="1" si="121"/>
        <v>1048.4970930232557</v>
      </c>
      <c r="AA20" s="40">
        <f t="shared" ca="1" si="121"/>
        <v>1200.9718149646108</v>
      </c>
      <c r="AB20" s="40">
        <f t="shared" ca="1" si="121"/>
        <v>1511.5223710819009</v>
      </c>
      <c r="AC20" s="40">
        <f t="shared" ca="1" si="121"/>
        <v>1915.8915571284124</v>
      </c>
      <c r="AD20" s="40">
        <f t="shared" ca="1" si="121"/>
        <v>2179.4550050556118</v>
      </c>
      <c r="AE20" s="40">
        <f t="shared" ca="1" si="121"/>
        <v>2390.1190596562183</v>
      </c>
      <c r="AF20" s="40">
        <f t="shared" ca="1" si="121"/>
        <v>2850.2484271769913</v>
      </c>
      <c r="AG20" s="40">
        <f t="shared" ca="1" si="121"/>
        <v>3398.9587522026673</v>
      </c>
      <c r="AH20" s="40">
        <f t="shared" ca="1" si="121"/>
        <v>4053.3030345771026</v>
      </c>
      <c r="AI20" s="40">
        <f t="shared" ca="1" si="121"/>
        <v>4833.6172009928332</v>
      </c>
      <c r="AJ20" s="40">
        <f t="shared" ca="1" si="121"/>
        <v>5764.1521116053027</v>
      </c>
      <c r="AK20" s="40">
        <f t="shared" ca="1" si="121"/>
        <v>6873.8272362361076</v>
      </c>
      <c r="AL20" s="40">
        <f t="shared" ca="1" si="121"/>
        <v>8197.1294231620232</v>
      </c>
      <c r="AM20" s="40">
        <f t="shared" ca="1" si="121"/>
        <v>9775.1846927216757</v>
      </c>
      <c r="AN20" s="40">
        <f t="shared" ca="1" si="121"/>
        <v>11657.036365293883</v>
      </c>
      <c r="AO20" s="40">
        <f t="shared" ca="1" si="121"/>
        <v>13901.169245729061</v>
      </c>
      <c r="AP20" s="40">
        <f t="shared" ca="1" si="121"/>
        <v>16577.327233338492</v>
      </c>
      <c r="AQ20" s="40">
        <f t="shared" ca="1" si="121"/>
        <v>19768.68084572216</v>
      </c>
      <c r="AR20" s="40">
        <f t="shared" ca="1" si="121"/>
        <v>23574.412019453102</v>
      </c>
      <c r="AS20" s="40">
        <f t="shared" ca="1" si="121"/>
        <v>28112.796518903637</v>
      </c>
      <c r="AT20" s="40">
        <f t="shared" ca="1" si="121"/>
        <v>33524.879749328109</v>
      </c>
      <c r="AU20" s="40">
        <f t="shared" ca="1" si="121"/>
        <v>39978.860212329426</v>
      </c>
      <c r="AV20" s="40">
        <f t="shared" ca="1" si="121"/>
        <v>47675.316834179226</v>
      </c>
      <c r="AW20" s="40">
        <f t="shared" ca="1" si="121"/>
        <v>56853.442623619449</v>
      </c>
      <c r="AX20" s="40">
        <f t="shared" ca="1" si="121"/>
        <v>67798.478390811433</v>
      </c>
      <c r="AY20" s="40">
        <f t="shared" ca="1" si="121"/>
        <v>80850.577554993622</v>
      </c>
      <c r="AZ20" s="40">
        <f t="shared" ca="1" si="121"/>
        <v>96415.377544254123</v>
      </c>
      <c r="BA20" s="40">
        <f t="shared" ca="1" si="121"/>
        <v>114976.60632885499</v>
      </c>
      <c r="BB20" s="40">
        <f t="shared" ca="1" si="121"/>
        <v>137111.11587809495</v>
      </c>
      <c r="BC20" s="40">
        <f t="shared" ca="1" si="121"/>
        <v>163506.80975542407</v>
      </c>
      <c r="BD20" s="40">
        <f t="shared" ca="1" si="121"/>
        <v>194984.02201150468</v>
      </c>
      <c r="BE20" s="40">
        <f t="shared" ca="1" si="121"/>
        <v>232521.0117954842</v>
      </c>
      <c r="BF20" s="40">
        <f t="shared" ca="1" si="121"/>
        <v>277284.36601438874</v>
      </c>
      <c r="BG20" s="40">
        <f t="shared" ca="1" si="121"/>
        <v>330665.25490448053</v>
      </c>
      <c r="BH20" s="40">
        <f t="shared" ca="1" si="121"/>
        <v>394322.66727714206</v>
      </c>
      <c r="BI20" s="40">
        <f t="shared" ca="1" si="121"/>
        <v>470234.96911847073</v>
      </c>
      <c r="BJ20" s="40">
        <f t="shared" ca="1" si="121"/>
        <v>560761.38789768983</v>
      </c>
      <c r="BK20" s="40">
        <f t="shared" ca="1" si="121"/>
        <v>668715.33341392176</v>
      </c>
      <c r="BL20" s="40">
        <f t="shared" ca="1" si="121"/>
        <v>797451.83387070149</v>
      </c>
      <c r="BM20" s="40">
        <f t="shared" ca="1" si="121"/>
        <v>950971.80454529356</v>
      </c>
      <c r="BN20" s="40">
        <f t="shared" ca="1" si="121"/>
        <v>1134046.389548792</v>
      </c>
      <c r="BO20" s="40">
        <f t="shared" ca="1" si="121"/>
        <v>1352365.2410110938</v>
      </c>
      <c r="BP20" s="40">
        <f t="shared" ca="1" si="121"/>
        <v>1612713.3439599967</v>
      </c>
      <c r="BQ20" s="40">
        <f t="shared" ca="1" si="121"/>
        <v>1923181.8823161393</v>
      </c>
      <c r="BR20" s="40">
        <f t="shared" ca="1" si="121"/>
        <v>2293419.6993664815</v>
      </c>
      <c r="BS20" s="40">
        <f t="shared" ca="1" si="121"/>
        <v>2734933.16768758</v>
      </c>
      <c r="BT20" s="40">
        <f t="shared" ref="BT20:EE20" ca="1" si="122">BT9*$C$15</f>
        <v>3261443.7879747036</v>
      </c>
      <c r="BU20" s="40">
        <f t="shared" ca="1" si="122"/>
        <v>3889314.6303507332</v>
      </c>
      <c r="BV20" s="40">
        <f t="shared" ca="1" si="122"/>
        <v>4224857.4085439844</v>
      </c>
      <c r="BW20" s="40">
        <f t="shared" ca="1" si="122"/>
        <v>4224857.4085439844</v>
      </c>
      <c r="BX20" s="40">
        <f t="shared" ca="1" si="122"/>
        <v>4224857.4085439844</v>
      </c>
      <c r="BY20" s="40">
        <f t="shared" ca="1" si="122"/>
        <v>4224857.4085439844</v>
      </c>
      <c r="BZ20" s="40">
        <f t="shared" ca="1" si="122"/>
        <v>4224857.4085439844</v>
      </c>
      <c r="CA20" s="40">
        <f t="shared" ca="1" si="122"/>
        <v>4224857.4085439844</v>
      </c>
      <c r="CB20" s="40">
        <f t="shared" ca="1" si="122"/>
        <v>4224857.4085439844</v>
      </c>
      <c r="CC20" s="40">
        <f t="shared" ca="1" si="122"/>
        <v>4224857.4085439844</v>
      </c>
      <c r="CD20" s="40">
        <f t="shared" ca="1" si="122"/>
        <v>4224857.4085439844</v>
      </c>
      <c r="CE20" s="40">
        <f t="shared" ca="1" si="122"/>
        <v>4224857.4085439844</v>
      </c>
      <c r="CF20" s="40">
        <f t="shared" ca="1" si="122"/>
        <v>4224857.4085439844</v>
      </c>
      <c r="CG20" s="40">
        <f t="shared" ca="1" si="122"/>
        <v>4224857.4085439844</v>
      </c>
      <c r="CH20" s="40">
        <f t="shared" ca="1" si="122"/>
        <v>4224857.4085439844</v>
      </c>
      <c r="CI20" s="40">
        <f t="shared" ca="1" si="122"/>
        <v>4224857.4085439844</v>
      </c>
      <c r="CJ20" s="40">
        <f t="shared" ca="1" si="122"/>
        <v>4224857.4085439844</v>
      </c>
      <c r="CK20" s="40">
        <f t="shared" ca="1" si="122"/>
        <v>4224857.4085439844</v>
      </c>
      <c r="CL20" s="40">
        <f t="shared" ca="1" si="122"/>
        <v>4224857.4085439844</v>
      </c>
      <c r="CM20" s="40">
        <f t="shared" ca="1" si="122"/>
        <v>4224857.4085439844</v>
      </c>
      <c r="CN20" s="40">
        <f t="shared" ca="1" si="122"/>
        <v>4224857.4085439844</v>
      </c>
      <c r="CO20" s="40">
        <f t="shared" ca="1" si="122"/>
        <v>4224857.4085439844</v>
      </c>
      <c r="CP20" s="40">
        <f t="shared" ca="1" si="122"/>
        <v>4224857.4085439844</v>
      </c>
      <c r="CQ20" s="40">
        <f t="shared" ca="1" si="122"/>
        <v>4224857.4085439844</v>
      </c>
      <c r="CR20" s="40">
        <f t="shared" ca="1" si="122"/>
        <v>4224857.4085439844</v>
      </c>
      <c r="CS20" s="40">
        <f t="shared" ca="1" si="122"/>
        <v>4224857.4085439844</v>
      </c>
      <c r="CT20" s="40">
        <f t="shared" ca="1" si="122"/>
        <v>4224857.4085439844</v>
      </c>
      <c r="CU20" s="40">
        <f t="shared" ca="1" si="122"/>
        <v>4224857.4085439844</v>
      </c>
      <c r="CV20" s="40">
        <f t="shared" ca="1" si="122"/>
        <v>4224857.4085439844</v>
      </c>
      <c r="CW20" s="40">
        <f t="shared" ca="1" si="122"/>
        <v>4224857.4085439844</v>
      </c>
      <c r="CX20" s="40">
        <f t="shared" ca="1" si="122"/>
        <v>4224857.4085439844</v>
      </c>
      <c r="CY20" s="40">
        <f t="shared" ca="1" si="122"/>
        <v>4224857.4085439844</v>
      </c>
      <c r="CZ20" s="40">
        <f t="shared" ca="1" si="122"/>
        <v>4224857.4085439844</v>
      </c>
      <c r="DA20" s="40">
        <f t="shared" ca="1" si="122"/>
        <v>4224857.4085439844</v>
      </c>
      <c r="DB20" s="40">
        <f t="shared" ca="1" si="122"/>
        <v>4224857.4085439844</v>
      </c>
      <c r="DC20" s="40">
        <f t="shared" ca="1" si="122"/>
        <v>4224857.4085439844</v>
      </c>
      <c r="DD20" s="40">
        <f t="shared" ca="1" si="122"/>
        <v>4224857.4085439844</v>
      </c>
      <c r="DE20" s="40">
        <f t="shared" ca="1" si="122"/>
        <v>4224857.4085439844</v>
      </c>
      <c r="DF20" s="40">
        <f t="shared" ca="1" si="122"/>
        <v>4224857.4085439844</v>
      </c>
      <c r="DG20" s="40">
        <f t="shared" ca="1" si="122"/>
        <v>4224857.4085439844</v>
      </c>
      <c r="DH20" s="40">
        <f t="shared" ca="1" si="122"/>
        <v>4224857.4085439844</v>
      </c>
      <c r="DI20" s="40">
        <f t="shared" ca="1" si="122"/>
        <v>4224857.4085439844</v>
      </c>
      <c r="DJ20" s="40">
        <f t="shared" ca="1" si="122"/>
        <v>4224857.4085439844</v>
      </c>
      <c r="DK20" s="40">
        <f t="shared" ca="1" si="122"/>
        <v>4224857.4085439844</v>
      </c>
      <c r="DL20" s="40">
        <f t="shared" ca="1" si="122"/>
        <v>4224857.4085439844</v>
      </c>
      <c r="DM20" s="40">
        <f t="shared" ca="1" si="122"/>
        <v>4224857.4085439844</v>
      </c>
      <c r="DN20" s="40">
        <f t="shared" ca="1" si="122"/>
        <v>4224857.4085439844</v>
      </c>
      <c r="DO20" s="40">
        <f t="shared" ca="1" si="122"/>
        <v>4224857.4085439844</v>
      </c>
      <c r="DP20" s="40">
        <f t="shared" ca="1" si="122"/>
        <v>4224857.4085439844</v>
      </c>
      <c r="DQ20" s="40">
        <f t="shared" ca="1" si="122"/>
        <v>4224857.4085439844</v>
      </c>
      <c r="DR20" s="40">
        <f t="shared" ca="1" si="122"/>
        <v>4224857.4085439844</v>
      </c>
      <c r="DS20" s="40">
        <f t="shared" ca="1" si="122"/>
        <v>4224857.4085439844</v>
      </c>
      <c r="DT20" s="40">
        <f t="shared" ca="1" si="122"/>
        <v>4224857.4085439844</v>
      </c>
      <c r="DU20" s="40">
        <f t="shared" ca="1" si="122"/>
        <v>4224857.4085439844</v>
      </c>
      <c r="DV20" s="40">
        <f t="shared" ca="1" si="122"/>
        <v>4224857.4085439844</v>
      </c>
      <c r="DW20" s="40">
        <f t="shared" ca="1" si="122"/>
        <v>4224857.4085439844</v>
      </c>
      <c r="DX20" s="40">
        <f t="shared" ca="1" si="122"/>
        <v>4224857.4085439844</v>
      </c>
      <c r="DY20" s="40">
        <f t="shared" ca="1" si="122"/>
        <v>4224857.4085439844</v>
      </c>
      <c r="DZ20" s="40">
        <f t="shared" ca="1" si="122"/>
        <v>4224857.4085439844</v>
      </c>
      <c r="EA20" s="40">
        <f t="shared" ca="1" si="122"/>
        <v>4224857.4085439844</v>
      </c>
      <c r="EB20" s="40">
        <f t="shared" ca="1" si="122"/>
        <v>4224857.4085439844</v>
      </c>
      <c r="EC20" s="40">
        <f t="shared" ca="1" si="122"/>
        <v>4224857.4085439844</v>
      </c>
      <c r="ED20" s="40">
        <f t="shared" ca="1" si="122"/>
        <v>4224857.4085439844</v>
      </c>
      <c r="EE20" s="40">
        <f t="shared" ca="1" si="122"/>
        <v>4224857.4085439844</v>
      </c>
      <c r="EF20" s="40">
        <f t="shared" ref="EF20:GQ20" ca="1" si="123">EF9*$C$15</f>
        <v>4224857.4085439844</v>
      </c>
      <c r="EG20" s="40">
        <f t="shared" ca="1" si="123"/>
        <v>4224857.4085439844</v>
      </c>
      <c r="EH20" s="40">
        <f t="shared" ca="1" si="123"/>
        <v>4224857.4085439844</v>
      </c>
      <c r="EI20" s="40">
        <f t="shared" ca="1" si="123"/>
        <v>4224857.4085439844</v>
      </c>
      <c r="EJ20" s="40">
        <f t="shared" ca="1" si="123"/>
        <v>4224857.4085439844</v>
      </c>
      <c r="EK20" s="40">
        <f t="shared" ca="1" si="123"/>
        <v>4224857.4085439844</v>
      </c>
      <c r="EL20" s="40">
        <f t="shared" ca="1" si="123"/>
        <v>4224857.4085439844</v>
      </c>
      <c r="EM20" s="40">
        <f t="shared" ca="1" si="123"/>
        <v>4224857.4085439844</v>
      </c>
      <c r="EN20" s="40">
        <f t="shared" ca="1" si="123"/>
        <v>4224857.4085439844</v>
      </c>
      <c r="EO20" s="40">
        <f t="shared" ca="1" si="123"/>
        <v>4224857.4085439844</v>
      </c>
      <c r="EP20" s="40">
        <f t="shared" ca="1" si="123"/>
        <v>4224857.4085439844</v>
      </c>
      <c r="EQ20" s="40">
        <f t="shared" ca="1" si="123"/>
        <v>4224857.4085439844</v>
      </c>
      <c r="ER20" s="40">
        <f t="shared" ca="1" si="123"/>
        <v>4224857.4085439844</v>
      </c>
      <c r="ES20" s="40">
        <f t="shared" ca="1" si="123"/>
        <v>4224857.4085439844</v>
      </c>
      <c r="ET20" s="40">
        <f t="shared" ca="1" si="123"/>
        <v>4224857.4085439844</v>
      </c>
      <c r="EU20" s="40">
        <f t="shared" ca="1" si="123"/>
        <v>4224857.4085439844</v>
      </c>
      <c r="EV20" s="40">
        <f t="shared" ca="1" si="123"/>
        <v>4224857.4085439844</v>
      </c>
      <c r="EW20" s="40">
        <f t="shared" ca="1" si="123"/>
        <v>4224857.4085439844</v>
      </c>
      <c r="EX20" s="40">
        <f t="shared" ca="1" si="123"/>
        <v>4224857.4085439844</v>
      </c>
      <c r="EY20" s="40">
        <f t="shared" ca="1" si="123"/>
        <v>4224857.4085439844</v>
      </c>
      <c r="EZ20" s="40">
        <f t="shared" ca="1" si="123"/>
        <v>4224857.4085439844</v>
      </c>
      <c r="FA20" s="40">
        <f t="shared" ca="1" si="123"/>
        <v>4224857.4085439844</v>
      </c>
      <c r="FB20" s="40">
        <f t="shared" ca="1" si="123"/>
        <v>4224857.4085439844</v>
      </c>
      <c r="FC20" s="40">
        <f t="shared" ca="1" si="123"/>
        <v>4224857.4085439844</v>
      </c>
      <c r="FD20" s="40">
        <f t="shared" ca="1" si="123"/>
        <v>4224857.4085439844</v>
      </c>
      <c r="FE20" s="40">
        <f t="shared" ca="1" si="123"/>
        <v>4224857.4085439844</v>
      </c>
      <c r="FF20" s="40">
        <f t="shared" ca="1" si="123"/>
        <v>4224857.4085439844</v>
      </c>
      <c r="FG20" s="40">
        <f t="shared" ca="1" si="123"/>
        <v>4224857.4085439844</v>
      </c>
      <c r="FH20" s="40">
        <f t="shared" ca="1" si="123"/>
        <v>4224857.4085439844</v>
      </c>
      <c r="FI20" s="40">
        <f t="shared" ca="1" si="123"/>
        <v>4224857.4085439844</v>
      </c>
      <c r="FJ20" s="40">
        <f t="shared" ca="1" si="123"/>
        <v>4224857.4085439844</v>
      </c>
      <c r="FK20" s="40">
        <f t="shared" ca="1" si="123"/>
        <v>4224857.4085439844</v>
      </c>
      <c r="FL20" s="40">
        <f t="shared" ca="1" si="123"/>
        <v>4224857.4085439844</v>
      </c>
      <c r="FM20" s="40">
        <f t="shared" ca="1" si="123"/>
        <v>4224857.4085439844</v>
      </c>
      <c r="FN20" s="40">
        <f t="shared" ca="1" si="123"/>
        <v>4224857.4085439844</v>
      </c>
      <c r="FO20" s="40">
        <f t="shared" ca="1" si="123"/>
        <v>4224857.4085439844</v>
      </c>
      <c r="FP20" s="40">
        <f t="shared" ca="1" si="123"/>
        <v>4224857.4085439844</v>
      </c>
      <c r="FQ20" s="40">
        <f t="shared" ca="1" si="123"/>
        <v>4224857.4085439844</v>
      </c>
      <c r="FR20" s="40">
        <f t="shared" ca="1" si="123"/>
        <v>4224857.4085439844</v>
      </c>
      <c r="FS20" s="40">
        <f t="shared" ca="1" si="123"/>
        <v>4224857.4085439844</v>
      </c>
      <c r="FT20" s="40">
        <f t="shared" ca="1" si="123"/>
        <v>4224857.4085439844</v>
      </c>
      <c r="FU20" s="40">
        <f t="shared" ca="1" si="123"/>
        <v>4224857.4085439844</v>
      </c>
      <c r="FV20" s="40">
        <f t="shared" ca="1" si="123"/>
        <v>4224857.4085439844</v>
      </c>
      <c r="FW20" s="40">
        <f t="shared" ca="1" si="123"/>
        <v>4224857.4085439844</v>
      </c>
      <c r="FX20" s="40">
        <f t="shared" ca="1" si="123"/>
        <v>4224857.4085439844</v>
      </c>
      <c r="FY20" s="40">
        <f t="shared" ca="1" si="123"/>
        <v>4224857.4085439844</v>
      </c>
      <c r="FZ20" s="40">
        <f t="shared" ca="1" si="123"/>
        <v>4224857.4085439844</v>
      </c>
      <c r="GA20" s="40">
        <f t="shared" ca="1" si="123"/>
        <v>4224857.4085439844</v>
      </c>
      <c r="GB20" s="40">
        <f t="shared" ca="1" si="123"/>
        <v>4224857.4085439844</v>
      </c>
      <c r="GC20" s="40">
        <f t="shared" ca="1" si="123"/>
        <v>4224857.4085439844</v>
      </c>
      <c r="GD20" s="40">
        <f t="shared" ca="1" si="123"/>
        <v>4224857.4085439844</v>
      </c>
      <c r="GE20" s="40">
        <f t="shared" ca="1" si="123"/>
        <v>4224857.4085439844</v>
      </c>
      <c r="GF20" s="40">
        <f t="shared" ca="1" si="123"/>
        <v>4224857.4085439844</v>
      </c>
      <c r="GG20" s="40">
        <f t="shared" ca="1" si="123"/>
        <v>4224857.4085439844</v>
      </c>
      <c r="GH20" s="40">
        <f t="shared" ca="1" si="123"/>
        <v>4224857.4085439844</v>
      </c>
      <c r="GI20" s="40">
        <f t="shared" ca="1" si="123"/>
        <v>4224857.4085439844</v>
      </c>
      <c r="GJ20" s="40">
        <f t="shared" ca="1" si="123"/>
        <v>4224857.4085439844</v>
      </c>
      <c r="GK20" s="40">
        <f t="shared" ca="1" si="123"/>
        <v>4224857.4085439844</v>
      </c>
      <c r="GL20" s="40">
        <f t="shared" ca="1" si="123"/>
        <v>4224857.4085439844</v>
      </c>
      <c r="GM20" s="40">
        <f t="shared" ca="1" si="123"/>
        <v>4224857.4085439844</v>
      </c>
      <c r="GN20" s="40">
        <f t="shared" ca="1" si="123"/>
        <v>4224857.4085439844</v>
      </c>
      <c r="GO20" s="40">
        <f t="shared" ca="1" si="123"/>
        <v>4224857.4085439844</v>
      </c>
      <c r="GP20" s="40">
        <f t="shared" ca="1" si="123"/>
        <v>4224857.4085439844</v>
      </c>
      <c r="GQ20" s="40">
        <f t="shared" ca="1" si="123"/>
        <v>4224857.4085439844</v>
      </c>
      <c r="GR20" s="40">
        <f t="shared" ref="GR20:IN20" ca="1" si="124">GR9*$C$15</f>
        <v>4224857.4085439844</v>
      </c>
      <c r="GS20" s="40">
        <f t="shared" ca="1" si="124"/>
        <v>4224857.4085439844</v>
      </c>
      <c r="GT20" s="40">
        <f t="shared" ca="1" si="124"/>
        <v>4224857.4085439844</v>
      </c>
      <c r="GU20" s="40">
        <f t="shared" ca="1" si="124"/>
        <v>4224857.4085439844</v>
      </c>
      <c r="GV20" s="40">
        <f t="shared" ca="1" si="124"/>
        <v>4224857.4085439844</v>
      </c>
      <c r="GW20" s="40">
        <f t="shared" ca="1" si="124"/>
        <v>4224857.4085439844</v>
      </c>
      <c r="GX20" s="40">
        <f t="shared" ca="1" si="124"/>
        <v>4224857.4085439844</v>
      </c>
      <c r="GY20" s="40">
        <f t="shared" ca="1" si="124"/>
        <v>4224857.4085439844</v>
      </c>
      <c r="GZ20" s="40">
        <f t="shared" ca="1" si="124"/>
        <v>4224857.4085439844</v>
      </c>
      <c r="HA20" s="40">
        <f t="shared" ca="1" si="124"/>
        <v>4224857.4085439844</v>
      </c>
      <c r="HB20" s="40">
        <f t="shared" ca="1" si="124"/>
        <v>4224857.4085439844</v>
      </c>
      <c r="HC20" s="40">
        <f t="shared" ca="1" si="124"/>
        <v>4224857.4085439844</v>
      </c>
      <c r="HD20" s="40">
        <f t="shared" ca="1" si="124"/>
        <v>4224857.4085439844</v>
      </c>
      <c r="HE20" s="40">
        <f t="shared" ca="1" si="124"/>
        <v>4224857.4085439844</v>
      </c>
      <c r="HF20" s="40">
        <f t="shared" ca="1" si="124"/>
        <v>4224857.4085439844</v>
      </c>
      <c r="HG20" s="40">
        <f t="shared" ca="1" si="124"/>
        <v>4224857.4085439844</v>
      </c>
      <c r="HH20" s="40">
        <f t="shared" ca="1" si="124"/>
        <v>4224857.4085439844</v>
      </c>
      <c r="HI20" s="40">
        <f t="shared" ca="1" si="124"/>
        <v>4224857.4085439844</v>
      </c>
      <c r="HJ20" s="40">
        <f t="shared" ca="1" si="124"/>
        <v>4224857.4085439844</v>
      </c>
      <c r="HK20" s="40">
        <f t="shared" ca="1" si="124"/>
        <v>4224857.4085439844</v>
      </c>
      <c r="HL20" s="40">
        <f t="shared" ca="1" si="124"/>
        <v>4224857.4085439844</v>
      </c>
      <c r="HM20" s="40">
        <f t="shared" ca="1" si="124"/>
        <v>4224857.4085439844</v>
      </c>
      <c r="HN20" s="40">
        <f t="shared" ca="1" si="124"/>
        <v>4224857.4085439844</v>
      </c>
      <c r="HO20" s="40">
        <f t="shared" ca="1" si="124"/>
        <v>4224857.4085439844</v>
      </c>
      <c r="HP20" s="40">
        <f t="shared" ca="1" si="124"/>
        <v>4224857.4085439844</v>
      </c>
      <c r="HQ20" s="40">
        <f t="shared" ca="1" si="124"/>
        <v>4224857.4085439844</v>
      </c>
      <c r="HR20" s="40">
        <f t="shared" ca="1" si="124"/>
        <v>4224857.4085439844</v>
      </c>
      <c r="HS20" s="40">
        <f t="shared" ca="1" si="124"/>
        <v>4224857.4085439844</v>
      </c>
      <c r="HT20" s="40">
        <f t="shared" ca="1" si="124"/>
        <v>4224857.4085439844</v>
      </c>
      <c r="HU20" s="40">
        <f t="shared" ca="1" si="124"/>
        <v>4224857.4085439844</v>
      </c>
      <c r="HV20" s="40">
        <f t="shared" ca="1" si="124"/>
        <v>4224857.4085439844</v>
      </c>
      <c r="HW20" s="40">
        <f t="shared" ca="1" si="124"/>
        <v>4224857.4085439844</v>
      </c>
      <c r="HX20" s="40">
        <f t="shared" ca="1" si="124"/>
        <v>4224857.4085439844</v>
      </c>
      <c r="HY20" s="40">
        <f t="shared" ca="1" si="124"/>
        <v>4224857.4085439844</v>
      </c>
      <c r="HZ20" s="40">
        <f t="shared" ca="1" si="124"/>
        <v>4224857.4085439844</v>
      </c>
      <c r="IA20" s="40">
        <f t="shared" ca="1" si="124"/>
        <v>4224857.4085439844</v>
      </c>
      <c r="IB20" s="40">
        <f t="shared" ca="1" si="124"/>
        <v>4224857.4085439844</v>
      </c>
      <c r="IC20" s="40">
        <f t="shared" ca="1" si="124"/>
        <v>4224857.4085439844</v>
      </c>
      <c r="ID20" s="40">
        <f t="shared" ca="1" si="124"/>
        <v>4224857.4085439844</v>
      </c>
      <c r="IE20" s="40">
        <f t="shared" ca="1" si="124"/>
        <v>4224857.4085439844</v>
      </c>
      <c r="IF20" s="40">
        <f t="shared" ca="1" si="124"/>
        <v>4224857.4085439844</v>
      </c>
      <c r="IG20" s="40">
        <f t="shared" ca="1" si="124"/>
        <v>4224857.4085439844</v>
      </c>
      <c r="IH20" s="40">
        <f t="shared" ca="1" si="124"/>
        <v>4224857.4085439844</v>
      </c>
      <c r="II20" s="40">
        <f t="shared" ca="1" si="124"/>
        <v>4224857.4085439844</v>
      </c>
      <c r="IJ20" s="40">
        <f t="shared" ca="1" si="124"/>
        <v>4224857.4085439844</v>
      </c>
      <c r="IK20" s="40">
        <f t="shared" ca="1" si="124"/>
        <v>4224857.4085439844</v>
      </c>
      <c r="IL20" s="40">
        <f t="shared" ca="1" si="124"/>
        <v>4224857.4085439844</v>
      </c>
      <c r="IM20" s="40">
        <f t="shared" ca="1" si="124"/>
        <v>4224857.4085439844</v>
      </c>
      <c r="IN20" s="40">
        <f t="shared" ca="1" si="124"/>
        <v>4224857.4085439844</v>
      </c>
    </row>
    <row r="21" spans="2:248" x14ac:dyDescent="0.3">
      <c r="B21" s="19" t="s">
        <v>491</v>
      </c>
      <c r="C21" s="40">
        <f>C20*C19</f>
        <v>27154404.400000002</v>
      </c>
      <c r="F21" s="19" t="s">
        <v>493</v>
      </c>
      <c r="G21" s="40">
        <f>G10*$C$15</f>
        <v>18.048028311425682</v>
      </c>
      <c r="H21" s="40">
        <f t="shared" ref="H21:BS22" ca="1" si="125">H10*$C$15</f>
        <v>25.516177957532861</v>
      </c>
      <c r="I21" s="40">
        <f t="shared" ca="1" si="125"/>
        <v>32.206395348837205</v>
      </c>
      <c r="J21" s="40">
        <f t="shared" ca="1" si="125"/>
        <v>42.630687563195146</v>
      </c>
      <c r="K21" s="40">
        <f t="shared" ca="1" si="125"/>
        <v>50.098837209302324</v>
      </c>
      <c r="L21" s="40">
        <f t="shared" ca="1" si="125"/>
        <v>59.74519716885743</v>
      </c>
      <c r="M21" s="40">
        <f t="shared" ca="1" si="125"/>
        <v>71.414180990899894</v>
      </c>
      <c r="N21" s="40">
        <f t="shared" ca="1" si="125"/>
        <v>91.48483316481294</v>
      </c>
      <c r="O21" s="40">
        <f t="shared" ca="1" si="125"/>
        <v>124.31357431749241</v>
      </c>
      <c r="P21" s="40">
        <f t="shared" ca="1" si="125"/>
        <v>175.9682760364004</v>
      </c>
      <c r="Q21" s="40">
        <f t="shared" ca="1" si="125"/>
        <v>206.61880687563195</v>
      </c>
      <c r="R21" s="40">
        <f t="shared" ca="1" si="125"/>
        <v>197.75037917087968</v>
      </c>
      <c r="S21" s="40">
        <f t="shared" ca="1" si="125"/>
        <v>262.16316986855406</v>
      </c>
      <c r="T21" s="40">
        <f t="shared" ca="1" si="125"/>
        <v>357.22649140546002</v>
      </c>
      <c r="U21" s="40">
        <f t="shared" ca="1" si="125"/>
        <v>349.29158240647115</v>
      </c>
      <c r="V21" s="40">
        <f t="shared" ca="1" si="125"/>
        <v>540.50733063700704</v>
      </c>
      <c r="W21" s="40">
        <f t="shared" ca="1" si="125"/>
        <v>683.80245197168858</v>
      </c>
      <c r="X21" s="40">
        <f t="shared" ca="1" si="125"/>
        <v>768.13030839231544</v>
      </c>
      <c r="Y21" s="40">
        <f t="shared" ca="1" si="125"/>
        <v>883.88662790697674</v>
      </c>
      <c r="Z21" s="40">
        <f t="shared" ca="1" si="125"/>
        <v>1048.4970930232557</v>
      </c>
      <c r="AA21" s="40">
        <f t="shared" ca="1" si="125"/>
        <v>1200.9718149646108</v>
      </c>
      <c r="AB21" s="40">
        <f t="shared" ca="1" si="125"/>
        <v>1511.5223710819009</v>
      </c>
      <c r="AC21" s="40">
        <f t="shared" ca="1" si="125"/>
        <v>1915.8915571284124</v>
      </c>
      <c r="AD21" s="40">
        <f t="shared" ca="1" si="125"/>
        <v>2179.4550050556118</v>
      </c>
      <c r="AE21" s="40">
        <f t="shared" ca="1" si="125"/>
        <v>2390.1190596562183</v>
      </c>
      <c r="AF21" s="40">
        <f t="shared" ca="1" si="125"/>
        <v>2629.1309656218405</v>
      </c>
      <c r="AG21" s="40">
        <f t="shared" ca="1" si="125"/>
        <v>2892.0440621840248</v>
      </c>
      <c r="AH21" s="40">
        <f t="shared" ca="1" si="125"/>
        <v>3181.248468402428</v>
      </c>
      <c r="AI21" s="40">
        <f t="shared" ca="1" si="125"/>
        <v>3499.3733152426707</v>
      </c>
      <c r="AJ21" s="40">
        <f t="shared" ca="1" si="125"/>
        <v>3849.3106467669381</v>
      </c>
      <c r="AK21" s="40">
        <f t="shared" ca="1" si="125"/>
        <v>4234.2417114436321</v>
      </c>
      <c r="AL21" s="40">
        <f t="shared" ca="1" si="125"/>
        <v>4657.6658825879958</v>
      </c>
      <c r="AM21" s="40">
        <f t="shared" ca="1" si="125"/>
        <v>5123.4324708467948</v>
      </c>
      <c r="AN21" s="40">
        <f t="shared" ca="1" si="125"/>
        <v>5635.7757179314749</v>
      </c>
      <c r="AO21" s="40">
        <f t="shared" ca="1" si="125"/>
        <v>6199.3532897246223</v>
      </c>
      <c r="AP21" s="40">
        <f t="shared" ca="1" si="125"/>
        <v>6819.2886186970854</v>
      </c>
      <c r="AQ21" s="40">
        <f t="shared" ca="1" si="125"/>
        <v>7501.2174805667946</v>
      </c>
      <c r="AR21" s="40">
        <f t="shared" ca="1" si="125"/>
        <v>8251.3392286234757</v>
      </c>
      <c r="AS21" s="40">
        <f t="shared" ca="1" si="125"/>
        <v>9076.4731514858231</v>
      </c>
      <c r="AT21" s="40">
        <f t="shared" ca="1" si="125"/>
        <v>9984.1204666344056</v>
      </c>
      <c r="AU21" s="40">
        <f t="shared" ca="1" si="125"/>
        <v>10982.532513297847</v>
      </c>
      <c r="AV21" s="40">
        <f t="shared" ca="1" si="125"/>
        <v>12080.785764627632</v>
      </c>
      <c r="AW21" s="40">
        <f t="shared" ca="1" si="125"/>
        <v>13288.864341090395</v>
      </c>
      <c r="AX21" s="40">
        <f t="shared" ca="1" si="125"/>
        <v>14617.750775199438</v>
      </c>
      <c r="AY21" s="40">
        <f t="shared" ca="1" si="125"/>
        <v>16079.525852719382</v>
      </c>
      <c r="AZ21" s="40">
        <f t="shared" ca="1" si="125"/>
        <v>17687.478437991322</v>
      </c>
      <c r="BA21" s="40">
        <f t="shared" ca="1" si="125"/>
        <v>19456.226281790456</v>
      </c>
      <c r="BB21" s="40">
        <f t="shared" ca="1" si="125"/>
        <v>21401.848909969503</v>
      </c>
      <c r="BC21" s="40">
        <f t="shared" ca="1" si="125"/>
        <v>23542.033800966456</v>
      </c>
      <c r="BD21" s="40">
        <f t="shared" ca="1" si="125"/>
        <v>25896.237181063105</v>
      </c>
      <c r="BE21" s="40">
        <f t="shared" ca="1" si="125"/>
        <v>28485.860899169416</v>
      </c>
      <c r="BF21" s="40">
        <f t="shared" ca="1" si="125"/>
        <v>31334.446989086358</v>
      </c>
      <c r="BG21" s="40">
        <f t="shared" ca="1" si="125"/>
        <v>34467.891687994997</v>
      </c>
      <c r="BH21" s="40">
        <f t="shared" ca="1" si="125"/>
        <v>37914.680856794505</v>
      </c>
      <c r="BI21" s="40">
        <f t="shared" ca="1" si="125"/>
        <v>41706.148942473956</v>
      </c>
      <c r="BJ21" s="40">
        <f t="shared" ca="1" si="125"/>
        <v>45876.763836721359</v>
      </c>
      <c r="BK21" s="40">
        <f t="shared" ca="1" si="125"/>
        <v>50464.440220393495</v>
      </c>
      <c r="BL21" s="40">
        <f t="shared" ca="1" si="125"/>
        <v>55510.884242432847</v>
      </c>
      <c r="BM21" s="40">
        <f t="shared" ca="1" si="125"/>
        <v>61061.972666676142</v>
      </c>
      <c r="BN21" s="40">
        <f t="shared" ca="1" si="125"/>
        <v>67168.169933343757</v>
      </c>
      <c r="BO21" s="40">
        <f t="shared" ca="1" si="125"/>
        <v>73884.986926678146</v>
      </c>
      <c r="BP21" s="40">
        <f t="shared" ca="1" si="125"/>
        <v>81273.485619345971</v>
      </c>
      <c r="BQ21" s="40">
        <f t="shared" ca="1" si="125"/>
        <v>89400.834181280574</v>
      </c>
      <c r="BR21" s="40">
        <f t="shared" ca="1" si="125"/>
        <v>98340.91759940864</v>
      </c>
      <c r="BS21" s="40">
        <f t="shared" ca="1" si="125"/>
        <v>108175.00935934951</v>
      </c>
      <c r="BT21" s="40">
        <f t="shared" ref="BT21:EE23" ca="1" si="126">BT10*$C$15</f>
        <v>118992.51029528448</v>
      </c>
      <c r="BU21" s="40">
        <f t="shared" ca="1" si="126"/>
        <v>130891.76132481292</v>
      </c>
      <c r="BV21" s="40">
        <f t="shared" ca="1" si="126"/>
        <v>143980.93745729423</v>
      </c>
      <c r="BW21" s="40">
        <f t="shared" ca="1" si="126"/>
        <v>158379.03120302368</v>
      </c>
      <c r="BX21" s="40">
        <f t="shared" ca="1" si="126"/>
        <v>174216.93432332604</v>
      </c>
      <c r="BY21" s="40">
        <f t="shared" ca="1" si="126"/>
        <v>191638.62775565867</v>
      </c>
      <c r="BZ21" s="40">
        <f t="shared" ca="1" si="126"/>
        <v>210802.49053122452</v>
      </c>
      <c r="CA21" s="40">
        <f t="shared" ca="1" si="126"/>
        <v>231882.739584347</v>
      </c>
      <c r="CB21" s="40">
        <f t="shared" ca="1" si="126"/>
        <v>255071.0135427817</v>
      </c>
      <c r="CC21" s="40">
        <f t="shared" ca="1" si="126"/>
        <v>280578.11489705992</v>
      </c>
      <c r="CD21" s="40">
        <f t="shared" ca="1" si="126"/>
        <v>308635.9263867659</v>
      </c>
      <c r="CE21" s="40">
        <f t="shared" ca="1" si="126"/>
        <v>339499.51902544254</v>
      </c>
      <c r="CF21" s="40">
        <f t="shared" ca="1" si="126"/>
        <v>373449.47092798684</v>
      </c>
      <c r="CG21" s="40">
        <f t="shared" ca="1" si="126"/>
        <v>410794.41802078555</v>
      </c>
      <c r="CH21" s="40">
        <f t="shared" ca="1" si="126"/>
        <v>451873.85982286418</v>
      </c>
      <c r="CI21" s="40">
        <f t="shared" ca="1" si="126"/>
        <v>497061.24580515065</v>
      </c>
      <c r="CJ21" s="40">
        <f t="shared" ca="1" si="126"/>
        <v>546767.37038566568</v>
      </c>
      <c r="CK21" s="40">
        <f t="shared" ca="1" si="126"/>
        <v>601444.10742423241</v>
      </c>
      <c r="CL21" s="40">
        <f t="shared" ca="1" si="126"/>
        <v>661588.51816665567</v>
      </c>
      <c r="CM21" s="40">
        <f t="shared" ca="1" si="126"/>
        <v>727747.36998332129</v>
      </c>
      <c r="CN21" s="40">
        <f t="shared" ca="1" si="126"/>
        <v>800522.1069816536</v>
      </c>
      <c r="CO21" s="40">
        <f t="shared" ca="1" si="126"/>
        <v>880574.31767981895</v>
      </c>
      <c r="CP21" s="40">
        <f t="shared" ca="1" si="126"/>
        <v>968631.74944780103</v>
      </c>
      <c r="CQ21" s="40">
        <f t="shared" ca="1" si="126"/>
        <v>1065494.9243925812</v>
      </c>
      <c r="CR21" s="40">
        <f t="shared" ca="1" si="126"/>
        <v>1172044.4168318396</v>
      </c>
      <c r="CS21" s="40">
        <f t="shared" ca="1" si="126"/>
        <v>1289248.8585150237</v>
      </c>
      <c r="CT21" s="40">
        <f t="shared" ca="1" si="126"/>
        <v>1418173.7443665259</v>
      </c>
      <c r="CU21" s="40">
        <f t="shared" ca="1" si="126"/>
        <v>1559991.1188031787</v>
      </c>
      <c r="CV21" s="40">
        <f t="shared" ca="1" si="126"/>
        <v>1715990.2306834967</v>
      </c>
      <c r="CW21" s="40">
        <f t="shared" ca="1" si="126"/>
        <v>1887589.2537518463</v>
      </c>
      <c r="CX21" s="40">
        <f t="shared" ca="1" si="126"/>
        <v>2076348.1791270312</v>
      </c>
      <c r="CY21" s="40">
        <f t="shared" ca="1" si="126"/>
        <v>2283982.9970397344</v>
      </c>
      <c r="CZ21" s="40">
        <f t="shared" ca="1" si="126"/>
        <v>2512381.2967437082</v>
      </c>
      <c r="DA21" s="40">
        <f t="shared" ca="1" si="126"/>
        <v>2763619.4264180791</v>
      </c>
      <c r="DB21" s="40">
        <f t="shared" ca="1" si="126"/>
        <v>3039981.3690598877</v>
      </c>
      <c r="DC21" s="40">
        <f t="shared" ca="1" si="126"/>
        <v>3343979.5059658769</v>
      </c>
      <c r="DD21" s="40">
        <f t="shared" ca="1" si="126"/>
        <v>3678377.4565624646</v>
      </c>
      <c r="DE21" s="40">
        <f t="shared" ca="1" si="126"/>
        <v>4046215.2022187114</v>
      </c>
      <c r="DF21" s="40">
        <f t="shared" ca="1" si="126"/>
        <v>4224857.4085439844</v>
      </c>
      <c r="DG21" s="40">
        <f t="shared" ca="1" si="126"/>
        <v>4224857.4085439844</v>
      </c>
      <c r="DH21" s="40">
        <f t="shared" ca="1" si="126"/>
        <v>4224857.4085439844</v>
      </c>
      <c r="DI21" s="40">
        <f t="shared" ca="1" si="126"/>
        <v>4224857.4085439844</v>
      </c>
      <c r="DJ21" s="40">
        <f t="shared" ca="1" si="126"/>
        <v>4224857.4085439844</v>
      </c>
      <c r="DK21" s="40">
        <f t="shared" ca="1" si="126"/>
        <v>4224857.4085439844</v>
      </c>
      <c r="DL21" s="40">
        <f t="shared" ca="1" si="126"/>
        <v>4224857.4085439844</v>
      </c>
      <c r="DM21" s="40">
        <f t="shared" ca="1" si="126"/>
        <v>4224857.4085439844</v>
      </c>
      <c r="DN21" s="40">
        <f t="shared" ca="1" si="126"/>
        <v>4224857.4085439844</v>
      </c>
      <c r="DO21" s="40">
        <f t="shared" ca="1" si="126"/>
        <v>4224857.4085439844</v>
      </c>
      <c r="DP21" s="40">
        <f t="shared" ca="1" si="126"/>
        <v>4224857.4085439844</v>
      </c>
      <c r="DQ21" s="40">
        <f t="shared" ca="1" si="126"/>
        <v>4224857.4085439844</v>
      </c>
      <c r="DR21" s="40">
        <f t="shared" ca="1" si="126"/>
        <v>4224857.4085439844</v>
      </c>
      <c r="DS21" s="40">
        <f t="shared" ca="1" si="126"/>
        <v>4224857.4085439844</v>
      </c>
      <c r="DT21" s="40">
        <f t="shared" ca="1" si="126"/>
        <v>4224857.4085439844</v>
      </c>
      <c r="DU21" s="40">
        <f t="shared" ca="1" si="126"/>
        <v>4224857.4085439844</v>
      </c>
      <c r="DV21" s="40">
        <f t="shared" ca="1" si="126"/>
        <v>4224857.4085439844</v>
      </c>
      <c r="DW21" s="40">
        <f t="shared" ca="1" si="126"/>
        <v>4224857.4085439844</v>
      </c>
      <c r="DX21" s="40">
        <f t="shared" ca="1" si="126"/>
        <v>4224857.4085439844</v>
      </c>
      <c r="DY21" s="40">
        <f t="shared" ca="1" si="126"/>
        <v>4224857.4085439844</v>
      </c>
      <c r="DZ21" s="40">
        <f t="shared" ca="1" si="126"/>
        <v>4224857.4085439844</v>
      </c>
      <c r="EA21" s="40">
        <f t="shared" ca="1" si="126"/>
        <v>4224857.4085439844</v>
      </c>
      <c r="EB21" s="40">
        <f t="shared" ca="1" si="126"/>
        <v>4224857.4085439844</v>
      </c>
      <c r="EC21" s="40">
        <f t="shared" ca="1" si="126"/>
        <v>4224857.4085439844</v>
      </c>
      <c r="ED21" s="40">
        <f t="shared" ca="1" si="126"/>
        <v>4224857.4085439844</v>
      </c>
      <c r="EE21" s="40">
        <f t="shared" ca="1" si="126"/>
        <v>4224857.4085439844</v>
      </c>
      <c r="EF21" s="40">
        <f t="shared" ref="EF21:GQ23" ca="1" si="127">EF10*$C$15</f>
        <v>4224857.4085439844</v>
      </c>
      <c r="EG21" s="40">
        <f t="shared" ca="1" si="127"/>
        <v>4224857.4085439844</v>
      </c>
      <c r="EH21" s="40">
        <f t="shared" ca="1" si="127"/>
        <v>4224857.4085439844</v>
      </c>
      <c r="EI21" s="40">
        <f t="shared" ca="1" si="127"/>
        <v>4224857.4085439844</v>
      </c>
      <c r="EJ21" s="40">
        <f t="shared" ca="1" si="127"/>
        <v>4224857.4085439844</v>
      </c>
      <c r="EK21" s="40">
        <f t="shared" ca="1" si="127"/>
        <v>4224857.4085439844</v>
      </c>
      <c r="EL21" s="40">
        <f t="shared" ca="1" si="127"/>
        <v>4224857.4085439844</v>
      </c>
      <c r="EM21" s="40">
        <f t="shared" ca="1" si="127"/>
        <v>4224857.4085439844</v>
      </c>
      <c r="EN21" s="40">
        <f t="shared" ca="1" si="127"/>
        <v>4224857.4085439844</v>
      </c>
      <c r="EO21" s="40">
        <f t="shared" ca="1" si="127"/>
        <v>4224857.4085439844</v>
      </c>
      <c r="EP21" s="40">
        <f t="shared" ca="1" si="127"/>
        <v>4224857.4085439844</v>
      </c>
      <c r="EQ21" s="40">
        <f t="shared" ca="1" si="127"/>
        <v>4224857.4085439844</v>
      </c>
      <c r="ER21" s="40">
        <f t="shared" ca="1" si="127"/>
        <v>4224857.4085439844</v>
      </c>
      <c r="ES21" s="40">
        <f t="shared" ca="1" si="127"/>
        <v>4224857.4085439844</v>
      </c>
      <c r="ET21" s="40">
        <f t="shared" ca="1" si="127"/>
        <v>4224857.4085439844</v>
      </c>
      <c r="EU21" s="40">
        <f t="shared" ca="1" si="127"/>
        <v>4224857.4085439844</v>
      </c>
      <c r="EV21" s="40">
        <f t="shared" ca="1" si="127"/>
        <v>4224857.4085439844</v>
      </c>
      <c r="EW21" s="40">
        <f t="shared" ca="1" si="127"/>
        <v>4224857.4085439844</v>
      </c>
      <c r="EX21" s="40">
        <f t="shared" ca="1" si="127"/>
        <v>4224857.4085439844</v>
      </c>
      <c r="EY21" s="40">
        <f t="shared" ca="1" si="127"/>
        <v>4224857.4085439844</v>
      </c>
      <c r="EZ21" s="40">
        <f t="shared" ca="1" si="127"/>
        <v>4224857.4085439844</v>
      </c>
      <c r="FA21" s="40">
        <f t="shared" ca="1" si="127"/>
        <v>4224857.4085439844</v>
      </c>
      <c r="FB21" s="40">
        <f t="shared" ca="1" si="127"/>
        <v>4224857.4085439844</v>
      </c>
      <c r="FC21" s="40">
        <f t="shared" ca="1" si="127"/>
        <v>4224857.4085439844</v>
      </c>
      <c r="FD21" s="40">
        <f t="shared" ca="1" si="127"/>
        <v>4224857.4085439844</v>
      </c>
      <c r="FE21" s="40">
        <f t="shared" ca="1" si="127"/>
        <v>4224857.4085439844</v>
      </c>
      <c r="FF21" s="40">
        <f t="shared" ca="1" si="127"/>
        <v>4224857.4085439844</v>
      </c>
      <c r="FG21" s="40">
        <f t="shared" ca="1" si="127"/>
        <v>4224857.4085439844</v>
      </c>
      <c r="FH21" s="40">
        <f t="shared" ca="1" si="127"/>
        <v>4224857.4085439844</v>
      </c>
      <c r="FI21" s="40">
        <f t="shared" ca="1" si="127"/>
        <v>4224857.4085439844</v>
      </c>
      <c r="FJ21" s="40">
        <f t="shared" ca="1" si="127"/>
        <v>4224857.4085439844</v>
      </c>
      <c r="FK21" s="40">
        <f t="shared" ca="1" si="127"/>
        <v>4224857.4085439844</v>
      </c>
      <c r="FL21" s="40">
        <f t="shared" ca="1" si="127"/>
        <v>4224857.4085439844</v>
      </c>
      <c r="FM21" s="40">
        <f t="shared" ca="1" si="127"/>
        <v>4224857.4085439844</v>
      </c>
      <c r="FN21" s="40">
        <f t="shared" ca="1" si="127"/>
        <v>4224857.4085439844</v>
      </c>
      <c r="FO21" s="40">
        <f t="shared" ca="1" si="127"/>
        <v>4224857.4085439844</v>
      </c>
      <c r="FP21" s="40">
        <f t="shared" ca="1" si="127"/>
        <v>4224857.4085439844</v>
      </c>
      <c r="FQ21" s="40">
        <f t="shared" ca="1" si="127"/>
        <v>4224857.4085439844</v>
      </c>
      <c r="FR21" s="40">
        <f t="shared" ca="1" si="127"/>
        <v>4224857.4085439844</v>
      </c>
      <c r="FS21" s="40">
        <f t="shared" ca="1" si="127"/>
        <v>4224857.4085439844</v>
      </c>
      <c r="FT21" s="40">
        <f t="shared" ca="1" si="127"/>
        <v>4224857.4085439844</v>
      </c>
      <c r="FU21" s="40">
        <f t="shared" ca="1" si="127"/>
        <v>4224857.4085439844</v>
      </c>
      <c r="FV21" s="40">
        <f t="shared" ca="1" si="127"/>
        <v>4224857.4085439844</v>
      </c>
      <c r="FW21" s="40">
        <f t="shared" ca="1" si="127"/>
        <v>4224857.4085439844</v>
      </c>
      <c r="FX21" s="40">
        <f t="shared" ca="1" si="127"/>
        <v>4224857.4085439844</v>
      </c>
      <c r="FY21" s="40">
        <f t="shared" ca="1" si="127"/>
        <v>4224857.4085439844</v>
      </c>
      <c r="FZ21" s="40">
        <f t="shared" ca="1" si="127"/>
        <v>4224857.4085439844</v>
      </c>
      <c r="GA21" s="40">
        <f t="shared" ca="1" si="127"/>
        <v>4224857.4085439844</v>
      </c>
      <c r="GB21" s="40">
        <f t="shared" ca="1" si="127"/>
        <v>4224857.4085439844</v>
      </c>
      <c r="GC21" s="40">
        <f t="shared" ca="1" si="127"/>
        <v>4224857.4085439844</v>
      </c>
      <c r="GD21" s="40">
        <f t="shared" ca="1" si="127"/>
        <v>4224857.4085439844</v>
      </c>
      <c r="GE21" s="40">
        <f t="shared" ca="1" si="127"/>
        <v>4224857.4085439844</v>
      </c>
      <c r="GF21" s="40">
        <f t="shared" ca="1" si="127"/>
        <v>4224857.4085439844</v>
      </c>
      <c r="GG21" s="40">
        <f t="shared" ca="1" si="127"/>
        <v>4224857.4085439844</v>
      </c>
      <c r="GH21" s="40">
        <f t="shared" ca="1" si="127"/>
        <v>4224857.4085439844</v>
      </c>
      <c r="GI21" s="40">
        <f t="shared" ca="1" si="127"/>
        <v>4224857.4085439844</v>
      </c>
      <c r="GJ21" s="40">
        <f t="shared" ca="1" si="127"/>
        <v>4224857.4085439844</v>
      </c>
      <c r="GK21" s="40">
        <f t="shared" ca="1" si="127"/>
        <v>4224857.4085439844</v>
      </c>
      <c r="GL21" s="40">
        <f t="shared" ca="1" si="127"/>
        <v>4224857.4085439844</v>
      </c>
      <c r="GM21" s="40">
        <f t="shared" ca="1" si="127"/>
        <v>4224857.4085439844</v>
      </c>
      <c r="GN21" s="40">
        <f t="shared" ca="1" si="127"/>
        <v>4224857.4085439844</v>
      </c>
      <c r="GO21" s="40">
        <f t="shared" ca="1" si="127"/>
        <v>4224857.4085439844</v>
      </c>
      <c r="GP21" s="40">
        <f t="shared" ca="1" si="127"/>
        <v>4224857.4085439844</v>
      </c>
      <c r="GQ21" s="40">
        <f t="shared" ca="1" si="127"/>
        <v>4224857.4085439844</v>
      </c>
      <c r="GR21" s="40">
        <f t="shared" ref="GR21:IN23" ca="1" si="128">GR10*$C$15</f>
        <v>4224857.4085439844</v>
      </c>
      <c r="GS21" s="40">
        <f t="shared" ca="1" si="128"/>
        <v>4224857.4085439844</v>
      </c>
      <c r="GT21" s="40">
        <f t="shared" ca="1" si="128"/>
        <v>4224857.4085439844</v>
      </c>
      <c r="GU21" s="40">
        <f t="shared" ca="1" si="128"/>
        <v>4224857.4085439844</v>
      </c>
      <c r="GV21" s="40">
        <f t="shared" ca="1" si="128"/>
        <v>4224857.4085439844</v>
      </c>
      <c r="GW21" s="40">
        <f t="shared" ca="1" si="128"/>
        <v>4224857.4085439844</v>
      </c>
      <c r="GX21" s="40">
        <f t="shared" ca="1" si="128"/>
        <v>4224857.4085439844</v>
      </c>
      <c r="GY21" s="40">
        <f t="shared" ca="1" si="128"/>
        <v>4224857.4085439844</v>
      </c>
      <c r="GZ21" s="40">
        <f t="shared" ca="1" si="128"/>
        <v>4224857.4085439844</v>
      </c>
      <c r="HA21" s="40">
        <f t="shared" ca="1" si="128"/>
        <v>4224857.4085439844</v>
      </c>
      <c r="HB21" s="40">
        <f t="shared" ca="1" si="128"/>
        <v>4224857.4085439844</v>
      </c>
      <c r="HC21" s="40">
        <f t="shared" ca="1" si="128"/>
        <v>4224857.4085439844</v>
      </c>
      <c r="HD21" s="40">
        <f t="shared" ca="1" si="128"/>
        <v>4224857.4085439844</v>
      </c>
      <c r="HE21" s="40">
        <f t="shared" ca="1" si="128"/>
        <v>4224857.4085439844</v>
      </c>
      <c r="HF21" s="40">
        <f t="shared" ca="1" si="128"/>
        <v>4224857.4085439844</v>
      </c>
      <c r="HG21" s="40">
        <f t="shared" ca="1" si="128"/>
        <v>4224857.4085439844</v>
      </c>
      <c r="HH21" s="40">
        <f t="shared" ca="1" si="128"/>
        <v>4224857.4085439844</v>
      </c>
      <c r="HI21" s="40">
        <f t="shared" ca="1" si="128"/>
        <v>4224857.4085439844</v>
      </c>
      <c r="HJ21" s="40">
        <f t="shared" ca="1" si="128"/>
        <v>4224857.4085439844</v>
      </c>
      <c r="HK21" s="40">
        <f t="shared" ca="1" si="128"/>
        <v>4224857.4085439844</v>
      </c>
      <c r="HL21" s="40">
        <f t="shared" ca="1" si="128"/>
        <v>4224857.4085439844</v>
      </c>
      <c r="HM21" s="40">
        <f t="shared" ca="1" si="128"/>
        <v>4224857.4085439844</v>
      </c>
      <c r="HN21" s="40">
        <f t="shared" ca="1" si="128"/>
        <v>4224857.4085439844</v>
      </c>
      <c r="HO21" s="40">
        <f t="shared" ca="1" si="128"/>
        <v>4224857.4085439844</v>
      </c>
      <c r="HP21" s="40">
        <f t="shared" ca="1" si="128"/>
        <v>4224857.4085439844</v>
      </c>
      <c r="HQ21" s="40">
        <f t="shared" ca="1" si="128"/>
        <v>4224857.4085439844</v>
      </c>
      <c r="HR21" s="40">
        <f t="shared" ca="1" si="128"/>
        <v>4224857.4085439844</v>
      </c>
      <c r="HS21" s="40">
        <f t="shared" ca="1" si="128"/>
        <v>4224857.4085439844</v>
      </c>
      <c r="HT21" s="40">
        <f t="shared" ca="1" si="128"/>
        <v>4224857.4085439844</v>
      </c>
      <c r="HU21" s="40">
        <f t="shared" ca="1" si="128"/>
        <v>4224857.4085439844</v>
      </c>
      <c r="HV21" s="40">
        <f t="shared" ca="1" si="128"/>
        <v>4224857.4085439844</v>
      </c>
      <c r="HW21" s="40">
        <f t="shared" ca="1" si="128"/>
        <v>4224857.4085439844</v>
      </c>
      <c r="HX21" s="40">
        <f t="shared" ca="1" si="128"/>
        <v>4224857.4085439844</v>
      </c>
      <c r="HY21" s="40">
        <f t="shared" ca="1" si="128"/>
        <v>4224857.4085439844</v>
      </c>
      <c r="HZ21" s="40">
        <f t="shared" ca="1" si="128"/>
        <v>4224857.4085439844</v>
      </c>
      <c r="IA21" s="40">
        <f t="shared" ca="1" si="128"/>
        <v>4224857.4085439844</v>
      </c>
      <c r="IB21" s="40">
        <f t="shared" ca="1" si="128"/>
        <v>4224857.4085439844</v>
      </c>
      <c r="IC21" s="40">
        <f t="shared" ca="1" si="128"/>
        <v>4224857.4085439844</v>
      </c>
      <c r="ID21" s="40">
        <f t="shared" ca="1" si="128"/>
        <v>4224857.4085439844</v>
      </c>
      <c r="IE21" s="40">
        <f t="shared" ca="1" si="128"/>
        <v>4224857.4085439844</v>
      </c>
      <c r="IF21" s="40">
        <f t="shared" ca="1" si="128"/>
        <v>4224857.4085439844</v>
      </c>
      <c r="IG21" s="40">
        <f t="shared" ca="1" si="128"/>
        <v>4224857.4085439844</v>
      </c>
      <c r="IH21" s="40">
        <f t="shared" ca="1" si="128"/>
        <v>4224857.4085439844</v>
      </c>
      <c r="II21" s="40">
        <f t="shared" ca="1" si="128"/>
        <v>4224857.4085439844</v>
      </c>
      <c r="IJ21" s="40">
        <f t="shared" ca="1" si="128"/>
        <v>4224857.4085439844</v>
      </c>
      <c r="IK21" s="40">
        <f t="shared" ca="1" si="128"/>
        <v>4224857.4085439844</v>
      </c>
      <c r="IL21" s="40">
        <f t="shared" ca="1" si="128"/>
        <v>4224857.4085439844</v>
      </c>
      <c r="IM21" s="40">
        <f t="shared" ca="1" si="128"/>
        <v>4224857.4085439844</v>
      </c>
      <c r="IN21" s="40">
        <f t="shared" ca="1" si="128"/>
        <v>4224857.4085439844</v>
      </c>
    </row>
    <row r="22" spans="2:248" x14ac:dyDescent="0.3">
      <c r="C22" s="40"/>
      <c r="F22" s="19" t="s">
        <v>496</v>
      </c>
      <c r="G22" s="40">
        <f t="shared" ref="G22:V23" si="129">G11*$C$15</f>
        <v>18.048028311425682</v>
      </c>
      <c r="H22" s="40">
        <f t="shared" ca="1" si="129"/>
        <v>25.516177957532861</v>
      </c>
      <c r="I22" s="40">
        <f t="shared" ca="1" si="129"/>
        <v>32.206395348837205</v>
      </c>
      <c r="J22" s="40">
        <f t="shared" ca="1" si="129"/>
        <v>42.630687563195146</v>
      </c>
      <c r="K22" s="40">
        <f t="shared" ca="1" si="129"/>
        <v>50.098837209302324</v>
      </c>
      <c r="L22" s="40">
        <f t="shared" ca="1" si="129"/>
        <v>59.74519716885743</v>
      </c>
      <c r="M22" s="40">
        <f t="shared" ca="1" si="129"/>
        <v>71.414180990899894</v>
      </c>
      <c r="N22" s="40">
        <f t="shared" ca="1" si="129"/>
        <v>91.48483316481294</v>
      </c>
      <c r="O22" s="40">
        <f t="shared" ca="1" si="129"/>
        <v>124.31357431749241</v>
      </c>
      <c r="P22" s="40">
        <f t="shared" ca="1" si="129"/>
        <v>175.9682760364004</v>
      </c>
      <c r="Q22" s="40">
        <f t="shared" ca="1" si="129"/>
        <v>206.61880687563195</v>
      </c>
      <c r="R22" s="40">
        <f t="shared" ca="1" si="129"/>
        <v>197.75037917087968</v>
      </c>
      <c r="S22" s="40">
        <f t="shared" ca="1" si="129"/>
        <v>262.16316986855406</v>
      </c>
      <c r="T22" s="40">
        <f t="shared" ca="1" si="129"/>
        <v>357.22649140546002</v>
      </c>
      <c r="U22" s="40">
        <f t="shared" ca="1" si="129"/>
        <v>349.29158240647115</v>
      </c>
      <c r="V22" s="40">
        <f t="shared" ca="1" si="129"/>
        <v>540.50733063700704</v>
      </c>
      <c r="W22" s="40">
        <f t="shared" ca="1" si="125"/>
        <v>683.80245197168858</v>
      </c>
      <c r="X22" s="40">
        <f t="shared" ca="1" si="125"/>
        <v>768.13030839231544</v>
      </c>
      <c r="Y22" s="40">
        <f t="shared" ca="1" si="125"/>
        <v>883.88662790697674</v>
      </c>
      <c r="Z22" s="40">
        <f t="shared" ca="1" si="125"/>
        <v>1048.4970930232557</v>
      </c>
      <c r="AA22" s="40">
        <f t="shared" ca="1" si="125"/>
        <v>1200.9718149646108</v>
      </c>
      <c r="AB22" s="40">
        <f t="shared" ca="1" si="125"/>
        <v>1511.5223710819009</v>
      </c>
      <c r="AC22" s="40">
        <f t="shared" ca="1" si="125"/>
        <v>1915.8915571284124</v>
      </c>
      <c r="AD22" s="40">
        <f t="shared" ca="1" si="125"/>
        <v>2179.4550050556118</v>
      </c>
      <c r="AE22" s="40">
        <f t="shared" ca="1" si="125"/>
        <v>2390.1190596562183</v>
      </c>
      <c r="AF22" s="40">
        <f t="shared" ca="1" si="125"/>
        <v>2987.6488245702731</v>
      </c>
      <c r="AG22" s="40">
        <f t="shared" ca="1" si="125"/>
        <v>3734.5610307128413</v>
      </c>
      <c r="AH22" s="40">
        <f t="shared" ca="1" si="125"/>
        <v>4668.2012883910511</v>
      </c>
      <c r="AI22" s="40">
        <f t="shared" ca="1" si="125"/>
        <v>5835.2516104888145</v>
      </c>
      <c r="AJ22" s="40">
        <f t="shared" ca="1" si="125"/>
        <v>7294.0645131110177</v>
      </c>
      <c r="AK22" s="40">
        <f t="shared" ca="1" si="125"/>
        <v>9117.5806413887731</v>
      </c>
      <c r="AL22" s="40">
        <f t="shared" ca="1" si="125"/>
        <v>11396.975801735965</v>
      </c>
      <c r="AM22" s="40">
        <f t="shared" ca="1" si="125"/>
        <v>14246.219752169956</v>
      </c>
      <c r="AN22" s="40">
        <f t="shared" ca="1" si="125"/>
        <v>17807.774690212445</v>
      </c>
      <c r="AO22" s="40">
        <f t="shared" ca="1" si="125"/>
        <v>22259.718362765558</v>
      </c>
      <c r="AP22" s="40">
        <f t="shared" ca="1" si="125"/>
        <v>27824.647953456948</v>
      </c>
      <c r="AQ22" s="40">
        <f t="shared" ca="1" si="125"/>
        <v>34780.809941821186</v>
      </c>
      <c r="AR22" s="40">
        <f t="shared" ca="1" si="125"/>
        <v>43476.012427276481</v>
      </c>
      <c r="AS22" s="40">
        <f t="shared" ca="1" si="125"/>
        <v>54345.015534095597</v>
      </c>
      <c r="AT22" s="40">
        <f t="shared" ca="1" si="125"/>
        <v>67931.269417619493</v>
      </c>
      <c r="AU22" s="40">
        <f t="shared" ca="1" si="125"/>
        <v>84914.08677202437</v>
      </c>
      <c r="AV22" s="40">
        <f t="shared" ca="1" si="125"/>
        <v>106142.60846503047</v>
      </c>
      <c r="AW22" s="40">
        <f t="shared" ca="1" si="125"/>
        <v>132678.26058128808</v>
      </c>
      <c r="AX22" s="40">
        <f t="shared" ca="1" si="125"/>
        <v>165847.82572661011</v>
      </c>
      <c r="AY22" s="40">
        <f t="shared" ca="1" si="125"/>
        <v>207309.78215826262</v>
      </c>
      <c r="AZ22" s="40">
        <f t="shared" ca="1" si="125"/>
        <v>259137.22769782826</v>
      </c>
      <c r="BA22" s="40">
        <f t="shared" ca="1" si="125"/>
        <v>323921.53462228534</v>
      </c>
      <c r="BB22" s="40">
        <f t="shared" ca="1" si="125"/>
        <v>404901.91827785666</v>
      </c>
      <c r="BC22" s="40">
        <f t="shared" ca="1" si="125"/>
        <v>506127.39784732083</v>
      </c>
      <c r="BD22" s="40">
        <f t="shared" ca="1" si="125"/>
        <v>632659.24730915099</v>
      </c>
      <c r="BE22" s="40">
        <f t="shared" ca="1" si="125"/>
        <v>790824.05913643877</v>
      </c>
      <c r="BF22" s="40">
        <f t="shared" ca="1" si="125"/>
        <v>988530.07392054843</v>
      </c>
      <c r="BG22" s="40">
        <f t="shared" ca="1" si="125"/>
        <v>1235662.5924006857</v>
      </c>
      <c r="BH22" s="40">
        <f t="shared" ca="1" si="125"/>
        <v>1544578.2405008569</v>
      </c>
      <c r="BI22" s="40">
        <f t="shared" ca="1" si="125"/>
        <v>1930722.8006260709</v>
      </c>
      <c r="BJ22" s="40">
        <f t="shared" ca="1" si="125"/>
        <v>2413403.500782589</v>
      </c>
      <c r="BK22" s="40">
        <f t="shared" ca="1" si="125"/>
        <v>3016754.3759782361</v>
      </c>
      <c r="BL22" s="40">
        <f t="shared" ca="1" si="125"/>
        <v>3770942.9699727953</v>
      </c>
      <c r="BM22" s="40">
        <f t="shared" ca="1" si="125"/>
        <v>4224857.4085439844</v>
      </c>
      <c r="BN22" s="40">
        <f t="shared" ca="1" si="125"/>
        <v>4224857.4085439844</v>
      </c>
      <c r="BO22" s="40">
        <f t="shared" ca="1" si="125"/>
        <v>4224857.4085439844</v>
      </c>
      <c r="BP22" s="40">
        <f t="shared" ca="1" si="125"/>
        <v>4224857.4085439844</v>
      </c>
      <c r="BQ22" s="40">
        <f t="shared" ca="1" si="125"/>
        <v>4224857.4085439844</v>
      </c>
      <c r="BR22" s="40">
        <f t="shared" ca="1" si="125"/>
        <v>4224857.4085439844</v>
      </c>
      <c r="BS22" s="40">
        <f t="shared" ca="1" si="125"/>
        <v>4224857.4085439844</v>
      </c>
      <c r="BT22" s="40">
        <f t="shared" ca="1" si="126"/>
        <v>4224857.4085439844</v>
      </c>
      <c r="BU22" s="40">
        <f t="shared" ca="1" si="126"/>
        <v>4224857.4085439844</v>
      </c>
      <c r="BV22" s="40">
        <f t="shared" ca="1" si="126"/>
        <v>4224857.4085439844</v>
      </c>
      <c r="BW22" s="40">
        <f t="shared" ca="1" si="126"/>
        <v>4224857.4085439844</v>
      </c>
      <c r="BX22" s="40">
        <f t="shared" ca="1" si="126"/>
        <v>4224857.4085439844</v>
      </c>
      <c r="BY22" s="40">
        <f t="shared" ca="1" si="126"/>
        <v>4224857.4085439844</v>
      </c>
      <c r="BZ22" s="40">
        <f t="shared" ca="1" si="126"/>
        <v>4224857.4085439844</v>
      </c>
      <c r="CA22" s="40">
        <f t="shared" ca="1" si="126"/>
        <v>4224857.4085439844</v>
      </c>
      <c r="CB22" s="40">
        <f t="shared" ca="1" si="126"/>
        <v>4224857.4085439844</v>
      </c>
      <c r="CC22" s="40">
        <f t="shared" ca="1" si="126"/>
        <v>4224857.4085439844</v>
      </c>
      <c r="CD22" s="40">
        <f t="shared" ca="1" si="126"/>
        <v>4224857.4085439844</v>
      </c>
      <c r="CE22" s="40">
        <f t="shared" ca="1" si="126"/>
        <v>4224857.4085439844</v>
      </c>
      <c r="CF22" s="40">
        <f t="shared" ca="1" si="126"/>
        <v>4224857.4085439844</v>
      </c>
      <c r="CG22" s="40">
        <f t="shared" ca="1" si="126"/>
        <v>4224857.4085439844</v>
      </c>
      <c r="CH22" s="40">
        <f t="shared" ca="1" si="126"/>
        <v>4224857.4085439844</v>
      </c>
      <c r="CI22" s="40">
        <f t="shared" ca="1" si="126"/>
        <v>4224857.4085439844</v>
      </c>
      <c r="CJ22" s="40">
        <f t="shared" ca="1" si="126"/>
        <v>4224857.4085439844</v>
      </c>
      <c r="CK22" s="40">
        <f t="shared" ca="1" si="126"/>
        <v>4224857.4085439844</v>
      </c>
      <c r="CL22" s="40">
        <f t="shared" ca="1" si="126"/>
        <v>4224857.4085439844</v>
      </c>
      <c r="CM22" s="40">
        <f t="shared" ca="1" si="126"/>
        <v>4224857.4085439844</v>
      </c>
      <c r="CN22" s="40">
        <f t="shared" ca="1" si="126"/>
        <v>4224857.4085439844</v>
      </c>
      <c r="CO22" s="40">
        <f t="shared" ca="1" si="126"/>
        <v>4224857.4085439844</v>
      </c>
      <c r="CP22" s="40">
        <f t="shared" ca="1" si="126"/>
        <v>4224857.4085439844</v>
      </c>
      <c r="CQ22" s="40">
        <f t="shared" ca="1" si="126"/>
        <v>4224857.4085439844</v>
      </c>
      <c r="CR22" s="40">
        <f t="shared" ca="1" si="126"/>
        <v>4224857.4085439844</v>
      </c>
      <c r="CS22" s="40">
        <f t="shared" ca="1" si="126"/>
        <v>4224857.4085439844</v>
      </c>
      <c r="CT22" s="40">
        <f t="shared" ca="1" si="126"/>
        <v>4224857.4085439844</v>
      </c>
      <c r="CU22" s="40">
        <f t="shared" ca="1" si="126"/>
        <v>4224857.4085439844</v>
      </c>
      <c r="CV22" s="40">
        <f t="shared" ca="1" si="126"/>
        <v>4224857.4085439844</v>
      </c>
      <c r="CW22" s="40">
        <f t="shared" ca="1" si="126"/>
        <v>4224857.4085439844</v>
      </c>
      <c r="CX22" s="40">
        <f t="shared" ca="1" si="126"/>
        <v>4224857.4085439844</v>
      </c>
      <c r="CY22" s="40">
        <f t="shared" ca="1" si="126"/>
        <v>4224857.4085439844</v>
      </c>
      <c r="CZ22" s="40">
        <f t="shared" ca="1" si="126"/>
        <v>4224857.4085439844</v>
      </c>
      <c r="DA22" s="40">
        <f t="shared" ca="1" si="126"/>
        <v>4224857.4085439844</v>
      </c>
      <c r="DB22" s="40">
        <f t="shared" ca="1" si="126"/>
        <v>4224857.4085439844</v>
      </c>
      <c r="DC22" s="40">
        <f t="shared" ca="1" si="126"/>
        <v>4224857.4085439844</v>
      </c>
      <c r="DD22" s="40">
        <f t="shared" ca="1" si="126"/>
        <v>4224857.4085439844</v>
      </c>
      <c r="DE22" s="40">
        <f t="shared" ca="1" si="126"/>
        <v>4224857.4085439844</v>
      </c>
      <c r="DF22" s="40">
        <f t="shared" ca="1" si="126"/>
        <v>4224857.4085439844</v>
      </c>
      <c r="DG22" s="40">
        <f t="shared" ca="1" si="126"/>
        <v>4224857.4085439844</v>
      </c>
      <c r="DH22" s="40">
        <f t="shared" ca="1" si="126"/>
        <v>4224857.4085439844</v>
      </c>
      <c r="DI22" s="40">
        <f t="shared" ca="1" si="126"/>
        <v>4224857.4085439844</v>
      </c>
      <c r="DJ22" s="40">
        <f t="shared" ca="1" si="126"/>
        <v>4224857.4085439844</v>
      </c>
      <c r="DK22" s="40">
        <f t="shared" ca="1" si="126"/>
        <v>4224857.4085439844</v>
      </c>
      <c r="DL22" s="40">
        <f t="shared" ca="1" si="126"/>
        <v>4224857.4085439844</v>
      </c>
      <c r="DM22" s="40">
        <f t="shared" ca="1" si="126"/>
        <v>4224857.4085439844</v>
      </c>
      <c r="DN22" s="40">
        <f t="shared" ca="1" si="126"/>
        <v>4224857.4085439844</v>
      </c>
      <c r="DO22" s="40">
        <f t="shared" ca="1" si="126"/>
        <v>4224857.4085439844</v>
      </c>
      <c r="DP22" s="40">
        <f t="shared" ca="1" si="126"/>
        <v>4224857.4085439844</v>
      </c>
      <c r="DQ22" s="40">
        <f t="shared" ca="1" si="126"/>
        <v>4224857.4085439844</v>
      </c>
      <c r="DR22" s="40">
        <f t="shared" ca="1" si="126"/>
        <v>4224857.4085439844</v>
      </c>
      <c r="DS22" s="40">
        <f t="shared" ca="1" si="126"/>
        <v>4224857.4085439844</v>
      </c>
      <c r="DT22" s="40">
        <f t="shared" ca="1" si="126"/>
        <v>4224857.4085439844</v>
      </c>
      <c r="DU22" s="40">
        <f t="shared" ca="1" si="126"/>
        <v>4224857.4085439844</v>
      </c>
      <c r="DV22" s="40">
        <f t="shared" ca="1" si="126"/>
        <v>4224857.4085439844</v>
      </c>
      <c r="DW22" s="40">
        <f t="shared" ca="1" si="126"/>
        <v>4224857.4085439844</v>
      </c>
      <c r="DX22" s="40">
        <f t="shared" ca="1" si="126"/>
        <v>4224857.4085439844</v>
      </c>
      <c r="DY22" s="40">
        <f t="shared" ca="1" si="126"/>
        <v>4224857.4085439844</v>
      </c>
      <c r="DZ22" s="40">
        <f t="shared" ca="1" si="126"/>
        <v>4224857.4085439844</v>
      </c>
      <c r="EA22" s="40">
        <f t="shared" ca="1" si="126"/>
        <v>4224857.4085439844</v>
      </c>
      <c r="EB22" s="40">
        <f t="shared" ca="1" si="126"/>
        <v>4224857.4085439844</v>
      </c>
      <c r="EC22" s="40">
        <f t="shared" ca="1" si="126"/>
        <v>4224857.4085439844</v>
      </c>
      <c r="ED22" s="40">
        <f t="shared" ca="1" si="126"/>
        <v>4224857.4085439844</v>
      </c>
      <c r="EE22" s="40">
        <f t="shared" ca="1" si="126"/>
        <v>4224857.4085439844</v>
      </c>
      <c r="EF22" s="40">
        <f t="shared" ca="1" si="127"/>
        <v>4224857.4085439844</v>
      </c>
      <c r="EG22" s="40">
        <f t="shared" ca="1" si="127"/>
        <v>4224857.4085439844</v>
      </c>
      <c r="EH22" s="40">
        <f t="shared" ca="1" si="127"/>
        <v>4224857.4085439844</v>
      </c>
      <c r="EI22" s="40">
        <f t="shared" ca="1" si="127"/>
        <v>4224857.4085439844</v>
      </c>
      <c r="EJ22" s="40">
        <f t="shared" ca="1" si="127"/>
        <v>4224857.4085439844</v>
      </c>
      <c r="EK22" s="40">
        <f t="shared" ca="1" si="127"/>
        <v>4224857.4085439844</v>
      </c>
      <c r="EL22" s="40">
        <f t="shared" ca="1" si="127"/>
        <v>4224857.4085439844</v>
      </c>
      <c r="EM22" s="40">
        <f t="shared" ca="1" si="127"/>
        <v>4224857.4085439844</v>
      </c>
      <c r="EN22" s="40">
        <f t="shared" ca="1" si="127"/>
        <v>4224857.4085439844</v>
      </c>
      <c r="EO22" s="40">
        <f t="shared" ca="1" si="127"/>
        <v>4224857.4085439844</v>
      </c>
      <c r="EP22" s="40">
        <f t="shared" ca="1" si="127"/>
        <v>4224857.4085439844</v>
      </c>
      <c r="EQ22" s="40">
        <f t="shared" ca="1" si="127"/>
        <v>4224857.4085439844</v>
      </c>
      <c r="ER22" s="40">
        <f t="shared" ca="1" si="127"/>
        <v>4224857.4085439844</v>
      </c>
      <c r="ES22" s="40">
        <f t="shared" ca="1" si="127"/>
        <v>4224857.4085439844</v>
      </c>
      <c r="ET22" s="40">
        <f t="shared" ca="1" si="127"/>
        <v>4224857.4085439844</v>
      </c>
      <c r="EU22" s="40">
        <f t="shared" ca="1" si="127"/>
        <v>4224857.4085439844</v>
      </c>
      <c r="EV22" s="40">
        <f t="shared" ca="1" si="127"/>
        <v>4224857.4085439844</v>
      </c>
      <c r="EW22" s="40">
        <f t="shared" ca="1" si="127"/>
        <v>4224857.4085439844</v>
      </c>
      <c r="EX22" s="40">
        <f t="shared" ca="1" si="127"/>
        <v>4224857.4085439844</v>
      </c>
      <c r="EY22" s="40">
        <f t="shared" ca="1" si="127"/>
        <v>4224857.4085439844</v>
      </c>
      <c r="EZ22" s="40">
        <f t="shared" ca="1" si="127"/>
        <v>4224857.4085439844</v>
      </c>
      <c r="FA22" s="40">
        <f t="shared" ca="1" si="127"/>
        <v>4224857.4085439844</v>
      </c>
      <c r="FB22" s="40">
        <f t="shared" ca="1" si="127"/>
        <v>4224857.4085439844</v>
      </c>
      <c r="FC22" s="40">
        <f t="shared" ca="1" si="127"/>
        <v>4224857.4085439844</v>
      </c>
      <c r="FD22" s="40">
        <f t="shared" ca="1" si="127"/>
        <v>4224857.4085439844</v>
      </c>
      <c r="FE22" s="40">
        <f t="shared" ca="1" si="127"/>
        <v>4224857.4085439844</v>
      </c>
      <c r="FF22" s="40">
        <f t="shared" ca="1" si="127"/>
        <v>4224857.4085439844</v>
      </c>
      <c r="FG22" s="40">
        <f t="shared" ca="1" si="127"/>
        <v>4224857.4085439844</v>
      </c>
      <c r="FH22" s="40">
        <f t="shared" ca="1" si="127"/>
        <v>4224857.4085439844</v>
      </c>
      <c r="FI22" s="40">
        <f t="shared" ca="1" si="127"/>
        <v>4224857.4085439844</v>
      </c>
      <c r="FJ22" s="40">
        <f t="shared" ca="1" si="127"/>
        <v>4224857.4085439844</v>
      </c>
      <c r="FK22" s="40">
        <f t="shared" ca="1" si="127"/>
        <v>4224857.4085439844</v>
      </c>
      <c r="FL22" s="40">
        <f t="shared" ca="1" si="127"/>
        <v>4224857.4085439844</v>
      </c>
      <c r="FM22" s="40">
        <f t="shared" ca="1" si="127"/>
        <v>4224857.4085439844</v>
      </c>
      <c r="FN22" s="40">
        <f t="shared" ca="1" si="127"/>
        <v>4224857.4085439844</v>
      </c>
      <c r="FO22" s="40">
        <f t="shared" ca="1" si="127"/>
        <v>4224857.4085439844</v>
      </c>
      <c r="FP22" s="40">
        <f t="shared" ca="1" si="127"/>
        <v>4224857.4085439844</v>
      </c>
      <c r="FQ22" s="40">
        <f t="shared" ca="1" si="127"/>
        <v>4224857.4085439844</v>
      </c>
      <c r="FR22" s="40">
        <f t="shared" ca="1" si="127"/>
        <v>4224857.4085439844</v>
      </c>
      <c r="FS22" s="40">
        <f t="shared" ca="1" si="127"/>
        <v>4224857.4085439844</v>
      </c>
      <c r="FT22" s="40">
        <f t="shared" ca="1" si="127"/>
        <v>4224857.4085439844</v>
      </c>
      <c r="FU22" s="40">
        <f t="shared" ca="1" si="127"/>
        <v>4224857.4085439844</v>
      </c>
      <c r="FV22" s="40">
        <f t="shared" ca="1" si="127"/>
        <v>4224857.4085439844</v>
      </c>
      <c r="FW22" s="40">
        <f t="shared" ca="1" si="127"/>
        <v>4224857.4085439844</v>
      </c>
      <c r="FX22" s="40">
        <f t="shared" ca="1" si="127"/>
        <v>4224857.4085439844</v>
      </c>
      <c r="FY22" s="40">
        <f t="shared" ca="1" si="127"/>
        <v>4224857.4085439844</v>
      </c>
      <c r="FZ22" s="40">
        <f t="shared" ca="1" si="127"/>
        <v>4224857.4085439844</v>
      </c>
      <c r="GA22" s="40">
        <f t="shared" ca="1" si="127"/>
        <v>4224857.4085439844</v>
      </c>
      <c r="GB22" s="40">
        <f t="shared" ca="1" si="127"/>
        <v>4224857.4085439844</v>
      </c>
      <c r="GC22" s="40">
        <f t="shared" ca="1" si="127"/>
        <v>4224857.4085439844</v>
      </c>
      <c r="GD22" s="40">
        <f t="shared" ca="1" si="127"/>
        <v>4224857.4085439844</v>
      </c>
      <c r="GE22" s="40">
        <f t="shared" ca="1" si="127"/>
        <v>4224857.4085439844</v>
      </c>
      <c r="GF22" s="40">
        <f t="shared" ca="1" si="127"/>
        <v>4224857.4085439844</v>
      </c>
      <c r="GG22" s="40">
        <f t="shared" ca="1" si="127"/>
        <v>4224857.4085439844</v>
      </c>
      <c r="GH22" s="40">
        <f t="shared" ca="1" si="127"/>
        <v>4224857.4085439844</v>
      </c>
      <c r="GI22" s="40">
        <f t="shared" ca="1" si="127"/>
        <v>4224857.4085439844</v>
      </c>
      <c r="GJ22" s="40">
        <f t="shared" ca="1" si="127"/>
        <v>4224857.4085439844</v>
      </c>
      <c r="GK22" s="40">
        <f t="shared" ca="1" si="127"/>
        <v>4224857.4085439844</v>
      </c>
      <c r="GL22" s="40">
        <f t="shared" ca="1" si="127"/>
        <v>4224857.4085439844</v>
      </c>
      <c r="GM22" s="40">
        <f t="shared" ca="1" si="127"/>
        <v>4224857.4085439844</v>
      </c>
      <c r="GN22" s="40">
        <f t="shared" ca="1" si="127"/>
        <v>4224857.4085439844</v>
      </c>
      <c r="GO22" s="40">
        <f t="shared" ca="1" si="127"/>
        <v>4224857.4085439844</v>
      </c>
      <c r="GP22" s="40">
        <f t="shared" ca="1" si="127"/>
        <v>4224857.4085439844</v>
      </c>
      <c r="GQ22" s="40">
        <f t="shared" ca="1" si="127"/>
        <v>4224857.4085439844</v>
      </c>
      <c r="GR22" s="40">
        <f t="shared" ca="1" si="128"/>
        <v>4224857.4085439844</v>
      </c>
      <c r="GS22" s="40">
        <f t="shared" ca="1" si="128"/>
        <v>4224857.4085439844</v>
      </c>
      <c r="GT22" s="40">
        <f t="shared" ca="1" si="128"/>
        <v>4224857.4085439844</v>
      </c>
      <c r="GU22" s="40">
        <f t="shared" ca="1" si="128"/>
        <v>4224857.4085439844</v>
      </c>
      <c r="GV22" s="40">
        <f t="shared" ca="1" si="128"/>
        <v>4224857.4085439844</v>
      </c>
      <c r="GW22" s="40">
        <f t="shared" ca="1" si="128"/>
        <v>4224857.4085439844</v>
      </c>
      <c r="GX22" s="40">
        <f t="shared" ca="1" si="128"/>
        <v>4224857.4085439844</v>
      </c>
      <c r="GY22" s="40">
        <f t="shared" ca="1" si="128"/>
        <v>4224857.4085439844</v>
      </c>
      <c r="GZ22" s="40">
        <f t="shared" ca="1" si="128"/>
        <v>4224857.4085439844</v>
      </c>
      <c r="HA22" s="40">
        <f t="shared" ca="1" si="128"/>
        <v>4224857.4085439844</v>
      </c>
      <c r="HB22" s="40">
        <f t="shared" ca="1" si="128"/>
        <v>4224857.4085439844</v>
      </c>
      <c r="HC22" s="40">
        <f t="shared" ca="1" si="128"/>
        <v>4224857.4085439844</v>
      </c>
      <c r="HD22" s="40">
        <f t="shared" ca="1" si="128"/>
        <v>4224857.4085439844</v>
      </c>
      <c r="HE22" s="40">
        <f t="shared" ca="1" si="128"/>
        <v>4224857.4085439844</v>
      </c>
      <c r="HF22" s="40">
        <f t="shared" ca="1" si="128"/>
        <v>4224857.4085439844</v>
      </c>
      <c r="HG22" s="40">
        <f t="shared" ca="1" si="128"/>
        <v>4224857.4085439844</v>
      </c>
      <c r="HH22" s="40">
        <f t="shared" ca="1" si="128"/>
        <v>4224857.4085439844</v>
      </c>
      <c r="HI22" s="40">
        <f t="shared" ca="1" si="128"/>
        <v>4224857.4085439844</v>
      </c>
      <c r="HJ22" s="40">
        <f t="shared" ca="1" si="128"/>
        <v>4224857.4085439844</v>
      </c>
      <c r="HK22" s="40">
        <f t="shared" ca="1" si="128"/>
        <v>4224857.4085439844</v>
      </c>
      <c r="HL22" s="40">
        <f t="shared" ca="1" si="128"/>
        <v>4224857.4085439844</v>
      </c>
      <c r="HM22" s="40">
        <f t="shared" ca="1" si="128"/>
        <v>4224857.4085439844</v>
      </c>
      <c r="HN22" s="40">
        <f t="shared" ca="1" si="128"/>
        <v>4224857.4085439844</v>
      </c>
      <c r="HO22" s="40">
        <f t="shared" ca="1" si="128"/>
        <v>4224857.4085439844</v>
      </c>
      <c r="HP22" s="40">
        <f t="shared" ca="1" si="128"/>
        <v>4224857.4085439844</v>
      </c>
      <c r="HQ22" s="40">
        <f t="shared" ca="1" si="128"/>
        <v>4224857.4085439844</v>
      </c>
      <c r="HR22" s="40">
        <f t="shared" ca="1" si="128"/>
        <v>4224857.4085439844</v>
      </c>
      <c r="HS22" s="40">
        <f t="shared" ca="1" si="128"/>
        <v>4224857.4085439844</v>
      </c>
      <c r="HT22" s="40">
        <f t="shared" ca="1" si="128"/>
        <v>4224857.4085439844</v>
      </c>
      <c r="HU22" s="40">
        <f t="shared" ca="1" si="128"/>
        <v>4224857.4085439844</v>
      </c>
      <c r="HV22" s="40">
        <f t="shared" ca="1" si="128"/>
        <v>4224857.4085439844</v>
      </c>
      <c r="HW22" s="40">
        <f t="shared" ca="1" si="128"/>
        <v>4224857.4085439844</v>
      </c>
      <c r="HX22" s="40">
        <f t="shared" ca="1" si="128"/>
        <v>4224857.4085439844</v>
      </c>
      <c r="HY22" s="40">
        <f t="shared" ca="1" si="128"/>
        <v>4224857.4085439844</v>
      </c>
      <c r="HZ22" s="40">
        <f t="shared" ca="1" si="128"/>
        <v>4224857.4085439844</v>
      </c>
      <c r="IA22" s="40">
        <f t="shared" ca="1" si="128"/>
        <v>4224857.4085439844</v>
      </c>
      <c r="IB22" s="40">
        <f t="shared" ca="1" si="128"/>
        <v>4224857.4085439844</v>
      </c>
      <c r="IC22" s="40">
        <f t="shared" ca="1" si="128"/>
        <v>4224857.4085439844</v>
      </c>
      <c r="ID22" s="40">
        <f t="shared" ca="1" si="128"/>
        <v>4224857.4085439844</v>
      </c>
      <c r="IE22" s="40">
        <f t="shared" ca="1" si="128"/>
        <v>4224857.4085439844</v>
      </c>
      <c r="IF22" s="40">
        <f t="shared" ca="1" si="128"/>
        <v>4224857.4085439844</v>
      </c>
      <c r="IG22" s="40">
        <f t="shared" ca="1" si="128"/>
        <v>4224857.4085439844</v>
      </c>
      <c r="IH22" s="40">
        <f t="shared" ca="1" si="128"/>
        <v>4224857.4085439844</v>
      </c>
      <c r="II22" s="40">
        <f t="shared" ca="1" si="128"/>
        <v>4224857.4085439844</v>
      </c>
      <c r="IJ22" s="40">
        <f t="shared" ca="1" si="128"/>
        <v>4224857.4085439844</v>
      </c>
      <c r="IK22" s="40">
        <f t="shared" ca="1" si="128"/>
        <v>4224857.4085439844</v>
      </c>
      <c r="IL22" s="40">
        <f t="shared" ca="1" si="128"/>
        <v>4224857.4085439844</v>
      </c>
      <c r="IM22" s="40">
        <f t="shared" ca="1" si="128"/>
        <v>4224857.4085439844</v>
      </c>
      <c r="IN22" s="40">
        <f t="shared" ca="1" si="128"/>
        <v>4224857.4085439844</v>
      </c>
    </row>
    <row r="23" spans="2:248" x14ac:dyDescent="0.3">
      <c r="B23" s="19" t="s">
        <v>500</v>
      </c>
      <c r="C23" s="54">
        <f>IF(VLOOKUP(B2,Country_Data!C:I,7,FALSE)="","Not initiated",VLOOKUP(B2,Country_Data!C:I,7,FALSE))</f>
        <v>43904</v>
      </c>
      <c r="F23" s="19" t="s">
        <v>494</v>
      </c>
      <c r="G23" s="40">
        <f t="shared" si="129"/>
        <v>18.048028311425682</v>
      </c>
      <c r="H23" s="40">
        <f t="shared" ref="H23:BS23" ca="1" si="130">H12*$C$15</f>
        <v>25.516177957532861</v>
      </c>
      <c r="I23" s="40">
        <f t="shared" ca="1" si="130"/>
        <v>32.206395348837205</v>
      </c>
      <c r="J23" s="40">
        <f t="shared" ca="1" si="130"/>
        <v>42.630687563195146</v>
      </c>
      <c r="K23" s="40">
        <f t="shared" ca="1" si="130"/>
        <v>50.098837209302324</v>
      </c>
      <c r="L23" s="40">
        <f t="shared" ca="1" si="130"/>
        <v>59.74519716885743</v>
      </c>
      <c r="M23" s="40">
        <f t="shared" ca="1" si="130"/>
        <v>71.414180990899894</v>
      </c>
      <c r="N23" s="40">
        <f t="shared" ca="1" si="130"/>
        <v>91.48483316481294</v>
      </c>
      <c r="O23" s="40">
        <f t="shared" ca="1" si="130"/>
        <v>124.31357431749241</v>
      </c>
      <c r="P23" s="40">
        <f t="shared" ca="1" si="130"/>
        <v>175.9682760364004</v>
      </c>
      <c r="Q23" s="40">
        <f t="shared" ca="1" si="130"/>
        <v>206.61880687563195</v>
      </c>
      <c r="R23" s="40">
        <f t="shared" ca="1" si="130"/>
        <v>197.75037917087968</v>
      </c>
      <c r="S23" s="40">
        <f t="shared" ca="1" si="130"/>
        <v>262.16316986855406</v>
      </c>
      <c r="T23" s="40">
        <f t="shared" ca="1" si="130"/>
        <v>357.22649140546002</v>
      </c>
      <c r="U23" s="40">
        <f t="shared" ca="1" si="130"/>
        <v>349.29158240647115</v>
      </c>
      <c r="V23" s="40">
        <f t="shared" ca="1" si="130"/>
        <v>540.50733063700704</v>
      </c>
      <c r="W23" s="40">
        <f t="shared" ca="1" si="130"/>
        <v>683.80245197168858</v>
      </c>
      <c r="X23" s="40">
        <f t="shared" ca="1" si="130"/>
        <v>768.13030839231544</v>
      </c>
      <c r="Y23" s="40">
        <f t="shared" ca="1" si="130"/>
        <v>883.88662790697674</v>
      </c>
      <c r="Z23" s="40">
        <f t="shared" ca="1" si="130"/>
        <v>1048.4970930232557</v>
      </c>
      <c r="AA23" s="40">
        <f t="shared" ca="1" si="130"/>
        <v>1200.9718149646108</v>
      </c>
      <c r="AB23" s="40">
        <f t="shared" ca="1" si="130"/>
        <v>1511.5223710819009</v>
      </c>
      <c r="AC23" s="40">
        <f t="shared" ca="1" si="130"/>
        <v>1915.8915571284124</v>
      </c>
      <c r="AD23" s="40">
        <f t="shared" ca="1" si="130"/>
        <v>2179.4550050556118</v>
      </c>
      <c r="AE23" s="40">
        <f t="shared" ca="1" si="130"/>
        <v>2390.1190596562183</v>
      </c>
      <c r="AF23" s="40">
        <f t="shared" ca="1" si="130"/>
        <v>3346.1666835187057</v>
      </c>
      <c r="AG23" s="40">
        <f t="shared" ca="1" si="130"/>
        <v>4684.6333569261878</v>
      </c>
      <c r="AH23" s="40">
        <f t="shared" ca="1" si="130"/>
        <v>6558.4866996966621</v>
      </c>
      <c r="AI23" s="40">
        <f t="shared" ca="1" si="130"/>
        <v>9181.8813795753267</v>
      </c>
      <c r="AJ23" s="40">
        <f t="shared" ca="1" si="130"/>
        <v>12854.633931405457</v>
      </c>
      <c r="AK23" s="40">
        <f t="shared" ca="1" si="130"/>
        <v>17996.487503967637</v>
      </c>
      <c r="AL23" s="40">
        <f t="shared" ca="1" si="130"/>
        <v>25195.082505554692</v>
      </c>
      <c r="AM23" s="40">
        <f t="shared" ca="1" si="130"/>
        <v>35273.115507776565</v>
      </c>
      <c r="AN23" s="40">
        <f t="shared" ca="1" si="130"/>
        <v>49382.361710887184</v>
      </c>
      <c r="AO23" s="40">
        <f t="shared" ca="1" si="130"/>
        <v>69135.306395242049</v>
      </c>
      <c r="AP23" s="40">
        <f t="shared" ca="1" si="130"/>
        <v>96789.428953338866</v>
      </c>
      <c r="AQ23" s="40">
        <f t="shared" ca="1" si="130"/>
        <v>135505.20053467443</v>
      </c>
      <c r="AR23" s="40">
        <f t="shared" ca="1" si="130"/>
        <v>189707.28074854417</v>
      </c>
      <c r="AS23" s="40">
        <f t="shared" ca="1" si="130"/>
        <v>265590.1930479618</v>
      </c>
      <c r="AT23" s="40">
        <f t="shared" ca="1" si="130"/>
        <v>371826.27026714652</v>
      </c>
      <c r="AU23" s="40">
        <f t="shared" ca="1" si="130"/>
        <v>520556.77837400511</v>
      </c>
      <c r="AV23" s="40">
        <f t="shared" ca="1" si="130"/>
        <v>728779.4897236072</v>
      </c>
      <c r="AW23" s="40">
        <f t="shared" ca="1" si="130"/>
        <v>1020291.28561305</v>
      </c>
      <c r="AX23" s="40">
        <f t="shared" ca="1" si="130"/>
        <v>1428407.7998582697</v>
      </c>
      <c r="AY23" s="40">
        <f t="shared" ca="1" si="130"/>
        <v>1999770.9198015777</v>
      </c>
      <c r="AZ23" s="40">
        <f t="shared" ca="1" si="130"/>
        <v>2799679.2877222085</v>
      </c>
      <c r="BA23" s="40">
        <f t="shared" ca="1" si="130"/>
        <v>3919551.0028110915</v>
      </c>
      <c r="BB23" s="40">
        <f t="shared" ca="1" si="130"/>
        <v>4224857.4085439844</v>
      </c>
      <c r="BC23" s="40">
        <f t="shared" ca="1" si="130"/>
        <v>4224857.4085439844</v>
      </c>
      <c r="BD23" s="40">
        <f t="shared" ca="1" si="130"/>
        <v>4224857.4085439844</v>
      </c>
      <c r="BE23" s="40">
        <f t="shared" ca="1" si="130"/>
        <v>4224857.4085439844</v>
      </c>
      <c r="BF23" s="40">
        <f t="shared" ca="1" si="130"/>
        <v>4224857.4085439844</v>
      </c>
      <c r="BG23" s="40">
        <f t="shared" ca="1" si="130"/>
        <v>4224857.4085439844</v>
      </c>
      <c r="BH23" s="40">
        <f t="shared" ca="1" si="130"/>
        <v>4224857.4085439844</v>
      </c>
      <c r="BI23" s="40">
        <f t="shared" ca="1" si="130"/>
        <v>4224857.4085439844</v>
      </c>
      <c r="BJ23" s="40">
        <f t="shared" ca="1" si="130"/>
        <v>4224857.4085439844</v>
      </c>
      <c r="BK23" s="40">
        <f t="shared" ca="1" si="130"/>
        <v>4224857.4085439844</v>
      </c>
      <c r="BL23" s="40">
        <f t="shared" ca="1" si="130"/>
        <v>4224857.4085439844</v>
      </c>
      <c r="BM23" s="40">
        <f t="shared" ca="1" si="130"/>
        <v>4224857.4085439844</v>
      </c>
      <c r="BN23" s="40">
        <f t="shared" ca="1" si="130"/>
        <v>4224857.4085439844</v>
      </c>
      <c r="BO23" s="40">
        <f t="shared" ca="1" si="130"/>
        <v>4224857.4085439844</v>
      </c>
      <c r="BP23" s="40">
        <f t="shared" ca="1" si="130"/>
        <v>4224857.4085439844</v>
      </c>
      <c r="BQ23" s="40">
        <f t="shared" ca="1" si="130"/>
        <v>4224857.4085439844</v>
      </c>
      <c r="BR23" s="40">
        <f t="shared" ca="1" si="130"/>
        <v>4224857.4085439844</v>
      </c>
      <c r="BS23" s="40">
        <f t="shared" ca="1" si="130"/>
        <v>4224857.4085439844</v>
      </c>
      <c r="BT23" s="40">
        <f t="shared" ca="1" si="126"/>
        <v>4224857.4085439844</v>
      </c>
      <c r="BU23" s="40">
        <f t="shared" ca="1" si="126"/>
        <v>4224857.4085439844</v>
      </c>
      <c r="BV23" s="40">
        <f t="shared" ca="1" si="126"/>
        <v>4224857.4085439844</v>
      </c>
      <c r="BW23" s="40">
        <f t="shared" ca="1" si="126"/>
        <v>4224857.4085439844</v>
      </c>
      <c r="BX23" s="40">
        <f t="shared" ca="1" si="126"/>
        <v>4224857.4085439844</v>
      </c>
      <c r="BY23" s="40">
        <f t="shared" ca="1" si="126"/>
        <v>4224857.4085439844</v>
      </c>
      <c r="BZ23" s="40">
        <f t="shared" ca="1" si="126"/>
        <v>4224857.4085439844</v>
      </c>
      <c r="CA23" s="40">
        <f t="shared" ca="1" si="126"/>
        <v>4224857.4085439844</v>
      </c>
      <c r="CB23" s="40">
        <f t="shared" ca="1" si="126"/>
        <v>4224857.4085439844</v>
      </c>
      <c r="CC23" s="40">
        <f t="shared" ca="1" si="126"/>
        <v>4224857.4085439844</v>
      </c>
      <c r="CD23" s="40">
        <f t="shared" ca="1" si="126"/>
        <v>4224857.4085439844</v>
      </c>
      <c r="CE23" s="40">
        <f t="shared" ca="1" si="126"/>
        <v>4224857.4085439844</v>
      </c>
      <c r="CF23" s="40">
        <f t="shared" ca="1" si="126"/>
        <v>4224857.4085439844</v>
      </c>
      <c r="CG23" s="40">
        <f t="shared" ca="1" si="126"/>
        <v>4224857.4085439844</v>
      </c>
      <c r="CH23" s="40">
        <f t="shared" ca="1" si="126"/>
        <v>4224857.4085439844</v>
      </c>
      <c r="CI23" s="40">
        <f t="shared" ca="1" si="126"/>
        <v>4224857.4085439844</v>
      </c>
      <c r="CJ23" s="40">
        <f t="shared" ca="1" si="126"/>
        <v>4224857.4085439844</v>
      </c>
      <c r="CK23" s="40">
        <f t="shared" ca="1" si="126"/>
        <v>4224857.4085439844</v>
      </c>
      <c r="CL23" s="40">
        <f t="shared" ca="1" si="126"/>
        <v>4224857.4085439844</v>
      </c>
      <c r="CM23" s="40">
        <f t="shared" ca="1" si="126"/>
        <v>4224857.4085439844</v>
      </c>
      <c r="CN23" s="40">
        <f t="shared" ca="1" si="126"/>
        <v>4224857.4085439844</v>
      </c>
      <c r="CO23" s="40">
        <f t="shared" ca="1" si="126"/>
        <v>4224857.4085439844</v>
      </c>
      <c r="CP23" s="40">
        <f t="shared" ca="1" si="126"/>
        <v>4224857.4085439844</v>
      </c>
      <c r="CQ23" s="40">
        <f t="shared" ca="1" si="126"/>
        <v>4224857.4085439844</v>
      </c>
      <c r="CR23" s="40">
        <f t="shared" ca="1" si="126"/>
        <v>4224857.4085439844</v>
      </c>
      <c r="CS23" s="40">
        <f t="shared" ca="1" si="126"/>
        <v>4224857.4085439844</v>
      </c>
      <c r="CT23" s="40">
        <f t="shared" ca="1" si="126"/>
        <v>4224857.4085439844</v>
      </c>
      <c r="CU23" s="40">
        <f t="shared" ca="1" si="126"/>
        <v>4224857.4085439844</v>
      </c>
      <c r="CV23" s="40">
        <f t="shared" ca="1" si="126"/>
        <v>4224857.4085439844</v>
      </c>
      <c r="CW23" s="40">
        <f t="shared" ca="1" si="126"/>
        <v>4224857.4085439844</v>
      </c>
      <c r="CX23" s="40">
        <f t="shared" ca="1" si="126"/>
        <v>4224857.4085439844</v>
      </c>
      <c r="CY23" s="40">
        <f t="shared" ca="1" si="126"/>
        <v>4224857.4085439844</v>
      </c>
      <c r="CZ23" s="40">
        <f t="shared" ca="1" si="126"/>
        <v>4224857.4085439844</v>
      </c>
      <c r="DA23" s="40">
        <f t="shared" ca="1" si="126"/>
        <v>4224857.4085439844</v>
      </c>
      <c r="DB23" s="40">
        <f t="shared" ca="1" si="126"/>
        <v>4224857.4085439844</v>
      </c>
      <c r="DC23" s="40">
        <f t="shared" ca="1" si="126"/>
        <v>4224857.4085439844</v>
      </c>
      <c r="DD23" s="40">
        <f t="shared" ca="1" si="126"/>
        <v>4224857.4085439844</v>
      </c>
      <c r="DE23" s="40">
        <f t="shared" ca="1" si="126"/>
        <v>4224857.4085439844</v>
      </c>
      <c r="DF23" s="40">
        <f t="shared" ca="1" si="126"/>
        <v>4224857.4085439844</v>
      </c>
      <c r="DG23" s="40">
        <f t="shared" ca="1" si="126"/>
        <v>4224857.4085439844</v>
      </c>
      <c r="DH23" s="40">
        <f t="shared" ca="1" si="126"/>
        <v>4224857.4085439844</v>
      </c>
      <c r="DI23" s="40">
        <f t="shared" ca="1" si="126"/>
        <v>4224857.4085439844</v>
      </c>
      <c r="DJ23" s="40">
        <f t="shared" ca="1" si="126"/>
        <v>4224857.4085439844</v>
      </c>
      <c r="DK23" s="40">
        <f t="shared" ca="1" si="126"/>
        <v>4224857.4085439844</v>
      </c>
      <c r="DL23" s="40">
        <f t="shared" ca="1" si="126"/>
        <v>4224857.4085439844</v>
      </c>
      <c r="DM23" s="40">
        <f t="shared" ca="1" si="126"/>
        <v>4224857.4085439844</v>
      </c>
      <c r="DN23" s="40">
        <f t="shared" ca="1" si="126"/>
        <v>4224857.4085439844</v>
      </c>
      <c r="DO23" s="40">
        <f t="shared" ca="1" si="126"/>
        <v>4224857.4085439844</v>
      </c>
      <c r="DP23" s="40">
        <f t="shared" ca="1" si="126"/>
        <v>4224857.4085439844</v>
      </c>
      <c r="DQ23" s="40">
        <f t="shared" ca="1" si="126"/>
        <v>4224857.4085439844</v>
      </c>
      <c r="DR23" s="40">
        <f t="shared" ca="1" si="126"/>
        <v>4224857.4085439844</v>
      </c>
      <c r="DS23" s="40">
        <f t="shared" ca="1" si="126"/>
        <v>4224857.4085439844</v>
      </c>
      <c r="DT23" s="40">
        <f t="shared" ca="1" si="126"/>
        <v>4224857.4085439844</v>
      </c>
      <c r="DU23" s="40">
        <f t="shared" ca="1" si="126"/>
        <v>4224857.4085439844</v>
      </c>
      <c r="DV23" s="40">
        <f t="shared" ca="1" si="126"/>
        <v>4224857.4085439844</v>
      </c>
      <c r="DW23" s="40">
        <f t="shared" ca="1" si="126"/>
        <v>4224857.4085439844</v>
      </c>
      <c r="DX23" s="40">
        <f t="shared" ca="1" si="126"/>
        <v>4224857.4085439844</v>
      </c>
      <c r="DY23" s="40">
        <f t="shared" ca="1" si="126"/>
        <v>4224857.4085439844</v>
      </c>
      <c r="DZ23" s="40">
        <f t="shared" ca="1" si="126"/>
        <v>4224857.4085439844</v>
      </c>
      <c r="EA23" s="40">
        <f t="shared" ca="1" si="126"/>
        <v>4224857.4085439844</v>
      </c>
      <c r="EB23" s="40">
        <f t="shared" ca="1" si="126"/>
        <v>4224857.4085439844</v>
      </c>
      <c r="EC23" s="40">
        <f t="shared" ca="1" si="126"/>
        <v>4224857.4085439844</v>
      </c>
      <c r="ED23" s="40">
        <f t="shared" ca="1" si="126"/>
        <v>4224857.4085439844</v>
      </c>
      <c r="EE23" s="40">
        <f t="shared" ca="1" si="126"/>
        <v>4224857.4085439844</v>
      </c>
      <c r="EF23" s="40">
        <f t="shared" ca="1" si="127"/>
        <v>4224857.4085439844</v>
      </c>
      <c r="EG23" s="40">
        <f t="shared" ca="1" si="127"/>
        <v>4224857.4085439844</v>
      </c>
      <c r="EH23" s="40">
        <f t="shared" ca="1" si="127"/>
        <v>4224857.4085439844</v>
      </c>
      <c r="EI23" s="40">
        <f t="shared" ca="1" si="127"/>
        <v>4224857.4085439844</v>
      </c>
      <c r="EJ23" s="40">
        <f t="shared" ca="1" si="127"/>
        <v>4224857.4085439844</v>
      </c>
      <c r="EK23" s="40">
        <f t="shared" ca="1" si="127"/>
        <v>4224857.4085439844</v>
      </c>
      <c r="EL23" s="40">
        <f t="shared" ca="1" si="127"/>
        <v>4224857.4085439844</v>
      </c>
      <c r="EM23" s="40">
        <f t="shared" ca="1" si="127"/>
        <v>4224857.4085439844</v>
      </c>
      <c r="EN23" s="40">
        <f t="shared" ca="1" si="127"/>
        <v>4224857.4085439844</v>
      </c>
      <c r="EO23" s="40">
        <f t="shared" ca="1" si="127"/>
        <v>4224857.4085439844</v>
      </c>
      <c r="EP23" s="40">
        <f t="shared" ca="1" si="127"/>
        <v>4224857.4085439844</v>
      </c>
      <c r="EQ23" s="40">
        <f t="shared" ca="1" si="127"/>
        <v>4224857.4085439844</v>
      </c>
      <c r="ER23" s="40">
        <f t="shared" ca="1" si="127"/>
        <v>4224857.4085439844</v>
      </c>
      <c r="ES23" s="40">
        <f t="shared" ca="1" si="127"/>
        <v>4224857.4085439844</v>
      </c>
      <c r="ET23" s="40">
        <f t="shared" ca="1" si="127"/>
        <v>4224857.4085439844</v>
      </c>
      <c r="EU23" s="40">
        <f t="shared" ca="1" si="127"/>
        <v>4224857.4085439844</v>
      </c>
      <c r="EV23" s="40">
        <f t="shared" ca="1" si="127"/>
        <v>4224857.4085439844</v>
      </c>
      <c r="EW23" s="40">
        <f t="shared" ca="1" si="127"/>
        <v>4224857.4085439844</v>
      </c>
      <c r="EX23" s="40">
        <f t="shared" ca="1" si="127"/>
        <v>4224857.4085439844</v>
      </c>
      <c r="EY23" s="40">
        <f t="shared" ca="1" si="127"/>
        <v>4224857.4085439844</v>
      </c>
      <c r="EZ23" s="40">
        <f t="shared" ca="1" si="127"/>
        <v>4224857.4085439844</v>
      </c>
      <c r="FA23" s="40">
        <f t="shared" ca="1" si="127"/>
        <v>4224857.4085439844</v>
      </c>
      <c r="FB23" s="40">
        <f t="shared" ca="1" si="127"/>
        <v>4224857.4085439844</v>
      </c>
      <c r="FC23" s="40">
        <f t="shared" ca="1" si="127"/>
        <v>4224857.4085439844</v>
      </c>
      <c r="FD23" s="40">
        <f t="shared" ca="1" si="127"/>
        <v>4224857.4085439844</v>
      </c>
      <c r="FE23" s="40">
        <f t="shared" ca="1" si="127"/>
        <v>4224857.4085439844</v>
      </c>
      <c r="FF23" s="40">
        <f t="shared" ca="1" si="127"/>
        <v>4224857.4085439844</v>
      </c>
      <c r="FG23" s="40">
        <f t="shared" ca="1" si="127"/>
        <v>4224857.4085439844</v>
      </c>
      <c r="FH23" s="40">
        <f t="shared" ca="1" si="127"/>
        <v>4224857.4085439844</v>
      </c>
      <c r="FI23" s="40">
        <f t="shared" ca="1" si="127"/>
        <v>4224857.4085439844</v>
      </c>
      <c r="FJ23" s="40">
        <f t="shared" ca="1" si="127"/>
        <v>4224857.4085439844</v>
      </c>
      <c r="FK23" s="40">
        <f t="shared" ca="1" si="127"/>
        <v>4224857.4085439844</v>
      </c>
      <c r="FL23" s="40">
        <f t="shared" ca="1" si="127"/>
        <v>4224857.4085439844</v>
      </c>
      <c r="FM23" s="40">
        <f t="shared" ca="1" si="127"/>
        <v>4224857.4085439844</v>
      </c>
      <c r="FN23" s="40">
        <f t="shared" ca="1" si="127"/>
        <v>4224857.4085439844</v>
      </c>
      <c r="FO23" s="40">
        <f t="shared" ca="1" si="127"/>
        <v>4224857.4085439844</v>
      </c>
      <c r="FP23" s="40">
        <f t="shared" ca="1" si="127"/>
        <v>4224857.4085439844</v>
      </c>
      <c r="FQ23" s="40">
        <f t="shared" ca="1" si="127"/>
        <v>4224857.4085439844</v>
      </c>
      <c r="FR23" s="40">
        <f t="shared" ca="1" si="127"/>
        <v>4224857.4085439844</v>
      </c>
      <c r="FS23" s="40">
        <f t="shared" ca="1" si="127"/>
        <v>4224857.4085439844</v>
      </c>
      <c r="FT23" s="40">
        <f t="shared" ca="1" si="127"/>
        <v>4224857.4085439844</v>
      </c>
      <c r="FU23" s="40">
        <f t="shared" ca="1" si="127"/>
        <v>4224857.4085439844</v>
      </c>
      <c r="FV23" s="40">
        <f t="shared" ca="1" si="127"/>
        <v>4224857.4085439844</v>
      </c>
      <c r="FW23" s="40">
        <f t="shared" ca="1" si="127"/>
        <v>4224857.4085439844</v>
      </c>
      <c r="FX23" s="40">
        <f t="shared" ca="1" si="127"/>
        <v>4224857.4085439844</v>
      </c>
      <c r="FY23" s="40">
        <f t="shared" ca="1" si="127"/>
        <v>4224857.4085439844</v>
      </c>
      <c r="FZ23" s="40">
        <f t="shared" ca="1" si="127"/>
        <v>4224857.4085439844</v>
      </c>
      <c r="GA23" s="40">
        <f t="shared" ca="1" si="127"/>
        <v>4224857.4085439844</v>
      </c>
      <c r="GB23" s="40">
        <f t="shared" ca="1" si="127"/>
        <v>4224857.4085439844</v>
      </c>
      <c r="GC23" s="40">
        <f t="shared" ca="1" si="127"/>
        <v>4224857.4085439844</v>
      </c>
      <c r="GD23" s="40">
        <f t="shared" ca="1" si="127"/>
        <v>4224857.4085439844</v>
      </c>
      <c r="GE23" s="40">
        <f t="shared" ca="1" si="127"/>
        <v>4224857.4085439844</v>
      </c>
      <c r="GF23" s="40">
        <f t="shared" ca="1" si="127"/>
        <v>4224857.4085439844</v>
      </c>
      <c r="GG23" s="40">
        <f t="shared" ca="1" si="127"/>
        <v>4224857.4085439844</v>
      </c>
      <c r="GH23" s="40">
        <f t="shared" ca="1" si="127"/>
        <v>4224857.4085439844</v>
      </c>
      <c r="GI23" s="40">
        <f t="shared" ca="1" si="127"/>
        <v>4224857.4085439844</v>
      </c>
      <c r="GJ23" s="40">
        <f t="shared" ca="1" si="127"/>
        <v>4224857.4085439844</v>
      </c>
      <c r="GK23" s="40">
        <f t="shared" ca="1" si="127"/>
        <v>4224857.4085439844</v>
      </c>
      <c r="GL23" s="40">
        <f t="shared" ca="1" si="127"/>
        <v>4224857.4085439844</v>
      </c>
      <c r="GM23" s="40">
        <f t="shared" ca="1" si="127"/>
        <v>4224857.4085439844</v>
      </c>
      <c r="GN23" s="40">
        <f t="shared" ca="1" si="127"/>
        <v>4224857.4085439844</v>
      </c>
      <c r="GO23" s="40">
        <f t="shared" ca="1" si="127"/>
        <v>4224857.4085439844</v>
      </c>
      <c r="GP23" s="40">
        <f t="shared" ca="1" si="127"/>
        <v>4224857.4085439844</v>
      </c>
      <c r="GQ23" s="40">
        <f t="shared" ca="1" si="127"/>
        <v>4224857.4085439844</v>
      </c>
      <c r="GR23" s="40">
        <f t="shared" ca="1" si="128"/>
        <v>4224857.4085439844</v>
      </c>
      <c r="GS23" s="40">
        <f t="shared" ca="1" si="128"/>
        <v>4224857.4085439844</v>
      </c>
      <c r="GT23" s="40">
        <f t="shared" ca="1" si="128"/>
        <v>4224857.4085439844</v>
      </c>
      <c r="GU23" s="40">
        <f t="shared" ca="1" si="128"/>
        <v>4224857.4085439844</v>
      </c>
      <c r="GV23" s="40">
        <f t="shared" ca="1" si="128"/>
        <v>4224857.4085439844</v>
      </c>
      <c r="GW23" s="40">
        <f t="shared" ca="1" si="128"/>
        <v>4224857.4085439844</v>
      </c>
      <c r="GX23" s="40">
        <f t="shared" ca="1" si="128"/>
        <v>4224857.4085439844</v>
      </c>
      <c r="GY23" s="40">
        <f t="shared" ca="1" si="128"/>
        <v>4224857.4085439844</v>
      </c>
      <c r="GZ23" s="40">
        <f t="shared" ca="1" si="128"/>
        <v>4224857.4085439844</v>
      </c>
      <c r="HA23" s="40">
        <f t="shared" ca="1" si="128"/>
        <v>4224857.4085439844</v>
      </c>
      <c r="HB23" s="40">
        <f t="shared" ca="1" si="128"/>
        <v>4224857.4085439844</v>
      </c>
      <c r="HC23" s="40">
        <f t="shared" ca="1" si="128"/>
        <v>4224857.4085439844</v>
      </c>
      <c r="HD23" s="40">
        <f t="shared" ca="1" si="128"/>
        <v>4224857.4085439844</v>
      </c>
      <c r="HE23" s="40">
        <f t="shared" ca="1" si="128"/>
        <v>4224857.4085439844</v>
      </c>
      <c r="HF23" s="40">
        <f t="shared" ca="1" si="128"/>
        <v>4224857.4085439844</v>
      </c>
      <c r="HG23" s="40">
        <f t="shared" ca="1" si="128"/>
        <v>4224857.4085439844</v>
      </c>
      <c r="HH23" s="40">
        <f t="shared" ca="1" si="128"/>
        <v>4224857.4085439844</v>
      </c>
      <c r="HI23" s="40">
        <f t="shared" ca="1" si="128"/>
        <v>4224857.4085439844</v>
      </c>
      <c r="HJ23" s="40">
        <f t="shared" ca="1" si="128"/>
        <v>4224857.4085439844</v>
      </c>
      <c r="HK23" s="40">
        <f t="shared" ca="1" si="128"/>
        <v>4224857.4085439844</v>
      </c>
      <c r="HL23" s="40">
        <f t="shared" ca="1" si="128"/>
        <v>4224857.4085439844</v>
      </c>
      <c r="HM23" s="40">
        <f t="shared" ca="1" si="128"/>
        <v>4224857.4085439844</v>
      </c>
      <c r="HN23" s="40">
        <f t="shared" ca="1" si="128"/>
        <v>4224857.4085439844</v>
      </c>
      <c r="HO23" s="40">
        <f t="shared" ca="1" si="128"/>
        <v>4224857.4085439844</v>
      </c>
      <c r="HP23" s="40">
        <f t="shared" ca="1" si="128"/>
        <v>4224857.4085439844</v>
      </c>
      <c r="HQ23" s="40">
        <f t="shared" ca="1" si="128"/>
        <v>4224857.4085439844</v>
      </c>
      <c r="HR23" s="40">
        <f t="shared" ca="1" si="128"/>
        <v>4224857.4085439844</v>
      </c>
      <c r="HS23" s="40">
        <f t="shared" ca="1" si="128"/>
        <v>4224857.4085439844</v>
      </c>
      <c r="HT23" s="40">
        <f t="shared" ca="1" si="128"/>
        <v>4224857.4085439844</v>
      </c>
      <c r="HU23" s="40">
        <f t="shared" ca="1" si="128"/>
        <v>4224857.4085439844</v>
      </c>
      <c r="HV23" s="40">
        <f t="shared" ca="1" si="128"/>
        <v>4224857.4085439844</v>
      </c>
      <c r="HW23" s="40">
        <f t="shared" ca="1" si="128"/>
        <v>4224857.4085439844</v>
      </c>
      <c r="HX23" s="40">
        <f t="shared" ca="1" si="128"/>
        <v>4224857.4085439844</v>
      </c>
      <c r="HY23" s="40">
        <f t="shared" ca="1" si="128"/>
        <v>4224857.4085439844</v>
      </c>
      <c r="HZ23" s="40">
        <f t="shared" ca="1" si="128"/>
        <v>4224857.4085439844</v>
      </c>
      <c r="IA23" s="40">
        <f t="shared" ca="1" si="128"/>
        <v>4224857.4085439844</v>
      </c>
      <c r="IB23" s="40">
        <f t="shared" ca="1" si="128"/>
        <v>4224857.4085439844</v>
      </c>
      <c r="IC23" s="40">
        <f t="shared" ca="1" si="128"/>
        <v>4224857.4085439844</v>
      </c>
      <c r="ID23" s="40">
        <f t="shared" ca="1" si="128"/>
        <v>4224857.4085439844</v>
      </c>
      <c r="IE23" s="40">
        <f t="shared" ca="1" si="128"/>
        <v>4224857.4085439844</v>
      </c>
      <c r="IF23" s="40">
        <f t="shared" ca="1" si="128"/>
        <v>4224857.4085439844</v>
      </c>
      <c r="IG23" s="40">
        <f t="shared" ca="1" si="128"/>
        <v>4224857.4085439844</v>
      </c>
      <c r="IH23" s="40">
        <f t="shared" ca="1" si="128"/>
        <v>4224857.4085439844</v>
      </c>
      <c r="II23" s="40">
        <f t="shared" ca="1" si="128"/>
        <v>4224857.4085439844</v>
      </c>
      <c r="IJ23" s="40">
        <f t="shared" ca="1" si="128"/>
        <v>4224857.4085439844</v>
      </c>
      <c r="IK23" s="40">
        <f t="shared" ca="1" si="128"/>
        <v>4224857.4085439844</v>
      </c>
      <c r="IL23" s="40">
        <f t="shared" ca="1" si="128"/>
        <v>4224857.4085439844</v>
      </c>
      <c r="IM23" s="40">
        <f t="shared" ca="1" si="128"/>
        <v>4224857.4085439844</v>
      </c>
      <c r="IN23" s="40">
        <f t="shared" ca="1" si="128"/>
        <v>4224857.4085439844</v>
      </c>
    </row>
    <row r="24" spans="2:248" x14ac:dyDescent="0.3">
      <c r="B24" s="19" t="s">
        <v>499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474</v>
      </c>
      <c r="G25" s="27">
        <f t="shared" ref="G25:BR25" ca="1" si="131">IF(G3=TODAY(),1,-1000)</f>
        <v>-1000</v>
      </c>
      <c r="H25" s="27">
        <f t="shared" ca="1" si="131"/>
        <v>-1000</v>
      </c>
      <c r="I25" s="27">
        <f t="shared" ca="1" si="131"/>
        <v>-1000</v>
      </c>
      <c r="J25" s="27">
        <f t="shared" ca="1" si="131"/>
        <v>-1000</v>
      </c>
      <c r="K25" s="27">
        <f t="shared" ca="1" si="131"/>
        <v>-1000</v>
      </c>
      <c r="L25" s="27">
        <f t="shared" ca="1" si="131"/>
        <v>-1000</v>
      </c>
      <c r="M25" s="27">
        <f t="shared" ca="1" si="131"/>
        <v>-1000</v>
      </c>
      <c r="N25" s="27">
        <f t="shared" ca="1" si="131"/>
        <v>-1000</v>
      </c>
      <c r="O25" s="27">
        <f t="shared" ca="1" si="131"/>
        <v>-1000</v>
      </c>
      <c r="P25" s="27">
        <f t="shared" ca="1" si="131"/>
        <v>-1000</v>
      </c>
      <c r="Q25" s="27">
        <f t="shared" ca="1" si="131"/>
        <v>-1000</v>
      </c>
      <c r="R25" s="27">
        <f t="shared" ca="1" si="131"/>
        <v>-1000</v>
      </c>
      <c r="S25" s="27">
        <f t="shared" ca="1" si="131"/>
        <v>-1000</v>
      </c>
      <c r="T25" s="27">
        <f t="shared" ca="1" si="131"/>
        <v>-1000</v>
      </c>
      <c r="U25" s="27">
        <f t="shared" ca="1" si="131"/>
        <v>-1000</v>
      </c>
      <c r="V25" s="27">
        <f t="shared" ca="1" si="131"/>
        <v>-1000</v>
      </c>
      <c r="W25" s="27">
        <f t="shared" ca="1" si="131"/>
        <v>-1000</v>
      </c>
      <c r="X25" s="27">
        <f t="shared" ca="1" si="131"/>
        <v>-1000</v>
      </c>
      <c r="Y25" s="27">
        <f t="shared" ca="1" si="131"/>
        <v>-1000</v>
      </c>
      <c r="Z25" s="27">
        <f t="shared" ca="1" si="131"/>
        <v>-1000</v>
      </c>
      <c r="AA25" s="27">
        <f t="shared" ca="1" si="131"/>
        <v>-1000</v>
      </c>
      <c r="AB25" s="27">
        <f t="shared" ca="1" si="131"/>
        <v>-1000</v>
      </c>
      <c r="AC25" s="27">
        <f t="shared" ca="1" si="131"/>
        <v>-1000</v>
      </c>
      <c r="AD25" s="27">
        <f t="shared" ca="1" si="131"/>
        <v>-1000</v>
      </c>
      <c r="AE25" s="27">
        <f t="shared" ca="1" si="131"/>
        <v>-1000</v>
      </c>
      <c r="AF25" s="27">
        <f t="shared" ca="1" si="131"/>
        <v>1</v>
      </c>
      <c r="AG25" s="27">
        <f t="shared" ca="1" si="131"/>
        <v>-1000</v>
      </c>
      <c r="AH25" s="27">
        <f t="shared" ca="1" si="131"/>
        <v>-1000</v>
      </c>
      <c r="AI25" s="27">
        <f t="shared" ca="1" si="131"/>
        <v>-1000</v>
      </c>
      <c r="AJ25" s="27">
        <f t="shared" ca="1" si="131"/>
        <v>-1000</v>
      </c>
      <c r="AK25" s="27">
        <f t="shared" ca="1" si="131"/>
        <v>-1000</v>
      </c>
      <c r="AL25" s="27">
        <f t="shared" ca="1" si="131"/>
        <v>-1000</v>
      </c>
      <c r="AM25" s="27">
        <f t="shared" ca="1" si="131"/>
        <v>-1000</v>
      </c>
      <c r="AN25" s="27">
        <f t="shared" ca="1" si="131"/>
        <v>-1000</v>
      </c>
      <c r="AO25" s="27">
        <f t="shared" ca="1" si="131"/>
        <v>-1000</v>
      </c>
      <c r="AP25" s="27">
        <f t="shared" ca="1" si="131"/>
        <v>-1000</v>
      </c>
      <c r="AQ25" s="27">
        <f t="shared" ca="1" si="131"/>
        <v>-1000</v>
      </c>
      <c r="AR25" s="27">
        <f t="shared" ca="1" si="131"/>
        <v>-1000</v>
      </c>
      <c r="AS25" s="27">
        <f t="shared" ca="1" si="131"/>
        <v>-1000</v>
      </c>
      <c r="AT25" s="27">
        <f t="shared" ca="1" si="131"/>
        <v>-1000</v>
      </c>
      <c r="AU25" s="27">
        <f t="shared" ca="1" si="131"/>
        <v>-1000</v>
      </c>
      <c r="AV25" s="27">
        <f t="shared" ca="1" si="131"/>
        <v>-1000</v>
      </c>
      <c r="AW25" s="27">
        <f t="shared" ca="1" si="131"/>
        <v>-1000</v>
      </c>
      <c r="AX25" s="27">
        <f t="shared" ca="1" si="131"/>
        <v>-1000</v>
      </c>
      <c r="AY25" s="27">
        <f t="shared" ca="1" si="131"/>
        <v>-1000</v>
      </c>
      <c r="AZ25" s="27">
        <f t="shared" ca="1" si="131"/>
        <v>-1000</v>
      </c>
      <c r="BA25" s="27">
        <f t="shared" ca="1" si="131"/>
        <v>-1000</v>
      </c>
      <c r="BB25" s="27">
        <f t="shared" ca="1" si="131"/>
        <v>-1000</v>
      </c>
      <c r="BC25" s="27">
        <f t="shared" ca="1" si="131"/>
        <v>-1000</v>
      </c>
      <c r="BD25" s="27">
        <f t="shared" ca="1" si="131"/>
        <v>-1000</v>
      </c>
      <c r="BE25" s="27">
        <f t="shared" ca="1" si="131"/>
        <v>-1000</v>
      </c>
      <c r="BF25" s="27">
        <f t="shared" ca="1" si="131"/>
        <v>-1000</v>
      </c>
      <c r="BG25" s="27">
        <f t="shared" ca="1" si="131"/>
        <v>-1000</v>
      </c>
      <c r="BH25" s="27">
        <f t="shared" ca="1" si="131"/>
        <v>-1000</v>
      </c>
      <c r="BI25" s="27">
        <f t="shared" ca="1" si="131"/>
        <v>-1000</v>
      </c>
      <c r="BJ25" s="27">
        <f t="shared" ca="1" si="131"/>
        <v>-1000</v>
      </c>
      <c r="BK25" s="27">
        <f t="shared" ca="1" si="131"/>
        <v>-1000</v>
      </c>
      <c r="BL25" s="27">
        <f t="shared" ca="1" si="131"/>
        <v>-1000</v>
      </c>
      <c r="BM25" s="27">
        <f t="shared" ca="1" si="131"/>
        <v>-1000</v>
      </c>
      <c r="BN25" s="27">
        <f t="shared" ca="1" si="131"/>
        <v>-1000</v>
      </c>
      <c r="BO25" s="27">
        <f t="shared" ca="1" si="131"/>
        <v>-1000</v>
      </c>
      <c r="BP25" s="27">
        <f t="shared" ca="1" si="131"/>
        <v>-1000</v>
      </c>
      <c r="BQ25" s="27">
        <f t="shared" ca="1" si="131"/>
        <v>-1000</v>
      </c>
      <c r="BR25" s="27">
        <f t="shared" ca="1" si="131"/>
        <v>-1000</v>
      </c>
      <c r="BS25" s="27">
        <f t="shared" ref="BS25:ED25" ca="1" si="132">IF(BS3=TODAY(),1,-1000)</f>
        <v>-1000</v>
      </c>
      <c r="BT25" s="27">
        <f t="shared" ca="1" si="132"/>
        <v>-1000</v>
      </c>
      <c r="BU25" s="27">
        <f t="shared" ca="1" si="132"/>
        <v>-1000</v>
      </c>
      <c r="BV25" s="27">
        <f t="shared" ca="1" si="132"/>
        <v>-1000</v>
      </c>
      <c r="BW25" s="27">
        <f t="shared" ca="1" si="132"/>
        <v>-1000</v>
      </c>
      <c r="BX25" s="27">
        <f t="shared" ca="1" si="132"/>
        <v>-1000</v>
      </c>
      <c r="BY25" s="27">
        <f t="shared" ca="1" si="132"/>
        <v>-1000</v>
      </c>
      <c r="BZ25" s="27">
        <f t="shared" ca="1" si="132"/>
        <v>-1000</v>
      </c>
      <c r="CA25" s="27">
        <f t="shared" ca="1" si="132"/>
        <v>-1000</v>
      </c>
      <c r="CB25" s="27">
        <f t="shared" ca="1" si="132"/>
        <v>-1000</v>
      </c>
      <c r="CC25" s="27">
        <f t="shared" ca="1" si="132"/>
        <v>-1000</v>
      </c>
      <c r="CD25" s="27">
        <f t="shared" ca="1" si="132"/>
        <v>-1000</v>
      </c>
      <c r="CE25" s="27">
        <f t="shared" ca="1" si="132"/>
        <v>-1000</v>
      </c>
      <c r="CF25" s="27">
        <f t="shared" ca="1" si="132"/>
        <v>-1000</v>
      </c>
      <c r="CG25" s="27">
        <f t="shared" ca="1" si="132"/>
        <v>-1000</v>
      </c>
      <c r="CH25" s="27">
        <f t="shared" ca="1" si="132"/>
        <v>-1000</v>
      </c>
      <c r="CI25" s="27">
        <f t="shared" ca="1" si="132"/>
        <v>-1000</v>
      </c>
      <c r="CJ25" s="27">
        <f t="shared" ca="1" si="132"/>
        <v>-1000</v>
      </c>
      <c r="CK25" s="27">
        <f t="shared" ca="1" si="132"/>
        <v>-1000</v>
      </c>
      <c r="CL25" s="27">
        <f t="shared" ca="1" si="132"/>
        <v>-1000</v>
      </c>
      <c r="CM25" s="27">
        <f t="shared" ca="1" si="132"/>
        <v>-1000</v>
      </c>
      <c r="CN25" s="27">
        <f t="shared" ca="1" si="132"/>
        <v>-1000</v>
      </c>
      <c r="CO25" s="27">
        <f t="shared" ca="1" si="132"/>
        <v>-1000</v>
      </c>
      <c r="CP25" s="27">
        <f t="shared" ca="1" si="132"/>
        <v>-1000</v>
      </c>
      <c r="CQ25" s="27">
        <f t="shared" ca="1" si="132"/>
        <v>-1000</v>
      </c>
      <c r="CR25" s="27">
        <f t="shared" ca="1" si="132"/>
        <v>-1000</v>
      </c>
      <c r="CS25" s="27">
        <f t="shared" ca="1" si="132"/>
        <v>-1000</v>
      </c>
      <c r="CT25" s="27">
        <f t="shared" ca="1" si="132"/>
        <v>-1000</v>
      </c>
      <c r="CU25" s="27">
        <f t="shared" ca="1" si="132"/>
        <v>-1000</v>
      </c>
      <c r="CV25" s="27">
        <f t="shared" ca="1" si="132"/>
        <v>-1000</v>
      </c>
      <c r="CW25" s="27">
        <f t="shared" ca="1" si="132"/>
        <v>-1000</v>
      </c>
      <c r="CX25" s="27">
        <f t="shared" ca="1" si="132"/>
        <v>-1000</v>
      </c>
      <c r="CY25" s="27">
        <f t="shared" ca="1" si="132"/>
        <v>-1000</v>
      </c>
      <c r="CZ25" s="27">
        <f t="shared" ca="1" si="132"/>
        <v>-1000</v>
      </c>
      <c r="DA25" s="27">
        <f t="shared" ca="1" si="132"/>
        <v>-1000</v>
      </c>
      <c r="DB25" s="27">
        <f t="shared" ca="1" si="132"/>
        <v>-1000</v>
      </c>
      <c r="DC25" s="27">
        <f t="shared" ca="1" si="132"/>
        <v>-1000</v>
      </c>
      <c r="DD25" s="27">
        <f t="shared" ca="1" si="132"/>
        <v>-1000</v>
      </c>
      <c r="DE25" s="27">
        <f t="shared" ca="1" si="132"/>
        <v>-1000</v>
      </c>
      <c r="DF25" s="27">
        <f t="shared" ca="1" si="132"/>
        <v>-1000</v>
      </c>
      <c r="DG25" s="27">
        <f t="shared" ca="1" si="132"/>
        <v>-1000</v>
      </c>
      <c r="DH25" s="27">
        <f t="shared" ca="1" si="132"/>
        <v>-1000</v>
      </c>
      <c r="DI25" s="27">
        <f t="shared" ca="1" si="132"/>
        <v>-1000</v>
      </c>
      <c r="DJ25" s="27">
        <f t="shared" ca="1" si="132"/>
        <v>-1000</v>
      </c>
      <c r="DK25" s="27">
        <f t="shared" ca="1" si="132"/>
        <v>-1000</v>
      </c>
      <c r="DL25" s="27">
        <f t="shared" ca="1" si="132"/>
        <v>-1000</v>
      </c>
      <c r="DM25" s="27">
        <f t="shared" ca="1" si="132"/>
        <v>-1000</v>
      </c>
      <c r="DN25" s="27">
        <f t="shared" ca="1" si="132"/>
        <v>-1000</v>
      </c>
      <c r="DO25" s="27">
        <f t="shared" ca="1" si="132"/>
        <v>-1000</v>
      </c>
      <c r="DP25" s="27">
        <f t="shared" ca="1" si="132"/>
        <v>-1000</v>
      </c>
      <c r="DQ25" s="27">
        <f t="shared" ca="1" si="132"/>
        <v>-1000</v>
      </c>
      <c r="DR25" s="27">
        <f t="shared" ca="1" si="132"/>
        <v>-1000</v>
      </c>
      <c r="DS25" s="27">
        <f t="shared" ca="1" si="132"/>
        <v>-1000</v>
      </c>
      <c r="DT25" s="27">
        <f t="shared" ca="1" si="132"/>
        <v>-1000</v>
      </c>
      <c r="DU25" s="27">
        <f t="shared" ca="1" si="132"/>
        <v>-1000</v>
      </c>
      <c r="DV25" s="27">
        <f t="shared" ca="1" si="132"/>
        <v>-1000</v>
      </c>
      <c r="DW25" s="27">
        <f t="shared" ca="1" si="132"/>
        <v>-1000</v>
      </c>
      <c r="DX25" s="27">
        <f t="shared" ca="1" si="132"/>
        <v>-1000</v>
      </c>
      <c r="DY25" s="27">
        <f t="shared" ca="1" si="132"/>
        <v>-1000</v>
      </c>
      <c r="DZ25" s="27">
        <f t="shared" ca="1" si="132"/>
        <v>-1000</v>
      </c>
      <c r="EA25" s="27">
        <f t="shared" ca="1" si="132"/>
        <v>-1000</v>
      </c>
      <c r="EB25" s="27">
        <f t="shared" ca="1" si="132"/>
        <v>-1000</v>
      </c>
      <c r="EC25" s="27">
        <f t="shared" ca="1" si="132"/>
        <v>-1000</v>
      </c>
      <c r="ED25" s="27">
        <f t="shared" ca="1" si="132"/>
        <v>-1000</v>
      </c>
      <c r="EE25" s="27">
        <f t="shared" ref="EE25:GP25" ca="1" si="133">IF(EE3=TODAY(),1,-1000)</f>
        <v>-1000</v>
      </c>
      <c r="EF25" s="27">
        <f t="shared" ca="1" si="133"/>
        <v>-1000</v>
      </c>
      <c r="EG25" s="27">
        <f t="shared" ca="1" si="133"/>
        <v>-1000</v>
      </c>
      <c r="EH25" s="27">
        <f t="shared" ca="1" si="133"/>
        <v>-1000</v>
      </c>
      <c r="EI25" s="27">
        <f t="shared" ca="1" si="133"/>
        <v>-1000</v>
      </c>
      <c r="EJ25" s="27">
        <f t="shared" ca="1" si="133"/>
        <v>-1000</v>
      </c>
      <c r="EK25" s="27">
        <f t="shared" ca="1" si="133"/>
        <v>-1000</v>
      </c>
      <c r="EL25" s="27">
        <f t="shared" ca="1" si="133"/>
        <v>-1000</v>
      </c>
      <c r="EM25" s="27">
        <f t="shared" ca="1" si="133"/>
        <v>-1000</v>
      </c>
      <c r="EN25" s="27">
        <f t="shared" ca="1" si="133"/>
        <v>-1000</v>
      </c>
      <c r="EO25" s="27">
        <f t="shared" ca="1" si="133"/>
        <v>-1000</v>
      </c>
      <c r="EP25" s="27">
        <f t="shared" ca="1" si="133"/>
        <v>-1000</v>
      </c>
      <c r="EQ25" s="27">
        <f t="shared" ca="1" si="133"/>
        <v>-1000</v>
      </c>
      <c r="ER25" s="27">
        <f t="shared" ca="1" si="133"/>
        <v>-1000</v>
      </c>
      <c r="ES25" s="27">
        <f t="shared" ca="1" si="133"/>
        <v>-1000</v>
      </c>
      <c r="ET25" s="27">
        <f t="shared" ca="1" si="133"/>
        <v>-1000</v>
      </c>
      <c r="EU25" s="27">
        <f t="shared" ca="1" si="133"/>
        <v>-1000</v>
      </c>
      <c r="EV25" s="27">
        <f t="shared" ca="1" si="133"/>
        <v>-1000</v>
      </c>
      <c r="EW25" s="27">
        <f t="shared" ca="1" si="133"/>
        <v>-1000</v>
      </c>
      <c r="EX25" s="27">
        <f t="shared" ca="1" si="133"/>
        <v>-1000</v>
      </c>
      <c r="EY25" s="27">
        <f t="shared" ca="1" si="133"/>
        <v>-1000</v>
      </c>
      <c r="EZ25" s="27">
        <f t="shared" ca="1" si="133"/>
        <v>-1000</v>
      </c>
      <c r="FA25" s="27">
        <f t="shared" ca="1" si="133"/>
        <v>-1000</v>
      </c>
      <c r="FB25" s="27">
        <f t="shared" ca="1" si="133"/>
        <v>-1000</v>
      </c>
      <c r="FC25" s="27">
        <f t="shared" ca="1" si="133"/>
        <v>-1000</v>
      </c>
      <c r="FD25" s="27">
        <f t="shared" ca="1" si="133"/>
        <v>-1000</v>
      </c>
      <c r="FE25" s="27">
        <f t="shared" ca="1" si="133"/>
        <v>-1000</v>
      </c>
      <c r="FF25" s="27">
        <f t="shared" ca="1" si="133"/>
        <v>-1000</v>
      </c>
      <c r="FG25" s="27">
        <f t="shared" ca="1" si="133"/>
        <v>-1000</v>
      </c>
      <c r="FH25" s="27">
        <f t="shared" ca="1" si="133"/>
        <v>-1000</v>
      </c>
      <c r="FI25" s="27">
        <f t="shared" ca="1" si="133"/>
        <v>-1000</v>
      </c>
      <c r="FJ25" s="27">
        <f t="shared" ca="1" si="133"/>
        <v>-1000</v>
      </c>
      <c r="FK25" s="27">
        <f t="shared" ca="1" si="133"/>
        <v>-1000</v>
      </c>
      <c r="FL25" s="27">
        <f t="shared" ca="1" si="133"/>
        <v>-1000</v>
      </c>
      <c r="FM25" s="27">
        <f t="shared" ca="1" si="133"/>
        <v>-1000</v>
      </c>
      <c r="FN25" s="27">
        <f t="shared" ca="1" si="133"/>
        <v>-1000</v>
      </c>
      <c r="FO25" s="27">
        <f t="shared" ca="1" si="133"/>
        <v>-1000</v>
      </c>
      <c r="FP25" s="27">
        <f t="shared" ca="1" si="133"/>
        <v>-1000</v>
      </c>
      <c r="FQ25" s="27">
        <f t="shared" ca="1" si="133"/>
        <v>-1000</v>
      </c>
      <c r="FR25" s="27">
        <f t="shared" ca="1" si="133"/>
        <v>-1000</v>
      </c>
      <c r="FS25" s="27">
        <f t="shared" ca="1" si="133"/>
        <v>-1000</v>
      </c>
      <c r="FT25" s="27">
        <f t="shared" ca="1" si="133"/>
        <v>-1000</v>
      </c>
      <c r="FU25" s="27">
        <f t="shared" ca="1" si="133"/>
        <v>-1000</v>
      </c>
      <c r="FV25" s="27">
        <f t="shared" ca="1" si="133"/>
        <v>-1000</v>
      </c>
      <c r="FW25" s="27">
        <f t="shared" ca="1" si="133"/>
        <v>-1000</v>
      </c>
      <c r="FX25" s="27">
        <f t="shared" ca="1" si="133"/>
        <v>-1000</v>
      </c>
      <c r="FY25" s="27">
        <f t="shared" ca="1" si="133"/>
        <v>-1000</v>
      </c>
      <c r="FZ25" s="27">
        <f t="shared" ca="1" si="133"/>
        <v>-1000</v>
      </c>
      <c r="GA25" s="27">
        <f t="shared" ca="1" si="133"/>
        <v>-1000</v>
      </c>
      <c r="GB25" s="27">
        <f t="shared" ca="1" si="133"/>
        <v>-1000</v>
      </c>
      <c r="GC25" s="27">
        <f t="shared" ca="1" si="133"/>
        <v>-1000</v>
      </c>
      <c r="GD25" s="27">
        <f t="shared" ca="1" si="133"/>
        <v>-1000</v>
      </c>
      <c r="GE25" s="27">
        <f t="shared" ca="1" si="133"/>
        <v>-1000</v>
      </c>
      <c r="GF25" s="27">
        <f t="shared" ca="1" si="133"/>
        <v>-1000</v>
      </c>
      <c r="GG25" s="27">
        <f t="shared" ca="1" si="133"/>
        <v>-1000</v>
      </c>
      <c r="GH25" s="27">
        <f t="shared" ca="1" si="133"/>
        <v>-1000</v>
      </c>
      <c r="GI25" s="27">
        <f t="shared" ca="1" si="133"/>
        <v>-1000</v>
      </c>
      <c r="GJ25" s="27">
        <f t="shared" ca="1" si="133"/>
        <v>-1000</v>
      </c>
      <c r="GK25" s="27">
        <f t="shared" ca="1" si="133"/>
        <v>-1000</v>
      </c>
      <c r="GL25" s="27">
        <f t="shared" ca="1" si="133"/>
        <v>-1000</v>
      </c>
      <c r="GM25" s="27">
        <f t="shared" ca="1" si="133"/>
        <v>-1000</v>
      </c>
      <c r="GN25" s="27">
        <f t="shared" ca="1" si="133"/>
        <v>-1000</v>
      </c>
      <c r="GO25" s="27">
        <f t="shared" ca="1" si="133"/>
        <v>-1000</v>
      </c>
      <c r="GP25" s="27">
        <f t="shared" ca="1" si="133"/>
        <v>-1000</v>
      </c>
      <c r="GQ25" s="27">
        <f t="shared" ref="GQ25:IN25" ca="1" si="134">IF(GQ3=TODAY(),1,-1000)</f>
        <v>-1000</v>
      </c>
      <c r="GR25" s="27">
        <f t="shared" ca="1" si="134"/>
        <v>-1000</v>
      </c>
      <c r="GS25" s="27">
        <f t="shared" ca="1" si="134"/>
        <v>-1000</v>
      </c>
      <c r="GT25" s="27">
        <f t="shared" ca="1" si="134"/>
        <v>-1000</v>
      </c>
      <c r="GU25" s="27">
        <f t="shared" ca="1" si="134"/>
        <v>-1000</v>
      </c>
      <c r="GV25" s="27">
        <f t="shared" ca="1" si="134"/>
        <v>-1000</v>
      </c>
      <c r="GW25" s="27">
        <f t="shared" ca="1" si="134"/>
        <v>-1000</v>
      </c>
      <c r="GX25" s="27">
        <f t="shared" ca="1" si="134"/>
        <v>-1000</v>
      </c>
      <c r="GY25" s="27">
        <f t="shared" ca="1" si="134"/>
        <v>-1000</v>
      </c>
      <c r="GZ25" s="27">
        <f t="shared" ca="1" si="134"/>
        <v>-1000</v>
      </c>
      <c r="HA25" s="27">
        <f t="shared" ca="1" si="134"/>
        <v>-1000</v>
      </c>
      <c r="HB25" s="27">
        <f t="shared" ca="1" si="134"/>
        <v>-1000</v>
      </c>
      <c r="HC25" s="27">
        <f t="shared" ca="1" si="134"/>
        <v>-1000</v>
      </c>
      <c r="HD25" s="27">
        <f t="shared" ca="1" si="134"/>
        <v>-1000</v>
      </c>
      <c r="HE25" s="27">
        <f t="shared" ca="1" si="134"/>
        <v>-1000</v>
      </c>
      <c r="HF25" s="27">
        <f t="shared" ca="1" si="134"/>
        <v>-1000</v>
      </c>
      <c r="HG25" s="27">
        <f t="shared" ca="1" si="134"/>
        <v>-1000</v>
      </c>
      <c r="HH25" s="27">
        <f t="shared" ca="1" si="134"/>
        <v>-1000</v>
      </c>
      <c r="HI25" s="27">
        <f t="shared" ca="1" si="134"/>
        <v>-1000</v>
      </c>
      <c r="HJ25" s="27">
        <f t="shared" ca="1" si="134"/>
        <v>-1000</v>
      </c>
      <c r="HK25" s="27">
        <f t="shared" ca="1" si="134"/>
        <v>-1000</v>
      </c>
      <c r="HL25" s="27">
        <f t="shared" ca="1" si="134"/>
        <v>-1000</v>
      </c>
      <c r="HM25" s="27">
        <f t="shared" ca="1" si="134"/>
        <v>-1000</v>
      </c>
      <c r="HN25" s="27">
        <f t="shared" ca="1" si="134"/>
        <v>-1000</v>
      </c>
      <c r="HO25" s="27">
        <f t="shared" ca="1" si="134"/>
        <v>-1000</v>
      </c>
      <c r="HP25" s="27">
        <f t="shared" ca="1" si="134"/>
        <v>-1000</v>
      </c>
      <c r="HQ25" s="27">
        <f t="shared" ca="1" si="134"/>
        <v>-1000</v>
      </c>
      <c r="HR25" s="27">
        <f t="shared" ca="1" si="134"/>
        <v>-1000</v>
      </c>
      <c r="HS25" s="27">
        <f t="shared" ca="1" si="134"/>
        <v>-1000</v>
      </c>
      <c r="HT25" s="27">
        <f t="shared" ca="1" si="134"/>
        <v>-1000</v>
      </c>
      <c r="HU25" s="27">
        <f t="shared" ca="1" si="134"/>
        <v>-1000</v>
      </c>
      <c r="HV25" s="27">
        <f t="shared" ca="1" si="134"/>
        <v>-1000</v>
      </c>
      <c r="HW25" s="27">
        <f t="shared" ca="1" si="134"/>
        <v>-1000</v>
      </c>
      <c r="HX25" s="27">
        <f t="shared" ca="1" si="134"/>
        <v>-1000</v>
      </c>
      <c r="HY25" s="27">
        <f t="shared" ca="1" si="134"/>
        <v>-1000</v>
      </c>
      <c r="HZ25" s="27">
        <f t="shared" ca="1" si="134"/>
        <v>-1000</v>
      </c>
      <c r="IA25" s="27">
        <f t="shared" ca="1" si="134"/>
        <v>-1000</v>
      </c>
      <c r="IB25" s="27">
        <f t="shared" ca="1" si="134"/>
        <v>-1000</v>
      </c>
      <c r="IC25" s="27">
        <f t="shared" ca="1" si="134"/>
        <v>-1000</v>
      </c>
      <c r="ID25" s="27">
        <f t="shared" ca="1" si="134"/>
        <v>-1000</v>
      </c>
      <c r="IE25" s="27">
        <f t="shared" ca="1" si="134"/>
        <v>-1000</v>
      </c>
      <c r="IF25" s="27">
        <f t="shared" ca="1" si="134"/>
        <v>-1000</v>
      </c>
      <c r="IG25" s="27">
        <f t="shared" ca="1" si="134"/>
        <v>-1000</v>
      </c>
      <c r="IH25" s="27">
        <f t="shared" ca="1" si="134"/>
        <v>-1000</v>
      </c>
      <c r="II25" s="27">
        <f t="shared" ca="1" si="134"/>
        <v>-1000</v>
      </c>
      <c r="IJ25" s="27">
        <f t="shared" ca="1" si="134"/>
        <v>-1000</v>
      </c>
      <c r="IK25" s="27">
        <f t="shared" ca="1" si="134"/>
        <v>-1000</v>
      </c>
      <c r="IL25" s="27">
        <f t="shared" ca="1" si="134"/>
        <v>-1000</v>
      </c>
      <c r="IM25" s="27">
        <f t="shared" ca="1" si="134"/>
        <v>-1000</v>
      </c>
      <c r="IN25" s="27">
        <f t="shared" ca="1" si="134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>
        <f>IF(AND(G20&gt;G19,F20&lt;F19),1,0)</f>
        <v>0</v>
      </c>
      <c r="H26" s="26">
        <f t="shared" ref="H26:BS26" ca="1" si="135">IF(AND(H20&gt;H19,G20&lt;G19),1,0)</f>
        <v>0</v>
      </c>
      <c r="I26" s="26">
        <f t="shared" ca="1" si="135"/>
        <v>0</v>
      </c>
      <c r="J26" s="26">
        <f t="shared" ca="1" si="135"/>
        <v>0</v>
      </c>
      <c r="K26" s="26">
        <f t="shared" ca="1" si="135"/>
        <v>0</v>
      </c>
      <c r="L26" s="26">
        <f t="shared" ca="1" si="135"/>
        <v>0</v>
      </c>
      <c r="M26" s="26">
        <f t="shared" ca="1" si="135"/>
        <v>0</v>
      </c>
      <c r="N26" s="26">
        <f t="shared" ca="1" si="135"/>
        <v>0</v>
      </c>
      <c r="O26" s="26">
        <f t="shared" ca="1" si="135"/>
        <v>0</v>
      </c>
      <c r="P26" s="26">
        <f t="shared" ca="1" si="135"/>
        <v>0</v>
      </c>
      <c r="Q26" s="26">
        <f t="shared" ca="1" si="135"/>
        <v>0</v>
      </c>
      <c r="R26" s="26">
        <f t="shared" ca="1" si="135"/>
        <v>0</v>
      </c>
      <c r="S26" s="26">
        <f t="shared" ca="1" si="135"/>
        <v>0</v>
      </c>
      <c r="T26" s="26">
        <f t="shared" ca="1" si="135"/>
        <v>0</v>
      </c>
      <c r="U26" s="26">
        <f t="shared" ca="1" si="135"/>
        <v>0</v>
      </c>
      <c r="V26" s="26">
        <f t="shared" ca="1" si="135"/>
        <v>0</v>
      </c>
      <c r="W26" s="26">
        <f t="shared" ca="1" si="135"/>
        <v>0</v>
      </c>
      <c r="X26" s="26">
        <f t="shared" ca="1" si="135"/>
        <v>0</v>
      </c>
      <c r="Y26" s="26">
        <f t="shared" ca="1" si="135"/>
        <v>0</v>
      </c>
      <c r="Z26" s="26">
        <f t="shared" ca="1" si="135"/>
        <v>0</v>
      </c>
      <c r="AA26" s="26">
        <f t="shared" ca="1" si="135"/>
        <v>0</v>
      </c>
      <c r="AB26" s="26">
        <f t="shared" ca="1" si="135"/>
        <v>0</v>
      </c>
      <c r="AC26" s="26">
        <f t="shared" ca="1" si="135"/>
        <v>0</v>
      </c>
      <c r="AD26" s="26">
        <f t="shared" ca="1" si="135"/>
        <v>0</v>
      </c>
      <c r="AE26" s="26">
        <f t="shared" ca="1" si="135"/>
        <v>0</v>
      </c>
      <c r="AF26" s="26">
        <f t="shared" ca="1" si="135"/>
        <v>0</v>
      </c>
      <c r="AG26" s="26">
        <f t="shared" ca="1" si="135"/>
        <v>0</v>
      </c>
      <c r="AH26" s="26">
        <f t="shared" ca="1" si="135"/>
        <v>0</v>
      </c>
      <c r="AI26" s="26">
        <f t="shared" ca="1" si="135"/>
        <v>1</v>
      </c>
      <c r="AJ26" s="26">
        <f t="shared" ca="1" si="135"/>
        <v>0</v>
      </c>
      <c r="AK26" s="26">
        <f t="shared" ca="1" si="135"/>
        <v>0</v>
      </c>
      <c r="AL26" s="26">
        <f t="shared" ca="1" si="135"/>
        <v>0</v>
      </c>
      <c r="AM26" s="26">
        <f t="shared" ca="1" si="135"/>
        <v>0</v>
      </c>
      <c r="AN26" s="26">
        <f t="shared" ca="1" si="135"/>
        <v>0</v>
      </c>
      <c r="AO26" s="26">
        <f t="shared" ca="1" si="135"/>
        <v>0</v>
      </c>
      <c r="AP26" s="26">
        <f t="shared" ca="1" si="135"/>
        <v>0</v>
      </c>
      <c r="AQ26" s="26">
        <f t="shared" ca="1" si="135"/>
        <v>0</v>
      </c>
      <c r="AR26" s="26">
        <f t="shared" ca="1" si="135"/>
        <v>0</v>
      </c>
      <c r="AS26" s="26">
        <f t="shared" ca="1" si="135"/>
        <v>0</v>
      </c>
      <c r="AT26" s="26">
        <f t="shared" ca="1" si="135"/>
        <v>0</v>
      </c>
      <c r="AU26" s="26">
        <f t="shared" ca="1" si="135"/>
        <v>0</v>
      </c>
      <c r="AV26" s="26">
        <f t="shared" ca="1" si="135"/>
        <v>0</v>
      </c>
      <c r="AW26" s="26">
        <f t="shared" ca="1" si="135"/>
        <v>0</v>
      </c>
      <c r="AX26" s="26">
        <f t="shared" ca="1" si="135"/>
        <v>0</v>
      </c>
      <c r="AY26" s="26">
        <f t="shared" ca="1" si="135"/>
        <v>0</v>
      </c>
      <c r="AZ26" s="26">
        <f t="shared" ca="1" si="135"/>
        <v>0</v>
      </c>
      <c r="BA26" s="26">
        <f t="shared" ca="1" si="135"/>
        <v>0</v>
      </c>
      <c r="BB26" s="26">
        <f t="shared" ca="1" si="135"/>
        <v>0</v>
      </c>
      <c r="BC26" s="26">
        <f t="shared" ca="1" si="135"/>
        <v>0</v>
      </c>
      <c r="BD26" s="26">
        <f t="shared" ca="1" si="135"/>
        <v>0</v>
      </c>
      <c r="BE26" s="26">
        <f t="shared" ca="1" si="135"/>
        <v>0</v>
      </c>
      <c r="BF26" s="26">
        <f t="shared" ca="1" si="135"/>
        <v>0</v>
      </c>
      <c r="BG26" s="26">
        <f t="shared" ca="1" si="135"/>
        <v>0</v>
      </c>
      <c r="BH26" s="26">
        <f t="shared" ca="1" si="135"/>
        <v>0</v>
      </c>
      <c r="BI26" s="26">
        <f t="shared" ca="1" si="135"/>
        <v>0</v>
      </c>
      <c r="BJ26" s="26">
        <f t="shared" ca="1" si="135"/>
        <v>0</v>
      </c>
      <c r="BK26" s="26">
        <f t="shared" ca="1" si="135"/>
        <v>0</v>
      </c>
      <c r="BL26" s="26">
        <f t="shared" ca="1" si="135"/>
        <v>0</v>
      </c>
      <c r="BM26" s="26">
        <f t="shared" ca="1" si="135"/>
        <v>0</v>
      </c>
      <c r="BN26" s="26">
        <f t="shared" ca="1" si="135"/>
        <v>0</v>
      </c>
      <c r="BO26" s="26">
        <f t="shared" ca="1" si="135"/>
        <v>0</v>
      </c>
      <c r="BP26" s="26">
        <f t="shared" ca="1" si="135"/>
        <v>0</v>
      </c>
      <c r="BQ26" s="26">
        <f t="shared" ca="1" si="135"/>
        <v>0</v>
      </c>
      <c r="BR26" s="26">
        <f t="shared" ca="1" si="135"/>
        <v>0</v>
      </c>
      <c r="BS26" s="26">
        <f t="shared" ca="1" si="135"/>
        <v>0</v>
      </c>
      <c r="BT26" s="26">
        <f t="shared" ref="BT26:EE26" ca="1" si="136">IF(AND(BT20&gt;BT19,BS20&lt;BS19),1,0)</f>
        <v>0</v>
      </c>
      <c r="BU26" s="26">
        <f t="shared" ca="1" si="136"/>
        <v>0</v>
      </c>
      <c r="BV26" s="26">
        <f t="shared" ca="1" si="136"/>
        <v>0</v>
      </c>
      <c r="BW26" s="26">
        <f t="shared" ca="1" si="136"/>
        <v>0</v>
      </c>
      <c r="BX26" s="26">
        <f t="shared" ca="1" si="136"/>
        <v>0</v>
      </c>
      <c r="BY26" s="26">
        <f t="shared" ca="1" si="136"/>
        <v>0</v>
      </c>
      <c r="BZ26" s="26">
        <f t="shared" ca="1" si="136"/>
        <v>0</v>
      </c>
      <c r="CA26" s="26">
        <f t="shared" ca="1" si="136"/>
        <v>0</v>
      </c>
      <c r="CB26" s="26">
        <f t="shared" ca="1" si="136"/>
        <v>0</v>
      </c>
      <c r="CC26" s="26">
        <f t="shared" ca="1" si="136"/>
        <v>0</v>
      </c>
      <c r="CD26" s="26">
        <f t="shared" ca="1" si="136"/>
        <v>0</v>
      </c>
      <c r="CE26" s="26">
        <f t="shared" ca="1" si="136"/>
        <v>0</v>
      </c>
      <c r="CF26" s="26">
        <f t="shared" ca="1" si="136"/>
        <v>0</v>
      </c>
      <c r="CG26" s="26">
        <f t="shared" ca="1" si="136"/>
        <v>0</v>
      </c>
      <c r="CH26" s="26">
        <f t="shared" ca="1" si="136"/>
        <v>0</v>
      </c>
      <c r="CI26" s="26">
        <f t="shared" ca="1" si="136"/>
        <v>0</v>
      </c>
      <c r="CJ26" s="26">
        <f t="shared" ca="1" si="136"/>
        <v>0</v>
      </c>
      <c r="CK26" s="26">
        <f t="shared" ca="1" si="136"/>
        <v>0</v>
      </c>
      <c r="CL26" s="26">
        <f t="shared" ca="1" si="136"/>
        <v>0</v>
      </c>
      <c r="CM26" s="26">
        <f t="shared" ca="1" si="136"/>
        <v>0</v>
      </c>
      <c r="CN26" s="26">
        <f t="shared" ca="1" si="136"/>
        <v>0</v>
      </c>
      <c r="CO26" s="26">
        <f t="shared" ca="1" si="136"/>
        <v>0</v>
      </c>
      <c r="CP26" s="26">
        <f t="shared" ca="1" si="136"/>
        <v>0</v>
      </c>
      <c r="CQ26" s="26">
        <f t="shared" ca="1" si="136"/>
        <v>0</v>
      </c>
      <c r="CR26" s="26">
        <f t="shared" ca="1" si="136"/>
        <v>0</v>
      </c>
      <c r="CS26" s="26">
        <f t="shared" ca="1" si="136"/>
        <v>0</v>
      </c>
      <c r="CT26" s="26">
        <f t="shared" ca="1" si="136"/>
        <v>0</v>
      </c>
      <c r="CU26" s="26">
        <f t="shared" ca="1" si="136"/>
        <v>0</v>
      </c>
      <c r="CV26" s="26">
        <f t="shared" ca="1" si="136"/>
        <v>0</v>
      </c>
      <c r="CW26" s="26">
        <f t="shared" ca="1" si="136"/>
        <v>0</v>
      </c>
      <c r="CX26" s="26">
        <f t="shared" ca="1" si="136"/>
        <v>0</v>
      </c>
      <c r="CY26" s="26">
        <f t="shared" ca="1" si="136"/>
        <v>0</v>
      </c>
      <c r="CZ26" s="26">
        <f t="shared" ca="1" si="136"/>
        <v>0</v>
      </c>
      <c r="DA26" s="26">
        <f t="shared" ca="1" si="136"/>
        <v>0</v>
      </c>
      <c r="DB26" s="26">
        <f t="shared" ca="1" si="136"/>
        <v>0</v>
      </c>
      <c r="DC26" s="26">
        <f t="shared" ca="1" si="136"/>
        <v>0</v>
      </c>
      <c r="DD26" s="26">
        <f t="shared" ca="1" si="136"/>
        <v>0</v>
      </c>
      <c r="DE26" s="26">
        <f t="shared" ca="1" si="136"/>
        <v>0</v>
      </c>
      <c r="DF26" s="26">
        <f t="shared" ca="1" si="136"/>
        <v>0</v>
      </c>
      <c r="DG26" s="26">
        <f t="shared" ca="1" si="136"/>
        <v>0</v>
      </c>
      <c r="DH26" s="26">
        <f t="shared" ca="1" si="136"/>
        <v>0</v>
      </c>
      <c r="DI26" s="26">
        <f t="shared" ca="1" si="136"/>
        <v>0</v>
      </c>
      <c r="DJ26" s="26">
        <f t="shared" ca="1" si="136"/>
        <v>0</v>
      </c>
      <c r="DK26" s="26">
        <f t="shared" ca="1" si="136"/>
        <v>0</v>
      </c>
      <c r="DL26" s="26">
        <f t="shared" ca="1" si="136"/>
        <v>0</v>
      </c>
      <c r="DM26" s="26">
        <f t="shared" ca="1" si="136"/>
        <v>0</v>
      </c>
      <c r="DN26" s="26">
        <f t="shared" ca="1" si="136"/>
        <v>0</v>
      </c>
      <c r="DO26" s="26">
        <f t="shared" ca="1" si="136"/>
        <v>0</v>
      </c>
      <c r="DP26" s="26">
        <f t="shared" ca="1" si="136"/>
        <v>0</v>
      </c>
      <c r="DQ26" s="26">
        <f t="shared" ca="1" si="136"/>
        <v>0</v>
      </c>
      <c r="DR26" s="26">
        <f t="shared" ca="1" si="136"/>
        <v>0</v>
      </c>
      <c r="DS26" s="26">
        <f t="shared" ca="1" si="136"/>
        <v>0</v>
      </c>
      <c r="DT26" s="26">
        <f t="shared" ca="1" si="136"/>
        <v>0</v>
      </c>
      <c r="DU26" s="26">
        <f t="shared" ca="1" si="136"/>
        <v>0</v>
      </c>
      <c r="DV26" s="26">
        <f t="shared" ca="1" si="136"/>
        <v>0</v>
      </c>
      <c r="DW26" s="26">
        <f t="shared" ca="1" si="136"/>
        <v>0</v>
      </c>
      <c r="DX26" s="26">
        <f t="shared" ca="1" si="136"/>
        <v>0</v>
      </c>
      <c r="DY26" s="26">
        <f t="shared" ca="1" si="136"/>
        <v>0</v>
      </c>
      <c r="DZ26" s="26">
        <f t="shared" ca="1" si="136"/>
        <v>0</v>
      </c>
      <c r="EA26" s="26">
        <f t="shared" ca="1" si="136"/>
        <v>0</v>
      </c>
      <c r="EB26" s="26">
        <f t="shared" ca="1" si="136"/>
        <v>0</v>
      </c>
      <c r="EC26" s="26">
        <f t="shared" ca="1" si="136"/>
        <v>0</v>
      </c>
      <c r="ED26" s="26">
        <f t="shared" ca="1" si="136"/>
        <v>0</v>
      </c>
      <c r="EE26" s="26">
        <f t="shared" ca="1" si="136"/>
        <v>0</v>
      </c>
      <c r="EF26" s="26">
        <f t="shared" ref="EF26:GQ26" ca="1" si="137">IF(AND(EF20&gt;EF19,EE20&lt;EE19),1,0)</f>
        <v>0</v>
      </c>
      <c r="EG26" s="26">
        <f t="shared" ca="1" si="137"/>
        <v>0</v>
      </c>
      <c r="EH26" s="26">
        <f t="shared" ca="1" si="137"/>
        <v>0</v>
      </c>
      <c r="EI26" s="26">
        <f t="shared" ca="1" si="137"/>
        <v>0</v>
      </c>
      <c r="EJ26" s="26">
        <f t="shared" ca="1" si="137"/>
        <v>0</v>
      </c>
      <c r="EK26" s="26">
        <f t="shared" ca="1" si="137"/>
        <v>0</v>
      </c>
      <c r="EL26" s="26">
        <f t="shared" ca="1" si="137"/>
        <v>0</v>
      </c>
      <c r="EM26" s="26">
        <f t="shared" ca="1" si="137"/>
        <v>0</v>
      </c>
      <c r="EN26" s="26">
        <f t="shared" ca="1" si="137"/>
        <v>0</v>
      </c>
      <c r="EO26" s="26">
        <f t="shared" ca="1" si="137"/>
        <v>0</v>
      </c>
      <c r="EP26" s="26">
        <f t="shared" ca="1" si="137"/>
        <v>0</v>
      </c>
      <c r="EQ26" s="26">
        <f t="shared" ca="1" si="137"/>
        <v>0</v>
      </c>
      <c r="ER26" s="26">
        <f t="shared" ca="1" si="137"/>
        <v>0</v>
      </c>
      <c r="ES26" s="26">
        <f t="shared" ca="1" si="137"/>
        <v>0</v>
      </c>
      <c r="ET26" s="26">
        <f t="shared" ca="1" si="137"/>
        <v>0</v>
      </c>
      <c r="EU26" s="26">
        <f t="shared" ca="1" si="137"/>
        <v>0</v>
      </c>
      <c r="EV26" s="26">
        <f t="shared" ca="1" si="137"/>
        <v>0</v>
      </c>
      <c r="EW26" s="26">
        <f t="shared" ca="1" si="137"/>
        <v>0</v>
      </c>
      <c r="EX26" s="26">
        <f t="shared" ca="1" si="137"/>
        <v>0</v>
      </c>
      <c r="EY26" s="26">
        <f t="shared" ca="1" si="137"/>
        <v>0</v>
      </c>
      <c r="EZ26" s="26">
        <f t="shared" ca="1" si="137"/>
        <v>0</v>
      </c>
      <c r="FA26" s="26">
        <f t="shared" ca="1" si="137"/>
        <v>0</v>
      </c>
      <c r="FB26" s="26">
        <f t="shared" ca="1" si="137"/>
        <v>0</v>
      </c>
      <c r="FC26" s="26">
        <f t="shared" ca="1" si="137"/>
        <v>0</v>
      </c>
      <c r="FD26" s="26">
        <f t="shared" ca="1" si="137"/>
        <v>0</v>
      </c>
      <c r="FE26" s="26">
        <f t="shared" ca="1" si="137"/>
        <v>0</v>
      </c>
      <c r="FF26" s="26">
        <f t="shared" ca="1" si="137"/>
        <v>0</v>
      </c>
      <c r="FG26" s="26">
        <f t="shared" ca="1" si="137"/>
        <v>0</v>
      </c>
      <c r="FH26" s="26">
        <f t="shared" ca="1" si="137"/>
        <v>0</v>
      </c>
      <c r="FI26" s="26">
        <f t="shared" ca="1" si="137"/>
        <v>0</v>
      </c>
      <c r="FJ26" s="26">
        <f t="shared" ca="1" si="137"/>
        <v>0</v>
      </c>
      <c r="FK26" s="26">
        <f t="shared" ca="1" si="137"/>
        <v>0</v>
      </c>
      <c r="FL26" s="26">
        <f t="shared" ca="1" si="137"/>
        <v>0</v>
      </c>
      <c r="FM26" s="26">
        <f t="shared" ca="1" si="137"/>
        <v>0</v>
      </c>
      <c r="FN26" s="26">
        <f t="shared" ca="1" si="137"/>
        <v>0</v>
      </c>
      <c r="FO26" s="26">
        <f t="shared" ca="1" si="137"/>
        <v>0</v>
      </c>
      <c r="FP26" s="26">
        <f t="shared" ca="1" si="137"/>
        <v>0</v>
      </c>
      <c r="FQ26" s="26">
        <f t="shared" ca="1" si="137"/>
        <v>0</v>
      </c>
      <c r="FR26" s="26">
        <f t="shared" ca="1" si="137"/>
        <v>0</v>
      </c>
      <c r="FS26" s="26">
        <f t="shared" ca="1" si="137"/>
        <v>0</v>
      </c>
      <c r="FT26" s="26">
        <f t="shared" ca="1" si="137"/>
        <v>0</v>
      </c>
      <c r="FU26" s="26">
        <f t="shared" ca="1" si="137"/>
        <v>0</v>
      </c>
      <c r="FV26" s="26">
        <f t="shared" ca="1" si="137"/>
        <v>0</v>
      </c>
      <c r="FW26" s="26">
        <f t="shared" ca="1" si="137"/>
        <v>0</v>
      </c>
      <c r="FX26" s="26">
        <f t="shared" ca="1" si="137"/>
        <v>0</v>
      </c>
      <c r="FY26" s="26">
        <f t="shared" ca="1" si="137"/>
        <v>0</v>
      </c>
      <c r="FZ26" s="26">
        <f t="shared" ca="1" si="137"/>
        <v>0</v>
      </c>
      <c r="GA26" s="26">
        <f t="shared" ca="1" si="137"/>
        <v>0</v>
      </c>
      <c r="GB26" s="26">
        <f t="shared" ca="1" si="137"/>
        <v>0</v>
      </c>
      <c r="GC26" s="26">
        <f t="shared" ca="1" si="137"/>
        <v>0</v>
      </c>
      <c r="GD26" s="26">
        <f t="shared" ca="1" si="137"/>
        <v>0</v>
      </c>
      <c r="GE26" s="26">
        <f t="shared" ca="1" si="137"/>
        <v>0</v>
      </c>
      <c r="GF26" s="26">
        <f t="shared" ca="1" si="137"/>
        <v>0</v>
      </c>
      <c r="GG26" s="26">
        <f t="shared" ca="1" si="137"/>
        <v>0</v>
      </c>
      <c r="GH26" s="26">
        <f t="shared" ca="1" si="137"/>
        <v>0</v>
      </c>
      <c r="GI26" s="26">
        <f t="shared" ca="1" si="137"/>
        <v>0</v>
      </c>
      <c r="GJ26" s="26">
        <f t="shared" ca="1" si="137"/>
        <v>0</v>
      </c>
      <c r="GK26" s="26">
        <f t="shared" ca="1" si="137"/>
        <v>0</v>
      </c>
      <c r="GL26" s="26">
        <f t="shared" ca="1" si="137"/>
        <v>0</v>
      </c>
      <c r="GM26" s="26">
        <f t="shared" ca="1" si="137"/>
        <v>0</v>
      </c>
      <c r="GN26" s="26">
        <f t="shared" ca="1" si="137"/>
        <v>0</v>
      </c>
      <c r="GO26" s="26">
        <f t="shared" ca="1" si="137"/>
        <v>0</v>
      </c>
      <c r="GP26" s="26">
        <f t="shared" ca="1" si="137"/>
        <v>0</v>
      </c>
      <c r="GQ26" s="26">
        <f t="shared" ca="1" si="137"/>
        <v>0</v>
      </c>
      <c r="GR26" s="26">
        <f t="shared" ref="GR26:IN26" ca="1" si="138">IF(AND(GR20&gt;GR19,GQ20&lt;GQ19),1,0)</f>
        <v>0</v>
      </c>
      <c r="GS26" s="26">
        <f t="shared" ca="1" si="138"/>
        <v>0</v>
      </c>
      <c r="GT26" s="26">
        <f t="shared" ca="1" si="138"/>
        <v>0</v>
      </c>
      <c r="GU26" s="26">
        <f t="shared" ca="1" si="138"/>
        <v>0</v>
      </c>
      <c r="GV26" s="26">
        <f t="shared" ca="1" si="138"/>
        <v>0</v>
      </c>
      <c r="GW26" s="26">
        <f t="shared" ca="1" si="138"/>
        <v>0</v>
      </c>
      <c r="GX26" s="26">
        <f t="shared" ca="1" si="138"/>
        <v>0</v>
      </c>
      <c r="GY26" s="26">
        <f t="shared" ca="1" si="138"/>
        <v>0</v>
      </c>
      <c r="GZ26" s="26">
        <f t="shared" ca="1" si="138"/>
        <v>0</v>
      </c>
      <c r="HA26" s="26">
        <f t="shared" ca="1" si="138"/>
        <v>0</v>
      </c>
      <c r="HB26" s="26">
        <f t="shared" ca="1" si="138"/>
        <v>0</v>
      </c>
      <c r="HC26" s="26">
        <f t="shared" ca="1" si="138"/>
        <v>0</v>
      </c>
      <c r="HD26" s="26">
        <f t="shared" ca="1" si="138"/>
        <v>0</v>
      </c>
      <c r="HE26" s="26">
        <f t="shared" ca="1" si="138"/>
        <v>0</v>
      </c>
      <c r="HF26" s="26">
        <f t="shared" ca="1" si="138"/>
        <v>0</v>
      </c>
      <c r="HG26" s="26">
        <f t="shared" ca="1" si="138"/>
        <v>0</v>
      </c>
      <c r="HH26" s="26">
        <f t="shared" ca="1" si="138"/>
        <v>0</v>
      </c>
      <c r="HI26" s="26">
        <f t="shared" ca="1" si="138"/>
        <v>0</v>
      </c>
      <c r="HJ26" s="26">
        <f t="shared" ca="1" si="138"/>
        <v>0</v>
      </c>
      <c r="HK26" s="26">
        <f t="shared" ca="1" si="138"/>
        <v>0</v>
      </c>
      <c r="HL26" s="26">
        <f t="shared" ca="1" si="138"/>
        <v>0</v>
      </c>
      <c r="HM26" s="26">
        <f t="shared" ca="1" si="138"/>
        <v>0</v>
      </c>
      <c r="HN26" s="26">
        <f t="shared" ca="1" si="138"/>
        <v>0</v>
      </c>
      <c r="HO26" s="26">
        <f t="shared" ca="1" si="138"/>
        <v>0</v>
      </c>
      <c r="HP26" s="26">
        <f t="shared" ca="1" si="138"/>
        <v>0</v>
      </c>
      <c r="HQ26" s="26">
        <f t="shared" ca="1" si="138"/>
        <v>0</v>
      </c>
      <c r="HR26" s="26">
        <f t="shared" ca="1" si="138"/>
        <v>0</v>
      </c>
      <c r="HS26" s="26">
        <f t="shared" ca="1" si="138"/>
        <v>0</v>
      </c>
      <c r="HT26" s="26">
        <f t="shared" ca="1" si="138"/>
        <v>0</v>
      </c>
      <c r="HU26" s="26">
        <f t="shared" ca="1" si="138"/>
        <v>0</v>
      </c>
      <c r="HV26" s="26">
        <f t="shared" ca="1" si="138"/>
        <v>0</v>
      </c>
      <c r="HW26" s="26">
        <f t="shared" ca="1" si="138"/>
        <v>0</v>
      </c>
      <c r="HX26" s="26">
        <f t="shared" ca="1" si="138"/>
        <v>0</v>
      </c>
      <c r="HY26" s="26">
        <f t="shared" ca="1" si="138"/>
        <v>0</v>
      </c>
      <c r="HZ26" s="26">
        <f t="shared" ca="1" si="138"/>
        <v>0</v>
      </c>
      <c r="IA26" s="26">
        <f t="shared" ca="1" si="138"/>
        <v>0</v>
      </c>
      <c r="IB26" s="26">
        <f t="shared" ca="1" si="138"/>
        <v>0</v>
      </c>
      <c r="IC26" s="26">
        <f t="shared" ca="1" si="138"/>
        <v>0</v>
      </c>
      <c r="ID26" s="26">
        <f t="shared" ca="1" si="138"/>
        <v>0</v>
      </c>
      <c r="IE26" s="26">
        <f t="shared" ca="1" si="138"/>
        <v>0</v>
      </c>
      <c r="IF26" s="26">
        <f t="shared" ca="1" si="138"/>
        <v>0</v>
      </c>
      <c r="IG26" s="26">
        <f t="shared" ca="1" si="138"/>
        <v>0</v>
      </c>
      <c r="IH26" s="26">
        <f t="shared" ca="1" si="138"/>
        <v>0</v>
      </c>
      <c r="II26" s="26">
        <f t="shared" ca="1" si="138"/>
        <v>0</v>
      </c>
      <c r="IJ26" s="26">
        <f t="shared" ca="1" si="138"/>
        <v>0</v>
      </c>
      <c r="IK26" s="26">
        <f t="shared" ca="1" si="138"/>
        <v>0</v>
      </c>
      <c r="IL26" s="26">
        <f t="shared" ca="1" si="138"/>
        <v>0</v>
      </c>
      <c r="IM26" s="26">
        <f t="shared" ca="1" si="138"/>
        <v>0</v>
      </c>
      <c r="IN26" s="26">
        <f t="shared" ca="1" si="138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30724</v>
      </c>
      <c r="D27" s="24">
        <f ca="1">IF(D31&lt;TODAY(),_xlfn.MAXIFS(G20:IN20,G4:IN4,"&lt;"&amp;C5+5),IF(D31="N/A",C16*1.5,_xlfn.MAXIFS(G20:IN20,G3:IN3,"&lt;"&amp;$D$31)*1.5))</f>
        <v>6079.9545518656541</v>
      </c>
      <c r="F27" s="22" t="s">
        <v>504</v>
      </c>
      <c r="G27" s="27">
        <f t="shared" ref="G27:BR27" ca="1" si="139">IF(G3=$C$24,1,-1000)</f>
        <v>-1000</v>
      </c>
      <c r="H27" s="27">
        <f t="shared" ca="1" si="139"/>
        <v>-1000</v>
      </c>
      <c r="I27" s="27">
        <f t="shared" ca="1" si="139"/>
        <v>-1000</v>
      </c>
      <c r="J27" s="27">
        <f t="shared" ca="1" si="139"/>
        <v>-1000</v>
      </c>
      <c r="K27" s="27">
        <f t="shared" ca="1" si="139"/>
        <v>-1000</v>
      </c>
      <c r="L27" s="27">
        <f t="shared" ca="1" si="139"/>
        <v>-1000</v>
      </c>
      <c r="M27" s="27">
        <f t="shared" ca="1" si="139"/>
        <v>-1000</v>
      </c>
      <c r="N27" s="27">
        <f t="shared" ca="1" si="139"/>
        <v>-1000</v>
      </c>
      <c r="O27" s="27">
        <f t="shared" ca="1" si="139"/>
        <v>-1000</v>
      </c>
      <c r="P27" s="27">
        <f t="shared" ca="1" si="139"/>
        <v>-1000</v>
      </c>
      <c r="Q27" s="27">
        <f t="shared" ca="1" si="139"/>
        <v>-1000</v>
      </c>
      <c r="R27" s="27">
        <f t="shared" ca="1" si="139"/>
        <v>-1000</v>
      </c>
      <c r="S27" s="27">
        <f t="shared" ca="1" si="139"/>
        <v>-1000</v>
      </c>
      <c r="T27" s="27">
        <f t="shared" ca="1" si="139"/>
        <v>-1000</v>
      </c>
      <c r="U27" s="27">
        <f t="shared" ca="1" si="139"/>
        <v>-1000</v>
      </c>
      <c r="V27" s="27">
        <f t="shared" ca="1" si="139"/>
        <v>1</v>
      </c>
      <c r="W27" s="27">
        <f t="shared" ca="1" si="139"/>
        <v>-1000</v>
      </c>
      <c r="X27" s="27">
        <f t="shared" ca="1" si="139"/>
        <v>-1000</v>
      </c>
      <c r="Y27" s="27">
        <f t="shared" ca="1" si="139"/>
        <v>-1000</v>
      </c>
      <c r="Z27" s="27">
        <f t="shared" ca="1" si="139"/>
        <v>-1000</v>
      </c>
      <c r="AA27" s="27">
        <f t="shared" ca="1" si="139"/>
        <v>-1000</v>
      </c>
      <c r="AB27" s="27">
        <f t="shared" ca="1" si="139"/>
        <v>-1000</v>
      </c>
      <c r="AC27" s="27">
        <f t="shared" ca="1" si="139"/>
        <v>-1000</v>
      </c>
      <c r="AD27" s="27">
        <f t="shared" ca="1" si="139"/>
        <v>-1000</v>
      </c>
      <c r="AE27" s="27">
        <f t="shared" ca="1" si="139"/>
        <v>-1000</v>
      </c>
      <c r="AF27" s="27">
        <f t="shared" ca="1" si="139"/>
        <v>-1000</v>
      </c>
      <c r="AG27" s="27">
        <f t="shared" ca="1" si="139"/>
        <v>-1000</v>
      </c>
      <c r="AH27" s="27">
        <f t="shared" ca="1" si="139"/>
        <v>-1000</v>
      </c>
      <c r="AI27" s="27">
        <f t="shared" ca="1" si="139"/>
        <v>-1000</v>
      </c>
      <c r="AJ27" s="27">
        <f t="shared" ca="1" si="139"/>
        <v>-1000</v>
      </c>
      <c r="AK27" s="27">
        <f t="shared" ca="1" si="139"/>
        <v>-1000</v>
      </c>
      <c r="AL27" s="27">
        <f t="shared" ca="1" si="139"/>
        <v>-1000</v>
      </c>
      <c r="AM27" s="27">
        <f t="shared" ca="1" si="139"/>
        <v>-1000</v>
      </c>
      <c r="AN27" s="27">
        <f t="shared" ca="1" si="139"/>
        <v>-1000</v>
      </c>
      <c r="AO27" s="27">
        <f t="shared" ca="1" si="139"/>
        <v>-1000</v>
      </c>
      <c r="AP27" s="27">
        <f t="shared" ca="1" si="139"/>
        <v>-1000</v>
      </c>
      <c r="AQ27" s="27">
        <f t="shared" ca="1" si="139"/>
        <v>-1000</v>
      </c>
      <c r="AR27" s="27">
        <f t="shared" ca="1" si="139"/>
        <v>-1000</v>
      </c>
      <c r="AS27" s="27">
        <f t="shared" ca="1" si="139"/>
        <v>-1000</v>
      </c>
      <c r="AT27" s="27">
        <f t="shared" ca="1" si="139"/>
        <v>-1000</v>
      </c>
      <c r="AU27" s="27">
        <f t="shared" ca="1" si="139"/>
        <v>-1000</v>
      </c>
      <c r="AV27" s="27">
        <f t="shared" ca="1" si="139"/>
        <v>-1000</v>
      </c>
      <c r="AW27" s="27">
        <f t="shared" ca="1" si="139"/>
        <v>-1000</v>
      </c>
      <c r="AX27" s="27">
        <f t="shared" ca="1" si="139"/>
        <v>-1000</v>
      </c>
      <c r="AY27" s="27">
        <f t="shared" ca="1" si="139"/>
        <v>-1000</v>
      </c>
      <c r="AZ27" s="27">
        <f t="shared" ca="1" si="139"/>
        <v>-1000</v>
      </c>
      <c r="BA27" s="27">
        <f t="shared" ca="1" si="139"/>
        <v>-1000</v>
      </c>
      <c r="BB27" s="27">
        <f t="shared" ca="1" si="139"/>
        <v>-1000</v>
      </c>
      <c r="BC27" s="27">
        <f t="shared" ca="1" si="139"/>
        <v>-1000</v>
      </c>
      <c r="BD27" s="27">
        <f t="shared" ca="1" si="139"/>
        <v>-1000</v>
      </c>
      <c r="BE27" s="27">
        <f t="shared" ca="1" si="139"/>
        <v>-1000</v>
      </c>
      <c r="BF27" s="27">
        <f t="shared" ca="1" si="139"/>
        <v>-1000</v>
      </c>
      <c r="BG27" s="27">
        <f t="shared" ca="1" si="139"/>
        <v>-1000</v>
      </c>
      <c r="BH27" s="27">
        <f t="shared" ca="1" si="139"/>
        <v>-1000</v>
      </c>
      <c r="BI27" s="27">
        <f t="shared" ca="1" si="139"/>
        <v>-1000</v>
      </c>
      <c r="BJ27" s="27">
        <f t="shared" ca="1" si="139"/>
        <v>-1000</v>
      </c>
      <c r="BK27" s="27">
        <f t="shared" ca="1" si="139"/>
        <v>-1000</v>
      </c>
      <c r="BL27" s="27">
        <f t="shared" ca="1" si="139"/>
        <v>-1000</v>
      </c>
      <c r="BM27" s="27">
        <f t="shared" ca="1" si="139"/>
        <v>-1000</v>
      </c>
      <c r="BN27" s="27">
        <f t="shared" ca="1" si="139"/>
        <v>-1000</v>
      </c>
      <c r="BO27" s="27">
        <f t="shared" ca="1" si="139"/>
        <v>-1000</v>
      </c>
      <c r="BP27" s="27">
        <f t="shared" ca="1" si="139"/>
        <v>-1000</v>
      </c>
      <c r="BQ27" s="27">
        <f t="shared" ca="1" si="139"/>
        <v>-1000</v>
      </c>
      <c r="BR27" s="27">
        <f t="shared" ca="1" si="139"/>
        <v>-1000</v>
      </c>
      <c r="BS27" s="27">
        <f t="shared" ref="BS27:ED27" ca="1" si="140">IF(BS3=$C$24,1,-1000)</f>
        <v>-1000</v>
      </c>
      <c r="BT27" s="27">
        <f t="shared" ca="1" si="140"/>
        <v>-1000</v>
      </c>
      <c r="BU27" s="27">
        <f t="shared" ca="1" si="140"/>
        <v>-1000</v>
      </c>
      <c r="BV27" s="27">
        <f t="shared" ca="1" si="140"/>
        <v>-1000</v>
      </c>
      <c r="BW27" s="27">
        <f t="shared" ca="1" si="140"/>
        <v>-1000</v>
      </c>
      <c r="BX27" s="27">
        <f t="shared" ca="1" si="140"/>
        <v>-1000</v>
      </c>
      <c r="BY27" s="27">
        <f t="shared" ca="1" si="140"/>
        <v>-1000</v>
      </c>
      <c r="BZ27" s="27">
        <f t="shared" ca="1" si="140"/>
        <v>-1000</v>
      </c>
      <c r="CA27" s="27">
        <f t="shared" ca="1" si="140"/>
        <v>-1000</v>
      </c>
      <c r="CB27" s="27">
        <f t="shared" ca="1" si="140"/>
        <v>-1000</v>
      </c>
      <c r="CC27" s="27">
        <f t="shared" ca="1" si="140"/>
        <v>-1000</v>
      </c>
      <c r="CD27" s="27">
        <f t="shared" ca="1" si="140"/>
        <v>-1000</v>
      </c>
      <c r="CE27" s="27">
        <f t="shared" ca="1" si="140"/>
        <v>-1000</v>
      </c>
      <c r="CF27" s="27">
        <f t="shared" ca="1" si="140"/>
        <v>-1000</v>
      </c>
      <c r="CG27" s="27">
        <f t="shared" ca="1" si="140"/>
        <v>-1000</v>
      </c>
      <c r="CH27" s="27">
        <f t="shared" ca="1" si="140"/>
        <v>-1000</v>
      </c>
      <c r="CI27" s="27">
        <f t="shared" ca="1" si="140"/>
        <v>-1000</v>
      </c>
      <c r="CJ27" s="27">
        <f t="shared" ca="1" si="140"/>
        <v>-1000</v>
      </c>
      <c r="CK27" s="27">
        <f t="shared" ca="1" si="140"/>
        <v>-1000</v>
      </c>
      <c r="CL27" s="27">
        <f t="shared" ca="1" si="140"/>
        <v>-1000</v>
      </c>
      <c r="CM27" s="27">
        <f t="shared" ca="1" si="140"/>
        <v>-1000</v>
      </c>
      <c r="CN27" s="27">
        <f t="shared" ca="1" si="140"/>
        <v>-1000</v>
      </c>
      <c r="CO27" s="27">
        <f t="shared" ca="1" si="140"/>
        <v>-1000</v>
      </c>
      <c r="CP27" s="27">
        <f t="shared" ca="1" si="140"/>
        <v>-1000</v>
      </c>
      <c r="CQ27" s="27">
        <f t="shared" ca="1" si="140"/>
        <v>-1000</v>
      </c>
      <c r="CR27" s="27">
        <f t="shared" ca="1" si="140"/>
        <v>-1000</v>
      </c>
      <c r="CS27" s="27">
        <f t="shared" ca="1" si="140"/>
        <v>-1000</v>
      </c>
      <c r="CT27" s="27">
        <f t="shared" ca="1" si="140"/>
        <v>-1000</v>
      </c>
      <c r="CU27" s="27">
        <f t="shared" ca="1" si="140"/>
        <v>-1000</v>
      </c>
      <c r="CV27" s="27">
        <f t="shared" ca="1" si="140"/>
        <v>-1000</v>
      </c>
      <c r="CW27" s="27">
        <f t="shared" ca="1" si="140"/>
        <v>-1000</v>
      </c>
      <c r="CX27" s="27">
        <f t="shared" ca="1" si="140"/>
        <v>-1000</v>
      </c>
      <c r="CY27" s="27">
        <f t="shared" ca="1" si="140"/>
        <v>-1000</v>
      </c>
      <c r="CZ27" s="27">
        <f t="shared" ca="1" si="140"/>
        <v>-1000</v>
      </c>
      <c r="DA27" s="27">
        <f t="shared" ca="1" si="140"/>
        <v>-1000</v>
      </c>
      <c r="DB27" s="27">
        <f t="shared" ca="1" si="140"/>
        <v>-1000</v>
      </c>
      <c r="DC27" s="27">
        <f t="shared" ca="1" si="140"/>
        <v>-1000</v>
      </c>
      <c r="DD27" s="27">
        <f t="shared" ca="1" si="140"/>
        <v>-1000</v>
      </c>
      <c r="DE27" s="27">
        <f t="shared" ca="1" si="140"/>
        <v>-1000</v>
      </c>
      <c r="DF27" s="27">
        <f t="shared" ca="1" si="140"/>
        <v>-1000</v>
      </c>
      <c r="DG27" s="27">
        <f t="shared" ca="1" si="140"/>
        <v>-1000</v>
      </c>
      <c r="DH27" s="27">
        <f t="shared" ca="1" si="140"/>
        <v>-1000</v>
      </c>
      <c r="DI27" s="27">
        <f t="shared" ca="1" si="140"/>
        <v>-1000</v>
      </c>
      <c r="DJ27" s="27">
        <f t="shared" ca="1" si="140"/>
        <v>-1000</v>
      </c>
      <c r="DK27" s="27">
        <f t="shared" ca="1" si="140"/>
        <v>-1000</v>
      </c>
      <c r="DL27" s="27">
        <f t="shared" ca="1" si="140"/>
        <v>-1000</v>
      </c>
      <c r="DM27" s="27">
        <f t="shared" ca="1" si="140"/>
        <v>-1000</v>
      </c>
      <c r="DN27" s="27">
        <f t="shared" ca="1" si="140"/>
        <v>-1000</v>
      </c>
      <c r="DO27" s="27">
        <f t="shared" ca="1" si="140"/>
        <v>-1000</v>
      </c>
      <c r="DP27" s="27">
        <f t="shared" ca="1" si="140"/>
        <v>-1000</v>
      </c>
      <c r="DQ27" s="27">
        <f t="shared" ca="1" si="140"/>
        <v>-1000</v>
      </c>
      <c r="DR27" s="27">
        <f t="shared" ca="1" si="140"/>
        <v>-1000</v>
      </c>
      <c r="DS27" s="27">
        <f t="shared" ca="1" si="140"/>
        <v>-1000</v>
      </c>
      <c r="DT27" s="27">
        <f t="shared" ca="1" si="140"/>
        <v>-1000</v>
      </c>
      <c r="DU27" s="27">
        <f t="shared" ca="1" si="140"/>
        <v>-1000</v>
      </c>
      <c r="DV27" s="27">
        <f t="shared" ca="1" si="140"/>
        <v>-1000</v>
      </c>
      <c r="DW27" s="27">
        <f t="shared" ca="1" si="140"/>
        <v>-1000</v>
      </c>
      <c r="DX27" s="27">
        <f t="shared" ca="1" si="140"/>
        <v>-1000</v>
      </c>
      <c r="DY27" s="27">
        <f t="shared" ca="1" si="140"/>
        <v>-1000</v>
      </c>
      <c r="DZ27" s="27">
        <f t="shared" ca="1" si="140"/>
        <v>-1000</v>
      </c>
      <c r="EA27" s="27">
        <f t="shared" ca="1" si="140"/>
        <v>-1000</v>
      </c>
      <c r="EB27" s="27">
        <f t="shared" ca="1" si="140"/>
        <v>-1000</v>
      </c>
      <c r="EC27" s="27">
        <f t="shared" ca="1" si="140"/>
        <v>-1000</v>
      </c>
      <c r="ED27" s="27">
        <f t="shared" ca="1" si="140"/>
        <v>-1000</v>
      </c>
      <c r="EE27" s="27">
        <f t="shared" ref="EE27:GP27" ca="1" si="141">IF(EE3=$C$24,1,-1000)</f>
        <v>-1000</v>
      </c>
      <c r="EF27" s="27">
        <f t="shared" ca="1" si="141"/>
        <v>-1000</v>
      </c>
      <c r="EG27" s="27">
        <f t="shared" ca="1" si="141"/>
        <v>-1000</v>
      </c>
      <c r="EH27" s="27">
        <f t="shared" ca="1" si="141"/>
        <v>-1000</v>
      </c>
      <c r="EI27" s="27">
        <f t="shared" ca="1" si="141"/>
        <v>-1000</v>
      </c>
      <c r="EJ27" s="27">
        <f t="shared" ca="1" si="141"/>
        <v>-1000</v>
      </c>
      <c r="EK27" s="27">
        <f t="shared" ca="1" si="141"/>
        <v>-1000</v>
      </c>
      <c r="EL27" s="27">
        <f t="shared" ca="1" si="141"/>
        <v>-1000</v>
      </c>
      <c r="EM27" s="27">
        <f t="shared" ca="1" si="141"/>
        <v>-1000</v>
      </c>
      <c r="EN27" s="27">
        <f t="shared" ca="1" si="141"/>
        <v>-1000</v>
      </c>
      <c r="EO27" s="27">
        <f t="shared" ca="1" si="141"/>
        <v>-1000</v>
      </c>
      <c r="EP27" s="27">
        <f t="shared" ca="1" si="141"/>
        <v>-1000</v>
      </c>
      <c r="EQ27" s="27">
        <f t="shared" ca="1" si="141"/>
        <v>-1000</v>
      </c>
      <c r="ER27" s="27">
        <f t="shared" ca="1" si="141"/>
        <v>-1000</v>
      </c>
      <c r="ES27" s="27">
        <f t="shared" ca="1" si="141"/>
        <v>-1000</v>
      </c>
      <c r="ET27" s="27">
        <f t="shared" ca="1" si="141"/>
        <v>-1000</v>
      </c>
      <c r="EU27" s="27">
        <f t="shared" ca="1" si="141"/>
        <v>-1000</v>
      </c>
      <c r="EV27" s="27">
        <f t="shared" ca="1" si="141"/>
        <v>-1000</v>
      </c>
      <c r="EW27" s="27">
        <f t="shared" ca="1" si="141"/>
        <v>-1000</v>
      </c>
      <c r="EX27" s="27">
        <f t="shared" ca="1" si="141"/>
        <v>-1000</v>
      </c>
      <c r="EY27" s="27">
        <f t="shared" ca="1" si="141"/>
        <v>-1000</v>
      </c>
      <c r="EZ27" s="27">
        <f t="shared" ca="1" si="141"/>
        <v>-1000</v>
      </c>
      <c r="FA27" s="27">
        <f t="shared" ca="1" si="141"/>
        <v>-1000</v>
      </c>
      <c r="FB27" s="27">
        <f t="shared" ca="1" si="141"/>
        <v>-1000</v>
      </c>
      <c r="FC27" s="27">
        <f t="shared" ca="1" si="141"/>
        <v>-1000</v>
      </c>
      <c r="FD27" s="27">
        <f t="shared" ca="1" si="141"/>
        <v>-1000</v>
      </c>
      <c r="FE27" s="27">
        <f t="shared" ca="1" si="141"/>
        <v>-1000</v>
      </c>
      <c r="FF27" s="27">
        <f t="shared" ca="1" si="141"/>
        <v>-1000</v>
      </c>
      <c r="FG27" s="27">
        <f t="shared" ca="1" si="141"/>
        <v>-1000</v>
      </c>
      <c r="FH27" s="27">
        <f t="shared" ca="1" si="141"/>
        <v>-1000</v>
      </c>
      <c r="FI27" s="27">
        <f t="shared" ca="1" si="141"/>
        <v>-1000</v>
      </c>
      <c r="FJ27" s="27">
        <f t="shared" ca="1" si="141"/>
        <v>-1000</v>
      </c>
      <c r="FK27" s="27">
        <f t="shared" ca="1" si="141"/>
        <v>-1000</v>
      </c>
      <c r="FL27" s="27">
        <f t="shared" ca="1" si="141"/>
        <v>-1000</v>
      </c>
      <c r="FM27" s="27">
        <f t="shared" ca="1" si="141"/>
        <v>-1000</v>
      </c>
      <c r="FN27" s="27">
        <f t="shared" ca="1" si="141"/>
        <v>-1000</v>
      </c>
      <c r="FO27" s="27">
        <f t="shared" ca="1" si="141"/>
        <v>-1000</v>
      </c>
      <c r="FP27" s="27">
        <f t="shared" ca="1" si="141"/>
        <v>-1000</v>
      </c>
      <c r="FQ27" s="27">
        <f t="shared" ca="1" si="141"/>
        <v>-1000</v>
      </c>
      <c r="FR27" s="27">
        <f t="shared" ca="1" si="141"/>
        <v>-1000</v>
      </c>
      <c r="FS27" s="27">
        <f t="shared" ca="1" si="141"/>
        <v>-1000</v>
      </c>
      <c r="FT27" s="27">
        <f t="shared" ca="1" si="141"/>
        <v>-1000</v>
      </c>
      <c r="FU27" s="27">
        <f t="shared" ca="1" si="141"/>
        <v>-1000</v>
      </c>
      <c r="FV27" s="27">
        <f t="shared" ca="1" si="141"/>
        <v>-1000</v>
      </c>
      <c r="FW27" s="27">
        <f t="shared" ca="1" si="141"/>
        <v>-1000</v>
      </c>
      <c r="FX27" s="27">
        <f t="shared" ca="1" si="141"/>
        <v>-1000</v>
      </c>
      <c r="FY27" s="27">
        <f t="shared" ca="1" si="141"/>
        <v>-1000</v>
      </c>
      <c r="FZ27" s="27">
        <f t="shared" ca="1" si="141"/>
        <v>-1000</v>
      </c>
      <c r="GA27" s="27">
        <f t="shared" ca="1" si="141"/>
        <v>-1000</v>
      </c>
      <c r="GB27" s="27">
        <f t="shared" ca="1" si="141"/>
        <v>-1000</v>
      </c>
      <c r="GC27" s="27">
        <f t="shared" ca="1" si="141"/>
        <v>-1000</v>
      </c>
      <c r="GD27" s="27">
        <f t="shared" ca="1" si="141"/>
        <v>-1000</v>
      </c>
      <c r="GE27" s="27">
        <f t="shared" ca="1" si="141"/>
        <v>-1000</v>
      </c>
      <c r="GF27" s="27">
        <f t="shared" ca="1" si="141"/>
        <v>-1000</v>
      </c>
      <c r="GG27" s="27">
        <f t="shared" ca="1" si="141"/>
        <v>-1000</v>
      </c>
      <c r="GH27" s="27">
        <f t="shared" ca="1" si="141"/>
        <v>-1000</v>
      </c>
      <c r="GI27" s="27">
        <f t="shared" ca="1" si="141"/>
        <v>-1000</v>
      </c>
      <c r="GJ27" s="27">
        <f t="shared" ca="1" si="141"/>
        <v>-1000</v>
      </c>
      <c r="GK27" s="27">
        <f t="shared" ca="1" si="141"/>
        <v>-1000</v>
      </c>
      <c r="GL27" s="27">
        <f t="shared" ca="1" si="141"/>
        <v>-1000</v>
      </c>
      <c r="GM27" s="27">
        <f t="shared" ca="1" si="141"/>
        <v>-1000</v>
      </c>
      <c r="GN27" s="27">
        <f t="shared" ca="1" si="141"/>
        <v>-1000</v>
      </c>
      <c r="GO27" s="27">
        <f t="shared" ca="1" si="141"/>
        <v>-1000</v>
      </c>
      <c r="GP27" s="27">
        <f t="shared" ca="1" si="141"/>
        <v>-1000</v>
      </c>
      <c r="GQ27" s="27">
        <f t="shared" ref="GQ27:IN27" ca="1" si="142">IF(GQ3=$C$24,1,-1000)</f>
        <v>-1000</v>
      </c>
      <c r="GR27" s="27">
        <f t="shared" ca="1" si="142"/>
        <v>-1000</v>
      </c>
      <c r="GS27" s="27">
        <f t="shared" ca="1" si="142"/>
        <v>-1000</v>
      </c>
      <c r="GT27" s="27">
        <f t="shared" ca="1" si="142"/>
        <v>-1000</v>
      </c>
      <c r="GU27" s="27">
        <f t="shared" ca="1" si="142"/>
        <v>-1000</v>
      </c>
      <c r="GV27" s="27">
        <f t="shared" ca="1" si="142"/>
        <v>-1000</v>
      </c>
      <c r="GW27" s="27">
        <f t="shared" ca="1" si="142"/>
        <v>-1000</v>
      </c>
      <c r="GX27" s="27">
        <f t="shared" ca="1" si="142"/>
        <v>-1000</v>
      </c>
      <c r="GY27" s="27">
        <f t="shared" ca="1" si="142"/>
        <v>-1000</v>
      </c>
      <c r="GZ27" s="27">
        <f t="shared" ca="1" si="142"/>
        <v>-1000</v>
      </c>
      <c r="HA27" s="27">
        <f t="shared" ca="1" si="142"/>
        <v>-1000</v>
      </c>
      <c r="HB27" s="27">
        <f t="shared" ca="1" si="142"/>
        <v>-1000</v>
      </c>
      <c r="HC27" s="27">
        <f t="shared" ca="1" si="142"/>
        <v>-1000</v>
      </c>
      <c r="HD27" s="27">
        <f t="shared" ca="1" si="142"/>
        <v>-1000</v>
      </c>
      <c r="HE27" s="27">
        <f t="shared" ca="1" si="142"/>
        <v>-1000</v>
      </c>
      <c r="HF27" s="27">
        <f t="shared" ca="1" si="142"/>
        <v>-1000</v>
      </c>
      <c r="HG27" s="27">
        <f t="shared" ca="1" si="142"/>
        <v>-1000</v>
      </c>
      <c r="HH27" s="27">
        <f t="shared" ca="1" si="142"/>
        <v>-1000</v>
      </c>
      <c r="HI27" s="27">
        <f t="shared" ca="1" si="142"/>
        <v>-1000</v>
      </c>
      <c r="HJ27" s="27">
        <f t="shared" ca="1" si="142"/>
        <v>-1000</v>
      </c>
      <c r="HK27" s="27">
        <f t="shared" ca="1" si="142"/>
        <v>-1000</v>
      </c>
      <c r="HL27" s="27">
        <f t="shared" ca="1" si="142"/>
        <v>-1000</v>
      </c>
      <c r="HM27" s="27">
        <f t="shared" ca="1" si="142"/>
        <v>-1000</v>
      </c>
      <c r="HN27" s="27">
        <f t="shared" ca="1" si="142"/>
        <v>-1000</v>
      </c>
      <c r="HO27" s="27">
        <f t="shared" ca="1" si="142"/>
        <v>-1000</v>
      </c>
      <c r="HP27" s="27">
        <f t="shared" ca="1" si="142"/>
        <v>-1000</v>
      </c>
      <c r="HQ27" s="27">
        <f t="shared" ca="1" si="142"/>
        <v>-1000</v>
      </c>
      <c r="HR27" s="27">
        <f t="shared" ca="1" si="142"/>
        <v>-1000</v>
      </c>
      <c r="HS27" s="27">
        <f t="shared" ca="1" si="142"/>
        <v>-1000</v>
      </c>
      <c r="HT27" s="27">
        <f t="shared" ca="1" si="142"/>
        <v>-1000</v>
      </c>
      <c r="HU27" s="27">
        <f t="shared" ca="1" si="142"/>
        <v>-1000</v>
      </c>
      <c r="HV27" s="27">
        <f t="shared" ca="1" si="142"/>
        <v>-1000</v>
      </c>
      <c r="HW27" s="27">
        <f t="shared" ca="1" si="142"/>
        <v>-1000</v>
      </c>
      <c r="HX27" s="27">
        <f t="shared" ca="1" si="142"/>
        <v>-1000</v>
      </c>
      <c r="HY27" s="27">
        <f t="shared" ca="1" si="142"/>
        <v>-1000</v>
      </c>
      <c r="HZ27" s="27">
        <f t="shared" ca="1" si="142"/>
        <v>-1000</v>
      </c>
      <c r="IA27" s="27">
        <f t="shared" ca="1" si="142"/>
        <v>-1000</v>
      </c>
      <c r="IB27" s="27">
        <f t="shared" ca="1" si="142"/>
        <v>-1000</v>
      </c>
      <c r="IC27" s="27">
        <f t="shared" ca="1" si="142"/>
        <v>-1000</v>
      </c>
      <c r="ID27" s="27">
        <f t="shared" ca="1" si="142"/>
        <v>-1000</v>
      </c>
      <c r="IE27" s="27">
        <f t="shared" ca="1" si="142"/>
        <v>-1000</v>
      </c>
      <c r="IF27" s="27">
        <f t="shared" ca="1" si="142"/>
        <v>-1000</v>
      </c>
      <c r="IG27" s="27">
        <f t="shared" ca="1" si="142"/>
        <v>-1000</v>
      </c>
      <c r="IH27" s="27">
        <f t="shared" ca="1" si="142"/>
        <v>-1000</v>
      </c>
      <c r="II27" s="27">
        <f t="shared" ca="1" si="142"/>
        <v>-1000</v>
      </c>
      <c r="IJ27" s="27">
        <f t="shared" ca="1" si="142"/>
        <v>-1000</v>
      </c>
      <c r="IK27" s="27">
        <f t="shared" ca="1" si="142"/>
        <v>-1000</v>
      </c>
      <c r="IL27" s="27">
        <f t="shared" ca="1" si="142"/>
        <v>-1000</v>
      </c>
      <c r="IM27" s="27">
        <f t="shared" ca="1" si="142"/>
        <v>-1000</v>
      </c>
      <c r="IN27" s="27">
        <f t="shared" ca="1" si="142"/>
        <v>-1000</v>
      </c>
    </row>
    <row r="28" spans="2:248" ht="15" thickBot="1" x14ac:dyDescent="0.35">
      <c r="F28" s="22" t="s">
        <v>502</v>
      </c>
      <c r="G28" s="27">
        <f t="shared" ref="G28:BR28" ca="1" si="143">IF(G27=1,-1000,IF(G3=$C$23,1,-1000))</f>
        <v>-1000</v>
      </c>
      <c r="H28" s="27">
        <f t="shared" ca="1" si="143"/>
        <v>-1000</v>
      </c>
      <c r="I28" s="27">
        <f t="shared" ca="1" si="143"/>
        <v>-1000</v>
      </c>
      <c r="J28" s="27">
        <f t="shared" ca="1" si="143"/>
        <v>-1000</v>
      </c>
      <c r="K28" s="27">
        <f t="shared" ca="1" si="143"/>
        <v>-1000</v>
      </c>
      <c r="L28" s="27">
        <f t="shared" ca="1" si="143"/>
        <v>-1000</v>
      </c>
      <c r="M28" s="27">
        <f t="shared" ca="1" si="143"/>
        <v>-1000</v>
      </c>
      <c r="N28" s="27">
        <f t="shared" ca="1" si="143"/>
        <v>-1000</v>
      </c>
      <c r="O28" s="27">
        <f t="shared" ca="1" si="143"/>
        <v>-1000</v>
      </c>
      <c r="P28" s="27">
        <f t="shared" ca="1" si="143"/>
        <v>1</v>
      </c>
      <c r="Q28" s="27">
        <f t="shared" ca="1" si="143"/>
        <v>-1000</v>
      </c>
      <c r="R28" s="27">
        <f t="shared" ca="1" si="143"/>
        <v>-1000</v>
      </c>
      <c r="S28" s="27">
        <f t="shared" ca="1" si="143"/>
        <v>-1000</v>
      </c>
      <c r="T28" s="27">
        <f t="shared" ca="1" si="143"/>
        <v>-1000</v>
      </c>
      <c r="U28" s="27">
        <f t="shared" ca="1" si="143"/>
        <v>-1000</v>
      </c>
      <c r="V28" s="27">
        <f t="shared" ca="1" si="143"/>
        <v>-1000</v>
      </c>
      <c r="W28" s="27">
        <f t="shared" ca="1" si="143"/>
        <v>-1000</v>
      </c>
      <c r="X28" s="27">
        <f t="shared" ca="1" si="143"/>
        <v>-1000</v>
      </c>
      <c r="Y28" s="27">
        <f t="shared" ca="1" si="143"/>
        <v>-1000</v>
      </c>
      <c r="Z28" s="27">
        <f t="shared" ca="1" si="143"/>
        <v>-1000</v>
      </c>
      <c r="AA28" s="27">
        <f t="shared" ca="1" si="143"/>
        <v>-1000</v>
      </c>
      <c r="AB28" s="27">
        <f t="shared" ca="1" si="143"/>
        <v>-1000</v>
      </c>
      <c r="AC28" s="27">
        <f t="shared" ca="1" si="143"/>
        <v>-1000</v>
      </c>
      <c r="AD28" s="27">
        <f t="shared" ca="1" si="143"/>
        <v>-1000</v>
      </c>
      <c r="AE28" s="27">
        <f t="shared" ca="1" si="143"/>
        <v>-1000</v>
      </c>
      <c r="AF28" s="27">
        <f t="shared" ca="1" si="143"/>
        <v>-1000</v>
      </c>
      <c r="AG28" s="27">
        <f t="shared" ca="1" si="143"/>
        <v>-1000</v>
      </c>
      <c r="AH28" s="27">
        <f t="shared" ca="1" si="143"/>
        <v>-1000</v>
      </c>
      <c r="AI28" s="27">
        <f t="shared" ca="1" si="143"/>
        <v>-1000</v>
      </c>
      <c r="AJ28" s="27">
        <f t="shared" ca="1" si="143"/>
        <v>-1000</v>
      </c>
      <c r="AK28" s="27">
        <f t="shared" ca="1" si="143"/>
        <v>-1000</v>
      </c>
      <c r="AL28" s="27">
        <f t="shared" ca="1" si="143"/>
        <v>-1000</v>
      </c>
      <c r="AM28" s="27">
        <f t="shared" ca="1" si="143"/>
        <v>-1000</v>
      </c>
      <c r="AN28" s="27">
        <f t="shared" ca="1" si="143"/>
        <v>-1000</v>
      </c>
      <c r="AO28" s="27">
        <f t="shared" ca="1" si="143"/>
        <v>-1000</v>
      </c>
      <c r="AP28" s="27">
        <f t="shared" ca="1" si="143"/>
        <v>-1000</v>
      </c>
      <c r="AQ28" s="27">
        <f t="shared" ca="1" si="143"/>
        <v>-1000</v>
      </c>
      <c r="AR28" s="27">
        <f t="shared" ca="1" si="143"/>
        <v>-1000</v>
      </c>
      <c r="AS28" s="27">
        <f t="shared" ca="1" si="143"/>
        <v>-1000</v>
      </c>
      <c r="AT28" s="27">
        <f t="shared" ca="1" si="143"/>
        <v>-1000</v>
      </c>
      <c r="AU28" s="27">
        <f t="shared" ca="1" si="143"/>
        <v>-1000</v>
      </c>
      <c r="AV28" s="27">
        <f t="shared" ca="1" si="143"/>
        <v>-1000</v>
      </c>
      <c r="AW28" s="27">
        <f t="shared" ca="1" si="143"/>
        <v>-1000</v>
      </c>
      <c r="AX28" s="27">
        <f t="shared" ca="1" si="143"/>
        <v>-1000</v>
      </c>
      <c r="AY28" s="27">
        <f t="shared" ca="1" si="143"/>
        <v>-1000</v>
      </c>
      <c r="AZ28" s="27">
        <f t="shared" ca="1" si="143"/>
        <v>-1000</v>
      </c>
      <c r="BA28" s="27">
        <f t="shared" ca="1" si="143"/>
        <v>-1000</v>
      </c>
      <c r="BB28" s="27">
        <f t="shared" ca="1" si="143"/>
        <v>-1000</v>
      </c>
      <c r="BC28" s="27">
        <f t="shared" ca="1" si="143"/>
        <v>-1000</v>
      </c>
      <c r="BD28" s="27">
        <f t="shared" ca="1" si="143"/>
        <v>-1000</v>
      </c>
      <c r="BE28" s="27">
        <f t="shared" ca="1" si="143"/>
        <v>-1000</v>
      </c>
      <c r="BF28" s="27">
        <f t="shared" ca="1" si="143"/>
        <v>-1000</v>
      </c>
      <c r="BG28" s="27">
        <f t="shared" ca="1" si="143"/>
        <v>-1000</v>
      </c>
      <c r="BH28" s="27">
        <f t="shared" ca="1" si="143"/>
        <v>-1000</v>
      </c>
      <c r="BI28" s="27">
        <f t="shared" ca="1" si="143"/>
        <v>-1000</v>
      </c>
      <c r="BJ28" s="27">
        <f t="shared" ca="1" si="143"/>
        <v>-1000</v>
      </c>
      <c r="BK28" s="27">
        <f t="shared" ca="1" si="143"/>
        <v>-1000</v>
      </c>
      <c r="BL28" s="27">
        <f t="shared" ca="1" si="143"/>
        <v>-1000</v>
      </c>
      <c r="BM28" s="27">
        <f t="shared" ca="1" si="143"/>
        <v>-1000</v>
      </c>
      <c r="BN28" s="27">
        <f t="shared" ca="1" si="143"/>
        <v>-1000</v>
      </c>
      <c r="BO28" s="27">
        <f t="shared" ca="1" si="143"/>
        <v>-1000</v>
      </c>
      <c r="BP28" s="27">
        <f t="shared" ca="1" si="143"/>
        <v>-1000</v>
      </c>
      <c r="BQ28" s="27">
        <f t="shared" ca="1" si="143"/>
        <v>-1000</v>
      </c>
      <c r="BR28" s="27">
        <f t="shared" ca="1" si="143"/>
        <v>-1000</v>
      </c>
      <c r="BS28" s="27">
        <f t="shared" ref="BS28:ED28" ca="1" si="144">IF(BS27=1,-1000,IF(BS3=$C$23,1,-1000))</f>
        <v>-1000</v>
      </c>
      <c r="BT28" s="27">
        <f t="shared" ca="1" si="144"/>
        <v>-1000</v>
      </c>
      <c r="BU28" s="27">
        <f t="shared" ca="1" si="144"/>
        <v>-1000</v>
      </c>
      <c r="BV28" s="27">
        <f t="shared" ca="1" si="144"/>
        <v>-1000</v>
      </c>
      <c r="BW28" s="27">
        <f t="shared" ca="1" si="144"/>
        <v>-1000</v>
      </c>
      <c r="BX28" s="27">
        <f t="shared" ca="1" si="144"/>
        <v>-1000</v>
      </c>
      <c r="BY28" s="27">
        <f t="shared" ca="1" si="144"/>
        <v>-1000</v>
      </c>
      <c r="BZ28" s="27">
        <f t="shared" ca="1" si="144"/>
        <v>-1000</v>
      </c>
      <c r="CA28" s="27">
        <f t="shared" ca="1" si="144"/>
        <v>-1000</v>
      </c>
      <c r="CB28" s="27">
        <f t="shared" ca="1" si="144"/>
        <v>-1000</v>
      </c>
      <c r="CC28" s="27">
        <f t="shared" ca="1" si="144"/>
        <v>-1000</v>
      </c>
      <c r="CD28" s="27">
        <f t="shared" ca="1" si="144"/>
        <v>-1000</v>
      </c>
      <c r="CE28" s="27">
        <f t="shared" ca="1" si="144"/>
        <v>-1000</v>
      </c>
      <c r="CF28" s="27">
        <f t="shared" ca="1" si="144"/>
        <v>-1000</v>
      </c>
      <c r="CG28" s="27">
        <f t="shared" ca="1" si="144"/>
        <v>-1000</v>
      </c>
      <c r="CH28" s="27">
        <f t="shared" ca="1" si="144"/>
        <v>-1000</v>
      </c>
      <c r="CI28" s="27">
        <f t="shared" ca="1" si="144"/>
        <v>-1000</v>
      </c>
      <c r="CJ28" s="27">
        <f t="shared" ca="1" si="144"/>
        <v>-1000</v>
      </c>
      <c r="CK28" s="27">
        <f t="shared" ca="1" si="144"/>
        <v>-1000</v>
      </c>
      <c r="CL28" s="27">
        <f t="shared" ca="1" si="144"/>
        <v>-1000</v>
      </c>
      <c r="CM28" s="27">
        <f t="shared" ca="1" si="144"/>
        <v>-1000</v>
      </c>
      <c r="CN28" s="27">
        <f t="shared" ca="1" si="144"/>
        <v>-1000</v>
      </c>
      <c r="CO28" s="27">
        <f t="shared" ca="1" si="144"/>
        <v>-1000</v>
      </c>
      <c r="CP28" s="27">
        <f t="shared" ca="1" si="144"/>
        <v>-1000</v>
      </c>
      <c r="CQ28" s="27">
        <f t="shared" ca="1" si="144"/>
        <v>-1000</v>
      </c>
      <c r="CR28" s="27">
        <f t="shared" ca="1" si="144"/>
        <v>-1000</v>
      </c>
      <c r="CS28" s="27">
        <f t="shared" ca="1" si="144"/>
        <v>-1000</v>
      </c>
      <c r="CT28" s="27">
        <f t="shared" ca="1" si="144"/>
        <v>-1000</v>
      </c>
      <c r="CU28" s="27">
        <f t="shared" ca="1" si="144"/>
        <v>-1000</v>
      </c>
      <c r="CV28" s="27">
        <f t="shared" ca="1" si="144"/>
        <v>-1000</v>
      </c>
      <c r="CW28" s="27">
        <f t="shared" ca="1" si="144"/>
        <v>-1000</v>
      </c>
      <c r="CX28" s="27">
        <f t="shared" ca="1" si="144"/>
        <v>-1000</v>
      </c>
      <c r="CY28" s="27">
        <f t="shared" ca="1" si="144"/>
        <v>-1000</v>
      </c>
      <c r="CZ28" s="27">
        <f t="shared" ca="1" si="144"/>
        <v>-1000</v>
      </c>
      <c r="DA28" s="27">
        <f t="shared" ca="1" si="144"/>
        <v>-1000</v>
      </c>
      <c r="DB28" s="27">
        <f t="shared" ca="1" si="144"/>
        <v>-1000</v>
      </c>
      <c r="DC28" s="27">
        <f t="shared" ca="1" si="144"/>
        <v>-1000</v>
      </c>
      <c r="DD28" s="27">
        <f t="shared" ca="1" si="144"/>
        <v>-1000</v>
      </c>
      <c r="DE28" s="27">
        <f t="shared" ca="1" si="144"/>
        <v>-1000</v>
      </c>
      <c r="DF28" s="27">
        <f t="shared" ca="1" si="144"/>
        <v>-1000</v>
      </c>
      <c r="DG28" s="27">
        <f t="shared" ca="1" si="144"/>
        <v>-1000</v>
      </c>
      <c r="DH28" s="27">
        <f t="shared" ca="1" si="144"/>
        <v>-1000</v>
      </c>
      <c r="DI28" s="27">
        <f t="shared" ca="1" si="144"/>
        <v>-1000</v>
      </c>
      <c r="DJ28" s="27">
        <f t="shared" ca="1" si="144"/>
        <v>-1000</v>
      </c>
      <c r="DK28" s="27">
        <f t="shared" ca="1" si="144"/>
        <v>-1000</v>
      </c>
      <c r="DL28" s="27">
        <f t="shared" ca="1" si="144"/>
        <v>-1000</v>
      </c>
      <c r="DM28" s="27">
        <f t="shared" ca="1" si="144"/>
        <v>-1000</v>
      </c>
      <c r="DN28" s="27">
        <f t="shared" ca="1" si="144"/>
        <v>-1000</v>
      </c>
      <c r="DO28" s="27">
        <f t="shared" ca="1" si="144"/>
        <v>-1000</v>
      </c>
      <c r="DP28" s="27">
        <f t="shared" ca="1" si="144"/>
        <v>-1000</v>
      </c>
      <c r="DQ28" s="27">
        <f t="shared" ca="1" si="144"/>
        <v>-1000</v>
      </c>
      <c r="DR28" s="27">
        <f t="shared" ca="1" si="144"/>
        <v>-1000</v>
      </c>
      <c r="DS28" s="27">
        <f t="shared" ca="1" si="144"/>
        <v>-1000</v>
      </c>
      <c r="DT28" s="27">
        <f t="shared" ca="1" si="144"/>
        <v>-1000</v>
      </c>
      <c r="DU28" s="27">
        <f t="shared" ca="1" si="144"/>
        <v>-1000</v>
      </c>
      <c r="DV28" s="27">
        <f t="shared" ca="1" si="144"/>
        <v>-1000</v>
      </c>
      <c r="DW28" s="27">
        <f t="shared" ca="1" si="144"/>
        <v>-1000</v>
      </c>
      <c r="DX28" s="27">
        <f t="shared" ca="1" si="144"/>
        <v>-1000</v>
      </c>
      <c r="DY28" s="27">
        <f t="shared" ca="1" si="144"/>
        <v>-1000</v>
      </c>
      <c r="DZ28" s="27">
        <f t="shared" ca="1" si="144"/>
        <v>-1000</v>
      </c>
      <c r="EA28" s="27">
        <f t="shared" ca="1" si="144"/>
        <v>-1000</v>
      </c>
      <c r="EB28" s="27">
        <f t="shared" ca="1" si="144"/>
        <v>-1000</v>
      </c>
      <c r="EC28" s="27">
        <f t="shared" ca="1" si="144"/>
        <v>-1000</v>
      </c>
      <c r="ED28" s="27">
        <f t="shared" ca="1" si="144"/>
        <v>-1000</v>
      </c>
      <c r="EE28" s="27">
        <f t="shared" ref="EE28:GP28" ca="1" si="145">IF(EE27=1,-1000,IF(EE3=$C$23,1,-1000))</f>
        <v>-1000</v>
      </c>
      <c r="EF28" s="27">
        <f t="shared" ca="1" si="145"/>
        <v>-1000</v>
      </c>
      <c r="EG28" s="27">
        <f t="shared" ca="1" si="145"/>
        <v>-1000</v>
      </c>
      <c r="EH28" s="27">
        <f t="shared" ca="1" si="145"/>
        <v>-1000</v>
      </c>
      <c r="EI28" s="27">
        <f t="shared" ca="1" si="145"/>
        <v>-1000</v>
      </c>
      <c r="EJ28" s="27">
        <f t="shared" ca="1" si="145"/>
        <v>-1000</v>
      </c>
      <c r="EK28" s="27">
        <f t="shared" ca="1" si="145"/>
        <v>-1000</v>
      </c>
      <c r="EL28" s="27">
        <f t="shared" ca="1" si="145"/>
        <v>-1000</v>
      </c>
      <c r="EM28" s="27">
        <f t="shared" ca="1" si="145"/>
        <v>-1000</v>
      </c>
      <c r="EN28" s="27">
        <f t="shared" ca="1" si="145"/>
        <v>-1000</v>
      </c>
      <c r="EO28" s="27">
        <f t="shared" ca="1" si="145"/>
        <v>-1000</v>
      </c>
      <c r="EP28" s="27">
        <f t="shared" ca="1" si="145"/>
        <v>-1000</v>
      </c>
      <c r="EQ28" s="27">
        <f t="shared" ca="1" si="145"/>
        <v>-1000</v>
      </c>
      <c r="ER28" s="27">
        <f t="shared" ca="1" si="145"/>
        <v>-1000</v>
      </c>
      <c r="ES28" s="27">
        <f t="shared" ca="1" si="145"/>
        <v>-1000</v>
      </c>
      <c r="ET28" s="27">
        <f t="shared" ca="1" si="145"/>
        <v>-1000</v>
      </c>
      <c r="EU28" s="27">
        <f t="shared" ca="1" si="145"/>
        <v>-1000</v>
      </c>
      <c r="EV28" s="27">
        <f t="shared" ca="1" si="145"/>
        <v>-1000</v>
      </c>
      <c r="EW28" s="27">
        <f t="shared" ca="1" si="145"/>
        <v>-1000</v>
      </c>
      <c r="EX28" s="27">
        <f t="shared" ca="1" si="145"/>
        <v>-1000</v>
      </c>
      <c r="EY28" s="27">
        <f t="shared" ca="1" si="145"/>
        <v>-1000</v>
      </c>
      <c r="EZ28" s="27">
        <f t="shared" ca="1" si="145"/>
        <v>-1000</v>
      </c>
      <c r="FA28" s="27">
        <f t="shared" ca="1" si="145"/>
        <v>-1000</v>
      </c>
      <c r="FB28" s="27">
        <f t="shared" ca="1" si="145"/>
        <v>-1000</v>
      </c>
      <c r="FC28" s="27">
        <f t="shared" ca="1" si="145"/>
        <v>-1000</v>
      </c>
      <c r="FD28" s="27">
        <f t="shared" ca="1" si="145"/>
        <v>-1000</v>
      </c>
      <c r="FE28" s="27">
        <f t="shared" ca="1" si="145"/>
        <v>-1000</v>
      </c>
      <c r="FF28" s="27">
        <f t="shared" ca="1" si="145"/>
        <v>-1000</v>
      </c>
      <c r="FG28" s="27">
        <f t="shared" ca="1" si="145"/>
        <v>-1000</v>
      </c>
      <c r="FH28" s="27">
        <f t="shared" ca="1" si="145"/>
        <v>-1000</v>
      </c>
      <c r="FI28" s="27">
        <f t="shared" ca="1" si="145"/>
        <v>-1000</v>
      </c>
      <c r="FJ28" s="27">
        <f t="shared" ca="1" si="145"/>
        <v>-1000</v>
      </c>
      <c r="FK28" s="27">
        <f t="shared" ca="1" si="145"/>
        <v>-1000</v>
      </c>
      <c r="FL28" s="27">
        <f t="shared" ca="1" si="145"/>
        <v>-1000</v>
      </c>
      <c r="FM28" s="27">
        <f t="shared" ca="1" si="145"/>
        <v>-1000</v>
      </c>
      <c r="FN28" s="27">
        <f t="shared" ca="1" si="145"/>
        <v>-1000</v>
      </c>
      <c r="FO28" s="27">
        <f t="shared" ca="1" si="145"/>
        <v>-1000</v>
      </c>
      <c r="FP28" s="27">
        <f t="shared" ca="1" si="145"/>
        <v>-1000</v>
      </c>
      <c r="FQ28" s="27">
        <f t="shared" ca="1" si="145"/>
        <v>-1000</v>
      </c>
      <c r="FR28" s="27">
        <f t="shared" ca="1" si="145"/>
        <v>-1000</v>
      </c>
      <c r="FS28" s="27">
        <f t="shared" ca="1" si="145"/>
        <v>-1000</v>
      </c>
      <c r="FT28" s="27">
        <f t="shared" ca="1" si="145"/>
        <v>-1000</v>
      </c>
      <c r="FU28" s="27">
        <f t="shared" ca="1" si="145"/>
        <v>-1000</v>
      </c>
      <c r="FV28" s="27">
        <f t="shared" ca="1" si="145"/>
        <v>-1000</v>
      </c>
      <c r="FW28" s="27">
        <f t="shared" ca="1" si="145"/>
        <v>-1000</v>
      </c>
      <c r="FX28" s="27">
        <f t="shared" ca="1" si="145"/>
        <v>-1000</v>
      </c>
      <c r="FY28" s="27">
        <f t="shared" ca="1" si="145"/>
        <v>-1000</v>
      </c>
      <c r="FZ28" s="27">
        <f t="shared" ca="1" si="145"/>
        <v>-1000</v>
      </c>
      <c r="GA28" s="27">
        <f t="shared" ca="1" si="145"/>
        <v>-1000</v>
      </c>
      <c r="GB28" s="27">
        <f t="shared" ca="1" si="145"/>
        <v>-1000</v>
      </c>
      <c r="GC28" s="27">
        <f t="shared" ca="1" si="145"/>
        <v>-1000</v>
      </c>
      <c r="GD28" s="27">
        <f t="shared" ca="1" si="145"/>
        <v>-1000</v>
      </c>
      <c r="GE28" s="27">
        <f t="shared" ca="1" si="145"/>
        <v>-1000</v>
      </c>
      <c r="GF28" s="27">
        <f t="shared" ca="1" si="145"/>
        <v>-1000</v>
      </c>
      <c r="GG28" s="27">
        <f t="shared" ca="1" si="145"/>
        <v>-1000</v>
      </c>
      <c r="GH28" s="27">
        <f t="shared" ca="1" si="145"/>
        <v>-1000</v>
      </c>
      <c r="GI28" s="27">
        <f t="shared" ca="1" si="145"/>
        <v>-1000</v>
      </c>
      <c r="GJ28" s="27">
        <f t="shared" ca="1" si="145"/>
        <v>-1000</v>
      </c>
      <c r="GK28" s="27">
        <f t="shared" ca="1" si="145"/>
        <v>-1000</v>
      </c>
      <c r="GL28" s="27">
        <f t="shared" ca="1" si="145"/>
        <v>-1000</v>
      </c>
      <c r="GM28" s="27">
        <f t="shared" ca="1" si="145"/>
        <v>-1000</v>
      </c>
      <c r="GN28" s="27">
        <f t="shared" ca="1" si="145"/>
        <v>-1000</v>
      </c>
      <c r="GO28" s="27">
        <f t="shared" ca="1" si="145"/>
        <v>-1000</v>
      </c>
      <c r="GP28" s="27">
        <f t="shared" ca="1" si="145"/>
        <v>-1000</v>
      </c>
      <c r="GQ28" s="27">
        <f t="shared" ref="GQ28:IN28" ca="1" si="146">IF(GQ27=1,-1000,IF(GQ3=$C$23,1,-1000))</f>
        <v>-1000</v>
      </c>
      <c r="GR28" s="27">
        <f t="shared" ca="1" si="146"/>
        <v>-1000</v>
      </c>
      <c r="GS28" s="27">
        <f t="shared" ca="1" si="146"/>
        <v>-1000</v>
      </c>
      <c r="GT28" s="27">
        <f t="shared" ca="1" si="146"/>
        <v>-1000</v>
      </c>
      <c r="GU28" s="27">
        <f t="shared" ca="1" si="146"/>
        <v>-1000</v>
      </c>
      <c r="GV28" s="27">
        <f t="shared" ca="1" si="146"/>
        <v>-1000</v>
      </c>
      <c r="GW28" s="27">
        <f t="shared" ca="1" si="146"/>
        <v>-1000</v>
      </c>
      <c r="GX28" s="27">
        <f t="shared" ca="1" si="146"/>
        <v>-1000</v>
      </c>
      <c r="GY28" s="27">
        <f t="shared" ca="1" si="146"/>
        <v>-1000</v>
      </c>
      <c r="GZ28" s="27">
        <f t="shared" ca="1" si="146"/>
        <v>-1000</v>
      </c>
      <c r="HA28" s="27">
        <f t="shared" ca="1" si="146"/>
        <v>-1000</v>
      </c>
      <c r="HB28" s="27">
        <f t="shared" ca="1" si="146"/>
        <v>-1000</v>
      </c>
      <c r="HC28" s="27">
        <f t="shared" ca="1" si="146"/>
        <v>-1000</v>
      </c>
      <c r="HD28" s="27">
        <f t="shared" ca="1" si="146"/>
        <v>-1000</v>
      </c>
      <c r="HE28" s="27">
        <f t="shared" ca="1" si="146"/>
        <v>-1000</v>
      </c>
      <c r="HF28" s="27">
        <f t="shared" ca="1" si="146"/>
        <v>-1000</v>
      </c>
      <c r="HG28" s="27">
        <f t="shared" ca="1" si="146"/>
        <v>-1000</v>
      </c>
      <c r="HH28" s="27">
        <f t="shared" ca="1" si="146"/>
        <v>-1000</v>
      </c>
      <c r="HI28" s="27">
        <f t="shared" ca="1" si="146"/>
        <v>-1000</v>
      </c>
      <c r="HJ28" s="27">
        <f t="shared" ca="1" si="146"/>
        <v>-1000</v>
      </c>
      <c r="HK28" s="27">
        <f t="shared" ca="1" si="146"/>
        <v>-1000</v>
      </c>
      <c r="HL28" s="27">
        <f t="shared" ca="1" si="146"/>
        <v>-1000</v>
      </c>
      <c r="HM28" s="27">
        <f t="shared" ca="1" si="146"/>
        <v>-1000</v>
      </c>
      <c r="HN28" s="27">
        <f t="shared" ca="1" si="146"/>
        <v>-1000</v>
      </c>
      <c r="HO28" s="27">
        <f t="shared" ca="1" si="146"/>
        <v>-1000</v>
      </c>
      <c r="HP28" s="27">
        <f t="shared" ca="1" si="146"/>
        <v>-1000</v>
      </c>
      <c r="HQ28" s="27">
        <f t="shared" ca="1" si="146"/>
        <v>-1000</v>
      </c>
      <c r="HR28" s="27">
        <f t="shared" ca="1" si="146"/>
        <v>-1000</v>
      </c>
      <c r="HS28" s="27">
        <f t="shared" ca="1" si="146"/>
        <v>-1000</v>
      </c>
      <c r="HT28" s="27">
        <f t="shared" ca="1" si="146"/>
        <v>-1000</v>
      </c>
      <c r="HU28" s="27">
        <f t="shared" ca="1" si="146"/>
        <v>-1000</v>
      </c>
      <c r="HV28" s="27">
        <f t="shared" ca="1" si="146"/>
        <v>-1000</v>
      </c>
      <c r="HW28" s="27">
        <f t="shared" ca="1" si="146"/>
        <v>-1000</v>
      </c>
      <c r="HX28" s="27">
        <f t="shared" ca="1" si="146"/>
        <v>-1000</v>
      </c>
      <c r="HY28" s="27">
        <f t="shared" ca="1" si="146"/>
        <v>-1000</v>
      </c>
      <c r="HZ28" s="27">
        <f t="shared" ca="1" si="146"/>
        <v>-1000</v>
      </c>
      <c r="IA28" s="27">
        <f t="shared" ca="1" si="146"/>
        <v>-1000</v>
      </c>
      <c r="IB28" s="27">
        <f t="shared" ca="1" si="146"/>
        <v>-1000</v>
      </c>
      <c r="IC28" s="27">
        <f t="shared" ca="1" si="146"/>
        <v>-1000</v>
      </c>
      <c r="ID28" s="27">
        <f t="shared" ca="1" si="146"/>
        <v>-1000</v>
      </c>
      <c r="IE28" s="27">
        <f t="shared" ca="1" si="146"/>
        <v>-1000</v>
      </c>
      <c r="IF28" s="27">
        <f t="shared" ca="1" si="146"/>
        <v>-1000</v>
      </c>
      <c r="IG28" s="27">
        <f t="shared" ca="1" si="146"/>
        <v>-1000</v>
      </c>
      <c r="IH28" s="27">
        <f t="shared" ca="1" si="146"/>
        <v>-1000</v>
      </c>
      <c r="II28" s="27">
        <f t="shared" ca="1" si="146"/>
        <v>-1000</v>
      </c>
      <c r="IJ28" s="27">
        <f t="shared" ca="1" si="146"/>
        <v>-1000</v>
      </c>
      <c r="IK28" s="27">
        <f t="shared" ca="1" si="146"/>
        <v>-1000</v>
      </c>
      <c r="IL28" s="27">
        <f t="shared" ca="1" si="146"/>
        <v>-1000</v>
      </c>
      <c r="IM28" s="27">
        <f t="shared" ca="1" si="146"/>
        <v>-1000</v>
      </c>
      <c r="IN28" s="27">
        <f t="shared" ca="1" si="146"/>
        <v>-1000</v>
      </c>
    </row>
    <row r="29" spans="2:248" x14ac:dyDescent="0.3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455</v>
      </c>
      <c r="C30" s="20">
        <f ca="1">MIN(IF(Projections!$Z$8="",xMin2+C5+5,xMin2+Projections!$Z$8+C5),MAX(3:3))</f>
        <v>43924</v>
      </c>
      <c r="D30" s="20">
        <f ca="1">IF(D31&lt;TODAY(),TODAY()+3+Projections!Z45,IFERROR(OFFSET(G26,-23,MATCH(1,G26:IN26,0))+3+Projections!Z45,xMax2+3+Projections!Z45))</f>
        <v>43927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43923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539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MAX(I2:KU2)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MAX(I3:KU3)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MAX(I4:KU4)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US</v>
      </c>
      <c r="D5" s="6">
        <f>MAX(I5:JF5)</f>
        <v>140886</v>
      </c>
      <c r="E5" s="6">
        <f>IF(COUNTIF(I5:XFD5,"&gt;"&amp;0)=0,,HLOOKUP(COUNTIF(I5:XFD5,"&gt;"&amp;0)-1,I$1:XFD5,A5+1,FALSE))</f>
        <v>140886</v>
      </c>
      <c r="F5" s="7">
        <f>IF(COUNTIF(I5:XFD5,"&gt;"&amp;0)=0,,HLOOKUP(COUNTIF(I5:XFD5,"&gt;"&amp;0)-MIN($F$1+1,COUNTIF(I5:XFD5,"&gt;"&amp;0)),I$1:XFD5,A5+1,FALSE))</f>
        <v>53740</v>
      </c>
      <c r="G5" s="8">
        <f>IF(COUNTIF(I5:XFD5,"&gt;"&amp;0)=0,,(E5/F5)^(1/MIN(COUNTIF(I5:XFD5,"&gt;"&amp;0)-1,$F$1)))</f>
        <v>1.2125901479691559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  <c r="AI5" s="9">
        <v>140886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MAX(I6:JF6)</f>
        <v>97689</v>
      </c>
      <c r="E6" s="6">
        <f>IF(COUNTIF(I6:XFD6,"&gt;"&amp;0)=0,,HLOOKUP(COUNTIF(I6:XFD6,"&gt;"&amp;0)-1,I$1:XFD6,A6+1,FALSE))</f>
        <v>97689</v>
      </c>
      <c r="F6" s="7">
        <f>IF(COUNTIF(I6:XFD6,"&gt;"&amp;0)=0,,HLOOKUP(COUNTIF(I6:XFD6,"&gt;"&amp;0)-MIN($F$1+1,COUNTIF(I6:XFD6,"&gt;"&amp;0)),I$1:XFD6,A6+1,FALSE))</f>
        <v>69176</v>
      </c>
      <c r="G6" s="8">
        <f>IF(COUNTIF(I6:XFD6,"&gt;"&amp;0)=0,,(E6/F6)^(1/MIN(COUNTIF(I6:XFD6,"&gt;"&amp;0)-1,$F$1)))</f>
        <v>1.0714651343504107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  <c r="AR6" s="9">
        <v>97689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China</v>
      </c>
      <c r="D7" s="6">
        <f>MAX(I7:JF7)</f>
        <v>82122</v>
      </c>
      <c r="E7" s="6">
        <f>IF(COUNTIF(I7:XFD7,"&gt;"&amp;0)=0,,HLOOKUP(COUNTIF(I7:XFD7,"&gt;"&amp;0)-1,I$1:XFD7,A7+1,FALSE))</f>
        <v>82122</v>
      </c>
      <c r="F7" s="7">
        <f>IF(COUNTIF(I7:XFD7,"&gt;"&amp;0)=0,,HLOOKUP(COUNTIF(I7:XFD7,"&gt;"&amp;0)-MIN($F$1+1,COUNTIF(I7:XFD7,"&gt;"&amp;0)),I$1:XFD7,A7+1,FALSE))</f>
        <v>81591</v>
      </c>
      <c r="G7" s="8">
        <f>IF(COUNTIF(I7:XFD7,"&gt;"&amp;0)=0,,(E7/F7)^(1/MIN(COUNTIF(I7:XFD7,"&gt;"&amp;0)-1,$F$1)))</f>
        <v>1.001298238921019</v>
      </c>
      <c r="H7" s="13" t="s">
        <v>337</v>
      </c>
      <c r="I7" s="9">
        <v>548</v>
      </c>
      <c r="J7" s="9">
        <v>643</v>
      </c>
      <c r="K7" s="9">
        <v>920</v>
      </c>
      <c r="L7" s="9">
        <v>1406</v>
      </c>
      <c r="M7" s="9">
        <v>2075</v>
      </c>
      <c r="N7" s="9">
        <v>2877</v>
      </c>
      <c r="O7" s="9">
        <v>5509</v>
      </c>
      <c r="P7" s="9">
        <v>6087</v>
      </c>
      <c r="Q7" s="9">
        <v>8141</v>
      </c>
      <c r="R7" s="9">
        <v>9802</v>
      </c>
      <c r="S7" s="9">
        <v>11891</v>
      </c>
      <c r="T7" s="9">
        <v>16630</v>
      </c>
      <c r="U7" s="9">
        <v>19716</v>
      </c>
      <c r="V7" s="9">
        <v>23707</v>
      </c>
      <c r="W7" s="9">
        <v>27440</v>
      </c>
      <c r="X7" s="9">
        <v>30587</v>
      </c>
      <c r="Y7" s="9">
        <v>34110</v>
      </c>
      <c r="Z7" s="9">
        <v>36814</v>
      </c>
      <c r="AA7" s="9">
        <v>39829</v>
      </c>
      <c r="AB7" s="9">
        <v>42354</v>
      </c>
      <c r="AC7" s="9">
        <v>44386</v>
      </c>
      <c r="AD7" s="9">
        <v>50000</v>
      </c>
      <c r="AE7" s="9">
        <v>59895</v>
      </c>
      <c r="AF7" s="9">
        <v>66358</v>
      </c>
      <c r="AG7" s="9">
        <v>68413</v>
      </c>
      <c r="AH7" s="9">
        <v>70513</v>
      </c>
      <c r="AI7" s="9">
        <v>72434</v>
      </c>
      <c r="AJ7" s="9">
        <v>74211</v>
      </c>
      <c r="AK7" s="9">
        <v>74619</v>
      </c>
      <c r="AL7" s="9">
        <v>75077</v>
      </c>
      <c r="AM7" s="9">
        <v>75550</v>
      </c>
      <c r="AN7" s="9">
        <v>77001</v>
      </c>
      <c r="AO7" s="9">
        <v>77022</v>
      </c>
      <c r="AP7" s="9">
        <v>77241</v>
      </c>
      <c r="AQ7" s="9">
        <v>77754</v>
      </c>
      <c r="AR7" s="9">
        <v>78166</v>
      </c>
      <c r="AS7" s="9">
        <v>78600</v>
      </c>
      <c r="AT7" s="9">
        <v>78928</v>
      </c>
      <c r="AU7" s="9">
        <v>79356</v>
      </c>
      <c r="AV7" s="9">
        <v>79932</v>
      </c>
      <c r="AW7" s="9">
        <v>80136</v>
      </c>
      <c r="AX7" s="9">
        <v>80261</v>
      </c>
      <c r="AY7" s="9">
        <v>80386</v>
      </c>
      <c r="AZ7" s="9">
        <v>80537</v>
      </c>
      <c r="BA7" s="9">
        <v>80690</v>
      </c>
      <c r="BB7" s="9">
        <v>80770</v>
      </c>
      <c r="BC7" s="9">
        <v>80823</v>
      </c>
      <c r="BD7" s="9">
        <v>80860</v>
      </c>
      <c r="BE7" s="9">
        <v>80887</v>
      </c>
      <c r="BF7" s="9">
        <v>80921</v>
      </c>
      <c r="BG7" s="9">
        <v>80932</v>
      </c>
      <c r="BH7" s="9">
        <v>80945</v>
      </c>
      <c r="BI7" s="9">
        <v>80977</v>
      </c>
      <c r="BJ7" s="9">
        <v>81003</v>
      </c>
      <c r="BK7" s="9">
        <v>81033</v>
      </c>
      <c r="BL7" s="9">
        <v>81058</v>
      </c>
      <c r="BM7" s="9">
        <v>81102</v>
      </c>
      <c r="BN7" s="9">
        <v>81156</v>
      </c>
      <c r="BO7" s="9">
        <v>81250</v>
      </c>
      <c r="BP7" s="9">
        <v>81305</v>
      </c>
      <c r="BQ7" s="9">
        <v>81435</v>
      </c>
      <c r="BR7" s="9">
        <v>81498</v>
      </c>
      <c r="BS7" s="9">
        <v>81591</v>
      </c>
      <c r="BT7" s="9">
        <v>81661</v>
      </c>
      <c r="BU7" s="9">
        <v>81782</v>
      </c>
      <c r="BV7" s="9">
        <v>81897</v>
      </c>
      <c r="BW7" s="9">
        <v>81999</v>
      </c>
      <c r="BX7" s="9">
        <v>82122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Spain</v>
      </c>
      <c r="D8" s="6">
        <f>MAX(I8:JF8)</f>
        <v>80110</v>
      </c>
      <c r="E8" s="6">
        <f>IF(COUNTIF(I8:XFD8,"&gt;"&amp;0)=0,,HLOOKUP(COUNTIF(I8:XFD8,"&gt;"&amp;0)-1,I$1:XFD8,A8+1,FALSE))</f>
        <v>80110</v>
      </c>
      <c r="F8" s="7">
        <f>IF(COUNTIF(I8:XFD8,"&gt;"&amp;0)=0,,HLOOKUP(COUNTIF(I8:XFD8,"&gt;"&amp;0)-MIN($F$1+1,COUNTIF(I8:XFD8,"&gt;"&amp;0)),I$1:XFD8,A8+1,FALSE))</f>
        <v>39885</v>
      </c>
      <c r="G8" s="8">
        <f>IF(COUNTIF(I8:XFD8,"&gt;"&amp;0)=0,,(E8/F8)^(1/MIN(COUNTIF(I8:XFD8,"&gt;"&amp;0)-1,$F$1)))</f>
        <v>1.1496758986261593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3146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  <c r="AE8" s="9">
        <v>39885</v>
      </c>
      <c r="AF8" s="9">
        <v>49515</v>
      </c>
      <c r="AG8" s="9">
        <v>57786</v>
      </c>
      <c r="AH8" s="9">
        <v>65719</v>
      </c>
      <c r="AI8" s="9">
        <v>73235</v>
      </c>
      <c r="AJ8" s="9">
        <v>80110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Germany</v>
      </c>
      <c r="D9" s="6">
        <f>MAX(I9:JF9)</f>
        <v>62095</v>
      </c>
      <c r="E9" s="6">
        <f>IF(COUNTIF(I9:XFD9,"&gt;"&amp;0)=0,,HLOOKUP(COUNTIF(I9:XFD9,"&gt;"&amp;0)-1,I$1:XFD9,A9+1,FALSE))</f>
        <v>62095</v>
      </c>
      <c r="F9" s="7">
        <f>IF(COUNTIF(I9:XFD9,"&gt;"&amp;0)=0,,HLOOKUP(COUNTIF(I9:XFD9,"&gt;"&amp;0)-MIN($F$1+1,COUNTIF(I9:XFD9,"&gt;"&amp;0)),I$1:XFD9,A9+1,FALSE))</f>
        <v>32986</v>
      </c>
      <c r="G9" s="8">
        <f>IF(COUNTIF(I9:XFD9,"&gt;"&amp;0)=0,,(E9/F9)^(1/MIN(COUNTIF(I9:XFD9,"&gt;"&amp;0)-1,$F$1)))</f>
        <v>1.1348681176452242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  <c r="AI9" s="9">
        <v>50871</v>
      </c>
      <c r="AJ9" s="9">
        <v>57695</v>
      </c>
      <c r="AK9" s="9">
        <v>62095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France</v>
      </c>
      <c r="D10" s="6">
        <f>MAX(I10:JF10)</f>
        <v>40708</v>
      </c>
      <c r="E10" s="6">
        <f>IF(COUNTIF(I10:XFD10,"&gt;"&amp;0)=0,,HLOOKUP(COUNTIF(I10:XFD10,"&gt;"&amp;0)-1,I$1:XFD10,A10+1,FALSE))</f>
        <v>40708</v>
      </c>
      <c r="F10" s="7">
        <f>IF(COUNTIF(I10:XFD10,"&gt;"&amp;0)=0,,HLOOKUP(COUNTIF(I10:XFD10,"&gt;"&amp;0)-MIN($F$1+1,COUNTIF(I10:XFD10,"&gt;"&amp;0)),I$1:XFD10,A10+1,FALSE))</f>
        <v>22622</v>
      </c>
      <c r="G10" s="8">
        <f>IF(COUNTIF(I10:XFD10,"&gt;"&amp;0)=0,,(E10/F10)^(1/MIN(COUNTIF(I10:XFD10,"&gt;"&amp;0)-1,$F$1)))</f>
        <v>1.1246820234070334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  <c r="AL10" s="9">
        <v>40708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MAX(I11:JF11)</f>
        <v>19780</v>
      </c>
      <c r="E11" s="6">
        <f>IF(COUNTIF(I11:XFD11,"&gt;"&amp;0)=0,,HLOOKUP(COUNTIF(I11:XFD11,"&gt;"&amp;0)-1,I$1:XFD11,A11+1,FALSE))</f>
        <v>19780</v>
      </c>
      <c r="F11" s="7">
        <f>IF(COUNTIF(I11:XFD11,"&gt;"&amp;0)=0,,HLOOKUP(COUNTIF(I11:XFD11,"&gt;"&amp;0)-MIN($F$1+1,COUNTIF(I11:XFD11,"&gt;"&amp;0)),I$1:XFD11,A11+1,FALSE))</f>
        <v>8164</v>
      </c>
      <c r="G11" s="8">
        <f>IF(COUNTIF(I11:XFD11,"&gt;"&amp;0)=0,,(E11/F11)^(1/MIN(COUNTIF(I11:XFD11,"&gt;"&amp;0)-1,$F$1)))</f>
        <v>1.1936160728656526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  <c r="AG11" s="9">
        <v>19780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World</v>
      </c>
      <c r="D12" s="6">
        <f>MAX(I12:JF12)</f>
        <v>717548</v>
      </c>
      <c r="E12" s="6">
        <f>IF(COUNTIF(I12:XFD12,"&gt;"&amp;0)=0,,HLOOKUP(COUNTIF(I12:XFD12,"&gt;"&amp;0)-1,I$1:XFD12,A12+1,FALSE))</f>
        <v>717548</v>
      </c>
      <c r="F12" s="7">
        <f>IF(COUNTIF(I12:XFD12,"&gt;"&amp;0)=0,,HLOOKUP(COUNTIF(I12:XFD12,"&gt;"&amp;0)-MIN($F$1+1,COUNTIF(I12:XFD12,"&gt;"&amp;0)),I$1:XFD12,A12+1,FALSE))</f>
        <v>416496</v>
      </c>
      <c r="G12" s="8">
        <f>IF(COUNTIF(I12:XFD12,"&gt;"&amp;0)=0,,(E12/F12)^(1/MIN(COUNTIF(I12:XFD12,"&gt;"&amp;0)-1,$F$1)))</f>
        <v>1.1149310866715807</v>
      </c>
      <c r="H12" s="13" t="s">
        <v>606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  <c r="BX12" s="9">
        <v>717548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Europe</v>
      </c>
      <c r="D13" s="6">
        <f>MAX(I13:JF13)</f>
        <v>393877</v>
      </c>
      <c r="E13" s="6">
        <f>IF(COUNTIF(I13:XFD13,"&gt;"&amp;0)=0,,HLOOKUP(COUNTIF(I13:XFD13,"&gt;"&amp;0)-1,I$1:XFD13,A13+1,FALSE))</f>
        <v>393877</v>
      </c>
      <c r="F13" s="7">
        <f>IF(COUNTIF(I13:XFD13,"&gt;"&amp;0)=0,,HLOOKUP(COUNTIF(I13:XFD13,"&gt;"&amp;0)-MIN($F$1+1,COUNTIF(I13:XFD13,"&gt;"&amp;0)),I$1:XFD13,A13+1,FALSE))</f>
        <v>220914</v>
      </c>
      <c r="G13" s="8">
        <f>IF(COUNTIF(I13:XFD13,"&gt;"&amp;0)=0,,(E13/F13)^(1/MIN(COUNTIF(I13:XFD13,"&gt;"&amp;0)-1,$F$1)))</f>
        <v>1.1226063033440183</v>
      </c>
      <c r="H13" s="13" t="s">
        <v>609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  <c r="AS13" s="9">
        <v>393877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North America</v>
      </c>
      <c r="D14" s="6">
        <f>MAX(I14:JF14)</f>
        <v>149407</v>
      </c>
      <c r="E14" s="6">
        <f>IF(COUNTIF(I14:XFD14,"&gt;"&amp;0)=0,,HLOOKUP(COUNTIF(I14:XFD14,"&gt;"&amp;0)-1,I$1:XFD14,A14+1,FALSE))</f>
        <v>149407</v>
      </c>
      <c r="F14" s="7">
        <f>IF(COUNTIF(I14:XFD14,"&gt;"&amp;0)=0,,HLOOKUP(COUNTIF(I14:XFD14,"&gt;"&amp;0)-MIN($F$1+1,COUNTIF(I14:XFD14,"&gt;"&amp;0)),I$1:XFD14,A14+1,FALSE))</f>
        <v>57491</v>
      </c>
      <c r="G14" s="8">
        <f>IF(COUNTIF(I14:XFD14,"&gt;"&amp;0)=0,,(E14/F14)^(1/MIN(COUNTIF(I14:XFD14,"&gt;"&amp;0)-1,$F$1)))</f>
        <v>1.2104705186050859</v>
      </c>
      <c r="H14" s="13" t="s">
        <v>611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  <c r="AK14" s="9">
        <v>149407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Asia</v>
      </c>
      <c r="D15" s="6">
        <f>MAX(I15:JF15)</f>
        <v>106439</v>
      </c>
      <c r="E15" s="6">
        <f>IF(COUNTIF(I15:XFD15,"&gt;"&amp;0)=0,,HLOOKUP(COUNTIF(I15:XFD15,"&gt;"&amp;0)-1,I$1:XFD15,A15+1,FALSE))</f>
        <v>106439</v>
      </c>
      <c r="F15" s="7">
        <f>IF(COUNTIF(I15:XFD15,"&gt;"&amp;0)=0,,HLOOKUP(COUNTIF(I15:XFD15,"&gt;"&amp;0)-MIN($F$1+1,COUNTIF(I15:XFD15,"&gt;"&amp;0)),I$1:XFD15,A15+1,FALSE))</f>
        <v>98851</v>
      </c>
      <c r="G15" s="8">
        <f>IF(COUNTIF(I15:XFD15,"&gt;"&amp;0)=0,,(E15/F15)^(1/MIN(COUNTIF(I15:XFD15,"&gt;"&amp;0)-1,$F$1)))</f>
        <v>1.0149016152825399</v>
      </c>
      <c r="H15" s="13" t="s">
        <v>608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  <c r="BX15" s="9">
        <v>106439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Middle East</v>
      </c>
      <c r="D16" s="6">
        <f>MAX(I16:JF16)</f>
        <v>47344</v>
      </c>
      <c r="E16" s="6">
        <f>IF(COUNTIF(I16:XFD16,"&gt;"&amp;0)=0,,HLOOKUP(COUNTIF(I16:XFD16,"&gt;"&amp;0)-1,I$1:XFD16,A16+1,FALSE))</f>
        <v>47344</v>
      </c>
      <c r="F16" s="7">
        <f>IF(COUNTIF(I16:XFD16,"&gt;"&amp;0)=0,,HLOOKUP(COUNTIF(I16:XFD16,"&gt;"&amp;0)-MIN($F$1+1,COUNTIF(I16:XFD16,"&gt;"&amp;0)),I$1:XFD16,A16+1,FALSE))</f>
        <v>29119</v>
      </c>
      <c r="G16" s="8">
        <f>IF(COUNTIF(I16:XFD16,"&gt;"&amp;0)=0,,(E16/F16)^(1/MIN(COUNTIF(I16:XFD16,"&gt;"&amp;0)-1,$F$1)))</f>
        <v>1.102091615255441</v>
      </c>
      <c r="H16" s="13" t="s">
        <v>610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  <c r="AP16" s="9">
        <v>47344</v>
      </c>
    </row>
    <row r="17" spans="1:47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Iran</v>
      </c>
      <c r="D17" s="6">
        <f>MAX(I17:JF17)</f>
        <v>38309</v>
      </c>
      <c r="E17" s="6">
        <f>IF(COUNTIF(I17:XFD17,"&gt;"&amp;0)=0,,HLOOKUP(COUNTIF(I17:XFD17,"&gt;"&amp;0)-1,I$1:XFD17,A17+1,FALSE))</f>
        <v>38309</v>
      </c>
      <c r="F17" s="7">
        <f>IF(COUNTIF(I17:XFD17,"&gt;"&amp;0)=0,,HLOOKUP(COUNTIF(I17:XFD17,"&gt;"&amp;0)-MIN($F$1+1,COUNTIF(I17:XFD17,"&gt;"&amp;0)),I$1:XFD17,A17+1,FALSE))</f>
        <v>24811</v>
      </c>
      <c r="G17" s="8">
        <f>IF(COUNTIF(I17:XFD17,"&gt;"&amp;0)=0,,(E17/F17)^(1/MIN(COUNTIF(I17:XFD17,"&gt;"&amp;0)-1,$F$1)))</f>
        <v>1.090765289629672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</row>
    <row r="18" spans="1:47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Switzerland</v>
      </c>
      <c r="D18" s="6">
        <f>MAX(I18:JF18)</f>
        <v>14829</v>
      </c>
      <c r="E18" s="6">
        <f>IF(COUNTIF(I18:XFD18,"&gt;"&amp;0)=0,,HLOOKUP(COUNTIF(I18:XFD18,"&gt;"&amp;0)-1,I$1:XFD18,A18+1,FALSE))</f>
        <v>14829</v>
      </c>
      <c r="F18" s="7">
        <f>IF(COUNTIF(I18:XFD18,"&gt;"&amp;0)=0,,HLOOKUP(COUNTIF(I18:XFD18,"&gt;"&amp;0)-MIN($F$1+1,COUNTIF(I18:XFD18,"&gt;"&amp;0)),I$1:XFD18,A18+1,FALSE))</f>
        <v>9877</v>
      </c>
      <c r="G18" s="8">
        <f>IF(COUNTIF(I18:XFD18,"&gt;"&amp;0)=0,,(E18/F18)^(1/MIN(COUNTIF(I18:XFD18,"&gt;"&amp;0)-1,$F$1)))</f>
        <v>1.084669335041768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  <c r="AE18" s="9">
        <v>12928</v>
      </c>
      <c r="AF18" s="9">
        <v>14076</v>
      </c>
      <c r="AG18" s="9">
        <v>14829</v>
      </c>
    </row>
    <row r="19" spans="1:47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South America</v>
      </c>
      <c r="D19" s="6">
        <f>MAX(I19:JF19)</f>
        <v>11838</v>
      </c>
      <c r="E19" s="6">
        <f>IF(COUNTIF(I19:XFD19,"&gt;"&amp;0)=0,,HLOOKUP(COUNTIF(I19:XFD19,"&gt;"&amp;0)-1,I$1:XFD19,A19+1,FALSE))</f>
        <v>11838</v>
      </c>
      <c r="F19" s="7">
        <f>IF(COUNTIF(I19:XFD19,"&gt;"&amp;0)=0,,HLOOKUP(COUNTIF(I19:XFD19,"&gt;"&amp;0)-MIN($F$1+1,COUNTIF(I19:XFD19,"&gt;"&amp;0)),I$1:XFD19,A19+1,FALSE))</f>
        <v>5926</v>
      </c>
      <c r="G19" s="8">
        <f>IF(COUNTIF(I19:XFD19,"&gt;"&amp;0)=0,,(E19/F19)^(1/MIN(COUNTIF(I19:XFD19,"&gt;"&amp;0)-1,$F$1)))</f>
        <v>1.1484268500880837</v>
      </c>
      <c r="H19" s="13" t="s">
        <v>612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</row>
    <row r="20" spans="1:47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Netherlands</v>
      </c>
      <c r="D20" s="6">
        <f>MAX(I20:JF20)</f>
        <v>10930</v>
      </c>
      <c r="E20" s="6">
        <f>IF(COUNTIF(I20:XFD20,"&gt;"&amp;0)=0,,HLOOKUP(COUNTIF(I20:XFD20,"&gt;"&amp;0)-1,I$1:XFD20,A20+1,FALSE))</f>
        <v>10930</v>
      </c>
      <c r="F20" s="7">
        <f>IF(COUNTIF(I20:XFD20,"&gt;"&amp;0)=0,,HLOOKUP(COUNTIF(I20:XFD20,"&gt;"&amp;0)-MIN($F$1+1,COUNTIF(I20:XFD20,"&gt;"&amp;0)),I$1:XFD20,A20+1,FALSE))</f>
        <v>5580</v>
      </c>
      <c r="G20" s="8">
        <f>IF(COUNTIF(I20:XFD20,"&gt;"&amp;0)=0,,(E20/F20)^(1/MIN(COUNTIF(I20:XFD20,"&gt;"&amp;0)-1,$F$1)))</f>
        <v>1.1439240548793892</v>
      </c>
      <c r="H20" s="13" t="s">
        <v>89</v>
      </c>
      <c r="I20" s="9">
        <v>128</v>
      </c>
      <c r="J20" s="9">
        <v>188</v>
      </c>
      <c r="K20" s="9">
        <v>265</v>
      </c>
      <c r="L20" s="9">
        <v>321</v>
      </c>
      <c r="M20" s="9">
        <v>382</v>
      </c>
      <c r="N20" s="9">
        <v>503</v>
      </c>
      <c r="O20" s="9">
        <v>503</v>
      </c>
      <c r="P20" s="9">
        <v>806</v>
      </c>
      <c r="Q20" s="9">
        <v>962</v>
      </c>
      <c r="R20" s="9">
        <v>1138</v>
      </c>
      <c r="S20" s="9">
        <v>1416</v>
      </c>
      <c r="T20" s="9">
        <v>1711</v>
      </c>
      <c r="U20" s="9">
        <v>2058</v>
      </c>
      <c r="V20" s="9">
        <v>2467</v>
      </c>
      <c r="W20" s="9">
        <v>3003</v>
      </c>
      <c r="X20" s="9">
        <v>3640</v>
      </c>
      <c r="Y20" s="9">
        <v>4217</v>
      </c>
      <c r="Z20" s="9">
        <v>4764</v>
      </c>
      <c r="AA20" s="9">
        <v>5580</v>
      </c>
      <c r="AB20" s="9">
        <v>6438</v>
      </c>
      <c r="AC20" s="9">
        <v>7468</v>
      </c>
      <c r="AD20" s="9">
        <v>8647</v>
      </c>
      <c r="AE20" s="9">
        <v>9819</v>
      </c>
      <c r="AF20" s="9">
        <v>10930</v>
      </c>
    </row>
    <row r="21" spans="1:47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Belgium</v>
      </c>
      <c r="D21" s="6">
        <f>MAX(I21:JF21)</f>
        <v>10836</v>
      </c>
      <c r="E21" s="6">
        <f>IF(COUNTIF(I21:XFD21,"&gt;"&amp;0)=0,,HLOOKUP(COUNTIF(I21:XFD21,"&gt;"&amp;0)-1,I$1:XFD21,A21+1,FALSE))</f>
        <v>10836</v>
      </c>
      <c r="F21" s="7">
        <f>IF(COUNTIF(I21:XFD21,"&gt;"&amp;0)=0,,HLOOKUP(COUNTIF(I21:XFD21,"&gt;"&amp;0)-MIN($F$1+1,COUNTIF(I21:XFD21,"&gt;"&amp;0)),I$1:XFD21,A21+1,FALSE))</f>
        <v>4269</v>
      </c>
      <c r="G21" s="8">
        <f>IF(COUNTIF(I21:XFD21,"&gt;"&amp;0)=0,,(E21/F21)^(1/MIN(COUNTIF(I21:XFD21,"&gt;"&amp;0)-1,$F$1)))</f>
        <v>1.2047822717706134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</row>
    <row r="22" spans="1:47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Korea, South</v>
      </c>
      <c r="D22" s="6">
        <f>MAX(I22:JF22)</f>
        <v>9583</v>
      </c>
      <c r="E22" s="6">
        <f>IF(COUNTIF(I22:XFD22,"&gt;"&amp;0)=0,,HLOOKUP(COUNTIF(I22:XFD22,"&gt;"&amp;0)-1,I$1:XFD22,A22+1,FALSE))</f>
        <v>9583</v>
      </c>
      <c r="F22" s="7">
        <f>IF(COUNTIF(I22:XFD22,"&gt;"&amp;0)=0,,HLOOKUP(COUNTIF(I22:XFD22,"&gt;"&amp;0)-MIN($F$1+1,COUNTIF(I22:XFD22,"&gt;"&amp;0)),I$1:XFD22,A22+1,FALSE))</f>
        <v>9037</v>
      </c>
      <c r="G22" s="8">
        <f>IF(COUNTIF(I22:XFD22,"&gt;"&amp;0)=0,,(E22/F22)^(1/MIN(COUNTIF(I22:XFD22,"&gt;"&amp;0)-1,$F$1)))</f>
        <v>1.0118017848295864</v>
      </c>
      <c r="H22" s="13" t="s">
        <v>339</v>
      </c>
      <c r="I22" s="9">
        <v>104</v>
      </c>
      <c r="J22" s="9">
        <v>204</v>
      </c>
      <c r="K22" s="9">
        <v>433</v>
      </c>
      <c r="L22" s="9">
        <v>602</v>
      </c>
      <c r="M22" s="9">
        <v>833</v>
      </c>
      <c r="N22" s="9">
        <v>977</v>
      </c>
      <c r="O22" s="9">
        <v>1261</v>
      </c>
      <c r="P22" s="9">
        <v>1766</v>
      </c>
      <c r="Q22" s="9">
        <v>2337</v>
      </c>
      <c r="R22" s="9">
        <v>3150</v>
      </c>
      <c r="S22" s="9">
        <v>3736</v>
      </c>
      <c r="T22" s="9">
        <v>4335</v>
      </c>
      <c r="U22" s="9">
        <v>5186</v>
      </c>
      <c r="V22" s="9">
        <v>5621</v>
      </c>
      <c r="W22" s="9">
        <v>6088</v>
      </c>
      <c r="X22" s="9">
        <v>6593</v>
      </c>
      <c r="Y22" s="9">
        <v>7041</v>
      </c>
      <c r="Z22" s="9">
        <v>7314</v>
      </c>
      <c r="AA22" s="9">
        <v>7478</v>
      </c>
      <c r="AB22" s="9">
        <v>7513</v>
      </c>
      <c r="AC22" s="9">
        <v>7755</v>
      </c>
      <c r="AD22" s="9">
        <v>7869</v>
      </c>
      <c r="AE22" s="9">
        <v>7979</v>
      </c>
      <c r="AF22" s="9">
        <v>8086</v>
      </c>
      <c r="AG22" s="9">
        <v>8162</v>
      </c>
      <c r="AH22" s="9">
        <v>8236</v>
      </c>
      <c r="AI22" s="9">
        <v>8320</v>
      </c>
      <c r="AJ22" s="9">
        <v>8413</v>
      </c>
      <c r="AK22" s="9">
        <v>8565</v>
      </c>
      <c r="AL22" s="9">
        <v>8652</v>
      </c>
      <c r="AM22" s="9">
        <v>8799</v>
      </c>
      <c r="AN22" s="9">
        <v>8961</v>
      </c>
      <c r="AO22" s="9">
        <v>8961</v>
      </c>
      <c r="AP22" s="9">
        <v>9037</v>
      </c>
      <c r="AQ22" s="9">
        <v>9137</v>
      </c>
      <c r="AR22" s="9">
        <v>9241</v>
      </c>
      <c r="AS22" s="9">
        <v>9332</v>
      </c>
      <c r="AT22" s="9">
        <v>9478</v>
      </c>
      <c r="AU22" s="9">
        <v>9583</v>
      </c>
    </row>
    <row r="23" spans="1:47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Turkey</v>
      </c>
      <c r="D23" s="6">
        <f>MAX(I23:JF23)</f>
        <v>9217</v>
      </c>
      <c r="E23" s="6">
        <f>IF(COUNTIF(I23:XFD23,"&gt;"&amp;0)=0,,HLOOKUP(COUNTIF(I23:XFD23,"&gt;"&amp;0)-1,I$1:XFD23,A23+1,FALSE))</f>
        <v>9217</v>
      </c>
      <c r="F23" s="7">
        <f>IF(COUNTIF(I23:XFD23,"&gt;"&amp;0)=0,,HLOOKUP(COUNTIF(I23:XFD23,"&gt;"&amp;0)-MIN($F$1+1,COUNTIF(I23:XFD23,"&gt;"&amp;0)),I$1:XFD23,A23+1,FALSE))</f>
        <v>1872</v>
      </c>
      <c r="G23" s="8">
        <f>IF(COUNTIF(I23:XFD23,"&gt;"&amp;0)=0,,(E23/F23)^(1/MIN(COUNTIF(I23:XFD23,"&gt;"&amp;0)-1,$F$1)))</f>
        <v>1.3754878186379516</v>
      </c>
      <c r="H23" s="13" t="s">
        <v>355</v>
      </c>
      <c r="I23" s="9">
        <v>192</v>
      </c>
      <c r="J23" s="9">
        <v>359</v>
      </c>
      <c r="K23" s="9">
        <v>670</v>
      </c>
      <c r="L23" s="9">
        <v>1236</v>
      </c>
      <c r="M23" s="9">
        <v>1529</v>
      </c>
      <c r="N23" s="9">
        <v>1872</v>
      </c>
      <c r="O23" s="9">
        <v>2433</v>
      </c>
      <c r="P23" s="9">
        <v>3629</v>
      </c>
      <c r="Q23" s="9">
        <v>5698</v>
      </c>
      <c r="R23" s="9">
        <v>7402</v>
      </c>
      <c r="S23" s="9">
        <v>9217</v>
      </c>
    </row>
    <row r="24" spans="1:47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Austria</v>
      </c>
      <c r="D24" s="6">
        <f>MAX(I24:JF24)</f>
        <v>8788</v>
      </c>
      <c r="E24" s="6">
        <f>IF(COUNTIF(I24:XFD24,"&gt;"&amp;0)=0,,HLOOKUP(COUNTIF(I24:XFD24,"&gt;"&amp;0)-1,I$1:XFD24,A24+1,FALSE))</f>
        <v>8788</v>
      </c>
      <c r="F24" s="7">
        <f>IF(COUNTIF(I24:XFD24,"&gt;"&amp;0)=0,,HLOOKUP(COUNTIF(I24:XFD24,"&gt;"&amp;0)-MIN($F$1+1,COUNTIF(I24:XFD24,"&gt;"&amp;0)),I$1:XFD24,A24+1,FALSE))</f>
        <v>5283</v>
      </c>
      <c r="G24" s="8">
        <f>IF(COUNTIF(I24:XFD24,"&gt;"&amp;0)=0,,(E24/F24)^(1/MIN(COUNTIF(I24:XFD24,"&gt;"&amp;0)-1,$F$1)))</f>
        <v>1.1071383322128516</v>
      </c>
      <c r="H24" s="13" t="s">
        <v>78</v>
      </c>
      <c r="I24" s="9">
        <v>104</v>
      </c>
      <c r="J24" s="9">
        <v>131</v>
      </c>
      <c r="K24" s="9">
        <v>182</v>
      </c>
      <c r="L24" s="9">
        <v>246</v>
      </c>
      <c r="M24" s="9">
        <v>302</v>
      </c>
      <c r="N24" s="9">
        <v>504</v>
      </c>
      <c r="O24" s="9">
        <v>655</v>
      </c>
      <c r="P24" s="9">
        <v>860</v>
      </c>
      <c r="Q24" s="9">
        <v>1018</v>
      </c>
      <c r="R24" s="9">
        <v>1332</v>
      </c>
      <c r="S24" s="9">
        <v>1646</v>
      </c>
      <c r="T24" s="9">
        <v>2013</v>
      </c>
      <c r="U24" s="9">
        <v>2388</v>
      </c>
      <c r="V24" s="9">
        <v>2814</v>
      </c>
      <c r="W24" s="9">
        <v>3582</v>
      </c>
      <c r="X24" s="9">
        <v>4474</v>
      </c>
      <c r="Y24" s="9">
        <v>5283</v>
      </c>
      <c r="Z24" s="9">
        <v>5588</v>
      </c>
      <c r="AA24" s="9">
        <v>6909</v>
      </c>
      <c r="AB24" s="9">
        <v>7657</v>
      </c>
      <c r="AC24" s="9">
        <v>8271</v>
      </c>
      <c r="AD24" s="9">
        <v>8788</v>
      </c>
    </row>
    <row r="25" spans="1:47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Canada</v>
      </c>
      <c r="D25" s="6">
        <f>MAX(I25:JF25)</f>
        <v>6280</v>
      </c>
      <c r="E25" s="6">
        <f>IF(COUNTIF(I25:XFD25,"&gt;"&amp;0)=0,,HLOOKUP(COUNTIF(I25:XFD25,"&gt;"&amp;0)-1,I$1:XFD25,A25+1,FALSE))</f>
        <v>6280</v>
      </c>
      <c r="F25" s="7">
        <f>IF(COUNTIF(I25:XFD25,"&gt;"&amp;0)=0,,HLOOKUP(COUNTIF(I25:XFD25,"&gt;"&amp;0)-MIN($F$1+1,COUNTIF(I25:XFD25,"&gt;"&amp;0)),I$1:XFD25,A25+1,FALSE))</f>
        <v>2790</v>
      </c>
      <c r="G25" s="8">
        <f>IF(COUNTIF(I25:XFD25,"&gt;"&amp;0)=0,,(E25/F25)^(1/MIN(COUNTIF(I25:XFD25,"&gt;"&amp;0)-1,$F$1)))</f>
        <v>1.1761726817615488</v>
      </c>
      <c r="H25" s="13" t="s">
        <v>45</v>
      </c>
      <c r="I25" s="9">
        <v>108</v>
      </c>
      <c r="J25" s="9">
        <v>117</v>
      </c>
      <c r="K25" s="9">
        <v>193</v>
      </c>
      <c r="L25" s="9">
        <v>198</v>
      </c>
      <c r="M25" s="9">
        <v>252</v>
      </c>
      <c r="N25" s="9">
        <v>415</v>
      </c>
      <c r="O25" s="9">
        <v>478</v>
      </c>
      <c r="P25" s="9">
        <v>657</v>
      </c>
      <c r="Q25" s="9">
        <v>800</v>
      </c>
      <c r="R25" s="9">
        <v>943</v>
      </c>
      <c r="S25" s="9">
        <v>1277</v>
      </c>
      <c r="T25" s="9">
        <v>1469</v>
      </c>
      <c r="U25" s="9">
        <v>2088</v>
      </c>
      <c r="V25" s="9">
        <v>2790</v>
      </c>
      <c r="W25" s="9">
        <v>3251</v>
      </c>
      <c r="X25" s="9">
        <v>4042</v>
      </c>
      <c r="Y25" s="9">
        <v>4682</v>
      </c>
      <c r="Z25" s="9">
        <v>5576</v>
      </c>
      <c r="AA25" s="9">
        <v>6280</v>
      </c>
    </row>
    <row r="26" spans="1:47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Portugal</v>
      </c>
      <c r="D26" s="6">
        <f>MAX(I26:JF26)</f>
        <v>5962</v>
      </c>
      <c r="E26" s="6">
        <f>IF(COUNTIF(I26:XFD26,"&gt;"&amp;0)=0,,HLOOKUP(COUNTIF(I26:XFD26,"&gt;"&amp;0)-1,I$1:XFD26,A26+1,FALSE))</f>
        <v>5962</v>
      </c>
      <c r="F26" s="7">
        <f>IF(COUNTIF(I26:XFD26,"&gt;"&amp;0)=0,,HLOOKUP(COUNTIF(I26:XFD26,"&gt;"&amp;0)-MIN($F$1+1,COUNTIF(I26:XFD26,"&gt;"&amp;0)),I$1:XFD26,A26+1,FALSE))</f>
        <v>2362</v>
      </c>
      <c r="G26" s="8">
        <f>IF(COUNTIF(I26:XFD26,"&gt;"&amp;0)=0,,(E26/F26)^(1/MIN(COUNTIF(I26:XFD26,"&gt;"&amp;0)-1,$F$1)))</f>
        <v>1.2034343836653834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</row>
    <row r="27" spans="1:47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Norway</v>
      </c>
      <c r="D27" s="6">
        <f>MAX(I27:JF27)</f>
        <v>4284</v>
      </c>
      <c r="E27" s="6">
        <f>IF(COUNTIF(I27:XFD27,"&gt;"&amp;0)=0,,HLOOKUP(COUNTIF(I27:XFD27,"&gt;"&amp;0)-1,I$1:XFD27,A27+1,FALSE))</f>
        <v>4284</v>
      </c>
      <c r="F27" s="7">
        <f>IF(COUNTIF(I27:XFD27,"&gt;"&amp;0)=0,,HLOOKUP(COUNTIF(I27:XFD27,"&gt;"&amp;0)-MIN($F$1+1,COUNTIF(I27:XFD27,"&gt;"&amp;0)),I$1:XFD27,A27+1,FALSE))</f>
        <v>2863</v>
      </c>
      <c r="G27" s="8">
        <f>IF(COUNTIF(I27:XFD27,"&gt;"&amp;0)=0,,(E27/F27)^(1/MIN(COUNTIF(I27:XFD27,"&gt;"&amp;0)-1,$F$1)))</f>
        <v>1.0839409477562028</v>
      </c>
      <c r="H27" s="13" t="s">
        <v>85</v>
      </c>
      <c r="I27" s="9">
        <v>108</v>
      </c>
      <c r="J27" s="9">
        <v>147</v>
      </c>
      <c r="K27" s="9">
        <v>176</v>
      </c>
      <c r="L27" s="9">
        <v>205</v>
      </c>
      <c r="M27" s="9">
        <v>400</v>
      </c>
      <c r="N27" s="9">
        <v>598</v>
      </c>
      <c r="O27" s="9">
        <v>702</v>
      </c>
      <c r="P27" s="9">
        <v>996</v>
      </c>
      <c r="Q27" s="9">
        <v>1090</v>
      </c>
      <c r="R27" s="9">
        <v>1221</v>
      </c>
      <c r="S27" s="9">
        <v>1333</v>
      </c>
      <c r="T27" s="9">
        <v>1463</v>
      </c>
      <c r="U27" s="9">
        <v>1550</v>
      </c>
      <c r="V27" s="9">
        <v>1746</v>
      </c>
      <c r="W27" s="9">
        <v>1914</v>
      </c>
      <c r="X27" s="9">
        <v>2118</v>
      </c>
      <c r="Y27" s="9">
        <v>2385</v>
      </c>
      <c r="Z27" s="9">
        <v>2621</v>
      </c>
      <c r="AA27" s="9">
        <v>2863</v>
      </c>
      <c r="AB27" s="9">
        <v>3084</v>
      </c>
      <c r="AC27" s="9">
        <v>3369</v>
      </c>
      <c r="AD27" s="9">
        <v>3755</v>
      </c>
      <c r="AE27" s="9">
        <v>4015</v>
      </c>
      <c r="AF27" s="9">
        <v>4284</v>
      </c>
    </row>
    <row r="28" spans="1:47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Brazil</v>
      </c>
      <c r="D28" s="6">
        <f>MAX(I28:JF28)</f>
        <v>4256</v>
      </c>
      <c r="E28" s="6">
        <f>IF(COUNTIF(I28:XFD28,"&gt;"&amp;0)=0,,HLOOKUP(COUNTIF(I28:XFD28,"&gt;"&amp;0)-1,I$1:XFD28,A28+1,FALSE))</f>
        <v>4256</v>
      </c>
      <c r="F28" s="7">
        <f>IF(COUNTIF(I28:XFD28,"&gt;"&amp;0)=0,,HLOOKUP(COUNTIF(I28:XFD28,"&gt;"&amp;0)-MIN($F$1+1,COUNTIF(I28:XFD28,"&gt;"&amp;0)),I$1:XFD28,A28+1,FALSE))</f>
        <v>2247</v>
      </c>
      <c r="G28" s="8">
        <f>IF(COUNTIF(I28:XFD28,"&gt;"&amp;0)=0,,(E28/F28)^(1/MIN(COUNTIF(I28:XFD28,"&gt;"&amp;0)-1,$F$1)))</f>
        <v>1.1362652091008261</v>
      </c>
      <c r="H28" s="13" t="s">
        <v>81</v>
      </c>
      <c r="I28" s="9">
        <v>151</v>
      </c>
      <c r="J28" s="9">
        <v>151</v>
      </c>
      <c r="K28" s="9">
        <v>162</v>
      </c>
      <c r="L28" s="9">
        <v>200</v>
      </c>
      <c r="M28" s="9">
        <v>321</v>
      </c>
      <c r="N28" s="9">
        <v>372</v>
      </c>
      <c r="O28" s="9">
        <v>621</v>
      </c>
      <c r="P28" s="9">
        <v>793</v>
      </c>
      <c r="Q28" s="9">
        <v>1021</v>
      </c>
      <c r="R28" s="9">
        <v>1546</v>
      </c>
      <c r="S28" s="9">
        <v>1924</v>
      </c>
      <c r="T28" s="9">
        <v>2247</v>
      </c>
      <c r="U28" s="9">
        <v>2554</v>
      </c>
      <c r="V28" s="9">
        <v>2985</v>
      </c>
      <c r="W28" s="9">
        <v>3417</v>
      </c>
      <c r="X28" s="9">
        <v>3904</v>
      </c>
      <c r="Y28" s="9">
        <v>4256</v>
      </c>
    </row>
    <row r="29" spans="1:47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Israel</v>
      </c>
      <c r="D29" s="6">
        <f>MAX(I29:JF29)</f>
        <v>4247</v>
      </c>
      <c r="E29" s="6">
        <f>IF(COUNTIF(I29:XFD29,"&gt;"&amp;0)=0,,HLOOKUP(COUNTIF(I29:XFD29,"&gt;"&amp;0)-1,I$1:XFD29,A29+1,FALSE))</f>
        <v>4247</v>
      </c>
      <c r="F29" s="7">
        <f>IF(COUNTIF(I29:XFD29,"&gt;"&amp;0)=0,,HLOOKUP(COUNTIF(I29:XFD29,"&gt;"&amp;0)-MIN($F$1+1,COUNTIF(I29:XFD29,"&gt;"&amp;0)),I$1:XFD29,A29+1,FALSE))</f>
        <v>1238</v>
      </c>
      <c r="G29" s="8">
        <f>IF(COUNTIF(I29:XFD29,"&gt;"&amp;0)=0,,(E29/F29)^(1/MIN(COUNTIF(I29:XFD29,"&gt;"&amp;0)-1,$F$1)))</f>
        <v>1.2795943778600884</v>
      </c>
      <c r="H29" s="13" t="s">
        <v>79</v>
      </c>
      <c r="I29" s="9">
        <v>100</v>
      </c>
      <c r="J29" s="9">
        <v>126</v>
      </c>
      <c r="K29" s="9">
        <v>155</v>
      </c>
      <c r="L29" s="9">
        <v>213</v>
      </c>
      <c r="M29" s="9">
        <v>218</v>
      </c>
      <c r="N29" s="9">
        <v>250</v>
      </c>
      <c r="O29" s="9">
        <v>304</v>
      </c>
      <c r="P29" s="9">
        <v>427</v>
      </c>
      <c r="Q29" s="9">
        <v>529</v>
      </c>
      <c r="R29" s="9">
        <v>712</v>
      </c>
      <c r="S29" s="9">
        <v>883</v>
      </c>
      <c r="T29" s="9">
        <v>1071</v>
      </c>
      <c r="U29" s="9">
        <v>1238</v>
      </c>
      <c r="V29" s="9">
        <v>2369</v>
      </c>
      <c r="W29" s="9">
        <v>2693</v>
      </c>
      <c r="X29" s="9">
        <v>3035</v>
      </c>
      <c r="Y29" s="9">
        <v>3619</v>
      </c>
      <c r="Z29" s="9">
        <v>4247</v>
      </c>
    </row>
    <row r="30" spans="1:47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Africa</v>
      </c>
      <c r="D30" s="6">
        <f>MAX(I30:JF30)</f>
        <v>4145</v>
      </c>
      <c r="E30" s="6">
        <f>IF(COUNTIF(I30:XFD30,"&gt;"&amp;0)=0,,HLOOKUP(COUNTIF(I30:XFD30,"&gt;"&amp;0)-1,I$1:XFD30,A30+1,FALSE))</f>
        <v>4145</v>
      </c>
      <c r="F30" s="7">
        <f>IF(COUNTIF(I30:XFD30,"&gt;"&amp;0)=0,,HLOOKUP(COUNTIF(I30:XFD30,"&gt;"&amp;0)-MIN($F$1+1,COUNTIF(I30:XFD30,"&gt;"&amp;0)),I$1:XFD30,A30+1,FALSE))</f>
        <v>1996</v>
      </c>
      <c r="G30" s="8">
        <f>IF(COUNTIF(I30:XFD30,"&gt;"&amp;0)=0,,(E30/F30)^(1/MIN(COUNTIF(I30:XFD30,"&gt;"&amp;0)-1,$F$1)))</f>
        <v>1.1573715421778241</v>
      </c>
      <c r="H30" s="13" t="s">
        <v>613</v>
      </c>
      <c r="I30" s="9">
        <v>104</v>
      </c>
      <c r="J30" s="9">
        <v>118</v>
      </c>
      <c r="K30" s="9">
        <v>134</v>
      </c>
      <c r="L30" s="9">
        <v>177</v>
      </c>
      <c r="M30" s="9">
        <v>243</v>
      </c>
      <c r="N30" s="9">
        <v>296</v>
      </c>
      <c r="O30" s="9">
        <v>374</v>
      </c>
      <c r="P30" s="9">
        <v>453</v>
      </c>
      <c r="Q30" s="9">
        <v>556</v>
      </c>
      <c r="R30" s="9">
        <v>720</v>
      </c>
      <c r="S30" s="9">
        <v>873</v>
      </c>
      <c r="T30" s="9">
        <v>1062</v>
      </c>
      <c r="U30" s="9">
        <v>1294</v>
      </c>
      <c r="V30" s="9">
        <v>1616</v>
      </c>
      <c r="W30" s="9">
        <v>1996</v>
      </c>
      <c r="X30" s="9">
        <v>2434</v>
      </c>
      <c r="Y30" s="9">
        <v>2878</v>
      </c>
      <c r="Z30" s="9">
        <v>3382</v>
      </c>
      <c r="AA30" s="9">
        <v>3672</v>
      </c>
      <c r="AB30" s="9">
        <v>4145</v>
      </c>
    </row>
    <row r="31" spans="1:47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Australia</v>
      </c>
      <c r="D31" s="6">
        <f>MAX(I31:JF31)</f>
        <v>3984</v>
      </c>
      <c r="E31" s="6">
        <f>IF(COUNTIF(I31:XFD31,"&gt;"&amp;0)=0,,HLOOKUP(COUNTIF(I31:XFD31,"&gt;"&amp;0)-1,I$1:XFD31,A31+1,FALSE))</f>
        <v>3984</v>
      </c>
      <c r="F31" s="7">
        <f>IF(COUNTIF(I31:XFD31,"&gt;"&amp;0)=0,,HLOOKUP(COUNTIF(I31:XFD31,"&gt;"&amp;0)-MIN($F$1+1,COUNTIF(I31:XFD31,"&gt;"&amp;0)),I$1:XFD31,A31+1,FALSE))</f>
        <v>2044</v>
      </c>
      <c r="G31" s="8">
        <f>IF(COUNTIF(I31:XFD31,"&gt;"&amp;0)=0,,(E31/F31)^(1/MIN(COUNTIF(I31:XFD31,"&gt;"&amp;0)-1,$F$1)))</f>
        <v>1.1427933056134278</v>
      </c>
      <c r="H31" s="13" t="s">
        <v>48</v>
      </c>
      <c r="I31" s="9">
        <v>107</v>
      </c>
      <c r="J31" s="9">
        <v>128</v>
      </c>
      <c r="K31" s="9">
        <v>128</v>
      </c>
      <c r="L31" s="9">
        <v>200</v>
      </c>
      <c r="M31" s="9">
        <v>250</v>
      </c>
      <c r="N31" s="9">
        <v>297</v>
      </c>
      <c r="O31" s="9">
        <v>377</v>
      </c>
      <c r="P31" s="9">
        <v>452</v>
      </c>
      <c r="Q31" s="9">
        <v>568</v>
      </c>
      <c r="R31" s="9">
        <v>681</v>
      </c>
      <c r="S31" s="9">
        <v>791</v>
      </c>
      <c r="T31" s="9">
        <v>1071</v>
      </c>
      <c r="U31" s="9">
        <v>1549</v>
      </c>
      <c r="V31" s="9">
        <v>1682</v>
      </c>
      <c r="W31" s="9">
        <v>2044</v>
      </c>
      <c r="X31" s="9">
        <v>2364</v>
      </c>
      <c r="Y31" s="9">
        <v>2810</v>
      </c>
      <c r="Z31" s="9">
        <v>3143</v>
      </c>
      <c r="AA31" s="9">
        <v>3640</v>
      </c>
      <c r="AB31" s="9">
        <v>3984</v>
      </c>
    </row>
    <row r="32" spans="1:47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Sweden</v>
      </c>
      <c r="D32" s="6">
        <f>MAX(I32:JF32)</f>
        <v>3700</v>
      </c>
      <c r="E32" s="6">
        <f>IF(COUNTIF(I32:XFD32,"&gt;"&amp;0)=0,,HLOOKUP(COUNTIF(I32:XFD32,"&gt;"&amp;0)-1,I$1:XFD32,A32+1,FALSE))</f>
        <v>3700</v>
      </c>
      <c r="F32" s="7">
        <f>IF(COUNTIF(I32:XFD32,"&gt;"&amp;0)=0,,HLOOKUP(COUNTIF(I32:XFD32,"&gt;"&amp;0)-MIN($F$1+1,COUNTIF(I32:XFD32,"&gt;"&amp;0)),I$1:XFD32,A32+1,FALSE))</f>
        <v>2286</v>
      </c>
      <c r="G32" s="8">
        <f>IF(COUNTIF(I32:XFD32,"&gt;"&amp;0)=0,,(E32/F32)^(1/MIN(COUNTIF(I32:XFD32,"&gt;"&amp;0)-1,$F$1)))</f>
        <v>1.1010957835857769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</row>
    <row r="33" spans="1:46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Czechia</v>
      </c>
      <c r="D33" s="6">
        <f>MAX(I33:JF33)</f>
        <v>2817</v>
      </c>
      <c r="E33" s="6">
        <f>IF(COUNTIF(I33:XFD33,"&gt;"&amp;0)=0,,HLOOKUP(COUNTIF(I33:XFD33,"&gt;"&amp;0)-1,I$1:XFD33,A33+1,FALSE))</f>
        <v>2817</v>
      </c>
      <c r="F33" s="7">
        <f>IF(COUNTIF(I33:XFD33,"&gt;"&amp;0)=0,,HLOOKUP(COUNTIF(I33:XFD33,"&gt;"&amp;0)-MIN($F$1+1,COUNTIF(I33:XFD33,"&gt;"&amp;0)),I$1:XFD33,A33+1,FALSE))</f>
        <v>1394</v>
      </c>
      <c r="G33" s="8">
        <f>IF(COUNTIF(I33:XFD33,"&gt;"&amp;0)=0,,(E33/F33)^(1/MIN(COUNTIF(I33:XFD33,"&gt;"&amp;0)-1,$F$1)))</f>
        <v>1.1510781619665083</v>
      </c>
      <c r="H33" s="13" t="s">
        <v>341</v>
      </c>
      <c r="I33" s="9">
        <v>141</v>
      </c>
      <c r="J33" s="9">
        <v>189</v>
      </c>
      <c r="K33" s="9">
        <v>253</v>
      </c>
      <c r="L33" s="9">
        <v>298</v>
      </c>
      <c r="M33" s="9">
        <v>396</v>
      </c>
      <c r="N33" s="9">
        <v>464</v>
      </c>
      <c r="O33" s="9">
        <v>694</v>
      </c>
      <c r="P33" s="9">
        <v>833</v>
      </c>
      <c r="Q33" s="9">
        <v>995</v>
      </c>
      <c r="R33" s="9">
        <v>1120</v>
      </c>
      <c r="S33" s="9">
        <v>1236</v>
      </c>
      <c r="T33" s="9">
        <v>1394</v>
      </c>
      <c r="U33" s="9">
        <v>1654</v>
      </c>
      <c r="V33" s="9">
        <v>1925</v>
      </c>
      <c r="W33" s="9">
        <v>2279</v>
      </c>
      <c r="X33" s="9">
        <v>2631</v>
      </c>
      <c r="Y33" s="9">
        <v>2817</v>
      </c>
    </row>
    <row r="34" spans="1:46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Ireland</v>
      </c>
      <c r="D34" s="6">
        <f>MAX(I34:JF34)</f>
        <v>2615</v>
      </c>
      <c r="E34" s="6">
        <f>IF(COUNTIF(I34:XFD34,"&gt;"&amp;0)=0,,HLOOKUP(COUNTIF(I34:XFD34,"&gt;"&amp;0)-1,I$1:XFD34,A34+1,FALSE))</f>
        <v>2615</v>
      </c>
      <c r="F34" s="7">
        <f>IF(COUNTIF(I34:XFD34,"&gt;"&amp;0)=0,,HLOOKUP(COUNTIF(I34:XFD34,"&gt;"&amp;0)-MIN($F$1+1,COUNTIF(I34:XFD34,"&gt;"&amp;0)),I$1:XFD34,A34+1,FALSE))</f>
        <v>1329</v>
      </c>
      <c r="G34" s="8">
        <f>IF(COUNTIF(I34:XFD34,"&gt;"&amp;0)=0,,(E34/F34)^(1/MIN(COUNTIF(I34:XFD34,"&gt;"&amp;0)-1,$F$1)))</f>
        <v>1.1449574371919489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</row>
    <row r="35" spans="1:46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Denmark</v>
      </c>
      <c r="D35" s="6">
        <f>MAX(I35:JF35)</f>
        <v>2564</v>
      </c>
      <c r="E35" s="6">
        <f>IF(COUNTIF(I35:XFD35,"&gt;"&amp;0)=0,,HLOOKUP(COUNTIF(I35:XFD35,"&gt;"&amp;0)-1,I$1:XFD35,A35+1,FALSE))</f>
        <v>2564</v>
      </c>
      <c r="F35" s="7">
        <f>IF(COUNTIF(I35:XFD35,"&gt;"&amp;0)=0,,HLOOKUP(COUNTIF(I35:XFD35,"&gt;"&amp;0)-MIN($F$1+1,COUNTIF(I35:XFD35,"&gt;"&amp;0)),I$1:XFD35,A35+1,FALSE))</f>
        <v>1718</v>
      </c>
      <c r="G35" s="8">
        <f>IF(COUNTIF(I35:XFD35,"&gt;"&amp;0)=0,,(E35/F35)^(1/MIN(COUNTIF(I35:XFD35,"&gt;"&amp;0)-1,$F$1)))</f>
        <v>1.0833754058614939</v>
      </c>
      <c r="H35" s="13" t="s">
        <v>87</v>
      </c>
      <c r="I35" s="9">
        <v>264</v>
      </c>
      <c r="J35" s="9">
        <v>444</v>
      </c>
      <c r="K35" s="9">
        <v>617</v>
      </c>
      <c r="L35" s="9">
        <v>804</v>
      </c>
      <c r="M35" s="9">
        <v>836</v>
      </c>
      <c r="N35" s="9">
        <v>875</v>
      </c>
      <c r="O35" s="9">
        <v>933</v>
      </c>
      <c r="P35" s="9">
        <v>1025</v>
      </c>
      <c r="Q35" s="9">
        <v>1116</v>
      </c>
      <c r="R35" s="9">
        <v>1225</v>
      </c>
      <c r="S35" s="9">
        <v>1337</v>
      </c>
      <c r="T35" s="9">
        <v>1420</v>
      </c>
      <c r="U35" s="9">
        <v>1514</v>
      </c>
      <c r="V35" s="9">
        <v>1572</v>
      </c>
      <c r="W35" s="9">
        <v>1718</v>
      </c>
      <c r="X35" s="9">
        <v>1862</v>
      </c>
      <c r="Y35" s="9">
        <v>2023</v>
      </c>
      <c r="Z35" s="9">
        <v>2200</v>
      </c>
      <c r="AA35" s="9">
        <v>2366</v>
      </c>
      <c r="AB35" s="9">
        <v>2564</v>
      </c>
    </row>
    <row r="36" spans="1:46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Malaysia</v>
      </c>
      <c r="D36" s="6">
        <f>MAX(I36:JF36)</f>
        <v>2470</v>
      </c>
      <c r="E36" s="6">
        <f>IF(COUNTIF(I36:XFD36,"&gt;"&amp;0)=0,,HLOOKUP(COUNTIF(I36:XFD36,"&gt;"&amp;0)-1,I$1:XFD36,A36+1,FALSE))</f>
        <v>2470</v>
      </c>
      <c r="F36" s="7">
        <f>IF(COUNTIF(I36:XFD36,"&gt;"&amp;0)=0,,HLOOKUP(COUNTIF(I36:XFD36,"&gt;"&amp;0)-MIN($F$1+1,COUNTIF(I36:XFD36,"&gt;"&amp;0)),I$1:XFD36,A36+1,FALSE))</f>
        <v>1624</v>
      </c>
      <c r="G36" s="8">
        <f>IF(COUNTIF(I36:XFD36,"&gt;"&amp;0)=0,,(E36/F36)^(1/MIN(COUNTIF(I36:XFD36,"&gt;"&amp;0)-1,$F$1)))</f>
        <v>1.0874822715013306</v>
      </c>
      <c r="H36" s="13" t="s">
        <v>43</v>
      </c>
      <c r="I36" s="9">
        <v>117</v>
      </c>
      <c r="J36" s="9">
        <v>129</v>
      </c>
      <c r="K36" s="9">
        <v>149</v>
      </c>
      <c r="L36" s="9">
        <v>149</v>
      </c>
      <c r="M36" s="9">
        <v>197</v>
      </c>
      <c r="N36" s="9">
        <v>238</v>
      </c>
      <c r="O36" s="9">
        <v>428</v>
      </c>
      <c r="P36" s="9">
        <v>566</v>
      </c>
      <c r="Q36" s="9">
        <v>673</v>
      </c>
      <c r="R36" s="9">
        <v>790</v>
      </c>
      <c r="S36" s="9">
        <v>900</v>
      </c>
      <c r="T36" s="9">
        <v>1030</v>
      </c>
      <c r="U36" s="9">
        <v>1183</v>
      </c>
      <c r="V36" s="9">
        <v>1306</v>
      </c>
      <c r="W36" s="9">
        <v>1518</v>
      </c>
      <c r="X36" s="9">
        <v>1624</v>
      </c>
      <c r="Y36" s="9">
        <v>1796</v>
      </c>
      <c r="Z36" s="9">
        <v>2031</v>
      </c>
      <c r="AA36" s="9">
        <v>2161</v>
      </c>
      <c r="AB36" s="9">
        <v>2320</v>
      </c>
      <c r="AC36" s="9">
        <v>2470</v>
      </c>
    </row>
    <row r="37" spans="1:46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Chile</v>
      </c>
      <c r="D37" s="6">
        <f>MAX(I37:JF37)</f>
        <v>2139</v>
      </c>
      <c r="E37" s="6">
        <f>IF(COUNTIF(I37:XFD37,"&gt;"&amp;0)=0,,HLOOKUP(COUNTIF(I37:XFD37,"&gt;"&amp;0)-1,I$1:XFD37,A37+1,FALSE))</f>
        <v>2139</v>
      </c>
      <c r="F37" s="7">
        <f>IF(COUNTIF(I37:XFD37,"&gt;"&amp;0)=0,,HLOOKUP(COUNTIF(I37:XFD37,"&gt;"&amp;0)-MIN($F$1+1,COUNTIF(I37:XFD37,"&gt;"&amp;0)),I$1:XFD37,A37+1,FALSE))</f>
        <v>922</v>
      </c>
      <c r="G37" s="8">
        <f>IF(COUNTIF(I37:XFD37,"&gt;"&amp;0)=0,,(E37/F37)^(1/MIN(COUNTIF(I37:XFD37,"&gt;"&amp;0)-1,$F$1)))</f>
        <v>1.1833030194266596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</row>
    <row r="38" spans="1:46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Luxembourg</v>
      </c>
      <c r="D38" s="6">
        <f>MAX(I38:JF38)</f>
        <v>1950</v>
      </c>
      <c r="E38" s="6">
        <f>IF(COUNTIF(I38:XFD38,"&gt;"&amp;0)=0,,HLOOKUP(COUNTIF(I38:XFD38,"&gt;"&amp;0)-1,I$1:XFD38,A38+1,FALSE))</f>
        <v>1950</v>
      </c>
      <c r="F38" s="7">
        <f>IF(COUNTIF(I38:XFD38,"&gt;"&amp;0)=0,,HLOOKUP(COUNTIF(I38:XFD38,"&gt;"&amp;0)-MIN($F$1+1,COUNTIF(I38:XFD38,"&gt;"&amp;0)),I$1:XFD38,A38+1,FALSE))</f>
        <v>1099</v>
      </c>
      <c r="G38" s="8">
        <f>IF(COUNTIF(I38:XFD38,"&gt;"&amp;0)=0,,(E38/F38)^(1/MIN(COUNTIF(I38:XFD38,"&gt;"&amp;0)-1,$F$1)))</f>
        <v>1.1215209323790574</v>
      </c>
      <c r="H38" s="13" t="s">
        <v>99</v>
      </c>
      <c r="I38" s="9">
        <v>140</v>
      </c>
      <c r="J38" s="9">
        <v>203</v>
      </c>
      <c r="K38" s="9">
        <v>335</v>
      </c>
      <c r="L38" s="9">
        <v>484</v>
      </c>
      <c r="M38" s="9">
        <v>670</v>
      </c>
      <c r="N38" s="9">
        <v>798</v>
      </c>
      <c r="O38" s="9">
        <v>875</v>
      </c>
      <c r="P38" s="9">
        <v>1099</v>
      </c>
      <c r="Q38" s="9">
        <v>1333</v>
      </c>
      <c r="R38" s="9">
        <v>1453</v>
      </c>
      <c r="S38" s="9">
        <v>1605</v>
      </c>
      <c r="T38" s="9">
        <v>1831</v>
      </c>
      <c r="U38" s="9">
        <v>1950</v>
      </c>
    </row>
    <row r="39" spans="1:46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Ecuador</v>
      </c>
      <c r="D39" s="6">
        <f>MAX(I39:JF39)</f>
        <v>1924</v>
      </c>
      <c r="E39" s="6">
        <f>IF(COUNTIF(I39:XFD39,"&gt;"&amp;0)=0,,HLOOKUP(COUNTIF(I39:XFD39,"&gt;"&amp;0)-1,I$1:XFD39,A39+1,FALSE))</f>
        <v>1924</v>
      </c>
      <c r="F39" s="7">
        <f>IF(COUNTIF(I39:XFD39,"&gt;"&amp;0)=0,,HLOOKUP(COUNTIF(I39:XFD39,"&gt;"&amp;0)-MIN($F$1+1,COUNTIF(I39:XFD39,"&gt;"&amp;0)),I$1:XFD39,A39+1,FALSE))</f>
        <v>1082</v>
      </c>
      <c r="G39" s="8">
        <f>IF(COUNTIF(I39:XFD39,"&gt;"&amp;0)=0,,(E39/F39)^(1/MIN(COUNTIF(I39:XFD39,"&gt;"&amp;0)-1,$F$1)))</f>
        <v>1.122006987011223</v>
      </c>
      <c r="H39" s="13" t="s">
        <v>103</v>
      </c>
      <c r="I39" s="9">
        <v>111</v>
      </c>
      <c r="J39" s="9">
        <v>199</v>
      </c>
      <c r="K39" s="9">
        <v>367</v>
      </c>
      <c r="L39" s="9">
        <v>506</v>
      </c>
      <c r="M39" s="9">
        <v>789</v>
      </c>
      <c r="N39" s="9">
        <v>981</v>
      </c>
      <c r="O39" s="9">
        <v>1082</v>
      </c>
      <c r="P39" s="9">
        <v>1173</v>
      </c>
      <c r="Q39" s="9">
        <v>1403</v>
      </c>
      <c r="R39" s="9">
        <v>1595</v>
      </c>
      <c r="S39" s="9">
        <v>1823</v>
      </c>
      <c r="T39" s="9">
        <v>1924</v>
      </c>
    </row>
    <row r="40" spans="1:46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Japan</v>
      </c>
      <c r="D40" s="6">
        <f>MAX(I40:JF40)</f>
        <v>1866</v>
      </c>
      <c r="E40" s="6">
        <f>IF(COUNTIF(I40:XFD40,"&gt;"&amp;0)=0,,HLOOKUP(COUNTIF(I40:XFD40,"&gt;"&amp;0)-1,I$1:XFD40,A40+1,FALSE))</f>
        <v>1866</v>
      </c>
      <c r="F40" s="7">
        <f>IF(COUNTIF(I40:XFD40,"&gt;"&amp;0)=0,,HLOOKUP(COUNTIF(I40:XFD40,"&gt;"&amp;0)-MIN($F$1+1,COUNTIF(I40:XFD40,"&gt;"&amp;0)),I$1:XFD40,A40+1,FALSE))</f>
        <v>1193</v>
      </c>
      <c r="G40" s="8">
        <f>IF(COUNTIF(I40:XFD40,"&gt;"&amp;0)=0,,(E40/F40)^(1/MIN(COUNTIF(I40:XFD40,"&gt;"&amp;0)-1,$F$1)))</f>
        <v>1.0935892668435905</v>
      </c>
      <c r="H40" s="13" t="s">
        <v>36</v>
      </c>
      <c r="I40" s="9">
        <v>105</v>
      </c>
      <c r="J40" s="9">
        <v>122</v>
      </c>
      <c r="K40" s="9">
        <v>147</v>
      </c>
      <c r="L40" s="9">
        <v>159</v>
      </c>
      <c r="M40" s="9">
        <v>170</v>
      </c>
      <c r="N40" s="9">
        <v>189</v>
      </c>
      <c r="O40" s="9">
        <v>214</v>
      </c>
      <c r="P40" s="9">
        <v>228</v>
      </c>
      <c r="Q40" s="9">
        <v>241</v>
      </c>
      <c r="R40" s="9">
        <v>256</v>
      </c>
      <c r="S40" s="9">
        <v>274</v>
      </c>
      <c r="T40" s="9">
        <v>293</v>
      </c>
      <c r="U40" s="9">
        <v>331</v>
      </c>
      <c r="V40" s="9">
        <v>360</v>
      </c>
      <c r="W40" s="9">
        <v>420</v>
      </c>
      <c r="X40" s="9">
        <v>461</v>
      </c>
      <c r="Y40" s="9">
        <v>502</v>
      </c>
      <c r="Z40" s="9">
        <v>511</v>
      </c>
      <c r="AA40" s="9">
        <v>581</v>
      </c>
      <c r="AB40" s="9">
        <v>639</v>
      </c>
      <c r="AC40" s="9">
        <v>639</v>
      </c>
      <c r="AD40" s="9">
        <v>701</v>
      </c>
      <c r="AE40" s="9">
        <v>773</v>
      </c>
      <c r="AF40" s="9">
        <v>839</v>
      </c>
      <c r="AG40" s="9">
        <v>839</v>
      </c>
      <c r="AH40" s="9">
        <v>878</v>
      </c>
      <c r="AI40" s="9">
        <v>889</v>
      </c>
      <c r="AJ40" s="9">
        <v>924</v>
      </c>
      <c r="AK40" s="9">
        <v>963</v>
      </c>
      <c r="AL40" s="9">
        <v>1007</v>
      </c>
      <c r="AM40" s="9">
        <v>1101</v>
      </c>
      <c r="AN40" s="9">
        <v>1128</v>
      </c>
      <c r="AO40" s="9">
        <v>1193</v>
      </c>
      <c r="AP40" s="9">
        <v>1307</v>
      </c>
      <c r="AQ40" s="9">
        <v>1387</v>
      </c>
      <c r="AR40" s="9">
        <v>1468</v>
      </c>
      <c r="AS40" s="9">
        <v>1693</v>
      </c>
      <c r="AT40" s="9">
        <v>1866</v>
      </c>
    </row>
    <row r="41" spans="1:46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Poland</v>
      </c>
      <c r="D41" s="6">
        <f>MAX(I41:JF41)</f>
        <v>1862</v>
      </c>
      <c r="E41" s="6">
        <f>IF(COUNTIF(I41:XFD41,"&gt;"&amp;0)=0,,HLOOKUP(COUNTIF(I41:XFD41,"&gt;"&amp;0)-1,I$1:XFD41,A41+1,FALSE))</f>
        <v>1862</v>
      </c>
      <c r="F41" s="7">
        <f>IF(COUNTIF(I41:XFD41,"&gt;"&amp;0)=0,,HLOOKUP(COUNTIF(I41:XFD41,"&gt;"&amp;0)-MIN($F$1+1,COUNTIF(I41:XFD41,"&gt;"&amp;0)),I$1:XFD41,A41+1,FALSE))</f>
        <v>901</v>
      </c>
      <c r="G41" s="8">
        <f>IF(COUNTIF(I41:XFD41,"&gt;"&amp;0)=0,,(E41/F41)^(1/MIN(COUNTIF(I41:XFD41,"&gt;"&amp;0)-1,$F$1)))</f>
        <v>1.1562479536719912</v>
      </c>
      <c r="H41" s="13" t="s">
        <v>137</v>
      </c>
      <c r="I41" s="9">
        <v>103</v>
      </c>
      <c r="J41" s="9">
        <v>119</v>
      </c>
      <c r="K41" s="9">
        <v>177</v>
      </c>
      <c r="L41" s="9">
        <v>238</v>
      </c>
      <c r="M41" s="9">
        <v>251</v>
      </c>
      <c r="N41" s="9">
        <v>355</v>
      </c>
      <c r="O41" s="9">
        <v>425</v>
      </c>
      <c r="P41" s="9">
        <v>536</v>
      </c>
      <c r="Q41" s="9">
        <v>634</v>
      </c>
      <c r="R41" s="9">
        <v>749</v>
      </c>
      <c r="S41" s="9">
        <v>901</v>
      </c>
      <c r="T41" s="9">
        <v>1051</v>
      </c>
      <c r="U41" s="9">
        <v>1221</v>
      </c>
      <c r="V41" s="9">
        <v>1389</v>
      </c>
      <c r="W41" s="9">
        <v>1638</v>
      </c>
      <c r="X41" s="9">
        <v>1862</v>
      </c>
    </row>
    <row r="42" spans="1:46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Romania</v>
      </c>
      <c r="D42" s="6">
        <f>MAX(I42:JF42)</f>
        <v>1815</v>
      </c>
      <c r="E42" s="6">
        <f>IF(COUNTIF(I42:XFD42,"&gt;"&amp;0)=0,,HLOOKUP(COUNTIF(I42:XFD42,"&gt;"&amp;0)-1,I$1:XFD42,A42+1,FALSE))</f>
        <v>1815</v>
      </c>
      <c r="F42" s="7">
        <f>IF(COUNTIF(I42:XFD42,"&gt;"&amp;0)=0,,HLOOKUP(COUNTIF(I42:XFD42,"&gt;"&amp;0)-MIN($F$1+1,COUNTIF(I42:XFD42,"&gt;"&amp;0)),I$1:XFD42,A42+1,FALSE))</f>
        <v>794</v>
      </c>
      <c r="G42" s="8">
        <f>IF(COUNTIF(I42:XFD42,"&gt;"&amp;0)=0,,(E42/F42)^(1/MIN(COUNTIF(I42:XFD42,"&gt;"&amp;0)-1,$F$1)))</f>
        <v>1.1798076976343708</v>
      </c>
      <c r="H42" s="13" t="s">
        <v>86</v>
      </c>
      <c r="I42" s="9">
        <v>123</v>
      </c>
      <c r="J42" s="9">
        <v>131</v>
      </c>
      <c r="K42" s="9">
        <v>158</v>
      </c>
      <c r="L42" s="9">
        <v>184</v>
      </c>
      <c r="M42" s="9">
        <v>260</v>
      </c>
      <c r="N42" s="9">
        <v>277</v>
      </c>
      <c r="O42" s="9">
        <v>308</v>
      </c>
      <c r="P42" s="9">
        <v>367</v>
      </c>
      <c r="Q42" s="9">
        <v>433</v>
      </c>
      <c r="R42" s="9">
        <v>576</v>
      </c>
      <c r="S42" s="9">
        <v>794</v>
      </c>
      <c r="T42" s="9">
        <v>906</v>
      </c>
      <c r="U42" s="9">
        <v>1029</v>
      </c>
      <c r="V42" s="9">
        <v>1292</v>
      </c>
      <c r="W42" s="9">
        <v>1452</v>
      </c>
      <c r="X42" s="9">
        <v>1815</v>
      </c>
    </row>
    <row r="43" spans="1:46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Pakistan</v>
      </c>
      <c r="D43" s="6">
        <f>MAX(I43:JF43)</f>
        <v>1597</v>
      </c>
      <c r="E43" s="6">
        <f>IF(COUNTIF(I43:XFD43,"&gt;"&amp;0)=0,,HLOOKUP(COUNTIF(I43:XFD43,"&gt;"&amp;0)-1,I$1:XFD43,A43+1,FALSE))</f>
        <v>1597</v>
      </c>
      <c r="F43" s="7">
        <f>IF(COUNTIF(I43:XFD43,"&gt;"&amp;0)=0,,HLOOKUP(COUNTIF(I43:XFD43,"&gt;"&amp;0)-MIN($F$1+1,COUNTIF(I43:XFD43,"&gt;"&amp;0)),I$1:XFD43,A43+1,FALSE))</f>
        <v>972</v>
      </c>
      <c r="G43" s="8">
        <f>IF(COUNTIF(I43:XFD43,"&gt;"&amp;0)=0,,(E43/F43)^(1/MIN(COUNTIF(I43:XFD43,"&gt;"&amp;0)-1,$F$1)))</f>
        <v>1.1044033879477333</v>
      </c>
      <c r="H43" s="13" t="s">
        <v>80</v>
      </c>
      <c r="I43" s="9">
        <v>136</v>
      </c>
      <c r="J43" s="9">
        <v>236</v>
      </c>
      <c r="K43" s="9">
        <v>299</v>
      </c>
      <c r="L43" s="9">
        <v>454</v>
      </c>
      <c r="M43" s="9">
        <v>501</v>
      </c>
      <c r="N43" s="9">
        <v>730</v>
      </c>
      <c r="O43" s="9">
        <v>776</v>
      </c>
      <c r="P43" s="9">
        <v>875</v>
      </c>
      <c r="Q43" s="9">
        <v>972</v>
      </c>
      <c r="R43" s="9">
        <v>1063</v>
      </c>
      <c r="S43" s="9">
        <v>1201</v>
      </c>
      <c r="T43" s="9">
        <v>1373</v>
      </c>
      <c r="U43" s="9">
        <v>1495</v>
      </c>
      <c r="V43" s="9">
        <v>1597</v>
      </c>
    </row>
    <row r="44" spans="1:46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Russia</v>
      </c>
      <c r="D44" s="6">
        <f>MAX(I44:JF44)</f>
        <v>1534</v>
      </c>
      <c r="E44" s="6">
        <f>IF(COUNTIF(I44:XFD44,"&gt;"&amp;0)=0,,HLOOKUP(COUNTIF(I44:XFD44,"&gt;"&amp;0)-1,I$1:XFD44,A44+1,FALSE))</f>
        <v>1534</v>
      </c>
      <c r="F44" s="7">
        <f>IF(COUNTIF(I44:XFD44,"&gt;"&amp;0)=0,,HLOOKUP(COUNTIF(I44:XFD44,"&gt;"&amp;0)-MIN($F$1+1,COUNTIF(I44:XFD44,"&gt;"&amp;0)),I$1:XFD44,A44+1,FALSE))</f>
        <v>495</v>
      </c>
      <c r="G44" s="8">
        <f>IF(COUNTIF(I44:XFD44,"&gt;"&amp;0)=0,,(E44/F44)^(1/MIN(COUNTIF(I44:XFD44,"&gt;"&amp;0)-1,$F$1)))</f>
        <v>1.2538455187989697</v>
      </c>
      <c r="H44" s="13" t="s">
        <v>344</v>
      </c>
      <c r="I44" s="9">
        <v>114</v>
      </c>
      <c r="J44" s="9">
        <v>147</v>
      </c>
      <c r="K44" s="9">
        <v>199</v>
      </c>
      <c r="L44" s="9">
        <v>253</v>
      </c>
      <c r="M44" s="9">
        <v>306</v>
      </c>
      <c r="N44" s="9">
        <v>367</v>
      </c>
      <c r="O44" s="9">
        <v>438</v>
      </c>
      <c r="P44" s="9">
        <v>495</v>
      </c>
      <c r="Q44" s="9">
        <v>658</v>
      </c>
      <c r="R44" s="9">
        <v>840</v>
      </c>
      <c r="S44" s="9">
        <v>1036</v>
      </c>
      <c r="T44" s="9">
        <v>1264</v>
      </c>
      <c r="U44" s="9">
        <v>1534</v>
      </c>
    </row>
    <row r="45" spans="1:46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Philippines</v>
      </c>
      <c r="D45" s="6">
        <f>MAX(I45:JF45)</f>
        <v>1418</v>
      </c>
      <c r="E45" s="6">
        <f>IF(COUNTIF(I45:XFD45,"&gt;"&amp;0)=0,,HLOOKUP(COUNTIF(I45:XFD45,"&gt;"&amp;0)-1,I$1:XFD45,A45+1,FALSE))</f>
        <v>1418</v>
      </c>
      <c r="F45" s="7">
        <f>IF(COUNTIF(I45:XFD45,"&gt;"&amp;0)=0,,HLOOKUP(COUNTIF(I45:XFD45,"&gt;"&amp;0)-MIN($F$1+1,COUNTIF(I45:XFD45,"&gt;"&amp;0)),I$1:XFD45,A45+1,FALSE))</f>
        <v>552</v>
      </c>
      <c r="G45" s="8">
        <f>IF(COUNTIF(I45:XFD45,"&gt;"&amp;0)=0,,(E45/F45)^(1/MIN(COUNTIF(I45:XFD45,"&gt;"&amp;0)-1,$F$1)))</f>
        <v>1.2076676435705658</v>
      </c>
      <c r="H45" s="13" t="s">
        <v>56</v>
      </c>
      <c r="I45" s="9">
        <v>111</v>
      </c>
      <c r="J45" s="9">
        <v>140</v>
      </c>
      <c r="K45" s="9">
        <v>142</v>
      </c>
      <c r="L45" s="9">
        <v>187</v>
      </c>
      <c r="M45" s="9">
        <v>202</v>
      </c>
      <c r="N45" s="9">
        <v>217</v>
      </c>
      <c r="O45" s="9">
        <v>230</v>
      </c>
      <c r="P45" s="9">
        <v>307</v>
      </c>
      <c r="Q45" s="9">
        <v>380</v>
      </c>
      <c r="R45" s="9">
        <v>462</v>
      </c>
      <c r="S45" s="9">
        <v>552</v>
      </c>
      <c r="T45" s="9">
        <v>636</v>
      </c>
      <c r="U45" s="9">
        <v>707</v>
      </c>
      <c r="V45" s="9">
        <v>803</v>
      </c>
      <c r="W45" s="9">
        <v>1075</v>
      </c>
      <c r="X45" s="9">
        <v>1418</v>
      </c>
    </row>
    <row r="46" spans="1:46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Thailand</v>
      </c>
      <c r="D46" s="6">
        <f>MAX(I46:JF46)</f>
        <v>1388</v>
      </c>
      <c r="E46" s="6">
        <f>IF(COUNTIF(I46:XFD46,"&gt;"&amp;0)=0,,HLOOKUP(COUNTIF(I46:XFD46,"&gt;"&amp;0)-1,I$1:XFD46,A46+1,FALSE))</f>
        <v>1388</v>
      </c>
      <c r="F46" s="7">
        <f>IF(COUNTIF(I46:XFD46,"&gt;"&amp;0)=0,,HLOOKUP(COUNTIF(I46:XFD46,"&gt;"&amp;0)-MIN($F$1+1,COUNTIF(I46:XFD46,"&gt;"&amp;0)),I$1:XFD46,A46+1,FALSE))</f>
        <v>827</v>
      </c>
      <c r="G46" s="8">
        <f>IF(COUNTIF(I46:XFD46,"&gt;"&amp;0)=0,,(E46/F46)^(1/MIN(COUNTIF(I46:XFD46,"&gt;"&amp;0)-1,$F$1)))</f>
        <v>1.1091155425705399</v>
      </c>
      <c r="H46" s="13" t="s">
        <v>35</v>
      </c>
      <c r="I46" s="9">
        <v>114</v>
      </c>
      <c r="J46" s="9">
        <v>147</v>
      </c>
      <c r="K46" s="9">
        <v>177</v>
      </c>
      <c r="L46" s="9">
        <v>212</v>
      </c>
      <c r="M46" s="9">
        <v>272</v>
      </c>
      <c r="N46" s="9">
        <v>322</v>
      </c>
      <c r="O46" s="9">
        <v>411</v>
      </c>
      <c r="P46" s="9">
        <v>599</v>
      </c>
      <c r="Q46" s="9">
        <v>721</v>
      </c>
      <c r="R46" s="9">
        <v>827</v>
      </c>
      <c r="S46" s="9">
        <v>934</v>
      </c>
      <c r="T46" s="9">
        <v>1045</v>
      </c>
      <c r="U46" s="9">
        <v>1136</v>
      </c>
      <c r="V46" s="9">
        <v>1245</v>
      </c>
      <c r="W46" s="9">
        <v>1388</v>
      </c>
    </row>
    <row r="47" spans="1:46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Saudi Arabia</v>
      </c>
      <c r="D47" s="6">
        <f>MAX(I47:JF47)</f>
        <v>1299</v>
      </c>
      <c r="E47" s="6">
        <f>IF(COUNTIF(I47:XFD47,"&gt;"&amp;0)=0,,HLOOKUP(COUNTIF(I47:XFD47,"&gt;"&amp;0)-1,I$1:XFD47,A47+1,FALSE))</f>
        <v>1299</v>
      </c>
      <c r="F47" s="7">
        <f>IF(COUNTIF(I47:XFD47,"&gt;"&amp;0)=0,,HLOOKUP(COUNTIF(I47:XFD47,"&gt;"&amp;0)-MIN($F$1+1,COUNTIF(I47:XFD47,"&gt;"&amp;0)),I$1:XFD47,A47+1,FALSE))</f>
        <v>767</v>
      </c>
      <c r="G47" s="8">
        <f>IF(COUNTIF(I47:XFD47,"&gt;"&amp;0)=0,,(E47/F47)^(1/MIN(COUNTIF(I47:XFD47,"&gt;"&amp;0)-1,$F$1)))</f>
        <v>1.1111245860848662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</row>
    <row r="48" spans="1:46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Indonesia</v>
      </c>
      <c r="D48" s="6">
        <f>MAX(I48:JF48)</f>
        <v>1285</v>
      </c>
      <c r="E48" s="6">
        <f>IF(COUNTIF(I48:XFD48,"&gt;"&amp;0)=0,,HLOOKUP(COUNTIF(I48:XFD48,"&gt;"&amp;0)-1,I$1:XFD48,A48+1,FALSE))</f>
        <v>1285</v>
      </c>
      <c r="F48" s="7">
        <f>IF(COUNTIF(I48:XFD48,"&gt;"&amp;0)=0,,HLOOKUP(COUNTIF(I48:XFD48,"&gt;"&amp;0)-MIN($F$1+1,COUNTIF(I48:XFD48,"&gt;"&amp;0)),I$1:XFD48,A48+1,FALSE))</f>
        <v>686</v>
      </c>
      <c r="G48" s="8">
        <f>IF(COUNTIF(I48:XFD48,"&gt;"&amp;0)=0,,(E48/F48)^(1/MIN(COUNTIF(I48:XFD48,"&gt;"&amp;0)-1,$F$1)))</f>
        <v>1.1337460902397969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</row>
    <row r="49" spans="1:38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South Africa</v>
      </c>
      <c r="D49" s="6">
        <f>MAX(I49:JF49)</f>
        <v>1280</v>
      </c>
      <c r="E49" s="6">
        <f>IF(COUNTIF(I49:XFD49,"&gt;"&amp;0)=0,,HLOOKUP(COUNTIF(I49:XFD49,"&gt;"&amp;0)-1,I$1:XFD49,A49+1,FALSE))</f>
        <v>1280</v>
      </c>
      <c r="F49" s="7">
        <f>IF(COUNTIF(I49:XFD49,"&gt;"&amp;0)=0,,HLOOKUP(COUNTIF(I49:XFD49,"&gt;"&amp;0)-MIN($F$1+1,COUNTIF(I49:XFD49,"&gt;"&amp;0)),I$1:XFD49,A49+1,FALSE))</f>
        <v>554</v>
      </c>
      <c r="G49" s="8">
        <f>IF(COUNTIF(I49:XFD49,"&gt;"&amp;0)=0,,(E49/F49)^(1/MIN(COUNTIF(I49:XFD49,"&gt;"&amp;0)-1,$F$1)))</f>
        <v>1.1823336252631753</v>
      </c>
      <c r="H49" s="13" t="s">
        <v>145</v>
      </c>
      <c r="I49" s="9">
        <v>116</v>
      </c>
      <c r="J49" s="9">
        <v>150</v>
      </c>
      <c r="K49" s="9">
        <v>202</v>
      </c>
      <c r="L49" s="9">
        <v>240</v>
      </c>
      <c r="M49" s="9">
        <v>274</v>
      </c>
      <c r="N49" s="9">
        <v>402</v>
      </c>
      <c r="O49" s="9">
        <v>554</v>
      </c>
      <c r="P49" s="9">
        <v>709</v>
      </c>
      <c r="Q49" s="9">
        <v>927</v>
      </c>
      <c r="R49" s="9">
        <v>1170</v>
      </c>
      <c r="S49" s="9">
        <v>1187</v>
      </c>
      <c r="T49" s="9">
        <v>1280</v>
      </c>
    </row>
    <row r="50" spans="1:38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Finland</v>
      </c>
      <c r="D50" s="6">
        <f>MAX(I50:JF50)</f>
        <v>1240</v>
      </c>
      <c r="E50" s="6">
        <f>IF(COUNTIF(I50:XFD50,"&gt;"&amp;0)=0,,HLOOKUP(COUNTIF(I50:XFD50,"&gt;"&amp;0)-1,I$1:XFD50,A50+1,FALSE))</f>
        <v>1240</v>
      </c>
      <c r="F50" s="7">
        <f>IF(COUNTIF(I50:XFD50,"&gt;"&amp;0)=0,,HLOOKUP(COUNTIF(I50:XFD50,"&gt;"&amp;0)-MIN($F$1+1,COUNTIF(I50:XFD50,"&gt;"&amp;0)),I$1:XFD50,A50+1,FALSE))</f>
        <v>792</v>
      </c>
      <c r="G50" s="8">
        <f>IF(COUNTIF(I50:XFD50,"&gt;"&amp;0)=0,,(E50/F50)^(1/MIN(COUNTIF(I50:XFD50,"&gt;"&amp;0)-1,$F$1)))</f>
        <v>1.0938034798497274</v>
      </c>
      <c r="H50" s="13" t="s">
        <v>54</v>
      </c>
      <c r="I50" s="9">
        <v>155</v>
      </c>
      <c r="J50" s="9">
        <v>225</v>
      </c>
      <c r="K50" s="9">
        <v>244</v>
      </c>
      <c r="L50" s="9">
        <v>277</v>
      </c>
      <c r="M50" s="9">
        <v>321</v>
      </c>
      <c r="N50" s="9">
        <v>336</v>
      </c>
      <c r="O50" s="9">
        <v>400</v>
      </c>
      <c r="P50" s="9">
        <v>450</v>
      </c>
      <c r="Q50" s="9">
        <v>523</v>
      </c>
      <c r="R50" s="9">
        <v>626</v>
      </c>
      <c r="S50" s="9">
        <v>700</v>
      </c>
      <c r="T50" s="9">
        <v>792</v>
      </c>
      <c r="U50" s="9">
        <v>880</v>
      </c>
      <c r="V50" s="9">
        <v>958</v>
      </c>
      <c r="W50" s="9">
        <v>1041</v>
      </c>
      <c r="X50" s="9">
        <v>1167</v>
      </c>
      <c r="Y50" s="9">
        <v>1240</v>
      </c>
    </row>
    <row r="51" spans="1:38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Greece</v>
      </c>
      <c r="D51" s="6">
        <f>MAX(I51:JF51)</f>
        <v>1156</v>
      </c>
      <c r="E51" s="6">
        <f>IF(COUNTIF(I51:XFD51,"&gt;"&amp;0)=0,,HLOOKUP(COUNTIF(I51:XFD51,"&gt;"&amp;0)-1,I$1:XFD51,A51+1,FALSE))</f>
        <v>1156</v>
      </c>
      <c r="F51" s="7">
        <f>IF(COUNTIF(I51:XFD51,"&gt;"&amp;0)=0,,HLOOKUP(COUNTIF(I51:XFD51,"&gt;"&amp;0)-MIN($F$1+1,COUNTIF(I51:XFD51,"&gt;"&amp;0)),I$1:XFD51,A51+1,FALSE))</f>
        <v>743</v>
      </c>
      <c r="G51" s="8">
        <f>IF(COUNTIF(I51:XFD51,"&gt;"&amp;0)=0,,(E51/F51)^(1/MIN(COUNTIF(I51:XFD51,"&gt;"&amp;0)-1,$F$1)))</f>
        <v>1.0924304677727554</v>
      </c>
      <c r="H51" s="13" t="s">
        <v>83</v>
      </c>
      <c r="I51" s="9">
        <v>190</v>
      </c>
      <c r="J51" s="9">
        <v>228</v>
      </c>
      <c r="K51" s="9">
        <v>331</v>
      </c>
      <c r="L51" s="9">
        <v>331</v>
      </c>
      <c r="M51" s="9">
        <v>387</v>
      </c>
      <c r="N51" s="9">
        <v>418</v>
      </c>
      <c r="O51" s="9">
        <v>418</v>
      </c>
      <c r="P51" s="9">
        <v>495</v>
      </c>
      <c r="Q51" s="9">
        <v>530</v>
      </c>
      <c r="R51" s="9">
        <v>624</v>
      </c>
      <c r="S51" s="9">
        <v>695</v>
      </c>
      <c r="T51" s="9">
        <v>743</v>
      </c>
      <c r="U51" s="9">
        <v>821</v>
      </c>
      <c r="V51" s="9">
        <v>892</v>
      </c>
      <c r="W51" s="9">
        <v>966</v>
      </c>
      <c r="X51" s="9">
        <v>1061</v>
      </c>
      <c r="Y51" s="9">
        <v>1156</v>
      </c>
    </row>
    <row r="52" spans="1:38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India</v>
      </c>
      <c r="D52" s="6">
        <f>MAX(I52:JF52)</f>
        <v>1024</v>
      </c>
      <c r="E52" s="6">
        <f>IF(COUNTIF(I52:XFD52,"&gt;"&amp;0)=0,,HLOOKUP(COUNTIF(I52:XFD52,"&gt;"&amp;0)-1,I$1:XFD52,A52+1,FALSE))</f>
        <v>1024</v>
      </c>
      <c r="F52" s="7">
        <f>IF(COUNTIF(I52:XFD52,"&gt;"&amp;0)=0,,HLOOKUP(COUNTIF(I52:XFD52,"&gt;"&amp;0)-MIN($F$1+1,COUNTIF(I52:XFD52,"&gt;"&amp;0)),I$1:XFD52,A52+1,FALSE))</f>
        <v>536</v>
      </c>
      <c r="G52" s="8">
        <f>IF(COUNTIF(I52:XFD52,"&gt;"&amp;0)=0,,(E52/F52)^(1/MIN(COUNTIF(I52:XFD52,"&gt;"&amp;0)-1,$F$1)))</f>
        <v>1.1382221515439408</v>
      </c>
      <c r="H52" s="13" t="s">
        <v>57</v>
      </c>
      <c r="I52" s="9">
        <v>102</v>
      </c>
      <c r="J52" s="9">
        <v>113</v>
      </c>
      <c r="K52" s="9">
        <v>119</v>
      </c>
      <c r="L52" s="9">
        <v>142</v>
      </c>
      <c r="M52" s="9">
        <v>156</v>
      </c>
      <c r="N52" s="9">
        <v>194</v>
      </c>
      <c r="O52" s="9">
        <v>244</v>
      </c>
      <c r="P52" s="9">
        <v>330</v>
      </c>
      <c r="Q52" s="9">
        <v>396</v>
      </c>
      <c r="R52" s="9">
        <v>499</v>
      </c>
      <c r="S52" s="9">
        <v>536</v>
      </c>
      <c r="T52" s="9">
        <v>657</v>
      </c>
      <c r="U52" s="9">
        <v>727</v>
      </c>
      <c r="V52" s="9">
        <v>887</v>
      </c>
      <c r="W52" s="9">
        <v>987</v>
      </c>
      <c r="X52" s="9">
        <v>1024</v>
      </c>
    </row>
    <row r="53" spans="1:38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Iceland</v>
      </c>
      <c r="D53" s="6">
        <f>MAX(I53:JF53)</f>
        <v>1020</v>
      </c>
      <c r="E53" s="6">
        <f>IF(COUNTIF(I53:XFD53,"&gt;"&amp;0)=0,,HLOOKUP(COUNTIF(I53:XFD53,"&gt;"&amp;0)-1,I$1:XFD53,A53+1,FALSE))</f>
        <v>1020</v>
      </c>
      <c r="F53" s="7">
        <f>IF(COUNTIF(I53:XFD53,"&gt;"&amp;0)=0,,HLOOKUP(COUNTIF(I53:XFD53,"&gt;"&amp;0)-MIN($F$1+1,COUNTIF(I53:XFD53,"&gt;"&amp;0)),I$1:XFD53,A53+1,FALSE))</f>
        <v>648</v>
      </c>
      <c r="G53" s="8">
        <f>IF(COUNTIF(I53:XFD53,"&gt;"&amp;0)=0,,(E53/F53)^(1/MIN(COUNTIF(I53:XFD53,"&gt;"&amp;0)-1,$F$1)))</f>
        <v>1.0949770914344741</v>
      </c>
      <c r="H53" s="13" t="s">
        <v>92</v>
      </c>
      <c r="I53" s="9">
        <v>103</v>
      </c>
      <c r="J53" s="9">
        <v>134</v>
      </c>
      <c r="K53" s="9">
        <v>156</v>
      </c>
      <c r="L53" s="9">
        <v>171</v>
      </c>
      <c r="M53" s="9">
        <v>180</v>
      </c>
      <c r="N53" s="9">
        <v>220</v>
      </c>
      <c r="O53" s="9">
        <v>250</v>
      </c>
      <c r="P53" s="9">
        <v>330</v>
      </c>
      <c r="Q53" s="9">
        <v>409</v>
      </c>
      <c r="R53" s="9">
        <v>473</v>
      </c>
      <c r="S53" s="9">
        <v>568</v>
      </c>
      <c r="T53" s="9">
        <v>588</v>
      </c>
      <c r="U53" s="9">
        <v>648</v>
      </c>
      <c r="V53" s="9">
        <v>737</v>
      </c>
      <c r="W53" s="9">
        <v>802</v>
      </c>
      <c r="X53" s="9">
        <v>890</v>
      </c>
      <c r="Y53" s="9">
        <v>963</v>
      </c>
      <c r="Z53" s="9">
        <v>1020</v>
      </c>
    </row>
    <row r="54" spans="1:38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Panama</v>
      </c>
      <c r="D54" s="6">
        <f>MAX(I54:JF54)</f>
        <v>901</v>
      </c>
      <c r="E54" s="6">
        <f>IF(COUNTIF(I54:XFD54,"&gt;"&amp;0)=0,,HLOOKUP(COUNTIF(I54:XFD54,"&gt;"&amp;0)-1,I$1:XFD54,A54+1,FALSE))</f>
        <v>901</v>
      </c>
      <c r="F54" s="7">
        <f>IF(COUNTIF(I54:XFD54,"&gt;"&amp;0)=0,,HLOOKUP(COUNTIF(I54:XFD54,"&gt;"&amp;0)-MIN($F$1+1,COUNTIF(I54:XFD54,"&gt;"&amp;0)),I$1:XFD54,A54+1,FALSE))</f>
        <v>345</v>
      </c>
      <c r="G54" s="8">
        <f>IF(COUNTIF(I54:XFD54,"&gt;"&amp;0)=0,,(E54/F54)^(1/MIN(COUNTIF(I54:XFD54,"&gt;"&amp;0)-1,$F$1)))</f>
        <v>1.2116610273383941</v>
      </c>
      <c r="H54" s="13" t="s">
        <v>283</v>
      </c>
      <c r="I54" s="9">
        <v>109</v>
      </c>
      <c r="J54" s="9">
        <v>137</v>
      </c>
      <c r="K54" s="9">
        <v>200</v>
      </c>
      <c r="L54" s="9">
        <v>313</v>
      </c>
      <c r="M54" s="9">
        <v>345</v>
      </c>
      <c r="N54" s="9">
        <v>345</v>
      </c>
      <c r="O54" s="9">
        <v>443</v>
      </c>
      <c r="P54" s="9">
        <v>558</v>
      </c>
      <c r="Q54" s="9">
        <v>674</v>
      </c>
      <c r="R54" s="9">
        <v>786</v>
      </c>
      <c r="S54" s="9">
        <v>901</v>
      </c>
    </row>
    <row r="55" spans="1:38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Dominican Republic</v>
      </c>
      <c r="D55" s="6">
        <f>MAX(I55:JF55)</f>
        <v>859</v>
      </c>
      <c r="E55" s="6">
        <f>IF(COUNTIF(I55:XFD55,"&gt;"&amp;0)=0,,HLOOKUP(COUNTIF(I55:XFD55,"&gt;"&amp;0)-1,I$1:XFD55,A55+1,FALSE))</f>
        <v>859</v>
      </c>
      <c r="F55" s="7">
        <f>IF(COUNTIF(I55:XFD55,"&gt;"&amp;0)=0,,HLOOKUP(COUNTIF(I55:XFD55,"&gt;"&amp;0)-MIN($F$1+1,COUNTIF(I55:XFD55,"&gt;"&amp;0)),I$1:XFD55,A55+1,FALSE))</f>
        <v>312</v>
      </c>
      <c r="G55" s="8">
        <f>IF(COUNTIF(I55:XFD55,"&gt;"&amp;0)=0,,(E55/F55)^(1/MIN(COUNTIF(I55:XFD55,"&gt;"&amp;0)-1,$F$1)))</f>
        <v>1.2245251630292944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</row>
    <row r="56" spans="1:38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Peru</v>
      </c>
      <c r="D56" s="6">
        <f>MAX(I56:JF56)</f>
        <v>852</v>
      </c>
      <c r="E56" s="6">
        <f>IF(COUNTIF(I56:XFD56,"&gt;"&amp;0)=0,,HLOOKUP(COUNTIF(I56:XFD56,"&gt;"&amp;0)-1,I$1:XFD56,A56+1,FALSE))</f>
        <v>852</v>
      </c>
      <c r="F56" s="7">
        <f>IF(COUNTIF(I56:XFD56,"&gt;"&amp;0)=0,,HLOOKUP(COUNTIF(I56:XFD56,"&gt;"&amp;0)-MIN($F$1+1,COUNTIF(I56:XFD56,"&gt;"&amp;0)),I$1:XFD56,A56+1,FALSE))</f>
        <v>416</v>
      </c>
      <c r="G56" s="8">
        <f>IF(COUNTIF(I56:XFD56,"&gt;"&amp;0)=0,,(E56/F56)^(1/MIN(COUNTIF(I56:XFD56,"&gt;"&amp;0)-1,$F$1)))</f>
        <v>1.1541685946670641</v>
      </c>
      <c r="H56" s="13" t="s">
        <v>160</v>
      </c>
      <c r="I56" s="9">
        <v>117</v>
      </c>
      <c r="J56" s="9">
        <v>145</v>
      </c>
      <c r="K56" s="9">
        <v>234</v>
      </c>
      <c r="L56" s="9">
        <v>234</v>
      </c>
      <c r="M56" s="9">
        <v>318</v>
      </c>
      <c r="N56" s="9">
        <v>363</v>
      </c>
      <c r="O56" s="9">
        <v>395</v>
      </c>
      <c r="P56" s="9">
        <v>416</v>
      </c>
      <c r="Q56" s="9">
        <v>480</v>
      </c>
      <c r="R56" s="9">
        <v>580</v>
      </c>
      <c r="S56" s="9">
        <v>635</v>
      </c>
      <c r="T56" s="9">
        <v>671</v>
      </c>
      <c r="U56" s="9">
        <v>852</v>
      </c>
    </row>
    <row r="57" spans="1:38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Mexico</v>
      </c>
      <c r="D57" s="6">
        <f>MAX(I57:JF57)</f>
        <v>848</v>
      </c>
      <c r="E57" s="6">
        <f>IF(COUNTIF(I57:XFD57,"&gt;"&amp;0)=0,,HLOOKUP(COUNTIF(I57:XFD57,"&gt;"&amp;0)-1,I$1:XFD57,A57+1,FALSE))</f>
        <v>848</v>
      </c>
      <c r="F57" s="7">
        <f>IF(COUNTIF(I57:XFD57,"&gt;"&amp;0)=0,,HLOOKUP(COUNTIF(I57:XFD57,"&gt;"&amp;0)-MIN($F$1+1,COUNTIF(I57:XFD57,"&gt;"&amp;0)),I$1:XFD57,A57+1,FALSE))</f>
        <v>367</v>
      </c>
      <c r="G57" s="8">
        <f>IF(COUNTIF(I57:XFD57,"&gt;"&amp;0)=0,,(E57/F57)^(1/MIN(COUNTIF(I57:XFD57,"&gt;"&amp;0)-1,$F$1)))</f>
        <v>1.1823497329118184</v>
      </c>
      <c r="H57" s="13" t="s">
        <v>94</v>
      </c>
      <c r="I57" s="9">
        <v>118</v>
      </c>
      <c r="J57" s="9">
        <v>164</v>
      </c>
      <c r="K57" s="9">
        <v>203</v>
      </c>
      <c r="L57" s="9">
        <v>251</v>
      </c>
      <c r="M57" s="9">
        <v>316</v>
      </c>
      <c r="N57" s="9">
        <v>367</v>
      </c>
      <c r="O57" s="9">
        <v>405</v>
      </c>
      <c r="P57" s="9">
        <v>475</v>
      </c>
      <c r="Q57" s="9">
        <v>585</v>
      </c>
      <c r="R57" s="9">
        <v>717</v>
      </c>
      <c r="S57" s="9">
        <v>848</v>
      </c>
    </row>
    <row r="58" spans="1:38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Singapore</v>
      </c>
      <c r="D58" s="6">
        <f>MAX(I58:JF58)</f>
        <v>844</v>
      </c>
      <c r="E58" s="6">
        <f>IF(COUNTIF(I58:XFD58,"&gt;"&amp;0)=0,,HLOOKUP(COUNTIF(I58:XFD58,"&gt;"&amp;0)-1,I$1:XFD58,A58+1,FALSE))</f>
        <v>844</v>
      </c>
      <c r="F58" s="7">
        <f>IF(COUNTIF(I58:XFD58,"&gt;"&amp;0)=0,,HLOOKUP(COUNTIF(I58:XFD58,"&gt;"&amp;0)-MIN($F$1+1,COUNTIF(I58:XFD58,"&gt;"&amp;0)),I$1:XFD58,A58+1,FALSE))</f>
        <v>558</v>
      </c>
      <c r="G58" s="8">
        <f>IF(COUNTIF(I58:XFD58,"&gt;"&amp;0)=0,,(E58/F58)^(1/MIN(COUNTIF(I58:XFD58,"&gt;"&amp;0)-1,$F$1)))</f>
        <v>1.0862796646384374</v>
      </c>
      <c r="H58" s="13" t="s">
        <v>40</v>
      </c>
      <c r="I58" s="9">
        <v>102</v>
      </c>
      <c r="J58" s="9">
        <v>106</v>
      </c>
      <c r="K58" s="9">
        <v>108</v>
      </c>
      <c r="L58" s="9">
        <v>110</v>
      </c>
      <c r="M58" s="9">
        <v>110</v>
      </c>
      <c r="N58" s="9">
        <v>117</v>
      </c>
      <c r="O58" s="9">
        <v>130</v>
      </c>
      <c r="P58" s="9">
        <v>138</v>
      </c>
      <c r="Q58" s="9">
        <v>150</v>
      </c>
      <c r="R58" s="9">
        <v>150</v>
      </c>
      <c r="S58" s="9">
        <v>160</v>
      </c>
      <c r="T58" s="9">
        <v>178</v>
      </c>
      <c r="U58" s="9">
        <v>178</v>
      </c>
      <c r="V58" s="9">
        <v>200</v>
      </c>
      <c r="W58" s="9">
        <v>212</v>
      </c>
      <c r="X58" s="9">
        <v>226</v>
      </c>
      <c r="Y58" s="9">
        <v>243</v>
      </c>
      <c r="Z58" s="9">
        <v>266</v>
      </c>
      <c r="AA58" s="9">
        <v>313</v>
      </c>
      <c r="AB58" s="9">
        <v>345</v>
      </c>
      <c r="AC58" s="9">
        <v>385</v>
      </c>
      <c r="AD58" s="9">
        <v>432</v>
      </c>
      <c r="AE58" s="9">
        <v>455</v>
      </c>
      <c r="AF58" s="9">
        <v>509</v>
      </c>
      <c r="AG58" s="9">
        <v>558</v>
      </c>
      <c r="AH58" s="9">
        <v>631</v>
      </c>
      <c r="AI58" s="9">
        <v>683</v>
      </c>
      <c r="AJ58" s="9">
        <v>732</v>
      </c>
      <c r="AK58" s="9">
        <v>802</v>
      </c>
      <c r="AL58" s="9">
        <v>844</v>
      </c>
    </row>
    <row r="59" spans="1:38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Argentina</v>
      </c>
      <c r="D59" s="6">
        <f>MAX(I59:JF59)</f>
        <v>745</v>
      </c>
      <c r="E59" s="6">
        <f>IF(COUNTIF(I59:XFD59,"&gt;"&amp;0)=0,,HLOOKUP(COUNTIF(I59:XFD59,"&gt;"&amp;0)-1,I$1:XFD59,A59+1,FALSE))</f>
        <v>745</v>
      </c>
      <c r="F59" s="7">
        <f>IF(COUNTIF(I59:XFD59,"&gt;"&amp;0)=0,,HLOOKUP(COUNTIF(I59:XFD59,"&gt;"&amp;0)-MIN($F$1+1,COUNTIF(I59:XFD59,"&gt;"&amp;0)),I$1:XFD59,A59+1,FALSE))</f>
        <v>387</v>
      </c>
      <c r="G59" s="8">
        <f>IF(COUNTIF(I59:XFD59,"&gt;"&amp;0)=0,,(E59/F59)^(1/MIN(COUNTIF(I59:XFD59,"&gt;"&amp;0)-1,$F$1)))</f>
        <v>1.1399585533898975</v>
      </c>
      <c r="H59" s="13" t="s">
        <v>123</v>
      </c>
      <c r="I59" s="9">
        <v>128</v>
      </c>
      <c r="J59" s="9">
        <v>158</v>
      </c>
      <c r="K59" s="9">
        <v>266</v>
      </c>
      <c r="L59" s="9">
        <v>301</v>
      </c>
      <c r="M59" s="9">
        <v>387</v>
      </c>
      <c r="N59" s="9">
        <v>387</v>
      </c>
      <c r="O59" s="9">
        <v>502</v>
      </c>
      <c r="P59" s="9">
        <v>589</v>
      </c>
      <c r="Q59" s="9">
        <v>690</v>
      </c>
      <c r="R59" s="9">
        <v>745</v>
      </c>
    </row>
    <row r="60" spans="1:38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Serbia</v>
      </c>
      <c r="D60" s="6">
        <f>MAX(I60:JF60)</f>
        <v>741</v>
      </c>
      <c r="E60" s="6">
        <f>IF(COUNTIF(I60:XFD60,"&gt;"&amp;0)=0,,HLOOKUP(COUNTIF(I60:XFD60,"&gt;"&amp;0)-1,I$1:XFD60,A60+1,FALSE))</f>
        <v>741</v>
      </c>
      <c r="F60" s="7">
        <f>IF(COUNTIF(I60:XFD60,"&gt;"&amp;0)=0,,HLOOKUP(COUNTIF(I60:XFD60,"&gt;"&amp;0)-MIN($F$1+1,COUNTIF(I60:XFD60,"&gt;"&amp;0)),I$1:XFD60,A60+1,FALSE))</f>
        <v>303</v>
      </c>
      <c r="G60" s="8">
        <f>IF(COUNTIF(I60:XFD60,"&gt;"&amp;0)=0,,(E60/F60)^(1/MIN(COUNTIF(I60:XFD60,"&gt;"&amp;0)-1,$F$1)))</f>
        <v>1.1958456164459907</v>
      </c>
      <c r="H60" s="13" t="s">
        <v>161</v>
      </c>
      <c r="I60" s="9">
        <v>103</v>
      </c>
      <c r="J60" s="9">
        <v>135</v>
      </c>
      <c r="K60" s="9">
        <v>171</v>
      </c>
      <c r="L60" s="9">
        <v>222</v>
      </c>
      <c r="M60" s="9">
        <v>249</v>
      </c>
      <c r="N60" s="9">
        <v>303</v>
      </c>
      <c r="O60" s="9">
        <v>384</v>
      </c>
      <c r="P60" s="9">
        <v>384</v>
      </c>
      <c r="Q60" s="9">
        <v>457</v>
      </c>
      <c r="R60" s="9">
        <v>659</v>
      </c>
      <c r="S60" s="9">
        <v>741</v>
      </c>
    </row>
    <row r="61" spans="1:38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Slovenia</v>
      </c>
      <c r="D61" s="6">
        <f>MAX(I61:JF61)</f>
        <v>730</v>
      </c>
      <c r="E61" s="6">
        <f>IF(COUNTIF(I61:XFD61,"&gt;"&amp;0)=0,,HLOOKUP(COUNTIF(I61:XFD61,"&gt;"&amp;0)-1,I$1:XFD61,A61+1,FALSE))</f>
        <v>730</v>
      </c>
      <c r="F61" s="7">
        <f>IF(COUNTIF(I61:XFD61,"&gt;"&amp;0)=0,,HLOOKUP(COUNTIF(I61:XFD61,"&gt;"&amp;0)-MIN($F$1+1,COUNTIF(I61:XFD61,"&gt;"&amp;0)),I$1:XFD61,A61+1,FALSE))</f>
        <v>480</v>
      </c>
      <c r="G61" s="8">
        <f>IF(COUNTIF(I61:XFD61,"&gt;"&amp;0)=0,,(E61/F61)^(1/MIN(COUNTIF(I61:XFD61,"&gt;"&amp;0)-1,$F$1)))</f>
        <v>1.0874675952310953</v>
      </c>
      <c r="H61" s="13" t="s">
        <v>141</v>
      </c>
      <c r="I61" s="9">
        <v>141</v>
      </c>
      <c r="J61" s="9">
        <v>181</v>
      </c>
      <c r="K61" s="9">
        <v>219</v>
      </c>
      <c r="L61" s="9">
        <v>253</v>
      </c>
      <c r="M61" s="9">
        <v>275</v>
      </c>
      <c r="N61" s="9">
        <v>275</v>
      </c>
      <c r="O61" s="9">
        <v>286</v>
      </c>
      <c r="P61" s="9">
        <v>341</v>
      </c>
      <c r="Q61" s="9">
        <v>383</v>
      </c>
      <c r="R61" s="9">
        <v>414</v>
      </c>
      <c r="S61" s="9">
        <v>442</v>
      </c>
      <c r="T61" s="9">
        <v>480</v>
      </c>
      <c r="U61" s="9">
        <v>528</v>
      </c>
      <c r="V61" s="9">
        <v>562</v>
      </c>
      <c r="W61" s="9">
        <v>632</v>
      </c>
      <c r="X61" s="9">
        <v>684</v>
      </c>
      <c r="Y61" s="9">
        <v>730</v>
      </c>
    </row>
    <row r="62" spans="1:38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Croatia</v>
      </c>
      <c r="D62" s="6">
        <f>MAX(I62:JF62)</f>
        <v>713</v>
      </c>
      <c r="E62" s="6">
        <f>IF(COUNTIF(I62:XFD62,"&gt;"&amp;0)=0,,HLOOKUP(COUNTIF(I62:XFD62,"&gt;"&amp;0)-1,I$1:XFD62,A62+1,FALSE))</f>
        <v>713</v>
      </c>
      <c r="F62" s="7">
        <f>IF(COUNTIF(I62:XFD62,"&gt;"&amp;0)=0,,HLOOKUP(COUNTIF(I62:XFD62,"&gt;"&amp;0)-MIN($F$1+1,COUNTIF(I62:XFD62,"&gt;"&amp;0)),I$1:XFD62,A62+1,FALSE))</f>
        <v>382</v>
      </c>
      <c r="G62" s="8">
        <f>IF(COUNTIF(I62:XFD62,"&gt;"&amp;0)=0,,(E62/F62)^(1/MIN(COUNTIF(I62:XFD62,"&gt;"&amp;0)-1,$F$1)))</f>
        <v>1.132935625126557</v>
      </c>
      <c r="H62" s="13" t="s">
        <v>76</v>
      </c>
      <c r="I62" s="9">
        <v>105</v>
      </c>
      <c r="J62" s="9">
        <v>128</v>
      </c>
      <c r="K62" s="9">
        <v>206</v>
      </c>
      <c r="L62" s="9">
        <v>254</v>
      </c>
      <c r="M62" s="9">
        <v>315</v>
      </c>
      <c r="N62" s="9">
        <v>382</v>
      </c>
      <c r="O62" s="9">
        <v>442</v>
      </c>
      <c r="P62" s="9">
        <v>495</v>
      </c>
      <c r="Q62" s="9">
        <v>586</v>
      </c>
      <c r="R62" s="9">
        <v>657</v>
      </c>
      <c r="S62" s="9">
        <v>713</v>
      </c>
    </row>
    <row r="63" spans="1:38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Colombia</v>
      </c>
      <c r="D63" s="6">
        <f>MAX(I63:JF63)</f>
        <v>702</v>
      </c>
      <c r="E63" s="6">
        <f>IF(COUNTIF(I63:XFD63,"&gt;"&amp;0)=0,,HLOOKUP(COUNTIF(I63:XFD63,"&gt;"&amp;0)-1,I$1:XFD63,A63+1,FALSE))</f>
        <v>702</v>
      </c>
      <c r="F63" s="7">
        <f>IF(COUNTIF(I63:XFD63,"&gt;"&amp;0)=0,,HLOOKUP(COUNTIF(I63:XFD63,"&gt;"&amp;0)-MIN($F$1+1,COUNTIF(I63:XFD63,"&gt;"&amp;0)),I$1:XFD63,A63+1,FALSE))</f>
        <v>378</v>
      </c>
      <c r="G63" s="8">
        <f>IF(COUNTIF(I63:XFD63,"&gt;"&amp;0)=0,,(E63/F63)^(1/MIN(COUNTIF(I63:XFD63,"&gt;"&amp;0)-1,$F$1)))</f>
        <v>1.1317983656310018</v>
      </c>
      <c r="H63" s="13" t="s">
        <v>158</v>
      </c>
      <c r="I63" s="9">
        <v>102</v>
      </c>
      <c r="J63" s="9">
        <v>128</v>
      </c>
      <c r="K63" s="9">
        <v>196</v>
      </c>
      <c r="L63" s="9">
        <v>231</v>
      </c>
      <c r="M63" s="9">
        <v>277</v>
      </c>
      <c r="N63" s="9">
        <v>378</v>
      </c>
      <c r="O63" s="9">
        <v>470</v>
      </c>
      <c r="P63" s="9">
        <v>491</v>
      </c>
      <c r="Q63" s="9">
        <v>539</v>
      </c>
      <c r="R63" s="9">
        <v>608</v>
      </c>
      <c r="S63" s="9">
        <v>702</v>
      </c>
    </row>
    <row r="64" spans="1:38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Estonia</v>
      </c>
      <c r="D64" s="6">
        <f>MAX(I64:JF64)</f>
        <v>679</v>
      </c>
      <c r="E64" s="6">
        <f>IF(COUNTIF(I64:XFD64,"&gt;"&amp;0)=0,,HLOOKUP(COUNTIF(I64:XFD64,"&gt;"&amp;0)-1,I$1:XFD64,A64+1,FALSE))</f>
        <v>679</v>
      </c>
      <c r="F64" s="7">
        <f>IF(COUNTIF(I64:XFD64,"&gt;"&amp;0)=0,,HLOOKUP(COUNTIF(I64:XFD64,"&gt;"&amp;0)-MIN($F$1+1,COUNTIF(I64:XFD64,"&gt;"&amp;0)),I$1:XFD64,A64+1,FALSE))</f>
        <v>369</v>
      </c>
      <c r="G64" s="8">
        <f>IF(COUNTIF(I64:XFD64,"&gt;"&amp;0)=0,,(E64/F64)^(1/MIN(COUNTIF(I64:XFD64,"&gt;"&amp;0)-1,$F$1)))</f>
        <v>1.1297144443833196</v>
      </c>
      <c r="H64" s="13" t="s">
        <v>88</v>
      </c>
      <c r="I64" s="9">
        <v>115</v>
      </c>
      <c r="J64" s="9">
        <v>171</v>
      </c>
      <c r="K64" s="9">
        <v>205</v>
      </c>
      <c r="L64" s="9">
        <v>225</v>
      </c>
      <c r="M64" s="9">
        <v>258</v>
      </c>
      <c r="N64" s="9">
        <v>267</v>
      </c>
      <c r="O64" s="9">
        <v>283</v>
      </c>
      <c r="P64" s="9">
        <v>306</v>
      </c>
      <c r="Q64" s="9">
        <v>326</v>
      </c>
      <c r="R64" s="9">
        <v>352</v>
      </c>
      <c r="S64" s="9">
        <v>369</v>
      </c>
      <c r="T64" s="9">
        <v>404</v>
      </c>
      <c r="U64" s="9">
        <v>538</v>
      </c>
      <c r="V64" s="9">
        <v>575</v>
      </c>
      <c r="W64" s="9">
        <v>645</v>
      </c>
      <c r="X64" s="9">
        <v>679</v>
      </c>
    </row>
    <row r="65" spans="1:28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Qatar</v>
      </c>
      <c r="D65" s="6">
        <f>MAX(I65:JF65)</f>
        <v>634</v>
      </c>
      <c r="E65" s="6">
        <f>IF(COUNTIF(I65:XFD65,"&gt;"&amp;0)=0,,HLOOKUP(COUNTIF(I65:XFD65,"&gt;"&amp;0)-1,I$1:XFD65,A65+1,FALSE))</f>
        <v>634</v>
      </c>
      <c r="F65" s="7">
        <f>IF(COUNTIF(I65:XFD65,"&gt;"&amp;0)=0,,HLOOKUP(COUNTIF(I65:XFD65,"&gt;"&amp;0)-MIN($F$1+1,COUNTIF(I65:XFD65,"&gt;"&amp;0)),I$1:XFD65,A65+1,FALSE))</f>
        <v>526</v>
      </c>
      <c r="G65" s="8">
        <f>IF(COUNTIF(I65:XFD65,"&gt;"&amp;0)=0,,(E65/F65)^(1/MIN(COUNTIF(I65:XFD65,"&gt;"&amp;0)-1,$F$1)))</f>
        <v>1.0380558081130711</v>
      </c>
      <c r="H65" s="13" t="s">
        <v>101</v>
      </c>
      <c r="I65" s="9">
        <v>262</v>
      </c>
      <c r="J65" s="9">
        <v>262</v>
      </c>
      <c r="K65" s="9">
        <v>320</v>
      </c>
      <c r="L65" s="9">
        <v>337</v>
      </c>
      <c r="M65" s="9">
        <v>401</v>
      </c>
      <c r="N65" s="9">
        <v>439</v>
      </c>
      <c r="O65" s="9">
        <v>439</v>
      </c>
      <c r="P65" s="9">
        <v>452</v>
      </c>
      <c r="Q65" s="9">
        <v>460</v>
      </c>
      <c r="R65" s="9">
        <v>470</v>
      </c>
      <c r="S65" s="9">
        <v>481</v>
      </c>
      <c r="T65" s="9">
        <v>494</v>
      </c>
      <c r="U65" s="9">
        <v>501</v>
      </c>
      <c r="V65" s="9">
        <v>526</v>
      </c>
      <c r="W65" s="9">
        <v>537</v>
      </c>
      <c r="X65" s="9">
        <v>549</v>
      </c>
      <c r="Y65" s="9">
        <v>562</v>
      </c>
      <c r="Z65" s="9">
        <v>590</v>
      </c>
      <c r="AA65" s="9">
        <v>634</v>
      </c>
    </row>
    <row r="66" spans="1:28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Egypt</v>
      </c>
      <c r="D66" s="6">
        <f>MAX(I66:JF66)</f>
        <v>609</v>
      </c>
      <c r="E66" s="6">
        <f>IF(COUNTIF(I66:XFD66,"&gt;"&amp;0)=0,,HLOOKUP(COUNTIF(I66:XFD66,"&gt;"&amp;0)-1,I$1:XFD66,A66+1,FALSE))</f>
        <v>609</v>
      </c>
      <c r="F66" s="7">
        <f>IF(COUNTIF(I66:XFD66,"&gt;"&amp;0)=0,,HLOOKUP(COUNTIF(I66:XFD66,"&gt;"&amp;0)-MIN($F$1+1,COUNTIF(I66:XFD66,"&gt;"&amp;0)),I$1:XFD66,A66+1,FALSE))</f>
        <v>402</v>
      </c>
      <c r="G66" s="8">
        <f>IF(COUNTIF(I66:XFD66,"&gt;"&amp;0)=0,,(E66/F66)^(1/MIN(COUNTIF(I66:XFD66,"&gt;"&amp;0)-1,$F$1)))</f>
        <v>1.0866213852404651</v>
      </c>
      <c r="H66" s="13" t="s">
        <v>65</v>
      </c>
      <c r="I66" s="9">
        <v>109</v>
      </c>
      <c r="J66" s="9">
        <v>110</v>
      </c>
      <c r="K66" s="9">
        <v>150</v>
      </c>
      <c r="L66" s="9">
        <v>196</v>
      </c>
      <c r="M66" s="9">
        <v>196</v>
      </c>
      <c r="N66" s="9">
        <v>256</v>
      </c>
      <c r="O66" s="9">
        <v>285</v>
      </c>
      <c r="P66" s="9">
        <v>294</v>
      </c>
      <c r="Q66" s="9">
        <v>327</v>
      </c>
      <c r="R66" s="9">
        <v>366</v>
      </c>
      <c r="S66" s="9">
        <v>402</v>
      </c>
      <c r="T66" s="9">
        <v>456</v>
      </c>
      <c r="U66" s="9">
        <v>495</v>
      </c>
      <c r="V66" s="9">
        <v>536</v>
      </c>
      <c r="W66" s="9">
        <v>576</v>
      </c>
      <c r="X66" s="9">
        <v>609</v>
      </c>
    </row>
    <row r="67" spans="1:28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United Arab Emirates</v>
      </c>
      <c r="D67" s="6">
        <f>MAX(I67:JF67)</f>
        <v>570</v>
      </c>
      <c r="E67" s="6">
        <f>IF(COUNTIF(I67:XFD67,"&gt;"&amp;0)=0,,HLOOKUP(COUNTIF(I67:XFD67,"&gt;"&amp;0)-1,I$1:XFD67,A67+1,FALSE))</f>
        <v>570</v>
      </c>
      <c r="F67" s="7">
        <f>IF(COUNTIF(I67:XFD67,"&gt;"&amp;0)=0,,HLOOKUP(COUNTIF(I67:XFD67,"&gt;"&amp;0)-MIN($F$1+1,COUNTIF(I67:XFD67,"&gt;"&amp;0)),I$1:XFD67,A67+1,FALSE))</f>
        <v>248</v>
      </c>
      <c r="G67" s="8">
        <f>IF(COUNTIF(I67:XFD67,"&gt;"&amp;0)=0,,(E67/F67)^(1/MIN(COUNTIF(I67:XFD67,"&gt;"&amp;0)-1,$F$1)))</f>
        <v>1.1810944669103161</v>
      </c>
      <c r="H67" s="13" t="s">
        <v>55</v>
      </c>
      <c r="I67" s="9">
        <v>113</v>
      </c>
      <c r="J67" s="9">
        <v>140</v>
      </c>
      <c r="K67" s="9">
        <v>140</v>
      </c>
      <c r="L67" s="9">
        <v>153</v>
      </c>
      <c r="M67" s="9">
        <v>153</v>
      </c>
      <c r="N67" s="9">
        <v>198</v>
      </c>
      <c r="O67" s="9">
        <v>248</v>
      </c>
      <c r="P67" s="9">
        <v>333</v>
      </c>
      <c r="Q67" s="9">
        <v>333</v>
      </c>
      <c r="R67" s="9">
        <v>405</v>
      </c>
      <c r="S67" s="9">
        <v>468</v>
      </c>
      <c r="T67" s="9">
        <v>570</v>
      </c>
    </row>
    <row r="68" spans="1:28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Iraq</v>
      </c>
      <c r="D68" s="6">
        <f>MAX(I68:JF68)</f>
        <v>547</v>
      </c>
      <c r="E68" s="6">
        <f>IF(COUNTIF(I68:XFD68,"&gt;"&amp;0)=0,,HLOOKUP(COUNTIF(I68:XFD68,"&gt;"&amp;0)-1,I$1:XFD68,A68+1,FALSE))</f>
        <v>547</v>
      </c>
      <c r="F68" s="7">
        <f>IF(COUNTIF(I68:XFD68,"&gt;"&amp;0)=0,,HLOOKUP(COUNTIF(I68:XFD68,"&gt;"&amp;0)-MIN($F$1+1,COUNTIF(I68:XFD68,"&gt;"&amp;0)),I$1:XFD68,A68+1,FALSE))</f>
        <v>316</v>
      </c>
      <c r="G68" s="8">
        <f>IF(COUNTIF(I68:XFD68,"&gt;"&amp;0)=0,,(E68/F68)^(1/MIN(COUNTIF(I68:XFD68,"&gt;"&amp;0)-1,$F$1)))</f>
        <v>1.1159893465004607</v>
      </c>
      <c r="H68" s="13" t="s">
        <v>70</v>
      </c>
      <c r="I68" s="9">
        <v>101</v>
      </c>
      <c r="J68" s="9">
        <v>110</v>
      </c>
      <c r="K68" s="9">
        <v>116</v>
      </c>
      <c r="L68" s="9">
        <v>124</v>
      </c>
      <c r="M68" s="9">
        <v>154</v>
      </c>
      <c r="N68" s="9">
        <v>164</v>
      </c>
      <c r="O68" s="9">
        <v>192</v>
      </c>
      <c r="P68" s="9">
        <v>208</v>
      </c>
      <c r="Q68" s="9">
        <v>214</v>
      </c>
      <c r="R68" s="9">
        <v>233</v>
      </c>
      <c r="S68" s="9">
        <v>266</v>
      </c>
      <c r="T68" s="9">
        <v>316</v>
      </c>
      <c r="U68" s="9">
        <v>346</v>
      </c>
      <c r="V68" s="9">
        <v>382</v>
      </c>
      <c r="W68" s="9">
        <v>458</v>
      </c>
      <c r="X68" s="9">
        <v>506</v>
      </c>
      <c r="Y68" s="9">
        <v>547</v>
      </c>
    </row>
    <row r="69" spans="1:28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New Zealand</v>
      </c>
      <c r="D69" s="6">
        <f>MAX(I69:JF69)</f>
        <v>514</v>
      </c>
      <c r="E69" s="6">
        <f>IF(COUNTIF(I69:XFD69,"&gt;"&amp;0)=0,,HLOOKUP(COUNTIF(I69:XFD69,"&gt;"&amp;0)-1,I$1:XFD69,A69+1,FALSE))</f>
        <v>514</v>
      </c>
      <c r="F69" s="7">
        <f>IF(COUNTIF(I69:XFD69,"&gt;"&amp;0)=0,,HLOOKUP(COUNTIF(I69:XFD69,"&gt;"&amp;0)-MIN($F$1+1,COUNTIF(I69:XFD69,"&gt;"&amp;0)),I$1:XFD69,A69+1,FALSE))</f>
        <v>155</v>
      </c>
      <c r="G69" s="8">
        <f>IF(COUNTIF(I69:XFD69,"&gt;"&amp;0)=0,,(E69/F69)^(1/MIN(COUNTIF(I69:XFD69,"&gt;"&amp;0)-1,$F$1)))</f>
        <v>1.2709436165129961</v>
      </c>
      <c r="H69" s="13" t="s">
        <v>95</v>
      </c>
      <c r="I69" s="9">
        <v>102</v>
      </c>
      <c r="J69" s="9">
        <v>102</v>
      </c>
      <c r="K69" s="9">
        <v>155</v>
      </c>
      <c r="L69" s="9">
        <v>205</v>
      </c>
      <c r="M69" s="9">
        <v>283</v>
      </c>
      <c r="N69" s="9">
        <v>368</v>
      </c>
      <c r="O69" s="9">
        <v>451</v>
      </c>
      <c r="P69" s="9">
        <v>514</v>
      </c>
    </row>
    <row r="70" spans="1:28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Algeria</v>
      </c>
      <c r="D70" s="6">
        <f>MAX(I70:JF70)</f>
        <v>511</v>
      </c>
      <c r="E70" s="6">
        <f>IF(COUNTIF(I70:XFD70,"&gt;"&amp;0)=0,,HLOOKUP(COUNTIF(I70:XFD70,"&gt;"&amp;0)-1,I$1:XFD70,A70+1,FALSE))</f>
        <v>511</v>
      </c>
      <c r="F70" s="7">
        <f>IF(COUNTIF(I70:XFD70,"&gt;"&amp;0)=0,,HLOOKUP(COUNTIF(I70:XFD70,"&gt;"&amp;0)-MIN($F$1+1,COUNTIF(I70:XFD70,"&gt;"&amp;0)),I$1:XFD70,A70+1,FALSE))</f>
        <v>264</v>
      </c>
      <c r="G70" s="8">
        <f>IF(COUNTIF(I70:XFD70,"&gt;"&amp;0)=0,,(E70/F70)^(1/MIN(COUNTIF(I70:XFD70,"&gt;"&amp;0)-1,$F$1)))</f>
        <v>1.141204287558387</v>
      </c>
      <c r="H70" s="13" t="s">
        <v>75</v>
      </c>
      <c r="I70" s="9">
        <v>139</v>
      </c>
      <c r="J70" s="9">
        <v>201</v>
      </c>
      <c r="K70" s="9">
        <v>230</v>
      </c>
      <c r="L70" s="9">
        <v>264</v>
      </c>
      <c r="M70" s="9">
        <v>302</v>
      </c>
      <c r="N70" s="9">
        <v>367</v>
      </c>
      <c r="O70" s="9">
        <v>409</v>
      </c>
      <c r="P70" s="9">
        <v>454</v>
      </c>
      <c r="Q70" s="9">
        <v>511</v>
      </c>
    </row>
    <row r="71" spans="1:28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Bahrain</v>
      </c>
      <c r="D71" s="6">
        <f>MAX(I71:JF71)</f>
        <v>499</v>
      </c>
      <c r="E71" s="6">
        <f>IF(COUNTIF(I71:XFD71,"&gt;"&amp;0)=0,,HLOOKUP(COUNTIF(I71:XFD71,"&gt;"&amp;0)-1,I$1:XFD71,A71+1,FALSE))</f>
        <v>499</v>
      </c>
      <c r="F71" s="7">
        <f>IF(COUNTIF(I71:XFD71,"&gt;"&amp;0)=0,,HLOOKUP(COUNTIF(I71:XFD71,"&gt;"&amp;0)-MIN($F$1+1,COUNTIF(I71:XFD71,"&gt;"&amp;0)),I$1:XFD71,A71+1,FALSE))</f>
        <v>392</v>
      </c>
      <c r="G71" s="8">
        <f>IF(COUNTIF(I71:XFD71,"&gt;"&amp;0)=0,,(E71/F71)^(1/MIN(COUNTIF(I71:XFD71,"&gt;"&amp;0)-1,$F$1)))</f>
        <v>1.0494527640269189</v>
      </c>
      <c r="H71" s="13" t="s">
        <v>73</v>
      </c>
      <c r="I71" s="9">
        <v>110</v>
      </c>
      <c r="J71" s="9">
        <v>195</v>
      </c>
      <c r="K71" s="9">
        <v>195</v>
      </c>
      <c r="L71" s="9">
        <v>195</v>
      </c>
      <c r="M71" s="9">
        <v>210</v>
      </c>
      <c r="N71" s="9">
        <v>214</v>
      </c>
      <c r="O71" s="9">
        <v>214</v>
      </c>
      <c r="P71" s="9">
        <v>228</v>
      </c>
      <c r="Q71" s="9">
        <v>256</v>
      </c>
      <c r="R71" s="9">
        <v>278</v>
      </c>
      <c r="S71" s="9">
        <v>285</v>
      </c>
      <c r="T71" s="9">
        <v>305</v>
      </c>
      <c r="U71" s="9">
        <v>334</v>
      </c>
      <c r="V71" s="9">
        <v>377</v>
      </c>
      <c r="W71" s="9">
        <v>392</v>
      </c>
      <c r="X71" s="9">
        <v>419</v>
      </c>
      <c r="Y71" s="9">
        <v>458</v>
      </c>
      <c r="Z71" s="9">
        <v>466</v>
      </c>
      <c r="AA71" s="9">
        <v>476</v>
      </c>
      <c r="AB71" s="9">
        <v>499</v>
      </c>
    </row>
    <row r="72" spans="1:28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Morocco</v>
      </c>
      <c r="D72" s="6">
        <f>MAX(I72:JF72)</f>
        <v>479</v>
      </c>
      <c r="E72" s="6">
        <f>IF(COUNTIF(I72:XFD72,"&gt;"&amp;0)=0,,HLOOKUP(COUNTIF(I72:XFD72,"&gt;"&amp;0)-1,I$1:XFD72,A72+1,FALSE))</f>
        <v>479</v>
      </c>
      <c r="F72" s="7">
        <f>IF(COUNTIF(I72:XFD72,"&gt;"&amp;0)=0,,HLOOKUP(COUNTIF(I72:XFD72,"&gt;"&amp;0)-MIN($F$1+1,COUNTIF(I72:XFD72,"&gt;"&amp;0)),I$1:XFD72,A72+1,FALSE))</f>
        <v>170</v>
      </c>
      <c r="G72" s="8">
        <f>IF(COUNTIF(I72:XFD72,"&gt;"&amp;0)=0,,(E72/F72)^(1/MIN(COUNTIF(I72:XFD72,"&gt;"&amp;0)-1,$F$1)))</f>
        <v>1.23020452010756</v>
      </c>
      <c r="H72" s="13" t="s">
        <v>112</v>
      </c>
      <c r="I72" s="9">
        <v>115</v>
      </c>
      <c r="J72" s="9">
        <v>143</v>
      </c>
      <c r="K72" s="9">
        <v>170</v>
      </c>
      <c r="L72" s="9">
        <v>225</v>
      </c>
      <c r="M72" s="9">
        <v>275</v>
      </c>
      <c r="N72" s="9">
        <v>345</v>
      </c>
      <c r="O72" s="9">
        <v>402</v>
      </c>
      <c r="P72" s="9">
        <v>479</v>
      </c>
    </row>
    <row r="73" spans="1:28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Ukraine</v>
      </c>
      <c r="D73" s="6">
        <f>MAX(I73:JF73)</f>
        <v>475</v>
      </c>
      <c r="E73" s="6">
        <f>IF(COUNTIF(I73:XFD73,"&gt;"&amp;0)=0,,HLOOKUP(COUNTIF(I73:XFD73,"&gt;"&amp;0)-1,I$1:XFD73,A73+1,FALSE))</f>
        <v>475</v>
      </c>
      <c r="F73" s="7">
        <f>IF(COUNTIF(I73:XFD73,"&gt;"&amp;0)=0,,HLOOKUP(COUNTIF(I73:XFD73,"&gt;"&amp;0)-MIN($F$1+1,COUNTIF(I73:XFD73,"&gt;"&amp;0)),I$1:XFD73,A73+1,FALSE))</f>
        <v>145</v>
      </c>
      <c r="G73" s="8">
        <f>IF(COUNTIF(I73:XFD73,"&gt;"&amp;0)=0,,(E73/F73)^(1/MIN(COUNTIF(I73:XFD73,"&gt;"&amp;0)-1,$F$1)))</f>
        <v>1.3453379768673288</v>
      </c>
      <c r="H73" s="13" t="s">
        <v>129</v>
      </c>
      <c r="I73" s="9">
        <v>145</v>
      </c>
      <c r="J73" s="9">
        <v>196</v>
      </c>
      <c r="K73" s="9">
        <v>310</v>
      </c>
      <c r="L73" s="9">
        <v>356</v>
      </c>
      <c r="M73" s="9">
        <v>475</v>
      </c>
    </row>
    <row r="74" spans="1:28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Lithuania</v>
      </c>
      <c r="D74" s="6">
        <f>MAX(I74:JF74)</f>
        <v>460</v>
      </c>
      <c r="E74" s="6">
        <f>IF(COUNTIF(I74:XFD74,"&gt;"&amp;0)=0,,HLOOKUP(COUNTIF(I74:XFD74,"&gt;"&amp;0)-1,I$1:XFD74,A74+1,FALSE))</f>
        <v>460</v>
      </c>
      <c r="F74" s="7">
        <f>IF(COUNTIF(I74:XFD74,"&gt;"&amp;0)=0,,HLOOKUP(COUNTIF(I74:XFD74,"&gt;"&amp;0)-MIN($F$1+1,COUNTIF(I74:XFD74,"&gt;"&amp;0)),I$1:XFD74,A74+1,FALSE))</f>
        <v>209</v>
      </c>
      <c r="G74" s="8">
        <f>IF(COUNTIF(I74:XFD74,"&gt;"&amp;0)=0,,(E74/F74)^(1/MIN(COUNTIF(I74:XFD74,"&gt;"&amp;0)-1,$F$1)))</f>
        <v>1.1709067486551314</v>
      </c>
      <c r="H74" s="13" t="s">
        <v>93</v>
      </c>
      <c r="I74" s="9">
        <v>143</v>
      </c>
      <c r="J74" s="9">
        <v>179</v>
      </c>
      <c r="K74" s="9">
        <v>209</v>
      </c>
      <c r="L74" s="9">
        <v>274</v>
      </c>
      <c r="M74" s="9">
        <v>299</v>
      </c>
      <c r="N74" s="9">
        <v>358</v>
      </c>
      <c r="O74" s="9">
        <v>394</v>
      </c>
      <c r="P74" s="9">
        <v>460</v>
      </c>
    </row>
    <row r="75" spans="1:28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>Lebanon</v>
      </c>
      <c r="D75" s="6">
        <f>MAX(I75:JF75)</f>
        <v>438</v>
      </c>
      <c r="E75" s="6">
        <f>IF(COUNTIF(I75:XFD75,"&gt;"&amp;0)=0,,HLOOKUP(COUNTIF(I75:XFD75,"&gt;"&amp;0)-1,I$1:XFD75,A75+1,FALSE))</f>
        <v>438</v>
      </c>
      <c r="F75" s="7">
        <f>IF(COUNTIF(I75:XFD75,"&gt;"&amp;0)=0,,HLOOKUP(COUNTIF(I75:XFD75,"&gt;"&amp;0)-MIN($F$1+1,COUNTIF(I75:XFD75,"&gt;"&amp;0)),I$1:XFD75,A75+1,FALSE))</f>
        <v>318</v>
      </c>
      <c r="G75" s="8">
        <f>IF(COUNTIF(I75:XFD75,"&gt;"&amp;0)=0,,(E75/F75)^(1/MIN(COUNTIF(I75:XFD75,"&gt;"&amp;0)-1,$F$1)))</f>
        <v>1.0661281193393133</v>
      </c>
      <c r="H75" s="13" t="s">
        <v>67</v>
      </c>
      <c r="I75" s="9">
        <v>110</v>
      </c>
      <c r="J75" s="9">
        <v>110</v>
      </c>
      <c r="K75" s="9">
        <v>120</v>
      </c>
      <c r="L75" s="9">
        <v>133</v>
      </c>
      <c r="M75" s="9">
        <v>157</v>
      </c>
      <c r="N75" s="9">
        <v>163</v>
      </c>
      <c r="O75" s="9">
        <v>187</v>
      </c>
      <c r="P75" s="9">
        <v>248</v>
      </c>
      <c r="Q75" s="9">
        <v>267</v>
      </c>
      <c r="R75" s="9">
        <v>318</v>
      </c>
      <c r="S75" s="9">
        <v>333</v>
      </c>
      <c r="T75" s="9">
        <v>368</v>
      </c>
      <c r="U75" s="9">
        <v>391</v>
      </c>
      <c r="V75" s="9">
        <v>412</v>
      </c>
      <c r="W75" s="9">
        <v>438</v>
      </c>
    </row>
    <row r="76" spans="1:28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>Armenia</v>
      </c>
      <c r="D76" s="6">
        <f>MAX(I76:JF76)</f>
        <v>424</v>
      </c>
      <c r="E76" s="6">
        <f>IF(COUNTIF(I76:XFD76,"&gt;"&amp;0)=0,,HLOOKUP(COUNTIF(I76:XFD76,"&gt;"&amp;0)-1,I$1:XFD76,A76+1,FALSE))</f>
        <v>424</v>
      </c>
      <c r="F76" s="7">
        <f>IF(COUNTIF(I76:XFD76,"&gt;"&amp;0)=0,,HLOOKUP(COUNTIF(I76:XFD76,"&gt;"&amp;0)-MIN($F$1+1,COUNTIF(I76:XFD76,"&gt;"&amp;0)),I$1:XFD76,A76+1,FALSE))</f>
        <v>249</v>
      </c>
      <c r="G76" s="8">
        <f>IF(COUNTIF(I76:XFD76,"&gt;"&amp;0)=0,,(E76/F76)^(1/MIN(COUNTIF(I76:XFD76,"&gt;"&amp;0)-1,$F$1)))</f>
        <v>1.1123291072002952</v>
      </c>
      <c r="H76" s="13" t="s">
        <v>105</v>
      </c>
      <c r="I76" s="9">
        <v>115</v>
      </c>
      <c r="J76" s="9">
        <v>136</v>
      </c>
      <c r="K76" s="9">
        <v>160</v>
      </c>
      <c r="L76" s="9">
        <v>194</v>
      </c>
      <c r="M76" s="9">
        <v>235</v>
      </c>
      <c r="N76" s="9">
        <v>249</v>
      </c>
      <c r="O76" s="9">
        <v>265</v>
      </c>
      <c r="P76" s="9">
        <v>290</v>
      </c>
      <c r="Q76" s="9">
        <v>329</v>
      </c>
      <c r="R76" s="9">
        <v>407</v>
      </c>
      <c r="S76" s="9">
        <v>424</v>
      </c>
    </row>
    <row r="77" spans="1:28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>Hungary</v>
      </c>
      <c r="D77" s="6">
        <f>MAX(I77:JF77)</f>
        <v>408</v>
      </c>
      <c r="E77" s="6">
        <f>IF(COUNTIF(I77:XFD77,"&gt;"&amp;0)=0,,HLOOKUP(COUNTIF(I77:XFD77,"&gt;"&amp;0)-1,I$1:XFD77,A77+1,FALSE))</f>
        <v>408</v>
      </c>
      <c r="F77" s="7">
        <f>IF(COUNTIF(I77:XFD77,"&gt;"&amp;0)=0,,HLOOKUP(COUNTIF(I77:XFD77,"&gt;"&amp;0)-MIN($F$1+1,COUNTIF(I77:XFD77,"&gt;"&amp;0)),I$1:XFD77,A77+1,FALSE))</f>
        <v>187</v>
      </c>
      <c r="G77" s="8">
        <f>IF(COUNTIF(I77:XFD77,"&gt;"&amp;0)=0,,(E77/F77)^(1/MIN(COUNTIF(I77:XFD77,"&gt;"&amp;0)-1,$F$1)))</f>
        <v>1.168863268921301</v>
      </c>
      <c r="H77" s="13" t="s">
        <v>132</v>
      </c>
      <c r="I77" s="9">
        <v>103</v>
      </c>
      <c r="J77" s="9">
        <v>131</v>
      </c>
      <c r="K77" s="9">
        <v>167</v>
      </c>
      <c r="L77" s="9">
        <v>187</v>
      </c>
      <c r="M77" s="9">
        <v>226</v>
      </c>
      <c r="N77" s="9">
        <v>261</v>
      </c>
      <c r="O77" s="9">
        <v>300</v>
      </c>
      <c r="P77" s="9">
        <v>343</v>
      </c>
      <c r="Q77" s="9">
        <v>408</v>
      </c>
    </row>
    <row r="78" spans="1:28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>Latvia</v>
      </c>
      <c r="D78" s="6">
        <f>MAX(I78:JF78)</f>
        <v>347</v>
      </c>
      <c r="E78" s="6">
        <f>IF(COUNTIF(I78:XFD78,"&gt;"&amp;0)=0,,HLOOKUP(COUNTIF(I78:XFD78,"&gt;"&amp;0)-1,I$1:XFD78,A78+1,FALSE))</f>
        <v>347</v>
      </c>
      <c r="F78" s="7">
        <f>IF(COUNTIF(I78:XFD78,"&gt;"&amp;0)=0,,HLOOKUP(COUNTIF(I78:XFD78,"&gt;"&amp;0)-MIN($F$1+1,COUNTIF(I78:XFD78,"&gt;"&amp;0)),I$1:XFD78,A78+1,FALSE))</f>
        <v>197</v>
      </c>
      <c r="G78" s="8">
        <f>IF(COUNTIF(I78:XFD78,"&gt;"&amp;0)=0,,(E78/F78)^(1/MIN(COUNTIF(I78:XFD78,"&gt;"&amp;0)-1,$F$1)))</f>
        <v>1.1198829940391526</v>
      </c>
      <c r="H78" s="13" t="s">
        <v>111</v>
      </c>
      <c r="I78" s="9">
        <v>111</v>
      </c>
      <c r="J78" s="9">
        <v>124</v>
      </c>
      <c r="K78" s="9">
        <v>139</v>
      </c>
      <c r="L78" s="9">
        <v>180</v>
      </c>
      <c r="M78" s="9">
        <v>197</v>
      </c>
      <c r="N78" s="9">
        <v>221</v>
      </c>
      <c r="O78" s="9">
        <v>244</v>
      </c>
      <c r="P78" s="9">
        <v>280</v>
      </c>
      <c r="Q78" s="9">
        <v>305</v>
      </c>
      <c r="R78" s="9">
        <v>347</v>
      </c>
    </row>
    <row r="79" spans="1:28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>Bulgaria</v>
      </c>
      <c r="D79" s="6">
        <f>MAX(I79:JF79)</f>
        <v>346</v>
      </c>
      <c r="E79" s="6">
        <f>IF(COUNTIF(I79:XFD79,"&gt;"&amp;0)=0,,HLOOKUP(COUNTIF(I79:XFD79,"&gt;"&amp;0)-1,I$1:XFD79,A79+1,FALSE))</f>
        <v>346</v>
      </c>
      <c r="F79" s="7">
        <f>IF(COUNTIF(I79:XFD79,"&gt;"&amp;0)=0,,HLOOKUP(COUNTIF(I79:XFD79,"&gt;"&amp;0)-MIN($F$1+1,COUNTIF(I79:XFD79,"&gt;"&amp;0)),I$1:XFD79,A79+1,FALSE))</f>
        <v>218</v>
      </c>
      <c r="G79" s="8">
        <f>IF(COUNTIF(I79:XFD79,"&gt;"&amp;0)=0,,(E79/F79)^(1/MIN(COUNTIF(I79:XFD79,"&gt;"&amp;0)-1,$F$1)))</f>
        <v>1.0967911084843756</v>
      </c>
      <c r="H79" s="13" t="s">
        <v>199</v>
      </c>
      <c r="I79" s="9">
        <v>127</v>
      </c>
      <c r="J79" s="9">
        <v>163</v>
      </c>
      <c r="K79" s="9">
        <v>187</v>
      </c>
      <c r="L79" s="9">
        <v>201</v>
      </c>
      <c r="M79" s="9">
        <v>218</v>
      </c>
      <c r="N79" s="9">
        <v>242</v>
      </c>
      <c r="O79" s="9">
        <v>264</v>
      </c>
      <c r="P79" s="9">
        <v>293</v>
      </c>
      <c r="Q79" s="9">
        <v>331</v>
      </c>
      <c r="R79" s="9">
        <v>346</v>
      </c>
    </row>
    <row r="80" spans="1:28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>Andorra</v>
      </c>
      <c r="D80" s="6">
        <f>MAX(I80:JF80)</f>
        <v>334</v>
      </c>
      <c r="E80" s="6">
        <f>IF(COUNTIF(I80:XFD80,"&gt;"&amp;0)=0,,HLOOKUP(COUNTIF(I80:XFD80,"&gt;"&amp;0)-1,I$1:XFD80,A80+1,FALSE))</f>
        <v>334</v>
      </c>
      <c r="F80" s="7">
        <f>IF(COUNTIF(I80:XFD80,"&gt;"&amp;0)=0,,HLOOKUP(COUNTIF(I80:XFD80,"&gt;"&amp;0)-MIN($F$1+1,COUNTIF(I80:XFD80,"&gt;"&amp;0)),I$1:XFD80,A80+1,FALSE))</f>
        <v>164</v>
      </c>
      <c r="G80" s="8">
        <f>IF(COUNTIF(I80:XFD80,"&gt;"&amp;0)=0,,(E80/F80)^(1/MIN(COUNTIF(I80:XFD80,"&gt;"&amp;0)-1,$F$1)))</f>
        <v>1.1528704927941413</v>
      </c>
      <c r="H80" s="13" t="s">
        <v>109</v>
      </c>
      <c r="I80" s="9">
        <v>113</v>
      </c>
      <c r="J80" s="9">
        <v>133</v>
      </c>
      <c r="K80" s="9">
        <v>164</v>
      </c>
      <c r="L80" s="9">
        <v>188</v>
      </c>
      <c r="M80" s="9">
        <v>224</v>
      </c>
      <c r="N80" s="9">
        <v>267</v>
      </c>
      <c r="O80" s="9">
        <v>308</v>
      </c>
      <c r="P80" s="9">
        <v>334</v>
      </c>
    </row>
    <row r="81" spans="1:24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>Bosnia and Herzegovina</v>
      </c>
      <c r="D81" s="6">
        <f>MAX(I81:JF81)</f>
        <v>323</v>
      </c>
      <c r="E81" s="6">
        <f>IF(COUNTIF(I81:XFD81,"&gt;"&amp;0)=0,,HLOOKUP(COUNTIF(I81:XFD81,"&gt;"&amp;0)-1,I$1:XFD81,A81+1,FALSE))</f>
        <v>323</v>
      </c>
      <c r="F81" s="7">
        <f>IF(COUNTIF(I81:XFD81,"&gt;"&amp;0)=0,,HLOOKUP(COUNTIF(I81:XFD81,"&gt;"&amp;0)-MIN($F$1+1,COUNTIF(I81:XFD81,"&gt;"&amp;0)),I$1:XFD81,A81+1,FALSE))</f>
        <v>166</v>
      </c>
      <c r="G81" s="8">
        <f>IF(COUNTIF(I81:XFD81,"&gt;"&amp;0)=0,,(E81/F81)^(1/MIN(COUNTIF(I81:XFD81,"&gt;"&amp;0)-1,$F$1)))</f>
        <v>1.1424018214097855</v>
      </c>
      <c r="H81" s="13" t="s">
        <v>140</v>
      </c>
      <c r="I81" s="9">
        <v>126</v>
      </c>
      <c r="J81" s="9">
        <v>136</v>
      </c>
      <c r="K81" s="9">
        <v>166</v>
      </c>
      <c r="L81" s="9">
        <v>176</v>
      </c>
      <c r="M81" s="9">
        <v>191</v>
      </c>
      <c r="N81" s="9">
        <v>237</v>
      </c>
      <c r="O81" s="9">
        <v>258</v>
      </c>
      <c r="P81" s="9">
        <v>323</v>
      </c>
    </row>
    <row r="82" spans="1:24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>Slovakia</v>
      </c>
      <c r="D82" s="6">
        <f>MAX(I82:JF82)</f>
        <v>314</v>
      </c>
      <c r="E82" s="6">
        <f>IF(COUNTIF(I82:XFD82,"&gt;"&amp;0)=0,,HLOOKUP(COUNTIF(I82:XFD82,"&gt;"&amp;0)-1,I$1:XFD82,A82+1,FALSE))</f>
        <v>314</v>
      </c>
      <c r="F82" s="7">
        <f>IF(COUNTIF(I82:XFD82,"&gt;"&amp;0)=0,,HLOOKUP(COUNTIF(I82:XFD82,"&gt;"&amp;0)-MIN($F$1+1,COUNTIF(I82:XFD82,"&gt;"&amp;0)),I$1:XFD82,A82+1,FALSE))</f>
        <v>204</v>
      </c>
      <c r="G82" s="8">
        <f>IF(COUNTIF(I82:XFD82,"&gt;"&amp;0)=0,,(E82/F82)^(1/MIN(COUNTIF(I82:XFD82,"&gt;"&amp;0)-1,$F$1)))</f>
        <v>1.0900838265903952</v>
      </c>
      <c r="H82" s="13" t="s">
        <v>162</v>
      </c>
      <c r="I82" s="9">
        <v>105</v>
      </c>
      <c r="J82" s="9">
        <v>123</v>
      </c>
      <c r="K82" s="9">
        <v>137</v>
      </c>
      <c r="L82" s="9">
        <v>178</v>
      </c>
      <c r="M82" s="9">
        <v>185</v>
      </c>
      <c r="N82" s="9">
        <v>186</v>
      </c>
      <c r="O82" s="9">
        <v>204</v>
      </c>
      <c r="P82" s="9">
        <v>216</v>
      </c>
      <c r="Q82" s="9">
        <v>226</v>
      </c>
      <c r="R82" s="9">
        <v>269</v>
      </c>
      <c r="S82" s="9">
        <v>292</v>
      </c>
      <c r="T82" s="9">
        <v>314</v>
      </c>
    </row>
    <row r="83" spans="1:24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>Costa Rica</v>
      </c>
      <c r="D83" s="6">
        <f>MAX(I83:JF83)</f>
        <v>314</v>
      </c>
      <c r="E83" s="6">
        <f>IF(COUNTIF(I83:XFD83,"&gt;"&amp;0)=0,,HLOOKUP(COUNTIF(I83:XFD83,"&gt;"&amp;0)-1,I$1:XFD83,A83+1,FALSE))</f>
        <v>314</v>
      </c>
      <c r="F83" s="7">
        <f>IF(COUNTIF(I83:XFD83,"&gt;"&amp;0)=0,,HLOOKUP(COUNTIF(I83:XFD83,"&gt;"&amp;0)-MIN($F$1+1,COUNTIF(I83:XFD83,"&gt;"&amp;0)),I$1:XFD83,A83+1,FALSE))</f>
        <v>177</v>
      </c>
      <c r="G83" s="8">
        <f>IF(COUNTIF(I83:XFD83,"&gt;"&amp;0)=0,,(E83/F83)^(1/MIN(COUNTIF(I83:XFD83,"&gt;"&amp;0)-1,$F$1)))</f>
        <v>1.1214793373252914</v>
      </c>
      <c r="H83" s="13" t="s">
        <v>159</v>
      </c>
      <c r="I83" s="9">
        <v>117</v>
      </c>
      <c r="J83" s="9">
        <v>134</v>
      </c>
      <c r="K83" s="9">
        <v>158</v>
      </c>
      <c r="L83" s="9">
        <v>177</v>
      </c>
      <c r="M83" s="9">
        <v>201</v>
      </c>
      <c r="N83" s="9">
        <v>231</v>
      </c>
      <c r="O83" s="9">
        <v>263</v>
      </c>
      <c r="P83" s="9">
        <v>295</v>
      </c>
      <c r="Q83" s="9">
        <v>314</v>
      </c>
    </row>
    <row r="84" spans="1:24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>Tunisia</v>
      </c>
      <c r="D84" s="6">
        <f>MAX(I84:JF84)</f>
        <v>312</v>
      </c>
      <c r="E84" s="6">
        <f>IF(COUNTIF(I84:XFD84,"&gt;"&amp;0)=0,,HLOOKUP(COUNTIF(I84:XFD84,"&gt;"&amp;0)-1,I$1:XFD84,A84+1,FALSE))</f>
        <v>312</v>
      </c>
      <c r="F84" s="7">
        <f>IF(COUNTIF(I84:XFD84,"&gt;"&amp;0)=0,,HLOOKUP(COUNTIF(I84:XFD84,"&gt;"&amp;0)-MIN($F$1+1,COUNTIF(I84:XFD84,"&gt;"&amp;0)),I$1:XFD84,A84+1,FALSE))</f>
        <v>114</v>
      </c>
      <c r="G84" s="8">
        <f>IF(COUNTIF(I84:XFD84,"&gt;"&amp;0)=0,,(E84/F84)^(1/MIN(COUNTIF(I84:XFD84,"&gt;"&amp;0)-1,$F$1)))</f>
        <v>1.2230661552998405</v>
      </c>
      <c r="H84" s="13" t="s">
        <v>138</v>
      </c>
      <c r="I84" s="9">
        <v>114</v>
      </c>
      <c r="J84" s="9">
        <v>173</v>
      </c>
      <c r="K84" s="9">
        <v>197</v>
      </c>
      <c r="L84" s="9">
        <v>227</v>
      </c>
      <c r="M84" s="9">
        <v>278</v>
      </c>
      <c r="N84" s="9">
        <v>312</v>
      </c>
    </row>
    <row r="85" spans="1:24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>Taiwan*</v>
      </c>
      <c r="D85" s="6">
        <f>MAX(I85:JF85)</f>
        <v>298</v>
      </c>
      <c r="E85" s="6">
        <f>IF(COUNTIF(I85:XFD85,"&gt;"&amp;0)=0,,HLOOKUP(COUNTIF(I85:XFD85,"&gt;"&amp;0)-1,I$1:XFD85,A85+1,FALSE))</f>
        <v>298</v>
      </c>
      <c r="F85" s="7">
        <f>IF(COUNTIF(I85:XFD85,"&gt;"&amp;0)=0,,HLOOKUP(COUNTIF(I85:XFD85,"&gt;"&amp;0)-MIN($F$1+1,COUNTIF(I85:XFD85,"&gt;"&amp;0)),I$1:XFD85,A85+1,FALSE))</f>
        <v>215</v>
      </c>
      <c r="G85" s="8">
        <f>IF(COUNTIF(I85:XFD85,"&gt;"&amp;0)=0,,(E85/F85)^(1/MIN(COUNTIF(I85:XFD85,"&gt;"&amp;0)-1,$F$1)))</f>
        <v>1.067469710709585</v>
      </c>
      <c r="H85" s="13" t="s">
        <v>342</v>
      </c>
      <c r="I85" s="9">
        <v>100</v>
      </c>
      <c r="J85" s="9">
        <v>108</v>
      </c>
      <c r="K85" s="9">
        <v>135</v>
      </c>
      <c r="L85" s="9">
        <v>153</v>
      </c>
      <c r="M85" s="9">
        <v>169</v>
      </c>
      <c r="N85" s="9">
        <v>195</v>
      </c>
      <c r="O85" s="9">
        <v>215</v>
      </c>
      <c r="P85" s="9">
        <v>235</v>
      </c>
      <c r="Q85" s="9">
        <v>252</v>
      </c>
      <c r="R85" s="9">
        <v>267</v>
      </c>
      <c r="S85" s="9">
        <v>283</v>
      </c>
      <c r="T85" s="9">
        <v>298</v>
      </c>
    </row>
    <row r="86" spans="1:24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>Kazakhstan</v>
      </c>
      <c r="D86" s="6">
        <f>MAX(I86:JF86)</f>
        <v>284</v>
      </c>
      <c r="E86" s="6">
        <f>IF(COUNTIF(I86:XFD86,"&gt;"&amp;0)=0,,HLOOKUP(COUNTIF(I86:XFD86,"&gt;"&amp;0)-1,I$1:XFD86,A86+1,FALSE))</f>
        <v>284</v>
      </c>
      <c r="F86" s="7">
        <f>IF(COUNTIF(I86:XFD86,"&gt;"&amp;0)=0,,HLOOKUP(COUNTIF(I86:XFD86,"&gt;"&amp;0)-MIN($F$1+1,COUNTIF(I86:XFD86,"&gt;"&amp;0)),I$1:XFD86,A86+1,FALSE))</f>
        <v>111</v>
      </c>
      <c r="G86" s="8">
        <f>IF(COUNTIF(I86:XFD86,"&gt;"&amp;0)=0,,(E86/F86)^(1/MIN(COUNTIF(I86:XFD86,"&gt;"&amp;0)-1,$F$1)))</f>
        <v>1.3677239559917269</v>
      </c>
      <c r="H86" s="13" t="s">
        <v>413</v>
      </c>
      <c r="I86" s="9">
        <v>111</v>
      </c>
      <c r="J86" s="9">
        <v>150</v>
      </c>
      <c r="K86" s="9">
        <v>228</v>
      </c>
      <c r="L86" s="9">
        <v>284</v>
      </c>
    </row>
    <row r="87" spans="1:24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>Moldova</v>
      </c>
      <c r="D87" s="6">
        <f>MAX(I87:JF87)</f>
        <v>263</v>
      </c>
      <c r="E87" s="6">
        <f>IF(COUNTIF(I87:XFD87,"&gt;"&amp;0)=0,,HLOOKUP(COUNTIF(I87:XFD87,"&gt;"&amp;0)-1,I$1:XFD87,A87+1,FALSE))</f>
        <v>263</v>
      </c>
      <c r="F87" s="7">
        <f>IF(COUNTIF(I87:XFD87,"&gt;"&amp;0)=0,,HLOOKUP(COUNTIF(I87:XFD87,"&gt;"&amp;0)-MIN($F$1+1,COUNTIF(I87:XFD87,"&gt;"&amp;0)),I$1:XFD87,A87+1,FALSE))</f>
        <v>125</v>
      </c>
      <c r="G87" s="8">
        <f>IF(COUNTIF(I87:XFD87,"&gt;"&amp;0)=0,,(E87/F87)^(1/MIN(COUNTIF(I87:XFD87,"&gt;"&amp;0)-1,$F$1)))</f>
        <v>1.1604038127441254</v>
      </c>
      <c r="H87" s="13" t="s">
        <v>345</v>
      </c>
      <c r="I87" s="9">
        <v>109</v>
      </c>
      <c r="J87" s="9">
        <v>125</v>
      </c>
      <c r="K87" s="9">
        <v>149</v>
      </c>
      <c r="L87" s="9">
        <v>177</v>
      </c>
      <c r="M87" s="9">
        <v>199</v>
      </c>
      <c r="N87" s="9">
        <v>231</v>
      </c>
      <c r="O87" s="9">
        <v>263</v>
      </c>
    </row>
    <row r="88" spans="1:24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>North Macedonia</v>
      </c>
      <c r="D88" s="6">
        <f>MAX(I88:JF88)</f>
        <v>259</v>
      </c>
      <c r="E88" s="6">
        <f>IF(COUNTIF(I88:XFD88,"&gt;"&amp;0)=0,,HLOOKUP(COUNTIF(I88:XFD88,"&gt;"&amp;0)-1,I$1:XFD88,A88+1,FALSE))</f>
        <v>259</v>
      </c>
      <c r="F88" s="7">
        <f>IF(COUNTIF(I88:XFD88,"&gt;"&amp;0)=0,,HLOOKUP(COUNTIF(I88:XFD88,"&gt;"&amp;0)-MIN($F$1+1,COUNTIF(I88:XFD88,"&gt;"&amp;0)),I$1:XFD88,A88+1,FALSE))</f>
        <v>148</v>
      </c>
      <c r="G88" s="8">
        <f>IF(COUNTIF(I88:XFD88,"&gt;"&amp;0)=0,,(E88/F88)^(1/MIN(COUNTIF(I88:XFD88,"&gt;"&amp;0)-1,$F$1)))</f>
        <v>1.1184269147201447</v>
      </c>
      <c r="H88" s="13" t="s">
        <v>84</v>
      </c>
      <c r="I88" s="9">
        <v>115</v>
      </c>
      <c r="J88" s="9">
        <v>136</v>
      </c>
      <c r="K88" s="9">
        <v>148</v>
      </c>
      <c r="L88" s="9">
        <v>177</v>
      </c>
      <c r="M88" s="9">
        <v>201</v>
      </c>
      <c r="N88" s="9">
        <v>219</v>
      </c>
      <c r="O88" s="9">
        <v>241</v>
      </c>
      <c r="P88" s="9">
        <v>259</v>
      </c>
    </row>
    <row r="89" spans="1:24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>Jordan</v>
      </c>
      <c r="D89" s="6">
        <f>MAX(I89:JF89)</f>
        <v>259</v>
      </c>
      <c r="E89" s="6">
        <f>IF(COUNTIF(I89:XFD89,"&gt;"&amp;0)=0,,HLOOKUP(COUNTIF(I89:XFD89,"&gt;"&amp;0)-1,I$1:XFD89,A89+1,FALSE))</f>
        <v>259</v>
      </c>
      <c r="F89" s="7">
        <f>IF(COUNTIF(I89:XFD89,"&gt;"&amp;0)=0,,HLOOKUP(COUNTIF(I89:XFD89,"&gt;"&amp;0)-MIN($F$1+1,COUNTIF(I89:XFD89,"&gt;"&amp;0)),I$1:XFD89,A89+1,FALSE))</f>
        <v>154</v>
      </c>
      <c r="G89" s="8">
        <f>IF(COUNTIF(I89:XFD89,"&gt;"&amp;0)=0,,(E89/F89)^(1/MIN(COUNTIF(I89:XFD89,"&gt;"&amp;0)-1,$F$1)))</f>
        <v>1.1095728171731842</v>
      </c>
      <c r="H89" s="13" t="s">
        <v>125</v>
      </c>
      <c r="I89" s="9">
        <v>112</v>
      </c>
      <c r="J89" s="9">
        <v>127</v>
      </c>
      <c r="K89" s="9">
        <v>154</v>
      </c>
      <c r="L89" s="9">
        <v>172</v>
      </c>
      <c r="M89" s="9">
        <v>212</v>
      </c>
      <c r="N89" s="9">
        <v>235</v>
      </c>
      <c r="O89" s="9">
        <v>246</v>
      </c>
      <c r="P89" s="9">
        <v>259</v>
      </c>
    </row>
    <row r="90" spans="1:24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>Kuwait</v>
      </c>
      <c r="D90" s="6">
        <f>MAX(I90:JF90)</f>
        <v>255</v>
      </c>
      <c r="E90" s="6">
        <f>IF(COUNTIF(I90:XFD90,"&gt;"&amp;0)=0,,HLOOKUP(COUNTIF(I90:XFD90,"&gt;"&amp;0)-1,I$1:XFD90,A90+1,FALSE))</f>
        <v>255</v>
      </c>
      <c r="F90" s="7">
        <f>IF(COUNTIF(I90:XFD90,"&gt;"&amp;0)=0,,HLOOKUP(COUNTIF(I90:XFD90,"&gt;"&amp;0)-MIN($F$1+1,COUNTIF(I90:XFD90,"&gt;"&amp;0)),I$1:XFD90,A90+1,FALSE))</f>
        <v>191</v>
      </c>
      <c r="G90" s="8">
        <f>IF(COUNTIF(I90:XFD90,"&gt;"&amp;0)=0,,(E90/F90)^(1/MIN(COUNTIF(I90:XFD90,"&gt;"&amp;0)-1,$F$1)))</f>
        <v>1.059500979716016</v>
      </c>
      <c r="H90" s="13" t="s">
        <v>74</v>
      </c>
      <c r="I90" s="9">
        <v>104</v>
      </c>
      <c r="J90" s="9">
        <v>112</v>
      </c>
      <c r="K90" s="9">
        <v>123</v>
      </c>
      <c r="L90" s="9">
        <v>130</v>
      </c>
      <c r="M90" s="9">
        <v>142</v>
      </c>
      <c r="N90" s="9">
        <v>148</v>
      </c>
      <c r="O90" s="9">
        <v>159</v>
      </c>
      <c r="P90" s="9">
        <v>176</v>
      </c>
      <c r="Q90" s="9">
        <v>188</v>
      </c>
      <c r="R90" s="9">
        <v>189</v>
      </c>
      <c r="S90" s="9">
        <v>191</v>
      </c>
      <c r="T90" s="9">
        <v>195</v>
      </c>
      <c r="U90" s="9">
        <v>208</v>
      </c>
      <c r="V90" s="9">
        <v>225</v>
      </c>
      <c r="W90" s="9">
        <v>235</v>
      </c>
      <c r="X90" s="9">
        <v>255</v>
      </c>
    </row>
    <row r="91" spans="1:24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>San Marino</v>
      </c>
      <c r="D91" s="6">
        <f>MAX(I91:JF91)</f>
        <v>224</v>
      </c>
      <c r="E91" s="6">
        <f>IF(COUNTIF(I91:XFD91,"&gt;"&amp;0)=0,,HLOOKUP(COUNTIF(I91:XFD91,"&gt;"&amp;0)-1,I$1:XFD91,A91+1,FALSE))</f>
        <v>224</v>
      </c>
      <c r="F91" s="7">
        <f>IF(COUNTIF(I91:XFD91,"&gt;"&amp;0)=0,,HLOOKUP(COUNTIF(I91:XFD91,"&gt;"&amp;0)-MIN($F$1+1,COUNTIF(I91:XFD91,"&gt;"&amp;0)),I$1:XFD91,A91+1,FALSE))</f>
        <v>187</v>
      </c>
      <c r="G91" s="8">
        <f>IF(COUNTIF(I91:XFD91,"&gt;"&amp;0)=0,,(E91/F91)^(1/MIN(COUNTIF(I91:XFD91,"&gt;"&amp;0)-1,$F$1)))</f>
        <v>1.0367672795066825</v>
      </c>
      <c r="H91" s="13" t="s">
        <v>90</v>
      </c>
      <c r="I91" s="9">
        <v>101</v>
      </c>
      <c r="J91" s="9">
        <v>109</v>
      </c>
      <c r="K91" s="9">
        <v>109</v>
      </c>
      <c r="L91" s="9">
        <v>119</v>
      </c>
      <c r="M91" s="9">
        <v>119</v>
      </c>
      <c r="N91" s="9">
        <v>144</v>
      </c>
      <c r="O91" s="9">
        <v>144</v>
      </c>
      <c r="P91" s="9">
        <v>175</v>
      </c>
      <c r="Q91" s="9">
        <v>187</v>
      </c>
      <c r="R91" s="9">
        <v>187</v>
      </c>
      <c r="S91" s="9">
        <v>208</v>
      </c>
      <c r="T91" s="9">
        <v>208</v>
      </c>
      <c r="U91" s="9">
        <v>223</v>
      </c>
      <c r="V91" s="9">
        <v>224</v>
      </c>
      <c r="W91" s="9">
        <v>224</v>
      </c>
    </row>
    <row r="92" spans="1:24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>Burkina Faso</v>
      </c>
      <c r="D92" s="6">
        <f>MAX(I92:JF92)</f>
        <v>222</v>
      </c>
      <c r="E92" s="6">
        <f>IF(COUNTIF(I92:XFD92,"&gt;"&amp;0)=0,,HLOOKUP(COUNTIF(I92:XFD92,"&gt;"&amp;0)-1,I$1:XFD92,A92+1,FALSE))</f>
        <v>222</v>
      </c>
      <c r="F92" s="7">
        <f>IF(COUNTIF(I92:XFD92,"&gt;"&amp;0)=0,,HLOOKUP(COUNTIF(I92:XFD92,"&gt;"&amp;0)-MIN($F$1+1,COUNTIF(I92:XFD92,"&gt;"&amp;0)),I$1:XFD92,A92+1,FALSE))</f>
        <v>114</v>
      </c>
      <c r="G92" s="8">
        <f>IF(COUNTIF(I92:XFD92,"&gt;"&amp;0)=0,,(E92/F92)^(1/MIN(COUNTIF(I92:XFD92,"&gt;"&amp;0)-1,$F$1)))</f>
        <v>1.1425879106559216</v>
      </c>
      <c r="H92" s="13" t="s">
        <v>279</v>
      </c>
      <c r="I92" s="9">
        <v>114</v>
      </c>
      <c r="J92" s="9">
        <v>146</v>
      </c>
      <c r="K92" s="9">
        <v>152</v>
      </c>
      <c r="L92" s="9">
        <v>180</v>
      </c>
      <c r="M92" s="9">
        <v>207</v>
      </c>
      <c r="N92" s="9">
        <v>222</v>
      </c>
    </row>
    <row r="93" spans="1:24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>Cyprus</v>
      </c>
      <c r="D93" s="6">
        <f>MAX(I93:JF93)</f>
        <v>214</v>
      </c>
      <c r="E93" s="6">
        <f>IF(COUNTIF(I93:XFD93,"&gt;"&amp;0)=0,,HLOOKUP(COUNTIF(I93:XFD93,"&gt;"&amp;0)-1,I$1:XFD93,A93+1,FALSE))</f>
        <v>214</v>
      </c>
      <c r="F93" s="7">
        <f>IF(COUNTIF(I93:XFD93,"&gt;"&amp;0)=0,,HLOOKUP(COUNTIF(I93:XFD93,"&gt;"&amp;0)-MIN($F$1+1,COUNTIF(I93:XFD93,"&gt;"&amp;0)),I$1:XFD93,A93+1,FALSE))</f>
        <v>124</v>
      </c>
      <c r="G93" s="8">
        <f>IF(COUNTIF(I93:XFD93,"&gt;"&amp;0)=0,,(E93/F93)^(1/MIN(COUNTIF(I93:XFD93,"&gt;"&amp;0)-1,$F$1)))</f>
        <v>1.1153172458666791</v>
      </c>
      <c r="H93" s="13" t="s">
        <v>231</v>
      </c>
      <c r="I93" s="9">
        <v>116</v>
      </c>
      <c r="J93" s="9">
        <v>124</v>
      </c>
      <c r="K93" s="9">
        <v>132</v>
      </c>
      <c r="L93" s="9">
        <v>146</v>
      </c>
      <c r="M93" s="9">
        <v>162</v>
      </c>
      <c r="N93" s="9">
        <v>179</v>
      </c>
      <c r="O93" s="9">
        <v>214</v>
      </c>
    </row>
    <row r="94" spans="1:24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>Albania</v>
      </c>
      <c r="D94" s="6">
        <f>MAX(I94:JF94)</f>
        <v>212</v>
      </c>
      <c r="E94" s="6">
        <f>IF(COUNTIF(I94:XFD94,"&gt;"&amp;0)=0,,HLOOKUP(COUNTIF(I94:XFD94,"&gt;"&amp;0)-1,I$1:XFD94,A94+1,FALSE))</f>
        <v>212</v>
      </c>
      <c r="F94" s="7">
        <f>IF(COUNTIF(I94:XFD94,"&gt;"&amp;0)=0,,HLOOKUP(COUNTIF(I94:XFD94,"&gt;"&amp;0)-MIN($F$1+1,COUNTIF(I94:XFD94,"&gt;"&amp;0)),I$1:XFD94,A94+1,FALSE))</f>
        <v>123</v>
      </c>
      <c r="G94" s="8">
        <f>IF(COUNTIF(I94:XFD94,"&gt;"&amp;0)=0,,(E94/F94)^(1/MIN(COUNTIF(I94:XFD94,"&gt;"&amp;0)-1,$F$1)))</f>
        <v>1.1150289669031013</v>
      </c>
      <c r="H94" s="13" t="s">
        <v>230</v>
      </c>
      <c r="I94" s="9">
        <v>104</v>
      </c>
      <c r="J94" s="9">
        <v>123</v>
      </c>
      <c r="K94" s="9">
        <v>146</v>
      </c>
      <c r="L94" s="9">
        <v>174</v>
      </c>
      <c r="M94" s="9">
        <v>186</v>
      </c>
      <c r="N94" s="9">
        <v>197</v>
      </c>
      <c r="O94" s="9">
        <v>212</v>
      </c>
    </row>
    <row r="95" spans="1:24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>Azerbaijan</v>
      </c>
      <c r="D95" s="6">
        <f>MAX(I95:JF95)</f>
        <v>209</v>
      </c>
      <c r="E95" s="6">
        <f>IF(COUNTIF(I95:XFD95,"&gt;"&amp;0)=0,,HLOOKUP(COUNTIF(I95:XFD95,"&gt;"&amp;0)-1,I$1:XFD95,A95+1,FALSE))</f>
        <v>209</v>
      </c>
      <c r="F95" s="7">
        <f>IF(COUNTIF(I95:XFD95,"&gt;"&amp;0)=0,,HLOOKUP(COUNTIF(I95:XFD95,"&gt;"&amp;0)-MIN($F$1+1,COUNTIF(I95:XFD95,"&gt;"&amp;0)),I$1:XFD95,A95+1,FALSE))</f>
        <v>122</v>
      </c>
      <c r="G95" s="8">
        <f>IF(COUNTIF(I95:XFD95,"&gt;"&amp;0)=0,,(E95/F95)^(1/MIN(COUNTIF(I95:XFD95,"&gt;"&amp;0)-1,$F$1)))</f>
        <v>1.1965443998010261</v>
      </c>
      <c r="H95" s="13" t="s">
        <v>104</v>
      </c>
      <c r="I95" s="9">
        <v>122</v>
      </c>
      <c r="J95" s="9">
        <v>165</v>
      </c>
      <c r="K95" s="9">
        <v>182</v>
      </c>
      <c r="L95" s="9">
        <v>209</v>
      </c>
    </row>
    <row r="96" spans="1:24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>Vietnam</v>
      </c>
      <c r="D96" s="6">
        <f>MAX(I96:JF96)</f>
        <v>188</v>
      </c>
      <c r="E96" s="6">
        <f>IF(COUNTIF(I96:XFD96,"&gt;"&amp;0)=0,,HLOOKUP(COUNTIF(I96:XFD96,"&gt;"&amp;0)-1,I$1:XFD96,A96+1,FALSE))</f>
        <v>188</v>
      </c>
      <c r="F96" s="7">
        <f>IF(COUNTIF(I96:XFD96,"&gt;"&amp;0)=0,,HLOOKUP(COUNTIF(I96:XFD96,"&gt;"&amp;0)-MIN($F$1+1,COUNTIF(I96:XFD96,"&gt;"&amp;0)),I$1:XFD96,A96+1,FALSE))</f>
        <v>134</v>
      </c>
      <c r="G96" s="8">
        <f>IF(COUNTIF(I96:XFD96,"&gt;"&amp;0)=0,,(E96/F96)^(1/MIN(COUNTIF(I96:XFD96,"&gt;"&amp;0)-1,$F$1)))</f>
        <v>1.0700661110314167</v>
      </c>
      <c r="H96" s="13" t="s">
        <v>343</v>
      </c>
      <c r="I96" s="9">
        <v>113</v>
      </c>
      <c r="J96" s="9">
        <v>123</v>
      </c>
      <c r="K96" s="9">
        <v>134</v>
      </c>
      <c r="L96" s="9">
        <v>141</v>
      </c>
      <c r="M96" s="9">
        <v>153</v>
      </c>
      <c r="N96" s="9">
        <v>163</v>
      </c>
      <c r="O96" s="9">
        <v>174</v>
      </c>
      <c r="P96" s="9">
        <v>188</v>
      </c>
    </row>
    <row r="97" spans="1:15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>Oman</v>
      </c>
      <c r="D97" s="6">
        <f>MAX(I97:JF97)</f>
        <v>167</v>
      </c>
      <c r="E97" s="6">
        <f>IF(COUNTIF(I97:XFD97,"&gt;"&amp;0)=0,,HLOOKUP(COUNTIF(I97:XFD97,"&gt;"&amp;0)-1,I$1:XFD97,A97+1,FALSE))</f>
        <v>167</v>
      </c>
      <c r="F97" s="7">
        <f>IF(COUNTIF(I97:XFD97,"&gt;"&amp;0)=0,,HLOOKUP(COUNTIF(I97:XFD97,"&gt;"&amp;0)-MIN($F$1+1,COUNTIF(I97:XFD97,"&gt;"&amp;0)),I$1:XFD97,A97+1,FALSE))</f>
        <v>109</v>
      </c>
      <c r="G97" s="8">
        <f>IF(COUNTIF(I97:XFD97,"&gt;"&amp;0)=0,,(E97/F97)^(1/MIN(COUNTIF(I97:XFD97,"&gt;"&amp;0)-1,$F$1)))</f>
        <v>1.1528248366050158</v>
      </c>
      <c r="H97" s="13" t="s">
        <v>71</v>
      </c>
      <c r="I97" s="9">
        <v>109</v>
      </c>
      <c r="J97" s="9">
        <v>131</v>
      </c>
      <c r="K97" s="9">
        <v>152</v>
      </c>
      <c r="L97" s="9">
        <v>167</v>
      </c>
    </row>
    <row r="98" spans="1:15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>Cote d'Ivoire</v>
      </c>
      <c r="D98" s="6">
        <f>MAX(I98:JF98)</f>
        <v>165</v>
      </c>
      <c r="E98" s="6">
        <f>IF(COUNTIF(I98:XFD98,"&gt;"&amp;0)=0,,HLOOKUP(COUNTIF(I98:XFD98,"&gt;"&amp;0)-1,I$1:XFD98,A98+1,FALSE))</f>
        <v>165</v>
      </c>
      <c r="F98" s="7">
        <f>IF(COUNTIF(I98:XFD98,"&gt;"&amp;0)=0,,HLOOKUP(COUNTIF(I98:XFD98,"&gt;"&amp;0)-MIN($F$1+1,COUNTIF(I98:XFD98,"&gt;"&amp;0)),I$1:XFD98,A98+1,FALSE))</f>
        <v>101</v>
      </c>
      <c r="G98" s="8">
        <f>IF(COUNTIF(I98:XFD98,"&gt;"&amp;0)=0,,(E98/F98)^(1/MIN(COUNTIF(I98:XFD98,"&gt;"&amp;0)-1,$F$1)))</f>
        <v>1.2781484132668763</v>
      </c>
      <c r="H98" s="13" t="s">
        <v>352</v>
      </c>
      <c r="I98" s="9">
        <v>101</v>
      </c>
      <c r="J98" s="9">
        <v>101</v>
      </c>
      <c r="K98" s="9">
        <v>165</v>
      </c>
    </row>
    <row r="99" spans="1:15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>Malta</v>
      </c>
      <c r="D99" s="6">
        <f>MAX(I99:JF99)</f>
        <v>151</v>
      </c>
      <c r="E99" s="6">
        <f>IF(COUNTIF(I99:XFD99,"&gt;"&amp;0)=0,,HLOOKUP(COUNTIF(I99:XFD99,"&gt;"&amp;0)-1,I$1:XFD99,A99+1,FALSE))</f>
        <v>151</v>
      </c>
      <c r="F99" s="7">
        <f>IF(COUNTIF(I99:XFD99,"&gt;"&amp;0)=0,,HLOOKUP(COUNTIF(I99:XFD99,"&gt;"&amp;0)-MIN($F$1+1,COUNTIF(I99:XFD99,"&gt;"&amp;0)),I$1:XFD99,A99+1,FALSE))</f>
        <v>110</v>
      </c>
      <c r="G99" s="8">
        <f>IF(COUNTIF(I99:XFD99,"&gt;"&amp;0)=0,,(E99/F99)^(1/MIN(COUNTIF(I99:XFD99,"&gt;"&amp;0)-1,$F$1)))</f>
        <v>1.0654102051998406</v>
      </c>
      <c r="H99" s="13" t="s">
        <v>177</v>
      </c>
      <c r="I99" s="9">
        <v>107</v>
      </c>
      <c r="J99" s="9">
        <v>110</v>
      </c>
      <c r="K99" s="9">
        <v>129</v>
      </c>
      <c r="L99" s="9">
        <v>134</v>
      </c>
      <c r="M99" s="9">
        <v>139</v>
      </c>
      <c r="N99" s="9">
        <v>149</v>
      </c>
      <c r="O99" s="9">
        <v>151</v>
      </c>
    </row>
    <row r="100" spans="1:15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>Senegal</v>
      </c>
      <c r="D100" s="6">
        <f>MAX(I100:JF100)</f>
        <v>142</v>
      </c>
      <c r="E100" s="6">
        <f>IF(COUNTIF(I100:XFD100,"&gt;"&amp;0)=0,,HLOOKUP(COUNTIF(I100:XFD100,"&gt;"&amp;0)-1,I$1:XFD100,A100+1,FALSE))</f>
        <v>142</v>
      </c>
      <c r="F100" s="7">
        <f>IF(COUNTIF(I100:XFD100,"&gt;"&amp;0)=0,,HLOOKUP(COUNTIF(I100:XFD100,"&gt;"&amp;0)-MIN($F$1+1,COUNTIF(I100:XFD100,"&gt;"&amp;0)),I$1:XFD100,A100+1,FALSE))</f>
        <v>105</v>
      </c>
      <c r="G100" s="8">
        <f>IF(COUNTIF(I100:XFD100,"&gt;"&amp;0)=0,,(E100/F100)^(1/MIN(COUNTIF(I100:XFD100,"&gt;"&amp;0)-1,$F$1)))</f>
        <v>1.1058588089950943</v>
      </c>
      <c r="H100" s="13" t="s">
        <v>114</v>
      </c>
      <c r="I100" s="9">
        <v>105</v>
      </c>
      <c r="J100" s="9">
        <v>119</v>
      </c>
      <c r="K100" s="9">
        <v>130</v>
      </c>
      <c r="L100" s="9">
        <v>142</v>
      </c>
    </row>
    <row r="101" spans="1:15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>Cuba</v>
      </c>
      <c r="D101" s="6">
        <f>MAX(I101:JF101)</f>
        <v>139</v>
      </c>
      <c r="E101" s="6">
        <f>IF(COUNTIF(I101:XFD101,"&gt;"&amp;0)=0,,HLOOKUP(COUNTIF(I101:XFD101,"&gt;"&amp;0)-1,I$1:XFD101,A101+1,FALSE))</f>
        <v>139</v>
      </c>
      <c r="F101" s="7">
        <f>IF(COUNTIF(I101:XFD101,"&gt;"&amp;0)=0,,HLOOKUP(COUNTIF(I101:XFD101,"&gt;"&amp;0)-MIN($F$1+1,COUNTIF(I101:XFD101,"&gt;"&amp;0)),I$1:XFD101,A101+1,FALSE))</f>
        <v>119</v>
      </c>
      <c r="G101" s="8">
        <f>IF(COUNTIF(I101:XFD101,"&gt;"&amp;0)=0,,(E101/F101)^(1/MIN(COUNTIF(I101:XFD101,"&gt;"&amp;0)-1,$F$1)))</f>
        <v>1.1680672268907564</v>
      </c>
      <c r="H101" s="13" t="s">
        <v>410</v>
      </c>
      <c r="I101" s="9">
        <v>119</v>
      </c>
      <c r="J101" s="9">
        <v>139</v>
      </c>
    </row>
    <row r="102" spans="1:15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>Cameroon</v>
      </c>
      <c r="D102" s="6">
        <f>MAX(I102:JF102)</f>
        <v>139</v>
      </c>
      <c r="E102" s="6">
        <f>IF(COUNTIF(I102:XFD102,"&gt;"&amp;0)=0,,HLOOKUP(COUNTIF(I102:XFD102,"&gt;"&amp;0)-1,I$1:XFD102,A102+1,FALSE))</f>
        <v>139</v>
      </c>
      <c r="F102" s="7">
        <f>IF(COUNTIF(I102:XFD102,"&gt;"&amp;0)=0,,HLOOKUP(COUNTIF(I102:XFD102,"&gt;"&amp;0)-MIN($F$1+1,COUNTIF(I102:XFD102,"&gt;"&amp;0)),I$1:XFD102,A102+1,FALSE))</f>
        <v>139</v>
      </c>
      <c r="G102" s="8" t="e">
        <f>IF(COUNTIF(I102:XFD102,"&gt;"&amp;0)=0,,(E102/F102)^(1/MIN(COUNTIF(I102:XFD102,"&gt;"&amp;0)-1,$F$1)))</f>
        <v>#DIV/0!</v>
      </c>
      <c r="H102" s="13" t="s">
        <v>157</v>
      </c>
      <c r="I102" s="9">
        <v>139</v>
      </c>
    </row>
    <row r="103" spans="1:15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>Brunei</v>
      </c>
      <c r="D103" s="6">
        <f>MAX(I103:JF103)</f>
        <v>126</v>
      </c>
      <c r="E103" s="6">
        <f>IF(COUNTIF(I103:XFD103,"&gt;"&amp;0)=0,,HLOOKUP(COUNTIF(I103:XFD103,"&gt;"&amp;0)-1,I$1:XFD103,A103+1,FALSE))</f>
        <v>126</v>
      </c>
      <c r="F103" s="7">
        <f>IF(COUNTIF(I103:XFD103,"&gt;"&amp;0)=0,,HLOOKUP(COUNTIF(I103:XFD103,"&gt;"&amp;0)-MIN($F$1+1,COUNTIF(I103:XFD103,"&gt;"&amp;0)),I$1:XFD103,A103+1,FALSE))</f>
        <v>104</v>
      </c>
      <c r="G103" s="8">
        <f>IF(COUNTIF(I103:XFD103,"&gt;"&amp;0)=0,,(E103/F103)^(1/MIN(COUNTIF(I103:XFD103,"&gt;"&amp;0)-1,$F$1)))</f>
        <v>1.0391241569508578</v>
      </c>
      <c r="H103" s="13" t="s">
        <v>233</v>
      </c>
      <c r="I103" s="9">
        <v>104</v>
      </c>
      <c r="J103" s="9">
        <v>109</v>
      </c>
      <c r="K103" s="9">
        <v>114</v>
      </c>
      <c r="L103" s="9">
        <v>115</v>
      </c>
      <c r="M103" s="9">
        <v>120</v>
      </c>
      <c r="N103" s="9">
        <v>126</v>
      </c>
    </row>
    <row r="104" spans="1:15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>Afghanistan</v>
      </c>
      <c r="D104" s="6">
        <f>MAX(I104:JF104)</f>
        <v>120</v>
      </c>
      <c r="E104" s="6">
        <f>IF(COUNTIF(I104:XFD104,"&gt;"&amp;0)=0,,HLOOKUP(COUNTIF(I104:XFD104,"&gt;"&amp;0)-1,I$1:XFD104,A104+1,FALSE))</f>
        <v>120</v>
      </c>
      <c r="F104" s="7">
        <f>IF(COUNTIF(I104:XFD104,"&gt;"&amp;0)=0,,HLOOKUP(COUNTIF(I104:XFD104,"&gt;"&amp;0)-MIN($F$1+1,COUNTIF(I104:XFD104,"&gt;"&amp;0)),I$1:XFD104,A104+1,FALSE))</f>
        <v>110</v>
      </c>
      <c r="G104" s="8">
        <f>IF(COUNTIF(I104:XFD104,"&gt;"&amp;0)=0,,(E104/F104)^(1/MIN(COUNTIF(I104:XFD104,"&gt;"&amp;0)-1,$F$1)))</f>
        <v>1.044465935734187</v>
      </c>
      <c r="H104" s="13" t="s">
        <v>72</v>
      </c>
      <c r="I104" s="9">
        <v>110</v>
      </c>
      <c r="J104" s="9">
        <v>110</v>
      </c>
      <c r="K104" s="9">
        <v>120</v>
      </c>
    </row>
    <row r="105" spans="1:15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>Sri Lanka</v>
      </c>
      <c r="D105" s="6">
        <f>MAX(I105:JF105)</f>
        <v>117</v>
      </c>
      <c r="E105" s="6">
        <f>IF(COUNTIF(I105:XFD105,"&gt;"&amp;0)=0,,HLOOKUP(COUNTIF(I105:XFD105,"&gt;"&amp;0)-1,I$1:XFD105,A105+1,FALSE))</f>
        <v>117</v>
      </c>
      <c r="F105" s="7">
        <f>IF(COUNTIF(I105:XFD105,"&gt;"&amp;0)=0,,HLOOKUP(COUNTIF(I105:XFD105,"&gt;"&amp;0)-MIN($F$1+1,COUNTIF(I105:XFD105,"&gt;"&amp;0)),I$1:XFD105,A105+1,FALSE))</f>
        <v>102</v>
      </c>
      <c r="G105" s="8">
        <f>IF(COUNTIF(I105:XFD105,"&gt;"&amp;0)=0,,(E105/F105)^(1/MIN(COUNTIF(I105:XFD105,"&gt;"&amp;0)-1,$F$1)))</f>
        <v>1.0278201746033075</v>
      </c>
      <c r="H105" s="13" t="s">
        <v>52</v>
      </c>
      <c r="I105" s="9">
        <v>102</v>
      </c>
      <c r="J105" s="9">
        <v>102</v>
      </c>
      <c r="K105" s="9">
        <v>106</v>
      </c>
      <c r="L105" s="9">
        <v>106</v>
      </c>
      <c r="M105" s="9">
        <v>113</v>
      </c>
      <c r="N105" s="9">
        <v>117</v>
      </c>
    </row>
    <row r="106" spans="1:15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>Nigeria</v>
      </c>
      <c r="D106" s="6">
        <f>MAX(I106:JF106)</f>
        <v>111</v>
      </c>
      <c r="E106" s="6">
        <f>IF(COUNTIF(I106:XFD106,"&gt;"&amp;0)=0,,HLOOKUP(COUNTIF(I106:XFD106,"&gt;"&amp;0)-1,I$1:XFD106,A106+1,FALSE))</f>
        <v>111</v>
      </c>
      <c r="F106" s="7">
        <f>IF(COUNTIF(I106:XFD106,"&gt;"&amp;0)=0,,HLOOKUP(COUNTIF(I106:XFD106,"&gt;"&amp;0)-MIN($F$1+1,COUNTIF(I106:XFD106,"&gt;"&amp;0)),I$1:XFD106,A106+1,FALSE))</f>
        <v>111</v>
      </c>
      <c r="G106" s="8" t="e">
        <f>IF(COUNTIF(I106:XFD106,"&gt;"&amp;0)=0,,(E106/F106)^(1/MIN(COUNTIF(I106:XFD106,"&gt;"&amp;0)-1,$F$1)))</f>
        <v>#DIV/0!</v>
      </c>
      <c r="H106" s="13" t="s">
        <v>96</v>
      </c>
      <c r="I106" s="9">
        <v>111</v>
      </c>
    </row>
    <row r="107" spans="1:15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>Honduras</v>
      </c>
      <c r="D107" s="6">
        <f>MAX(I107:JF107)</f>
        <v>110</v>
      </c>
      <c r="E107" s="6">
        <f>IF(COUNTIF(I107:XFD107,"&gt;"&amp;0)=0,,HLOOKUP(COUNTIF(I107:XFD107,"&gt;"&amp;0)-1,I$1:XFD107,A107+1,FALSE))</f>
        <v>110</v>
      </c>
      <c r="F107" s="7">
        <f>IF(COUNTIF(I107:XFD107,"&gt;"&amp;0)=0,,HLOOKUP(COUNTIF(I107:XFD107,"&gt;"&amp;0)-MIN($F$1+1,COUNTIF(I107:XFD107,"&gt;"&amp;0)),I$1:XFD107,A107+1,FALSE))</f>
        <v>110</v>
      </c>
      <c r="G107" s="8" t="e">
        <f>IF(COUNTIF(I107:XFD107,"&gt;"&amp;0)=0,,(E107/F107)^(1/MIN(COUNTIF(I107:XFD107,"&gt;"&amp;0)-1,$F$1)))</f>
        <v>#DIV/0!</v>
      </c>
      <c r="H107" s="13" t="s">
        <v>348</v>
      </c>
      <c r="I107" s="9">
        <v>110</v>
      </c>
    </row>
    <row r="108" spans="1:15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>Cambodia</v>
      </c>
      <c r="D108" s="6">
        <f>MAX(I108:JF108)</f>
        <v>103</v>
      </c>
      <c r="E108" s="6">
        <f>IF(COUNTIF(I108:XFD108,"&gt;"&amp;0)=0,,HLOOKUP(COUNTIF(I108:XFD108,"&gt;"&amp;0)-1,I$1:XFD108,A108+1,FALSE))</f>
        <v>103</v>
      </c>
      <c r="F108" s="7">
        <f>IF(COUNTIF(I108:XFD108,"&gt;"&amp;0)=0,,HLOOKUP(COUNTIF(I108:XFD108,"&gt;"&amp;0)-MIN($F$1+1,COUNTIF(I108:XFD108,"&gt;"&amp;0)),I$1:XFD108,A108+1,FALSE))</f>
        <v>103</v>
      </c>
      <c r="G108" s="8" t="e">
        <f>IF(COUNTIF(I108:XFD108,"&gt;"&amp;0)=0,,(E108/F108)^(1/MIN(COUNTIF(I108:XFD108,"&gt;"&amp;0)-1,$F$1)))</f>
        <v>#DIV/0!</v>
      </c>
      <c r="H108" s="13" t="s">
        <v>51</v>
      </c>
      <c r="I108" s="9">
        <v>103</v>
      </c>
    </row>
    <row r="109" spans="1:15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MAX(I109:JF109)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15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MAX(I110:JF110)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15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MAX(I111:JF111)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15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MAX(I112:JF112)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MAX(I113:JF113)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MAX(I114:JF114)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MAX(I115:JF115)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MAX(I116:JF116)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MAX(I117:JF117)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MAX(I118:JF118)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MAX(I119:JF119)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MAX(I120:JF120)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MAX(I121:JF121)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MAX(I122:JF122)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MAX(I123:JF123)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MAX(I124:JF124)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MAX(I125:JF125)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MAX(I126:JF126)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MAX(I127:JF127)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MAX(I128:JF128)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MAX(I129:JF129)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MAX(I130:JF130)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MAX(I131:JF131)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MAX(I132:JF132)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MAX(I133:JF133)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MAX(I134:JF134)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MAX(I135:JF135)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MAX(I136:JF136)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MAX(I137:JF137)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MAX(I138:JF138)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MAX(I139:JF139)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MAX(I140:JF140)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MAX(I141:JF141)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MAX(I142:JF142)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MAX(I143:JF143)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MAX(I144:JF144)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MAX(I145:JF145)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MAX(I146:JF146)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MAX(I147:JF147)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MAX(I148:JF148)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MAX(I149:JF149)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MAX(I150:JF150)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MAX(I151:JF151)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MAX(I152:JF152)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MAX(I153:JF153)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MAX(I154:JF154)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MAX(I155:JF155)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MAX(I156:JF156)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MAX(I157:JF157)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MAX(I158:JF158)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MAX(I159:JF159)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MAX(I160:JF160)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MAX(I161:JF161)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MAX(I162:JF162)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MAX(I163:JF163)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MAX(I164:JF164)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MAX(I165:JF165)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MAX(I166:JF166)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MAX(I167:JF167)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MAX(I168:JF168)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MAX(I169:JF169)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MAX(I170:JF170)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MAX(I171:JF171)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MAX(I172:JF172)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MAX(I173:JF173)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MAX(I174:JF174)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MAX(I175:JF175)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MAX(I176:JF176)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MAX(I177:JF177)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MAX(I178:JF178)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MAX(I179:JF179)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MAX(I180:JF180)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MAX(I181:JF181)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MAX(I182:JF182)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MAX(I183:JF183)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MAX(I184:JF184)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MAX(I185:JF185)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MAX(I186:JF186)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MAX(I187:JF187)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MAX(I188:JF188)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MAX(I189:JF189)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MAX(I190:JF190)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MAX(I191:JF191)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MAX(I192:JF192)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MAX(I193:JF193)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MAX(I194:JF194)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MAX(I195:JF195)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MAX(I196:JF196)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MAX(I197:JF197)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MAX(I198:JF198)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MAX(I199:JF199)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MAX(I200:JF200)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topLeftCell="AQ1"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>IF(COUNTIF(I2:XFD2,"&gt;"&amp;0)=0,,(E2/F2)^(1/MIN(COUNTIF(I2:XFD2,"&gt;"&amp;0)-1,$F$1)))</f>
        <v>1.5</v>
      </c>
      <c r="H2" s="15" t="s">
        <v>430</v>
      </c>
      <c r="I2" s="9">
        <v>10</v>
      </c>
      <c r="J2" s="10">
        <f>I2*1.5</f>
        <v>15</v>
      </c>
      <c r="K2" s="10">
        <f>J2*1.5</f>
        <v>22.5</v>
      </c>
      <c r="L2" s="10">
        <f>K2*1.5</f>
        <v>33.75</v>
      </c>
      <c r="M2" s="10">
        <f>L2*1.5</f>
        <v>50.625</v>
      </c>
      <c r="N2" s="10">
        <f>M2*1.5</f>
        <v>75.9375</v>
      </c>
      <c r="O2" s="10">
        <f>N2*1.5</f>
        <v>113.90625</v>
      </c>
      <c r="P2" s="10">
        <f>O2*1.5</f>
        <v>170.859375</v>
      </c>
      <c r="Q2" s="10">
        <f>P2*1.5</f>
        <v>256.2890625</v>
      </c>
      <c r="R2" s="10">
        <f>Q2*1.5</f>
        <v>384.43359375</v>
      </c>
      <c r="S2" s="10">
        <f>R2*1.5</f>
        <v>576.650390625</v>
      </c>
      <c r="T2" s="10">
        <f>S2*1.5</f>
        <v>864.9755859375</v>
      </c>
      <c r="U2" s="10">
        <f>T2*1.5</f>
        <v>1297.46337890625</v>
      </c>
      <c r="V2" s="10">
        <f>U2*1.5</f>
        <v>1946.195068359375</v>
      </c>
      <c r="W2" s="10">
        <f>V2*1.5</f>
        <v>2919.2926025390625</v>
      </c>
      <c r="X2" s="10">
        <f>W2*1.5</f>
        <v>4378.9389038085938</v>
      </c>
      <c r="Y2" s="10">
        <f>X2*1.5</f>
        <v>6568.4083557128906</v>
      </c>
      <c r="Z2" s="10">
        <f>Y2*1.5</f>
        <v>9852.6125335693359</v>
      </c>
      <c r="AA2" s="10">
        <f>Z2*1.5</f>
        <v>14778.918800354004</v>
      </c>
      <c r="AB2" s="10">
        <f>AA2*1.5</f>
        <v>22168.378200531006</v>
      </c>
      <c r="AC2" s="10">
        <f>AB2*1.5</f>
        <v>33252.567300796509</v>
      </c>
      <c r="AD2" s="10">
        <f>AC2*1.5</f>
        <v>49878.850951194763</v>
      </c>
      <c r="AE2" s="10">
        <f>AD2*1.5</f>
        <v>74818.276426792145</v>
      </c>
      <c r="AF2" s="10">
        <f>AE2*1.5</f>
        <v>112227.41464018822</v>
      </c>
      <c r="AG2" s="10">
        <f>AF2*1.5</f>
        <v>168341.12196028233</v>
      </c>
      <c r="AH2" s="10">
        <f>AG2*1.5</f>
        <v>252511.68294042349</v>
      </c>
      <c r="AI2" s="10">
        <f>AH2*1.5</f>
        <v>378767.52441063523</v>
      </c>
      <c r="AJ2" s="10">
        <f>AI2*1.5</f>
        <v>568151.28661595285</v>
      </c>
      <c r="AK2" s="10">
        <f>AJ2*1.5</f>
        <v>852226.92992392927</v>
      </c>
      <c r="AL2" s="10">
        <f>AK2*1.5</f>
        <v>1278340.3948858939</v>
      </c>
      <c r="AM2" s="10">
        <f>AL2*1.5</f>
        <v>1917510.5923288409</v>
      </c>
      <c r="AN2" s="10">
        <f>AM2*1.5</f>
        <v>2876265.8884932613</v>
      </c>
      <c r="AO2" s="10">
        <f>AN2*1.5</f>
        <v>4314398.8327398915</v>
      </c>
      <c r="AP2" s="10">
        <f>AO2*1.5</f>
        <v>6471598.2491098372</v>
      </c>
      <c r="AQ2" s="10">
        <f>AP2*1.5</f>
        <v>9707397.3736647554</v>
      </c>
      <c r="AR2" s="10">
        <f>AQ2*1.5</f>
        <v>14561096.060497133</v>
      </c>
      <c r="AS2" s="10">
        <f>AR2*1.5</f>
        <v>21841644.090745699</v>
      </c>
      <c r="AT2" s="10">
        <f>AS2*1.5</f>
        <v>32762466.136118546</v>
      </c>
      <c r="AU2" s="10">
        <f>AT2*1.5</f>
        <v>49143699.204177819</v>
      </c>
      <c r="AV2" s="10">
        <f>AU2*1.5</f>
        <v>73715548.806266725</v>
      </c>
      <c r="AW2" s="10">
        <f>AV2*1.5</f>
        <v>110573323.20940009</v>
      </c>
      <c r="AX2" s="10">
        <f>AW2*1.5</f>
        <v>165859984.81410015</v>
      </c>
      <c r="AY2" s="10">
        <f>AX2*1.5</f>
        <v>248789977.22115022</v>
      </c>
      <c r="AZ2" s="10">
        <f>AY2*1.5</f>
        <v>373184965.83172536</v>
      </c>
      <c r="BA2" s="10">
        <f>AZ2*1.5</f>
        <v>559777448.74758804</v>
      </c>
      <c r="BB2" s="10">
        <f>BA2*1.5</f>
        <v>839666173.121382</v>
      </c>
      <c r="BC2" s="10">
        <f>BB2*1.5</f>
        <v>1259499259.6820731</v>
      </c>
      <c r="BD2" s="10">
        <f>BC2*1.5</f>
        <v>1889248889.5231097</v>
      </c>
      <c r="BE2" s="10">
        <f>BD2*1.5</f>
        <v>2833873334.2846646</v>
      </c>
      <c r="BF2" s="10">
        <f>BE2*1.5</f>
        <v>4250810001.4269972</v>
      </c>
      <c r="BG2" s="10">
        <f>BF2*1.5</f>
        <v>6376215002.1404953</v>
      </c>
      <c r="BH2" s="10">
        <f>BG2*1.5</f>
        <v>9564322503.210743</v>
      </c>
    </row>
    <row r="3" spans="1:307" x14ac:dyDescent="0.25">
      <c r="A3" s="9">
        <f>A2+1</f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>IF(COUNTIF(I3:XFD3,"&gt;"&amp;0)=0,,(E3/F3)^(1/MIN(COUNTIF(I3:XFD3,"&gt;"&amp;0)-1,$F$1)))</f>
        <v>1.4</v>
      </c>
      <c r="H3" s="15" t="s">
        <v>431</v>
      </c>
      <c r="I3" s="9">
        <v>10</v>
      </c>
      <c r="J3" s="10">
        <f>I3*1.4</f>
        <v>14</v>
      </c>
      <c r="K3" s="10">
        <f>J3*1.4</f>
        <v>19.599999999999998</v>
      </c>
      <c r="L3" s="10">
        <f>K3*1.4</f>
        <v>27.439999999999994</v>
      </c>
      <c r="M3" s="10">
        <f>L3*1.4</f>
        <v>38.41599999999999</v>
      </c>
      <c r="N3" s="10">
        <f>M3*1.4</f>
        <v>53.782399999999981</v>
      </c>
      <c r="O3" s="10">
        <f>N3*1.4</f>
        <v>75.295359999999974</v>
      </c>
      <c r="P3" s="10">
        <f>O3*1.4</f>
        <v>105.41350399999996</v>
      </c>
      <c r="Q3" s="10">
        <f>P3*1.4</f>
        <v>147.57890559999993</v>
      </c>
      <c r="R3" s="10">
        <f>Q3*1.4</f>
        <v>206.6104678399999</v>
      </c>
      <c r="S3" s="10">
        <f>R3*1.4</f>
        <v>289.25465497599981</v>
      </c>
      <c r="T3" s="10">
        <f>S3*1.4</f>
        <v>404.9565169663997</v>
      </c>
      <c r="U3" s="10">
        <f>T3*1.4</f>
        <v>566.93912375295952</v>
      </c>
      <c r="V3" s="10">
        <f>U3*1.4</f>
        <v>793.71477325414332</v>
      </c>
      <c r="W3" s="10">
        <f>V3*1.4</f>
        <v>1111.2006825558005</v>
      </c>
      <c r="X3" s="10">
        <f>W3*1.4</f>
        <v>1555.6809555781206</v>
      </c>
      <c r="Y3" s="10">
        <f>X3*1.4</f>
        <v>2177.9533378093688</v>
      </c>
      <c r="Z3" s="10">
        <f>Y3*1.4</f>
        <v>3049.1346729331162</v>
      </c>
      <c r="AA3" s="10">
        <f>Z3*1.4</f>
        <v>4268.7885421063629</v>
      </c>
      <c r="AB3" s="10">
        <f>AA3*1.4</f>
        <v>5976.3039589489081</v>
      </c>
      <c r="AC3" s="10">
        <f>AB3*1.4</f>
        <v>8366.8255425284715</v>
      </c>
      <c r="AD3" s="10">
        <f>AC3*1.4</f>
        <v>11713.555759539859</v>
      </c>
      <c r="AE3" s="10">
        <f>AD3*1.4</f>
        <v>16398.9780633558</v>
      </c>
      <c r="AF3" s="10">
        <f>AE3*1.4</f>
        <v>22958.56928869812</v>
      </c>
      <c r="AG3" s="10">
        <f>AF3*1.4</f>
        <v>32141.997004177367</v>
      </c>
      <c r="AH3" s="10">
        <f>AG3*1.4</f>
        <v>44998.795805848313</v>
      </c>
      <c r="AI3" s="10">
        <f>AH3*1.4</f>
        <v>62998.314128187631</v>
      </c>
      <c r="AJ3" s="10">
        <f>AI3*1.4</f>
        <v>88197.639779462683</v>
      </c>
      <c r="AK3" s="10">
        <f>AJ3*1.4</f>
        <v>123476.69569124775</v>
      </c>
      <c r="AL3" s="10">
        <f>AK3*1.4</f>
        <v>172867.37396774683</v>
      </c>
      <c r="AM3" s="10">
        <f>AL3*1.4</f>
        <v>242014.32355484553</v>
      </c>
      <c r="AN3" s="10">
        <f>AM3*1.4</f>
        <v>338820.05297678371</v>
      </c>
      <c r="AO3" s="10">
        <f>AN3*1.4</f>
        <v>474348.07416749717</v>
      </c>
      <c r="AP3" s="10">
        <f>AO3*1.4</f>
        <v>664087.30383449595</v>
      </c>
      <c r="AQ3" s="10">
        <f>AP3*1.4</f>
        <v>929722.22536829428</v>
      </c>
      <c r="AR3" s="10">
        <f>AQ3*1.4</f>
        <v>1301611.1155156118</v>
      </c>
      <c r="AS3" s="10">
        <f>AR3*1.4</f>
        <v>1822255.5617218565</v>
      </c>
      <c r="AT3" s="10">
        <f>AS3*1.4</f>
        <v>2551157.786410599</v>
      </c>
      <c r="AU3" s="10">
        <f>AT3*1.4</f>
        <v>3571620.9009748385</v>
      </c>
      <c r="AV3" s="10">
        <f>AU3*1.4</f>
        <v>5000269.2613647738</v>
      </c>
      <c r="AW3" s="10">
        <f>AV3*1.4</f>
        <v>7000376.9659106834</v>
      </c>
      <c r="AX3" s="10">
        <f>AW3*1.4</f>
        <v>9800527.7522749566</v>
      </c>
      <c r="AY3" s="10">
        <f>AX3*1.4</f>
        <v>13720738.853184938</v>
      </c>
      <c r="AZ3" s="10">
        <f>AY3*1.4</f>
        <v>19209034.394458912</v>
      </c>
      <c r="BA3" s="10">
        <f>AZ3*1.4</f>
        <v>26892648.152242474</v>
      </c>
      <c r="BB3" s="10">
        <f>BA3*1.4</f>
        <v>37649707.413139462</v>
      </c>
      <c r="BC3" s="10">
        <f>BB3*1.4</f>
        <v>52709590.378395244</v>
      </c>
      <c r="BD3" s="10">
        <f>BC3*1.4</f>
        <v>73793426.529753342</v>
      </c>
      <c r="BE3" s="10">
        <f>BD3*1.4</f>
        <v>103310797.14165467</v>
      </c>
      <c r="BF3" s="10">
        <f>BE3*1.4</f>
        <v>144635115.99831653</v>
      </c>
      <c r="BG3" s="10">
        <f>BF3*1.4</f>
        <v>202489162.39764312</v>
      </c>
      <c r="BH3" s="10">
        <f>BG3*1.4</f>
        <v>283484827.35670036</v>
      </c>
    </row>
    <row r="4" spans="1:307" x14ac:dyDescent="0.25">
      <c r="A4" s="9">
        <f>A3+1</f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>IF(COUNTIF(I4:XFD4,"&gt;"&amp;0)=0,,(E4/F4)^(1/MIN(COUNTIF(I4:XFD4,"&gt;"&amp;0)-1,$F$1)))</f>
        <v>1.3</v>
      </c>
      <c r="H4" s="15" t="s">
        <v>432</v>
      </c>
      <c r="I4" s="9">
        <v>10</v>
      </c>
      <c r="J4" s="10">
        <f>I4*1.3</f>
        <v>13</v>
      </c>
      <c r="K4" s="10">
        <f>J4*1.3</f>
        <v>16.900000000000002</v>
      </c>
      <c r="L4" s="10">
        <f>K4*1.3</f>
        <v>21.970000000000002</v>
      </c>
      <c r="M4" s="10">
        <f>L4*1.3</f>
        <v>28.561000000000003</v>
      </c>
      <c r="N4" s="10">
        <f>M4*1.3</f>
        <v>37.129300000000008</v>
      </c>
      <c r="O4" s="10">
        <f>N4*1.3</f>
        <v>48.268090000000015</v>
      </c>
      <c r="P4" s="10">
        <f>O4*1.3</f>
        <v>62.748517000000021</v>
      </c>
      <c r="Q4" s="10">
        <f>P4*1.3</f>
        <v>81.573072100000033</v>
      </c>
      <c r="R4" s="10">
        <f>Q4*1.3</f>
        <v>106.04499373000004</v>
      </c>
      <c r="S4" s="10">
        <f>R4*1.3</f>
        <v>137.85849184900007</v>
      </c>
      <c r="T4" s="10">
        <f>S4*1.3</f>
        <v>179.21603940370011</v>
      </c>
      <c r="U4" s="10">
        <f>T4*1.3</f>
        <v>232.98085122481015</v>
      </c>
      <c r="V4" s="10">
        <f>U4*1.3</f>
        <v>302.87510659225319</v>
      </c>
      <c r="W4" s="10">
        <f>V4*1.3</f>
        <v>393.73763856992917</v>
      </c>
      <c r="X4" s="10">
        <f>W4*1.3</f>
        <v>511.85893014090794</v>
      </c>
      <c r="Y4" s="10">
        <f>X4*1.3</f>
        <v>665.4166091831803</v>
      </c>
      <c r="Z4" s="10">
        <f>Y4*1.3</f>
        <v>865.04159193813439</v>
      </c>
      <c r="AA4" s="10">
        <f>Z4*1.3</f>
        <v>1124.5540695195748</v>
      </c>
      <c r="AB4" s="10">
        <f>AA4*1.3</f>
        <v>1461.9202903754474</v>
      </c>
      <c r="AC4" s="10">
        <f>AB4*1.3</f>
        <v>1900.4963774880816</v>
      </c>
      <c r="AD4" s="10">
        <f>AC4*1.3</f>
        <v>2470.645290734506</v>
      </c>
      <c r="AE4" s="10">
        <f>AD4*1.3</f>
        <v>3211.8388779548582</v>
      </c>
      <c r="AF4" s="10">
        <f>AE4*1.3</f>
        <v>4175.3905413413158</v>
      </c>
      <c r="AG4" s="10">
        <f>AF4*1.3</f>
        <v>5428.0077037437104</v>
      </c>
      <c r="AH4" s="10">
        <f>AG4*1.3</f>
        <v>7056.410014866824</v>
      </c>
      <c r="AI4" s="10">
        <f>AH4*1.3</f>
        <v>9173.3330193268721</v>
      </c>
      <c r="AJ4" s="10">
        <f>AI4*1.3</f>
        <v>11925.332925124934</v>
      </c>
      <c r="AK4" s="10">
        <f>AJ4*1.3</f>
        <v>15502.932802662415</v>
      </c>
      <c r="AL4" s="10">
        <f>AK4*1.3</f>
        <v>20153.81264346114</v>
      </c>
      <c r="AM4" s="10">
        <f>AL4*1.3</f>
        <v>26199.956436499484</v>
      </c>
      <c r="AN4" s="10">
        <f>AM4*1.3</f>
        <v>34059.943367449334</v>
      </c>
      <c r="AO4" s="10">
        <f>AN4*1.3</f>
        <v>44277.926377684133</v>
      </c>
      <c r="AP4" s="10">
        <f>AO4*1.3</f>
        <v>57561.304290989377</v>
      </c>
      <c r="AQ4" s="10">
        <f>AP4*1.3</f>
        <v>74829.695578286191</v>
      </c>
      <c r="AR4" s="10">
        <f>AQ4*1.3</f>
        <v>97278.604251772049</v>
      </c>
      <c r="AS4" s="10">
        <f>AR4*1.3</f>
        <v>126462.18552730366</v>
      </c>
      <c r="AT4" s="10">
        <f>AS4*1.3</f>
        <v>164400.84118549476</v>
      </c>
      <c r="AU4" s="10">
        <f>AT4*1.3</f>
        <v>213721.0935411432</v>
      </c>
      <c r="AV4" s="10">
        <f>AU4*1.3</f>
        <v>277837.42160348617</v>
      </c>
      <c r="AW4" s="10">
        <f>AV4*1.3</f>
        <v>361188.64808453206</v>
      </c>
      <c r="AX4" s="10">
        <f>AW4*1.3</f>
        <v>469545.24250989169</v>
      </c>
      <c r="AY4" s="10">
        <f>AX4*1.3</f>
        <v>610408.81526285922</v>
      </c>
      <c r="AZ4" s="10">
        <f>AY4*1.3</f>
        <v>793531.45984171703</v>
      </c>
      <c r="BA4" s="10">
        <f>AZ4*1.3</f>
        <v>1031590.8977942322</v>
      </c>
      <c r="BB4" s="10">
        <f>BA4*1.3</f>
        <v>1341068.167132502</v>
      </c>
      <c r="BC4" s="10">
        <f>BB4*1.3</f>
        <v>1743388.6172722527</v>
      </c>
      <c r="BD4" s="10">
        <f>BC4*1.3</f>
        <v>2266405.2024539285</v>
      </c>
      <c r="BE4" s="10">
        <f>BD4*1.3</f>
        <v>2946326.7631901074</v>
      </c>
      <c r="BF4" s="10">
        <f>BE4*1.3</f>
        <v>3830224.7921471396</v>
      </c>
      <c r="BG4" s="10">
        <f>BF4*1.3</f>
        <v>4979292.2297912817</v>
      </c>
      <c r="BH4" s="10">
        <f>BG4*1.3</f>
        <v>6473079.8987286668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10779</v>
      </c>
      <c r="E5" s="6">
        <f>IF(COUNTIF(I5:XFD5,"&gt;"&amp;0)=0,,HLOOKUP(COUNTIF(I5:XFD5,"&gt;"&amp;0)-1,I$1:XFD5,A5+1,FALSE))</f>
        <v>10779</v>
      </c>
      <c r="F5" s="7">
        <f>IF(COUNTIF(I5:XFD5,"&gt;"&amp;0)=0,,HLOOKUP(COUNTIF(I5:XFD5,"&gt;"&amp;0)-MIN($F$1+1,COUNTIF(I5:XFD5,"&gt;"&amp;0)),I$1:XFD5,A5+1,FALSE))</f>
        <v>6820</v>
      </c>
      <c r="G5" s="8">
        <f>IF(COUNTIF(I5:XFD5,"&gt;"&amp;0)=0,,(E5/F5)^(1/MIN(COUNTIF(I5:XFD5,"&gt;"&amp;0)-1,$F$1)))</f>
        <v>1.0958694483794882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  <c r="AP5" s="9">
        <v>10779</v>
      </c>
    </row>
    <row r="6" spans="1:307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Spain</v>
      </c>
      <c r="D6" s="6">
        <f>MAX(I6:BD6)</f>
        <v>6803</v>
      </c>
      <c r="E6" s="6">
        <f>IF(COUNTIF(I6:XFD6,"&gt;"&amp;0)=0,,HLOOKUP(COUNTIF(I6:XFD6,"&gt;"&amp;0)-1,I$1:XFD6,A6+1,FALSE))</f>
        <v>6803</v>
      </c>
      <c r="F6" s="7">
        <f>IF(COUNTIF(I6:XFD6,"&gt;"&amp;0)=0,,HLOOKUP(COUNTIF(I6:XFD6,"&gt;"&amp;0)-MIN($F$1+1,COUNTIF(I6:XFD6,"&gt;"&amp;0)),I$1:XFD6,A6+1,FALSE))</f>
        <v>2808</v>
      </c>
      <c r="G6" s="8">
        <f>IF(COUNTIF(I6:XFD6,"&gt;"&amp;0)=0,,(E6/F6)^(1/MIN(COUNTIF(I6:XFD6,"&gt;"&amp;0)-1,$F$1)))</f>
        <v>1.1936051212383374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  <c r="AE6" s="9">
        <v>6803</v>
      </c>
    </row>
    <row r="7" spans="1:307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China</v>
      </c>
      <c r="D7" s="6">
        <f>MAX(I7:BD7)</f>
        <v>3123</v>
      </c>
      <c r="E7" s="6">
        <f>IF(COUNTIF(I7:XFD7,"&gt;"&amp;0)=0,,HLOOKUP(COUNTIF(I7:XFD7,"&gt;"&amp;0)-1,I$1:XFD7,A7+1,FALSE))</f>
        <v>3304</v>
      </c>
      <c r="F7" s="7">
        <f>IF(COUNTIF(I7:XFD7,"&gt;"&amp;0)=0,,HLOOKUP(COUNTIF(I7:XFD7,"&gt;"&amp;0)-MIN($F$1+1,COUNTIF(I7:XFD7,"&gt;"&amp;0)),I$1:XFD7,A7+1,FALSE))</f>
        <v>3281</v>
      </c>
      <c r="G7" s="8">
        <f>IF(COUNTIF(I7:XFD7,"&gt;"&amp;0)=0,,(E7/F7)^(1/MIN(COUNTIF(I7:XFD7,"&gt;"&amp;0)-1,$F$1)))</f>
        <v>1.0013980967632459</v>
      </c>
      <c r="H7" s="13" t="s">
        <v>337</v>
      </c>
      <c r="I7" s="9">
        <v>17</v>
      </c>
      <c r="J7" s="9">
        <v>18</v>
      </c>
      <c r="K7" s="9">
        <v>26</v>
      </c>
      <c r="L7" s="9">
        <v>42</v>
      </c>
      <c r="M7" s="9">
        <v>56</v>
      </c>
      <c r="N7" s="9">
        <v>82</v>
      </c>
      <c r="O7" s="9">
        <v>131</v>
      </c>
      <c r="P7" s="9">
        <v>133</v>
      </c>
      <c r="Q7" s="9">
        <v>171</v>
      </c>
      <c r="R7" s="9">
        <v>213</v>
      </c>
      <c r="S7" s="9">
        <v>259</v>
      </c>
      <c r="T7" s="9">
        <v>361</v>
      </c>
      <c r="U7" s="9">
        <v>425</v>
      </c>
      <c r="V7" s="9">
        <v>491</v>
      </c>
      <c r="W7" s="9">
        <v>563</v>
      </c>
      <c r="X7" s="9">
        <v>633</v>
      </c>
      <c r="Y7" s="9">
        <v>718</v>
      </c>
      <c r="Z7" s="9">
        <v>805</v>
      </c>
      <c r="AA7" s="9">
        <v>905</v>
      </c>
      <c r="AB7" s="9">
        <v>1012</v>
      </c>
      <c r="AC7" s="9">
        <v>1112</v>
      </c>
      <c r="AD7" s="9">
        <v>1117</v>
      </c>
      <c r="AE7" s="9">
        <v>1369</v>
      </c>
      <c r="AF7" s="9">
        <v>1521</v>
      </c>
      <c r="AG7" s="9">
        <v>1663</v>
      </c>
      <c r="AH7" s="9">
        <v>1766</v>
      </c>
      <c r="AI7" s="9">
        <v>1864</v>
      </c>
      <c r="AJ7" s="9">
        <v>2003</v>
      </c>
      <c r="AK7" s="9">
        <v>2116</v>
      </c>
      <c r="AL7" s="9">
        <v>2238</v>
      </c>
      <c r="AM7" s="9">
        <v>2238</v>
      </c>
      <c r="AN7" s="9">
        <v>2443</v>
      </c>
      <c r="AO7" s="9">
        <v>2445</v>
      </c>
      <c r="AP7" s="9">
        <v>2595</v>
      </c>
      <c r="AQ7" s="9">
        <v>2665</v>
      </c>
      <c r="AR7" s="9">
        <v>2717</v>
      </c>
      <c r="AS7" s="9">
        <v>2746</v>
      </c>
      <c r="AT7" s="9">
        <v>2790</v>
      </c>
      <c r="AU7" s="9">
        <v>2837</v>
      </c>
      <c r="AV7" s="9">
        <v>2872</v>
      </c>
      <c r="AW7" s="9">
        <v>2914</v>
      </c>
      <c r="AX7" s="9">
        <v>2947</v>
      </c>
      <c r="AY7" s="9">
        <v>2983</v>
      </c>
      <c r="AZ7" s="9">
        <v>3015</v>
      </c>
      <c r="BA7" s="9">
        <v>3044</v>
      </c>
      <c r="BB7" s="9">
        <v>3072</v>
      </c>
      <c r="BC7" s="9">
        <v>3100</v>
      </c>
      <c r="BD7" s="9">
        <v>3123</v>
      </c>
      <c r="BE7" s="9">
        <v>3139</v>
      </c>
      <c r="BF7" s="9">
        <v>3161</v>
      </c>
      <c r="BG7" s="9">
        <v>3172</v>
      </c>
      <c r="BH7" s="9">
        <v>3180</v>
      </c>
      <c r="BI7" s="9">
        <v>3193</v>
      </c>
      <c r="BJ7" s="9">
        <v>3203</v>
      </c>
      <c r="BK7" s="9">
        <v>3217</v>
      </c>
      <c r="BL7" s="9">
        <v>3230</v>
      </c>
      <c r="BM7" s="9">
        <v>3241</v>
      </c>
      <c r="BN7" s="9">
        <v>3249</v>
      </c>
      <c r="BO7" s="9">
        <v>3253</v>
      </c>
      <c r="BP7" s="9">
        <v>3259</v>
      </c>
      <c r="BQ7" s="9">
        <v>3274</v>
      </c>
      <c r="BR7" s="9">
        <v>3274</v>
      </c>
      <c r="BS7" s="9">
        <v>3281</v>
      </c>
      <c r="BT7" s="9">
        <v>3285</v>
      </c>
      <c r="BU7" s="9">
        <v>3291</v>
      </c>
      <c r="BV7" s="9">
        <v>3296</v>
      </c>
      <c r="BW7" s="9">
        <v>3299</v>
      </c>
      <c r="BX7" s="9">
        <v>3304</v>
      </c>
    </row>
    <row r="8" spans="1:307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France</v>
      </c>
      <c r="D8" s="6">
        <f>MAX(I8:BD8)</f>
        <v>2611</v>
      </c>
      <c r="E8" s="6">
        <f>IF(COUNTIF(I8:XFD8,"&gt;"&amp;0)=0,,HLOOKUP(COUNTIF(I8:XFD8,"&gt;"&amp;0)-1,I$1:XFD8,A8+1,FALSE))</f>
        <v>2611</v>
      </c>
      <c r="F8" s="7">
        <f>IF(COUNTIF(I8:XFD8,"&gt;"&amp;0)=0,,HLOOKUP(COUNTIF(I8:XFD8,"&gt;"&amp;0)-MIN($F$1+1,COUNTIF(I8:XFD8,"&gt;"&amp;0)),I$1:XFD8,A8+1,FALSE))</f>
        <v>1102</v>
      </c>
      <c r="G8" s="8">
        <f>IF(COUNTIF(I8:XFD8,"&gt;"&amp;0)=0,,(E8/F8)^(1/MIN(COUNTIF(I8:XFD8,"&gt;"&amp;0)-1,$F$1)))</f>
        <v>1.1882971498461545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  <c r="AF8" s="9">
        <v>2611</v>
      </c>
    </row>
    <row r="9" spans="1:307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US</v>
      </c>
      <c r="D9" s="6">
        <f>MAX(I9:BD9)</f>
        <v>2467</v>
      </c>
      <c r="E9" s="6">
        <f>IF(COUNTIF(I9:XFD9,"&gt;"&amp;0)=0,,HLOOKUP(COUNTIF(I9:XFD9,"&gt;"&amp;0)-1,I$1:XFD9,A9+1,FALSE))</f>
        <v>2467</v>
      </c>
      <c r="F9" s="7">
        <f>IF(COUNTIF(I9:XFD9,"&gt;"&amp;0)=0,,HLOOKUP(COUNTIF(I9:XFD9,"&gt;"&amp;0)-MIN($F$1+1,COUNTIF(I9:XFD9,"&gt;"&amp;0)),I$1:XFD9,A9+1,FALSE))</f>
        <v>706</v>
      </c>
      <c r="G9" s="8">
        <f>IF(COUNTIF(I9:XFD9,"&gt;"&amp;0)=0,,(E9/F9)^(1/MIN(COUNTIF(I9:XFD9,"&gt;"&amp;0)-1,$F$1)))</f>
        <v>1.2843189473795851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706</v>
      </c>
      <c r="AD9" s="9">
        <v>942</v>
      </c>
      <c r="AE9" s="9">
        <v>1209</v>
      </c>
      <c r="AF9" s="9">
        <v>1581</v>
      </c>
      <c r="AG9" s="9">
        <v>2026</v>
      </c>
      <c r="AH9" s="9">
        <v>2467</v>
      </c>
    </row>
    <row r="10" spans="1:307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United Kingdom</v>
      </c>
      <c r="D10" s="6">
        <f>MAX(I10:BD10)</f>
        <v>1231</v>
      </c>
      <c r="E10" s="6">
        <f>IF(COUNTIF(I10:XFD10,"&gt;"&amp;0)=0,,HLOOKUP(COUNTIF(I10:XFD10,"&gt;"&amp;0)-1,I$1:XFD10,A10+1,FALSE))</f>
        <v>1231</v>
      </c>
      <c r="F10" s="7">
        <f>IF(COUNTIF(I10:XFD10,"&gt;"&amp;0)=0,,HLOOKUP(COUNTIF(I10:XFD10,"&gt;"&amp;0)-MIN($F$1+1,COUNTIF(I10:XFD10,"&gt;"&amp;0)),I$1:XFD10,A10+1,FALSE))</f>
        <v>423</v>
      </c>
      <c r="G10" s="8">
        <f>IF(COUNTIF(I10:XFD10,"&gt;"&amp;0)=0,,(E10/F10)^(1/MIN(COUNTIF(I10:XFD10,"&gt;"&amp;0)-1,$F$1)))</f>
        <v>1.2381792941564989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  <c r="Y10" s="9">
        <v>761</v>
      </c>
      <c r="Z10" s="9">
        <v>1021</v>
      </c>
      <c r="AA10" s="9">
        <v>1231</v>
      </c>
    </row>
    <row r="11" spans="1:307" x14ac:dyDescent="0.25">
      <c r="A11" s="9">
        <f>A10+1</f>
        <v>10</v>
      </c>
      <c r="B11" s="9">
        <f t="array" ref="B11">IF(C11="",0,IF(OR(C11=Country_Comparison!$S$10:$S$29),1,0))</f>
        <v>1</v>
      </c>
      <c r="C11" s="9" t="str">
        <f>IF(H11="","",H11)</f>
        <v>Germany</v>
      </c>
      <c r="D11" s="6">
        <f>MAX(I11:BD11)</f>
        <v>533</v>
      </c>
      <c r="E11" s="6">
        <f>IF(COUNTIF(I11:XFD11,"&gt;"&amp;0)=0,,HLOOKUP(COUNTIF(I11:XFD11,"&gt;"&amp;0)-1,I$1:XFD11,A11+1,FALSE))</f>
        <v>533</v>
      </c>
      <c r="F11" s="7">
        <f>IF(COUNTIF(I11:XFD11,"&gt;"&amp;0)=0,,HLOOKUP(COUNTIF(I11:XFD11,"&gt;"&amp;0)-MIN($F$1+1,COUNTIF(I11:XFD11,"&gt;"&amp;0)),I$1:XFD11,A11+1,FALSE))</f>
        <v>157</v>
      </c>
      <c r="G11" s="8">
        <f>IF(COUNTIF(I11:XFD11,"&gt;"&amp;0)=0,,(E11/F11)^(1/MIN(COUNTIF(I11:XFD11,"&gt;"&amp;0)-1,$F$1)))</f>
        <v>1.276925357334211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  <c r="X11" s="9">
        <v>533</v>
      </c>
    </row>
    <row r="12" spans="1:307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Europe</v>
      </c>
      <c r="D12" s="6">
        <f>MAX(I12:BD12)</f>
        <v>24334</v>
      </c>
      <c r="E12" s="6">
        <f>IF(COUNTIF(I12:XFD12,"&gt;"&amp;0)=0,,HLOOKUP(COUNTIF(I12:XFD12,"&gt;"&amp;0)-1,I$1:XFD12,A12+1,FALSE))</f>
        <v>24334</v>
      </c>
      <c r="F12" s="7">
        <f>IF(COUNTIF(I12:XFD12,"&gt;"&amp;0)=0,,HLOOKUP(COUNTIF(I12:XFD12,"&gt;"&amp;0)-MIN($F$1+1,COUNTIF(I12:XFD12,"&gt;"&amp;0)),I$1:XFD12,A12+1,FALSE))</f>
        <v>12139</v>
      </c>
      <c r="G12" s="8">
        <f>IF(COUNTIF(I12:XFD12,"&gt;"&amp;0)=0,,(E12/F12)^(1/MIN(COUNTIF(I12:XFD12,"&gt;"&amp;0)-1,$F$1)))</f>
        <v>1.1492277877240942</v>
      </c>
      <c r="H12" s="13" t="s">
        <v>609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  <c r="AO12" s="9">
        <v>19050</v>
      </c>
      <c r="AP12" s="9">
        <v>21776</v>
      </c>
      <c r="AQ12" s="9">
        <v>24334</v>
      </c>
    </row>
    <row r="13" spans="1:307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World</v>
      </c>
      <c r="D13" s="6">
        <f>MAX(I13:BD13)</f>
        <v>3982</v>
      </c>
      <c r="E13" s="6">
        <f>IF(COUNTIF(I13:XFD13,"&gt;"&amp;0)=0,,HLOOKUP(COUNTIF(I13:XFD13,"&gt;"&amp;0)-1,I$1:XFD13,A13+1,FALSE))</f>
        <v>33885</v>
      </c>
      <c r="F13" s="7">
        <f>IF(COUNTIF(I13:XFD13,"&gt;"&amp;0)=0,,HLOOKUP(COUNTIF(I13:XFD13,"&gt;"&amp;0)-MIN($F$1+1,COUNTIF(I13:XFD13,"&gt;"&amp;0)),I$1:XFD13,A13+1,FALSE))</f>
        <v>18605</v>
      </c>
      <c r="G13" s="8">
        <f>IF(COUNTIF(I13:XFD13,"&gt;"&amp;0)=0,,(E13/F13)^(1/MIN(COUNTIF(I13:XFD13,"&gt;"&amp;0)-1,$F$1)))</f>
        <v>1.1273935949121874</v>
      </c>
      <c r="H13" s="13" t="s">
        <v>606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1666</v>
      </c>
      <c r="AH13" s="9">
        <v>1770</v>
      </c>
      <c r="AI13" s="9">
        <v>1868</v>
      </c>
      <c r="AJ13" s="9">
        <v>2007</v>
      </c>
      <c r="AK13" s="9">
        <v>2122</v>
      </c>
      <c r="AL13" s="9">
        <v>2245</v>
      </c>
      <c r="AM13" s="9">
        <v>2249</v>
      </c>
      <c r="AN13" s="9">
        <v>2456</v>
      </c>
      <c r="AO13" s="9">
        <v>2466</v>
      </c>
      <c r="AP13" s="9">
        <v>2626</v>
      </c>
      <c r="AQ13" s="9">
        <v>2705</v>
      </c>
      <c r="AR13" s="9">
        <v>2766</v>
      </c>
      <c r="AS13" s="9">
        <v>2810</v>
      </c>
      <c r="AT13" s="9">
        <v>2866</v>
      </c>
      <c r="AU13" s="9">
        <v>2935</v>
      </c>
      <c r="AV13" s="9">
        <v>2990</v>
      </c>
      <c r="AW13" s="9">
        <v>3079</v>
      </c>
      <c r="AX13" s="9">
        <v>3154</v>
      </c>
      <c r="AY13" s="9">
        <v>3248</v>
      </c>
      <c r="AZ13" s="9">
        <v>3342</v>
      </c>
      <c r="BA13" s="9">
        <v>3454</v>
      </c>
      <c r="BB13" s="9">
        <v>3552</v>
      </c>
      <c r="BC13" s="9">
        <v>3796</v>
      </c>
      <c r="BD13" s="9">
        <v>3982</v>
      </c>
      <c r="BE13" s="9">
        <v>4256</v>
      </c>
      <c r="BF13" s="9">
        <v>4608</v>
      </c>
      <c r="BG13" s="9">
        <v>4948</v>
      </c>
      <c r="BH13" s="9">
        <v>5400</v>
      </c>
      <c r="BI13" s="9">
        <v>5812</v>
      </c>
      <c r="BJ13" s="9">
        <v>6483</v>
      </c>
      <c r="BK13" s="9">
        <v>7118</v>
      </c>
      <c r="BL13" s="9">
        <v>7938</v>
      </c>
      <c r="BM13" s="9">
        <v>8872</v>
      </c>
      <c r="BN13" s="9">
        <v>9987</v>
      </c>
      <c r="BO13" s="9">
        <v>11290</v>
      </c>
      <c r="BP13" s="9">
        <v>12961</v>
      </c>
      <c r="BQ13" s="9">
        <v>14638</v>
      </c>
      <c r="BR13" s="9">
        <v>16488</v>
      </c>
      <c r="BS13" s="9">
        <v>18605</v>
      </c>
      <c r="BT13" s="9">
        <v>21157</v>
      </c>
      <c r="BU13" s="9">
        <v>23944</v>
      </c>
      <c r="BV13" s="9">
        <v>27168</v>
      </c>
      <c r="BW13" s="9">
        <v>30618</v>
      </c>
      <c r="BX13" s="9">
        <v>33885</v>
      </c>
    </row>
    <row r="14" spans="1:307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Asia</v>
      </c>
      <c r="D14" s="6">
        <f>MAX(I14:BD14)</f>
        <v>3189</v>
      </c>
      <c r="E14" s="6">
        <f>IF(COUNTIF(I14:XFD14,"&gt;"&amp;0)=0,,HLOOKUP(COUNTIF(I14:XFD14,"&gt;"&amp;0)-1,I$1:XFD14,A14+1,FALSE))</f>
        <v>3803</v>
      </c>
      <c r="F14" s="7">
        <f>IF(COUNTIF(I14:XFD14,"&gt;"&amp;0)=0,,HLOOKUP(COUNTIF(I14:XFD14,"&gt;"&amp;0)-MIN($F$1+1,COUNTIF(I14:XFD14,"&gt;"&amp;0)),I$1:XFD14,A14+1,FALSE))</f>
        <v>3581</v>
      </c>
      <c r="G14" s="8">
        <f>IF(COUNTIF(I14:XFD14,"&gt;"&amp;0)=0,,(E14/F14)^(1/MIN(COUNTIF(I14:XFD14,"&gt;"&amp;0)-1,$F$1)))</f>
        <v>1.0121022745690191</v>
      </c>
      <c r="H14" s="13" t="s">
        <v>608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1665</v>
      </c>
      <c r="AH14" s="9">
        <v>1769</v>
      </c>
      <c r="AI14" s="9">
        <v>1867</v>
      </c>
      <c r="AJ14" s="9">
        <v>2006</v>
      </c>
      <c r="AK14" s="9">
        <v>2119</v>
      </c>
      <c r="AL14" s="9">
        <v>2242</v>
      </c>
      <c r="AM14" s="9">
        <v>2243</v>
      </c>
      <c r="AN14" s="9">
        <v>2448</v>
      </c>
      <c r="AO14" s="9">
        <v>2454</v>
      </c>
      <c r="AP14" s="9">
        <v>2606</v>
      </c>
      <c r="AQ14" s="9">
        <v>2678</v>
      </c>
      <c r="AR14" s="9">
        <v>2733</v>
      </c>
      <c r="AS14" s="9">
        <v>2765</v>
      </c>
      <c r="AT14" s="9">
        <v>2809</v>
      </c>
      <c r="AU14" s="9">
        <v>2860</v>
      </c>
      <c r="AV14" s="9">
        <v>2898</v>
      </c>
      <c r="AW14" s="9">
        <v>2951</v>
      </c>
      <c r="AX14" s="9">
        <v>2984</v>
      </c>
      <c r="AY14" s="9">
        <v>3027</v>
      </c>
      <c r="AZ14" s="9">
        <v>3059</v>
      </c>
      <c r="BA14" s="9">
        <v>3095</v>
      </c>
      <c r="BB14" s="9">
        <v>3125</v>
      </c>
      <c r="BC14" s="9">
        <v>3159</v>
      </c>
      <c r="BD14" s="9">
        <v>3189</v>
      </c>
      <c r="BE14" s="9">
        <v>3206</v>
      </c>
      <c r="BF14" s="9">
        <v>3241</v>
      </c>
      <c r="BG14" s="9">
        <v>3260</v>
      </c>
      <c r="BH14" s="9">
        <v>3279</v>
      </c>
      <c r="BI14" s="9">
        <v>3305</v>
      </c>
      <c r="BJ14" s="9">
        <v>3321</v>
      </c>
      <c r="BK14" s="9">
        <v>3341</v>
      </c>
      <c r="BL14" s="9">
        <v>3365</v>
      </c>
      <c r="BM14" s="9">
        <v>3401</v>
      </c>
      <c r="BN14" s="9">
        <v>3424</v>
      </c>
      <c r="BO14" s="9">
        <v>3450</v>
      </c>
      <c r="BP14" s="9">
        <v>3473</v>
      </c>
      <c r="BQ14" s="9">
        <v>3530</v>
      </c>
      <c r="BR14" s="9">
        <v>3549</v>
      </c>
      <c r="BS14" s="9">
        <v>3581</v>
      </c>
      <c r="BT14" s="9">
        <v>3610</v>
      </c>
      <c r="BU14" s="9">
        <v>3664</v>
      </c>
      <c r="BV14" s="9">
        <v>3704</v>
      </c>
      <c r="BW14" s="9">
        <v>3754</v>
      </c>
      <c r="BX14" s="9">
        <v>3803</v>
      </c>
    </row>
    <row r="15" spans="1:307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Middle East</v>
      </c>
      <c r="D15" s="6">
        <f>MAX(I15:BD15)</f>
        <v>2730</v>
      </c>
      <c r="E15" s="6">
        <f>IF(COUNTIF(I15:XFD15,"&gt;"&amp;0)=0,,HLOOKUP(COUNTIF(I15:XFD15,"&gt;"&amp;0)-1,I$1:XFD15,A15+1,FALSE))</f>
        <v>2730</v>
      </c>
      <c r="F15" s="7">
        <f>IF(COUNTIF(I15:XFD15,"&gt;"&amp;0)=0,,HLOOKUP(COUNTIF(I15:XFD15,"&gt;"&amp;0)-MIN($F$1+1,COUNTIF(I15:XFD15,"&gt;"&amp;0)),I$1:XFD15,A15+1,FALSE))</f>
        <v>1975</v>
      </c>
      <c r="G15" s="8">
        <f>IF(COUNTIF(I15:XFD15,"&gt;"&amp;0)=0,,(E15/F15)^(1/MIN(COUNTIF(I15:XFD15,"&gt;"&amp;0)-1,$F$1)))</f>
        <v>1.066888685535861</v>
      </c>
      <c r="H15" s="13" t="s">
        <v>610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94</v>
      </c>
      <c r="T15" s="9">
        <v>109</v>
      </c>
      <c r="U15" s="9">
        <v>127</v>
      </c>
      <c r="V15" s="9">
        <v>149</v>
      </c>
      <c r="W15" s="9">
        <v>200</v>
      </c>
      <c r="X15" s="9">
        <v>243</v>
      </c>
      <c r="Y15" s="9">
        <v>299</v>
      </c>
      <c r="Z15" s="9">
        <v>364</v>
      </c>
      <c r="AA15" s="9">
        <v>440</v>
      </c>
      <c r="AB15" s="9">
        <v>526</v>
      </c>
      <c r="AC15" s="9">
        <v>624</v>
      </c>
      <c r="AD15" s="9">
        <v>737</v>
      </c>
      <c r="AE15" s="9">
        <v>867</v>
      </c>
      <c r="AF15" s="9">
        <v>1003</v>
      </c>
      <c r="AG15" s="9">
        <v>1151</v>
      </c>
      <c r="AH15" s="9">
        <v>1302</v>
      </c>
      <c r="AI15" s="9">
        <v>1457</v>
      </c>
      <c r="AJ15" s="9">
        <v>1581</v>
      </c>
      <c r="AK15" s="9">
        <v>1715</v>
      </c>
      <c r="AL15" s="9">
        <v>1845</v>
      </c>
      <c r="AM15" s="9">
        <v>1975</v>
      </c>
      <c r="AN15" s="9">
        <v>2127</v>
      </c>
      <c r="AO15" s="9">
        <v>2297</v>
      </c>
      <c r="AP15" s="9">
        <v>2452</v>
      </c>
      <c r="AQ15" s="9">
        <v>2595</v>
      </c>
      <c r="AR15" s="9">
        <v>2730</v>
      </c>
    </row>
    <row r="16" spans="1:307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Iran</v>
      </c>
      <c r="D16" s="6">
        <f>MAX(I16:BD16)</f>
        <v>2640</v>
      </c>
      <c r="E16" s="6">
        <f>IF(COUNTIF(I16:XFD16,"&gt;"&amp;0)=0,,HLOOKUP(COUNTIF(I16:XFD16,"&gt;"&amp;0)-1,I$1:XFD16,A16+1,FALSE))</f>
        <v>2640</v>
      </c>
      <c r="F16" s="7">
        <f>IF(COUNTIF(I16:XFD16,"&gt;"&amp;0)=0,,HLOOKUP(COUNTIF(I16:XFD16,"&gt;"&amp;0)-MIN($F$1+1,COUNTIF(I16:XFD16,"&gt;"&amp;0)),I$1:XFD16,A16+1,FALSE))</f>
        <v>1934</v>
      </c>
      <c r="G16" s="8">
        <f>IF(COUNTIF(I16:XFD16,"&gt;"&amp;0)=0,,(E16/F16)^(1/MIN(COUNTIF(I16:XFD16,"&gt;"&amp;0)-1,$F$1)))</f>
        <v>1.0642152829212979</v>
      </c>
      <c r="H16" s="15" t="s">
        <v>338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92</v>
      </c>
      <c r="T16" s="9">
        <v>107</v>
      </c>
      <c r="U16" s="9">
        <v>124</v>
      </c>
      <c r="V16" s="9">
        <v>145</v>
      </c>
      <c r="W16" s="9">
        <v>194</v>
      </c>
      <c r="X16" s="9">
        <v>237</v>
      </c>
      <c r="Y16" s="9">
        <v>291</v>
      </c>
      <c r="Z16" s="9">
        <v>354</v>
      </c>
      <c r="AA16" s="9">
        <v>429</v>
      </c>
      <c r="AB16" s="9">
        <v>514</v>
      </c>
      <c r="AC16" s="9">
        <v>611</v>
      </c>
      <c r="AD16" s="9">
        <v>724</v>
      </c>
      <c r="AE16" s="9">
        <v>853</v>
      </c>
      <c r="AF16" s="9">
        <v>988</v>
      </c>
      <c r="AG16" s="9">
        <v>1135</v>
      </c>
      <c r="AH16" s="9">
        <v>1284</v>
      </c>
      <c r="AI16" s="9">
        <v>1433</v>
      </c>
      <c r="AJ16" s="9">
        <v>1556</v>
      </c>
      <c r="AK16" s="9">
        <v>1685</v>
      </c>
      <c r="AL16" s="9">
        <v>1812</v>
      </c>
      <c r="AM16" s="9">
        <v>1934</v>
      </c>
      <c r="AN16" s="9">
        <v>2077</v>
      </c>
      <c r="AO16" s="9">
        <v>2234</v>
      </c>
      <c r="AP16" s="9">
        <v>2378</v>
      </c>
      <c r="AQ16" s="9">
        <v>2517</v>
      </c>
      <c r="AR16" s="9">
        <v>2640</v>
      </c>
    </row>
    <row r="17" spans="1:43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North America</v>
      </c>
      <c r="D17" s="6">
        <f>MAX(I17:BD17)</f>
        <v>2570</v>
      </c>
      <c r="E17" s="6">
        <f>IF(COUNTIF(I17:XFD17,"&gt;"&amp;0)=0,,HLOOKUP(COUNTIF(I17:XFD17,"&gt;"&amp;0)-1,I$1:XFD17,A17+1,FALSE))</f>
        <v>2570</v>
      </c>
      <c r="F17" s="7">
        <f>IF(COUNTIF(I17:XFD17,"&gt;"&amp;0)=0,,HLOOKUP(COUNTIF(I17:XFD17,"&gt;"&amp;0)-MIN($F$1+1,COUNTIF(I17:XFD17,"&gt;"&amp;0)),I$1:XFD17,A17+1,FALSE))</f>
        <v>746</v>
      </c>
      <c r="G17" s="8">
        <f>IF(COUNTIF(I17:XFD17,"&gt;"&amp;0)=0,,(E17/F17)^(1/MIN(COUNTIF(I17:XFD17,"&gt;"&amp;0)-1,$F$1)))</f>
        <v>1.2806747859382992</v>
      </c>
      <c r="H17" s="13" t="s">
        <v>611</v>
      </c>
      <c r="I17" s="9">
        <v>11</v>
      </c>
      <c r="J17" s="9">
        <v>12</v>
      </c>
      <c r="K17" s="9">
        <v>14</v>
      </c>
      <c r="L17" s="9">
        <v>17</v>
      </c>
      <c r="M17" s="9">
        <v>21</v>
      </c>
      <c r="N17" s="9">
        <v>23</v>
      </c>
      <c r="O17" s="9">
        <v>29</v>
      </c>
      <c r="P17" s="9">
        <v>38</v>
      </c>
      <c r="Q17" s="9">
        <v>42</v>
      </c>
      <c r="R17" s="9">
        <v>49</v>
      </c>
      <c r="S17" s="9">
        <v>56</v>
      </c>
      <c r="T17" s="9">
        <v>65</v>
      </c>
      <c r="U17" s="9">
        <v>90</v>
      </c>
      <c r="V17" s="9">
        <v>114</v>
      </c>
      <c r="W17" s="9">
        <v>128</v>
      </c>
      <c r="X17" s="9">
        <v>214</v>
      </c>
      <c r="Y17" s="9">
        <v>261</v>
      </c>
      <c r="Z17" s="9">
        <v>333</v>
      </c>
      <c r="AA17" s="9">
        <v>447</v>
      </c>
      <c r="AB17" s="9">
        <v>595</v>
      </c>
      <c r="AC17" s="9">
        <v>746</v>
      </c>
      <c r="AD17" s="9">
        <v>989</v>
      </c>
      <c r="AE17" s="9">
        <v>1266</v>
      </c>
      <c r="AF17" s="9">
        <v>1657</v>
      </c>
      <c r="AG17" s="9">
        <v>2119</v>
      </c>
      <c r="AH17" s="9">
        <v>2570</v>
      </c>
    </row>
    <row r="18" spans="1:43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Netherlands</v>
      </c>
      <c r="D18" s="6">
        <f>MAX(I18:BD18)</f>
        <v>772</v>
      </c>
      <c r="E18" s="6">
        <f>IF(COUNTIF(I18:XFD18,"&gt;"&amp;0)=0,,HLOOKUP(COUNTIF(I18:XFD18,"&gt;"&amp;0)-1,I$1:XFD18,A18+1,FALSE))</f>
        <v>772</v>
      </c>
      <c r="F18" s="7">
        <f>IF(COUNTIF(I18:XFD18,"&gt;"&amp;0)=0,,HLOOKUP(COUNTIF(I18:XFD18,"&gt;"&amp;0)-MIN($F$1+1,COUNTIF(I18:XFD18,"&gt;"&amp;0)),I$1:XFD18,A18+1,FALSE))</f>
        <v>277</v>
      </c>
      <c r="G18" s="8">
        <f>IF(COUNTIF(I18:XFD18,"&gt;"&amp;0)=0,,(E18/F18)^(1/MIN(COUNTIF(I18:XFD18,"&gt;"&amp;0)-1,$F$1)))</f>
        <v>1.227516974086724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</row>
    <row r="19" spans="1:43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Belgium</v>
      </c>
      <c r="D19" s="6">
        <f>MAX(I19:BD19)</f>
        <v>431</v>
      </c>
      <c r="E19" s="6">
        <f>IF(COUNTIF(I19:XFD19,"&gt;"&amp;0)=0,,HLOOKUP(COUNTIF(I19:XFD19,"&gt;"&amp;0)-1,I$1:XFD19,A19+1,FALSE))</f>
        <v>431</v>
      </c>
      <c r="F19" s="7">
        <f>IF(COUNTIF(I19:XFD19,"&gt;"&amp;0)=0,,HLOOKUP(COUNTIF(I19:XFD19,"&gt;"&amp;0)-MIN($F$1+1,COUNTIF(I19:XFD19,"&gt;"&amp;0)),I$1:XFD19,A19+1,FALSE))</f>
        <v>122</v>
      </c>
      <c r="G19" s="8">
        <f>IF(COUNTIF(I19:XFD19,"&gt;"&amp;0)=0,,(E19/F19)^(1/MIN(COUNTIF(I19:XFD19,"&gt;"&amp;0)-1,$F$1)))</f>
        <v>1.2871331862431279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</row>
    <row r="20" spans="1:43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Switzerland</v>
      </c>
      <c r="D20" s="6">
        <f>MAX(I20:BD20)</f>
        <v>300</v>
      </c>
      <c r="E20" s="6">
        <f>IF(COUNTIF(I20:XFD20,"&gt;"&amp;0)=0,,HLOOKUP(COUNTIF(I20:XFD20,"&gt;"&amp;0)-1,I$1:XFD20,A20+1,FALSE))</f>
        <v>300</v>
      </c>
      <c r="F20" s="7">
        <f>IF(COUNTIF(I20:XFD20,"&gt;"&amp;0)=0,,HLOOKUP(COUNTIF(I20:XFD20,"&gt;"&amp;0)-MIN($F$1+1,COUNTIF(I20:XFD20,"&gt;"&amp;0)),I$1:XFD20,A20+1,FALSE))</f>
        <v>122</v>
      </c>
      <c r="G20" s="8">
        <f>IF(COUNTIF(I20:XFD20,"&gt;"&amp;0)=0,,(E20/F20)^(1/MIN(COUNTIF(I20:XFD20,"&gt;"&amp;0)-1,$F$1)))</f>
        <v>1.1971602404368828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  <c r="W20" s="9">
        <v>231</v>
      </c>
      <c r="X20" s="9">
        <v>264</v>
      </c>
      <c r="Y20" s="9">
        <v>300</v>
      </c>
    </row>
    <row r="21" spans="1:43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South America</v>
      </c>
      <c r="D21" s="6">
        <f>MAX(I21:BD21)</f>
        <v>295</v>
      </c>
      <c r="E21" s="6">
        <f>IF(COUNTIF(I21:XFD21,"&gt;"&amp;0)=0,,HLOOKUP(COUNTIF(I21:XFD21,"&gt;"&amp;0)-1,I$1:XFD21,A21+1,FALSE))</f>
        <v>295</v>
      </c>
      <c r="F21" s="7">
        <f>IF(COUNTIF(I21:XFD21,"&gt;"&amp;0)=0,,HLOOKUP(COUNTIF(I21:XFD21,"&gt;"&amp;0)-MIN($F$1+1,COUNTIF(I21:XFD21,"&gt;"&amp;0)),I$1:XFD21,A21+1,FALSE))</f>
        <v>100</v>
      </c>
      <c r="G21" s="8">
        <f>IF(COUNTIF(I21:XFD21,"&gt;"&amp;0)=0,,(E21/F21)^(1/MIN(COUNTIF(I21:XFD21,"&gt;"&amp;0)-1,$F$1)))</f>
        <v>1.2415505401401303</v>
      </c>
      <c r="H21" s="13" t="s">
        <v>612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  <c r="R21" s="9">
        <v>188</v>
      </c>
      <c r="S21" s="9">
        <v>238</v>
      </c>
      <c r="T21" s="9">
        <v>295</v>
      </c>
    </row>
    <row r="22" spans="1:43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Korea, South</v>
      </c>
      <c r="D22" s="6">
        <f>MAX(I22:BD22)</f>
        <v>152</v>
      </c>
      <c r="E22" s="6">
        <f>IF(COUNTIF(I22:XFD22,"&gt;"&amp;0)=0,,HLOOKUP(COUNTIF(I22:XFD22,"&gt;"&amp;0)-1,I$1:XFD22,A22+1,FALSE))</f>
        <v>152</v>
      </c>
      <c r="F22" s="7">
        <f>IF(COUNTIF(I22:XFD22,"&gt;"&amp;0)=0,,HLOOKUP(COUNTIF(I22:XFD22,"&gt;"&amp;0)-MIN($F$1+1,COUNTIF(I22:XFD22,"&gt;"&amp;0)),I$1:XFD22,A22+1,FALSE))</f>
        <v>120</v>
      </c>
      <c r="G22" s="8">
        <f>IF(COUNTIF(I22:XFD22,"&gt;"&amp;0)=0,,(E22/F22)^(1/MIN(COUNTIF(I22:XFD22,"&gt;"&amp;0)-1,$F$1)))</f>
        <v>1.0484131712847216</v>
      </c>
      <c r="H22" s="13" t="s">
        <v>339</v>
      </c>
      <c r="I22" s="9">
        <v>8</v>
      </c>
      <c r="J22" s="9">
        <v>10</v>
      </c>
      <c r="K22" s="9">
        <v>12</v>
      </c>
      <c r="L22" s="9">
        <v>13</v>
      </c>
      <c r="M22" s="9">
        <v>13</v>
      </c>
      <c r="N22" s="9">
        <v>16</v>
      </c>
      <c r="O22" s="9">
        <v>17</v>
      </c>
      <c r="P22" s="9">
        <v>28</v>
      </c>
      <c r="Q22" s="9">
        <v>28</v>
      </c>
      <c r="R22" s="9">
        <v>35</v>
      </c>
      <c r="S22" s="9">
        <v>35</v>
      </c>
      <c r="T22" s="9">
        <v>42</v>
      </c>
      <c r="U22" s="9">
        <v>44</v>
      </c>
      <c r="V22" s="9">
        <v>50</v>
      </c>
      <c r="W22" s="9">
        <v>53</v>
      </c>
      <c r="X22" s="9">
        <v>54</v>
      </c>
      <c r="Y22" s="9">
        <v>60</v>
      </c>
      <c r="Z22" s="9">
        <v>66</v>
      </c>
      <c r="AA22" s="9">
        <v>66</v>
      </c>
      <c r="AB22" s="9">
        <v>72</v>
      </c>
      <c r="AC22" s="9">
        <v>75</v>
      </c>
      <c r="AD22" s="9">
        <v>75</v>
      </c>
      <c r="AE22" s="9">
        <v>81</v>
      </c>
      <c r="AF22" s="9">
        <v>84</v>
      </c>
      <c r="AG22" s="9">
        <v>91</v>
      </c>
      <c r="AH22" s="9">
        <v>94</v>
      </c>
      <c r="AI22" s="9">
        <v>102</v>
      </c>
      <c r="AJ22" s="9">
        <v>111</v>
      </c>
      <c r="AK22" s="9">
        <v>111</v>
      </c>
      <c r="AL22" s="9">
        <v>120</v>
      </c>
      <c r="AM22" s="9">
        <v>126</v>
      </c>
      <c r="AN22" s="9">
        <v>131</v>
      </c>
      <c r="AO22" s="9">
        <v>139</v>
      </c>
      <c r="AP22" s="9">
        <v>144</v>
      </c>
      <c r="AQ22" s="9">
        <v>152</v>
      </c>
    </row>
    <row r="23" spans="1:43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Brazil</v>
      </c>
      <c r="D23" s="6">
        <f>MAX(I23:BD23)</f>
        <v>136</v>
      </c>
      <c r="E23" s="6">
        <f>IF(COUNTIF(I23:XFD23,"&gt;"&amp;0)=0,,HLOOKUP(COUNTIF(I23:XFD23,"&gt;"&amp;0)-1,I$1:XFD23,A23+1,FALSE))</f>
        <v>136</v>
      </c>
      <c r="F23" s="7">
        <f>IF(COUNTIF(I23:XFD23,"&gt;"&amp;0)=0,,HLOOKUP(COUNTIF(I23:XFD23,"&gt;"&amp;0)-MIN($F$1+1,COUNTIF(I23:XFD23,"&gt;"&amp;0)),I$1:XFD23,A23+1,FALSE))</f>
        <v>46</v>
      </c>
      <c r="G23" s="8">
        <f>IF(COUNTIF(I23:XFD23,"&gt;"&amp;0)=0,,(E23/F23)^(1/MIN(COUNTIF(I23:XFD23,"&gt;"&amp;0)-1,$F$1)))</f>
        <v>1.2420990091540978</v>
      </c>
      <c r="H23" s="13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</row>
    <row r="24" spans="1:43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Africa</v>
      </c>
      <c r="D24" s="6">
        <f>MAX(I24:BD24)</f>
        <v>136</v>
      </c>
      <c r="E24" s="6">
        <f>IF(COUNTIF(I24:XFD24,"&gt;"&amp;0)=0,,HLOOKUP(COUNTIF(I24:XFD24,"&gt;"&amp;0)-1,I$1:XFD24,A24+1,FALSE))</f>
        <v>136</v>
      </c>
      <c r="F24" s="7">
        <f>IF(COUNTIF(I24:XFD24,"&gt;"&amp;0)=0,,HLOOKUP(COUNTIF(I24:XFD24,"&gt;"&amp;0)-MIN($F$1+1,COUNTIF(I24:XFD24,"&gt;"&amp;0)),I$1:XFD24,A24+1,FALSE))</f>
        <v>56</v>
      </c>
      <c r="G24" s="8">
        <f>IF(COUNTIF(I24:XFD24,"&gt;"&amp;0)=0,,(E24/F24)^(1/MIN(COUNTIF(I24:XFD24,"&gt;"&amp;0)-1,$F$1)))</f>
        <v>1.1941810528171777</v>
      </c>
      <c r="H24" s="13" t="s">
        <v>613</v>
      </c>
      <c r="I24" s="9">
        <v>8</v>
      </c>
      <c r="J24" s="9">
        <v>8</v>
      </c>
      <c r="K24" s="9">
        <v>11</v>
      </c>
      <c r="L24" s="9">
        <v>17</v>
      </c>
      <c r="M24" s="9">
        <v>20</v>
      </c>
      <c r="N24" s="9">
        <v>25</v>
      </c>
      <c r="O24" s="9">
        <v>33</v>
      </c>
      <c r="P24" s="9">
        <v>44</v>
      </c>
      <c r="Q24" s="9">
        <v>50</v>
      </c>
      <c r="R24" s="9">
        <v>56</v>
      </c>
      <c r="S24" s="9">
        <v>62</v>
      </c>
      <c r="T24" s="9">
        <v>80</v>
      </c>
      <c r="U24" s="9">
        <v>104</v>
      </c>
      <c r="V24" s="9">
        <v>122</v>
      </c>
      <c r="W24" s="9">
        <v>136</v>
      </c>
    </row>
    <row r="25" spans="1:43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Turkey</v>
      </c>
      <c r="D25" s="6">
        <f>MAX(I25:BD25)</f>
        <v>131</v>
      </c>
      <c r="E25" s="6">
        <f>IF(COUNTIF(I25:XFD25,"&gt;"&amp;0)=0,,HLOOKUP(COUNTIF(I25:XFD25,"&gt;"&amp;0)-1,I$1:XFD25,A25+1,FALSE))</f>
        <v>131</v>
      </c>
      <c r="F25" s="7">
        <f>IF(COUNTIF(I25:XFD25,"&gt;"&amp;0)=0,,HLOOKUP(COUNTIF(I25:XFD25,"&gt;"&amp;0)-MIN($F$1+1,COUNTIF(I25:XFD25,"&gt;"&amp;0)),I$1:XFD25,A25+1,FALSE))</f>
        <v>44</v>
      </c>
      <c r="G25" s="8">
        <f>IF(COUNTIF(I25:XFD25,"&gt;"&amp;0)=0,,(E25/F25)^(1/MIN(COUNTIF(I25:XFD25,"&gt;"&amp;0)-1,$F$1)))</f>
        <v>1.2438377227485384</v>
      </c>
      <c r="H25" s="13" t="s">
        <v>355</v>
      </c>
      <c r="I25" s="9">
        <v>9</v>
      </c>
      <c r="J25" s="9">
        <v>30</v>
      </c>
      <c r="K25" s="9">
        <v>37</v>
      </c>
      <c r="L25" s="9">
        <v>44</v>
      </c>
      <c r="M25" s="9">
        <v>59</v>
      </c>
      <c r="N25" s="9">
        <v>75</v>
      </c>
      <c r="O25" s="9">
        <v>92</v>
      </c>
      <c r="P25" s="9">
        <v>108</v>
      </c>
      <c r="Q25" s="9">
        <v>131</v>
      </c>
    </row>
    <row r="26" spans="1:43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Portugal</v>
      </c>
      <c r="D26" s="6">
        <f>MAX(I26:BD26)</f>
        <v>119</v>
      </c>
      <c r="E26" s="6">
        <f>IF(COUNTIF(I26:XFD26,"&gt;"&amp;0)=0,,HLOOKUP(COUNTIF(I26:XFD26,"&gt;"&amp;0)-1,I$1:XFD26,A26+1,FALSE))</f>
        <v>119</v>
      </c>
      <c r="F26" s="7">
        <f>IF(COUNTIF(I26:XFD26,"&gt;"&amp;0)=0,,HLOOKUP(COUNTIF(I26:XFD26,"&gt;"&amp;0)-MIN($F$1+1,COUNTIF(I26:XFD26,"&gt;"&amp;0)),I$1:XFD26,A26+1,FALSE))</f>
        <v>33</v>
      </c>
      <c r="G26" s="8">
        <f>IF(COUNTIF(I26:XFD26,"&gt;"&amp;0)=0,,(E26/F26)^(1/MIN(COUNTIF(I26:XFD26,"&gt;"&amp;0)-1,$F$1)))</f>
        <v>1.2924287321300787</v>
      </c>
      <c r="H26" s="13" t="s">
        <v>108</v>
      </c>
      <c r="I26" s="9">
        <v>12</v>
      </c>
      <c r="J26" s="9">
        <v>14</v>
      </c>
      <c r="K26" s="9">
        <v>23</v>
      </c>
      <c r="L26" s="9">
        <v>33</v>
      </c>
      <c r="M26" s="9">
        <v>43</v>
      </c>
      <c r="N26" s="9">
        <v>60</v>
      </c>
      <c r="O26" s="9">
        <v>76</v>
      </c>
      <c r="P26" s="9">
        <v>100</v>
      </c>
      <c r="Q26" s="9">
        <v>119</v>
      </c>
    </row>
    <row r="27" spans="1:43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Indonesia</v>
      </c>
      <c r="D27" s="6">
        <f>MAX(I27:BD27)</f>
        <v>114</v>
      </c>
      <c r="E27" s="6">
        <f>IF(COUNTIF(I27:XFD27,"&gt;"&amp;0)=0,,HLOOKUP(COUNTIF(I27:XFD27,"&gt;"&amp;0)-1,I$1:XFD27,A27+1,FALSE))</f>
        <v>114</v>
      </c>
      <c r="F27" s="7">
        <f>IF(COUNTIF(I27:XFD27,"&gt;"&amp;0)=0,,HLOOKUP(COUNTIF(I27:XFD27,"&gt;"&amp;0)-MIN($F$1+1,COUNTIF(I27:XFD27,"&gt;"&amp;0)),I$1:XFD27,A27+1,FALSE))</f>
        <v>55</v>
      </c>
      <c r="G27" s="8">
        <f>IF(COUNTIF(I27:XFD27,"&gt;"&amp;0)=0,,(E27/F27)^(1/MIN(COUNTIF(I27:XFD27,"&gt;"&amp;0)-1,$F$1)))</f>
        <v>1.1569335952206299</v>
      </c>
      <c r="H27" s="13" t="s">
        <v>107</v>
      </c>
      <c r="I27" s="9">
        <v>19</v>
      </c>
      <c r="J27" s="9">
        <v>25</v>
      </c>
      <c r="K27" s="9">
        <v>32</v>
      </c>
      <c r="L27" s="9">
        <v>38</v>
      </c>
      <c r="M27" s="9">
        <v>48</v>
      </c>
      <c r="N27" s="9">
        <v>49</v>
      </c>
      <c r="O27" s="9">
        <v>55</v>
      </c>
      <c r="P27" s="9">
        <v>58</v>
      </c>
      <c r="Q27" s="9">
        <v>78</v>
      </c>
      <c r="R27" s="9">
        <v>87</v>
      </c>
      <c r="S27" s="9">
        <v>102</v>
      </c>
      <c r="T27" s="9">
        <v>114</v>
      </c>
    </row>
    <row r="28" spans="1:43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Sweden</v>
      </c>
      <c r="D28" s="6">
        <f>MAX(I28:BD28)</f>
        <v>110</v>
      </c>
      <c r="E28" s="6">
        <f>IF(COUNTIF(I28:XFD28,"&gt;"&amp;0)=0,,HLOOKUP(COUNTIF(I28:XFD28,"&gt;"&amp;0)-1,I$1:XFD28,A28+1,FALSE))</f>
        <v>110</v>
      </c>
      <c r="F28" s="7">
        <f>IF(COUNTIF(I28:XFD28,"&gt;"&amp;0)=0,,HLOOKUP(COUNTIF(I28:XFD28,"&gt;"&amp;0)-MIN($F$1+1,COUNTIF(I28:XFD28,"&gt;"&amp;0)),I$1:XFD28,A28+1,FALSE))</f>
        <v>36</v>
      </c>
      <c r="G28" s="8">
        <f>IF(COUNTIF(I28:XFD28,"&gt;"&amp;0)=0,,(E28/F28)^(1/MIN(COUNTIF(I28:XFD28,"&gt;"&amp;0)-1,$F$1)))</f>
        <v>1.2503109563624448</v>
      </c>
      <c r="H28" s="13" t="s">
        <v>59</v>
      </c>
      <c r="I28" s="9">
        <v>10</v>
      </c>
      <c r="J28" s="9">
        <v>11</v>
      </c>
      <c r="K28" s="9">
        <v>16</v>
      </c>
      <c r="L28" s="9">
        <v>20</v>
      </c>
      <c r="M28" s="9">
        <v>21</v>
      </c>
      <c r="N28" s="9">
        <v>25</v>
      </c>
      <c r="O28" s="9">
        <v>36</v>
      </c>
      <c r="P28" s="9">
        <v>62</v>
      </c>
      <c r="Q28" s="9">
        <v>77</v>
      </c>
      <c r="R28" s="9">
        <v>105</v>
      </c>
      <c r="S28" s="9">
        <v>105</v>
      </c>
      <c r="T28" s="9">
        <v>110</v>
      </c>
    </row>
    <row r="29" spans="1:43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Austria</v>
      </c>
      <c r="D29" s="6">
        <f>MAX(I29:BD29)</f>
        <v>86</v>
      </c>
      <c r="E29" s="6">
        <f>IF(COUNTIF(I29:XFD29,"&gt;"&amp;0)=0,,HLOOKUP(COUNTIF(I29:XFD29,"&gt;"&amp;0)-1,I$1:XFD29,A29+1,FALSE))</f>
        <v>86</v>
      </c>
      <c r="F29" s="7">
        <f>IF(COUNTIF(I29:XFD29,"&gt;"&amp;0)=0,,HLOOKUP(COUNTIF(I29:XFD29,"&gt;"&amp;0)-MIN($F$1+1,COUNTIF(I29:XFD29,"&gt;"&amp;0)),I$1:XFD29,A29+1,FALSE))</f>
        <v>28</v>
      </c>
      <c r="G29" s="8">
        <f>IF(COUNTIF(I29:XFD29,"&gt;"&amp;0)=0,,(E29/F29)^(1/MIN(COUNTIF(I29:XFD29,"&gt;"&amp;0)-1,$F$1)))</f>
        <v>1.2516072898441128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</row>
    <row r="30" spans="1:43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Denmark</v>
      </c>
      <c r="D30" s="6">
        <f>MAX(I30:BD30)</f>
        <v>72</v>
      </c>
      <c r="E30" s="6">
        <f>IF(COUNTIF(I30:XFD30,"&gt;"&amp;0)=0,,HLOOKUP(COUNTIF(I30:XFD30,"&gt;"&amp;0)-1,I$1:XFD30,A30+1,FALSE))</f>
        <v>72</v>
      </c>
      <c r="F30" s="7">
        <f>IF(COUNTIF(I30:XFD30,"&gt;"&amp;0)=0,,HLOOKUP(COUNTIF(I30:XFD30,"&gt;"&amp;0)-MIN($F$1+1,COUNTIF(I30:XFD30,"&gt;"&amp;0)),I$1:XFD30,A30+1,FALSE))</f>
        <v>32</v>
      </c>
      <c r="G30" s="8">
        <f>IF(COUNTIF(I30:XFD30,"&gt;"&amp;0)=0,,(E30/F30)^(1/MIN(COUNTIF(I30:XFD30,"&gt;"&amp;0)-1,$F$1)))</f>
        <v>1.1760790225246736</v>
      </c>
      <c r="H30" s="13" t="s">
        <v>87</v>
      </c>
      <c r="I30" s="9">
        <v>9</v>
      </c>
      <c r="J30" s="9">
        <v>13</v>
      </c>
      <c r="K30" s="9">
        <v>13</v>
      </c>
      <c r="L30" s="9">
        <v>24</v>
      </c>
      <c r="M30" s="9">
        <v>32</v>
      </c>
      <c r="N30" s="9">
        <v>34</v>
      </c>
      <c r="O30" s="9">
        <v>41</v>
      </c>
      <c r="P30" s="9">
        <v>52</v>
      </c>
      <c r="Q30" s="9">
        <v>65</v>
      </c>
      <c r="R30" s="9">
        <v>72</v>
      </c>
    </row>
    <row r="31" spans="1:43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Philippines</v>
      </c>
      <c r="D31" s="6">
        <f>MAX(I31:BD31)</f>
        <v>71</v>
      </c>
      <c r="E31" s="6">
        <f>IF(COUNTIF(I31:XFD31,"&gt;"&amp;0)=0,,HLOOKUP(COUNTIF(I31:XFD31,"&gt;"&amp;0)-1,I$1:XFD31,A31+1,FALSE))</f>
        <v>71</v>
      </c>
      <c r="F31" s="7">
        <f>IF(COUNTIF(I31:XFD31,"&gt;"&amp;0)=0,,HLOOKUP(COUNTIF(I31:XFD31,"&gt;"&amp;0)-MIN($F$1+1,COUNTIF(I31:XFD31,"&gt;"&amp;0)),I$1:XFD31,A31+1,FALSE))</f>
        <v>35</v>
      </c>
      <c r="G31" s="8">
        <f>IF(COUNTIF(I31:XFD31,"&gt;"&amp;0)=0,,(E31/F31)^(1/MIN(COUNTIF(I31:XFD31,"&gt;"&amp;0)-1,$F$1)))</f>
        <v>1.1519617551987076</v>
      </c>
      <c r="H31" s="13" t="s">
        <v>56</v>
      </c>
      <c r="I31" s="9">
        <v>8</v>
      </c>
      <c r="J31" s="9">
        <v>11</v>
      </c>
      <c r="K31" s="9">
        <v>12</v>
      </c>
      <c r="L31" s="9">
        <v>12</v>
      </c>
      <c r="M31" s="9">
        <v>19</v>
      </c>
      <c r="N31" s="9">
        <v>17</v>
      </c>
      <c r="O31" s="9">
        <v>18</v>
      </c>
      <c r="P31" s="9">
        <v>19</v>
      </c>
      <c r="Q31" s="9">
        <v>25</v>
      </c>
      <c r="R31" s="9">
        <v>33</v>
      </c>
      <c r="S31" s="9">
        <v>35</v>
      </c>
      <c r="T31" s="9">
        <v>38</v>
      </c>
      <c r="U31" s="9">
        <v>45</v>
      </c>
      <c r="V31" s="9">
        <v>54</v>
      </c>
      <c r="W31" s="9">
        <v>68</v>
      </c>
      <c r="X31" s="9">
        <v>71</v>
      </c>
    </row>
    <row r="32" spans="1:43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Canada</v>
      </c>
      <c r="D32" s="6">
        <f>MAX(I32:BD32)</f>
        <v>64</v>
      </c>
      <c r="E32" s="6">
        <f>IF(COUNTIF(I32:XFD32,"&gt;"&amp;0)=0,,HLOOKUP(COUNTIF(I32:XFD32,"&gt;"&amp;0)-1,I$1:XFD32,A32+1,FALSE))</f>
        <v>64</v>
      </c>
      <c r="F32" s="7">
        <f>IF(COUNTIF(I32:XFD32,"&gt;"&amp;0)=0,,HLOOKUP(COUNTIF(I32:XFD32,"&gt;"&amp;0)-MIN($F$1+1,COUNTIF(I32:XFD32,"&gt;"&amp;0)),I$1:XFD32,A32+1,FALSE))</f>
        <v>26</v>
      </c>
      <c r="G32" s="8">
        <f>IF(COUNTIF(I32:XFD32,"&gt;"&amp;0)=0,,(E32/F32)^(1/MIN(COUNTIF(I32:XFD32,"&gt;"&amp;0)-1,$F$1)))</f>
        <v>1.1974057110829956</v>
      </c>
      <c r="H32" s="13" t="s">
        <v>45</v>
      </c>
      <c r="I32" s="9">
        <v>8</v>
      </c>
      <c r="J32" s="9">
        <v>9</v>
      </c>
      <c r="K32" s="9">
        <v>12</v>
      </c>
      <c r="L32" s="9">
        <v>19</v>
      </c>
      <c r="M32" s="9">
        <v>21</v>
      </c>
      <c r="N32" s="9">
        <v>25</v>
      </c>
      <c r="O32" s="9">
        <v>26</v>
      </c>
      <c r="P32" s="9">
        <v>30</v>
      </c>
      <c r="Q32" s="9">
        <v>38</v>
      </c>
      <c r="R32" s="9">
        <v>54</v>
      </c>
      <c r="S32" s="9">
        <v>61</v>
      </c>
      <c r="T32" s="9">
        <v>64</v>
      </c>
    </row>
    <row r="33" spans="1:29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Ecuador</v>
      </c>
      <c r="D33" s="6">
        <f>MAX(I33:BD33)</f>
        <v>58</v>
      </c>
      <c r="E33" s="6">
        <f>IF(COUNTIF(I33:XFD33,"&gt;"&amp;0)=0,,HLOOKUP(COUNTIF(I33:XFD33,"&gt;"&amp;0)-1,I$1:XFD33,A33+1,FALSE))</f>
        <v>58</v>
      </c>
      <c r="F33" s="7">
        <f>IF(COUNTIF(I33:XFD33,"&gt;"&amp;0)=0,,HLOOKUP(COUNTIF(I33:XFD33,"&gt;"&amp;0)-MIN($F$1+1,COUNTIF(I33:XFD33,"&gt;"&amp;0)),I$1:XFD33,A33+1,FALSE))</f>
        <v>27</v>
      </c>
      <c r="G33" s="8">
        <f>IF(COUNTIF(I33:XFD33,"&gt;"&amp;0)=0,,(E33/F33)^(1/MIN(COUNTIF(I33:XFD33,"&gt;"&amp;0)-1,$F$1)))</f>
        <v>1.1652331886373577</v>
      </c>
      <c r="H33" s="13" t="s">
        <v>103</v>
      </c>
      <c r="I33" s="9">
        <v>14</v>
      </c>
      <c r="J33" s="9">
        <v>18</v>
      </c>
      <c r="K33" s="9">
        <v>27</v>
      </c>
      <c r="L33" s="9">
        <v>28</v>
      </c>
      <c r="M33" s="9">
        <v>34</v>
      </c>
      <c r="N33" s="9">
        <v>36</v>
      </c>
      <c r="O33" s="9">
        <v>48</v>
      </c>
      <c r="P33" s="9">
        <v>58</v>
      </c>
    </row>
    <row r="34" spans="1:29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Japan</v>
      </c>
      <c r="D34" s="6">
        <f>MAX(I34:BD34)</f>
        <v>54</v>
      </c>
      <c r="E34" s="6">
        <f>IF(COUNTIF(I34:XFD34,"&gt;"&amp;0)=0,,HLOOKUP(COUNTIF(I34:XFD34,"&gt;"&amp;0)-1,I$1:XFD34,A34+1,FALSE))</f>
        <v>54</v>
      </c>
      <c r="F34" s="7">
        <f>IF(COUNTIF(I34:XFD34,"&gt;"&amp;0)=0,,HLOOKUP(COUNTIF(I34:XFD34,"&gt;"&amp;0)-MIN($F$1+1,COUNTIF(I34:XFD34,"&gt;"&amp;0)),I$1:XFD34,A34+1,FALSE))</f>
        <v>43</v>
      </c>
      <c r="G34" s="8">
        <f>IF(COUNTIF(I34:XFD34,"&gt;"&amp;0)=0,,(E34/F34)^(1/MIN(COUNTIF(I34:XFD34,"&gt;"&amp;0)-1,$F$1)))</f>
        <v>1.0466104359289683</v>
      </c>
      <c r="H34" s="13" t="s">
        <v>36</v>
      </c>
      <c r="I34" s="9">
        <v>10</v>
      </c>
      <c r="J34" s="9">
        <v>10</v>
      </c>
      <c r="K34" s="9">
        <v>15</v>
      </c>
      <c r="L34" s="9">
        <v>16</v>
      </c>
      <c r="M34" s="9">
        <v>19</v>
      </c>
      <c r="N34" s="9">
        <v>22</v>
      </c>
      <c r="O34" s="9">
        <v>22</v>
      </c>
      <c r="P34" s="9">
        <v>27</v>
      </c>
      <c r="Q34" s="9">
        <v>29</v>
      </c>
      <c r="R34" s="9">
        <v>29</v>
      </c>
      <c r="S34" s="9">
        <v>29</v>
      </c>
      <c r="T34" s="9">
        <v>33</v>
      </c>
      <c r="U34" s="9">
        <v>35</v>
      </c>
      <c r="V34" s="9">
        <v>41</v>
      </c>
      <c r="W34" s="9">
        <v>42</v>
      </c>
      <c r="X34" s="9">
        <v>43</v>
      </c>
      <c r="Y34" s="9">
        <v>45</v>
      </c>
      <c r="Z34" s="9">
        <v>47</v>
      </c>
      <c r="AA34" s="9">
        <v>49</v>
      </c>
      <c r="AB34" s="9">
        <v>52</v>
      </c>
      <c r="AC34" s="9">
        <v>54</v>
      </c>
    </row>
    <row r="35" spans="1:29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Ireland</v>
      </c>
      <c r="D35" s="6">
        <f>MAX(I35:BD35)</f>
        <v>46</v>
      </c>
      <c r="E35" s="6">
        <f>IF(COUNTIF(I35:XFD35,"&gt;"&amp;0)=0,,HLOOKUP(COUNTIF(I35:XFD35,"&gt;"&amp;0)-1,I$1:XFD35,A35+1,FALSE))</f>
        <v>46</v>
      </c>
      <c r="F35" s="7">
        <f>IF(COUNTIF(I35:XFD35,"&gt;"&amp;0)=0,,HLOOKUP(COUNTIF(I35:XFD35,"&gt;"&amp;0)-MIN($F$1+1,COUNTIF(I35:XFD35,"&gt;"&amp;0)),I$1:XFD35,A35+1,FALSE))</f>
        <v>9</v>
      </c>
      <c r="G35" s="8">
        <f>IF(COUNTIF(I35:XFD35,"&gt;"&amp;0)=0,,(E35/F35)^(1/MIN(COUNTIF(I35:XFD35,"&gt;"&amp;0)-1,$F$1)))</f>
        <v>1.5035879292684402</v>
      </c>
      <c r="H35" s="13" t="s">
        <v>98</v>
      </c>
      <c r="I35" s="9">
        <v>9</v>
      </c>
      <c r="J35" s="9">
        <v>19</v>
      </c>
      <c r="K35" s="9">
        <v>22</v>
      </c>
      <c r="L35" s="9">
        <v>36</v>
      </c>
      <c r="M35" s="9">
        <v>46</v>
      </c>
    </row>
    <row r="36" spans="1:29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>Romania</v>
      </c>
      <c r="D36" s="6">
        <f>MAX(I36:BD36)</f>
        <v>43</v>
      </c>
      <c r="E36" s="6">
        <f>IF(COUNTIF(I36:XFD36,"&gt;"&amp;0)=0,,HLOOKUP(COUNTIF(I36:XFD36,"&gt;"&amp;0)-1,I$1:XFD36,A36+1,FALSE))</f>
        <v>43</v>
      </c>
      <c r="F36" s="7">
        <f>IF(COUNTIF(I36:XFD36,"&gt;"&amp;0)=0,,HLOOKUP(COUNTIF(I36:XFD36,"&gt;"&amp;0)-MIN($F$1+1,COUNTIF(I36:XFD36,"&gt;"&amp;0)),I$1:XFD36,A36+1,FALSE))</f>
        <v>11</v>
      </c>
      <c r="G36" s="8">
        <f>IF(COUNTIF(I36:XFD36,"&gt;"&amp;0)=0,,(E36/F36)^(1/MIN(COUNTIF(I36:XFD36,"&gt;"&amp;0)-1,$F$1)))</f>
        <v>1.3134548668605626</v>
      </c>
      <c r="H36" s="13" t="s">
        <v>86</v>
      </c>
      <c r="I36" s="9">
        <v>11</v>
      </c>
      <c r="J36" s="9">
        <v>17</v>
      </c>
      <c r="K36" s="9">
        <v>23</v>
      </c>
      <c r="L36" s="9">
        <v>26</v>
      </c>
      <c r="M36" s="9">
        <v>37</v>
      </c>
      <c r="N36" s="9">
        <v>43</v>
      </c>
    </row>
    <row r="37" spans="1:29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>Iraq</v>
      </c>
      <c r="D37" s="6">
        <f>MAX(I37:BD37)</f>
        <v>42</v>
      </c>
      <c r="E37" s="6">
        <f>IF(COUNTIF(I37:XFD37,"&gt;"&amp;0)=0,,HLOOKUP(COUNTIF(I37:XFD37,"&gt;"&amp;0)-1,I$1:XFD37,A37+1,FALSE))</f>
        <v>42</v>
      </c>
      <c r="F37" s="7">
        <f>IF(COUNTIF(I37:XFD37,"&gt;"&amp;0)=0,,HLOOKUP(COUNTIF(I37:XFD37,"&gt;"&amp;0)-MIN($F$1+1,COUNTIF(I37:XFD37,"&gt;"&amp;0)),I$1:XFD37,A37+1,FALSE))</f>
        <v>27</v>
      </c>
      <c r="G37" s="8">
        <f>IF(COUNTIF(I37:XFD37,"&gt;"&amp;0)=0,,(E37/F37)^(1/MIN(COUNTIF(I37:XFD37,"&gt;"&amp;0)-1,$F$1)))</f>
        <v>1.0923884641403729</v>
      </c>
      <c r="H37" s="13" t="s">
        <v>70</v>
      </c>
      <c r="I37" s="9">
        <v>8</v>
      </c>
      <c r="J37" s="9">
        <v>9</v>
      </c>
      <c r="K37" s="9">
        <v>10</v>
      </c>
      <c r="L37" s="9">
        <v>10</v>
      </c>
      <c r="M37" s="9">
        <v>10</v>
      </c>
      <c r="N37" s="9">
        <v>11</v>
      </c>
      <c r="O37" s="9">
        <v>12</v>
      </c>
      <c r="P37" s="9">
        <v>13</v>
      </c>
      <c r="Q37" s="9">
        <v>17</v>
      </c>
      <c r="R37" s="9">
        <v>17</v>
      </c>
      <c r="S37" s="9">
        <v>20</v>
      </c>
      <c r="T37" s="9">
        <v>23</v>
      </c>
      <c r="U37" s="9">
        <v>27</v>
      </c>
      <c r="V37" s="9">
        <v>29</v>
      </c>
      <c r="W37" s="9">
        <v>36</v>
      </c>
      <c r="X37" s="9">
        <v>40</v>
      </c>
      <c r="Y37" s="9">
        <v>42</v>
      </c>
      <c r="Z37" s="9">
        <v>42</v>
      </c>
    </row>
    <row r="38" spans="1:29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>Egypt</v>
      </c>
      <c r="D38" s="6">
        <f>MAX(I38:BD38)</f>
        <v>40</v>
      </c>
      <c r="E38" s="6">
        <f>IF(COUNTIF(I38:XFD38,"&gt;"&amp;0)=0,,HLOOKUP(COUNTIF(I38:XFD38,"&gt;"&amp;0)-1,I$1:XFD38,A38+1,FALSE))</f>
        <v>40</v>
      </c>
      <c r="F38" s="7">
        <f>IF(COUNTIF(I38:XFD38,"&gt;"&amp;0)=0,,HLOOKUP(COUNTIF(I38:XFD38,"&gt;"&amp;0)-MIN($F$1+1,COUNTIF(I38:XFD38,"&gt;"&amp;0)),I$1:XFD38,A38+1,FALSE))</f>
        <v>20</v>
      </c>
      <c r="G38" s="8">
        <f>IF(COUNTIF(I38:XFD38,"&gt;"&amp;0)=0,,(E38/F38)^(1/MIN(COUNTIF(I38:XFD38,"&gt;"&amp;0)-1,$F$1)))</f>
        <v>1.1486983549970351</v>
      </c>
      <c r="H38" s="13" t="s">
        <v>65</v>
      </c>
      <c r="I38" s="9">
        <v>8</v>
      </c>
      <c r="J38" s="9">
        <v>10</v>
      </c>
      <c r="K38" s="9">
        <v>14</v>
      </c>
      <c r="L38" s="9">
        <v>19</v>
      </c>
      <c r="M38" s="9">
        <v>20</v>
      </c>
      <c r="N38" s="9">
        <v>21</v>
      </c>
      <c r="O38" s="9">
        <v>24</v>
      </c>
      <c r="P38" s="9">
        <v>30</v>
      </c>
      <c r="Q38" s="9">
        <v>36</v>
      </c>
      <c r="R38" s="9">
        <v>40</v>
      </c>
    </row>
    <row r="39" spans="1:29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>Dominican Republic</v>
      </c>
      <c r="D39" s="6">
        <f>MAX(I39:BD39)</f>
        <v>39</v>
      </c>
      <c r="E39" s="6">
        <f>IF(COUNTIF(I39:XFD39,"&gt;"&amp;0)=0,,HLOOKUP(COUNTIF(I39:XFD39,"&gt;"&amp;0)-1,I$1:XFD39,A39+1,FALSE))</f>
        <v>39</v>
      </c>
      <c r="F39" s="7">
        <f>IF(COUNTIF(I39:XFD39,"&gt;"&amp;0)=0,,HLOOKUP(COUNTIF(I39:XFD39,"&gt;"&amp;0)-MIN($F$1+1,COUNTIF(I39:XFD39,"&gt;"&amp;0)),I$1:XFD39,A39+1,FALSE))</f>
        <v>10</v>
      </c>
      <c r="G39" s="8">
        <f>IF(COUNTIF(I39:XFD39,"&gt;"&amp;0)=0,,(E39/F39)^(1/MIN(COUNTIF(I39:XFD39,"&gt;"&amp;0)-1,$F$1)))</f>
        <v>1.4052906339306293</v>
      </c>
      <c r="H39" s="13" t="s">
        <v>106</v>
      </c>
      <c r="I39" s="9">
        <v>10</v>
      </c>
      <c r="J39" s="9">
        <v>10</v>
      </c>
      <c r="K39" s="9">
        <v>20</v>
      </c>
      <c r="L39" s="9">
        <v>28</v>
      </c>
      <c r="M39" s="9">
        <v>39</v>
      </c>
    </row>
    <row r="40" spans="1:29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>Greece</v>
      </c>
      <c r="D40" s="6">
        <f>MAX(I40:BD40)</f>
        <v>38</v>
      </c>
      <c r="E40" s="6">
        <f>IF(COUNTIF(I40:XFD40,"&gt;"&amp;0)=0,,HLOOKUP(COUNTIF(I40:XFD40,"&gt;"&amp;0)-1,I$1:XFD40,A40+1,FALSE))</f>
        <v>38</v>
      </c>
      <c r="F40" s="7">
        <f>IF(COUNTIF(I40:XFD40,"&gt;"&amp;0)=0,,HLOOKUP(COUNTIF(I40:XFD40,"&gt;"&amp;0)-MIN($F$1+1,COUNTIF(I40:XFD40,"&gt;"&amp;0)),I$1:XFD40,A40+1,FALSE))</f>
        <v>20</v>
      </c>
      <c r="G40" s="8">
        <f>IF(COUNTIF(I40:XFD40,"&gt;"&amp;0)=0,,(E40/F40)^(1/MIN(COUNTIF(I40:XFD40,"&gt;"&amp;0)-1,$F$1)))</f>
        <v>1.1369744888101381</v>
      </c>
      <c r="H40" s="13" t="s">
        <v>83</v>
      </c>
      <c r="I40" s="9">
        <v>13</v>
      </c>
      <c r="J40" s="9">
        <v>15</v>
      </c>
      <c r="K40" s="9">
        <v>17</v>
      </c>
      <c r="L40" s="9">
        <v>20</v>
      </c>
      <c r="M40" s="9">
        <v>22</v>
      </c>
      <c r="N40" s="9">
        <v>26</v>
      </c>
      <c r="O40" s="9">
        <v>28</v>
      </c>
      <c r="P40" s="9">
        <v>32</v>
      </c>
      <c r="Q40" s="9">
        <v>38</v>
      </c>
    </row>
    <row r="41" spans="1:29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>Malaysia</v>
      </c>
      <c r="D41" s="6">
        <f>MAX(I41:BD41)</f>
        <v>35</v>
      </c>
      <c r="E41" s="6">
        <f>IF(COUNTIF(I41:XFD41,"&gt;"&amp;0)=0,,HLOOKUP(COUNTIF(I41:XFD41,"&gt;"&amp;0)-1,I$1:XFD41,A41+1,FALSE))</f>
        <v>35</v>
      </c>
      <c r="F41" s="7">
        <f>IF(COUNTIF(I41:XFD41,"&gt;"&amp;0)=0,,HLOOKUP(COUNTIF(I41:XFD41,"&gt;"&amp;0)-MIN($F$1+1,COUNTIF(I41:XFD41,"&gt;"&amp;0)),I$1:XFD41,A41+1,FALSE))</f>
        <v>16</v>
      </c>
      <c r="G41" s="8">
        <f>IF(COUNTIF(I41:XFD41,"&gt;"&amp;0)=0,,(E41/F41)^(1/MIN(COUNTIF(I41:XFD41,"&gt;"&amp;0)-1,$F$1)))</f>
        <v>1.1694714187140103</v>
      </c>
      <c r="H41" s="13" t="s">
        <v>43</v>
      </c>
      <c r="I41" s="9">
        <v>10</v>
      </c>
      <c r="J41" s="9">
        <v>14</v>
      </c>
      <c r="K41" s="9">
        <v>16</v>
      </c>
      <c r="L41" s="9">
        <v>20</v>
      </c>
      <c r="M41" s="9">
        <v>23</v>
      </c>
      <c r="N41" s="9">
        <v>26</v>
      </c>
      <c r="O41" s="9">
        <v>27</v>
      </c>
      <c r="P41" s="9">
        <v>35</v>
      </c>
    </row>
    <row r="42" spans="1:29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>Algeria</v>
      </c>
      <c r="D42" s="6">
        <f>MAX(I42:BD42)</f>
        <v>31</v>
      </c>
      <c r="E42" s="6">
        <f>IF(COUNTIF(I42:XFD42,"&gt;"&amp;0)=0,,HLOOKUP(COUNTIF(I42:XFD42,"&gt;"&amp;0)-1,I$1:XFD42,A42+1,FALSE))</f>
        <v>31</v>
      </c>
      <c r="F42" s="7">
        <f>IF(COUNTIF(I42:XFD42,"&gt;"&amp;0)=0,,HLOOKUP(COUNTIF(I42:XFD42,"&gt;"&amp;0)-MIN($F$1+1,COUNTIF(I42:XFD42,"&gt;"&amp;0)),I$1:XFD42,A42+1,FALSE))</f>
        <v>19</v>
      </c>
      <c r="G42" s="8">
        <f>IF(COUNTIF(I42:XFD42,"&gt;"&amp;0)=0,,(E42/F42)^(1/MIN(COUNTIF(I42:XFD42,"&gt;"&amp;0)-1,$F$1)))</f>
        <v>1.10286313147853</v>
      </c>
      <c r="H42" s="13" t="s">
        <v>75</v>
      </c>
      <c r="I42" s="9">
        <v>9</v>
      </c>
      <c r="J42" s="9">
        <v>11</v>
      </c>
      <c r="K42" s="9">
        <v>15</v>
      </c>
      <c r="L42" s="9">
        <v>17</v>
      </c>
      <c r="M42" s="9">
        <v>17</v>
      </c>
      <c r="N42" s="9">
        <v>19</v>
      </c>
      <c r="O42" s="9">
        <v>21</v>
      </c>
      <c r="P42" s="9">
        <v>25</v>
      </c>
      <c r="Q42" s="9">
        <v>26</v>
      </c>
      <c r="R42" s="9">
        <v>29</v>
      </c>
      <c r="S42" s="9">
        <v>31</v>
      </c>
    </row>
    <row r="43" spans="1:29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>India</v>
      </c>
      <c r="D43" s="6">
        <f>MAX(I43:BD43)</f>
        <v>27</v>
      </c>
      <c r="E43" s="6">
        <f>IF(COUNTIF(I43:XFD43,"&gt;"&amp;0)=0,,HLOOKUP(COUNTIF(I43:XFD43,"&gt;"&amp;0)-1,I$1:XFD43,A43+1,FALSE))</f>
        <v>27</v>
      </c>
      <c r="F43" s="7">
        <f>IF(COUNTIF(I43:XFD43,"&gt;"&amp;0)=0,,HLOOKUP(COUNTIF(I43:XFD43,"&gt;"&amp;0)-MIN($F$1+1,COUNTIF(I43:XFD43,"&gt;"&amp;0)),I$1:XFD43,A43+1,FALSE))</f>
        <v>10</v>
      </c>
      <c r="G43" s="8">
        <f>IF(COUNTIF(I43:XFD43,"&gt;"&amp;0)=0,,(E43/F43)^(1/MIN(COUNTIF(I43:XFD43,"&gt;"&amp;0)-1,$F$1)))</f>
        <v>1.2197554094669347</v>
      </c>
      <c r="H43" s="13" t="s">
        <v>57</v>
      </c>
      <c r="I43" s="9">
        <v>10</v>
      </c>
      <c r="J43" s="9">
        <v>10</v>
      </c>
      <c r="K43" s="9">
        <v>12</v>
      </c>
      <c r="L43" s="9">
        <v>20</v>
      </c>
      <c r="M43" s="9">
        <v>20</v>
      </c>
      <c r="N43" s="9">
        <v>24</v>
      </c>
      <c r="O43" s="9">
        <v>27</v>
      </c>
    </row>
    <row r="44" spans="1:29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>Morocco</v>
      </c>
      <c r="D44" s="6">
        <f>MAX(I44:BD44)</f>
        <v>26</v>
      </c>
      <c r="E44" s="6">
        <f>IF(COUNTIF(I44:XFD44,"&gt;"&amp;0)=0,,HLOOKUP(COUNTIF(I44:XFD44,"&gt;"&amp;0)-1,I$1:XFD44,A44+1,FALSE))</f>
        <v>26</v>
      </c>
      <c r="F44" s="7">
        <f>IF(COUNTIF(I44:XFD44,"&gt;"&amp;0)=0,,HLOOKUP(COUNTIF(I44:XFD44,"&gt;"&amp;0)-MIN($F$1+1,COUNTIF(I44:XFD44,"&gt;"&amp;0)),I$1:XFD44,A44+1,FALSE))</f>
        <v>11</v>
      </c>
      <c r="G44" s="8">
        <f>IF(COUNTIF(I44:XFD44,"&gt;"&amp;0)=0,,(E44/F44)^(1/MIN(COUNTIF(I44:XFD44,"&gt;"&amp;0)-1,$F$1)))</f>
        <v>1.3320695095112127</v>
      </c>
      <c r="H44" s="13" t="s">
        <v>112</v>
      </c>
      <c r="I44" s="9">
        <v>11</v>
      </c>
      <c r="J44" s="9">
        <v>23</v>
      </c>
      <c r="K44" s="9">
        <v>25</v>
      </c>
      <c r="L44" s="9">
        <v>26</v>
      </c>
    </row>
    <row r="45" spans="1:29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>Norway</v>
      </c>
      <c r="D45" s="6">
        <f>MAX(I45:BD45)</f>
        <v>25</v>
      </c>
      <c r="E45" s="6">
        <f>IF(COUNTIF(I45:XFD45,"&gt;"&amp;0)=0,,HLOOKUP(COUNTIF(I45:XFD45,"&gt;"&amp;0)-1,I$1:XFD45,A45+1,FALSE))</f>
        <v>25</v>
      </c>
      <c r="F45" s="7">
        <f>IF(COUNTIF(I45:XFD45,"&gt;"&amp;0)=0,,HLOOKUP(COUNTIF(I45:XFD45,"&gt;"&amp;0)-MIN($F$1+1,COUNTIF(I45:XFD45,"&gt;"&amp;0)),I$1:XFD45,A45+1,FALSE))</f>
        <v>12</v>
      </c>
      <c r="G45" s="8">
        <f>IF(COUNTIF(I45:XFD45,"&gt;"&amp;0)=0,,(E45/F45)^(1/MIN(COUNTIF(I45:XFD45,"&gt;"&amp;0)-1,$F$1)))</f>
        <v>1.1581151756192944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</row>
    <row r="46" spans="1:29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>San Marino</v>
      </c>
      <c r="D46" s="6">
        <f>MAX(I46:BD46)</f>
        <v>22</v>
      </c>
      <c r="E46" s="6">
        <f>IF(COUNTIF(I46:XFD46,"&gt;"&amp;0)=0,,HLOOKUP(COUNTIF(I46:XFD46,"&gt;"&amp;0)-1,I$1:XFD46,A46+1,FALSE))</f>
        <v>22</v>
      </c>
      <c r="F46" s="7">
        <f>IF(COUNTIF(I46:XFD46,"&gt;"&amp;0)=0,,HLOOKUP(COUNTIF(I46:XFD46,"&gt;"&amp;0)-MIN($F$1+1,COUNTIF(I46:XFD46,"&gt;"&amp;0)),I$1:XFD46,A46+1,FALSE))</f>
        <v>21</v>
      </c>
      <c r="G46" s="8">
        <f>IF(COUNTIF(I46:XFD46,"&gt;"&amp;0)=0,,(E46/F46)^(1/MIN(COUNTIF(I46:XFD46,"&gt;"&amp;0)-1,$F$1)))</f>
        <v>1.0093474199095689</v>
      </c>
      <c r="H46" s="13" t="s">
        <v>90</v>
      </c>
      <c r="I46" s="9">
        <v>11</v>
      </c>
      <c r="J46" s="9">
        <v>11</v>
      </c>
      <c r="K46" s="9">
        <v>14</v>
      </c>
      <c r="L46" s="9">
        <v>20</v>
      </c>
      <c r="M46" s="9">
        <v>20</v>
      </c>
      <c r="N46" s="9">
        <v>20</v>
      </c>
      <c r="O46" s="9">
        <v>21</v>
      </c>
      <c r="P46" s="9">
        <v>21</v>
      </c>
      <c r="Q46" s="9">
        <v>21</v>
      </c>
      <c r="R46" s="9">
        <v>21</v>
      </c>
      <c r="S46" s="9">
        <v>22</v>
      </c>
      <c r="T46" s="9">
        <v>22</v>
      </c>
    </row>
    <row r="47" spans="1:29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>Poland</v>
      </c>
      <c r="D47" s="6">
        <f>MAX(I47:BD47)</f>
        <v>22</v>
      </c>
      <c r="E47" s="6">
        <f>IF(COUNTIF(I47:XFD47,"&gt;"&amp;0)=0,,HLOOKUP(COUNTIF(I47:XFD47,"&gt;"&amp;0)-1,I$1:XFD47,A47+1,FALSE))</f>
        <v>22</v>
      </c>
      <c r="F47" s="7">
        <f>IF(COUNTIF(I47:XFD47,"&gt;"&amp;0)=0,,HLOOKUP(COUNTIF(I47:XFD47,"&gt;"&amp;0)-MIN($F$1+1,COUNTIF(I47:XFD47,"&gt;"&amp;0)),I$1:XFD47,A47+1,FALSE))</f>
        <v>10</v>
      </c>
      <c r="G47" s="8">
        <f>IF(COUNTIF(I47:XFD47,"&gt;"&amp;0)=0,,(E47/F47)^(1/MIN(COUNTIF(I47:XFD47,"&gt;"&amp;0)-1,$F$1)))</f>
        <v>1.1708049129648923</v>
      </c>
      <c r="H47" s="13" t="s">
        <v>137</v>
      </c>
      <c r="I47" s="9">
        <v>8</v>
      </c>
      <c r="J47" s="9">
        <v>10</v>
      </c>
      <c r="K47" s="9">
        <v>14</v>
      </c>
      <c r="L47" s="9">
        <v>16</v>
      </c>
      <c r="M47" s="9">
        <v>16</v>
      </c>
      <c r="N47" s="9">
        <v>18</v>
      </c>
      <c r="O47" s="9">
        <v>22</v>
      </c>
    </row>
    <row r="48" spans="1:29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>Luxembourg</v>
      </c>
      <c r="D48" s="6">
        <f>MAX(I48:BD48)</f>
        <v>21</v>
      </c>
      <c r="E48" s="6">
        <f>IF(COUNTIF(I48:XFD48,"&gt;"&amp;0)=0,,HLOOKUP(COUNTIF(I48:XFD48,"&gt;"&amp;0)-1,I$1:XFD48,A48+1,FALSE))</f>
        <v>21</v>
      </c>
      <c r="F48" s="7">
        <f>IF(COUNTIF(I48:XFD48,"&gt;"&amp;0)=0,,HLOOKUP(COUNTIF(I48:XFD48,"&gt;"&amp;0)-MIN($F$1+1,COUNTIF(I48:XFD48,"&gt;"&amp;0)),I$1:XFD48,A48+1,FALSE))</f>
        <v>8</v>
      </c>
      <c r="G48" s="8">
        <f>IF(COUNTIF(I48:XFD48,"&gt;"&amp;0)=0,,(E48/F48)^(1/MIN(COUNTIF(I48:XFD48,"&gt;"&amp;0)-1,$F$1)))</f>
        <v>1.2129024171617326</v>
      </c>
      <c r="H48" s="13" t="s">
        <v>99</v>
      </c>
      <c r="I48" s="9">
        <v>8</v>
      </c>
      <c r="J48" s="9">
        <v>8</v>
      </c>
      <c r="K48" s="9">
        <v>8</v>
      </c>
      <c r="L48" s="9">
        <v>8</v>
      </c>
      <c r="M48" s="9">
        <v>8</v>
      </c>
      <c r="N48" s="9">
        <v>9</v>
      </c>
      <c r="O48" s="9">
        <v>15</v>
      </c>
      <c r="P48" s="9">
        <v>18</v>
      </c>
      <c r="Q48" s="9">
        <v>21</v>
      </c>
    </row>
    <row r="49" spans="1:14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>Argentina</v>
      </c>
      <c r="D49" s="6">
        <f>MAX(I49:BD49)</f>
        <v>19</v>
      </c>
      <c r="E49" s="6">
        <f>IF(COUNTIF(I49:XFD49,"&gt;"&amp;0)=0,,HLOOKUP(COUNTIF(I49:XFD49,"&gt;"&amp;0)-1,I$1:XFD49,A49+1,FALSE))</f>
        <v>19</v>
      </c>
      <c r="F49" s="7">
        <f>IF(COUNTIF(I49:XFD49,"&gt;"&amp;0)=0,,HLOOKUP(COUNTIF(I49:XFD49,"&gt;"&amp;0)-MIN($F$1+1,COUNTIF(I49:XFD49,"&gt;"&amp;0)),I$1:XFD49,A49+1,FALSE))</f>
        <v>8</v>
      </c>
      <c r="G49" s="8">
        <f>IF(COUNTIF(I49:XFD49,"&gt;"&amp;0)=0,,(E49/F49)^(1/MIN(COUNTIF(I49:XFD49,"&gt;"&amp;0)-1,$F$1)))</f>
        <v>1.2414118980991942</v>
      </c>
      <c r="H49" s="13" t="s">
        <v>123</v>
      </c>
      <c r="I49" s="9">
        <v>8</v>
      </c>
      <c r="J49" s="9">
        <v>9</v>
      </c>
      <c r="K49" s="9">
        <v>13</v>
      </c>
      <c r="L49" s="9">
        <v>18</v>
      </c>
      <c r="M49" s="9">
        <v>19</v>
      </c>
    </row>
    <row r="50" spans="1:14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>Peru</v>
      </c>
      <c r="D50" s="6">
        <f>MAX(I50:BD50)</f>
        <v>18</v>
      </c>
      <c r="E50" s="6">
        <f>IF(COUNTIF(I50:XFD50,"&gt;"&amp;0)=0,,HLOOKUP(COUNTIF(I50:XFD50,"&gt;"&amp;0)-1,I$1:XFD50,A50+1,FALSE))</f>
        <v>18</v>
      </c>
      <c r="F50" s="7">
        <f>IF(COUNTIF(I50:XFD50,"&gt;"&amp;0)=0,,HLOOKUP(COUNTIF(I50:XFD50,"&gt;"&amp;0)-MIN($F$1+1,COUNTIF(I50:XFD50,"&gt;"&amp;0)),I$1:XFD50,A50+1,FALSE))</f>
        <v>9</v>
      </c>
      <c r="G50" s="8">
        <f>IF(COUNTIF(I50:XFD50,"&gt;"&amp;0)=0,,(E50/F50)^(1/MIN(COUNTIF(I50:XFD50,"&gt;"&amp;0)-1,$F$1)))</f>
        <v>1.189207115002721</v>
      </c>
      <c r="H50" s="13" t="s">
        <v>160</v>
      </c>
      <c r="I50" s="9">
        <v>9</v>
      </c>
      <c r="J50" s="9">
        <v>9</v>
      </c>
      <c r="K50" s="9">
        <v>11</v>
      </c>
      <c r="L50" s="9">
        <v>16</v>
      </c>
      <c r="M50" s="9">
        <v>18</v>
      </c>
    </row>
    <row r="51" spans="1:14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>Panama</v>
      </c>
      <c r="D51" s="6">
        <f>MAX(I51:BD51)</f>
        <v>17</v>
      </c>
      <c r="E51" s="6">
        <f>IF(COUNTIF(I51:XFD51,"&gt;"&amp;0)=0,,HLOOKUP(COUNTIF(I51:XFD51,"&gt;"&amp;0)-1,I$1:XFD51,A51+1,FALSE))</f>
        <v>17</v>
      </c>
      <c r="F51" s="7">
        <f>IF(COUNTIF(I51:XFD51,"&gt;"&amp;0)=0,,HLOOKUP(COUNTIF(I51:XFD51,"&gt;"&amp;0)-MIN($F$1+1,COUNTIF(I51:XFD51,"&gt;"&amp;0)),I$1:XFD51,A51+1,FALSE))</f>
        <v>8</v>
      </c>
      <c r="G51" s="8">
        <f>IF(COUNTIF(I51:XFD51,"&gt;"&amp;0)=0,,(E51/F51)^(1/MIN(COUNTIF(I51:XFD51,"&gt;"&amp;0)-1,$F$1)))</f>
        <v>1.207368201383209</v>
      </c>
      <c r="H51" s="13" t="s">
        <v>283</v>
      </c>
      <c r="I51" s="9">
        <v>8</v>
      </c>
      <c r="J51" s="9">
        <v>8</v>
      </c>
      <c r="K51" s="9">
        <v>9</v>
      </c>
      <c r="L51" s="9">
        <v>14</v>
      </c>
      <c r="M51" s="9">
        <v>17</v>
      </c>
    </row>
    <row r="52" spans="1:14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>Australia</v>
      </c>
      <c r="D52" s="6">
        <f>MAX(I52:BD52)</f>
        <v>16</v>
      </c>
      <c r="E52" s="6">
        <f>IF(COUNTIF(I52:XFD52,"&gt;"&amp;0)=0,,HLOOKUP(COUNTIF(I52:XFD52,"&gt;"&amp;0)-1,I$1:XFD52,A52+1,FALSE))</f>
        <v>16</v>
      </c>
      <c r="F52" s="7">
        <f>IF(COUNTIF(I52:XFD52,"&gt;"&amp;0)=0,,HLOOKUP(COUNTIF(I52:XFD52,"&gt;"&amp;0)-MIN($F$1+1,COUNTIF(I52:XFD52,"&gt;"&amp;0)),I$1:XFD52,A52+1,FALSE))</f>
        <v>8</v>
      </c>
      <c r="G52" s="8">
        <f>IF(COUNTIF(I52:XFD52,"&gt;"&amp;0)=0,,(E52/F52)^(1/MIN(COUNTIF(I52:XFD52,"&gt;"&amp;0)-1,$F$1)))</f>
        <v>1.1486983549970351</v>
      </c>
      <c r="H52" s="13" t="s">
        <v>48</v>
      </c>
      <c r="I52" s="9">
        <v>8</v>
      </c>
      <c r="J52" s="9">
        <v>8</v>
      </c>
      <c r="K52" s="9">
        <v>13</v>
      </c>
      <c r="L52" s="9">
        <v>13</v>
      </c>
      <c r="M52" s="9">
        <v>14</v>
      </c>
      <c r="N52" s="9">
        <v>16</v>
      </c>
    </row>
    <row r="53" spans="1:14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>Czechia</v>
      </c>
      <c r="D53" s="6">
        <f>MAX(I53:BD53)</f>
        <v>16</v>
      </c>
      <c r="E53" s="6">
        <f>IF(COUNTIF(I53:XFD53,"&gt;"&amp;0)=0,,HLOOKUP(COUNTIF(I53:XFD53,"&gt;"&amp;0)-1,I$1:XFD53,A53+1,FALSE))</f>
        <v>16</v>
      </c>
      <c r="F53" s="7">
        <f>IF(COUNTIF(I53:XFD53,"&gt;"&amp;0)=0,,HLOOKUP(COUNTIF(I53:XFD53,"&gt;"&amp;0)-MIN($F$1+1,COUNTIF(I53:XFD53,"&gt;"&amp;0)),I$1:XFD53,A53+1,FALSE))</f>
        <v>9</v>
      </c>
      <c r="G53" s="8">
        <f>IF(COUNTIF(I53:XFD53,"&gt;"&amp;0)=0,,(E53/F53)^(1/MIN(COUNTIF(I53:XFD53,"&gt;"&amp;0)-1,$F$1)))</f>
        <v>1.2114137285547597</v>
      </c>
      <c r="H53" s="13" t="s">
        <v>341</v>
      </c>
      <c r="I53" s="9">
        <v>9</v>
      </c>
      <c r="J53" s="9">
        <v>9</v>
      </c>
      <c r="K53" s="9">
        <v>11</v>
      </c>
      <c r="L53" s="9">
        <v>16</v>
      </c>
    </row>
    <row r="54" spans="1:14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>Mexico</v>
      </c>
      <c r="D54" s="6">
        <f>MAX(I54:BD54)</f>
        <v>16</v>
      </c>
      <c r="E54" s="6">
        <f>IF(COUNTIF(I54:XFD54,"&gt;"&amp;0)=0,,HLOOKUP(COUNTIF(I54:XFD54,"&gt;"&amp;0)-1,I$1:XFD54,A54+1,FALSE))</f>
        <v>16</v>
      </c>
      <c r="F54" s="7">
        <f>IF(COUNTIF(I54:XFD54,"&gt;"&amp;0)=0,,HLOOKUP(COUNTIF(I54:XFD54,"&gt;"&amp;0)-MIN($F$1+1,COUNTIF(I54:XFD54,"&gt;"&amp;0)),I$1:XFD54,A54+1,FALSE))</f>
        <v>8</v>
      </c>
      <c r="G54" s="8">
        <f>IF(COUNTIF(I54:XFD54,"&gt;"&amp;0)=0,,(E54/F54)^(1/MIN(COUNTIF(I54:XFD54,"&gt;"&amp;0)-1,$F$1)))</f>
        <v>1.4142135623730951</v>
      </c>
      <c r="H54" s="13" t="s">
        <v>94</v>
      </c>
      <c r="I54" s="9">
        <v>8</v>
      </c>
      <c r="J54" s="9">
        <v>12</v>
      </c>
      <c r="K54" s="9">
        <v>16</v>
      </c>
    </row>
    <row r="55" spans="1:14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>Israel</v>
      </c>
      <c r="D55" s="6">
        <f>MAX(I55:BD55)</f>
        <v>15</v>
      </c>
      <c r="E55" s="6">
        <f>IF(COUNTIF(I55:XFD55,"&gt;"&amp;0)=0,,HLOOKUP(COUNTIF(I55:XFD55,"&gt;"&amp;0)-1,I$1:XFD55,A55+1,FALSE))</f>
        <v>15</v>
      </c>
      <c r="F55" s="7">
        <f>IF(COUNTIF(I55:XFD55,"&gt;"&amp;0)=0,,HLOOKUP(COUNTIF(I55:XFD55,"&gt;"&amp;0)-MIN($F$1+1,COUNTIF(I55:XFD55,"&gt;"&amp;0)),I$1:XFD55,A55+1,FALSE))</f>
        <v>8</v>
      </c>
      <c r="G55" s="8">
        <f>IF(COUNTIF(I55:XFD55,"&gt;"&amp;0)=0,,(E55/F55)^(1/MIN(COUNTIF(I55:XFD55,"&gt;"&amp;0)-1,$F$1)))</f>
        <v>1.2331060371652349</v>
      </c>
      <c r="H55" s="13" t="s">
        <v>79</v>
      </c>
      <c r="I55" s="9">
        <v>8</v>
      </c>
      <c r="J55" s="9">
        <v>12</v>
      </c>
      <c r="K55" s="9">
        <v>12</v>
      </c>
      <c r="L55" s="9">
        <v>15</v>
      </c>
    </row>
    <row r="56" spans="1:14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>Pakistan</v>
      </c>
      <c r="D56" s="6">
        <f>MAX(I56:BD56)</f>
        <v>14</v>
      </c>
      <c r="E56" s="6">
        <f>IF(COUNTIF(I56:XFD56,"&gt;"&amp;0)=0,,HLOOKUP(COUNTIF(I56:XFD56,"&gt;"&amp;0)-1,I$1:XFD56,A56+1,FALSE))</f>
        <v>14</v>
      </c>
      <c r="F56" s="7">
        <f>IF(COUNTIF(I56:XFD56,"&gt;"&amp;0)=0,,HLOOKUP(COUNTIF(I56:XFD56,"&gt;"&amp;0)-MIN($F$1+1,COUNTIF(I56:XFD56,"&gt;"&amp;0)),I$1:XFD56,A56+1,FALSE))</f>
        <v>8</v>
      </c>
      <c r="G56" s="8">
        <f>IF(COUNTIF(I56:XFD56,"&gt;"&amp;0)=0,,(E56/F56)^(1/MIN(COUNTIF(I56:XFD56,"&gt;"&amp;0)-1,$F$1)))</f>
        <v>1.1501633168956029</v>
      </c>
      <c r="H56" s="13" t="s">
        <v>80</v>
      </c>
      <c r="I56" s="9">
        <v>8</v>
      </c>
      <c r="J56" s="9">
        <v>9</v>
      </c>
      <c r="K56" s="9">
        <v>11</v>
      </c>
      <c r="L56" s="9">
        <v>12</v>
      </c>
      <c r="M56" s="9">
        <v>14</v>
      </c>
    </row>
    <row r="57" spans="1:14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>Serbia</v>
      </c>
      <c r="D57" s="6">
        <f>MAX(I57:BD57)</f>
        <v>13</v>
      </c>
      <c r="E57" s="6">
        <f>IF(COUNTIF(I57:XFD57,"&gt;"&amp;0)=0,,HLOOKUP(COUNTIF(I57:XFD57,"&gt;"&amp;0)-1,I$1:XFD57,A57+1,FALSE))</f>
        <v>13</v>
      </c>
      <c r="F57" s="7">
        <f>IF(COUNTIF(I57:XFD57,"&gt;"&amp;0)=0,,HLOOKUP(COUNTIF(I57:XFD57,"&gt;"&amp;0)-MIN($F$1+1,COUNTIF(I57:XFD57,"&gt;"&amp;0)),I$1:XFD57,A57+1,FALSE))</f>
        <v>10</v>
      </c>
      <c r="G57" s="8">
        <f>IF(COUNTIF(I57:XFD57,"&gt;"&amp;0)=0,,(E57/F57)^(1/MIN(COUNTIF(I57:XFD57,"&gt;"&amp;0)-1,$F$1)))</f>
        <v>1.3</v>
      </c>
      <c r="H57" s="13" t="s">
        <v>161</v>
      </c>
      <c r="I57" s="9">
        <v>10</v>
      </c>
      <c r="J57" s="9">
        <v>13</v>
      </c>
    </row>
    <row r="58" spans="1:14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>Hungary</v>
      </c>
      <c r="D58" s="6">
        <f>MAX(I58:BD58)</f>
        <v>13</v>
      </c>
      <c r="E58" s="6">
        <f>IF(COUNTIF(I58:XFD58,"&gt;"&amp;0)=0,,HLOOKUP(COUNTIF(I58:XFD58,"&gt;"&amp;0)-1,I$1:XFD58,A58+1,FALSE))</f>
        <v>13</v>
      </c>
      <c r="F58" s="7">
        <f>IF(COUNTIF(I58:XFD58,"&gt;"&amp;0)=0,,HLOOKUP(COUNTIF(I58:XFD58,"&gt;"&amp;0)-MIN($F$1+1,COUNTIF(I58:XFD58,"&gt;"&amp;0)),I$1:XFD58,A58+1,FALSE))</f>
        <v>9</v>
      </c>
      <c r="G58" s="8">
        <f>IF(COUNTIF(I58:XFD58,"&gt;"&amp;0)=0,,(E58/F58)^(1/MIN(COUNTIF(I58:XFD58,"&gt;"&amp;0)-1,$F$1)))</f>
        <v>1.0763169225148108</v>
      </c>
      <c r="H58" s="13" t="s">
        <v>132</v>
      </c>
      <c r="I58" s="9">
        <v>9</v>
      </c>
      <c r="J58" s="9">
        <v>10</v>
      </c>
      <c r="K58" s="9">
        <v>10</v>
      </c>
      <c r="L58" s="9">
        <v>10</v>
      </c>
      <c r="M58" s="9">
        <v>11</v>
      </c>
      <c r="N58" s="9">
        <v>13</v>
      </c>
    </row>
    <row r="59" spans="1:14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>Burkina Faso</v>
      </c>
      <c r="D59" s="6">
        <f>MAX(I59:BD59)</f>
        <v>12</v>
      </c>
      <c r="E59" s="6">
        <f>IF(COUNTIF(I59:XFD59,"&gt;"&amp;0)=0,,HLOOKUP(COUNTIF(I59:XFD59,"&gt;"&amp;0)-1,I$1:XFD59,A59+1,FALSE))</f>
        <v>12</v>
      </c>
      <c r="F59" s="7">
        <f>IF(COUNTIF(I59:XFD59,"&gt;"&amp;0)=0,,HLOOKUP(COUNTIF(I59:XFD59,"&gt;"&amp;0)-MIN($F$1+1,COUNTIF(I59:XFD59,"&gt;"&amp;0)),I$1:XFD59,A59+1,FALSE))</f>
        <v>9</v>
      </c>
      <c r="G59" s="8">
        <f>IF(COUNTIF(I59:XFD59,"&gt;"&amp;0)=0,,(E59/F59)^(1/MIN(COUNTIF(I59:XFD59,"&gt;"&amp;0)-1,$F$1)))</f>
        <v>1.1547005383792515</v>
      </c>
      <c r="H59" s="13" t="s">
        <v>279</v>
      </c>
      <c r="I59" s="9">
        <v>9</v>
      </c>
      <c r="J59" s="9">
        <v>11</v>
      </c>
      <c r="K59" s="9">
        <v>12</v>
      </c>
    </row>
    <row r="60" spans="1:14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>Finland</v>
      </c>
      <c r="D60" s="6">
        <f>MAX(I60:BD60)</f>
        <v>11</v>
      </c>
      <c r="E60" s="6">
        <f>IF(COUNTIF(I60:XFD60,"&gt;"&amp;0)=0,,HLOOKUP(COUNTIF(I60:XFD60,"&gt;"&amp;0)-1,I$1:XFD60,A60+1,FALSE))</f>
        <v>11</v>
      </c>
      <c r="F60" s="7">
        <f>IF(COUNTIF(I60:XFD60,"&gt;"&amp;0)=0,,HLOOKUP(COUNTIF(I60:XFD60,"&gt;"&amp;0)-MIN($F$1+1,COUNTIF(I60:XFD60,"&gt;"&amp;0)),I$1:XFD60,A60+1,FALSE))</f>
        <v>9</v>
      </c>
      <c r="G60" s="8">
        <f>IF(COUNTIF(I60:XFD60,"&gt;"&amp;0)=0,,(E60/F60)^(1/MIN(COUNTIF(I60:XFD60,"&gt;"&amp;0)-1,$F$1)))</f>
        <v>1.2222222222222223</v>
      </c>
      <c r="H60" s="13" t="s">
        <v>54</v>
      </c>
      <c r="I60" s="9">
        <v>9</v>
      </c>
      <c r="J60" s="9">
        <v>11</v>
      </c>
    </row>
    <row r="61" spans="1:14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>Slovenia</v>
      </c>
      <c r="D61" s="6">
        <f>MAX(I61:BD61)</f>
        <v>11</v>
      </c>
      <c r="E61" s="6">
        <f>IF(COUNTIF(I61:XFD61,"&gt;"&amp;0)=0,,HLOOKUP(COUNTIF(I61:XFD61,"&gt;"&amp;0)-1,I$1:XFD61,A61+1,FALSE))</f>
        <v>11</v>
      </c>
      <c r="F61" s="7">
        <f>IF(COUNTIF(I61:XFD61,"&gt;"&amp;0)=0,,HLOOKUP(COUNTIF(I61:XFD61,"&gt;"&amp;0)-MIN($F$1+1,COUNTIF(I61:XFD61,"&gt;"&amp;0)),I$1:XFD61,A61+1,FALSE))</f>
        <v>9</v>
      </c>
      <c r="G61" s="8">
        <f>IF(COUNTIF(I61:XFD61,"&gt;"&amp;0)=0,,(E61/F61)^(1/MIN(COUNTIF(I61:XFD61,"&gt;"&amp;0)-1,$F$1)))</f>
        <v>1.1055415967851334</v>
      </c>
      <c r="H61" s="13" t="s">
        <v>141</v>
      </c>
      <c r="I61" s="9">
        <v>9</v>
      </c>
      <c r="J61" s="9">
        <v>9</v>
      </c>
      <c r="K61" s="9">
        <v>11</v>
      </c>
    </row>
    <row r="62" spans="1:14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>Lebanon</v>
      </c>
      <c r="D62" s="6">
        <f>MAX(I62:BD62)</f>
        <v>10</v>
      </c>
      <c r="E62" s="6">
        <f>IF(COUNTIF(I62:XFD62,"&gt;"&amp;0)=0,,HLOOKUP(COUNTIF(I62:XFD62,"&gt;"&amp;0)-1,I$1:XFD62,A62+1,FALSE))</f>
        <v>10</v>
      </c>
      <c r="F62" s="7">
        <f>IF(COUNTIF(I62:XFD62,"&gt;"&amp;0)=0,,HLOOKUP(COUNTIF(I62:XFD62,"&gt;"&amp;0)-MIN($F$1+1,COUNTIF(I62:XFD62,"&gt;"&amp;0)),I$1:XFD62,A62+1,FALSE))</f>
        <v>8</v>
      </c>
      <c r="G62" s="8">
        <f>IF(COUNTIF(I62:XFD62,"&gt;"&amp;0)=0,,(E62/F62)^(1/MIN(COUNTIF(I62:XFD62,"&gt;"&amp;0)-1,$F$1)))</f>
        <v>1.1180339887498949</v>
      </c>
      <c r="H62" s="13" t="s">
        <v>67</v>
      </c>
      <c r="I62" s="9">
        <v>8</v>
      </c>
      <c r="J62" s="9">
        <v>8</v>
      </c>
      <c r="K62" s="9">
        <v>10</v>
      </c>
    </row>
    <row r="63" spans="1:14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>Albania</v>
      </c>
      <c r="D63" s="6">
        <f>MAX(I63:BD63)</f>
        <v>10</v>
      </c>
      <c r="E63" s="6">
        <f>IF(COUNTIF(I63:XFD63,"&gt;"&amp;0)=0,,HLOOKUP(COUNTIF(I63:XFD63,"&gt;"&amp;0)-1,I$1:XFD63,A63+1,FALSE))</f>
        <v>10</v>
      </c>
      <c r="F63" s="7">
        <f>IF(COUNTIF(I63:XFD63,"&gt;"&amp;0)=0,,HLOOKUP(COUNTIF(I63:XFD63,"&gt;"&amp;0)-MIN($F$1+1,COUNTIF(I63:XFD63,"&gt;"&amp;0)),I$1:XFD63,A63+1,FALSE))</f>
        <v>8</v>
      </c>
      <c r="G63" s="8">
        <f>IF(COUNTIF(I63:XFD63,"&gt;"&amp;0)=0,,(E63/F63)^(1/MIN(COUNTIF(I63:XFD63,"&gt;"&amp;0)-1,$F$1)))</f>
        <v>1.1180339887498949</v>
      </c>
      <c r="H63" s="13" t="s">
        <v>230</v>
      </c>
      <c r="I63" s="9">
        <v>8</v>
      </c>
      <c r="J63" s="9">
        <v>10</v>
      </c>
      <c r="K63" s="9">
        <v>10</v>
      </c>
    </row>
    <row r="64" spans="1:14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>Colombia</v>
      </c>
      <c r="D64" s="6">
        <f>MAX(I64:BD64)</f>
        <v>10</v>
      </c>
      <c r="E64" s="6">
        <f>IF(COUNTIF(I64:XFD64,"&gt;"&amp;0)=0,,HLOOKUP(COUNTIF(I64:XFD64,"&gt;"&amp;0)-1,I$1:XFD64,A64+1,FALSE))</f>
        <v>10</v>
      </c>
      <c r="F64" s="7">
        <f>IF(COUNTIF(I64:XFD64,"&gt;"&amp;0)=0,,HLOOKUP(COUNTIF(I64:XFD64,"&gt;"&amp;0)-MIN($F$1+1,COUNTIF(I64:XFD64,"&gt;"&amp;0)),I$1:XFD64,A64+1,FALSE))</f>
        <v>10</v>
      </c>
      <c r="G64" s="8" t="e">
        <f>IF(COUNTIF(I64:XFD64,"&gt;"&amp;0)=0,,(E64/F64)^(1/MIN(COUNTIF(I64:XFD64,"&gt;"&amp;0)-1,$F$1)))</f>
        <v>#DIV/0!</v>
      </c>
      <c r="H64" s="13" t="s">
        <v>158</v>
      </c>
      <c r="I64" s="9">
        <v>10</v>
      </c>
    </row>
    <row r="65" spans="1:10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>Ukraine</v>
      </c>
      <c r="D65" s="6">
        <f>MAX(I65:BD65)</f>
        <v>10</v>
      </c>
      <c r="E65" s="6">
        <f>IF(COUNTIF(I65:XFD65,"&gt;"&amp;0)=0,,HLOOKUP(COUNTIF(I65:XFD65,"&gt;"&amp;0)-1,I$1:XFD65,A65+1,FALSE))</f>
        <v>10</v>
      </c>
      <c r="F65" s="7">
        <f>IF(COUNTIF(I65:XFD65,"&gt;"&amp;0)=0,,HLOOKUP(COUNTIF(I65:XFD65,"&gt;"&amp;0)-MIN($F$1+1,COUNTIF(I65:XFD65,"&gt;"&amp;0)),I$1:XFD65,A65+1,FALSE))</f>
        <v>9</v>
      </c>
      <c r="G65" s="8">
        <f>IF(COUNTIF(I65:XFD65,"&gt;"&amp;0)=0,,(E65/F65)^(1/MIN(COUNTIF(I65:XFD65,"&gt;"&amp;0)-1,$F$1)))</f>
        <v>1.1111111111111112</v>
      </c>
      <c r="H65" s="13" t="s">
        <v>129</v>
      </c>
      <c r="I65" s="9">
        <v>9</v>
      </c>
      <c r="J65" s="9">
        <v>10</v>
      </c>
    </row>
    <row r="66" spans="1:10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>Saudi Arabia</v>
      </c>
      <c r="D66" s="6">
        <f>MAX(I66:BD66)</f>
        <v>8</v>
      </c>
      <c r="E66" s="6">
        <f>IF(COUNTIF(I66:XFD66,"&gt;"&amp;0)=0,,HLOOKUP(COUNTIF(I66:XFD66,"&gt;"&amp;0)-1,I$1:XFD66,A66+1,FALSE))</f>
        <v>8</v>
      </c>
      <c r="F66" s="7">
        <f>IF(COUNTIF(I66:XFD66,"&gt;"&amp;0)=0,,HLOOKUP(COUNTIF(I66:XFD66,"&gt;"&amp;0)-MIN($F$1+1,COUNTIF(I66:XFD66,"&gt;"&amp;0)),I$1:XFD66,A66+1,FALSE))</f>
        <v>8</v>
      </c>
      <c r="G66" s="8" t="e">
        <f>IF(COUNTIF(I66:XFD66,"&gt;"&amp;0)=0,,(E66/F66)^(1/MIN(COUNTIF(I66:XFD66,"&gt;"&amp;0)-1,$F$1)))</f>
        <v>#DIV/0!</v>
      </c>
      <c r="H66" s="13" t="s">
        <v>113</v>
      </c>
      <c r="I66" s="9">
        <v>8</v>
      </c>
    </row>
    <row r="67" spans="1:10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>Russia</v>
      </c>
      <c r="D67" s="6">
        <f>MAX(I67:BD67)</f>
        <v>8</v>
      </c>
      <c r="E67" s="6">
        <f>IF(COUNTIF(I67:XFD67,"&gt;"&amp;0)=0,,HLOOKUP(COUNTIF(I67:XFD67,"&gt;"&amp;0)-1,I$1:XFD67,A67+1,FALSE))</f>
        <v>8</v>
      </c>
      <c r="F67" s="7">
        <f>IF(COUNTIF(I67:XFD67,"&gt;"&amp;0)=0,,HLOOKUP(COUNTIF(I67:XFD67,"&gt;"&amp;0)-MIN($F$1+1,COUNTIF(I67:XFD67,"&gt;"&amp;0)),I$1:XFD67,A67+1,FALSE))</f>
        <v>8</v>
      </c>
      <c r="G67" s="8" t="e">
        <f>IF(COUNTIF(I67:XFD67,"&gt;"&amp;0)=0,,(E67/F67)^(1/MIN(COUNTIF(I67:XFD67,"&gt;"&amp;0)-1,$F$1)))</f>
        <v>#DIV/0!</v>
      </c>
      <c r="H67" s="13" t="s">
        <v>344</v>
      </c>
      <c r="I67" s="9">
        <v>8</v>
      </c>
    </row>
    <row r="68" spans="1:10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>Bulgaria</v>
      </c>
      <c r="D68" s="6">
        <f>MAX(I68:BD68)</f>
        <v>8</v>
      </c>
      <c r="E68" s="6">
        <f>IF(COUNTIF(I68:XFD68,"&gt;"&amp;0)=0,,HLOOKUP(COUNTIF(I68:XFD68,"&gt;"&amp;0)-1,I$1:XFD68,A68+1,FALSE))</f>
        <v>8</v>
      </c>
      <c r="F68" s="7">
        <f>IF(COUNTIF(I68:XFD68,"&gt;"&amp;0)=0,,HLOOKUP(COUNTIF(I68:XFD68,"&gt;"&amp;0)-MIN($F$1+1,COUNTIF(I68:XFD68,"&gt;"&amp;0)),I$1:XFD68,A68+1,FALSE))</f>
        <v>8</v>
      </c>
      <c r="G68" s="8" t="e">
        <f>IF(COUNTIF(I68:XFD68,"&gt;"&amp;0)=0,,(E68/F68)^(1/MIN(COUNTIF(I68:XFD68,"&gt;"&amp;0)-1,$F$1)))</f>
        <v>#DIV/0!</v>
      </c>
      <c r="H68" s="13" t="s">
        <v>199</v>
      </c>
      <c r="I68" s="9">
        <v>8</v>
      </c>
    </row>
    <row r="69" spans="1:10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>Tunisia</v>
      </c>
      <c r="D69" s="6">
        <f>MAX(I69:BD69)</f>
        <v>8</v>
      </c>
      <c r="E69" s="6">
        <f>IF(COUNTIF(I69:XFD69,"&gt;"&amp;0)=0,,HLOOKUP(COUNTIF(I69:XFD69,"&gt;"&amp;0)-1,I$1:XFD69,A69+1,FALSE))</f>
        <v>8</v>
      </c>
      <c r="F69" s="7">
        <f>IF(COUNTIF(I69:XFD69,"&gt;"&amp;0)=0,,HLOOKUP(COUNTIF(I69:XFD69,"&gt;"&amp;0)-MIN($F$1+1,COUNTIF(I69:XFD69,"&gt;"&amp;0)),I$1:XFD69,A69+1,FALSE))</f>
        <v>8</v>
      </c>
      <c r="G69" s="8">
        <f>IF(COUNTIF(I69:XFD69,"&gt;"&amp;0)=0,,(E69/F69)^(1/MIN(COUNTIF(I69:XFD69,"&gt;"&amp;0)-1,$F$1)))</f>
        <v>1</v>
      </c>
      <c r="H69" s="13" t="s">
        <v>138</v>
      </c>
      <c r="I69" s="9">
        <v>8</v>
      </c>
      <c r="J69" s="9">
        <v>8</v>
      </c>
    </row>
    <row r="70" spans="1:10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/>
      </c>
      <c r="D70" s="6">
        <f>MAX(I70:BD70)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>IF(COUNTIF(I70:XFD70,"&gt;"&amp;0)=0,,(E70/F70)^(1/MIN(COUNTIF(I70:XFD70,"&gt;"&amp;0)-1,$F$1)))</f>
        <v>0</v>
      </c>
    </row>
    <row r="71" spans="1:10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/>
      </c>
      <c r="D71" s="6">
        <f>MAX(I71:BD71)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10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/>
      </c>
      <c r="D72" s="6">
        <f>MAX(I72:BD72)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10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/>
      </c>
      <c r="D73" s="6">
        <f>MAX(I73:BD73)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10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/>
      </c>
      <c r="D74" s="6">
        <f>MAX(I74:BD74)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10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MAX(I75:BD75)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10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MAX(I76:BD76)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10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MAX(I77:BD77)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10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MAX(I78:BD78)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10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MAX(I79:BD79)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10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MAX(I80:BD80)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MAX(I81:BD81)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MAX(I82:BD82)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MAX(I83:BD83)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MAX(I84:BD84)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MAX(I85:BD85)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MAX(I86:BD86)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MAX(I87:BD87)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MAX(I88:BD88)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MAX(I89:BD89)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MAX(I90:BD90)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MAX(I91:BD91)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MAX(I92:BD92)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MAX(I93:BD93)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MAX(I94:BD94)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MAX(I95:BD95)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MAX(I96:BD96)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MAX(I97:BD97)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MAX(I98:BD98)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MAX(I99:BD99)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MAX(I100:BD100)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MAX(I102:BD102)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MAX(I103:BD103)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MAX(I104:BD104)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MAX(I105:BD105)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MAX(I106:BD106)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MAX(I107:BD107)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MAX(I108:BD108)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MAX(I109:BD109)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MAX(I110:BD110)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MAX(I111:BD111)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MAX(I112:BD112)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MAX(I113:BD113)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MAX(I114:BD114)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MAX(I115:BD115)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MAX(I116:BD116)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MAX(I117:BD117)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MAX(I118:BD118)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MAX(I119:BD119)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MAX(I120:BD120)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MAX(I121:BD121)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MAX(I122:BD122)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MAX(I123:BD123)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MAX(I124:BD124)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MAX(I125:BD125)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MAX(I126:BD126)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MAX(I127:BD127)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MAX(I128:BD128)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MAX(I129:BD129)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MAX(I130:BD130)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MAX(I131:BD131)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MAX(I132:BD132)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MAX(I135:BD135)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MAX(I136:BD136)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MAX(I137:BD137)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MAX(I138:BD138)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MAX(I139:BD139)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MAX(I140:BD140)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MAX(I141:BD141)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MAX(I142:BD142)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MAX(I143:BD143)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MAX(I144:BD144)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MAX(I145:BD145)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MAX(I146:BD146)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MAX(I147:BD147)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MAX(I148:BD148)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MAX(I149:BD149)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MAX(I150:BD150)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MAX(I151:BD151)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MAX(I152:BD152)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MAX(I153:BD153)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MAX(I154:BD154)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MAX(I155:BD155)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MAX(I156:BD156)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MAX(I157:BD157)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MAX(I158:BD158)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MAX(I159:BD159)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MAX(I160:BD160)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MAX(I161:BD161)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MAX(I162:BD162)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MAX(I163:BD163)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MAX(I164:BD164)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MAX(I166:BD166)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MAX(I167:BD167)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MAX(I168:BD168)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MAX(I169:BD169)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MAX(I170:BD170)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MAX(I171:BD171)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MAX(I172:BD172)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MAX(I173:BD173)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MAX(I174:BD174)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MAX(I175:BD175)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MAX(I176:BD176)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MAX(I177:BD177)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MAX(I178:BD178)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MAX(I179:BD179)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MAX(I180:BD180)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MAX(I181:BD181)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MAX(I182:BD182)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MAX(I183:BD183)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MAX(I184:BD184)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MAX(I185:BD185)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MAX(I186:BD186)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MAX(I187:BD187)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MAX(I188:BD188)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MAX(I189:BD189)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MAX(I190:BD190)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MAX(I191:BD191)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MAX(I192:BD192)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MAX(I193:BD193)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MAX(I194:BD194)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MAX(I195:BD195)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MAX(I196:BD196)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MAX(I197:BD197)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MAX(I199:BD199)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MAX(I200:BD200)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509</v>
      </c>
      <c r="H1" s="52" t="s">
        <v>504</v>
      </c>
      <c r="I1" s="52" t="s">
        <v>501</v>
      </c>
      <c r="J1" s="41" t="s">
        <v>571</v>
      </c>
      <c r="K1" s="52" t="s">
        <v>513</v>
      </c>
      <c r="L1" s="52" t="s">
        <v>465</v>
      </c>
      <c r="M1" s="52" t="s">
        <v>517</v>
      </c>
      <c r="N1" s="52">
        <v>10</v>
      </c>
      <c r="O1" s="52" t="s">
        <v>572</v>
      </c>
      <c r="P1" s="52" t="s">
        <v>573</v>
      </c>
      <c r="Q1" s="52" t="s">
        <v>607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82122</v>
      </c>
      <c r="G2" s="41">
        <f>MAX(CumulativeDead!2:2)</f>
        <v>3304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4.0232824334526678E-2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608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97689</v>
      </c>
      <c r="G3" s="41">
        <f>MAX(CumulativeDead!3:3)</f>
        <v>10779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0.1103399563922243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609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38309</v>
      </c>
      <c r="G4" s="41">
        <f>MAX(CumulativeDead!4:4)</f>
        <v>2640</v>
      </c>
      <c r="J4" s="41">
        <v>83992949</v>
      </c>
      <c r="K4" s="52">
        <v>0</v>
      </c>
      <c r="L4" s="41">
        <v>0</v>
      </c>
      <c r="M4" s="69">
        <f t="shared" si="0"/>
        <v>6.8913310188206428E-2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610</v>
      </c>
    </row>
    <row r="5" spans="1:17" x14ac:dyDescent="0.3">
      <c r="A5" s="52">
        <v>4</v>
      </c>
      <c r="B5" s="55" t="s">
        <v>476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9583</v>
      </c>
      <c r="G5" s="41">
        <f>MAX(CumulativeDead!5:5)</f>
        <v>152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1.5861421266826672E-2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608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80110</v>
      </c>
      <c r="G6" s="41">
        <f>MAX(CumulativeDead!6:6)</f>
        <v>6803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8.4920733990762706E-2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609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62095</v>
      </c>
      <c r="G7" s="41">
        <f>MAX(CumulativeDead!7:7)</f>
        <v>533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8.5836218697157574E-3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609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40708</v>
      </c>
      <c r="G8" s="41">
        <f>MAX(CumulativeDead!8:8)</f>
        <v>2611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6.4139726835020144E-2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609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140886</v>
      </c>
      <c r="G9" s="41">
        <f>MAX(CumulativeDead!9:9)</f>
        <v>2467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1.7510611416322416E-2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611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14829</v>
      </c>
      <c r="G10" s="41">
        <f>MAX(CumulativeDead!10:10)</f>
        <v>300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2.0230629172567266E-2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609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4284</v>
      </c>
      <c r="G11" s="41">
        <f>MAX(CumulativeDead!11:11)</f>
        <v>25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5.8356676003734828E-3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609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3700</v>
      </c>
      <c r="G12" s="41">
        <f>MAX(CumulativeDead!12:12)</f>
        <v>110</v>
      </c>
      <c r="J12" s="41">
        <v>10099265</v>
      </c>
      <c r="K12" s="52">
        <v>5.8</v>
      </c>
      <c r="L12" s="41">
        <v>585.75736999999992</v>
      </c>
      <c r="M12" s="69">
        <f t="shared" si="0"/>
        <v>2.9729729729729731E-2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609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2564</v>
      </c>
      <c r="G13" s="41">
        <f>MAX(CumulativeDead!13:13)</f>
        <v>72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2.8081123244929798E-2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609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10930</v>
      </c>
      <c r="G14" s="41">
        <f>MAX(CumulativeDead!14:14)</f>
        <v>772</v>
      </c>
      <c r="J14" s="41">
        <v>17134872</v>
      </c>
      <c r="K14" s="52">
        <v>0</v>
      </c>
      <c r="L14" s="41">
        <v>0</v>
      </c>
      <c r="M14" s="69">
        <f t="shared" si="0"/>
        <v>7.0631290027447391E-2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609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19780</v>
      </c>
      <c r="G15" s="41">
        <f>MAX(CumulativeDead!15:15)</f>
        <v>1231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6.2234580384226489E-2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609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1866</v>
      </c>
      <c r="G16" s="41">
        <f>MAX(CumulativeDead!16:16)</f>
        <v>54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2.8938906752411574E-2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608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10836</v>
      </c>
      <c r="G18" s="41">
        <f>MAX(CumulativeDead!18:18)</f>
        <v>431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3.9774824658545586E-2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609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8788</v>
      </c>
      <c r="G19" s="41">
        <f>MAX(CumulativeDead!19:19)</f>
        <v>86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9.7860719162494308E-3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609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634</v>
      </c>
      <c r="G20" s="41">
        <f>MAX(CumulativeDead!20:20)</f>
        <v>1</v>
      </c>
      <c r="J20" s="41">
        <v>2881053</v>
      </c>
      <c r="K20" s="52">
        <v>0</v>
      </c>
      <c r="L20" s="41">
        <v>0</v>
      </c>
      <c r="M20" s="69">
        <f t="shared" si="0"/>
        <v>1.5772870662460567E-3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610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3984</v>
      </c>
      <c r="G21" s="41">
        <f>MAX(CumulativeDead!21:21)</f>
        <v>16</v>
      </c>
      <c r="J21" s="41">
        <v>25499884</v>
      </c>
      <c r="K21" s="52">
        <v>0</v>
      </c>
      <c r="L21" s="41">
        <v>0</v>
      </c>
      <c r="M21" s="69">
        <f t="shared" si="0"/>
        <v>4.0160642570281121E-3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614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844</v>
      </c>
      <c r="G22" s="41">
        <f>MAX(CumulativeDead!22:22)</f>
        <v>3</v>
      </c>
      <c r="J22" s="41">
        <v>5850342</v>
      </c>
      <c r="K22" s="52">
        <v>0</v>
      </c>
      <c r="L22" s="41">
        <v>0</v>
      </c>
      <c r="M22" s="69">
        <f t="shared" si="0"/>
        <v>3.5545023696682463E-3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608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2470</v>
      </c>
      <c r="G23" s="41">
        <f>MAX(CumulativeDead!23:23)</f>
        <v>35</v>
      </c>
      <c r="J23" s="41">
        <v>32365999</v>
      </c>
      <c r="K23" s="52">
        <v>0</v>
      </c>
      <c r="L23" s="41">
        <v>0</v>
      </c>
      <c r="M23" s="69">
        <f t="shared" si="0"/>
        <v>1.417004048582996E-2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608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6280</v>
      </c>
      <c r="G24" s="41">
        <f>MAX(CumulativeDead!24:24)</f>
        <v>64</v>
      </c>
      <c r="J24" s="41">
        <v>37742154</v>
      </c>
      <c r="K24" s="52">
        <v>0</v>
      </c>
      <c r="L24" s="41">
        <v>0</v>
      </c>
      <c r="M24" s="69">
        <f t="shared" si="0"/>
        <v>1.019108280254777E-2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611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1156</v>
      </c>
      <c r="G25" s="41">
        <f>MAX(CumulativeDead!25:25)</f>
        <v>38</v>
      </c>
      <c r="J25" s="41">
        <v>10423054</v>
      </c>
      <c r="K25" s="52">
        <v>6</v>
      </c>
      <c r="L25" s="41">
        <v>625.38324</v>
      </c>
      <c r="M25" s="69">
        <f t="shared" si="0"/>
        <v>3.2871972318339097E-2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609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499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8.0160320641282558E-3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610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4247</v>
      </c>
      <c r="G27" s="41">
        <f>MAX(CumulativeDead!27:27)</f>
        <v>15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3.5319048740287263E-3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610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1240</v>
      </c>
      <c r="G28" s="41">
        <f>MAX(CumulativeDead!28:28)</f>
        <v>11</v>
      </c>
      <c r="J28" s="41">
        <v>5540720</v>
      </c>
      <c r="K28" s="52">
        <v>6.1</v>
      </c>
      <c r="L28" s="41">
        <v>337.98392000000001</v>
      </c>
      <c r="M28" s="69">
        <f t="shared" si="0"/>
        <v>8.870967741935484E-3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609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4256</v>
      </c>
      <c r="G29" s="41">
        <f>MAX(CumulativeDead!29:29)</f>
        <v>136</v>
      </c>
      <c r="J29" s="41">
        <v>212559417</v>
      </c>
      <c r="K29" s="52">
        <v>0</v>
      </c>
      <c r="L29" s="41">
        <v>0</v>
      </c>
      <c r="M29" s="69">
        <f t="shared" si="0"/>
        <v>3.1954887218045111E-2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612</v>
      </c>
    </row>
    <row r="30" spans="1:17" x14ac:dyDescent="0.3">
      <c r="A30" s="52">
        <v>29</v>
      </c>
      <c r="B30" s="55" t="s">
        <v>479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2817</v>
      </c>
      <c r="G30" s="41">
        <f>MAX(CumulativeDead!30:30)</f>
        <v>16</v>
      </c>
      <c r="J30" s="41">
        <v>10708981</v>
      </c>
      <c r="K30" s="52">
        <v>11.6</v>
      </c>
      <c r="L30" s="41">
        <v>1242.241796</v>
      </c>
      <c r="M30" s="69">
        <f t="shared" si="0"/>
        <v>5.6798012069577564E-3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609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730</v>
      </c>
      <c r="G31" s="41">
        <f>MAX(CumulativeDead!31:31)</f>
        <v>11</v>
      </c>
      <c r="J31" s="41">
        <v>2078938</v>
      </c>
      <c r="K31" s="52">
        <v>6.4</v>
      </c>
      <c r="L31" s="41">
        <v>133.05203200000003</v>
      </c>
      <c r="M31" s="69">
        <f t="shared" si="0"/>
        <v>1.5068493150684932E-2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609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1020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4.9019607843137254E-3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609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5962</v>
      </c>
      <c r="G33" s="41">
        <f>MAX(CumulativeDead!33:33)</f>
        <v>119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1.9959745051995974E-2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609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547</v>
      </c>
      <c r="G34" s="41">
        <f>MAX(CumulativeDead!34:34)</f>
        <v>42</v>
      </c>
      <c r="J34" s="41">
        <v>40222493</v>
      </c>
      <c r="K34" s="52">
        <v>0</v>
      </c>
      <c r="L34" s="41">
        <v>0</v>
      </c>
      <c r="M34" s="69">
        <f t="shared" ref="M34:M65" si="2">G34/F34</f>
        <v>7.6782449725776969E-2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610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2615</v>
      </c>
      <c r="G35" s="41">
        <f>MAX(CumulativeDead!35:35)</f>
        <v>46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1.7590822179732315E-2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609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1815</v>
      </c>
      <c r="G36" s="41">
        <f>MAX(CumulativeDead!36:36)</f>
        <v>43</v>
      </c>
      <c r="J36" s="41">
        <v>19237691</v>
      </c>
      <c r="K36" s="52">
        <v>21.4</v>
      </c>
      <c r="L36" s="41">
        <v>4116.8658740000001</v>
      </c>
      <c r="M36" s="69">
        <f t="shared" si="2"/>
        <v>2.3691460055096418E-2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609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1299</v>
      </c>
      <c r="G37" s="41">
        <f>MAX(CumulativeDead!37:37)</f>
        <v>8</v>
      </c>
      <c r="J37" s="41">
        <v>34813871</v>
      </c>
      <c r="K37" s="52">
        <v>0</v>
      </c>
      <c r="L37" s="41">
        <v>0</v>
      </c>
      <c r="M37" s="69">
        <f t="shared" si="2"/>
        <v>6.1585835257890681E-3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610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570</v>
      </c>
      <c r="G38" s="41">
        <f>MAX(CumulativeDead!38:38)</f>
        <v>3</v>
      </c>
      <c r="J38" s="41">
        <v>9890402</v>
      </c>
      <c r="K38" s="52">
        <v>0</v>
      </c>
      <c r="L38" s="41">
        <v>0</v>
      </c>
      <c r="M38" s="69">
        <f t="shared" si="2"/>
        <v>5.263157894736842E-3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610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1024</v>
      </c>
      <c r="G39" s="41">
        <f>MAX(CumulativeDead!39:39)</f>
        <v>27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2.63671875E-2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608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609</v>
      </c>
      <c r="G40" s="41">
        <f>MAX(CumulativeDead!40:40)</f>
        <v>40</v>
      </c>
      <c r="J40" s="41">
        <v>102334404</v>
      </c>
      <c r="K40" s="52">
        <v>0</v>
      </c>
      <c r="L40" s="41">
        <v>0</v>
      </c>
      <c r="M40" s="69">
        <f t="shared" si="2"/>
        <v>6.5681444991789822E-2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613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255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610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224</v>
      </c>
      <c r="G42" s="41">
        <f>MAX(CumulativeDead!42:42)</f>
        <v>22</v>
      </c>
      <c r="J42" s="41">
        <v>33931</v>
      </c>
      <c r="K42" s="52">
        <v>0</v>
      </c>
      <c r="L42" s="41">
        <v>0</v>
      </c>
      <c r="M42" s="69">
        <f t="shared" si="2"/>
        <v>9.8214285714285712E-2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609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679</v>
      </c>
      <c r="G43" s="41">
        <f>MAX(CumulativeDead!43:43)</f>
        <v>3</v>
      </c>
      <c r="J43" s="41">
        <v>1326535</v>
      </c>
      <c r="K43" s="52">
        <v>14.6</v>
      </c>
      <c r="L43" s="41">
        <v>193.67410999999998</v>
      </c>
      <c r="M43" s="69">
        <f t="shared" si="2"/>
        <v>4.418262150220913E-3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609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438</v>
      </c>
      <c r="G44" s="41">
        <f>MAX(CumulativeDead!44:44)</f>
        <v>10</v>
      </c>
      <c r="J44" s="41">
        <v>6825445</v>
      </c>
      <c r="K44" s="52">
        <v>0</v>
      </c>
      <c r="L44" s="41">
        <v>0</v>
      </c>
      <c r="M44" s="69">
        <f t="shared" si="2"/>
        <v>2.2831050228310501E-2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610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1388</v>
      </c>
      <c r="G45" s="41">
        <f>MAX(CumulativeDead!45:45)</f>
        <v>7</v>
      </c>
      <c r="J45" s="41">
        <v>69799978</v>
      </c>
      <c r="K45" s="52">
        <v>0</v>
      </c>
      <c r="L45" s="41">
        <v>0</v>
      </c>
      <c r="M45" s="69">
        <f t="shared" si="2"/>
        <v>5.0432276657060519E-3</v>
      </c>
      <c r="N45" s="52" t="e">
        <f>VLOOKUP(C45,Deaths_since_10!H:I,2,FALSE)</f>
        <v>#N/A</v>
      </c>
      <c r="O45" s="56" t="e">
        <f ca="1">OFFSET(CumulativeDead!B45,-A45,MATCH(Country_Data!N45,CumulativeDead!C45:BU45,0))</f>
        <v>#N/A</v>
      </c>
      <c r="P45" s="52" t="e">
        <f t="shared" ca="1" si="3"/>
        <v>#N/A</v>
      </c>
      <c r="Q45" s="52" t="s">
        <v>608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1285</v>
      </c>
      <c r="G46" s="41">
        <f>MAX(CumulativeDead!46:46)</f>
        <v>114</v>
      </c>
      <c r="J46" s="41">
        <v>273523615</v>
      </c>
      <c r="K46" s="52">
        <v>0</v>
      </c>
      <c r="L46" s="41">
        <v>0</v>
      </c>
      <c r="M46" s="69">
        <f t="shared" si="2"/>
        <v>8.8715953307393E-2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608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1862</v>
      </c>
      <c r="G47" s="41">
        <f>MAX(CumulativeDead!47:47)</f>
        <v>22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1.1815252416756176E-2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609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1418</v>
      </c>
      <c r="G48" s="41">
        <f>MAX(CumulativeDead!48:48)</f>
        <v>71</v>
      </c>
      <c r="J48" s="41">
        <v>109581078</v>
      </c>
      <c r="K48" s="52">
        <v>0</v>
      </c>
      <c r="L48" s="41">
        <v>0</v>
      </c>
      <c r="M48" s="69">
        <f t="shared" si="2"/>
        <v>5.0070521861777149E-2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608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298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 t="shared" si="2"/>
        <v>6.7114093959731542E-3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608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188</v>
      </c>
      <c r="G50" s="41">
        <f>MAX(CumulativeDead!50:50)</f>
        <v>0</v>
      </c>
      <c r="J50" s="41">
        <v>97338579</v>
      </c>
      <c r="K50" s="52" t="s">
        <v>512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608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1534</v>
      </c>
      <c r="G51" s="41">
        <f>MAX(CumulativeDead!51:51)</f>
        <v>8</v>
      </c>
      <c r="J51" s="41">
        <v>145934462</v>
      </c>
      <c r="K51" s="52">
        <v>0</v>
      </c>
      <c r="L51" s="41">
        <v>0</v>
      </c>
      <c r="M51" s="69">
        <f t="shared" si="2"/>
        <v>5.2151238591916557E-3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608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2139</v>
      </c>
      <c r="G52" s="41">
        <f>MAX(CumulativeDead!52:52)</f>
        <v>7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3.2725572697522207E-3</v>
      </c>
      <c r="N52" s="52" t="e">
        <f>VLOOKUP(C52,Deaths_since_10!H:I,2,FALSE)</f>
        <v>#N/A</v>
      </c>
      <c r="O52" s="56" t="e">
        <f ca="1">OFFSET(CumulativeDead!B52,-A52,MATCH(Country_Data!N52,CumulativeDead!C52:BU52,0))</f>
        <v>#N/A</v>
      </c>
      <c r="P52" s="52" t="e">
        <f t="shared" ca="1" si="3"/>
        <v>#N/A</v>
      </c>
      <c r="Q52" s="52" t="s">
        <v>612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126</v>
      </c>
      <c r="G53" s="41">
        <f>MAX(CumulativeDead!53:53)</f>
        <v>1</v>
      </c>
      <c r="J53" s="41">
        <v>437479</v>
      </c>
      <c r="K53" s="52" t="s">
        <v>512</v>
      </c>
      <c r="L53" s="41" t="e">
        <v>#VALUE!</v>
      </c>
      <c r="M53" s="69">
        <f t="shared" si="2"/>
        <v>7.9365079365079361E-3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608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741</v>
      </c>
      <c r="G54" s="41">
        <f>MAX(CumulativeDead!54:54)</f>
        <v>13</v>
      </c>
      <c r="J54" s="41">
        <v>8737371</v>
      </c>
      <c r="K54" s="52" t="s">
        <v>512</v>
      </c>
      <c r="L54" s="41" t="e">
        <v>#VALUE!</v>
      </c>
      <c r="M54" s="69">
        <f t="shared" si="2"/>
        <v>1.7543859649122806E-2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609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1950</v>
      </c>
      <c r="G55" s="41">
        <f>MAX(CumulativeDead!55:55)</f>
        <v>21</v>
      </c>
      <c r="J55" s="41">
        <v>625978</v>
      </c>
      <c r="K55" s="52">
        <v>24.8</v>
      </c>
      <c r="L55" s="41">
        <v>155.24254400000001</v>
      </c>
      <c r="M55" s="69">
        <f t="shared" si="2"/>
        <v>1.0769230769230769E-2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609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212</v>
      </c>
      <c r="G56" s="41">
        <f>MAX(CumulativeDead!56:56)</f>
        <v>10</v>
      </c>
      <c r="J56" s="41">
        <v>2877797</v>
      </c>
      <c r="K56" s="52" t="s">
        <v>512</v>
      </c>
      <c r="L56" s="41" t="e">
        <v>#VALUE!</v>
      </c>
      <c r="M56" s="69">
        <f t="shared" si="2"/>
        <v>4.716981132075472E-2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609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713</v>
      </c>
      <c r="G57" s="41">
        <f>MAX(CumulativeDead!57:57)</f>
        <v>6</v>
      </c>
      <c r="J57" s="41">
        <v>4105267</v>
      </c>
      <c r="K57" s="52">
        <v>14.7</v>
      </c>
      <c r="L57" s="41">
        <v>603.47424899999999</v>
      </c>
      <c r="M57" s="69">
        <f t="shared" si="2"/>
        <v>8.4151472650771386E-3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609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314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3.1847133757961785E-3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609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745</v>
      </c>
      <c r="G59" s="41">
        <f>MAX(CumulativeDead!59:59)</f>
        <v>19</v>
      </c>
      <c r="J59" s="41">
        <v>45195774</v>
      </c>
      <c r="K59" s="52" t="s">
        <v>512</v>
      </c>
      <c r="L59" s="41" t="e">
        <v>#VALUE!</v>
      </c>
      <c r="M59" s="69">
        <f t="shared" si="2"/>
        <v>2.5503355704697986E-2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612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1597</v>
      </c>
      <c r="G60" s="41">
        <f>MAX(CumulativeDead!60:60)</f>
        <v>14</v>
      </c>
      <c r="J60" s="41">
        <v>220892340</v>
      </c>
      <c r="K60" s="52">
        <v>0</v>
      </c>
      <c r="L60" s="41">
        <v>0</v>
      </c>
      <c r="M60" s="69">
        <f t="shared" si="2"/>
        <v>8.7664370695053218E-3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608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852</v>
      </c>
      <c r="G61" s="41">
        <f>MAX(CumulativeDead!61:61)</f>
        <v>18</v>
      </c>
      <c r="J61" s="41">
        <v>32971854</v>
      </c>
      <c r="K61" s="52">
        <v>0</v>
      </c>
      <c r="L61" s="41">
        <v>0</v>
      </c>
      <c r="M61" s="69">
        <f t="shared" si="2"/>
        <v>2.1126760563380281E-2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612</v>
      </c>
    </row>
    <row r="62" spans="1:17" x14ac:dyDescent="0.3">
      <c r="A62" s="52">
        <v>61</v>
      </c>
      <c r="B62" s="55" t="s">
        <v>91</v>
      </c>
      <c r="C62" s="55" t="s">
        <v>91</v>
      </c>
      <c r="D62" s="52" t="e">
        <f>VLOOKUP(C62,Days_Since_100!H:I,2,FALSE)</f>
        <v>#N/A</v>
      </c>
      <c r="E62" s="56" t="e">
        <f ca="1">OFFSET(CumulativeConfirmed!A62,-A62,MATCH(Country_Data!D62,CumulativeConfirmed!B62:BU62,0))</f>
        <v>#N/A</v>
      </c>
      <c r="F62" s="41">
        <f>MAX(CumulativeConfirmed!62:62)</f>
        <v>94</v>
      </c>
      <c r="G62" s="41">
        <f>MAX(CumulativeDead!62:62)</f>
        <v>0</v>
      </c>
      <c r="J62" s="41">
        <v>9449323</v>
      </c>
      <c r="K62" s="52" t="s">
        <v>512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609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901</v>
      </c>
      <c r="G63" s="41">
        <f>MAX(CumulativeDead!63:63)</f>
        <v>17</v>
      </c>
      <c r="J63" s="41">
        <v>4314767</v>
      </c>
      <c r="K63" s="52" t="s">
        <v>512</v>
      </c>
      <c r="L63" s="41" t="e">
        <v>#VALUE!</v>
      </c>
      <c r="M63" s="69">
        <f t="shared" si="2"/>
        <v>1.8867924528301886E-2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611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511</v>
      </c>
      <c r="G64" s="41">
        <f>MAX(CumulativeDead!64:64)</f>
        <v>31</v>
      </c>
      <c r="J64" s="41">
        <v>43851044</v>
      </c>
      <c r="K64" s="52" t="s">
        <v>512</v>
      </c>
      <c r="L64" s="41" t="e">
        <v>#VALUE!</v>
      </c>
      <c r="M64" s="69">
        <f t="shared" si="2"/>
        <v>6.0665362035225046E-2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613</v>
      </c>
    </row>
    <row r="65" spans="1:17" x14ac:dyDescent="0.3">
      <c r="A65" s="52">
        <v>64</v>
      </c>
      <c r="B65" s="55" t="s">
        <v>82</v>
      </c>
      <c r="C65" s="55" t="s">
        <v>82</v>
      </c>
      <c r="D65" s="52" t="e">
        <f>VLOOKUP(C65,Days_Since_100!H:I,2,FALSE)</f>
        <v>#N/A</v>
      </c>
      <c r="E65" s="56" t="e">
        <f ca="1">OFFSET(CumulativeConfirmed!A65,-A65,MATCH(Country_Data!D65,CumulativeConfirmed!B65:BU65,0))</f>
        <v>#N/A</v>
      </c>
      <c r="F65" s="41">
        <f>MAX(CumulativeConfirmed!65:65)</f>
        <v>91</v>
      </c>
      <c r="G65" s="41">
        <f>MAX(CumulativeDead!65:65)</f>
        <v>0</v>
      </c>
      <c r="J65" s="41">
        <v>3989167</v>
      </c>
      <c r="K65" s="52" t="s">
        <v>512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609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1280</v>
      </c>
      <c r="G66" s="41">
        <f>MAX(CumulativeDead!66:66)</f>
        <v>2</v>
      </c>
      <c r="J66" s="41">
        <v>59308690</v>
      </c>
      <c r="K66" s="52">
        <v>0</v>
      </c>
      <c r="L66" s="41">
        <v>0</v>
      </c>
      <c r="M66" s="69">
        <f t="shared" ref="M66:M97" si="4">G66/F66</f>
        <v>1.5625000000000001E-3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613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346</v>
      </c>
      <c r="G67" s="41">
        <f>MAX(CumulativeDead!67:67)</f>
        <v>8</v>
      </c>
      <c r="J67" s="41">
        <v>6948445</v>
      </c>
      <c r="K67" s="52">
        <v>12.2</v>
      </c>
      <c r="L67" s="41">
        <v>847.71028999999987</v>
      </c>
      <c r="M67" s="69">
        <f t="shared" si="4"/>
        <v>2.3121387283236993E-2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609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314</v>
      </c>
      <c r="G68" s="41">
        <f>MAX(CumulativeDead!68:68)</f>
        <v>2</v>
      </c>
      <c r="J68" s="41">
        <v>5094118</v>
      </c>
      <c r="K68" s="52" t="s">
        <v>512</v>
      </c>
      <c r="L68" s="41" t="e">
        <v>#VALUE!</v>
      </c>
      <c r="M68" s="69">
        <f t="shared" si="4"/>
        <v>6.369426751592357E-3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611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408</v>
      </c>
      <c r="G69" s="41">
        <f>MAX(CumulativeDead!69:69)</f>
        <v>13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3.1862745098039214E-2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609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167</v>
      </c>
      <c r="G70" s="41">
        <f>MAX(CumulativeDead!70:70)</f>
        <v>0</v>
      </c>
      <c r="J70" s="41">
        <v>5106626</v>
      </c>
      <c r="K70" s="52" t="s">
        <v>512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610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1924</v>
      </c>
      <c r="G71" s="41">
        <f>MAX(CumulativeDead!71:71)</f>
        <v>58</v>
      </c>
      <c r="J71" s="41">
        <v>17643054</v>
      </c>
      <c r="K71" s="52">
        <v>0</v>
      </c>
      <c r="L71" s="41">
        <v>0</v>
      </c>
      <c r="M71" s="69">
        <f t="shared" si="4"/>
        <v>3.0145530145530147E-2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612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347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609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312</v>
      </c>
      <c r="G73" s="41">
        <f>MAX(CumulativeDead!73:73)</f>
        <v>8</v>
      </c>
      <c r="J73" s="41">
        <v>11818619</v>
      </c>
      <c r="K73" s="52" t="s">
        <v>512</v>
      </c>
      <c r="L73" s="41" t="e">
        <v>#VALUE!</v>
      </c>
      <c r="M73" s="69">
        <f t="shared" si="4"/>
        <v>2.564102564102564E-2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613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209</v>
      </c>
      <c r="G74" s="41">
        <f>MAX(CumulativeDead!74:74)</f>
        <v>4</v>
      </c>
      <c r="J74" s="41">
        <v>10139177</v>
      </c>
      <c r="K74" s="52" t="s">
        <v>512</v>
      </c>
      <c r="L74" s="41" t="e">
        <v>#VALUE!</v>
      </c>
      <c r="M74" s="69">
        <f t="shared" si="4"/>
        <v>1.9138755980861243E-2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608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214</v>
      </c>
      <c r="G75" s="41">
        <f>MAX(CumulativeDead!75:75)</f>
        <v>5</v>
      </c>
      <c r="J75" s="41">
        <v>1207359</v>
      </c>
      <c r="K75" s="52">
        <v>11.4</v>
      </c>
      <c r="L75" s="41">
        <v>137.638926</v>
      </c>
      <c r="M75" s="69">
        <f t="shared" si="4"/>
        <v>2.336448598130841E-2</v>
      </c>
      <c r="N75" s="52" t="e">
        <f>VLOOKUP(C75,Deaths_since_10!H:I,2,FALSE)</f>
        <v>#N/A</v>
      </c>
      <c r="O75" s="56" t="e">
        <f ca="1">OFFSET(CumulativeDead!B75,-A75,MATCH(Country_Data!N75,CumulativeDead!C75:BU75,0))</f>
        <v>#N/A</v>
      </c>
      <c r="P75" s="52" t="e">
        <f t="shared" ca="1" si="5"/>
        <v>#N/A</v>
      </c>
      <c r="Q75" s="52" t="s">
        <v>609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259</v>
      </c>
      <c r="G76" s="41">
        <f>MAX(CumulativeDead!76:76)</f>
        <v>6</v>
      </c>
      <c r="J76" s="41">
        <v>2083374</v>
      </c>
      <c r="K76" s="52" t="s">
        <v>512</v>
      </c>
      <c r="L76" s="41" t="e">
        <v>#VALUE!</v>
      </c>
      <c r="M76" s="69">
        <f t="shared" si="4"/>
        <v>2.3166023166023165E-2</v>
      </c>
      <c r="N76" s="52" t="e">
        <f>VLOOKUP(C76,Deaths_since_10!H:I,2,FALSE)</f>
        <v>#N/A</v>
      </c>
      <c r="O76" s="56" t="e">
        <f ca="1">OFFSET(CumulativeDead!B76,-A76,MATCH(Country_Data!N76,CumulativeDead!C76:BU76,0))</f>
        <v>#N/A</v>
      </c>
      <c r="P76" s="52" t="e">
        <f t="shared" ca="1" si="5"/>
        <v>#N/A</v>
      </c>
      <c r="Q76" s="52" t="s">
        <v>609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323</v>
      </c>
      <c r="G77" s="41">
        <f>MAX(CumulativeDead!77:77)</f>
        <v>6</v>
      </c>
      <c r="J77" s="41">
        <v>3280819</v>
      </c>
      <c r="K77" s="52" t="s">
        <v>512</v>
      </c>
      <c r="L77" s="41" t="e">
        <v>#VALUE!</v>
      </c>
      <c r="M77" s="69">
        <f t="shared" si="4"/>
        <v>1.8575851393188854E-2</v>
      </c>
      <c r="N77" s="52" t="e">
        <f>VLOOKUP(C77,Deaths_since_10!H:I,2,FALSE)</f>
        <v>#N/A</v>
      </c>
      <c r="O77" s="56" t="e">
        <f ca="1">OFFSET(CumulativeDead!B77,-A77,MATCH(Country_Data!N77,CumulativeDead!C77:BU77,0))</f>
        <v>#N/A</v>
      </c>
      <c r="P77" s="52" t="e">
        <f t="shared" ca="1" si="5"/>
        <v>#N/A</v>
      </c>
      <c r="Q77" s="52" t="s">
        <v>609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702</v>
      </c>
      <c r="G78" s="41">
        <f>MAX(CumulativeDead!78:78)</f>
        <v>10</v>
      </c>
      <c r="J78" s="41">
        <v>50882891</v>
      </c>
      <c r="K78" s="52" t="s">
        <v>512</v>
      </c>
      <c r="L78" s="41" t="e">
        <v>#VALUE!</v>
      </c>
      <c r="M78" s="69">
        <f t="shared" si="4"/>
        <v>1.4245014245014245E-2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612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151</v>
      </c>
      <c r="G79" s="41">
        <f>MAX(CumulativeDead!79:79)</f>
        <v>0</v>
      </c>
      <c r="J79" s="41">
        <v>441543</v>
      </c>
      <c r="K79" s="52" t="s">
        <v>512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609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848</v>
      </c>
      <c r="G80" s="41">
        <f>MAX(CumulativeDead!80:80)</f>
        <v>16</v>
      </c>
      <c r="J80" s="41">
        <v>128932753</v>
      </c>
      <c r="K80" s="52" t="s">
        <v>512</v>
      </c>
      <c r="L80" s="41" t="e">
        <v>#VALUE!</v>
      </c>
      <c r="M80" s="69">
        <f t="shared" si="4"/>
        <v>1.8867924528301886E-2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611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142</v>
      </c>
      <c r="G81" s="41">
        <f>MAX(CumulativeDead!81:81)</f>
        <v>0</v>
      </c>
      <c r="J81" s="41">
        <v>16743927</v>
      </c>
      <c r="K81" s="52" t="s">
        <v>512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613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17</v>
      </c>
      <c r="G82" s="41">
        <f>MAX(CumulativeDead!82:82)</f>
        <v>0</v>
      </c>
      <c r="J82" s="41">
        <v>540544</v>
      </c>
      <c r="K82" s="52" t="s">
        <v>512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608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424</v>
      </c>
      <c r="G83" s="41">
        <f>MAX(CumulativeDead!83:83)</f>
        <v>3</v>
      </c>
      <c r="J83" s="41">
        <v>2963243</v>
      </c>
      <c r="K83" s="52" t="s">
        <v>512</v>
      </c>
      <c r="L83" s="41" t="e">
        <v>#VALUE!</v>
      </c>
      <c r="M83" s="69">
        <f t="shared" si="4"/>
        <v>7.0754716981132077E-3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609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32</v>
      </c>
      <c r="G84" s="41">
        <f>MAX(CumulativeDead!84:84)</f>
        <v>1</v>
      </c>
      <c r="J84" s="41">
        <v>2961167</v>
      </c>
      <c r="K84" s="52" t="s">
        <v>512</v>
      </c>
      <c r="L84" s="41" t="e">
        <v>#VALUE!</v>
      </c>
      <c r="M84" s="69">
        <f t="shared" si="4"/>
        <v>3.125E-2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611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120</v>
      </c>
      <c r="G85" s="41">
        <f>MAX(CumulativeDead!85:85)</f>
        <v>4</v>
      </c>
      <c r="J85" s="41">
        <v>38928346</v>
      </c>
      <c r="K85" s="52" t="s">
        <v>512</v>
      </c>
      <c r="L85" s="41" t="e">
        <v>#VALUE!</v>
      </c>
      <c r="M85" s="69">
        <f t="shared" si="4"/>
        <v>3.3333333333333333E-2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610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479</v>
      </c>
      <c r="G86" s="41">
        <f>MAX(CumulativeDead!86:86)</f>
        <v>26</v>
      </c>
      <c r="J86" s="41">
        <v>36910560</v>
      </c>
      <c r="K86" s="52" t="s">
        <v>512</v>
      </c>
      <c r="L86" s="41" t="e">
        <v>#VALUE!</v>
      </c>
      <c r="M86" s="69">
        <f t="shared" si="4"/>
        <v>5.4279749478079335E-2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613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460</v>
      </c>
      <c r="G87" s="41">
        <f>MAX(CumulativeDead!87:87)</f>
        <v>7</v>
      </c>
      <c r="J87" s="41">
        <v>2722289</v>
      </c>
      <c r="K87" s="52">
        <v>15.5</v>
      </c>
      <c r="L87" s="41">
        <v>421.95479499999999</v>
      </c>
      <c r="M87" s="69">
        <f t="shared" si="4"/>
        <v>1.5217391304347827E-2</v>
      </c>
      <c r="N87" s="52" t="e">
        <f>VLOOKUP(C87,Deaths_since_10!H:I,2,FALSE)</f>
        <v>#N/A</v>
      </c>
      <c r="O87" s="56" t="e">
        <f ca="1">OFFSET(CumulativeDead!B87,-A87,MATCH(Country_Data!N87,CumulativeDead!C87:BU87,0))</f>
        <v>#N/A</v>
      </c>
      <c r="P87" s="52" t="e">
        <f t="shared" ca="1" si="5"/>
        <v>#N/A</v>
      </c>
      <c r="Q87" s="52" t="s">
        <v>609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263</v>
      </c>
      <c r="G88" s="41">
        <f>MAX(CumulativeDead!88:88)</f>
        <v>2</v>
      </c>
      <c r="J88" s="41">
        <v>4033963</v>
      </c>
      <c r="K88" s="52" t="s">
        <v>512</v>
      </c>
      <c r="L88" s="41" t="e">
        <v>#VALUE!</v>
      </c>
      <c r="M88" s="69">
        <f t="shared" si="4"/>
        <v>7.6045627376425855E-3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609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59</v>
      </c>
      <c r="G89" s="41">
        <f>MAX(CumulativeDead!89:89)</f>
        <v>3</v>
      </c>
      <c r="J89" s="41">
        <v>7132538</v>
      </c>
      <c r="K89" s="52" t="s">
        <v>512</v>
      </c>
      <c r="L89" s="41" t="e">
        <v>#VALUE!</v>
      </c>
      <c r="M89" s="69">
        <f t="shared" si="4"/>
        <v>5.0847457627118647E-2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612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117</v>
      </c>
      <c r="G90" s="41">
        <f>MAX(CumulativeDead!90:90)</f>
        <v>1</v>
      </c>
      <c r="J90" s="41">
        <v>21413249</v>
      </c>
      <c r="K90" s="52" t="s">
        <v>512</v>
      </c>
      <c r="L90" s="41" t="e">
        <v>#VALUE!</v>
      </c>
      <c r="M90" s="69">
        <f t="shared" si="4"/>
        <v>8.5470085470085479E-3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608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103</v>
      </c>
      <c r="G91" s="41">
        <f>MAX(CumulativeDead!91:91)</f>
        <v>0</v>
      </c>
      <c r="J91" s="41">
        <v>16718965</v>
      </c>
      <c r="K91" s="52" t="s">
        <v>512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612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859</v>
      </c>
      <c r="G92" s="41">
        <f>MAX(CumulativeDead!92:92)</f>
        <v>39</v>
      </c>
      <c r="J92" s="41">
        <v>10847910</v>
      </c>
      <c r="K92" s="52" t="s">
        <v>512</v>
      </c>
      <c r="L92" s="41" t="e">
        <v>#VALUE!</v>
      </c>
      <c r="M92" s="69">
        <f t="shared" si="4"/>
        <v>4.5401629802095458E-2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612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512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613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514</v>
      </c>
      <c r="G94" s="41">
        <f>MAX(CumulativeDead!94:94)</f>
        <v>1</v>
      </c>
      <c r="J94" s="41">
        <v>4822233</v>
      </c>
      <c r="K94" s="52" t="s">
        <v>512</v>
      </c>
      <c r="L94" s="41" t="e">
        <v>#VALUE!</v>
      </c>
      <c r="M94" s="69">
        <f t="shared" si="4"/>
        <v>1.9455252918287938E-3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614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512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613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9217</v>
      </c>
      <c r="G96" s="41">
        <f>MAX(CumulativeDead!96:96)</f>
        <v>131</v>
      </c>
      <c r="J96" s="41">
        <v>84339067</v>
      </c>
      <c r="K96" s="52" t="s">
        <v>512</v>
      </c>
      <c r="L96" s="41" t="e">
        <v>#VALUE!</v>
      </c>
      <c r="M96" s="69">
        <f t="shared" si="4"/>
        <v>1.4212867527395031E-2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609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139</v>
      </c>
      <c r="G97" s="41">
        <f>MAX(CumulativeDead!97:97)</f>
        <v>3</v>
      </c>
      <c r="J97" s="41">
        <v>11326616</v>
      </c>
      <c r="K97" s="52" t="s">
        <v>512</v>
      </c>
      <c r="L97" s="41" t="e">
        <v>#VALUE!</v>
      </c>
      <c r="M97" s="69">
        <f t="shared" si="4"/>
        <v>2.1582733812949641E-2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611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284</v>
      </c>
      <c r="G98" s="41">
        <f>MAX(CumulativeDead!98:98)</f>
        <v>3</v>
      </c>
      <c r="J98" s="41">
        <v>18776707</v>
      </c>
      <c r="K98" s="52" t="s">
        <v>512</v>
      </c>
      <c r="L98" s="41" t="e">
        <v>#VALUE!</v>
      </c>
      <c r="M98" s="69">
        <f t="shared" ref="M98:M126" si="6">G98/F98</f>
        <v>1.0563380281690141E-2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608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48</v>
      </c>
      <c r="G99" s="41">
        <f>MAX(CumulativeDead!99:99)</f>
        <v>5</v>
      </c>
      <c r="J99" s="41">
        <v>164689383</v>
      </c>
      <c r="K99" s="52" t="s">
        <v>512</v>
      </c>
      <c r="L99" s="41" t="e">
        <v>#VALUE!</v>
      </c>
      <c r="M99" s="69">
        <f t="shared" si="6"/>
        <v>0.10416666666666667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608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 t="e">
        <f>VLOOKUP(C100,Days_Since_100!H:I,2,FALSE)</f>
        <v>#N/A</v>
      </c>
      <c r="E100" s="56" t="e">
        <f ca="1">OFFSET(CumulativeConfirmed!A100,-A100,MATCH(Country_Data!D100,CumulativeConfirmed!B100:BU100,0))</f>
        <v>#N/A</v>
      </c>
      <c r="F100" s="41">
        <f>MAX(CumulativeConfirmed!100:100)</f>
        <v>81</v>
      </c>
      <c r="G100" s="41">
        <f>MAX(CumulativeDead!100:100)</f>
        <v>1</v>
      </c>
      <c r="J100" s="41">
        <v>11673021</v>
      </c>
      <c r="K100" s="52" t="s">
        <v>512</v>
      </c>
      <c r="L100" s="41" t="e">
        <v>#VALUE!</v>
      </c>
      <c r="M100" s="69">
        <f t="shared" si="6"/>
        <v>1.2345679012345678E-2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612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512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613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475</v>
      </c>
      <c r="G102" s="41">
        <f>MAX(CumulativeDead!102:102)</f>
        <v>10</v>
      </c>
      <c r="J102" s="41">
        <v>43733762</v>
      </c>
      <c r="K102" s="52" t="s">
        <v>512</v>
      </c>
      <c r="L102" s="41" t="e">
        <v>#VALUE!</v>
      </c>
      <c r="M102" s="69">
        <f t="shared" si="6"/>
        <v>2.1052631578947368E-2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609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512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613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222</v>
      </c>
      <c r="G104" s="41">
        <f>MAX(CumulativeDead!104:104)</f>
        <v>12</v>
      </c>
      <c r="J104" s="41">
        <v>20903273</v>
      </c>
      <c r="K104" s="52" t="s">
        <v>512</v>
      </c>
      <c r="L104" s="41" t="e">
        <v>#VALUE!</v>
      </c>
      <c r="M104" s="69">
        <f t="shared" si="6"/>
        <v>5.4054054054054057E-2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613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139</v>
      </c>
      <c r="G105" s="41">
        <f>MAX(CumulativeDead!105:105)</f>
        <v>6</v>
      </c>
      <c r="J105" s="41">
        <v>26545863</v>
      </c>
      <c r="K105" s="52" t="s">
        <v>512</v>
      </c>
      <c r="L105" s="41" t="e">
        <v>#VALUE!</v>
      </c>
      <c r="M105" s="69">
        <f t="shared" si="6"/>
        <v>4.3165467625899283E-2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613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65</v>
      </c>
      <c r="G106" s="41">
        <f>MAX(CumulativeDead!106:106)</f>
        <v>6</v>
      </c>
      <c r="K106" s="52" t="s">
        <v>512</v>
      </c>
      <c r="L106" s="41" t="e">
        <v>#N/A</v>
      </c>
      <c r="M106" s="69">
        <f t="shared" si="6"/>
        <v>9.2307692307692313E-2</v>
      </c>
      <c r="N106" s="52" t="e">
        <f>VLOOKUP(C106,Deaths_since_10!H:I,2,FALSE)</f>
        <v>#N/A</v>
      </c>
      <c r="O106" s="56" t="e">
        <f ca="1">OFFSET(CumulativeDead!B106,-A106,MATCH(Country_Data!N106,CumulativeDead!C106:BU106,0))</f>
        <v>#N/A</v>
      </c>
      <c r="P106" s="52" t="e">
        <f t="shared" ca="1" si="7"/>
        <v>#N/A</v>
      </c>
      <c r="Q106" s="52" t="s">
        <v>613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110</v>
      </c>
      <c r="G107" s="41">
        <f>MAX(CumulativeDead!107:107)</f>
        <v>3</v>
      </c>
      <c r="J107" s="41">
        <v>9904607</v>
      </c>
      <c r="K107" s="52" t="s">
        <v>512</v>
      </c>
      <c r="L107" s="41" t="e">
        <v>#VALUE!</v>
      </c>
      <c r="M107" s="69">
        <f t="shared" si="6"/>
        <v>2.7272727272727271E-2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612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46</v>
      </c>
      <c r="G108" s="41">
        <f>MAX(CumulativeDead!108:108)</f>
        <v>1</v>
      </c>
      <c r="J108" s="41">
        <v>39242</v>
      </c>
      <c r="K108" s="52" t="s">
        <v>512</v>
      </c>
      <c r="L108" s="41" t="e">
        <v>#VALUE!</v>
      </c>
      <c r="M108" s="69">
        <f t="shared" si="6"/>
        <v>2.1739130434782608E-2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609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111</v>
      </c>
      <c r="G109" s="41">
        <f>MAX(CumulativeDead!109:109)</f>
        <v>1</v>
      </c>
      <c r="J109" s="41">
        <v>206139589</v>
      </c>
      <c r="K109" s="52" t="s">
        <v>512</v>
      </c>
      <c r="L109" s="41" t="e">
        <v>#VALUE!</v>
      </c>
      <c r="M109" s="69">
        <f t="shared" si="6"/>
        <v>9.0090090090090089E-3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613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334</v>
      </c>
      <c r="G110" s="41">
        <f>MAX(CumulativeDead!110:110)</f>
        <v>6</v>
      </c>
      <c r="J110" s="41">
        <v>77265</v>
      </c>
      <c r="K110" s="52" t="s">
        <v>512</v>
      </c>
      <c r="L110" s="41" t="e">
        <v>#VALUE!</v>
      </c>
      <c r="M110" s="69">
        <f t="shared" si="6"/>
        <v>1.7964071856287425E-2</v>
      </c>
      <c r="N110" s="52" t="e">
        <f>VLOOKUP(C110,Deaths_since_10!H:I,2,FALSE)</f>
        <v>#N/A</v>
      </c>
      <c r="O110" s="56" t="e">
        <f ca="1">OFFSET(CumulativeDead!B110,-A110,MATCH(Country_Data!N110,CumulativeDead!C110:BU110,0))</f>
        <v>#N/A</v>
      </c>
      <c r="P110" s="52" t="e">
        <f t="shared" ca="1" si="7"/>
        <v>#N/A</v>
      </c>
      <c r="Q110" s="52" t="s">
        <v>609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512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611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4</v>
      </c>
      <c r="G112" s="41">
        <f>MAX(CumulativeDead!112:112)</f>
        <v>0</v>
      </c>
      <c r="J112" s="41">
        <v>771608</v>
      </c>
      <c r="K112" s="52" t="s">
        <v>512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608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512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611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165</v>
      </c>
      <c r="G114" s="41">
        <f>MAX(CumulativeDead!114:114)</f>
        <v>1</v>
      </c>
      <c r="K114" s="52" t="s">
        <v>512</v>
      </c>
      <c r="L114" s="41" t="e">
        <v>#N/A</v>
      </c>
      <c r="M114" s="69">
        <f t="shared" si="6"/>
        <v>6.0606060606060606E-3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613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21</v>
      </c>
      <c r="G115" s="41">
        <f>MAX(CumulativeDead!115:115)</f>
        <v>0</v>
      </c>
      <c r="J115" s="41">
        <v>114963588</v>
      </c>
      <c r="K115" s="52" t="s">
        <v>512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613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512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612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16</v>
      </c>
      <c r="G117" s="41">
        <f>MAX(CumulativeDead!117:117)</f>
        <v>0</v>
      </c>
      <c r="J117" s="41">
        <v>13132795</v>
      </c>
      <c r="K117" s="52" t="s">
        <v>512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613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512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612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6</v>
      </c>
      <c r="G119" s="41">
        <f>MAX(CumulativeDead!119:119)</f>
        <v>0</v>
      </c>
      <c r="J119" s="41">
        <v>801</v>
      </c>
      <c r="K119" s="52" t="s">
        <v>512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609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259</v>
      </c>
      <c r="G120" s="41">
        <f>MAX(CumulativeDead!120:120)</f>
        <v>3</v>
      </c>
      <c r="J120" s="41">
        <v>10203134</v>
      </c>
      <c r="K120" s="52" t="s">
        <v>512</v>
      </c>
      <c r="L120" s="41" t="e">
        <v>#VALUE!</v>
      </c>
      <c r="M120" s="69">
        <f t="shared" si="6"/>
        <v>1.1583011583011582E-2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610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42</v>
      </c>
      <c r="G121" s="41">
        <f>MAX(CumulativeDead!121:121)</f>
        <v>1</v>
      </c>
      <c r="J121" s="41">
        <v>53771296</v>
      </c>
      <c r="K121" s="52" t="s">
        <v>512</v>
      </c>
      <c r="L121" s="41" t="e">
        <v>#VALUE!</v>
      </c>
      <c r="M121" s="69">
        <f t="shared" si="6"/>
        <v>2.3809523809523808E-2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613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56</v>
      </c>
      <c r="G122" s="41">
        <f>MAX(CumulativeDead!122:122)</f>
        <v>0</v>
      </c>
      <c r="J122" s="41">
        <v>38128</v>
      </c>
      <c r="K122" s="52" t="s">
        <v>512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609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12</v>
      </c>
      <c r="G123" s="41">
        <f>MAX(CumulativeDead!123:123)</f>
        <v>0</v>
      </c>
      <c r="J123" s="41">
        <v>3278290</v>
      </c>
      <c r="K123" s="52" t="s">
        <v>512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608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5</v>
      </c>
      <c r="G124" s="41">
        <f>MAX(CumulativeDead!124:124)</f>
        <v>0</v>
      </c>
      <c r="J124" s="41">
        <v>29136808</v>
      </c>
      <c r="K124" s="52" t="s">
        <v>512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608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6</v>
      </c>
      <c r="G125" s="41">
        <f>MAX(CumulativeDead!125:125)</f>
        <v>1</v>
      </c>
      <c r="J125" s="41">
        <v>43849260</v>
      </c>
      <c r="K125" s="52" t="s">
        <v>512</v>
      </c>
      <c r="L125" s="41" t="e">
        <v>#VALUE!</v>
      </c>
      <c r="M125" s="69">
        <f t="shared" si="6"/>
        <v>0.16666666666666666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613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1</v>
      </c>
      <c r="J126" s="41">
        <v>8278724</v>
      </c>
      <c r="K126" s="52" t="s">
        <v>512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613</v>
      </c>
    </row>
    <row r="127" spans="1:17" x14ac:dyDescent="0.3">
      <c r="A127" s="52">
        <v>126</v>
      </c>
      <c r="B127" s="2" t="s">
        <v>606</v>
      </c>
      <c r="C127" s="2" t="s">
        <v>606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33885</v>
      </c>
      <c r="J127" s="41">
        <f>SUM(J2:J126)</f>
        <v>6913108351</v>
      </c>
      <c r="K127" s="52" t="s">
        <v>512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608</v>
      </c>
      <c r="C128" s="2" t="s">
        <v>608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3803</v>
      </c>
      <c r="J128" s="41">
        <f>SUMIFS($J$2:$J$126,$Q$2:$Q$126,B128)</f>
        <v>4225360220</v>
      </c>
      <c r="K128" s="52" t="s">
        <v>512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609</v>
      </c>
      <c r="C129" s="2" t="s">
        <v>609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24334</v>
      </c>
      <c r="J129" s="41">
        <f t="shared" ref="J129:J133" si="10">SUMIFS($J$2:$J$126,$Q$2:$Q$126,B129)</f>
        <v>693230884</v>
      </c>
      <c r="K129" s="52" t="s">
        <v>512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611</v>
      </c>
      <c r="C130" s="2" t="s">
        <v>611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2570</v>
      </c>
      <c r="J130" s="41">
        <f t="shared" si="10"/>
        <v>521537877</v>
      </c>
      <c r="K130" s="52" t="s">
        <v>512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612</v>
      </c>
      <c r="C131" s="2" t="s">
        <v>612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295</v>
      </c>
      <c r="J131" s="41">
        <f t="shared" si="10"/>
        <v>435832908</v>
      </c>
      <c r="K131" s="52" t="s">
        <v>512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613</v>
      </c>
      <c r="C132" s="2" t="s">
        <v>613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136</v>
      </c>
      <c r="J132" s="41">
        <f t="shared" si="10"/>
        <v>759332345</v>
      </c>
      <c r="K132" s="52" t="s">
        <v>512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610</v>
      </c>
      <c r="C133" s="2" t="s">
        <v>610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2730</v>
      </c>
      <c r="J133" s="41">
        <f t="shared" si="10"/>
        <v>247492000</v>
      </c>
      <c r="K133" s="52" t="s">
        <v>512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33885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607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0</v>
      </c>
      <c r="BT2">
        <f>SUMIF(ConfirmedRaw!$B:$B,$B2,ConfirmedRaw!BV:BV)</f>
        <v>0</v>
      </c>
      <c r="BU2">
        <f>SUMIF(ConfirmedRaw!$B:$B,$B2,ConfirmedRaw!BW:BW)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0</v>
      </c>
      <c r="BT3">
        <f>SUMIF(ConfirmedRaw!$B:$B,$B3,ConfirmedRaw!BV:BV)</f>
        <v>0</v>
      </c>
      <c r="BU3">
        <f>SUMIF(ConfirmedRaw!$B:$B,$B3,ConfirmedRaw!BW:BW)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0</v>
      </c>
      <c r="BT4">
        <f>SUMIF(ConfirmedRaw!$B:$B,$B4,ConfirmedRaw!BV:BV)</f>
        <v>0</v>
      </c>
      <c r="BU4">
        <f>SUMIF(ConfirmedRaw!$B:$B,$B4,ConfirmedRaw!BW:BW)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0</v>
      </c>
      <c r="BT5">
        <f>SUMIF(ConfirmedRaw!$B:$B,$B5,ConfirmedRaw!BV:BV)</f>
        <v>0</v>
      </c>
      <c r="BU5">
        <f>SUMIF(ConfirmedRaw!$B:$B,$B5,ConfirmedRaw!BW:BW)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0</v>
      </c>
      <c r="BT6">
        <f>SUMIF(ConfirmedRaw!$B:$B,$B6,ConfirmedRaw!BV:BV)</f>
        <v>0</v>
      </c>
      <c r="BU6">
        <f>SUMIF(ConfirmedRaw!$B:$B,$B6,ConfirmedRaw!BW:BW)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0</v>
      </c>
      <c r="BT7">
        <f>SUMIF(ConfirmedRaw!$B:$B,$B7,ConfirmedRaw!BV:BV)</f>
        <v>0</v>
      </c>
      <c r="BU7">
        <f>SUMIF(ConfirmedRaw!$B:$B,$B7,ConfirmedRaw!BW:BW)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0</v>
      </c>
      <c r="BT8">
        <f>SUMIF(ConfirmedRaw!$B:$B,$B8,ConfirmedRaw!BV:BV)</f>
        <v>0</v>
      </c>
      <c r="BU8">
        <f>SUMIF(ConfirmedRaw!$B:$B,$B8,ConfirmedRaw!BW:BW)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0</v>
      </c>
      <c r="BT9">
        <f>SUMIF(ConfirmedRaw!$B:$B,$B9,ConfirmedRaw!BV:BV)</f>
        <v>0</v>
      </c>
      <c r="BU9">
        <f>SUMIF(ConfirmedRaw!$B:$B,$B9,ConfirmedRaw!BW:BW)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0</v>
      </c>
      <c r="BT10">
        <f>SUMIF(ConfirmedRaw!$B:$B,$B10,ConfirmedRaw!BV:BV)</f>
        <v>0</v>
      </c>
      <c r="BU10">
        <f>SUMIF(ConfirmedRaw!$B:$B,$B10,ConfirmedRaw!BW:BW)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0</v>
      </c>
      <c r="BT11">
        <f>SUMIF(ConfirmedRaw!$B:$B,$B11,ConfirmedRaw!BV:BV)</f>
        <v>0</v>
      </c>
      <c r="BU11">
        <f>SUMIF(ConfirmedRaw!$B:$B,$B11,ConfirmedRaw!BW:BW)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0</v>
      </c>
      <c r="BT12">
        <f>SUMIF(ConfirmedRaw!$B:$B,$B12,ConfirmedRaw!BV:BV)</f>
        <v>0</v>
      </c>
      <c r="BU12">
        <f>SUMIF(ConfirmedRaw!$B:$B,$B12,ConfirmedRaw!BW:BW)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0</v>
      </c>
      <c r="BT13">
        <f>SUMIF(ConfirmedRaw!$B:$B,$B13,ConfirmedRaw!BV:BV)</f>
        <v>0</v>
      </c>
      <c r="BU13">
        <f>SUMIF(ConfirmedRaw!$B:$B,$B13,ConfirmedRaw!BW:BW)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0</v>
      </c>
      <c r="BT14">
        <f>SUMIF(ConfirmedRaw!$B:$B,$B14,ConfirmedRaw!BV:BV)</f>
        <v>0</v>
      </c>
      <c r="BU14">
        <f>SUMIF(ConfirmedRaw!$B:$B,$B14,ConfirmedRaw!BW:BW)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f>SUMIF(ConfirmedRaw!$B:$B,$B15,ConfirmedRaw!BJ:BJ)</f>
        <v>2716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0</v>
      </c>
      <c r="BT15">
        <f>SUMIF(ConfirmedRaw!$B:$B,$B15,ConfirmedRaw!BV:BV)</f>
        <v>0</v>
      </c>
      <c r="BU15">
        <f>SUMIF(ConfirmedRaw!$B:$B,$B15,ConfirmedRaw!BW:BW)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0</v>
      </c>
      <c r="BT16">
        <f>SUMIF(ConfirmedRaw!$B:$B,$B16,ConfirmedRaw!BV:BV)</f>
        <v>0</v>
      </c>
      <c r="BU16">
        <f>SUMIF(ConfirmedRaw!$B:$B,$B16,ConfirmedRaw!BW:BW)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0</v>
      </c>
      <c r="BT18">
        <f>SUMIF(ConfirmedRaw!$B:$B,$B18,ConfirmedRaw!BV:BV)</f>
        <v>0</v>
      </c>
      <c r="BU18">
        <f>SUMIF(ConfirmedRaw!$B:$B,$B18,ConfirmedRaw!BW:BW)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0</v>
      </c>
      <c r="BT19">
        <f>SUMIF(ConfirmedRaw!$B:$B,$B19,ConfirmedRaw!BV:BV)</f>
        <v>0</v>
      </c>
      <c r="BU19">
        <f>SUMIF(ConfirmedRaw!$B:$B,$B19,ConfirmedRaw!BW:BW)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0</v>
      </c>
      <c r="BT20">
        <f>SUMIF(ConfirmedRaw!$B:$B,$B20,ConfirmedRaw!BV:BV)</f>
        <v>0</v>
      </c>
      <c r="BU20">
        <f>SUMIF(ConfirmedRaw!$B:$B,$B20,ConfirmedRaw!BW:BW)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0</v>
      </c>
      <c r="BT21">
        <f>SUMIF(ConfirmedRaw!$B:$B,$B21,ConfirmedRaw!BV:BV)</f>
        <v>0</v>
      </c>
      <c r="BU21">
        <f>SUMIF(ConfirmedRaw!$B:$B,$B21,ConfirmedRaw!BW:BW)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0</v>
      </c>
      <c r="BT22">
        <f>SUMIF(ConfirmedRaw!$B:$B,$B22,ConfirmedRaw!BV:BV)</f>
        <v>0</v>
      </c>
      <c r="BU22">
        <f>SUMIF(ConfirmedRaw!$B:$B,$B22,ConfirmedRaw!BW:BW)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0</v>
      </c>
      <c r="BT23">
        <f>SUMIF(ConfirmedRaw!$B:$B,$B23,ConfirmedRaw!BV:BV)</f>
        <v>0</v>
      </c>
      <c r="BU23">
        <f>SUMIF(ConfirmedRaw!$B:$B,$B23,ConfirmedRaw!BW:BW)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0</v>
      </c>
      <c r="BT24">
        <f>SUMIF(ConfirmedRaw!$B:$B,$B24,ConfirmedRaw!BV:BV)</f>
        <v>0</v>
      </c>
      <c r="BU24">
        <f>SUMIF(ConfirmedRaw!$B:$B,$B24,ConfirmedRaw!BW:BW)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0</v>
      </c>
      <c r="BT25">
        <f>SUMIF(ConfirmedRaw!$B:$B,$B25,ConfirmedRaw!BV:BV)</f>
        <v>0</v>
      </c>
      <c r="BU25">
        <f>SUMIF(ConfirmedRaw!$B:$B,$B25,ConfirmedRaw!BW:BW)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0</v>
      </c>
      <c r="BT26">
        <f>SUMIF(ConfirmedRaw!$B:$B,$B26,ConfirmedRaw!BV:BV)</f>
        <v>0</v>
      </c>
      <c r="BU26">
        <f>SUMIF(ConfirmedRaw!$B:$B,$B26,ConfirmedRaw!BW:BW)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0</v>
      </c>
      <c r="BT27">
        <f>SUMIF(ConfirmedRaw!$B:$B,$B27,ConfirmedRaw!BV:BV)</f>
        <v>0</v>
      </c>
      <c r="BU27">
        <f>SUMIF(ConfirmedRaw!$B:$B,$B27,ConfirmedRaw!BW:BW)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0</v>
      </c>
      <c r="BT28">
        <f>SUMIF(ConfirmedRaw!$B:$B,$B28,ConfirmedRaw!BV:BV)</f>
        <v>0</v>
      </c>
      <c r="BU28">
        <f>SUMIF(ConfirmedRaw!$B:$B,$B28,ConfirmedRaw!BW:BW)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0</v>
      </c>
      <c r="BT29">
        <f>SUMIF(ConfirmedRaw!$B:$B,$B29,ConfirmedRaw!BV:BV)</f>
        <v>0</v>
      </c>
      <c r="BU29">
        <f>SUMIF(ConfirmedRaw!$B:$B,$B29,ConfirmedRaw!BW:BW)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0</v>
      </c>
      <c r="BT30">
        <f>SUMIF(ConfirmedRaw!$B:$B,$B30,ConfirmedRaw!BV:BV)</f>
        <v>0</v>
      </c>
      <c r="BU30">
        <f>SUMIF(ConfirmedRaw!$B:$B,$B30,ConfirmedRaw!BW:BW)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0</v>
      </c>
      <c r="BT31">
        <f>SUMIF(ConfirmedRaw!$B:$B,$B31,ConfirmedRaw!BV:BV)</f>
        <v>0</v>
      </c>
      <c r="BU31">
        <f>SUMIF(ConfirmedRaw!$B:$B,$B31,ConfirmedRaw!BW:BW)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0</v>
      </c>
      <c r="BT32">
        <f>SUMIF(ConfirmedRaw!$B:$B,$B32,ConfirmedRaw!BV:BV)</f>
        <v>0</v>
      </c>
      <c r="BU32">
        <f>SUMIF(ConfirmedRaw!$B:$B,$B32,ConfirmedRaw!BW:BW)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0</v>
      </c>
      <c r="BT33">
        <f>SUMIF(ConfirmedRaw!$B:$B,$B33,ConfirmedRaw!BV:BV)</f>
        <v>0</v>
      </c>
      <c r="BU33">
        <f>SUMIF(ConfirmedRaw!$B:$B,$B33,ConfirmedRaw!BW:BW)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0</v>
      </c>
      <c r="BT34">
        <f>SUMIF(ConfirmedRaw!$B:$B,$B34,ConfirmedRaw!BV:BV)</f>
        <v>0</v>
      </c>
      <c r="BU34">
        <f>SUMIF(ConfirmedRaw!$B:$B,$B34,ConfirmedRaw!BW:BW)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0</v>
      </c>
      <c r="BT35">
        <f>SUMIF(ConfirmedRaw!$B:$B,$B35,ConfirmedRaw!BV:BV)</f>
        <v>0</v>
      </c>
      <c r="BU35">
        <f>SUMIF(ConfirmedRaw!$B:$B,$B35,ConfirmedRaw!BW:BW)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0</v>
      </c>
      <c r="BT36">
        <f>SUMIF(ConfirmedRaw!$B:$B,$B36,ConfirmedRaw!BV:BV)</f>
        <v>0</v>
      </c>
      <c r="BU36">
        <f>SUMIF(ConfirmedRaw!$B:$B,$B36,ConfirmedRaw!BW:BW)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0</v>
      </c>
      <c r="BT37">
        <f>SUMIF(ConfirmedRaw!$B:$B,$B37,ConfirmedRaw!BV:BV)</f>
        <v>0</v>
      </c>
      <c r="BU37">
        <f>SUMIF(ConfirmedRaw!$B:$B,$B37,ConfirmedRaw!BW:BW)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0</v>
      </c>
      <c r="BT38">
        <f>SUMIF(ConfirmedRaw!$B:$B,$B38,ConfirmedRaw!BV:BV)</f>
        <v>0</v>
      </c>
      <c r="BU38">
        <f>SUMIF(ConfirmedRaw!$B:$B,$B38,ConfirmedRaw!BW:BW)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0</v>
      </c>
      <c r="BT39">
        <f>SUMIF(ConfirmedRaw!$B:$B,$B39,ConfirmedRaw!BV:BV)</f>
        <v>0</v>
      </c>
      <c r="BU39">
        <f>SUMIF(ConfirmedRaw!$B:$B,$B39,ConfirmedRaw!BW:BW)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0</v>
      </c>
      <c r="BT40">
        <f>SUMIF(ConfirmedRaw!$B:$B,$B40,ConfirmedRaw!BV:BV)</f>
        <v>0</v>
      </c>
      <c r="BU40">
        <f>SUMIF(ConfirmedRaw!$B:$B,$B40,ConfirmedRaw!BW:BW)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0</v>
      </c>
      <c r="BT41">
        <f>SUMIF(ConfirmedRaw!$B:$B,$B41,ConfirmedRaw!BV:BV)</f>
        <v>0</v>
      </c>
      <c r="BU41">
        <f>SUMIF(ConfirmedRaw!$B:$B,$B41,ConfirmedRaw!BW:BW)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0</v>
      </c>
      <c r="BT42">
        <f>SUMIF(ConfirmedRaw!$B:$B,$B42,ConfirmedRaw!BV:BV)</f>
        <v>0</v>
      </c>
      <c r="BU42">
        <f>SUMIF(ConfirmedRaw!$B:$B,$B42,ConfirmedRaw!BW:BW)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0</v>
      </c>
      <c r="BT43">
        <f>SUMIF(ConfirmedRaw!$B:$B,$B43,ConfirmedRaw!BV:BV)</f>
        <v>0</v>
      </c>
      <c r="BU43">
        <f>SUMIF(ConfirmedRaw!$B:$B,$B43,ConfirmedRaw!BW:BW)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0</v>
      </c>
      <c r="BT44">
        <f>SUMIF(ConfirmedRaw!$B:$B,$B44,ConfirmedRaw!BV:BV)</f>
        <v>0</v>
      </c>
      <c r="BU44">
        <f>SUMIF(ConfirmedRaw!$B:$B,$B44,ConfirmedRaw!BW:BW)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0</v>
      </c>
      <c r="BT45">
        <f>SUMIF(ConfirmedRaw!$B:$B,$B45,ConfirmedRaw!BV:BV)</f>
        <v>0</v>
      </c>
      <c r="BU45">
        <f>SUMIF(ConfirmedRaw!$B:$B,$B45,ConfirmedRaw!BW:BW)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0</v>
      </c>
      <c r="BT46">
        <f>SUMIF(ConfirmedRaw!$B:$B,$B46,ConfirmedRaw!BV:BV)</f>
        <v>0</v>
      </c>
      <c r="BU46">
        <f>SUMIF(ConfirmedRaw!$B:$B,$B46,ConfirmedRaw!BW:BW)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0</v>
      </c>
      <c r="BT47">
        <f>SUMIF(ConfirmedRaw!$B:$B,$B47,ConfirmedRaw!BV:BV)</f>
        <v>0</v>
      </c>
      <c r="BU47">
        <f>SUMIF(ConfirmedRaw!$B:$B,$B47,ConfirmedRaw!BW:BW)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0</v>
      </c>
      <c r="BT48">
        <f>SUMIF(ConfirmedRaw!$B:$B,$B48,ConfirmedRaw!BV:BV)</f>
        <v>0</v>
      </c>
      <c r="BU48">
        <f>SUMIF(ConfirmedRaw!$B:$B,$B48,ConfirmedRaw!BW:BW)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0</v>
      </c>
      <c r="BT49">
        <f>SUMIF(ConfirmedRaw!$B:$B,$B49,ConfirmedRaw!BV:BV)</f>
        <v>0</v>
      </c>
      <c r="BU49">
        <f>SUMIF(ConfirmedRaw!$B:$B,$B49,ConfirmedRaw!BW:BW)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0</v>
      </c>
      <c r="BT50">
        <f>SUMIF(ConfirmedRaw!$B:$B,$B50,ConfirmedRaw!BV:BV)</f>
        <v>0</v>
      </c>
      <c r="BU50">
        <f>SUMIF(ConfirmedRaw!$B:$B,$B50,ConfirmedRaw!BW:BW)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0</v>
      </c>
      <c r="BT51">
        <f>SUMIF(ConfirmedRaw!$B:$B,$B51,ConfirmedRaw!BV:BV)</f>
        <v>0</v>
      </c>
      <c r="BU51">
        <f>SUMIF(ConfirmedRaw!$B:$B,$B51,ConfirmedRaw!BW:BW)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0</v>
      </c>
      <c r="BT52">
        <f>SUMIF(ConfirmedRaw!$B:$B,$B52,ConfirmedRaw!BV:BV)</f>
        <v>0</v>
      </c>
      <c r="BU52">
        <f>SUMIF(ConfirmedRaw!$B:$B,$B52,ConfirmedRaw!BW:BW)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0</v>
      </c>
      <c r="BT53">
        <f>SUMIF(ConfirmedRaw!$B:$B,$B53,ConfirmedRaw!BV:BV)</f>
        <v>0</v>
      </c>
      <c r="BU53">
        <f>SUMIF(ConfirmedRaw!$B:$B,$B53,ConfirmedRaw!BW:BW)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0</v>
      </c>
      <c r="BT54">
        <f>SUMIF(ConfirmedRaw!$B:$B,$B54,ConfirmedRaw!BV:BV)</f>
        <v>0</v>
      </c>
      <c r="BU54">
        <f>SUMIF(ConfirmedRaw!$B:$B,$B54,ConfirmedRaw!BW:BW)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0</v>
      </c>
      <c r="BT55">
        <f>SUMIF(ConfirmedRaw!$B:$B,$B55,ConfirmedRaw!BV:BV)</f>
        <v>0</v>
      </c>
      <c r="BU55">
        <f>SUMIF(ConfirmedRaw!$B:$B,$B55,ConfirmedRaw!BW:BW)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0</v>
      </c>
      <c r="BT56">
        <f>SUMIF(ConfirmedRaw!$B:$B,$B56,ConfirmedRaw!BV:BV)</f>
        <v>0</v>
      </c>
      <c r="BU56">
        <f>SUMIF(ConfirmedRaw!$B:$B,$B56,ConfirmedRaw!BW:BW)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0</v>
      </c>
      <c r="BT57">
        <f>SUMIF(ConfirmedRaw!$B:$B,$B57,ConfirmedRaw!BV:BV)</f>
        <v>0</v>
      </c>
      <c r="BU57">
        <f>SUMIF(ConfirmedRaw!$B:$B,$B57,ConfirmedRaw!BW:BW)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0</v>
      </c>
      <c r="BT58">
        <f>SUMIF(ConfirmedRaw!$B:$B,$B58,ConfirmedRaw!BV:BV)</f>
        <v>0</v>
      </c>
      <c r="BU58">
        <f>SUMIF(ConfirmedRaw!$B:$B,$B58,ConfirmedRaw!BW:BW)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0</v>
      </c>
      <c r="BT59">
        <f>SUMIF(ConfirmedRaw!$B:$B,$B59,ConfirmedRaw!BV:BV)</f>
        <v>0</v>
      </c>
      <c r="BU59">
        <f>SUMIF(ConfirmedRaw!$B:$B,$B59,ConfirmedRaw!BW:BW)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0</v>
      </c>
      <c r="BT60">
        <f>SUMIF(ConfirmedRaw!$B:$B,$B60,ConfirmedRaw!BV:BV)</f>
        <v>0</v>
      </c>
      <c r="BU60">
        <f>SUMIF(ConfirmedRaw!$B:$B,$B60,ConfirmedRaw!BW:BW)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0</v>
      </c>
      <c r="BT61">
        <f>SUMIF(ConfirmedRaw!$B:$B,$B61,ConfirmedRaw!BV:BV)</f>
        <v>0</v>
      </c>
      <c r="BU61">
        <f>SUMIF(ConfirmedRaw!$B:$B,$B61,ConfirmedRaw!BW:BW)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0</v>
      </c>
      <c r="BT62">
        <f>SUMIF(ConfirmedRaw!$B:$B,$B62,ConfirmedRaw!BV:BV)</f>
        <v>0</v>
      </c>
      <c r="BU62">
        <f>SUMIF(ConfirmedRaw!$B:$B,$B62,ConfirmedRaw!BW:BW)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0</v>
      </c>
      <c r="BT63">
        <f>SUMIF(ConfirmedRaw!$B:$B,$B63,ConfirmedRaw!BV:BV)</f>
        <v>0</v>
      </c>
      <c r="BU63">
        <f>SUMIF(ConfirmedRaw!$B:$B,$B63,ConfirmedRaw!BW:BW)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0</v>
      </c>
      <c r="BT64">
        <f>SUMIF(ConfirmedRaw!$B:$B,$B64,ConfirmedRaw!BV:BV)</f>
        <v>0</v>
      </c>
      <c r="BU64">
        <f>SUMIF(ConfirmedRaw!$B:$B,$B64,ConfirmedRaw!BW:BW)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0</v>
      </c>
      <c r="BT65">
        <f>SUMIF(ConfirmedRaw!$B:$B,$B65,ConfirmedRaw!BV:BV)</f>
        <v>0</v>
      </c>
      <c r="BU65">
        <f>SUMIF(ConfirmedRaw!$B:$B,$B65,ConfirmedRaw!BW:BW)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0</v>
      </c>
      <c r="BT66">
        <f>SUMIF(ConfirmedRaw!$B:$B,$B66,ConfirmedRaw!BV:BV)</f>
        <v>0</v>
      </c>
      <c r="BU66">
        <f>SUMIF(ConfirmedRaw!$B:$B,$B66,ConfirmedRaw!BW:BW)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0</v>
      </c>
      <c r="BT67">
        <f>SUMIF(ConfirmedRaw!$B:$B,$B67,ConfirmedRaw!BV:BV)</f>
        <v>0</v>
      </c>
      <c r="BU67">
        <f>SUMIF(ConfirmedRaw!$B:$B,$B67,ConfirmedRaw!BW:BW)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0</v>
      </c>
      <c r="BT68">
        <f>SUMIF(ConfirmedRaw!$B:$B,$B68,ConfirmedRaw!BV:BV)</f>
        <v>0</v>
      </c>
      <c r="BU68">
        <f>SUMIF(ConfirmedRaw!$B:$B,$B68,ConfirmedRaw!BW:BW)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0</v>
      </c>
      <c r="BT69">
        <f>SUMIF(ConfirmedRaw!$B:$B,$B69,ConfirmedRaw!BV:BV)</f>
        <v>0</v>
      </c>
      <c r="BU69">
        <f>SUMIF(ConfirmedRaw!$B:$B,$B69,ConfirmedRaw!BW:BW)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0</v>
      </c>
      <c r="BT70">
        <f>SUMIF(ConfirmedRaw!$B:$B,$B70,ConfirmedRaw!BV:BV)</f>
        <v>0</v>
      </c>
      <c r="BU70">
        <f>SUMIF(ConfirmedRaw!$B:$B,$B70,ConfirmedRaw!BW:BW)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0</v>
      </c>
      <c r="BT71">
        <f>SUMIF(ConfirmedRaw!$B:$B,$B71,ConfirmedRaw!BV:BV)</f>
        <v>0</v>
      </c>
      <c r="BU71">
        <f>SUMIF(ConfirmedRaw!$B:$B,$B71,ConfirmedRaw!BW:BW)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0</v>
      </c>
      <c r="BT72">
        <f>SUMIF(ConfirmedRaw!$B:$B,$B72,ConfirmedRaw!BV:BV)</f>
        <v>0</v>
      </c>
      <c r="BU72">
        <f>SUMIF(ConfirmedRaw!$B:$B,$B72,ConfirmedRaw!BW:BW)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0</v>
      </c>
      <c r="BT73">
        <f>SUMIF(ConfirmedRaw!$B:$B,$B73,ConfirmedRaw!BV:BV)</f>
        <v>0</v>
      </c>
      <c r="BU73">
        <f>SUMIF(ConfirmedRaw!$B:$B,$B73,ConfirmedRaw!BW:BW)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0</v>
      </c>
      <c r="BT74">
        <f>SUMIF(ConfirmedRaw!$B:$B,$B74,ConfirmedRaw!BV:BV)</f>
        <v>0</v>
      </c>
      <c r="BU74">
        <f>SUMIF(ConfirmedRaw!$B:$B,$B74,ConfirmedRaw!BW:BW)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0</v>
      </c>
      <c r="BT75">
        <f>SUMIF(ConfirmedRaw!$B:$B,$B75,ConfirmedRaw!BV:BV)</f>
        <v>0</v>
      </c>
      <c r="BU75">
        <f>SUMIF(ConfirmedRaw!$B:$B,$B75,ConfirmedRaw!BW:BW)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0</v>
      </c>
      <c r="BT76">
        <f>SUMIF(ConfirmedRaw!$B:$B,$B76,ConfirmedRaw!BV:BV)</f>
        <v>0</v>
      </c>
      <c r="BU76">
        <f>SUMIF(ConfirmedRaw!$B:$B,$B76,ConfirmedRaw!BW:BW)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0</v>
      </c>
      <c r="BT77">
        <f>SUMIF(ConfirmedRaw!$B:$B,$B77,ConfirmedRaw!BV:BV)</f>
        <v>0</v>
      </c>
      <c r="BU77">
        <f>SUMIF(ConfirmedRaw!$B:$B,$B77,ConfirmedRaw!BW:BW)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0</v>
      </c>
      <c r="BT78">
        <f>SUMIF(ConfirmedRaw!$B:$B,$B78,ConfirmedRaw!BV:BV)</f>
        <v>0</v>
      </c>
      <c r="BU78">
        <f>SUMIF(ConfirmedRaw!$B:$B,$B78,ConfirmedRaw!BW:BW)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0</v>
      </c>
      <c r="BT79">
        <f>SUMIF(ConfirmedRaw!$B:$B,$B79,ConfirmedRaw!BV:BV)</f>
        <v>0</v>
      </c>
      <c r="BU79">
        <f>SUMIF(ConfirmedRaw!$B:$B,$B79,ConfirmedRaw!BW:BW)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0</v>
      </c>
      <c r="BT80">
        <f>SUMIF(ConfirmedRaw!$B:$B,$B80,ConfirmedRaw!BV:BV)</f>
        <v>0</v>
      </c>
      <c r="BU80">
        <f>SUMIF(ConfirmedRaw!$B:$B,$B80,ConfirmedRaw!BW:BW)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0</v>
      </c>
      <c r="BT81">
        <f>SUMIF(ConfirmedRaw!$B:$B,$B81,ConfirmedRaw!BV:BV)</f>
        <v>0</v>
      </c>
      <c r="BU81">
        <f>SUMIF(ConfirmedRaw!$B:$B,$B81,ConfirmedRaw!BW:BW)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0</v>
      </c>
      <c r="BT82">
        <f>SUMIF(ConfirmedRaw!$B:$B,$B82,ConfirmedRaw!BV:BV)</f>
        <v>0</v>
      </c>
      <c r="BU82">
        <f>SUMIF(ConfirmedRaw!$B:$B,$B82,ConfirmedRaw!BW:BW)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0</v>
      </c>
      <c r="BT83">
        <f>SUMIF(ConfirmedRaw!$B:$B,$B83,ConfirmedRaw!BV:BV)</f>
        <v>0</v>
      </c>
      <c r="BU83">
        <f>SUMIF(ConfirmedRaw!$B:$B,$B83,ConfirmedRaw!BW:BW)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0</v>
      </c>
      <c r="BT84">
        <f>SUMIF(ConfirmedRaw!$B:$B,$B84,ConfirmedRaw!BV:BV)</f>
        <v>0</v>
      </c>
      <c r="BU84">
        <f>SUMIF(ConfirmedRaw!$B:$B,$B84,ConfirmedRaw!BW:BW)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0</v>
      </c>
      <c r="BT85">
        <f>SUMIF(ConfirmedRaw!$B:$B,$B85,ConfirmedRaw!BV:BV)</f>
        <v>0</v>
      </c>
      <c r="BU85">
        <f>SUMIF(ConfirmedRaw!$B:$B,$B85,ConfirmedRaw!BW:BW)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0</v>
      </c>
      <c r="BT86">
        <f>SUMIF(ConfirmedRaw!$B:$B,$B86,ConfirmedRaw!BV:BV)</f>
        <v>0</v>
      </c>
      <c r="BU86">
        <f>SUMIF(ConfirmedRaw!$B:$B,$B86,ConfirmedRaw!BW:BW)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0</v>
      </c>
      <c r="BT87">
        <f>SUMIF(ConfirmedRaw!$B:$B,$B87,ConfirmedRaw!BV:BV)</f>
        <v>0</v>
      </c>
      <c r="BU87">
        <f>SUMIF(ConfirmedRaw!$B:$B,$B87,ConfirmedRaw!BW:BW)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0</v>
      </c>
      <c r="BT88">
        <f>SUMIF(ConfirmedRaw!$B:$B,$B88,ConfirmedRaw!BV:BV)</f>
        <v>0</v>
      </c>
      <c r="BU88">
        <f>SUMIF(ConfirmedRaw!$B:$B,$B88,ConfirmedRaw!BW:BW)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0</v>
      </c>
      <c r="BT89">
        <f>SUMIF(ConfirmedRaw!$B:$B,$B89,ConfirmedRaw!BV:BV)</f>
        <v>0</v>
      </c>
      <c r="BU89">
        <f>SUMIF(ConfirmedRaw!$B:$B,$B89,ConfirmedRaw!BW:BW)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0</v>
      </c>
      <c r="BT90">
        <f>SUMIF(ConfirmedRaw!$B:$B,$B90,ConfirmedRaw!BV:BV)</f>
        <v>0</v>
      </c>
      <c r="BU90">
        <f>SUMIF(ConfirmedRaw!$B:$B,$B90,ConfirmedRaw!BW:BW)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0</v>
      </c>
      <c r="BT91">
        <f>SUMIF(ConfirmedRaw!$B:$B,$B91,ConfirmedRaw!BV:BV)</f>
        <v>0</v>
      </c>
      <c r="BU91">
        <f>SUMIF(ConfirmedRaw!$B:$B,$B91,ConfirmedRaw!BW:BW)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0</v>
      </c>
      <c r="BT92">
        <f>SUMIF(ConfirmedRaw!$B:$B,$B92,ConfirmedRaw!BV:BV)</f>
        <v>0</v>
      </c>
      <c r="BU92">
        <f>SUMIF(ConfirmedRaw!$B:$B,$B92,ConfirmedRaw!BW:BW)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0</v>
      </c>
      <c r="BT94">
        <f>SUMIF(ConfirmedRaw!$B:$B,$B94,ConfirmedRaw!BV:BV)</f>
        <v>0</v>
      </c>
      <c r="BU94">
        <f>SUMIF(ConfirmedRaw!$B:$B,$B94,ConfirmedRaw!BW:BW)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0</v>
      </c>
      <c r="BT96">
        <f>SUMIF(ConfirmedRaw!$B:$B,$B96,ConfirmedRaw!BV:BV)</f>
        <v>0</v>
      </c>
      <c r="BU96">
        <f>SUMIF(ConfirmedRaw!$B:$B,$B96,ConfirmedRaw!BW:BW)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0</v>
      </c>
      <c r="BT97">
        <f>SUMIF(ConfirmedRaw!$B:$B,$B97,ConfirmedRaw!BV:BV)</f>
        <v>0</v>
      </c>
      <c r="BU97">
        <f>SUMIF(ConfirmedRaw!$B:$B,$B97,ConfirmedRaw!BW:BW)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0</v>
      </c>
      <c r="BT98">
        <f>SUMIF(ConfirmedRaw!$B:$B,$B98,ConfirmedRaw!BV:BV)</f>
        <v>0</v>
      </c>
      <c r="BU98">
        <f>SUMIF(ConfirmedRaw!$B:$B,$B98,ConfirmedRaw!BW:BW)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0</v>
      </c>
      <c r="BT99">
        <f>SUMIF(ConfirmedRaw!$B:$B,$B99,ConfirmedRaw!BV:BV)</f>
        <v>0</v>
      </c>
      <c r="BU99">
        <f>SUMIF(ConfirmedRaw!$B:$B,$B99,ConfirmedRaw!BW:BW)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0</v>
      </c>
      <c r="BT100">
        <f>SUMIF(ConfirmedRaw!$B:$B,$B100,ConfirmedRaw!BV:BV)</f>
        <v>0</v>
      </c>
      <c r="BU100">
        <f>SUMIF(ConfirmedRaw!$B:$B,$B100,ConfirmedRaw!BW:BW)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0</v>
      </c>
      <c r="BT102">
        <f>SUMIF(ConfirmedRaw!$B:$B,$B102,ConfirmedRaw!BV:BV)</f>
        <v>0</v>
      </c>
      <c r="BU102">
        <f>SUMIF(ConfirmedRaw!$B:$B,$B102,ConfirmedRaw!BW:BW)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0</v>
      </c>
      <c r="BT104">
        <f>SUMIF(ConfirmedRaw!$B:$B,$B104,ConfirmedRaw!BV:BV)</f>
        <v>0</v>
      </c>
      <c r="BU104">
        <f>SUMIF(ConfirmedRaw!$B:$B,$B104,ConfirmedRaw!BW:BW)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0</v>
      </c>
      <c r="BT105">
        <f>SUMIF(ConfirmedRaw!$B:$B,$B105,ConfirmedRaw!BV:BV)</f>
        <v>0</v>
      </c>
      <c r="BU105">
        <f>SUMIF(ConfirmedRaw!$B:$B,$B105,ConfirmedRaw!BW:BW)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0</v>
      </c>
      <c r="BT106">
        <f>SUMIF(ConfirmedRaw!$B:$B,$B106,ConfirmedRaw!BV:BV)</f>
        <v>0</v>
      </c>
      <c r="BU106">
        <f>SUMIF(ConfirmedRaw!$B:$B,$B106,ConfirmedRaw!BW:BW)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0</v>
      </c>
      <c r="BT107">
        <f>SUMIF(ConfirmedRaw!$B:$B,$B107,ConfirmedRaw!BV:BV)</f>
        <v>0</v>
      </c>
      <c r="BU107">
        <f>SUMIF(ConfirmedRaw!$B:$B,$B107,ConfirmedRaw!BW:BW)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0</v>
      </c>
      <c r="BT108">
        <f>SUMIF(ConfirmedRaw!$B:$B,$B108,ConfirmedRaw!BV:BV)</f>
        <v>0</v>
      </c>
      <c r="BU108">
        <f>SUMIF(ConfirmedRaw!$B:$B,$B108,ConfirmedRaw!BW:BW)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0</v>
      </c>
      <c r="BT109">
        <f>SUMIF(ConfirmedRaw!$B:$B,$B109,ConfirmedRaw!BV:BV)</f>
        <v>0</v>
      </c>
      <c r="BU109">
        <f>SUMIF(ConfirmedRaw!$B:$B,$B109,ConfirmedRaw!BW:BW)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0</v>
      </c>
      <c r="BT110">
        <f>SUMIF(ConfirmedRaw!$B:$B,$B110,ConfirmedRaw!BV:BV)</f>
        <v>0</v>
      </c>
      <c r="BU110">
        <f>SUMIF(ConfirmedRaw!$B:$B,$B110,ConfirmedRaw!BW:BW)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0</v>
      </c>
      <c r="BT111">
        <f>SUMIF(ConfirmedRaw!$B:$B,$B111,ConfirmedRaw!BV:BV)</f>
        <v>0</v>
      </c>
      <c r="BU111">
        <f>SUMIF(ConfirmedRaw!$B:$B,$B111,ConfirmedRaw!BW:BW)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0</v>
      </c>
      <c r="BT112">
        <f>SUMIF(ConfirmedRaw!$B:$B,$B112,ConfirmedRaw!BV:BV)</f>
        <v>0</v>
      </c>
      <c r="BU112">
        <f>SUMIF(ConfirmedRaw!$B:$B,$B112,ConfirmedRaw!BW:BW)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0</v>
      </c>
      <c r="BT114">
        <f>SUMIF(ConfirmedRaw!$B:$B,$B114,ConfirmedRaw!BV:BV)</f>
        <v>0</v>
      </c>
      <c r="BU114">
        <f>SUMIF(ConfirmedRaw!$B:$B,$B114,ConfirmedRaw!BW:BW)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0</v>
      </c>
      <c r="BT115">
        <f>SUMIF(ConfirmedRaw!$B:$B,$B115,ConfirmedRaw!BV:BV)</f>
        <v>0</v>
      </c>
      <c r="BU115">
        <f>SUMIF(ConfirmedRaw!$B:$B,$B115,ConfirmedRaw!BW:BW)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0</v>
      </c>
      <c r="BT117">
        <f>SUMIF(ConfirmedRaw!$B:$B,$B117,ConfirmedRaw!BV:BV)</f>
        <v>0</v>
      </c>
      <c r="BU117">
        <f>SUMIF(ConfirmedRaw!$B:$B,$B117,ConfirmedRaw!BW:BW)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0</v>
      </c>
      <c r="BT118">
        <f>SUMIF(ConfirmedRaw!$B:$B,$B118,ConfirmedRaw!BV:BV)</f>
        <v>0</v>
      </c>
      <c r="BU118">
        <f>SUMIF(ConfirmedRaw!$B:$B,$B118,ConfirmedRaw!BW:BW)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0</v>
      </c>
      <c r="BT119">
        <f>SUMIF(ConfirmedRaw!$B:$B,$B119,ConfirmedRaw!BV:BV)</f>
        <v>0</v>
      </c>
      <c r="BU119">
        <f>SUMIF(ConfirmedRaw!$B:$B,$B119,ConfirmedRaw!BW:BW)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0</v>
      </c>
      <c r="BT120">
        <f>SUMIF(ConfirmedRaw!$B:$B,$B120,ConfirmedRaw!BV:BV)</f>
        <v>0</v>
      </c>
      <c r="BU120">
        <f>SUMIF(ConfirmedRaw!$B:$B,$B120,ConfirmedRaw!BW:BW)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0</v>
      </c>
      <c r="BT121">
        <f>SUMIF(ConfirmedRaw!$B:$B,$B121,ConfirmedRaw!BV:BV)</f>
        <v>0</v>
      </c>
      <c r="BU121">
        <f>SUMIF(ConfirmedRaw!$B:$B,$B121,ConfirmedRaw!BW:BW)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0</v>
      </c>
      <c r="BT122">
        <f>SUMIF(ConfirmedRaw!$B:$B,$B122,ConfirmedRaw!BV:BV)</f>
        <v>0</v>
      </c>
      <c r="BU122">
        <f>SUMIF(ConfirmedRaw!$B:$B,$B122,ConfirmedRaw!BW:BW)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0</v>
      </c>
      <c r="BT123">
        <f>SUMIF(ConfirmedRaw!$B:$B,$B123,ConfirmedRaw!BV:BV)</f>
        <v>0</v>
      </c>
      <c r="BU123">
        <f>SUMIF(ConfirmedRaw!$B:$B,$B123,ConfirmedRaw!BW:BW)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0</v>
      </c>
      <c r="BT124">
        <f>SUMIF(ConfirmedRaw!$B:$B,$B124,ConfirmedRaw!BV:BV)</f>
        <v>0</v>
      </c>
      <c r="BU124">
        <f>SUMIF(ConfirmedRaw!$B:$B,$B124,ConfirmedRaw!BW:BW)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0</v>
      </c>
      <c r="BT125">
        <f>SUMIF(ConfirmedRaw!$B:$B,$B125,ConfirmedRaw!BV:BV)</f>
        <v>0</v>
      </c>
      <c r="BU125">
        <f>SUMIF(ConfirmedRaw!$B:$B,$B125,ConfirmedRaw!BW:BW)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0</v>
      </c>
      <c r="BT126">
        <f>SUMIF(ConfirmedRaw!$B:$B,$B126,ConfirmedRaw!BV:BV)</f>
        <v>0</v>
      </c>
      <c r="BU126">
        <f>SUMIF(ConfirmedRaw!$B:$B,$B126,ConfirmedRaw!BW:BW)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241500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102919</v>
      </c>
      <c r="BQ128">
        <f t="shared" si="9"/>
        <v>104697</v>
      </c>
      <c r="BR128">
        <f t="shared" si="9"/>
        <v>106439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109054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324624</v>
      </c>
      <c r="BQ129">
        <f t="shared" si="9"/>
        <v>362825</v>
      </c>
      <c r="BR129">
        <f t="shared" si="9"/>
        <v>393877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107974</v>
      </c>
      <c r="BQ130">
        <f t="shared" si="9"/>
        <v>129008</v>
      </c>
      <c r="BR130">
        <f t="shared" si="9"/>
        <v>149407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9251</v>
      </c>
      <c r="BQ131">
        <f t="shared" si="9"/>
        <v>10656</v>
      </c>
      <c r="BR131">
        <f t="shared" si="9"/>
        <v>11838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3382</v>
      </c>
      <c r="BQ132">
        <f t="shared" si="9"/>
        <v>3672</v>
      </c>
      <c r="BR132">
        <f t="shared" si="9"/>
        <v>4145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39454</v>
      </c>
      <c r="BQ133">
        <f t="shared" si="9"/>
        <v>43425</v>
      </c>
      <c r="BR133">
        <f t="shared" si="9"/>
        <v>47344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AV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0</v>
      </c>
      <c r="BT2">
        <f>SUMIF(DeadRaw!$B:$B,$B2,DeadRaw!BV:BV)</f>
        <v>0</v>
      </c>
      <c r="BU2">
        <f>SUMIF(DeadRaw!$B:$B,$B2,DeadRaw!BW:BW)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0</v>
      </c>
      <c r="BT3">
        <f>SUMIF(DeadRaw!$B:$B,$B3,DeadRaw!BV:BV)</f>
        <v>0</v>
      </c>
      <c r="BU3">
        <f>SUMIF(DeadRaw!$B:$B,$B3,DeadRaw!BW:BW)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0</v>
      </c>
      <c r="BT4">
        <f>SUMIF(DeadRaw!$B:$B,$B4,DeadRaw!BV:BV)</f>
        <v>0</v>
      </c>
      <c r="BU4">
        <f>SUMIF(DeadRaw!$B:$B,$B4,DeadRaw!BW:BW)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0</v>
      </c>
      <c r="BT5">
        <f>SUMIF(DeadRaw!$B:$B,$B5,DeadRaw!BV:BV)</f>
        <v>0</v>
      </c>
      <c r="BU5">
        <f>SUMIF(DeadRaw!$B:$B,$B5,DeadRaw!BW:BW)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0</v>
      </c>
      <c r="BT6">
        <f>SUMIF(DeadRaw!$B:$B,$B6,DeadRaw!BV:BV)</f>
        <v>0</v>
      </c>
      <c r="BU6">
        <f>SUMIF(DeadRaw!$B:$B,$B6,DeadRaw!BW:BW)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0</v>
      </c>
      <c r="BT7">
        <f>SUMIF(DeadRaw!$B:$B,$B7,DeadRaw!BV:BV)</f>
        <v>0</v>
      </c>
      <c r="BU7">
        <f>SUMIF(DeadRaw!$B:$B,$B7,DeadRaw!BW:BW)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0</v>
      </c>
      <c r="BT8">
        <f>SUMIF(DeadRaw!$B:$B,$B8,DeadRaw!BV:BV)</f>
        <v>0</v>
      </c>
      <c r="BU8">
        <f>SUMIF(DeadRaw!$B:$B,$B8,DeadRaw!BW:BW)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0</v>
      </c>
      <c r="BT9">
        <f>SUMIF(DeadRaw!$B:$B,$B9,DeadRaw!BV:BV)</f>
        <v>0</v>
      </c>
      <c r="BU9">
        <f>SUMIF(DeadRaw!$B:$B,$B9,DeadRaw!BW:BW)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0</v>
      </c>
      <c r="BT10">
        <f>SUMIF(DeadRaw!$B:$B,$B10,DeadRaw!BV:BV)</f>
        <v>0</v>
      </c>
      <c r="BU10">
        <f>SUMIF(DeadRaw!$B:$B,$B10,DeadRaw!BW:BW)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0</v>
      </c>
      <c r="BT11">
        <f>SUMIF(DeadRaw!$B:$B,$B11,DeadRaw!BV:BV)</f>
        <v>0</v>
      </c>
      <c r="BU11">
        <f>SUMIF(DeadRaw!$B:$B,$B11,DeadRaw!BW:BW)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0</v>
      </c>
      <c r="BT12">
        <f>SUMIF(DeadRaw!$B:$B,$B12,DeadRaw!BV:BV)</f>
        <v>0</v>
      </c>
      <c r="BU12">
        <f>SUMIF(DeadRaw!$B:$B,$B12,DeadRaw!BW:BW)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0</v>
      </c>
      <c r="BT13">
        <f>SUMIF(DeadRaw!$B:$B,$B13,DeadRaw!BV:BV)</f>
        <v>0</v>
      </c>
      <c r="BU13">
        <f>SUMIF(DeadRaw!$B:$B,$B13,DeadRaw!BW:BW)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0</v>
      </c>
      <c r="BT14">
        <f>SUMIF(DeadRaw!$B:$B,$B14,DeadRaw!BV:BV)</f>
        <v>0</v>
      </c>
      <c r="BU14">
        <f>SUMIF(DeadRaw!$B:$B,$B14,DeadRaw!BW:BW)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0</v>
      </c>
      <c r="BT15">
        <f>SUMIF(DeadRaw!$B:$B,$B15,DeadRaw!BV:BV)</f>
        <v>0</v>
      </c>
      <c r="BU15">
        <f>SUMIF(DeadRaw!$B:$B,$B15,DeadRaw!BW:BW)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0</v>
      </c>
      <c r="BT16">
        <f>SUMIF(DeadRaw!$B:$B,$B16,DeadRaw!BV:BV)</f>
        <v>0</v>
      </c>
      <c r="BU16">
        <f>SUMIF(DeadRaw!$B:$B,$B16,DeadRaw!BW:BW)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0</v>
      </c>
      <c r="BT18">
        <f>SUMIF(DeadRaw!$B:$B,$B18,DeadRaw!BV:BV)</f>
        <v>0</v>
      </c>
      <c r="BU18">
        <f>SUMIF(DeadRaw!$B:$B,$B18,DeadRaw!BW:BW)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0</v>
      </c>
      <c r="BT19">
        <f>SUMIF(DeadRaw!$B:$B,$B19,DeadRaw!BV:BV)</f>
        <v>0</v>
      </c>
      <c r="BU19">
        <f>SUMIF(DeadRaw!$B:$B,$B19,DeadRaw!BW:BW)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0</v>
      </c>
      <c r="BT20">
        <f>SUMIF(DeadRaw!$B:$B,$B20,DeadRaw!BV:BV)</f>
        <v>0</v>
      </c>
      <c r="BU20">
        <f>SUMIF(DeadRaw!$B:$B,$B20,DeadRaw!BW:BW)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0</v>
      </c>
      <c r="BT21">
        <f>SUMIF(DeadRaw!$B:$B,$B21,DeadRaw!BV:BV)</f>
        <v>0</v>
      </c>
      <c r="BU21">
        <f>SUMIF(DeadRaw!$B:$B,$B21,DeadRaw!BW:BW)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0</v>
      </c>
      <c r="BT22">
        <f>SUMIF(DeadRaw!$B:$B,$B22,DeadRaw!BV:BV)</f>
        <v>0</v>
      </c>
      <c r="BU22">
        <f>SUMIF(DeadRaw!$B:$B,$B22,DeadRaw!BW:BW)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0</v>
      </c>
      <c r="BT23">
        <f>SUMIF(DeadRaw!$B:$B,$B23,DeadRaw!BV:BV)</f>
        <v>0</v>
      </c>
      <c r="BU23">
        <f>SUMIF(DeadRaw!$B:$B,$B23,DeadRaw!BW:BW)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0</v>
      </c>
      <c r="BT24">
        <f>SUMIF(DeadRaw!$B:$B,$B24,DeadRaw!BV:BV)</f>
        <v>0</v>
      </c>
      <c r="BU24">
        <f>SUMIF(DeadRaw!$B:$B,$B24,DeadRaw!BW:BW)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0</v>
      </c>
      <c r="BT25">
        <f>SUMIF(DeadRaw!$B:$B,$B25,DeadRaw!BV:BV)</f>
        <v>0</v>
      </c>
      <c r="BU25">
        <f>SUMIF(DeadRaw!$B:$B,$B25,DeadRaw!BW:BW)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0</v>
      </c>
      <c r="BT26">
        <f>SUMIF(DeadRaw!$B:$B,$B26,DeadRaw!BV:BV)</f>
        <v>0</v>
      </c>
      <c r="BU26">
        <f>SUMIF(DeadRaw!$B:$B,$B26,DeadRaw!BW:BW)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0</v>
      </c>
      <c r="BT27">
        <f>SUMIF(DeadRaw!$B:$B,$B27,DeadRaw!BV:BV)</f>
        <v>0</v>
      </c>
      <c r="BU27">
        <f>SUMIF(DeadRaw!$B:$B,$B27,DeadRaw!BW:BW)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0</v>
      </c>
      <c r="BT28">
        <f>SUMIF(DeadRaw!$B:$B,$B28,DeadRaw!BV:BV)</f>
        <v>0</v>
      </c>
      <c r="BU28">
        <f>SUMIF(DeadRaw!$B:$B,$B28,DeadRaw!BW:BW)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0</v>
      </c>
      <c r="BT29">
        <f>SUMIF(DeadRaw!$B:$B,$B29,DeadRaw!BV:BV)</f>
        <v>0</v>
      </c>
      <c r="BU29">
        <f>SUMIF(DeadRaw!$B:$B,$B29,DeadRaw!BW:BW)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0</v>
      </c>
      <c r="BT30">
        <f>SUMIF(DeadRaw!$B:$B,$B30,DeadRaw!BV:BV)</f>
        <v>0</v>
      </c>
      <c r="BU30">
        <f>SUMIF(DeadRaw!$B:$B,$B30,DeadRaw!BW:BW)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0</v>
      </c>
      <c r="BT31">
        <f>SUMIF(DeadRaw!$B:$B,$B31,DeadRaw!BV:BV)</f>
        <v>0</v>
      </c>
      <c r="BU31">
        <f>SUMIF(DeadRaw!$B:$B,$B31,DeadRaw!BW:BW)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0</v>
      </c>
      <c r="BT32">
        <f>SUMIF(DeadRaw!$B:$B,$B32,DeadRaw!BV:BV)</f>
        <v>0</v>
      </c>
      <c r="BU32">
        <f>SUMIF(DeadRaw!$B:$B,$B32,DeadRaw!BW:BW)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0</v>
      </c>
      <c r="BT33">
        <f>SUMIF(DeadRaw!$B:$B,$B33,DeadRaw!BV:BV)</f>
        <v>0</v>
      </c>
      <c r="BU33">
        <f>SUMIF(DeadRaw!$B:$B,$B33,DeadRaw!BW:BW)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0</v>
      </c>
      <c r="BT34">
        <f>SUMIF(DeadRaw!$B:$B,$B34,DeadRaw!BV:BV)</f>
        <v>0</v>
      </c>
      <c r="BU34">
        <f>SUMIF(DeadRaw!$B:$B,$B34,DeadRaw!BW:BW)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0</v>
      </c>
      <c r="BT35">
        <f>SUMIF(DeadRaw!$B:$B,$B35,DeadRaw!BV:BV)</f>
        <v>0</v>
      </c>
      <c r="BU35">
        <f>SUMIF(DeadRaw!$B:$B,$B35,DeadRaw!BW:BW)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0</v>
      </c>
      <c r="BT36">
        <f>SUMIF(DeadRaw!$B:$B,$B36,DeadRaw!BV:BV)</f>
        <v>0</v>
      </c>
      <c r="BU36">
        <f>SUMIF(DeadRaw!$B:$B,$B36,DeadRaw!BW:BW)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0</v>
      </c>
      <c r="BT37">
        <f>SUMIF(DeadRaw!$B:$B,$B37,DeadRaw!BV:BV)</f>
        <v>0</v>
      </c>
      <c r="BU37">
        <f>SUMIF(DeadRaw!$B:$B,$B37,DeadRaw!BW:BW)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0</v>
      </c>
      <c r="BT38">
        <f>SUMIF(DeadRaw!$B:$B,$B38,DeadRaw!BV:BV)</f>
        <v>0</v>
      </c>
      <c r="BU38">
        <f>SUMIF(DeadRaw!$B:$B,$B38,DeadRaw!BW:BW)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0</v>
      </c>
      <c r="BT39">
        <f>SUMIF(DeadRaw!$B:$B,$B39,DeadRaw!BV:BV)</f>
        <v>0</v>
      </c>
      <c r="BU39">
        <f>SUMIF(DeadRaw!$B:$B,$B39,DeadRaw!BW:BW)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0</v>
      </c>
      <c r="BT40">
        <f>SUMIF(DeadRaw!$B:$B,$B40,DeadRaw!BV:BV)</f>
        <v>0</v>
      </c>
      <c r="BU40">
        <f>SUMIF(DeadRaw!$B:$B,$B40,DeadRaw!BW:BW)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0</v>
      </c>
      <c r="BT42">
        <f>SUMIF(DeadRaw!$B:$B,$B42,DeadRaw!BV:BV)</f>
        <v>0</v>
      </c>
      <c r="BU42">
        <f>SUMIF(DeadRaw!$B:$B,$B42,DeadRaw!BW:BW)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0</v>
      </c>
      <c r="BT43">
        <f>SUMIF(DeadRaw!$B:$B,$B43,DeadRaw!BV:BV)</f>
        <v>0</v>
      </c>
      <c r="BU43">
        <f>SUMIF(DeadRaw!$B:$B,$B43,DeadRaw!BW:BW)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0</v>
      </c>
      <c r="BT44">
        <f>SUMIF(DeadRaw!$B:$B,$B44,DeadRaw!BV:BV)</f>
        <v>0</v>
      </c>
      <c r="BU44">
        <f>SUMIF(DeadRaw!$B:$B,$B44,DeadRaw!BW:BW)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0</v>
      </c>
      <c r="BT45">
        <f>SUMIF(DeadRaw!$B:$B,$B45,DeadRaw!BV:BV)</f>
        <v>0</v>
      </c>
      <c r="BU45">
        <f>SUMIF(DeadRaw!$B:$B,$B45,DeadRaw!BW:BW)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0</v>
      </c>
      <c r="BT46">
        <f>SUMIF(DeadRaw!$B:$B,$B46,DeadRaw!BV:BV)</f>
        <v>0</v>
      </c>
      <c r="BU46">
        <f>SUMIF(DeadRaw!$B:$B,$B46,DeadRaw!BW:BW)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0</v>
      </c>
      <c r="BT47">
        <f>SUMIF(DeadRaw!$B:$B,$B47,DeadRaw!BV:BV)</f>
        <v>0</v>
      </c>
      <c r="BU47">
        <f>SUMIF(DeadRaw!$B:$B,$B47,DeadRaw!BW:BW)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0</v>
      </c>
      <c r="BT48">
        <f>SUMIF(DeadRaw!$B:$B,$B48,DeadRaw!BV:BV)</f>
        <v>0</v>
      </c>
      <c r="BU48">
        <f>SUMIF(DeadRaw!$B:$B,$B48,DeadRaw!BW:BW)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0</v>
      </c>
      <c r="BT49">
        <f>SUMIF(DeadRaw!$B:$B,$B49,DeadRaw!BV:BV)</f>
        <v>0</v>
      </c>
      <c r="BU49">
        <f>SUMIF(DeadRaw!$B:$B,$B49,DeadRaw!BW:BW)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0</v>
      </c>
      <c r="BT51">
        <f>SUMIF(DeadRaw!$B:$B,$B51,DeadRaw!BV:BV)</f>
        <v>0</v>
      </c>
      <c r="BU51">
        <f>SUMIF(DeadRaw!$B:$B,$B51,DeadRaw!BW:BW)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0</v>
      </c>
      <c r="BT52">
        <f>SUMIF(DeadRaw!$B:$B,$B52,DeadRaw!BV:BV)</f>
        <v>0</v>
      </c>
      <c r="BU52">
        <f>SUMIF(DeadRaw!$B:$B,$B52,DeadRaw!BW:BW)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0</v>
      </c>
      <c r="BT53">
        <f>SUMIF(DeadRaw!$B:$B,$B53,DeadRaw!BV:BV)</f>
        <v>0</v>
      </c>
      <c r="BU53">
        <f>SUMIF(DeadRaw!$B:$B,$B53,DeadRaw!BW:BW)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0</v>
      </c>
      <c r="BT54">
        <f>SUMIF(DeadRaw!$B:$B,$B54,DeadRaw!BV:BV)</f>
        <v>0</v>
      </c>
      <c r="BU54">
        <f>SUMIF(DeadRaw!$B:$B,$B54,DeadRaw!BW:BW)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0</v>
      </c>
      <c r="BT55">
        <f>SUMIF(DeadRaw!$B:$B,$B55,DeadRaw!BV:BV)</f>
        <v>0</v>
      </c>
      <c r="BU55">
        <f>SUMIF(DeadRaw!$B:$B,$B55,DeadRaw!BW:BW)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0</v>
      </c>
      <c r="BT56">
        <f>SUMIF(DeadRaw!$B:$B,$B56,DeadRaw!BV:BV)</f>
        <v>0</v>
      </c>
      <c r="BU56">
        <f>SUMIF(DeadRaw!$B:$B,$B56,DeadRaw!BW:BW)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0</v>
      </c>
      <c r="BT57">
        <f>SUMIF(DeadRaw!$B:$B,$B57,DeadRaw!BV:BV)</f>
        <v>0</v>
      </c>
      <c r="BU57">
        <f>SUMIF(DeadRaw!$B:$B,$B57,DeadRaw!BW:BW)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0</v>
      </c>
      <c r="BT59">
        <f>SUMIF(DeadRaw!$B:$B,$B59,DeadRaw!BV:BV)</f>
        <v>0</v>
      </c>
      <c r="BU59">
        <f>SUMIF(DeadRaw!$B:$B,$B59,DeadRaw!BW:BW)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0</v>
      </c>
      <c r="BT60">
        <f>SUMIF(DeadRaw!$B:$B,$B60,DeadRaw!BV:BV)</f>
        <v>0</v>
      </c>
      <c r="BU60">
        <f>SUMIF(DeadRaw!$B:$B,$B60,DeadRaw!BW:BW)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0</v>
      </c>
      <c r="BT61">
        <f>SUMIF(DeadRaw!$B:$B,$B61,DeadRaw!BV:BV)</f>
        <v>0</v>
      </c>
      <c r="BU61">
        <f>SUMIF(DeadRaw!$B:$B,$B61,DeadRaw!BW:BW)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0</v>
      </c>
      <c r="BU62">
        <f>SUMIF(DeadRaw!$B:$B,$B62,DeadRaw!BW:BW)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0</v>
      </c>
      <c r="BT63">
        <f>SUMIF(DeadRaw!$B:$B,$B63,DeadRaw!BV:BV)</f>
        <v>0</v>
      </c>
      <c r="BU63">
        <f>SUMIF(DeadRaw!$B:$B,$B63,DeadRaw!BW:BW)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0</v>
      </c>
      <c r="BT64">
        <f>SUMIF(DeadRaw!$B:$B,$B64,DeadRaw!BV:BV)</f>
        <v>0</v>
      </c>
      <c r="BU64">
        <f>SUMIF(DeadRaw!$B:$B,$B64,DeadRaw!BW:BW)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0</v>
      </c>
      <c r="BT66">
        <f>SUMIF(DeadRaw!$B:$B,$B66,DeadRaw!BV:BV)</f>
        <v>0</v>
      </c>
      <c r="BU66">
        <f>SUMIF(DeadRaw!$B:$B,$B66,DeadRaw!BW:BW)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0</v>
      </c>
      <c r="BT67">
        <f>SUMIF(DeadRaw!$B:$B,$B67,DeadRaw!BV:BV)</f>
        <v>0</v>
      </c>
      <c r="BU67">
        <f>SUMIF(DeadRaw!$B:$B,$B67,DeadRaw!BW:BW)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0</v>
      </c>
      <c r="BT68">
        <f>SUMIF(DeadRaw!$B:$B,$B68,DeadRaw!BV:BV)</f>
        <v>0</v>
      </c>
      <c r="BU68">
        <f>SUMIF(DeadRaw!$B:$B,$B68,DeadRaw!BW:BW)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0</v>
      </c>
      <c r="BT69">
        <f>SUMIF(DeadRaw!$B:$B,$B69,DeadRaw!BV:BV)</f>
        <v>0</v>
      </c>
      <c r="BU69">
        <f>SUMIF(DeadRaw!$B:$B,$B69,DeadRaw!BW:BW)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0</v>
      </c>
      <c r="BU70">
        <f>SUMIF(DeadRaw!$B:$B,$B70,DeadRaw!BW:BW)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0</v>
      </c>
      <c r="BT71">
        <f>SUMIF(DeadRaw!$B:$B,$B71,DeadRaw!BV:BV)</f>
        <v>0</v>
      </c>
      <c r="BU71">
        <f>SUMIF(DeadRaw!$B:$B,$B71,DeadRaw!BW:BW)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0</v>
      </c>
      <c r="BT73">
        <f>SUMIF(DeadRaw!$B:$B,$B73,DeadRaw!BV:BV)</f>
        <v>0</v>
      </c>
      <c r="BU73">
        <f>SUMIF(DeadRaw!$B:$B,$B73,DeadRaw!BW:BW)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0</v>
      </c>
      <c r="BT74">
        <f>SUMIF(DeadRaw!$B:$B,$B74,DeadRaw!BV:BV)</f>
        <v>0</v>
      </c>
      <c r="BU74">
        <f>SUMIF(DeadRaw!$B:$B,$B74,DeadRaw!BW:BW)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0</v>
      </c>
      <c r="BT75">
        <f>SUMIF(DeadRaw!$B:$B,$B75,DeadRaw!BV:BV)</f>
        <v>0</v>
      </c>
      <c r="BU75">
        <f>SUMIF(DeadRaw!$B:$B,$B75,DeadRaw!BW:BW)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0</v>
      </c>
      <c r="BT76">
        <f>SUMIF(DeadRaw!$B:$B,$B76,DeadRaw!BV:BV)</f>
        <v>0</v>
      </c>
      <c r="BU76">
        <f>SUMIF(DeadRaw!$B:$B,$B76,DeadRaw!BW:BW)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0</v>
      </c>
      <c r="BT77">
        <f>SUMIF(DeadRaw!$B:$B,$B77,DeadRaw!BV:BV)</f>
        <v>0</v>
      </c>
      <c r="BU77">
        <f>SUMIF(DeadRaw!$B:$B,$B77,DeadRaw!BW:BW)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0</v>
      </c>
      <c r="BT78">
        <f>SUMIF(DeadRaw!$B:$B,$B78,DeadRaw!BV:BV)</f>
        <v>0</v>
      </c>
      <c r="BU78">
        <f>SUMIF(DeadRaw!$B:$B,$B78,DeadRaw!BW:BW)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0</v>
      </c>
      <c r="BT80">
        <f>SUMIF(DeadRaw!$B:$B,$B80,DeadRaw!BV:BV)</f>
        <v>0</v>
      </c>
      <c r="BU80">
        <f>SUMIF(DeadRaw!$B:$B,$B80,DeadRaw!BW:BW)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0</v>
      </c>
      <c r="BT83">
        <f>SUMIF(DeadRaw!$B:$B,$B83,DeadRaw!BV:BV)</f>
        <v>0</v>
      </c>
      <c r="BU83">
        <f>SUMIF(DeadRaw!$B:$B,$B83,DeadRaw!BW:BW)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0</v>
      </c>
      <c r="BT84">
        <f>SUMIF(DeadRaw!$B:$B,$B84,DeadRaw!BV:BV)</f>
        <v>0</v>
      </c>
      <c r="BU84">
        <f>SUMIF(DeadRaw!$B:$B,$B84,DeadRaw!BW:BW)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0</v>
      </c>
      <c r="BT85">
        <f>SUMIF(DeadRaw!$B:$B,$B85,DeadRaw!BV:BV)</f>
        <v>0</v>
      </c>
      <c r="BU85">
        <f>SUMIF(DeadRaw!$B:$B,$B85,DeadRaw!BW:BW)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0</v>
      </c>
      <c r="BT86">
        <f>SUMIF(DeadRaw!$B:$B,$B86,DeadRaw!BV:BV)</f>
        <v>0</v>
      </c>
      <c r="BU86">
        <f>SUMIF(DeadRaw!$B:$B,$B86,DeadRaw!BW:BW)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0</v>
      </c>
      <c r="BT87">
        <f>SUMIF(DeadRaw!$B:$B,$B87,DeadRaw!BV:BV)</f>
        <v>0</v>
      </c>
      <c r="BU87">
        <f>SUMIF(DeadRaw!$B:$B,$B87,DeadRaw!BW:BW)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0</v>
      </c>
      <c r="BT88">
        <f>SUMIF(DeadRaw!$B:$B,$B88,DeadRaw!BV:BV)</f>
        <v>0</v>
      </c>
      <c r="BU88">
        <f>SUMIF(DeadRaw!$B:$B,$B88,DeadRaw!BW:BW)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0</v>
      </c>
      <c r="BT89">
        <f>SUMIF(DeadRaw!$B:$B,$B89,DeadRaw!BV:BV)</f>
        <v>0</v>
      </c>
      <c r="BU89">
        <f>SUMIF(DeadRaw!$B:$B,$B89,DeadRaw!BW:BW)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0</v>
      </c>
      <c r="BT90">
        <f>SUMIF(DeadRaw!$B:$B,$B90,DeadRaw!BV:BV)</f>
        <v>0</v>
      </c>
      <c r="BU90">
        <f>SUMIF(DeadRaw!$B:$B,$B90,DeadRaw!BW:BW)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0</v>
      </c>
      <c r="BT92">
        <f>SUMIF(DeadRaw!$B:$B,$B92,DeadRaw!BV:BV)</f>
        <v>0</v>
      </c>
      <c r="BU92">
        <f>SUMIF(DeadRaw!$B:$B,$B92,DeadRaw!BW:BW)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0</v>
      </c>
      <c r="BT94">
        <f>SUMIF(DeadRaw!$B:$B,$B94,DeadRaw!BV:BV)</f>
        <v>0</v>
      </c>
      <c r="BU94">
        <f>SUMIF(DeadRaw!$B:$B,$B94,DeadRaw!BW:BW)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0</v>
      </c>
      <c r="BT96">
        <f>SUMIF(DeadRaw!$B:$B,$B96,DeadRaw!BV:BV)</f>
        <v>0</v>
      </c>
      <c r="BU96">
        <f>SUMIF(DeadRaw!$B:$B,$B96,DeadRaw!BW:BW)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0</v>
      </c>
      <c r="BT97">
        <f>SUMIF(DeadRaw!$B:$B,$B97,DeadRaw!BV:BV)</f>
        <v>0</v>
      </c>
      <c r="BU97">
        <f>SUMIF(DeadRaw!$B:$B,$B97,DeadRaw!BW:BW)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0</v>
      </c>
      <c r="BT98">
        <f>SUMIF(DeadRaw!$B:$B,$B98,DeadRaw!BV:BV)</f>
        <v>0</v>
      </c>
      <c r="BU98">
        <f>SUMIF(DeadRaw!$B:$B,$B98,DeadRaw!BW:BW)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0</v>
      </c>
      <c r="BT99">
        <f>SUMIF(DeadRaw!$B:$B,$B99,DeadRaw!BV:BV)</f>
        <v>0</v>
      </c>
      <c r="BU99">
        <f>SUMIF(DeadRaw!$B:$B,$B99,DeadRaw!BW:BW)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0</v>
      </c>
      <c r="BT100">
        <f>SUMIF(DeadRaw!$B:$B,$B100,DeadRaw!BV:BV)</f>
        <v>0</v>
      </c>
      <c r="BU100">
        <f>SUMIF(DeadRaw!$B:$B,$B100,DeadRaw!BW:BW)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0</v>
      </c>
      <c r="BT102">
        <f>SUMIF(DeadRaw!$B:$B,$B102,DeadRaw!BV:BV)</f>
        <v>0</v>
      </c>
      <c r="BU102">
        <f>SUMIF(DeadRaw!$B:$B,$B102,DeadRaw!BW:BW)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0</v>
      </c>
      <c r="BT104">
        <f>SUMIF(DeadRaw!$B:$B,$B104,DeadRaw!BV:BV)</f>
        <v>0</v>
      </c>
      <c r="BU104">
        <f>SUMIF(DeadRaw!$B:$B,$B104,DeadRaw!BW:BW)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0</v>
      </c>
      <c r="BT105">
        <f>SUMIF(DeadRaw!$B:$B,$B105,DeadRaw!BV:BV)</f>
        <v>0</v>
      </c>
      <c r="BU105">
        <f>SUMIF(DeadRaw!$B:$B,$B105,DeadRaw!BW:BW)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0</v>
      </c>
      <c r="BT106">
        <f>SUMIF(DeadRaw!$B:$B,$B106,DeadRaw!BV:BV)</f>
        <v>0</v>
      </c>
      <c r="BU106">
        <f>SUMIF(DeadRaw!$B:$B,$B106,DeadRaw!BW:BW)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0</v>
      </c>
      <c r="BT107">
        <f>SUMIF(DeadRaw!$B:$B,$B107,DeadRaw!BV:BV)</f>
        <v>0</v>
      </c>
      <c r="BU107">
        <f>SUMIF(DeadRaw!$B:$B,$B107,DeadRaw!BW:BW)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0</v>
      </c>
      <c r="BT108">
        <f>SUMIF(DeadRaw!$B:$B,$B108,DeadRaw!BV:BV)</f>
        <v>0</v>
      </c>
      <c r="BU108">
        <f>SUMIF(DeadRaw!$B:$B,$B108,DeadRaw!BW:BW)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0</v>
      </c>
      <c r="BT109">
        <f>SUMIF(DeadRaw!$B:$B,$B109,DeadRaw!BV:BV)</f>
        <v>0</v>
      </c>
      <c r="BU109">
        <f>SUMIF(DeadRaw!$B:$B,$B109,DeadRaw!BW:BW)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0</v>
      </c>
      <c r="BT110">
        <f>SUMIF(DeadRaw!$B:$B,$B110,DeadRaw!BV:BV)</f>
        <v>0</v>
      </c>
      <c r="BU110">
        <f>SUMIF(DeadRaw!$B:$B,$B110,DeadRaw!BW:BW)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0</v>
      </c>
      <c r="BT114">
        <f>SUMIF(DeadRaw!$B:$B,$B114,DeadRaw!BV:BV)</f>
        <v>0</v>
      </c>
      <c r="BU114">
        <f>SUMIF(DeadRaw!$B:$B,$B114,DeadRaw!BW:BW)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0</v>
      </c>
      <c r="BT118">
        <f>SUMIF(DeadRaw!$B:$B,$B118,DeadRaw!BV:BV)</f>
        <v>0</v>
      </c>
      <c r="BU118">
        <f>SUMIF(DeadRaw!$B:$B,$B118,DeadRaw!BW:BW)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0</v>
      </c>
      <c r="BT120">
        <f>SUMIF(DeadRaw!$B:$B,$B120,DeadRaw!BV:BV)</f>
        <v>0</v>
      </c>
      <c r="BU120">
        <f>SUMIF(DeadRaw!$B:$B,$B120,DeadRaw!BW:BW)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0</v>
      </c>
      <c r="BT121">
        <f>SUMIF(DeadRaw!$B:$B,$B121,DeadRaw!BV:BV)</f>
        <v>0</v>
      </c>
      <c r="BU121">
        <f>SUMIF(DeadRaw!$B:$B,$B121,DeadRaw!BW:BW)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0</v>
      </c>
      <c r="BT125">
        <f>SUMIF(DeadRaw!$B:$B,$B125,DeadRaw!BV:BV)</f>
        <v>0</v>
      </c>
      <c r="BU125">
        <f>SUMIF(DeadRaw!$B:$B,$B125,DeadRaw!BW:BW)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0</v>
      </c>
      <c r="BT126">
        <f>SUMIF(DeadRaw!$B:$B,$B126,DeadRaw!BV:BV)</f>
        <v>0</v>
      </c>
      <c r="BU126">
        <f>SUMIF(DeadRaw!$B:$B,$B126,DeadRaw!BW:BW)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3704</v>
      </c>
      <c r="BQ128">
        <f t="shared" si="9"/>
        <v>3754</v>
      </c>
      <c r="BR128">
        <f t="shared" si="9"/>
        <v>3803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19050</v>
      </c>
      <c r="BQ129">
        <f t="shared" si="9"/>
        <v>21776</v>
      </c>
      <c r="BR129">
        <f t="shared" si="9"/>
        <v>24334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1657</v>
      </c>
      <c r="BQ130">
        <f t="shared" si="9"/>
        <v>2119</v>
      </c>
      <c r="BR130">
        <f t="shared" si="9"/>
        <v>2570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188</v>
      </c>
      <c r="BQ131">
        <f t="shared" si="9"/>
        <v>238</v>
      </c>
      <c r="BR131">
        <f t="shared" si="9"/>
        <v>295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104</v>
      </c>
      <c r="BQ132">
        <f t="shared" si="9"/>
        <v>122</v>
      </c>
      <c r="BR132">
        <f t="shared" si="9"/>
        <v>136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2452</v>
      </c>
      <c r="BQ133">
        <f t="shared" si="9"/>
        <v>2595</v>
      </c>
      <c r="BR133">
        <f t="shared" si="9"/>
        <v>2730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510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520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521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522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523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524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525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526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530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531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532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533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534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535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536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537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538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553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554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555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556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557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560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561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562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563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564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575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576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577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578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579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580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T254"/>
  <sheetViews>
    <sheetView workbookViewId="0">
      <selection sqref="A1:CA1000"/>
    </sheetView>
  </sheetViews>
  <sheetFormatPr defaultRowHeight="14.4" x14ac:dyDescent="0.3"/>
  <sheetData>
    <row r="1" spans="1:72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</row>
    <row r="2" spans="1:72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</row>
    <row r="3" spans="1:72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</row>
    <row r="4" spans="1:72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</row>
    <row r="5" spans="1:72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</row>
    <row r="6" spans="1:72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</row>
    <row r="7" spans="1:72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72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</row>
    <row r="9" spans="1:72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</row>
    <row r="10" spans="1:72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</row>
    <row r="11" spans="1:72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</row>
    <row r="12" spans="1:72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</row>
    <row r="13" spans="1:72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</row>
    <row r="14" spans="1:72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</row>
    <row r="15" spans="1:72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</row>
    <row r="16" spans="1:72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</row>
    <row r="17" spans="1:72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</row>
    <row r="18" spans="1:72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</row>
    <row r="19" spans="1:72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</row>
    <row r="20" spans="1:72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</row>
    <row r="21" spans="1:72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</row>
    <row r="22" spans="1:72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</row>
    <row r="23" spans="1:72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</row>
    <row r="24" spans="1:72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</row>
    <row r="25" spans="1:72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</row>
    <row r="26" spans="1:72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2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</row>
    <row r="28" spans="1:72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</row>
    <row r="29" spans="1:72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</row>
    <row r="30" spans="1:72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</row>
    <row r="31" spans="1:72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</row>
    <row r="32" spans="1:72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</row>
    <row r="33" spans="1:72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</row>
    <row r="34" spans="1:72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</row>
    <row r="35" spans="1:72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1:72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</row>
    <row r="37" spans="1:72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</row>
    <row r="38" spans="1:72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</row>
    <row r="39" spans="1:72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1:72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</row>
    <row r="41" spans="1:72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</row>
    <row r="42" spans="1:72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</row>
    <row r="43" spans="1:72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</row>
    <row r="44" spans="1:72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</row>
    <row r="45" spans="1:72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46" spans="1:72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</row>
    <row r="47" spans="1:72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1:72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72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72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</row>
    <row r="51" spans="1:72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</row>
    <row r="52" spans="1:72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</row>
    <row r="53" spans="1:72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</row>
    <row r="54" spans="1:72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</row>
    <row r="55" spans="1:72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</row>
    <row r="56" spans="1:72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</row>
    <row r="57" spans="1:72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</row>
    <row r="58" spans="1:72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</row>
    <row r="59" spans="1:72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</row>
    <row r="60" spans="1:72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</row>
    <row r="61" spans="1:72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</row>
    <row r="62" spans="1:72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</row>
    <row r="63" spans="1:72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</row>
    <row r="64" spans="1:72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</row>
    <row r="65" spans="1:72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</row>
    <row r="66" spans="1:72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</row>
    <row r="67" spans="1:72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1:72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</row>
    <row r="69" spans="1:72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</row>
    <row r="70" spans="1:72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</row>
    <row r="71" spans="1:72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</row>
    <row r="72" spans="1:72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</row>
    <row r="73" spans="1:72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</row>
    <row r="74" spans="1:72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</row>
    <row r="75" spans="1:72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</row>
    <row r="76" spans="1:72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</row>
    <row r="77" spans="1:72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1:72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</row>
    <row r="79" spans="1:72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</row>
    <row r="80" spans="1:72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</row>
    <row r="81" spans="1:72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</row>
    <row r="82" spans="1:72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</row>
    <row r="83" spans="1:72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</row>
    <row r="84" spans="1:72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</row>
    <row r="85" spans="1:72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</row>
    <row r="86" spans="1:72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</row>
    <row r="87" spans="1:72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</row>
    <row r="88" spans="1:72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</row>
    <row r="89" spans="1:72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</row>
    <row r="90" spans="1:72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</row>
    <row r="91" spans="1:72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</row>
    <row r="92" spans="1:72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</row>
    <row r="93" spans="1:72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</row>
    <row r="94" spans="1:72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</row>
    <row r="95" spans="1:72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</row>
    <row r="96" spans="1:72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</row>
    <row r="97" spans="1:72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</row>
    <row r="98" spans="1:72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</row>
    <row r="99" spans="1:72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</row>
    <row r="100" spans="1:72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</row>
    <row r="101" spans="1:72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</row>
    <row r="102" spans="1:72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</row>
    <row r="103" spans="1:72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</row>
    <row r="104" spans="1:72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</row>
    <row r="105" spans="1:72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</row>
    <row r="106" spans="1:72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</row>
    <row r="107" spans="1:72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</row>
    <row r="108" spans="1:72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</row>
    <row r="109" spans="1:72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</row>
    <row r="110" spans="1:72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</row>
    <row r="111" spans="1:72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</row>
    <row r="112" spans="1:72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</row>
    <row r="113" spans="1:72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</row>
    <row r="114" spans="1:72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</row>
    <row r="115" spans="1:72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</row>
    <row r="116" spans="1:72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</row>
    <row r="117" spans="1:72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</row>
    <row r="118" spans="1:72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</row>
    <row r="119" spans="1:72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</row>
    <row r="120" spans="1:72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</row>
    <row r="121" spans="1:72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</row>
    <row r="122" spans="1:72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</row>
    <row r="123" spans="1:72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</row>
    <row r="124" spans="1:72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</row>
    <row r="125" spans="1:72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</row>
    <row r="126" spans="1:72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</row>
    <row r="127" spans="1:72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</row>
    <row r="128" spans="1:72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</row>
    <row r="129" spans="2:72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</row>
    <row r="130" spans="2:72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</row>
    <row r="131" spans="2:72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</row>
    <row r="132" spans="2:72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</row>
    <row r="133" spans="2:72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</row>
    <row r="134" spans="2:72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</row>
    <row r="135" spans="2:72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</row>
    <row r="136" spans="2:72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</row>
    <row r="137" spans="2:72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</row>
    <row r="138" spans="2:72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</row>
    <row r="139" spans="2:72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</row>
    <row r="140" spans="2:72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</row>
    <row r="141" spans="2:72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</row>
    <row r="142" spans="2:72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</row>
    <row r="143" spans="2:72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</row>
    <row r="144" spans="2:72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</row>
    <row r="145" spans="2:72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</row>
    <row r="146" spans="2:72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</row>
    <row r="147" spans="2:72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</row>
    <row r="148" spans="2:72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</row>
    <row r="149" spans="2:72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</row>
    <row r="150" spans="2:72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</row>
    <row r="151" spans="2:72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</row>
    <row r="152" spans="2:72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</row>
    <row r="153" spans="2:72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</row>
    <row r="154" spans="2:72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</row>
    <row r="155" spans="2:72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</row>
    <row r="156" spans="2:72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</row>
    <row r="157" spans="2:72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</row>
    <row r="158" spans="2:72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</row>
    <row r="159" spans="2:72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</row>
    <row r="160" spans="2:72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</row>
    <row r="161" spans="1:72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</row>
    <row r="162" spans="1:72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</row>
    <row r="163" spans="1:72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</row>
    <row r="164" spans="1:72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</row>
    <row r="165" spans="1:72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</row>
    <row r="166" spans="1:72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</row>
    <row r="167" spans="1:72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</row>
    <row r="168" spans="1:72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</row>
    <row r="169" spans="1:72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</row>
    <row r="170" spans="1:72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</row>
    <row r="171" spans="1:72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</row>
    <row r="172" spans="1:72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</row>
    <row r="173" spans="1:72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</row>
    <row r="174" spans="1:72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</row>
    <row r="175" spans="1:72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</row>
    <row r="176" spans="1:72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</row>
    <row r="177" spans="2:72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</row>
    <row r="178" spans="2:72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</row>
    <row r="179" spans="2:72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</row>
    <row r="180" spans="2:72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</row>
    <row r="181" spans="2:72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</row>
    <row r="182" spans="2:72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</row>
    <row r="183" spans="2:72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</row>
    <row r="184" spans="2:72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</row>
    <row r="185" spans="2:72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</row>
    <row r="186" spans="2:72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</row>
    <row r="187" spans="2:72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</row>
    <row r="188" spans="2:72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</row>
    <row r="189" spans="2:72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</row>
    <row r="190" spans="2:72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</row>
    <row r="191" spans="2:72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</row>
    <row r="192" spans="2:72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</row>
    <row r="193" spans="2:72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</row>
    <row r="194" spans="2:72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</row>
    <row r="195" spans="2:72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</row>
    <row r="196" spans="2:72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</row>
    <row r="197" spans="2:72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</row>
    <row r="198" spans="2:72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</row>
    <row r="199" spans="2:72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</row>
    <row r="200" spans="2:72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</row>
    <row r="201" spans="2:72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</row>
    <row r="202" spans="2:72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</row>
    <row r="203" spans="2:72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</row>
    <row r="204" spans="2:72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</row>
    <row r="205" spans="2:72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</row>
    <row r="206" spans="2:72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</row>
    <row r="207" spans="2:72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</row>
    <row r="208" spans="2:72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</row>
    <row r="209" spans="1:72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</row>
    <row r="210" spans="1:72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</row>
    <row r="211" spans="1:72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</row>
    <row r="212" spans="1:72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</row>
    <row r="213" spans="1:72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</row>
    <row r="214" spans="1:72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</row>
    <row r="215" spans="1:72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</row>
    <row r="216" spans="1:72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</row>
    <row r="217" spans="1:72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</row>
    <row r="218" spans="1:72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</row>
    <row r="219" spans="1:72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</row>
    <row r="220" spans="1:72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</row>
    <row r="221" spans="1:72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</row>
    <row r="222" spans="1:72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</row>
    <row r="223" spans="1:72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</row>
    <row r="224" spans="1:72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</row>
    <row r="225" spans="1:72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</row>
    <row r="226" spans="1:72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</row>
    <row r="227" spans="1:72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</row>
    <row r="228" spans="1:72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</row>
    <row r="229" spans="1:72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</row>
    <row r="230" spans="1:72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</row>
    <row r="231" spans="1:72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</row>
    <row r="232" spans="1:72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</row>
    <row r="233" spans="1:72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</row>
    <row r="234" spans="1:72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</row>
    <row r="235" spans="1:72" x14ac:dyDescent="0.3">
      <c r="B235" t="s">
        <v>561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</row>
    <row r="236" spans="1:72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</row>
    <row r="237" spans="1:72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</row>
    <row r="238" spans="1:72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</row>
    <row r="239" spans="1:72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</row>
    <row r="240" spans="1:72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</row>
    <row r="241" spans="1:72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</row>
    <row r="242" spans="1:72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</row>
    <row r="243" spans="1:72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</row>
    <row r="244" spans="1:72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</row>
    <row r="245" spans="1:72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</row>
    <row r="246" spans="1:72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</row>
    <row r="247" spans="1:72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</row>
    <row r="248" spans="1:72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</row>
    <row r="249" spans="1:72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</row>
    <row r="250" spans="1:72" x14ac:dyDescent="0.3">
      <c r="B250" t="s">
        <v>616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</row>
    <row r="251" spans="1:72" x14ac:dyDescent="0.3">
      <c r="A251" t="s">
        <v>617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</row>
    <row r="252" spans="1:72" x14ac:dyDescent="0.3">
      <c r="A252" t="s">
        <v>618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</row>
    <row r="253" spans="1:72" x14ac:dyDescent="0.3">
      <c r="A253" t="s">
        <v>619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</row>
    <row r="254" spans="1:72" x14ac:dyDescent="0.3">
      <c r="B254" t="s">
        <v>620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T254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2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</row>
    <row r="2" spans="1:72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</row>
    <row r="3" spans="1:72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</row>
    <row r="4" spans="1:72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</row>
    <row r="5" spans="1:72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</row>
    <row r="6" spans="1:72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</row>
    <row r="7" spans="1:72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</row>
    <row r="8" spans="1:72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</row>
    <row r="9" spans="1:72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</row>
    <row r="10" spans="1:72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</row>
    <row r="11" spans="1:72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</row>
    <row r="12" spans="1:72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</row>
    <row r="13" spans="1:72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</row>
    <row r="14" spans="1:72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</row>
    <row r="15" spans="1:72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</row>
    <row r="16" spans="1:72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</row>
    <row r="17" spans="1:72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</row>
    <row r="18" spans="1:72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</row>
    <row r="19" spans="1:72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</row>
    <row r="20" spans="1:72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</row>
    <row r="21" spans="1:72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</row>
    <row r="22" spans="1:72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</row>
    <row r="23" spans="1:72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</row>
    <row r="24" spans="1:72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</row>
    <row r="25" spans="1:72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</row>
    <row r="26" spans="1:72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</row>
    <row r="27" spans="1:72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</row>
    <row r="28" spans="1:72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</row>
    <row r="29" spans="1:72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</row>
    <row r="30" spans="1:72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</row>
    <row r="31" spans="1:72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</row>
    <row r="32" spans="1:72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</row>
    <row r="33" spans="1:72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</row>
    <row r="34" spans="1:72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</row>
    <row r="35" spans="1:72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</row>
    <row r="36" spans="1:72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</row>
    <row r="37" spans="1:72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</row>
    <row r="38" spans="1:72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</row>
    <row r="39" spans="1:72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</row>
    <row r="40" spans="1:72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</row>
    <row r="41" spans="1:72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</row>
    <row r="42" spans="1:72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</row>
    <row r="43" spans="1:72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</row>
    <row r="44" spans="1:72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</row>
    <row r="45" spans="1:72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</row>
    <row r="46" spans="1:72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</row>
    <row r="47" spans="1:72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</row>
    <row r="48" spans="1:72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</row>
    <row r="49" spans="1:72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</row>
    <row r="50" spans="1:72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</row>
    <row r="51" spans="1:72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</row>
    <row r="52" spans="1:72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</row>
    <row r="53" spans="1:72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</row>
    <row r="54" spans="1:72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</row>
    <row r="55" spans="1:72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</row>
    <row r="56" spans="1:72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</row>
    <row r="57" spans="1:72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</row>
    <row r="58" spans="1:72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</row>
    <row r="59" spans="1:72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</row>
    <row r="60" spans="1:72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</row>
    <row r="61" spans="1:72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</row>
    <row r="62" spans="1:72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</row>
    <row r="63" spans="1:72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</row>
    <row r="64" spans="1:72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</row>
    <row r="65" spans="1:72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</row>
    <row r="66" spans="1:72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</row>
    <row r="67" spans="1:72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</row>
    <row r="68" spans="1:72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</row>
    <row r="69" spans="1:72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</row>
    <row r="70" spans="1:72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</row>
    <row r="71" spans="1:72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</row>
    <row r="72" spans="1:72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</row>
    <row r="73" spans="1:72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</row>
    <row r="74" spans="1:72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</row>
    <row r="75" spans="1:72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</row>
    <row r="76" spans="1:72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</row>
    <row r="77" spans="1:72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</row>
    <row r="78" spans="1:72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</row>
    <row r="79" spans="1:72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</row>
    <row r="80" spans="1:72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</row>
    <row r="81" spans="1:72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</row>
    <row r="82" spans="1:72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</row>
    <row r="83" spans="1:72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</row>
    <row r="84" spans="1:72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</row>
    <row r="85" spans="1:72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</row>
    <row r="86" spans="1:72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</row>
    <row r="87" spans="1:72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</row>
    <row r="88" spans="1:72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</row>
    <row r="89" spans="1:72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</row>
    <row r="90" spans="1:72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</row>
    <row r="91" spans="1:72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</row>
    <row r="92" spans="1:72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</row>
    <row r="93" spans="1:72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</row>
    <row r="94" spans="1:72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</row>
    <row r="95" spans="1:72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</row>
    <row r="96" spans="1:72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</row>
    <row r="97" spans="1:72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</row>
    <row r="98" spans="1:72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</row>
    <row r="99" spans="1:72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</row>
    <row r="100" spans="1:72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</row>
    <row r="101" spans="1:72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</row>
    <row r="102" spans="1:72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</row>
    <row r="103" spans="1:72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</row>
    <row r="104" spans="1:72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</row>
    <row r="105" spans="1:72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</row>
    <row r="106" spans="1:72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</row>
    <row r="107" spans="1:72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</row>
    <row r="108" spans="1:72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</row>
    <row r="109" spans="1:72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</row>
    <row r="110" spans="1:72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</row>
    <row r="111" spans="1:72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</row>
    <row r="112" spans="1:72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</row>
    <row r="113" spans="1:72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</row>
    <row r="114" spans="1:72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</row>
    <row r="115" spans="1:72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</row>
    <row r="116" spans="1:72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</row>
    <row r="117" spans="1:72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</row>
    <row r="118" spans="1:72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</row>
    <row r="119" spans="1:72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</row>
    <row r="120" spans="1:72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</row>
    <row r="121" spans="1:72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</row>
    <row r="122" spans="1:72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</row>
    <row r="123" spans="1:72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</row>
    <row r="124" spans="1:72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</row>
    <row r="125" spans="1:72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</row>
    <row r="126" spans="1:72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</row>
    <row r="127" spans="1:72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</row>
    <row r="128" spans="1:72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</row>
    <row r="129" spans="2:72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</row>
    <row r="130" spans="2:72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</row>
    <row r="131" spans="2:72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</row>
    <row r="132" spans="2:72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</row>
    <row r="133" spans="2:72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</row>
    <row r="134" spans="2:72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</row>
    <row r="135" spans="2:72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</row>
    <row r="136" spans="2:72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</row>
    <row r="137" spans="2:72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</row>
    <row r="138" spans="2:72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</row>
    <row r="139" spans="2:72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</row>
    <row r="140" spans="2:72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</row>
    <row r="141" spans="2:72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</row>
    <row r="142" spans="2:72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</row>
    <row r="143" spans="2:72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</row>
    <row r="144" spans="2:72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</row>
    <row r="145" spans="2:72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</row>
    <row r="146" spans="2:72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</row>
    <row r="147" spans="2:72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</row>
    <row r="148" spans="2:72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</row>
    <row r="149" spans="2:72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</row>
    <row r="150" spans="2:72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</row>
    <row r="151" spans="2:72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</row>
    <row r="152" spans="2:72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</row>
    <row r="153" spans="2:72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</row>
    <row r="154" spans="2:72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</row>
    <row r="155" spans="2:72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</row>
    <row r="156" spans="2:72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</row>
    <row r="157" spans="2:72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</row>
    <row r="158" spans="2:72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</row>
    <row r="159" spans="2:72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</row>
    <row r="160" spans="2:72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</row>
    <row r="161" spans="1:72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</row>
    <row r="162" spans="1:72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</row>
    <row r="163" spans="1:72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</row>
    <row r="164" spans="1:72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</row>
    <row r="165" spans="1:72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</row>
    <row r="166" spans="1:72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</row>
    <row r="167" spans="1:72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</row>
    <row r="168" spans="1:72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</row>
    <row r="169" spans="1:72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</row>
    <row r="170" spans="1:72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</row>
    <row r="171" spans="1:72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</row>
    <row r="172" spans="1:72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</row>
    <row r="173" spans="1:72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</row>
    <row r="174" spans="1:72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</row>
    <row r="175" spans="1:72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</row>
    <row r="176" spans="1:72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</row>
    <row r="177" spans="2:72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</row>
    <row r="178" spans="2:72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</row>
    <row r="179" spans="2:72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</row>
    <row r="180" spans="2:72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</row>
    <row r="181" spans="2:72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</row>
    <row r="182" spans="2:72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</row>
    <row r="183" spans="2:72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</row>
    <row r="184" spans="2:72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</row>
    <row r="185" spans="2:72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</row>
    <row r="186" spans="2:72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</row>
    <row r="187" spans="2:72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</row>
    <row r="188" spans="2:72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</row>
    <row r="189" spans="2:72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</row>
    <row r="190" spans="2:72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</row>
    <row r="191" spans="2:72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</row>
    <row r="192" spans="2:72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</row>
    <row r="193" spans="2:72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</row>
    <row r="194" spans="2:72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</row>
    <row r="195" spans="2:72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</row>
    <row r="196" spans="2:72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</row>
    <row r="197" spans="2:72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</row>
    <row r="198" spans="2:72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</row>
    <row r="199" spans="2:72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</row>
    <row r="200" spans="2:72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</row>
    <row r="201" spans="2:72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</row>
    <row r="202" spans="2:72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</row>
    <row r="203" spans="2:72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</row>
    <row r="204" spans="2:72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</row>
    <row r="205" spans="2:72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</row>
    <row r="206" spans="2:72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</row>
    <row r="207" spans="2:72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</row>
    <row r="208" spans="2:72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</row>
    <row r="209" spans="1:72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</row>
    <row r="210" spans="1:72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</row>
    <row r="211" spans="1:72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</row>
    <row r="212" spans="1:72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</row>
    <row r="213" spans="1:72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</row>
    <row r="214" spans="1:72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</row>
    <row r="215" spans="1:72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</row>
    <row r="216" spans="1:72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</row>
    <row r="217" spans="1:72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</row>
    <row r="218" spans="1:72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</row>
    <row r="219" spans="1:72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</row>
    <row r="220" spans="1:72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</row>
    <row r="221" spans="1:72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</row>
    <row r="222" spans="1:72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</row>
    <row r="223" spans="1:72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</row>
    <row r="224" spans="1:72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</row>
    <row r="225" spans="1:72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</row>
    <row r="226" spans="1:72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</row>
    <row r="227" spans="1:72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</row>
    <row r="228" spans="1:72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</row>
    <row r="229" spans="1:72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</row>
    <row r="230" spans="1:72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</row>
    <row r="231" spans="1:72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</row>
    <row r="232" spans="1:72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</row>
    <row r="233" spans="1:72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</row>
    <row r="234" spans="1:72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</row>
    <row r="235" spans="1:72" x14ac:dyDescent="0.3">
      <c r="B235" t="s">
        <v>561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</row>
    <row r="236" spans="1:72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</row>
    <row r="237" spans="1:72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</row>
    <row r="238" spans="1:72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</row>
    <row r="239" spans="1:72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</row>
    <row r="240" spans="1:72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</row>
    <row r="241" spans="1:72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</row>
    <row r="242" spans="1:72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</row>
    <row r="243" spans="1:72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</row>
    <row r="244" spans="1:72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</row>
    <row r="245" spans="1:72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</row>
    <row r="246" spans="1:72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</row>
    <row r="247" spans="1:72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</row>
    <row r="248" spans="1:72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</row>
    <row r="249" spans="1:72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</row>
    <row r="250" spans="1:72" x14ac:dyDescent="0.3">
      <c r="B250" t="s">
        <v>616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</row>
    <row r="251" spans="1:72" x14ac:dyDescent="0.3">
      <c r="A251" t="s">
        <v>617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</row>
    <row r="252" spans="1:72" x14ac:dyDescent="0.3">
      <c r="A252" t="s">
        <v>618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</row>
    <row r="253" spans="1:72" x14ac:dyDescent="0.3">
      <c r="A253" t="s">
        <v>619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</row>
    <row r="254" spans="1:72" x14ac:dyDescent="0.3">
      <c r="B254" t="s">
        <v>620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2020-03-30T12:09:08Z</dcterms:modified>
</cp:coreProperties>
</file>