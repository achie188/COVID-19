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E8DE9C68-B52E-4019-B454-1F7FB11B974A}" xr6:coauthVersionLast="45" xr6:coauthVersionMax="45" xr10:uidLastSave="{00000000-0000-0000-0000-000000000000}"/>
  <bookViews>
    <workbookView xWindow="-28920" yWindow="-11415" windowWidth="29040" windowHeight="16440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state="hidden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4" i="23"/>
  <c r="B14" i="23" s="1" a="1"/>
  <c r="B14" i="23" s="1"/>
  <c r="D14" i="23"/>
  <c r="C12" i="23"/>
  <c r="B12" i="23" s="1" a="1"/>
  <c r="B12" i="23" s="1"/>
  <c r="D12" i="23"/>
  <c r="C13" i="23"/>
  <c r="B13" i="23" s="1" a="1"/>
  <c r="B13" i="23" s="1"/>
  <c r="D13" i="23"/>
  <c r="C17" i="23"/>
  <c r="B17" i="23" s="1" a="1"/>
  <c r="B17" i="23" s="1"/>
  <c r="D17" i="23"/>
  <c r="C15" i="23"/>
  <c r="B15" i="23" s="1" a="1"/>
  <c r="B15" i="23" s="1"/>
  <c r="D15" i="23"/>
  <c r="C16" i="23"/>
  <c r="B16" i="23" s="1" a="1"/>
  <c r="B16" i="23" s="1"/>
  <c r="D16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C63" i="23"/>
  <c r="B63" i="23" s="1" a="1"/>
  <c r="B63" i="23" s="1"/>
  <c r="D63" i="23"/>
  <c r="C64" i="23"/>
  <c r="B64" i="23" s="1" a="1"/>
  <c r="B64" i="23" s="1"/>
  <c r="D64" i="23"/>
  <c r="C65" i="23"/>
  <c r="B65" i="23" s="1" a="1"/>
  <c r="B65" i="23" s="1"/>
  <c r="D65" i="23"/>
  <c r="C66" i="23"/>
  <c r="B66" i="23" s="1" a="1"/>
  <c r="B66" i="23" s="1"/>
  <c r="D66" i="23"/>
  <c r="C67" i="23"/>
  <c r="B67" i="23" s="1" a="1"/>
  <c r="B67" i="23" s="1"/>
  <c r="D67" i="23"/>
  <c r="C68" i="23"/>
  <c r="B68" i="23" s="1" a="1"/>
  <c r="B68" i="23" s="1"/>
  <c r="D68" i="23"/>
  <c r="C69" i="23"/>
  <c r="B69" i="23" s="1" a="1"/>
  <c r="B69" i="23" s="1"/>
  <c r="D69" i="23"/>
  <c r="C70" i="23"/>
  <c r="B70" i="23" s="1" a="1"/>
  <c r="B70" i="23" s="1"/>
  <c r="D70" i="23"/>
  <c r="C71" i="23"/>
  <c r="B71" i="23" s="1" a="1"/>
  <c r="B71" i="23" s="1"/>
  <c r="D71" i="23"/>
  <c r="C72" i="23"/>
  <c r="B72" i="23" s="1" a="1"/>
  <c r="B72" i="23" s="1"/>
  <c r="D72" i="23"/>
  <c r="C73" i="23"/>
  <c r="B73" i="23" s="1" a="1"/>
  <c r="B73" i="23" s="1"/>
  <c r="D73" i="23"/>
  <c r="C74" i="23"/>
  <c r="B74" i="23" s="1" a="1"/>
  <c r="B74" i="23" s="1"/>
  <c r="D74" i="23"/>
  <c r="C75" i="23"/>
  <c r="B75" i="23" s="1" a="1"/>
  <c r="B75" i="23" s="1"/>
  <c r="D75" i="23"/>
  <c r="C76" i="23"/>
  <c r="B76" i="23" s="1" a="1"/>
  <c r="B76" i="23" s="1"/>
  <c r="D76" i="23"/>
  <c r="C77" i="23"/>
  <c r="B77" i="23" s="1" a="1"/>
  <c r="B77" i="23" s="1"/>
  <c r="D77" i="23"/>
  <c r="C78" i="23"/>
  <c r="B78" i="23" s="1" a="1"/>
  <c r="B78" i="23" s="1"/>
  <c r="D78" i="23"/>
  <c r="B79" i="23" a="1"/>
  <c r="B79" i="23" s="1"/>
  <c r="C79" i="23"/>
  <c r="D79" i="23"/>
  <c r="C80" i="23"/>
  <c r="B80" i="23" s="1" a="1"/>
  <c r="B80" i="23" s="1"/>
  <c r="D80" i="23"/>
  <c r="C81" i="23"/>
  <c r="B81" i="23" s="1" a="1"/>
  <c r="B81" i="23" s="1"/>
  <c r="D81" i="23"/>
  <c r="C82" i="23"/>
  <c r="B82" i="23" s="1" a="1"/>
  <c r="B82" i="23" s="1"/>
  <c r="D82" i="23"/>
  <c r="C83" i="23"/>
  <c r="B83" i="23" s="1" a="1"/>
  <c r="B83" i="23" s="1"/>
  <c r="D83" i="23"/>
  <c r="C84" i="23"/>
  <c r="B84" i="23" s="1" a="1"/>
  <c r="B84" i="23" s="1"/>
  <c r="D84" i="23"/>
  <c r="C85" i="23"/>
  <c r="B85" i="23" s="1" a="1"/>
  <c r="B85" i="23" s="1"/>
  <c r="D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B80" i="8" a="1"/>
  <c r="B80" i="8" s="1"/>
  <c r="C80" i="8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C87" i="8"/>
  <c r="B87" i="8" s="1" a="1"/>
  <c r="B87" i="8" s="1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C98" i="8"/>
  <c r="B98" i="8" s="1" a="1"/>
  <c r="B98" i="8" s="1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C105" i="8"/>
  <c r="B105" i="8" s="1" a="1"/>
  <c r="B105" i="8" s="1"/>
  <c r="D105" i="8"/>
  <c r="C106" i="8"/>
  <c r="B106" i="8" s="1" a="1"/>
  <c r="B106" i="8" s="1"/>
  <c r="D106" i="8"/>
  <c r="C107" i="8"/>
  <c r="B107" i="8" s="1" a="1"/>
  <c r="B107" i="8" s="1"/>
  <c r="D107" i="8"/>
  <c r="C108" i="8"/>
  <c r="B108" i="8" s="1" a="1"/>
  <c r="B108" i="8" s="1"/>
  <c r="D108" i="8"/>
  <c r="C109" i="8"/>
  <c r="B109" i="8" s="1" a="1"/>
  <c r="B109" i="8" s="1"/>
  <c r="D109" i="8"/>
  <c r="C110" i="8"/>
  <c r="B110" i="8" s="1" a="1"/>
  <c r="B110" i="8" s="1"/>
  <c r="D110" i="8"/>
  <c r="C111" i="8"/>
  <c r="B111" i="8" s="1" a="1"/>
  <c r="B111" i="8" s="1"/>
  <c r="D111" i="8"/>
  <c r="C112" i="8"/>
  <c r="B112" i="8" s="1" a="1"/>
  <c r="B112" i="8" s="1"/>
  <c r="D112" i="8"/>
  <c r="C113" i="8"/>
  <c r="B113" i="8" s="1" a="1"/>
  <c r="B113" i="8" s="1"/>
  <c r="D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8"/>
  <c r="C5" i="23" l="1"/>
  <c r="B5" i="23" s="1" a="1"/>
  <c r="B5" i="23" s="1"/>
  <c r="C5" i="8"/>
  <c r="B5" i="8" s="1" a="1"/>
  <c r="B5" i="8" s="1"/>
  <c r="BV2" i="19"/>
  <c r="BW2" i="19"/>
  <c r="BX2" i="19"/>
  <c r="BY2" i="19"/>
  <c r="BZ2" i="19"/>
  <c r="CA2" i="19"/>
  <c r="CB2" i="19"/>
  <c r="CC2" i="19"/>
  <c r="CD2" i="19"/>
  <c r="CD127" i="19" s="1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B127" i="19" s="1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T127" i="19" s="1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CL127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B127" i="3" s="1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V127" i="3" s="1"/>
  <c r="BW17" i="3"/>
  <c r="BX17" i="3"/>
  <c r="BY17" i="3"/>
  <c r="BZ17" i="3"/>
  <c r="CA17" i="3"/>
  <c r="CB17" i="3"/>
  <c r="CC17" i="3"/>
  <c r="CD17" i="3"/>
  <c r="CD127" i="3" s="1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L127" i="3" s="1"/>
  <c r="CM49" i="3"/>
  <c r="CN49" i="3"/>
  <c r="CO49" i="3"/>
  <c r="CP49" i="3"/>
  <c r="CQ49" i="3"/>
  <c r="CR49" i="3"/>
  <c r="CS49" i="3"/>
  <c r="CT49" i="3"/>
  <c r="CT127" i="3" s="1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BV127" i="19" l="1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K2" i="8" l="1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D4" i="23" l="1"/>
  <c r="D3" i="23"/>
  <c r="D3" i="8"/>
  <c r="D4" i="8"/>
  <c r="X15" i="12"/>
  <c r="BB5" i="3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B128" i="19" l="1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0" i="20"/>
  <c r="L20" i="20"/>
  <c r="L14" i="20"/>
  <c r="L9" i="20"/>
  <c r="L16" i="20"/>
  <c r="L12" i="20"/>
  <c r="L8" i="20"/>
  <c r="L17" i="20"/>
  <c r="L6" i="20"/>
  <c r="L13" i="20"/>
  <c r="L7" i="20"/>
  <c r="L15" i="20"/>
  <c r="L19" i="20"/>
  <c r="L30" i="20"/>
  <c r="L22" i="20"/>
  <c r="L18" i="20"/>
  <c r="L26" i="20"/>
  <c r="L5" i="20"/>
  <c r="L24" i="20"/>
  <c r="L32" i="20"/>
  <c r="L25" i="20"/>
  <c r="L33" i="20"/>
  <c r="L31" i="20"/>
  <c r="L28" i="20"/>
  <c r="L4" i="20"/>
  <c r="L41" i="20"/>
  <c r="L29" i="20"/>
  <c r="L23" i="20"/>
  <c r="L38" i="20"/>
  <c r="L27" i="20"/>
  <c r="L35" i="20"/>
  <c r="L42" i="20"/>
  <c r="L37" i="20"/>
  <c r="L21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1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N68" i="14"/>
  <c r="O68" i="14" s="1"/>
  <c r="N69" i="14"/>
  <c r="N70" i="14"/>
  <c r="O70" i="14" s="1"/>
  <c r="N71" i="14"/>
  <c r="N72" i="14"/>
  <c r="O72" i="14" s="1"/>
  <c r="N73" i="14"/>
  <c r="N74" i="14"/>
  <c r="O74" i="14" s="1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N101" i="14"/>
  <c r="O101" i="14" s="1"/>
  <c r="N102" i="14"/>
  <c r="N103" i="14"/>
  <c r="O103" i="14" s="1"/>
  <c r="N104" i="14"/>
  <c r="N105" i="14"/>
  <c r="O105" i="14" s="1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C4" i="23" l="1"/>
  <c r="C3" i="23"/>
  <c r="C2" i="23"/>
  <c r="A2" i="23"/>
  <c r="A3" i="23" s="1"/>
  <c r="J1" i="23"/>
  <c r="F1" i="23"/>
  <c r="A4" i="23" l="1"/>
  <c r="F4" i="23" s="1"/>
  <c r="H62" i="20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58" i="20"/>
  <c r="H61" i="20"/>
  <c r="D2" i="23"/>
  <c r="E3" i="23" l="1"/>
  <c r="F3" i="23"/>
  <c r="E4" i="23"/>
  <c r="G4" i="23" s="1"/>
  <c r="F2" i="23"/>
  <c r="E2" i="23"/>
  <c r="C32" i="13"/>
  <c r="G3" i="23" l="1"/>
  <c r="G2" i="23"/>
  <c r="B44" i="15"/>
  <c r="J64" i="20" l="1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9" i="20"/>
  <c r="H5" i="13" l="1"/>
  <c r="C24" i="13"/>
  <c r="C23" i="13"/>
  <c r="C16" i="13"/>
  <c r="C19" i="13"/>
  <c r="G5" i="13"/>
  <c r="B35" i="13"/>
  <c r="M33" i="20"/>
  <c r="M51" i="20"/>
  <c r="M50" i="20"/>
  <c r="M56" i="20"/>
  <c r="M20" i="20"/>
  <c r="M23" i="20"/>
  <c r="M5" i="20"/>
  <c r="M30" i="20"/>
  <c r="M15" i="20"/>
  <c r="M43" i="20"/>
  <c r="M24" i="20"/>
  <c r="M25" i="20"/>
  <c r="M26" i="20"/>
  <c r="M53" i="20"/>
  <c r="M8" i="20"/>
  <c r="M55" i="20"/>
  <c r="C2" i="13"/>
  <c r="C3" i="8"/>
  <c r="C4" i="8"/>
  <c r="B27" i="15" l="1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O43" i="14" l="1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1" i="20" s="1"/>
  <c r="G63" i="14"/>
  <c r="G55" i="14"/>
  <c r="F24" i="20" s="1"/>
  <c r="G47" i="14"/>
  <c r="F5" i="20" s="1"/>
  <c r="G39" i="14"/>
  <c r="F30" i="20" s="1"/>
  <c r="G31" i="14"/>
  <c r="F49" i="20" s="1"/>
  <c r="G23" i="14"/>
  <c r="F21" i="20" s="1"/>
  <c r="G15" i="14"/>
  <c r="F6" i="20" s="1"/>
  <c r="G7" i="14"/>
  <c r="F13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8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14" i="20" s="1"/>
  <c r="G25" i="14"/>
  <c r="F47" i="20" s="1"/>
  <c r="G17" i="14"/>
  <c r="F59" i="20" s="1"/>
  <c r="G9" i="14"/>
  <c r="F7" i="20" s="1"/>
  <c r="G122" i="14"/>
  <c r="G114" i="14"/>
  <c r="G106" i="14"/>
  <c r="G98" i="14"/>
  <c r="G90" i="14"/>
  <c r="G82" i="14"/>
  <c r="G74" i="14"/>
  <c r="G66" i="14"/>
  <c r="F23" i="20" s="1"/>
  <c r="G58" i="14"/>
  <c r="F42" i="20" s="1"/>
  <c r="G50" i="14"/>
  <c r="G42" i="14"/>
  <c r="F51" i="20" s="1"/>
  <c r="G34" i="14"/>
  <c r="F48" i="20" s="1"/>
  <c r="G26" i="14"/>
  <c r="F53" i="20" s="1"/>
  <c r="G18" i="14"/>
  <c r="F9" i="20" s="1"/>
  <c r="G10" i="14"/>
  <c r="F15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6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4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0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20" i="20" s="1"/>
  <c r="G38" i="14"/>
  <c r="F52" i="20" s="1"/>
  <c r="G30" i="14"/>
  <c r="G22" i="14"/>
  <c r="F43" i="20" s="1"/>
  <c r="G14" i="14"/>
  <c r="F17" i="20" s="1"/>
  <c r="G6" i="14"/>
  <c r="F19" i="20" s="1"/>
  <c r="G2" i="14"/>
  <c r="F60" i="20" s="1"/>
  <c r="G3" i="14"/>
  <c r="F22" i="20" s="1"/>
  <c r="A2" i="8"/>
  <c r="A3" i="8" s="1"/>
  <c r="G134" i="14" l="1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2" i="20"/>
  <c r="C8" i="13"/>
  <c r="A4" i="8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6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8" i="8" l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9" i="8" l="1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D33" i="20"/>
  <c r="M66" i="14"/>
  <c r="D25" i="20"/>
  <c r="M45" i="14"/>
  <c r="D63" i="20"/>
  <c r="M75" i="14"/>
  <c r="D16" i="20"/>
  <c r="M67" i="14"/>
  <c r="D56" i="20"/>
  <c r="M41" i="14"/>
  <c r="D11" i="20"/>
  <c r="M71" i="14"/>
  <c r="D44" i="20"/>
  <c r="M52" i="14"/>
  <c r="C15" i="13" s="1"/>
  <c r="C36" i="15" s="1"/>
  <c r="D24" i="20"/>
  <c r="M55" i="14"/>
  <c r="D8" i="20"/>
  <c r="M47" i="14"/>
  <c r="D39" i="20"/>
  <c r="M49" i="14"/>
  <c r="D37" i="20"/>
  <c r="M72" i="14"/>
  <c r="D43" i="20"/>
  <c r="M48" i="14"/>
  <c r="D9" i="20"/>
  <c r="M39" i="14"/>
  <c r="D26" i="20"/>
  <c r="M46" i="14"/>
  <c r="D55" i="20"/>
  <c r="M26" i="14"/>
  <c r="D5" i="20"/>
  <c r="M34" i="14"/>
  <c r="D30" i="20"/>
  <c r="M37" i="14"/>
  <c r="D28" i="20"/>
  <c r="M58" i="14"/>
  <c r="D20" i="20"/>
  <c r="M61" i="14"/>
  <c r="D47" i="20"/>
  <c r="M38" i="14"/>
  <c r="D23" i="20"/>
  <c r="M51" i="14"/>
  <c r="D51" i="20"/>
  <c r="M42" i="14"/>
  <c r="D50" i="20"/>
  <c r="M44" i="14"/>
  <c r="D15" i="20"/>
  <c r="M40" i="14"/>
  <c r="D53" i="20"/>
  <c r="D42" i="20"/>
  <c r="L1" i="8"/>
  <c r="L4" i="13"/>
  <c r="A10" i="8" l="1"/>
  <c r="C9" i="13"/>
  <c r="E23" i="20"/>
  <c r="G3" i="13"/>
  <c r="G25" i="13" s="1"/>
  <c r="K13" i="13"/>
  <c r="L5" i="13"/>
  <c r="L13" i="13" s="1"/>
  <c r="E15" i="20"/>
  <c r="E47" i="20"/>
  <c r="E5" i="20"/>
  <c r="E53" i="20"/>
  <c r="E30" i="20"/>
  <c r="E8" i="20"/>
  <c r="E9" i="20"/>
  <c r="E56" i="20"/>
  <c r="E33" i="20"/>
  <c r="E16" i="20"/>
  <c r="E24" i="20"/>
  <c r="E43" i="20"/>
  <c r="E20" i="20"/>
  <c r="E55" i="20"/>
  <c r="E37" i="20"/>
  <c r="E44" i="20"/>
  <c r="E63" i="20"/>
  <c r="E50" i="20"/>
  <c r="E42" i="20"/>
  <c r="E51" i="20"/>
  <c r="E28" i="20"/>
  <c r="E26" i="20"/>
  <c r="E39" i="20"/>
  <c r="E11" i="20"/>
  <c r="E25" i="20"/>
  <c r="M1" i="8"/>
  <c r="M4" i="13"/>
  <c r="X6" i="13" l="1"/>
  <c r="AL6" i="13"/>
  <c r="A11" i="8"/>
  <c r="J6" i="13"/>
  <c r="K6" i="13"/>
  <c r="I6" i="13"/>
  <c r="L6" i="13"/>
  <c r="H6" i="13"/>
  <c r="G6" i="13"/>
  <c r="G7" i="13" s="1"/>
  <c r="M5" i="13"/>
  <c r="M6" i="13"/>
  <c r="N1" i="8"/>
  <c r="N4" i="13"/>
  <c r="A12" i="8" l="1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13" i="8" l="1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A14" i="8" l="1"/>
  <c r="N8" i="13"/>
  <c r="O7" i="13"/>
  <c r="I14" i="13"/>
  <c r="G14" i="13"/>
  <c r="N17" i="13"/>
  <c r="O13" i="13"/>
  <c r="O15" i="13"/>
  <c r="P5" i="13"/>
  <c r="P6" i="13"/>
  <c r="Q1" i="8"/>
  <c r="Q4" i="13"/>
  <c r="A15" i="8" l="1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A16" i="8" l="1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17" i="8" l="1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18" i="8" l="1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A19" i="8" l="1"/>
  <c r="T7" i="13"/>
  <c r="T8" i="13" s="1"/>
  <c r="S14" i="13"/>
  <c r="S16" i="13" s="1"/>
  <c r="S17" i="13"/>
  <c r="T15" i="13"/>
  <c r="U5" i="13"/>
  <c r="U6" i="13"/>
  <c r="V1" i="8"/>
  <c r="V4" i="13"/>
  <c r="A20" i="8" l="1"/>
  <c r="F19" i="8"/>
  <c r="U7" i="13"/>
  <c r="U8" i="13" s="1"/>
  <c r="T14" i="13"/>
  <c r="T16" i="13" s="1"/>
  <c r="T17" i="13"/>
  <c r="U13" i="13"/>
  <c r="U15" i="13"/>
  <c r="V5" i="13"/>
  <c r="V6" i="13"/>
  <c r="W1" i="8"/>
  <c r="W4" i="13"/>
  <c r="A21" i="8" l="1"/>
  <c r="V7" i="13"/>
  <c r="U14" i="13"/>
  <c r="U16" i="13" s="1"/>
  <c r="U17" i="13"/>
  <c r="V13" i="13"/>
  <c r="V15" i="13"/>
  <c r="W5" i="13"/>
  <c r="W6" i="13"/>
  <c r="X1" i="8"/>
  <c r="X4" i="13"/>
  <c r="A22" i="8" l="1"/>
  <c r="E19" i="8"/>
  <c r="G19" i="8" s="1"/>
  <c r="W7" i="13"/>
  <c r="V17" i="13"/>
  <c r="V8" i="13"/>
  <c r="W13" i="13"/>
  <c r="W15" i="13"/>
  <c r="X5" i="13"/>
  <c r="X7" i="13" s="1"/>
  <c r="Y1" i="8"/>
  <c r="Y4" i="13"/>
  <c r="A23" i="8" l="1"/>
  <c r="V14" i="13"/>
  <c r="W17" i="13"/>
  <c r="W8" i="13"/>
  <c r="X13" i="13"/>
  <c r="X15" i="13"/>
  <c r="Y5" i="13"/>
  <c r="Y6" i="13"/>
  <c r="Z1" i="8"/>
  <c r="Z4" i="13"/>
  <c r="A24" i="8" l="1"/>
  <c r="F23" i="8"/>
  <c r="F18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A25" i="8" l="1"/>
  <c r="Z7" i="13"/>
  <c r="X16" i="13"/>
  <c r="Y14" i="13"/>
  <c r="Y17" i="13"/>
  <c r="Z13" i="13"/>
  <c r="Z15" i="13"/>
  <c r="AA5" i="13"/>
  <c r="AA6" i="13"/>
  <c r="AB1" i="8"/>
  <c r="AB4" i="13"/>
  <c r="A26" i="8" l="1"/>
  <c r="AA7" i="13"/>
  <c r="Y16" i="13"/>
  <c r="Z17" i="13"/>
  <c r="Z8" i="13"/>
  <c r="AA13" i="13"/>
  <c r="AA15" i="13"/>
  <c r="AB5" i="13"/>
  <c r="AB6" i="13"/>
  <c r="AC1" i="8"/>
  <c r="AC4" i="13"/>
  <c r="A27" i="8" l="1"/>
  <c r="F26" i="8"/>
  <c r="F24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E26" i="8" l="1"/>
  <c r="G26" i="8" s="1"/>
  <c r="A28" i="8"/>
  <c r="E27" i="8"/>
  <c r="F27" i="8"/>
  <c r="AC7" i="13"/>
  <c r="AB17" i="13"/>
  <c r="AA16" i="13"/>
  <c r="AB8" i="13"/>
  <c r="AC15" i="13"/>
  <c r="AD5" i="13"/>
  <c r="AD13" i="13" s="1"/>
  <c r="AD6" i="13"/>
  <c r="AE1" i="8"/>
  <c r="AE4" i="13"/>
  <c r="G27" i="8" l="1"/>
  <c r="A29" i="8"/>
  <c r="E28" i="8"/>
  <c r="F28" i="8"/>
  <c r="F22" i="8"/>
  <c r="AD7" i="13"/>
  <c r="AC17" i="13"/>
  <c r="AB14" i="13"/>
  <c r="AC8" i="13"/>
  <c r="AD15" i="13"/>
  <c r="AE5" i="13"/>
  <c r="AE13" i="13" s="1"/>
  <c r="AE6" i="13"/>
  <c r="AF1" i="8"/>
  <c r="AF4" i="13"/>
  <c r="G28" i="8" l="1"/>
  <c r="A30" i="8"/>
  <c r="E29" i="8"/>
  <c r="F29" i="8"/>
  <c r="AE7" i="13"/>
  <c r="AD17" i="13"/>
  <c r="AB16" i="13"/>
  <c r="AC14" i="13"/>
  <c r="AD8" i="13"/>
  <c r="AE15" i="13"/>
  <c r="AF5" i="13"/>
  <c r="AF6" i="13"/>
  <c r="AG1" i="8"/>
  <c r="AG4" i="13"/>
  <c r="G29" i="8" l="1"/>
  <c r="A31" i="8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A32" i="8" l="1"/>
  <c r="F31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33" i="8" l="1"/>
  <c r="E32" i="8"/>
  <c r="F32" i="8"/>
  <c r="AH7" i="13"/>
  <c r="AH8" i="13" s="1"/>
  <c r="AG17" i="13"/>
  <c r="AF16" i="13"/>
  <c r="AH15" i="13"/>
  <c r="AI5" i="13"/>
  <c r="AI13" i="13" s="1"/>
  <c r="AI6" i="13"/>
  <c r="AJ1" i="8"/>
  <c r="AJ4" i="13"/>
  <c r="G32" i="8" l="1"/>
  <c r="E31" i="8"/>
  <c r="G31" i="8" s="1"/>
  <c r="A34" i="8"/>
  <c r="E33" i="8"/>
  <c r="F33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E30" i="8" s="1"/>
  <c r="G30" i="8" s="1"/>
  <c r="AK4" i="13"/>
  <c r="G33" i="8" l="1"/>
  <c r="A35" i="8"/>
  <c r="E34" i="8"/>
  <c r="F34" i="8"/>
  <c r="AJ7" i="13"/>
  <c r="AG16" i="13"/>
  <c r="AH16" i="13"/>
  <c r="AJ15" i="13"/>
  <c r="AJ17" i="13" s="1"/>
  <c r="AK5" i="13"/>
  <c r="AK13" i="13" s="1"/>
  <c r="AK6" i="13"/>
  <c r="AL1" i="8"/>
  <c r="AL4" i="13"/>
  <c r="G34" i="8" l="1"/>
  <c r="A36" i="8"/>
  <c r="E35" i="8"/>
  <c r="F35" i="8"/>
  <c r="AK7" i="13"/>
  <c r="AK8" i="13" s="1"/>
  <c r="AI14" i="13"/>
  <c r="AJ8" i="13"/>
  <c r="AK15" i="13"/>
  <c r="AL5" i="13"/>
  <c r="AL7" i="13" s="1"/>
  <c r="AM1" i="8"/>
  <c r="AM4" i="13"/>
  <c r="AK14" i="13" l="1"/>
  <c r="G35" i="8"/>
  <c r="A37" i="8"/>
  <c r="E36" i="8"/>
  <c r="F36" i="8"/>
  <c r="AL8" i="13"/>
  <c r="AK17" i="13"/>
  <c r="AI16" i="13"/>
  <c r="G10" i="20"/>
  <c r="AJ14" i="13"/>
  <c r="AL13" i="13"/>
  <c r="AL15" i="13"/>
  <c r="AL17" i="13" s="1"/>
  <c r="AM5" i="13"/>
  <c r="AM13" i="13" s="1"/>
  <c r="AM6" i="13"/>
  <c r="AN1" i="8"/>
  <c r="AN4" i="13"/>
  <c r="G36" i="8" l="1"/>
  <c r="A38" i="8"/>
  <c r="E37" i="8"/>
  <c r="F37" i="8"/>
  <c r="AJ16" i="13"/>
  <c r="AK16" i="13"/>
  <c r="AM7" i="13"/>
  <c r="AM8" i="13" s="1"/>
  <c r="AM15" i="13"/>
  <c r="AN5" i="13"/>
  <c r="AN6" i="13"/>
  <c r="AO1" i="8"/>
  <c r="AO4" i="13"/>
  <c r="G37" i="8" l="1"/>
  <c r="A39" i="8"/>
  <c r="E38" i="8"/>
  <c r="F38" i="8"/>
  <c r="AM17" i="13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G38" i="8" l="1"/>
  <c r="A40" i="8"/>
  <c r="E39" i="8"/>
  <c r="G39" i="8" s="1"/>
  <c r="F39" i="8"/>
  <c r="AL16" i="13"/>
  <c r="AM16" i="13"/>
  <c r="AN17" i="13"/>
  <c r="AN14" i="13"/>
  <c r="AO7" i="13"/>
  <c r="AO15" i="13"/>
  <c r="AP5" i="13"/>
  <c r="AP6" i="13"/>
  <c r="AQ1" i="8"/>
  <c r="AQ4" i="13"/>
  <c r="A41" i="8" l="1"/>
  <c r="E40" i="8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G40" i="8" l="1"/>
  <c r="A42" i="8"/>
  <c r="E41" i="8"/>
  <c r="F41" i="8"/>
  <c r="AP17" i="13"/>
  <c r="AP14" i="13"/>
  <c r="AO14" i="13"/>
  <c r="AQ7" i="13"/>
  <c r="AQ8" i="13" s="1"/>
  <c r="AQ15" i="13"/>
  <c r="AR6" i="13"/>
  <c r="AS1" i="8"/>
  <c r="AS4" i="13"/>
  <c r="G41" i="8" l="1"/>
  <c r="A43" i="8"/>
  <c r="E42" i="8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G42" i="8" l="1"/>
  <c r="A44" i="8"/>
  <c r="E43" i="8"/>
  <c r="F43" i="8"/>
  <c r="AQ16" i="13"/>
  <c r="AR14" i="13"/>
  <c r="AS7" i="13"/>
  <c r="AS8" i="13" s="1"/>
  <c r="AS15" i="13"/>
  <c r="AS17" i="13" s="1"/>
  <c r="AT5" i="13"/>
  <c r="AT6" i="13"/>
  <c r="AU1" i="8"/>
  <c r="AU4" i="13"/>
  <c r="G43" i="8" l="1"/>
  <c r="A45" i="8"/>
  <c r="F44" i="8"/>
  <c r="AR16" i="13"/>
  <c r="AS14" i="13"/>
  <c r="AS16" i="13" s="1"/>
  <c r="AT7" i="13"/>
  <c r="AT13" i="13"/>
  <c r="AT15" i="13"/>
  <c r="AU5" i="13"/>
  <c r="AU6" i="13"/>
  <c r="AV1" i="8"/>
  <c r="AV4" i="13"/>
  <c r="A46" i="8" l="1"/>
  <c r="E45" i="8"/>
  <c r="G45" i="8" s="1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47" i="8" l="1"/>
  <c r="E46" i="8"/>
  <c r="F46" i="8"/>
  <c r="AU14" i="13"/>
  <c r="AT14" i="13"/>
  <c r="AV7" i="13"/>
  <c r="AV8" i="13" s="1"/>
  <c r="AV15" i="13"/>
  <c r="AW5" i="13"/>
  <c r="AW6" i="13"/>
  <c r="AX1" i="8"/>
  <c r="G27" i="20"/>
  <c r="AX4" i="13"/>
  <c r="G46" i="8" l="1"/>
  <c r="A48" i="8"/>
  <c r="E47" i="8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E44" i="8" s="1"/>
  <c r="G44" i="8" s="1"/>
  <c r="AY4" i="13"/>
  <c r="G47" i="8" l="1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G48" i="8" l="1"/>
  <c r="A50" i="8"/>
  <c r="E49" i="8"/>
  <c r="F49" i="8"/>
  <c r="G29" i="20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G14" i="20"/>
  <c r="BA4" i="13"/>
  <c r="G49" i="8" l="1"/>
  <c r="A51" i="8"/>
  <c r="E50" i="8"/>
  <c r="F50" i="8"/>
  <c r="AY14" i="13"/>
  <c r="AZ7" i="13"/>
  <c r="AZ8" i="13" s="1"/>
  <c r="AZ15" i="13"/>
  <c r="AZ17" i="13" s="1"/>
  <c r="BA5" i="13"/>
  <c r="BA6" i="13"/>
  <c r="BB1" i="8"/>
  <c r="BB4" i="13"/>
  <c r="G50" i="8" l="1"/>
  <c r="A52" i="8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G51" i="8" l="1"/>
  <c r="A53" i="8"/>
  <c r="E52" i="8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G52" i="8" l="1"/>
  <c r="A54" i="8"/>
  <c r="E53" i="8"/>
  <c r="F53" i="8"/>
  <c r="BA16" i="13"/>
  <c r="BB17" i="13"/>
  <c r="BE1" i="8"/>
  <c r="BB14" i="13"/>
  <c r="BB16" i="13" s="1"/>
  <c r="G59" i="20"/>
  <c r="BC7" i="13"/>
  <c r="BC8" i="13" s="1"/>
  <c r="BC15" i="13"/>
  <c r="BD5" i="13"/>
  <c r="BD6" i="13"/>
  <c r="C29" i="13"/>
  <c r="BE4" i="13"/>
  <c r="G53" i="8" l="1"/>
  <c r="A55" i="8"/>
  <c r="E54" i="8"/>
  <c r="F54" i="8"/>
  <c r="BC17" i="13"/>
  <c r="BF1" i="8"/>
  <c r="G4" i="20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G54" i="8" l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5" i="20"/>
  <c r="J5" i="20" s="1"/>
  <c r="C16" i="15"/>
  <c r="C34" i="15"/>
  <c r="I3" i="13"/>
  <c r="C10" i="15"/>
  <c r="BG4" i="13"/>
  <c r="G55" i="8" l="1"/>
  <c r="A57" i="8"/>
  <c r="E56" i="8"/>
  <c r="F56" i="8"/>
  <c r="BE17" i="13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E57" i="8"/>
  <c r="F57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G57" i="8" l="1"/>
  <c r="A59" i="8"/>
  <c r="E58" i="8"/>
  <c r="F58" i="8"/>
  <c r="BG17" i="13"/>
  <c r="BF16" i="13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G40" i="20" s="1"/>
  <c r="A60" i="8"/>
  <c r="E59" i="8"/>
  <c r="F59" i="8"/>
  <c r="BG16" i="13"/>
  <c r="BH14" i="13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G59" i="8" l="1"/>
  <c r="A61" i="8"/>
  <c r="E60" i="8"/>
  <c r="F60" i="8"/>
  <c r="BH16" i="13"/>
  <c r="BI17" i="13"/>
  <c r="BI14" i="13"/>
  <c r="BL1" i="8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G61" i="8" l="1"/>
  <c r="E3" i="8"/>
  <c r="E4" i="8"/>
  <c r="F4" i="8"/>
  <c r="F3" i="8"/>
  <c r="E5" i="8"/>
  <c r="F5" i="8"/>
  <c r="F6" i="8"/>
  <c r="F7" i="8"/>
  <c r="F8" i="8"/>
  <c r="E6" i="8"/>
  <c r="E7" i="8"/>
  <c r="G7" i="8" s="1"/>
  <c r="E8" i="8"/>
  <c r="G8" i="8" s="1"/>
  <c r="F9" i="8"/>
  <c r="E10" i="8"/>
  <c r="F10" i="8"/>
  <c r="E9" i="8"/>
  <c r="G9" i="8" s="1"/>
  <c r="F11" i="8"/>
  <c r="E11" i="8"/>
  <c r="F12" i="8"/>
  <c r="F13" i="8"/>
  <c r="E12" i="8"/>
  <c r="E13" i="8"/>
  <c r="F15" i="8"/>
  <c r="F16" i="8"/>
  <c r="F14" i="8"/>
  <c r="E14" i="8"/>
  <c r="E16" i="8"/>
  <c r="G16" i="8" s="1"/>
  <c r="E17" i="8"/>
  <c r="G17" i="8" s="1"/>
  <c r="F17" i="8"/>
  <c r="E15" i="8"/>
  <c r="E18" i="8"/>
  <c r="G18" i="8" s="1"/>
  <c r="F20" i="8"/>
  <c r="E21" i="8"/>
  <c r="E20" i="8"/>
  <c r="E22" i="8"/>
  <c r="G22" i="8" s="1"/>
  <c r="F21" i="8"/>
  <c r="E23" i="8"/>
  <c r="G23" i="8" s="1"/>
  <c r="E24" i="8"/>
  <c r="G24" i="8" s="1"/>
  <c r="F25" i="8"/>
  <c r="E25" i="8"/>
  <c r="A63" i="8"/>
  <c r="E62" i="8"/>
  <c r="F62" i="8"/>
  <c r="BK17" i="13"/>
  <c r="BJ14" i="13"/>
  <c r="G45" i="20"/>
  <c r="G57" i="20"/>
  <c r="G26" i="20"/>
  <c r="J26" i="20" s="1"/>
  <c r="G30" i="20"/>
  <c r="J30" i="20" s="1"/>
  <c r="G25" i="20"/>
  <c r="J25" i="20" s="1"/>
  <c r="G18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20" i="8" l="1"/>
  <c r="G14" i="8"/>
  <c r="G11" i="8"/>
  <c r="G15" i="8"/>
  <c r="G6" i="8"/>
  <c r="G25" i="8"/>
  <c r="G13" i="8"/>
  <c r="G10" i="8"/>
  <c r="G12" i="20" s="1"/>
  <c r="G12" i="8"/>
  <c r="G5" i="8"/>
  <c r="G4" i="8"/>
  <c r="G62" i="8"/>
  <c r="A64" i="8"/>
  <c r="E63" i="8"/>
  <c r="G63" i="8" s="1"/>
  <c r="G43" i="20" s="1"/>
  <c r="J43" i="20" s="1"/>
  <c r="F63" i="8"/>
  <c r="G21" i="8"/>
  <c r="G9" i="20" s="1"/>
  <c r="J9" i="20" s="1"/>
  <c r="G3" i="8"/>
  <c r="G17" i="20"/>
  <c r="G19" i="20"/>
  <c r="G15" i="20"/>
  <c r="J15" i="20" s="1"/>
  <c r="G13" i="20"/>
  <c r="G60" i="20"/>
  <c r="G6" i="20"/>
  <c r="BK16" i="13"/>
  <c r="BJ16" i="13"/>
  <c r="BL17" i="13"/>
  <c r="G50" i="20"/>
  <c r="J50" i="20" s="1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A65" i="8" l="1"/>
  <c r="E64" i="8"/>
  <c r="F64" i="8"/>
  <c r="C12" i="13"/>
  <c r="C14" i="13" s="1"/>
  <c r="C20" i="15" s="1"/>
  <c r="BL14" i="13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E65" i="8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G58" i="20" s="1"/>
  <c r="A67" i="8"/>
  <c r="E66" i="8"/>
  <c r="G66" i="8" s="1"/>
  <c r="F66" i="8"/>
  <c r="BO17" i="13"/>
  <c r="BN14" i="13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A68" i="8" l="1"/>
  <c r="E67" i="8"/>
  <c r="F67" i="8"/>
  <c r="BN16" i="13"/>
  <c r="BP17" i="13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67" i="8" l="1"/>
  <c r="A69" i="8"/>
  <c r="E68" i="8"/>
  <c r="F68" i="8"/>
  <c r="BO16" i="13"/>
  <c r="BR15" i="13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G68" i="8" l="1"/>
  <c r="A70" i="8"/>
  <c r="E69" i="8"/>
  <c r="F69" i="8"/>
  <c r="G44" i="20"/>
  <c r="J44" i="20" s="1"/>
  <c r="BR17" i="13"/>
  <c r="BS15" i="13"/>
  <c r="G23" i="20"/>
  <c r="J23" i="20" s="1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69" i="8" l="1"/>
  <c r="A71" i="8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G21" i="20"/>
  <c r="G8" i="20"/>
  <c r="J8" i="20" s="1"/>
  <c r="X3" i="13"/>
  <c r="BV4" i="13"/>
  <c r="G70" i="8" l="1"/>
  <c r="A72" i="8"/>
  <c r="E71" i="8"/>
  <c r="F71" i="8"/>
  <c r="BU15" i="13"/>
  <c r="BS14" i="13"/>
  <c r="BS12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G22" i="20"/>
  <c r="Y3" i="13"/>
  <c r="BW4" i="13"/>
  <c r="G71" i="8" l="1"/>
  <c r="G48" i="20" s="1"/>
  <c r="A73" i="8"/>
  <c r="E72" i="8"/>
  <c r="F72" i="8"/>
  <c r="BS16" i="13"/>
  <c r="BU17" i="13"/>
  <c r="BU8" i="13"/>
  <c r="BU14" i="13" s="1"/>
  <c r="BV17" i="13"/>
  <c r="BT14" i="13"/>
  <c r="BT12" i="13"/>
  <c r="BT11" i="13"/>
  <c r="BT10" i="13"/>
  <c r="BV7" i="13"/>
  <c r="Y27" i="13"/>
  <c r="Y28" i="13" s="1"/>
  <c r="Y25" i="13"/>
  <c r="BW5" i="13"/>
  <c r="BW13" i="13" s="1"/>
  <c r="BW6" i="13"/>
  <c r="BW15" i="13" s="1"/>
  <c r="G49" i="20"/>
  <c r="Z3" i="13"/>
  <c r="BX4" i="13"/>
  <c r="G72" i="8" l="1"/>
  <c r="A74" i="8"/>
  <c r="E73" i="8"/>
  <c r="F73" i="8"/>
  <c r="BW17" i="13"/>
  <c r="BV8" i="13"/>
  <c r="BU12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G54" i="20"/>
  <c r="G52" i="20"/>
  <c r="AA3" i="13"/>
  <c r="BY4" i="13"/>
  <c r="G73" i="8" l="1"/>
  <c r="A75" i="8"/>
  <c r="E74" i="8"/>
  <c r="F74" i="8"/>
  <c r="BX17" i="13"/>
  <c r="BW8" i="13"/>
  <c r="BV10" i="13"/>
  <c r="BV12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G74" i="8" l="1"/>
  <c r="A76" i="8"/>
  <c r="E75" i="8"/>
  <c r="F75" i="8"/>
  <c r="BY17" i="13"/>
  <c r="BX14" i="13"/>
  <c r="BW11" i="13"/>
  <c r="BX11" i="13" s="1"/>
  <c r="BW12" i="13"/>
  <c r="BX12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G53" i="20" s="1"/>
  <c r="J53" i="20" s="1"/>
  <c r="A77" i="8"/>
  <c r="E76" i="8"/>
  <c r="F76" i="8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G7" i="20"/>
  <c r="AD3" i="13"/>
  <c r="CB4" i="13"/>
  <c r="G76" i="8" l="1"/>
  <c r="A78" i="8"/>
  <c r="E77" i="8"/>
  <c r="F77" i="8"/>
  <c r="CA17" i="13"/>
  <c r="BZ8" i="13"/>
  <c r="BY12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CD17" i="13" l="1"/>
  <c r="CC17" i="13"/>
  <c r="CB17" i="13"/>
  <c r="G77" i="8"/>
  <c r="A79" i="8"/>
  <c r="E78" i="8"/>
  <c r="F78" i="8"/>
  <c r="CA8" i="13"/>
  <c r="CA14" i="13" s="1"/>
  <c r="CB8" i="13"/>
  <c r="CC14" i="13" s="1"/>
  <c r="CE16" i="13" s="1"/>
  <c r="BZ11" i="13"/>
  <c r="BZ12" i="13"/>
  <c r="BZ14" i="13"/>
  <c r="BZ10" i="13"/>
  <c r="BY16" i="13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CC8" i="13" l="1"/>
  <c r="CD14" i="13" s="1"/>
  <c r="CF16" i="13" s="1"/>
  <c r="CA11" i="13"/>
  <c r="CB11" i="13" s="1"/>
  <c r="CC11" i="13" s="1"/>
  <c r="G78" i="8"/>
  <c r="CA12" i="13"/>
  <c r="CB12" i="13" s="1"/>
  <c r="CC12" i="13" s="1"/>
  <c r="A80" i="8"/>
  <c r="E79" i="8"/>
  <c r="F79" i="8"/>
  <c r="CJ8" i="13"/>
  <c r="CK14" i="13" s="1"/>
  <c r="CM16" i="13" s="1"/>
  <c r="CH8" i="13"/>
  <c r="CI14" i="13" s="1"/>
  <c r="CK16" i="13" s="1"/>
  <c r="CF8" i="13"/>
  <c r="CG14" i="13" s="1"/>
  <c r="CI16" i="13" s="1"/>
  <c r="CI8" i="13"/>
  <c r="CJ14" i="13" s="1"/>
  <c r="CL16" i="13" s="1"/>
  <c r="CE8" i="13"/>
  <c r="CF14" i="13" s="1"/>
  <c r="CH16" i="13" s="1"/>
  <c r="CB14" i="13"/>
  <c r="CD16" i="13" s="1"/>
  <c r="CD8" i="13"/>
  <c r="CE14" i="13" s="1"/>
  <c r="CG16" i="13" s="1"/>
  <c r="CA10" i="13"/>
  <c r="CB10" i="13" s="1"/>
  <c r="CC10" i="13" s="1"/>
  <c r="CG8" i="13"/>
  <c r="CH14" i="13" s="1"/>
  <c r="CJ16" i="13" s="1"/>
  <c r="CK8" i="13"/>
  <c r="CL14" i="13" s="1"/>
  <c r="CN16" i="13" s="1"/>
  <c r="BZ16" i="13"/>
  <c r="CA16" i="13"/>
  <c r="CM14" i="13"/>
  <c r="CO16" i="13" s="1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CD10" i="13" l="1"/>
  <c r="CE10" i="13" s="1"/>
  <c r="CF10" i="13" s="1"/>
  <c r="CG10" i="13" s="1"/>
  <c r="CH10" i="13" s="1"/>
  <c r="CI10" i="13" s="1"/>
  <c r="CJ10" i="13" s="1"/>
  <c r="CK10" i="13" s="1"/>
  <c r="CL10" i="13" s="1"/>
  <c r="G79" i="8"/>
  <c r="E80" i="8"/>
  <c r="A81" i="8"/>
  <c r="F80" i="8"/>
  <c r="CD11" i="13"/>
  <c r="CE11" i="13" s="1"/>
  <c r="CF11" i="13" s="1"/>
  <c r="CG11" i="13" s="1"/>
  <c r="CH11" i="13" s="1"/>
  <c r="CI11" i="13" s="1"/>
  <c r="CJ11" i="13" s="1"/>
  <c r="CK11" i="13" s="1"/>
  <c r="CL11" i="13" s="1"/>
  <c r="CB16" i="13"/>
  <c r="CC16" i="13"/>
  <c r="CD12" i="13"/>
  <c r="CE12" i="13" s="1"/>
  <c r="CF12" i="13" s="1"/>
  <c r="CG12" i="13" s="1"/>
  <c r="CH12" i="13" s="1"/>
  <c r="CI12" i="13" s="1"/>
  <c r="CJ12" i="13" s="1"/>
  <c r="CK12" i="13" s="1"/>
  <c r="CL12" i="13" s="1"/>
  <c r="CN14" i="13"/>
  <c r="CP16" i="13" s="1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G80" i="8" l="1"/>
  <c r="G35" i="20" s="1"/>
  <c r="E81" i="8"/>
  <c r="A82" i="8"/>
  <c r="F81" i="8"/>
  <c r="CO14" i="13"/>
  <c r="CQ16" i="13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E82" i="8" l="1"/>
  <c r="A83" i="8"/>
  <c r="F82" i="8"/>
  <c r="G81" i="8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20" i="20"/>
  <c r="J20" i="20" s="1"/>
  <c r="AJ3" i="13"/>
  <c r="CH4" i="13"/>
  <c r="E83" i="8" l="1"/>
  <c r="A84" i="8"/>
  <c r="F83" i="8"/>
  <c r="G82" i="8"/>
  <c r="G34" i="20" s="1"/>
  <c r="CP14" i="13"/>
  <c r="CR16" i="13" s="1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E84" i="8" l="1"/>
  <c r="A85" i="8"/>
  <c r="F84" i="8"/>
  <c r="G83" i="8"/>
  <c r="G38" i="20" s="1"/>
  <c r="CQ14" i="13"/>
  <c r="CS16" i="13" s="1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A86" i="8" l="1"/>
  <c r="E85" i="8"/>
  <c r="F85" i="8"/>
  <c r="G84" i="8"/>
  <c r="CR14" i="13"/>
  <c r="CT16" i="13" s="1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G85" i="8" l="1"/>
  <c r="G42" i="20" s="1"/>
  <c r="J42" i="20" s="1"/>
  <c r="A87" i="8"/>
  <c r="E86" i="8"/>
  <c r="F86" i="8"/>
  <c r="CS14" i="13"/>
  <c r="CU16" i="13" s="1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6" i="8" l="1"/>
  <c r="A88" i="8"/>
  <c r="E87" i="8"/>
  <c r="F87" i="8"/>
  <c r="CT14" i="13"/>
  <c r="CV16" i="13" s="1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7" i="8" l="1"/>
  <c r="E88" i="8"/>
  <c r="A89" i="8"/>
  <c r="F88" i="8"/>
  <c r="CU14" i="13"/>
  <c r="CW16" i="13" s="1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E89" i="8" l="1"/>
  <c r="A90" i="8"/>
  <c r="F89" i="8"/>
  <c r="G88" i="8"/>
  <c r="CV14" i="13"/>
  <c r="CX16" i="13" s="1"/>
  <c r="CW14" i="13"/>
  <c r="CY16" i="13" s="1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E90" i="8" l="1"/>
  <c r="A91" i="8"/>
  <c r="F90" i="8"/>
  <c r="G89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CX14" i="13"/>
  <c r="CZ16" i="13" s="1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G55" i="20"/>
  <c r="J55" i="20" s="1"/>
  <c r="CY14" i="13"/>
  <c r="DA16" i="13" s="1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A94" i="8" l="1"/>
  <c r="E93" i="8"/>
  <c r="F93" i="8"/>
  <c r="G92" i="8"/>
  <c r="CZ14" i="13"/>
  <c r="DB16" i="13" s="1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G93" i="8" l="1"/>
  <c r="G36" i="20" s="1"/>
  <c r="A95" i="8"/>
  <c r="E94" i="8"/>
  <c r="F94" i="8"/>
  <c r="DA14" i="13"/>
  <c r="DC16" i="13" s="1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G95" i="8" s="1"/>
  <c r="F95" i="8"/>
  <c r="DB14" i="13"/>
  <c r="DD16" i="13" s="1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A97" i="8" l="1"/>
  <c r="E96" i="8"/>
  <c r="F96" i="8"/>
  <c r="DC14" i="13"/>
  <c r="DE16" i="13" s="1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6" i="8" l="1"/>
  <c r="A98" i="8"/>
  <c r="E97" i="8"/>
  <c r="F97" i="8"/>
  <c r="DD14" i="13"/>
  <c r="DF16" i="13" s="1"/>
  <c r="DE14" i="13"/>
  <c r="DG16" i="13" s="1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G97" i="8" l="1"/>
  <c r="A99" i="8"/>
  <c r="E98" i="8"/>
  <c r="F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G98" i="8" l="1"/>
  <c r="A100" i="8"/>
  <c r="E99" i="8"/>
  <c r="F99" i="8"/>
  <c r="DF14" i="13"/>
  <c r="DH16" i="13" s="1"/>
  <c r="DG14" i="13"/>
  <c r="DI16" i="13" s="1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G99" i="8" l="1"/>
  <c r="A101" i="8"/>
  <c r="E100" i="8"/>
  <c r="F100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G100" i="8" l="1"/>
  <c r="G51" i="20" s="1"/>
  <c r="J51" i="20" s="1"/>
  <c r="A102" i="8"/>
  <c r="E101" i="8"/>
  <c r="F101" i="8"/>
  <c r="DH14" i="13"/>
  <c r="DJ16" i="13" s="1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1" i="8" l="1"/>
  <c r="A103" i="8"/>
  <c r="E102" i="8"/>
  <c r="F102" i="8"/>
  <c r="DI14" i="13"/>
  <c r="DK16" i="13" s="1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F103" i="8"/>
  <c r="DJ14" i="13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G103" i="8" l="1"/>
  <c r="A105" i="8"/>
  <c r="E104" i="8"/>
  <c r="F104" i="8"/>
  <c r="DK14" i="13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G104" i="8" l="1"/>
  <c r="A106" i="8"/>
  <c r="E105" i="8"/>
  <c r="F105" i="8"/>
  <c r="DL14" i="13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G105" i="8" l="1"/>
  <c r="A107" i="8"/>
  <c r="E106" i="8"/>
  <c r="F106" i="8"/>
  <c r="DM14" i="13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G106" i="8" l="1"/>
  <c r="A108" i="8"/>
  <c r="E107" i="8"/>
  <c r="F107" i="8"/>
  <c r="DN14" i="13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G107" i="8" l="1"/>
  <c r="A109" i="8"/>
  <c r="E108" i="8"/>
  <c r="F108" i="8"/>
  <c r="DO14" i="13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G108" i="8" l="1"/>
  <c r="A110" i="8"/>
  <c r="E109" i="8"/>
  <c r="F109" i="8"/>
  <c r="DP14" i="13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G109" i="8" l="1"/>
  <c r="A111" i="8"/>
  <c r="E110" i="8"/>
  <c r="F110" i="8"/>
  <c r="DR14" i="13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F111" i="8"/>
  <c r="DQ11" i="13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G111" i="8" l="1"/>
  <c r="A113" i="8"/>
  <c r="E112" i="8"/>
  <c r="F112" i="8"/>
  <c r="DS14" i="13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3" i="8"/>
  <c r="F113" i="8"/>
  <c r="DT14" i="13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G113" i="8" l="1"/>
  <c r="DT11" i="13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6" i="20"/>
  <c r="J16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11" i="20"/>
  <c r="J11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I9" i="13" s="1"/>
  <c r="AG20" i="13"/>
  <c r="AG26" i="13" s="1"/>
  <c r="BG23" i="13"/>
  <c r="BG22" i="13"/>
  <c r="BG21" i="13"/>
  <c r="HP25" i="13"/>
  <c r="HP27" i="13"/>
  <c r="HP28" i="13" s="1"/>
  <c r="HQ3" i="13"/>
  <c r="AH20" i="13" l="1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7" i="20"/>
  <c r="D7" i="20"/>
  <c r="E7" i="20" s="1"/>
  <c r="M60" i="20"/>
  <c r="D60" i="20"/>
  <c r="E60" i="20" s="1"/>
  <c r="D17" i="20"/>
  <c r="E17" i="20" s="1"/>
  <c r="M17" i="20"/>
  <c r="D36" i="20"/>
  <c r="E36" i="20" s="1"/>
  <c r="M36" i="20"/>
  <c r="D52" i="20"/>
  <c r="E52" i="20" s="1"/>
  <c r="M52" i="20"/>
  <c r="M21" i="20"/>
  <c r="D21" i="20"/>
  <c r="E21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2" i="20"/>
  <c r="E12" i="20" s="1"/>
  <c r="M12" i="20"/>
  <c r="D4" i="20"/>
  <c r="E4" i="20" s="1"/>
  <c r="M4" i="20"/>
  <c r="M19" i="20"/>
  <c r="D19" i="20"/>
  <c r="E19" i="20" s="1"/>
  <c r="D45" i="20"/>
  <c r="E45" i="20" s="1"/>
  <c r="M45" i="20"/>
  <c r="D22" i="20"/>
  <c r="E22" i="20" s="1"/>
  <c r="M22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0" i="20"/>
  <c r="E10" i="20" s="1"/>
  <c r="M10" i="20"/>
  <c r="M34" i="20"/>
  <c r="D34" i="20"/>
  <c r="E34" i="20" s="1"/>
  <c r="D18" i="20"/>
  <c r="E18" i="20" s="1"/>
  <c r="M18" i="20"/>
  <c r="M49" i="20"/>
  <c r="D49" i="20"/>
  <c r="E49" i="20" s="1"/>
  <c r="M14" i="20"/>
  <c r="D14" i="20"/>
  <c r="E14" i="20" s="1"/>
  <c r="D48" i="20"/>
  <c r="E48" i="20" s="1"/>
  <c r="M48" i="20"/>
  <c r="M29" i="20"/>
  <c r="D29" i="20"/>
  <c r="E29" i="20" s="1"/>
  <c r="M61" i="20"/>
  <c r="D61" i="20"/>
  <c r="E61" i="20" s="1"/>
  <c r="D6" i="20"/>
  <c r="E6" i="20" s="1"/>
  <c r="M6" i="20"/>
  <c r="D54" i="20"/>
  <c r="E54" i="20" s="1"/>
  <c r="M54" i="20"/>
  <c r="M40" i="20"/>
  <c r="D40" i="20"/>
  <c r="E40" i="20" s="1"/>
  <c r="D13" i="20"/>
  <c r="E13" i="20" s="1"/>
  <c r="M13" i="20"/>
  <c r="BG20" i="13" l="1"/>
  <c r="BG26" i="13" s="1"/>
  <c r="BH9" i="13"/>
  <c r="CG22" i="13"/>
  <c r="CG21" i="13"/>
  <c r="CG23" i="13"/>
  <c r="J7" i="20"/>
  <c r="J32" i="20"/>
  <c r="J13" i="20"/>
  <c r="J59" i="20"/>
  <c r="J40" i="20"/>
  <c r="J35" i="20"/>
  <c r="J36" i="20"/>
  <c r="J58" i="20"/>
  <c r="J54" i="20"/>
  <c r="J21" i="20"/>
  <c r="J60" i="20"/>
  <c r="J4" i="20"/>
  <c r="J10" i="20"/>
  <c r="J57" i="20"/>
  <c r="J6" i="20"/>
  <c r="J22" i="20"/>
  <c r="J48" i="20"/>
  <c r="J12" i="20"/>
  <c r="J18" i="20"/>
  <c r="J38" i="20"/>
  <c r="J45" i="20"/>
  <c r="J14" i="20"/>
  <c r="J46" i="20"/>
  <c r="J61" i="20"/>
  <c r="J49" i="20"/>
  <c r="J52" i="20"/>
  <c r="J29" i="20"/>
  <c r="J41" i="20"/>
  <c r="J34" i="20"/>
  <c r="J31" i="20"/>
  <c r="J19" i="20"/>
  <c r="J27" i="20"/>
  <c r="J17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BY9" i="13" l="1"/>
  <c r="BX20" i="13"/>
  <c r="BX26" i="13" s="1"/>
  <c r="CX22" i="13"/>
  <c r="CX21" i="13"/>
  <c r="CX23" i="13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CE9" i="13" l="1"/>
  <c r="CD20" i="13"/>
  <c r="CD26" i="13" s="1"/>
  <c r="DD23" i="13"/>
  <c r="DD21" i="13"/>
  <c r="DD22" i="13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F85" i="23"/>
  <c r="E85" i="23"/>
  <c r="G85" i="23"/>
  <c r="E84" i="23"/>
  <c r="F84" i="23"/>
  <c r="G84" i="23"/>
  <c r="E83" i="23"/>
  <c r="F83" i="23"/>
  <c r="G83" i="23"/>
  <c r="H64" i="20"/>
  <c r="E82" i="23"/>
  <c r="F82" i="23"/>
  <c r="G82" i="23"/>
  <c r="E81" i="23"/>
  <c r="F81" i="23"/>
  <c r="G81" i="23"/>
  <c r="H66" i="20"/>
  <c r="F80" i="23"/>
  <c r="E80" i="23"/>
  <c r="G80" i="23"/>
  <c r="H23" i="20"/>
  <c r="E79" i="23"/>
  <c r="F79" i="23"/>
  <c r="G79" i="23"/>
  <c r="H52" i="20"/>
  <c r="E78" i="23"/>
  <c r="F78" i="23"/>
  <c r="G78" i="23"/>
  <c r="H63" i="20"/>
  <c r="F77" i="23"/>
  <c r="E77" i="23"/>
  <c r="G77" i="23"/>
  <c r="E76" i="23"/>
  <c r="F76" i="23"/>
  <c r="G76" i="23"/>
  <c r="H54" i="20"/>
  <c r="E75" i="23"/>
  <c r="F75" i="23"/>
  <c r="G75" i="23"/>
  <c r="E74" i="23"/>
  <c r="F74" i="23"/>
  <c r="G74" i="23"/>
  <c r="H38" i="20"/>
  <c r="E72" i="23"/>
  <c r="F72" i="23"/>
  <c r="G72" i="23"/>
  <c r="F73" i="23"/>
  <c r="E73" i="23"/>
  <c r="G73" i="23"/>
  <c r="E71" i="23"/>
  <c r="F71" i="23"/>
  <c r="G71" i="23"/>
  <c r="F70" i="23"/>
  <c r="E70" i="23"/>
  <c r="G70" i="23"/>
  <c r="F69" i="23"/>
  <c r="E69" i="23"/>
  <c r="G69" i="23"/>
  <c r="F68" i="23"/>
  <c r="E68" i="23"/>
  <c r="G68" i="23"/>
  <c r="H35" i="20"/>
  <c r="E67" i="23"/>
  <c r="F67" i="23"/>
  <c r="G67" i="23"/>
  <c r="E66" i="23"/>
  <c r="F66" i="23"/>
  <c r="G66" i="23"/>
  <c r="H25" i="20"/>
  <c r="F65" i="23"/>
  <c r="E65" i="23"/>
  <c r="G65" i="23"/>
  <c r="H49" i="20"/>
  <c r="E64" i="23"/>
  <c r="F64" i="23"/>
  <c r="G64" i="23"/>
  <c r="H37" i="20"/>
  <c r="F63" i="23"/>
  <c r="E63" i="23"/>
  <c r="G63" i="23"/>
  <c r="H4" i="20"/>
  <c r="E62" i="23"/>
  <c r="F62" i="23"/>
  <c r="G62" i="23"/>
  <c r="E61" i="23"/>
  <c r="F61" i="23"/>
  <c r="G61" i="23"/>
  <c r="H29" i="20"/>
  <c r="F60" i="23"/>
  <c r="E60" i="23"/>
  <c r="G60" i="23"/>
  <c r="H65" i="20"/>
  <c r="F59" i="23"/>
  <c r="E59" i="23"/>
  <c r="G59" i="23"/>
  <c r="E58" i="23"/>
  <c r="F58" i="23"/>
  <c r="G58" i="23"/>
  <c r="H26" i="20"/>
  <c r="E56" i="23"/>
  <c r="F56" i="23"/>
  <c r="G56" i="23"/>
  <c r="H24" i="20"/>
  <c r="E57" i="23"/>
  <c r="F57" i="23"/>
  <c r="G57" i="23"/>
  <c r="H51" i="20"/>
  <c r="E55" i="23"/>
  <c r="F55" i="23"/>
  <c r="G55" i="23"/>
  <c r="H31" i="20"/>
  <c r="E54" i="23"/>
  <c r="F54" i="23"/>
  <c r="G54" i="23"/>
  <c r="E53" i="23"/>
  <c r="F53" i="23"/>
  <c r="G53" i="23"/>
  <c r="E52" i="23"/>
  <c r="F52" i="23"/>
  <c r="G52" i="23"/>
  <c r="E51" i="23"/>
  <c r="F51" i="23"/>
  <c r="G51" i="23"/>
  <c r="H33" i="20"/>
  <c r="F50" i="23"/>
  <c r="E50" i="23"/>
  <c r="G50" i="23"/>
  <c r="H28" i="20"/>
  <c r="F49" i="23"/>
  <c r="E49" i="23"/>
  <c r="G49" i="23"/>
  <c r="E48" i="23"/>
  <c r="F48" i="23"/>
  <c r="G48" i="23"/>
  <c r="F47" i="23"/>
  <c r="E47" i="23"/>
  <c r="G47" i="23"/>
  <c r="E46" i="23"/>
  <c r="F46" i="23"/>
  <c r="G46" i="23"/>
  <c r="H21" i="20"/>
  <c r="E45" i="23"/>
  <c r="F45" i="23"/>
  <c r="G45" i="23"/>
  <c r="H48" i="20"/>
  <c r="E44" i="23"/>
  <c r="F44" i="23"/>
  <c r="G44" i="23"/>
  <c r="H45" i="20"/>
  <c r="F43" i="23"/>
  <c r="E43" i="23"/>
  <c r="G43" i="23"/>
  <c r="H41" i="20"/>
  <c r="E42" i="23"/>
  <c r="F42" i="23"/>
  <c r="G42" i="23"/>
  <c r="H47" i="20"/>
  <c r="E41" i="23"/>
  <c r="F41" i="23"/>
  <c r="G41" i="23"/>
  <c r="H57" i="20"/>
  <c r="E40" i="23"/>
  <c r="F40" i="23"/>
  <c r="G40" i="23"/>
  <c r="H44" i="20"/>
  <c r="E39" i="23"/>
  <c r="F39" i="23"/>
  <c r="G39" i="23"/>
  <c r="E38" i="23"/>
  <c r="F38" i="23"/>
  <c r="G38" i="23"/>
  <c r="H5" i="20"/>
  <c r="F37" i="23"/>
  <c r="E37" i="23"/>
  <c r="G37" i="23"/>
  <c r="H30" i="20"/>
  <c r="E36" i="23"/>
  <c r="F36" i="23"/>
  <c r="G36" i="23"/>
  <c r="E35" i="23"/>
  <c r="F35" i="23"/>
  <c r="G35" i="23"/>
  <c r="H32" i="20"/>
  <c r="E34" i="23"/>
  <c r="F34" i="23"/>
  <c r="G34" i="23"/>
  <c r="H27" i="20"/>
  <c r="E33" i="23"/>
  <c r="F33" i="23"/>
  <c r="G33" i="23"/>
  <c r="H18" i="20"/>
  <c r="E31" i="23"/>
  <c r="F31" i="23"/>
  <c r="G31" i="23"/>
  <c r="H11" i="20"/>
  <c r="E32" i="23"/>
  <c r="F32" i="23"/>
  <c r="G32" i="23"/>
  <c r="H50" i="20"/>
  <c r="E30" i="23"/>
  <c r="F30" i="23"/>
  <c r="G30" i="23"/>
  <c r="H16" i="20"/>
  <c r="E29" i="23"/>
  <c r="F29" i="23"/>
  <c r="G29" i="23"/>
  <c r="E28" i="23"/>
  <c r="F28" i="23"/>
  <c r="G28" i="23"/>
  <c r="H8" i="20"/>
  <c r="E27" i="23"/>
  <c r="F27" i="23"/>
  <c r="G27" i="23"/>
  <c r="H20" i="20"/>
  <c r="E26" i="23"/>
  <c r="F26" i="23"/>
  <c r="G26" i="23"/>
  <c r="H14" i="20"/>
  <c r="E25" i="23"/>
  <c r="F25" i="23"/>
  <c r="G25" i="23"/>
  <c r="E24" i="23"/>
  <c r="F24" i="23"/>
  <c r="G24" i="23"/>
  <c r="H46" i="20"/>
  <c r="E23" i="23"/>
  <c r="F23" i="23"/>
  <c r="G23" i="23"/>
  <c r="H10" i="20"/>
  <c r="E22" i="23"/>
  <c r="F22" i="23"/>
  <c r="G22" i="23"/>
  <c r="E21" i="23"/>
  <c r="F21" i="23"/>
  <c r="G21" i="23"/>
  <c r="H15" i="20"/>
  <c r="E20" i="23"/>
  <c r="F20" i="23"/>
  <c r="G20" i="23"/>
  <c r="E19" i="23"/>
  <c r="F19" i="23"/>
  <c r="G19" i="23"/>
  <c r="H9" i="20"/>
  <c r="E11" i="23"/>
  <c r="F11" i="23"/>
  <c r="G11" i="23"/>
  <c r="H13" i="20"/>
  <c r="E18" i="23"/>
  <c r="F18" i="23"/>
  <c r="G18" i="23"/>
  <c r="H17" i="20"/>
  <c r="E10" i="23"/>
  <c r="F10" i="23"/>
  <c r="G10" i="23"/>
  <c r="H60" i="20"/>
  <c r="E17" i="23"/>
  <c r="F17" i="23"/>
  <c r="G17" i="23"/>
  <c r="E16" i="23"/>
  <c r="F16" i="23"/>
  <c r="G16" i="23"/>
  <c r="H56" i="20"/>
  <c r="E15" i="23"/>
  <c r="F15" i="23"/>
  <c r="G15" i="23"/>
  <c r="E9" i="23"/>
  <c r="F9" i="23"/>
  <c r="G9" i="23"/>
  <c r="H6" i="20"/>
  <c r="E14" i="23"/>
  <c r="F14" i="23"/>
  <c r="G14" i="23"/>
  <c r="E8" i="23"/>
  <c r="F8" i="23"/>
  <c r="G8" i="23"/>
  <c r="H12" i="20"/>
  <c r="E7" i="23"/>
  <c r="F7" i="23"/>
  <c r="G7" i="23"/>
  <c r="H7" i="20"/>
  <c r="E13" i="23"/>
  <c r="F13" i="23"/>
  <c r="G13" i="23"/>
  <c r="F6" i="23"/>
  <c r="E6" i="23"/>
  <c r="G6" i="23"/>
  <c r="H19" i="20"/>
  <c r="E5" i="23"/>
  <c r="F5" i="23"/>
  <c r="G5" i="23"/>
  <c r="H22" i="20"/>
  <c r="E12" i="23"/>
  <c r="F12" i="23"/>
  <c r="G12" i="23"/>
</calcChain>
</file>

<file path=xl/sharedStrings.xml><?xml version="1.0" encoding="utf-8"?>
<sst xmlns="http://schemas.openxmlformats.org/spreadsheetml/2006/main" count="2628" uniqueCount="626">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</sst>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3" fillId="4" borderId="17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center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right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34227.157800000001</c:v>
                </c:pt>
                <c:pt idx="74">
                  <c:v>37649.873580000007</c:v>
                </c:pt>
                <c:pt idx="75">
                  <c:v>41414.860938000013</c:v>
                </c:pt>
                <c:pt idx="76">
                  <c:v>45556.347031800011</c:v>
                </c:pt>
                <c:pt idx="77">
                  <c:v>50111.981734980014</c:v>
                </c:pt>
                <c:pt idx="78">
                  <c:v>55123.179908478029</c:v>
                </c:pt>
                <c:pt idx="79">
                  <c:v>60635.497899325834</c:v>
                </c:pt>
                <c:pt idx="80">
                  <c:v>66699.047689258427</c:v>
                </c:pt>
                <c:pt idx="81">
                  <c:v>73368.952458184271</c:v>
                </c:pt>
                <c:pt idx="82">
                  <c:v>80705.847704002706</c:v>
                </c:pt>
                <c:pt idx="83">
                  <c:v>88776.432474402973</c:v>
                </c:pt>
                <c:pt idx="84">
                  <c:v>97654.075721843285</c:v>
                </c:pt>
                <c:pt idx="85">
                  <c:v>107419.48329402762</c:v>
                </c:pt>
                <c:pt idx="86">
                  <c:v>118161.43162343038</c:v>
                </c:pt>
                <c:pt idx="87">
                  <c:v>129977.57478577342</c:v>
                </c:pt>
                <c:pt idx="88">
                  <c:v>142975.33226435079</c:v>
                </c:pt>
                <c:pt idx="89">
                  <c:v>157272.86549078586</c:v>
                </c:pt>
                <c:pt idx="90">
                  <c:v>173000.15203986445</c:v>
                </c:pt>
                <c:pt idx="91">
                  <c:v>190300.16724385091</c:v>
                </c:pt>
                <c:pt idx="92">
                  <c:v>209330.18396823603</c:v>
                </c:pt>
                <c:pt idx="93">
                  <c:v>230263.20236505964</c:v>
                </c:pt>
                <c:pt idx="94">
                  <c:v>253289.52260156561</c:v>
                </c:pt>
                <c:pt idx="95">
                  <c:v>278618.47486172221</c:v>
                </c:pt>
                <c:pt idx="96">
                  <c:v>306480.32234789443</c:v>
                </c:pt>
                <c:pt idx="97">
                  <c:v>337128.35458268388</c:v>
                </c:pt>
                <c:pt idx="98">
                  <c:v>370841.19004095229</c:v>
                </c:pt>
                <c:pt idx="99">
                  <c:v>407925.30904504756</c:v>
                </c:pt>
                <c:pt idx="100">
                  <c:v>448717.83994955238</c:v>
                </c:pt>
                <c:pt idx="101">
                  <c:v>493589.62394450768</c:v>
                </c:pt>
                <c:pt idx="102">
                  <c:v>542948.58633895847</c:v>
                </c:pt>
                <c:pt idx="103">
                  <c:v>597243.44497285434</c:v>
                </c:pt>
                <c:pt idx="104">
                  <c:v>656967.78947013989</c:v>
                </c:pt>
                <c:pt idx="105">
                  <c:v>722664.56841715402</c:v>
                </c:pt>
                <c:pt idx="106">
                  <c:v>794931.0252588694</c:v>
                </c:pt>
                <c:pt idx="107">
                  <c:v>874424.12778475636</c:v>
                </c:pt>
                <c:pt idx="108">
                  <c:v>961866.54056323215</c:v>
                </c:pt>
                <c:pt idx="109">
                  <c:v>1058053.1946195555</c:v>
                </c:pt>
                <c:pt idx="110">
                  <c:v>1163858.5140815109</c:v>
                </c:pt>
                <c:pt idx="111">
                  <c:v>1280244.3654896622</c:v>
                </c:pt>
                <c:pt idx="112">
                  <c:v>1408268.8020386286</c:v>
                </c:pt>
                <c:pt idx="113">
                  <c:v>1549095.6822424917</c:v>
                </c:pt>
                <c:pt idx="114">
                  <c:v>1704005.2504667409</c:v>
                </c:pt>
                <c:pt idx="115">
                  <c:v>1874405.7755134152</c:v>
                </c:pt>
                <c:pt idx="116">
                  <c:v>2061846.3530647571</c:v>
                </c:pt>
                <c:pt idx="117">
                  <c:v>2268030.988371233</c:v>
                </c:pt>
                <c:pt idx="118">
                  <c:v>2494834.0872083567</c:v>
                </c:pt>
                <c:pt idx="119">
                  <c:v>2744317.4959291923</c:v>
                </c:pt>
                <c:pt idx="120">
                  <c:v>3018749.2455221117</c:v>
                </c:pt>
                <c:pt idx="121">
                  <c:v>3320624.1700743232</c:v>
                </c:pt>
                <c:pt idx="122">
                  <c:v>3652686.587081756</c:v>
                </c:pt>
                <c:pt idx="123">
                  <c:v>4017955.2457899316</c:v>
                </c:pt>
                <c:pt idx="124">
                  <c:v>4419750.7703689244</c:v>
                </c:pt>
                <c:pt idx="125">
                  <c:v>4861725.8474058183</c:v>
                </c:pt>
                <c:pt idx="126">
                  <c:v>5347898.4321464002</c:v>
                </c:pt>
                <c:pt idx="127">
                  <c:v>5882688.2753610397</c:v>
                </c:pt>
                <c:pt idx="128">
                  <c:v>6470957.1028971449</c:v>
                </c:pt>
                <c:pt idx="129">
                  <c:v>7118052.8131868606</c:v>
                </c:pt>
                <c:pt idx="130">
                  <c:v>7829858.0945055475</c:v>
                </c:pt>
                <c:pt idx="131">
                  <c:v>8612843.9039561022</c:v>
                </c:pt>
                <c:pt idx="132">
                  <c:v>9474128.2943517119</c:v>
                </c:pt>
                <c:pt idx="133">
                  <c:v>10421541.123786885</c:v>
                </c:pt>
                <c:pt idx="134">
                  <c:v>11463695.236165574</c:v>
                </c:pt>
                <c:pt idx="135">
                  <c:v>12610064.759782132</c:v>
                </c:pt>
                <c:pt idx="136">
                  <c:v>13871071.235760346</c:v>
                </c:pt>
                <c:pt idx="137">
                  <c:v>15258178.359336382</c:v>
                </c:pt>
                <c:pt idx="138">
                  <c:v>16783996.195270021</c:v>
                </c:pt>
                <c:pt idx="139">
                  <c:v>18462395.814797025</c:v>
                </c:pt>
                <c:pt idx="140">
                  <c:v>20308635.396276731</c:v>
                </c:pt>
                <c:pt idx="141">
                  <c:v>22339498.935904406</c:v>
                </c:pt>
                <c:pt idx="142">
                  <c:v>24573448.829494845</c:v>
                </c:pt>
                <c:pt idx="143">
                  <c:v>27030793.712444335</c:v>
                </c:pt>
                <c:pt idx="144">
                  <c:v>29733873.083688769</c:v>
                </c:pt>
                <c:pt idx="145">
                  <c:v>32707260.392057654</c:v>
                </c:pt>
                <c:pt idx="146">
                  <c:v>35977986.431263417</c:v>
                </c:pt>
                <c:pt idx="147">
                  <c:v>39575785.074389763</c:v>
                </c:pt>
                <c:pt idx="148">
                  <c:v>43533363.581828743</c:v>
                </c:pt>
                <c:pt idx="149">
                  <c:v>47886699.940011621</c:v>
                </c:pt>
                <c:pt idx="150">
                  <c:v>52675369.934012786</c:v>
                </c:pt>
                <c:pt idx="151">
                  <c:v>57942906.927414075</c:v>
                </c:pt>
                <c:pt idx="152">
                  <c:v>63737197.620155483</c:v>
                </c:pt>
                <c:pt idx="153">
                  <c:v>70110917.382171035</c:v>
                </c:pt>
                <c:pt idx="154">
                  <c:v>77122009.120388135</c:v>
                </c:pt>
                <c:pt idx="155">
                  <c:v>84834210.032426953</c:v>
                </c:pt>
                <c:pt idx="156">
                  <c:v>93317631.035669655</c:v>
                </c:pt>
                <c:pt idx="157">
                  <c:v>102649394.13923663</c:v>
                </c:pt>
                <c:pt idx="158">
                  <c:v>112914333.55316029</c:v>
                </c:pt>
                <c:pt idx="159">
                  <c:v>124205766.90847634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38894.497499999998</c:v>
                </c:pt>
                <c:pt idx="74">
                  <c:v>48618.121874999997</c:v>
                </c:pt>
                <c:pt idx="75">
                  <c:v>60772.65234375</c:v>
                </c:pt>
                <c:pt idx="76">
                  <c:v>75965.8154296875</c:v>
                </c:pt>
                <c:pt idx="77">
                  <c:v>94957.269287109375</c:v>
                </c:pt>
                <c:pt idx="78">
                  <c:v>118696.58660888672</c:v>
                </c:pt>
                <c:pt idx="79">
                  <c:v>148370.7332611084</c:v>
                </c:pt>
                <c:pt idx="80">
                  <c:v>185463.4165763855</c:v>
                </c:pt>
                <c:pt idx="81">
                  <c:v>231829.27072048187</c:v>
                </c:pt>
                <c:pt idx="82">
                  <c:v>289786.58840060234</c:v>
                </c:pt>
                <c:pt idx="83">
                  <c:v>362233.23550075293</c:v>
                </c:pt>
                <c:pt idx="84">
                  <c:v>452791.54437594116</c:v>
                </c:pt>
                <c:pt idx="85">
                  <c:v>565989.43046992645</c:v>
                </c:pt>
                <c:pt idx="86">
                  <c:v>707486.78808740806</c:v>
                </c:pt>
                <c:pt idx="87">
                  <c:v>884358.48510925996</c:v>
                </c:pt>
                <c:pt idx="88">
                  <c:v>1105448.1063865749</c:v>
                </c:pt>
                <c:pt idx="89">
                  <c:v>1381810.1329832186</c:v>
                </c:pt>
                <c:pt idx="90">
                  <c:v>1727262.6662290234</c:v>
                </c:pt>
                <c:pt idx="91">
                  <c:v>2159078.3327862793</c:v>
                </c:pt>
                <c:pt idx="92">
                  <c:v>2698847.915982849</c:v>
                </c:pt>
                <c:pt idx="93">
                  <c:v>3373559.894978561</c:v>
                </c:pt>
                <c:pt idx="94">
                  <c:v>4216949.8687232006</c:v>
                </c:pt>
                <c:pt idx="95">
                  <c:v>5271187.3359040003</c:v>
                </c:pt>
                <c:pt idx="96">
                  <c:v>6588984.1698800009</c:v>
                </c:pt>
                <c:pt idx="97">
                  <c:v>8236230.2123500016</c:v>
                </c:pt>
                <c:pt idx="98">
                  <c:v>10295287.765437501</c:v>
                </c:pt>
                <c:pt idx="99">
                  <c:v>12869109.706796875</c:v>
                </c:pt>
                <c:pt idx="100">
                  <c:v>16086387.133496094</c:v>
                </c:pt>
                <c:pt idx="101">
                  <c:v>20107983.916870117</c:v>
                </c:pt>
                <c:pt idx="102">
                  <c:v>25134979.896087646</c:v>
                </c:pt>
                <c:pt idx="103">
                  <c:v>31418724.870109558</c:v>
                </c:pt>
                <c:pt idx="104">
                  <c:v>39273406.087636948</c:v>
                </c:pt>
                <c:pt idx="105">
                  <c:v>49091757.609546185</c:v>
                </c:pt>
                <c:pt idx="106">
                  <c:v>61364697.011932738</c:v>
                </c:pt>
                <c:pt idx="107">
                  <c:v>76705871.264915913</c:v>
                </c:pt>
                <c:pt idx="108">
                  <c:v>95882339.081144899</c:v>
                </c:pt>
                <c:pt idx="109">
                  <c:v>119852923.85143113</c:v>
                </c:pt>
                <c:pt idx="110">
                  <c:v>129966436.99880001</c:v>
                </c:pt>
                <c:pt idx="111">
                  <c:v>129966436.99880001</c:v>
                </c:pt>
                <c:pt idx="112">
                  <c:v>129966436.99880001</c:v>
                </c:pt>
                <c:pt idx="113">
                  <c:v>129966436.99880001</c:v>
                </c:pt>
                <c:pt idx="114">
                  <c:v>129966436.99880001</c:v>
                </c:pt>
                <c:pt idx="115">
                  <c:v>129966436.99880001</c:v>
                </c:pt>
                <c:pt idx="116">
                  <c:v>129966436.99880001</c:v>
                </c:pt>
                <c:pt idx="117">
                  <c:v>129966436.99880001</c:v>
                </c:pt>
                <c:pt idx="118">
                  <c:v>129966436.99880001</c:v>
                </c:pt>
                <c:pt idx="119">
                  <c:v>129966436.99880001</c:v>
                </c:pt>
                <c:pt idx="120">
                  <c:v>129966436.99880001</c:v>
                </c:pt>
                <c:pt idx="121">
                  <c:v>129966436.99880001</c:v>
                </c:pt>
                <c:pt idx="122">
                  <c:v>129966436.99880001</c:v>
                </c:pt>
                <c:pt idx="123">
                  <c:v>129966436.99880001</c:v>
                </c:pt>
                <c:pt idx="124">
                  <c:v>129966436.99880001</c:v>
                </c:pt>
                <c:pt idx="125">
                  <c:v>129966436.99880001</c:v>
                </c:pt>
                <c:pt idx="126">
                  <c:v>129966436.99880001</c:v>
                </c:pt>
                <c:pt idx="127">
                  <c:v>129966436.99880001</c:v>
                </c:pt>
                <c:pt idx="128">
                  <c:v>129966436.99880001</c:v>
                </c:pt>
                <c:pt idx="129">
                  <c:v>129966436.99880001</c:v>
                </c:pt>
                <c:pt idx="130">
                  <c:v>129966436.99880001</c:v>
                </c:pt>
                <c:pt idx="131">
                  <c:v>129966436.99880001</c:v>
                </c:pt>
                <c:pt idx="132">
                  <c:v>129966436.99880001</c:v>
                </c:pt>
                <c:pt idx="133">
                  <c:v>129966436.99880001</c:v>
                </c:pt>
                <c:pt idx="134">
                  <c:v>129966436.99880001</c:v>
                </c:pt>
                <c:pt idx="135">
                  <c:v>129966436.99880001</c:v>
                </c:pt>
                <c:pt idx="136">
                  <c:v>129966436.99880001</c:v>
                </c:pt>
                <c:pt idx="137">
                  <c:v>129966436.99880001</c:v>
                </c:pt>
                <c:pt idx="138">
                  <c:v>129966436.99880001</c:v>
                </c:pt>
                <c:pt idx="139">
                  <c:v>129966436.99880001</c:v>
                </c:pt>
                <c:pt idx="140">
                  <c:v>129966436.99880001</c:v>
                </c:pt>
                <c:pt idx="141">
                  <c:v>129966436.99880001</c:v>
                </c:pt>
                <c:pt idx="142">
                  <c:v>129966436.99880001</c:v>
                </c:pt>
                <c:pt idx="143">
                  <c:v>129966436.99880001</c:v>
                </c:pt>
                <c:pt idx="144">
                  <c:v>129966436.99880001</c:v>
                </c:pt>
                <c:pt idx="145">
                  <c:v>129966436.99880001</c:v>
                </c:pt>
                <c:pt idx="146">
                  <c:v>129966436.99880001</c:v>
                </c:pt>
                <c:pt idx="147">
                  <c:v>129966436.99880001</c:v>
                </c:pt>
                <c:pt idx="148">
                  <c:v>129966436.99880001</c:v>
                </c:pt>
                <c:pt idx="149">
                  <c:v>129966436.99880001</c:v>
                </c:pt>
                <c:pt idx="150">
                  <c:v>129966436.99880001</c:v>
                </c:pt>
                <c:pt idx="151">
                  <c:v>129966436.99880001</c:v>
                </c:pt>
                <c:pt idx="152">
                  <c:v>129966436.99880001</c:v>
                </c:pt>
                <c:pt idx="153">
                  <c:v>129966436.99880001</c:v>
                </c:pt>
                <c:pt idx="154">
                  <c:v>129966436.99880001</c:v>
                </c:pt>
                <c:pt idx="155">
                  <c:v>129966436.99880001</c:v>
                </c:pt>
                <c:pt idx="156">
                  <c:v>129966436.99880001</c:v>
                </c:pt>
                <c:pt idx="157">
                  <c:v>129966436.99880001</c:v>
                </c:pt>
                <c:pt idx="158">
                  <c:v>129966436.99880001</c:v>
                </c:pt>
                <c:pt idx="159">
                  <c:v>129966436.99880001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43561.837200000002</c:v>
                </c:pt>
                <c:pt idx="74">
                  <c:v>60986.572079999998</c:v>
                </c:pt>
                <c:pt idx="75">
                  <c:v>85381.200912</c:v>
                </c:pt>
                <c:pt idx="76">
                  <c:v>119533.68127679998</c:v>
                </c:pt>
                <c:pt idx="77">
                  <c:v>167347.15378751996</c:v>
                </c:pt>
                <c:pt idx="78">
                  <c:v>234286.0153025279</c:v>
                </c:pt>
                <c:pt idx="79">
                  <c:v>328000.42142353905</c:v>
                </c:pt>
                <c:pt idx="80">
                  <c:v>459200.58999295469</c:v>
                </c:pt>
                <c:pt idx="81">
                  <c:v>642880.82599013648</c:v>
                </c:pt>
                <c:pt idx="82">
                  <c:v>900033.15638619103</c:v>
                </c:pt>
                <c:pt idx="83">
                  <c:v>1260046.4189406673</c:v>
                </c:pt>
                <c:pt idx="84">
                  <c:v>1764064.9865169341</c:v>
                </c:pt>
                <c:pt idx="85">
                  <c:v>2469690.9811237077</c:v>
                </c:pt>
                <c:pt idx="86">
                  <c:v>3457567.3735731905</c:v>
                </c:pt>
                <c:pt idx="87">
                  <c:v>4840594.323002466</c:v>
                </c:pt>
                <c:pt idx="88">
                  <c:v>6776832.0522034513</c:v>
                </c:pt>
                <c:pt idx="89">
                  <c:v>9487564.873084832</c:v>
                </c:pt>
                <c:pt idx="90">
                  <c:v>13282590.822318763</c:v>
                </c:pt>
                <c:pt idx="91">
                  <c:v>18595627.151246268</c:v>
                </c:pt>
                <c:pt idx="92">
                  <c:v>26033878.011744775</c:v>
                </c:pt>
                <c:pt idx="93">
                  <c:v>36447429.216442682</c:v>
                </c:pt>
                <c:pt idx="94">
                  <c:v>51026400.903019749</c:v>
                </c:pt>
                <c:pt idx="95">
                  <c:v>71436961.264227644</c:v>
                </c:pt>
                <c:pt idx="96">
                  <c:v>100011745.7699187</c:v>
                </c:pt>
                <c:pt idx="97">
                  <c:v>129966436.99880001</c:v>
                </c:pt>
                <c:pt idx="98">
                  <c:v>129966436.99880001</c:v>
                </c:pt>
                <c:pt idx="99">
                  <c:v>129966436.99880001</c:v>
                </c:pt>
                <c:pt idx="100">
                  <c:v>129966436.99880001</c:v>
                </c:pt>
                <c:pt idx="101">
                  <c:v>129966436.99880001</c:v>
                </c:pt>
                <c:pt idx="102">
                  <c:v>129966436.99880001</c:v>
                </c:pt>
                <c:pt idx="103">
                  <c:v>129966436.99880001</c:v>
                </c:pt>
                <c:pt idx="104">
                  <c:v>129966436.99880001</c:v>
                </c:pt>
                <c:pt idx="105">
                  <c:v>129966436.99880001</c:v>
                </c:pt>
                <c:pt idx="106">
                  <c:v>129966436.99880001</c:v>
                </c:pt>
                <c:pt idx="107">
                  <c:v>129966436.99880001</c:v>
                </c:pt>
                <c:pt idx="108">
                  <c:v>129966436.99880001</c:v>
                </c:pt>
                <c:pt idx="109">
                  <c:v>129966436.99880001</c:v>
                </c:pt>
                <c:pt idx="110">
                  <c:v>129966436.99880001</c:v>
                </c:pt>
                <c:pt idx="111">
                  <c:v>129966436.99880001</c:v>
                </c:pt>
                <c:pt idx="112">
                  <c:v>129966436.99880001</c:v>
                </c:pt>
                <c:pt idx="113">
                  <c:v>129966436.99880001</c:v>
                </c:pt>
                <c:pt idx="114">
                  <c:v>129966436.99880001</c:v>
                </c:pt>
                <c:pt idx="115">
                  <c:v>129966436.99880001</c:v>
                </c:pt>
                <c:pt idx="116">
                  <c:v>129966436.99880001</c:v>
                </c:pt>
                <c:pt idx="117">
                  <c:v>129966436.99880001</c:v>
                </c:pt>
                <c:pt idx="118">
                  <c:v>129966436.99880001</c:v>
                </c:pt>
                <c:pt idx="119">
                  <c:v>129966436.99880001</c:v>
                </c:pt>
                <c:pt idx="120">
                  <c:v>129966436.99880001</c:v>
                </c:pt>
                <c:pt idx="121">
                  <c:v>129966436.99880001</c:v>
                </c:pt>
                <c:pt idx="122">
                  <c:v>129966436.99880001</c:v>
                </c:pt>
                <c:pt idx="123">
                  <c:v>129966436.99880001</c:v>
                </c:pt>
                <c:pt idx="124">
                  <c:v>129966436.99880001</c:v>
                </c:pt>
                <c:pt idx="125">
                  <c:v>129966436.99880001</c:v>
                </c:pt>
                <c:pt idx="126">
                  <c:v>129966436.99880001</c:v>
                </c:pt>
                <c:pt idx="127">
                  <c:v>129966436.99880001</c:v>
                </c:pt>
                <c:pt idx="128">
                  <c:v>129966436.99880001</c:v>
                </c:pt>
                <c:pt idx="129">
                  <c:v>129966436.99880001</c:v>
                </c:pt>
                <c:pt idx="130">
                  <c:v>129966436.99880001</c:v>
                </c:pt>
                <c:pt idx="131">
                  <c:v>129966436.99880001</c:v>
                </c:pt>
                <c:pt idx="132">
                  <c:v>129966436.99880001</c:v>
                </c:pt>
                <c:pt idx="133">
                  <c:v>129966436.99880001</c:v>
                </c:pt>
                <c:pt idx="134">
                  <c:v>129966436.99880001</c:v>
                </c:pt>
                <c:pt idx="135">
                  <c:v>129966436.99880001</c:v>
                </c:pt>
                <c:pt idx="136">
                  <c:v>129966436.99880001</c:v>
                </c:pt>
                <c:pt idx="137">
                  <c:v>129966436.99880001</c:v>
                </c:pt>
                <c:pt idx="138">
                  <c:v>129966436.99880001</c:v>
                </c:pt>
                <c:pt idx="139">
                  <c:v>129966436.99880001</c:v>
                </c:pt>
                <c:pt idx="140">
                  <c:v>129966436.99880001</c:v>
                </c:pt>
                <c:pt idx="141">
                  <c:v>129966436.99880001</c:v>
                </c:pt>
                <c:pt idx="142">
                  <c:v>129966436.99880001</c:v>
                </c:pt>
                <c:pt idx="143">
                  <c:v>129966436.99880001</c:v>
                </c:pt>
                <c:pt idx="144">
                  <c:v>129966436.99880001</c:v>
                </c:pt>
                <c:pt idx="145">
                  <c:v>129966436.99880001</c:v>
                </c:pt>
                <c:pt idx="146">
                  <c:v>129966436.99880001</c:v>
                </c:pt>
                <c:pt idx="147">
                  <c:v>129966436.99880001</c:v>
                </c:pt>
                <c:pt idx="148">
                  <c:v>129966436.99880001</c:v>
                </c:pt>
                <c:pt idx="149">
                  <c:v>129966436.99880001</c:v>
                </c:pt>
                <c:pt idx="150">
                  <c:v>129966436.99880001</c:v>
                </c:pt>
                <c:pt idx="151">
                  <c:v>129966436.99880001</c:v>
                </c:pt>
                <c:pt idx="152">
                  <c:v>129966436.99880001</c:v>
                </c:pt>
                <c:pt idx="153">
                  <c:v>129966436.99880001</c:v>
                </c:pt>
                <c:pt idx="154">
                  <c:v>129966436.99880001</c:v>
                </c:pt>
                <c:pt idx="155">
                  <c:v>129966436.99880001</c:v>
                </c:pt>
                <c:pt idx="156">
                  <c:v>129966436.99880001</c:v>
                </c:pt>
                <c:pt idx="157">
                  <c:v>129966436.99880001</c:v>
                </c:pt>
                <c:pt idx="158">
                  <c:v>129966436.99880001</c:v>
                </c:pt>
                <c:pt idx="159">
                  <c:v>129966436.99880001</c:v>
                </c:pt>
                <c:pt idx="160">
                  <c:v>129966436.99880001</c:v>
                </c:pt>
                <c:pt idx="161">
                  <c:v>129966436.99880001</c:v>
                </c:pt>
                <c:pt idx="162">
                  <c:v>129966436.99880001</c:v>
                </c:pt>
                <c:pt idx="163">
                  <c:v>129966436.99880001</c:v>
                </c:pt>
                <c:pt idx="164">
                  <c:v>129966436.99880001</c:v>
                </c:pt>
                <c:pt idx="165">
                  <c:v>129966436.99880001</c:v>
                </c:pt>
                <c:pt idx="166">
                  <c:v>129966436.99880001</c:v>
                </c:pt>
                <c:pt idx="167">
                  <c:v>129966436.99880001</c:v>
                </c:pt>
                <c:pt idx="168">
                  <c:v>129966436.99880001</c:v>
                </c:pt>
                <c:pt idx="169">
                  <c:v>129966436.99880001</c:v>
                </c:pt>
                <c:pt idx="170">
                  <c:v>129966436.99880001</c:v>
                </c:pt>
                <c:pt idx="171">
                  <c:v>129966436.99880001</c:v>
                </c:pt>
                <c:pt idx="172">
                  <c:v>129966436.99880001</c:v>
                </c:pt>
                <c:pt idx="173">
                  <c:v>129966436.99880001</c:v>
                </c:pt>
                <c:pt idx="174">
                  <c:v>129966436.99880001</c:v>
                </c:pt>
                <c:pt idx="175">
                  <c:v>129966436.99880001</c:v>
                </c:pt>
                <c:pt idx="176">
                  <c:v>129966436.99880001</c:v>
                </c:pt>
                <c:pt idx="177">
                  <c:v>129966436.99880001</c:v>
                </c:pt>
                <c:pt idx="178">
                  <c:v>129966436.99880001</c:v>
                </c:pt>
                <c:pt idx="179">
                  <c:v>129966436.99880001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26.085000000000001</c:v>
                </c:pt>
                <c:pt idx="1">
                  <c:v>26.555</c:v>
                </c:pt>
                <c:pt idx="2">
                  <c:v>30.761500000000002</c:v>
                </c:pt>
                <c:pt idx="3">
                  <c:v>57.527999999999999</c:v>
                </c:pt>
                <c:pt idx="4">
                  <c:v>91.191749999999999</c:v>
                </c:pt>
                <c:pt idx="5">
                  <c:v>129.297</c:v>
                </c:pt>
                <c:pt idx="6">
                  <c:v>252.4605</c:v>
                </c:pt>
                <c:pt idx="7">
                  <c:v>280.62357142857144</c:v>
                </c:pt>
                <c:pt idx="8">
                  <c:v>376.49937499999999</c:v>
                </c:pt>
                <c:pt idx="9">
                  <c:v>454.45866666666672</c:v>
                </c:pt>
                <c:pt idx="10">
                  <c:v>551.80349999999999</c:v>
                </c:pt>
                <c:pt idx="11">
                  <c:v>770.40263636363647</c:v>
                </c:pt>
                <c:pt idx="12">
                  <c:v>879.88700000000006</c:v>
                </c:pt>
                <c:pt idx="13">
                  <c:v>1043.682</c:v>
                </c:pt>
                <c:pt idx="14">
                  <c:v>1184.4939999999999</c:v>
                </c:pt>
                <c:pt idx="15">
                  <c:v>1289.116</c:v>
                </c:pt>
                <c:pt idx="16">
                  <c:v>1409.201</c:v>
                </c:pt>
                <c:pt idx="17">
                  <c:v>1325.588</c:v>
                </c:pt>
                <c:pt idx="18">
                  <c:v>1530.367</c:v>
                </c:pt>
                <c:pt idx="19">
                  <c:v>1481.4870000000001</c:v>
                </c:pt>
                <c:pt idx="20">
                  <c:v>1512.883</c:v>
                </c:pt>
                <c:pt idx="21">
                  <c:v>1660.2750000000001</c:v>
                </c:pt>
                <c:pt idx="22">
                  <c:v>1774.297</c:v>
                </c:pt>
                <c:pt idx="23">
                  <c:v>2004.973</c:v>
                </c:pt>
                <c:pt idx="24">
                  <c:v>1867.498</c:v>
                </c:pt>
                <c:pt idx="25">
                  <c:v>1802.779</c:v>
                </c:pt>
                <c:pt idx="26">
                  <c:v>1771.289</c:v>
                </c:pt>
                <c:pt idx="27">
                  <c:v>1669.675</c:v>
                </c:pt>
                <c:pt idx="28">
                  <c:v>1598.047</c:v>
                </c:pt>
                <c:pt idx="29">
                  <c:v>1466.9169999999999</c:v>
                </c:pt>
                <c:pt idx="30">
                  <c:v>1404.7360000000001</c:v>
                </c:pt>
                <c:pt idx="31">
                  <c:v>1409.4359999999999</c:v>
                </c:pt>
                <c:pt idx="32">
                  <c:v>987.79899999999998</c:v>
                </c:pt>
                <c:pt idx="33">
                  <c:v>365.14300000000003</c:v>
                </c:pt>
                <c:pt idx="34">
                  <c:v>260.56799999999998</c:v>
                </c:pt>
                <c:pt idx="35">
                  <c:v>418.44099999999997</c:v>
                </c:pt>
                <c:pt idx="36">
                  <c:v>381.26400000000001</c:v>
                </c:pt>
                <c:pt idx="37">
                  <c:v>365.096</c:v>
                </c:pt>
                <c:pt idx="38">
                  <c:v>382.25099999999998</c:v>
                </c:pt>
                <c:pt idx="39">
                  <c:v>539.04300000000001</c:v>
                </c:pt>
                <c:pt idx="40">
                  <c:v>600.75400000000002</c:v>
                </c:pt>
                <c:pt idx="41">
                  <c:v>678.02200000000005</c:v>
                </c:pt>
                <c:pt idx="42">
                  <c:v>664.48599999999999</c:v>
                </c:pt>
                <c:pt idx="43">
                  <c:v>832.55799999999999</c:v>
                </c:pt>
                <c:pt idx="44">
                  <c:v>984.50900000000001</c:v>
                </c:pt>
                <c:pt idx="45">
                  <c:v>1118.4590000000001</c:v>
                </c:pt>
                <c:pt idx="46">
                  <c:v>1244.5129999999999</c:v>
                </c:pt>
                <c:pt idx="47">
                  <c:v>1331.886</c:v>
                </c:pt>
                <c:pt idx="48">
                  <c:v>1493.7070000000001</c:v>
                </c:pt>
                <c:pt idx="49">
                  <c:v>1707.51</c:v>
                </c:pt>
                <c:pt idx="50">
                  <c:v>1907.8240000000001</c:v>
                </c:pt>
                <c:pt idx="51">
                  <c:v>2382.806</c:v>
                </c:pt>
                <c:pt idx="52">
                  <c:v>2730.0889999999999</c:v>
                </c:pt>
                <c:pt idx="53">
                  <c:v>3193.462</c:v>
                </c:pt>
                <c:pt idx="54">
                  <c:v>3625.674</c:v>
                </c:pt>
                <c:pt idx="55">
                  <c:v>4082.5140000000001</c:v>
                </c:pt>
                <c:pt idx="56">
                  <c:v>4677.1109999999999</c:v>
                </c:pt>
                <c:pt idx="57">
                  <c:v>5782.5510000000004</c:v>
                </c:pt>
                <c:pt idx="58">
                  <c:v>6918.2120000000004</c:v>
                </c:pt>
                <c:pt idx="59">
                  <c:v>8076.527</c:v>
                </c:pt>
                <c:pt idx="60">
                  <c:v>9097.4609999999993</c:v>
                </c:pt>
                <c:pt idx="61">
                  <c:v>10608.699000000001</c:v>
                </c:pt>
                <c:pt idx="62">
                  <c:v>11624.227999999999</c:v>
                </c:pt>
                <c:pt idx="63">
                  <c:v>13385.741</c:v>
                </c:pt>
                <c:pt idx="64">
                  <c:v>15536.179</c:v>
                </c:pt>
                <c:pt idx="65">
                  <c:v>17763.978999999999</c:v>
                </c:pt>
                <c:pt idx="66">
                  <c:v>19965.975999999999</c:v>
                </c:pt>
                <c:pt idx="67">
                  <c:v>21863.272000000001</c:v>
                </c:pt>
                <c:pt idx="68">
                  <c:v>23026.804</c:v>
                </c:pt>
                <c:pt idx="69">
                  <c:v>25224.335999999999</c:v>
                </c:pt>
                <c:pt idx="70">
                  <c:v>27168.584999999999</c:v>
                </c:pt>
                <c:pt idx="71">
                  <c:v>29487.940999999999</c:v>
                </c:pt>
                <c:pt idx="72">
                  <c:v>31115.598000000002</c:v>
                </c:pt>
                <c:pt idx="73">
                  <c:v>33635.294406185247</c:v>
                </c:pt>
                <c:pt idx="74">
                  <c:v>36359.032205993819</c:v>
                </c:pt>
                <c:pt idx="75">
                  <c:v>39303.334378229629</c:v>
                </c:pt>
                <c:pt idx="76">
                  <c:v>42486.061908773074</c:v>
                </c:pt>
                <c:pt idx="77">
                  <c:v>45926.522140471003</c:v>
                </c:pt>
                <c:pt idx="78">
                  <c:v>49645.585897045188</c:v>
                </c:pt>
                <c:pt idx="79">
                  <c:v>53665.814091526488</c:v>
                </c:pt>
                <c:pt idx="80">
                  <c:v>58011.594587258085</c:v>
                </c:pt>
                <c:pt idx="81">
                  <c:v>62709.290141706049</c:v>
                </c:pt>
                <c:pt idx="82">
                  <c:v>67787.398330547046</c:v>
                </c:pt>
                <c:pt idx="83">
                  <c:v>73276.724422178901</c:v>
                </c:pt>
                <c:pt idx="84">
                  <c:v>79210.568251360353</c:v>
                </c:pt>
                <c:pt idx="85">
                  <c:v>85624.926225609932</c:v>
                </c:pt>
                <c:pt idx="86">
                  <c:v>92558.709689792318</c:v>
                </c:pt>
                <c:pt idx="87">
                  <c:v>100053.98097355533</c:v>
                </c:pt>
                <c:pt idx="88">
                  <c:v>108156.20855354896</c:v>
                </c:pt>
                <c:pt idx="89">
                  <c:v>116914.5428783143</c:v>
                </c:pt>
                <c:pt idx="90">
                  <c:v>126382.11452907542</c:v>
                </c:pt>
                <c:pt idx="91">
                  <c:v>136616.35652516384</c:v>
                </c:pt>
                <c:pt idx="92">
                  <c:v>147679.35272927271</c:v>
                </c:pt>
                <c:pt idx="93">
                  <c:v>159638.21446606828</c:v>
                </c:pt>
                <c:pt idx="94">
                  <c:v>172565.48763883463</c:v>
                </c:pt>
                <c:pt idx="95">
                  <c:v>186539.5928138397</c:v>
                </c:pt>
                <c:pt idx="96">
                  <c:v>201645.30094210038</c:v>
                </c:pt>
                <c:pt idx="97">
                  <c:v>217974.24760441275</c:v>
                </c:pt>
                <c:pt idx="98">
                  <c:v>235625.48889920558</c:v>
                </c:pt>
                <c:pt idx="99">
                  <c:v>254706.10234539324</c:v>
                </c:pt>
                <c:pt idx="100">
                  <c:v>275331.83644547837</c:v>
                </c:pt>
                <c:pt idx="101">
                  <c:v>297627.81284934038</c:v>
                </c:pt>
                <c:pt idx="102">
                  <c:v>321729.28537823923</c:v>
                </c:pt>
                <c:pt idx="103">
                  <c:v>347782.4605134913</c:v>
                </c:pt>
                <c:pt idx="104">
                  <c:v>375945.38432713959</c:v>
                </c:pt>
                <c:pt idx="105">
                  <c:v>406388.90123499488</c:v>
                </c:pt>
                <c:pt idx="106">
                  <c:v>439297.6903881196</c:v>
                </c:pt>
                <c:pt idx="107">
                  <c:v>474871.38598980551</c:v>
                </c:pt>
                <c:pt idx="108">
                  <c:v>513325.78833420912</c:v>
                </c:pt>
                <c:pt idx="109">
                  <c:v>554894.17291315633</c:v>
                </c:pt>
                <c:pt idx="110">
                  <c:v>599828.70553253323</c:v>
                </c:pt>
                <c:pt idx="111">
                  <c:v>648401.97202276986</c:v>
                </c:pt>
                <c:pt idx="112">
                  <c:v>700908.63182307966</c:v>
                </c:pt>
                <c:pt idx="113">
                  <c:v>757667.20547057432</c:v>
                </c:pt>
                <c:pt idx="114">
                  <c:v>819022.00683767733</c:v>
                </c:pt>
                <c:pt idx="115">
                  <c:v>885345.23183934775</c:v>
                </c:pt>
                <c:pt idx="116">
                  <c:v>957039.21628081182</c:v>
                </c:pt>
                <c:pt idx="117">
                  <c:v>1034538.8765425594</c:v>
                </c:pt>
                <c:pt idx="118">
                  <c:v>1118314.3479085031</c:v>
                </c:pt>
                <c:pt idx="119">
                  <c:v>1208873.8365421607</c:v>
                </c:pt>
                <c:pt idx="120">
                  <c:v>1306766.7024117692</c:v>
                </c:pt>
                <c:pt idx="121">
                  <c:v>1412586.7918662443</c:v>
                </c:pt>
                <c:pt idx="122">
                  <c:v>1526976.0400783508</c:v>
                </c:pt>
                <c:pt idx="123">
                  <c:v>1650628.3652085445</c:v>
                </c:pt>
                <c:pt idx="124">
                  <c:v>1784293.877912604</c:v>
                </c:pt>
                <c:pt idx="125">
                  <c:v>1928783.4317291412</c:v>
                </c:pt>
                <c:pt idx="126">
                  <c:v>2084973.5419509525</c:v>
                </c:pt>
                <c:pt idx="127">
                  <c:v>2253811.7028195029</c:v>
                </c:pt>
                <c:pt idx="128">
                  <c:v>2436322.1352981767</c:v>
                </c:pt>
                <c:pt idx="129">
                  <c:v>2633612.0002919459</c:v>
                </c:pt>
                <c:pt idx="130">
                  <c:v>2846878.1150046363</c:v>
                </c:pt>
                <c:pt idx="131">
                  <c:v>3077414.2131771552</c:v>
                </c:pt>
                <c:pt idx="132">
                  <c:v>3326618.7932493719</c:v>
                </c:pt>
                <c:pt idx="133">
                  <c:v>3596003.6020548702</c:v>
                </c:pt>
                <c:pt idx="134">
                  <c:v>3887202.8055131123</c:v>
                </c:pt>
                <c:pt idx="135">
                  <c:v>4201982.9019510671</c:v>
                </c:pt>
                <c:pt idx="136">
                  <c:v>4542253.4381913785</c:v>
                </c:pt>
                <c:pt idx="137">
                  <c:v>4910078.5934139593</c:v>
                </c:pt>
                <c:pt idx="138">
                  <c:v>5307689.7010620357</c:v>
                </c:pt>
                <c:pt idx="139">
                  <c:v>5737498.7847541599</c:v>
                </c:pt>
                <c:pt idx="140">
                  <c:v>6202113.1903149113</c:v>
                </c:pt>
                <c:pt idx="141">
                  <c:v>6704351.4026864246</c:v>
                </c:pt>
                <c:pt idx="142">
                  <c:v>7247260.1436706744</c:v>
                </c:pt>
                <c:pt idx="143">
                  <c:v>7834132.8542223601</c:v>
                </c:pt>
                <c:pt idx="144">
                  <c:v>8468529.6734113041</c:v>
                </c:pt>
                <c:pt idx="145">
                  <c:v>9154299.0352525152</c:v>
                </c:pt>
                <c:pt idx="146">
                  <c:v>9895601.0144164991</c:v>
                </c:pt>
                <c:pt idx="147">
                  <c:v>10696932.562441651</c:v>
                </c:pt>
                <c:pt idx="148">
                  <c:v>11563154.787538858</c:v>
                </c:pt>
                <c:pt idx="149">
                  <c:v>12499522.443475455</c:v>
                </c:pt>
                <c:pt idx="150">
                  <c:v>13511715.806426633</c:v>
                </c:pt>
                <c:pt idx="151">
                  <c:v>14605875.13316847</c:v>
                </c:pt>
                <c:pt idx="152">
                  <c:v>15788637.909645885</c:v>
                </c:pt>
                <c:pt idx="153">
                  <c:v>17067179.115876116</c:v>
                </c:pt>
                <c:pt idx="154">
                  <c:v>18449254.751446191</c:v>
                </c:pt>
                <c:pt idx="155">
                  <c:v>19943248.885642655</c:v>
                </c:pt>
                <c:pt idx="156">
                  <c:v>21558224.517633136</c:v>
                </c:pt>
                <c:pt idx="157">
                  <c:v>23303978.55523238</c:v>
                </c:pt>
                <c:pt idx="158">
                  <c:v>25191101.245769687</c:v>
                </c:pt>
                <c:pt idx="159">
                  <c:v>27231040.419582594</c:v>
                </c:pt>
                <c:pt idx="160">
                  <c:v>29436170.93585638</c:v>
                </c:pt>
                <c:pt idx="161">
                  <c:v>31819869.752087779</c:v>
                </c:pt>
                <c:pt idx="162">
                  <c:v>34396597.072566025</c:v>
                </c:pt>
                <c:pt idx="163">
                  <c:v>37181984.068141259</c:v>
                </c:pt>
                <c:pt idx="164">
                  <c:v>40192927.69941368</c:v>
                </c:pt>
                <c:pt idx="165">
                  <c:v>43447693.218568295</c:v>
                </c:pt>
                <c:pt idx="166">
                  <c:v>46966024.971660934</c:v>
                </c:pt>
                <c:pt idx="167">
                  <c:v>50769266.173514128</c:v>
                </c:pt>
                <c:pt idx="168">
                  <c:v>54880488.381811902</c:v>
                </c:pt>
                <c:pt idx="169">
                  <c:v>59324631.455820724</c:v>
                </c:pt>
                <c:pt idx="170">
                  <c:v>64128654.848766476</c:v>
                </c:pt>
                <c:pt idx="171">
                  <c:v>69321701.151650682</c:v>
                </c:pt>
                <c:pt idx="172">
                  <c:v>74935272.880609974</c:v>
                </c:pt>
                <c:pt idx="173">
                  <c:v>81003423.580261782</c:v>
                </c:pt>
                <c:pt idx="174">
                  <c:v>87562964.402324304</c:v>
                </c:pt>
                <c:pt idx="175">
                  <c:v>94653687.412676334</c:v>
                </c:pt>
                <c:pt idx="176">
                  <c:v>102318606.98150168</c:v>
                </c:pt>
                <c:pt idx="177">
                  <c:v>110604220.72086066</c:v>
                </c:pt>
                <c:pt idx="178">
                  <c:v>119560791.55261113</c:v>
                </c:pt>
                <c:pt idx="179">
                  <c:v>129242652.61778423</c:v>
                </c:pt>
                <c:pt idx="180">
                  <c:v>129966436.99880001</c:v>
                </c:pt>
                <c:pt idx="181">
                  <c:v>129966436.99880001</c:v>
                </c:pt>
                <c:pt idx="182">
                  <c:v>129966436.99880001</c:v>
                </c:pt>
                <c:pt idx="183">
                  <c:v>129966436.99880001</c:v>
                </c:pt>
                <c:pt idx="184">
                  <c:v>129966436.99880001</c:v>
                </c:pt>
                <c:pt idx="185">
                  <c:v>129966436.99880001</c:v>
                </c:pt>
                <c:pt idx="186">
                  <c:v>129966436.99880001</c:v>
                </c:pt>
                <c:pt idx="187">
                  <c:v>129966436.99880001</c:v>
                </c:pt>
                <c:pt idx="188">
                  <c:v>129966436.99880001</c:v>
                </c:pt>
                <c:pt idx="189">
                  <c:v>129966436.99880001</c:v>
                </c:pt>
                <c:pt idx="190">
                  <c:v>129966436.99880001</c:v>
                </c:pt>
                <c:pt idx="191">
                  <c:v>129966436.99880001</c:v>
                </c:pt>
                <c:pt idx="192">
                  <c:v>129966436.99880001</c:v>
                </c:pt>
                <c:pt idx="193">
                  <c:v>129966436.99880001</c:v>
                </c:pt>
                <c:pt idx="194">
                  <c:v>129966436.99880001</c:v>
                </c:pt>
                <c:pt idx="195">
                  <c:v>129966436.99880001</c:v>
                </c:pt>
                <c:pt idx="196">
                  <c:v>129966436.99880001</c:v>
                </c:pt>
                <c:pt idx="197">
                  <c:v>129966436.99880001</c:v>
                </c:pt>
                <c:pt idx="198">
                  <c:v>129966436.99880001</c:v>
                </c:pt>
                <c:pt idx="199">
                  <c:v>129966436.99880001</c:v>
                </c:pt>
                <c:pt idx="200">
                  <c:v>129966436.99880001</c:v>
                </c:pt>
                <c:pt idx="201">
                  <c:v>129966436.99880001</c:v>
                </c:pt>
                <c:pt idx="202">
                  <c:v>129966436.99880001</c:v>
                </c:pt>
                <c:pt idx="203">
                  <c:v>129966436.99880001</c:v>
                </c:pt>
                <c:pt idx="204">
                  <c:v>129966436.99880001</c:v>
                </c:pt>
                <c:pt idx="205">
                  <c:v>129966436.99880001</c:v>
                </c:pt>
                <c:pt idx="206">
                  <c:v>129966436.99880001</c:v>
                </c:pt>
                <c:pt idx="207">
                  <c:v>129966436.99880001</c:v>
                </c:pt>
                <c:pt idx="208">
                  <c:v>129966436.99880001</c:v>
                </c:pt>
                <c:pt idx="209">
                  <c:v>129966436.99880001</c:v>
                </c:pt>
                <c:pt idx="210">
                  <c:v>129966436.99880001</c:v>
                </c:pt>
                <c:pt idx="211">
                  <c:v>129966436.99880001</c:v>
                </c:pt>
                <c:pt idx="212">
                  <c:v>129966436.99880001</c:v>
                </c:pt>
                <c:pt idx="213">
                  <c:v>129966436.99880001</c:v>
                </c:pt>
                <c:pt idx="214">
                  <c:v>129966436.99880001</c:v>
                </c:pt>
                <c:pt idx="215">
                  <c:v>129966436.99880001</c:v>
                </c:pt>
                <c:pt idx="216">
                  <c:v>129966436.99880001</c:v>
                </c:pt>
                <c:pt idx="217">
                  <c:v>129966436.99880001</c:v>
                </c:pt>
                <c:pt idx="218">
                  <c:v>129966436.99880001</c:v>
                </c:pt>
                <c:pt idx="219">
                  <c:v>129966436.99880001</c:v>
                </c:pt>
                <c:pt idx="220">
                  <c:v>129966436.99880001</c:v>
                </c:pt>
                <c:pt idx="221">
                  <c:v>129966436.99880001</c:v>
                </c:pt>
                <c:pt idx="222">
                  <c:v>129966436.99880001</c:v>
                </c:pt>
                <c:pt idx="223">
                  <c:v>129966436.99880001</c:v>
                </c:pt>
                <c:pt idx="224">
                  <c:v>129966436.99880001</c:v>
                </c:pt>
                <c:pt idx="225">
                  <c:v>129966436.99880001</c:v>
                </c:pt>
                <c:pt idx="226">
                  <c:v>129966436.99880001</c:v>
                </c:pt>
                <c:pt idx="227">
                  <c:v>129966436.99880001</c:v>
                </c:pt>
                <c:pt idx="228">
                  <c:v>129966436.99880001</c:v>
                </c:pt>
                <c:pt idx="229">
                  <c:v>129966436.99880001</c:v>
                </c:pt>
                <c:pt idx="230">
                  <c:v>129966436.99880001</c:v>
                </c:pt>
                <c:pt idx="231">
                  <c:v>129966436.99880001</c:v>
                </c:pt>
                <c:pt idx="232">
                  <c:v>129966436.99880001</c:v>
                </c:pt>
                <c:pt idx="233">
                  <c:v>129966436.99880001</c:v>
                </c:pt>
                <c:pt idx="234">
                  <c:v>129966436.99880001</c:v>
                </c:pt>
                <c:pt idx="235">
                  <c:v>129966436.99880001</c:v>
                </c:pt>
                <c:pt idx="236">
                  <c:v>129966436.99880001</c:v>
                </c:pt>
                <c:pt idx="237">
                  <c:v>129966436.99880001</c:v>
                </c:pt>
                <c:pt idx="238">
                  <c:v>129966436.99880001</c:v>
                </c:pt>
                <c:pt idx="239">
                  <c:v>129966436.99880001</c:v>
                </c:pt>
                <c:pt idx="240">
                  <c:v>129966436.99880001</c:v>
                </c:pt>
                <c:pt idx="241">
                  <c:v>129966436.99880001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1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8"/>
          <c:min val="4390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676.1835938066544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715644.56183372869</c:v>
                </c:pt>
                <c:pt idx="74">
                  <c:v>773596.42991476203</c:v>
                </c:pt>
                <c:pt idx="75">
                  <c:v>836241.15698360919</c:v>
                </c:pt>
                <c:pt idx="76">
                  <c:v>903958.7640164484</c:v>
                </c:pt>
                <c:pt idx="77">
                  <c:v>977160.0455419363</c:v>
                </c:pt>
                <c:pt idx="78">
                  <c:v>1056289.0616392593</c:v>
                </c:pt>
                <c:pt idx="79">
                  <c:v>1141825.8317346061</c:v>
                </c:pt>
                <c:pt idx="80">
                  <c:v>1234289.246537406</c:v>
                </c:pt>
                <c:pt idx="81">
                  <c:v>1334240.2157809797</c:v>
                </c:pt>
                <c:pt idx="82">
                  <c:v>1442285.0708627033</c:v>
                </c:pt>
                <c:pt idx="83">
                  <c:v>1559079.2430250829</c:v>
                </c:pt>
                <c:pt idx="84">
                  <c:v>1685331.2393906459</c:v>
                </c:pt>
                <c:pt idx="85">
                  <c:v>1821806.9409704241</c:v>
                </c:pt>
                <c:pt idx="86">
                  <c:v>1969334.2487189856</c:v>
                </c:pt>
                <c:pt idx="87">
                  <c:v>2128808.1058203261</c:v>
                </c:pt>
                <c:pt idx="88">
                  <c:v>2301195.9266712544</c:v>
                </c:pt>
                <c:pt idx="89">
                  <c:v>2487543.4654960488</c:v>
                </c:pt>
                <c:pt idx="90">
                  <c:v>2688981.1601930941</c:v>
                </c:pt>
                <c:pt idx="91">
                  <c:v>2906730.9898971026</c:v>
                </c:pt>
                <c:pt idx="92">
                  <c:v>3142113.8878568662</c:v>
                </c:pt>
                <c:pt idx="93">
                  <c:v>3396557.7545971973</c:v>
                </c:pt>
                <c:pt idx="94">
                  <c:v>3671606.119975205</c:v>
                </c:pt>
                <c:pt idx="95">
                  <c:v>3968927.5066774404</c:v>
                </c:pt>
                <c:pt idx="96">
                  <c:v>4290325.5519595826</c:v>
                </c:pt>
                <c:pt idx="97">
                  <c:v>4637749.9490300585</c:v>
                </c:pt>
                <c:pt idx="98">
                  <c:v>5013308.2744511822</c:v>
                </c:pt>
                <c:pt idx="99">
                  <c:v>5419278.7733062394</c:v>
                </c:pt>
                <c:pt idx="100">
                  <c:v>5858124.1796910288</c:v>
                </c:pt>
                <c:pt idx="101">
                  <c:v>6332506.6563689448</c:v>
                </c:pt>
                <c:pt idx="102">
                  <c:v>6845303.944217856</c:v>
                </c:pt>
                <c:pt idx="103">
                  <c:v>7399626.8194359848</c:v>
                </c:pt>
                <c:pt idx="104">
                  <c:v>7998837.9644072251</c:v>
                </c:pt>
                <c:pt idx="105">
                  <c:v>8646572.3667020183</c:v>
                </c:pt>
                <c:pt idx="106">
                  <c:v>9346759.3699599914</c:v>
                </c:pt>
                <c:pt idx="107">
                  <c:v>10103646.510421393</c:v>
                </c:pt>
                <c:pt idx="108">
                  <c:v>10921825.283706577</c:v>
                </c:pt>
                <c:pt idx="109">
                  <c:v>11806258.998152262</c:v>
                </c:pt>
                <c:pt idx="110">
                  <c:v>12762312.883670919</c:v>
                </c:pt>
                <c:pt idx="111">
                  <c:v>13795786.638782337</c:v>
                </c:pt>
                <c:pt idx="112">
                  <c:v>14912949.613257015</c:v>
                </c:pt>
                <c:pt idx="113">
                  <c:v>16120578.839799453</c:v>
                </c:pt>
                <c:pt idx="114">
                  <c:v>17426000.145482495</c:v>
                </c:pt>
                <c:pt idx="115">
                  <c:v>18837132.592326548</c:v>
                </c:pt>
                <c:pt idx="116">
                  <c:v>20362536.516613018</c:v>
                </c:pt>
                <c:pt idx="117">
                  <c:v>22011465.458352327</c:v>
                </c:pt>
                <c:pt idx="118">
                  <c:v>23793922.295925599</c:v>
                </c:pt>
                <c:pt idx="119">
                  <c:v>25720719.926428951</c:v>
                </c:pt>
                <c:pt idx="120">
                  <c:v>27803546.859824877</c:v>
                </c:pt>
                <c:pt idx="121">
                  <c:v>30055038.124813709</c:v>
                </c:pt>
                <c:pt idx="122">
                  <c:v>32488851.916560657</c:v>
                </c:pt>
                <c:pt idx="123">
                  <c:v>35119752.451245628</c:v>
                </c:pt>
                <c:pt idx="124">
                  <c:v>37963699.530055404</c:v>
                </c:pt>
                <c:pt idx="125">
                  <c:v>41037945.355939172</c:v>
                </c:pt>
                <c:pt idx="126">
                  <c:v>44361139.190445796</c:v>
                </c:pt>
                <c:pt idx="127">
                  <c:v>47953440.485521339</c:v>
                </c:pt>
                <c:pt idx="128">
                  <c:v>51836641.176556952</c:v>
                </c:pt>
                <c:pt idx="129">
                  <c:v>56034297.878552042</c:v>
                </c:pt>
                <c:pt idx="130">
                  <c:v>60571874.787332691</c:v>
                </c:pt>
                <c:pt idx="131">
                  <c:v>65476898.152705431</c:v>
                </c:pt>
                <c:pt idx="132">
                  <c:v>70779123.26062493</c:v>
                </c:pt>
                <c:pt idx="133">
                  <c:v>76510714.937337667</c:v>
                </c:pt>
                <c:pt idx="134">
                  <c:v>82706442.670491755</c:v>
                </c:pt>
                <c:pt idx="135">
                  <c:v>89403891.530873761</c:v>
                </c:pt>
                <c:pt idx="136">
                  <c:v>96643690.174284652</c:v>
                </c:pt>
                <c:pt idx="137">
                  <c:v>104469757.30667998</c:v>
                </c:pt>
                <c:pt idx="138">
                  <c:v>112929568.1077029</c:v>
                </c:pt>
                <c:pt idx="139">
                  <c:v>122074442.22881192</c:v>
                </c:pt>
                <c:pt idx="140">
                  <c:v>131959855.11308323</c:v>
                </c:pt>
                <c:pt idx="141">
                  <c:v>142645774.52524307</c:v>
                </c:pt>
                <c:pt idx="142">
                  <c:v>154197024.33341861</c:v>
                </c:pt>
                <c:pt idx="143">
                  <c:v>166683677.74941191</c:v>
                </c:pt>
                <c:pt idx="144">
                  <c:v>180181482.41300648</c:v>
                </c:pt>
                <c:pt idx="145">
                  <c:v>194772319.89898968</c:v>
                </c:pt>
                <c:pt idx="146">
                  <c:v>210544702.43439358</c:v>
                </c:pt>
                <c:pt idx="147">
                  <c:v>227594309.83918408</c:v>
                </c:pt>
                <c:pt idx="148">
                  <c:v>246024569.94763529</c:v>
                </c:pt>
                <c:pt idx="149">
                  <c:v>265947286.03139266</c:v>
                </c:pt>
                <c:pt idx="150">
                  <c:v>287483315.0303539</c:v>
                </c:pt>
                <c:pt idx="151">
                  <c:v>310763300.70571214</c:v>
                </c:pt>
                <c:pt idx="152">
                  <c:v>335928466.16267842</c:v>
                </c:pt>
                <c:pt idx="153">
                  <c:v>363131470.55055565</c:v>
                </c:pt>
                <c:pt idx="154">
                  <c:v>392537335.13715303</c:v>
                </c:pt>
                <c:pt idx="155">
                  <c:v>424324444.37537563</c:v>
                </c:pt>
                <c:pt idx="156">
                  <c:v>458685628.0347476</c:v>
                </c:pt>
                <c:pt idx="157">
                  <c:v>495829330.96239108</c:v>
                </c:pt>
                <c:pt idx="158">
                  <c:v>535980877.5695678</c:v>
                </c:pt>
                <c:pt idx="159">
                  <c:v>579383838.71452332</c:v>
                </c:pt>
                <c:pt idx="160">
                  <c:v>626301509.27354002</c:v>
                </c:pt>
                <c:pt idx="161">
                  <c:v>677018505.36356974</c:v>
                </c:pt>
                <c:pt idx="162">
                  <c:v>731842490.90566015</c:v>
                </c:pt>
                <c:pt idx="163">
                  <c:v>791106044.0030055</c:v>
                </c:pt>
                <c:pt idx="164">
                  <c:v>855168674.45561016</c:v>
                </c:pt>
                <c:pt idx="165">
                  <c:v>924419004.65038919</c:v>
                </c:pt>
                <c:pt idx="166">
                  <c:v>999277127.05661559</c:v>
                </c:pt>
                <c:pt idx="167">
                  <c:v>1080197152.6279602</c:v>
                </c:pt>
                <c:pt idx="168">
                  <c:v>1167669965.570466</c:v>
                </c:pt>
                <c:pt idx="169">
                  <c:v>1262226201.187675</c:v>
                </c:pt>
                <c:pt idx="170">
                  <c:v>1364439464.8673718</c:v>
                </c:pt>
                <c:pt idx="171">
                  <c:v>1474929811.7372487</c:v>
                </c:pt>
                <c:pt idx="172">
                  <c:v>1594367508.0980847</c:v>
                </c:pt>
                <c:pt idx="173">
                  <c:v>1723477097.4523783</c:v>
                </c:pt>
                <c:pt idx="174">
                  <c:v>1863041795.7941341</c:v>
                </c:pt>
                <c:pt idx="175">
                  <c:v>2013908242.8229008</c:v>
                </c:pt>
                <c:pt idx="176">
                  <c:v>2176991637.9042912</c:v>
                </c:pt>
                <c:pt idx="177">
                  <c:v>2353281291.9332056</c:v>
                </c:pt>
                <c:pt idx="178">
                  <c:v>2543846628.7789602</c:v>
                </c:pt>
                <c:pt idx="179">
                  <c:v>2749843672.7188134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728237.4</c:v>
                </c:pt>
                <c:pt idx="74">
                  <c:v>801061.14000000013</c:v>
                </c:pt>
                <c:pt idx="75">
                  <c:v>881167.25400000019</c:v>
                </c:pt>
                <c:pt idx="76">
                  <c:v>969283.9794000003</c:v>
                </c:pt>
                <c:pt idx="77">
                  <c:v>1066212.3773400004</c:v>
                </c:pt>
                <c:pt idx="78">
                  <c:v>1172833.6150740006</c:v>
                </c:pt>
                <c:pt idx="79">
                  <c:v>1290116.9765814007</c:v>
                </c:pt>
                <c:pt idx="80">
                  <c:v>1419128.6742395409</c:v>
                </c:pt>
                <c:pt idx="81">
                  <c:v>1561041.5416634951</c:v>
                </c:pt>
                <c:pt idx="82">
                  <c:v>1717145.6958298448</c:v>
                </c:pt>
                <c:pt idx="83">
                  <c:v>1888860.2654128294</c:v>
                </c:pt>
                <c:pt idx="84">
                  <c:v>2077746.2919541125</c:v>
                </c:pt>
                <c:pt idx="85">
                  <c:v>2285520.9211495239</c:v>
                </c:pt>
                <c:pt idx="86">
                  <c:v>2514073.0132644763</c:v>
                </c:pt>
                <c:pt idx="87">
                  <c:v>2765480.314590924</c:v>
                </c:pt>
                <c:pt idx="88">
                  <c:v>3042028.3460500166</c:v>
                </c:pt>
                <c:pt idx="89">
                  <c:v>3346231.1806550184</c:v>
                </c:pt>
                <c:pt idx="90">
                  <c:v>3680854.2987205205</c:v>
                </c:pt>
                <c:pt idx="91">
                  <c:v>4048939.7285925727</c:v>
                </c:pt>
                <c:pt idx="92">
                  <c:v>4453833.7014518306</c:v>
                </c:pt>
                <c:pt idx="93">
                  <c:v>4899217.0715970136</c:v>
                </c:pt>
                <c:pt idx="94">
                  <c:v>5389138.7787567154</c:v>
                </c:pt>
                <c:pt idx="95">
                  <c:v>5928052.6566323871</c:v>
                </c:pt>
                <c:pt idx="96">
                  <c:v>6520857.9222956263</c:v>
                </c:pt>
                <c:pt idx="97">
                  <c:v>7172943.7145251893</c:v>
                </c:pt>
                <c:pt idx="98">
                  <c:v>7890238.0859777089</c:v>
                </c:pt>
                <c:pt idx="99">
                  <c:v>8679261.8945754804</c:v>
                </c:pt>
                <c:pt idx="100">
                  <c:v>9547188.0840330292</c:v>
                </c:pt>
                <c:pt idx="101">
                  <c:v>10501906.892436333</c:v>
                </c:pt>
                <c:pt idx="102">
                  <c:v>11552097.581679968</c:v>
                </c:pt>
                <c:pt idx="103">
                  <c:v>12707307.339847965</c:v>
                </c:pt>
                <c:pt idx="104">
                  <c:v>13978038.073832763</c:v>
                </c:pt>
                <c:pt idx="105">
                  <c:v>15375841.881216042</c:v>
                </c:pt>
                <c:pt idx="106">
                  <c:v>16913426.069337647</c:v>
                </c:pt>
                <c:pt idx="107">
                  <c:v>18604768.676271413</c:v>
                </c:pt>
                <c:pt idx="108">
                  <c:v>20465245.543898556</c:v>
                </c:pt>
                <c:pt idx="109">
                  <c:v>22511770.098288413</c:v>
                </c:pt>
                <c:pt idx="110">
                  <c:v>24762947.108117256</c:v>
                </c:pt>
                <c:pt idx="111">
                  <c:v>27239241.818928983</c:v>
                </c:pt>
                <c:pt idx="112">
                  <c:v>29963166.000821885</c:v>
                </c:pt>
                <c:pt idx="113">
                  <c:v>32959482.600904077</c:v>
                </c:pt>
                <c:pt idx="114">
                  <c:v>36255430.860994488</c:v>
                </c:pt>
                <c:pt idx="115">
                  <c:v>39880973.947093941</c:v>
                </c:pt>
                <c:pt idx="116">
                  <c:v>43869071.341803342</c:v>
                </c:pt>
                <c:pt idx="117">
                  <c:v>48255978.475983679</c:v>
                </c:pt>
                <c:pt idx="118">
                  <c:v>53081576.323582053</c:v>
                </c:pt>
                <c:pt idx="119">
                  <c:v>58389733.955940261</c:v>
                </c:pt>
                <c:pt idx="120">
                  <c:v>64228707.351534292</c:v>
                </c:pt>
                <c:pt idx="121">
                  <c:v>70651578.086687729</c:v>
                </c:pt>
                <c:pt idx="122">
                  <c:v>77716735.895356506</c:v>
                </c:pt>
                <c:pt idx="123">
                  <c:v>85488409.48489216</c:v>
                </c:pt>
                <c:pt idx="124">
                  <c:v>94037250.433381379</c:v>
                </c:pt>
                <c:pt idx="125">
                  <c:v>103440975.47671953</c:v>
                </c:pt>
                <c:pt idx="126">
                  <c:v>113785073.02439149</c:v>
                </c:pt>
                <c:pt idx="127">
                  <c:v>125163580.32683064</c:v>
                </c:pt>
                <c:pt idx="128">
                  <c:v>137679938.35951373</c:v>
                </c:pt>
                <c:pt idx="129">
                  <c:v>151447932.19546512</c:v>
                </c:pt>
                <c:pt idx="130">
                  <c:v>166592725.41501164</c:v>
                </c:pt>
                <c:pt idx="131">
                  <c:v>183251997.95651281</c:v>
                </c:pt>
                <c:pt idx="132">
                  <c:v>201577197.7521641</c:v>
                </c:pt>
                <c:pt idx="133">
                  <c:v>221734917.52738053</c:v>
                </c:pt>
                <c:pt idx="134">
                  <c:v>243908409.28011858</c:v>
                </c:pt>
                <c:pt idx="135">
                  <c:v>268299250.20813048</c:v>
                </c:pt>
                <c:pt idx="136">
                  <c:v>295129175.22894353</c:v>
                </c:pt>
                <c:pt idx="137">
                  <c:v>324642092.75183791</c:v>
                </c:pt>
                <c:pt idx="138">
                  <c:v>357106302.02702171</c:v>
                </c:pt>
                <c:pt idx="139">
                  <c:v>392816932.22972393</c:v>
                </c:pt>
                <c:pt idx="140">
                  <c:v>432098625.45269638</c:v>
                </c:pt>
                <c:pt idx="141">
                  <c:v>475308487.99796605</c:v>
                </c:pt>
                <c:pt idx="142">
                  <c:v>522839336.79776269</c:v>
                </c:pt>
                <c:pt idx="143">
                  <c:v>575123270.47753906</c:v>
                </c:pt>
                <c:pt idx="144">
                  <c:v>632635597.52529299</c:v>
                </c:pt>
                <c:pt idx="145">
                  <c:v>695899157.27782238</c:v>
                </c:pt>
                <c:pt idx="146">
                  <c:v>765489073.00560462</c:v>
                </c:pt>
                <c:pt idx="147">
                  <c:v>842037980.3061651</c:v>
                </c:pt>
                <c:pt idx="148">
                  <c:v>926241778.33678174</c:v>
                </c:pt>
                <c:pt idx="149">
                  <c:v>1018865956.17046</c:v>
                </c:pt>
                <c:pt idx="150">
                  <c:v>1120752551.7875061</c:v>
                </c:pt>
                <c:pt idx="151">
                  <c:v>1232827806.9662569</c:v>
                </c:pt>
                <c:pt idx="152">
                  <c:v>1356110587.6628826</c:v>
                </c:pt>
                <c:pt idx="153">
                  <c:v>1491721646.4291708</c:v>
                </c:pt>
                <c:pt idx="154">
                  <c:v>1640893811.072088</c:v>
                </c:pt>
                <c:pt idx="155">
                  <c:v>1804983192.179297</c:v>
                </c:pt>
                <c:pt idx="156">
                  <c:v>1985481511.3972268</c:v>
                </c:pt>
                <c:pt idx="157">
                  <c:v>2184029662.5369496</c:v>
                </c:pt>
                <c:pt idx="158">
                  <c:v>2402432628.7906446</c:v>
                </c:pt>
                <c:pt idx="159">
                  <c:v>2642675891.6697092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827542.5</c:v>
                </c:pt>
                <c:pt idx="74">
                  <c:v>1034428.125</c:v>
                </c:pt>
                <c:pt idx="75">
                  <c:v>1293035.15625</c:v>
                </c:pt>
                <c:pt idx="76">
                  <c:v>1616293.9453125</c:v>
                </c:pt>
                <c:pt idx="77">
                  <c:v>2020367.431640625</c:v>
                </c:pt>
                <c:pt idx="78">
                  <c:v>2525459.2895507813</c:v>
                </c:pt>
                <c:pt idx="79">
                  <c:v>3156824.1119384766</c:v>
                </c:pt>
                <c:pt idx="80">
                  <c:v>3946030.1399230957</c:v>
                </c:pt>
                <c:pt idx="81">
                  <c:v>4932537.6749038696</c:v>
                </c:pt>
                <c:pt idx="82">
                  <c:v>6165672.093629837</c:v>
                </c:pt>
                <c:pt idx="83">
                  <c:v>7707090.1170372963</c:v>
                </c:pt>
                <c:pt idx="84">
                  <c:v>9633862.6462966204</c:v>
                </c:pt>
                <c:pt idx="85">
                  <c:v>12042328.307870775</c:v>
                </c:pt>
                <c:pt idx="86">
                  <c:v>15052910.384838469</c:v>
                </c:pt>
                <c:pt idx="87">
                  <c:v>18816137.981048085</c:v>
                </c:pt>
                <c:pt idx="88">
                  <c:v>23520172.476310104</c:v>
                </c:pt>
                <c:pt idx="89">
                  <c:v>29400215.59538763</c:v>
                </c:pt>
                <c:pt idx="90">
                  <c:v>36750269.49423454</c:v>
                </c:pt>
                <c:pt idx="91">
                  <c:v>45937836.867793173</c:v>
                </c:pt>
                <c:pt idx="92">
                  <c:v>57422296.084741466</c:v>
                </c:pt>
                <c:pt idx="93">
                  <c:v>71777870.105926827</c:v>
                </c:pt>
                <c:pt idx="94">
                  <c:v>89722337.63240853</c:v>
                </c:pt>
                <c:pt idx="95">
                  <c:v>112152922.04051065</c:v>
                </c:pt>
                <c:pt idx="96">
                  <c:v>140191152.55063832</c:v>
                </c:pt>
                <c:pt idx="97">
                  <c:v>175238940.6882979</c:v>
                </c:pt>
                <c:pt idx="98">
                  <c:v>219048675.86037236</c:v>
                </c:pt>
                <c:pt idx="99">
                  <c:v>273810844.82546544</c:v>
                </c:pt>
                <c:pt idx="100">
                  <c:v>342263556.0318318</c:v>
                </c:pt>
                <c:pt idx="101">
                  <c:v>427829445.03978974</c:v>
                </c:pt>
                <c:pt idx="102">
                  <c:v>534786806.29973716</c:v>
                </c:pt>
                <c:pt idx="103">
                  <c:v>668483507.87467146</c:v>
                </c:pt>
                <c:pt idx="104">
                  <c:v>835604384.84333932</c:v>
                </c:pt>
                <c:pt idx="105">
                  <c:v>1044505481.0541742</c:v>
                </c:pt>
                <c:pt idx="106">
                  <c:v>1305631851.3177178</c:v>
                </c:pt>
                <c:pt idx="107">
                  <c:v>1632039814.1471472</c:v>
                </c:pt>
                <c:pt idx="108">
                  <c:v>2040049767.683934</c:v>
                </c:pt>
                <c:pt idx="109">
                  <c:v>2550062209.6049175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926847.6</c:v>
                </c:pt>
                <c:pt idx="74">
                  <c:v>1297586.6399999999</c:v>
                </c:pt>
                <c:pt idx="75">
                  <c:v>1816621.2959999999</c:v>
                </c:pt>
                <c:pt idx="76">
                  <c:v>2543269.8143999996</c:v>
                </c:pt>
                <c:pt idx="77">
                  <c:v>3560577.7401599991</c:v>
                </c:pt>
                <c:pt idx="78">
                  <c:v>4984808.8362239981</c:v>
                </c:pt>
                <c:pt idx="79">
                  <c:v>6978732.3707135972</c:v>
                </c:pt>
                <c:pt idx="80">
                  <c:v>9770225.3189990353</c:v>
                </c:pt>
                <c:pt idx="81">
                  <c:v>13678315.446598649</c:v>
                </c:pt>
                <c:pt idx="82">
                  <c:v>19149641.625238106</c:v>
                </c:pt>
                <c:pt idx="83">
                  <c:v>26809498.275333345</c:v>
                </c:pt>
                <c:pt idx="84">
                  <c:v>37533297.585466683</c:v>
                </c:pt>
                <c:pt idx="85">
                  <c:v>52546616.619653352</c:v>
                </c:pt>
                <c:pt idx="86">
                  <c:v>73565263.267514691</c:v>
                </c:pt>
                <c:pt idx="87">
                  <c:v>102991368.57452056</c:v>
                </c:pt>
                <c:pt idx="88">
                  <c:v>144187916.00432876</c:v>
                </c:pt>
                <c:pt idx="89">
                  <c:v>201863082.40606025</c:v>
                </c:pt>
                <c:pt idx="90">
                  <c:v>282608315.36848432</c:v>
                </c:pt>
                <c:pt idx="91">
                  <c:v>395651641.51587802</c:v>
                </c:pt>
                <c:pt idx="92">
                  <c:v>553912298.12222922</c:v>
                </c:pt>
                <c:pt idx="93">
                  <c:v>775477217.37112081</c:v>
                </c:pt>
                <c:pt idx="94">
                  <c:v>1085668104.3195691</c:v>
                </c:pt>
                <c:pt idx="95">
                  <c:v>1519935346.0473967</c:v>
                </c:pt>
                <c:pt idx="96">
                  <c:v>2127909484.4663551</c:v>
                </c:pt>
                <c:pt idx="97">
                  <c:v>2765243340.4000001</c:v>
                </c:pt>
                <c:pt idx="98">
                  <c:v>2765243340.4000001</c:v>
                </c:pt>
                <c:pt idx="99">
                  <c:v>2765243340.4000001</c:v>
                </c:pt>
                <c:pt idx="100">
                  <c:v>2765243340.4000001</c:v>
                </c:pt>
                <c:pt idx="101">
                  <c:v>2765243340.4000001</c:v>
                </c:pt>
                <c:pt idx="102">
                  <c:v>2765243340.4000001</c:v>
                </c:pt>
                <c:pt idx="103">
                  <c:v>2765243340.4000001</c:v>
                </c:pt>
                <c:pt idx="104">
                  <c:v>2765243340.4000001</c:v>
                </c:pt>
                <c:pt idx="105">
                  <c:v>2765243340.4000001</c:v>
                </c:pt>
                <c:pt idx="106">
                  <c:v>2765243340.4000001</c:v>
                </c:pt>
                <c:pt idx="107">
                  <c:v>2765243340.4000001</c:v>
                </c:pt>
                <c:pt idx="108">
                  <c:v>2765243340.4000001</c:v>
                </c:pt>
                <c:pt idx="109">
                  <c:v>2765243340.4000001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2">
                  <c:v>58708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0.15689586089805507</c:v>
                </c:pt>
                <c:pt idx="58">
                  <c:v>0.157851954958213</c:v>
                </c:pt>
                <c:pt idx="59">
                  <c:v>0.16762774218490337</c:v>
                </c:pt>
                <c:pt idx="60">
                  <c:v>0.17158073035628271</c:v>
                </c:pt>
                <c:pt idx="61">
                  <c:v>0.17517211053665202</c:v>
                </c:pt>
                <c:pt idx="62">
                  <c:v>0.16721986551437004</c:v>
                </c:pt>
                <c:pt idx="63">
                  <c:v>0.15632116181061328</c:v>
                </c:pt>
                <c:pt idx="64">
                  <c:v>0.14359127759408455</c:v>
                </c:pt>
                <c:pt idx="65">
                  <c:v>0.14136935403193104</c:v>
                </c:pt>
                <c:pt idx="66">
                  <c:v>0.13926963111474691</c:v>
                </c:pt>
                <c:pt idx="67">
                  <c:v>0.13756433020980544</c:v>
                </c:pt>
                <c:pt idx="68">
                  <c:v>0.12802874750390955</c:v>
                </c:pt>
                <c:pt idx="69">
                  <c:v>0.11701673110032014</c:v>
                </c:pt>
                <c:pt idx="70">
                  <c:v>0.10169044719332405</c:v>
                </c:pt>
                <c:pt idx="71">
                  <c:v>9.0528532939319797E-2</c:v>
                </c:pt>
                <c:pt idx="72">
                  <c:v>8.0978562783374855E-2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0.11845937449570128</c:v>
                </c:pt>
                <c:pt idx="71">
                  <c:v>0.11649488356803173</c:v>
                </c:pt>
                <c:pt idx="72">
                  <c:v>0.11547901903301543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715644.56183372869</c:v>
                </c:pt>
                <c:pt idx="74">
                  <c:v>773596.42991476203</c:v>
                </c:pt>
                <c:pt idx="75">
                  <c:v>836241.15698360919</c:v>
                </c:pt>
                <c:pt idx="76">
                  <c:v>903958.7640164484</c:v>
                </c:pt>
                <c:pt idx="77">
                  <c:v>977160.0455419363</c:v>
                </c:pt>
                <c:pt idx="78">
                  <c:v>1056289.0616392593</c:v>
                </c:pt>
                <c:pt idx="79">
                  <c:v>1141825.8317346061</c:v>
                </c:pt>
                <c:pt idx="80">
                  <c:v>1234289.246537406</c:v>
                </c:pt>
                <c:pt idx="81">
                  <c:v>1334240.2157809797</c:v>
                </c:pt>
                <c:pt idx="82">
                  <c:v>1442285.0708627033</c:v>
                </c:pt>
                <c:pt idx="83">
                  <c:v>1559079.2430250829</c:v>
                </c:pt>
                <c:pt idx="84">
                  <c:v>1685331.2393906459</c:v>
                </c:pt>
                <c:pt idx="85">
                  <c:v>1821806.9409704241</c:v>
                </c:pt>
                <c:pt idx="86">
                  <c:v>1969334.2487189856</c:v>
                </c:pt>
                <c:pt idx="87">
                  <c:v>2128808.1058203261</c:v>
                </c:pt>
                <c:pt idx="88">
                  <c:v>2301195.9266712544</c:v>
                </c:pt>
                <c:pt idx="89">
                  <c:v>2487543.4654960488</c:v>
                </c:pt>
                <c:pt idx="90">
                  <c:v>2688981.1601930941</c:v>
                </c:pt>
                <c:pt idx="91">
                  <c:v>2906730.9898971026</c:v>
                </c:pt>
                <c:pt idx="92">
                  <c:v>3142113.8878568662</c:v>
                </c:pt>
                <c:pt idx="93">
                  <c:v>3396557.7545971973</c:v>
                </c:pt>
                <c:pt idx="94">
                  <c:v>3671606.119975205</c:v>
                </c:pt>
                <c:pt idx="95">
                  <c:v>3968927.5066774404</c:v>
                </c:pt>
                <c:pt idx="96">
                  <c:v>4290325.5519595826</c:v>
                </c:pt>
                <c:pt idx="97">
                  <c:v>4637749.9490300585</c:v>
                </c:pt>
                <c:pt idx="98">
                  <c:v>5013308.2744511822</c:v>
                </c:pt>
                <c:pt idx="99">
                  <c:v>5419278.7733062394</c:v>
                </c:pt>
                <c:pt idx="100">
                  <c:v>5858124.1796910288</c:v>
                </c:pt>
                <c:pt idx="101">
                  <c:v>6332506.6563689448</c:v>
                </c:pt>
                <c:pt idx="102">
                  <c:v>6845303.944217856</c:v>
                </c:pt>
                <c:pt idx="103">
                  <c:v>7399626.8194359848</c:v>
                </c:pt>
                <c:pt idx="104">
                  <c:v>7998837.9644072251</c:v>
                </c:pt>
                <c:pt idx="105">
                  <c:v>8646572.3667020183</c:v>
                </c:pt>
                <c:pt idx="106">
                  <c:v>9346759.3699599914</c:v>
                </c:pt>
                <c:pt idx="107">
                  <c:v>10103646.510421393</c:v>
                </c:pt>
                <c:pt idx="108">
                  <c:v>10921825.283706577</c:v>
                </c:pt>
                <c:pt idx="109">
                  <c:v>11806258.998152262</c:v>
                </c:pt>
                <c:pt idx="110">
                  <c:v>12762312.883670919</c:v>
                </c:pt>
                <c:pt idx="111">
                  <c:v>13795786.638782337</c:v>
                </c:pt>
                <c:pt idx="112">
                  <c:v>14912949.613257015</c:v>
                </c:pt>
                <c:pt idx="113">
                  <c:v>16120578.839799453</c:v>
                </c:pt>
                <c:pt idx="114">
                  <c:v>17426000.145482495</c:v>
                </c:pt>
                <c:pt idx="115">
                  <c:v>18837132.592326548</c:v>
                </c:pt>
                <c:pt idx="116">
                  <c:v>20362536.516613018</c:v>
                </c:pt>
                <c:pt idx="117">
                  <c:v>22011465.458352327</c:v>
                </c:pt>
                <c:pt idx="118">
                  <c:v>23793922.295925599</c:v>
                </c:pt>
                <c:pt idx="119">
                  <c:v>25720719.926428951</c:v>
                </c:pt>
                <c:pt idx="120">
                  <c:v>27803546.859824877</c:v>
                </c:pt>
                <c:pt idx="121">
                  <c:v>30055038.124813709</c:v>
                </c:pt>
                <c:pt idx="122">
                  <c:v>32488851.916560657</c:v>
                </c:pt>
                <c:pt idx="123">
                  <c:v>35119752.451245628</c:v>
                </c:pt>
                <c:pt idx="124">
                  <c:v>37963699.530055404</c:v>
                </c:pt>
                <c:pt idx="125">
                  <c:v>41037945.355939172</c:v>
                </c:pt>
                <c:pt idx="126">
                  <c:v>44361139.190445796</c:v>
                </c:pt>
                <c:pt idx="127">
                  <c:v>47953440.485521339</c:v>
                </c:pt>
                <c:pt idx="128">
                  <c:v>51836641.176556952</c:v>
                </c:pt>
                <c:pt idx="129">
                  <c:v>56034297.878552042</c:v>
                </c:pt>
                <c:pt idx="130">
                  <c:v>60571874.787332691</c:v>
                </c:pt>
                <c:pt idx="131">
                  <c:v>65476898.152705431</c:v>
                </c:pt>
                <c:pt idx="132">
                  <c:v>70779123.26062493</c:v>
                </c:pt>
                <c:pt idx="133">
                  <c:v>76510714.937337667</c:v>
                </c:pt>
                <c:pt idx="134">
                  <c:v>82706442.670491755</c:v>
                </c:pt>
                <c:pt idx="135">
                  <c:v>89403891.530873761</c:v>
                </c:pt>
                <c:pt idx="136">
                  <c:v>96643690.174284652</c:v>
                </c:pt>
                <c:pt idx="137">
                  <c:v>104469757.30667998</c:v>
                </c:pt>
                <c:pt idx="138">
                  <c:v>112929568.1077029</c:v>
                </c:pt>
                <c:pt idx="139">
                  <c:v>122074442.22881192</c:v>
                </c:pt>
                <c:pt idx="140">
                  <c:v>131959855.11308323</c:v>
                </c:pt>
                <c:pt idx="141">
                  <c:v>142645774.52524307</c:v>
                </c:pt>
                <c:pt idx="142">
                  <c:v>154197024.33341861</c:v>
                </c:pt>
                <c:pt idx="143">
                  <c:v>166683677.74941191</c:v>
                </c:pt>
                <c:pt idx="144">
                  <c:v>180181482.41300648</c:v>
                </c:pt>
                <c:pt idx="145">
                  <c:v>194772319.89898968</c:v>
                </c:pt>
                <c:pt idx="146">
                  <c:v>210544702.43439358</c:v>
                </c:pt>
                <c:pt idx="147">
                  <c:v>227594309.83918408</c:v>
                </c:pt>
                <c:pt idx="148">
                  <c:v>246024569.94763529</c:v>
                </c:pt>
                <c:pt idx="149">
                  <c:v>265947286.03139266</c:v>
                </c:pt>
                <c:pt idx="150">
                  <c:v>287483315.0303539</c:v>
                </c:pt>
                <c:pt idx="151">
                  <c:v>310763300.70571214</c:v>
                </c:pt>
                <c:pt idx="152">
                  <c:v>335928466.16267842</c:v>
                </c:pt>
                <c:pt idx="153">
                  <c:v>363131470.55055565</c:v>
                </c:pt>
                <c:pt idx="154">
                  <c:v>392537335.13715303</c:v>
                </c:pt>
                <c:pt idx="155">
                  <c:v>424324444.37537563</c:v>
                </c:pt>
                <c:pt idx="156">
                  <c:v>458685628.0347476</c:v>
                </c:pt>
                <c:pt idx="157">
                  <c:v>495829330.96239108</c:v>
                </c:pt>
                <c:pt idx="158">
                  <c:v>535980877.5695678</c:v>
                </c:pt>
                <c:pt idx="159">
                  <c:v>579383838.71452332</c:v>
                </c:pt>
                <c:pt idx="160">
                  <c:v>626301509.27354002</c:v>
                </c:pt>
                <c:pt idx="161">
                  <c:v>677018505.36356974</c:v>
                </c:pt>
                <c:pt idx="162">
                  <c:v>731842490.90566015</c:v>
                </c:pt>
                <c:pt idx="163">
                  <c:v>791106044.0030055</c:v>
                </c:pt>
                <c:pt idx="164">
                  <c:v>855168674.45561016</c:v>
                </c:pt>
                <c:pt idx="165">
                  <c:v>924419004.65038919</c:v>
                </c:pt>
                <c:pt idx="166">
                  <c:v>999277127.05661559</c:v>
                </c:pt>
                <c:pt idx="167">
                  <c:v>1080197152.6279602</c:v>
                </c:pt>
                <c:pt idx="168">
                  <c:v>1167669965.570466</c:v>
                </c:pt>
                <c:pt idx="169">
                  <c:v>1262226201.187675</c:v>
                </c:pt>
                <c:pt idx="170">
                  <c:v>1364439464.8673718</c:v>
                </c:pt>
                <c:pt idx="171">
                  <c:v>1474929811.7372487</c:v>
                </c:pt>
                <c:pt idx="172">
                  <c:v>1594367508.0980847</c:v>
                </c:pt>
                <c:pt idx="173">
                  <c:v>1723477097.4523783</c:v>
                </c:pt>
                <c:pt idx="174">
                  <c:v>1863041795.7941341</c:v>
                </c:pt>
                <c:pt idx="175">
                  <c:v>2013908242.8229008</c:v>
                </c:pt>
                <c:pt idx="176">
                  <c:v>2176991637.9042912</c:v>
                </c:pt>
                <c:pt idx="177">
                  <c:v>2353281291.9332056</c:v>
                </c:pt>
                <c:pt idx="178">
                  <c:v>2543846628.7789602</c:v>
                </c:pt>
                <c:pt idx="179">
                  <c:v>2749843672.7188134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728237.4</c:v>
                </c:pt>
                <c:pt idx="74">
                  <c:v>801061.14000000013</c:v>
                </c:pt>
                <c:pt idx="75">
                  <c:v>881167.25400000019</c:v>
                </c:pt>
                <c:pt idx="76">
                  <c:v>969283.9794000003</c:v>
                </c:pt>
                <c:pt idx="77">
                  <c:v>1066212.3773400004</c:v>
                </c:pt>
                <c:pt idx="78">
                  <c:v>1172833.6150740006</c:v>
                </c:pt>
                <c:pt idx="79">
                  <c:v>1290116.9765814007</c:v>
                </c:pt>
                <c:pt idx="80">
                  <c:v>1419128.6742395409</c:v>
                </c:pt>
                <c:pt idx="81">
                  <c:v>1561041.5416634951</c:v>
                </c:pt>
                <c:pt idx="82">
                  <c:v>1717145.6958298448</c:v>
                </c:pt>
                <c:pt idx="83">
                  <c:v>1888860.2654128294</c:v>
                </c:pt>
                <c:pt idx="84">
                  <c:v>2077746.2919541125</c:v>
                </c:pt>
                <c:pt idx="85">
                  <c:v>2285520.9211495239</c:v>
                </c:pt>
                <c:pt idx="86">
                  <c:v>2514073.0132644763</c:v>
                </c:pt>
                <c:pt idx="87">
                  <c:v>2765480.314590924</c:v>
                </c:pt>
                <c:pt idx="88">
                  <c:v>3042028.3460500166</c:v>
                </c:pt>
                <c:pt idx="89">
                  <c:v>3346231.1806550184</c:v>
                </c:pt>
                <c:pt idx="90">
                  <c:v>3680854.2987205205</c:v>
                </c:pt>
                <c:pt idx="91">
                  <c:v>4048939.7285925727</c:v>
                </c:pt>
                <c:pt idx="92">
                  <c:v>4453833.7014518306</c:v>
                </c:pt>
                <c:pt idx="93">
                  <c:v>4899217.0715970136</c:v>
                </c:pt>
                <c:pt idx="94">
                  <c:v>5389138.7787567154</c:v>
                </c:pt>
                <c:pt idx="95">
                  <c:v>5928052.6566323871</c:v>
                </c:pt>
                <c:pt idx="96">
                  <c:v>6520857.9222956263</c:v>
                </c:pt>
                <c:pt idx="97">
                  <c:v>7172943.7145251893</c:v>
                </c:pt>
                <c:pt idx="98">
                  <c:v>7890238.0859777089</c:v>
                </c:pt>
                <c:pt idx="99">
                  <c:v>8679261.8945754804</c:v>
                </c:pt>
                <c:pt idx="100">
                  <c:v>9547188.0840330292</c:v>
                </c:pt>
                <c:pt idx="101">
                  <c:v>10501906.892436333</c:v>
                </c:pt>
                <c:pt idx="102">
                  <c:v>11552097.581679968</c:v>
                </c:pt>
                <c:pt idx="103">
                  <c:v>12707307.339847965</c:v>
                </c:pt>
                <c:pt idx="104">
                  <c:v>13978038.073832763</c:v>
                </c:pt>
                <c:pt idx="105">
                  <c:v>15375841.881216042</c:v>
                </c:pt>
                <c:pt idx="106">
                  <c:v>16913426.069337647</c:v>
                </c:pt>
                <c:pt idx="107">
                  <c:v>18604768.676271413</c:v>
                </c:pt>
                <c:pt idx="108">
                  <c:v>20465245.543898556</c:v>
                </c:pt>
                <c:pt idx="109">
                  <c:v>22511770.098288413</c:v>
                </c:pt>
                <c:pt idx="110">
                  <c:v>24762947.108117256</c:v>
                </c:pt>
                <c:pt idx="111">
                  <c:v>27239241.818928983</c:v>
                </c:pt>
                <c:pt idx="112">
                  <c:v>29963166.000821885</c:v>
                </c:pt>
                <c:pt idx="113">
                  <c:v>32959482.600904077</c:v>
                </c:pt>
                <c:pt idx="114">
                  <c:v>36255430.860994488</c:v>
                </c:pt>
                <c:pt idx="115">
                  <c:v>39880973.947093941</c:v>
                </c:pt>
                <c:pt idx="116">
                  <c:v>43869071.341803342</c:v>
                </c:pt>
                <c:pt idx="117">
                  <c:v>48255978.475983679</c:v>
                </c:pt>
                <c:pt idx="118">
                  <c:v>53081576.323582053</c:v>
                </c:pt>
                <c:pt idx="119">
                  <c:v>58389733.955940261</c:v>
                </c:pt>
                <c:pt idx="120">
                  <c:v>64228707.351534292</c:v>
                </c:pt>
                <c:pt idx="121">
                  <c:v>70651578.086687729</c:v>
                </c:pt>
                <c:pt idx="122">
                  <c:v>77716735.895356506</c:v>
                </c:pt>
                <c:pt idx="123">
                  <c:v>85488409.48489216</c:v>
                </c:pt>
                <c:pt idx="124">
                  <c:v>94037250.433381379</c:v>
                </c:pt>
                <c:pt idx="125">
                  <c:v>103440975.47671953</c:v>
                </c:pt>
                <c:pt idx="126">
                  <c:v>113785073.02439149</c:v>
                </c:pt>
                <c:pt idx="127">
                  <c:v>125163580.32683064</c:v>
                </c:pt>
                <c:pt idx="128">
                  <c:v>137679938.35951373</c:v>
                </c:pt>
                <c:pt idx="129">
                  <c:v>151447932.19546512</c:v>
                </c:pt>
                <c:pt idx="130">
                  <c:v>166592725.41501164</c:v>
                </c:pt>
                <c:pt idx="131">
                  <c:v>183251997.95651281</c:v>
                </c:pt>
                <c:pt idx="132">
                  <c:v>201577197.7521641</c:v>
                </c:pt>
                <c:pt idx="133">
                  <c:v>221734917.52738053</c:v>
                </c:pt>
                <c:pt idx="134">
                  <c:v>243908409.28011858</c:v>
                </c:pt>
                <c:pt idx="135">
                  <c:v>268299250.20813048</c:v>
                </c:pt>
                <c:pt idx="136">
                  <c:v>295129175.22894353</c:v>
                </c:pt>
                <c:pt idx="137">
                  <c:v>324642092.75183791</c:v>
                </c:pt>
                <c:pt idx="138">
                  <c:v>357106302.02702171</c:v>
                </c:pt>
                <c:pt idx="139">
                  <c:v>392816932.22972393</c:v>
                </c:pt>
                <c:pt idx="140">
                  <c:v>432098625.45269638</c:v>
                </c:pt>
                <c:pt idx="141">
                  <c:v>475308487.99796605</c:v>
                </c:pt>
                <c:pt idx="142">
                  <c:v>522839336.79776269</c:v>
                </c:pt>
                <c:pt idx="143">
                  <c:v>575123270.47753906</c:v>
                </c:pt>
                <c:pt idx="144">
                  <c:v>632635597.52529299</c:v>
                </c:pt>
                <c:pt idx="145">
                  <c:v>695899157.27782238</c:v>
                </c:pt>
                <c:pt idx="146">
                  <c:v>765489073.00560462</c:v>
                </c:pt>
                <c:pt idx="147">
                  <c:v>842037980.3061651</c:v>
                </c:pt>
                <c:pt idx="148">
                  <c:v>926241778.33678174</c:v>
                </c:pt>
                <c:pt idx="149">
                  <c:v>1018865956.17046</c:v>
                </c:pt>
                <c:pt idx="150">
                  <c:v>1120752551.7875061</c:v>
                </c:pt>
                <c:pt idx="151">
                  <c:v>1232827806.9662569</c:v>
                </c:pt>
                <c:pt idx="152">
                  <c:v>1356110587.6628826</c:v>
                </c:pt>
                <c:pt idx="153">
                  <c:v>1491721646.4291708</c:v>
                </c:pt>
                <c:pt idx="154">
                  <c:v>1640893811.072088</c:v>
                </c:pt>
                <c:pt idx="155">
                  <c:v>1804983192.179297</c:v>
                </c:pt>
                <c:pt idx="156">
                  <c:v>1985481511.3972268</c:v>
                </c:pt>
                <c:pt idx="157">
                  <c:v>2184029662.5369496</c:v>
                </c:pt>
                <c:pt idx="158">
                  <c:v>2402432628.7906446</c:v>
                </c:pt>
                <c:pt idx="159">
                  <c:v>2642675891.6697092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827542.5</c:v>
                </c:pt>
                <c:pt idx="74">
                  <c:v>1034428.125</c:v>
                </c:pt>
                <c:pt idx="75">
                  <c:v>1293035.15625</c:v>
                </c:pt>
                <c:pt idx="76">
                  <c:v>1616293.9453125</c:v>
                </c:pt>
                <c:pt idx="77">
                  <c:v>2020367.431640625</c:v>
                </c:pt>
                <c:pt idx="78">
                  <c:v>2525459.2895507813</c:v>
                </c:pt>
                <c:pt idx="79">
                  <c:v>3156824.1119384766</c:v>
                </c:pt>
                <c:pt idx="80">
                  <c:v>3946030.1399230957</c:v>
                </c:pt>
                <c:pt idx="81">
                  <c:v>4932537.6749038696</c:v>
                </c:pt>
                <c:pt idx="82">
                  <c:v>6165672.093629837</c:v>
                </c:pt>
                <c:pt idx="83">
                  <c:v>7707090.1170372963</c:v>
                </c:pt>
                <c:pt idx="84">
                  <c:v>9633862.6462966204</c:v>
                </c:pt>
                <c:pt idx="85">
                  <c:v>12042328.307870775</c:v>
                </c:pt>
                <c:pt idx="86">
                  <c:v>15052910.384838469</c:v>
                </c:pt>
                <c:pt idx="87">
                  <c:v>18816137.981048085</c:v>
                </c:pt>
                <c:pt idx="88">
                  <c:v>23520172.476310104</c:v>
                </c:pt>
                <c:pt idx="89">
                  <c:v>29400215.59538763</c:v>
                </c:pt>
                <c:pt idx="90">
                  <c:v>36750269.49423454</c:v>
                </c:pt>
                <c:pt idx="91">
                  <c:v>45937836.867793173</c:v>
                </c:pt>
                <c:pt idx="92">
                  <c:v>57422296.084741466</c:v>
                </c:pt>
                <c:pt idx="93">
                  <c:v>71777870.105926827</c:v>
                </c:pt>
                <c:pt idx="94">
                  <c:v>89722337.63240853</c:v>
                </c:pt>
                <c:pt idx="95">
                  <c:v>112152922.04051065</c:v>
                </c:pt>
                <c:pt idx="96">
                  <c:v>140191152.55063832</c:v>
                </c:pt>
                <c:pt idx="97">
                  <c:v>175238940.6882979</c:v>
                </c:pt>
                <c:pt idx="98">
                  <c:v>219048675.86037236</c:v>
                </c:pt>
                <c:pt idx="99">
                  <c:v>273810844.82546544</c:v>
                </c:pt>
                <c:pt idx="100">
                  <c:v>342263556.0318318</c:v>
                </c:pt>
                <c:pt idx="101">
                  <c:v>427829445.03978974</c:v>
                </c:pt>
                <c:pt idx="102">
                  <c:v>534786806.29973716</c:v>
                </c:pt>
                <c:pt idx="103">
                  <c:v>668483507.87467146</c:v>
                </c:pt>
                <c:pt idx="104">
                  <c:v>835604384.84333932</c:v>
                </c:pt>
                <c:pt idx="105">
                  <c:v>1044505481.0541742</c:v>
                </c:pt>
                <c:pt idx="106">
                  <c:v>1305631851.3177178</c:v>
                </c:pt>
                <c:pt idx="107">
                  <c:v>1632039814.1471472</c:v>
                </c:pt>
                <c:pt idx="108">
                  <c:v>2040049767.683934</c:v>
                </c:pt>
                <c:pt idx="109">
                  <c:v>2550062209.6049175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926847.6</c:v>
                </c:pt>
                <c:pt idx="74">
                  <c:v>1297586.6399999999</c:v>
                </c:pt>
                <c:pt idx="75">
                  <c:v>1816621.2959999999</c:v>
                </c:pt>
                <c:pt idx="76">
                  <c:v>2543269.8143999996</c:v>
                </c:pt>
                <c:pt idx="77">
                  <c:v>3560577.7401599991</c:v>
                </c:pt>
                <c:pt idx="78">
                  <c:v>4984808.8362239981</c:v>
                </c:pt>
                <c:pt idx="79">
                  <c:v>6978732.3707135972</c:v>
                </c:pt>
                <c:pt idx="80">
                  <c:v>9770225.3189990353</c:v>
                </c:pt>
                <c:pt idx="81">
                  <c:v>13678315.446598649</c:v>
                </c:pt>
                <c:pt idx="82">
                  <c:v>19149641.625238106</c:v>
                </c:pt>
                <c:pt idx="83">
                  <c:v>26809498.275333345</c:v>
                </c:pt>
                <c:pt idx="84">
                  <c:v>37533297.585466683</c:v>
                </c:pt>
                <c:pt idx="85">
                  <c:v>52546616.619653352</c:v>
                </c:pt>
                <c:pt idx="86">
                  <c:v>73565263.267514691</c:v>
                </c:pt>
                <c:pt idx="87">
                  <c:v>102991368.57452056</c:v>
                </c:pt>
                <c:pt idx="88">
                  <c:v>144187916.00432876</c:v>
                </c:pt>
                <c:pt idx="89">
                  <c:v>201863082.40606025</c:v>
                </c:pt>
                <c:pt idx="90">
                  <c:v>282608315.36848432</c:v>
                </c:pt>
                <c:pt idx="91">
                  <c:v>395651641.51587802</c:v>
                </c:pt>
                <c:pt idx="92">
                  <c:v>553912298.12222922</c:v>
                </c:pt>
                <c:pt idx="93">
                  <c:v>775477217.37112081</c:v>
                </c:pt>
                <c:pt idx="94">
                  <c:v>1085668104.3195691</c:v>
                </c:pt>
                <c:pt idx="95">
                  <c:v>1519935346.0473967</c:v>
                </c:pt>
                <c:pt idx="96">
                  <c:v>2127909484.4663551</c:v>
                </c:pt>
                <c:pt idx="97">
                  <c:v>2765243340.4000001</c:v>
                </c:pt>
                <c:pt idx="98">
                  <c:v>2765243340.4000001</c:v>
                </c:pt>
                <c:pt idx="99">
                  <c:v>2765243340.4000001</c:v>
                </c:pt>
                <c:pt idx="100">
                  <c:v>2765243340.4000001</c:v>
                </c:pt>
                <c:pt idx="101">
                  <c:v>2765243340.4000001</c:v>
                </c:pt>
                <c:pt idx="102">
                  <c:v>2765243340.4000001</c:v>
                </c:pt>
                <c:pt idx="103">
                  <c:v>2765243340.4000001</c:v>
                </c:pt>
                <c:pt idx="104">
                  <c:v>2765243340.4000001</c:v>
                </c:pt>
                <c:pt idx="105">
                  <c:v>2765243340.4000001</c:v>
                </c:pt>
                <c:pt idx="106">
                  <c:v>2765243340.4000001</c:v>
                </c:pt>
                <c:pt idx="107">
                  <c:v>2765243340.4000001</c:v>
                </c:pt>
                <c:pt idx="108">
                  <c:v>2765243340.4000001</c:v>
                </c:pt>
                <c:pt idx="109">
                  <c:v>2765243340.4000001</c:v>
                </c:pt>
                <c:pt idx="110">
                  <c:v>2765243340.4000001</c:v>
                </c:pt>
                <c:pt idx="111">
                  <c:v>2765243340.4000001</c:v>
                </c:pt>
                <c:pt idx="112">
                  <c:v>2765243340.4000001</c:v>
                </c:pt>
                <c:pt idx="113">
                  <c:v>2765243340.4000001</c:v>
                </c:pt>
                <c:pt idx="114">
                  <c:v>2765243340.4000001</c:v>
                </c:pt>
                <c:pt idx="115">
                  <c:v>2765243340.4000001</c:v>
                </c:pt>
                <c:pt idx="116">
                  <c:v>2765243340.4000001</c:v>
                </c:pt>
                <c:pt idx="117">
                  <c:v>2765243340.4000001</c:v>
                </c:pt>
                <c:pt idx="118">
                  <c:v>2765243340.4000001</c:v>
                </c:pt>
                <c:pt idx="119">
                  <c:v>2765243340.4000001</c:v>
                </c:pt>
                <c:pt idx="120">
                  <c:v>2765243340.4000001</c:v>
                </c:pt>
                <c:pt idx="121">
                  <c:v>2765243340.4000001</c:v>
                </c:pt>
                <c:pt idx="122">
                  <c:v>2765243340.4000001</c:v>
                </c:pt>
                <c:pt idx="123">
                  <c:v>2765243340.4000001</c:v>
                </c:pt>
                <c:pt idx="124">
                  <c:v>2765243340.4000001</c:v>
                </c:pt>
                <c:pt idx="125">
                  <c:v>2765243340.4000001</c:v>
                </c:pt>
                <c:pt idx="126">
                  <c:v>2765243340.4000001</c:v>
                </c:pt>
                <c:pt idx="127">
                  <c:v>2765243340.4000001</c:v>
                </c:pt>
                <c:pt idx="128">
                  <c:v>2765243340.4000001</c:v>
                </c:pt>
                <c:pt idx="129">
                  <c:v>2765243340.4000001</c:v>
                </c:pt>
                <c:pt idx="130">
                  <c:v>2765243340.4000001</c:v>
                </c:pt>
                <c:pt idx="131">
                  <c:v>2765243340.4000001</c:v>
                </c:pt>
                <c:pt idx="132">
                  <c:v>2765243340.4000001</c:v>
                </c:pt>
                <c:pt idx="133">
                  <c:v>2765243340.4000001</c:v>
                </c:pt>
                <c:pt idx="134">
                  <c:v>2765243340.4000001</c:v>
                </c:pt>
                <c:pt idx="135">
                  <c:v>2765243340.4000001</c:v>
                </c:pt>
                <c:pt idx="136">
                  <c:v>2765243340.4000001</c:v>
                </c:pt>
                <c:pt idx="137">
                  <c:v>2765243340.4000001</c:v>
                </c:pt>
                <c:pt idx="138">
                  <c:v>2765243340.4000001</c:v>
                </c:pt>
                <c:pt idx="139">
                  <c:v>2765243340.4000001</c:v>
                </c:pt>
                <c:pt idx="140">
                  <c:v>2765243340.4000001</c:v>
                </c:pt>
                <c:pt idx="141">
                  <c:v>2765243340.4000001</c:v>
                </c:pt>
                <c:pt idx="142">
                  <c:v>2765243340.4000001</c:v>
                </c:pt>
                <c:pt idx="143">
                  <c:v>2765243340.4000001</c:v>
                </c:pt>
                <c:pt idx="144">
                  <c:v>2765243340.4000001</c:v>
                </c:pt>
                <c:pt idx="145">
                  <c:v>2765243340.4000001</c:v>
                </c:pt>
                <c:pt idx="146">
                  <c:v>2765243340.4000001</c:v>
                </c:pt>
                <c:pt idx="147">
                  <c:v>2765243340.4000001</c:v>
                </c:pt>
                <c:pt idx="148">
                  <c:v>2765243340.4000001</c:v>
                </c:pt>
                <c:pt idx="149">
                  <c:v>2765243340.4000001</c:v>
                </c:pt>
                <c:pt idx="150">
                  <c:v>2765243340.4000001</c:v>
                </c:pt>
                <c:pt idx="151">
                  <c:v>2765243340.4000001</c:v>
                </c:pt>
                <c:pt idx="152">
                  <c:v>2765243340.4000001</c:v>
                </c:pt>
                <c:pt idx="153">
                  <c:v>2765243340.4000001</c:v>
                </c:pt>
                <c:pt idx="154">
                  <c:v>2765243340.4000001</c:v>
                </c:pt>
                <c:pt idx="155">
                  <c:v>2765243340.4000001</c:v>
                </c:pt>
                <c:pt idx="156">
                  <c:v>2765243340.4000001</c:v>
                </c:pt>
                <c:pt idx="157">
                  <c:v>2765243340.4000001</c:v>
                </c:pt>
                <c:pt idx="158">
                  <c:v>2765243340.4000001</c:v>
                </c:pt>
                <c:pt idx="159">
                  <c:v>2765243340.4000001</c:v>
                </c:pt>
                <c:pt idx="160">
                  <c:v>2765243340.4000001</c:v>
                </c:pt>
                <c:pt idx="161">
                  <c:v>2765243340.4000001</c:v>
                </c:pt>
                <c:pt idx="162">
                  <c:v>2765243340.4000001</c:v>
                </c:pt>
                <c:pt idx="163">
                  <c:v>2765243340.4000001</c:v>
                </c:pt>
                <c:pt idx="164">
                  <c:v>2765243340.4000001</c:v>
                </c:pt>
                <c:pt idx="165">
                  <c:v>2765243340.4000001</c:v>
                </c:pt>
                <c:pt idx="166">
                  <c:v>2765243340.4000001</c:v>
                </c:pt>
                <c:pt idx="167">
                  <c:v>2765243340.4000001</c:v>
                </c:pt>
                <c:pt idx="168">
                  <c:v>2765243340.4000001</c:v>
                </c:pt>
                <c:pt idx="169">
                  <c:v>2765243340.4000001</c:v>
                </c:pt>
                <c:pt idx="170">
                  <c:v>2765243340.4000001</c:v>
                </c:pt>
                <c:pt idx="171">
                  <c:v>2765243340.4000001</c:v>
                </c:pt>
                <c:pt idx="172">
                  <c:v>2765243340.4000001</c:v>
                </c:pt>
                <c:pt idx="173">
                  <c:v>2765243340.4000001</c:v>
                </c:pt>
                <c:pt idx="174">
                  <c:v>2765243340.4000001</c:v>
                </c:pt>
                <c:pt idx="175">
                  <c:v>2765243340.4000001</c:v>
                </c:pt>
                <c:pt idx="176">
                  <c:v>2765243340.4000001</c:v>
                </c:pt>
                <c:pt idx="177">
                  <c:v>2765243340.4000001</c:v>
                </c:pt>
                <c:pt idx="178">
                  <c:v>2765243340.4000001</c:v>
                </c:pt>
                <c:pt idx="179">
                  <c:v>2765243340.4000001</c:v>
                </c:pt>
                <c:pt idx="180">
                  <c:v>2765243340.4000001</c:v>
                </c:pt>
                <c:pt idx="181">
                  <c:v>2765243340.4000001</c:v>
                </c:pt>
                <c:pt idx="182">
                  <c:v>2765243340.4000001</c:v>
                </c:pt>
                <c:pt idx="183">
                  <c:v>2765243340.4000001</c:v>
                </c:pt>
                <c:pt idx="184">
                  <c:v>2765243340.4000001</c:v>
                </c:pt>
                <c:pt idx="185">
                  <c:v>2765243340.4000001</c:v>
                </c:pt>
                <c:pt idx="186">
                  <c:v>2765243340.4000001</c:v>
                </c:pt>
                <c:pt idx="187">
                  <c:v>2765243340.4000001</c:v>
                </c:pt>
                <c:pt idx="188">
                  <c:v>2765243340.4000001</c:v>
                </c:pt>
                <c:pt idx="189">
                  <c:v>2765243340.4000001</c:v>
                </c:pt>
                <c:pt idx="190">
                  <c:v>2765243340.4000001</c:v>
                </c:pt>
                <c:pt idx="191">
                  <c:v>2765243340.4000001</c:v>
                </c:pt>
                <c:pt idx="192">
                  <c:v>2765243340.4000001</c:v>
                </c:pt>
                <c:pt idx="193">
                  <c:v>2765243340.4000001</c:v>
                </c:pt>
                <c:pt idx="194">
                  <c:v>2765243340.4000001</c:v>
                </c:pt>
                <c:pt idx="195">
                  <c:v>2765243340.4000001</c:v>
                </c:pt>
                <c:pt idx="196">
                  <c:v>2765243340.4000001</c:v>
                </c:pt>
                <c:pt idx="197">
                  <c:v>2765243340.4000001</c:v>
                </c:pt>
                <c:pt idx="198">
                  <c:v>2765243340.4000001</c:v>
                </c:pt>
                <c:pt idx="199">
                  <c:v>2765243340.4000001</c:v>
                </c:pt>
                <c:pt idx="200">
                  <c:v>2765243340.4000001</c:v>
                </c:pt>
                <c:pt idx="201">
                  <c:v>2765243340.4000001</c:v>
                </c:pt>
                <c:pt idx="202">
                  <c:v>2765243340.4000001</c:v>
                </c:pt>
                <c:pt idx="203">
                  <c:v>2765243340.4000001</c:v>
                </c:pt>
                <c:pt idx="204">
                  <c:v>2765243340.4000001</c:v>
                </c:pt>
                <c:pt idx="205">
                  <c:v>2765243340.4000001</c:v>
                </c:pt>
                <c:pt idx="206">
                  <c:v>2765243340.4000001</c:v>
                </c:pt>
                <c:pt idx="207">
                  <c:v>2765243340.4000001</c:v>
                </c:pt>
                <c:pt idx="208">
                  <c:v>2765243340.4000001</c:v>
                </c:pt>
                <c:pt idx="209">
                  <c:v>2765243340.4000001</c:v>
                </c:pt>
                <c:pt idx="210">
                  <c:v>2765243340.4000001</c:v>
                </c:pt>
                <c:pt idx="211">
                  <c:v>2765243340.4000001</c:v>
                </c:pt>
                <c:pt idx="212">
                  <c:v>2765243340.4000001</c:v>
                </c:pt>
                <c:pt idx="213">
                  <c:v>2765243340.4000001</c:v>
                </c:pt>
                <c:pt idx="214">
                  <c:v>2765243340.4000001</c:v>
                </c:pt>
                <c:pt idx="215">
                  <c:v>2765243340.4000001</c:v>
                </c:pt>
                <c:pt idx="216">
                  <c:v>2765243340.4000001</c:v>
                </c:pt>
                <c:pt idx="217">
                  <c:v>2765243340.4000001</c:v>
                </c:pt>
                <c:pt idx="218">
                  <c:v>2765243340.4000001</c:v>
                </c:pt>
                <c:pt idx="219">
                  <c:v>2765243340.4000001</c:v>
                </c:pt>
                <c:pt idx="220">
                  <c:v>2765243340.4000001</c:v>
                </c:pt>
                <c:pt idx="221">
                  <c:v>2765243340.4000001</c:v>
                </c:pt>
                <c:pt idx="222">
                  <c:v>2765243340.4000001</c:v>
                </c:pt>
                <c:pt idx="223">
                  <c:v>2765243340.4000001</c:v>
                </c:pt>
                <c:pt idx="224">
                  <c:v>2765243340.4000001</c:v>
                </c:pt>
                <c:pt idx="225">
                  <c:v>2765243340.4000001</c:v>
                </c:pt>
                <c:pt idx="226">
                  <c:v>2765243340.4000001</c:v>
                </c:pt>
                <c:pt idx="227">
                  <c:v>2765243340.4000001</c:v>
                </c:pt>
                <c:pt idx="228">
                  <c:v>2765243340.4000001</c:v>
                </c:pt>
                <c:pt idx="229">
                  <c:v>2765243340.4000001</c:v>
                </c:pt>
                <c:pt idx="230">
                  <c:v>2765243340.4000001</c:v>
                </c:pt>
                <c:pt idx="231">
                  <c:v>2765243340.4000001</c:v>
                </c:pt>
                <c:pt idx="232">
                  <c:v>2765243340.4000001</c:v>
                </c:pt>
                <c:pt idx="233">
                  <c:v>2765243340.4000001</c:v>
                </c:pt>
                <c:pt idx="234">
                  <c:v>2765243340.4000001</c:v>
                </c:pt>
                <c:pt idx="235">
                  <c:v>2765243340.4000001</c:v>
                </c:pt>
                <c:pt idx="236">
                  <c:v>2765243340.4000001</c:v>
                </c:pt>
                <c:pt idx="237">
                  <c:v>2765243340.4000001</c:v>
                </c:pt>
                <c:pt idx="238">
                  <c:v>2765243340.4000001</c:v>
                </c:pt>
                <c:pt idx="239">
                  <c:v>2765243340.4000001</c:v>
                </c:pt>
                <c:pt idx="240">
                  <c:v>2765243340.4000001</c:v>
                </c:pt>
                <c:pt idx="241">
                  <c:v>2765243340.4000001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555</c:v>
                </c:pt>
                <c:pt idx="1">
                  <c:v>565</c:v>
                </c:pt>
                <c:pt idx="2">
                  <c:v>654.5</c:v>
                </c:pt>
                <c:pt idx="3">
                  <c:v>1224</c:v>
                </c:pt>
                <c:pt idx="4">
                  <c:v>1940.25</c:v>
                </c:pt>
                <c:pt idx="5">
                  <c:v>2751</c:v>
                </c:pt>
                <c:pt idx="6">
                  <c:v>5371.5</c:v>
                </c:pt>
                <c:pt idx="7">
                  <c:v>5970.7142857142853</c:v>
                </c:pt>
                <c:pt idx="8">
                  <c:v>8010.625</c:v>
                </c:pt>
                <c:pt idx="9">
                  <c:v>9669.3333333333339</c:v>
                </c:pt>
                <c:pt idx="10">
                  <c:v>11740.5</c:v>
                </c:pt>
                <c:pt idx="11">
                  <c:v>16391.545454545456</c:v>
                </c:pt>
                <c:pt idx="12">
                  <c:v>18721</c:v>
                </c:pt>
                <c:pt idx="13">
                  <c:v>22206</c:v>
                </c:pt>
                <c:pt idx="14">
                  <c:v>25202</c:v>
                </c:pt>
                <c:pt idx="15">
                  <c:v>27428</c:v>
                </c:pt>
                <c:pt idx="16">
                  <c:v>29983</c:v>
                </c:pt>
                <c:pt idx="17">
                  <c:v>28204</c:v>
                </c:pt>
                <c:pt idx="18">
                  <c:v>32561</c:v>
                </c:pt>
                <c:pt idx="19">
                  <c:v>31521</c:v>
                </c:pt>
                <c:pt idx="20">
                  <c:v>32189</c:v>
                </c:pt>
                <c:pt idx="21">
                  <c:v>35325</c:v>
                </c:pt>
                <c:pt idx="22">
                  <c:v>37751</c:v>
                </c:pt>
                <c:pt idx="23">
                  <c:v>42659</c:v>
                </c:pt>
                <c:pt idx="24">
                  <c:v>39734</c:v>
                </c:pt>
                <c:pt idx="25">
                  <c:v>38357</c:v>
                </c:pt>
                <c:pt idx="26">
                  <c:v>37687</c:v>
                </c:pt>
                <c:pt idx="27">
                  <c:v>35525</c:v>
                </c:pt>
                <c:pt idx="28">
                  <c:v>34001</c:v>
                </c:pt>
                <c:pt idx="29">
                  <c:v>31211</c:v>
                </c:pt>
                <c:pt idx="30">
                  <c:v>29888</c:v>
                </c:pt>
                <c:pt idx="31">
                  <c:v>29988</c:v>
                </c:pt>
                <c:pt idx="32">
                  <c:v>21017</c:v>
                </c:pt>
                <c:pt idx="33">
                  <c:v>7769</c:v>
                </c:pt>
                <c:pt idx="34">
                  <c:v>5544</c:v>
                </c:pt>
                <c:pt idx="35">
                  <c:v>8903</c:v>
                </c:pt>
                <c:pt idx="36">
                  <c:v>8112</c:v>
                </c:pt>
                <c:pt idx="37">
                  <c:v>7768</c:v>
                </c:pt>
                <c:pt idx="38">
                  <c:v>8133</c:v>
                </c:pt>
                <c:pt idx="39">
                  <c:v>11469</c:v>
                </c:pt>
                <c:pt idx="40">
                  <c:v>12782</c:v>
                </c:pt>
                <c:pt idx="41">
                  <c:v>14426</c:v>
                </c:pt>
                <c:pt idx="42">
                  <c:v>14138</c:v>
                </c:pt>
                <c:pt idx="43">
                  <c:v>17714</c:v>
                </c:pt>
                <c:pt idx="44">
                  <c:v>20947</c:v>
                </c:pt>
                <c:pt idx="45">
                  <c:v>23797</c:v>
                </c:pt>
                <c:pt idx="46">
                  <c:v>26479</c:v>
                </c:pt>
                <c:pt idx="47">
                  <c:v>28338</c:v>
                </c:pt>
                <c:pt idx="48">
                  <c:v>31781</c:v>
                </c:pt>
                <c:pt idx="49">
                  <c:v>36330</c:v>
                </c:pt>
                <c:pt idx="50">
                  <c:v>40592</c:v>
                </c:pt>
                <c:pt idx="51">
                  <c:v>50698</c:v>
                </c:pt>
                <c:pt idx="52">
                  <c:v>58087</c:v>
                </c:pt>
                <c:pt idx="53">
                  <c:v>67946</c:v>
                </c:pt>
                <c:pt idx="54">
                  <c:v>77142</c:v>
                </c:pt>
                <c:pt idx="55">
                  <c:v>86862</c:v>
                </c:pt>
                <c:pt idx="56">
                  <c:v>99513</c:v>
                </c:pt>
                <c:pt idx="57">
                  <c:v>123033</c:v>
                </c:pt>
                <c:pt idx="58">
                  <c:v>147196</c:v>
                </c:pt>
                <c:pt idx="59">
                  <c:v>171841</c:v>
                </c:pt>
                <c:pt idx="60">
                  <c:v>193563</c:v>
                </c:pt>
                <c:pt idx="61">
                  <c:v>225717</c:v>
                </c:pt>
                <c:pt idx="62">
                  <c:v>247324</c:v>
                </c:pt>
                <c:pt idx="63">
                  <c:v>284803</c:v>
                </c:pt>
                <c:pt idx="64">
                  <c:v>330557</c:v>
                </c:pt>
                <c:pt idx="65">
                  <c:v>377957</c:v>
                </c:pt>
                <c:pt idx="66">
                  <c:v>424808</c:v>
                </c:pt>
                <c:pt idx="67">
                  <c:v>465176</c:v>
                </c:pt>
                <c:pt idx="68">
                  <c:v>489932</c:v>
                </c:pt>
                <c:pt idx="69">
                  <c:v>536688</c:v>
                </c:pt>
                <c:pt idx="70">
                  <c:v>578055</c:v>
                </c:pt>
                <c:pt idx="71">
                  <c:v>627403</c:v>
                </c:pt>
                <c:pt idx="72">
                  <c:v>662034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  <c:pt idx="66">
                  <c:v>30618</c:v>
                </c:pt>
                <c:pt idx="67">
                  <c:v>33885</c:v>
                </c:pt>
                <c:pt idx="68">
                  <c:v>37536</c:v>
                </c:pt>
                <c:pt idx="69">
                  <c:v>42054</c:v>
                </c:pt>
                <c:pt idx="70">
                  <c:v>46745</c:v>
                </c:pt>
                <c:pt idx="71">
                  <c:v>52909</c:v>
                </c:pt>
                <c:pt idx="72">
                  <c:v>58708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1.8018018018018056E-2</c:v>
                </c:pt>
                <c:pt idx="1">
                  <c:v>1.8018018018018056E-2</c:v>
                </c:pt>
                <c:pt idx="2">
                  <c:v>4.066076529489656E-2</c:v>
                </c:pt>
                <c:pt idx="3">
                  <c:v>0.13520667965977151</c:v>
                </c:pt>
                <c:pt idx="4">
                  <c:v>0.25166272422903208</c:v>
                </c:pt>
                <c:pt idx="5">
                  <c:v>0.34879223852519775</c:v>
                </c:pt>
                <c:pt idx="6">
                  <c:v>0.43789070703461658</c:v>
                </c:pt>
                <c:pt idx="7">
                  <c:v>0.50077839350230979</c:v>
                </c:pt>
                <c:pt idx="8">
                  <c:v>0.5270175839237301</c:v>
                </c:pt>
                <c:pt idx="9">
                  <c:v>0.46364073335958911</c:v>
                </c:pt>
                <c:pt idx="10">
                  <c:v>0.39052971845599654</c:v>
                </c:pt>
                <c:pt idx="11">
                  <c:v>0.32184065424677782</c:v>
                </c:pt>
                <c:pt idx="12">
                  <c:v>0.28116169350495651</c:v>
                </c:pt>
                <c:pt idx="13">
                  <c:v>0.24432247723981257</c:v>
                </c:pt>
                <c:pt idx="14">
                  <c:v>0.23138649112065304</c:v>
                </c:pt>
                <c:pt idx="15">
                  <c:v>0.20744326348086148</c:v>
                </c:pt>
                <c:pt idx="16">
                  <c:v>0.17483332928990736</c:v>
                </c:pt>
                <c:pt idx="17">
                  <c:v>0.13291301606289307</c:v>
                </c:pt>
                <c:pt idx="18">
                  <c:v>9.778058491338526E-2</c:v>
                </c:pt>
                <c:pt idx="19">
                  <c:v>7.0245124949999196E-2</c:v>
                </c:pt>
                <c:pt idx="20">
                  <c:v>5.261635587074872E-2</c:v>
                </c:pt>
                <c:pt idx="21">
                  <c:v>3.7209323891846058E-2</c:v>
                </c:pt>
                <c:pt idx="22">
                  <c:v>4.1969601112255374E-2</c:v>
                </c:pt>
                <c:pt idx="23">
                  <c:v>4.962979950727734E-2</c:v>
                </c:pt>
                <c:pt idx="24">
                  <c:v>5.4317824695453876E-2</c:v>
                </c:pt>
                <c:pt idx="25">
                  <c:v>4.6198231619282236E-2</c:v>
                </c:pt>
                <c:pt idx="26">
                  <c:v>3.2037708895507867E-2</c:v>
                </c:pt>
                <c:pt idx="27">
                  <c:v>1.2210635579116022E-2</c:v>
                </c:pt>
                <c:pt idx="28">
                  <c:v>-1.4469444852146629E-2</c:v>
                </c:pt>
                <c:pt idx="29">
                  <c:v>-3.4525791572024213E-2</c:v>
                </c:pt>
                <c:pt idx="30">
                  <c:v>-4.6722509714484474E-2</c:v>
                </c:pt>
                <c:pt idx="31">
                  <c:v>-4.6828859617340513E-2</c:v>
                </c:pt>
                <c:pt idx="32">
                  <c:v>-6.4334973360152883E-2</c:v>
                </c:pt>
                <c:pt idx="33">
                  <c:v>-0.13332919252303163</c:v>
                </c:pt>
                <c:pt idx="34">
                  <c:v>-0.21584160566889343</c:v>
                </c:pt>
                <c:pt idx="35">
                  <c:v>-0.25432601703837138</c:v>
                </c:pt>
                <c:pt idx="36">
                  <c:v>-0.24580687346468433</c:v>
                </c:pt>
                <c:pt idx="37">
                  <c:v>-0.20857028464659325</c:v>
                </c:pt>
                <c:pt idx="38">
                  <c:v>-0.13379983368722159</c:v>
                </c:pt>
                <c:pt idx="39">
                  <c:v>-4.9388018529978135E-3</c:v>
                </c:pt>
                <c:pt idx="40">
                  <c:v>8.0231976899737559E-2</c:v>
                </c:pt>
                <c:pt idx="41">
                  <c:v>0.11784131266590732</c:v>
                </c:pt>
                <c:pt idx="42">
                  <c:v>0.10809201620228914</c:v>
                </c:pt>
                <c:pt idx="43">
                  <c:v>0.1392414232091875</c:v>
                </c:pt>
                <c:pt idx="44">
                  <c:v>0.14124096712871861</c:v>
                </c:pt>
                <c:pt idx="45">
                  <c:v>0.14294832563635618</c:v>
                </c:pt>
                <c:pt idx="46">
                  <c:v>0.12984515796885177</c:v>
                </c:pt>
                <c:pt idx="47">
                  <c:v>0.13690358397097749</c:v>
                </c:pt>
                <c:pt idx="48">
                  <c:v>0.13412011918752045</c:v>
                </c:pt>
                <c:pt idx="49">
                  <c:v>0.1298781734327179</c:v>
                </c:pt>
                <c:pt idx="50">
                  <c:v>0.11771570251255237</c:v>
                </c:pt>
                <c:pt idx="51">
                  <c:v>0.1226198159532137</c:v>
                </c:pt>
                <c:pt idx="52">
                  <c:v>0.13526613888635394</c:v>
                </c:pt>
                <c:pt idx="53">
                  <c:v>0.15240274575309321</c:v>
                </c:pt>
                <c:pt idx="54">
                  <c:v>0.1603394549936478</c:v>
                </c:pt>
                <c:pt idx="55">
                  <c:v>0.16366378250601099</c:v>
                </c:pt>
                <c:pt idx="56">
                  <c:v>0.15708904947316116</c:v>
                </c:pt>
                <c:pt idx="57">
                  <c:v>0.15689586089805507</c:v>
                </c:pt>
                <c:pt idx="58">
                  <c:v>0.157851954958213</c:v>
                </c:pt>
                <c:pt idx="59">
                  <c:v>0.16762774218490337</c:v>
                </c:pt>
                <c:pt idx="60">
                  <c:v>0.17158073035628271</c:v>
                </c:pt>
                <c:pt idx="61">
                  <c:v>0.17517211053665202</c:v>
                </c:pt>
                <c:pt idx="62">
                  <c:v>0.16721986551437004</c:v>
                </c:pt>
                <c:pt idx="63">
                  <c:v>0.15632116181061328</c:v>
                </c:pt>
                <c:pt idx="64">
                  <c:v>0.14359127759408455</c:v>
                </c:pt>
                <c:pt idx="65">
                  <c:v>0.14136935403193104</c:v>
                </c:pt>
                <c:pt idx="66">
                  <c:v>0.13926963111474691</c:v>
                </c:pt>
                <c:pt idx="67">
                  <c:v>0.13756433020980544</c:v>
                </c:pt>
                <c:pt idx="68">
                  <c:v>0.12802874750390955</c:v>
                </c:pt>
                <c:pt idx="69">
                  <c:v>0.11701673110032014</c:v>
                </c:pt>
                <c:pt idx="70">
                  <c:v>0.10169044719332405</c:v>
                </c:pt>
                <c:pt idx="71">
                  <c:v>9.0528532939319797E-2</c:v>
                </c:pt>
                <c:pt idx="72">
                  <c:v>8.0978562783374855E-2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43922</c:v>
                </c:pt>
                <c:pt idx="71">
                  <c:v>43923</c:v>
                </c:pt>
                <c:pt idx="72">
                  <c:v>43924</c:v>
                </c:pt>
                <c:pt idx="73">
                  <c:v>43925</c:v>
                </c:pt>
                <c:pt idx="74">
                  <c:v>43926</c:v>
                </c:pt>
                <c:pt idx="75">
                  <c:v>43927</c:v>
                </c:pt>
                <c:pt idx="76">
                  <c:v>43928</c:v>
                </c:pt>
                <c:pt idx="77">
                  <c:v>43929</c:v>
                </c:pt>
                <c:pt idx="78">
                  <c:v>43930</c:v>
                </c:pt>
                <c:pt idx="79">
                  <c:v>43931</c:v>
                </c:pt>
                <c:pt idx="80">
                  <c:v>43932</c:v>
                </c:pt>
                <c:pt idx="81">
                  <c:v>43933</c:v>
                </c:pt>
                <c:pt idx="82">
                  <c:v>43934</c:v>
                </c:pt>
                <c:pt idx="83">
                  <c:v>43935</c:v>
                </c:pt>
                <c:pt idx="84">
                  <c:v>43936</c:v>
                </c:pt>
                <c:pt idx="85">
                  <c:v>43937</c:v>
                </c:pt>
                <c:pt idx="86">
                  <c:v>43938</c:v>
                </c:pt>
                <c:pt idx="87">
                  <c:v>43939</c:v>
                </c:pt>
                <c:pt idx="88">
                  <c:v>43940</c:v>
                </c:pt>
                <c:pt idx="89">
                  <c:v>43941</c:v>
                </c:pt>
                <c:pt idx="90">
                  <c:v>43942</c:v>
                </c:pt>
                <c:pt idx="91">
                  <c:v>43943</c:v>
                </c:pt>
                <c:pt idx="92">
                  <c:v>43944</c:v>
                </c:pt>
                <c:pt idx="93">
                  <c:v>43945</c:v>
                </c:pt>
                <c:pt idx="94">
                  <c:v>43946</c:v>
                </c:pt>
                <c:pt idx="95">
                  <c:v>43947</c:v>
                </c:pt>
                <c:pt idx="96">
                  <c:v>43948</c:v>
                </c:pt>
                <c:pt idx="97">
                  <c:v>43949</c:v>
                </c:pt>
                <c:pt idx="98">
                  <c:v>43950</c:v>
                </c:pt>
                <c:pt idx="99">
                  <c:v>43951</c:v>
                </c:pt>
                <c:pt idx="100">
                  <c:v>43952</c:v>
                </c:pt>
                <c:pt idx="101">
                  <c:v>43953</c:v>
                </c:pt>
                <c:pt idx="102">
                  <c:v>43954</c:v>
                </c:pt>
                <c:pt idx="103">
                  <c:v>43955</c:v>
                </c:pt>
                <c:pt idx="104">
                  <c:v>43956</c:v>
                </c:pt>
                <c:pt idx="105">
                  <c:v>43957</c:v>
                </c:pt>
                <c:pt idx="106">
                  <c:v>43958</c:v>
                </c:pt>
                <c:pt idx="107">
                  <c:v>43959</c:v>
                </c:pt>
                <c:pt idx="108">
                  <c:v>43960</c:v>
                </c:pt>
                <c:pt idx="109">
                  <c:v>43961</c:v>
                </c:pt>
                <c:pt idx="110">
                  <c:v>43962</c:v>
                </c:pt>
                <c:pt idx="111">
                  <c:v>43963</c:v>
                </c:pt>
                <c:pt idx="112">
                  <c:v>43964</c:v>
                </c:pt>
                <c:pt idx="113">
                  <c:v>43965</c:v>
                </c:pt>
                <c:pt idx="114">
                  <c:v>43966</c:v>
                </c:pt>
                <c:pt idx="115">
                  <c:v>43967</c:v>
                </c:pt>
                <c:pt idx="116">
                  <c:v>43968</c:v>
                </c:pt>
                <c:pt idx="117">
                  <c:v>43969</c:v>
                </c:pt>
                <c:pt idx="118">
                  <c:v>43970</c:v>
                </c:pt>
                <c:pt idx="119">
                  <c:v>43971</c:v>
                </c:pt>
                <c:pt idx="120">
                  <c:v>43972</c:v>
                </c:pt>
                <c:pt idx="121">
                  <c:v>43973</c:v>
                </c:pt>
                <c:pt idx="122">
                  <c:v>43974</c:v>
                </c:pt>
                <c:pt idx="123">
                  <c:v>43975</c:v>
                </c:pt>
                <c:pt idx="124">
                  <c:v>43976</c:v>
                </c:pt>
                <c:pt idx="125">
                  <c:v>43977</c:v>
                </c:pt>
                <c:pt idx="126">
                  <c:v>43978</c:v>
                </c:pt>
                <c:pt idx="127">
                  <c:v>43979</c:v>
                </c:pt>
                <c:pt idx="128">
                  <c:v>43980</c:v>
                </c:pt>
                <c:pt idx="129">
                  <c:v>43981</c:v>
                </c:pt>
                <c:pt idx="130">
                  <c:v>43982</c:v>
                </c:pt>
                <c:pt idx="131">
                  <c:v>43983</c:v>
                </c:pt>
                <c:pt idx="132">
                  <c:v>43984</c:v>
                </c:pt>
                <c:pt idx="133">
                  <c:v>43985</c:v>
                </c:pt>
                <c:pt idx="134">
                  <c:v>43986</c:v>
                </c:pt>
                <c:pt idx="135">
                  <c:v>43987</c:v>
                </c:pt>
                <c:pt idx="136">
                  <c:v>43988</c:v>
                </c:pt>
                <c:pt idx="137">
                  <c:v>43989</c:v>
                </c:pt>
                <c:pt idx="138">
                  <c:v>43990</c:v>
                </c:pt>
                <c:pt idx="139">
                  <c:v>43991</c:v>
                </c:pt>
                <c:pt idx="140">
                  <c:v>43992</c:v>
                </c:pt>
                <c:pt idx="141">
                  <c:v>43993</c:v>
                </c:pt>
                <c:pt idx="142">
                  <c:v>43994</c:v>
                </c:pt>
                <c:pt idx="143">
                  <c:v>43995</c:v>
                </c:pt>
                <c:pt idx="144">
                  <c:v>43996</c:v>
                </c:pt>
                <c:pt idx="145">
                  <c:v>43997</c:v>
                </c:pt>
                <c:pt idx="146">
                  <c:v>43998</c:v>
                </c:pt>
                <c:pt idx="147">
                  <c:v>43999</c:v>
                </c:pt>
                <c:pt idx="148">
                  <c:v>44000</c:v>
                </c:pt>
                <c:pt idx="149">
                  <c:v>44001</c:v>
                </c:pt>
                <c:pt idx="150">
                  <c:v>44002</c:v>
                </c:pt>
                <c:pt idx="151">
                  <c:v>44003</c:v>
                </c:pt>
                <c:pt idx="152">
                  <c:v>44004</c:v>
                </c:pt>
                <c:pt idx="153">
                  <c:v>44005</c:v>
                </c:pt>
                <c:pt idx="154">
                  <c:v>44006</c:v>
                </c:pt>
                <c:pt idx="155">
                  <c:v>44007</c:v>
                </c:pt>
                <c:pt idx="156">
                  <c:v>44008</c:v>
                </c:pt>
                <c:pt idx="157">
                  <c:v>44009</c:v>
                </c:pt>
                <c:pt idx="158">
                  <c:v>44010</c:v>
                </c:pt>
                <c:pt idx="159">
                  <c:v>44011</c:v>
                </c:pt>
                <c:pt idx="160">
                  <c:v>44012</c:v>
                </c:pt>
                <c:pt idx="161">
                  <c:v>44013</c:v>
                </c:pt>
                <c:pt idx="162">
                  <c:v>44014</c:v>
                </c:pt>
                <c:pt idx="163">
                  <c:v>44015</c:v>
                </c:pt>
                <c:pt idx="164">
                  <c:v>44016</c:v>
                </c:pt>
                <c:pt idx="165">
                  <c:v>44017</c:v>
                </c:pt>
                <c:pt idx="166">
                  <c:v>44018</c:v>
                </c:pt>
                <c:pt idx="167">
                  <c:v>44019</c:v>
                </c:pt>
                <c:pt idx="168">
                  <c:v>44020</c:v>
                </c:pt>
                <c:pt idx="169">
                  <c:v>44021</c:v>
                </c:pt>
                <c:pt idx="170">
                  <c:v>44022</c:v>
                </c:pt>
                <c:pt idx="171">
                  <c:v>44023</c:v>
                </c:pt>
                <c:pt idx="172">
                  <c:v>44024</c:v>
                </c:pt>
                <c:pt idx="173">
                  <c:v>44025</c:v>
                </c:pt>
                <c:pt idx="174">
                  <c:v>44026</c:v>
                </c:pt>
                <c:pt idx="175">
                  <c:v>44027</c:v>
                </c:pt>
                <c:pt idx="176">
                  <c:v>44028</c:v>
                </c:pt>
                <c:pt idx="177">
                  <c:v>44029</c:v>
                </c:pt>
                <c:pt idx="178">
                  <c:v>44030</c:v>
                </c:pt>
                <c:pt idx="179">
                  <c:v>44031</c:v>
                </c:pt>
                <c:pt idx="180">
                  <c:v>44032</c:v>
                </c:pt>
                <c:pt idx="181">
                  <c:v>44033</c:v>
                </c:pt>
                <c:pt idx="182">
                  <c:v>44034</c:v>
                </c:pt>
                <c:pt idx="183">
                  <c:v>44035</c:v>
                </c:pt>
                <c:pt idx="184">
                  <c:v>44036</c:v>
                </c:pt>
                <c:pt idx="185">
                  <c:v>44037</c:v>
                </c:pt>
                <c:pt idx="186">
                  <c:v>44038</c:v>
                </c:pt>
                <c:pt idx="187">
                  <c:v>44039</c:v>
                </c:pt>
                <c:pt idx="188">
                  <c:v>44040</c:v>
                </c:pt>
                <c:pt idx="189">
                  <c:v>44041</c:v>
                </c:pt>
                <c:pt idx="190">
                  <c:v>44042</c:v>
                </c:pt>
                <c:pt idx="191">
                  <c:v>44043</c:v>
                </c:pt>
                <c:pt idx="192">
                  <c:v>44044</c:v>
                </c:pt>
                <c:pt idx="193">
                  <c:v>44045</c:v>
                </c:pt>
                <c:pt idx="194">
                  <c:v>44046</c:v>
                </c:pt>
                <c:pt idx="195">
                  <c:v>44047</c:v>
                </c:pt>
                <c:pt idx="196">
                  <c:v>44048</c:v>
                </c:pt>
                <c:pt idx="197">
                  <c:v>44049</c:v>
                </c:pt>
                <c:pt idx="198">
                  <c:v>44050</c:v>
                </c:pt>
                <c:pt idx="199">
                  <c:v>44051</c:v>
                </c:pt>
                <c:pt idx="200">
                  <c:v>44052</c:v>
                </c:pt>
                <c:pt idx="201">
                  <c:v>44053</c:v>
                </c:pt>
                <c:pt idx="202">
                  <c:v>44054</c:v>
                </c:pt>
                <c:pt idx="203">
                  <c:v>44055</c:v>
                </c:pt>
                <c:pt idx="204">
                  <c:v>44056</c:v>
                </c:pt>
                <c:pt idx="205">
                  <c:v>44057</c:v>
                </c:pt>
                <c:pt idx="206">
                  <c:v>44058</c:v>
                </c:pt>
                <c:pt idx="207">
                  <c:v>44059</c:v>
                </c:pt>
                <c:pt idx="208">
                  <c:v>44060</c:v>
                </c:pt>
                <c:pt idx="209">
                  <c:v>44061</c:v>
                </c:pt>
                <c:pt idx="210">
                  <c:v>44062</c:v>
                </c:pt>
                <c:pt idx="211">
                  <c:v>44063</c:v>
                </c:pt>
                <c:pt idx="212">
                  <c:v>44064</c:v>
                </c:pt>
                <c:pt idx="213">
                  <c:v>44065</c:v>
                </c:pt>
                <c:pt idx="214">
                  <c:v>44066</c:v>
                </c:pt>
                <c:pt idx="215">
                  <c:v>44067</c:v>
                </c:pt>
                <c:pt idx="216">
                  <c:v>44068</c:v>
                </c:pt>
                <c:pt idx="217">
                  <c:v>44069</c:v>
                </c:pt>
                <c:pt idx="218">
                  <c:v>44070</c:v>
                </c:pt>
                <c:pt idx="219">
                  <c:v>44071</c:v>
                </c:pt>
                <c:pt idx="220">
                  <c:v>44072</c:v>
                </c:pt>
                <c:pt idx="221">
                  <c:v>44073</c:v>
                </c:pt>
                <c:pt idx="222">
                  <c:v>44074</c:v>
                </c:pt>
                <c:pt idx="223">
                  <c:v>44075</c:v>
                </c:pt>
                <c:pt idx="224">
                  <c:v>44076</c:v>
                </c:pt>
                <c:pt idx="225">
                  <c:v>44077</c:v>
                </c:pt>
                <c:pt idx="226">
                  <c:v>44078</c:v>
                </c:pt>
                <c:pt idx="227">
                  <c:v>44079</c:v>
                </c:pt>
                <c:pt idx="228">
                  <c:v>44080</c:v>
                </c:pt>
                <c:pt idx="229">
                  <c:v>44081</c:v>
                </c:pt>
                <c:pt idx="230">
                  <c:v>44082</c:v>
                </c:pt>
                <c:pt idx="231">
                  <c:v>44083</c:v>
                </c:pt>
                <c:pt idx="232">
                  <c:v>44084</c:v>
                </c:pt>
                <c:pt idx="233">
                  <c:v>44085</c:v>
                </c:pt>
                <c:pt idx="234">
                  <c:v>44086</c:v>
                </c:pt>
                <c:pt idx="235">
                  <c:v>44087</c:v>
                </c:pt>
                <c:pt idx="236">
                  <c:v>44088</c:v>
                </c:pt>
                <c:pt idx="237">
                  <c:v>44089</c:v>
                </c:pt>
                <c:pt idx="238">
                  <c:v>44090</c:v>
                </c:pt>
                <c:pt idx="239">
                  <c:v>44091</c:v>
                </c:pt>
                <c:pt idx="240">
                  <c:v>44092</c:v>
                </c:pt>
                <c:pt idx="241">
                  <c:v>44093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5.8823529411764719E-2</c:v>
                </c:pt>
                <c:pt idx="1">
                  <c:v>5.8823529411764719E-2</c:v>
                </c:pt>
                <c:pt idx="2">
                  <c:v>0.11811364787507135</c:v>
                </c:pt>
                <c:pt idx="3">
                  <c:v>0.21579427514044344</c:v>
                </c:pt>
                <c:pt idx="4">
                  <c:v>0.31192255951157549</c:v>
                </c:pt>
                <c:pt idx="5">
                  <c:v>0.35630790195103401</c:v>
                </c:pt>
                <c:pt idx="6">
                  <c:v>0.40145411210201321</c:v>
                </c:pt>
                <c:pt idx="7">
                  <c:v>0.41439787262929412</c:v>
                </c:pt>
                <c:pt idx="8">
                  <c:v>0.3991769466940735</c:v>
                </c:pt>
                <c:pt idx="9">
                  <c:v>0.33883764250940512</c:v>
                </c:pt>
                <c:pt idx="10">
                  <c:v>0.29636688813953627</c:v>
                </c:pt>
                <c:pt idx="11">
                  <c:v>0.2634468527779481</c:v>
                </c:pt>
                <c:pt idx="12">
                  <c:v>0.24873541035772853</c:v>
                </c:pt>
                <c:pt idx="13">
                  <c:v>0.24097985974082822</c:v>
                </c:pt>
                <c:pt idx="14">
                  <c:v>0.23750756152628197</c:v>
                </c:pt>
                <c:pt idx="15">
                  <c:v>0.21548148884235241</c:v>
                </c:pt>
                <c:pt idx="16">
                  <c:v>0.18606369043915497</c:v>
                </c:pt>
                <c:pt idx="17">
                  <c:v>0.1597328709448198</c:v>
                </c:pt>
                <c:pt idx="18">
                  <c:v>0.13766860119675992</c:v>
                </c:pt>
                <c:pt idx="19">
                  <c:v>0.13005222035729277</c:v>
                </c:pt>
                <c:pt idx="20">
                  <c:v>0.12442354803530405</c:v>
                </c:pt>
                <c:pt idx="21">
                  <c:v>0.11189716727172543</c:v>
                </c:pt>
                <c:pt idx="22">
                  <c:v>0.10784156373087495</c:v>
                </c:pt>
                <c:pt idx="23">
                  <c:v>0.10461997017158368</c:v>
                </c:pt>
                <c:pt idx="24">
                  <c:v>0.10872626922325956</c:v>
                </c:pt>
                <c:pt idx="25">
                  <c:v>0.10377074002923121</c:v>
                </c:pt>
                <c:pt idx="26">
                  <c:v>0.10332196826114289</c:v>
                </c:pt>
                <c:pt idx="27">
                  <c:v>9.4848497284278618E-2</c:v>
                </c:pt>
                <c:pt idx="28">
                  <c:v>8.530191064323904E-2</c:v>
                </c:pt>
                <c:pt idx="29">
                  <c:v>6.9752167526798026E-2</c:v>
                </c:pt>
                <c:pt idx="30">
                  <c:v>5.9707804999796998E-2</c:v>
                </c:pt>
                <c:pt idx="31">
                  <c:v>5.5599019778672133E-2</c:v>
                </c:pt>
                <c:pt idx="32">
                  <c:v>4.9125707681958973E-2</c:v>
                </c:pt>
                <c:pt idx="33">
                  <c:v>4.7283979639109207E-2</c:v>
                </c:pt>
                <c:pt idx="34">
                  <c:v>4.1192035886814672E-2</c:v>
                </c:pt>
                <c:pt idx="35">
                  <c:v>4.1258749236184146E-2</c:v>
                </c:pt>
                <c:pt idx="36">
                  <c:v>3.584346322106232E-2</c:v>
                </c:pt>
                <c:pt idx="37">
                  <c:v>3.3355997639836689E-2</c:v>
                </c:pt>
                <c:pt idx="38">
                  <c:v>2.677164991647496E-2</c:v>
                </c:pt>
                <c:pt idx="39">
                  <c:v>2.4418430491127092E-2</c:v>
                </c:pt>
                <c:pt idx="40">
                  <c:v>2.1468949539807342E-2</c:v>
                </c:pt>
                <c:pt idx="41">
                  <c:v>2.1758188950454189E-2</c:v>
                </c:pt>
                <c:pt idx="42">
                  <c:v>2.3459465322167878E-2</c:v>
                </c:pt>
                <c:pt idx="43">
                  <c:v>2.5006328768217401E-2</c:v>
                </c:pt>
                <c:pt idx="44">
                  <c:v>2.6974980555255785E-2</c:v>
                </c:pt>
                <c:pt idx="45">
                  <c:v>2.8192778933560831E-2</c:v>
                </c:pt>
                <c:pt idx="46">
                  <c:v>3.200536805530637E-2</c:v>
                </c:pt>
                <c:pt idx="47">
                  <c:v>3.6111508509617973E-2</c:v>
                </c:pt>
                <c:pt idx="48">
                  <c:v>4.2960356263049393E-2</c:v>
                </c:pt>
                <c:pt idx="49">
                  <c:v>5.0159054433133253E-2</c:v>
                </c:pt>
                <c:pt idx="50">
                  <c:v>5.9142652955471352E-2</c:v>
                </c:pt>
                <c:pt idx="51">
                  <c:v>6.6973977392271442E-2</c:v>
                </c:pt>
                <c:pt idx="52">
                  <c:v>7.3378948138337341E-2</c:v>
                </c:pt>
                <c:pt idx="53">
                  <c:v>7.9803351080655435E-2</c:v>
                </c:pt>
                <c:pt idx="54">
                  <c:v>8.5745399535957015E-2</c:v>
                </c:pt>
                <c:pt idx="55">
                  <c:v>9.2607692492825189E-2</c:v>
                </c:pt>
                <c:pt idx="56">
                  <c:v>9.8135446745734781E-2</c:v>
                </c:pt>
                <c:pt idx="57">
                  <c:v>0.10596560736548732</c:v>
                </c:pt>
                <c:pt idx="58">
                  <c:v>0.11202800590073896</c:v>
                </c:pt>
                <c:pt idx="59">
                  <c:v>0.11967641584339117</c:v>
                </c:pt>
                <c:pt idx="60">
                  <c:v>0.12495849921022033</c:v>
                </c:pt>
                <c:pt idx="61">
                  <c:v>0.12983178762538641</c:v>
                </c:pt>
                <c:pt idx="62">
                  <c:v>0.13155137999353936</c:v>
                </c:pt>
                <c:pt idx="63">
                  <c:v>0.13276595278963596</c:v>
                </c:pt>
                <c:pt idx="64">
                  <c:v>0.13231648192292256</c:v>
                </c:pt>
                <c:pt idx="65">
                  <c:v>0.13203518335366757</c:v>
                </c:pt>
                <c:pt idx="66">
                  <c:v>0.13134808034124826</c:v>
                </c:pt>
                <c:pt idx="67">
                  <c:v>0.1302769725297758</c:v>
                </c:pt>
                <c:pt idx="68">
                  <c:v>0.12689055577476838</c:v>
                </c:pt>
                <c:pt idx="69">
                  <c:v>0.12270982421433947</c:v>
                </c:pt>
                <c:pt idx="70">
                  <c:v>0.11845937449570128</c:v>
                </c:pt>
                <c:pt idx="71">
                  <c:v>0.11649488356803173</c:v>
                </c:pt>
                <c:pt idx="72">
                  <c:v>0.11547901903301543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9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132406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120</c:v>
                </c:pt>
                <c:pt idx="2">
                  <c:v>144</c:v>
                </c:pt>
                <c:pt idx="3">
                  <c:v>172.79999999999998</c:v>
                </c:pt>
                <c:pt idx="4">
                  <c:v>207.35999999999999</c:v>
                </c:pt>
                <c:pt idx="5">
                  <c:v>248.83199999999997</c:v>
                </c:pt>
                <c:pt idx="6">
                  <c:v>298.59839999999997</c:v>
                </c:pt>
                <c:pt idx="7">
                  <c:v>358.31807999999995</c:v>
                </c:pt>
                <c:pt idx="8">
                  <c:v>429.98169599999994</c:v>
                </c:pt>
                <c:pt idx="9">
                  <c:v>515.97803519999991</c:v>
                </c:pt>
                <c:pt idx="10">
                  <c:v>619.17364223999982</c:v>
                </c:pt>
                <c:pt idx="11">
                  <c:v>743.00837068799979</c:v>
                </c:pt>
                <c:pt idx="12">
                  <c:v>891.61004482559974</c:v>
                </c:pt>
                <c:pt idx="13">
                  <c:v>1069.9320537907197</c:v>
                </c:pt>
                <c:pt idx="14">
                  <c:v>1283.9184645488635</c:v>
                </c:pt>
                <c:pt idx="15">
                  <c:v>1540.7021574586363</c:v>
                </c:pt>
                <c:pt idx="16">
                  <c:v>1848.8425889503635</c:v>
                </c:pt>
                <c:pt idx="17">
                  <c:v>2218.6111067404363</c:v>
                </c:pt>
                <c:pt idx="18">
                  <c:v>2662.3333280885236</c:v>
                </c:pt>
                <c:pt idx="19">
                  <c:v>3194.7999937062282</c:v>
                </c:pt>
                <c:pt idx="20">
                  <c:v>3833.7599924474735</c:v>
                </c:pt>
                <c:pt idx="21">
                  <c:v>4600.5119909369678</c:v>
                </c:pt>
                <c:pt idx="22">
                  <c:v>5520.614389124361</c:v>
                </c:pt>
                <c:pt idx="23">
                  <c:v>6624.7372669492333</c:v>
                </c:pt>
                <c:pt idx="24">
                  <c:v>7949.6847203390798</c:v>
                </c:pt>
                <c:pt idx="25">
                  <c:v>9539.6216644068954</c:v>
                </c:pt>
                <c:pt idx="26">
                  <c:v>11447.545997288275</c:v>
                </c:pt>
                <c:pt idx="27">
                  <c:v>13737.055196745929</c:v>
                </c:pt>
                <c:pt idx="28">
                  <c:v>16484.466236095115</c:v>
                </c:pt>
                <c:pt idx="29">
                  <c:v>19781.359483314136</c:v>
                </c:pt>
                <c:pt idx="30">
                  <c:v>23737.631379976963</c:v>
                </c:pt>
                <c:pt idx="31">
                  <c:v>28485.157655972354</c:v>
                </c:pt>
                <c:pt idx="32">
                  <c:v>34182.189187166827</c:v>
                </c:pt>
                <c:pt idx="33">
                  <c:v>41018.627024600188</c:v>
                </c:pt>
                <c:pt idx="34">
                  <c:v>49222.352429520222</c:v>
                </c:pt>
                <c:pt idx="35">
                  <c:v>59066.822915424265</c:v>
                </c:pt>
                <c:pt idx="36">
                  <c:v>70880.187498509113</c:v>
                </c:pt>
                <c:pt idx="37">
                  <c:v>85056.224998210935</c:v>
                </c:pt>
                <c:pt idx="38">
                  <c:v>102067.46999785311</c:v>
                </c:pt>
                <c:pt idx="39">
                  <c:v>122480.96399742374</c:v>
                </c:pt>
                <c:pt idx="40">
                  <c:v>146977.15679690847</c:v>
                </c:pt>
                <c:pt idx="41">
                  <c:v>176372.58815629015</c:v>
                </c:pt>
                <c:pt idx="42">
                  <c:v>211647.10578754818</c:v>
                </c:pt>
                <c:pt idx="43">
                  <c:v>253976.52694505779</c:v>
                </c:pt>
                <c:pt idx="44">
                  <c:v>304771.83233406936</c:v>
                </c:pt>
                <c:pt idx="45">
                  <c:v>365726.1988008832</c:v>
                </c:pt>
                <c:pt idx="46">
                  <c:v>438871.43856105983</c:v>
                </c:pt>
                <c:pt idx="47">
                  <c:v>526645.72627327172</c:v>
                </c:pt>
                <c:pt idx="48">
                  <c:v>631974.87152792607</c:v>
                </c:pt>
                <c:pt idx="49">
                  <c:v>758369.84583351121</c:v>
                </c:pt>
                <c:pt idx="50">
                  <c:v>910043.81500021345</c:v>
                </c:pt>
                <c:pt idx="51">
                  <c:v>1092052.5780002561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140886</c:v>
                </c:pt>
                <c:pt idx="27">
                  <c:v>161807</c:v>
                </c:pt>
                <c:pt idx="28">
                  <c:v>188172</c:v>
                </c:pt>
                <c:pt idx="29">
                  <c:v>213372</c:v>
                </c:pt>
                <c:pt idx="30">
                  <c:v>243453</c:v>
                </c:pt>
                <c:pt idx="31">
                  <c:v>275586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59"/>
          <c:order val="10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  <c:pt idx="31">
                  <c:v>35408</c:v>
                </c:pt>
                <c:pt idx="32">
                  <c:v>38309</c:v>
                </c:pt>
                <c:pt idx="33">
                  <c:v>41495</c:v>
                </c:pt>
                <c:pt idx="34">
                  <c:v>44605</c:v>
                </c:pt>
                <c:pt idx="35">
                  <c:v>47593</c:v>
                </c:pt>
                <c:pt idx="36">
                  <c:v>50468</c:v>
                </c:pt>
                <c:pt idx="37">
                  <c:v>53183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3"/>
          <c:order val="11"/>
          <c:tx>
            <c:strRef>
              <c:f>Days_Since_100!$H$18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  <c:pt idx="17">
                  <c:v>10656</c:v>
                </c:pt>
                <c:pt idx="18">
                  <c:v>11838</c:v>
                </c:pt>
                <c:pt idx="19">
                  <c:v>12874</c:v>
                </c:pt>
                <c:pt idx="20">
                  <c:v>15263</c:v>
                </c:pt>
                <c:pt idx="21">
                  <c:v>17825</c:v>
                </c:pt>
                <c:pt idx="22">
                  <c:v>20247</c:v>
                </c:pt>
                <c:pt idx="23">
                  <c:v>22359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12"/>
          <c:tx>
            <c:strRef>
              <c:f>Days_Since_100!$H$19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  <c:pt idx="9">
                  <c:v>7402</c:v>
                </c:pt>
                <c:pt idx="10">
                  <c:v>9217</c:v>
                </c:pt>
                <c:pt idx="11">
                  <c:v>10827</c:v>
                </c:pt>
                <c:pt idx="12">
                  <c:v>13531</c:v>
                </c:pt>
                <c:pt idx="13">
                  <c:v>15679</c:v>
                </c:pt>
                <c:pt idx="14">
                  <c:v>18135</c:v>
                </c:pt>
                <c:pt idx="15">
                  <c:v>20921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7"/>
          <c:order val="13"/>
          <c:tx>
            <c:strRef>
              <c:f>Days_Since_100!$H$21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  <c:pt idx="21">
                  <c:v>7284</c:v>
                </c:pt>
                <c:pt idx="22">
                  <c:v>9134</c:v>
                </c:pt>
                <c:pt idx="23">
                  <c:v>10836</c:v>
                </c:pt>
                <c:pt idx="24">
                  <c:v>11899</c:v>
                </c:pt>
                <c:pt idx="25">
                  <c:v>12775</c:v>
                </c:pt>
                <c:pt idx="26">
                  <c:v>13964</c:v>
                </c:pt>
                <c:pt idx="27">
                  <c:v>15348</c:v>
                </c:pt>
                <c:pt idx="28">
                  <c:v>16770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9"/>
          <c:order val="14"/>
          <c:tx>
            <c:strRef>
              <c:f>Days_Since_100!$H$22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  <c:pt idx="21">
                  <c:v>8647</c:v>
                </c:pt>
                <c:pt idx="22">
                  <c:v>9819</c:v>
                </c:pt>
                <c:pt idx="23">
                  <c:v>10930</c:v>
                </c:pt>
                <c:pt idx="24">
                  <c:v>11817</c:v>
                </c:pt>
                <c:pt idx="25">
                  <c:v>12667</c:v>
                </c:pt>
                <c:pt idx="26">
                  <c:v>13696</c:v>
                </c:pt>
                <c:pt idx="27">
                  <c:v>14788</c:v>
                </c:pt>
                <c:pt idx="28">
                  <c:v>15821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6"/>
          <c:order val="15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  <c:pt idx="18">
                  <c:v>3672</c:v>
                </c:pt>
                <c:pt idx="19">
                  <c:v>4145</c:v>
                </c:pt>
                <c:pt idx="20">
                  <c:v>4492</c:v>
                </c:pt>
                <c:pt idx="21">
                  <c:v>4979</c:v>
                </c:pt>
                <c:pt idx="22">
                  <c:v>5444</c:v>
                </c:pt>
                <c:pt idx="23">
                  <c:v>6015</c:v>
                </c:pt>
                <c:pt idx="24">
                  <c:v>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16"/>
          <c:tx>
            <c:strRef>
              <c:f>Days_Since_100!$H$30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  <c:pt idx="22">
                  <c:v>3447</c:v>
                </c:pt>
                <c:pt idx="23">
                  <c:v>3700</c:v>
                </c:pt>
                <c:pt idx="24">
                  <c:v>4028</c:v>
                </c:pt>
                <c:pt idx="25">
                  <c:v>4435</c:v>
                </c:pt>
                <c:pt idx="26">
                  <c:v>4947</c:v>
                </c:pt>
                <c:pt idx="27">
                  <c:v>5568</c:v>
                </c:pt>
                <c:pt idx="28">
                  <c:v>6131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17"/>
          <c:tx>
            <c:strRef>
              <c:f>Days_Since_100!$H$31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  <c:pt idx="22">
                  <c:v>4015</c:v>
                </c:pt>
                <c:pt idx="23">
                  <c:v>4284</c:v>
                </c:pt>
                <c:pt idx="24">
                  <c:v>4445</c:v>
                </c:pt>
                <c:pt idx="25">
                  <c:v>4641</c:v>
                </c:pt>
                <c:pt idx="26">
                  <c:v>4863</c:v>
                </c:pt>
                <c:pt idx="27">
                  <c:v>5147</c:v>
                </c:pt>
                <c:pt idx="28">
                  <c:v>5370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80"/>
          <c:order val="18"/>
          <c:tx>
            <c:strRef>
              <c:f>Days_Since_100!$H$33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  <c:pt idx="14">
                  <c:v>2415</c:v>
                </c:pt>
                <c:pt idx="15">
                  <c:v>2615</c:v>
                </c:pt>
                <c:pt idx="16">
                  <c:v>2910</c:v>
                </c:pt>
                <c:pt idx="17">
                  <c:v>3235</c:v>
                </c:pt>
                <c:pt idx="18">
                  <c:v>3447</c:v>
                </c:pt>
                <c:pt idx="19">
                  <c:v>3849</c:v>
                </c:pt>
                <c:pt idx="20">
                  <c:v>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19"/>
          <c:tx>
            <c:strRef>
              <c:f>Days_Since_100!$H$34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  <c:pt idx="11">
                  <c:v>1264</c:v>
                </c:pt>
                <c:pt idx="12">
                  <c:v>1534</c:v>
                </c:pt>
                <c:pt idx="13">
                  <c:v>1836</c:v>
                </c:pt>
                <c:pt idx="14">
                  <c:v>2337</c:v>
                </c:pt>
                <c:pt idx="15">
                  <c:v>2777</c:v>
                </c:pt>
                <c:pt idx="16">
                  <c:v>3548</c:v>
                </c:pt>
                <c:pt idx="17">
                  <c:v>4149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20"/>
          <c:tx>
            <c:strRef>
              <c:f>Days_Since_100!$H$35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  <c:pt idx="15">
                  <c:v>2631</c:v>
                </c:pt>
                <c:pt idx="16">
                  <c:v>2817</c:v>
                </c:pt>
                <c:pt idx="17">
                  <c:v>3001</c:v>
                </c:pt>
                <c:pt idx="18">
                  <c:v>3308</c:v>
                </c:pt>
                <c:pt idx="19">
                  <c:v>3508</c:v>
                </c:pt>
                <c:pt idx="20">
                  <c:v>3858</c:v>
                </c:pt>
                <c:pt idx="21">
                  <c:v>4091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21"/>
          <c:tx>
            <c:strRef>
              <c:f>Days_Since_100!$H$36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  <c:pt idx="18">
                  <c:v>2366</c:v>
                </c:pt>
                <c:pt idx="19">
                  <c:v>2564</c:v>
                </c:pt>
                <c:pt idx="20">
                  <c:v>2755</c:v>
                </c:pt>
                <c:pt idx="21">
                  <c:v>3039</c:v>
                </c:pt>
                <c:pt idx="22">
                  <c:v>3290</c:v>
                </c:pt>
                <c:pt idx="23">
                  <c:v>3573</c:v>
                </c:pt>
                <c:pt idx="24">
                  <c:v>3946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22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  <c:pt idx="12">
                  <c:v>1909</c:v>
                </c:pt>
                <c:pt idx="13">
                  <c:v>2139</c:v>
                </c:pt>
                <c:pt idx="14">
                  <c:v>2449</c:v>
                </c:pt>
                <c:pt idx="15">
                  <c:v>2738</c:v>
                </c:pt>
                <c:pt idx="16">
                  <c:v>3031</c:v>
                </c:pt>
                <c:pt idx="17">
                  <c:v>3404</c:v>
                </c:pt>
                <c:pt idx="18">
                  <c:v>3737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23"/>
          <c:tx>
            <c:strRef>
              <c:f>Days_Since_100!$H$38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  <c:pt idx="14">
                  <c:v>1638</c:v>
                </c:pt>
                <c:pt idx="15">
                  <c:v>1862</c:v>
                </c:pt>
                <c:pt idx="16">
                  <c:v>2055</c:v>
                </c:pt>
                <c:pt idx="17">
                  <c:v>2311</c:v>
                </c:pt>
                <c:pt idx="18">
                  <c:v>2554</c:v>
                </c:pt>
                <c:pt idx="19">
                  <c:v>2946</c:v>
                </c:pt>
                <c:pt idx="20">
                  <c:v>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24"/>
          <c:tx>
            <c:strRef>
              <c:f>Days_Since_100!$H$39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  <c:pt idx="10">
                  <c:v>1823</c:v>
                </c:pt>
                <c:pt idx="11">
                  <c:v>1924</c:v>
                </c:pt>
                <c:pt idx="12">
                  <c:v>1962</c:v>
                </c:pt>
                <c:pt idx="13">
                  <c:v>2240</c:v>
                </c:pt>
                <c:pt idx="14">
                  <c:v>2748</c:v>
                </c:pt>
                <c:pt idx="15">
                  <c:v>3163</c:v>
                </c:pt>
                <c:pt idx="16">
                  <c:v>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25"/>
          <c:tx>
            <c:strRef>
              <c:f>Days_Since_100!$H$40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  <c:pt idx="19">
                  <c:v>2320</c:v>
                </c:pt>
                <c:pt idx="20">
                  <c:v>2470</c:v>
                </c:pt>
                <c:pt idx="21">
                  <c:v>2626</c:v>
                </c:pt>
                <c:pt idx="22">
                  <c:v>2766</c:v>
                </c:pt>
                <c:pt idx="23">
                  <c:v>2908</c:v>
                </c:pt>
                <c:pt idx="24">
                  <c:v>3116</c:v>
                </c:pt>
                <c:pt idx="25">
                  <c:v>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26"/>
          <c:tx>
            <c:strRef>
              <c:f>Days_Since_100!$H$41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  <c:pt idx="14">
                  <c:v>1452</c:v>
                </c:pt>
                <c:pt idx="15">
                  <c:v>1815</c:v>
                </c:pt>
                <c:pt idx="16">
                  <c:v>2109</c:v>
                </c:pt>
                <c:pt idx="17">
                  <c:v>2245</c:v>
                </c:pt>
                <c:pt idx="18">
                  <c:v>2460</c:v>
                </c:pt>
                <c:pt idx="19">
                  <c:v>2738</c:v>
                </c:pt>
                <c:pt idx="20">
                  <c:v>3183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27"/>
          <c:tx>
            <c:strRef>
              <c:f>Days_Since_100!$H$42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  <c:pt idx="14">
                  <c:v>1075</c:v>
                </c:pt>
                <c:pt idx="15">
                  <c:v>1418</c:v>
                </c:pt>
                <c:pt idx="16">
                  <c:v>1546</c:v>
                </c:pt>
                <c:pt idx="17">
                  <c:v>2084</c:v>
                </c:pt>
                <c:pt idx="18">
                  <c:v>2311</c:v>
                </c:pt>
                <c:pt idx="19">
                  <c:v>2633</c:v>
                </c:pt>
                <c:pt idx="20">
                  <c:v>3018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28"/>
          <c:tx>
            <c:strRef>
              <c:f>Days_Since_100!$H$43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  <c:pt idx="12">
                  <c:v>1495</c:v>
                </c:pt>
                <c:pt idx="13">
                  <c:v>1597</c:v>
                </c:pt>
                <c:pt idx="14">
                  <c:v>1717</c:v>
                </c:pt>
                <c:pt idx="15">
                  <c:v>1938</c:v>
                </c:pt>
                <c:pt idx="16">
                  <c:v>2118</c:v>
                </c:pt>
                <c:pt idx="17">
                  <c:v>2421</c:v>
                </c:pt>
                <c:pt idx="18">
                  <c:v>2686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29"/>
          <c:tx>
            <c:strRef>
              <c:f>Days_Since_100!$H$44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  <c:pt idx="36">
                  <c:v>1693</c:v>
                </c:pt>
                <c:pt idx="37">
                  <c:v>1866</c:v>
                </c:pt>
                <c:pt idx="38">
                  <c:v>1866</c:v>
                </c:pt>
                <c:pt idx="39">
                  <c:v>1953</c:v>
                </c:pt>
                <c:pt idx="40">
                  <c:v>2178</c:v>
                </c:pt>
                <c:pt idx="41">
                  <c:v>2495</c:v>
                </c:pt>
                <c:pt idx="42">
                  <c:v>2617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30"/>
          <c:tx>
            <c:strRef>
              <c:f>Days_Since_100!$H$45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  <c:pt idx="11">
                  <c:v>1831</c:v>
                </c:pt>
                <c:pt idx="12">
                  <c:v>1950</c:v>
                </c:pt>
                <c:pt idx="13">
                  <c:v>1988</c:v>
                </c:pt>
                <c:pt idx="14">
                  <c:v>2178</c:v>
                </c:pt>
                <c:pt idx="15">
                  <c:v>2319</c:v>
                </c:pt>
                <c:pt idx="16">
                  <c:v>2487</c:v>
                </c:pt>
                <c:pt idx="17">
                  <c:v>2612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31"/>
          <c:tx>
            <c:strRef>
              <c:f>Days_Since_100!$H$46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  <c:pt idx="14">
                  <c:v>987</c:v>
                </c:pt>
                <c:pt idx="15">
                  <c:v>1024</c:v>
                </c:pt>
                <c:pt idx="16">
                  <c:v>1251</c:v>
                </c:pt>
                <c:pt idx="17">
                  <c:v>1397</c:v>
                </c:pt>
                <c:pt idx="18">
                  <c:v>1998</c:v>
                </c:pt>
                <c:pt idx="19">
                  <c:v>2543</c:v>
                </c:pt>
                <c:pt idx="20">
                  <c:v>2567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32"/>
          <c:tx>
            <c:strRef>
              <c:f>Days_Since_100!$H$47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  <c:pt idx="14">
                  <c:v>1203</c:v>
                </c:pt>
                <c:pt idx="15">
                  <c:v>1299</c:v>
                </c:pt>
                <c:pt idx="16">
                  <c:v>1453</c:v>
                </c:pt>
                <c:pt idx="17">
                  <c:v>1563</c:v>
                </c:pt>
                <c:pt idx="18">
                  <c:v>1720</c:v>
                </c:pt>
                <c:pt idx="19">
                  <c:v>1885</c:v>
                </c:pt>
                <c:pt idx="20">
                  <c:v>2039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33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  <c:pt idx="13">
                  <c:v>1155</c:v>
                </c:pt>
                <c:pt idx="14">
                  <c:v>1285</c:v>
                </c:pt>
                <c:pt idx="15">
                  <c:v>1414</c:v>
                </c:pt>
                <c:pt idx="16">
                  <c:v>1528</c:v>
                </c:pt>
                <c:pt idx="17">
                  <c:v>1677</c:v>
                </c:pt>
                <c:pt idx="18">
                  <c:v>1790</c:v>
                </c:pt>
                <c:pt idx="19">
                  <c:v>1986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34"/>
          <c:tx>
            <c:strRef>
              <c:f>Days_Since_100!$H$49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  <c:pt idx="13">
                  <c:v>1245</c:v>
                </c:pt>
                <c:pt idx="14">
                  <c:v>1388</c:v>
                </c:pt>
                <c:pt idx="15">
                  <c:v>1524</c:v>
                </c:pt>
                <c:pt idx="16">
                  <c:v>1651</c:v>
                </c:pt>
                <c:pt idx="17">
                  <c:v>1771</c:v>
                </c:pt>
                <c:pt idx="18">
                  <c:v>1875</c:v>
                </c:pt>
                <c:pt idx="19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9"/>
          <c:order val="35"/>
          <c:tx>
            <c:strRef>
              <c:f>Days_Since_100!$H$52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  <c:pt idx="11">
                  <c:v>671</c:v>
                </c:pt>
                <c:pt idx="12">
                  <c:v>852</c:v>
                </c:pt>
                <c:pt idx="13">
                  <c:v>950</c:v>
                </c:pt>
                <c:pt idx="14">
                  <c:v>1065</c:v>
                </c:pt>
                <c:pt idx="15">
                  <c:v>1323</c:v>
                </c:pt>
                <c:pt idx="16">
                  <c:v>1414</c:v>
                </c:pt>
                <c:pt idx="17">
                  <c:v>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36"/>
          <c:tx>
            <c:strRef>
              <c:f>Days_Since_100!$H$53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  <c:pt idx="9">
                  <c:v>717</c:v>
                </c:pt>
                <c:pt idx="10">
                  <c:v>848</c:v>
                </c:pt>
                <c:pt idx="11">
                  <c:v>993</c:v>
                </c:pt>
                <c:pt idx="12">
                  <c:v>1094</c:v>
                </c:pt>
                <c:pt idx="13">
                  <c:v>1215</c:v>
                </c:pt>
                <c:pt idx="14">
                  <c:v>1378</c:v>
                </c:pt>
                <c:pt idx="15">
                  <c:v>1510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37"/>
          <c:tx>
            <c:strRef>
              <c:f>Days_Since_100!$H$54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  <c:pt idx="10">
                  <c:v>1187</c:v>
                </c:pt>
                <c:pt idx="11">
                  <c:v>1280</c:v>
                </c:pt>
                <c:pt idx="12">
                  <c:v>1326</c:v>
                </c:pt>
                <c:pt idx="13">
                  <c:v>1353</c:v>
                </c:pt>
                <c:pt idx="14">
                  <c:v>1380</c:v>
                </c:pt>
                <c:pt idx="15">
                  <c:v>1462</c:v>
                </c:pt>
                <c:pt idx="16">
                  <c:v>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ser>
          <c:idx val="0"/>
          <c:order val="38"/>
          <c:tx>
            <c:strRef>
              <c:f>Days_Since_100!$H$55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  <c:pt idx="7">
                  <c:v>719</c:v>
                </c:pt>
                <c:pt idx="8">
                  <c:v>859</c:v>
                </c:pt>
                <c:pt idx="9">
                  <c:v>901</c:v>
                </c:pt>
                <c:pt idx="10">
                  <c:v>1109</c:v>
                </c:pt>
                <c:pt idx="11">
                  <c:v>1284</c:v>
                </c:pt>
                <c:pt idx="12">
                  <c:v>1380</c:v>
                </c:pt>
                <c:pt idx="13">
                  <c:v>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D9-4499-A36C-A2C5B01731F0}"/>
            </c:ext>
          </c:extLst>
        </c:ser>
        <c:ser>
          <c:idx val="12"/>
          <c:order val="39"/>
          <c:tx>
            <c:strRef>
              <c:f>Days_Since_100!$H$56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  <c:pt idx="9">
                  <c:v>659</c:v>
                </c:pt>
                <c:pt idx="10">
                  <c:v>741</c:v>
                </c:pt>
                <c:pt idx="11">
                  <c:v>785</c:v>
                </c:pt>
                <c:pt idx="12">
                  <c:v>900</c:v>
                </c:pt>
                <c:pt idx="13">
                  <c:v>1060</c:v>
                </c:pt>
                <c:pt idx="14">
                  <c:v>1171</c:v>
                </c:pt>
                <c:pt idx="15">
                  <c:v>1476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D9-4499-A36C-A2C5B01731F0}"/>
            </c:ext>
          </c:extLst>
        </c:ser>
        <c:ser>
          <c:idx val="14"/>
          <c:order val="40"/>
          <c:tx>
            <c:strRef>
              <c:f>Days_Since_100!$H$57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  <c:pt idx="9">
                  <c:v>786</c:v>
                </c:pt>
                <c:pt idx="10">
                  <c:v>901</c:v>
                </c:pt>
                <c:pt idx="11">
                  <c:v>989</c:v>
                </c:pt>
                <c:pt idx="12">
                  <c:v>1181</c:v>
                </c:pt>
                <c:pt idx="13">
                  <c:v>1181</c:v>
                </c:pt>
                <c:pt idx="14">
                  <c:v>1317</c:v>
                </c:pt>
                <c:pt idx="15">
                  <c:v>1475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D9-4499-A36C-A2C5B01731F0}"/>
            </c:ext>
          </c:extLst>
        </c:ser>
        <c:ser>
          <c:idx val="16"/>
          <c:order val="41"/>
          <c:tx>
            <c:strRef>
              <c:f>Days_Since_100!$H$58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  <c:pt idx="16">
                  <c:v>963</c:v>
                </c:pt>
                <c:pt idx="17">
                  <c:v>1020</c:v>
                </c:pt>
                <c:pt idx="18">
                  <c:v>1086</c:v>
                </c:pt>
                <c:pt idx="19">
                  <c:v>1135</c:v>
                </c:pt>
                <c:pt idx="20">
                  <c:v>1220</c:v>
                </c:pt>
                <c:pt idx="21">
                  <c:v>1319</c:v>
                </c:pt>
                <c:pt idx="22">
                  <c:v>1364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D9-4499-A36C-A2C5B01731F0}"/>
            </c:ext>
          </c:extLst>
        </c:ser>
        <c:ser>
          <c:idx val="19"/>
          <c:order val="42"/>
          <c:tx>
            <c:strRef>
              <c:f>Days_Since_100!$H$59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  <c:pt idx="9">
                  <c:v>608</c:v>
                </c:pt>
                <c:pt idx="10">
                  <c:v>702</c:v>
                </c:pt>
                <c:pt idx="11">
                  <c:v>798</c:v>
                </c:pt>
                <c:pt idx="12">
                  <c:v>906</c:v>
                </c:pt>
                <c:pt idx="13">
                  <c:v>1065</c:v>
                </c:pt>
                <c:pt idx="14">
                  <c:v>1161</c:v>
                </c:pt>
                <c:pt idx="15">
                  <c:v>1267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D9-4499-A36C-A2C5B01731F0}"/>
            </c:ext>
          </c:extLst>
        </c:ser>
        <c:ser>
          <c:idx val="20"/>
          <c:order val="43"/>
          <c:tx>
            <c:strRef>
              <c:f>Days_Since_100!$H$60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  <c:pt idx="8">
                  <c:v>690</c:v>
                </c:pt>
                <c:pt idx="9">
                  <c:v>745</c:v>
                </c:pt>
                <c:pt idx="10">
                  <c:v>820</c:v>
                </c:pt>
                <c:pt idx="11">
                  <c:v>1054</c:v>
                </c:pt>
                <c:pt idx="12">
                  <c:v>1054</c:v>
                </c:pt>
                <c:pt idx="13">
                  <c:v>1133</c:v>
                </c:pt>
                <c:pt idx="14">
                  <c:v>1265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0D9-4499-A36C-A2C5B01731F0}"/>
            </c:ext>
          </c:extLst>
        </c:ser>
        <c:ser>
          <c:idx val="23"/>
          <c:order val="44"/>
          <c:tx>
            <c:strRef>
              <c:f>Days_Since_100!$H$61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  <c:pt idx="10">
                  <c:v>468</c:v>
                </c:pt>
                <c:pt idx="11">
                  <c:v>570</c:v>
                </c:pt>
                <c:pt idx="12">
                  <c:v>611</c:v>
                </c:pt>
                <c:pt idx="13">
                  <c:v>664</c:v>
                </c:pt>
                <c:pt idx="14">
                  <c:v>814</c:v>
                </c:pt>
                <c:pt idx="15">
                  <c:v>1024</c:v>
                </c:pt>
                <c:pt idx="16">
                  <c:v>1264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D9-4499-A36C-A2C5B01731F0}"/>
            </c:ext>
          </c:extLst>
        </c:ser>
        <c:ser>
          <c:idx val="26"/>
          <c:order val="45"/>
          <c:tx>
            <c:strRef>
              <c:f>Days_Since_100!$H$62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  <c:pt idx="7">
                  <c:v>454</c:v>
                </c:pt>
                <c:pt idx="8">
                  <c:v>511</c:v>
                </c:pt>
                <c:pt idx="9">
                  <c:v>584</c:v>
                </c:pt>
                <c:pt idx="10">
                  <c:v>716</c:v>
                </c:pt>
                <c:pt idx="11">
                  <c:v>847</c:v>
                </c:pt>
                <c:pt idx="12">
                  <c:v>986</c:v>
                </c:pt>
                <c:pt idx="13">
                  <c:v>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0D9-4499-A36C-A2C5B01731F0}"/>
            </c:ext>
          </c:extLst>
        </c:ser>
        <c:ser>
          <c:idx val="29"/>
          <c:order val="46"/>
          <c:tx>
            <c:strRef>
              <c:f>Days_Since_100!$H$63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  <c:pt idx="28">
                  <c:v>802</c:v>
                </c:pt>
                <c:pt idx="29">
                  <c:v>844</c:v>
                </c:pt>
                <c:pt idx="30">
                  <c:v>879</c:v>
                </c:pt>
                <c:pt idx="31">
                  <c:v>926</c:v>
                </c:pt>
                <c:pt idx="32">
                  <c:v>1000</c:v>
                </c:pt>
                <c:pt idx="33">
                  <c:v>1049</c:v>
                </c:pt>
                <c:pt idx="34">
                  <c:v>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D9-4499-A36C-A2C5B01731F0}"/>
            </c:ext>
          </c:extLst>
        </c:ser>
        <c:ser>
          <c:idx val="30"/>
          <c:order val="47"/>
          <c:tx>
            <c:strRef>
              <c:f>Days_Since_100!$H$64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  <c:pt idx="9">
                  <c:v>657</c:v>
                </c:pt>
                <c:pt idx="10">
                  <c:v>713</c:v>
                </c:pt>
                <c:pt idx="11">
                  <c:v>790</c:v>
                </c:pt>
                <c:pt idx="12">
                  <c:v>867</c:v>
                </c:pt>
                <c:pt idx="13">
                  <c:v>963</c:v>
                </c:pt>
                <c:pt idx="14">
                  <c:v>1011</c:v>
                </c:pt>
                <c:pt idx="15">
                  <c:v>1079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0D9-4499-A36C-A2C5B01731F0}"/>
            </c:ext>
          </c:extLst>
        </c:ser>
        <c:ser>
          <c:idx val="31"/>
          <c:order val="48"/>
          <c:tx>
            <c:strRef>
              <c:f>Days_Since_100!$H$65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  <c:pt idx="17">
                  <c:v>590</c:v>
                </c:pt>
                <c:pt idx="18">
                  <c:v>634</c:v>
                </c:pt>
                <c:pt idx="19">
                  <c:v>693</c:v>
                </c:pt>
                <c:pt idx="20">
                  <c:v>781</c:v>
                </c:pt>
                <c:pt idx="21">
                  <c:v>835</c:v>
                </c:pt>
                <c:pt idx="22">
                  <c:v>949</c:v>
                </c:pt>
                <c:pt idx="23">
                  <c:v>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D9-4499-A36C-A2C5B01731F0}"/>
            </c:ext>
          </c:extLst>
        </c:ser>
        <c:ser>
          <c:idx val="15"/>
          <c:order val="49"/>
          <c:tx>
            <c:strRef>
              <c:f>Days_Since_100!$H$66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  <c:pt idx="3">
                  <c:v>356</c:v>
                </c:pt>
                <c:pt idx="4">
                  <c:v>475</c:v>
                </c:pt>
                <c:pt idx="5">
                  <c:v>548</c:v>
                </c:pt>
                <c:pt idx="6">
                  <c:v>645</c:v>
                </c:pt>
                <c:pt idx="7">
                  <c:v>794</c:v>
                </c:pt>
                <c:pt idx="8">
                  <c:v>897</c:v>
                </c:pt>
                <c:pt idx="9">
                  <c:v>1072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B-4C7E-BF82-300F91A3A73B}"/>
            </c:ext>
          </c:extLst>
        </c:ser>
        <c:ser>
          <c:idx val="17"/>
          <c:order val="50"/>
          <c:tx>
            <c:strRef>
              <c:f>Days_Since_100!$H$67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  <c:pt idx="14">
                  <c:v>576</c:v>
                </c:pt>
                <c:pt idx="15">
                  <c:v>609</c:v>
                </c:pt>
                <c:pt idx="16">
                  <c:v>656</c:v>
                </c:pt>
                <c:pt idx="17">
                  <c:v>710</c:v>
                </c:pt>
                <c:pt idx="18">
                  <c:v>779</c:v>
                </c:pt>
                <c:pt idx="19">
                  <c:v>865</c:v>
                </c:pt>
                <c:pt idx="20">
                  <c:v>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B-4C7E-BF82-300F91A3A73B}"/>
            </c:ext>
          </c:extLst>
        </c:ser>
        <c:ser>
          <c:idx val="21"/>
          <c:order val="51"/>
          <c:tx>
            <c:strRef>
              <c:f>Days_Since_100!$H$68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  <c:pt idx="14">
                  <c:v>645</c:v>
                </c:pt>
                <c:pt idx="15">
                  <c:v>679</c:v>
                </c:pt>
                <c:pt idx="16">
                  <c:v>715</c:v>
                </c:pt>
                <c:pt idx="17">
                  <c:v>745</c:v>
                </c:pt>
                <c:pt idx="18">
                  <c:v>779</c:v>
                </c:pt>
                <c:pt idx="19">
                  <c:v>858</c:v>
                </c:pt>
                <c:pt idx="20">
                  <c:v>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B-4C7E-BF82-300F91A3A73B}"/>
            </c:ext>
          </c:extLst>
        </c:ser>
        <c:ser>
          <c:idx val="27"/>
          <c:order val="52"/>
          <c:tx>
            <c:strRef>
              <c:f>Days_Since_100!$H$69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  <c:pt idx="15">
                  <c:v>684</c:v>
                </c:pt>
                <c:pt idx="16">
                  <c:v>730</c:v>
                </c:pt>
                <c:pt idx="17">
                  <c:v>756</c:v>
                </c:pt>
                <c:pt idx="18">
                  <c:v>802</c:v>
                </c:pt>
                <c:pt idx="19">
                  <c:v>841</c:v>
                </c:pt>
                <c:pt idx="20">
                  <c:v>897</c:v>
                </c:pt>
                <c:pt idx="21">
                  <c:v>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B-4C7E-BF82-300F91A3A73B}"/>
            </c:ext>
          </c:extLst>
        </c:ser>
        <c:ser>
          <c:idx val="32"/>
          <c:order val="53"/>
          <c:tx>
            <c:strRef>
              <c:f>Days_Since_100!$H$70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  <c:pt idx="6">
                  <c:v>451</c:v>
                </c:pt>
                <c:pt idx="7">
                  <c:v>514</c:v>
                </c:pt>
                <c:pt idx="8">
                  <c:v>589</c:v>
                </c:pt>
                <c:pt idx="9">
                  <c:v>647</c:v>
                </c:pt>
                <c:pt idx="10">
                  <c:v>708</c:v>
                </c:pt>
                <c:pt idx="11">
                  <c:v>797</c:v>
                </c:pt>
                <c:pt idx="12">
                  <c:v>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B-4C7E-BF82-300F91A3A73B}"/>
            </c:ext>
          </c:extLst>
        </c:ser>
        <c:ser>
          <c:idx val="34"/>
          <c:order val="54"/>
          <c:tx>
            <c:strRef>
              <c:f>Days_Since_100!$H$72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  <c:pt idx="6">
                  <c:v>402</c:v>
                </c:pt>
                <c:pt idx="7">
                  <c:v>479</c:v>
                </c:pt>
                <c:pt idx="8">
                  <c:v>556</c:v>
                </c:pt>
                <c:pt idx="9">
                  <c:v>617</c:v>
                </c:pt>
                <c:pt idx="10">
                  <c:v>654</c:v>
                </c:pt>
                <c:pt idx="11">
                  <c:v>708</c:v>
                </c:pt>
                <c:pt idx="12">
                  <c:v>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4B-4C7E-BF82-300F91A3A73B}"/>
            </c:ext>
          </c:extLst>
        </c:ser>
        <c:ser>
          <c:idx val="36"/>
          <c:order val="55"/>
          <c:tx>
            <c:strRef>
              <c:f>Days_Since_100!$H$73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  <c:pt idx="9">
                  <c:v>407</c:v>
                </c:pt>
                <c:pt idx="10">
                  <c:v>424</c:v>
                </c:pt>
                <c:pt idx="11">
                  <c:v>482</c:v>
                </c:pt>
                <c:pt idx="12">
                  <c:v>532</c:v>
                </c:pt>
                <c:pt idx="13">
                  <c:v>571</c:v>
                </c:pt>
                <c:pt idx="14">
                  <c:v>663</c:v>
                </c:pt>
                <c:pt idx="15">
                  <c:v>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4B-4C7E-BF82-300F91A3A73B}"/>
            </c:ext>
          </c:extLst>
        </c:ser>
        <c:ser>
          <c:idx val="37"/>
          <c:order val="56"/>
          <c:tx>
            <c:strRef>
              <c:f>Days_Since_100!$H$74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  <c:pt idx="6">
                  <c:v>394</c:v>
                </c:pt>
                <c:pt idx="7">
                  <c:v>460</c:v>
                </c:pt>
                <c:pt idx="8">
                  <c:v>491</c:v>
                </c:pt>
                <c:pt idx="9">
                  <c:v>537</c:v>
                </c:pt>
                <c:pt idx="10">
                  <c:v>581</c:v>
                </c:pt>
                <c:pt idx="11">
                  <c:v>649</c:v>
                </c:pt>
                <c:pt idx="12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4B-4C7E-BF82-300F91A3A73B}"/>
            </c:ext>
          </c:extLst>
        </c:ser>
        <c:ser>
          <c:idx val="45"/>
          <c:order val="57"/>
          <c:tx>
            <c:strRef>
              <c:f>Days_Since_100!$H$76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  <c:pt idx="7">
                  <c:v>343</c:v>
                </c:pt>
                <c:pt idx="8">
                  <c:v>408</c:v>
                </c:pt>
                <c:pt idx="9">
                  <c:v>447</c:v>
                </c:pt>
                <c:pt idx="10">
                  <c:v>492</c:v>
                </c:pt>
                <c:pt idx="11">
                  <c:v>525</c:v>
                </c:pt>
                <c:pt idx="12">
                  <c:v>585</c:v>
                </c:pt>
                <c:pt idx="13">
                  <c:v>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4B-4C7E-BF82-300F91A3A73B}"/>
            </c:ext>
          </c:extLst>
        </c:ser>
        <c:ser>
          <c:idx val="49"/>
          <c:order val="58"/>
          <c:tx>
            <c:strRef>
              <c:f>Days_Since_100!$H$77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  <c:pt idx="5">
                  <c:v>231</c:v>
                </c:pt>
                <c:pt idx="6">
                  <c:v>263</c:v>
                </c:pt>
                <c:pt idx="7">
                  <c:v>298</c:v>
                </c:pt>
                <c:pt idx="8">
                  <c:v>353</c:v>
                </c:pt>
                <c:pt idx="9">
                  <c:v>423</c:v>
                </c:pt>
                <c:pt idx="10">
                  <c:v>505</c:v>
                </c:pt>
                <c:pt idx="11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4B-4C7E-BF82-300F91A3A73B}"/>
            </c:ext>
          </c:extLst>
        </c:ser>
        <c:ser>
          <c:idx val="50"/>
          <c:order val="59"/>
          <c:tx>
            <c:strRef>
              <c:f>Days_Since_100!$H$78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  <c:pt idx="6">
                  <c:v>258</c:v>
                </c:pt>
                <c:pt idx="7">
                  <c:v>323</c:v>
                </c:pt>
                <c:pt idx="8">
                  <c:v>368</c:v>
                </c:pt>
                <c:pt idx="9">
                  <c:v>420</c:v>
                </c:pt>
                <c:pt idx="10">
                  <c:v>459</c:v>
                </c:pt>
                <c:pt idx="11">
                  <c:v>533</c:v>
                </c:pt>
                <c:pt idx="12">
                  <c:v>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4B-4C7E-BF82-300F91A3A73B}"/>
            </c:ext>
          </c:extLst>
        </c:ser>
        <c:ser>
          <c:idx val="18"/>
          <c:order val="60"/>
          <c:tx>
            <c:strRef>
              <c:f>Days_Since_100!$H$79</c:f>
              <c:strCache>
                <c:ptCount val="1"/>
                <c:pt idx="0">
                  <c:v>Cameroon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139</c:v>
                </c:pt>
                <c:pt idx="1">
                  <c:v>139</c:v>
                </c:pt>
                <c:pt idx="2">
                  <c:v>193</c:v>
                </c:pt>
                <c:pt idx="3">
                  <c:v>233</c:v>
                </c:pt>
                <c:pt idx="4">
                  <c:v>306</c:v>
                </c:pt>
                <c:pt idx="5">
                  <c:v>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AB6-867B-0481DD8BD9B7}"/>
            </c:ext>
          </c:extLst>
        </c:ser>
        <c:ser>
          <c:idx val="35"/>
          <c:order val="61"/>
          <c:tx>
            <c:strRef>
              <c:f>Days_Since_100!$H$81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  <c:pt idx="4">
                  <c:v>278</c:v>
                </c:pt>
                <c:pt idx="5">
                  <c:v>312</c:v>
                </c:pt>
                <c:pt idx="6">
                  <c:v>312</c:v>
                </c:pt>
                <c:pt idx="7">
                  <c:v>394</c:v>
                </c:pt>
                <c:pt idx="8">
                  <c:v>423</c:v>
                </c:pt>
                <c:pt idx="9">
                  <c:v>455</c:v>
                </c:pt>
                <c:pt idx="10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3E-4AB6-867B-0481DD8BD9B7}"/>
            </c:ext>
          </c:extLst>
        </c:ser>
        <c:ser>
          <c:idx val="39"/>
          <c:order val="62"/>
          <c:tx>
            <c:strRef>
              <c:f>Days_Since_100!$H$82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  <c:pt idx="8">
                  <c:v>305</c:v>
                </c:pt>
                <c:pt idx="9">
                  <c:v>347</c:v>
                </c:pt>
                <c:pt idx="10">
                  <c:v>376</c:v>
                </c:pt>
                <c:pt idx="11">
                  <c:v>398</c:v>
                </c:pt>
                <c:pt idx="12">
                  <c:v>446</c:v>
                </c:pt>
                <c:pt idx="13">
                  <c:v>458</c:v>
                </c:pt>
                <c:pt idx="14">
                  <c:v>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3E-4AB6-867B-0481DD8BD9B7}"/>
            </c:ext>
          </c:extLst>
        </c:ser>
        <c:ser>
          <c:idx val="40"/>
          <c:order val="63"/>
          <c:tx>
            <c:strRef>
              <c:f>Days_Since_100!$H$83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  <c:pt idx="8">
                  <c:v>331</c:v>
                </c:pt>
                <c:pt idx="9">
                  <c:v>346</c:v>
                </c:pt>
                <c:pt idx="10">
                  <c:v>359</c:v>
                </c:pt>
                <c:pt idx="11">
                  <c:v>399</c:v>
                </c:pt>
                <c:pt idx="12">
                  <c:v>422</c:v>
                </c:pt>
                <c:pt idx="13">
                  <c:v>457</c:v>
                </c:pt>
                <c:pt idx="14">
                  <c:v>485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3E-4AB6-867B-0481DD8BD9B7}"/>
            </c:ext>
          </c:extLst>
        </c:ser>
        <c:ser>
          <c:idx val="41"/>
          <c:order val="64"/>
          <c:tx>
            <c:strRef>
              <c:f>Days_Since_100!$H$84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  <c:pt idx="2">
                  <c:v>228</c:v>
                </c:pt>
                <c:pt idx="3">
                  <c:v>284</c:v>
                </c:pt>
                <c:pt idx="4">
                  <c:v>302</c:v>
                </c:pt>
                <c:pt idx="5">
                  <c:v>343</c:v>
                </c:pt>
                <c:pt idx="6">
                  <c:v>380</c:v>
                </c:pt>
                <c:pt idx="7">
                  <c:v>435</c:v>
                </c:pt>
                <c:pt idx="8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3E-4AB6-867B-0481DD8BD9B7}"/>
            </c:ext>
          </c:extLst>
        </c:ser>
        <c:ser>
          <c:idx val="42"/>
          <c:order val="65"/>
          <c:tx>
            <c:strRef>
              <c:f>Days_Since_100!$H$85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  <c:pt idx="10">
                  <c:v>292</c:v>
                </c:pt>
                <c:pt idx="11">
                  <c:v>314</c:v>
                </c:pt>
                <c:pt idx="12">
                  <c:v>336</c:v>
                </c:pt>
                <c:pt idx="13">
                  <c:v>363</c:v>
                </c:pt>
                <c:pt idx="14">
                  <c:v>400</c:v>
                </c:pt>
                <c:pt idx="15">
                  <c:v>426</c:v>
                </c:pt>
                <c:pt idx="16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3E-4AB6-867B-0481DD8BD9B7}"/>
            </c:ext>
          </c:extLst>
        </c:ser>
        <c:ser>
          <c:idx val="46"/>
          <c:order val="66"/>
          <c:tx>
            <c:strRef>
              <c:f>Days_Since_100!$H$86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  <c:pt idx="2">
                  <c:v>182</c:v>
                </c:pt>
                <c:pt idx="3">
                  <c:v>209</c:v>
                </c:pt>
                <c:pt idx="4">
                  <c:v>273</c:v>
                </c:pt>
                <c:pt idx="5">
                  <c:v>298</c:v>
                </c:pt>
                <c:pt idx="6">
                  <c:v>359</c:v>
                </c:pt>
                <c:pt idx="7">
                  <c:v>400</c:v>
                </c:pt>
                <c:pt idx="8">
                  <c:v>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E3E-4AB6-867B-0481DD8BD9B7}"/>
            </c:ext>
          </c:extLst>
        </c:ser>
        <c:ser>
          <c:idx val="47"/>
          <c:order val="67"/>
          <c:tx>
            <c:strRef>
              <c:f>Days_Since_100!$H$87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  <c:pt idx="6">
                  <c:v>308</c:v>
                </c:pt>
                <c:pt idx="7">
                  <c:v>334</c:v>
                </c:pt>
                <c:pt idx="8">
                  <c:v>370</c:v>
                </c:pt>
                <c:pt idx="9">
                  <c:v>376</c:v>
                </c:pt>
                <c:pt idx="10">
                  <c:v>390</c:v>
                </c:pt>
                <c:pt idx="11">
                  <c:v>428</c:v>
                </c:pt>
                <c:pt idx="12">
                  <c:v>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3E-4AB6-867B-0481DD8BD9B7}"/>
            </c:ext>
          </c:extLst>
        </c:ser>
        <c:ser>
          <c:idx val="24"/>
          <c:order val="68"/>
          <c:tx>
            <c:strRef>
              <c:f>Days_Since_100!$H$88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  <c:pt idx="6">
                  <c:v>241</c:v>
                </c:pt>
                <c:pt idx="7">
                  <c:v>259</c:v>
                </c:pt>
                <c:pt idx="8">
                  <c:v>285</c:v>
                </c:pt>
                <c:pt idx="9">
                  <c:v>329</c:v>
                </c:pt>
                <c:pt idx="10">
                  <c:v>354</c:v>
                </c:pt>
                <c:pt idx="11">
                  <c:v>384</c:v>
                </c:pt>
                <c:pt idx="12">
                  <c:v>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6-4FAC-B4C0-FF41ACEEDC9C}"/>
            </c:ext>
          </c:extLst>
        </c:ser>
        <c:ser>
          <c:idx val="43"/>
          <c:order val="69"/>
          <c:tx>
            <c:strRef>
              <c:f>Days_Since_100!$H$91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  <c:pt idx="5">
                  <c:v>179</c:v>
                </c:pt>
                <c:pt idx="6">
                  <c:v>214</c:v>
                </c:pt>
                <c:pt idx="7">
                  <c:v>230</c:v>
                </c:pt>
                <c:pt idx="8">
                  <c:v>262</c:v>
                </c:pt>
                <c:pt idx="9">
                  <c:v>320</c:v>
                </c:pt>
                <c:pt idx="10">
                  <c:v>356</c:v>
                </c:pt>
                <c:pt idx="11">
                  <c:v>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C6-4FAC-B4C0-FF41ACEEDC9C}"/>
            </c:ext>
          </c:extLst>
        </c:ser>
        <c:ser>
          <c:idx val="44"/>
          <c:order val="70"/>
          <c:tx>
            <c:strRef>
              <c:f>Days_Since_100!$H$92</c:f>
              <c:strCache>
                <c:ptCount val="1"/>
                <c:pt idx="0">
                  <c:v>Belarus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152</c:v>
                </c:pt>
                <c:pt idx="1">
                  <c:v>152</c:v>
                </c:pt>
                <c:pt idx="2">
                  <c:v>163</c:v>
                </c:pt>
                <c:pt idx="3">
                  <c:v>304</c:v>
                </c:pt>
                <c:pt idx="4">
                  <c:v>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C6-4FAC-B4C0-FF41ACEEDC9C}"/>
            </c:ext>
          </c:extLst>
        </c:ser>
        <c:ser>
          <c:idx val="48"/>
          <c:order val="71"/>
          <c:tx>
            <c:strRef>
              <c:f>Days_Since_100!$H$93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  <c:pt idx="10">
                  <c:v>283</c:v>
                </c:pt>
                <c:pt idx="11">
                  <c:v>298</c:v>
                </c:pt>
                <c:pt idx="12">
                  <c:v>306</c:v>
                </c:pt>
                <c:pt idx="13">
                  <c:v>322</c:v>
                </c:pt>
                <c:pt idx="14">
                  <c:v>329</c:v>
                </c:pt>
                <c:pt idx="15">
                  <c:v>339</c:v>
                </c:pt>
                <c:pt idx="16">
                  <c:v>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FC6-4FAC-B4C0-FF41ACEEDC9C}"/>
            </c:ext>
          </c:extLst>
        </c:ser>
        <c:ser>
          <c:idx val="51"/>
          <c:order val="72"/>
          <c:tx>
            <c:strRef>
              <c:f>Days_Since_100!$H$94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  <c:pt idx="6">
                  <c:v>246</c:v>
                </c:pt>
                <c:pt idx="7">
                  <c:v>259</c:v>
                </c:pt>
                <c:pt idx="8">
                  <c:v>268</c:v>
                </c:pt>
                <c:pt idx="9">
                  <c:v>274</c:v>
                </c:pt>
                <c:pt idx="10">
                  <c:v>278</c:v>
                </c:pt>
                <c:pt idx="11">
                  <c:v>299</c:v>
                </c:pt>
                <c:pt idx="12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C6-4FAC-B4C0-FF41ACEEDC9C}"/>
            </c:ext>
          </c:extLst>
        </c:ser>
        <c:ser>
          <c:idx val="56"/>
          <c:order val="73"/>
          <c:tx>
            <c:strRef>
              <c:f>Days_Since_100!$H$95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  <c:pt idx="5">
                  <c:v>197</c:v>
                </c:pt>
                <c:pt idx="6">
                  <c:v>212</c:v>
                </c:pt>
                <c:pt idx="7">
                  <c:v>223</c:v>
                </c:pt>
                <c:pt idx="8">
                  <c:v>243</c:v>
                </c:pt>
                <c:pt idx="9">
                  <c:v>259</c:v>
                </c:pt>
                <c:pt idx="10">
                  <c:v>277</c:v>
                </c:pt>
                <c:pt idx="11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FC6-4FAC-B4C0-FF41ACEEDC9C}"/>
            </c:ext>
          </c:extLst>
        </c:ser>
        <c:ser>
          <c:idx val="57"/>
          <c:order val="74"/>
          <c:tx>
            <c:strRef>
              <c:f>Days_Since_100!$H$96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  <c:pt idx="4">
                  <c:v>207</c:v>
                </c:pt>
                <c:pt idx="5">
                  <c:v>222</c:v>
                </c:pt>
                <c:pt idx="6">
                  <c:v>246</c:v>
                </c:pt>
                <c:pt idx="7">
                  <c:v>261</c:v>
                </c:pt>
                <c:pt idx="8">
                  <c:v>282</c:v>
                </c:pt>
                <c:pt idx="9">
                  <c:v>288</c:v>
                </c:pt>
                <c:pt idx="10">
                  <c:v>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C6-4FAC-B4C0-FF41ACEEDC9C}"/>
            </c:ext>
          </c:extLst>
        </c:ser>
        <c:ser>
          <c:idx val="60"/>
          <c:order val="75"/>
          <c:tx>
            <c:strRef>
              <c:f>Days_Since_100!$H$97</c:f>
              <c:strCache>
                <c:ptCount val="1"/>
                <c:pt idx="0">
                  <c:v>Afghanistan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170</c:v>
                </c:pt>
                <c:pt idx="4">
                  <c:v>174</c:v>
                </c:pt>
                <c:pt idx="5">
                  <c:v>237</c:v>
                </c:pt>
                <c:pt idx="6">
                  <c:v>273</c:v>
                </c:pt>
                <c:pt idx="7">
                  <c:v>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FC6-4FAC-B4C0-FF41ACEEDC9C}"/>
            </c:ext>
          </c:extLst>
        </c:ser>
        <c:ser>
          <c:idx val="61"/>
          <c:order val="76"/>
          <c:tx>
            <c:strRef>
              <c:f>Days_Since_100!$H$98</c:f>
              <c:strCache>
                <c:ptCount val="1"/>
                <c:pt idx="0">
                  <c:v>Cuba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119</c:v>
                </c:pt>
                <c:pt idx="1">
                  <c:v>139</c:v>
                </c:pt>
                <c:pt idx="2">
                  <c:v>170</c:v>
                </c:pt>
                <c:pt idx="3">
                  <c:v>186</c:v>
                </c:pt>
                <c:pt idx="4">
                  <c:v>212</c:v>
                </c:pt>
                <c:pt idx="5">
                  <c:v>233</c:v>
                </c:pt>
                <c:pt idx="6">
                  <c:v>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C6-4FAC-B4C0-FF41ACEEDC9C}"/>
            </c:ext>
          </c:extLst>
        </c:ser>
        <c:ser>
          <c:idx val="62"/>
          <c:order val="77"/>
          <c:tx>
            <c:strRef>
              <c:f>Days_Since_100!$H$99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  <c:pt idx="2">
                  <c:v>152</c:v>
                </c:pt>
                <c:pt idx="3">
                  <c:v>167</c:v>
                </c:pt>
                <c:pt idx="4">
                  <c:v>179</c:v>
                </c:pt>
                <c:pt idx="5">
                  <c:v>192</c:v>
                </c:pt>
                <c:pt idx="6">
                  <c:v>210</c:v>
                </c:pt>
                <c:pt idx="7">
                  <c:v>231</c:v>
                </c:pt>
                <c:pt idx="8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FC6-4FAC-B4C0-FF41ACEEDC9C}"/>
            </c:ext>
          </c:extLst>
        </c:ser>
        <c:ser>
          <c:idx val="68"/>
          <c:order val="78"/>
          <c:tx>
            <c:strRef>
              <c:f>Days_Since_100!$H$101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  <c:pt idx="6">
                  <c:v>174</c:v>
                </c:pt>
                <c:pt idx="7">
                  <c:v>188</c:v>
                </c:pt>
                <c:pt idx="8">
                  <c:v>203</c:v>
                </c:pt>
                <c:pt idx="9">
                  <c:v>212</c:v>
                </c:pt>
                <c:pt idx="10">
                  <c:v>218</c:v>
                </c:pt>
                <c:pt idx="11">
                  <c:v>233</c:v>
                </c:pt>
                <c:pt idx="12">
                  <c:v>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FC6-4FAC-B4C0-FF41ACEED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489585193603387"/>
          <c:y val="7.8034561373258995E-2"/>
          <c:w val="0.17510413218133389"/>
          <c:h val="0.791539592705951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20%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12</c:v>
                </c:pt>
                <c:pt idx="2">
                  <c:v>14.399999999999999</c:v>
                </c:pt>
                <c:pt idx="3">
                  <c:v>17.279999999999998</c:v>
                </c:pt>
                <c:pt idx="4">
                  <c:v>20.735999999999997</c:v>
                </c:pt>
                <c:pt idx="5">
                  <c:v>24.883199999999995</c:v>
                </c:pt>
                <c:pt idx="6">
                  <c:v>29.859839999999991</c:v>
                </c:pt>
                <c:pt idx="7">
                  <c:v>35.831807999999988</c:v>
                </c:pt>
                <c:pt idx="8">
                  <c:v>42.998169599999983</c:v>
                </c:pt>
                <c:pt idx="9">
                  <c:v>51.597803519999978</c:v>
                </c:pt>
                <c:pt idx="10">
                  <c:v>61.917364223999968</c:v>
                </c:pt>
                <c:pt idx="11">
                  <c:v>74.300837068799964</c:v>
                </c:pt>
                <c:pt idx="12">
                  <c:v>89.16100448255996</c:v>
                </c:pt>
                <c:pt idx="13">
                  <c:v>106.99320537907195</c:v>
                </c:pt>
                <c:pt idx="14">
                  <c:v>128.39184645488635</c:v>
                </c:pt>
                <c:pt idx="15">
                  <c:v>154.07021574586361</c:v>
                </c:pt>
                <c:pt idx="16">
                  <c:v>184.88425889503631</c:v>
                </c:pt>
                <c:pt idx="17">
                  <c:v>221.86111067404357</c:v>
                </c:pt>
                <c:pt idx="18">
                  <c:v>266.23333280885225</c:v>
                </c:pt>
                <c:pt idx="19">
                  <c:v>319.47999937062269</c:v>
                </c:pt>
                <c:pt idx="20">
                  <c:v>383.37599924474722</c:v>
                </c:pt>
                <c:pt idx="21">
                  <c:v>460.05119909369665</c:v>
                </c:pt>
                <c:pt idx="22">
                  <c:v>552.06143891243596</c:v>
                </c:pt>
                <c:pt idx="23">
                  <c:v>662.47372669492313</c:v>
                </c:pt>
                <c:pt idx="24">
                  <c:v>794.96847203390769</c:v>
                </c:pt>
                <c:pt idx="25">
                  <c:v>953.9621664406892</c:v>
                </c:pt>
                <c:pt idx="26">
                  <c:v>1144.7545997288271</c:v>
                </c:pt>
                <c:pt idx="27">
                  <c:v>1373.7055196745926</c:v>
                </c:pt>
                <c:pt idx="28">
                  <c:v>1648.4466236095111</c:v>
                </c:pt>
                <c:pt idx="29">
                  <c:v>1978.1359483314131</c:v>
                </c:pt>
                <c:pt idx="30">
                  <c:v>2373.7631379976956</c:v>
                </c:pt>
                <c:pt idx="31">
                  <c:v>2848.5157655972348</c:v>
                </c:pt>
                <c:pt idx="32">
                  <c:v>3418.2189187166819</c:v>
                </c:pt>
                <c:pt idx="33">
                  <c:v>4101.8627024600182</c:v>
                </c:pt>
                <c:pt idx="34">
                  <c:v>4922.2352429520215</c:v>
                </c:pt>
                <c:pt idx="35">
                  <c:v>5906.6822915424254</c:v>
                </c:pt>
                <c:pt idx="36">
                  <c:v>7088.0187498509104</c:v>
                </c:pt>
                <c:pt idx="37">
                  <c:v>8505.6224998210928</c:v>
                </c:pt>
                <c:pt idx="38">
                  <c:v>10206.746999785311</c:v>
                </c:pt>
                <c:pt idx="39">
                  <c:v>12248.096399742373</c:v>
                </c:pt>
                <c:pt idx="40">
                  <c:v>14697.715679690848</c:v>
                </c:pt>
                <c:pt idx="41">
                  <c:v>17637.258815629015</c:v>
                </c:pt>
                <c:pt idx="42">
                  <c:v>21164.710578754817</c:v>
                </c:pt>
                <c:pt idx="43">
                  <c:v>25397.652694505781</c:v>
                </c:pt>
                <c:pt idx="44">
                  <c:v>30477.183233406937</c:v>
                </c:pt>
                <c:pt idx="45">
                  <c:v>36572.619880088321</c:v>
                </c:pt>
                <c:pt idx="46">
                  <c:v>43887.143856105984</c:v>
                </c:pt>
                <c:pt idx="47">
                  <c:v>52664.572627327179</c:v>
                </c:pt>
                <c:pt idx="48">
                  <c:v>63197.487152792615</c:v>
                </c:pt>
                <c:pt idx="49">
                  <c:v>75836.984583351135</c:v>
                </c:pt>
                <c:pt idx="50">
                  <c:v>91004.381500021365</c:v>
                </c:pt>
                <c:pt idx="51">
                  <c:v>109205.25780002563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32"/>
          <c:order val="10"/>
          <c:tx>
            <c:strRef>
              <c:f>Deaths_since_10!$H$15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  <c:pt idx="34">
                  <c:v>2595</c:v>
                </c:pt>
                <c:pt idx="35">
                  <c:v>2730</c:v>
                </c:pt>
                <c:pt idx="36">
                  <c:v>2857</c:v>
                </c:pt>
                <c:pt idx="37">
                  <c:v>3012</c:v>
                </c:pt>
                <c:pt idx="38">
                  <c:v>3168</c:v>
                </c:pt>
                <c:pt idx="39">
                  <c:v>3314</c:v>
                </c:pt>
                <c:pt idx="40">
                  <c:v>3458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11"/>
          <c:tx>
            <c:strRef>
              <c:f>Deaths_since_10!$H$16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  <c:pt idx="34">
                  <c:v>2517</c:v>
                </c:pt>
                <c:pt idx="35">
                  <c:v>2640</c:v>
                </c:pt>
                <c:pt idx="36">
                  <c:v>2757</c:v>
                </c:pt>
                <c:pt idx="37">
                  <c:v>2898</c:v>
                </c:pt>
                <c:pt idx="38">
                  <c:v>3036</c:v>
                </c:pt>
                <c:pt idx="39">
                  <c:v>3160</c:v>
                </c:pt>
                <c:pt idx="40">
                  <c:v>3294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5"/>
          <c:order val="12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  <c:pt idx="15">
                  <c:v>640</c:v>
                </c:pt>
                <c:pt idx="16">
                  <c:v>772</c:v>
                </c:pt>
                <c:pt idx="17">
                  <c:v>865</c:v>
                </c:pt>
                <c:pt idx="18">
                  <c:v>1040</c:v>
                </c:pt>
                <c:pt idx="19">
                  <c:v>1175</c:v>
                </c:pt>
                <c:pt idx="20">
                  <c:v>1341</c:v>
                </c:pt>
                <c:pt idx="21">
                  <c:v>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13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  <c:pt idx="11">
                  <c:v>353</c:v>
                </c:pt>
                <c:pt idx="12">
                  <c:v>431</c:v>
                </c:pt>
                <c:pt idx="13">
                  <c:v>513</c:v>
                </c:pt>
                <c:pt idx="14">
                  <c:v>705</c:v>
                </c:pt>
                <c:pt idx="15">
                  <c:v>828</c:v>
                </c:pt>
                <c:pt idx="16">
                  <c:v>1011</c:v>
                </c:pt>
                <c:pt idx="17">
                  <c:v>1143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14"/>
          <c:tx>
            <c:strRef>
              <c:f>Deaths_since_10!$H$20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  <c:pt idx="10">
                  <c:v>238</c:v>
                </c:pt>
                <c:pt idx="11">
                  <c:v>295</c:v>
                </c:pt>
                <c:pt idx="12">
                  <c:v>343</c:v>
                </c:pt>
                <c:pt idx="13">
                  <c:v>430</c:v>
                </c:pt>
                <c:pt idx="14">
                  <c:v>511</c:v>
                </c:pt>
                <c:pt idx="15">
                  <c:v>661</c:v>
                </c:pt>
                <c:pt idx="16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15"/>
          <c:tx>
            <c:strRef>
              <c:f>Deaths_since_10!$H$21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  <c:pt idx="15">
                  <c:v>264</c:v>
                </c:pt>
                <c:pt idx="16">
                  <c:v>300</c:v>
                </c:pt>
                <c:pt idx="17">
                  <c:v>359</c:v>
                </c:pt>
                <c:pt idx="18">
                  <c:v>433</c:v>
                </c:pt>
                <c:pt idx="19">
                  <c:v>488</c:v>
                </c:pt>
                <c:pt idx="20">
                  <c:v>536</c:v>
                </c:pt>
                <c:pt idx="21">
                  <c:v>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16"/>
          <c:tx>
            <c:strRef>
              <c:f>Deaths_since_10!$H$22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  <c:pt idx="7">
                  <c:v>108</c:v>
                </c:pt>
                <c:pt idx="8">
                  <c:v>131</c:v>
                </c:pt>
                <c:pt idx="9">
                  <c:v>168</c:v>
                </c:pt>
                <c:pt idx="10">
                  <c:v>214</c:v>
                </c:pt>
                <c:pt idx="11">
                  <c:v>277</c:v>
                </c:pt>
                <c:pt idx="12">
                  <c:v>356</c:v>
                </c:pt>
                <c:pt idx="13">
                  <c:v>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17"/>
          <c:tx>
            <c:strRef>
              <c:f>Deaths_since_10!$H$23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  <c:pt idx="8">
                  <c:v>111</c:v>
                </c:pt>
                <c:pt idx="9">
                  <c:v>136</c:v>
                </c:pt>
                <c:pt idx="10">
                  <c:v>159</c:v>
                </c:pt>
                <c:pt idx="11">
                  <c:v>201</c:v>
                </c:pt>
                <c:pt idx="12">
                  <c:v>240</c:v>
                </c:pt>
                <c:pt idx="13">
                  <c:v>324</c:v>
                </c:pt>
                <c:pt idx="14">
                  <c:v>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18"/>
          <c:tx>
            <c:strRef>
              <c:f>Deaths_since_10!$H$24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  <c:pt idx="10">
                  <c:v>105</c:v>
                </c:pt>
                <c:pt idx="11">
                  <c:v>110</c:v>
                </c:pt>
                <c:pt idx="12">
                  <c:v>146</c:v>
                </c:pt>
                <c:pt idx="13">
                  <c:v>180</c:v>
                </c:pt>
                <c:pt idx="14">
                  <c:v>239</c:v>
                </c:pt>
                <c:pt idx="15">
                  <c:v>308</c:v>
                </c:pt>
                <c:pt idx="16">
                  <c:v>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19"/>
          <c:tx>
            <c:strRef>
              <c:f>Deaths_since_10!$H$25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  <c:pt idx="13">
                  <c:v>122</c:v>
                </c:pt>
                <c:pt idx="14">
                  <c:v>136</c:v>
                </c:pt>
                <c:pt idx="15">
                  <c:v>153</c:v>
                </c:pt>
                <c:pt idx="16">
                  <c:v>176</c:v>
                </c:pt>
                <c:pt idx="17">
                  <c:v>206</c:v>
                </c:pt>
                <c:pt idx="18">
                  <c:v>254</c:v>
                </c:pt>
                <c:pt idx="19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20"/>
          <c:tx>
            <c:strRef>
              <c:f>Deaths_since_10!$H$26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  <c:pt idx="7">
                  <c:v>100</c:v>
                </c:pt>
                <c:pt idx="8">
                  <c:v>119</c:v>
                </c:pt>
                <c:pt idx="9">
                  <c:v>140</c:v>
                </c:pt>
                <c:pt idx="10">
                  <c:v>160</c:v>
                </c:pt>
                <c:pt idx="11">
                  <c:v>187</c:v>
                </c:pt>
                <c:pt idx="12">
                  <c:v>209</c:v>
                </c:pt>
                <c:pt idx="13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21"/>
          <c:tx>
            <c:strRef>
              <c:f>Deaths_since_10!$H$27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  <c:pt idx="10">
                  <c:v>102</c:v>
                </c:pt>
                <c:pt idx="11">
                  <c:v>114</c:v>
                </c:pt>
                <c:pt idx="12">
                  <c:v>122</c:v>
                </c:pt>
                <c:pt idx="13">
                  <c:v>136</c:v>
                </c:pt>
                <c:pt idx="14">
                  <c:v>157</c:v>
                </c:pt>
                <c:pt idx="15">
                  <c:v>170</c:v>
                </c:pt>
                <c:pt idx="16">
                  <c:v>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22"/>
          <c:tx>
            <c:strRef>
              <c:f>Deaths_since_10!$H$28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  <c:pt idx="10">
                  <c:v>61</c:v>
                </c:pt>
                <c:pt idx="11">
                  <c:v>64</c:v>
                </c:pt>
                <c:pt idx="12">
                  <c:v>80</c:v>
                </c:pt>
                <c:pt idx="13">
                  <c:v>101</c:v>
                </c:pt>
                <c:pt idx="14">
                  <c:v>109</c:v>
                </c:pt>
                <c:pt idx="15">
                  <c:v>139</c:v>
                </c:pt>
                <c:pt idx="16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23"/>
          <c:tx>
            <c:strRef>
              <c:f>Deaths_since_10!$H$29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  <c:pt idx="33">
                  <c:v>144</c:v>
                </c:pt>
                <c:pt idx="34">
                  <c:v>152</c:v>
                </c:pt>
                <c:pt idx="35">
                  <c:v>158</c:v>
                </c:pt>
                <c:pt idx="36">
                  <c:v>162</c:v>
                </c:pt>
                <c:pt idx="37">
                  <c:v>165</c:v>
                </c:pt>
                <c:pt idx="38">
                  <c:v>169</c:v>
                </c:pt>
                <c:pt idx="39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24"/>
          <c:tx>
            <c:strRef>
              <c:f>Deaths_since_10!$H$30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  <c:pt idx="7">
                  <c:v>68</c:v>
                </c:pt>
                <c:pt idx="8">
                  <c:v>86</c:v>
                </c:pt>
                <c:pt idx="9">
                  <c:v>108</c:v>
                </c:pt>
                <c:pt idx="10">
                  <c:v>128</c:v>
                </c:pt>
                <c:pt idx="11">
                  <c:v>146</c:v>
                </c:pt>
                <c:pt idx="12">
                  <c:v>158</c:v>
                </c:pt>
                <c:pt idx="13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25"/>
          <c:tx>
            <c:strRef>
              <c:f>Deaths_since_10!$H$31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  <c:pt idx="6">
                  <c:v>48</c:v>
                </c:pt>
                <c:pt idx="7">
                  <c:v>58</c:v>
                </c:pt>
                <c:pt idx="8">
                  <c:v>60</c:v>
                </c:pt>
                <c:pt idx="9">
                  <c:v>75</c:v>
                </c:pt>
                <c:pt idx="10">
                  <c:v>93</c:v>
                </c:pt>
                <c:pt idx="11">
                  <c:v>120</c:v>
                </c:pt>
                <c:pt idx="12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26"/>
          <c:tx>
            <c:strRef>
              <c:f>Deaths_since_10!$H$32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  <c:pt idx="8">
                  <c:v>65</c:v>
                </c:pt>
                <c:pt idx="9">
                  <c:v>72</c:v>
                </c:pt>
                <c:pt idx="10">
                  <c:v>77</c:v>
                </c:pt>
                <c:pt idx="11">
                  <c:v>90</c:v>
                </c:pt>
                <c:pt idx="12">
                  <c:v>104</c:v>
                </c:pt>
                <c:pt idx="13">
                  <c:v>123</c:v>
                </c:pt>
                <c:pt idx="14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27"/>
          <c:tx>
            <c:strRef>
              <c:f>Deaths_since_10!$H$33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  <c:pt idx="14">
                  <c:v>68</c:v>
                </c:pt>
                <c:pt idx="15">
                  <c:v>71</c:v>
                </c:pt>
                <c:pt idx="16">
                  <c:v>78</c:v>
                </c:pt>
                <c:pt idx="17">
                  <c:v>88</c:v>
                </c:pt>
                <c:pt idx="18">
                  <c:v>96</c:v>
                </c:pt>
                <c:pt idx="19">
                  <c:v>107</c:v>
                </c:pt>
                <c:pt idx="20">
                  <c:v>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28"/>
          <c:tx>
            <c:strRef>
              <c:f>Deaths_since_10!$H$34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  <c:pt idx="4">
                  <c:v>37</c:v>
                </c:pt>
                <c:pt idx="5">
                  <c:v>43</c:v>
                </c:pt>
                <c:pt idx="6">
                  <c:v>65</c:v>
                </c:pt>
                <c:pt idx="7">
                  <c:v>82</c:v>
                </c:pt>
                <c:pt idx="8">
                  <c:v>92</c:v>
                </c:pt>
                <c:pt idx="9">
                  <c:v>115</c:v>
                </c:pt>
                <c:pt idx="10">
                  <c:v>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29"/>
          <c:tx>
            <c:strRef>
              <c:f>Deaths_since_10!$H$35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  <c:pt idx="3">
                  <c:v>36</c:v>
                </c:pt>
                <c:pt idx="4">
                  <c:v>46</c:v>
                </c:pt>
                <c:pt idx="5">
                  <c:v>54</c:v>
                </c:pt>
                <c:pt idx="6">
                  <c:v>71</c:v>
                </c:pt>
                <c:pt idx="7">
                  <c:v>85</c:v>
                </c:pt>
                <c:pt idx="8">
                  <c:v>98</c:v>
                </c:pt>
                <c:pt idx="9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30"/>
          <c:tx>
            <c:strRef>
              <c:f>Deaths_since_10!$H$36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  <c:pt idx="9">
                  <c:v>29</c:v>
                </c:pt>
                <c:pt idx="10">
                  <c:v>31</c:v>
                </c:pt>
                <c:pt idx="11">
                  <c:v>35</c:v>
                </c:pt>
                <c:pt idx="12">
                  <c:v>44</c:v>
                </c:pt>
                <c:pt idx="13">
                  <c:v>58</c:v>
                </c:pt>
                <c:pt idx="14">
                  <c:v>86</c:v>
                </c:pt>
                <c:pt idx="15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31"/>
          <c:tx>
            <c:strRef>
              <c:f>Deaths_since_10!$H$37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24</c:v>
                </c:pt>
                <c:pt idx="6">
                  <c:v>27</c:v>
                </c:pt>
                <c:pt idx="7">
                  <c:v>32</c:v>
                </c:pt>
                <c:pt idx="8">
                  <c:v>35</c:v>
                </c:pt>
                <c:pt idx="9">
                  <c:v>58</c:v>
                </c:pt>
                <c:pt idx="10">
                  <c:v>72</c:v>
                </c:pt>
                <c:pt idx="11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ser>
          <c:idx val="10"/>
          <c:order val="32"/>
          <c:tx>
            <c:strRef>
              <c:f>Deaths_since_10!$H$38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ysClr val="windowText" lastClr="000000">
                  <a:lumMod val="50000"/>
                  <a:lumOff val="50000"/>
                  <a:alpha val="25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  <c:pt idx="5">
                  <c:v>18</c:v>
                </c:pt>
                <c:pt idx="6">
                  <c:v>22</c:v>
                </c:pt>
                <c:pt idx="7">
                  <c:v>31</c:v>
                </c:pt>
                <c:pt idx="8">
                  <c:v>33</c:v>
                </c:pt>
                <c:pt idx="9">
                  <c:v>43</c:v>
                </c:pt>
                <c:pt idx="10">
                  <c:v>57</c:v>
                </c:pt>
                <c:pt idx="11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A-4B89-A8D8-8FF3C1839C12}"/>
            </c:ext>
          </c:extLst>
        </c:ser>
        <c:ser>
          <c:idx val="13"/>
          <c:order val="33"/>
          <c:tx>
            <c:strRef>
              <c:f>Deaths_since_10!$H$39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  <c:pt idx="3">
                  <c:v>28</c:v>
                </c:pt>
                <c:pt idx="4">
                  <c:v>39</c:v>
                </c:pt>
                <c:pt idx="5">
                  <c:v>42</c:v>
                </c:pt>
                <c:pt idx="6">
                  <c:v>51</c:v>
                </c:pt>
                <c:pt idx="7">
                  <c:v>57</c:v>
                </c:pt>
                <c:pt idx="8">
                  <c:v>60</c:v>
                </c:pt>
                <c:pt idx="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A-4B89-A8D8-8FF3C1839C12}"/>
            </c:ext>
          </c:extLst>
        </c:ser>
        <c:ser>
          <c:idx val="14"/>
          <c:order val="34"/>
          <c:tx>
            <c:strRef>
              <c:f>Deaths_since_10!$H$40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  <c:pt idx="8">
                  <c:v>36</c:v>
                </c:pt>
                <c:pt idx="9">
                  <c:v>40</c:v>
                </c:pt>
                <c:pt idx="10">
                  <c:v>41</c:v>
                </c:pt>
                <c:pt idx="11">
                  <c:v>46</c:v>
                </c:pt>
                <c:pt idx="12">
                  <c:v>52</c:v>
                </c:pt>
                <c:pt idx="13">
                  <c:v>58</c:v>
                </c:pt>
                <c:pt idx="14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A-4B89-A8D8-8FF3C1839C12}"/>
            </c:ext>
          </c:extLst>
        </c:ser>
        <c:ser>
          <c:idx val="15"/>
          <c:order val="35"/>
          <c:tx>
            <c:strRef>
              <c:f>Deaths_since_10!$H$41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  <c:pt idx="19">
                  <c:v>52</c:v>
                </c:pt>
                <c:pt idx="20">
                  <c:v>54</c:v>
                </c:pt>
                <c:pt idx="21">
                  <c:v>54</c:v>
                </c:pt>
                <c:pt idx="22">
                  <c:v>56</c:v>
                </c:pt>
                <c:pt idx="23">
                  <c:v>57</c:v>
                </c:pt>
                <c:pt idx="24">
                  <c:v>62</c:v>
                </c:pt>
                <c:pt idx="25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A-4B89-A8D8-8FF3C1839C12}"/>
            </c:ext>
          </c:extLst>
        </c:ser>
        <c:ser>
          <c:idx val="16"/>
          <c:order val="36"/>
          <c:tx>
            <c:strRef>
              <c:f>Deaths_since_10!$H$42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  <c:pt idx="7">
                  <c:v>32</c:v>
                </c:pt>
                <c:pt idx="8">
                  <c:v>38</c:v>
                </c:pt>
                <c:pt idx="9">
                  <c:v>43</c:v>
                </c:pt>
                <c:pt idx="10">
                  <c:v>49</c:v>
                </c:pt>
                <c:pt idx="11">
                  <c:v>50</c:v>
                </c:pt>
                <c:pt idx="12">
                  <c:v>53</c:v>
                </c:pt>
                <c:pt idx="13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A-4B89-A8D8-8FF3C1839C12}"/>
            </c:ext>
          </c:extLst>
        </c:ser>
        <c:ser>
          <c:idx val="17"/>
          <c:order val="37"/>
          <c:tx>
            <c:strRef>
              <c:f>Deaths_since_10!$H$43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18</c:v>
                </c:pt>
                <c:pt idx="5">
                  <c:v>24</c:v>
                </c:pt>
                <c:pt idx="6">
                  <c:v>30</c:v>
                </c:pt>
                <c:pt idx="7">
                  <c:v>38</c:v>
                </c:pt>
                <c:pt idx="8">
                  <c:v>55</c:v>
                </c:pt>
                <c:pt idx="9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A-4B89-A8D8-8FF3C1839C12}"/>
            </c:ext>
          </c:extLst>
        </c:ser>
        <c:ser>
          <c:idx val="18"/>
          <c:order val="38"/>
          <c:tx>
            <c:strRef>
              <c:f>Deaths_since_10!$H$44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  <c:pt idx="5">
                  <c:v>23</c:v>
                </c:pt>
                <c:pt idx="6">
                  <c:v>25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50</c:v>
                </c:pt>
                <c:pt idx="11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A-4B89-A8D8-8FF3C1839C12}"/>
            </c:ext>
          </c:extLst>
        </c:ser>
        <c:ser>
          <c:idx val="12"/>
          <c:order val="39"/>
          <c:tx>
            <c:strRef>
              <c:f>Deaths_since_10!$H$45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  <c:pt idx="16">
                  <c:v>42</c:v>
                </c:pt>
                <c:pt idx="17">
                  <c:v>42</c:v>
                </c:pt>
                <c:pt idx="18">
                  <c:v>46</c:v>
                </c:pt>
                <c:pt idx="19">
                  <c:v>50</c:v>
                </c:pt>
                <c:pt idx="20">
                  <c:v>52</c:v>
                </c:pt>
                <c:pt idx="21">
                  <c:v>54</c:v>
                </c:pt>
                <c:pt idx="22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8-4D42-86C7-6D6B3C7115D9}"/>
            </c:ext>
          </c:extLst>
        </c:ser>
        <c:ser>
          <c:idx val="19"/>
          <c:order val="40"/>
          <c:tx>
            <c:strRef>
              <c:f>Deaths_since_10!$H$46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  <c:pt idx="6">
                  <c:v>27</c:v>
                </c:pt>
                <c:pt idx="7">
                  <c:v>35</c:v>
                </c:pt>
                <c:pt idx="8">
                  <c:v>37</c:v>
                </c:pt>
                <c:pt idx="9">
                  <c:v>43</c:v>
                </c:pt>
                <c:pt idx="10">
                  <c:v>45</c:v>
                </c:pt>
                <c:pt idx="11">
                  <c:v>50</c:v>
                </c:pt>
                <c:pt idx="12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8-4D42-86C7-6D6B3C7115D9}"/>
            </c:ext>
          </c:extLst>
        </c:ser>
        <c:ser>
          <c:idx val="20"/>
          <c:order val="41"/>
          <c:tx>
            <c:strRef>
              <c:f>Deaths_since_10!$H$47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16</c:v>
                </c:pt>
                <c:pt idx="4">
                  <c:v>23</c:v>
                </c:pt>
                <c:pt idx="5">
                  <c:v>31</c:v>
                </c:pt>
                <c:pt idx="6">
                  <c:v>39</c:v>
                </c:pt>
                <c:pt idx="7">
                  <c:v>44</c:v>
                </c:pt>
                <c:pt idx="8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58-4D42-86C7-6D6B3C7115D9}"/>
            </c:ext>
          </c:extLst>
        </c:ser>
        <c:ser>
          <c:idx val="21"/>
          <c:order val="42"/>
          <c:tx>
            <c:strRef>
              <c:f>Deaths_since_10!$H$48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20</c:v>
                </c:pt>
                <c:pt idx="4">
                  <c:v>28</c:v>
                </c:pt>
                <c:pt idx="5">
                  <c:v>29</c:v>
                </c:pt>
                <c:pt idx="6">
                  <c:v>37</c:v>
                </c:pt>
                <c:pt idx="7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758-4D42-86C7-6D6B3C7115D9}"/>
            </c:ext>
          </c:extLst>
        </c:ser>
        <c:ser>
          <c:idx val="22"/>
          <c:order val="43"/>
          <c:tx>
            <c:strRef>
              <c:f>Deaths_since_10!$H$49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  <c:pt idx="2">
                  <c:v>25</c:v>
                </c:pt>
                <c:pt idx="3">
                  <c:v>26</c:v>
                </c:pt>
                <c:pt idx="4">
                  <c:v>33</c:v>
                </c:pt>
                <c:pt idx="5">
                  <c:v>36</c:v>
                </c:pt>
                <c:pt idx="6">
                  <c:v>39</c:v>
                </c:pt>
                <c:pt idx="7">
                  <c:v>44</c:v>
                </c:pt>
                <c:pt idx="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758-4D42-86C7-6D6B3C7115D9}"/>
            </c:ext>
          </c:extLst>
        </c:ser>
        <c:ser>
          <c:idx val="23"/>
          <c:order val="44"/>
          <c:tx>
            <c:strRef>
              <c:f>Deaths_since_10!$H$50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12</c:v>
                </c:pt>
                <c:pt idx="3">
                  <c:v>15</c:v>
                </c:pt>
                <c:pt idx="4">
                  <c:v>16</c:v>
                </c:pt>
                <c:pt idx="5">
                  <c:v>20</c:v>
                </c:pt>
                <c:pt idx="6">
                  <c:v>26</c:v>
                </c:pt>
                <c:pt idx="7">
                  <c:v>36</c:v>
                </c:pt>
                <c:pt idx="8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758-4D42-86C7-6D6B3C7115D9}"/>
            </c:ext>
          </c:extLst>
        </c:ser>
        <c:ser>
          <c:idx val="24"/>
          <c:order val="45"/>
          <c:tx>
            <c:strRef>
              <c:f>Deaths_since_10!$H$51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21</c:v>
                </c:pt>
                <c:pt idx="6">
                  <c:v>26</c:v>
                </c:pt>
                <c:pt idx="7">
                  <c:v>27</c:v>
                </c:pt>
                <c:pt idx="8">
                  <c:v>34</c:v>
                </c:pt>
                <c:pt idx="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F-4BA1-A627-583F0C6F910C}"/>
            </c:ext>
          </c:extLst>
        </c:ser>
        <c:ser>
          <c:idx val="25"/>
          <c:order val="46"/>
          <c:tx>
            <c:strRef>
              <c:f>Deaths_since_10!$H$52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10</c:v>
                </c:pt>
                <c:pt idx="1">
                  <c:v>13</c:v>
                </c:pt>
                <c:pt idx="2">
                  <c:v>16</c:v>
                </c:pt>
                <c:pt idx="3">
                  <c:v>16</c:v>
                </c:pt>
                <c:pt idx="4">
                  <c:v>28</c:v>
                </c:pt>
                <c:pt idx="5">
                  <c:v>31</c:v>
                </c:pt>
                <c:pt idx="6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9F-4BA1-A627-583F0C6F910C}"/>
            </c:ext>
          </c:extLst>
        </c:ser>
        <c:ser>
          <c:idx val="26"/>
          <c:order val="47"/>
          <c:tx>
            <c:strRef>
              <c:f>Deaths_since_10!$H$53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  <c:pt idx="3">
                  <c:v>18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  <c:pt idx="7">
                  <c:v>28</c:v>
                </c:pt>
                <c:pt idx="8">
                  <c:v>36</c:v>
                </c:pt>
                <c:pt idx="9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9F-4BA1-A627-583F0C6F910C}"/>
            </c:ext>
          </c:extLst>
        </c:ser>
        <c:ser>
          <c:idx val="27"/>
          <c:order val="48"/>
          <c:tx>
            <c:strRef>
              <c:f>Deaths_since_10!$H$54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24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C1-4277-8CF8-2BD0BAC30E95}"/>
            </c:ext>
          </c:extLst>
        </c:ser>
        <c:ser>
          <c:idx val="30"/>
          <c:order val="49"/>
          <c:tx>
            <c:strRef>
              <c:f>Deaths_since_10!$H$55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17</c:v>
                </c:pt>
                <c:pt idx="3">
                  <c:v>24</c:v>
                </c:pt>
                <c:pt idx="4">
                  <c:v>30</c:v>
                </c:pt>
                <c:pt idx="5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C1-4277-8CF8-2BD0BAC30E95}"/>
            </c:ext>
          </c:extLst>
        </c:ser>
        <c:ser>
          <c:idx val="31"/>
          <c:order val="50"/>
          <c:tx>
            <c:strRef>
              <c:f>Deaths_since_10!$H$56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  <c:pt idx="7">
                  <c:v>18</c:v>
                </c:pt>
                <c:pt idx="8">
                  <c:v>21</c:v>
                </c:pt>
                <c:pt idx="9">
                  <c:v>22</c:v>
                </c:pt>
                <c:pt idx="10">
                  <c:v>23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C1-4277-8CF8-2BD0BAC30E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3489723543499"/>
          <c:y val="0.10493380998229521"/>
          <c:w val="0.16665102764564996"/>
          <c:h val="0.849645964579724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8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CumulativeConfirmed!$C$127:$BW$127</c:f>
              <c:numCache>
                <c:formatCode>General</c:formatCode>
                <c:ptCount val="73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242053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  <c:pt idx="66">
                  <c:v>658374</c:v>
                </c:pt>
                <c:pt idx="67">
                  <c:v>717548</c:v>
                </c:pt>
                <c:pt idx="68">
                  <c:v>779657</c:v>
                </c:pt>
                <c:pt idx="69">
                  <c:v>854558</c:v>
                </c:pt>
                <c:pt idx="70">
                  <c:v>929458</c:v>
                </c:pt>
                <c:pt idx="71">
                  <c:v>1009785</c:v>
                </c:pt>
                <c:pt idx="72">
                  <c:v>1092307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  <c:pt idx="72">
                  <c:v>291755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ser>
          <c:idx val="0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D-4BFB-9871-20DA9C469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832315784363894"/>
          <c:h val="0.3347833459394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149407</c:v>
                </c:pt>
                <c:pt idx="68">
                  <c:v>171730</c:v>
                </c:pt>
                <c:pt idx="69">
                  <c:v>199550</c:v>
                </c:pt>
                <c:pt idx="70">
                  <c:v>225966</c:v>
                </c:pt>
                <c:pt idx="71">
                  <c:v>258117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0.74114</cdr:x>
      <cdr:y>0.71507</cdr:y>
    </cdr:from>
    <cdr:to>
      <cdr:x>0.85248</cdr:x>
      <cdr:y>0.77508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7774651" y="4669080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0.57282</cdr:x>
      <cdr:y>0.63725</cdr:y>
    </cdr:from>
    <cdr:to>
      <cdr:x>0.68416</cdr:x>
      <cdr:y>0.69726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008992" y="4160974"/>
          <a:ext cx="116797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0.21948</cdr:x>
      <cdr:y>0.16798</cdr:y>
    </cdr:from>
    <cdr:to>
      <cdr:x>0.45774</cdr:x>
      <cdr:y>0.23581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2302330" y="1096848"/>
          <a:ext cx="2499378" cy="4429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0.56231</cdr:x>
      <cdr:y>0.51132</cdr:y>
    </cdr:from>
    <cdr:to>
      <cdr:x>0.76122</cdr:x>
      <cdr:y>0.57915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898670" y="3338713"/>
          <a:ext cx="208659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3" zoomScaleNormal="63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2" t="str">
        <f>C7&amp;" Covid-19 Active Case Projections"</f>
        <v>World Covid-19 Active Case Projections</v>
      </c>
      <c r="C2" s="103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4"/>
      <c r="C3" s="105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46" t="s">
        <v>541</v>
      </c>
      <c r="X3" s="147"/>
      <c r="Y3" s="148"/>
      <c r="Z3" s="155" t="s">
        <v>604</v>
      </c>
      <c r="AA3" s="161"/>
      <c r="AB3" s="161"/>
      <c r="AC3" s="156"/>
    </row>
    <row r="4" spans="1:32" x14ac:dyDescent="0.25">
      <c r="A4" s="46"/>
      <c r="B4" s="104"/>
      <c r="C4" s="105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49"/>
      <c r="X4" s="150"/>
      <c r="Y4" s="151"/>
      <c r="Z4" s="157"/>
      <c r="AA4" s="162"/>
      <c r="AB4" s="162"/>
      <c r="AC4" s="158"/>
    </row>
    <row r="5" spans="1:32" x14ac:dyDescent="0.25">
      <c r="A5" s="46"/>
      <c r="B5" s="106"/>
      <c r="C5" s="10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52"/>
      <c r="X5" s="153"/>
      <c r="Y5" s="154"/>
      <c r="Z5" s="159"/>
      <c r="AA5" s="163"/>
      <c r="AB5" s="163"/>
      <c r="AC5" s="160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10" t="s">
        <v>476</v>
      </c>
      <c r="C7" s="108" t="str">
        <f>Z3</f>
        <v>World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1"/>
      <c r="C8" s="109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46" t="s">
        <v>540</v>
      </c>
      <c r="X8" s="147"/>
      <c r="Y8" s="148"/>
      <c r="Z8" s="155">
        <v>4</v>
      </c>
      <c r="AA8" s="156"/>
      <c r="AB8" s="164" t="s">
        <v>549</v>
      </c>
      <c r="AC8" s="165"/>
      <c r="AD8" s="165"/>
      <c r="AE8" s="165"/>
      <c r="AF8" s="165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49"/>
      <c r="X9" s="150"/>
      <c r="Y9" s="151"/>
      <c r="Z9" s="157"/>
      <c r="AA9" s="158"/>
      <c r="AB9" s="164"/>
      <c r="AC9" s="165"/>
      <c r="AD9" s="165"/>
      <c r="AE9" s="165"/>
      <c r="AF9" s="165"/>
    </row>
    <row r="10" spans="1:32" ht="18.600000000000001" customHeight="1" x14ac:dyDescent="0.25">
      <c r="A10" s="46"/>
      <c r="B10" s="110" t="s">
        <v>504</v>
      </c>
      <c r="C10" s="118">
        <f>Projections_Data!C4</f>
        <v>1092307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52"/>
      <c r="X10" s="153"/>
      <c r="Y10" s="154"/>
      <c r="Z10" s="159"/>
      <c r="AA10" s="160"/>
      <c r="AB10" s="164"/>
      <c r="AC10" s="165"/>
      <c r="AD10" s="165"/>
      <c r="AE10" s="165"/>
      <c r="AF10" s="165"/>
    </row>
    <row r="11" spans="1:32" ht="18.600000000000001" customHeight="1" x14ac:dyDescent="0.25">
      <c r="A11" s="46"/>
      <c r="B11" s="111"/>
      <c r="C11" s="119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10" t="s">
        <v>588</v>
      </c>
      <c r="C12" s="116">
        <f ca="1">Projections_Data!C6</f>
        <v>662034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1"/>
      <c r="C13" s="11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45" t="s">
        <v>542</v>
      </c>
      <c r="X13" s="145"/>
      <c r="Y13" s="145"/>
      <c r="Z13" s="145"/>
      <c r="AA13" s="145"/>
    </row>
    <row r="14" spans="1:32" ht="18.600000000000001" customHeight="1" x14ac:dyDescent="0.25">
      <c r="A14" s="46"/>
      <c r="B14" s="110" t="s">
        <v>589</v>
      </c>
      <c r="C14" s="114">
        <f ca="1">Projections_Data!C7</f>
        <v>371565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45"/>
      <c r="X14" s="145"/>
      <c r="Y14" s="145"/>
      <c r="Z14" s="145"/>
      <c r="AA14" s="145"/>
    </row>
    <row r="15" spans="1:32" ht="18.600000000000001" customHeight="1" x14ac:dyDescent="0.25">
      <c r="A15" s="46"/>
      <c r="B15" s="111"/>
      <c r="C15" s="115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41" t="s">
        <v>543</v>
      </c>
      <c r="X15" s="141"/>
      <c r="Y15" s="141"/>
      <c r="Z15" s="139">
        <v>0.4</v>
      </c>
      <c r="AA15" s="140"/>
    </row>
    <row r="16" spans="1:32" ht="18.600000000000001" customHeight="1" x14ac:dyDescent="0.25">
      <c r="A16" s="46"/>
      <c r="B16" s="110" t="s">
        <v>513</v>
      </c>
      <c r="C16" s="112">
        <f>Projections_Data!C8</f>
        <v>58708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41"/>
      <c r="X16" s="141"/>
      <c r="Y16" s="141"/>
      <c r="Z16" s="140"/>
      <c r="AA16" s="140"/>
    </row>
    <row r="17" spans="1:42" ht="18.600000000000001" customHeight="1" x14ac:dyDescent="0.25">
      <c r="A17" s="46"/>
      <c r="B17" s="111"/>
      <c r="C17" s="113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41" t="s">
        <v>544</v>
      </c>
      <c r="X17" s="141"/>
      <c r="Y17" s="141"/>
      <c r="Z17" s="139">
        <v>0.25</v>
      </c>
      <c r="AA17" s="140"/>
    </row>
    <row r="18" spans="1:42" ht="18.600000000000001" customHeight="1" x14ac:dyDescent="0.25">
      <c r="A18" s="46"/>
      <c r="B18" s="127" t="s">
        <v>601</v>
      </c>
      <c r="C18" s="129">
        <f ca="1">Projections_Data!C11</f>
        <v>8.0978562783374855E-2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41"/>
      <c r="X18" s="141"/>
      <c r="Y18" s="141"/>
      <c r="Z18" s="140"/>
      <c r="AA18" s="140"/>
    </row>
    <row r="19" spans="1:42" ht="18.600000000000001" customHeight="1" x14ac:dyDescent="0.25">
      <c r="A19" s="46"/>
      <c r="B19" s="128"/>
      <c r="C19" s="130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41" t="s">
        <v>545</v>
      </c>
      <c r="X19" s="141"/>
      <c r="Y19" s="141"/>
      <c r="Z19" s="139">
        <v>0.1</v>
      </c>
      <c r="AA19" s="140"/>
    </row>
    <row r="20" spans="1:42" ht="18.600000000000001" customHeight="1" x14ac:dyDescent="0.25">
      <c r="A20" s="46"/>
      <c r="B20" s="123" t="s">
        <v>506</v>
      </c>
      <c r="C20" s="125">
        <f>Projections_Data!C14</f>
        <v>1188073.9362890851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41"/>
      <c r="X20" s="141"/>
      <c r="Y20" s="141"/>
      <c r="Z20" s="140"/>
      <c r="AA20" s="140"/>
    </row>
    <row r="21" spans="1:42" ht="18.600000000000001" customHeight="1" x14ac:dyDescent="0.25">
      <c r="A21" s="46"/>
      <c r="B21" s="124"/>
      <c r="C21" s="12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7" t="s">
        <v>602</v>
      </c>
      <c r="C22" s="120">
        <f ca="1">Projections_Data!C13</f>
        <v>0.11547901903301543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28"/>
      <c r="C23" s="121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10" t="s">
        <v>603</v>
      </c>
      <c r="C24" s="112">
        <f ca="1">C16*(1+C22)</f>
        <v>65487.542249390273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1"/>
      <c r="C25" s="113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613</v>
      </c>
    </row>
    <row r="26" spans="1:42" ht="18.600000000000001" customHeight="1" x14ac:dyDescent="0.25">
      <c r="A26" s="46"/>
      <c r="B26" s="137" t="s">
        <v>623</v>
      </c>
      <c r="C26" s="13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00" t="str">
        <f>"Source: Analysis of John Hopkins University and WHO data.
Data updated: "&amp;TEXT(Projections_Data!C2,"DD/MM/YYYY")&amp;"."</f>
        <v>Source: Analysis of John Hopkins University and WHO data.
Data updated: 03/04/2020.</v>
      </c>
      <c r="C27" s="100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4" t="str">
        <f>Projections_Data!B35</f>
        <v xml:space="preserve">World critically ill projections </v>
      </c>
      <c r="C29" s="105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4"/>
      <c r="C30" s="105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4"/>
      <c r="C31" s="105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6"/>
      <c r="C32" s="10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45" t="s">
        <v>546</v>
      </c>
      <c r="X32" s="145"/>
      <c r="Y32" s="145"/>
      <c r="Z32" s="167"/>
      <c r="AA32" s="167"/>
      <c r="AB32" s="142" t="s">
        <v>547</v>
      </c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45"/>
      <c r="X33" s="145"/>
      <c r="Y33" s="145"/>
      <c r="Z33" s="167"/>
      <c r="AA33" s="167"/>
      <c r="AB33" s="142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</row>
    <row r="34" spans="1:43" ht="15.6" customHeight="1" x14ac:dyDescent="0.25">
      <c r="A34" s="46"/>
      <c r="B34" s="135" t="s">
        <v>464</v>
      </c>
      <c r="C34" s="138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45"/>
      <c r="X34" s="145"/>
      <c r="Y34" s="145"/>
      <c r="Z34" s="167"/>
      <c r="AA34" s="167"/>
      <c r="AB34" s="142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</row>
    <row r="35" spans="1:43" ht="18" customHeight="1" x14ac:dyDescent="0.25">
      <c r="A35" s="46"/>
      <c r="B35" s="135"/>
      <c r="C35" s="13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45"/>
      <c r="X35" s="145"/>
      <c r="Y35" s="145"/>
      <c r="Z35" s="167"/>
      <c r="AA35" s="167"/>
      <c r="AB35" s="142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</row>
    <row r="36" spans="1:43" ht="18" customHeight="1" x14ac:dyDescent="0.25">
      <c r="A36" s="46"/>
      <c r="B36" s="133" t="s">
        <v>518</v>
      </c>
      <c r="C36" s="122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45"/>
      <c r="X36" s="145"/>
      <c r="Y36" s="145"/>
      <c r="Z36" s="167"/>
      <c r="AA36" s="167"/>
      <c r="AB36" s="142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</row>
    <row r="37" spans="1:43" ht="20.399999999999999" customHeight="1" x14ac:dyDescent="0.25">
      <c r="A37" s="46"/>
      <c r="B37" s="133"/>
      <c r="C37" s="122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33" t="s">
        <v>517</v>
      </c>
      <c r="C38" s="138">
        <f ca="1">Projections!C12*Projections!C36</f>
        <v>31115.598000000002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33"/>
      <c r="C39" s="13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45" t="s">
        <v>464</v>
      </c>
      <c r="X39" s="145"/>
      <c r="Y39" s="145"/>
      <c r="Z39" s="144"/>
      <c r="AA39" s="144"/>
      <c r="AB39" s="166" t="s">
        <v>548</v>
      </c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</row>
    <row r="40" spans="1:43" ht="20.399999999999999" customHeight="1" x14ac:dyDescent="0.25">
      <c r="A40" s="46"/>
      <c r="B40" s="133" t="s">
        <v>487</v>
      </c>
      <c r="C40" s="136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45"/>
      <c r="X40" s="145"/>
      <c r="Y40" s="145"/>
      <c r="Z40" s="144"/>
      <c r="AA40" s="144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</row>
    <row r="41" spans="1:43" ht="20.399999999999999" customHeight="1" x14ac:dyDescent="0.25">
      <c r="A41" s="46"/>
      <c r="B41" s="133"/>
      <c r="C41" s="136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45"/>
      <c r="X41" s="145"/>
      <c r="Y41" s="145"/>
      <c r="Z41" s="144"/>
      <c r="AA41" s="144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</row>
    <row r="42" spans="1:43" ht="20.399999999999999" customHeight="1" x14ac:dyDescent="0.25">
      <c r="A42" s="46"/>
      <c r="B42" s="135" t="s">
        <v>488</v>
      </c>
      <c r="C42" s="134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45"/>
      <c r="X42" s="145"/>
      <c r="Y42" s="145"/>
      <c r="Z42" s="144"/>
      <c r="AA42" s="144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</row>
    <row r="43" spans="1:43" ht="18" customHeight="1" x14ac:dyDescent="0.25">
      <c r="A43" s="46"/>
      <c r="B43" s="135"/>
      <c r="C43" s="134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1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1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2"/>
      <c r="C45" s="132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46" t="s">
        <v>540</v>
      </c>
      <c r="X45" s="147"/>
      <c r="Y45" s="148"/>
      <c r="Z45" s="155"/>
      <c r="AA45" s="156"/>
    </row>
    <row r="46" spans="1:43" ht="15.6" customHeight="1" x14ac:dyDescent="0.25">
      <c r="A46" s="46"/>
      <c r="B46" s="132"/>
      <c r="C46" s="132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49"/>
      <c r="X46" s="150"/>
      <c r="Y46" s="151"/>
      <c r="Z46" s="157"/>
      <c r="AA46" s="158"/>
    </row>
    <row r="47" spans="1:43" ht="13.8" customHeight="1" x14ac:dyDescent="0.25">
      <c r="A47" s="46"/>
      <c r="B47" s="132"/>
      <c r="C47" s="132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52"/>
      <c r="X47" s="153"/>
      <c r="Y47" s="154"/>
      <c r="Z47" s="159"/>
      <c r="AA47" s="160"/>
    </row>
    <row r="48" spans="1:43" ht="14.4" customHeight="1" x14ac:dyDescent="0.25">
      <c r="A48" s="46"/>
      <c r="B48" s="132"/>
      <c r="C48" s="132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9" t="str">
        <f>"Source: Analysis of John Hopkins University and WHO data.
Data updated: "&amp;TEXT(Projections_Data!C2,"DD/MM/YYYY")&amp;"."</f>
        <v>Source: Analysis of John Hopkins University and WHO data.
Data updated: 03/04/2020.</v>
      </c>
      <c r="C49" s="99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00"/>
      <c r="C50" s="100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00"/>
      <c r="C51" s="100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00"/>
      <c r="C52" s="100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1"/>
      <c r="C53" s="101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  <mergeCell ref="Z17:AA18"/>
    <mergeCell ref="W19:Y20"/>
    <mergeCell ref="Z19:AA20"/>
    <mergeCell ref="AB32:AP36"/>
    <mergeCell ref="Z39:AA42"/>
    <mergeCell ref="W39:Y42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Days_Since_100!$C$5:$C$82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62" zoomScaleNormal="162" workbookViewId="0"/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557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565</v>
      </c>
      <c r="H3" s="65" t="s">
        <v>566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3">
        <v>1</v>
      </c>
      <c r="C4" s="78" t="s">
        <v>124</v>
      </c>
      <c r="D4" s="79">
        <f>VLOOKUP(C4,Country_Data!B:F,5,FALSE)</f>
        <v>3737</v>
      </c>
      <c r="E4" s="75">
        <f>D4*Projections_Data!$C$15</f>
        <v>175.63900000000001</v>
      </c>
      <c r="F4" s="79">
        <f>VLOOKUP(C4,Country_Data!C:G,5,FALSE)</f>
        <v>22</v>
      </c>
      <c r="G4" s="80">
        <f>IFERROR(VLOOKUP(C4,Days_Since_100!C:G,5,FALSE)-1,0)</f>
        <v>0.11805318379568708</v>
      </c>
      <c r="H4" s="84">
        <f>IFERROR(VLOOKUP(C4,Deaths_since_10!C:G,5,FALSE)-1,0)</f>
        <v>0.28775478845069724</v>
      </c>
      <c r="J4" s="68">
        <f>IFERROR(LOG((M4/E4),1+G4),"")</f>
        <v>30.996433149943144</v>
      </c>
      <c r="K4" s="67">
        <v>29.2</v>
      </c>
      <c r="L4" s="61">
        <f>VLOOKUP(C4,Country_Data!C:J,8,FALSE)</f>
        <v>19116201</v>
      </c>
      <c r="M4" s="60">
        <f>(L4/100000)*K4</f>
        <v>5581.9306919999999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137</v>
      </c>
      <c r="D5" s="75">
        <f>VLOOKUP(C5,Country_Data!B:F,5,FALSE)</f>
        <v>3383</v>
      </c>
      <c r="E5" s="75">
        <f>D5*Projections_Data!$C$15</f>
        <v>159.001</v>
      </c>
      <c r="F5" s="75">
        <f>VLOOKUP(C5,Country_Data!C:G,5,FALSE)</f>
        <v>71</v>
      </c>
      <c r="G5" s="76">
        <f>IFERROR(VLOOKUP(C5,Days_Since_100!C:G,5,FALSE)-1,0)</f>
        <v>0.12684573229606477</v>
      </c>
      <c r="H5" s="77">
        <f>IFERROR(VLOOKUP(C5,Deaths_since_10!C:G,5,FALSE)-1,0)</f>
        <v>0.26405838425943018</v>
      </c>
      <c r="J5" s="68" t="str">
        <f>IFERROR(LOG((M5/E5),1+G5),"")</f>
        <v/>
      </c>
      <c r="K5" s="67"/>
      <c r="L5" s="61">
        <f>VLOOKUP(C5,Country_Data!C:J,8,FALSE)</f>
        <v>37846611</v>
      </c>
      <c r="M5" s="60">
        <f>(L5/100000)*K5</f>
        <v>0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349</v>
      </c>
      <c r="D6" s="75">
        <f>VLOOKUP(C6,Country_Data!B:F,5,FALSE)</f>
        <v>38689</v>
      </c>
      <c r="E6" s="75">
        <f>D6*Projections_Data!$C$15</f>
        <v>1818.383</v>
      </c>
      <c r="F6" s="75">
        <f>VLOOKUP(C6,Country_Data!C:G,5,FALSE)</f>
        <v>3611</v>
      </c>
      <c r="G6" s="76">
        <f>IFERROR(VLOOKUP(C6,Days_Since_100!C:G,5,FALSE)-1,0)</f>
        <v>0.14359498838566087</v>
      </c>
      <c r="H6" s="77">
        <f>IFERROR(VLOOKUP(C6,Deaths_since_10!C:G,5,FALSE)-1,0)</f>
        <v>0.24014905621610727</v>
      </c>
      <c r="J6" s="68">
        <f>IFERROR(LOG((M6/E6),1+G6),"")</f>
        <v>15.625817148333415</v>
      </c>
      <c r="K6" s="67">
        <v>21.8</v>
      </c>
      <c r="L6" s="61">
        <f>VLOOKUP(C6,Country_Data!C:J,8,FALSE)</f>
        <v>67886011</v>
      </c>
      <c r="M6" s="60">
        <f>(L6/100000)*K6</f>
        <v>14799.150398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38</v>
      </c>
      <c r="D7" s="75">
        <f>VLOOKUP(C7,Country_Data!B:F,5,FALSE)</f>
        <v>275586</v>
      </c>
      <c r="E7" s="75">
        <f>D7*Projections_Data!$C$15</f>
        <v>12952.541999999999</v>
      </c>
      <c r="F7" s="75">
        <f>VLOOKUP(C7,Country_Data!C:G,5,FALSE)</f>
        <v>7087</v>
      </c>
      <c r="G7" s="76">
        <f>IFERROR(VLOOKUP(C7,Days_Since_100!C:G,5,FALSE)-1,0)</f>
        <v>0.14360978457868545</v>
      </c>
      <c r="H7" s="77">
        <f>IFERROR(VLOOKUP(C7,Deaths_since_10!C:G,5,FALSE)-1,0)</f>
        <v>0.23497639490024569</v>
      </c>
      <c r="J7" s="68" t="str">
        <f>IFERROR(LOG((M7/E7),1+G7),"")</f>
        <v/>
      </c>
      <c r="K7" s="67"/>
      <c r="L7" s="61">
        <f>VLOOKUP(C7,Country_Data!C:J,8,FALSE)</f>
        <v>331002651</v>
      </c>
      <c r="M7" s="60">
        <f>(L7/100000)*K7</f>
        <v>0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45</v>
      </c>
      <c r="D8" s="75">
        <f>VLOOKUP(C8,Country_Data!B:F,5,FALSE)</f>
        <v>12437</v>
      </c>
      <c r="E8" s="75">
        <f>D8*Projections_Data!$C$15</f>
        <v>584.53899999999999</v>
      </c>
      <c r="F8" s="75">
        <f>VLOOKUP(C8,Country_Data!C:G,5,FALSE)</f>
        <v>179</v>
      </c>
      <c r="G8" s="76">
        <f>IFERROR(VLOOKUP(C8,Days_Since_100!C:G,5,FALSE)-1,0)</f>
        <v>0.14643965065670694</v>
      </c>
      <c r="H8" s="77">
        <f>IFERROR(VLOOKUP(C8,Deaths_since_10!C:G,5,FALSE)-1,0)</f>
        <v>0.2283853021734461</v>
      </c>
      <c r="J8" s="68">
        <f>IFERROR(LOG((M8/E8),1+G8),"")</f>
        <v>10.932589423712086</v>
      </c>
      <c r="K8" s="67">
        <v>6.9</v>
      </c>
      <c r="L8" s="61">
        <f>VLOOKUP(C8,Country_Data!C:J,8,FALSE)</f>
        <v>37742154</v>
      </c>
      <c r="M8" s="60">
        <f>(L8/100000)*K8</f>
        <v>2604.2086260000001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63</v>
      </c>
      <c r="D9" s="75">
        <f>VLOOKUP(C9,Country_Data!B:F,5,FALSE)</f>
        <v>16770</v>
      </c>
      <c r="E9" s="75">
        <f>D9*Projections_Data!$C$15</f>
        <v>788.19</v>
      </c>
      <c r="F9" s="75">
        <f>VLOOKUP(C9,Country_Data!C:G,5,FALSE)</f>
        <v>1143</v>
      </c>
      <c r="G9" s="76">
        <f>IFERROR(VLOOKUP(C9,Days_Since_100!C:G,5,FALSE)-1,0)</f>
        <v>9.1271500183836674E-2</v>
      </c>
      <c r="H9" s="77">
        <f>IFERROR(VLOOKUP(C9,Deaths_since_10!C:G,5,FALSE)-1,0)</f>
        <v>0.21538477601815575</v>
      </c>
      <c r="J9" s="68">
        <f>IFERROR(LOG((M9/E9),1+G9),"")</f>
        <v>-12.412308373985269</v>
      </c>
      <c r="K9" s="67">
        <v>2.2999999999999998</v>
      </c>
      <c r="L9" s="61">
        <f>VLOOKUP(C9,Country_Data!C:J,8,FALSE)</f>
        <v>11589623</v>
      </c>
      <c r="M9" s="60">
        <f>(L9/100000)*K9</f>
        <v>266.561329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81</v>
      </c>
      <c r="D10" s="75">
        <f>VLOOKUP(C10,Country_Data!B:F,5,FALSE)</f>
        <v>9056</v>
      </c>
      <c r="E10" s="75">
        <f>D10*Projections_Data!$C$15</f>
        <v>425.63200000000001</v>
      </c>
      <c r="F10" s="75">
        <f>VLOOKUP(C10,Country_Data!C:G,5,FALSE)</f>
        <v>359</v>
      </c>
      <c r="G10" s="76">
        <f>IFERROR(VLOOKUP(C10,Days_Since_100!C:G,5,FALSE)-1,0)</f>
        <v>0.16301939940624988</v>
      </c>
      <c r="H10" s="77">
        <f>IFERROR(VLOOKUP(C10,Deaths_since_10!C:G,5,FALSE)-1,0)</f>
        <v>0.21425837629783584</v>
      </c>
      <c r="J10" s="68">
        <f>IFERROR(LOG((M10/E10),1+G10),"")</f>
        <v>20.151801376243764</v>
      </c>
      <c r="K10" s="67">
        <v>4.2</v>
      </c>
      <c r="L10" s="61">
        <f>VLOOKUP(C10,Country_Data!C:J,8,FALSE)</f>
        <v>212559417</v>
      </c>
      <c r="M10" s="60">
        <f>(L10/100000)*K10</f>
        <v>8927.4955140000002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103</v>
      </c>
      <c r="D11" s="75">
        <f>VLOOKUP(C11,Country_Data!B:F,5,FALSE)</f>
        <v>3368</v>
      </c>
      <c r="E11" s="75">
        <f>D11*Projections_Data!$C$15</f>
        <v>158.29599999999999</v>
      </c>
      <c r="F11" s="75">
        <f>VLOOKUP(C11,Country_Data!C:G,5,FALSE)</f>
        <v>145</v>
      </c>
      <c r="G11" s="76">
        <f>IFERROR(VLOOKUP(C11,Days_Since_100!C:G,5,FALSE)-1,0)</f>
        <v>0.11849334145427837</v>
      </c>
      <c r="H11" s="77">
        <f>IFERROR(VLOOKUP(C11,Deaths_since_10!C:G,5,FALSE)-1,0)</f>
        <v>0.20112443398143132</v>
      </c>
      <c r="J11" s="68" t="str">
        <f>IFERROR(LOG((M11/E11),1+G11),"")</f>
        <v/>
      </c>
      <c r="K11" s="67"/>
      <c r="L11" s="61">
        <f>VLOOKUP(C11,Country_Data!C:J,8,FALSE)</f>
        <v>17643054</v>
      </c>
      <c r="M11" s="60"/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41</v>
      </c>
      <c r="D12" s="75">
        <f>VLOOKUP(C12,Country_Data!B:F,5,FALSE)</f>
        <v>65202</v>
      </c>
      <c r="E12" s="75">
        <f>D12*Projections_Data!$C$15</f>
        <v>3064.4940000000001</v>
      </c>
      <c r="F12" s="75">
        <f>VLOOKUP(C12,Country_Data!C:G,5,FALSE)</f>
        <v>6520</v>
      </c>
      <c r="G12" s="76">
        <f>IFERROR(VLOOKUP(C12,Days_Since_100!C:G,5,FALSE)-1,0)</f>
        <v>9.8793876137475367E-2</v>
      </c>
      <c r="H12" s="77">
        <f>IFERROR(VLOOKUP(C12,Deaths_since_10!C:G,5,FALSE)-1,0)</f>
        <v>0.20084829223241574</v>
      </c>
      <c r="J12" s="68">
        <f>IFERROR(LOG((M12/E12),1+G12),"")</f>
        <v>3.2886258377965234</v>
      </c>
      <c r="K12" s="67">
        <v>6.4</v>
      </c>
      <c r="L12" s="61">
        <f>VLOOKUP(C12,Country_Data!C:J,8,FALSE)</f>
        <v>65273511</v>
      </c>
      <c r="M12" s="60">
        <f>(L12/100000)*K12</f>
        <v>4177.5047039999999</v>
      </c>
      <c r="O12" s="59">
        <f t="array" ref="O12">IF(OR(C12=$Q$4:$Q$22),1,0)</f>
        <v>1</v>
      </c>
    </row>
    <row r="13" spans="2:18" s="59" customFormat="1" ht="13.8" customHeight="1" x14ac:dyDescent="0.3">
      <c r="B13" s="66">
        <f t="shared" si="0"/>
        <v>10</v>
      </c>
      <c r="C13" s="62" t="s">
        <v>53</v>
      </c>
      <c r="D13" s="75">
        <f>VLOOKUP(C13,Country_Data!B:F,5,FALSE)</f>
        <v>91159</v>
      </c>
      <c r="E13" s="75">
        <f>D13*Projections_Data!$C$15</f>
        <v>4284.473</v>
      </c>
      <c r="F13" s="75">
        <f>VLOOKUP(C13,Country_Data!C:G,5,FALSE)</f>
        <v>1275</v>
      </c>
      <c r="G13" s="76">
        <f>IFERROR(VLOOKUP(C13,Days_Since_100!C:G,5,FALSE)-1,0)</f>
        <v>7.9813080816061088E-2</v>
      </c>
      <c r="H13" s="77">
        <f>IFERROR(VLOOKUP(C13,Deaths_since_10!C:G,5,FALSE)-1,0)</f>
        <v>0.19057455113529387</v>
      </c>
      <c r="J13" s="68" t="str">
        <f>IFERROR(LOG((M13/E13),1+G13),"")</f>
        <v/>
      </c>
      <c r="K13" s="67"/>
      <c r="L13" s="61">
        <f>VLOOKUP(C13,Country_Data!C:J,8,FALSE)</f>
        <v>83783942</v>
      </c>
      <c r="M13" s="60">
        <f>(L13/100000)*K13</f>
        <v>0</v>
      </c>
      <c r="O13" s="59">
        <f t="array" ref="O13">IF(OR(C13=$Q$4:$Q$22),1,0)</f>
        <v>1</v>
      </c>
    </row>
    <row r="14" spans="2:18" s="59" customFormat="1" ht="13.8" customHeight="1" x14ac:dyDescent="0.3">
      <c r="B14" s="66">
        <f t="shared" si="0"/>
        <v>11</v>
      </c>
      <c r="C14" s="62" t="s">
        <v>108</v>
      </c>
      <c r="D14" s="75">
        <f>VLOOKUP(C14,Country_Data!B:F,5,FALSE)</f>
        <v>9886</v>
      </c>
      <c r="E14" s="75">
        <f>D14*Projections_Data!$C$15</f>
        <v>464.642</v>
      </c>
      <c r="F14" s="75">
        <f>VLOOKUP(C14,Country_Data!C:G,5,FALSE)</f>
        <v>246</v>
      </c>
      <c r="G14" s="76">
        <f>IFERROR(VLOOKUP(C14,Days_Since_100!C:G,5,FALSE)-1,0)</f>
        <v>0.10643454517676143</v>
      </c>
      <c r="H14" s="77">
        <f>IFERROR(VLOOKUP(C14,Deaths_since_10!C:G,5,FALSE)-1,0)</f>
        <v>0.15631891307316215</v>
      </c>
      <c r="J14" s="68">
        <f>IFERROR(LOG((M14/E14),1+G14),"")</f>
        <v>9.238311560274667</v>
      </c>
      <c r="K14" s="67">
        <v>11.6</v>
      </c>
      <c r="L14" s="61">
        <f>VLOOKUP(C14,Country_Data!C:J,8,FALSE)</f>
        <v>10196709</v>
      </c>
      <c r="M14" s="60">
        <f>(L14/100000)*K14</f>
        <v>1182.818244</v>
      </c>
      <c r="O14" s="59">
        <f t="array" ref="O14">IF(OR(C14=$Q$4:$Q$22),1,0)</f>
        <v>0</v>
      </c>
      <c r="P14" s="95" t="s">
        <v>592</v>
      </c>
      <c r="Q14" s="96">
        <v>20</v>
      </c>
      <c r="R14" s="95" t="s">
        <v>593</v>
      </c>
    </row>
    <row r="15" spans="2:18" s="59" customFormat="1" ht="13.8" customHeight="1" x14ac:dyDescent="0.3">
      <c r="B15" s="66">
        <f t="shared" si="0"/>
        <v>12</v>
      </c>
      <c r="C15" s="62" t="s">
        <v>77</v>
      </c>
      <c r="D15" s="75">
        <f>VLOOKUP(C15,Country_Data!B:F,5,FALSE)</f>
        <v>19606</v>
      </c>
      <c r="E15" s="75">
        <f>D15*Projections_Data!$C$15</f>
        <v>921.48199999999997</v>
      </c>
      <c r="F15" s="75">
        <f>VLOOKUP(C15,Country_Data!C:G,5,FALSE)</f>
        <v>591</v>
      </c>
      <c r="G15" s="76">
        <f>IFERROR(VLOOKUP(C15,Days_Since_100!C:G,5,FALSE)-1,0)</f>
        <v>5.7439250306304368E-2</v>
      </c>
      <c r="H15" s="77">
        <f>IFERROR(VLOOKUP(C15,Deaths_since_10!C:G,5,FALSE)-1,0)</f>
        <v>0.14523139529603912</v>
      </c>
      <c r="J15" s="68" t="str">
        <f>IFERROR(LOG((M15/E15),1+G15),"")</f>
        <v/>
      </c>
      <c r="K15" s="67"/>
      <c r="L15" s="61">
        <f>VLOOKUP(C15,Country_Data!C:J,8,FALSE)</f>
        <v>8654622</v>
      </c>
      <c r="M15" s="60">
        <f>(L15/100000)*K15</f>
        <v>0</v>
      </c>
      <c r="O15" s="59">
        <f t="array" ref="O15">IF(OR(C15=$Q$4:$Q$22),1,0)</f>
        <v>0</v>
      </c>
    </row>
    <row r="16" spans="2:18" s="59" customFormat="1" ht="13.8" customHeight="1" x14ac:dyDescent="0.2">
      <c r="B16" s="66">
        <f t="shared" si="0"/>
        <v>13</v>
      </c>
      <c r="C16" s="62" t="s">
        <v>78</v>
      </c>
      <c r="D16" s="75">
        <f>VLOOKUP(C16,Country_Data!B:F,5,FALSE)</f>
        <v>11524</v>
      </c>
      <c r="E16" s="75">
        <f>D16*Projections_Data!$C$15</f>
        <v>541.62800000000004</v>
      </c>
      <c r="F16" s="75">
        <f>VLOOKUP(C16,Country_Data!C:G,5,FALSE)</f>
        <v>168</v>
      </c>
      <c r="G16" s="76">
        <f>IFERROR(VLOOKUP(C16,Days_Since_100!C:G,5,FALSE)-1,0)</f>
        <v>5.5705150272958859E-2</v>
      </c>
      <c r="H16" s="77">
        <f>IFERROR(VLOOKUP(C16,Deaths_since_10!C:G,5,FALSE)-1,0)</f>
        <v>0.14330516665773185</v>
      </c>
      <c r="I16" s="58"/>
      <c r="J16" s="68" t="str">
        <f>IFERROR(LOG((M16/E16),1+G16),"")</f>
        <v/>
      </c>
      <c r="K16" s="67">
        <v>12.2</v>
      </c>
      <c r="L16" s="61">
        <f>VLOOKUP(C16,Country_Data!C:J,8,FALSE)</f>
        <v>9006398</v>
      </c>
      <c r="M16" s="60"/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0"/>
        <v>14</v>
      </c>
      <c r="C17" s="62" t="s">
        <v>89</v>
      </c>
      <c r="D17" s="75">
        <f>VLOOKUP(C17,Country_Data!B:F,5,FALSE)</f>
        <v>15821</v>
      </c>
      <c r="E17" s="75">
        <f>D17*Projections_Data!$C$15</f>
        <v>743.58699999999999</v>
      </c>
      <c r="F17" s="75">
        <f>VLOOKUP(C17,Country_Data!C:G,5,FALSE)</f>
        <v>1490</v>
      </c>
      <c r="G17" s="76">
        <f>IFERROR(VLOOKUP(C17,Days_Since_100!C:G,5,FALSE)-1,0)</f>
        <v>7.6769520473907171E-2</v>
      </c>
      <c r="H17" s="77">
        <f>IFERROR(VLOOKUP(C17,Deaths_since_10!C:G,5,FALSE)-1,0)</f>
        <v>0.14054859436507372</v>
      </c>
      <c r="J17" s="68" t="str">
        <f>IFERROR(LOG((M17/E17),1+G17),"")</f>
        <v/>
      </c>
      <c r="K17" s="67"/>
      <c r="L17" s="61">
        <f>VLOOKUP(C17,Country_Data!C:J,8,FALSE)</f>
        <v>17134872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56</v>
      </c>
      <c r="D18" s="75">
        <f>VLOOKUP(C18,Country_Data!B:F,5,FALSE)</f>
        <v>3018</v>
      </c>
      <c r="E18" s="75">
        <f>D18*Projections_Data!$C$15</f>
        <v>141.846</v>
      </c>
      <c r="F18" s="75">
        <f>VLOOKUP(C18,Country_Data!C:G,5,FALSE)</f>
        <v>136</v>
      </c>
      <c r="G18" s="76">
        <f>IFERROR(VLOOKUP(C18,Days_Since_100!C:G,5,FALSE)-1,0)</f>
        <v>0.16307735708764159</v>
      </c>
      <c r="H18" s="77">
        <f>IFERROR(VLOOKUP(C18,Deaths_since_10!C:G,5,FALSE)-1,0)</f>
        <v>0.13882269117729318</v>
      </c>
      <c r="J18" s="68">
        <f>IFERROR(LOG((M18/E18),1+G18),"")</f>
        <v>30.25256536981491</v>
      </c>
      <c r="K18" s="67">
        <v>12.5</v>
      </c>
      <c r="L18" s="61">
        <f>VLOOKUP(C18,Country_Data!C:J,8,FALSE)</f>
        <v>109581078</v>
      </c>
      <c r="M18" s="60">
        <f>(L18/100000)*K18</f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60</v>
      </c>
      <c r="D19" s="75">
        <f>VLOOKUP(C19,Country_Data!B:F,5,FALSE)</f>
        <v>119199</v>
      </c>
      <c r="E19" s="75">
        <f>D19*Projections_Data!$C$15</f>
        <v>5602.3530000000001</v>
      </c>
      <c r="F19" s="75">
        <f>VLOOKUP(C19,Country_Data!C:G,5,FALSE)</f>
        <v>11198</v>
      </c>
      <c r="G19" s="76">
        <f>IFERROR(VLOOKUP(C19,Days_Since_100!C:G,5,FALSE)-1,0)</f>
        <v>8.2722535213155535E-2</v>
      </c>
      <c r="H19" s="77">
        <f>IFERROR(VLOOKUP(C19,Deaths_since_10!C:G,5,FALSE)-1,0)</f>
        <v>0.10481102242341445</v>
      </c>
      <c r="J19" s="68">
        <f>IFERROR(LOG((M19/E19),1+G19),"")</f>
        <v>-7.503526209068097</v>
      </c>
      <c r="K19" s="67">
        <v>6.6</v>
      </c>
      <c r="L19" s="61">
        <f>VLOOKUP(C19,Country_Data!C:J,8,FALSE)</f>
        <v>46754778</v>
      </c>
      <c r="M19" s="60">
        <f>(L19/100000)*K19</f>
        <v>3085.8153479999996</v>
      </c>
      <c r="O19" s="59">
        <f t="array" ref="O19">IF(OR(C19=$Q$4:$Q$22),1,0)</f>
        <v>1</v>
      </c>
    </row>
    <row r="20" spans="2:15" s="59" customFormat="1" ht="13.8" customHeight="1" x14ac:dyDescent="0.3">
      <c r="B20" s="66">
        <f t="shared" si="0"/>
        <v>17</v>
      </c>
      <c r="C20" s="62" t="s">
        <v>107</v>
      </c>
      <c r="D20" s="75">
        <f>VLOOKUP(C20,Country_Data!B:F,5,FALSE)</f>
        <v>1986</v>
      </c>
      <c r="E20" s="75">
        <f>D20*Projections_Data!$C$15</f>
        <v>93.341999999999999</v>
      </c>
      <c r="F20" s="75">
        <f>VLOOKUP(C20,Country_Data!C:G,5,FALSE)</f>
        <v>181</v>
      </c>
      <c r="G20" s="76">
        <f>IFERROR(VLOOKUP(C20,Days_Since_100!C:G,5,FALSE)-1,0)</f>
        <v>9.0976066563730029E-2</v>
      </c>
      <c r="H20" s="77">
        <f>IFERROR(VLOOKUP(C20,Deaths_since_10!C:G,5,FALSE)-1,0)</f>
        <v>9.686895503122761E-2</v>
      </c>
      <c r="J20" s="68" t="str">
        <f>IFERROR(LOG((M20/E20),1+G20),"")</f>
        <v/>
      </c>
      <c r="K20" s="67"/>
      <c r="L20" s="61">
        <f>VLOOKUP(C20,Country_Data!C:J,8,FALSE)</f>
        <v>273523615</v>
      </c>
      <c r="M20" s="60">
        <f>(L20/100000)*K20</f>
        <v>0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43</v>
      </c>
      <c r="D21" s="75">
        <f>VLOOKUP(C21,Country_Data!B:F,5,FALSE)</f>
        <v>3333</v>
      </c>
      <c r="E21" s="75">
        <f>D21*Projections_Data!$C$15</f>
        <v>156.65100000000001</v>
      </c>
      <c r="F21" s="75">
        <f>VLOOKUP(C21,Country_Data!C:G,5,FALSE)</f>
        <v>53</v>
      </c>
      <c r="G21" s="76">
        <f>IFERROR(VLOOKUP(C21,Days_Since_100!C:G,5,FALSE)-1,0)</f>
        <v>6.1763207748773086E-2</v>
      </c>
      <c r="H21" s="77">
        <f>IFERROR(VLOOKUP(C21,Deaths_since_10!C:G,5,FALSE)-1,0)</f>
        <v>8.6529607200479974E-2</v>
      </c>
      <c r="J21" s="68">
        <f>IFERROR(LOG((M21/E21),1+G21),"")</f>
        <v>63.223849334610222</v>
      </c>
      <c r="K21" s="67">
        <v>21.4</v>
      </c>
      <c r="L21" s="61">
        <f>VLOOKUP(C21,Country_Data!C:J,8,FALSE)</f>
        <v>32365999</v>
      </c>
      <c r="M21" s="60">
        <f>(L21/100000)*K21</f>
        <v>6926.323785999999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58</v>
      </c>
      <c r="D22" s="75">
        <f>VLOOKUP(C22,Country_Data!B:F,5,FALSE)</f>
        <v>119827</v>
      </c>
      <c r="E22" s="75">
        <f>D22*Projections_Data!$C$15</f>
        <v>5631.8689999999997</v>
      </c>
      <c r="F22" s="75">
        <f>VLOOKUP(C22,Country_Data!C:G,5,FALSE)</f>
        <v>14681</v>
      </c>
      <c r="G22" s="76">
        <f>IFERROR(VLOOKUP(C22,Days_Since_100!C:G,5,FALSE)-1,0)</f>
        <v>4.1697938003269597E-2</v>
      </c>
      <c r="H22" s="77">
        <f>IFERROR(VLOOKUP(C22,Deaths_since_10!C:G,5,FALSE)-1,0)</f>
        <v>6.3739860262186365E-2</v>
      </c>
      <c r="J22" s="68">
        <f>IFERROR(LOG((M22/E22),1+G22),"")</f>
        <v>-10.766663273170373</v>
      </c>
      <c r="K22" s="67">
        <v>6</v>
      </c>
      <c r="L22" s="61">
        <f>VLOOKUP(C22,Country_Data!C:J,8,FALSE)</f>
        <v>60461826</v>
      </c>
      <c r="M22" s="60">
        <f>(L22/100000)*K22</f>
        <v>3627.7095599999998</v>
      </c>
      <c r="O22" s="59">
        <f t="array" ref="O22">IF(OR(C22=$Q$4:$Q$22),1,0)</f>
        <v>1</v>
      </c>
    </row>
    <row r="23" spans="2:15" s="59" customFormat="1" ht="13.8" customHeight="1" thickBot="1" x14ac:dyDescent="0.35">
      <c r="B23" s="66">
        <f t="shared" si="0"/>
        <v>20</v>
      </c>
      <c r="C23" s="62" t="s">
        <v>145</v>
      </c>
      <c r="D23" s="75">
        <f>VLOOKUP(C23,Country_Data!B:F,5,FALSE)</f>
        <v>1505</v>
      </c>
      <c r="E23" s="75">
        <f>D23*Projections_Data!$C$15</f>
        <v>70.734999999999999</v>
      </c>
      <c r="F23" s="75">
        <f>VLOOKUP(C23,Country_Data!C:G,5,FALSE)</f>
        <v>9</v>
      </c>
      <c r="G23" s="76">
        <f>IFERROR(VLOOKUP(C23,Days_Since_100!C:G,5,FALSE)-1,0)</f>
        <v>3.2916716613052843E-2</v>
      </c>
      <c r="H23" s="77">
        <f>IFERROR(VLOOKUP(C23,Deaths_since_10!C:G,5,FALSE)-1,0)</f>
        <v>0</v>
      </c>
      <c r="J23" s="68" t="str">
        <f>IFERROR(LOG((M23/E23),1+G23),"")</f>
        <v/>
      </c>
      <c r="K23" s="67"/>
      <c r="L23" s="61">
        <f>VLOOKUP(C23,Country_Data!C:J,8,FALSE)</f>
        <v>59308690</v>
      </c>
      <c r="M23" s="60">
        <f>(L23/100000)*K23</f>
        <v>0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2612</v>
      </c>
      <c r="E24" s="75">
        <f>D24*Projections_Data!$C$15</f>
        <v>122.764</v>
      </c>
      <c r="F24" s="75">
        <f>VLOOKUP(C24,Country_Data!C:G,5,FALSE)</f>
        <v>31</v>
      </c>
      <c r="G24" s="76">
        <f>IFERROR(VLOOKUP(C24,Days_Since_100!C:G,5,FALSE)-1,0)</f>
        <v>6.0199786047566262E-2</v>
      </c>
      <c r="H24" s="77">
        <f>IFERROR(VLOOKUP(C24,Deaths_since_10!C:G,5,FALSE)-1,0)</f>
        <v>8.1006934307831235E-2</v>
      </c>
      <c r="J24" s="68">
        <f t="shared" ref="J24:J43" si="1">IFERROR(LOG((M24/E24),1+G24),"")</f>
        <v>4.0153173113081371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1978</v>
      </c>
      <c r="E25" s="75">
        <f>D25*Projections_Data!$C$15</f>
        <v>92.965999999999994</v>
      </c>
      <c r="F25" s="75">
        <f>VLOOKUP(C25,Country_Data!C:G,5,FALSE)</f>
        <v>19</v>
      </c>
      <c r="G25" s="76">
        <f>IFERROR(VLOOKUP(C25,Days_Since_100!C:G,5,FALSE)-1,0)</f>
        <v>7.3414269297588097E-2</v>
      </c>
      <c r="H25" s="77">
        <f>IFERROR(VLOOKUP(C25,Deaths_since_10!C:G,5,FALSE)-1,0)</f>
        <v>0.20539052365345811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5330</v>
      </c>
      <c r="E26" s="75">
        <f>D26*Projections_Data!$C$15</f>
        <v>250.51</v>
      </c>
      <c r="F26" s="75">
        <f>VLOOKUP(C26,Country_Data!C:G,5,FALSE)</f>
        <v>28</v>
      </c>
      <c r="G26" s="76">
        <f>IFERROR(VLOOKUP(C26,Days_Since_100!C:G,5,FALSE)-1,0)</f>
        <v>5.9940717518934372E-2</v>
      </c>
      <c r="H26" s="77">
        <f>IFERROR(VLOOKUP(C26,Deaths_since_10!C:G,5,FALSE)-1,0)</f>
        <v>0.11842691472014466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3183</v>
      </c>
      <c r="E27" s="75">
        <f>D27*Projections_Data!$C$15</f>
        <v>149.601</v>
      </c>
      <c r="F27" s="75">
        <f>VLOOKUP(C27,Country_Data!C:G,5,FALSE)</f>
        <v>133</v>
      </c>
      <c r="G27" s="76">
        <f>IFERROR(VLOOKUP(C27,Days_Since_100!C:G,5,FALSE)-1,0)</f>
        <v>0.11890187559695908</v>
      </c>
      <c r="H27" s="77">
        <f>IFERROR(VLOOKUP(C27,Deaths_since_10!C:G,5,FALSE)-1,0)</f>
        <v>0.25336232799621428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7428</v>
      </c>
      <c r="E28" s="75">
        <f>D28*Projections_Data!$C$15</f>
        <v>349.11599999999999</v>
      </c>
      <c r="F28" s="75">
        <f>VLOOKUP(C28,Country_Data!C:G,5,FALSE)</f>
        <v>40</v>
      </c>
      <c r="G28" s="76">
        <f>IFERROR(VLOOKUP(C28,Days_Since_100!C:G,5,FALSE)-1,0)</f>
        <v>0.11829897494416675</v>
      </c>
      <c r="H28" s="77">
        <f>IFERROR(VLOOKUP(C28,Deaths_since_10!C:G,5,FALSE)-1,0)</f>
        <v>0.21672868378641152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2039</v>
      </c>
      <c r="E29" s="75">
        <f>D29*Projections_Data!$C$15</f>
        <v>95.832999999999998</v>
      </c>
      <c r="F29" s="75">
        <f>VLOOKUP(C29,Country_Data!C:G,5,FALSE)</f>
        <v>25</v>
      </c>
      <c r="G29" s="76">
        <f>IFERROR(VLOOKUP(C29,Days_Since_100!C:G,5,FALSE)-1,0)</f>
        <v>9.4363538367275845E-2</v>
      </c>
      <c r="H29" s="77">
        <f>IFERROR(VLOOKUP(C29,Deaths_since_10!C:G,5,FALSE)-1,0)</f>
        <v>0.25594321575479007</v>
      </c>
      <c r="J29" s="68">
        <f t="shared" si="1"/>
        <v>39.503196398430283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2567</v>
      </c>
      <c r="E30" s="75">
        <f>D30*Projections_Data!$C$15</f>
        <v>120.649</v>
      </c>
      <c r="F30" s="75">
        <f>VLOOKUP(C30,Country_Data!C:G,5,FALSE)</f>
        <v>72</v>
      </c>
      <c r="G30" s="76">
        <f>IFERROR(VLOOKUP(C30,Days_Since_100!C:G,5,FALSE)-1,0)</f>
        <v>0.20178058163670243</v>
      </c>
      <c r="H30" s="77">
        <f>IFERROR(VLOOKUP(C30,Deaths_since_10!C:G,5,FALSE)-1,0)</f>
        <v>0.21672868378641152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4149</v>
      </c>
      <c r="E31" s="75">
        <f>D31*Projections_Data!$C$15</f>
        <v>195.00300000000001</v>
      </c>
      <c r="F31" s="75">
        <f>VLOOKUP(C31,Country_Data!C:G,5,FALSE)</f>
        <v>34</v>
      </c>
      <c r="G31" s="76">
        <f>IFERROR(VLOOKUP(C31,Days_Since_100!C:G,5,FALSE)-1,0)</f>
        <v>0.22017919326052082</v>
      </c>
      <c r="H31" s="77">
        <f>IFERROR(VLOOKUP(C31,Deaths_since_10!C:G,5,FALSE)-1,0)</f>
        <v>0.33560423051957011</v>
      </c>
      <c r="J31" s="68">
        <f t="shared" si="1"/>
        <v>19.520473940160723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4273</v>
      </c>
      <c r="E32" s="75">
        <f>D32*Projections_Data!$C$15</f>
        <v>200.83099999999999</v>
      </c>
      <c r="F32" s="75">
        <f>VLOOKUP(C32,Country_Data!C:G,5,FALSE)</f>
        <v>120</v>
      </c>
      <c r="G32" s="76">
        <f>IFERROR(VLOOKUP(C32,Days_Since_100!C:G,5,FALSE)-1,0)</f>
        <v>0.10319488594296589</v>
      </c>
      <c r="H32" s="77">
        <f>IFERROR(VLOOKUP(C32,Deaths_since_10!C:G,5,FALSE)-1,0)</f>
        <v>0.21139194869152256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2686</v>
      </c>
      <c r="E33" s="75">
        <f>D33*Projections_Data!$C$15</f>
        <v>126.242</v>
      </c>
      <c r="F33" s="75">
        <f>VLOOKUP(C33,Country_Data!C:G,5,FALSE)</f>
        <v>40</v>
      </c>
      <c r="G33" s="76">
        <f>IFERROR(VLOOKUP(C33,Days_Since_100!C:G,5,FALSE)-1,0)</f>
        <v>0.10958408374006723</v>
      </c>
      <c r="H33" s="77">
        <f>IFERROR(VLOOKUP(C33,Deaths_since_10!C:G,5,FALSE)-1,0)</f>
        <v>0.23363417251672081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493</v>
      </c>
      <c r="E34" s="75">
        <f>D34*Projections_Data!$C$15</f>
        <v>23.170999999999999</v>
      </c>
      <c r="F34" s="75">
        <f>VLOOKUP(C34,Country_Data!C:G,5,FALSE)</f>
        <v>1</v>
      </c>
      <c r="G34" s="76">
        <f>IFERROR(VLOOKUP(C34,Days_Since_100!C:G,5,FALSE)-1,0)</f>
        <v>7.2762265818175687E-2</v>
      </c>
      <c r="H34" s="77">
        <f>IFERROR(VLOOKUP(C34,Deaths_since_10!C:G,5,FALSE)-1,0)</f>
        <v>0</v>
      </c>
      <c r="J34" s="68">
        <f t="shared" si="1"/>
        <v>31.210698263798076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508</v>
      </c>
      <c r="E35" s="75">
        <f>D35*Projections_Data!$C$15</f>
        <v>23.876000000000001</v>
      </c>
      <c r="F35" s="75">
        <f>VLOOKUP(C35,Country_Data!C:G,5,FALSE)</f>
        <v>17</v>
      </c>
      <c r="G35" s="76">
        <f>IFERROR(VLOOKUP(C35,Days_Since_100!C:G,5,FALSE)-1,0)</f>
        <v>3.009652087701209E-2</v>
      </c>
      <c r="H35" s="77">
        <f>IFERROR(VLOOKUP(C35,Deaths_since_10!C:G,5,FALSE)-1,0)</f>
        <v>0.11196158593857874</v>
      </c>
      <c r="J35" s="68">
        <f t="shared" si="1"/>
        <v>96.405258139557489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348</v>
      </c>
      <c r="E36" s="75">
        <f>D36*Projections_Data!$C$15</f>
        <v>16.356000000000002</v>
      </c>
      <c r="F36" s="75">
        <f>VLOOKUP(C36,Country_Data!C:G,5,FALSE)</f>
        <v>5</v>
      </c>
      <c r="G36" s="76">
        <f>IFERROR(VLOOKUP(C36,Days_Since_100!C:G,5,FALSE)-1,0)</f>
        <v>3.1507989127009139E-2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1615</v>
      </c>
      <c r="E37" s="75">
        <f>D37*Projections_Data!$C$15</f>
        <v>75.905000000000001</v>
      </c>
      <c r="F37" s="75">
        <f>VLOOKUP(C37,Country_Data!C:G,5,FALSE)</f>
        <v>20</v>
      </c>
      <c r="G37" s="76">
        <f>IFERROR(VLOOKUP(C37,Days_Since_100!C:G,5,FALSE)-1,0)</f>
        <v>5.4265921158081154E-2</v>
      </c>
      <c r="H37" s="77">
        <f>IFERROR(VLOOKUP(C37,Deaths_since_10!C:G,5,FALSE)-1,0)</f>
        <v>0.12700920209792543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485</v>
      </c>
      <c r="E38" s="75">
        <f>D38*Projections_Data!$C$15</f>
        <v>22.795000000000002</v>
      </c>
      <c r="F38" s="75">
        <f>VLOOKUP(C38,Country_Data!C:G,5,FALSE)</f>
        <v>14</v>
      </c>
      <c r="G38" s="76">
        <f>IFERROR(VLOOKUP(C38,Days_Since_100!C:G,5,FALSE)-1,0)</f>
        <v>6.9875218207784862E-2</v>
      </c>
      <c r="H38" s="77">
        <f>IFERROR(VLOOKUP(C38,Deaths_since_10!C:G,5,FALSE)-1,0)</f>
        <v>0.11842691472014466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1364</v>
      </c>
      <c r="E39" s="75">
        <f>D39*Projections_Data!$C$15</f>
        <v>64.108000000000004</v>
      </c>
      <c r="F39" s="75">
        <f>VLOOKUP(C39,Country_Data!C:G,5,FALSE)</f>
        <v>5</v>
      </c>
      <c r="G39" s="76">
        <f>IFERROR(VLOOKUP(C39,Days_Since_100!C:G,5,FALSE)-1,0)</f>
        <v>5.9846182160527839E-2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1364</v>
      </c>
      <c r="E40" s="75">
        <f>D40*Projections_Data!$C$15</f>
        <v>64.108000000000004</v>
      </c>
      <c r="F40" s="75">
        <f>VLOOKUP(C40,Country_Data!C:G,5,FALSE)</f>
        <v>5</v>
      </c>
      <c r="G40" s="76">
        <f>IFERROR(VLOOKUP(C40,Days_Since_100!C:G,5,FALSE)-1,0)</f>
        <v>5.9846182160527839E-2</v>
      </c>
      <c r="H40" s="77">
        <f>IFERROR(VLOOKUP(C40,Deaths_since_10!C:G,5,FALSE)-1,0)</f>
        <v>0</v>
      </c>
      <c r="J40" s="68">
        <f t="shared" si="1"/>
        <v>-2.8701744102679885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1595</v>
      </c>
      <c r="E41" s="75">
        <f>D41*Projections_Data!$C$15</f>
        <v>74.965000000000003</v>
      </c>
      <c r="F41" s="75">
        <f>VLOOKUP(C41,Country_Data!C:G,5,FALSE)</f>
        <v>61</v>
      </c>
      <c r="G41" s="76">
        <f>IFERROR(VLOOKUP(C41,Days_Since_100!C:G,5,FALSE)-1,0)</f>
        <v>0.13361143613596549</v>
      </c>
      <c r="H41" s="77">
        <f>IFERROR(VLOOKUP(C41,Deaths_since_10!C:G,5,FALSE)-1,0)</f>
        <v>0.27647250902529952</v>
      </c>
      <c r="J41" s="68">
        <f t="shared" si="1"/>
        <v>38.743830358212662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450</v>
      </c>
      <c r="E42" s="75">
        <f>D42*Projections_Data!$C$15</f>
        <v>21.15</v>
      </c>
      <c r="F42" s="75">
        <f>VLOOKUP(C42,Country_Data!C:G,5,FALSE)</f>
        <v>1</v>
      </c>
      <c r="G42" s="76">
        <f>IFERROR(VLOOKUP(C42,Days_Since_100!C:G,5,FALSE)-1,0)</f>
        <v>7.4624092865093417E-2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1114</v>
      </c>
      <c r="E43" s="75">
        <f>D43*Projections_Data!$C$15</f>
        <v>52.357999999999997</v>
      </c>
      <c r="F43" s="75">
        <f>VLOOKUP(C43,Country_Data!C:G,5,FALSE)</f>
        <v>5</v>
      </c>
      <c r="G43" s="76">
        <f>IFERROR(VLOOKUP(C43,Days_Since_100!C:G,5,FALSE)-1,0)</f>
        <v>5.7081686308941171E-2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985</v>
      </c>
      <c r="E44" s="75">
        <f>D44*Projections_Data!$C$15</f>
        <v>46.295000000000002</v>
      </c>
      <c r="F44" s="75">
        <f>VLOOKUP(C44,Country_Data!C:G,5,FALSE)</f>
        <v>66</v>
      </c>
      <c r="G44" s="76">
        <f>IFERROR(VLOOKUP(C44,Days_Since_100!C:G,5,FALSE)-1,0)</f>
        <v>0.100940346080167</v>
      </c>
      <c r="H44" s="77">
        <f>IFERROR(VLOOKUP(C44,Deaths_since_10!C:G,5,FALSE)-1,0)</f>
        <v>0.10534229649286941</v>
      </c>
      <c r="J44" s="68">
        <f t="shared" ref="J44:J66" si="5">IFERROR(LOG((M44/E44),1+G44),"")</f>
        <v>36.169065556707913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5370</v>
      </c>
      <c r="E45" s="75">
        <f>D45*Projections_Data!$C$15</f>
        <v>252.39000000000001</v>
      </c>
      <c r="F45" s="75">
        <f>VLOOKUP(C45,Country_Data!C:G,5,FALSE)</f>
        <v>59</v>
      </c>
      <c r="G45" s="76">
        <f>IFERROR(VLOOKUP(C45,Days_Since_100!C:G,5,FALSE)-1,0)</f>
        <v>4.6224689808559427E-2</v>
      </c>
      <c r="H45" s="77">
        <f>IFERROR(VLOOKUP(C45,Deaths_since_10!C:G,5,FALSE)-1,0)</f>
        <v>0.18735996267868416</v>
      </c>
      <c r="J45" s="68">
        <f t="shared" si="5"/>
        <v>11.980483074741848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6131</v>
      </c>
      <c r="E46" s="75">
        <f>D46*Projections_Data!$C$15</f>
        <v>288.15699999999998</v>
      </c>
      <c r="F46" s="75">
        <f>VLOOKUP(C46,Country_Data!C:G,5,FALSE)</f>
        <v>358</v>
      </c>
      <c r="G46" s="76">
        <f>IFERROR(VLOOKUP(C46,Days_Since_100!C:G,5,FALSE)-1,0)</f>
        <v>0.10628218403087186</v>
      </c>
      <c r="H46" s="77">
        <f>IFERROR(VLOOKUP(C46,Deaths_since_10!C:G,5,FALSE)-1,0)</f>
        <v>0.26618763560947789</v>
      </c>
      <c r="J46" s="68">
        <f t="shared" si="5"/>
        <v>16.163196290469905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1613</v>
      </c>
      <c r="E47" s="75">
        <f>D47*Projections_Data!$C$15</f>
        <v>75.811000000000007</v>
      </c>
      <c r="F47" s="75">
        <f>VLOOKUP(C47,Country_Data!C:G,5,FALSE)</f>
        <v>63</v>
      </c>
      <c r="G47" s="76">
        <f>IFERROR(VLOOKUP(C47,Days_Since_100!C:G,5,FALSE)-1,0)</f>
        <v>6.8895642617523789E-2</v>
      </c>
      <c r="H47" s="77">
        <f>IFERROR(VLOOKUP(C47,Deaths_since_10!C:G,5,FALSE)-1,0)</f>
        <v>0.10639802171942203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820</v>
      </c>
      <c r="E48" s="75">
        <f>D48*Projections_Data!$C$15</f>
        <v>38.54</v>
      </c>
      <c r="F48" s="75">
        <f>VLOOKUP(C48,Country_Data!C:G,5,FALSE)</f>
        <v>54</v>
      </c>
      <c r="G48" s="76">
        <f>IFERROR(VLOOKUP(C48,Days_Since_100!C:G,5,FALSE)-1,0)</f>
        <v>8.4339566906167063E-2</v>
      </c>
      <c r="H48" s="77">
        <f>IFERROR(VLOOKUP(C48,Deaths_since_10!C:G,5,FALSE)-1,0)</f>
        <v>5.1547496797280434E-2</v>
      </c>
      <c r="J48" s="68">
        <f t="shared" si="5"/>
        <v>50.674528697322621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934</v>
      </c>
      <c r="E49" s="75">
        <f>D49*Projections_Data!$C$15</f>
        <v>43.898000000000003</v>
      </c>
      <c r="F49" s="75">
        <f>VLOOKUP(C49,Country_Data!C:G,5,FALSE)</f>
        <v>20</v>
      </c>
      <c r="G49" s="76">
        <f>IFERROR(VLOOKUP(C49,Days_Since_100!C:G,5,FALSE)-1,0)</f>
        <v>5.0521156772881382E-2</v>
      </c>
      <c r="H49" s="77">
        <f>IFERROR(VLOOKUP(C49,Deaths_since_10!C:G,5,FALSE)-1,0)</f>
        <v>0.12700920209792543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3946</v>
      </c>
      <c r="E50" s="75">
        <f>D50*Projections_Data!$C$15</f>
        <v>185.46199999999999</v>
      </c>
      <c r="F50" s="75">
        <f>VLOOKUP(C50,Country_Data!C:G,5,FALSE)</f>
        <v>139</v>
      </c>
      <c r="G50" s="76">
        <f>IFERROR(VLOOKUP(C50,Days_Since_100!C:G,5,FALSE)-1,0)</f>
        <v>9.0053495752116186E-2</v>
      </c>
      <c r="H50" s="77">
        <f>IFERROR(VLOOKUP(C50,Deaths_since_10!C:G,5,FALSE)-1,0)</f>
        <v>0.14060812461697925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245</v>
      </c>
      <c r="E51" s="75">
        <f>D51*Projections_Data!$C$15</f>
        <v>11.515000000000001</v>
      </c>
      <c r="F51" s="75">
        <f>VLOOKUP(C51,Country_Data!C:G,5,FALSE)</f>
        <v>30</v>
      </c>
      <c r="G51" s="76">
        <f>IFERROR(VLOOKUP(C51,Days_Since_100!C:G,5,FALSE)-1,0)</f>
        <v>1.8084002320198911E-2</v>
      </c>
      <c r="H51" s="77">
        <f>IFERROR(VLOOKUP(C51,Deaths_since_10!C:G,5,FALSE)-1,0)</f>
        <v>6.3995312815083638E-2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1264</v>
      </c>
      <c r="E52" s="75">
        <f>D52*Projections_Data!$C$15</f>
        <v>59.408000000000001</v>
      </c>
      <c r="F52" s="75">
        <f>VLOOKUP(C52,Country_Data!C:G,5,FALSE)</f>
        <v>9</v>
      </c>
      <c r="G52" s="76">
        <f>IFERROR(VLOOKUP(C52,Days_Since_100!C:G,5,FALSE)-1,0)</f>
        <v>0.17266629742727724</v>
      </c>
      <c r="H52" s="77">
        <f>IFERROR(VLOOKUP(C52,Deaths_since_10!C:G,5,FALSE)-1,0)</f>
        <v>6.0660171779821193E-2</v>
      </c>
      <c r="J52" s="68">
        <f t="shared" si="5"/>
        <v>15.14206344909352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672</v>
      </c>
      <c r="E53" s="75">
        <f>D53*Projections_Data!$C$15</f>
        <v>31.584</v>
      </c>
      <c r="F53" s="75">
        <f>VLOOKUP(C53,Country_Data!C:G,5,FALSE)</f>
        <v>4</v>
      </c>
      <c r="G53" s="76">
        <f>IFERROR(VLOOKUP(C53,Days_Since_100!C:G,5,FALSE)-1,0)</f>
        <v>6.1338077122172541E-2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961</v>
      </c>
      <c r="E54" s="75">
        <f>D54*Projections_Data!$C$15</f>
        <v>45.167000000000002</v>
      </c>
      <c r="F54" s="75">
        <f>VLOOKUP(C54,Country_Data!C:G,5,FALSE)</f>
        <v>12</v>
      </c>
      <c r="G54" s="76">
        <f>IFERROR(VLOOKUP(C54,Days_Since_100!C:G,5,FALSE)-1,0)</f>
        <v>7.1940606020753473E-2</v>
      </c>
      <c r="H54" s="77">
        <f>IFERROR(VLOOKUP(C54,Deaths_since_10!C:G,5,FALSE)-1,0)</f>
        <v>9.0909090909090828E-2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417</v>
      </c>
      <c r="E55" s="75">
        <f>D55*Projections_Data!$C$15</f>
        <v>19.599</v>
      </c>
      <c r="F55" s="75">
        <f>VLOOKUP(C55,Country_Data!C:G,5,FALSE)</f>
        <v>0</v>
      </c>
      <c r="G55" s="76">
        <f>IFERROR(VLOOKUP(C55,Days_Since_100!C:G,5,FALSE)-1,0)</f>
        <v>0.10336492730229696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53183</v>
      </c>
      <c r="E56" s="75">
        <f>D56*Projections_Data!$C$15</f>
        <v>2499.6010000000001</v>
      </c>
      <c r="F56" s="75">
        <f>VLOOKUP(C56,Country_Data!C:G,5,FALSE)</f>
        <v>3294</v>
      </c>
      <c r="G56" s="76">
        <f>IFERROR(VLOOKUP(C56,Days_Since_100!C:G,5,FALSE)-1,0)</f>
        <v>6.7811031597532656E-2</v>
      </c>
      <c r="H56" s="77">
        <f>IFERROR(VLOOKUP(C56,Deaths_since_10!C:G,5,FALSE)-1,0)</f>
        <v>4.5259043191863801E-2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2617</v>
      </c>
      <c r="E57" s="75">
        <f>D57*Projections_Data!$C$15</f>
        <v>122.999</v>
      </c>
      <c r="F57" s="75">
        <f>VLOOKUP(C57,Country_Data!C:G,5,FALSE)</f>
        <v>63</v>
      </c>
      <c r="G57" s="76">
        <f>IFERROR(VLOOKUP(C57,Days_Since_100!C:G,5,FALSE)-1,0)</f>
        <v>6.9986791734832687E-2</v>
      </c>
      <c r="H57" s="77">
        <f>IFERROR(VLOOKUP(C57,Deaths_since_10!C:G,5,FALSE)-1,0)</f>
        <v>3.1310306477545069E-2</v>
      </c>
      <c r="J57" s="68">
        <f t="shared" si="5"/>
        <v>63.837034072928716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1075</v>
      </c>
      <c r="E58" s="75">
        <f>D58*Projections_Data!$C$15</f>
        <v>50.524999999999999</v>
      </c>
      <c r="F58" s="75">
        <f>VLOOKUP(C58,Country_Data!C:G,5,FALSE)</f>
        <v>3</v>
      </c>
      <c r="G58" s="76">
        <f>IFERROR(VLOOKUP(C58,Days_Since_100!C:G,5,FALSE)-1,0)</f>
        <v>0.11138323505891079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82511</v>
      </c>
      <c r="E60" s="75">
        <f>D60*Projections_Data!$C$15</f>
        <v>3878.0169999999998</v>
      </c>
      <c r="F60" s="75">
        <f>VLOOKUP(C60,Country_Data!C:G,5,FALSE)</f>
        <v>3326</v>
      </c>
      <c r="G60" s="76">
        <f>IFERROR(VLOOKUP(C60,Days_Since_100!C:G,5,FALSE)-1,0)</f>
        <v>9.45581045871835E-4</v>
      </c>
      <c r="H60" s="77">
        <f>IFERROR(VLOOKUP(C60,Deaths_since_10!C:G,5,FALSE)-1,0)</f>
        <v>1.3281862815688328E-3</v>
      </c>
      <c r="I60" s="59"/>
      <c r="J60" s="68">
        <f t="shared" si="5"/>
        <v>2742.8572798722921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478</v>
      </c>
      <c r="D61" s="75">
        <f>VLOOKUP(C61,Country_Data!B:F,5,FALSE)</f>
        <v>4091</v>
      </c>
      <c r="E61" s="75">
        <f>D61*Projections_Data!$C$15</f>
        <v>192.27699999999999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475</v>
      </c>
      <c r="D62" s="75">
        <f>VLOOKUP(C62,Country_Data!B:F,5,FALSE)</f>
        <v>10062</v>
      </c>
      <c r="E62" s="75">
        <f>D62*Projections_Data!$C$15</f>
        <v>472.91399999999999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396</v>
      </c>
      <c r="E63" s="75">
        <f>D63*Projections_Data!$C$15</f>
        <v>18.611999999999998</v>
      </c>
      <c r="F63" s="75">
        <f>VLOOKUP(C63,Country_Data!C:G,5,FALSE)</f>
        <v>11</v>
      </c>
      <c r="G63" s="76">
        <f>IFERROR(VLOOKUP(C63,Days_Since_100!C:G,5,FALSE)-1,0)</f>
        <v>0.13098353514913241</v>
      </c>
      <c r="H63" s="77">
        <f>IFERROR(VLOOKUP(C63,Deaths_since_10!C:G,5,FALSE)-1,0)</f>
        <v>0.11199004528465784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8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26</v>
      </c>
      <c r="G65" s="75"/>
      <c r="H65" s="77">
        <f>IFERROR(VLOOKUP(C65,Deaths_since_10!C:G,5,FALSE)-1,0)</f>
        <v>0.1486983549970351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9</v>
      </c>
      <c r="G66" s="75"/>
      <c r="H66" s="77">
        <f>IFERROR(VLOOKUP(C66,Deaths_since_10!C:G,5,FALSE)-1,0)</f>
        <v>4.0041911525952045E-2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564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zoomScale="80" zoomScaleNormal="80" workbookViewId="0">
      <selection activeCell="U24" sqref="U24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594</v>
      </c>
      <c r="T3" t="s">
        <v>513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300000</v>
      </c>
      <c r="T5">
        <v>15000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45</v>
      </c>
      <c r="T8">
        <v>40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98">
        <f ca="1">TODAY()-X14</f>
        <v>8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A4" activePane="bottomRight" state="frozen"/>
      <selection pane="topRight" activeCell="G1" sqref="G1"/>
      <selection pane="bottomLeft" activeCell="A4" sqref="A4"/>
      <selection pane="bottomRight" activeCell="AL17" sqref="AL1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World</v>
      </c>
      <c r="C2" s="20">
        <f>MAX(ConfirmedRaw!1:1)</f>
        <v>43924</v>
      </c>
    </row>
    <row r="3" spans="2:248" x14ac:dyDescent="0.3">
      <c r="G3" s="20">
        <f ca="1">VLOOKUP(B2,Country_Data!B:E,4,FALSE)</f>
        <v>43852</v>
      </c>
      <c r="H3" s="20">
        <f t="shared" ref="H3:BS3" ca="1" si="0">G3+1</f>
        <v>43853</v>
      </c>
      <c r="I3" s="20">
        <f t="shared" ca="1" si="0"/>
        <v>43854</v>
      </c>
      <c r="J3" s="20">
        <f t="shared" ca="1" si="0"/>
        <v>43855</v>
      </c>
      <c r="K3" s="20">
        <f t="shared" ca="1" si="0"/>
        <v>43856</v>
      </c>
      <c r="L3" s="20">
        <f t="shared" ca="1" si="0"/>
        <v>43857</v>
      </c>
      <c r="M3" s="20">
        <f t="shared" ca="1" si="0"/>
        <v>43858</v>
      </c>
      <c r="N3" s="20">
        <f t="shared" ca="1" si="0"/>
        <v>43859</v>
      </c>
      <c r="O3" s="20">
        <f t="shared" ca="1" si="0"/>
        <v>43860</v>
      </c>
      <c r="P3" s="20">
        <f t="shared" ca="1" si="0"/>
        <v>43861</v>
      </c>
      <c r="Q3" s="20">
        <f t="shared" ca="1" si="0"/>
        <v>43862</v>
      </c>
      <c r="R3" s="20">
        <f t="shared" ca="1" si="0"/>
        <v>43863</v>
      </c>
      <c r="S3" s="20">
        <f t="shared" ca="1" si="0"/>
        <v>43864</v>
      </c>
      <c r="T3" s="20">
        <f t="shared" ca="1" si="0"/>
        <v>43865</v>
      </c>
      <c r="U3" s="20">
        <f t="shared" ca="1" si="0"/>
        <v>43866</v>
      </c>
      <c r="V3" s="20">
        <f t="shared" ca="1" si="0"/>
        <v>43867</v>
      </c>
      <c r="W3" s="20">
        <f t="shared" ca="1" si="0"/>
        <v>43868</v>
      </c>
      <c r="X3" s="20">
        <f t="shared" ca="1" si="0"/>
        <v>43869</v>
      </c>
      <c r="Y3" s="20">
        <f t="shared" ca="1" si="0"/>
        <v>43870</v>
      </c>
      <c r="Z3" s="20">
        <f t="shared" ca="1" si="0"/>
        <v>43871</v>
      </c>
      <c r="AA3" s="20">
        <f t="shared" ca="1" si="0"/>
        <v>43872</v>
      </c>
      <c r="AB3" s="20">
        <f t="shared" ca="1" si="0"/>
        <v>43873</v>
      </c>
      <c r="AC3" s="20">
        <f t="shared" ca="1" si="0"/>
        <v>43874</v>
      </c>
      <c r="AD3" s="20">
        <f t="shared" ca="1" si="0"/>
        <v>43875</v>
      </c>
      <c r="AE3" s="20">
        <f t="shared" ca="1" si="0"/>
        <v>43876</v>
      </c>
      <c r="AF3" s="20">
        <f t="shared" ca="1" si="0"/>
        <v>43877</v>
      </c>
      <c r="AG3" s="20">
        <f t="shared" ca="1" si="0"/>
        <v>43878</v>
      </c>
      <c r="AH3" s="20">
        <f t="shared" ca="1" si="0"/>
        <v>43879</v>
      </c>
      <c r="AI3" s="20">
        <f t="shared" ca="1" si="0"/>
        <v>43880</v>
      </c>
      <c r="AJ3" s="20">
        <f t="shared" ca="1" si="0"/>
        <v>43881</v>
      </c>
      <c r="AK3" s="20">
        <f t="shared" ca="1" si="0"/>
        <v>43882</v>
      </c>
      <c r="AL3" s="20">
        <f t="shared" ca="1" si="0"/>
        <v>43883</v>
      </c>
      <c r="AM3" s="20">
        <f t="shared" ca="1" si="0"/>
        <v>43884</v>
      </c>
      <c r="AN3" s="20">
        <f t="shared" ca="1" si="0"/>
        <v>43885</v>
      </c>
      <c r="AO3" s="20">
        <f t="shared" ca="1" si="0"/>
        <v>43886</v>
      </c>
      <c r="AP3" s="20">
        <f t="shared" ca="1" si="0"/>
        <v>43887</v>
      </c>
      <c r="AQ3" s="20">
        <f t="shared" ca="1" si="0"/>
        <v>43888</v>
      </c>
      <c r="AR3" s="20">
        <f t="shared" ca="1" si="0"/>
        <v>43889</v>
      </c>
      <c r="AS3" s="20">
        <f t="shared" ca="1" si="0"/>
        <v>43890</v>
      </c>
      <c r="AT3" s="20">
        <f t="shared" ca="1" si="0"/>
        <v>43891</v>
      </c>
      <c r="AU3" s="20">
        <f t="shared" ca="1" si="0"/>
        <v>43892</v>
      </c>
      <c r="AV3" s="20">
        <f t="shared" ca="1" si="0"/>
        <v>43893</v>
      </c>
      <c r="AW3" s="20">
        <f t="shared" ca="1" si="0"/>
        <v>43894</v>
      </c>
      <c r="AX3" s="20">
        <f t="shared" ca="1" si="0"/>
        <v>43895</v>
      </c>
      <c r="AY3" s="20">
        <f t="shared" ca="1" si="0"/>
        <v>43896</v>
      </c>
      <c r="AZ3" s="20">
        <f t="shared" ca="1" si="0"/>
        <v>43897</v>
      </c>
      <c r="BA3" s="20">
        <f t="shared" ca="1" si="0"/>
        <v>43898</v>
      </c>
      <c r="BB3" s="20">
        <f t="shared" ca="1" si="0"/>
        <v>43899</v>
      </c>
      <c r="BC3" s="20">
        <f t="shared" ca="1" si="0"/>
        <v>43900</v>
      </c>
      <c r="BD3" s="20">
        <f t="shared" ca="1" si="0"/>
        <v>43901</v>
      </c>
      <c r="BE3" s="20">
        <f t="shared" ca="1" si="0"/>
        <v>43902</v>
      </c>
      <c r="BF3" s="20">
        <f t="shared" ca="1" si="0"/>
        <v>43903</v>
      </c>
      <c r="BG3" s="20">
        <f t="shared" ca="1" si="0"/>
        <v>43904</v>
      </c>
      <c r="BH3" s="20">
        <f t="shared" ca="1" si="0"/>
        <v>43905</v>
      </c>
      <c r="BI3" s="20">
        <f t="shared" ca="1" si="0"/>
        <v>43906</v>
      </c>
      <c r="BJ3" s="20">
        <f t="shared" ca="1" si="0"/>
        <v>43907</v>
      </c>
      <c r="BK3" s="20">
        <f t="shared" ca="1" si="0"/>
        <v>43908</v>
      </c>
      <c r="BL3" s="20">
        <f t="shared" ca="1" si="0"/>
        <v>43909</v>
      </c>
      <c r="BM3" s="20">
        <f t="shared" ca="1" si="0"/>
        <v>43910</v>
      </c>
      <c r="BN3" s="20">
        <f t="shared" ca="1" si="0"/>
        <v>43911</v>
      </c>
      <c r="BO3" s="20">
        <f t="shared" ca="1" si="0"/>
        <v>43912</v>
      </c>
      <c r="BP3" s="20">
        <f t="shared" ca="1" si="0"/>
        <v>43913</v>
      </c>
      <c r="BQ3" s="20">
        <f t="shared" ca="1" si="0"/>
        <v>43914</v>
      </c>
      <c r="BR3" s="20">
        <f t="shared" ca="1" si="0"/>
        <v>43915</v>
      </c>
      <c r="BS3" s="20">
        <f t="shared" ca="1" si="0"/>
        <v>43916</v>
      </c>
      <c r="BT3" s="20">
        <f t="shared" ref="BT3:EE3" ca="1" si="1">BS3+1</f>
        <v>43917</v>
      </c>
      <c r="BU3" s="20">
        <f t="shared" ca="1" si="1"/>
        <v>43918</v>
      </c>
      <c r="BV3" s="20">
        <f t="shared" ca="1" si="1"/>
        <v>43919</v>
      </c>
      <c r="BW3" s="20">
        <f t="shared" ca="1" si="1"/>
        <v>43920</v>
      </c>
      <c r="BX3" s="20">
        <f t="shared" ca="1" si="1"/>
        <v>43921</v>
      </c>
      <c r="BY3" s="20">
        <f t="shared" ca="1" si="1"/>
        <v>43922</v>
      </c>
      <c r="BZ3" s="20">
        <f t="shared" ca="1" si="1"/>
        <v>43923</v>
      </c>
      <c r="CA3" s="20">
        <f t="shared" ca="1" si="1"/>
        <v>43924</v>
      </c>
      <c r="CB3" s="20">
        <f t="shared" ca="1" si="1"/>
        <v>43925</v>
      </c>
      <c r="CC3" s="20">
        <f t="shared" ca="1" si="1"/>
        <v>43926</v>
      </c>
      <c r="CD3" s="20">
        <f t="shared" ca="1" si="1"/>
        <v>43927</v>
      </c>
      <c r="CE3" s="20">
        <f t="shared" ca="1" si="1"/>
        <v>43928</v>
      </c>
      <c r="CF3" s="20">
        <f t="shared" ca="1" si="1"/>
        <v>43929</v>
      </c>
      <c r="CG3" s="20">
        <f t="shared" ca="1" si="1"/>
        <v>43930</v>
      </c>
      <c r="CH3" s="20">
        <f t="shared" ca="1" si="1"/>
        <v>43931</v>
      </c>
      <c r="CI3" s="20">
        <f t="shared" ca="1" si="1"/>
        <v>43932</v>
      </c>
      <c r="CJ3" s="20">
        <f t="shared" ca="1" si="1"/>
        <v>43933</v>
      </c>
      <c r="CK3" s="20">
        <f t="shared" ca="1" si="1"/>
        <v>43934</v>
      </c>
      <c r="CL3" s="20">
        <f t="shared" ca="1" si="1"/>
        <v>43935</v>
      </c>
      <c r="CM3" s="20">
        <f t="shared" ca="1" si="1"/>
        <v>43936</v>
      </c>
      <c r="CN3" s="20">
        <f t="shared" ca="1" si="1"/>
        <v>43937</v>
      </c>
      <c r="CO3" s="20">
        <f t="shared" ca="1" si="1"/>
        <v>43938</v>
      </c>
      <c r="CP3" s="20">
        <f t="shared" ca="1" si="1"/>
        <v>43939</v>
      </c>
      <c r="CQ3" s="20">
        <f t="shared" ca="1" si="1"/>
        <v>43940</v>
      </c>
      <c r="CR3" s="20">
        <f t="shared" ca="1" si="1"/>
        <v>43941</v>
      </c>
      <c r="CS3" s="20">
        <f t="shared" ca="1" si="1"/>
        <v>43942</v>
      </c>
      <c r="CT3" s="20">
        <f t="shared" ca="1" si="1"/>
        <v>43943</v>
      </c>
      <c r="CU3" s="20">
        <f t="shared" ca="1" si="1"/>
        <v>43944</v>
      </c>
      <c r="CV3" s="20">
        <f t="shared" ca="1" si="1"/>
        <v>43945</v>
      </c>
      <c r="CW3" s="20">
        <f t="shared" ca="1" si="1"/>
        <v>43946</v>
      </c>
      <c r="CX3" s="20">
        <f t="shared" ca="1" si="1"/>
        <v>43947</v>
      </c>
      <c r="CY3" s="20">
        <f t="shared" ca="1" si="1"/>
        <v>43948</v>
      </c>
      <c r="CZ3" s="20">
        <f t="shared" ca="1" si="1"/>
        <v>43949</v>
      </c>
      <c r="DA3" s="20">
        <f t="shared" ca="1" si="1"/>
        <v>43950</v>
      </c>
      <c r="DB3" s="20">
        <f t="shared" ca="1" si="1"/>
        <v>43951</v>
      </c>
      <c r="DC3" s="20">
        <f t="shared" ca="1" si="1"/>
        <v>43952</v>
      </c>
      <c r="DD3" s="20">
        <f t="shared" ca="1" si="1"/>
        <v>43953</v>
      </c>
      <c r="DE3" s="20">
        <f t="shared" ca="1" si="1"/>
        <v>43954</v>
      </c>
      <c r="DF3" s="20">
        <f t="shared" ca="1" si="1"/>
        <v>43955</v>
      </c>
      <c r="DG3" s="20">
        <f t="shared" ca="1" si="1"/>
        <v>43956</v>
      </c>
      <c r="DH3" s="20">
        <f t="shared" ca="1" si="1"/>
        <v>43957</v>
      </c>
      <c r="DI3" s="20">
        <f t="shared" ca="1" si="1"/>
        <v>43958</v>
      </c>
      <c r="DJ3" s="20">
        <f t="shared" ca="1" si="1"/>
        <v>43959</v>
      </c>
      <c r="DK3" s="20">
        <f t="shared" ca="1" si="1"/>
        <v>43960</v>
      </c>
      <c r="DL3" s="20">
        <f t="shared" ca="1" si="1"/>
        <v>43961</v>
      </c>
      <c r="DM3" s="20">
        <f t="shared" ca="1" si="1"/>
        <v>43962</v>
      </c>
      <c r="DN3" s="20">
        <f t="shared" ca="1" si="1"/>
        <v>43963</v>
      </c>
      <c r="DO3" s="20">
        <f t="shared" ca="1" si="1"/>
        <v>43964</v>
      </c>
      <c r="DP3" s="20">
        <f t="shared" ca="1" si="1"/>
        <v>43965</v>
      </c>
      <c r="DQ3" s="20">
        <f t="shared" ca="1" si="1"/>
        <v>43966</v>
      </c>
      <c r="DR3" s="20">
        <f t="shared" ca="1" si="1"/>
        <v>43967</v>
      </c>
      <c r="DS3" s="20">
        <f t="shared" ca="1" si="1"/>
        <v>43968</v>
      </c>
      <c r="DT3" s="20">
        <f t="shared" ca="1" si="1"/>
        <v>43969</v>
      </c>
      <c r="DU3" s="20">
        <f t="shared" ca="1" si="1"/>
        <v>43970</v>
      </c>
      <c r="DV3" s="20">
        <f t="shared" ca="1" si="1"/>
        <v>43971</v>
      </c>
      <c r="DW3" s="20">
        <f t="shared" ca="1" si="1"/>
        <v>43972</v>
      </c>
      <c r="DX3" s="20">
        <f t="shared" ca="1" si="1"/>
        <v>43973</v>
      </c>
      <c r="DY3" s="20">
        <f t="shared" ca="1" si="1"/>
        <v>43974</v>
      </c>
      <c r="DZ3" s="20">
        <f t="shared" ca="1" si="1"/>
        <v>43975</v>
      </c>
      <c r="EA3" s="20">
        <f t="shared" ca="1" si="1"/>
        <v>43976</v>
      </c>
      <c r="EB3" s="20">
        <f t="shared" ca="1" si="1"/>
        <v>43977</v>
      </c>
      <c r="EC3" s="20">
        <f t="shared" ca="1" si="1"/>
        <v>43978</v>
      </c>
      <c r="ED3" s="20">
        <f t="shared" ca="1" si="1"/>
        <v>43979</v>
      </c>
      <c r="EE3" s="20">
        <f t="shared" ca="1" si="1"/>
        <v>43980</v>
      </c>
      <c r="EF3" s="20">
        <f t="shared" ref="EF3:GQ3" ca="1" si="2">EE3+1</f>
        <v>43981</v>
      </c>
      <c r="EG3" s="20">
        <f t="shared" ca="1" si="2"/>
        <v>43982</v>
      </c>
      <c r="EH3" s="20">
        <f t="shared" ca="1" si="2"/>
        <v>43983</v>
      </c>
      <c r="EI3" s="20">
        <f t="shared" ca="1" si="2"/>
        <v>43984</v>
      </c>
      <c r="EJ3" s="20">
        <f t="shared" ca="1" si="2"/>
        <v>43985</v>
      </c>
      <c r="EK3" s="20">
        <f t="shared" ca="1" si="2"/>
        <v>43986</v>
      </c>
      <c r="EL3" s="20">
        <f t="shared" ca="1" si="2"/>
        <v>43987</v>
      </c>
      <c r="EM3" s="20">
        <f t="shared" ca="1" si="2"/>
        <v>43988</v>
      </c>
      <c r="EN3" s="20">
        <f t="shared" ca="1" si="2"/>
        <v>43989</v>
      </c>
      <c r="EO3" s="20">
        <f t="shared" ca="1" si="2"/>
        <v>43990</v>
      </c>
      <c r="EP3" s="20">
        <f t="shared" ca="1" si="2"/>
        <v>43991</v>
      </c>
      <c r="EQ3" s="20">
        <f t="shared" ca="1" si="2"/>
        <v>43992</v>
      </c>
      <c r="ER3" s="20">
        <f t="shared" ca="1" si="2"/>
        <v>43993</v>
      </c>
      <c r="ES3" s="20">
        <f t="shared" ca="1" si="2"/>
        <v>43994</v>
      </c>
      <c r="ET3" s="20">
        <f t="shared" ca="1" si="2"/>
        <v>43995</v>
      </c>
      <c r="EU3" s="20">
        <f t="shared" ca="1" si="2"/>
        <v>43996</v>
      </c>
      <c r="EV3" s="20">
        <f t="shared" ca="1" si="2"/>
        <v>43997</v>
      </c>
      <c r="EW3" s="20">
        <f t="shared" ca="1" si="2"/>
        <v>43998</v>
      </c>
      <c r="EX3" s="20">
        <f t="shared" ca="1" si="2"/>
        <v>43999</v>
      </c>
      <c r="EY3" s="20">
        <f t="shared" ca="1" si="2"/>
        <v>44000</v>
      </c>
      <c r="EZ3" s="20">
        <f t="shared" ca="1" si="2"/>
        <v>44001</v>
      </c>
      <c r="FA3" s="20">
        <f t="shared" ca="1" si="2"/>
        <v>44002</v>
      </c>
      <c r="FB3" s="20">
        <f t="shared" ca="1" si="2"/>
        <v>44003</v>
      </c>
      <c r="FC3" s="20">
        <f t="shared" ca="1" si="2"/>
        <v>44004</v>
      </c>
      <c r="FD3" s="20">
        <f t="shared" ca="1" si="2"/>
        <v>44005</v>
      </c>
      <c r="FE3" s="20">
        <f t="shared" ca="1" si="2"/>
        <v>44006</v>
      </c>
      <c r="FF3" s="20">
        <f t="shared" ca="1" si="2"/>
        <v>44007</v>
      </c>
      <c r="FG3" s="20">
        <f t="shared" ca="1" si="2"/>
        <v>44008</v>
      </c>
      <c r="FH3" s="20">
        <f t="shared" ca="1" si="2"/>
        <v>44009</v>
      </c>
      <c r="FI3" s="20">
        <f t="shared" ca="1" si="2"/>
        <v>44010</v>
      </c>
      <c r="FJ3" s="20">
        <f t="shared" ca="1" si="2"/>
        <v>44011</v>
      </c>
      <c r="FK3" s="20">
        <f t="shared" ca="1" si="2"/>
        <v>44012</v>
      </c>
      <c r="FL3" s="20">
        <f t="shared" ca="1" si="2"/>
        <v>44013</v>
      </c>
      <c r="FM3" s="20">
        <f t="shared" ca="1" si="2"/>
        <v>44014</v>
      </c>
      <c r="FN3" s="20">
        <f t="shared" ca="1" si="2"/>
        <v>44015</v>
      </c>
      <c r="FO3" s="20">
        <f t="shared" ca="1" si="2"/>
        <v>44016</v>
      </c>
      <c r="FP3" s="20">
        <f t="shared" ca="1" si="2"/>
        <v>44017</v>
      </c>
      <c r="FQ3" s="20">
        <f t="shared" ca="1" si="2"/>
        <v>44018</v>
      </c>
      <c r="FR3" s="20">
        <f t="shared" ca="1" si="2"/>
        <v>44019</v>
      </c>
      <c r="FS3" s="20">
        <f t="shared" ca="1" si="2"/>
        <v>44020</v>
      </c>
      <c r="FT3" s="20">
        <f t="shared" ca="1" si="2"/>
        <v>44021</v>
      </c>
      <c r="FU3" s="20">
        <f t="shared" ca="1" si="2"/>
        <v>44022</v>
      </c>
      <c r="FV3" s="20">
        <f t="shared" ca="1" si="2"/>
        <v>44023</v>
      </c>
      <c r="FW3" s="20">
        <f t="shared" ca="1" si="2"/>
        <v>44024</v>
      </c>
      <c r="FX3" s="20">
        <f t="shared" ca="1" si="2"/>
        <v>44025</v>
      </c>
      <c r="FY3" s="20">
        <f t="shared" ca="1" si="2"/>
        <v>44026</v>
      </c>
      <c r="FZ3" s="20">
        <f t="shared" ca="1" si="2"/>
        <v>44027</v>
      </c>
      <c r="GA3" s="20">
        <f t="shared" ca="1" si="2"/>
        <v>44028</v>
      </c>
      <c r="GB3" s="20">
        <f t="shared" ca="1" si="2"/>
        <v>44029</v>
      </c>
      <c r="GC3" s="20">
        <f t="shared" ca="1" si="2"/>
        <v>44030</v>
      </c>
      <c r="GD3" s="20">
        <f t="shared" ca="1" si="2"/>
        <v>44031</v>
      </c>
      <c r="GE3" s="20">
        <f t="shared" ca="1" si="2"/>
        <v>44032</v>
      </c>
      <c r="GF3" s="20">
        <f t="shared" ca="1" si="2"/>
        <v>44033</v>
      </c>
      <c r="GG3" s="20">
        <f t="shared" ca="1" si="2"/>
        <v>44034</v>
      </c>
      <c r="GH3" s="20">
        <f t="shared" ca="1" si="2"/>
        <v>44035</v>
      </c>
      <c r="GI3" s="20">
        <f t="shared" ca="1" si="2"/>
        <v>44036</v>
      </c>
      <c r="GJ3" s="20">
        <f t="shared" ca="1" si="2"/>
        <v>44037</v>
      </c>
      <c r="GK3" s="20">
        <f t="shared" ca="1" si="2"/>
        <v>44038</v>
      </c>
      <c r="GL3" s="20">
        <f t="shared" ca="1" si="2"/>
        <v>44039</v>
      </c>
      <c r="GM3" s="20">
        <f t="shared" ca="1" si="2"/>
        <v>44040</v>
      </c>
      <c r="GN3" s="20">
        <f t="shared" ca="1" si="2"/>
        <v>44041</v>
      </c>
      <c r="GO3" s="20">
        <f t="shared" ca="1" si="2"/>
        <v>44042</v>
      </c>
      <c r="GP3" s="20">
        <f t="shared" ca="1" si="2"/>
        <v>44043</v>
      </c>
      <c r="GQ3" s="20">
        <f t="shared" ca="1" si="2"/>
        <v>44044</v>
      </c>
      <c r="GR3" s="20">
        <f t="shared" ref="GR3:IN3" ca="1" si="3">GQ3+1</f>
        <v>44045</v>
      </c>
      <c r="GS3" s="20">
        <f t="shared" ca="1" si="3"/>
        <v>44046</v>
      </c>
      <c r="GT3" s="20">
        <f t="shared" ca="1" si="3"/>
        <v>44047</v>
      </c>
      <c r="GU3" s="20">
        <f t="shared" ca="1" si="3"/>
        <v>44048</v>
      </c>
      <c r="GV3" s="20">
        <f t="shared" ca="1" si="3"/>
        <v>44049</v>
      </c>
      <c r="GW3" s="20">
        <f t="shared" ca="1" si="3"/>
        <v>44050</v>
      </c>
      <c r="GX3" s="20">
        <f t="shared" ca="1" si="3"/>
        <v>44051</v>
      </c>
      <c r="GY3" s="20">
        <f t="shared" ca="1" si="3"/>
        <v>44052</v>
      </c>
      <c r="GZ3" s="20">
        <f t="shared" ca="1" si="3"/>
        <v>44053</v>
      </c>
      <c r="HA3" s="20">
        <f t="shared" ca="1" si="3"/>
        <v>44054</v>
      </c>
      <c r="HB3" s="20">
        <f t="shared" ca="1" si="3"/>
        <v>44055</v>
      </c>
      <c r="HC3" s="20">
        <f t="shared" ca="1" si="3"/>
        <v>44056</v>
      </c>
      <c r="HD3" s="20">
        <f t="shared" ca="1" si="3"/>
        <v>44057</v>
      </c>
      <c r="HE3" s="20">
        <f t="shared" ca="1" si="3"/>
        <v>44058</v>
      </c>
      <c r="HF3" s="20">
        <f t="shared" ca="1" si="3"/>
        <v>44059</v>
      </c>
      <c r="HG3" s="20">
        <f t="shared" ca="1" si="3"/>
        <v>44060</v>
      </c>
      <c r="HH3" s="20">
        <f t="shared" ca="1" si="3"/>
        <v>44061</v>
      </c>
      <c r="HI3" s="20">
        <f t="shared" ca="1" si="3"/>
        <v>44062</v>
      </c>
      <c r="HJ3" s="20">
        <f t="shared" ca="1" si="3"/>
        <v>44063</v>
      </c>
      <c r="HK3" s="20">
        <f t="shared" ca="1" si="3"/>
        <v>44064</v>
      </c>
      <c r="HL3" s="20">
        <f t="shared" ca="1" si="3"/>
        <v>44065</v>
      </c>
      <c r="HM3" s="20">
        <f t="shared" ca="1" si="3"/>
        <v>44066</v>
      </c>
      <c r="HN3" s="20">
        <f t="shared" ca="1" si="3"/>
        <v>44067</v>
      </c>
      <c r="HO3" s="20">
        <f t="shared" ca="1" si="3"/>
        <v>44068</v>
      </c>
      <c r="HP3" s="20">
        <f t="shared" ca="1" si="3"/>
        <v>44069</v>
      </c>
      <c r="HQ3" s="20">
        <f t="shared" ca="1" si="3"/>
        <v>44070</v>
      </c>
      <c r="HR3" s="20">
        <f t="shared" ca="1" si="3"/>
        <v>44071</v>
      </c>
      <c r="HS3" s="20">
        <f t="shared" ca="1" si="3"/>
        <v>44072</v>
      </c>
      <c r="HT3" s="20">
        <f t="shared" ca="1" si="3"/>
        <v>44073</v>
      </c>
      <c r="HU3" s="20">
        <f t="shared" ca="1" si="3"/>
        <v>44074</v>
      </c>
      <c r="HV3" s="20">
        <f t="shared" ca="1" si="3"/>
        <v>44075</v>
      </c>
      <c r="HW3" s="20">
        <f t="shared" ca="1" si="3"/>
        <v>44076</v>
      </c>
      <c r="HX3" s="20">
        <f t="shared" ca="1" si="3"/>
        <v>44077</v>
      </c>
      <c r="HY3" s="20">
        <f t="shared" ca="1" si="3"/>
        <v>44078</v>
      </c>
      <c r="HZ3" s="20">
        <f t="shared" ca="1" si="3"/>
        <v>44079</v>
      </c>
      <c r="IA3" s="20">
        <f t="shared" ca="1" si="3"/>
        <v>44080</v>
      </c>
      <c r="IB3" s="20">
        <f t="shared" ca="1" si="3"/>
        <v>44081</v>
      </c>
      <c r="IC3" s="20">
        <f t="shared" ca="1" si="3"/>
        <v>44082</v>
      </c>
      <c r="ID3" s="20">
        <f t="shared" ca="1" si="3"/>
        <v>44083</v>
      </c>
      <c r="IE3" s="20">
        <f t="shared" ca="1" si="3"/>
        <v>44084</v>
      </c>
      <c r="IF3" s="20">
        <f t="shared" ca="1" si="3"/>
        <v>44085</v>
      </c>
      <c r="IG3" s="20">
        <f t="shared" ca="1" si="3"/>
        <v>44086</v>
      </c>
      <c r="IH3" s="20">
        <f t="shared" ca="1" si="3"/>
        <v>44087</v>
      </c>
      <c r="II3" s="20">
        <f t="shared" ca="1" si="3"/>
        <v>44088</v>
      </c>
      <c r="IJ3" s="20">
        <f t="shared" ca="1" si="3"/>
        <v>44089</v>
      </c>
      <c r="IK3" s="20">
        <f t="shared" ca="1" si="3"/>
        <v>44090</v>
      </c>
      <c r="IL3" s="20">
        <f t="shared" ca="1" si="3"/>
        <v>44091</v>
      </c>
      <c r="IM3" s="20">
        <f t="shared" ca="1" si="3"/>
        <v>44092</v>
      </c>
      <c r="IN3" s="20">
        <f t="shared" ca="1" si="3"/>
        <v>44093</v>
      </c>
    </row>
    <row r="4" spans="2:248" x14ac:dyDescent="0.3">
      <c r="B4" s="19" t="s">
        <v>449</v>
      </c>
      <c r="C4" s="21">
        <f>VLOOKUP(B2,Days_Since_100!C:D,2,FALSE)</f>
        <v>1092307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73</v>
      </c>
      <c r="F5" s="19" t="s">
        <v>504</v>
      </c>
      <c r="G5" s="40">
        <f>IF(VLOOKUP($B$2,Days_Since_100!$H:$KU,Projections_Data!G$4+2,FALSE)=0,#N/A,VLOOKUP($B$2,Days_Since_100!$H:$KU,Projections_Data!G$4+2,FALSE))</f>
        <v>555</v>
      </c>
      <c r="H5" s="40">
        <f>IF(VLOOKUP($B$2,Days_Since_100!$H:$KU,Projections_Data!H$4+2,FALSE)=0,#N/A,VLOOKUP($B$2,Days_Since_100!$H:$KU,Projections_Data!H$4+2,FALSE))</f>
        <v>654</v>
      </c>
      <c r="I5" s="40">
        <f>IF(VLOOKUP($B$2,Days_Since_100!$H:$KU,Projections_Data!I$4+2,FALSE)=0,#N/A,VLOOKUP($B$2,Days_Since_100!$H:$KU,Projections_Data!I$4+2,FALSE))</f>
        <v>941</v>
      </c>
      <c r="J5" s="40">
        <f>IF(VLOOKUP($B$2,Days_Since_100!$H:$KU,Projections_Data!J$4+2,FALSE)=0,#N/A,VLOOKUP($B$2,Days_Since_100!$H:$KU,Projections_Data!J$4+2,FALSE))</f>
        <v>1434</v>
      </c>
      <c r="K5" s="40">
        <f>IF(VLOOKUP($B$2,Days_Since_100!$H:$KU,Projections_Data!K$4+2,FALSE)=0,#N/A,VLOOKUP($B$2,Days_Since_100!$H:$KU,Projections_Data!K$4+2,FALSE))</f>
        <v>2118</v>
      </c>
      <c r="L5" s="40">
        <f>IF(VLOOKUP($B$2,Days_Since_100!$H:$KU,Projections_Data!L$4+2,FALSE)=0,#N/A,VLOOKUP($B$2,Days_Since_100!$H:$KU,Projections_Data!L$4+2,FALSE))</f>
        <v>2927</v>
      </c>
      <c r="M5" s="40">
        <f>IF(VLOOKUP($B$2,Days_Since_100!$H:$KU,Projections_Data!M$4+2,FALSE)=0,#N/A,VLOOKUP($B$2,Days_Since_100!$H:$KU,Projections_Data!M$4+2,FALSE))</f>
        <v>5578</v>
      </c>
      <c r="N5" s="40">
        <f>IF(VLOOKUP($B$2,Days_Since_100!$H:$KU,Projections_Data!N$4+2,FALSE)=0,#N/A,VLOOKUP($B$2,Days_Since_100!$H:$KU,Projections_Data!N$4+2,FALSE))</f>
        <v>6166</v>
      </c>
      <c r="O5" s="40">
        <f>IF(VLOOKUP($B$2,Days_Since_100!$H:$KU,Projections_Data!O$4+2,FALSE)=0,#N/A,VLOOKUP($B$2,Days_Since_100!$H:$KU,Projections_Data!O$4+2,FALSE))</f>
        <v>8234</v>
      </c>
      <c r="P5" s="40">
        <f>IF(VLOOKUP($B$2,Days_Since_100!$H:$KU,Projections_Data!P$4+2,FALSE)=0,#N/A,VLOOKUP($B$2,Days_Since_100!$H:$KU,Projections_Data!P$4+2,FALSE))</f>
        <v>9927</v>
      </c>
      <c r="Q5" s="40">
        <f>IF(VLOOKUP($B$2,Days_Since_100!$H:$KU,Projections_Data!Q$4+2,FALSE)=0,#N/A,VLOOKUP($B$2,Days_Since_100!$H:$KU,Projections_Data!Q$4+2,FALSE))</f>
        <v>12038</v>
      </c>
      <c r="R5" s="40">
        <f>IF(VLOOKUP($B$2,Days_Since_100!$H:$KU,Projections_Data!R$4+2,FALSE)=0,#N/A,VLOOKUP($B$2,Days_Since_100!$H:$KU,Projections_Data!R$4+2,FALSE))</f>
        <v>16787</v>
      </c>
      <c r="S5" s="40">
        <f>IF(VLOOKUP($B$2,Days_Since_100!$H:$KU,Projections_Data!S$4+2,FALSE)=0,#N/A,VLOOKUP($B$2,Days_Since_100!$H:$KU,Projections_Data!S$4+2,FALSE))</f>
        <v>19881</v>
      </c>
      <c r="T5" s="40">
        <f>IF(VLOOKUP($B$2,Days_Since_100!$H:$KU,Projections_Data!T$4+2,FALSE)=0,#N/A,VLOOKUP($B$2,Days_Since_100!$H:$KU,Projections_Data!T$4+2,FALSE))</f>
        <v>23892</v>
      </c>
      <c r="U5" s="40">
        <f>IF(VLOOKUP($B$2,Days_Since_100!$H:$KU,Projections_Data!U$4+2,FALSE)=0,#N/A,VLOOKUP($B$2,Days_Since_100!$H:$KU,Projections_Data!U$4+2,FALSE))</f>
        <v>27635</v>
      </c>
      <c r="V5" s="40">
        <f>IF(VLOOKUP($B$2,Days_Since_100!$H:$KU,Projections_Data!V$4+2,FALSE)=0,#N/A,VLOOKUP($B$2,Days_Since_100!$H:$KU,Projections_Data!V$4+2,FALSE))</f>
        <v>30794</v>
      </c>
      <c r="W5" s="40">
        <f>IF(VLOOKUP($B$2,Days_Since_100!$H:$KU,Projections_Data!W$4+2,FALSE)=0,#N/A,VLOOKUP($B$2,Days_Since_100!$H:$KU,Projections_Data!W$4+2,FALSE))</f>
        <v>34330</v>
      </c>
      <c r="X5" s="40">
        <f>IF(VLOOKUP($B$2,Days_Since_100!$H:$KU,Projections_Data!X$4+2,FALSE)=0,#N/A,VLOOKUP($B$2,Days_Since_100!$H:$KU,Projections_Data!X$4+2,FALSE))</f>
        <v>37059</v>
      </c>
      <c r="Y5" s="40">
        <f>IF(VLOOKUP($B$2,Days_Since_100!$H:$KU,Projections_Data!Y$4+2,FALSE)=0,#N/A,VLOOKUP($B$2,Days_Since_100!$H:$KU,Projections_Data!Y$4+2,FALSE))</f>
        <v>40086</v>
      </c>
      <c r="Z5" s="40">
        <f>IF(VLOOKUP($B$2,Days_Since_100!$H:$KU,Projections_Data!Z$4+2,FALSE)=0,#N/A,VLOOKUP($B$2,Days_Since_100!$H:$KU,Projections_Data!Z$4+2,FALSE))</f>
        <v>42627</v>
      </c>
      <c r="AA5" s="40">
        <f>IF(VLOOKUP($B$2,Days_Since_100!$H:$KU,Projections_Data!AA$4+2,FALSE)=0,#N/A,VLOOKUP($B$2,Days_Since_100!$H:$KU,Projections_Data!AA$4+2,FALSE))</f>
        <v>44667</v>
      </c>
      <c r="AB5" s="40">
        <f>IF(VLOOKUP($B$2,Days_Since_100!$H:$KU,Projections_Data!AB$4+2,FALSE)=0,#N/A,VLOOKUP($B$2,Days_Since_100!$H:$KU,Projections_Data!AB$4+2,FALSE))</f>
        <v>50287</v>
      </c>
      <c r="AC5" s="40">
        <f>IF(VLOOKUP($B$2,Days_Since_100!$H:$KU,Projections_Data!AC$4+2,FALSE)=0,#N/A,VLOOKUP($B$2,Days_Since_100!$H:$KU,Projections_Data!AC$4+2,FALSE))</f>
        <v>60193</v>
      </c>
      <c r="AD5" s="40">
        <f>IF(VLOOKUP($B$2,Days_Since_100!$H:$KU,Projections_Data!AD$4+2,FALSE)=0,#N/A,VLOOKUP($B$2,Days_Since_100!$H:$KU,Projections_Data!AD$4+2,FALSE))</f>
        <v>66667</v>
      </c>
      <c r="AE5" s="40">
        <f>IF(VLOOKUP($B$2,Days_Since_100!$H:$KU,Projections_Data!AE$4+2,FALSE)=0,#N/A,VLOOKUP($B$2,Days_Since_100!$H:$KU,Projections_Data!AE$4+2,FALSE))</f>
        <v>68745</v>
      </c>
      <c r="AF5" s="40">
        <f>IF(VLOOKUP($B$2,Days_Since_100!$H:$KU,Projections_Data!AF$4+2,FALSE)=0,#N/A,VLOOKUP($B$2,Days_Since_100!$H:$KU,Projections_Data!AF$4+2,FALSE))</f>
        <v>70869</v>
      </c>
      <c r="AG5" s="40">
        <f>IF(VLOOKUP($B$2,Days_Since_100!$H:$KU,Projections_Data!AG$4+2,FALSE)=0,#N/A,VLOOKUP($B$2,Days_Since_100!$H:$KU,Projections_Data!AG$4+2,FALSE))</f>
        <v>72804</v>
      </c>
      <c r="AH5" s="40">
        <f>IF(VLOOKUP($B$2,Days_Since_100!$H:$KU,Projections_Data!AH$4+2,FALSE)=0,#N/A,VLOOKUP($B$2,Days_Since_100!$H:$KU,Projections_Data!AH$4+2,FALSE))</f>
        <v>74594</v>
      </c>
      <c r="AI5" s="40">
        <f>IF(VLOOKUP($B$2,Days_Since_100!$H:$KU,Projections_Data!AI$4+2,FALSE)=0,#N/A,VLOOKUP($B$2,Days_Since_100!$H:$KU,Projections_Data!AI$4+2,FALSE))</f>
        <v>75018</v>
      </c>
      <c r="AJ5" s="40">
        <f>IF(VLOOKUP($B$2,Days_Since_100!$H:$KU,Projections_Data!AJ$4+2,FALSE)=0,#N/A,VLOOKUP($B$2,Days_Since_100!$H:$KU,Projections_Data!AJ$4+2,FALSE))</f>
        <v>75563</v>
      </c>
      <c r="AK5" s="40">
        <f>IF(VLOOKUP($B$2,Days_Since_100!$H:$KU,Projections_Data!AK$4+2,FALSE)=0,#N/A,VLOOKUP($B$2,Days_Since_100!$H:$KU,Projections_Data!AK$4+2,FALSE))</f>
        <v>76185</v>
      </c>
      <c r="AL5" s="40">
        <f>IF(VLOOKUP($B$2,Days_Since_100!$H:$KU,Projections_Data!AL$4+2,FALSE)=0,#N/A,VLOOKUP($B$2,Days_Since_100!$H:$KU,Projections_Data!AL$4+2,FALSE))</f>
        <v>77938</v>
      </c>
      <c r="AM5" s="40">
        <f>IF(VLOOKUP($B$2,Days_Since_100!$H:$KU,Projections_Data!AM$4+2,FALSE)=0,#N/A,VLOOKUP($B$2,Days_Since_100!$H:$KU,Projections_Data!AM$4+2,FALSE))</f>
        <v>78267</v>
      </c>
      <c r="AN5" s="40">
        <f>IF(VLOOKUP($B$2,Days_Since_100!$H:$KU,Projections_Data!AN$4+2,FALSE)=0,#N/A,VLOOKUP($B$2,Days_Since_100!$H:$KU,Projections_Data!AN$4+2,FALSE))</f>
        <v>78870</v>
      </c>
      <c r="AO5" s="40">
        <f>IF(VLOOKUP($B$2,Days_Since_100!$H:$KU,Projections_Data!AO$4+2,FALSE)=0,#N/A,VLOOKUP($B$2,Days_Since_100!$H:$KU,Projections_Data!AO$4+2,FALSE))</f>
        <v>79715</v>
      </c>
      <c r="AP5" s="40">
        <f>IF(VLOOKUP($B$2,Days_Since_100!$H:$KU,Projections_Data!AP$4+2,FALSE)=0,#N/A,VLOOKUP($B$2,Days_Since_100!$H:$KU,Projections_Data!AP$4+2,FALSE))</f>
        <v>80683</v>
      </c>
      <c r="AQ5" s="40">
        <f>IF(VLOOKUP($B$2,Days_Since_100!$H:$KU,Projections_Data!AQ$4+2,FALSE)=0,#N/A,VLOOKUP($B$2,Days_Since_100!$H:$KU,Projections_Data!AQ$4+2,FALSE))</f>
        <v>82041</v>
      </c>
      <c r="AR5" s="40">
        <f>IF(VLOOKUP($B$2,Days_Since_100!$H:$KU,Projections_Data!AR$4+2,FALSE)=0,#N/A,VLOOKUP($B$2,Days_Since_100!$H:$KU,Projections_Data!AR$4+2,FALSE))</f>
        <v>83407</v>
      </c>
      <c r="AS5" s="40">
        <f>IF(VLOOKUP($B$2,Days_Since_100!$H:$KU,Projections_Data!AS$4+2,FALSE)=0,#N/A,VLOOKUP($B$2,Days_Since_100!$H:$KU,Projections_Data!AS$4+2,FALSE))</f>
        <v>85306</v>
      </c>
      <c r="AT5" s="40">
        <f>IF(VLOOKUP($B$2,Days_Since_100!$H:$KU,Projections_Data!AT$4+2,FALSE)=0,#N/A,VLOOKUP($B$2,Days_Since_100!$H:$KU,Projections_Data!AT$4+2,FALSE))</f>
        <v>87664</v>
      </c>
      <c r="AU5" s="40">
        <f>IF(VLOOKUP($B$2,Days_Since_100!$H:$KU,Projections_Data!AU$4+2,FALSE)=0,#N/A,VLOOKUP($B$2,Days_Since_100!$H:$KU,Projections_Data!AU$4+2,FALSE))</f>
        <v>89601</v>
      </c>
      <c r="AV5" s="40">
        <f>IF(VLOOKUP($B$2,Days_Since_100!$H:$KU,Projections_Data!AV$4+2,FALSE)=0,#N/A,VLOOKUP($B$2,Days_Since_100!$H:$KU,Projections_Data!AV$4+2,FALSE))</f>
        <v>92134</v>
      </c>
      <c r="AW5" s="40">
        <f>IF(VLOOKUP($B$2,Days_Since_100!$H:$KU,Projections_Data!AW$4+2,FALSE)=0,#N/A,VLOOKUP($B$2,Days_Since_100!$H:$KU,Projections_Data!AW$4+2,FALSE))</f>
        <v>94414</v>
      </c>
      <c r="AX5" s="40">
        <f>IF(VLOOKUP($B$2,Days_Since_100!$H:$KU,Projections_Data!AX$4+2,FALSE)=0,#N/A,VLOOKUP($B$2,Days_Since_100!$H:$KU,Projections_Data!AX$4+2,FALSE))</f>
        <v>97176</v>
      </c>
      <c r="AY5" s="40">
        <f>IF(VLOOKUP($B$2,Days_Since_100!$H:$KU,Projections_Data!AY$4+2,FALSE)=0,#N/A,VLOOKUP($B$2,Days_Since_100!$H:$KU,Projections_Data!AY$4+2,FALSE))</f>
        <v>101088</v>
      </c>
      <c r="AZ5" s="40">
        <f>IF(VLOOKUP($B$2,Days_Since_100!$H:$KU,Projections_Data!AZ$4+2,FALSE)=0,#N/A,VLOOKUP($B$2,Days_Since_100!$H:$KU,Projections_Data!AZ$4+2,FALSE))</f>
        <v>105125</v>
      </c>
      <c r="BA5" s="40">
        <f>IF(VLOOKUP($B$2,Days_Since_100!$H:$KU,Projections_Data!BA$4+2,FALSE)=0,#N/A,VLOOKUP($B$2,Days_Since_100!$H:$KU,Projections_Data!BA$4+2,FALSE))</f>
        <v>109099</v>
      </c>
      <c r="BB5" s="40">
        <f>IF(VLOOKUP($B$2,Days_Since_100!$H:$KU,Projections_Data!BB$4+2,FALSE)=0,#N/A,VLOOKUP($B$2,Days_Since_100!$H:$KU,Projections_Data!BB$4+2,FALSE))</f>
        <v>112865</v>
      </c>
      <c r="BC5" s="40">
        <f>IF(VLOOKUP($B$2,Days_Since_100!$H:$KU,Projections_Data!BC$4+2,FALSE)=0,#N/A,VLOOKUP($B$2,Days_Since_100!$H:$KU,Projections_Data!BC$4+2,FALSE))</f>
        <v>117888</v>
      </c>
      <c r="BD5" s="40">
        <f>IF(VLOOKUP($B$2,Days_Since_100!$H:$KU,Projections_Data!BD$4+2,FALSE)=0,#N/A,VLOOKUP($B$2,Days_Since_100!$H:$KU,Projections_Data!BD$4+2,FALSE))</f>
        <v>125139</v>
      </c>
      <c r="BE5" s="40">
        <f>IF(VLOOKUP($B$2,Days_Since_100!$H:$KU,Projections_Data!BE$4+2,FALSE)=0,#N/A,VLOOKUP($B$2,Days_Since_100!$H:$KU,Projections_Data!BE$4+2,FALSE))</f>
        <v>132517</v>
      </c>
      <c r="BF5" s="40">
        <f>IF(VLOOKUP($B$2,Days_Since_100!$H:$KU,Projections_Data!BF$4+2,FALSE)=0,#N/A,VLOOKUP($B$2,Days_Since_100!$H:$KU,Projections_Data!BF$4+2,FALSE))</f>
        <v>144468</v>
      </c>
      <c r="BG5" s="40">
        <f>IF(VLOOKUP($B$2,Days_Since_100!$H:$KU,Projections_Data!BG$4+2,FALSE)=0,#N/A,VLOOKUP($B$2,Days_Since_100!$H:$KU,Projections_Data!BG$4+2,FALSE))</f>
        <v>155337</v>
      </c>
      <c r="BH5" s="40">
        <f>IF(VLOOKUP($B$2,Days_Since_100!$H:$KU,Projections_Data!BH$4+2,FALSE)=0,#N/A,VLOOKUP($B$2,Days_Since_100!$H:$KU,Projections_Data!BH$4+2,FALSE))</f>
        <v>167781</v>
      </c>
      <c r="BI5" s="40">
        <f>IF(VLOOKUP($B$2,Days_Since_100!$H:$KU,Projections_Data!BI$4+2,FALSE)=0,#N/A,VLOOKUP($B$2,Days_Since_100!$H:$KU,Projections_Data!BI$4+2,FALSE))</f>
        <v>180762</v>
      </c>
      <c r="BJ5" s="40">
        <f>IF(VLOOKUP($B$2,Days_Since_100!$H:$KU,Projections_Data!BJ$4+2,FALSE)=0,#N/A,VLOOKUP($B$2,Days_Since_100!$H:$KU,Projections_Data!BJ$4+2,FALSE))</f>
        <v>196234</v>
      </c>
      <c r="BK5" s="40">
        <f>IF(VLOOKUP($B$2,Days_Since_100!$H:$KU,Projections_Data!BK$4+2,FALSE)=0,#N/A,VLOOKUP($B$2,Days_Since_100!$H:$KU,Projections_Data!BK$4+2,FALSE))</f>
        <v>213897</v>
      </c>
      <c r="BL5" s="40">
        <f>IF(VLOOKUP($B$2,Days_Since_100!$H:$KU,Projections_Data!BL$4+2,FALSE)=0,#N/A,VLOOKUP($B$2,Days_Since_100!$H:$KU,Projections_Data!BL$4+2,FALSE))</f>
        <v>242053</v>
      </c>
      <c r="BM5" s="40">
        <f>IF(VLOOKUP($B$2,Days_Since_100!$H:$KU,Projections_Data!BM$4+2,FALSE)=0,#N/A,VLOOKUP($B$2,Days_Since_100!$H:$KU,Projections_Data!BM$4+2,FALSE))</f>
        <v>270949</v>
      </c>
      <c r="BN5" s="40">
        <f>IF(VLOOKUP($B$2,Days_Since_100!$H:$KU,Projections_Data!BN$4+2,FALSE)=0,#N/A,VLOOKUP($B$2,Days_Since_100!$H:$KU,Projections_Data!BN$4+2,FALSE))</f>
        <v>303183</v>
      </c>
      <c r="BO5" s="40">
        <f>IF(VLOOKUP($B$2,Days_Since_100!$H:$KU,Projections_Data!BO$4+2,FALSE)=0,#N/A,VLOOKUP($B$2,Days_Since_100!$H:$KU,Projections_Data!BO$4+2,FALSE))</f>
        <v>335631</v>
      </c>
      <c r="BP5" s="40">
        <f>IF(VLOOKUP($B$2,Days_Since_100!$H:$KU,Projections_Data!BP$4+2,FALSE)=0,#N/A,VLOOKUP($B$2,Days_Since_100!$H:$KU,Projections_Data!BP$4+2,FALSE))</f>
        <v>376812</v>
      </c>
      <c r="BQ5" s="40">
        <f>IF(VLOOKUP($B$2,Days_Since_100!$H:$KU,Projections_Data!BQ$4+2,FALSE)=0,#N/A,VLOOKUP($B$2,Days_Since_100!$H:$KU,Projections_Data!BQ$4+2,FALSE))</f>
        <v>416496</v>
      </c>
      <c r="BR5" s="40">
        <f>IF(VLOOKUP($B$2,Days_Since_100!$H:$KU,Projections_Data!BR$4+2,FALSE)=0,#N/A,VLOOKUP($B$2,Days_Since_100!$H:$KU,Projections_Data!BR$4+2,FALSE))</f>
        <v>465942</v>
      </c>
      <c r="BS5" s="40">
        <f>IF(VLOOKUP($B$2,Days_Since_100!$H:$KU,Projections_Data!BS$4+2,FALSE)=0,#N/A,VLOOKUP($B$2,Days_Since_100!$H:$KU,Projections_Data!BS$4+2,FALSE))</f>
        <v>527572</v>
      </c>
      <c r="BT5" s="40">
        <f>IF(VLOOKUP($B$2,Days_Since_100!$H:$KU,Projections_Data!BT$4+2,FALSE)=0,#N/A,VLOOKUP($B$2,Days_Since_100!$H:$KU,Projections_Data!BT$4+2,FALSE))</f>
        <v>591115</v>
      </c>
      <c r="BU5" s="40">
        <f>IF(VLOOKUP($B$2,Days_Since_100!$H:$KU,Projections_Data!BU$4+2,FALSE)=0,#N/A,VLOOKUP($B$2,Days_Since_100!$H:$KU,Projections_Data!BU$4+2,FALSE))</f>
        <v>658374</v>
      </c>
      <c r="BV5" s="40">
        <f>IF(VLOOKUP($B$2,Days_Since_100!$H:$KU,Projections_Data!BV$4+2,FALSE)=0,#N/A,VLOOKUP($B$2,Days_Since_100!$H:$KU,Projections_Data!BV$4+2,FALSE))</f>
        <v>717548</v>
      </c>
      <c r="BW5" s="40">
        <f>IF(VLOOKUP($B$2,Days_Since_100!$H:$KU,Projections_Data!BW$4+2,FALSE)=0,#N/A,VLOOKUP($B$2,Days_Since_100!$H:$KU,Projections_Data!BW$4+2,FALSE))</f>
        <v>779657</v>
      </c>
      <c r="BX5" s="40">
        <f>IF(VLOOKUP($B$2,Days_Since_100!$H:$KU,Projections_Data!BX$4+2,FALSE)=0,#N/A,VLOOKUP($B$2,Days_Since_100!$H:$KU,Projections_Data!BX$4+2,FALSE))</f>
        <v>854558</v>
      </c>
      <c r="BY5" s="40">
        <f>IF(VLOOKUP($B$2,Days_Since_100!$H:$KU,Projections_Data!BY$4+2,FALSE)=0,#N/A,VLOOKUP($B$2,Days_Since_100!$H:$KU,Projections_Data!BY$4+2,FALSE))</f>
        <v>929458</v>
      </c>
      <c r="BZ5" s="40">
        <f>IF(VLOOKUP($B$2,Days_Since_100!$H:$KU,Projections_Data!BZ$4+2,FALSE)=0,#N/A,VLOOKUP($B$2,Days_Since_100!$H:$KU,Projections_Data!BZ$4+2,FALSE))</f>
        <v>1009785</v>
      </c>
      <c r="CA5" s="40">
        <f>IF(VLOOKUP($B$2,Days_Since_100!$H:$KU,Projections_Data!CA$4+2,FALSE)=0,#N/A,VLOOKUP($B$2,Days_Since_100!$H:$KU,Projections_Data!CA$4+2,FALSE))</f>
        <v>1092307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662034</v>
      </c>
      <c r="D6" s="42">
        <v>0.02</v>
      </c>
      <c r="F6" s="19" t="s">
        <v>582</v>
      </c>
      <c r="G6" s="40">
        <f ca="1">IF(Projections_Data!G$4+2-$C$9&lt;2,#N/A,IF(VLOOKUP($B$2,Deaths_since_10!$H:$KU,Projections_Data!G$4+2-$C$9,FALSE)=0,#N/A,VLOOKUP($B$2,Deaths_since_10!$H:$KU,Projections_Data!G$4+2-$C$9,FALSE)))</f>
        <v>17</v>
      </c>
      <c r="H6" s="40">
        <f ca="1">IF(Projections_Data!H$4+2-$C$9&lt;2,#N/A,IF(VLOOKUP($B$2,Deaths_since_10!$H:$KU,Projections_Data!H$4+2-$C$9,FALSE)=0,#N/A,VLOOKUP($B$2,Deaths_since_10!$H:$KU,Projections_Data!H$4+2-$C$9,FALSE)))</f>
        <v>18</v>
      </c>
      <c r="I6" s="40">
        <f ca="1">IF(Projections_Data!I$4+2-$C$9&lt;2,#N/A,IF(VLOOKUP($B$2,Deaths_since_10!$H:$KU,Projections_Data!I$4+2-$C$9,FALSE)=0,#N/A,VLOOKUP($B$2,Deaths_since_10!$H:$KU,Projections_Data!I$4+2-$C$9,FALSE)))</f>
        <v>26</v>
      </c>
      <c r="J6" s="40">
        <f ca="1">IF(Projections_Data!J$4+2-$C$9&lt;2,#N/A,IF(VLOOKUP($B$2,Deaths_since_10!$H:$KU,Projections_Data!J$4+2-$C$9,FALSE)=0,#N/A,VLOOKUP($B$2,Deaths_since_10!$H:$KU,Projections_Data!J$4+2-$C$9,FALSE)))</f>
        <v>42</v>
      </c>
      <c r="K6" s="40">
        <f ca="1">IF(Projections_Data!K$4+2-$C$9&lt;2,#N/A,IF(VLOOKUP($B$2,Deaths_since_10!$H:$KU,Projections_Data!K$4+2-$C$9,FALSE)=0,#N/A,VLOOKUP($B$2,Deaths_since_10!$H:$KU,Projections_Data!K$4+2-$C$9,FALSE)))</f>
        <v>56</v>
      </c>
      <c r="L6" s="40">
        <f ca="1">IF(Projections_Data!L$4+2-$C$9&lt;2,#N/A,IF(VLOOKUP($B$2,Deaths_since_10!$H:$KU,Projections_Data!L$4+2-$C$9,FALSE)=0,#N/A,VLOOKUP($B$2,Deaths_since_10!$H:$KU,Projections_Data!L$4+2-$C$9,FALSE)))</f>
        <v>82</v>
      </c>
      <c r="M6" s="40">
        <f ca="1">IF(Projections_Data!M$4+2-$C$9&lt;2,#N/A,IF(VLOOKUP($B$2,Deaths_since_10!$H:$KU,Projections_Data!M$4+2-$C$9,FALSE)=0,#N/A,VLOOKUP($B$2,Deaths_since_10!$H:$KU,Projections_Data!M$4+2-$C$9,FALSE)))</f>
        <v>131</v>
      </c>
      <c r="N6" s="40">
        <f ca="1">IF(Projections_Data!N$4+2-$C$9&lt;2,#N/A,IF(VLOOKUP($B$2,Deaths_since_10!$H:$KU,Projections_Data!N$4+2-$C$9,FALSE)=0,#N/A,VLOOKUP($B$2,Deaths_since_10!$H:$KU,Projections_Data!N$4+2-$C$9,FALSE)))</f>
        <v>133</v>
      </c>
      <c r="O6" s="40">
        <f ca="1">IF(Projections_Data!O$4+2-$C$9&lt;2,#N/A,IF(VLOOKUP($B$2,Deaths_since_10!$H:$KU,Projections_Data!O$4+2-$C$9,FALSE)=0,#N/A,VLOOKUP($B$2,Deaths_since_10!$H:$KU,Projections_Data!O$4+2-$C$9,FALSE)))</f>
        <v>171</v>
      </c>
      <c r="P6" s="40">
        <f ca="1">IF(Projections_Data!P$4+2-$C$9&lt;2,#N/A,IF(VLOOKUP($B$2,Deaths_since_10!$H:$KU,Projections_Data!P$4+2-$C$9,FALSE)=0,#N/A,VLOOKUP($B$2,Deaths_since_10!$H:$KU,Projections_Data!P$4+2-$C$9,FALSE)))</f>
        <v>213</v>
      </c>
      <c r="Q6" s="40">
        <f ca="1">IF(Projections_Data!Q$4+2-$C$9&lt;2,#N/A,IF(VLOOKUP($B$2,Deaths_since_10!$H:$KU,Projections_Data!Q$4+2-$C$9,FALSE)=0,#N/A,VLOOKUP($B$2,Deaths_since_10!$H:$KU,Projections_Data!Q$4+2-$C$9,FALSE)))</f>
        <v>259</v>
      </c>
      <c r="R6" s="40">
        <f ca="1">IF(Projections_Data!R$4+2-$C$9&lt;2,#N/A,IF(VLOOKUP($B$2,Deaths_since_10!$H:$KU,Projections_Data!R$4+2-$C$9,FALSE)=0,#N/A,VLOOKUP($B$2,Deaths_since_10!$H:$KU,Projections_Data!R$4+2-$C$9,FALSE)))</f>
        <v>362</v>
      </c>
      <c r="S6" s="40">
        <f ca="1">IF(Projections_Data!S$4+2-$C$9&lt;2,#N/A,IF(VLOOKUP($B$2,Deaths_since_10!$H:$KU,Projections_Data!S$4+2-$C$9,FALSE)=0,#N/A,VLOOKUP($B$2,Deaths_since_10!$H:$KU,Projections_Data!S$4+2-$C$9,FALSE)))</f>
        <v>426</v>
      </c>
      <c r="T6" s="40">
        <f ca="1">IF(Projections_Data!T$4+2-$C$9&lt;2,#N/A,IF(VLOOKUP($B$2,Deaths_since_10!$H:$KU,Projections_Data!T$4+2-$C$9,FALSE)=0,#N/A,VLOOKUP($B$2,Deaths_since_10!$H:$KU,Projections_Data!T$4+2-$C$9,FALSE)))</f>
        <v>492</v>
      </c>
      <c r="U6" s="40">
        <f ca="1">IF(Projections_Data!U$4+2-$C$9&lt;2,#N/A,IF(VLOOKUP($B$2,Deaths_since_10!$H:$KU,Projections_Data!U$4+2-$C$9,FALSE)=0,#N/A,VLOOKUP($B$2,Deaths_since_10!$H:$KU,Projections_Data!U$4+2-$C$9,FALSE)))</f>
        <v>564</v>
      </c>
      <c r="V6" s="40">
        <f ca="1">IF(Projections_Data!V$4+2-$C$9&lt;2,#N/A,IF(VLOOKUP($B$2,Deaths_since_10!$H:$KU,Projections_Data!V$4+2-$C$9,FALSE)=0,#N/A,VLOOKUP($B$2,Deaths_since_10!$H:$KU,Projections_Data!V$4+2-$C$9,FALSE)))</f>
        <v>634</v>
      </c>
      <c r="W6" s="40">
        <f ca="1">IF(Projections_Data!W$4+2-$C$9&lt;2,#N/A,IF(VLOOKUP($B$2,Deaths_since_10!$H:$KU,Projections_Data!W$4+2-$C$9,FALSE)=0,#N/A,VLOOKUP($B$2,Deaths_since_10!$H:$KU,Projections_Data!W$4+2-$C$9,FALSE)))</f>
        <v>719</v>
      </c>
      <c r="X6" s="40">
        <f ca="1">IF(Projections_Data!X$4+2-$C$9&lt;2,#N/A,IF(VLOOKUP($B$2,Deaths_since_10!$H:$KU,Projections_Data!X$4+2-$C$9,FALSE)=0,#N/A,VLOOKUP($B$2,Deaths_since_10!$H:$KU,Projections_Data!X$4+2-$C$9,FALSE)))</f>
        <v>806</v>
      </c>
      <c r="Y6" s="40">
        <f ca="1">IF(Projections_Data!Y$4+2-$C$9&lt;2,#N/A,IF(VLOOKUP($B$2,Deaths_since_10!$H:$KU,Projections_Data!Y$4+2-$C$9,FALSE)=0,#N/A,VLOOKUP($B$2,Deaths_since_10!$H:$KU,Projections_Data!Y$4+2-$C$9,FALSE)))</f>
        <v>906</v>
      </c>
      <c r="Z6" s="40">
        <f ca="1">IF(Projections_Data!Z$4+2-$C$9&lt;2,#N/A,IF(VLOOKUP($B$2,Deaths_since_10!$H:$KU,Projections_Data!Z$4+2-$C$9,FALSE)=0,#N/A,VLOOKUP($B$2,Deaths_since_10!$H:$KU,Projections_Data!Z$4+2-$C$9,FALSE)))</f>
        <v>1013</v>
      </c>
      <c r="AA6" s="40">
        <f ca="1">IF(Projections_Data!AA$4+2-$C$9&lt;2,#N/A,IF(VLOOKUP($B$2,Deaths_since_10!$H:$KU,Projections_Data!AA$4+2-$C$9,FALSE)=0,#N/A,VLOOKUP($B$2,Deaths_since_10!$H:$KU,Projections_Data!AA$4+2-$C$9,FALSE)))</f>
        <v>1113</v>
      </c>
      <c r="AB6" s="40">
        <f ca="1">IF(Projections_Data!AB$4+2-$C$9&lt;2,#N/A,IF(VLOOKUP($B$2,Deaths_since_10!$H:$KU,Projections_Data!AB$4+2-$C$9,FALSE)=0,#N/A,VLOOKUP($B$2,Deaths_since_10!$H:$KU,Projections_Data!AB$4+2-$C$9,FALSE)))</f>
        <v>1118</v>
      </c>
      <c r="AC6" s="40">
        <f ca="1">IF(Projections_Data!AC$4+2-$C$9&lt;2,#N/A,IF(VLOOKUP($B$2,Deaths_since_10!$H:$KU,Projections_Data!AC$4+2-$C$9,FALSE)=0,#N/A,VLOOKUP($B$2,Deaths_since_10!$H:$KU,Projections_Data!AC$4+2-$C$9,FALSE)))</f>
        <v>1371</v>
      </c>
      <c r="AD6" s="40">
        <f ca="1">IF(Projections_Data!AD$4+2-$C$9&lt;2,#N/A,IF(VLOOKUP($B$2,Deaths_since_10!$H:$KU,Projections_Data!AD$4+2-$C$9,FALSE)=0,#N/A,VLOOKUP($B$2,Deaths_since_10!$H:$KU,Projections_Data!AD$4+2-$C$9,FALSE)))</f>
        <v>1523</v>
      </c>
      <c r="AE6" s="40">
        <f ca="1">IF(Projections_Data!AE$4+2-$C$9&lt;2,#N/A,IF(VLOOKUP($B$2,Deaths_since_10!$H:$KU,Projections_Data!AE$4+2-$C$9,FALSE)=0,#N/A,VLOOKUP($B$2,Deaths_since_10!$H:$KU,Projections_Data!AE$4+2-$C$9,FALSE)))</f>
        <v>1666</v>
      </c>
      <c r="AF6" s="40">
        <f ca="1">IF(Projections_Data!AF$4+2-$C$9&lt;2,#N/A,IF(VLOOKUP($B$2,Deaths_since_10!$H:$KU,Projections_Data!AF$4+2-$C$9,FALSE)=0,#N/A,VLOOKUP($B$2,Deaths_since_10!$H:$KU,Projections_Data!AF$4+2-$C$9,FALSE)))</f>
        <v>1770</v>
      </c>
      <c r="AG6" s="40">
        <f ca="1">IF(Projections_Data!AG$4+2-$C$9&lt;2,#N/A,IF(VLOOKUP($B$2,Deaths_since_10!$H:$KU,Projections_Data!AG$4+2-$C$9,FALSE)=0,#N/A,VLOOKUP($B$2,Deaths_since_10!$H:$KU,Projections_Data!AG$4+2-$C$9,FALSE)))</f>
        <v>1868</v>
      </c>
      <c r="AH6" s="40">
        <f ca="1">IF(Projections_Data!AH$4+2-$C$9&lt;2,#N/A,IF(VLOOKUP($B$2,Deaths_since_10!$H:$KU,Projections_Data!AH$4+2-$C$9,FALSE)=0,#N/A,VLOOKUP($B$2,Deaths_since_10!$H:$KU,Projections_Data!AH$4+2-$C$9,FALSE)))</f>
        <v>2007</v>
      </c>
      <c r="AI6" s="40">
        <f ca="1">IF(Projections_Data!AI$4+2-$C$9&lt;2,#N/A,IF(VLOOKUP($B$2,Deaths_since_10!$H:$KU,Projections_Data!AI$4+2-$C$9,FALSE)=0,#N/A,VLOOKUP($B$2,Deaths_since_10!$H:$KU,Projections_Data!AI$4+2-$C$9,FALSE)))</f>
        <v>2122</v>
      </c>
      <c r="AJ6" s="40">
        <f ca="1">IF(Projections_Data!AJ$4+2-$C$9&lt;2,#N/A,IF(VLOOKUP($B$2,Deaths_since_10!$H:$KU,Projections_Data!AJ$4+2-$C$9,FALSE)=0,#N/A,VLOOKUP($B$2,Deaths_since_10!$H:$KU,Projections_Data!AJ$4+2-$C$9,FALSE)))</f>
        <v>2245</v>
      </c>
      <c r="AK6" s="40">
        <f ca="1">IF(Projections_Data!AK$4+2-$C$9&lt;2,#N/A,IF(VLOOKUP($B$2,Deaths_since_10!$H:$KU,Projections_Data!AK$4+2-$C$9,FALSE)=0,#N/A,VLOOKUP($B$2,Deaths_since_10!$H:$KU,Projections_Data!AK$4+2-$C$9,FALSE)))</f>
        <v>2249</v>
      </c>
      <c r="AL6" s="40">
        <f ca="1">IF(Projections_Data!AL$4+2-$C$9&lt;2,#N/A,IF(VLOOKUP($B$2,Deaths_since_10!$H:$KU,Projections_Data!AL$4+2-$C$9,FALSE)=0,#N/A,VLOOKUP($B$2,Deaths_since_10!$H:$KU,Projections_Data!AL$4+2-$C$9,FALSE)))</f>
        <v>2456</v>
      </c>
      <c r="AM6" s="40">
        <f ca="1">IF(Projections_Data!AM$4+2-$C$9&lt;2,#N/A,IF(VLOOKUP($B$2,Deaths_since_10!$H:$KU,Projections_Data!AM$4+2-$C$9,FALSE)=0,#N/A,VLOOKUP($B$2,Deaths_since_10!$H:$KU,Projections_Data!AM$4+2-$C$9,FALSE)))</f>
        <v>2466</v>
      </c>
      <c r="AN6" s="40">
        <f ca="1">IF(Projections_Data!AN$4+2-$C$9&lt;2,#N/A,IF(VLOOKUP($B$2,Deaths_since_10!$H:$KU,Projections_Data!AN$4+2-$C$9,FALSE)=0,#N/A,VLOOKUP($B$2,Deaths_since_10!$H:$KU,Projections_Data!AN$4+2-$C$9,FALSE)))</f>
        <v>2626</v>
      </c>
      <c r="AO6" s="40">
        <f ca="1">IF(Projections_Data!AO$4+2-$C$9&lt;2,#N/A,IF(VLOOKUP($B$2,Deaths_since_10!$H:$KU,Projections_Data!AO$4+2-$C$9,FALSE)=0,#N/A,VLOOKUP($B$2,Deaths_since_10!$H:$KU,Projections_Data!AO$4+2-$C$9,FALSE)))</f>
        <v>2705</v>
      </c>
      <c r="AP6" s="40">
        <f ca="1">IF(Projections_Data!AP$4+2-$C$9&lt;2,#N/A,IF(VLOOKUP($B$2,Deaths_since_10!$H:$KU,Projections_Data!AP$4+2-$C$9,FALSE)=0,#N/A,VLOOKUP($B$2,Deaths_since_10!$H:$KU,Projections_Data!AP$4+2-$C$9,FALSE)))</f>
        <v>2766</v>
      </c>
      <c r="AQ6" s="40">
        <f ca="1">IF(Projections_Data!AQ$4+2-$C$9&lt;2,#N/A,IF(VLOOKUP($B$2,Deaths_since_10!$H:$KU,Projections_Data!AQ$4+2-$C$9,FALSE)=0,#N/A,VLOOKUP($B$2,Deaths_since_10!$H:$KU,Projections_Data!AQ$4+2-$C$9,FALSE)))</f>
        <v>2810</v>
      </c>
      <c r="AR6" s="40">
        <f ca="1">IF(Projections_Data!AR$4+2-$C$9&lt;2,#N/A,IF(VLOOKUP($B$2,Deaths_since_10!$H:$KU,Projections_Data!AR$4+2-$C$9,FALSE)=0,#N/A,VLOOKUP($B$2,Deaths_since_10!$H:$KU,Projections_Data!AR$4+2-$C$9,FALSE)))</f>
        <v>2866</v>
      </c>
      <c r="AS6" s="40">
        <f ca="1">IF(Projections_Data!AS$4+2-$C$9&lt;2,#N/A,IF(VLOOKUP($B$2,Deaths_since_10!$H:$KU,Projections_Data!AS$4+2-$C$9,FALSE)=0,#N/A,VLOOKUP($B$2,Deaths_since_10!$H:$KU,Projections_Data!AS$4+2-$C$9,FALSE)))</f>
        <v>2935</v>
      </c>
      <c r="AT6" s="40">
        <f ca="1">IF(Projections_Data!AT$4+2-$C$9&lt;2,#N/A,IF(VLOOKUP($B$2,Deaths_since_10!$H:$KU,Projections_Data!AT$4+2-$C$9,FALSE)=0,#N/A,VLOOKUP($B$2,Deaths_since_10!$H:$KU,Projections_Data!AT$4+2-$C$9,FALSE)))</f>
        <v>2990</v>
      </c>
      <c r="AU6" s="40">
        <f ca="1">IF(Projections_Data!AU$4+2-$C$9&lt;2,#N/A,IF(VLOOKUP($B$2,Deaths_since_10!$H:$KU,Projections_Data!AU$4+2-$C$9,FALSE)=0,#N/A,VLOOKUP($B$2,Deaths_since_10!$H:$KU,Projections_Data!AU$4+2-$C$9,FALSE)))</f>
        <v>3079</v>
      </c>
      <c r="AV6" s="40">
        <f ca="1">IF(Projections_Data!AV$4+2-$C$9&lt;2,#N/A,IF(VLOOKUP($B$2,Deaths_since_10!$H:$KU,Projections_Data!AV$4+2-$C$9,FALSE)=0,#N/A,VLOOKUP($B$2,Deaths_since_10!$H:$KU,Projections_Data!AV$4+2-$C$9,FALSE)))</f>
        <v>3154</v>
      </c>
      <c r="AW6" s="40">
        <f ca="1">IF(Projections_Data!AW$4+2-$C$9&lt;2,#N/A,IF(VLOOKUP($B$2,Deaths_since_10!$H:$KU,Projections_Data!AW$4+2-$C$9,FALSE)=0,#N/A,VLOOKUP($B$2,Deaths_since_10!$H:$KU,Projections_Data!AW$4+2-$C$9,FALSE)))</f>
        <v>3248</v>
      </c>
      <c r="AX6" s="40">
        <f ca="1">IF(Projections_Data!AX$4+2-$C$9&lt;2,#N/A,IF(VLOOKUP($B$2,Deaths_since_10!$H:$KU,Projections_Data!AX$4+2-$C$9,FALSE)=0,#N/A,VLOOKUP($B$2,Deaths_since_10!$H:$KU,Projections_Data!AX$4+2-$C$9,FALSE)))</f>
        <v>3342</v>
      </c>
      <c r="AY6" s="40">
        <f ca="1">IF(Projections_Data!AY$4+2-$C$9&lt;2,#N/A,IF(VLOOKUP($B$2,Deaths_since_10!$H:$KU,Projections_Data!AY$4+2-$C$9,FALSE)=0,#N/A,VLOOKUP($B$2,Deaths_since_10!$H:$KU,Projections_Data!AY$4+2-$C$9,FALSE)))</f>
        <v>3454</v>
      </c>
      <c r="AZ6" s="40">
        <f ca="1">IF(Projections_Data!AZ$4+2-$C$9&lt;2,#N/A,IF(VLOOKUP($B$2,Deaths_since_10!$H:$KU,Projections_Data!AZ$4+2-$C$9,FALSE)=0,#N/A,VLOOKUP($B$2,Deaths_since_10!$H:$KU,Projections_Data!AZ$4+2-$C$9,FALSE)))</f>
        <v>3552</v>
      </c>
      <c r="BA6" s="40">
        <f ca="1">IF(Projections_Data!BA$4+2-$C$9&lt;2,#N/A,IF(VLOOKUP($B$2,Deaths_since_10!$H:$KU,Projections_Data!BA$4+2-$C$9,FALSE)=0,#N/A,VLOOKUP($B$2,Deaths_since_10!$H:$KU,Projections_Data!BA$4+2-$C$9,FALSE)))</f>
        <v>3796</v>
      </c>
      <c r="BB6" s="40">
        <f ca="1">IF(Projections_Data!BB$4+2-$C$9&lt;2,#N/A,IF(VLOOKUP($B$2,Deaths_since_10!$H:$KU,Projections_Data!BB$4+2-$C$9,FALSE)=0,#N/A,VLOOKUP($B$2,Deaths_since_10!$H:$KU,Projections_Data!BB$4+2-$C$9,FALSE)))</f>
        <v>3982</v>
      </c>
      <c r="BC6" s="40">
        <f ca="1">IF(Projections_Data!BC$4+2-$C$9&lt;2,#N/A,IF(VLOOKUP($B$2,Deaths_since_10!$H:$KU,Projections_Data!BC$4+2-$C$9,FALSE)=0,#N/A,VLOOKUP($B$2,Deaths_since_10!$H:$KU,Projections_Data!BC$4+2-$C$9,FALSE)))</f>
        <v>4256</v>
      </c>
      <c r="BD6" s="40">
        <f ca="1">IF(Projections_Data!BD$4+2-$C$9&lt;2,#N/A,IF(VLOOKUP($B$2,Deaths_since_10!$H:$KU,Projections_Data!BD$4+2-$C$9,FALSE)=0,#N/A,VLOOKUP($B$2,Deaths_since_10!$H:$KU,Projections_Data!BD$4+2-$C$9,FALSE)))</f>
        <v>4608</v>
      </c>
      <c r="BE6" s="40">
        <f ca="1">IF(Projections_Data!BE$4+2-$C$9&lt;2,#N/A,IF(VLOOKUP($B$2,Deaths_since_10!$H:$KU,Projections_Data!BE$4+2-$C$9,FALSE)=0,#N/A,VLOOKUP($B$2,Deaths_since_10!$H:$KU,Projections_Data!BE$4+2-$C$9,FALSE)))</f>
        <v>4948</v>
      </c>
      <c r="BF6" s="40">
        <f ca="1">IF(Projections_Data!BF$4+2-$C$9&lt;2,#N/A,IF(VLOOKUP($B$2,Deaths_since_10!$H:$KU,Projections_Data!BF$4+2-$C$9,FALSE)=0,#N/A,VLOOKUP($B$2,Deaths_since_10!$H:$KU,Projections_Data!BF$4+2-$C$9,FALSE)))</f>
        <v>5400</v>
      </c>
      <c r="BG6" s="40">
        <f ca="1">IF(Projections_Data!BG$4+2-$C$9&lt;2,#N/A,IF(VLOOKUP($B$2,Deaths_since_10!$H:$KU,Projections_Data!BG$4+2-$C$9,FALSE)=0,#N/A,VLOOKUP($B$2,Deaths_since_10!$H:$KU,Projections_Data!BG$4+2-$C$9,FALSE)))</f>
        <v>5812</v>
      </c>
      <c r="BH6" s="40">
        <f ca="1">IF(Projections_Data!BH$4+2-$C$9&lt;2,#N/A,IF(VLOOKUP($B$2,Deaths_since_10!$H:$KU,Projections_Data!BH$4+2-$C$9,FALSE)=0,#N/A,VLOOKUP($B$2,Deaths_since_10!$H:$KU,Projections_Data!BH$4+2-$C$9,FALSE)))</f>
        <v>6483</v>
      </c>
      <c r="BI6" s="40">
        <f ca="1">IF(Projections_Data!BI$4+2-$C$9&lt;2,#N/A,IF(VLOOKUP($B$2,Deaths_since_10!$H:$KU,Projections_Data!BI$4+2-$C$9,FALSE)=0,#N/A,VLOOKUP($B$2,Deaths_since_10!$H:$KU,Projections_Data!BI$4+2-$C$9,FALSE)))</f>
        <v>7118</v>
      </c>
      <c r="BJ6" s="40">
        <f ca="1">IF(Projections_Data!BJ$4+2-$C$9&lt;2,#N/A,IF(VLOOKUP($B$2,Deaths_since_10!$H:$KU,Projections_Data!BJ$4+2-$C$9,FALSE)=0,#N/A,VLOOKUP($B$2,Deaths_since_10!$H:$KU,Projections_Data!BJ$4+2-$C$9,FALSE)))</f>
        <v>7938</v>
      </c>
      <c r="BK6" s="40">
        <f ca="1">IF(Projections_Data!BK$4+2-$C$9&lt;2,#N/A,IF(VLOOKUP($B$2,Deaths_since_10!$H:$KU,Projections_Data!BK$4+2-$C$9,FALSE)=0,#N/A,VLOOKUP($B$2,Deaths_since_10!$H:$KU,Projections_Data!BK$4+2-$C$9,FALSE)))</f>
        <v>8872</v>
      </c>
      <c r="BL6" s="40">
        <f ca="1">IF(Projections_Data!BL$4+2-$C$9&lt;2,#N/A,IF(VLOOKUP($B$2,Deaths_since_10!$H:$KU,Projections_Data!BL$4+2-$C$9,FALSE)=0,#N/A,VLOOKUP($B$2,Deaths_since_10!$H:$KU,Projections_Data!BL$4+2-$C$9,FALSE)))</f>
        <v>9987</v>
      </c>
      <c r="BM6" s="40">
        <f ca="1">IF(Projections_Data!BM$4+2-$C$9&lt;2,#N/A,IF(VLOOKUP($B$2,Deaths_since_10!$H:$KU,Projections_Data!BM$4+2-$C$9,FALSE)=0,#N/A,VLOOKUP($B$2,Deaths_since_10!$H:$KU,Projections_Data!BM$4+2-$C$9,FALSE)))</f>
        <v>11290</v>
      </c>
      <c r="BN6" s="40">
        <f ca="1">IF(Projections_Data!BN$4+2-$C$9&lt;2,#N/A,IF(VLOOKUP($B$2,Deaths_since_10!$H:$KU,Projections_Data!BN$4+2-$C$9,FALSE)=0,#N/A,VLOOKUP($B$2,Deaths_since_10!$H:$KU,Projections_Data!BN$4+2-$C$9,FALSE)))</f>
        <v>12961</v>
      </c>
      <c r="BO6" s="40">
        <f ca="1">IF(Projections_Data!BO$4+2-$C$9&lt;2,#N/A,IF(VLOOKUP($B$2,Deaths_since_10!$H:$KU,Projections_Data!BO$4+2-$C$9,FALSE)=0,#N/A,VLOOKUP($B$2,Deaths_since_10!$H:$KU,Projections_Data!BO$4+2-$C$9,FALSE)))</f>
        <v>14638</v>
      </c>
      <c r="BP6" s="40">
        <f ca="1">IF(Projections_Data!BP$4+2-$C$9&lt;2,#N/A,IF(VLOOKUP($B$2,Deaths_since_10!$H:$KU,Projections_Data!BP$4+2-$C$9,FALSE)=0,#N/A,VLOOKUP($B$2,Deaths_since_10!$H:$KU,Projections_Data!BP$4+2-$C$9,FALSE)))</f>
        <v>16488</v>
      </c>
      <c r="BQ6" s="40">
        <f ca="1">IF(Projections_Data!BQ$4+2-$C$9&lt;2,#N/A,IF(VLOOKUP($B$2,Deaths_since_10!$H:$KU,Projections_Data!BQ$4+2-$C$9,FALSE)=0,#N/A,VLOOKUP($B$2,Deaths_since_10!$H:$KU,Projections_Data!BQ$4+2-$C$9,FALSE)))</f>
        <v>18605</v>
      </c>
      <c r="BR6" s="40">
        <f ca="1">IF(Projections_Data!BR$4+2-$C$9&lt;2,#N/A,IF(VLOOKUP($B$2,Deaths_since_10!$H:$KU,Projections_Data!BR$4+2-$C$9,FALSE)=0,#N/A,VLOOKUP($B$2,Deaths_since_10!$H:$KU,Projections_Data!BR$4+2-$C$9,FALSE)))</f>
        <v>21157</v>
      </c>
      <c r="BS6" s="40">
        <f ca="1">IF(Projections_Data!BS$4+2-$C$9&lt;2,#N/A,IF(VLOOKUP($B$2,Deaths_since_10!$H:$KU,Projections_Data!BS$4+2-$C$9,FALSE)=0,#N/A,VLOOKUP($B$2,Deaths_since_10!$H:$KU,Projections_Data!BS$4+2-$C$9,FALSE)))</f>
        <v>23944</v>
      </c>
      <c r="BT6" s="40">
        <f ca="1">IF(Projections_Data!BT$4+2-$C$9&lt;2,#N/A,IF(VLOOKUP($B$2,Deaths_since_10!$H:$KU,Projections_Data!BT$4+2-$C$9,FALSE)=0,#N/A,VLOOKUP($B$2,Deaths_since_10!$H:$KU,Projections_Data!BT$4+2-$C$9,FALSE)))</f>
        <v>27168</v>
      </c>
      <c r="BU6" s="40">
        <f ca="1">IF(Projections_Data!BU$4+2-$C$9&lt;2,#N/A,IF(VLOOKUP($B$2,Deaths_since_10!$H:$KU,Projections_Data!BU$4+2-$C$9,FALSE)=0,#N/A,VLOOKUP($B$2,Deaths_since_10!$H:$KU,Projections_Data!BU$4+2-$C$9,FALSE)))</f>
        <v>30618</v>
      </c>
      <c r="BV6" s="40">
        <f ca="1">IF(Projections_Data!BV$4+2-$C$9&lt;2,#N/A,IF(VLOOKUP($B$2,Deaths_since_10!$H:$KU,Projections_Data!BV$4+2-$C$9,FALSE)=0,#N/A,VLOOKUP($B$2,Deaths_since_10!$H:$KU,Projections_Data!BV$4+2-$C$9,FALSE)))</f>
        <v>33885</v>
      </c>
      <c r="BW6" s="40">
        <f ca="1">IF(Projections_Data!BW$4+2-$C$9&lt;2,#N/A,IF(VLOOKUP($B$2,Deaths_since_10!$H:$KU,Projections_Data!BW$4+2-$C$9,FALSE)=0,#N/A,VLOOKUP($B$2,Deaths_since_10!$H:$KU,Projections_Data!BW$4+2-$C$9,FALSE)))</f>
        <v>37536</v>
      </c>
      <c r="BX6" s="40">
        <f ca="1">IF(Projections_Data!BX$4+2-$C$9&lt;2,#N/A,IF(VLOOKUP($B$2,Deaths_since_10!$H:$KU,Projections_Data!BX$4+2-$C$9,FALSE)=0,#N/A,VLOOKUP($B$2,Deaths_since_10!$H:$KU,Projections_Data!BX$4+2-$C$9,FALSE)))</f>
        <v>42054</v>
      </c>
      <c r="BY6" s="40">
        <f ca="1">IF(Projections_Data!BY$4+2-$C$9&lt;2,#N/A,IF(VLOOKUP($B$2,Deaths_since_10!$H:$KU,Projections_Data!BY$4+2-$C$9,FALSE)=0,#N/A,VLOOKUP($B$2,Deaths_since_10!$H:$KU,Projections_Data!BY$4+2-$C$9,FALSE)))</f>
        <v>46745</v>
      </c>
      <c r="BZ6" s="40">
        <f ca="1">IF(Projections_Data!BZ$4+2-$C$9&lt;2,#N/A,IF(VLOOKUP($B$2,Deaths_since_10!$H:$KU,Projections_Data!BZ$4+2-$C$9,FALSE)=0,#N/A,VLOOKUP($B$2,Deaths_since_10!$H:$KU,Projections_Data!BZ$4+2-$C$9,FALSE)))</f>
        <v>52909</v>
      </c>
      <c r="CA6" s="40">
        <f ca="1">IF(Projections_Data!CA$4+2-$C$9&lt;2,#N/A,IF(VLOOKUP($B$2,Deaths_since_10!$H:$KU,Projections_Data!CA$4+2-$C$9,FALSE)=0,#N/A,VLOOKUP($B$2,Deaths_since_10!$H:$KU,Projections_Data!CA$4+2-$C$9,FALSE)))</f>
        <v>58708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371565</v>
      </c>
      <c r="F7" s="19" t="s">
        <v>587</v>
      </c>
      <c r="G7" s="40">
        <f ca="1">IFERROR((G5-F5)-(G6-F6),G5)</f>
        <v>555</v>
      </c>
      <c r="H7" s="40">
        <f ca="1">IFERROR((H5-G5)-(H6-G6),H5-G5)</f>
        <v>98</v>
      </c>
      <c r="I7" s="40">
        <f t="shared" ref="I7:O7" ca="1" si="11">IFERROR((I5-H5)-(I6-H6),I5-H5)</f>
        <v>279</v>
      </c>
      <c r="J7" s="40">
        <f t="shared" ca="1" si="11"/>
        <v>477</v>
      </c>
      <c r="K7" s="40">
        <f t="shared" ca="1" si="11"/>
        <v>670</v>
      </c>
      <c r="L7" s="40">
        <f t="shared" ca="1" si="11"/>
        <v>783</v>
      </c>
      <c r="M7" s="40">
        <f t="shared" ca="1" si="11"/>
        <v>2602</v>
      </c>
      <c r="N7" s="40">
        <f t="shared" ca="1" si="11"/>
        <v>586</v>
      </c>
      <c r="O7" s="40">
        <f t="shared" ca="1" si="11"/>
        <v>2030</v>
      </c>
      <c r="P7" s="40">
        <f t="shared" ref="P7" ca="1" si="12">IFERROR((P5-O5)-(P6-O6),P5-O5)</f>
        <v>1651</v>
      </c>
      <c r="Q7" s="40">
        <f ca="1">IFERROR((Q5-P5)-(Q6-P6),Q5-P5)</f>
        <v>2065</v>
      </c>
      <c r="R7" s="40">
        <f t="shared" ref="R7:T7" ca="1" si="13">IFERROR((R5-Q5)-(R6-Q6),R5-Q5)</f>
        <v>4646</v>
      </c>
      <c r="S7" s="40">
        <f t="shared" ca="1" si="13"/>
        <v>3030</v>
      </c>
      <c r="T7" s="40">
        <f t="shared" ca="1" si="13"/>
        <v>3945</v>
      </c>
      <c r="U7" s="40">
        <f t="shared" ref="U7" ca="1" si="14">IFERROR((U5-T5)-(U6-T6),U5-T5)</f>
        <v>3671</v>
      </c>
      <c r="V7" s="40">
        <f t="shared" ref="V7" ca="1" si="15">IFERROR((V5-U5)-(V6-U6),V5-U5)</f>
        <v>3089</v>
      </c>
      <c r="W7" s="40">
        <f t="shared" ref="W7" ca="1" si="16">IFERROR((W5-V5)-(W6-V6),W5-V5)</f>
        <v>3451</v>
      </c>
      <c r="X7" s="40">
        <f t="shared" ref="X7" ca="1" si="17">IFERROR((X5-W5)-(X6-W6),X5-W5)</f>
        <v>2642</v>
      </c>
      <c r="Y7" s="40">
        <f t="shared" ref="Y7" ca="1" si="18">IFERROR((Y5-X5)-(Y6-X6),Y5-X5)</f>
        <v>2927</v>
      </c>
      <c r="Z7" s="40">
        <f t="shared" ref="Z7" ca="1" si="19">IFERROR((Z5-Y5)-(Z6-Y6),Z5-Y5)</f>
        <v>2434</v>
      </c>
      <c r="AA7" s="40">
        <f t="shared" ref="AA7" ca="1" si="20">IFERROR((AA5-Z5)-(AA6-Z6),AA5-Z5)</f>
        <v>1940</v>
      </c>
      <c r="AB7" s="40">
        <f t="shared" ref="AB7" ca="1" si="21">IFERROR((AB5-AA5)-(AB6-AA6),AB5-AA5)</f>
        <v>5615</v>
      </c>
      <c r="AC7" s="40">
        <f t="shared" ref="AC7" ca="1" si="22">IFERROR((AC5-AB5)-(AC6-AB6),AC5-AB5)</f>
        <v>9653</v>
      </c>
      <c r="AD7" s="40">
        <f t="shared" ref="AD7" ca="1" si="23">IFERROR((AD5-AC5)-(AD6-AC6),AD5-AC5)</f>
        <v>6322</v>
      </c>
      <c r="AE7" s="40">
        <f t="shared" ref="AE7" ca="1" si="24">IFERROR((AE5-AD5)-(AE6-AD6),AE5-AD5)</f>
        <v>1935</v>
      </c>
      <c r="AF7" s="40">
        <f t="shared" ref="AF7" ca="1" si="25">IFERROR((AF5-AE5)-(AF6-AE6),AF5-AE5)</f>
        <v>2020</v>
      </c>
      <c r="AG7" s="40">
        <f t="shared" ref="AG7" ca="1" si="26">IFERROR((AG5-AF5)-(AG6-AF6),AG5-AF5)</f>
        <v>1837</v>
      </c>
      <c r="AH7" s="40">
        <f t="shared" ref="AH7" ca="1" si="27">IFERROR((AH5-AG5)-(AH6-AG6),AH5-AG5)</f>
        <v>1651</v>
      </c>
      <c r="AI7" s="40">
        <f t="shared" ref="AI7" ca="1" si="28">IFERROR((AI5-AH5)-(AI6-AH6),AI5-AH5)</f>
        <v>309</v>
      </c>
      <c r="AJ7" s="40">
        <f t="shared" ref="AJ7" ca="1" si="29">IFERROR((AJ5-AI5)-(AJ6-AI6),AJ5-AI5)</f>
        <v>422</v>
      </c>
      <c r="AK7" s="40">
        <f t="shared" ref="AK7" ca="1" si="30">IFERROR((AK5-AJ5)-(AK6-AJ6),AK5-AJ5)</f>
        <v>618</v>
      </c>
      <c r="AL7" s="40">
        <f ca="1">IFERROR((AL5-AK5)-(AL6-AK6),AL5-AK5)</f>
        <v>1546</v>
      </c>
      <c r="AM7" s="40">
        <f t="shared" ref="AM7" ca="1" si="31">(AM5-AL5)-(AM6-AL6)</f>
        <v>319</v>
      </c>
      <c r="AN7" s="40">
        <f t="shared" ref="AN7" ca="1" si="32">(AN5-AM5)-(AN6-AM6)</f>
        <v>443</v>
      </c>
      <c r="AO7" s="40">
        <f t="shared" ref="AO7" ca="1" si="33">(AO5-AN5)-(AO6-AN6)</f>
        <v>766</v>
      </c>
      <c r="AP7" s="40">
        <f t="shared" ref="AP7" ca="1" si="34">(AP5-AO5)-(AP6-AO6)</f>
        <v>907</v>
      </c>
      <c r="AQ7" s="40">
        <f t="shared" ref="AQ7" ca="1" si="35">(AQ5-AP5)-(AQ6-AP6)</f>
        <v>1314</v>
      </c>
      <c r="AR7" s="40">
        <f t="shared" ref="AR7" ca="1" si="36">(AR5-AQ5)-(AR6-AQ6)</f>
        <v>1310</v>
      </c>
      <c r="AS7" s="40">
        <f t="shared" ref="AS7" ca="1" si="37">(AS5-AR5)-(AS6-AR6)</f>
        <v>1830</v>
      </c>
      <c r="AT7" s="40">
        <f t="shared" ref="AT7" ca="1" si="38">(AT5-AS5)-(AT6-AS6)</f>
        <v>2303</v>
      </c>
      <c r="AU7" s="40">
        <f t="shared" ref="AU7" ca="1" si="39">(AU5-AT5)-(AU6-AT6)</f>
        <v>1848</v>
      </c>
      <c r="AV7" s="40">
        <f t="shared" ref="AV7" ca="1" si="40">(AV5-AU5)-(AV6-AU6)</f>
        <v>2458</v>
      </c>
      <c r="AW7" s="40">
        <f t="shared" ref="AW7" ca="1" si="41">(AW5-AV5)-(AW6-AV6)</f>
        <v>2186</v>
      </c>
      <c r="AX7" s="40">
        <f t="shared" ref="AX7" ca="1" si="42">(AX5-AW5)-(AX6-AW6)</f>
        <v>2668</v>
      </c>
      <c r="AY7" s="40">
        <f t="shared" ref="AY7" ca="1" si="43">(AY5-AX5)-(AY6-AX6)</f>
        <v>3800</v>
      </c>
      <c r="AZ7" s="40">
        <f t="shared" ref="AZ7" ca="1" si="44">(AZ5-AY5)-(AZ6-AY6)</f>
        <v>3939</v>
      </c>
      <c r="BA7" s="40">
        <f t="shared" ref="BA7" ca="1" si="45">(BA5-AZ5)-(BA6-AZ6)</f>
        <v>3730</v>
      </c>
      <c r="BB7" s="40">
        <f t="shared" ref="BB7" ca="1" si="46">(BB5-BA5)-(BB6-BA6)</f>
        <v>3580</v>
      </c>
      <c r="BC7" s="40">
        <f t="shared" ref="BC7" ca="1" si="47">(BC5-BB5)-(BC6-BB6)</f>
        <v>4749</v>
      </c>
      <c r="BD7" s="40">
        <f t="shared" ref="BD7" ca="1" si="48">(BD5-BC5)-(BD6-BC6)</f>
        <v>6899</v>
      </c>
      <c r="BE7" s="40">
        <f t="shared" ref="BE7" ca="1" si="49">(BE5-BD5)-(BE6-BD6)</f>
        <v>7038</v>
      </c>
      <c r="BF7" s="40">
        <f t="shared" ref="BF7" ca="1" si="50">(BF5-BE5)-(BF6-BE6)</f>
        <v>11499</v>
      </c>
      <c r="BG7" s="40">
        <f t="shared" ref="BG7" ca="1" si="51">(BG5-BF5)-(BG6-BF6)</f>
        <v>10457</v>
      </c>
      <c r="BH7" s="40">
        <f t="shared" ref="BH7" ca="1" si="52">(BH5-BG5)-(BH6-BG6)</f>
        <v>11773</v>
      </c>
      <c r="BI7" s="40">
        <f t="shared" ref="BI7" ca="1" si="53">(BI5-BH5)-(BI6-BH6)</f>
        <v>12346</v>
      </c>
      <c r="BJ7" s="40">
        <f t="shared" ref="BJ7" ca="1" si="54">(BJ5-BI5)-(BJ6-BI6)</f>
        <v>14652</v>
      </c>
      <c r="BK7" s="40">
        <f t="shared" ref="BK7" ca="1" si="55">(BK5-BJ5)-(BK6-BJ6)</f>
        <v>16729</v>
      </c>
      <c r="BL7" s="40">
        <f t="shared" ref="BL7" ca="1" si="56">(BL5-BK5)-(BL6-BK6)</f>
        <v>27041</v>
      </c>
      <c r="BM7" s="40">
        <f t="shared" ref="BM7" ca="1" si="57">(BM5-BL5)-(BM6-BL6)</f>
        <v>27593</v>
      </c>
      <c r="BN7" s="40">
        <f t="shared" ref="BN7" ca="1" si="58">(BN5-BM5)-(BN6-BM6)</f>
        <v>30563</v>
      </c>
      <c r="BO7" s="40">
        <f t="shared" ref="BO7" ca="1" si="59">(BO5-BN5)-(BO6-BN6)</f>
        <v>30771</v>
      </c>
      <c r="BP7" s="40">
        <f t="shared" ref="BP7" ca="1" si="60">(BP5-BO5)-(BP6-BO6)</f>
        <v>39331</v>
      </c>
      <c r="BQ7" s="40">
        <f t="shared" ref="BQ7" ca="1" si="61">(BQ5-BP5)-(BQ6-BP6)</f>
        <v>37567</v>
      </c>
      <c r="BR7" s="40">
        <f t="shared" ref="BR7" ca="1" si="62">(BR5-BQ5)-(BR6-BQ6)</f>
        <v>46894</v>
      </c>
      <c r="BS7" s="40">
        <f t="shared" ref="BS7" ca="1" si="63">(BS5-BR5)-(BS6-BR6)</f>
        <v>58843</v>
      </c>
      <c r="BT7" s="40">
        <f t="shared" ref="BT7" ca="1" si="64">(BT5-BS5)-(BT6-BS6)</f>
        <v>60319</v>
      </c>
      <c r="BU7" s="40">
        <f t="shared" ref="BU7" ca="1" si="65">(BU5-BT5)-(BU6-BT6)</f>
        <v>63809</v>
      </c>
      <c r="BV7" s="40">
        <f t="shared" ref="BV7:EF7" si="66">BV5-BU5</f>
        <v>59174</v>
      </c>
      <c r="BW7" s="40">
        <f t="shared" si="66"/>
        <v>62109</v>
      </c>
      <c r="BX7" s="40">
        <f t="shared" si="66"/>
        <v>74901</v>
      </c>
      <c r="BY7" s="40">
        <f t="shared" si="66"/>
        <v>74900</v>
      </c>
      <c r="BZ7" s="40">
        <f t="shared" si="66"/>
        <v>80327</v>
      </c>
      <c r="CA7" s="40">
        <f t="shared" si="66"/>
        <v>82522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508</v>
      </c>
      <c r="C8" s="21">
        <f>VLOOKUP(B2,Country_Data!C:G,5,FALSE)</f>
        <v>58708</v>
      </c>
      <c r="F8" s="19" t="s">
        <v>505</v>
      </c>
      <c r="G8" s="40">
        <f>G5</f>
        <v>555</v>
      </c>
      <c r="H8" s="40">
        <f ca="1">MAX(SUM($G$7:H7)-($G$7/H4),G8+10)</f>
        <v>565</v>
      </c>
      <c r="I8" s="40">
        <f ca="1">MAX(SUM($G$7:I7)-($G$7/I4),H8+10)</f>
        <v>654.5</v>
      </c>
      <c r="J8" s="40">
        <f ca="1">MAX(SUM($G$7:J7)-($G$7/J4),I8+10)</f>
        <v>1224</v>
      </c>
      <c r="K8" s="40">
        <f ca="1">MAX(SUM($G$7:K7)-($G$7/K4),J8+10)</f>
        <v>1940.25</v>
      </c>
      <c r="L8" s="40">
        <f ca="1">MAX(SUM($G$7:L7)-($G$7/L4),K8+10)</f>
        <v>2751</v>
      </c>
      <c r="M8" s="40">
        <f ca="1">MAX(SUM($G$7:M7)-($G$7/M4),L8+10)</f>
        <v>5371.5</v>
      </c>
      <c r="N8" s="40">
        <f ca="1">MAX(SUM($G$7:N7)-($G$7/N4),M8+10)</f>
        <v>5970.7142857142853</v>
      </c>
      <c r="O8" s="40">
        <f ca="1">MAX(SUM($G$7:O7)-($G$7/O4),N8+10)</f>
        <v>8010.625</v>
      </c>
      <c r="P8" s="40">
        <f ca="1">MAX(SUM($G$7:P7)-($G$7/P4),O8+10)</f>
        <v>9669.3333333333339</v>
      </c>
      <c r="Q8" s="40">
        <f ca="1">MAX(SUM($G$7:Q7)-($G$7/Q4),P8+10)</f>
        <v>11740.5</v>
      </c>
      <c r="R8" s="40">
        <f ca="1">MAX(SUM($G$7:R7)-($G$7/R4),Q8+10)</f>
        <v>16391.545454545456</v>
      </c>
      <c r="S8" s="40">
        <f t="shared" ref="S8:CD8" ca="1" si="69">SUM(I7:S7)-H7</f>
        <v>18721</v>
      </c>
      <c r="T8" s="40">
        <f t="shared" ca="1" si="69"/>
        <v>22206</v>
      </c>
      <c r="U8" s="40">
        <f ca="1">SUM(K7:U7)-J7</f>
        <v>25202</v>
      </c>
      <c r="V8" s="40">
        <f t="shared" ca="1" si="69"/>
        <v>27428</v>
      </c>
      <c r="W8" s="40">
        <f t="shared" ca="1" si="69"/>
        <v>29983</v>
      </c>
      <c r="X8" s="40">
        <f t="shared" ca="1" si="69"/>
        <v>28204</v>
      </c>
      <c r="Y8" s="40">
        <f t="shared" ca="1" si="69"/>
        <v>32561</v>
      </c>
      <c r="Z8" s="40">
        <f t="shared" ca="1" si="69"/>
        <v>31521</v>
      </c>
      <c r="AA8" s="40">
        <f t="shared" ca="1" si="69"/>
        <v>32189</v>
      </c>
      <c r="AB8" s="40">
        <f t="shared" ca="1" si="69"/>
        <v>35325</v>
      </c>
      <c r="AC8" s="40">
        <f t="shared" ca="1" si="69"/>
        <v>37751</v>
      </c>
      <c r="AD8" s="40">
        <f t="shared" ca="1" si="69"/>
        <v>42659</v>
      </c>
      <c r="AE8" s="40">
        <f t="shared" ca="1" si="69"/>
        <v>39734</v>
      </c>
      <c r="AF8" s="40">
        <f ca="1">SUM(V7:AF7)-U7</f>
        <v>38357</v>
      </c>
      <c r="AG8" s="40">
        <f ca="1">SUM(W7:AG7)-V7</f>
        <v>37687</v>
      </c>
      <c r="AH8" s="40">
        <f t="shared" ca="1" si="69"/>
        <v>35525</v>
      </c>
      <c r="AI8" s="40">
        <f ca="1">SUM(Y7:AI7)-X7</f>
        <v>34001</v>
      </c>
      <c r="AJ8" s="40">
        <f t="shared" ca="1" si="69"/>
        <v>31211</v>
      </c>
      <c r="AK8" s="40">
        <f ca="1">SUM(AA7:AK7)-Z7</f>
        <v>29888</v>
      </c>
      <c r="AL8" s="40">
        <f ca="1">SUM(AB7:AL7)-AA7</f>
        <v>29988</v>
      </c>
      <c r="AM8" s="40">
        <f ca="1">SUM(AC7:AM7)-AB7</f>
        <v>21017</v>
      </c>
      <c r="AN8" s="40">
        <f ca="1">SUM(AD7:AN7)-AC7</f>
        <v>7769</v>
      </c>
      <c r="AO8" s="40">
        <f t="shared" ca="1" si="69"/>
        <v>5544</v>
      </c>
      <c r="AP8" s="40">
        <f t="shared" ca="1" si="69"/>
        <v>8903</v>
      </c>
      <c r="AQ8" s="40">
        <f ca="1">SUM(AG7:AQ7)-AF7</f>
        <v>8112</v>
      </c>
      <c r="AR8" s="40">
        <f t="shared" ca="1" si="69"/>
        <v>7768</v>
      </c>
      <c r="AS8" s="40">
        <f t="shared" ca="1" si="69"/>
        <v>8133</v>
      </c>
      <c r="AT8" s="40">
        <f t="shared" ca="1" si="69"/>
        <v>11469</v>
      </c>
      <c r="AU8" s="40">
        <f t="shared" ca="1" si="69"/>
        <v>12782</v>
      </c>
      <c r="AV8" s="40">
        <f t="shared" ca="1" si="69"/>
        <v>14426</v>
      </c>
      <c r="AW8" s="40">
        <f t="shared" ca="1" si="69"/>
        <v>14138</v>
      </c>
      <c r="AX8" s="40">
        <f t="shared" ca="1" si="69"/>
        <v>17714</v>
      </c>
      <c r="AY8" s="40">
        <f t="shared" ca="1" si="69"/>
        <v>20947</v>
      </c>
      <c r="AZ8" s="40">
        <f t="shared" ca="1" si="69"/>
        <v>23797</v>
      </c>
      <c r="BA8" s="40">
        <f t="shared" ca="1" si="69"/>
        <v>26479</v>
      </c>
      <c r="BB8" s="40">
        <f t="shared" ca="1" si="69"/>
        <v>28338</v>
      </c>
      <c r="BC8" s="40">
        <f t="shared" ca="1" si="69"/>
        <v>31781</v>
      </c>
      <c r="BD8" s="40">
        <f t="shared" ca="1" si="69"/>
        <v>36330</v>
      </c>
      <c r="BE8" s="40">
        <f t="shared" ca="1" si="69"/>
        <v>40592</v>
      </c>
      <c r="BF8" s="40">
        <f t="shared" ca="1" si="69"/>
        <v>50698</v>
      </c>
      <c r="BG8" s="40">
        <f t="shared" ca="1" si="69"/>
        <v>58087</v>
      </c>
      <c r="BH8" s="40">
        <f t="shared" ca="1" si="69"/>
        <v>67946</v>
      </c>
      <c r="BI8" s="40">
        <f t="shared" ca="1" si="69"/>
        <v>77142</v>
      </c>
      <c r="BJ8" s="40">
        <f t="shared" ca="1" si="69"/>
        <v>86862</v>
      </c>
      <c r="BK8" s="40">
        <f t="shared" ca="1" si="69"/>
        <v>99513</v>
      </c>
      <c r="BL8" s="40">
        <f t="shared" ca="1" si="69"/>
        <v>123033</v>
      </c>
      <c r="BM8" s="40">
        <f t="shared" ca="1" si="69"/>
        <v>147196</v>
      </c>
      <c r="BN8" s="40">
        <f t="shared" ca="1" si="69"/>
        <v>171841</v>
      </c>
      <c r="BO8" s="40">
        <f t="shared" ca="1" si="69"/>
        <v>193563</v>
      </c>
      <c r="BP8" s="40">
        <f t="shared" ca="1" si="69"/>
        <v>225717</v>
      </c>
      <c r="BQ8" s="40">
        <f t="shared" ca="1" si="69"/>
        <v>247324</v>
      </c>
      <c r="BR8" s="40">
        <f t="shared" ca="1" si="69"/>
        <v>284803</v>
      </c>
      <c r="BS8" s="40">
        <f t="shared" ca="1" si="69"/>
        <v>330557</v>
      </c>
      <c r="BT8" s="40">
        <f t="shared" ca="1" si="69"/>
        <v>377957</v>
      </c>
      <c r="BU8" s="40">
        <f t="shared" ca="1" si="69"/>
        <v>424808</v>
      </c>
      <c r="BV8" s="40">
        <f t="shared" ca="1" si="69"/>
        <v>465176</v>
      </c>
      <c r="BW8" s="40">
        <f t="shared" ca="1" si="69"/>
        <v>489932</v>
      </c>
      <c r="BX8" s="40">
        <f t="shared" ca="1" si="69"/>
        <v>536688</v>
      </c>
      <c r="BY8" s="40">
        <f t="shared" ca="1" si="69"/>
        <v>578055</v>
      </c>
      <c r="BZ8" s="40">
        <f t="shared" ca="1" si="69"/>
        <v>627403</v>
      </c>
      <c r="CA8" s="40">
        <f t="shared" ca="1" si="69"/>
        <v>662034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572</v>
      </c>
      <c r="C9" s="85">
        <f ca="1">VLOOKUP(B2,Country_Data!C:P,14,FALSE)</f>
        <v>0</v>
      </c>
      <c r="F9" s="19" t="s">
        <v>583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555</v>
      </c>
      <c r="H9" s="40">
        <f t="shared" ca="1" si="73"/>
        <v>565</v>
      </c>
      <c r="I9" s="40">
        <f t="shared" ca="1" si="73"/>
        <v>654.5</v>
      </c>
      <c r="J9" s="40">
        <f t="shared" ca="1" si="73"/>
        <v>1224</v>
      </c>
      <c r="K9" s="40">
        <f t="shared" ca="1" si="73"/>
        <v>1940.25</v>
      </c>
      <c r="L9" s="40">
        <f t="shared" ca="1" si="73"/>
        <v>2751</v>
      </c>
      <c r="M9" s="40">
        <f t="shared" ca="1" si="73"/>
        <v>5371.5</v>
      </c>
      <c r="N9" s="40">
        <f t="shared" ca="1" si="73"/>
        <v>5970.7142857142853</v>
      </c>
      <c r="O9" s="40">
        <f t="shared" ca="1" si="73"/>
        <v>8010.625</v>
      </c>
      <c r="P9" s="40">
        <f t="shared" ca="1" si="73"/>
        <v>9669.3333333333339</v>
      </c>
      <c r="Q9" s="40">
        <f t="shared" ca="1" si="73"/>
        <v>11740.5</v>
      </c>
      <c r="R9" s="40">
        <f t="shared" ca="1" si="73"/>
        <v>16391.545454545456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18721</v>
      </c>
      <c r="T9" s="40">
        <f ca="1">IF(IF(AND(ISNA(S8),ISNA(S$8)),S9*(1+$C$11),IF(AND(S$8&gt;0,ISNA(T$8)),S9*(1+$C$11),T$8))&gt;$C$21,$C$21,IF(AND(ISNA(T$8),ISNA(S$8)),S9*(1+$C$11),IF(AND(S$8&gt;0,ISNA(T$8)),S9*(1+$C$11),T$8)))</f>
        <v>22206</v>
      </c>
      <c r="U9" s="40">
        <f ca="1">IF(IF(AND(ISNA(T8),ISNA(T$8)),T9*(1+$C$11),IF(AND(T$8&gt;0,ISNA(U$8)),T9*(1+$C$11),U$8))&gt;$C$21,$C$21,IF(AND(ISNA(U$8),ISNA(T$8)),T9*(1+$C$11),IF(AND(T$8&gt;0,ISNA(U$8)),T9*(1+$C$11),U$8)))</f>
        <v>25202</v>
      </c>
      <c r="V9" s="40">
        <f t="shared" ca="1" si="73"/>
        <v>27428</v>
      </c>
      <c r="W9" s="40">
        <f t="shared" ca="1" si="73"/>
        <v>29983</v>
      </c>
      <c r="X9" s="40">
        <f t="shared" ca="1" si="73"/>
        <v>28204</v>
      </c>
      <c r="Y9" s="40">
        <f ca="1">IF(IF(AND(ISNA(Y$8),ISNA(X$8)),X9*(1+$C$11),IF(AND(X$8&gt;0,ISNA(Y$8)),X9*(1+$C$11),Y$8))&gt;$C$21,$C$21,IF(AND(ISNA(Y$8),ISNA(X$8)),X9*(1+$C$11),IF(AND(X$8&gt;0,ISNA(Y$8)),X9*(1+$C$11),Y$8)))</f>
        <v>32561</v>
      </c>
      <c r="Z9" s="40">
        <f t="shared" ca="1" si="73"/>
        <v>31521</v>
      </c>
      <c r="AA9" s="40">
        <f t="shared" ca="1" si="73"/>
        <v>32189</v>
      </c>
      <c r="AB9" s="40">
        <f t="shared" ca="1" si="73"/>
        <v>35325</v>
      </c>
      <c r="AC9" s="40">
        <f t="shared" ca="1" si="73"/>
        <v>37751</v>
      </c>
      <c r="AD9" s="40">
        <f t="shared" ca="1" si="73"/>
        <v>42659</v>
      </c>
      <c r="AE9" s="40">
        <f t="shared" ca="1" si="73"/>
        <v>39734</v>
      </c>
      <c r="AF9" s="40">
        <f t="shared" ca="1" si="73"/>
        <v>38357</v>
      </c>
      <c r="AG9" s="40">
        <f t="shared" ca="1" si="73"/>
        <v>37687</v>
      </c>
      <c r="AH9" s="40">
        <f t="shared" ca="1" si="73"/>
        <v>35525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34001</v>
      </c>
      <c r="AJ9" s="40">
        <f t="shared" ca="1" si="73"/>
        <v>31211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29888</v>
      </c>
      <c r="AL9" s="40">
        <f t="shared" ca="1" si="73"/>
        <v>29988</v>
      </c>
      <c r="AM9" s="40">
        <f t="shared" ca="1" si="73"/>
        <v>21017</v>
      </c>
      <c r="AN9" s="40">
        <f t="shared" ca="1" si="73"/>
        <v>7769</v>
      </c>
      <c r="AO9" s="40">
        <f t="shared" ca="1" si="73"/>
        <v>5544</v>
      </c>
      <c r="AP9" s="40">
        <f t="shared" ca="1" si="73"/>
        <v>8903</v>
      </c>
      <c r="AQ9" s="40">
        <f t="shared" ca="1" si="73"/>
        <v>8112</v>
      </c>
      <c r="AR9" s="40">
        <f t="shared" ca="1" si="73"/>
        <v>7768</v>
      </c>
      <c r="AS9" s="40">
        <f t="shared" ca="1" si="73"/>
        <v>8133</v>
      </c>
      <c r="AT9" s="40">
        <f t="shared" ca="1" si="73"/>
        <v>11469</v>
      </c>
      <c r="AU9" s="40">
        <f t="shared" ca="1" si="73"/>
        <v>12782</v>
      </c>
      <c r="AV9" s="40">
        <f t="shared" ca="1" si="73"/>
        <v>14426</v>
      </c>
      <c r="AW9" s="40">
        <f t="shared" ca="1" si="73"/>
        <v>14138</v>
      </c>
      <c r="AX9" s="40">
        <f t="shared" ca="1" si="73"/>
        <v>17714</v>
      </c>
      <c r="AY9" s="40">
        <f t="shared" ca="1" si="73"/>
        <v>20947</v>
      </c>
      <c r="AZ9" s="40">
        <f t="shared" ca="1" si="73"/>
        <v>23797</v>
      </c>
      <c r="BA9" s="40">
        <f t="shared" ca="1" si="73"/>
        <v>26479</v>
      </c>
      <c r="BB9" s="40">
        <f t="shared" ca="1" si="73"/>
        <v>28338</v>
      </c>
      <c r="BC9" s="40">
        <f t="shared" ca="1" si="73"/>
        <v>31781</v>
      </c>
      <c r="BD9" s="40">
        <f t="shared" ca="1" si="73"/>
        <v>36330</v>
      </c>
      <c r="BE9" s="40">
        <f t="shared" ca="1" si="73"/>
        <v>40592</v>
      </c>
      <c r="BF9" s="40">
        <f t="shared" ca="1" si="73"/>
        <v>50698</v>
      </c>
      <c r="BG9" s="40">
        <f t="shared" ca="1" si="73"/>
        <v>58087</v>
      </c>
      <c r="BH9" s="40">
        <f t="shared" ca="1" si="73"/>
        <v>67946</v>
      </c>
      <c r="BI9" s="40">
        <f t="shared" ca="1" si="73"/>
        <v>77142</v>
      </c>
      <c r="BJ9" s="40">
        <f t="shared" ca="1" si="73"/>
        <v>86862</v>
      </c>
      <c r="BK9" s="40">
        <f t="shared" ca="1" si="73"/>
        <v>99513</v>
      </c>
      <c r="BL9" s="40">
        <f t="shared" ca="1" si="73"/>
        <v>123033</v>
      </c>
      <c r="BM9" s="40">
        <f t="shared" ca="1" si="73"/>
        <v>147196</v>
      </c>
      <c r="BN9" s="40">
        <f t="shared" ca="1" si="73"/>
        <v>171841</v>
      </c>
      <c r="BO9" s="40">
        <f t="shared" ca="1" si="73"/>
        <v>193563</v>
      </c>
      <c r="BP9" s="40">
        <f t="shared" ca="1" si="73"/>
        <v>225717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247324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284803</v>
      </c>
      <c r="BS9" s="40">
        <f t="shared" ca="1" si="75"/>
        <v>330557</v>
      </c>
      <c r="BT9" s="40">
        <f t="shared" ca="1" si="75"/>
        <v>377957</v>
      </c>
      <c r="BU9" s="40">
        <f t="shared" ca="1" si="75"/>
        <v>424808</v>
      </c>
      <c r="BV9" s="40">
        <f t="shared" ca="1" si="75"/>
        <v>465176</v>
      </c>
      <c r="BW9" s="40">
        <f t="shared" ca="1" si="75"/>
        <v>489932</v>
      </c>
      <c r="BX9" s="40">
        <f t="shared" ca="1" si="75"/>
        <v>536688</v>
      </c>
      <c r="BY9" s="40">
        <f t="shared" ca="1" si="75"/>
        <v>578055</v>
      </c>
      <c r="BZ9" s="40">
        <f t="shared" ca="1" si="75"/>
        <v>627403</v>
      </c>
      <c r="CA9" s="40">
        <f t="shared" ca="1" si="75"/>
        <v>662034</v>
      </c>
      <c r="CB9" s="40">
        <f t="shared" ca="1" si="75"/>
        <v>715644.56183372869</v>
      </c>
      <c r="CC9" s="40">
        <f t="shared" ca="1" si="75"/>
        <v>773596.42991476203</v>
      </c>
      <c r="CD9" s="40">
        <f t="shared" ca="1" si="75"/>
        <v>836241.15698360919</v>
      </c>
      <c r="CE9" s="40">
        <f t="shared" ca="1" si="75"/>
        <v>903958.7640164484</v>
      </c>
      <c r="CF9" s="40">
        <f t="shared" ca="1" si="75"/>
        <v>977160.0455419363</v>
      </c>
      <c r="CG9" s="40">
        <f t="shared" ca="1" si="75"/>
        <v>1056289.0616392593</v>
      </c>
      <c r="CH9" s="40">
        <f t="shared" ca="1" si="75"/>
        <v>1141825.8317346061</v>
      </c>
      <c r="CI9" s="40">
        <f t="shared" ca="1" si="75"/>
        <v>1234289.246537406</v>
      </c>
      <c r="CJ9" s="40">
        <f t="shared" ca="1" si="75"/>
        <v>1334240.2157809797</v>
      </c>
      <c r="CK9" s="40">
        <f t="shared" ca="1" si="75"/>
        <v>1442285.0708627033</v>
      </c>
      <c r="CL9" s="40">
        <f t="shared" ca="1" si="75"/>
        <v>1559079.2430250829</v>
      </c>
      <c r="CM9" s="40">
        <f t="shared" ca="1" si="75"/>
        <v>1685331.2393906459</v>
      </c>
      <c r="CN9" s="40">
        <f t="shared" ca="1" si="75"/>
        <v>1821806.9409704241</v>
      </c>
      <c r="CO9" s="40">
        <f t="shared" ca="1" si="75"/>
        <v>1969334.2487189856</v>
      </c>
      <c r="CP9" s="40">
        <f t="shared" ca="1" si="75"/>
        <v>2128808.1058203261</v>
      </c>
      <c r="CQ9" s="40">
        <f t="shared" ca="1" si="75"/>
        <v>2301195.9266712544</v>
      </c>
      <c r="CR9" s="40">
        <f t="shared" ca="1" si="75"/>
        <v>2487543.4654960488</v>
      </c>
      <c r="CS9" s="40">
        <f t="shared" ca="1" si="75"/>
        <v>2688981.1601930941</v>
      </c>
      <c r="CT9" s="40">
        <f t="shared" ca="1" si="75"/>
        <v>2906730.9898971026</v>
      </c>
      <c r="CU9" s="40">
        <f t="shared" ca="1" si="75"/>
        <v>3142113.8878568662</v>
      </c>
      <c r="CV9" s="40">
        <f t="shared" ca="1" si="75"/>
        <v>3396557.7545971973</v>
      </c>
      <c r="CW9" s="40">
        <f t="shared" ca="1" si="75"/>
        <v>3671606.119975205</v>
      </c>
      <c r="CX9" s="40">
        <f t="shared" ca="1" si="75"/>
        <v>3968927.5066774404</v>
      </c>
      <c r="CY9" s="40">
        <f t="shared" ca="1" si="75"/>
        <v>4290325.5519595826</v>
      </c>
      <c r="CZ9" s="40">
        <f t="shared" ca="1" si="75"/>
        <v>4637749.9490300585</v>
      </c>
      <c r="DA9" s="40">
        <f t="shared" ca="1" si="75"/>
        <v>5013308.2744511822</v>
      </c>
      <c r="DB9" s="40">
        <f t="shared" ca="1" si="75"/>
        <v>5419278.7733062394</v>
      </c>
      <c r="DC9" s="40">
        <f t="shared" ca="1" si="75"/>
        <v>5858124.1796910288</v>
      </c>
      <c r="DD9" s="40">
        <f t="shared" ca="1" si="75"/>
        <v>6332506.6563689448</v>
      </c>
      <c r="DE9" s="40">
        <f t="shared" ca="1" si="75"/>
        <v>6845303.944217856</v>
      </c>
      <c r="DF9" s="40">
        <f t="shared" ca="1" si="75"/>
        <v>7399626.8194359848</v>
      </c>
      <c r="DG9" s="40">
        <f t="shared" ca="1" si="75"/>
        <v>7998837.9644072251</v>
      </c>
      <c r="DH9" s="40">
        <f t="shared" ca="1" si="75"/>
        <v>8646572.3667020183</v>
      </c>
      <c r="DI9" s="40">
        <f t="shared" ca="1" si="75"/>
        <v>9346759.3699599914</v>
      </c>
      <c r="DJ9" s="40">
        <f t="shared" ca="1" si="75"/>
        <v>10103646.510421393</v>
      </c>
      <c r="DK9" s="40">
        <f t="shared" ca="1" si="75"/>
        <v>10921825.283706577</v>
      </c>
      <c r="DL9" s="40">
        <f t="shared" ca="1" si="75"/>
        <v>11806258.998152262</v>
      </c>
      <c r="DM9" s="40">
        <f t="shared" ca="1" si="75"/>
        <v>12762312.883670919</v>
      </c>
      <c r="DN9" s="40">
        <f t="shared" ca="1" si="75"/>
        <v>13795786.638782337</v>
      </c>
      <c r="DO9" s="40">
        <f t="shared" ca="1" si="75"/>
        <v>14912949.613257015</v>
      </c>
      <c r="DP9" s="40">
        <f t="shared" ca="1" si="75"/>
        <v>16120578.839799453</v>
      </c>
      <c r="DQ9" s="40">
        <f t="shared" ca="1" si="75"/>
        <v>17426000.145482495</v>
      </c>
      <c r="DR9" s="40">
        <f t="shared" ca="1" si="75"/>
        <v>18837132.592326548</v>
      </c>
      <c r="DS9" s="40">
        <f t="shared" ca="1" si="75"/>
        <v>20362536.516613018</v>
      </c>
      <c r="DT9" s="40">
        <f t="shared" ca="1" si="75"/>
        <v>22011465.458352327</v>
      </c>
      <c r="DU9" s="40">
        <f t="shared" ca="1" si="75"/>
        <v>23793922.295925599</v>
      </c>
      <c r="DV9" s="40">
        <f t="shared" ca="1" si="75"/>
        <v>25720719.926428951</v>
      </c>
      <c r="DW9" s="40">
        <f t="shared" ca="1" si="75"/>
        <v>27803546.859824877</v>
      </c>
      <c r="DX9" s="40">
        <f t="shared" ca="1" si="75"/>
        <v>30055038.124813709</v>
      </c>
      <c r="DY9" s="40">
        <f t="shared" ca="1" si="75"/>
        <v>32488851.916560657</v>
      </c>
      <c r="DZ9" s="40">
        <f t="shared" ca="1" si="75"/>
        <v>35119752.451245628</v>
      </c>
      <c r="EA9" s="40">
        <f t="shared" ca="1" si="75"/>
        <v>37963699.530055404</v>
      </c>
      <c r="EB9" s="40">
        <f t="shared" ca="1" si="75"/>
        <v>41037945.355939172</v>
      </c>
      <c r="EC9" s="40">
        <f t="shared" ca="1" si="75"/>
        <v>44361139.190445796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47953440.485521339</v>
      </c>
      <c r="EE9" s="40">
        <f t="shared" ca="1" si="76"/>
        <v>51836641.176556952</v>
      </c>
      <c r="EF9" s="40">
        <f t="shared" ca="1" si="76"/>
        <v>56034297.878552042</v>
      </c>
      <c r="EG9" s="40">
        <f t="shared" ca="1" si="76"/>
        <v>60571874.787332691</v>
      </c>
      <c r="EH9" s="40">
        <f t="shared" ca="1" si="76"/>
        <v>65476898.152705431</v>
      </c>
      <c r="EI9" s="40">
        <f t="shared" ca="1" si="76"/>
        <v>70779123.26062493</v>
      </c>
      <c r="EJ9" s="40">
        <f t="shared" ca="1" si="76"/>
        <v>76510714.937337667</v>
      </c>
      <c r="EK9" s="40">
        <f t="shared" ca="1" si="76"/>
        <v>82706442.670491755</v>
      </c>
      <c r="EL9" s="40">
        <f t="shared" ca="1" si="76"/>
        <v>89403891.530873761</v>
      </c>
      <c r="EM9" s="40">
        <f t="shared" ca="1" si="76"/>
        <v>96643690.174284652</v>
      </c>
      <c r="EN9" s="40">
        <f t="shared" ca="1" si="76"/>
        <v>104469757.30667998</v>
      </c>
      <c r="EO9" s="40">
        <f t="shared" ca="1" si="76"/>
        <v>112929568.1077029</v>
      </c>
      <c r="EP9" s="40">
        <f t="shared" ca="1" si="76"/>
        <v>122074442.22881192</v>
      </c>
      <c r="EQ9" s="40">
        <f t="shared" ca="1" si="76"/>
        <v>131959855.11308323</v>
      </c>
      <c r="ER9" s="40">
        <f t="shared" ca="1" si="76"/>
        <v>142645774.52524307</v>
      </c>
      <c r="ES9" s="40">
        <f t="shared" ca="1" si="76"/>
        <v>154197024.33341861</v>
      </c>
      <c r="ET9" s="40">
        <f t="shared" ca="1" si="76"/>
        <v>166683677.74941191</v>
      </c>
      <c r="EU9" s="40">
        <f t="shared" ca="1" si="76"/>
        <v>180181482.41300648</v>
      </c>
      <c r="EV9" s="40">
        <f t="shared" ca="1" si="76"/>
        <v>194772319.89898968</v>
      </c>
      <c r="EW9" s="40">
        <f t="shared" ca="1" si="76"/>
        <v>210544702.43439358</v>
      </c>
      <c r="EX9" s="40">
        <f t="shared" ca="1" si="76"/>
        <v>227594309.83918408</v>
      </c>
      <c r="EY9" s="40">
        <f t="shared" ca="1" si="76"/>
        <v>246024569.94763529</v>
      </c>
      <c r="EZ9" s="40">
        <f t="shared" ca="1" si="76"/>
        <v>265947286.03139266</v>
      </c>
      <c r="FA9" s="40">
        <f t="shared" ca="1" si="76"/>
        <v>287483315.0303539</v>
      </c>
      <c r="FB9" s="40">
        <f t="shared" ca="1" si="76"/>
        <v>310763300.70571214</v>
      </c>
      <c r="FC9" s="40">
        <f t="shared" ca="1" si="76"/>
        <v>335928466.16267842</v>
      </c>
      <c r="FD9" s="40">
        <f t="shared" ca="1" si="76"/>
        <v>363131470.55055565</v>
      </c>
      <c r="FE9" s="40">
        <f t="shared" ca="1" si="76"/>
        <v>392537335.13715303</v>
      </c>
      <c r="FF9" s="40">
        <f t="shared" ca="1" si="76"/>
        <v>424324444.37537563</v>
      </c>
      <c r="FG9" s="40">
        <f t="shared" ca="1" si="76"/>
        <v>458685628.0347476</v>
      </c>
      <c r="FH9" s="40">
        <f t="shared" ca="1" si="76"/>
        <v>495829330.96239108</v>
      </c>
      <c r="FI9" s="40">
        <f t="shared" ca="1" si="76"/>
        <v>535980877.5695678</v>
      </c>
      <c r="FJ9" s="40">
        <f t="shared" ca="1" si="76"/>
        <v>579383838.71452332</v>
      </c>
      <c r="FK9" s="40">
        <f t="shared" ca="1" si="76"/>
        <v>626301509.27354002</v>
      </c>
      <c r="FL9" s="40">
        <f t="shared" ca="1" si="76"/>
        <v>677018505.36356974</v>
      </c>
      <c r="FM9" s="40">
        <f t="shared" ca="1" si="76"/>
        <v>731842490.90566015</v>
      </c>
      <c r="FN9" s="40">
        <f t="shared" ca="1" si="76"/>
        <v>791106044.0030055</v>
      </c>
      <c r="FO9" s="40">
        <f t="shared" ca="1" si="76"/>
        <v>855168674.45561016</v>
      </c>
      <c r="FP9" s="40">
        <f t="shared" ca="1" si="76"/>
        <v>924419004.65038919</v>
      </c>
      <c r="FQ9" s="40">
        <f t="shared" ca="1" si="76"/>
        <v>999277127.05661559</v>
      </c>
      <c r="FR9" s="40">
        <f t="shared" ca="1" si="76"/>
        <v>1080197152.6279602</v>
      </c>
      <c r="FS9" s="40">
        <f t="shared" ca="1" si="76"/>
        <v>1167669965.570466</v>
      </c>
      <c r="FT9" s="40">
        <f t="shared" ca="1" si="76"/>
        <v>1262226201.187675</v>
      </c>
      <c r="FU9" s="40">
        <f t="shared" ca="1" si="76"/>
        <v>1364439464.8673718</v>
      </c>
      <c r="FV9" s="40">
        <f t="shared" ca="1" si="76"/>
        <v>1474929811.7372487</v>
      </c>
      <c r="FW9" s="40">
        <f t="shared" ca="1" si="76"/>
        <v>1594367508.0980847</v>
      </c>
      <c r="FX9" s="40">
        <f t="shared" ca="1" si="76"/>
        <v>1723477097.4523783</v>
      </c>
      <c r="FY9" s="40">
        <f t="shared" ca="1" si="76"/>
        <v>1863041795.7941341</v>
      </c>
      <c r="FZ9" s="40">
        <f t="shared" ca="1" si="76"/>
        <v>2013908242.8229008</v>
      </c>
      <c r="GA9" s="40">
        <f t="shared" ca="1" si="76"/>
        <v>2176991637.9042912</v>
      </c>
      <c r="GB9" s="40">
        <f t="shared" ca="1" si="76"/>
        <v>2353281291.9332056</v>
      </c>
      <c r="GC9" s="40">
        <f t="shared" ca="1" si="76"/>
        <v>2543846628.7789602</v>
      </c>
      <c r="GD9" s="40">
        <f t="shared" ca="1" si="76"/>
        <v>2749843672.7188134</v>
      </c>
      <c r="GE9" s="40">
        <f t="shared" ca="1" si="76"/>
        <v>2765243340.4000001</v>
      </c>
      <c r="GF9" s="40">
        <f t="shared" ca="1" si="76"/>
        <v>2765243340.4000001</v>
      </c>
      <c r="GG9" s="40">
        <f t="shared" ca="1" si="76"/>
        <v>2765243340.4000001</v>
      </c>
      <c r="GH9" s="40">
        <f t="shared" ca="1" si="76"/>
        <v>2765243340.4000001</v>
      </c>
      <c r="GI9" s="40">
        <f t="shared" ca="1" si="76"/>
        <v>2765243340.4000001</v>
      </c>
      <c r="GJ9" s="40">
        <f t="shared" ca="1" si="76"/>
        <v>2765243340.4000001</v>
      </c>
      <c r="GK9" s="40">
        <f t="shared" ca="1" si="76"/>
        <v>2765243340.4000001</v>
      </c>
      <c r="GL9" s="40">
        <f t="shared" ca="1" si="76"/>
        <v>2765243340.4000001</v>
      </c>
      <c r="GM9" s="40">
        <f t="shared" ca="1" si="76"/>
        <v>2765243340.4000001</v>
      </c>
      <c r="GN9" s="40">
        <f t="shared" ca="1" si="76"/>
        <v>2765243340.4000001</v>
      </c>
      <c r="GO9" s="40">
        <f t="shared" ca="1" si="76"/>
        <v>2765243340.4000001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2765243340.4000001</v>
      </c>
      <c r="GQ9" s="40">
        <f t="shared" ca="1" si="77"/>
        <v>2765243340.4000001</v>
      </c>
      <c r="GR9" s="40">
        <f t="shared" ca="1" si="77"/>
        <v>2765243340.4000001</v>
      </c>
      <c r="GS9" s="40">
        <f t="shared" ca="1" si="77"/>
        <v>2765243340.4000001</v>
      </c>
      <c r="GT9" s="40">
        <f t="shared" ca="1" si="77"/>
        <v>2765243340.4000001</v>
      </c>
      <c r="GU9" s="40">
        <f t="shared" ca="1" si="77"/>
        <v>2765243340.4000001</v>
      </c>
      <c r="GV9" s="40">
        <f t="shared" ca="1" si="77"/>
        <v>2765243340.4000001</v>
      </c>
      <c r="GW9" s="40">
        <f t="shared" ca="1" si="77"/>
        <v>2765243340.4000001</v>
      </c>
      <c r="GX9" s="40">
        <f t="shared" ca="1" si="77"/>
        <v>2765243340.4000001</v>
      </c>
      <c r="GY9" s="40">
        <f t="shared" ca="1" si="77"/>
        <v>2765243340.4000001</v>
      </c>
      <c r="GZ9" s="40">
        <f t="shared" ca="1" si="77"/>
        <v>2765243340.4000001</v>
      </c>
      <c r="HA9" s="40">
        <f t="shared" ca="1" si="77"/>
        <v>2765243340.4000001</v>
      </c>
      <c r="HB9" s="40">
        <f t="shared" ca="1" si="77"/>
        <v>2765243340.4000001</v>
      </c>
      <c r="HC9" s="40">
        <f t="shared" ca="1" si="77"/>
        <v>2765243340.4000001</v>
      </c>
      <c r="HD9" s="40">
        <f t="shared" ca="1" si="77"/>
        <v>2765243340.4000001</v>
      </c>
      <c r="HE9" s="40">
        <f t="shared" ca="1" si="77"/>
        <v>2765243340.4000001</v>
      </c>
      <c r="HF9" s="40">
        <f t="shared" ca="1" si="77"/>
        <v>2765243340.4000001</v>
      </c>
      <c r="HG9" s="40">
        <f t="shared" ca="1" si="77"/>
        <v>2765243340.4000001</v>
      </c>
      <c r="HH9" s="40">
        <f t="shared" ca="1" si="77"/>
        <v>2765243340.4000001</v>
      </c>
      <c r="HI9" s="40">
        <f t="shared" ca="1" si="77"/>
        <v>2765243340.4000001</v>
      </c>
      <c r="HJ9" s="40">
        <f t="shared" ca="1" si="77"/>
        <v>2765243340.4000001</v>
      </c>
      <c r="HK9" s="40">
        <f t="shared" ca="1" si="77"/>
        <v>2765243340.4000001</v>
      </c>
      <c r="HL9" s="40">
        <f t="shared" ca="1" si="77"/>
        <v>2765243340.4000001</v>
      </c>
      <c r="HM9" s="40">
        <f t="shared" ca="1" si="77"/>
        <v>2765243340.4000001</v>
      </c>
      <c r="HN9" s="40">
        <f t="shared" ca="1" si="77"/>
        <v>2765243340.4000001</v>
      </c>
      <c r="HO9" s="40">
        <f t="shared" ca="1" si="77"/>
        <v>2765243340.4000001</v>
      </c>
      <c r="HP9" s="40">
        <f t="shared" ca="1" si="77"/>
        <v>2765243340.4000001</v>
      </c>
      <c r="HQ9" s="40">
        <f t="shared" ca="1" si="77"/>
        <v>2765243340.4000001</v>
      </c>
      <c r="HR9" s="40">
        <f t="shared" ca="1" si="77"/>
        <v>2765243340.4000001</v>
      </c>
      <c r="HS9" s="40">
        <f t="shared" ca="1" si="77"/>
        <v>2765243340.4000001</v>
      </c>
      <c r="HT9" s="40">
        <f t="shared" ca="1" si="77"/>
        <v>2765243340.4000001</v>
      </c>
      <c r="HU9" s="40">
        <f t="shared" ca="1" si="77"/>
        <v>2765243340.4000001</v>
      </c>
      <c r="HV9" s="40">
        <f t="shared" ca="1" si="77"/>
        <v>2765243340.4000001</v>
      </c>
      <c r="HW9" s="40">
        <f t="shared" ca="1" si="77"/>
        <v>2765243340.4000001</v>
      </c>
      <c r="HX9" s="40">
        <f t="shared" ca="1" si="77"/>
        <v>2765243340.4000001</v>
      </c>
      <c r="HY9" s="40">
        <f t="shared" ca="1" si="77"/>
        <v>2765243340.4000001</v>
      </c>
      <c r="HZ9" s="40">
        <f t="shared" ca="1" si="77"/>
        <v>2765243340.4000001</v>
      </c>
      <c r="IA9" s="40">
        <f t="shared" ca="1" si="77"/>
        <v>2765243340.4000001</v>
      </c>
      <c r="IB9" s="40">
        <f t="shared" ca="1" si="77"/>
        <v>2765243340.4000001</v>
      </c>
      <c r="IC9" s="40">
        <f t="shared" ca="1" si="77"/>
        <v>2765243340.4000001</v>
      </c>
      <c r="ID9" s="40">
        <f t="shared" ca="1" si="77"/>
        <v>2765243340.4000001</v>
      </c>
      <c r="IE9" s="40">
        <f t="shared" ca="1" si="77"/>
        <v>2765243340.4000001</v>
      </c>
      <c r="IF9" s="40">
        <f t="shared" ca="1" si="77"/>
        <v>2765243340.4000001</v>
      </c>
      <c r="IG9" s="40">
        <f t="shared" ca="1" si="77"/>
        <v>2765243340.4000001</v>
      </c>
      <c r="IH9" s="40">
        <f t="shared" ca="1" si="77"/>
        <v>2765243340.4000001</v>
      </c>
      <c r="II9" s="40">
        <f t="shared" ca="1" si="77"/>
        <v>2765243340.4000001</v>
      </c>
      <c r="IJ9" s="40">
        <f t="shared" ca="1" si="77"/>
        <v>2765243340.4000001</v>
      </c>
      <c r="IK9" s="40">
        <f t="shared" ca="1" si="77"/>
        <v>2765243340.4000001</v>
      </c>
      <c r="IL9" s="40">
        <f t="shared" ca="1" si="77"/>
        <v>2765243340.4000001</v>
      </c>
      <c r="IM9" s="40">
        <f t="shared" ca="1" si="77"/>
        <v>2765243340.4000001</v>
      </c>
      <c r="IN9" s="40">
        <f t="shared" ca="1" si="77"/>
        <v>2765243340.4000001</v>
      </c>
    </row>
    <row r="10" spans="2:248" x14ac:dyDescent="0.3">
      <c r="B10" s="19" t="s">
        <v>450</v>
      </c>
      <c r="C10" s="19">
        <v>5</v>
      </c>
      <c r="E10" s="19"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555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565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654.5</v>
      </c>
      <c r="J10" s="40">
        <f t="shared" ca="1" si="79"/>
        <v>1224</v>
      </c>
      <c r="K10" s="40">
        <f t="shared" ca="1" si="79"/>
        <v>1940.25</v>
      </c>
      <c r="L10" s="40">
        <f t="shared" ca="1" si="79"/>
        <v>2751</v>
      </c>
      <c r="M10" s="40">
        <f t="shared" ca="1" si="79"/>
        <v>5371.5</v>
      </c>
      <c r="N10" s="40">
        <f t="shared" ca="1" si="79"/>
        <v>5970.7142857142853</v>
      </c>
      <c r="O10" s="40">
        <f t="shared" ca="1" si="79"/>
        <v>8010.625</v>
      </c>
      <c r="P10" s="40">
        <f t="shared" ca="1" si="79"/>
        <v>9669.3333333333339</v>
      </c>
      <c r="Q10" s="40">
        <f t="shared" ca="1" si="79"/>
        <v>11740.5</v>
      </c>
      <c r="R10" s="40">
        <f t="shared" ca="1" si="79"/>
        <v>16391.545454545456</v>
      </c>
      <c r="S10" s="40">
        <f t="shared" ca="1" si="79"/>
        <v>18721</v>
      </c>
      <c r="T10" s="40">
        <f t="shared" ca="1" si="79"/>
        <v>22206</v>
      </c>
      <c r="U10" s="40">
        <f t="shared" ca="1" si="79"/>
        <v>25202</v>
      </c>
      <c r="V10" s="40">
        <f t="shared" ca="1" si="79"/>
        <v>27428</v>
      </c>
      <c r="W10" s="40">
        <f t="shared" ca="1" si="79"/>
        <v>29983</v>
      </c>
      <c r="X10" s="40">
        <f t="shared" ca="1" si="79"/>
        <v>28204</v>
      </c>
      <c r="Y10" s="40">
        <f t="shared" ca="1" si="79"/>
        <v>32561</v>
      </c>
      <c r="Z10" s="40">
        <f t="shared" ca="1" si="79"/>
        <v>31521</v>
      </c>
      <c r="AA10" s="40">
        <f t="shared" ca="1" si="79"/>
        <v>32189</v>
      </c>
      <c r="AB10" s="40">
        <f t="shared" ca="1" si="79"/>
        <v>35325</v>
      </c>
      <c r="AC10" s="40">
        <f t="shared" ca="1" si="79"/>
        <v>37751</v>
      </c>
      <c r="AD10" s="40">
        <f t="shared" ca="1" si="79"/>
        <v>42659</v>
      </c>
      <c r="AE10" s="40">
        <f t="shared" ca="1" si="79"/>
        <v>39734</v>
      </c>
      <c r="AF10" s="40">
        <f t="shared" ca="1" si="79"/>
        <v>38357</v>
      </c>
      <c r="AG10" s="40">
        <f t="shared" ca="1" si="79"/>
        <v>37687</v>
      </c>
      <c r="AH10" s="40">
        <f t="shared" ca="1" si="79"/>
        <v>35525</v>
      </c>
      <c r="AI10" s="40">
        <f t="shared" ca="1" si="79"/>
        <v>34001</v>
      </c>
      <c r="AJ10" s="40">
        <f t="shared" ca="1" si="79"/>
        <v>31211</v>
      </c>
      <c r="AK10" s="40">
        <f t="shared" ca="1" si="79"/>
        <v>29888</v>
      </c>
      <c r="AL10" s="40">
        <f t="shared" ca="1" si="79"/>
        <v>29988</v>
      </c>
      <c r="AM10" s="40">
        <f t="shared" ca="1" si="79"/>
        <v>21017</v>
      </c>
      <c r="AN10" s="40">
        <f t="shared" ca="1" si="79"/>
        <v>7769</v>
      </c>
      <c r="AO10" s="40">
        <f t="shared" ca="1" si="79"/>
        <v>5544</v>
      </c>
      <c r="AP10" s="40">
        <f t="shared" ca="1" si="79"/>
        <v>8903</v>
      </c>
      <c r="AQ10" s="40">
        <f t="shared" ca="1" si="79"/>
        <v>8112</v>
      </c>
      <c r="AR10" s="40">
        <f t="shared" ca="1" si="79"/>
        <v>7768</v>
      </c>
      <c r="AS10" s="40">
        <f t="shared" ca="1" si="79"/>
        <v>8133</v>
      </c>
      <c r="AT10" s="40">
        <f t="shared" ca="1" si="79"/>
        <v>11469</v>
      </c>
      <c r="AU10" s="40">
        <f t="shared" ca="1" si="79"/>
        <v>12782</v>
      </c>
      <c r="AV10" s="40">
        <f t="shared" ca="1" si="79"/>
        <v>14426</v>
      </c>
      <c r="AW10" s="40">
        <f t="shared" ca="1" si="79"/>
        <v>14138</v>
      </c>
      <c r="AX10" s="40">
        <f t="shared" ca="1" si="79"/>
        <v>17714</v>
      </c>
      <c r="AY10" s="40">
        <f t="shared" ca="1" si="79"/>
        <v>20947</v>
      </c>
      <c r="AZ10" s="40">
        <f t="shared" ca="1" si="79"/>
        <v>23797</v>
      </c>
      <c r="BA10" s="40">
        <f t="shared" ca="1" si="79"/>
        <v>26479</v>
      </c>
      <c r="BB10" s="40">
        <f t="shared" ca="1" si="79"/>
        <v>28338</v>
      </c>
      <c r="BC10" s="40">
        <f t="shared" ca="1" si="79"/>
        <v>31781</v>
      </c>
      <c r="BD10" s="40">
        <f t="shared" ca="1" si="79"/>
        <v>36330</v>
      </c>
      <c r="BE10" s="40">
        <f t="shared" ca="1" si="79"/>
        <v>40592</v>
      </c>
      <c r="BF10" s="40">
        <f t="shared" ca="1" si="79"/>
        <v>50698</v>
      </c>
      <c r="BG10" s="40">
        <f t="shared" ca="1" si="79"/>
        <v>58087</v>
      </c>
      <c r="BH10" s="40">
        <f t="shared" ca="1" si="79"/>
        <v>67946</v>
      </c>
      <c r="BI10" s="40">
        <f t="shared" ca="1" si="79"/>
        <v>77142</v>
      </c>
      <c r="BJ10" s="40">
        <f t="shared" ca="1" si="79"/>
        <v>86862</v>
      </c>
      <c r="BK10" s="40">
        <f t="shared" ca="1" si="79"/>
        <v>99513</v>
      </c>
      <c r="BL10" s="40">
        <f t="shared" ca="1" si="79"/>
        <v>123033</v>
      </c>
      <c r="BM10" s="40">
        <f t="shared" ca="1" si="79"/>
        <v>147196</v>
      </c>
      <c r="BN10" s="40">
        <f t="shared" ca="1" si="79"/>
        <v>171841</v>
      </c>
      <c r="BO10" s="40">
        <f t="shared" ca="1" si="79"/>
        <v>193563</v>
      </c>
      <c r="BP10" s="40">
        <f t="shared" ca="1" si="79"/>
        <v>225717</v>
      </c>
      <c r="BQ10" s="40">
        <f t="shared" ca="1" si="79"/>
        <v>247324</v>
      </c>
      <c r="BR10" s="40">
        <f t="shared" ca="1" si="79"/>
        <v>284803</v>
      </c>
      <c r="BS10" s="40">
        <f t="shared" ca="1" si="79"/>
        <v>330557</v>
      </c>
      <c r="BT10" s="40">
        <f t="shared" ca="1" si="79"/>
        <v>377957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424808</v>
      </c>
      <c r="BV10" s="40">
        <f t="shared" ca="1" si="80"/>
        <v>465176</v>
      </c>
      <c r="BW10" s="40">
        <f t="shared" ca="1" si="80"/>
        <v>489932</v>
      </c>
      <c r="BX10" s="40">
        <f t="shared" ca="1" si="80"/>
        <v>536688</v>
      </c>
      <c r="BY10" s="40">
        <f t="shared" ca="1" si="80"/>
        <v>578055</v>
      </c>
      <c r="BZ10" s="40">
        <f t="shared" ca="1" si="80"/>
        <v>627403</v>
      </c>
      <c r="CA10" s="40">
        <f t="shared" ca="1" si="80"/>
        <v>662034</v>
      </c>
      <c r="CB10" s="40">
        <f t="shared" ca="1" si="80"/>
        <v>728237.4</v>
      </c>
      <c r="CC10" s="40">
        <f t="shared" ca="1" si="80"/>
        <v>801061.14000000013</v>
      </c>
      <c r="CD10" s="40">
        <f t="shared" ca="1" si="80"/>
        <v>881167.25400000019</v>
      </c>
      <c r="CE10" s="40">
        <f t="shared" ca="1" si="80"/>
        <v>969283.9794000003</v>
      </c>
      <c r="CF10" s="40">
        <f t="shared" ca="1" si="80"/>
        <v>1066212.3773400004</v>
      </c>
      <c r="CG10" s="40">
        <f t="shared" ca="1" si="80"/>
        <v>1172833.6150740006</v>
      </c>
      <c r="CH10" s="40">
        <f t="shared" ca="1" si="80"/>
        <v>1290116.9765814007</v>
      </c>
      <c r="CI10" s="40">
        <f t="shared" ca="1" si="80"/>
        <v>1419128.6742395409</v>
      </c>
      <c r="CJ10" s="40">
        <f t="shared" ca="1" si="80"/>
        <v>1561041.5416634951</v>
      </c>
      <c r="CK10" s="40">
        <f t="shared" ca="1" si="80"/>
        <v>1717145.6958298448</v>
      </c>
      <c r="CL10" s="40">
        <f t="shared" ca="1" si="80"/>
        <v>1888860.2654128294</v>
      </c>
      <c r="CM10" s="40">
        <f t="shared" ca="1" si="80"/>
        <v>2077746.2919541125</v>
      </c>
      <c r="CN10" s="40">
        <f t="shared" ca="1" si="80"/>
        <v>2285520.9211495239</v>
      </c>
      <c r="CO10" s="40">
        <f t="shared" ca="1" si="80"/>
        <v>2514073.0132644763</v>
      </c>
      <c r="CP10" s="40">
        <f t="shared" ca="1" si="80"/>
        <v>2765480.314590924</v>
      </c>
      <c r="CQ10" s="40">
        <f t="shared" ca="1" si="80"/>
        <v>3042028.3460500166</v>
      </c>
      <c r="CR10" s="40">
        <f t="shared" ca="1" si="80"/>
        <v>3346231.1806550184</v>
      </c>
      <c r="CS10" s="40">
        <f t="shared" ca="1" si="80"/>
        <v>3680854.2987205205</v>
      </c>
      <c r="CT10" s="40">
        <f t="shared" ca="1" si="80"/>
        <v>4048939.7285925727</v>
      </c>
      <c r="CU10" s="40">
        <f t="shared" ca="1" si="80"/>
        <v>4453833.7014518306</v>
      </c>
      <c r="CV10" s="40">
        <f t="shared" ca="1" si="80"/>
        <v>4899217.0715970136</v>
      </c>
      <c r="CW10" s="40">
        <f t="shared" ca="1" si="80"/>
        <v>5389138.7787567154</v>
      </c>
      <c r="CX10" s="40">
        <f t="shared" ca="1" si="80"/>
        <v>5928052.6566323871</v>
      </c>
      <c r="CY10" s="40">
        <f t="shared" ca="1" si="80"/>
        <v>6520857.9222956263</v>
      </c>
      <c r="CZ10" s="40">
        <f t="shared" ca="1" si="80"/>
        <v>7172943.7145251893</v>
      </c>
      <c r="DA10" s="40">
        <f t="shared" ca="1" si="80"/>
        <v>7890238.0859777089</v>
      </c>
      <c r="DB10" s="40">
        <f t="shared" ca="1" si="80"/>
        <v>8679261.8945754804</v>
      </c>
      <c r="DC10" s="40">
        <f t="shared" ca="1" si="80"/>
        <v>9547188.0840330292</v>
      </c>
      <c r="DD10" s="40">
        <f t="shared" ca="1" si="80"/>
        <v>10501906.892436333</v>
      </c>
      <c r="DE10" s="40">
        <f t="shared" ca="1" si="80"/>
        <v>11552097.581679968</v>
      </c>
      <c r="DF10" s="40">
        <f t="shared" ca="1" si="80"/>
        <v>12707307.339847965</v>
      </c>
      <c r="DG10" s="40">
        <f t="shared" ca="1" si="80"/>
        <v>13978038.073832763</v>
      </c>
      <c r="DH10" s="40">
        <f t="shared" ca="1" si="80"/>
        <v>15375841.881216042</v>
      </c>
      <c r="DI10" s="40">
        <f t="shared" ca="1" si="80"/>
        <v>16913426.069337647</v>
      </c>
      <c r="DJ10" s="40">
        <f t="shared" ca="1" si="80"/>
        <v>18604768.676271413</v>
      </c>
      <c r="DK10" s="40">
        <f t="shared" ca="1" si="80"/>
        <v>20465245.543898556</v>
      </c>
      <c r="DL10" s="40">
        <f t="shared" ca="1" si="80"/>
        <v>22511770.098288413</v>
      </c>
      <c r="DM10" s="40">
        <f t="shared" ca="1" si="80"/>
        <v>24762947.108117256</v>
      </c>
      <c r="DN10" s="40">
        <f t="shared" ca="1" si="80"/>
        <v>27239241.818928983</v>
      </c>
      <c r="DO10" s="40">
        <f t="shared" ca="1" si="80"/>
        <v>29963166.000821885</v>
      </c>
      <c r="DP10" s="40">
        <f t="shared" ca="1" si="80"/>
        <v>32959482.600904077</v>
      </c>
      <c r="DQ10" s="40">
        <f t="shared" ca="1" si="80"/>
        <v>36255430.860994488</v>
      </c>
      <c r="DR10" s="40">
        <f t="shared" ca="1" si="80"/>
        <v>39880973.947093941</v>
      </c>
      <c r="DS10" s="40">
        <f t="shared" ca="1" si="80"/>
        <v>43869071.341803342</v>
      </c>
      <c r="DT10" s="40">
        <f t="shared" ca="1" si="80"/>
        <v>48255978.475983679</v>
      </c>
      <c r="DU10" s="40">
        <f t="shared" ca="1" si="80"/>
        <v>53081576.323582053</v>
      </c>
      <c r="DV10" s="40">
        <f t="shared" ca="1" si="80"/>
        <v>58389733.955940261</v>
      </c>
      <c r="DW10" s="40">
        <f t="shared" ca="1" si="80"/>
        <v>64228707.351534292</v>
      </c>
      <c r="DX10" s="40">
        <f t="shared" ca="1" si="80"/>
        <v>70651578.086687729</v>
      </c>
      <c r="DY10" s="40">
        <f t="shared" ca="1" si="80"/>
        <v>77716735.895356506</v>
      </c>
      <c r="DZ10" s="40">
        <f t="shared" ca="1" si="80"/>
        <v>85488409.48489216</v>
      </c>
      <c r="EA10" s="40">
        <f t="shared" ca="1" si="80"/>
        <v>94037250.433381379</v>
      </c>
      <c r="EB10" s="40">
        <f t="shared" ca="1" si="80"/>
        <v>103440975.47671953</v>
      </c>
      <c r="EC10" s="40">
        <f t="shared" ca="1" si="80"/>
        <v>113785073.02439149</v>
      </c>
      <c r="ED10" s="40">
        <f t="shared" ca="1" si="80"/>
        <v>125163580.32683064</v>
      </c>
      <c r="EE10" s="40">
        <f t="shared" ca="1" si="80"/>
        <v>137679938.35951373</v>
      </c>
      <c r="EF10" s="40">
        <f t="shared" ca="1" si="80"/>
        <v>151447932.19546512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166592725.41501164</v>
      </c>
      <c r="EH10" s="40">
        <f t="shared" ca="1" si="81"/>
        <v>183251997.95651281</v>
      </c>
      <c r="EI10" s="40">
        <f t="shared" ca="1" si="81"/>
        <v>201577197.7521641</v>
      </c>
      <c r="EJ10" s="40">
        <f t="shared" ca="1" si="81"/>
        <v>221734917.52738053</v>
      </c>
      <c r="EK10" s="40">
        <f t="shared" ca="1" si="81"/>
        <v>243908409.28011858</v>
      </c>
      <c r="EL10" s="40">
        <f t="shared" ca="1" si="81"/>
        <v>268299250.20813048</v>
      </c>
      <c r="EM10" s="40">
        <f t="shared" ca="1" si="81"/>
        <v>295129175.22894353</v>
      </c>
      <c r="EN10" s="40">
        <f t="shared" ca="1" si="81"/>
        <v>324642092.75183791</v>
      </c>
      <c r="EO10" s="40">
        <f t="shared" ca="1" si="81"/>
        <v>357106302.02702171</v>
      </c>
      <c r="EP10" s="40">
        <f t="shared" ca="1" si="81"/>
        <v>392816932.22972393</v>
      </c>
      <c r="EQ10" s="40">
        <f t="shared" ca="1" si="81"/>
        <v>432098625.45269638</v>
      </c>
      <c r="ER10" s="40">
        <f t="shared" ca="1" si="81"/>
        <v>475308487.99796605</v>
      </c>
      <c r="ES10" s="40">
        <f t="shared" ca="1" si="81"/>
        <v>522839336.79776269</v>
      </c>
      <c r="ET10" s="40">
        <f t="shared" ca="1" si="81"/>
        <v>575123270.47753906</v>
      </c>
      <c r="EU10" s="40">
        <f t="shared" ca="1" si="81"/>
        <v>632635597.52529299</v>
      </c>
      <c r="EV10" s="40">
        <f t="shared" ca="1" si="81"/>
        <v>695899157.27782238</v>
      </c>
      <c r="EW10" s="40">
        <f t="shared" ca="1" si="81"/>
        <v>765489073.00560462</v>
      </c>
      <c r="EX10" s="40">
        <f t="shared" ca="1" si="81"/>
        <v>842037980.3061651</v>
      </c>
      <c r="EY10" s="40">
        <f t="shared" ca="1" si="81"/>
        <v>926241778.33678174</v>
      </c>
      <c r="EZ10" s="40">
        <f t="shared" ca="1" si="81"/>
        <v>1018865956.17046</v>
      </c>
      <c r="FA10" s="40">
        <f t="shared" ca="1" si="81"/>
        <v>1120752551.7875061</v>
      </c>
      <c r="FB10" s="40">
        <f t="shared" ca="1" si="81"/>
        <v>1232827806.9662569</v>
      </c>
      <c r="FC10" s="40">
        <f t="shared" ca="1" si="81"/>
        <v>1356110587.6628826</v>
      </c>
      <c r="FD10" s="40">
        <f t="shared" ca="1" si="81"/>
        <v>1491721646.4291708</v>
      </c>
      <c r="FE10" s="40">
        <f t="shared" ca="1" si="81"/>
        <v>1640893811.072088</v>
      </c>
      <c r="FF10" s="40">
        <f t="shared" ca="1" si="81"/>
        <v>1804983192.179297</v>
      </c>
      <c r="FG10" s="40">
        <f t="shared" ca="1" si="81"/>
        <v>1985481511.3972268</v>
      </c>
      <c r="FH10" s="40">
        <f t="shared" ca="1" si="81"/>
        <v>2184029662.5369496</v>
      </c>
      <c r="FI10" s="40">
        <f t="shared" ca="1" si="81"/>
        <v>2402432628.7906446</v>
      </c>
      <c r="FJ10" s="40">
        <f t="shared" ca="1" si="81"/>
        <v>2642675891.6697092</v>
      </c>
      <c r="FK10" s="40">
        <f t="shared" ca="1" si="81"/>
        <v>2765243340.4000001</v>
      </c>
      <c r="FL10" s="40">
        <f t="shared" ca="1" si="81"/>
        <v>2765243340.4000001</v>
      </c>
      <c r="FM10" s="40">
        <f t="shared" ca="1" si="81"/>
        <v>2765243340.4000001</v>
      </c>
      <c r="FN10" s="40">
        <f t="shared" ca="1" si="81"/>
        <v>2765243340.4000001</v>
      </c>
      <c r="FO10" s="40">
        <f t="shared" ca="1" si="81"/>
        <v>2765243340.4000001</v>
      </c>
      <c r="FP10" s="40">
        <f t="shared" ca="1" si="81"/>
        <v>2765243340.4000001</v>
      </c>
      <c r="FQ10" s="40">
        <f t="shared" ca="1" si="81"/>
        <v>2765243340.4000001</v>
      </c>
      <c r="FR10" s="40">
        <f t="shared" ca="1" si="81"/>
        <v>2765243340.4000001</v>
      </c>
      <c r="FS10" s="40">
        <f t="shared" ca="1" si="81"/>
        <v>2765243340.4000001</v>
      </c>
      <c r="FT10" s="40">
        <f t="shared" ca="1" si="81"/>
        <v>2765243340.4000001</v>
      </c>
      <c r="FU10" s="40">
        <f t="shared" ca="1" si="81"/>
        <v>2765243340.4000001</v>
      </c>
      <c r="FV10" s="40">
        <f t="shared" ca="1" si="81"/>
        <v>2765243340.4000001</v>
      </c>
      <c r="FW10" s="40">
        <f t="shared" ca="1" si="81"/>
        <v>2765243340.4000001</v>
      </c>
      <c r="FX10" s="40">
        <f t="shared" ca="1" si="81"/>
        <v>2765243340.4000001</v>
      </c>
      <c r="FY10" s="40">
        <f t="shared" ca="1" si="81"/>
        <v>2765243340.4000001</v>
      </c>
      <c r="FZ10" s="40">
        <f t="shared" ca="1" si="81"/>
        <v>2765243340.4000001</v>
      </c>
      <c r="GA10" s="40">
        <f t="shared" ca="1" si="81"/>
        <v>2765243340.4000001</v>
      </c>
      <c r="GB10" s="40">
        <f t="shared" ca="1" si="81"/>
        <v>2765243340.4000001</v>
      </c>
      <c r="GC10" s="40">
        <f t="shared" ca="1" si="81"/>
        <v>2765243340.4000001</v>
      </c>
      <c r="GD10" s="40">
        <f t="shared" ca="1" si="81"/>
        <v>2765243340.4000001</v>
      </c>
      <c r="GE10" s="40">
        <f t="shared" ca="1" si="81"/>
        <v>2765243340.4000001</v>
      </c>
      <c r="GF10" s="40">
        <f t="shared" ca="1" si="81"/>
        <v>2765243340.4000001</v>
      </c>
      <c r="GG10" s="40">
        <f t="shared" ca="1" si="81"/>
        <v>2765243340.4000001</v>
      </c>
      <c r="GH10" s="40">
        <f t="shared" ca="1" si="81"/>
        <v>2765243340.4000001</v>
      </c>
      <c r="GI10" s="40">
        <f t="shared" ca="1" si="81"/>
        <v>2765243340.4000001</v>
      </c>
      <c r="GJ10" s="40">
        <f t="shared" ca="1" si="81"/>
        <v>2765243340.4000001</v>
      </c>
      <c r="GK10" s="40">
        <f t="shared" ca="1" si="81"/>
        <v>2765243340.4000001</v>
      </c>
      <c r="GL10" s="40">
        <f t="shared" ca="1" si="81"/>
        <v>2765243340.4000001</v>
      </c>
      <c r="GM10" s="40">
        <f t="shared" ca="1" si="81"/>
        <v>2765243340.4000001</v>
      </c>
      <c r="GN10" s="40">
        <f t="shared" ca="1" si="81"/>
        <v>2765243340.4000001</v>
      </c>
      <c r="GO10" s="40">
        <f t="shared" ca="1" si="81"/>
        <v>2765243340.4000001</v>
      </c>
      <c r="GP10" s="40">
        <f t="shared" ca="1" si="81"/>
        <v>2765243340.4000001</v>
      </c>
      <c r="GQ10" s="40">
        <f t="shared" ca="1" si="81"/>
        <v>2765243340.4000001</v>
      </c>
      <c r="GR10" s="40">
        <f t="shared" ca="1" si="81"/>
        <v>2765243340.4000001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2765243340.4000001</v>
      </c>
      <c r="GT10" s="40">
        <f t="shared" ca="1" si="82"/>
        <v>2765243340.4000001</v>
      </c>
      <c r="GU10" s="40">
        <f t="shared" ca="1" si="82"/>
        <v>2765243340.4000001</v>
      </c>
      <c r="GV10" s="40">
        <f t="shared" ca="1" si="82"/>
        <v>2765243340.4000001</v>
      </c>
      <c r="GW10" s="40">
        <f t="shared" ca="1" si="82"/>
        <v>2765243340.4000001</v>
      </c>
      <c r="GX10" s="40">
        <f t="shared" ca="1" si="82"/>
        <v>2765243340.4000001</v>
      </c>
      <c r="GY10" s="40">
        <f t="shared" ca="1" si="82"/>
        <v>2765243340.4000001</v>
      </c>
      <c r="GZ10" s="40">
        <f t="shared" ca="1" si="82"/>
        <v>2765243340.4000001</v>
      </c>
      <c r="HA10" s="40">
        <f t="shared" ca="1" si="82"/>
        <v>2765243340.4000001</v>
      </c>
      <c r="HB10" s="40">
        <f t="shared" ca="1" si="82"/>
        <v>2765243340.4000001</v>
      </c>
      <c r="HC10" s="40">
        <f t="shared" ca="1" si="82"/>
        <v>2765243340.4000001</v>
      </c>
      <c r="HD10" s="40">
        <f t="shared" ca="1" si="82"/>
        <v>2765243340.4000001</v>
      </c>
      <c r="HE10" s="40">
        <f t="shared" ca="1" si="82"/>
        <v>2765243340.4000001</v>
      </c>
      <c r="HF10" s="40">
        <f t="shared" ca="1" si="82"/>
        <v>2765243340.4000001</v>
      </c>
      <c r="HG10" s="40">
        <f t="shared" ca="1" si="82"/>
        <v>2765243340.4000001</v>
      </c>
      <c r="HH10" s="40">
        <f t="shared" ca="1" si="82"/>
        <v>2765243340.4000001</v>
      </c>
      <c r="HI10" s="40">
        <f t="shared" ca="1" si="82"/>
        <v>2765243340.4000001</v>
      </c>
      <c r="HJ10" s="40">
        <f t="shared" ca="1" si="82"/>
        <v>2765243340.4000001</v>
      </c>
      <c r="HK10" s="40">
        <f t="shared" ca="1" si="82"/>
        <v>2765243340.4000001</v>
      </c>
      <c r="HL10" s="40">
        <f t="shared" ca="1" si="82"/>
        <v>2765243340.4000001</v>
      </c>
      <c r="HM10" s="40">
        <f t="shared" ca="1" si="82"/>
        <v>2765243340.4000001</v>
      </c>
      <c r="HN10" s="40">
        <f t="shared" ca="1" si="82"/>
        <v>2765243340.4000001</v>
      </c>
      <c r="HO10" s="40">
        <f t="shared" ca="1" si="82"/>
        <v>2765243340.4000001</v>
      </c>
      <c r="HP10" s="40">
        <f t="shared" ca="1" si="82"/>
        <v>2765243340.4000001</v>
      </c>
      <c r="HQ10" s="40">
        <f t="shared" ca="1" si="82"/>
        <v>2765243340.4000001</v>
      </c>
      <c r="HR10" s="40">
        <f t="shared" ca="1" si="82"/>
        <v>2765243340.4000001</v>
      </c>
      <c r="HS10" s="40">
        <f t="shared" ca="1" si="82"/>
        <v>2765243340.4000001</v>
      </c>
      <c r="HT10" s="40">
        <f t="shared" ca="1" si="82"/>
        <v>2765243340.4000001</v>
      </c>
      <c r="HU10" s="40">
        <f t="shared" ca="1" si="82"/>
        <v>2765243340.4000001</v>
      </c>
      <c r="HV10" s="40">
        <f t="shared" ca="1" si="82"/>
        <v>2765243340.4000001</v>
      </c>
      <c r="HW10" s="40">
        <f t="shared" ca="1" si="82"/>
        <v>2765243340.4000001</v>
      </c>
      <c r="HX10" s="40">
        <f t="shared" ca="1" si="82"/>
        <v>2765243340.4000001</v>
      </c>
      <c r="HY10" s="40">
        <f t="shared" ca="1" si="82"/>
        <v>2765243340.4000001</v>
      </c>
      <c r="HZ10" s="40">
        <f t="shared" ca="1" si="82"/>
        <v>2765243340.4000001</v>
      </c>
      <c r="IA10" s="40">
        <f t="shared" ca="1" si="82"/>
        <v>2765243340.4000001</v>
      </c>
      <c r="IB10" s="40">
        <f t="shared" ca="1" si="82"/>
        <v>2765243340.4000001</v>
      </c>
      <c r="IC10" s="40">
        <f t="shared" ca="1" si="82"/>
        <v>2765243340.4000001</v>
      </c>
      <c r="ID10" s="40">
        <f t="shared" ca="1" si="82"/>
        <v>2765243340.4000001</v>
      </c>
      <c r="IE10" s="40">
        <f t="shared" ca="1" si="82"/>
        <v>2765243340.4000001</v>
      </c>
      <c r="IF10" s="40">
        <f t="shared" ca="1" si="82"/>
        <v>2765243340.4000001</v>
      </c>
      <c r="IG10" s="40">
        <f t="shared" ca="1" si="82"/>
        <v>2765243340.4000001</v>
      </c>
      <c r="IH10" s="40">
        <f t="shared" ca="1" si="82"/>
        <v>2765243340.4000001</v>
      </c>
      <c r="II10" s="40">
        <f t="shared" ca="1" si="82"/>
        <v>2765243340.4000001</v>
      </c>
      <c r="IJ10" s="40">
        <f t="shared" ca="1" si="82"/>
        <v>2765243340.4000001</v>
      </c>
      <c r="IK10" s="40">
        <f t="shared" ca="1" si="82"/>
        <v>2765243340.4000001</v>
      </c>
      <c r="IL10" s="40">
        <f t="shared" ca="1" si="82"/>
        <v>2765243340.4000001</v>
      </c>
      <c r="IM10" s="40">
        <f t="shared" ca="1" si="82"/>
        <v>2765243340.4000001</v>
      </c>
      <c r="IN10" s="40">
        <f t="shared" ca="1" si="82"/>
        <v>2765243340.4000001</v>
      </c>
    </row>
    <row r="11" spans="2:248" x14ac:dyDescent="0.3">
      <c r="B11" s="19" t="s">
        <v>526</v>
      </c>
      <c r="C11" s="53">
        <f ca="1">HLOOKUP($C$5-1,G4:IN16,13,FALSE)</f>
        <v>8.0978562783374855E-2</v>
      </c>
      <c r="E11" s="19">
        <v>0.25</v>
      </c>
      <c r="F11" s="19" t="s">
        <v>494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555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565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654.5</v>
      </c>
      <c r="J11" s="40">
        <f t="shared" ca="1" si="85"/>
        <v>1224</v>
      </c>
      <c r="K11" s="40">
        <f t="shared" ca="1" si="85"/>
        <v>1940.25</v>
      </c>
      <c r="L11" s="40">
        <f t="shared" ca="1" si="85"/>
        <v>2751</v>
      </c>
      <c r="M11" s="40">
        <f t="shared" ca="1" si="85"/>
        <v>5371.5</v>
      </c>
      <c r="N11" s="40">
        <f t="shared" ca="1" si="85"/>
        <v>5970.7142857142853</v>
      </c>
      <c r="O11" s="40">
        <f t="shared" ca="1" si="85"/>
        <v>8010.625</v>
      </c>
      <c r="P11" s="40">
        <f t="shared" ca="1" si="85"/>
        <v>9669.3333333333339</v>
      </c>
      <c r="Q11" s="40">
        <f t="shared" ca="1" si="85"/>
        <v>11740.5</v>
      </c>
      <c r="R11" s="40">
        <f t="shared" ca="1" si="85"/>
        <v>16391.545454545456</v>
      </c>
      <c r="S11" s="40">
        <f t="shared" ca="1" si="85"/>
        <v>18721</v>
      </c>
      <c r="T11" s="40">
        <f t="shared" ca="1" si="85"/>
        <v>22206</v>
      </c>
      <c r="U11" s="40">
        <f t="shared" ca="1" si="85"/>
        <v>25202</v>
      </c>
      <c r="V11" s="40">
        <f t="shared" ca="1" si="85"/>
        <v>27428</v>
      </c>
      <c r="W11" s="40">
        <f t="shared" ca="1" si="85"/>
        <v>29983</v>
      </c>
      <c r="X11" s="40">
        <f t="shared" ca="1" si="85"/>
        <v>28204</v>
      </c>
      <c r="Y11" s="40">
        <f t="shared" ca="1" si="85"/>
        <v>32561</v>
      </c>
      <c r="Z11" s="40">
        <f t="shared" ca="1" si="85"/>
        <v>31521</v>
      </c>
      <c r="AA11" s="40">
        <f t="shared" ca="1" si="85"/>
        <v>32189</v>
      </c>
      <c r="AB11" s="40">
        <f t="shared" ca="1" si="85"/>
        <v>35325</v>
      </c>
      <c r="AC11" s="40">
        <f t="shared" ca="1" si="85"/>
        <v>37751</v>
      </c>
      <c r="AD11" s="40">
        <f t="shared" ca="1" si="85"/>
        <v>42659</v>
      </c>
      <c r="AE11" s="40">
        <f t="shared" ca="1" si="85"/>
        <v>39734</v>
      </c>
      <c r="AF11" s="40">
        <f t="shared" ca="1" si="85"/>
        <v>38357</v>
      </c>
      <c r="AG11" s="40">
        <f t="shared" ca="1" si="85"/>
        <v>37687</v>
      </c>
      <c r="AH11" s="40">
        <f t="shared" ca="1" si="85"/>
        <v>35525</v>
      </c>
      <c r="AI11" s="40">
        <f t="shared" ca="1" si="85"/>
        <v>34001</v>
      </c>
      <c r="AJ11" s="40">
        <f t="shared" ca="1" si="85"/>
        <v>31211</v>
      </c>
      <c r="AK11" s="40">
        <f t="shared" ca="1" si="85"/>
        <v>29888</v>
      </c>
      <c r="AL11" s="40">
        <f t="shared" ca="1" si="85"/>
        <v>29988</v>
      </c>
      <c r="AM11" s="40">
        <f t="shared" ca="1" si="85"/>
        <v>21017</v>
      </c>
      <c r="AN11" s="40">
        <f t="shared" ca="1" si="85"/>
        <v>7769</v>
      </c>
      <c r="AO11" s="40">
        <f t="shared" ca="1" si="85"/>
        <v>5544</v>
      </c>
      <c r="AP11" s="40">
        <f t="shared" ca="1" si="85"/>
        <v>8903</v>
      </c>
      <c r="AQ11" s="40">
        <f t="shared" ca="1" si="85"/>
        <v>8112</v>
      </c>
      <c r="AR11" s="40">
        <f t="shared" ca="1" si="85"/>
        <v>7768</v>
      </c>
      <c r="AS11" s="40">
        <f t="shared" ca="1" si="85"/>
        <v>8133</v>
      </c>
      <c r="AT11" s="40">
        <f t="shared" ca="1" si="85"/>
        <v>11469</v>
      </c>
      <c r="AU11" s="40">
        <f t="shared" ca="1" si="85"/>
        <v>12782</v>
      </c>
      <c r="AV11" s="40">
        <f t="shared" ca="1" si="85"/>
        <v>14426</v>
      </c>
      <c r="AW11" s="40">
        <f t="shared" ca="1" si="85"/>
        <v>14138</v>
      </c>
      <c r="AX11" s="40">
        <f t="shared" ca="1" si="85"/>
        <v>17714</v>
      </c>
      <c r="AY11" s="40">
        <f t="shared" ca="1" si="85"/>
        <v>20947</v>
      </c>
      <c r="AZ11" s="40">
        <f t="shared" ca="1" si="85"/>
        <v>23797</v>
      </c>
      <c r="BA11" s="40">
        <f t="shared" ca="1" si="85"/>
        <v>26479</v>
      </c>
      <c r="BB11" s="40">
        <f t="shared" ca="1" si="85"/>
        <v>28338</v>
      </c>
      <c r="BC11" s="40">
        <f t="shared" ca="1" si="85"/>
        <v>31781</v>
      </c>
      <c r="BD11" s="40">
        <f t="shared" ca="1" si="85"/>
        <v>36330</v>
      </c>
      <c r="BE11" s="40">
        <f t="shared" ca="1" si="85"/>
        <v>40592</v>
      </c>
      <c r="BF11" s="40">
        <f t="shared" ca="1" si="85"/>
        <v>50698</v>
      </c>
      <c r="BG11" s="40">
        <f t="shared" ca="1" si="85"/>
        <v>58087</v>
      </c>
      <c r="BH11" s="40">
        <f t="shared" ca="1" si="85"/>
        <v>67946</v>
      </c>
      <c r="BI11" s="40">
        <f t="shared" ca="1" si="85"/>
        <v>77142</v>
      </c>
      <c r="BJ11" s="40">
        <f t="shared" ca="1" si="85"/>
        <v>86862</v>
      </c>
      <c r="BK11" s="40">
        <f t="shared" ca="1" si="85"/>
        <v>99513</v>
      </c>
      <c r="BL11" s="40">
        <f t="shared" ca="1" si="85"/>
        <v>123033</v>
      </c>
      <c r="BM11" s="40">
        <f t="shared" ca="1" si="85"/>
        <v>147196</v>
      </c>
      <c r="BN11" s="40">
        <f t="shared" ca="1" si="85"/>
        <v>171841</v>
      </c>
      <c r="BO11" s="40">
        <f t="shared" ca="1" si="85"/>
        <v>193563</v>
      </c>
      <c r="BP11" s="40">
        <f t="shared" ca="1" si="85"/>
        <v>225717</v>
      </c>
      <c r="BQ11" s="40">
        <f t="shared" ca="1" si="85"/>
        <v>247324</v>
      </c>
      <c r="BR11" s="40">
        <f t="shared" ca="1" si="85"/>
        <v>284803</v>
      </c>
      <c r="BS11" s="40">
        <f t="shared" ca="1" si="85"/>
        <v>330557</v>
      </c>
      <c r="BT11" s="40">
        <f t="shared" ca="1" si="85"/>
        <v>377957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424808</v>
      </c>
      <c r="BV11" s="40">
        <f t="shared" ca="1" si="86"/>
        <v>465176</v>
      </c>
      <c r="BW11" s="40">
        <f t="shared" ca="1" si="86"/>
        <v>489932</v>
      </c>
      <c r="BX11" s="40">
        <f t="shared" ca="1" si="86"/>
        <v>536688</v>
      </c>
      <c r="BY11" s="40">
        <f t="shared" ca="1" si="86"/>
        <v>578055</v>
      </c>
      <c r="BZ11" s="40">
        <f t="shared" ca="1" si="86"/>
        <v>627403</v>
      </c>
      <c r="CA11" s="40">
        <f t="shared" ca="1" si="86"/>
        <v>662034</v>
      </c>
      <c r="CB11" s="40">
        <f t="shared" ca="1" si="86"/>
        <v>827542.5</v>
      </c>
      <c r="CC11" s="40">
        <f t="shared" ca="1" si="86"/>
        <v>1034428.125</v>
      </c>
      <c r="CD11" s="40">
        <f t="shared" ca="1" si="86"/>
        <v>1293035.15625</v>
      </c>
      <c r="CE11" s="40">
        <f t="shared" ca="1" si="86"/>
        <v>1616293.9453125</v>
      </c>
      <c r="CF11" s="40">
        <f t="shared" ca="1" si="86"/>
        <v>2020367.431640625</v>
      </c>
      <c r="CG11" s="40">
        <f t="shared" ca="1" si="86"/>
        <v>2525459.2895507813</v>
      </c>
      <c r="CH11" s="40">
        <f t="shared" ca="1" si="86"/>
        <v>3156824.1119384766</v>
      </c>
      <c r="CI11" s="40">
        <f t="shared" ca="1" si="86"/>
        <v>3946030.1399230957</v>
      </c>
      <c r="CJ11" s="40">
        <f t="shared" ca="1" si="86"/>
        <v>4932537.6749038696</v>
      </c>
      <c r="CK11" s="40">
        <f t="shared" ca="1" si="86"/>
        <v>6165672.093629837</v>
      </c>
      <c r="CL11" s="40">
        <f t="shared" ca="1" si="86"/>
        <v>7707090.1170372963</v>
      </c>
      <c r="CM11" s="40">
        <f t="shared" ca="1" si="86"/>
        <v>9633862.6462966204</v>
      </c>
      <c r="CN11" s="40">
        <f t="shared" ca="1" si="86"/>
        <v>12042328.307870775</v>
      </c>
      <c r="CO11" s="40">
        <f t="shared" ca="1" si="86"/>
        <v>15052910.384838469</v>
      </c>
      <c r="CP11" s="40">
        <f t="shared" ca="1" si="86"/>
        <v>18816137.981048085</v>
      </c>
      <c r="CQ11" s="40">
        <f t="shared" ca="1" si="86"/>
        <v>23520172.476310104</v>
      </c>
      <c r="CR11" s="40">
        <f t="shared" ca="1" si="86"/>
        <v>29400215.59538763</v>
      </c>
      <c r="CS11" s="40">
        <f t="shared" ca="1" si="86"/>
        <v>36750269.49423454</v>
      </c>
      <c r="CT11" s="40">
        <f t="shared" ca="1" si="86"/>
        <v>45937836.867793173</v>
      </c>
      <c r="CU11" s="40">
        <f t="shared" ca="1" si="86"/>
        <v>57422296.084741466</v>
      </c>
      <c r="CV11" s="40">
        <f t="shared" ca="1" si="86"/>
        <v>71777870.105926827</v>
      </c>
      <c r="CW11" s="40">
        <f t="shared" ca="1" si="86"/>
        <v>89722337.63240853</v>
      </c>
      <c r="CX11" s="40">
        <f t="shared" ca="1" si="86"/>
        <v>112152922.04051065</v>
      </c>
      <c r="CY11" s="40">
        <f t="shared" ca="1" si="86"/>
        <v>140191152.55063832</v>
      </c>
      <c r="CZ11" s="40">
        <f t="shared" ca="1" si="86"/>
        <v>175238940.6882979</v>
      </c>
      <c r="DA11" s="40">
        <f t="shared" ca="1" si="86"/>
        <v>219048675.86037236</v>
      </c>
      <c r="DB11" s="40">
        <f t="shared" ca="1" si="86"/>
        <v>273810844.82546544</v>
      </c>
      <c r="DC11" s="40">
        <f t="shared" ca="1" si="86"/>
        <v>342263556.0318318</v>
      </c>
      <c r="DD11" s="40">
        <f t="shared" ca="1" si="86"/>
        <v>427829445.03978974</v>
      </c>
      <c r="DE11" s="40">
        <f t="shared" ca="1" si="86"/>
        <v>534786806.29973716</v>
      </c>
      <c r="DF11" s="40">
        <f t="shared" ca="1" si="86"/>
        <v>668483507.87467146</v>
      </c>
      <c r="DG11" s="40">
        <f t="shared" ca="1" si="86"/>
        <v>835604384.84333932</v>
      </c>
      <c r="DH11" s="40">
        <f t="shared" ca="1" si="86"/>
        <v>1044505481.0541742</v>
      </c>
      <c r="DI11" s="40">
        <f t="shared" ca="1" si="86"/>
        <v>1305631851.3177178</v>
      </c>
      <c r="DJ11" s="40">
        <f t="shared" ca="1" si="86"/>
        <v>1632039814.1471472</v>
      </c>
      <c r="DK11" s="40">
        <f t="shared" ca="1" si="86"/>
        <v>2040049767.683934</v>
      </c>
      <c r="DL11" s="40">
        <f t="shared" ca="1" si="86"/>
        <v>2550062209.6049175</v>
      </c>
      <c r="DM11" s="40">
        <f t="shared" ca="1" si="86"/>
        <v>2765243340.4000001</v>
      </c>
      <c r="DN11" s="40">
        <f t="shared" ca="1" si="86"/>
        <v>2765243340.4000001</v>
      </c>
      <c r="DO11" s="40">
        <f t="shared" ca="1" si="86"/>
        <v>2765243340.4000001</v>
      </c>
      <c r="DP11" s="40">
        <f t="shared" ca="1" si="86"/>
        <v>2765243340.4000001</v>
      </c>
      <c r="DQ11" s="40">
        <f t="shared" ca="1" si="86"/>
        <v>2765243340.4000001</v>
      </c>
      <c r="DR11" s="40">
        <f t="shared" ca="1" si="86"/>
        <v>2765243340.4000001</v>
      </c>
      <c r="DS11" s="40">
        <f t="shared" ca="1" si="86"/>
        <v>2765243340.4000001</v>
      </c>
      <c r="DT11" s="40">
        <f t="shared" ca="1" si="86"/>
        <v>2765243340.4000001</v>
      </c>
      <c r="DU11" s="40">
        <f t="shared" ca="1" si="86"/>
        <v>2765243340.4000001</v>
      </c>
      <c r="DV11" s="40">
        <f t="shared" ca="1" si="86"/>
        <v>2765243340.4000001</v>
      </c>
      <c r="DW11" s="40">
        <f t="shared" ca="1" si="86"/>
        <v>2765243340.4000001</v>
      </c>
      <c r="DX11" s="40">
        <f t="shared" ca="1" si="86"/>
        <v>2765243340.4000001</v>
      </c>
      <c r="DY11" s="40">
        <f t="shared" ca="1" si="86"/>
        <v>2765243340.4000001</v>
      </c>
      <c r="DZ11" s="40">
        <f t="shared" ca="1" si="86"/>
        <v>2765243340.4000001</v>
      </c>
      <c r="EA11" s="40">
        <f t="shared" ca="1" si="86"/>
        <v>2765243340.4000001</v>
      </c>
      <c r="EB11" s="40">
        <f t="shared" ca="1" si="86"/>
        <v>2765243340.4000001</v>
      </c>
      <c r="EC11" s="40">
        <f t="shared" ca="1" si="86"/>
        <v>2765243340.4000001</v>
      </c>
      <c r="ED11" s="40">
        <f t="shared" ca="1" si="86"/>
        <v>2765243340.4000001</v>
      </c>
      <c r="EE11" s="40">
        <f t="shared" ca="1" si="86"/>
        <v>2765243340.4000001</v>
      </c>
      <c r="EF11" s="40">
        <f t="shared" ca="1" si="86"/>
        <v>2765243340.4000001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2765243340.4000001</v>
      </c>
      <c r="EH11" s="40">
        <f t="shared" ca="1" si="87"/>
        <v>2765243340.4000001</v>
      </c>
      <c r="EI11" s="40">
        <f t="shared" ca="1" si="87"/>
        <v>2765243340.4000001</v>
      </c>
      <c r="EJ11" s="40">
        <f t="shared" ca="1" si="87"/>
        <v>2765243340.4000001</v>
      </c>
      <c r="EK11" s="40">
        <f t="shared" ca="1" si="87"/>
        <v>2765243340.4000001</v>
      </c>
      <c r="EL11" s="40">
        <f t="shared" ca="1" si="87"/>
        <v>2765243340.4000001</v>
      </c>
      <c r="EM11" s="40">
        <f t="shared" ca="1" si="87"/>
        <v>2765243340.4000001</v>
      </c>
      <c r="EN11" s="40">
        <f t="shared" ca="1" si="87"/>
        <v>2765243340.4000001</v>
      </c>
      <c r="EO11" s="40">
        <f t="shared" ca="1" si="87"/>
        <v>2765243340.4000001</v>
      </c>
      <c r="EP11" s="40">
        <f t="shared" ca="1" si="87"/>
        <v>2765243340.4000001</v>
      </c>
      <c r="EQ11" s="40">
        <f t="shared" ca="1" si="87"/>
        <v>2765243340.4000001</v>
      </c>
      <c r="ER11" s="40">
        <f t="shared" ca="1" si="87"/>
        <v>2765243340.4000001</v>
      </c>
      <c r="ES11" s="40">
        <f t="shared" ca="1" si="87"/>
        <v>2765243340.4000001</v>
      </c>
      <c r="ET11" s="40">
        <f t="shared" ca="1" si="87"/>
        <v>2765243340.4000001</v>
      </c>
      <c r="EU11" s="40">
        <f t="shared" ca="1" si="87"/>
        <v>2765243340.4000001</v>
      </c>
      <c r="EV11" s="40">
        <f t="shared" ca="1" si="87"/>
        <v>2765243340.4000001</v>
      </c>
      <c r="EW11" s="40">
        <f t="shared" ca="1" si="87"/>
        <v>2765243340.4000001</v>
      </c>
      <c r="EX11" s="40">
        <f t="shared" ca="1" si="87"/>
        <v>2765243340.4000001</v>
      </c>
      <c r="EY11" s="40">
        <f t="shared" ca="1" si="87"/>
        <v>2765243340.4000001</v>
      </c>
      <c r="EZ11" s="40">
        <f t="shared" ca="1" si="87"/>
        <v>2765243340.4000001</v>
      </c>
      <c r="FA11" s="40">
        <f t="shared" ca="1" si="87"/>
        <v>2765243340.4000001</v>
      </c>
      <c r="FB11" s="40">
        <f t="shared" ca="1" si="87"/>
        <v>2765243340.4000001</v>
      </c>
      <c r="FC11" s="40">
        <f t="shared" ca="1" si="87"/>
        <v>2765243340.4000001</v>
      </c>
      <c r="FD11" s="40">
        <f t="shared" ca="1" si="87"/>
        <v>2765243340.4000001</v>
      </c>
      <c r="FE11" s="40">
        <f t="shared" ca="1" si="87"/>
        <v>2765243340.4000001</v>
      </c>
      <c r="FF11" s="40">
        <f t="shared" ca="1" si="87"/>
        <v>2765243340.4000001</v>
      </c>
      <c r="FG11" s="40">
        <f t="shared" ca="1" si="87"/>
        <v>2765243340.4000001</v>
      </c>
      <c r="FH11" s="40">
        <f t="shared" ca="1" si="87"/>
        <v>2765243340.4000001</v>
      </c>
      <c r="FI11" s="40">
        <f t="shared" ca="1" si="87"/>
        <v>2765243340.4000001</v>
      </c>
      <c r="FJ11" s="40">
        <f t="shared" ca="1" si="87"/>
        <v>2765243340.4000001</v>
      </c>
      <c r="FK11" s="40">
        <f t="shared" ca="1" si="87"/>
        <v>2765243340.4000001</v>
      </c>
      <c r="FL11" s="40">
        <f t="shared" ca="1" si="87"/>
        <v>2765243340.4000001</v>
      </c>
      <c r="FM11" s="40">
        <f t="shared" ca="1" si="87"/>
        <v>2765243340.4000001</v>
      </c>
      <c r="FN11" s="40">
        <f t="shared" ca="1" si="87"/>
        <v>2765243340.4000001</v>
      </c>
      <c r="FO11" s="40">
        <f t="shared" ca="1" si="87"/>
        <v>2765243340.4000001</v>
      </c>
      <c r="FP11" s="40">
        <f t="shared" ca="1" si="87"/>
        <v>2765243340.4000001</v>
      </c>
      <c r="FQ11" s="40">
        <f t="shared" ca="1" si="87"/>
        <v>2765243340.4000001</v>
      </c>
      <c r="FR11" s="40">
        <f t="shared" ca="1" si="87"/>
        <v>2765243340.4000001</v>
      </c>
      <c r="FS11" s="40">
        <f t="shared" ca="1" si="87"/>
        <v>2765243340.4000001</v>
      </c>
      <c r="FT11" s="40">
        <f t="shared" ca="1" si="87"/>
        <v>2765243340.4000001</v>
      </c>
      <c r="FU11" s="40">
        <f t="shared" ca="1" si="87"/>
        <v>2765243340.4000001</v>
      </c>
      <c r="FV11" s="40">
        <f t="shared" ca="1" si="87"/>
        <v>2765243340.4000001</v>
      </c>
      <c r="FW11" s="40">
        <f t="shared" ca="1" si="87"/>
        <v>2765243340.4000001</v>
      </c>
      <c r="FX11" s="40">
        <f t="shared" ca="1" si="87"/>
        <v>2765243340.4000001</v>
      </c>
      <c r="FY11" s="40">
        <f t="shared" ca="1" si="87"/>
        <v>2765243340.4000001</v>
      </c>
      <c r="FZ11" s="40">
        <f t="shared" ca="1" si="87"/>
        <v>2765243340.4000001</v>
      </c>
      <c r="GA11" s="40">
        <f t="shared" ca="1" si="87"/>
        <v>2765243340.4000001</v>
      </c>
      <c r="GB11" s="40">
        <f t="shared" ca="1" si="87"/>
        <v>2765243340.4000001</v>
      </c>
      <c r="GC11" s="40">
        <f t="shared" ca="1" si="87"/>
        <v>2765243340.4000001</v>
      </c>
      <c r="GD11" s="40">
        <f t="shared" ca="1" si="87"/>
        <v>2765243340.4000001</v>
      </c>
      <c r="GE11" s="40">
        <f t="shared" ca="1" si="87"/>
        <v>2765243340.4000001</v>
      </c>
      <c r="GF11" s="40">
        <f t="shared" ca="1" si="87"/>
        <v>2765243340.4000001</v>
      </c>
      <c r="GG11" s="40">
        <f t="shared" ca="1" si="87"/>
        <v>2765243340.4000001</v>
      </c>
      <c r="GH11" s="40">
        <f t="shared" ca="1" si="87"/>
        <v>2765243340.4000001</v>
      </c>
      <c r="GI11" s="40">
        <f t="shared" ca="1" si="87"/>
        <v>2765243340.4000001</v>
      </c>
      <c r="GJ11" s="40">
        <f t="shared" ca="1" si="87"/>
        <v>2765243340.4000001</v>
      </c>
      <c r="GK11" s="40">
        <f t="shared" ca="1" si="87"/>
        <v>2765243340.4000001</v>
      </c>
      <c r="GL11" s="40">
        <f t="shared" ca="1" si="87"/>
        <v>2765243340.4000001</v>
      </c>
      <c r="GM11" s="40">
        <f t="shared" ca="1" si="87"/>
        <v>2765243340.4000001</v>
      </c>
      <c r="GN11" s="40">
        <f t="shared" ca="1" si="87"/>
        <v>2765243340.4000001</v>
      </c>
      <c r="GO11" s="40">
        <f t="shared" ca="1" si="87"/>
        <v>2765243340.4000001</v>
      </c>
      <c r="GP11" s="40">
        <f t="shared" ca="1" si="87"/>
        <v>2765243340.4000001</v>
      </c>
      <c r="GQ11" s="40">
        <f t="shared" ca="1" si="87"/>
        <v>2765243340.4000001</v>
      </c>
      <c r="GR11" s="40">
        <f t="shared" ca="1" si="87"/>
        <v>2765243340.4000001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2765243340.4000001</v>
      </c>
      <c r="GT11" s="40">
        <f t="shared" ca="1" si="88"/>
        <v>2765243340.4000001</v>
      </c>
      <c r="GU11" s="40">
        <f t="shared" ca="1" si="88"/>
        <v>2765243340.4000001</v>
      </c>
      <c r="GV11" s="40">
        <f t="shared" ca="1" si="88"/>
        <v>2765243340.4000001</v>
      </c>
      <c r="GW11" s="40">
        <f t="shared" ca="1" si="88"/>
        <v>2765243340.4000001</v>
      </c>
      <c r="GX11" s="40">
        <f t="shared" ca="1" si="88"/>
        <v>2765243340.4000001</v>
      </c>
      <c r="GY11" s="40">
        <f t="shared" ca="1" si="88"/>
        <v>2765243340.4000001</v>
      </c>
      <c r="GZ11" s="40">
        <f t="shared" ca="1" si="88"/>
        <v>2765243340.4000001</v>
      </c>
      <c r="HA11" s="40">
        <f t="shared" ca="1" si="88"/>
        <v>2765243340.4000001</v>
      </c>
      <c r="HB11" s="40">
        <f t="shared" ca="1" si="88"/>
        <v>2765243340.4000001</v>
      </c>
      <c r="HC11" s="40">
        <f t="shared" ca="1" si="88"/>
        <v>2765243340.4000001</v>
      </c>
      <c r="HD11" s="40">
        <f t="shared" ca="1" si="88"/>
        <v>2765243340.4000001</v>
      </c>
      <c r="HE11" s="40">
        <f t="shared" ca="1" si="88"/>
        <v>2765243340.4000001</v>
      </c>
      <c r="HF11" s="40">
        <f t="shared" ca="1" si="88"/>
        <v>2765243340.4000001</v>
      </c>
      <c r="HG11" s="40">
        <f t="shared" ca="1" si="88"/>
        <v>2765243340.4000001</v>
      </c>
      <c r="HH11" s="40">
        <f t="shared" ca="1" si="88"/>
        <v>2765243340.4000001</v>
      </c>
      <c r="HI11" s="40">
        <f t="shared" ca="1" si="88"/>
        <v>2765243340.4000001</v>
      </c>
      <c r="HJ11" s="40">
        <f t="shared" ca="1" si="88"/>
        <v>2765243340.4000001</v>
      </c>
      <c r="HK11" s="40">
        <f t="shared" ca="1" si="88"/>
        <v>2765243340.4000001</v>
      </c>
      <c r="HL11" s="40">
        <f t="shared" ca="1" si="88"/>
        <v>2765243340.4000001</v>
      </c>
      <c r="HM11" s="40">
        <f t="shared" ca="1" si="88"/>
        <v>2765243340.4000001</v>
      </c>
      <c r="HN11" s="40">
        <f t="shared" ca="1" si="88"/>
        <v>2765243340.4000001</v>
      </c>
      <c r="HO11" s="40">
        <f t="shared" ca="1" si="88"/>
        <v>2765243340.4000001</v>
      </c>
      <c r="HP11" s="40">
        <f t="shared" ca="1" si="88"/>
        <v>2765243340.4000001</v>
      </c>
      <c r="HQ11" s="40">
        <f t="shared" ca="1" si="88"/>
        <v>2765243340.4000001</v>
      </c>
      <c r="HR11" s="40">
        <f t="shared" ca="1" si="88"/>
        <v>2765243340.4000001</v>
      </c>
      <c r="HS11" s="40">
        <f t="shared" ca="1" si="88"/>
        <v>2765243340.4000001</v>
      </c>
      <c r="HT11" s="40">
        <f t="shared" ca="1" si="88"/>
        <v>2765243340.4000001</v>
      </c>
      <c r="HU11" s="40">
        <f t="shared" ca="1" si="88"/>
        <v>2765243340.4000001</v>
      </c>
      <c r="HV11" s="40">
        <f t="shared" ca="1" si="88"/>
        <v>2765243340.4000001</v>
      </c>
      <c r="HW11" s="40">
        <f t="shared" ca="1" si="88"/>
        <v>2765243340.4000001</v>
      </c>
      <c r="HX11" s="40">
        <f t="shared" ca="1" si="88"/>
        <v>2765243340.4000001</v>
      </c>
      <c r="HY11" s="40">
        <f t="shared" ca="1" si="88"/>
        <v>2765243340.4000001</v>
      </c>
      <c r="HZ11" s="40">
        <f t="shared" ca="1" si="88"/>
        <v>2765243340.4000001</v>
      </c>
      <c r="IA11" s="40">
        <f t="shared" ca="1" si="88"/>
        <v>2765243340.4000001</v>
      </c>
      <c r="IB11" s="40">
        <f t="shared" ca="1" si="88"/>
        <v>2765243340.4000001</v>
      </c>
      <c r="IC11" s="40">
        <f t="shared" ca="1" si="88"/>
        <v>2765243340.4000001</v>
      </c>
      <c r="ID11" s="40">
        <f t="shared" ca="1" si="88"/>
        <v>2765243340.4000001</v>
      </c>
      <c r="IE11" s="40">
        <f t="shared" ca="1" si="88"/>
        <v>2765243340.4000001</v>
      </c>
      <c r="IF11" s="40">
        <f t="shared" ca="1" si="88"/>
        <v>2765243340.4000001</v>
      </c>
      <c r="IG11" s="40">
        <f t="shared" ca="1" si="88"/>
        <v>2765243340.4000001</v>
      </c>
      <c r="IH11" s="40">
        <f t="shared" ca="1" si="88"/>
        <v>2765243340.4000001</v>
      </c>
      <c r="II11" s="40">
        <f t="shared" ca="1" si="88"/>
        <v>2765243340.4000001</v>
      </c>
      <c r="IJ11" s="40">
        <f t="shared" ca="1" si="88"/>
        <v>2765243340.4000001</v>
      </c>
      <c r="IK11" s="40">
        <f t="shared" ca="1" si="88"/>
        <v>2765243340.4000001</v>
      </c>
      <c r="IL11" s="40">
        <f t="shared" ca="1" si="88"/>
        <v>2765243340.4000001</v>
      </c>
      <c r="IM11" s="40">
        <f t="shared" ca="1" si="88"/>
        <v>2765243340.4000001</v>
      </c>
      <c r="IN11" s="40">
        <f t="shared" ca="1" si="88"/>
        <v>2765243340.4000001</v>
      </c>
    </row>
    <row r="12" spans="2:248" x14ac:dyDescent="0.3">
      <c r="B12" s="19" t="s">
        <v>527</v>
      </c>
      <c r="C12" s="74">
        <f>VLOOKUP(B2,Days_Since_100!C:G,5,FALSE)-1</f>
        <v>8.7674011325648449E-2</v>
      </c>
      <c r="E12" s="19">
        <v>0.4</v>
      </c>
      <c r="F12" s="19" t="s">
        <v>452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555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565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654.5</v>
      </c>
      <c r="J12" s="40">
        <f t="shared" ca="1" si="91"/>
        <v>1224</v>
      </c>
      <c r="K12" s="40">
        <f t="shared" ca="1" si="91"/>
        <v>1940.25</v>
      </c>
      <c r="L12" s="40">
        <f t="shared" ca="1" si="91"/>
        <v>2751</v>
      </c>
      <c r="M12" s="40">
        <f t="shared" ca="1" si="91"/>
        <v>5371.5</v>
      </c>
      <c r="N12" s="40">
        <f t="shared" ca="1" si="91"/>
        <v>5970.7142857142853</v>
      </c>
      <c r="O12" s="40">
        <f t="shared" ca="1" si="91"/>
        <v>8010.625</v>
      </c>
      <c r="P12" s="40">
        <f t="shared" ca="1" si="91"/>
        <v>9669.3333333333339</v>
      </c>
      <c r="Q12" s="40">
        <f t="shared" ca="1" si="91"/>
        <v>11740.5</v>
      </c>
      <c r="R12" s="40">
        <f t="shared" ca="1" si="91"/>
        <v>16391.545454545456</v>
      </c>
      <c r="S12" s="40">
        <f t="shared" ca="1" si="91"/>
        <v>18721</v>
      </c>
      <c r="T12" s="40">
        <f t="shared" ca="1" si="91"/>
        <v>22206</v>
      </c>
      <c r="U12" s="40">
        <f t="shared" ca="1" si="91"/>
        <v>25202</v>
      </c>
      <c r="V12" s="40">
        <f t="shared" ca="1" si="91"/>
        <v>27428</v>
      </c>
      <c r="W12" s="40">
        <f t="shared" ca="1" si="91"/>
        <v>29983</v>
      </c>
      <c r="X12" s="40">
        <f t="shared" ca="1" si="91"/>
        <v>28204</v>
      </c>
      <c r="Y12" s="40">
        <f t="shared" ca="1" si="91"/>
        <v>32561</v>
      </c>
      <c r="Z12" s="40">
        <f t="shared" ca="1" si="91"/>
        <v>31521</v>
      </c>
      <c r="AA12" s="40">
        <f t="shared" ca="1" si="91"/>
        <v>32189</v>
      </c>
      <c r="AB12" s="40">
        <f t="shared" ca="1" si="91"/>
        <v>35325</v>
      </c>
      <c r="AC12" s="40">
        <f t="shared" ca="1" si="91"/>
        <v>37751</v>
      </c>
      <c r="AD12" s="40">
        <f t="shared" ca="1" si="91"/>
        <v>42659</v>
      </c>
      <c r="AE12" s="40">
        <f t="shared" ca="1" si="91"/>
        <v>39734</v>
      </c>
      <c r="AF12" s="40">
        <f t="shared" ca="1" si="91"/>
        <v>38357</v>
      </c>
      <c r="AG12" s="40">
        <f t="shared" ca="1" si="91"/>
        <v>37687</v>
      </c>
      <c r="AH12" s="40">
        <f t="shared" ca="1" si="91"/>
        <v>35525</v>
      </c>
      <c r="AI12" s="40">
        <f t="shared" ca="1" si="91"/>
        <v>34001</v>
      </c>
      <c r="AJ12" s="40">
        <f t="shared" ca="1" si="91"/>
        <v>31211</v>
      </c>
      <c r="AK12" s="40">
        <f t="shared" ca="1" si="91"/>
        <v>29888</v>
      </c>
      <c r="AL12" s="40">
        <f t="shared" ca="1" si="91"/>
        <v>29988</v>
      </c>
      <c r="AM12" s="40">
        <f t="shared" ca="1" si="91"/>
        <v>21017</v>
      </c>
      <c r="AN12" s="40">
        <f t="shared" ca="1" si="91"/>
        <v>7769</v>
      </c>
      <c r="AO12" s="40">
        <f t="shared" ca="1" si="91"/>
        <v>5544</v>
      </c>
      <c r="AP12" s="40">
        <f t="shared" ca="1" si="91"/>
        <v>8903</v>
      </c>
      <c r="AQ12" s="40">
        <f t="shared" ca="1" si="91"/>
        <v>8112</v>
      </c>
      <c r="AR12" s="40">
        <f t="shared" ca="1" si="91"/>
        <v>7768</v>
      </c>
      <c r="AS12" s="40">
        <f t="shared" ca="1" si="91"/>
        <v>8133</v>
      </c>
      <c r="AT12" s="40">
        <f t="shared" ca="1" si="91"/>
        <v>11469</v>
      </c>
      <c r="AU12" s="40">
        <f t="shared" ca="1" si="91"/>
        <v>12782</v>
      </c>
      <c r="AV12" s="40">
        <f t="shared" ca="1" si="91"/>
        <v>14426</v>
      </c>
      <c r="AW12" s="40">
        <f t="shared" ca="1" si="91"/>
        <v>14138</v>
      </c>
      <c r="AX12" s="40">
        <f t="shared" ca="1" si="91"/>
        <v>17714</v>
      </c>
      <c r="AY12" s="40">
        <f t="shared" ca="1" si="91"/>
        <v>20947</v>
      </c>
      <c r="AZ12" s="40">
        <f t="shared" ca="1" si="91"/>
        <v>23797</v>
      </c>
      <c r="BA12" s="40">
        <f t="shared" ca="1" si="91"/>
        <v>26479</v>
      </c>
      <c r="BB12" s="40">
        <f t="shared" ca="1" si="91"/>
        <v>28338</v>
      </c>
      <c r="BC12" s="40">
        <f t="shared" ca="1" si="91"/>
        <v>31781</v>
      </c>
      <c r="BD12" s="40">
        <f t="shared" ca="1" si="91"/>
        <v>36330</v>
      </c>
      <c r="BE12" s="40">
        <f t="shared" ca="1" si="91"/>
        <v>40592</v>
      </c>
      <c r="BF12" s="40">
        <f t="shared" ca="1" si="91"/>
        <v>50698</v>
      </c>
      <c r="BG12" s="40">
        <f t="shared" ca="1" si="91"/>
        <v>58087</v>
      </c>
      <c r="BH12" s="40">
        <f t="shared" ca="1" si="91"/>
        <v>67946</v>
      </c>
      <c r="BI12" s="40">
        <f t="shared" ca="1" si="91"/>
        <v>77142</v>
      </c>
      <c r="BJ12" s="40">
        <f t="shared" ca="1" si="91"/>
        <v>86862</v>
      </c>
      <c r="BK12" s="40">
        <f t="shared" ca="1" si="91"/>
        <v>99513</v>
      </c>
      <c r="BL12" s="40">
        <f t="shared" ca="1" si="91"/>
        <v>123033</v>
      </c>
      <c r="BM12" s="40">
        <f t="shared" ca="1" si="91"/>
        <v>147196</v>
      </c>
      <c r="BN12" s="40">
        <f t="shared" ca="1" si="91"/>
        <v>171841</v>
      </c>
      <c r="BO12" s="40">
        <f t="shared" ca="1" si="91"/>
        <v>193563</v>
      </c>
      <c r="BP12" s="40">
        <f t="shared" ca="1" si="91"/>
        <v>225717</v>
      </c>
      <c r="BQ12" s="40">
        <f t="shared" ca="1" si="91"/>
        <v>247324</v>
      </c>
      <c r="BR12" s="40">
        <f t="shared" ca="1" si="91"/>
        <v>284803</v>
      </c>
      <c r="BS12" s="40">
        <f t="shared" ca="1" si="91"/>
        <v>330557</v>
      </c>
      <c r="BT12" s="40">
        <f t="shared" ca="1" si="91"/>
        <v>377957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424808</v>
      </c>
      <c r="BV12" s="40">
        <f t="shared" ca="1" si="92"/>
        <v>465176</v>
      </c>
      <c r="BW12" s="40">
        <f t="shared" ca="1" si="92"/>
        <v>489932</v>
      </c>
      <c r="BX12" s="40">
        <f t="shared" ca="1" si="92"/>
        <v>536688</v>
      </c>
      <c r="BY12" s="40">
        <f t="shared" ca="1" si="92"/>
        <v>578055</v>
      </c>
      <c r="BZ12" s="40">
        <f t="shared" ca="1" si="92"/>
        <v>627403</v>
      </c>
      <c r="CA12" s="40">
        <f t="shared" ca="1" si="92"/>
        <v>662034</v>
      </c>
      <c r="CB12" s="40">
        <f t="shared" ca="1" si="92"/>
        <v>926847.6</v>
      </c>
      <c r="CC12" s="40">
        <f t="shared" ca="1" si="92"/>
        <v>1297586.6399999999</v>
      </c>
      <c r="CD12" s="40">
        <f t="shared" ca="1" si="92"/>
        <v>1816621.2959999999</v>
      </c>
      <c r="CE12" s="40">
        <f t="shared" ca="1" si="92"/>
        <v>2543269.8143999996</v>
      </c>
      <c r="CF12" s="40">
        <f t="shared" ca="1" si="92"/>
        <v>3560577.7401599991</v>
      </c>
      <c r="CG12" s="40">
        <f t="shared" ca="1" si="92"/>
        <v>4984808.8362239981</v>
      </c>
      <c r="CH12" s="40">
        <f t="shared" ca="1" si="92"/>
        <v>6978732.3707135972</v>
      </c>
      <c r="CI12" s="40">
        <f t="shared" ca="1" si="92"/>
        <v>9770225.3189990353</v>
      </c>
      <c r="CJ12" s="40">
        <f t="shared" ca="1" si="92"/>
        <v>13678315.446598649</v>
      </c>
      <c r="CK12" s="40">
        <f t="shared" ca="1" si="92"/>
        <v>19149641.625238106</v>
      </c>
      <c r="CL12" s="40">
        <f t="shared" ca="1" si="92"/>
        <v>26809498.275333345</v>
      </c>
      <c r="CM12" s="40">
        <f t="shared" ca="1" si="92"/>
        <v>37533297.585466683</v>
      </c>
      <c r="CN12" s="40">
        <f t="shared" ca="1" si="92"/>
        <v>52546616.619653352</v>
      </c>
      <c r="CO12" s="40">
        <f t="shared" ca="1" si="92"/>
        <v>73565263.267514691</v>
      </c>
      <c r="CP12" s="40">
        <f t="shared" ca="1" si="92"/>
        <v>102991368.57452056</v>
      </c>
      <c r="CQ12" s="40">
        <f t="shared" ca="1" si="92"/>
        <v>144187916.00432876</v>
      </c>
      <c r="CR12" s="40">
        <f t="shared" ca="1" si="92"/>
        <v>201863082.40606025</v>
      </c>
      <c r="CS12" s="40">
        <f t="shared" ca="1" si="92"/>
        <v>282608315.36848432</v>
      </c>
      <c r="CT12" s="40">
        <f t="shared" ca="1" si="92"/>
        <v>395651641.51587802</v>
      </c>
      <c r="CU12" s="40">
        <f t="shared" ca="1" si="92"/>
        <v>553912298.12222922</v>
      </c>
      <c r="CV12" s="40">
        <f t="shared" ca="1" si="92"/>
        <v>775477217.37112081</v>
      </c>
      <c r="CW12" s="40">
        <f t="shared" ca="1" si="92"/>
        <v>1085668104.3195691</v>
      </c>
      <c r="CX12" s="40">
        <f t="shared" ca="1" si="92"/>
        <v>1519935346.0473967</v>
      </c>
      <c r="CY12" s="40">
        <f t="shared" ca="1" si="92"/>
        <v>2127909484.4663551</v>
      </c>
      <c r="CZ12" s="40">
        <f t="shared" ca="1" si="92"/>
        <v>2765243340.4000001</v>
      </c>
      <c r="DA12" s="40">
        <f t="shared" ca="1" si="92"/>
        <v>2765243340.4000001</v>
      </c>
      <c r="DB12" s="40">
        <f t="shared" ca="1" si="92"/>
        <v>2765243340.4000001</v>
      </c>
      <c r="DC12" s="40">
        <f t="shared" ca="1" si="92"/>
        <v>2765243340.4000001</v>
      </c>
      <c r="DD12" s="40">
        <f t="shared" ca="1" si="92"/>
        <v>2765243340.4000001</v>
      </c>
      <c r="DE12" s="40">
        <f t="shared" ca="1" si="92"/>
        <v>2765243340.4000001</v>
      </c>
      <c r="DF12" s="40">
        <f t="shared" ca="1" si="92"/>
        <v>2765243340.4000001</v>
      </c>
      <c r="DG12" s="40">
        <f t="shared" ca="1" si="92"/>
        <v>2765243340.4000001</v>
      </c>
      <c r="DH12" s="40">
        <f t="shared" ca="1" si="92"/>
        <v>2765243340.4000001</v>
      </c>
      <c r="DI12" s="40">
        <f t="shared" ca="1" si="92"/>
        <v>2765243340.4000001</v>
      </c>
      <c r="DJ12" s="40">
        <f t="shared" ca="1" si="92"/>
        <v>2765243340.4000001</v>
      </c>
      <c r="DK12" s="40">
        <f t="shared" ca="1" si="92"/>
        <v>2765243340.4000001</v>
      </c>
      <c r="DL12" s="40">
        <f t="shared" ca="1" si="92"/>
        <v>2765243340.4000001</v>
      </c>
      <c r="DM12" s="40">
        <f t="shared" ca="1" si="92"/>
        <v>2765243340.4000001</v>
      </c>
      <c r="DN12" s="40">
        <f t="shared" ca="1" si="92"/>
        <v>2765243340.4000001</v>
      </c>
      <c r="DO12" s="40">
        <f t="shared" ca="1" si="92"/>
        <v>2765243340.4000001</v>
      </c>
      <c r="DP12" s="40">
        <f t="shared" ca="1" si="92"/>
        <v>2765243340.4000001</v>
      </c>
      <c r="DQ12" s="40">
        <f t="shared" ca="1" si="92"/>
        <v>2765243340.4000001</v>
      </c>
      <c r="DR12" s="40">
        <f t="shared" ca="1" si="92"/>
        <v>2765243340.4000001</v>
      </c>
      <c r="DS12" s="40">
        <f t="shared" ca="1" si="92"/>
        <v>2765243340.4000001</v>
      </c>
      <c r="DT12" s="40">
        <f t="shared" ca="1" si="92"/>
        <v>2765243340.4000001</v>
      </c>
      <c r="DU12" s="40">
        <f t="shared" ca="1" si="92"/>
        <v>2765243340.4000001</v>
      </c>
      <c r="DV12" s="40">
        <f t="shared" ca="1" si="92"/>
        <v>2765243340.4000001</v>
      </c>
      <c r="DW12" s="40">
        <f t="shared" ca="1" si="92"/>
        <v>2765243340.4000001</v>
      </c>
      <c r="DX12" s="40">
        <f t="shared" ca="1" si="92"/>
        <v>2765243340.4000001</v>
      </c>
      <c r="DY12" s="40">
        <f t="shared" ca="1" si="92"/>
        <v>2765243340.4000001</v>
      </c>
      <c r="DZ12" s="40">
        <f t="shared" ca="1" si="92"/>
        <v>2765243340.4000001</v>
      </c>
      <c r="EA12" s="40">
        <f t="shared" ca="1" si="92"/>
        <v>2765243340.4000001</v>
      </c>
      <c r="EB12" s="40">
        <f t="shared" ca="1" si="92"/>
        <v>2765243340.4000001</v>
      </c>
      <c r="EC12" s="40">
        <f t="shared" ca="1" si="92"/>
        <v>2765243340.4000001</v>
      </c>
      <c r="ED12" s="40">
        <f t="shared" ca="1" si="92"/>
        <v>2765243340.4000001</v>
      </c>
      <c r="EE12" s="40">
        <f t="shared" ca="1" si="92"/>
        <v>2765243340.4000001</v>
      </c>
      <c r="EF12" s="40">
        <f t="shared" ca="1" si="92"/>
        <v>2765243340.4000001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2765243340.4000001</v>
      </c>
      <c r="EH12" s="40">
        <f t="shared" ca="1" si="93"/>
        <v>2765243340.4000001</v>
      </c>
      <c r="EI12" s="40">
        <f t="shared" ca="1" si="93"/>
        <v>2765243340.4000001</v>
      </c>
      <c r="EJ12" s="40">
        <f t="shared" ca="1" si="93"/>
        <v>2765243340.4000001</v>
      </c>
      <c r="EK12" s="40">
        <f t="shared" ca="1" si="93"/>
        <v>2765243340.4000001</v>
      </c>
      <c r="EL12" s="40">
        <f t="shared" ca="1" si="93"/>
        <v>2765243340.4000001</v>
      </c>
      <c r="EM12" s="40">
        <f t="shared" ca="1" si="93"/>
        <v>2765243340.4000001</v>
      </c>
      <c r="EN12" s="40">
        <f t="shared" ca="1" si="93"/>
        <v>2765243340.4000001</v>
      </c>
      <c r="EO12" s="40">
        <f t="shared" ca="1" si="93"/>
        <v>2765243340.4000001</v>
      </c>
      <c r="EP12" s="40">
        <f t="shared" ca="1" si="93"/>
        <v>2765243340.4000001</v>
      </c>
      <c r="EQ12" s="40">
        <f t="shared" ca="1" si="93"/>
        <v>2765243340.4000001</v>
      </c>
      <c r="ER12" s="40">
        <f t="shared" ca="1" si="93"/>
        <v>2765243340.4000001</v>
      </c>
      <c r="ES12" s="40">
        <f t="shared" ca="1" si="93"/>
        <v>2765243340.4000001</v>
      </c>
      <c r="ET12" s="40">
        <f t="shared" ca="1" si="93"/>
        <v>2765243340.4000001</v>
      </c>
      <c r="EU12" s="40">
        <f t="shared" ca="1" si="93"/>
        <v>2765243340.4000001</v>
      </c>
      <c r="EV12" s="40">
        <f t="shared" ca="1" si="93"/>
        <v>2765243340.4000001</v>
      </c>
      <c r="EW12" s="40">
        <f t="shared" ca="1" si="93"/>
        <v>2765243340.4000001</v>
      </c>
      <c r="EX12" s="40">
        <f t="shared" ca="1" si="93"/>
        <v>2765243340.4000001</v>
      </c>
      <c r="EY12" s="40">
        <f t="shared" ca="1" si="93"/>
        <v>2765243340.4000001</v>
      </c>
      <c r="EZ12" s="40">
        <f t="shared" ca="1" si="93"/>
        <v>2765243340.4000001</v>
      </c>
      <c r="FA12" s="40">
        <f t="shared" ca="1" si="93"/>
        <v>2765243340.4000001</v>
      </c>
      <c r="FB12" s="40">
        <f t="shared" ca="1" si="93"/>
        <v>2765243340.4000001</v>
      </c>
      <c r="FC12" s="40">
        <f t="shared" ca="1" si="93"/>
        <v>2765243340.4000001</v>
      </c>
      <c r="FD12" s="40">
        <f t="shared" ca="1" si="93"/>
        <v>2765243340.4000001</v>
      </c>
      <c r="FE12" s="40">
        <f t="shared" ca="1" si="93"/>
        <v>2765243340.4000001</v>
      </c>
      <c r="FF12" s="40">
        <f t="shared" ca="1" si="93"/>
        <v>2765243340.4000001</v>
      </c>
      <c r="FG12" s="40">
        <f t="shared" ca="1" si="93"/>
        <v>2765243340.4000001</v>
      </c>
      <c r="FH12" s="40">
        <f t="shared" ca="1" si="93"/>
        <v>2765243340.4000001</v>
      </c>
      <c r="FI12" s="40">
        <f t="shared" ca="1" si="93"/>
        <v>2765243340.4000001</v>
      </c>
      <c r="FJ12" s="40">
        <f t="shared" ca="1" si="93"/>
        <v>2765243340.4000001</v>
      </c>
      <c r="FK12" s="40">
        <f t="shared" ca="1" si="93"/>
        <v>2765243340.4000001</v>
      </c>
      <c r="FL12" s="40">
        <f t="shared" ca="1" si="93"/>
        <v>2765243340.4000001</v>
      </c>
      <c r="FM12" s="40">
        <f t="shared" ca="1" si="93"/>
        <v>2765243340.4000001</v>
      </c>
      <c r="FN12" s="40">
        <f t="shared" ca="1" si="93"/>
        <v>2765243340.4000001</v>
      </c>
      <c r="FO12" s="40">
        <f t="shared" ca="1" si="93"/>
        <v>2765243340.4000001</v>
      </c>
      <c r="FP12" s="40">
        <f t="shared" ca="1" si="93"/>
        <v>2765243340.4000001</v>
      </c>
      <c r="FQ12" s="40">
        <f t="shared" ca="1" si="93"/>
        <v>2765243340.4000001</v>
      </c>
      <c r="FR12" s="40">
        <f t="shared" ca="1" si="93"/>
        <v>2765243340.4000001</v>
      </c>
      <c r="FS12" s="40">
        <f t="shared" ca="1" si="93"/>
        <v>2765243340.4000001</v>
      </c>
      <c r="FT12" s="40">
        <f t="shared" ca="1" si="93"/>
        <v>2765243340.4000001</v>
      </c>
      <c r="FU12" s="40">
        <f t="shared" ca="1" si="93"/>
        <v>2765243340.4000001</v>
      </c>
      <c r="FV12" s="40">
        <f t="shared" ca="1" si="93"/>
        <v>2765243340.4000001</v>
      </c>
      <c r="FW12" s="40">
        <f t="shared" ca="1" si="93"/>
        <v>2765243340.4000001</v>
      </c>
      <c r="FX12" s="40">
        <f t="shared" ca="1" si="93"/>
        <v>2765243340.4000001</v>
      </c>
      <c r="FY12" s="40">
        <f t="shared" ca="1" si="93"/>
        <v>2765243340.4000001</v>
      </c>
      <c r="FZ12" s="40">
        <f t="shared" ca="1" si="93"/>
        <v>2765243340.4000001</v>
      </c>
      <c r="GA12" s="40">
        <f t="shared" ca="1" si="93"/>
        <v>2765243340.4000001</v>
      </c>
      <c r="GB12" s="40">
        <f t="shared" ca="1" si="93"/>
        <v>2765243340.4000001</v>
      </c>
      <c r="GC12" s="40">
        <f t="shared" ca="1" si="93"/>
        <v>2765243340.4000001</v>
      </c>
      <c r="GD12" s="40">
        <f t="shared" ca="1" si="93"/>
        <v>2765243340.4000001</v>
      </c>
      <c r="GE12" s="40">
        <f t="shared" ca="1" si="93"/>
        <v>2765243340.4000001</v>
      </c>
      <c r="GF12" s="40">
        <f t="shared" ca="1" si="93"/>
        <v>2765243340.4000001</v>
      </c>
      <c r="GG12" s="40">
        <f t="shared" ca="1" si="93"/>
        <v>2765243340.4000001</v>
      </c>
      <c r="GH12" s="40">
        <f t="shared" ca="1" si="93"/>
        <v>2765243340.4000001</v>
      </c>
      <c r="GI12" s="40">
        <f t="shared" ca="1" si="93"/>
        <v>2765243340.4000001</v>
      </c>
      <c r="GJ12" s="40">
        <f t="shared" ca="1" si="93"/>
        <v>2765243340.4000001</v>
      </c>
      <c r="GK12" s="40">
        <f t="shared" ca="1" si="93"/>
        <v>2765243340.4000001</v>
      </c>
      <c r="GL12" s="40">
        <f t="shared" ca="1" si="93"/>
        <v>2765243340.4000001</v>
      </c>
      <c r="GM12" s="40">
        <f t="shared" ca="1" si="93"/>
        <v>2765243340.4000001</v>
      </c>
      <c r="GN12" s="40">
        <f t="shared" ca="1" si="93"/>
        <v>2765243340.4000001</v>
      </c>
      <c r="GO12" s="40">
        <f t="shared" ca="1" si="93"/>
        <v>2765243340.4000001</v>
      </c>
      <c r="GP12" s="40">
        <f t="shared" ca="1" si="93"/>
        <v>2765243340.4000001</v>
      </c>
      <c r="GQ12" s="40">
        <f t="shared" ca="1" si="93"/>
        <v>2765243340.4000001</v>
      </c>
      <c r="GR12" s="40">
        <f t="shared" ca="1" si="93"/>
        <v>2765243340.4000001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2765243340.4000001</v>
      </c>
      <c r="GT12" s="40">
        <f t="shared" ca="1" si="94"/>
        <v>2765243340.4000001</v>
      </c>
      <c r="GU12" s="40">
        <f t="shared" ca="1" si="94"/>
        <v>2765243340.4000001</v>
      </c>
      <c r="GV12" s="40">
        <f t="shared" ca="1" si="94"/>
        <v>2765243340.4000001</v>
      </c>
      <c r="GW12" s="40">
        <f t="shared" ca="1" si="94"/>
        <v>2765243340.4000001</v>
      </c>
      <c r="GX12" s="40">
        <f t="shared" ca="1" si="94"/>
        <v>2765243340.4000001</v>
      </c>
      <c r="GY12" s="40">
        <f t="shared" ca="1" si="94"/>
        <v>2765243340.4000001</v>
      </c>
      <c r="GZ12" s="40">
        <f t="shared" ca="1" si="94"/>
        <v>2765243340.4000001</v>
      </c>
      <c r="HA12" s="40">
        <f t="shared" ca="1" si="94"/>
        <v>2765243340.4000001</v>
      </c>
      <c r="HB12" s="40">
        <f t="shared" ca="1" si="94"/>
        <v>2765243340.4000001</v>
      </c>
      <c r="HC12" s="40">
        <f t="shared" ca="1" si="94"/>
        <v>2765243340.4000001</v>
      </c>
      <c r="HD12" s="40">
        <f t="shared" ca="1" si="94"/>
        <v>2765243340.4000001</v>
      </c>
      <c r="HE12" s="40">
        <f t="shared" ca="1" si="94"/>
        <v>2765243340.4000001</v>
      </c>
      <c r="HF12" s="40">
        <f t="shared" ca="1" si="94"/>
        <v>2765243340.4000001</v>
      </c>
      <c r="HG12" s="40">
        <f t="shared" ca="1" si="94"/>
        <v>2765243340.4000001</v>
      </c>
      <c r="HH12" s="40">
        <f t="shared" ca="1" si="94"/>
        <v>2765243340.4000001</v>
      </c>
      <c r="HI12" s="40">
        <f t="shared" ca="1" si="94"/>
        <v>2765243340.4000001</v>
      </c>
      <c r="HJ12" s="40">
        <f t="shared" ca="1" si="94"/>
        <v>2765243340.4000001</v>
      </c>
      <c r="HK12" s="40">
        <f t="shared" ca="1" si="94"/>
        <v>2765243340.4000001</v>
      </c>
      <c r="HL12" s="40">
        <f t="shared" ca="1" si="94"/>
        <v>2765243340.4000001</v>
      </c>
      <c r="HM12" s="40">
        <f t="shared" ca="1" si="94"/>
        <v>2765243340.4000001</v>
      </c>
      <c r="HN12" s="40">
        <f t="shared" ca="1" si="94"/>
        <v>2765243340.4000001</v>
      </c>
      <c r="HO12" s="40">
        <f t="shared" ca="1" si="94"/>
        <v>2765243340.4000001</v>
      </c>
      <c r="HP12" s="40">
        <f t="shared" ca="1" si="94"/>
        <v>2765243340.4000001</v>
      </c>
      <c r="HQ12" s="40">
        <f t="shared" ca="1" si="94"/>
        <v>2765243340.4000001</v>
      </c>
      <c r="HR12" s="40">
        <f t="shared" ca="1" si="94"/>
        <v>2765243340.4000001</v>
      </c>
      <c r="HS12" s="40">
        <f t="shared" ca="1" si="94"/>
        <v>2765243340.4000001</v>
      </c>
      <c r="HT12" s="40">
        <f t="shared" ca="1" si="94"/>
        <v>2765243340.4000001</v>
      </c>
      <c r="HU12" s="40">
        <f t="shared" ca="1" si="94"/>
        <v>2765243340.4000001</v>
      </c>
      <c r="HV12" s="40">
        <f t="shared" ca="1" si="94"/>
        <v>2765243340.4000001</v>
      </c>
      <c r="HW12" s="40">
        <f t="shared" ca="1" si="94"/>
        <v>2765243340.4000001</v>
      </c>
      <c r="HX12" s="40">
        <f t="shared" ca="1" si="94"/>
        <v>2765243340.4000001</v>
      </c>
      <c r="HY12" s="40">
        <f t="shared" ca="1" si="94"/>
        <v>2765243340.4000001</v>
      </c>
      <c r="HZ12" s="40">
        <f t="shared" ca="1" si="94"/>
        <v>2765243340.4000001</v>
      </c>
      <c r="IA12" s="40">
        <f t="shared" ca="1" si="94"/>
        <v>2765243340.4000001</v>
      </c>
      <c r="IB12" s="40">
        <f t="shared" ca="1" si="94"/>
        <v>2765243340.4000001</v>
      </c>
      <c r="IC12" s="40">
        <f t="shared" ca="1" si="94"/>
        <v>2765243340.4000001</v>
      </c>
      <c r="ID12" s="40">
        <f t="shared" ca="1" si="94"/>
        <v>2765243340.4000001</v>
      </c>
      <c r="IE12" s="40">
        <f t="shared" ca="1" si="94"/>
        <v>2765243340.4000001</v>
      </c>
      <c r="IF12" s="40">
        <f t="shared" ca="1" si="94"/>
        <v>2765243340.4000001</v>
      </c>
      <c r="IG12" s="40">
        <f t="shared" ca="1" si="94"/>
        <v>2765243340.4000001</v>
      </c>
      <c r="IH12" s="40">
        <f t="shared" ca="1" si="94"/>
        <v>2765243340.4000001</v>
      </c>
      <c r="II12" s="40">
        <f t="shared" ca="1" si="94"/>
        <v>2765243340.4000001</v>
      </c>
      <c r="IJ12" s="40">
        <f t="shared" ca="1" si="94"/>
        <v>2765243340.4000001</v>
      </c>
      <c r="IK12" s="40">
        <f t="shared" ca="1" si="94"/>
        <v>2765243340.4000001</v>
      </c>
      <c r="IL12" s="40">
        <f t="shared" ca="1" si="94"/>
        <v>2765243340.4000001</v>
      </c>
      <c r="IM12" s="40">
        <f t="shared" ca="1" si="94"/>
        <v>2765243340.4000001</v>
      </c>
      <c r="IN12" s="40">
        <f t="shared" ca="1" si="94"/>
        <v>2765243340.4000001</v>
      </c>
    </row>
    <row r="13" spans="2:248" x14ac:dyDescent="0.3">
      <c r="B13" s="19" t="s">
        <v>585</v>
      </c>
      <c r="C13" s="74">
        <f ca="1">HLOOKUP($C$5-1,G4:IN17,14,FALSE)</f>
        <v>0.11547901903301543</v>
      </c>
      <c r="F13" s="19" t="s">
        <v>586</v>
      </c>
      <c r="G13" s="74"/>
      <c r="H13" s="53">
        <f ca="1">IF(ISNA(G5),NA(),IF(H4&lt;$C$10,(H5/OFFSET(H5,0,-H4))^(1/(H4)),(H5/OFFSET(H5,0,-$C$10))^(1/$C$10))-1)</f>
        <v>0.17837837837837833</v>
      </c>
      <c r="I13" s="53">
        <f ca="1">IF(ISNA(H5),NA(),IF(I4&lt;$C$10,(I5/OFFSET(I5,0,-I4))^(1/(I4)),(I5/OFFSET(I5,0,-$C$10))^(1/$C$10))-1)</f>
        <v>0.30211193662276803</v>
      </c>
      <c r="J13" s="53">
        <f t="shared" ref="J13:BT13" ca="1" si="95">IF(ISNA(I5),NA(),IF(J4&lt;$C$10,(J5/OFFSET(J5,0,-J4))^(1/(J4)),(J5/OFFSET(J5,0,-$C$10))^(1/$C$10))-1)</f>
        <v>0.37220413196990787</v>
      </c>
      <c r="K13" s="53">
        <f t="shared" ca="1" si="95"/>
        <v>0.39768158485775307</v>
      </c>
      <c r="L13" s="53">
        <f ca="1">IF(ISNA(K5),NA(),IF(L4&lt;$C$10,(L5/OFFSET(L5,0,-L4))^(1/(L4)),(L5/OFFSET(L5,0,-$C$10))^(1/$C$10))-1)</f>
        <v>0.39452385522342603</v>
      </c>
      <c r="M13" s="53">
        <f t="shared" ca="1" si="95"/>
        <v>0.53525369860390182</v>
      </c>
      <c r="N13" s="53">
        <f t="shared" ca="1" si="95"/>
        <v>0.45640707295532668</v>
      </c>
      <c r="O13" s="53">
        <f t="shared" ca="1" si="95"/>
        <v>0.41844448236855825</v>
      </c>
      <c r="P13" s="53">
        <f t="shared" ca="1" si="95"/>
        <v>0.3620040946662324</v>
      </c>
      <c r="Q13" s="53">
        <f t="shared" ca="1" si="95"/>
        <v>0.32686373170492389</v>
      </c>
      <c r="R13" s="53">
        <f t="shared" ca="1" si="95"/>
        <v>0.2465190387445364</v>
      </c>
      <c r="S13" s="53">
        <f t="shared" ca="1" si="95"/>
        <v>0.2638249970798936</v>
      </c>
      <c r="T13" s="53">
        <f ca="1">IF(ISNA(S5),NA(),IF(T4&lt;$C$10,(T5/OFFSET(T5,0,-T4))^(1/(T4)),(T5/OFFSET(T5,0,-$C$10))^(1/$C$10))-1)</f>
        <v>0.23745190530376425</v>
      </c>
      <c r="U13" s="53">
        <f t="shared" ca="1" si="95"/>
        <v>0.22723657344239179</v>
      </c>
      <c r="V13" s="53">
        <f t="shared" ca="1" si="95"/>
        <v>0.20665287860811965</v>
      </c>
      <c r="W13" s="53">
        <f t="shared" ca="1" si="95"/>
        <v>0.15382552601345578</v>
      </c>
      <c r="X13" s="53">
        <f t="shared" ca="1" si="95"/>
        <v>0.13263791146583914</v>
      </c>
      <c r="Y13" s="53">
        <f t="shared" ca="1" si="95"/>
        <v>0.10904212715438288</v>
      </c>
      <c r="Z13" s="53">
        <f t="shared" ca="1" si="95"/>
        <v>9.0548689020141016E-2</v>
      </c>
      <c r="AA13" s="53">
        <f t="shared" ca="1" si="95"/>
        <v>7.7219324787428212E-2</v>
      </c>
      <c r="AB13" s="53">
        <f t="shared" ca="1" si="95"/>
        <v>7.9335309376768137E-2</v>
      </c>
      <c r="AC13" s="53">
        <f ca="1">IF(ISNA(AB5),NA(),IF(AC4&lt;$C$10,(AC5/OFFSET(AC5,0,-AC4))^(1/(AC4)),(AC5/OFFSET(AC5,0,-$C$10))^(1/$C$10))-1)</f>
        <v>0.10187025278261608</v>
      </c>
      <c r="AD13" s="53">
        <f t="shared" ca="1" si="95"/>
        <v>0.10709181020924374</v>
      </c>
      <c r="AE13" s="53">
        <f t="shared" ca="1" si="95"/>
        <v>0.10030039651221156</v>
      </c>
      <c r="AF13" s="53">
        <f t="shared" ca="1" si="95"/>
        <v>9.6715304449580985E-2</v>
      </c>
      <c r="AG13" s="53">
        <f ca="1">IF(ISNA(AF5),NA(),IF(AG4&lt;$C$10,(AG5/OFFSET(AG5,0,-AG4))^(1/(AG4)),(AG5/OFFSET(AG5,0,-$C$10))^(1/$C$10))-1)</f>
        <v>7.6812039726928294E-2</v>
      </c>
      <c r="AH13" s="53">
        <f t="shared" ca="1" si="95"/>
        <v>4.3834343129949049E-2</v>
      </c>
      <c r="AI13" s="53">
        <f t="shared" ca="1" si="95"/>
        <v>2.3884371080393985E-2</v>
      </c>
      <c r="AJ13" s="53">
        <f t="shared" ca="1" si="95"/>
        <v>1.9092522788870081E-2</v>
      </c>
      <c r="AK13" s="53">
        <f t="shared" ca="1" si="95"/>
        <v>1.4571441398385732E-2</v>
      </c>
      <c r="AL13" s="53">
        <f t="shared" ca="1" si="95"/>
        <v>1.3721840003865449E-2</v>
      </c>
      <c r="AM13" s="53">
        <f t="shared" ca="1" si="95"/>
        <v>9.6595518362532218E-3</v>
      </c>
      <c r="AN13" s="53">
        <f t="shared" ca="1" si="95"/>
        <v>1.0064882141351372E-2</v>
      </c>
      <c r="AO13" s="53">
        <f t="shared" ca="1" si="95"/>
        <v>1.0755636114101019E-2</v>
      </c>
      <c r="AP13" s="53">
        <f t="shared" ca="1" si="95"/>
        <v>1.1538724052702731E-2</v>
      </c>
      <c r="AQ13" s="53">
        <f t="shared" ca="1" si="95"/>
        <v>1.0313922278768484E-2</v>
      </c>
      <c r="AR13" s="53">
        <f t="shared" ca="1" si="95"/>
        <v>1.2802495225639143E-2</v>
      </c>
      <c r="AS13" s="53">
        <f t="shared" ca="1" si="95"/>
        <v>1.5812487847684631E-2</v>
      </c>
      <c r="AT13" s="53">
        <f t="shared" ca="1" si="95"/>
        <v>1.9192564302259019E-2</v>
      </c>
      <c r="AU13" s="53">
        <f t="shared" ca="1" si="95"/>
        <v>2.1189083915554185E-2</v>
      </c>
      <c r="AV13" s="53">
        <f t="shared" ca="1" si="95"/>
        <v>2.347631365662517E-2</v>
      </c>
      <c r="AW13" s="53">
        <f t="shared" ca="1" si="95"/>
        <v>2.5101288450587012E-2</v>
      </c>
      <c r="AX13" s="53">
        <f t="shared" ca="1" si="95"/>
        <v>2.6398214845837042E-2</v>
      </c>
      <c r="AY13" s="53">
        <f t="shared" ca="1" si="95"/>
        <v>2.8905915744533273E-2</v>
      </c>
      <c r="AZ13" s="53">
        <f t="shared" ca="1" si="95"/>
        <v>3.2472826691140488E-2</v>
      </c>
      <c r="BA13" s="53">
        <f t="shared" ca="1" si="95"/>
        <v>3.4380128420893108E-2</v>
      </c>
      <c r="BB13" s="53">
        <f t="shared" ca="1" si="95"/>
        <v>3.6345527929654731E-2</v>
      </c>
      <c r="BC13" s="53">
        <f t="shared" ca="1" si="95"/>
        <v>3.939857307810879E-2</v>
      </c>
      <c r="BD13" s="53">
        <f t="shared" ca="1" si="95"/>
        <v>4.3610921011051129E-2</v>
      </c>
      <c r="BE13" s="53">
        <f t="shared" ca="1" si="95"/>
        <v>4.7401321080948522E-2</v>
      </c>
      <c r="BF13" s="53">
        <f t="shared" ca="1" si="95"/>
        <v>5.7767400079105524E-2</v>
      </c>
      <c r="BG13" s="53">
        <f t="shared" ca="1" si="95"/>
        <v>6.59654424125804E-2</v>
      </c>
      <c r="BH13" s="53">
        <f t="shared" ca="1" si="95"/>
        <v>7.3135682593070017E-2</v>
      </c>
      <c r="BI13" s="53">
        <f t="shared" ca="1" si="95"/>
        <v>7.6323670884435479E-2</v>
      </c>
      <c r="BJ13" s="53">
        <f t="shared" ca="1" si="95"/>
        <v>8.1684314884543641E-2</v>
      </c>
      <c r="BK13" s="53">
        <f t="shared" ca="1" si="95"/>
        <v>8.1649631321816685E-2</v>
      </c>
      <c r="BL13" s="53">
        <f t="shared" ca="1" si="95"/>
        <v>9.2765841997173304E-2</v>
      </c>
      <c r="BM13" s="53">
        <f ca="1">IF(ISNA(BL5),NA(),IF(BM4&lt;$C$10,(BM5/OFFSET(BM5,0,-BM4))^(1/(BM4)),(BM5/OFFSET(BM5,0,-$C$10))^(1/$C$10))-1)</f>
        <v>0.10059859684232619</v>
      </c>
      <c r="BN13" s="53">
        <f t="shared" ca="1" si="95"/>
        <v>0.10896934608376485</v>
      </c>
      <c r="BO13" s="53">
        <f t="shared" ca="1" si="95"/>
        <v>0.11331372234409898</v>
      </c>
      <c r="BP13" s="53">
        <f t="shared" ca="1" si="95"/>
        <v>0.11991227877449129</v>
      </c>
      <c r="BQ13" s="53">
        <f t="shared" ca="1" si="95"/>
        <v>0.11465398506582725</v>
      </c>
      <c r="BR13" s="53">
        <f ca="1">IF(ISNA(BQ5),NA(),IF(BR4&lt;$C$10,(BR5/OFFSET(BR5,0,-BR4))^(1/(BR4)),(BR5/OFFSET(BR5,0,-$C$10))^(1/$C$10))-1)</f>
        <v>0.11452255377484466</v>
      </c>
      <c r="BS13" s="53">
        <f t="shared" ca="1" si="95"/>
        <v>0.11716000269651672</v>
      </c>
      <c r="BT13" s="53">
        <f t="shared" ca="1" si="95"/>
        <v>0.11985548792687983</v>
      </c>
      <c r="BU13" s="53">
        <f t="shared" ref="BU13:EF13" ca="1" si="96">IF(ISNA(BT5),NA(),IF(BU4&lt;$C$10,(BU5/OFFSET(BU5,0,-BU4))^(1/(BU4)),(BU5/OFFSET(BU5,0,-$C$10))^(1/$C$10))-1)</f>
        <v>0.11807153101544299</v>
      </c>
      <c r="BV13" s="53">
        <f t="shared" ca="1" si="96"/>
        <v>0.1149310866715807</v>
      </c>
      <c r="BW13" s="53">
        <f t="shared" ca="1" si="96"/>
        <v>0.10844549997461272</v>
      </c>
      <c r="BX13" s="53">
        <f t="shared" ca="1" si="96"/>
        <v>0.10126531539614869</v>
      </c>
      <c r="BY13" s="53">
        <f t="shared" ca="1" si="96"/>
        <v>9.4741439774854497E-2</v>
      </c>
      <c r="BZ13" s="53">
        <f t="shared" ca="1" si="96"/>
        <v>8.9309393389287894E-2</v>
      </c>
      <c r="CA13" s="53">
        <f t="shared" ca="1" si="96"/>
        <v>8.7674011325648449E-2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451</v>
      </c>
      <c r="C14" s="21">
        <f>C4*(1+C12)</f>
        <v>1188073.9362890851</v>
      </c>
      <c r="F14" s="19" t="s">
        <v>600</v>
      </c>
      <c r="G14" s="53">
        <f ca="1">H14</f>
        <v>1.8018018018018056E-2</v>
      </c>
      <c r="H14" s="53">
        <f ca="1">IF(ISNA(G8),NA(),IF(H4&lt;$C$10,(H8/OFFSET(H8,0,-H4))^(1/(H4)),(H8/OFFSET(H8,0,-$C$10))^(1/$C$10))-1)</f>
        <v>1.8018018018018056E-2</v>
      </c>
      <c r="I14" s="53">
        <f t="shared" ref="I14:BT14" ca="1" si="99">IF(ISNA(H8),NA(),IF(I4&lt;$C$10,(I8/OFFSET(I8,0,-I4))^(1/(I4)),(I8/OFFSET(I8,0,-$C$10))^(1/$C$10))-1)</f>
        <v>8.5946259848653561E-2</v>
      </c>
      <c r="J14" s="53">
        <f t="shared" ca="1" si="99"/>
        <v>0.30165576111264292</v>
      </c>
      <c r="K14" s="53">
        <f t="shared" ca="1" si="99"/>
        <v>0.36738615172579969</v>
      </c>
      <c r="L14" s="53">
        <f t="shared" ca="1" si="99"/>
        <v>0.37733480273715059</v>
      </c>
      <c r="M14" s="53">
        <f t="shared" ca="1" si="99"/>
        <v>0.56895116664089951</v>
      </c>
      <c r="N14" s="53">
        <f t="shared" ca="1" si="99"/>
        <v>0.55604921112887928</v>
      </c>
      <c r="O14" s="53">
        <f t="shared" ca="1" si="99"/>
        <v>0.45605237400141152</v>
      </c>
      <c r="P14" s="53">
        <f t="shared" ca="1" si="99"/>
        <v>0.37882061494847652</v>
      </c>
      <c r="Q14" s="53">
        <f t="shared" ca="1" si="99"/>
        <v>0.33671616641810154</v>
      </c>
      <c r="R14" s="53">
        <f t="shared" ca="1" si="99"/>
        <v>0.24998518137375547</v>
      </c>
      <c r="S14" s="53">
        <f t="shared" ca="1" si="99"/>
        <v>0.25678373272301247</v>
      </c>
      <c r="T14" s="53">
        <f t="shared" ca="1" si="99"/>
        <v>0.22619851762266974</v>
      </c>
      <c r="U14" s="53">
        <f t="shared" ca="1" si="99"/>
        <v>0.21117722301627695</v>
      </c>
      <c r="V14" s="53">
        <f t="shared" ca="1" si="99"/>
        <v>0.18495404980363772</v>
      </c>
      <c r="W14" s="53">
        <f t="shared" ca="1" si="99"/>
        <v>0.1283687150498074</v>
      </c>
      <c r="X14" s="53">
        <f t="shared" ca="1" si="99"/>
        <v>8.54162833352341E-2</v>
      </c>
      <c r="Y14" s="53">
        <f t="shared" ca="1" si="99"/>
        <v>7.9556756355114278E-2</v>
      </c>
      <c r="Z14" s="53">
        <f t="shared" ca="1" si="99"/>
        <v>4.5762335159649226E-2</v>
      </c>
      <c r="AA14" s="53">
        <f t="shared" ca="1" si="99"/>
        <v>3.2529976097482649E-2</v>
      </c>
      <c r="AB14" s="53">
        <f t="shared" ca="1" si="99"/>
        <v>3.3335660418406299E-2</v>
      </c>
      <c r="AC14" s="53">
        <f t="shared" ca="1" si="99"/>
        <v>6.0043166820877181E-2</v>
      </c>
      <c r="AD14" s="53">
        <f t="shared" ca="1" si="99"/>
        <v>5.5510571282548549E-2</v>
      </c>
      <c r="AE14" s="53">
        <f t="shared" ca="1" si="99"/>
        <v>4.7399735982935898E-2</v>
      </c>
      <c r="AF14" s="53">
        <f t="shared" ca="1" si="99"/>
        <v>3.5684387592362254E-2</v>
      </c>
      <c r="AG14" s="53">
        <f t="shared" ca="1" si="99"/>
        <v>1.3029003111225457E-2</v>
      </c>
      <c r="AH14" s="53">
        <f t="shared" ca="1" si="99"/>
        <v>-1.2081483966239648E-2</v>
      </c>
      <c r="AI14" s="53">
        <f t="shared" ca="1" si="99"/>
        <v>-4.4355853701425696E-2</v>
      </c>
      <c r="AJ14" s="53">
        <f t="shared" ca="1" si="99"/>
        <v>-4.7140037048407302E-2</v>
      </c>
      <c r="AK14" s="53">
        <f ca="1">IF(ISNA(AJ8),NA(),IF(AK4&lt;$C$10,(AK8/OFFSET(AK8,0,-AK4))^(1/(AK4)),(AK8/OFFSET(AK8,0,-$C$10))^(1/$C$10))-1)</f>
        <v>-4.8671638393620431E-2</v>
      </c>
      <c r="AL14" s="53">
        <f t="shared" ca="1" si="99"/>
        <v>-4.4674903409993805E-2</v>
      </c>
      <c r="AM14" s="53">
        <f t="shared" ca="1" si="99"/>
        <v>-9.9658378276844428E-2</v>
      </c>
      <c r="AN14" s="53">
        <f t="shared" ca="1" si="99"/>
        <v>-0.25565429588225663</v>
      </c>
      <c r="AO14" s="53">
        <f t="shared" ca="1" si="99"/>
        <v>-0.29221214284757924</v>
      </c>
      <c r="AP14" s="53">
        <f t="shared" ca="1" si="99"/>
        <v>-0.21511161238527821</v>
      </c>
      <c r="AQ14" s="53">
        <f t="shared" ca="1" si="99"/>
        <v>-0.23009686516119554</v>
      </c>
      <c r="AR14" s="53">
        <f t="shared" ca="1" si="99"/>
        <v>-0.18050237639330602</v>
      </c>
      <c r="AS14" s="53">
        <f t="shared" ca="1" si="99"/>
        <v>9.1997404928367832E-3</v>
      </c>
      <c r="AT14" s="53">
        <f t="shared" ca="1" si="99"/>
        <v>0.1564862303414758</v>
      </c>
      <c r="AU14" s="53">
        <f t="shared" ca="1" si="99"/>
        <v>7.5009959864900111E-2</v>
      </c>
      <c r="AV14" s="53">
        <f t="shared" ca="1" si="99"/>
        <v>0.12202774779134606</v>
      </c>
      <c r="AW14" s="53">
        <f t="shared" ca="1" si="99"/>
        <v>0.12723834095062125</v>
      </c>
      <c r="AX14" s="53">
        <f t="shared" ca="1" si="99"/>
        <v>0.16845818088559517</v>
      </c>
      <c r="AY14" s="53">
        <f t="shared" ca="1" si="99"/>
        <v>0.12802637954993945</v>
      </c>
      <c r="AZ14" s="53">
        <f t="shared" ca="1" si="99"/>
        <v>0.13236041647353392</v>
      </c>
      <c r="BA14" s="53">
        <f t="shared" ca="1" si="99"/>
        <v>0.12914867788308193</v>
      </c>
      <c r="BB14" s="53">
        <f t="shared" ca="1" si="99"/>
        <v>0.14920165755631665</v>
      </c>
      <c r="BC14" s="53">
        <f t="shared" ca="1" si="99"/>
        <v>0.12401002212316281</v>
      </c>
      <c r="BD14" s="53">
        <f t="shared" ca="1" si="99"/>
        <v>0.11642284061867425</v>
      </c>
      <c r="BE14" s="53">
        <f t="shared" ca="1" si="99"/>
        <v>0.11271424479582004</v>
      </c>
      <c r="BF14" s="53">
        <f t="shared" ca="1" si="99"/>
        <v>0.1387223624451468</v>
      </c>
      <c r="BG14" s="53">
        <f t="shared" ca="1" si="99"/>
        <v>0.15436180941809496</v>
      </c>
      <c r="BH14" s="53">
        <f t="shared" ca="1" si="99"/>
        <v>0.16412406539603785</v>
      </c>
      <c r="BI14" s="53">
        <f t="shared" ca="1" si="99"/>
        <v>0.16253249016681059</v>
      </c>
      <c r="BJ14" s="53">
        <f t="shared" ca="1" si="99"/>
        <v>0.16433479195518452</v>
      </c>
      <c r="BK14" s="53">
        <f t="shared" ca="1" si="99"/>
        <v>0.14439986629748836</v>
      </c>
      <c r="BL14" s="53">
        <f t="shared" ca="1" si="99"/>
        <v>0.16195292444149234</v>
      </c>
      <c r="BM14" s="53">
        <f t="shared" ca="1" si="99"/>
        <v>0.16720307413565827</v>
      </c>
      <c r="BN14" s="53">
        <f t="shared" ca="1" si="99"/>
        <v>0.17372722797755946</v>
      </c>
      <c r="BO14" s="53">
        <f t="shared" ca="1" si="99"/>
        <v>0.17381188895563038</v>
      </c>
      <c r="BP14" s="53">
        <f t="shared" ca="1" si="99"/>
        <v>0.17797721467676619</v>
      </c>
      <c r="BQ14" s="53">
        <f t="shared" ca="1" si="99"/>
        <v>0.14987049291071353</v>
      </c>
      <c r="BR14" s="53">
        <f t="shared" ca="1" si="99"/>
        <v>0.14111577784436014</v>
      </c>
      <c r="BS14" s="53">
        <f t="shared" ca="1" si="99"/>
        <v>0.13978756202718001</v>
      </c>
      <c r="BT14" s="53">
        <f t="shared" ca="1" si="99"/>
        <v>0.14320472222425296</v>
      </c>
      <c r="BU14" s="53">
        <f t="shared" ref="BU14:EF14" ca="1" si="100">IF(ISNA(BT8),NA(),IF(BU4&lt;$C$10,(BU8/OFFSET(BU8,0,-BU4))^(1/(BU4)),(BU8/OFFSET(BU8,0,-$C$10))^(1/$C$10))-1)</f>
        <v>0.13481660909280779</v>
      </c>
      <c r="BV14" s="53">
        <f t="shared" ca="1" si="100"/>
        <v>0.13467165931235558</v>
      </c>
      <c r="BW14" s="53">
        <f t="shared" ca="1" si="100"/>
        <v>0.11459797410656525</v>
      </c>
      <c r="BX14" s="53">
        <f t="shared" ca="1" si="100"/>
        <v>0.1017805598820396</v>
      </c>
      <c r="BY14" s="53">
        <f t="shared" ca="1" si="100"/>
        <v>8.8692807591367329E-2</v>
      </c>
      <c r="BZ14" s="53">
        <f t="shared" ca="1" si="100"/>
        <v>8.1112231344552477E-2</v>
      </c>
      <c r="CA14" s="53">
        <f t="shared" ca="1" si="100"/>
        <v>7.3130649414204774E-2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4.7E-2</v>
      </c>
      <c r="E15" s="93"/>
      <c r="F15" s="19" t="s">
        <v>567</v>
      </c>
      <c r="G15" s="53">
        <f ca="1">H15</f>
        <v>5.8823529411764719E-2</v>
      </c>
      <c r="H15" s="53">
        <f t="shared" ref="H15:BS15" ca="1" si="103">IF(ISNA(G6),NA(),IF(H4-$C$9&lt;$C$10,(H6/OFFSET(H6,0,-H4+$C$9))^(1/(H4-$C$9)),(H6/OFFSET(H6,0,-$C$10))^(1/$C$10))-1)</f>
        <v>5.8823529411764719E-2</v>
      </c>
      <c r="I15" s="53">
        <f t="shared" ca="1" si="103"/>
        <v>0.23669388480168463</v>
      </c>
      <c r="J15" s="53">
        <f t="shared" ca="1" si="103"/>
        <v>0.35186541120788095</v>
      </c>
      <c r="K15" s="53">
        <f t="shared" ca="1" si="103"/>
        <v>0.34720838252516084</v>
      </c>
      <c r="L15" s="53">
        <f t="shared" ca="1" si="103"/>
        <v>0.36984991212006024</v>
      </c>
      <c r="M15" s="53">
        <f t="shared" ca="1" si="103"/>
        <v>0.48730404166081853</v>
      </c>
      <c r="N15" s="53">
        <f t="shared" ca="1" si="103"/>
        <v>0.38603966410700363</v>
      </c>
      <c r="O15" s="53">
        <f t="shared" ca="1" si="103"/>
        <v>0.32418713431439827</v>
      </c>
      <c r="P15" s="53">
        <f t="shared" ca="1" si="103"/>
        <v>0.30628612910681352</v>
      </c>
      <c r="Q15" s="53">
        <f t="shared" ca="1" si="103"/>
        <v>0.25862740099739701</v>
      </c>
      <c r="R15" s="53">
        <f t="shared" ca="1" si="103"/>
        <v>0.22542702822963379</v>
      </c>
      <c r="S15" s="53">
        <f t="shared" ca="1" si="103"/>
        <v>0.26215180184615483</v>
      </c>
      <c r="T15" s="53">
        <f t="shared" ca="1" si="103"/>
        <v>0.23536074914669602</v>
      </c>
      <c r="U15" s="53">
        <f t="shared" ca="1" si="103"/>
        <v>0.21501013358599508</v>
      </c>
      <c r="V15" s="53">
        <f t="shared" ca="1" si="103"/>
        <v>0.19607358379436612</v>
      </c>
      <c r="W15" s="53">
        <f t="shared" ca="1" si="103"/>
        <v>0.14710735393710372</v>
      </c>
      <c r="X15" s="53">
        <f t="shared" ca="1" si="103"/>
        <v>0.13601767510298957</v>
      </c>
      <c r="Y15" s="53">
        <f t="shared" ca="1" si="103"/>
        <v>0.12988077455018643</v>
      </c>
      <c r="Z15" s="53">
        <f t="shared" ca="1" si="103"/>
        <v>0.1242582114187023</v>
      </c>
      <c r="AA15" s="53">
        <f t="shared" ca="1" si="103"/>
        <v>0.11913165813702342</v>
      </c>
      <c r="AB15" s="53">
        <f t="shared" ca="1" si="103"/>
        <v>9.2301632259450539E-2</v>
      </c>
      <c r="AC15" s="53">
        <f t="shared" ca="1" si="103"/>
        <v>0.11209140079615088</v>
      </c>
      <c r="AD15" s="53">
        <f t="shared" ca="1" si="103"/>
        <v>0.10946687745914963</v>
      </c>
      <c r="AE15" s="53">
        <f t="shared" ca="1" si="103"/>
        <v>0.10462052941447819</v>
      </c>
      <c r="AF15" s="53">
        <f t="shared" ca="1" si="103"/>
        <v>9.7224813214065842E-2</v>
      </c>
      <c r="AG15" s="53">
        <f t="shared" ca="1" si="103"/>
        <v>0.10812056215488464</v>
      </c>
      <c r="AH15" s="53">
        <f t="shared" ca="1" si="103"/>
        <v>7.9200116483885363E-2</v>
      </c>
      <c r="AI15" s="53">
        <f t="shared" ca="1" si="103"/>
        <v>6.8585053290947107E-2</v>
      </c>
      <c r="AJ15" s="53">
        <f t="shared" ca="1" si="103"/>
        <v>6.1471332805561607E-2</v>
      </c>
      <c r="AK15" s="53">
        <f t="shared" ca="1" si="103"/>
        <v>4.9067028902882281E-2</v>
      </c>
      <c r="AL15" s="53">
        <f t="shared" ca="1" si="103"/>
        <v>5.6258697627572518E-2</v>
      </c>
      <c r="AM15" s="53">
        <f t="shared" ca="1" si="103"/>
        <v>4.2051396515422113E-2</v>
      </c>
      <c r="AN15" s="53">
        <f t="shared" ca="1" si="103"/>
        <v>4.3541844774332983E-2</v>
      </c>
      <c r="AO15" s="53">
        <f t="shared" ca="1" si="103"/>
        <v>3.7982866370688928E-2</v>
      </c>
      <c r="AP15" s="53">
        <f t="shared" ca="1" si="103"/>
        <v>4.2251536563530534E-2</v>
      </c>
      <c r="AQ15" s="53">
        <f t="shared" ca="1" si="103"/>
        <v>2.7295986728967492E-2</v>
      </c>
      <c r="AR15" s="53">
        <f t="shared" ca="1" si="103"/>
        <v>3.0520469627012048E-2</v>
      </c>
      <c r="AS15" s="53">
        <f t="shared" ca="1" si="103"/>
        <v>2.249849339344534E-2</v>
      </c>
      <c r="AT15" s="53">
        <f t="shared" ca="1" si="103"/>
        <v>2.0236328452923891E-2</v>
      </c>
      <c r="AU15" s="53">
        <f t="shared" ca="1" si="103"/>
        <v>2.1672026773052799E-2</v>
      </c>
      <c r="AV15" s="53">
        <f t="shared" ca="1" si="103"/>
        <v>2.336621162538588E-2</v>
      </c>
      <c r="AW15" s="53">
        <f t="shared" ca="1" si="103"/>
        <v>2.5340157568064958E-2</v>
      </c>
      <c r="AX15" s="53">
        <f t="shared" ca="1" si="103"/>
        <v>2.6312617111201364E-2</v>
      </c>
      <c r="AY15" s="53">
        <f t="shared" ca="1" si="103"/>
        <v>2.9272166986501036E-2</v>
      </c>
      <c r="AZ15" s="53">
        <f t="shared" ca="1" si="103"/>
        <v>2.8993552702980097E-2</v>
      </c>
      <c r="BA15" s="53">
        <f t="shared" ca="1" si="103"/>
        <v>3.775038447643797E-2</v>
      </c>
      <c r="BB15" s="53">
        <f t="shared" ca="1" si="103"/>
        <v>4.1590588349435853E-2</v>
      </c>
      <c r="BC15" s="53">
        <f t="shared" ca="1" si="103"/>
        <v>4.9540095963274355E-2</v>
      </c>
      <c r="BD15" s="53">
        <f t="shared" ca="1" si="103"/>
        <v>5.9346478986689544E-2</v>
      </c>
      <c r="BE15" s="53">
        <f t="shared" ca="1" si="103"/>
        <v>6.8541383916450149E-2</v>
      </c>
      <c r="BF15" s="53">
        <f t="shared" ca="1" si="103"/>
        <v>7.3034069273674618E-2</v>
      </c>
      <c r="BG15" s="53">
        <f t="shared" ca="1" si="103"/>
        <v>7.8561391224887256E-2</v>
      </c>
      <c r="BH15" s="53">
        <f t="shared" ca="1" si="103"/>
        <v>8.7814592743404418E-2</v>
      </c>
      <c r="BI15" s="53">
        <f t="shared" ca="1" si="103"/>
        <v>9.0860214639579384E-2</v>
      </c>
      <c r="BJ15" s="53">
        <f t="shared" ca="1" si="103"/>
        <v>9.9148270095491764E-2</v>
      </c>
      <c r="BK15" s="53">
        <f t="shared" ca="1" si="103"/>
        <v>0.10439785550213321</v>
      </c>
      <c r="BL15" s="53">
        <f t="shared" ca="1" si="103"/>
        <v>0.114350696498837</v>
      </c>
      <c r="BM15" s="53">
        <f t="shared" ca="1" si="103"/>
        <v>0.11733546570124664</v>
      </c>
      <c r="BN15" s="53">
        <f t="shared" ca="1" si="103"/>
        <v>0.12734308533008987</v>
      </c>
      <c r="BO15" s="53">
        <f t="shared" ca="1" si="103"/>
        <v>0.13019694659932446</v>
      </c>
      <c r="BP15" s="53">
        <f t="shared" ca="1" si="103"/>
        <v>0.13195533094674494</v>
      </c>
      <c r="BQ15" s="53">
        <f t="shared" ca="1" si="103"/>
        <v>0.13250186243454865</v>
      </c>
      <c r="BR15" s="53">
        <f t="shared" ca="1" si="103"/>
        <v>0.13384066498761427</v>
      </c>
      <c r="BS15" s="53">
        <f t="shared" ca="1" si="103"/>
        <v>0.13060691834660476</v>
      </c>
      <c r="BT15" s="53">
        <f t="shared" ref="BT15:EE15" ca="1" si="104">IF(ISNA(BS6),NA(),IF(BT4-$C$9&lt;$C$10,(BT6/OFFSET(BT6,0,-BT4+$C$9))^(1/(BT4-$C$9)),(BT6/OFFSET(BT6,0,-$C$10))^(1/$C$10))-1)</f>
        <v>0.13165796672678365</v>
      </c>
      <c r="BU15" s="53">
        <f t="shared" ca="1" si="104"/>
        <v>0.13177935595035639</v>
      </c>
      <c r="BV15" s="53">
        <f t="shared" ca="1" si="104"/>
        <v>0.12739359491218738</v>
      </c>
      <c r="BW15" s="53">
        <f t="shared" ca="1" si="104"/>
        <v>0.12149871646176136</v>
      </c>
      <c r="BX15" s="53">
        <f t="shared" ca="1" si="104"/>
        <v>0.11923716126906969</v>
      </c>
      <c r="BY15" s="53">
        <f t="shared" ca="1" si="104"/>
        <v>0.1146422457562728</v>
      </c>
      <c r="BZ15" s="53">
        <f t="shared" ca="1" si="104"/>
        <v>0.11560524367875269</v>
      </c>
      <c r="CA15" s="53">
        <f t="shared" ca="1" si="104"/>
        <v>0.11618956766402078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464</v>
      </c>
      <c r="C16" s="21" t="e">
        <f>IF(Projections!Z39="",VLOOKUP(B2,Country_Data!C:L,10,FALSE),Projections!Z39)</f>
        <v>#N/A</v>
      </c>
      <c r="E16" s="93" t="s">
        <v>584</v>
      </c>
      <c r="F16" s="19" t="s">
        <v>568</v>
      </c>
      <c r="G16" s="94">
        <f ca="1">IFERROR(AVERAGE(E14:G14),NA())</f>
        <v>1.8018018018018056E-2</v>
      </c>
      <c r="H16" s="94">
        <f t="shared" ref="H16:O16" ca="1" si="107">IFERROR(AVERAGE(F14:H14),NA())</f>
        <v>1.8018018018018056E-2</v>
      </c>
      <c r="I16" s="94">
        <f t="shared" ca="1" si="107"/>
        <v>4.066076529489656E-2</v>
      </c>
      <c r="J16" s="94">
        <f t="shared" ca="1" si="107"/>
        <v>0.13520667965977151</v>
      </c>
      <c r="K16" s="94">
        <f t="shared" ca="1" si="107"/>
        <v>0.25166272422903208</v>
      </c>
      <c r="L16" s="94">
        <f t="shared" ca="1" si="107"/>
        <v>0.34879223852519775</v>
      </c>
      <c r="M16" s="94">
        <f ca="1">IFERROR(AVERAGE(K14:M14),NA())</f>
        <v>0.43789070703461658</v>
      </c>
      <c r="N16" s="94">
        <f t="shared" ca="1" si="107"/>
        <v>0.50077839350230979</v>
      </c>
      <c r="O16" s="94">
        <f t="shared" ca="1" si="107"/>
        <v>0.5270175839237301</v>
      </c>
      <c r="P16" s="94">
        <f ca="1">IFERROR(AVERAGE(N14:P14),NA())</f>
        <v>0.46364073335958911</v>
      </c>
      <c r="Q16" s="94">
        <f t="shared" ref="Q16:AC16" ca="1" si="108">IFERROR(AVERAGE(O14:Q14),NA())</f>
        <v>0.39052971845599654</v>
      </c>
      <c r="R16" s="94">
        <f t="shared" ca="1" si="108"/>
        <v>0.32184065424677782</v>
      </c>
      <c r="S16" s="94">
        <f t="shared" ca="1" si="108"/>
        <v>0.28116169350495651</v>
      </c>
      <c r="T16" s="94">
        <f t="shared" ca="1" si="108"/>
        <v>0.24432247723981257</v>
      </c>
      <c r="U16" s="94">
        <f t="shared" ca="1" si="108"/>
        <v>0.23138649112065304</v>
      </c>
      <c r="V16" s="94">
        <f t="shared" ca="1" si="108"/>
        <v>0.20744326348086148</v>
      </c>
      <c r="W16" s="94">
        <f t="shared" ca="1" si="108"/>
        <v>0.17483332928990736</v>
      </c>
      <c r="X16" s="94">
        <f t="shared" ca="1" si="108"/>
        <v>0.13291301606289307</v>
      </c>
      <c r="Y16" s="94">
        <f t="shared" ca="1" si="108"/>
        <v>9.778058491338526E-2</v>
      </c>
      <c r="Z16" s="94">
        <f t="shared" ca="1" si="108"/>
        <v>7.0245124949999196E-2</v>
      </c>
      <c r="AA16" s="94">
        <f t="shared" ca="1" si="108"/>
        <v>5.261635587074872E-2</v>
      </c>
      <c r="AB16" s="94">
        <f t="shared" ca="1" si="108"/>
        <v>3.7209323891846058E-2</v>
      </c>
      <c r="AC16" s="94">
        <f t="shared" ca="1" si="108"/>
        <v>4.1969601112255374E-2</v>
      </c>
      <c r="AD16" s="94">
        <f ca="1">IFERROR(AVERAGE(AB14:AD14),NA())</f>
        <v>4.962979950727734E-2</v>
      </c>
      <c r="AE16" s="94">
        <f ca="1">IFERROR(AVERAGE(AC14:AE14),NA())</f>
        <v>5.4317824695453876E-2</v>
      </c>
      <c r="AF16" s="94">
        <f t="shared" ref="AF16:CP16" ca="1" si="109">IFERROR(AVERAGE(AD14:AF14),NA())</f>
        <v>4.6198231619282236E-2</v>
      </c>
      <c r="AG16" s="94">
        <f t="shared" ca="1" si="109"/>
        <v>3.2037708895507867E-2</v>
      </c>
      <c r="AH16" s="94">
        <f t="shared" ca="1" si="109"/>
        <v>1.2210635579116022E-2</v>
      </c>
      <c r="AI16" s="94">
        <f t="shared" ca="1" si="109"/>
        <v>-1.4469444852146629E-2</v>
      </c>
      <c r="AJ16" s="94">
        <f t="shared" ca="1" si="109"/>
        <v>-3.4525791572024213E-2</v>
      </c>
      <c r="AK16" s="94">
        <f t="shared" ca="1" si="109"/>
        <v>-4.6722509714484474E-2</v>
      </c>
      <c r="AL16" s="94">
        <f t="shared" ca="1" si="109"/>
        <v>-4.6828859617340513E-2</v>
      </c>
      <c r="AM16" s="94">
        <f t="shared" ca="1" si="109"/>
        <v>-6.4334973360152883E-2</v>
      </c>
      <c r="AN16" s="94">
        <f t="shared" ca="1" si="109"/>
        <v>-0.13332919252303163</v>
      </c>
      <c r="AO16" s="94">
        <f t="shared" ca="1" si="109"/>
        <v>-0.21584160566889343</v>
      </c>
      <c r="AP16" s="94">
        <f t="shared" ca="1" si="109"/>
        <v>-0.25432601703837138</v>
      </c>
      <c r="AQ16" s="94">
        <f t="shared" ca="1" si="109"/>
        <v>-0.24580687346468433</v>
      </c>
      <c r="AR16" s="94">
        <f t="shared" ca="1" si="109"/>
        <v>-0.20857028464659325</v>
      </c>
      <c r="AS16" s="94">
        <f t="shared" ca="1" si="109"/>
        <v>-0.13379983368722159</v>
      </c>
      <c r="AT16" s="94">
        <f t="shared" ca="1" si="109"/>
        <v>-4.9388018529978135E-3</v>
      </c>
      <c r="AU16" s="94">
        <f t="shared" ca="1" si="109"/>
        <v>8.0231976899737559E-2</v>
      </c>
      <c r="AV16" s="94">
        <f t="shared" ca="1" si="109"/>
        <v>0.11784131266590732</v>
      </c>
      <c r="AW16" s="94">
        <f t="shared" ca="1" si="109"/>
        <v>0.10809201620228914</v>
      </c>
      <c r="AX16" s="94">
        <f t="shared" ca="1" si="109"/>
        <v>0.1392414232091875</v>
      </c>
      <c r="AY16" s="94">
        <f t="shared" ca="1" si="109"/>
        <v>0.14124096712871861</v>
      </c>
      <c r="AZ16" s="94">
        <f t="shared" ca="1" si="109"/>
        <v>0.14294832563635618</v>
      </c>
      <c r="BA16" s="94">
        <f t="shared" ca="1" si="109"/>
        <v>0.12984515796885177</v>
      </c>
      <c r="BB16" s="94">
        <f t="shared" ca="1" si="109"/>
        <v>0.13690358397097749</v>
      </c>
      <c r="BC16" s="94">
        <f t="shared" ca="1" si="109"/>
        <v>0.13412011918752045</v>
      </c>
      <c r="BD16" s="94">
        <f t="shared" ca="1" si="109"/>
        <v>0.1298781734327179</v>
      </c>
      <c r="BE16" s="94">
        <f t="shared" ca="1" si="109"/>
        <v>0.11771570251255237</v>
      </c>
      <c r="BF16" s="94">
        <f t="shared" ca="1" si="109"/>
        <v>0.1226198159532137</v>
      </c>
      <c r="BG16" s="94">
        <f t="shared" ca="1" si="109"/>
        <v>0.13526613888635394</v>
      </c>
      <c r="BH16" s="94">
        <f t="shared" ca="1" si="109"/>
        <v>0.15240274575309321</v>
      </c>
      <c r="BI16" s="94">
        <f t="shared" ca="1" si="109"/>
        <v>0.1603394549936478</v>
      </c>
      <c r="BJ16" s="94">
        <f t="shared" ca="1" si="109"/>
        <v>0.16366378250601099</v>
      </c>
      <c r="BK16" s="94">
        <f t="shared" ca="1" si="109"/>
        <v>0.15708904947316116</v>
      </c>
      <c r="BL16" s="94">
        <f t="shared" ca="1" si="109"/>
        <v>0.15689586089805507</v>
      </c>
      <c r="BM16" s="94">
        <f t="shared" ca="1" si="109"/>
        <v>0.157851954958213</v>
      </c>
      <c r="BN16" s="94">
        <f t="shared" ca="1" si="109"/>
        <v>0.16762774218490337</v>
      </c>
      <c r="BO16" s="94">
        <f t="shared" ca="1" si="109"/>
        <v>0.17158073035628271</v>
      </c>
      <c r="BP16" s="94">
        <f t="shared" ca="1" si="109"/>
        <v>0.17517211053665202</v>
      </c>
      <c r="BQ16" s="94">
        <f t="shared" ca="1" si="109"/>
        <v>0.16721986551437004</v>
      </c>
      <c r="BR16" s="94">
        <f t="shared" ca="1" si="109"/>
        <v>0.15632116181061328</v>
      </c>
      <c r="BS16" s="94">
        <f t="shared" ca="1" si="109"/>
        <v>0.14359127759408455</v>
      </c>
      <c r="BT16" s="94">
        <f t="shared" ca="1" si="109"/>
        <v>0.14136935403193104</v>
      </c>
      <c r="BU16" s="94">
        <f t="shared" ca="1" si="109"/>
        <v>0.13926963111474691</v>
      </c>
      <c r="BV16" s="94">
        <f t="shared" ca="1" si="109"/>
        <v>0.13756433020980544</v>
      </c>
      <c r="BW16" s="94">
        <f t="shared" ca="1" si="109"/>
        <v>0.12802874750390955</v>
      </c>
      <c r="BX16" s="94">
        <f t="shared" ca="1" si="109"/>
        <v>0.11701673110032014</v>
      </c>
      <c r="BY16" s="94">
        <f t="shared" ca="1" si="109"/>
        <v>0.10169044719332405</v>
      </c>
      <c r="BZ16" s="94">
        <f t="shared" ca="1" si="109"/>
        <v>9.0528532939319797E-2</v>
      </c>
      <c r="CA16" s="94">
        <f t="shared" ca="1" si="109"/>
        <v>8.0978562783374855E-2</v>
      </c>
      <c r="CB16" s="94" t="e">
        <f t="shared" ca="1" si="109"/>
        <v>#N/A</v>
      </c>
      <c r="CC16" s="94" t="e">
        <f t="shared" ca="1" si="109"/>
        <v>#N/A</v>
      </c>
      <c r="CD16" s="94" t="e">
        <f t="shared" ca="1" si="109"/>
        <v>#N/A</v>
      </c>
      <c r="CE16" s="94" t="e">
        <f t="shared" ca="1" si="109"/>
        <v>#N/A</v>
      </c>
      <c r="CF16" s="94" t="e">
        <f t="shared" ca="1" si="109"/>
        <v>#N/A</v>
      </c>
      <c r="CG16" s="94" t="e">
        <f t="shared" ca="1" si="109"/>
        <v>#N/A</v>
      </c>
      <c r="CH16" s="94" t="e">
        <f t="shared" ca="1" si="109"/>
        <v>#N/A</v>
      </c>
      <c r="CI16" s="94" t="e">
        <f t="shared" ca="1" si="109"/>
        <v>#N/A</v>
      </c>
      <c r="CJ16" s="94" t="e">
        <f t="shared" ca="1" si="109"/>
        <v>#N/A</v>
      </c>
      <c r="CK16" s="94" t="e">
        <f t="shared" ca="1" si="109"/>
        <v>#N/A</v>
      </c>
      <c r="CL16" s="94" t="e">
        <f t="shared" ca="1" si="109"/>
        <v>#N/A</v>
      </c>
      <c r="CM16" s="94" t="e">
        <f t="shared" ca="1" si="109"/>
        <v>#N/A</v>
      </c>
      <c r="CN16" s="94" t="e">
        <f t="shared" ca="1" si="109"/>
        <v>#N/A</v>
      </c>
      <c r="CO16" s="94" t="e">
        <f t="shared" ca="1" si="109"/>
        <v>#N/A</v>
      </c>
      <c r="CP16" s="94" t="e">
        <f t="shared" ca="1" si="109"/>
        <v>#N/A</v>
      </c>
      <c r="CQ16" s="94" t="e">
        <f t="shared" ref="CQ16:FB16" ca="1" si="110">IFERROR(AVERAGE(CO14:CQ14),NA())</f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ca="1" si="110"/>
        <v>#N/A</v>
      </c>
      <c r="EG16" s="94" t="e">
        <f t="shared" ca="1" si="110"/>
        <v>#N/A</v>
      </c>
      <c r="EH16" s="94" t="e">
        <f t="shared" ca="1" si="110"/>
        <v>#N/A</v>
      </c>
      <c r="EI16" s="94" t="e">
        <f t="shared" ca="1" si="110"/>
        <v>#N/A</v>
      </c>
      <c r="EJ16" s="94" t="e">
        <f t="shared" ca="1" si="110"/>
        <v>#N/A</v>
      </c>
      <c r="EK16" s="94" t="e">
        <f t="shared" ca="1" si="110"/>
        <v>#N/A</v>
      </c>
      <c r="EL16" s="94" t="e">
        <f t="shared" ca="1" si="110"/>
        <v>#N/A</v>
      </c>
      <c r="EM16" s="94" t="e">
        <f t="shared" ca="1" si="110"/>
        <v>#N/A</v>
      </c>
      <c r="EN16" s="94" t="e">
        <f t="shared" ca="1" si="110"/>
        <v>#N/A</v>
      </c>
      <c r="EO16" s="94" t="e">
        <f t="shared" ca="1" si="110"/>
        <v>#N/A</v>
      </c>
      <c r="EP16" s="94" t="e">
        <f t="shared" ca="1" si="110"/>
        <v>#N/A</v>
      </c>
      <c r="EQ16" s="94" t="e">
        <f t="shared" ca="1" si="110"/>
        <v>#N/A</v>
      </c>
      <c r="ER16" s="94" t="e">
        <f t="shared" ca="1" si="110"/>
        <v>#N/A</v>
      </c>
      <c r="ES16" s="94" t="e">
        <f t="shared" ca="1" si="110"/>
        <v>#N/A</v>
      </c>
      <c r="ET16" s="94" t="e">
        <f t="shared" ca="1" si="110"/>
        <v>#N/A</v>
      </c>
      <c r="EU16" s="94" t="e">
        <f t="shared" ca="1" si="110"/>
        <v>#N/A</v>
      </c>
      <c r="EV16" s="94" t="e">
        <f t="shared" ca="1" si="110"/>
        <v>#N/A</v>
      </c>
      <c r="EW16" s="94" t="e">
        <f t="shared" ca="1" si="110"/>
        <v>#N/A</v>
      </c>
      <c r="EX16" s="94" t="e">
        <f t="shared" ca="1" si="110"/>
        <v>#N/A</v>
      </c>
      <c r="EY16" s="94" t="e">
        <f t="shared" ca="1" si="110"/>
        <v>#N/A</v>
      </c>
      <c r="EZ16" s="94" t="e">
        <f t="shared" ca="1" si="110"/>
        <v>#N/A</v>
      </c>
      <c r="FA16" s="94" t="e">
        <f t="shared" ca="1" si="110"/>
        <v>#N/A</v>
      </c>
      <c r="FB16" s="94" t="e">
        <f t="shared" ca="1" si="110"/>
        <v>#N/A</v>
      </c>
      <c r="FC16" s="94" t="e">
        <f t="shared" ref="FC16:HN16" ca="1" si="111">IFERROR(AVERAGE(FA14:FC14),NA())</f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ca="1" si="111"/>
        <v>#N/A</v>
      </c>
      <c r="GS16" s="94" t="e">
        <f t="shared" ca="1" si="111"/>
        <v>#N/A</v>
      </c>
      <c r="GT16" s="94" t="e">
        <f t="shared" ca="1" si="111"/>
        <v>#N/A</v>
      </c>
      <c r="GU16" s="94" t="e">
        <f t="shared" ca="1" si="111"/>
        <v>#N/A</v>
      </c>
      <c r="GV16" s="94" t="e">
        <f t="shared" ca="1" si="111"/>
        <v>#N/A</v>
      </c>
      <c r="GW16" s="94" t="e">
        <f t="shared" ca="1" si="111"/>
        <v>#N/A</v>
      </c>
      <c r="GX16" s="94" t="e">
        <f t="shared" ca="1" si="111"/>
        <v>#N/A</v>
      </c>
      <c r="GY16" s="94" t="e">
        <f t="shared" ca="1" si="111"/>
        <v>#N/A</v>
      </c>
      <c r="GZ16" s="94" t="e">
        <f t="shared" ca="1" si="111"/>
        <v>#N/A</v>
      </c>
      <c r="HA16" s="94" t="e">
        <f t="shared" ca="1" si="111"/>
        <v>#N/A</v>
      </c>
      <c r="HB16" s="94" t="e">
        <f t="shared" ca="1" si="111"/>
        <v>#N/A</v>
      </c>
      <c r="HC16" s="94" t="e">
        <f t="shared" ca="1" si="111"/>
        <v>#N/A</v>
      </c>
      <c r="HD16" s="94" t="e">
        <f t="shared" ca="1" si="111"/>
        <v>#N/A</v>
      </c>
      <c r="HE16" s="94" t="e">
        <f t="shared" ca="1" si="111"/>
        <v>#N/A</v>
      </c>
      <c r="HF16" s="94" t="e">
        <f t="shared" ca="1" si="111"/>
        <v>#N/A</v>
      </c>
      <c r="HG16" s="94" t="e">
        <f t="shared" ca="1" si="111"/>
        <v>#N/A</v>
      </c>
      <c r="HH16" s="94" t="e">
        <f t="shared" ca="1" si="111"/>
        <v>#N/A</v>
      </c>
      <c r="HI16" s="94" t="e">
        <f t="shared" ca="1" si="111"/>
        <v>#N/A</v>
      </c>
      <c r="HJ16" s="94" t="e">
        <f t="shared" ca="1" si="111"/>
        <v>#N/A</v>
      </c>
      <c r="HK16" s="94" t="e">
        <f t="shared" ca="1" si="111"/>
        <v>#N/A</v>
      </c>
      <c r="HL16" s="94" t="e">
        <f t="shared" ca="1" si="111"/>
        <v>#N/A</v>
      </c>
      <c r="HM16" s="94" t="e">
        <f t="shared" ca="1" si="111"/>
        <v>#N/A</v>
      </c>
      <c r="HN16" s="94" t="e">
        <f t="shared" ca="1" si="111"/>
        <v>#N/A</v>
      </c>
      <c r="HO16" s="94" t="e">
        <f t="shared" ref="HO16:IN16" ca="1" si="112">IFERROR(AVERAGE(HM14:HO14),NA())</f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496</v>
      </c>
      <c r="C17" s="23">
        <v>2.5000000000000001E-2</v>
      </c>
      <c r="E17" s="93" t="s">
        <v>584</v>
      </c>
      <c r="F17" s="19" t="s">
        <v>567</v>
      </c>
      <c r="G17" s="94">
        <f t="shared" ref="G17:AC17" ca="1" si="113">IFERROR(AVERAGE(E15:G15),NA())</f>
        <v>5.8823529411764719E-2</v>
      </c>
      <c r="H17" s="94">
        <f t="shared" ca="1" si="113"/>
        <v>5.8823529411764719E-2</v>
      </c>
      <c r="I17" s="94">
        <f t="shared" ca="1" si="113"/>
        <v>0.11811364787507135</v>
      </c>
      <c r="J17" s="94">
        <f t="shared" ca="1" si="113"/>
        <v>0.21579427514044344</v>
      </c>
      <c r="K17" s="94">
        <f t="shared" ca="1" si="113"/>
        <v>0.31192255951157549</v>
      </c>
      <c r="L17" s="94">
        <f t="shared" ca="1" si="113"/>
        <v>0.35630790195103401</v>
      </c>
      <c r="M17" s="94">
        <f t="shared" ca="1" si="113"/>
        <v>0.40145411210201321</v>
      </c>
      <c r="N17" s="94">
        <f t="shared" ca="1" si="113"/>
        <v>0.41439787262929412</v>
      </c>
      <c r="O17" s="94">
        <f t="shared" ca="1" si="113"/>
        <v>0.3991769466940735</v>
      </c>
      <c r="P17" s="94">
        <f t="shared" ca="1" si="113"/>
        <v>0.33883764250940512</v>
      </c>
      <c r="Q17" s="94">
        <f t="shared" ca="1" si="113"/>
        <v>0.29636688813953627</v>
      </c>
      <c r="R17" s="94">
        <f t="shared" ca="1" si="113"/>
        <v>0.2634468527779481</v>
      </c>
      <c r="S17" s="94">
        <f t="shared" ca="1" si="113"/>
        <v>0.24873541035772853</v>
      </c>
      <c r="T17" s="94">
        <f t="shared" ca="1" si="113"/>
        <v>0.24097985974082822</v>
      </c>
      <c r="U17" s="94">
        <f t="shared" ca="1" si="113"/>
        <v>0.23750756152628197</v>
      </c>
      <c r="V17" s="94">
        <f t="shared" ca="1" si="113"/>
        <v>0.21548148884235241</v>
      </c>
      <c r="W17" s="94">
        <f t="shared" ca="1" si="113"/>
        <v>0.18606369043915497</v>
      </c>
      <c r="X17" s="94">
        <f t="shared" ca="1" si="113"/>
        <v>0.1597328709448198</v>
      </c>
      <c r="Y17" s="94">
        <f t="shared" ca="1" si="113"/>
        <v>0.13766860119675992</v>
      </c>
      <c r="Z17" s="94">
        <f t="shared" ca="1" si="113"/>
        <v>0.13005222035729277</v>
      </c>
      <c r="AA17" s="94">
        <f t="shared" ca="1" si="113"/>
        <v>0.12442354803530405</v>
      </c>
      <c r="AB17" s="94">
        <f t="shared" ca="1" si="113"/>
        <v>0.11189716727172543</v>
      </c>
      <c r="AC17" s="94">
        <f t="shared" ca="1" si="113"/>
        <v>0.10784156373087495</v>
      </c>
      <c r="AD17" s="94">
        <f ca="1">IFERROR(AVERAGE(AB15:AD15),NA())</f>
        <v>0.10461997017158368</v>
      </c>
      <c r="AE17" s="94">
        <f t="shared" ref="AE17:CP17" ca="1" si="114">IFERROR(AVERAGE(AC15:AE15),NA())</f>
        <v>0.10872626922325956</v>
      </c>
      <c r="AF17" s="94">
        <f t="shared" ca="1" si="114"/>
        <v>0.10377074002923121</v>
      </c>
      <c r="AG17" s="94">
        <f t="shared" ca="1" si="114"/>
        <v>0.10332196826114289</v>
      </c>
      <c r="AH17" s="94">
        <f t="shared" ca="1" si="114"/>
        <v>9.4848497284278618E-2</v>
      </c>
      <c r="AI17" s="94">
        <f t="shared" ca="1" si="114"/>
        <v>8.530191064323904E-2</v>
      </c>
      <c r="AJ17" s="94">
        <f t="shared" ca="1" si="114"/>
        <v>6.9752167526798026E-2</v>
      </c>
      <c r="AK17" s="94">
        <f t="shared" ca="1" si="114"/>
        <v>5.9707804999796998E-2</v>
      </c>
      <c r="AL17" s="94">
        <f t="shared" ca="1" si="114"/>
        <v>5.5599019778672133E-2</v>
      </c>
      <c r="AM17" s="94">
        <f t="shared" ca="1" si="114"/>
        <v>4.9125707681958973E-2</v>
      </c>
      <c r="AN17" s="94">
        <f t="shared" ca="1" si="114"/>
        <v>4.7283979639109207E-2</v>
      </c>
      <c r="AO17" s="94">
        <f t="shared" ca="1" si="114"/>
        <v>4.1192035886814672E-2</v>
      </c>
      <c r="AP17" s="94">
        <f t="shared" ca="1" si="114"/>
        <v>4.1258749236184146E-2</v>
      </c>
      <c r="AQ17" s="94">
        <f t="shared" ca="1" si="114"/>
        <v>3.584346322106232E-2</v>
      </c>
      <c r="AR17" s="94">
        <f t="shared" ca="1" si="114"/>
        <v>3.3355997639836689E-2</v>
      </c>
      <c r="AS17" s="94">
        <f t="shared" ca="1" si="114"/>
        <v>2.677164991647496E-2</v>
      </c>
      <c r="AT17" s="94">
        <f t="shared" ca="1" si="114"/>
        <v>2.4418430491127092E-2</v>
      </c>
      <c r="AU17" s="94">
        <f t="shared" ca="1" si="114"/>
        <v>2.1468949539807342E-2</v>
      </c>
      <c r="AV17" s="94">
        <f t="shared" ca="1" si="114"/>
        <v>2.1758188950454189E-2</v>
      </c>
      <c r="AW17" s="94">
        <f t="shared" ca="1" si="114"/>
        <v>2.3459465322167878E-2</v>
      </c>
      <c r="AX17" s="94">
        <f t="shared" ca="1" si="114"/>
        <v>2.5006328768217401E-2</v>
      </c>
      <c r="AY17" s="94">
        <f t="shared" ca="1" si="114"/>
        <v>2.6974980555255785E-2</v>
      </c>
      <c r="AZ17" s="94">
        <f t="shared" ca="1" si="114"/>
        <v>2.8192778933560831E-2</v>
      </c>
      <c r="BA17" s="94">
        <f t="shared" ca="1" si="114"/>
        <v>3.200536805530637E-2</v>
      </c>
      <c r="BB17" s="94">
        <f t="shared" ca="1" si="114"/>
        <v>3.6111508509617973E-2</v>
      </c>
      <c r="BC17" s="94">
        <f t="shared" ca="1" si="114"/>
        <v>4.2960356263049393E-2</v>
      </c>
      <c r="BD17" s="94">
        <f t="shared" ca="1" si="114"/>
        <v>5.0159054433133253E-2</v>
      </c>
      <c r="BE17" s="94">
        <f t="shared" ca="1" si="114"/>
        <v>5.9142652955471352E-2</v>
      </c>
      <c r="BF17" s="94">
        <f t="shared" ca="1" si="114"/>
        <v>6.6973977392271442E-2</v>
      </c>
      <c r="BG17" s="94">
        <f t="shared" ca="1" si="114"/>
        <v>7.3378948138337341E-2</v>
      </c>
      <c r="BH17" s="94">
        <f t="shared" ca="1" si="114"/>
        <v>7.9803351080655435E-2</v>
      </c>
      <c r="BI17" s="94">
        <f t="shared" ca="1" si="114"/>
        <v>8.5745399535957015E-2</v>
      </c>
      <c r="BJ17" s="94">
        <f t="shared" ca="1" si="114"/>
        <v>9.2607692492825189E-2</v>
      </c>
      <c r="BK17" s="94">
        <f t="shared" ca="1" si="114"/>
        <v>9.8135446745734781E-2</v>
      </c>
      <c r="BL17" s="94">
        <f t="shared" ca="1" si="114"/>
        <v>0.10596560736548732</v>
      </c>
      <c r="BM17" s="94">
        <f t="shared" ca="1" si="114"/>
        <v>0.11202800590073896</v>
      </c>
      <c r="BN17" s="94">
        <f t="shared" ca="1" si="114"/>
        <v>0.11967641584339117</v>
      </c>
      <c r="BO17" s="94">
        <f t="shared" ca="1" si="114"/>
        <v>0.12495849921022033</v>
      </c>
      <c r="BP17" s="94">
        <f t="shared" ca="1" si="114"/>
        <v>0.12983178762538641</v>
      </c>
      <c r="BQ17" s="94">
        <f t="shared" ca="1" si="114"/>
        <v>0.13155137999353936</v>
      </c>
      <c r="BR17" s="94">
        <f t="shared" ca="1" si="114"/>
        <v>0.13276595278963596</v>
      </c>
      <c r="BS17" s="94">
        <f t="shared" ca="1" si="114"/>
        <v>0.13231648192292256</v>
      </c>
      <c r="BT17" s="94">
        <f t="shared" ca="1" si="114"/>
        <v>0.13203518335366757</v>
      </c>
      <c r="BU17" s="94">
        <f t="shared" ca="1" si="114"/>
        <v>0.13134808034124826</v>
      </c>
      <c r="BV17" s="94">
        <f t="shared" ca="1" si="114"/>
        <v>0.1302769725297758</v>
      </c>
      <c r="BW17" s="94">
        <f t="shared" ca="1" si="114"/>
        <v>0.12689055577476838</v>
      </c>
      <c r="BX17" s="94">
        <f t="shared" ca="1" si="114"/>
        <v>0.12270982421433947</v>
      </c>
      <c r="BY17" s="94">
        <f t="shared" ca="1" si="114"/>
        <v>0.11845937449570128</v>
      </c>
      <c r="BZ17" s="94">
        <f t="shared" ca="1" si="114"/>
        <v>0.11649488356803173</v>
      </c>
      <c r="CA17" s="94">
        <f t="shared" ca="1" si="114"/>
        <v>0.11547901903301543</v>
      </c>
      <c r="CB17" s="94" t="e">
        <f t="shared" ca="1" si="114"/>
        <v>#N/A</v>
      </c>
      <c r="CC17" s="94" t="e">
        <f t="shared" ca="1" si="114"/>
        <v>#N/A</v>
      </c>
      <c r="CD17" s="94" t="e">
        <f t="shared" ca="1" si="114"/>
        <v>#N/A</v>
      </c>
      <c r="CE17" s="94" t="e">
        <f t="shared" ca="1" si="114"/>
        <v>#N/A</v>
      </c>
      <c r="CF17" s="94" t="e">
        <f t="shared" ca="1" si="114"/>
        <v>#N/A</v>
      </c>
      <c r="CG17" s="94" t="e">
        <f t="shared" ca="1" si="114"/>
        <v>#N/A</v>
      </c>
      <c r="CH17" s="94" t="e">
        <f t="shared" ca="1" si="114"/>
        <v>#N/A</v>
      </c>
      <c r="CI17" s="94" t="e">
        <f t="shared" ca="1" si="114"/>
        <v>#N/A</v>
      </c>
      <c r="CJ17" s="94" t="e">
        <f t="shared" ca="1" si="114"/>
        <v>#N/A</v>
      </c>
      <c r="CK17" s="94" t="e">
        <f t="shared" ca="1" si="114"/>
        <v>#N/A</v>
      </c>
      <c r="CL17" s="94" t="e">
        <f t="shared" ca="1" si="114"/>
        <v>#N/A</v>
      </c>
      <c r="CM17" s="94" t="e">
        <f t="shared" ca="1" si="114"/>
        <v>#N/A</v>
      </c>
      <c r="CN17" s="94" t="e">
        <f t="shared" ca="1" si="114"/>
        <v>#N/A</v>
      </c>
      <c r="CO17" s="94" t="e">
        <f t="shared" ca="1" si="114"/>
        <v>#N/A</v>
      </c>
      <c r="CP17" s="94" t="e">
        <f t="shared" ca="1" si="114"/>
        <v>#N/A</v>
      </c>
      <c r="CQ17" s="94" t="e">
        <f t="shared" ref="CQ17:FB17" ca="1" si="115">IFERROR(AVERAGE(CO15:CQ15),NA())</f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ca="1" si="115"/>
        <v>#N/A</v>
      </c>
      <c r="EG17" s="94" t="e">
        <f t="shared" ca="1" si="115"/>
        <v>#N/A</v>
      </c>
      <c r="EH17" s="94" t="e">
        <f t="shared" ca="1" si="115"/>
        <v>#N/A</v>
      </c>
      <c r="EI17" s="94" t="e">
        <f t="shared" ca="1" si="115"/>
        <v>#N/A</v>
      </c>
      <c r="EJ17" s="94" t="e">
        <f t="shared" ca="1" si="115"/>
        <v>#N/A</v>
      </c>
      <c r="EK17" s="94" t="e">
        <f t="shared" ca="1" si="115"/>
        <v>#N/A</v>
      </c>
      <c r="EL17" s="94" t="e">
        <f t="shared" ca="1" si="115"/>
        <v>#N/A</v>
      </c>
      <c r="EM17" s="94" t="e">
        <f t="shared" ca="1" si="115"/>
        <v>#N/A</v>
      </c>
      <c r="EN17" s="94" t="e">
        <f t="shared" ca="1" si="115"/>
        <v>#N/A</v>
      </c>
      <c r="EO17" s="94" t="e">
        <f t="shared" ca="1" si="115"/>
        <v>#N/A</v>
      </c>
      <c r="EP17" s="94" t="e">
        <f t="shared" ca="1" si="115"/>
        <v>#N/A</v>
      </c>
      <c r="EQ17" s="94" t="e">
        <f t="shared" ca="1" si="115"/>
        <v>#N/A</v>
      </c>
      <c r="ER17" s="94" t="e">
        <f t="shared" ca="1" si="115"/>
        <v>#N/A</v>
      </c>
      <c r="ES17" s="94" t="e">
        <f t="shared" ca="1" si="115"/>
        <v>#N/A</v>
      </c>
      <c r="ET17" s="94" t="e">
        <f t="shared" ca="1" si="115"/>
        <v>#N/A</v>
      </c>
      <c r="EU17" s="94" t="e">
        <f t="shared" ca="1" si="115"/>
        <v>#N/A</v>
      </c>
      <c r="EV17" s="94" t="e">
        <f t="shared" ca="1" si="115"/>
        <v>#N/A</v>
      </c>
      <c r="EW17" s="94" t="e">
        <f t="shared" ca="1" si="115"/>
        <v>#N/A</v>
      </c>
      <c r="EX17" s="94" t="e">
        <f t="shared" ca="1" si="115"/>
        <v>#N/A</v>
      </c>
      <c r="EY17" s="94" t="e">
        <f t="shared" ca="1" si="115"/>
        <v>#N/A</v>
      </c>
      <c r="EZ17" s="94" t="e">
        <f t="shared" ca="1" si="115"/>
        <v>#N/A</v>
      </c>
      <c r="FA17" s="94" t="e">
        <f t="shared" ca="1" si="115"/>
        <v>#N/A</v>
      </c>
      <c r="FB17" s="94" t="e">
        <f t="shared" ca="1" si="115"/>
        <v>#N/A</v>
      </c>
      <c r="FC17" s="94" t="e">
        <f t="shared" ref="FC17:HN17" ca="1" si="116">IFERROR(AVERAGE(FA15:FC15),NA())</f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ca="1" si="116"/>
        <v>#N/A</v>
      </c>
      <c r="GS17" s="94" t="e">
        <f t="shared" ca="1" si="116"/>
        <v>#N/A</v>
      </c>
      <c r="GT17" s="94" t="e">
        <f t="shared" ca="1" si="116"/>
        <v>#N/A</v>
      </c>
      <c r="GU17" s="94" t="e">
        <f t="shared" ca="1" si="116"/>
        <v>#N/A</v>
      </c>
      <c r="GV17" s="94" t="e">
        <f t="shared" ca="1" si="116"/>
        <v>#N/A</v>
      </c>
      <c r="GW17" s="94" t="e">
        <f t="shared" ca="1" si="116"/>
        <v>#N/A</v>
      </c>
      <c r="GX17" s="94" t="e">
        <f t="shared" ca="1" si="116"/>
        <v>#N/A</v>
      </c>
      <c r="GY17" s="94" t="e">
        <f t="shared" ca="1" si="116"/>
        <v>#N/A</v>
      </c>
      <c r="GZ17" s="94" t="e">
        <f t="shared" ca="1" si="116"/>
        <v>#N/A</v>
      </c>
      <c r="HA17" s="94" t="e">
        <f t="shared" ca="1" si="116"/>
        <v>#N/A</v>
      </c>
      <c r="HB17" s="94" t="e">
        <f t="shared" ca="1" si="116"/>
        <v>#N/A</v>
      </c>
      <c r="HC17" s="94" t="e">
        <f t="shared" ca="1" si="116"/>
        <v>#N/A</v>
      </c>
      <c r="HD17" s="94" t="e">
        <f t="shared" ca="1" si="116"/>
        <v>#N/A</v>
      </c>
      <c r="HE17" s="94" t="e">
        <f t="shared" ca="1" si="116"/>
        <v>#N/A</v>
      </c>
      <c r="HF17" s="94" t="e">
        <f t="shared" ca="1" si="116"/>
        <v>#N/A</v>
      </c>
      <c r="HG17" s="94" t="e">
        <f t="shared" ca="1" si="116"/>
        <v>#N/A</v>
      </c>
      <c r="HH17" s="94" t="e">
        <f t="shared" ca="1" si="116"/>
        <v>#N/A</v>
      </c>
      <c r="HI17" s="94" t="e">
        <f t="shared" ca="1" si="116"/>
        <v>#N/A</v>
      </c>
      <c r="HJ17" s="94" t="e">
        <f t="shared" ca="1" si="116"/>
        <v>#N/A</v>
      </c>
      <c r="HK17" s="94" t="e">
        <f t="shared" ca="1" si="116"/>
        <v>#N/A</v>
      </c>
      <c r="HL17" s="94" t="e">
        <f t="shared" ca="1" si="116"/>
        <v>#N/A</v>
      </c>
      <c r="HM17" s="94" t="e">
        <f t="shared" ca="1" si="116"/>
        <v>#N/A</v>
      </c>
      <c r="HN17" s="94" t="e">
        <f t="shared" ca="1" si="116"/>
        <v>#N/A</v>
      </c>
      <c r="HO17" s="94" t="e">
        <f t="shared" ref="HO17:IN17" ca="1" si="117">IFERROR(AVERAGE(HM15:HO15),NA())</f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477</v>
      </c>
      <c r="C19" s="40">
        <f>VLOOKUP(B2,Country_Data!B:J,9,FALSE)</f>
        <v>6913108351</v>
      </c>
      <c r="F19" s="19" t="s">
        <v>464</v>
      </c>
      <c r="G19" s="40" t="e">
        <f>$C$16</f>
        <v>#N/A</v>
      </c>
      <c r="H19" s="40" t="e">
        <f t="shared" ref="H19:BS19" si="118">$C$16</f>
        <v>#N/A</v>
      </c>
      <c r="I19" s="40" t="e">
        <f t="shared" si="118"/>
        <v>#N/A</v>
      </c>
      <c r="J19" s="40" t="e">
        <f t="shared" si="118"/>
        <v>#N/A</v>
      </c>
      <c r="K19" s="40" t="e">
        <f t="shared" si="118"/>
        <v>#N/A</v>
      </c>
      <c r="L19" s="40" t="e">
        <f t="shared" si="118"/>
        <v>#N/A</v>
      </c>
      <c r="M19" s="40" t="e">
        <f t="shared" si="118"/>
        <v>#N/A</v>
      </c>
      <c r="N19" s="40" t="e">
        <f t="shared" si="118"/>
        <v>#N/A</v>
      </c>
      <c r="O19" s="40" t="e">
        <f t="shared" si="118"/>
        <v>#N/A</v>
      </c>
      <c r="P19" s="40" t="e">
        <f t="shared" si="118"/>
        <v>#N/A</v>
      </c>
      <c r="Q19" s="40" t="e">
        <f t="shared" si="118"/>
        <v>#N/A</v>
      </c>
      <c r="R19" s="40" t="e">
        <f t="shared" si="118"/>
        <v>#N/A</v>
      </c>
      <c r="S19" s="40" t="e">
        <f t="shared" si="118"/>
        <v>#N/A</v>
      </c>
      <c r="T19" s="40" t="e">
        <f t="shared" si="118"/>
        <v>#N/A</v>
      </c>
      <c r="U19" s="40" t="e">
        <f t="shared" si="118"/>
        <v>#N/A</v>
      </c>
      <c r="V19" s="40" t="e">
        <f t="shared" si="118"/>
        <v>#N/A</v>
      </c>
      <c r="W19" s="40" t="e">
        <f t="shared" si="118"/>
        <v>#N/A</v>
      </c>
      <c r="X19" s="40" t="e">
        <f t="shared" si="118"/>
        <v>#N/A</v>
      </c>
      <c r="Y19" s="40" t="e">
        <f t="shared" si="118"/>
        <v>#N/A</v>
      </c>
      <c r="Z19" s="40" t="e">
        <f t="shared" si="118"/>
        <v>#N/A</v>
      </c>
      <c r="AA19" s="40" t="e">
        <f t="shared" si="118"/>
        <v>#N/A</v>
      </c>
      <c r="AB19" s="40" t="e">
        <f t="shared" si="118"/>
        <v>#N/A</v>
      </c>
      <c r="AC19" s="40" t="e">
        <f t="shared" si="118"/>
        <v>#N/A</v>
      </c>
      <c r="AD19" s="40" t="e">
        <f t="shared" si="118"/>
        <v>#N/A</v>
      </c>
      <c r="AE19" s="40" t="e">
        <f t="shared" si="118"/>
        <v>#N/A</v>
      </c>
      <c r="AF19" s="40" t="e">
        <f t="shared" si="118"/>
        <v>#N/A</v>
      </c>
      <c r="AG19" s="40" t="e">
        <f t="shared" si="118"/>
        <v>#N/A</v>
      </c>
      <c r="AH19" s="40" t="e">
        <f t="shared" si="118"/>
        <v>#N/A</v>
      </c>
      <c r="AI19" s="40" t="e">
        <f t="shared" si="118"/>
        <v>#N/A</v>
      </c>
      <c r="AJ19" s="40" t="e">
        <f t="shared" si="118"/>
        <v>#N/A</v>
      </c>
      <c r="AK19" s="40" t="e">
        <f t="shared" si="118"/>
        <v>#N/A</v>
      </c>
      <c r="AL19" s="40" t="e">
        <f t="shared" si="118"/>
        <v>#N/A</v>
      </c>
      <c r="AM19" s="40" t="e">
        <f t="shared" si="118"/>
        <v>#N/A</v>
      </c>
      <c r="AN19" s="40" t="e">
        <f t="shared" si="118"/>
        <v>#N/A</v>
      </c>
      <c r="AO19" s="40" t="e">
        <f t="shared" si="118"/>
        <v>#N/A</v>
      </c>
      <c r="AP19" s="40" t="e">
        <f t="shared" si="118"/>
        <v>#N/A</v>
      </c>
      <c r="AQ19" s="40" t="e">
        <f t="shared" si="118"/>
        <v>#N/A</v>
      </c>
      <c r="AR19" s="40" t="e">
        <f t="shared" si="118"/>
        <v>#N/A</v>
      </c>
      <c r="AS19" s="40" t="e">
        <f t="shared" si="118"/>
        <v>#N/A</v>
      </c>
      <c r="AT19" s="40" t="e">
        <f t="shared" si="118"/>
        <v>#N/A</v>
      </c>
      <c r="AU19" s="40" t="e">
        <f t="shared" si="118"/>
        <v>#N/A</v>
      </c>
      <c r="AV19" s="40" t="e">
        <f t="shared" si="118"/>
        <v>#N/A</v>
      </c>
      <c r="AW19" s="40" t="e">
        <f t="shared" si="118"/>
        <v>#N/A</v>
      </c>
      <c r="AX19" s="40" t="e">
        <f t="shared" si="118"/>
        <v>#N/A</v>
      </c>
      <c r="AY19" s="40" t="e">
        <f t="shared" si="118"/>
        <v>#N/A</v>
      </c>
      <c r="AZ19" s="40" t="e">
        <f t="shared" si="118"/>
        <v>#N/A</v>
      </c>
      <c r="BA19" s="40" t="e">
        <f t="shared" si="118"/>
        <v>#N/A</v>
      </c>
      <c r="BB19" s="40" t="e">
        <f t="shared" si="118"/>
        <v>#N/A</v>
      </c>
      <c r="BC19" s="40" t="e">
        <f t="shared" si="118"/>
        <v>#N/A</v>
      </c>
      <c r="BD19" s="40" t="e">
        <f t="shared" si="118"/>
        <v>#N/A</v>
      </c>
      <c r="BE19" s="40" t="e">
        <f t="shared" si="118"/>
        <v>#N/A</v>
      </c>
      <c r="BF19" s="40" t="e">
        <f t="shared" si="118"/>
        <v>#N/A</v>
      </c>
      <c r="BG19" s="40" t="e">
        <f t="shared" si="118"/>
        <v>#N/A</v>
      </c>
      <c r="BH19" s="40" t="e">
        <f t="shared" si="118"/>
        <v>#N/A</v>
      </c>
      <c r="BI19" s="40" t="e">
        <f t="shared" si="118"/>
        <v>#N/A</v>
      </c>
      <c r="BJ19" s="40" t="e">
        <f t="shared" si="118"/>
        <v>#N/A</v>
      </c>
      <c r="BK19" s="40" t="e">
        <f t="shared" si="118"/>
        <v>#N/A</v>
      </c>
      <c r="BL19" s="40" t="e">
        <f t="shared" si="118"/>
        <v>#N/A</v>
      </c>
      <c r="BM19" s="40" t="e">
        <f t="shared" si="118"/>
        <v>#N/A</v>
      </c>
      <c r="BN19" s="40" t="e">
        <f t="shared" si="118"/>
        <v>#N/A</v>
      </c>
      <c r="BO19" s="40" t="e">
        <f t="shared" si="118"/>
        <v>#N/A</v>
      </c>
      <c r="BP19" s="40" t="e">
        <f t="shared" si="118"/>
        <v>#N/A</v>
      </c>
      <c r="BQ19" s="40" t="e">
        <f t="shared" si="118"/>
        <v>#N/A</v>
      </c>
      <c r="BR19" s="40" t="e">
        <f t="shared" si="118"/>
        <v>#N/A</v>
      </c>
      <c r="BS19" s="40" t="e">
        <f t="shared" si="118"/>
        <v>#N/A</v>
      </c>
      <c r="BT19" s="40" t="e">
        <f t="shared" ref="BT19:EE19" si="119">$C$16</f>
        <v>#N/A</v>
      </c>
      <c r="BU19" s="40" t="e">
        <f t="shared" si="119"/>
        <v>#N/A</v>
      </c>
      <c r="BV19" s="40" t="e">
        <f t="shared" si="119"/>
        <v>#N/A</v>
      </c>
      <c r="BW19" s="40" t="e">
        <f t="shared" si="119"/>
        <v>#N/A</v>
      </c>
      <c r="BX19" s="40" t="e">
        <f t="shared" si="119"/>
        <v>#N/A</v>
      </c>
      <c r="BY19" s="40" t="e">
        <f t="shared" si="119"/>
        <v>#N/A</v>
      </c>
      <c r="BZ19" s="40" t="e">
        <f t="shared" si="119"/>
        <v>#N/A</v>
      </c>
      <c r="CA19" s="40" t="e">
        <f t="shared" si="119"/>
        <v>#N/A</v>
      </c>
      <c r="CB19" s="40" t="e">
        <f t="shared" si="119"/>
        <v>#N/A</v>
      </c>
      <c r="CC19" s="40" t="e">
        <f t="shared" si="119"/>
        <v>#N/A</v>
      </c>
      <c r="CD19" s="40" t="e">
        <f t="shared" si="119"/>
        <v>#N/A</v>
      </c>
      <c r="CE19" s="40" t="e">
        <f t="shared" si="119"/>
        <v>#N/A</v>
      </c>
      <c r="CF19" s="40" t="e">
        <f t="shared" si="119"/>
        <v>#N/A</v>
      </c>
      <c r="CG19" s="40" t="e">
        <f t="shared" si="119"/>
        <v>#N/A</v>
      </c>
      <c r="CH19" s="40" t="e">
        <f t="shared" si="119"/>
        <v>#N/A</v>
      </c>
      <c r="CI19" s="40" t="e">
        <f t="shared" si="119"/>
        <v>#N/A</v>
      </c>
      <c r="CJ19" s="40" t="e">
        <f t="shared" si="119"/>
        <v>#N/A</v>
      </c>
      <c r="CK19" s="40" t="e">
        <f t="shared" si="119"/>
        <v>#N/A</v>
      </c>
      <c r="CL19" s="40" t="e">
        <f t="shared" si="119"/>
        <v>#N/A</v>
      </c>
      <c r="CM19" s="40" t="e">
        <f t="shared" si="119"/>
        <v>#N/A</v>
      </c>
      <c r="CN19" s="40" t="e">
        <f t="shared" si="119"/>
        <v>#N/A</v>
      </c>
      <c r="CO19" s="40" t="e">
        <f t="shared" si="119"/>
        <v>#N/A</v>
      </c>
      <c r="CP19" s="40" t="e">
        <f t="shared" si="119"/>
        <v>#N/A</v>
      </c>
      <c r="CQ19" s="40" t="e">
        <f t="shared" si="119"/>
        <v>#N/A</v>
      </c>
      <c r="CR19" s="40" t="e">
        <f t="shared" si="119"/>
        <v>#N/A</v>
      </c>
      <c r="CS19" s="40" t="e">
        <f t="shared" si="119"/>
        <v>#N/A</v>
      </c>
      <c r="CT19" s="40" t="e">
        <f t="shared" si="119"/>
        <v>#N/A</v>
      </c>
      <c r="CU19" s="40" t="e">
        <f t="shared" si="119"/>
        <v>#N/A</v>
      </c>
      <c r="CV19" s="40" t="e">
        <f t="shared" si="119"/>
        <v>#N/A</v>
      </c>
      <c r="CW19" s="40" t="e">
        <f t="shared" si="119"/>
        <v>#N/A</v>
      </c>
      <c r="CX19" s="40" t="e">
        <f t="shared" si="119"/>
        <v>#N/A</v>
      </c>
      <c r="CY19" s="40" t="e">
        <f t="shared" si="119"/>
        <v>#N/A</v>
      </c>
      <c r="CZ19" s="40" t="e">
        <f t="shared" si="119"/>
        <v>#N/A</v>
      </c>
      <c r="DA19" s="40" t="e">
        <f t="shared" si="119"/>
        <v>#N/A</v>
      </c>
      <c r="DB19" s="40" t="e">
        <f t="shared" si="119"/>
        <v>#N/A</v>
      </c>
      <c r="DC19" s="40" t="e">
        <f t="shared" si="119"/>
        <v>#N/A</v>
      </c>
      <c r="DD19" s="40" t="e">
        <f t="shared" si="119"/>
        <v>#N/A</v>
      </c>
      <c r="DE19" s="40" t="e">
        <f t="shared" si="119"/>
        <v>#N/A</v>
      </c>
      <c r="DF19" s="40" t="e">
        <f t="shared" si="119"/>
        <v>#N/A</v>
      </c>
      <c r="DG19" s="40" t="e">
        <f t="shared" si="119"/>
        <v>#N/A</v>
      </c>
      <c r="DH19" s="40" t="e">
        <f t="shared" si="119"/>
        <v>#N/A</v>
      </c>
      <c r="DI19" s="40" t="e">
        <f t="shared" si="119"/>
        <v>#N/A</v>
      </c>
      <c r="DJ19" s="40" t="e">
        <f t="shared" si="119"/>
        <v>#N/A</v>
      </c>
      <c r="DK19" s="40" t="e">
        <f t="shared" si="119"/>
        <v>#N/A</v>
      </c>
      <c r="DL19" s="40" t="e">
        <f t="shared" si="119"/>
        <v>#N/A</v>
      </c>
      <c r="DM19" s="40" t="e">
        <f t="shared" si="119"/>
        <v>#N/A</v>
      </c>
      <c r="DN19" s="40" t="e">
        <f t="shared" si="119"/>
        <v>#N/A</v>
      </c>
      <c r="DO19" s="40" t="e">
        <f t="shared" si="119"/>
        <v>#N/A</v>
      </c>
      <c r="DP19" s="40" t="e">
        <f t="shared" si="119"/>
        <v>#N/A</v>
      </c>
      <c r="DQ19" s="40" t="e">
        <f t="shared" si="119"/>
        <v>#N/A</v>
      </c>
      <c r="DR19" s="40" t="e">
        <f t="shared" si="119"/>
        <v>#N/A</v>
      </c>
      <c r="DS19" s="40" t="e">
        <f t="shared" si="119"/>
        <v>#N/A</v>
      </c>
      <c r="DT19" s="40" t="e">
        <f t="shared" si="119"/>
        <v>#N/A</v>
      </c>
      <c r="DU19" s="40" t="e">
        <f t="shared" si="119"/>
        <v>#N/A</v>
      </c>
      <c r="DV19" s="40" t="e">
        <f t="shared" si="119"/>
        <v>#N/A</v>
      </c>
      <c r="DW19" s="40" t="e">
        <f t="shared" si="119"/>
        <v>#N/A</v>
      </c>
      <c r="DX19" s="40" t="e">
        <f t="shared" si="119"/>
        <v>#N/A</v>
      </c>
      <c r="DY19" s="40" t="e">
        <f t="shared" si="119"/>
        <v>#N/A</v>
      </c>
      <c r="DZ19" s="40" t="e">
        <f t="shared" si="119"/>
        <v>#N/A</v>
      </c>
      <c r="EA19" s="40" t="e">
        <f t="shared" si="119"/>
        <v>#N/A</v>
      </c>
      <c r="EB19" s="40" t="e">
        <f t="shared" si="119"/>
        <v>#N/A</v>
      </c>
      <c r="EC19" s="40" t="e">
        <f t="shared" si="119"/>
        <v>#N/A</v>
      </c>
      <c r="ED19" s="40" t="e">
        <f t="shared" si="119"/>
        <v>#N/A</v>
      </c>
      <c r="EE19" s="40" t="e">
        <f t="shared" si="119"/>
        <v>#N/A</v>
      </c>
      <c r="EF19" s="40" t="e">
        <f t="shared" ref="EF19:GQ19" si="120">$C$16</f>
        <v>#N/A</v>
      </c>
      <c r="EG19" s="40" t="e">
        <f t="shared" si="120"/>
        <v>#N/A</v>
      </c>
      <c r="EH19" s="40" t="e">
        <f t="shared" si="120"/>
        <v>#N/A</v>
      </c>
      <c r="EI19" s="40" t="e">
        <f t="shared" si="120"/>
        <v>#N/A</v>
      </c>
      <c r="EJ19" s="40" t="e">
        <f t="shared" si="120"/>
        <v>#N/A</v>
      </c>
      <c r="EK19" s="40" t="e">
        <f t="shared" si="120"/>
        <v>#N/A</v>
      </c>
      <c r="EL19" s="40" t="e">
        <f t="shared" si="120"/>
        <v>#N/A</v>
      </c>
      <c r="EM19" s="40" t="e">
        <f t="shared" si="120"/>
        <v>#N/A</v>
      </c>
      <c r="EN19" s="40" t="e">
        <f t="shared" si="120"/>
        <v>#N/A</v>
      </c>
      <c r="EO19" s="40" t="e">
        <f t="shared" si="120"/>
        <v>#N/A</v>
      </c>
      <c r="EP19" s="40" t="e">
        <f t="shared" si="120"/>
        <v>#N/A</v>
      </c>
      <c r="EQ19" s="40" t="e">
        <f t="shared" si="120"/>
        <v>#N/A</v>
      </c>
      <c r="ER19" s="40" t="e">
        <f t="shared" si="120"/>
        <v>#N/A</v>
      </c>
      <c r="ES19" s="40" t="e">
        <f t="shared" si="120"/>
        <v>#N/A</v>
      </c>
      <c r="ET19" s="40" t="e">
        <f t="shared" si="120"/>
        <v>#N/A</v>
      </c>
      <c r="EU19" s="40" t="e">
        <f t="shared" si="120"/>
        <v>#N/A</v>
      </c>
      <c r="EV19" s="40" t="e">
        <f t="shared" si="120"/>
        <v>#N/A</v>
      </c>
      <c r="EW19" s="40" t="e">
        <f t="shared" si="120"/>
        <v>#N/A</v>
      </c>
      <c r="EX19" s="40" t="e">
        <f t="shared" si="120"/>
        <v>#N/A</v>
      </c>
      <c r="EY19" s="40" t="e">
        <f t="shared" si="120"/>
        <v>#N/A</v>
      </c>
      <c r="EZ19" s="40" t="e">
        <f t="shared" si="120"/>
        <v>#N/A</v>
      </c>
      <c r="FA19" s="40" t="e">
        <f t="shared" si="120"/>
        <v>#N/A</v>
      </c>
      <c r="FB19" s="40" t="e">
        <f t="shared" si="120"/>
        <v>#N/A</v>
      </c>
      <c r="FC19" s="40" t="e">
        <f t="shared" si="120"/>
        <v>#N/A</v>
      </c>
      <c r="FD19" s="40" t="e">
        <f t="shared" si="120"/>
        <v>#N/A</v>
      </c>
      <c r="FE19" s="40" t="e">
        <f t="shared" si="120"/>
        <v>#N/A</v>
      </c>
      <c r="FF19" s="40" t="e">
        <f t="shared" si="120"/>
        <v>#N/A</v>
      </c>
      <c r="FG19" s="40" t="e">
        <f t="shared" si="120"/>
        <v>#N/A</v>
      </c>
      <c r="FH19" s="40" t="e">
        <f t="shared" si="120"/>
        <v>#N/A</v>
      </c>
      <c r="FI19" s="40" t="e">
        <f t="shared" si="120"/>
        <v>#N/A</v>
      </c>
      <c r="FJ19" s="40" t="e">
        <f t="shared" si="120"/>
        <v>#N/A</v>
      </c>
      <c r="FK19" s="40" t="e">
        <f t="shared" si="120"/>
        <v>#N/A</v>
      </c>
      <c r="FL19" s="40" t="e">
        <f t="shared" si="120"/>
        <v>#N/A</v>
      </c>
      <c r="FM19" s="40" t="e">
        <f t="shared" si="120"/>
        <v>#N/A</v>
      </c>
      <c r="FN19" s="40" t="e">
        <f t="shared" si="120"/>
        <v>#N/A</v>
      </c>
      <c r="FO19" s="40" t="e">
        <f t="shared" si="120"/>
        <v>#N/A</v>
      </c>
      <c r="FP19" s="40" t="e">
        <f t="shared" si="120"/>
        <v>#N/A</v>
      </c>
      <c r="FQ19" s="40" t="e">
        <f t="shared" si="120"/>
        <v>#N/A</v>
      </c>
      <c r="FR19" s="40" t="e">
        <f t="shared" si="120"/>
        <v>#N/A</v>
      </c>
      <c r="FS19" s="40" t="e">
        <f t="shared" si="120"/>
        <v>#N/A</v>
      </c>
      <c r="FT19" s="40" t="e">
        <f t="shared" si="120"/>
        <v>#N/A</v>
      </c>
      <c r="FU19" s="40" t="e">
        <f t="shared" si="120"/>
        <v>#N/A</v>
      </c>
      <c r="FV19" s="40" t="e">
        <f t="shared" si="120"/>
        <v>#N/A</v>
      </c>
      <c r="FW19" s="40" t="e">
        <f t="shared" si="120"/>
        <v>#N/A</v>
      </c>
      <c r="FX19" s="40" t="e">
        <f t="shared" si="120"/>
        <v>#N/A</v>
      </c>
      <c r="FY19" s="40" t="e">
        <f t="shared" si="120"/>
        <v>#N/A</v>
      </c>
      <c r="FZ19" s="40" t="e">
        <f t="shared" si="120"/>
        <v>#N/A</v>
      </c>
      <c r="GA19" s="40" t="e">
        <f t="shared" si="120"/>
        <v>#N/A</v>
      </c>
      <c r="GB19" s="40" t="e">
        <f t="shared" si="120"/>
        <v>#N/A</v>
      </c>
      <c r="GC19" s="40" t="e">
        <f t="shared" si="120"/>
        <v>#N/A</v>
      </c>
      <c r="GD19" s="40" t="e">
        <f t="shared" si="120"/>
        <v>#N/A</v>
      </c>
      <c r="GE19" s="40" t="e">
        <f t="shared" si="120"/>
        <v>#N/A</v>
      </c>
      <c r="GF19" s="40" t="e">
        <f t="shared" si="120"/>
        <v>#N/A</v>
      </c>
      <c r="GG19" s="40" t="e">
        <f t="shared" si="120"/>
        <v>#N/A</v>
      </c>
      <c r="GH19" s="40" t="e">
        <f t="shared" si="120"/>
        <v>#N/A</v>
      </c>
      <c r="GI19" s="40" t="e">
        <f t="shared" si="120"/>
        <v>#N/A</v>
      </c>
      <c r="GJ19" s="40" t="e">
        <f t="shared" si="120"/>
        <v>#N/A</v>
      </c>
      <c r="GK19" s="40" t="e">
        <f t="shared" si="120"/>
        <v>#N/A</v>
      </c>
      <c r="GL19" s="40" t="e">
        <f t="shared" si="120"/>
        <v>#N/A</v>
      </c>
      <c r="GM19" s="40" t="e">
        <f t="shared" si="120"/>
        <v>#N/A</v>
      </c>
      <c r="GN19" s="40" t="e">
        <f t="shared" si="120"/>
        <v>#N/A</v>
      </c>
      <c r="GO19" s="40" t="e">
        <f t="shared" si="120"/>
        <v>#N/A</v>
      </c>
      <c r="GP19" s="40" t="e">
        <f t="shared" si="120"/>
        <v>#N/A</v>
      </c>
      <c r="GQ19" s="40" t="e">
        <f t="shared" si="120"/>
        <v>#N/A</v>
      </c>
      <c r="GR19" s="40" t="e">
        <f t="shared" ref="GR19:IN19" si="121">$C$16</f>
        <v>#N/A</v>
      </c>
      <c r="GS19" s="40" t="e">
        <f t="shared" si="121"/>
        <v>#N/A</v>
      </c>
      <c r="GT19" s="40" t="e">
        <f t="shared" si="121"/>
        <v>#N/A</v>
      </c>
      <c r="GU19" s="40" t="e">
        <f t="shared" si="121"/>
        <v>#N/A</v>
      </c>
      <c r="GV19" s="40" t="e">
        <f t="shared" si="121"/>
        <v>#N/A</v>
      </c>
      <c r="GW19" s="40" t="e">
        <f t="shared" si="121"/>
        <v>#N/A</v>
      </c>
      <c r="GX19" s="40" t="e">
        <f t="shared" si="121"/>
        <v>#N/A</v>
      </c>
      <c r="GY19" s="40" t="e">
        <f t="shared" si="121"/>
        <v>#N/A</v>
      </c>
      <c r="GZ19" s="40" t="e">
        <f t="shared" si="121"/>
        <v>#N/A</v>
      </c>
      <c r="HA19" s="40" t="e">
        <f t="shared" si="121"/>
        <v>#N/A</v>
      </c>
      <c r="HB19" s="40" t="e">
        <f t="shared" si="121"/>
        <v>#N/A</v>
      </c>
      <c r="HC19" s="40" t="e">
        <f t="shared" si="121"/>
        <v>#N/A</v>
      </c>
      <c r="HD19" s="40" t="e">
        <f t="shared" si="121"/>
        <v>#N/A</v>
      </c>
      <c r="HE19" s="40" t="e">
        <f t="shared" si="121"/>
        <v>#N/A</v>
      </c>
      <c r="HF19" s="40" t="e">
        <f t="shared" si="121"/>
        <v>#N/A</v>
      </c>
      <c r="HG19" s="40" t="e">
        <f t="shared" si="121"/>
        <v>#N/A</v>
      </c>
      <c r="HH19" s="40" t="e">
        <f t="shared" si="121"/>
        <v>#N/A</v>
      </c>
      <c r="HI19" s="40" t="e">
        <f t="shared" si="121"/>
        <v>#N/A</v>
      </c>
      <c r="HJ19" s="40" t="e">
        <f t="shared" si="121"/>
        <v>#N/A</v>
      </c>
      <c r="HK19" s="40" t="e">
        <f t="shared" si="121"/>
        <v>#N/A</v>
      </c>
      <c r="HL19" s="40" t="e">
        <f t="shared" si="121"/>
        <v>#N/A</v>
      </c>
      <c r="HM19" s="40" t="e">
        <f t="shared" si="121"/>
        <v>#N/A</v>
      </c>
      <c r="HN19" s="40" t="e">
        <f t="shared" si="121"/>
        <v>#N/A</v>
      </c>
      <c r="HO19" s="40" t="e">
        <f t="shared" si="121"/>
        <v>#N/A</v>
      </c>
      <c r="HP19" s="40" t="e">
        <f t="shared" si="121"/>
        <v>#N/A</v>
      </c>
      <c r="HQ19" s="40" t="e">
        <f t="shared" si="121"/>
        <v>#N/A</v>
      </c>
      <c r="HR19" s="40" t="e">
        <f t="shared" si="121"/>
        <v>#N/A</v>
      </c>
      <c r="HS19" s="40" t="e">
        <f t="shared" si="121"/>
        <v>#N/A</v>
      </c>
      <c r="HT19" s="40" t="e">
        <f t="shared" si="121"/>
        <v>#N/A</v>
      </c>
      <c r="HU19" s="40" t="e">
        <f t="shared" si="121"/>
        <v>#N/A</v>
      </c>
      <c r="HV19" s="40" t="e">
        <f t="shared" si="121"/>
        <v>#N/A</v>
      </c>
      <c r="HW19" s="40" t="e">
        <f t="shared" si="121"/>
        <v>#N/A</v>
      </c>
      <c r="HX19" s="40" t="e">
        <f t="shared" si="121"/>
        <v>#N/A</v>
      </c>
      <c r="HY19" s="40" t="e">
        <f t="shared" si="121"/>
        <v>#N/A</v>
      </c>
      <c r="HZ19" s="40" t="e">
        <f t="shared" si="121"/>
        <v>#N/A</v>
      </c>
      <c r="IA19" s="40" t="e">
        <f t="shared" si="121"/>
        <v>#N/A</v>
      </c>
      <c r="IB19" s="40" t="e">
        <f t="shared" si="121"/>
        <v>#N/A</v>
      </c>
      <c r="IC19" s="40" t="e">
        <f t="shared" si="121"/>
        <v>#N/A</v>
      </c>
      <c r="ID19" s="40" t="e">
        <f t="shared" si="121"/>
        <v>#N/A</v>
      </c>
      <c r="IE19" s="40" t="e">
        <f t="shared" si="121"/>
        <v>#N/A</v>
      </c>
      <c r="IF19" s="40" t="e">
        <f t="shared" si="121"/>
        <v>#N/A</v>
      </c>
      <c r="IG19" s="40" t="e">
        <f t="shared" si="121"/>
        <v>#N/A</v>
      </c>
      <c r="IH19" s="40" t="e">
        <f t="shared" si="121"/>
        <v>#N/A</v>
      </c>
      <c r="II19" s="40" t="e">
        <f t="shared" si="121"/>
        <v>#N/A</v>
      </c>
      <c r="IJ19" s="40" t="e">
        <f t="shared" si="121"/>
        <v>#N/A</v>
      </c>
      <c r="IK19" s="40" t="e">
        <f t="shared" si="121"/>
        <v>#N/A</v>
      </c>
      <c r="IL19" s="40" t="e">
        <f t="shared" si="121"/>
        <v>#N/A</v>
      </c>
      <c r="IM19" s="40" t="e">
        <f t="shared" si="121"/>
        <v>#N/A</v>
      </c>
      <c r="IN19" s="40" t="e">
        <f t="shared" si="121"/>
        <v>#N/A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26.085000000000001</v>
      </c>
      <c r="H20" s="40">
        <f t="shared" ref="H20:BS20" ca="1" si="122">H9*$C$15</f>
        <v>26.555</v>
      </c>
      <c r="I20" s="40">
        <f t="shared" ca="1" si="122"/>
        <v>30.761500000000002</v>
      </c>
      <c r="J20" s="40">
        <f t="shared" ca="1" si="122"/>
        <v>57.527999999999999</v>
      </c>
      <c r="K20" s="40">
        <f t="shared" ca="1" si="122"/>
        <v>91.191749999999999</v>
      </c>
      <c r="L20" s="40">
        <f t="shared" ca="1" si="122"/>
        <v>129.297</v>
      </c>
      <c r="M20" s="40">
        <f t="shared" ca="1" si="122"/>
        <v>252.4605</v>
      </c>
      <c r="N20" s="40">
        <f t="shared" ca="1" si="122"/>
        <v>280.62357142857144</v>
      </c>
      <c r="O20" s="40">
        <f t="shared" ca="1" si="122"/>
        <v>376.49937499999999</v>
      </c>
      <c r="P20" s="40">
        <f t="shared" ca="1" si="122"/>
        <v>454.45866666666672</v>
      </c>
      <c r="Q20" s="40">
        <f t="shared" ca="1" si="122"/>
        <v>551.80349999999999</v>
      </c>
      <c r="R20" s="40">
        <f t="shared" ca="1" si="122"/>
        <v>770.40263636363647</v>
      </c>
      <c r="S20" s="40">
        <f t="shared" ca="1" si="122"/>
        <v>879.88700000000006</v>
      </c>
      <c r="T20" s="40">
        <f t="shared" ca="1" si="122"/>
        <v>1043.682</v>
      </c>
      <c r="U20" s="40">
        <f t="shared" ca="1" si="122"/>
        <v>1184.4939999999999</v>
      </c>
      <c r="V20" s="40">
        <f t="shared" ca="1" si="122"/>
        <v>1289.116</v>
      </c>
      <c r="W20" s="40">
        <f t="shared" ca="1" si="122"/>
        <v>1409.201</v>
      </c>
      <c r="X20" s="40">
        <f t="shared" ca="1" si="122"/>
        <v>1325.588</v>
      </c>
      <c r="Y20" s="40">
        <f t="shared" ca="1" si="122"/>
        <v>1530.367</v>
      </c>
      <c r="Z20" s="40">
        <f t="shared" ca="1" si="122"/>
        <v>1481.4870000000001</v>
      </c>
      <c r="AA20" s="40">
        <f t="shared" ca="1" si="122"/>
        <v>1512.883</v>
      </c>
      <c r="AB20" s="40">
        <f t="shared" ca="1" si="122"/>
        <v>1660.2750000000001</v>
      </c>
      <c r="AC20" s="40">
        <f t="shared" ca="1" si="122"/>
        <v>1774.297</v>
      </c>
      <c r="AD20" s="40">
        <f t="shared" ca="1" si="122"/>
        <v>2004.973</v>
      </c>
      <c r="AE20" s="40">
        <f t="shared" ca="1" si="122"/>
        <v>1867.498</v>
      </c>
      <c r="AF20" s="40">
        <f t="shared" ca="1" si="122"/>
        <v>1802.779</v>
      </c>
      <c r="AG20" s="40">
        <f t="shared" ca="1" si="122"/>
        <v>1771.289</v>
      </c>
      <c r="AH20" s="40">
        <f t="shared" ca="1" si="122"/>
        <v>1669.675</v>
      </c>
      <c r="AI20" s="40">
        <f t="shared" ca="1" si="122"/>
        <v>1598.047</v>
      </c>
      <c r="AJ20" s="40">
        <f t="shared" ca="1" si="122"/>
        <v>1466.9169999999999</v>
      </c>
      <c r="AK20" s="40">
        <f t="shared" ca="1" si="122"/>
        <v>1404.7360000000001</v>
      </c>
      <c r="AL20" s="40">
        <f t="shared" ca="1" si="122"/>
        <v>1409.4359999999999</v>
      </c>
      <c r="AM20" s="40">
        <f t="shared" ca="1" si="122"/>
        <v>987.79899999999998</v>
      </c>
      <c r="AN20" s="40">
        <f t="shared" ca="1" si="122"/>
        <v>365.14300000000003</v>
      </c>
      <c r="AO20" s="40">
        <f t="shared" ca="1" si="122"/>
        <v>260.56799999999998</v>
      </c>
      <c r="AP20" s="40">
        <f t="shared" ca="1" si="122"/>
        <v>418.44099999999997</v>
      </c>
      <c r="AQ20" s="40">
        <f t="shared" ca="1" si="122"/>
        <v>381.26400000000001</v>
      </c>
      <c r="AR20" s="40">
        <f t="shared" ca="1" si="122"/>
        <v>365.096</v>
      </c>
      <c r="AS20" s="40">
        <f t="shared" ca="1" si="122"/>
        <v>382.25099999999998</v>
      </c>
      <c r="AT20" s="40">
        <f t="shared" ca="1" si="122"/>
        <v>539.04300000000001</v>
      </c>
      <c r="AU20" s="40">
        <f t="shared" ca="1" si="122"/>
        <v>600.75400000000002</v>
      </c>
      <c r="AV20" s="40">
        <f t="shared" ca="1" si="122"/>
        <v>678.02200000000005</v>
      </c>
      <c r="AW20" s="40">
        <f t="shared" ca="1" si="122"/>
        <v>664.48599999999999</v>
      </c>
      <c r="AX20" s="40">
        <f t="shared" ca="1" si="122"/>
        <v>832.55799999999999</v>
      </c>
      <c r="AY20" s="40">
        <f t="shared" ca="1" si="122"/>
        <v>984.50900000000001</v>
      </c>
      <c r="AZ20" s="40">
        <f t="shared" ca="1" si="122"/>
        <v>1118.4590000000001</v>
      </c>
      <c r="BA20" s="40">
        <f t="shared" ca="1" si="122"/>
        <v>1244.5129999999999</v>
      </c>
      <c r="BB20" s="40">
        <f t="shared" ca="1" si="122"/>
        <v>1331.886</v>
      </c>
      <c r="BC20" s="40">
        <f t="shared" ca="1" si="122"/>
        <v>1493.7070000000001</v>
      </c>
      <c r="BD20" s="40">
        <f t="shared" ca="1" si="122"/>
        <v>1707.51</v>
      </c>
      <c r="BE20" s="40">
        <f t="shared" ca="1" si="122"/>
        <v>1907.8240000000001</v>
      </c>
      <c r="BF20" s="40">
        <f t="shared" ca="1" si="122"/>
        <v>2382.806</v>
      </c>
      <c r="BG20" s="40">
        <f t="shared" ca="1" si="122"/>
        <v>2730.0889999999999</v>
      </c>
      <c r="BH20" s="40">
        <f t="shared" ca="1" si="122"/>
        <v>3193.462</v>
      </c>
      <c r="BI20" s="40">
        <f t="shared" ca="1" si="122"/>
        <v>3625.674</v>
      </c>
      <c r="BJ20" s="40">
        <f t="shared" ca="1" si="122"/>
        <v>4082.5140000000001</v>
      </c>
      <c r="BK20" s="40">
        <f t="shared" ca="1" si="122"/>
        <v>4677.1109999999999</v>
      </c>
      <c r="BL20" s="40">
        <f t="shared" ca="1" si="122"/>
        <v>5782.5510000000004</v>
      </c>
      <c r="BM20" s="40">
        <f t="shared" ca="1" si="122"/>
        <v>6918.2120000000004</v>
      </c>
      <c r="BN20" s="40">
        <f t="shared" ca="1" si="122"/>
        <v>8076.527</v>
      </c>
      <c r="BO20" s="40">
        <f t="shared" ca="1" si="122"/>
        <v>9097.4609999999993</v>
      </c>
      <c r="BP20" s="40">
        <f t="shared" ca="1" si="122"/>
        <v>10608.699000000001</v>
      </c>
      <c r="BQ20" s="40">
        <f t="shared" ca="1" si="122"/>
        <v>11624.227999999999</v>
      </c>
      <c r="BR20" s="40">
        <f t="shared" ca="1" si="122"/>
        <v>13385.741</v>
      </c>
      <c r="BS20" s="40">
        <f t="shared" ca="1" si="122"/>
        <v>15536.179</v>
      </c>
      <c r="BT20" s="40">
        <f t="shared" ref="BT20:EE20" ca="1" si="123">BT9*$C$15</f>
        <v>17763.978999999999</v>
      </c>
      <c r="BU20" s="40">
        <f t="shared" ca="1" si="123"/>
        <v>19965.975999999999</v>
      </c>
      <c r="BV20" s="40">
        <f t="shared" ca="1" si="123"/>
        <v>21863.272000000001</v>
      </c>
      <c r="BW20" s="40">
        <f t="shared" ca="1" si="123"/>
        <v>23026.804</v>
      </c>
      <c r="BX20" s="40">
        <f t="shared" ca="1" si="123"/>
        <v>25224.335999999999</v>
      </c>
      <c r="BY20" s="40">
        <f t="shared" ca="1" si="123"/>
        <v>27168.584999999999</v>
      </c>
      <c r="BZ20" s="40">
        <f t="shared" ca="1" si="123"/>
        <v>29487.940999999999</v>
      </c>
      <c r="CA20" s="40">
        <f t="shared" ca="1" si="123"/>
        <v>31115.598000000002</v>
      </c>
      <c r="CB20" s="40">
        <f t="shared" ca="1" si="123"/>
        <v>33635.294406185247</v>
      </c>
      <c r="CC20" s="40">
        <f t="shared" ca="1" si="123"/>
        <v>36359.032205993819</v>
      </c>
      <c r="CD20" s="40">
        <f t="shared" ca="1" si="123"/>
        <v>39303.334378229629</v>
      </c>
      <c r="CE20" s="40">
        <f t="shared" ca="1" si="123"/>
        <v>42486.061908773074</v>
      </c>
      <c r="CF20" s="40">
        <f t="shared" ca="1" si="123"/>
        <v>45926.522140471003</v>
      </c>
      <c r="CG20" s="40">
        <f t="shared" ca="1" si="123"/>
        <v>49645.585897045188</v>
      </c>
      <c r="CH20" s="40">
        <f t="shared" ca="1" si="123"/>
        <v>53665.814091526488</v>
      </c>
      <c r="CI20" s="40">
        <f t="shared" ca="1" si="123"/>
        <v>58011.594587258085</v>
      </c>
      <c r="CJ20" s="40">
        <f t="shared" ca="1" si="123"/>
        <v>62709.290141706049</v>
      </c>
      <c r="CK20" s="40">
        <f t="shared" ca="1" si="123"/>
        <v>67787.398330547046</v>
      </c>
      <c r="CL20" s="40">
        <f t="shared" ca="1" si="123"/>
        <v>73276.724422178901</v>
      </c>
      <c r="CM20" s="40">
        <f t="shared" ca="1" si="123"/>
        <v>79210.568251360353</v>
      </c>
      <c r="CN20" s="40">
        <f t="shared" ca="1" si="123"/>
        <v>85624.926225609932</v>
      </c>
      <c r="CO20" s="40">
        <f t="shared" ca="1" si="123"/>
        <v>92558.709689792318</v>
      </c>
      <c r="CP20" s="40">
        <f t="shared" ca="1" si="123"/>
        <v>100053.98097355533</v>
      </c>
      <c r="CQ20" s="40">
        <f t="shared" ca="1" si="123"/>
        <v>108156.20855354896</v>
      </c>
      <c r="CR20" s="40">
        <f t="shared" ca="1" si="123"/>
        <v>116914.5428783143</v>
      </c>
      <c r="CS20" s="40">
        <f t="shared" ca="1" si="123"/>
        <v>126382.11452907542</v>
      </c>
      <c r="CT20" s="40">
        <f t="shared" ca="1" si="123"/>
        <v>136616.35652516384</v>
      </c>
      <c r="CU20" s="40">
        <f t="shared" ca="1" si="123"/>
        <v>147679.35272927271</v>
      </c>
      <c r="CV20" s="40">
        <f t="shared" ca="1" si="123"/>
        <v>159638.21446606828</v>
      </c>
      <c r="CW20" s="40">
        <f t="shared" ca="1" si="123"/>
        <v>172565.48763883463</v>
      </c>
      <c r="CX20" s="40">
        <f t="shared" ca="1" si="123"/>
        <v>186539.5928138397</v>
      </c>
      <c r="CY20" s="40">
        <f t="shared" ca="1" si="123"/>
        <v>201645.30094210038</v>
      </c>
      <c r="CZ20" s="40">
        <f t="shared" ca="1" si="123"/>
        <v>217974.24760441275</v>
      </c>
      <c r="DA20" s="40">
        <f t="shared" ca="1" si="123"/>
        <v>235625.48889920558</v>
      </c>
      <c r="DB20" s="40">
        <f t="shared" ca="1" si="123"/>
        <v>254706.10234539324</v>
      </c>
      <c r="DC20" s="40">
        <f t="shared" ca="1" si="123"/>
        <v>275331.83644547837</v>
      </c>
      <c r="DD20" s="40">
        <f t="shared" ca="1" si="123"/>
        <v>297627.81284934038</v>
      </c>
      <c r="DE20" s="40">
        <f t="shared" ca="1" si="123"/>
        <v>321729.28537823923</v>
      </c>
      <c r="DF20" s="40">
        <f t="shared" ca="1" si="123"/>
        <v>347782.4605134913</v>
      </c>
      <c r="DG20" s="40">
        <f t="shared" ca="1" si="123"/>
        <v>375945.38432713959</v>
      </c>
      <c r="DH20" s="40">
        <f t="shared" ca="1" si="123"/>
        <v>406388.90123499488</v>
      </c>
      <c r="DI20" s="40">
        <f t="shared" ca="1" si="123"/>
        <v>439297.6903881196</v>
      </c>
      <c r="DJ20" s="40">
        <f t="shared" ca="1" si="123"/>
        <v>474871.38598980551</v>
      </c>
      <c r="DK20" s="40">
        <f t="shared" ca="1" si="123"/>
        <v>513325.78833420912</v>
      </c>
      <c r="DL20" s="40">
        <f t="shared" ca="1" si="123"/>
        <v>554894.17291315633</v>
      </c>
      <c r="DM20" s="40">
        <f t="shared" ca="1" si="123"/>
        <v>599828.70553253323</v>
      </c>
      <c r="DN20" s="40">
        <f t="shared" ca="1" si="123"/>
        <v>648401.97202276986</v>
      </c>
      <c r="DO20" s="40">
        <f t="shared" ca="1" si="123"/>
        <v>700908.63182307966</v>
      </c>
      <c r="DP20" s="40">
        <f t="shared" ca="1" si="123"/>
        <v>757667.20547057432</v>
      </c>
      <c r="DQ20" s="40">
        <f t="shared" ca="1" si="123"/>
        <v>819022.00683767733</v>
      </c>
      <c r="DR20" s="40">
        <f t="shared" ca="1" si="123"/>
        <v>885345.23183934775</v>
      </c>
      <c r="DS20" s="40">
        <f t="shared" ca="1" si="123"/>
        <v>957039.21628081182</v>
      </c>
      <c r="DT20" s="40">
        <f t="shared" ca="1" si="123"/>
        <v>1034538.8765425594</v>
      </c>
      <c r="DU20" s="40">
        <f t="shared" ca="1" si="123"/>
        <v>1118314.3479085031</v>
      </c>
      <c r="DV20" s="40">
        <f t="shared" ca="1" si="123"/>
        <v>1208873.8365421607</v>
      </c>
      <c r="DW20" s="40">
        <f t="shared" ca="1" si="123"/>
        <v>1306766.7024117692</v>
      </c>
      <c r="DX20" s="40">
        <f t="shared" ca="1" si="123"/>
        <v>1412586.7918662443</v>
      </c>
      <c r="DY20" s="40">
        <f t="shared" ca="1" si="123"/>
        <v>1526976.0400783508</v>
      </c>
      <c r="DZ20" s="40">
        <f t="shared" ca="1" si="123"/>
        <v>1650628.3652085445</v>
      </c>
      <c r="EA20" s="40">
        <f t="shared" ca="1" si="123"/>
        <v>1784293.877912604</v>
      </c>
      <c r="EB20" s="40">
        <f t="shared" ca="1" si="123"/>
        <v>1928783.4317291412</v>
      </c>
      <c r="EC20" s="40">
        <f t="shared" ca="1" si="123"/>
        <v>2084973.5419509525</v>
      </c>
      <c r="ED20" s="40">
        <f t="shared" ca="1" si="123"/>
        <v>2253811.7028195029</v>
      </c>
      <c r="EE20" s="40">
        <f t="shared" ca="1" si="123"/>
        <v>2436322.1352981767</v>
      </c>
      <c r="EF20" s="40">
        <f t="shared" ref="EF20:GQ20" ca="1" si="124">EF9*$C$15</f>
        <v>2633612.0002919459</v>
      </c>
      <c r="EG20" s="40">
        <f t="shared" ca="1" si="124"/>
        <v>2846878.1150046363</v>
      </c>
      <c r="EH20" s="40">
        <f t="shared" ca="1" si="124"/>
        <v>3077414.2131771552</v>
      </c>
      <c r="EI20" s="40">
        <f t="shared" ca="1" si="124"/>
        <v>3326618.7932493719</v>
      </c>
      <c r="EJ20" s="40">
        <f t="shared" ca="1" si="124"/>
        <v>3596003.6020548702</v>
      </c>
      <c r="EK20" s="40">
        <f t="shared" ca="1" si="124"/>
        <v>3887202.8055131123</v>
      </c>
      <c r="EL20" s="40">
        <f t="shared" ca="1" si="124"/>
        <v>4201982.9019510671</v>
      </c>
      <c r="EM20" s="40">
        <f t="shared" ca="1" si="124"/>
        <v>4542253.4381913785</v>
      </c>
      <c r="EN20" s="40">
        <f t="shared" ca="1" si="124"/>
        <v>4910078.5934139593</v>
      </c>
      <c r="EO20" s="40">
        <f t="shared" ca="1" si="124"/>
        <v>5307689.7010620357</v>
      </c>
      <c r="EP20" s="40">
        <f t="shared" ca="1" si="124"/>
        <v>5737498.7847541599</v>
      </c>
      <c r="EQ20" s="40">
        <f t="shared" ca="1" si="124"/>
        <v>6202113.1903149113</v>
      </c>
      <c r="ER20" s="40">
        <f t="shared" ca="1" si="124"/>
        <v>6704351.4026864246</v>
      </c>
      <c r="ES20" s="40">
        <f t="shared" ca="1" si="124"/>
        <v>7247260.1436706744</v>
      </c>
      <c r="ET20" s="40">
        <f t="shared" ca="1" si="124"/>
        <v>7834132.8542223601</v>
      </c>
      <c r="EU20" s="40">
        <f t="shared" ca="1" si="124"/>
        <v>8468529.6734113041</v>
      </c>
      <c r="EV20" s="40">
        <f t="shared" ca="1" si="124"/>
        <v>9154299.0352525152</v>
      </c>
      <c r="EW20" s="40">
        <f t="shared" ca="1" si="124"/>
        <v>9895601.0144164991</v>
      </c>
      <c r="EX20" s="40">
        <f t="shared" ca="1" si="124"/>
        <v>10696932.562441651</v>
      </c>
      <c r="EY20" s="40">
        <f t="shared" ca="1" si="124"/>
        <v>11563154.787538858</v>
      </c>
      <c r="EZ20" s="40">
        <f t="shared" ca="1" si="124"/>
        <v>12499522.443475455</v>
      </c>
      <c r="FA20" s="40">
        <f t="shared" ca="1" si="124"/>
        <v>13511715.806426633</v>
      </c>
      <c r="FB20" s="40">
        <f t="shared" ca="1" si="124"/>
        <v>14605875.13316847</v>
      </c>
      <c r="FC20" s="40">
        <f t="shared" ca="1" si="124"/>
        <v>15788637.909645885</v>
      </c>
      <c r="FD20" s="40">
        <f t="shared" ca="1" si="124"/>
        <v>17067179.115876116</v>
      </c>
      <c r="FE20" s="40">
        <f t="shared" ca="1" si="124"/>
        <v>18449254.751446191</v>
      </c>
      <c r="FF20" s="40">
        <f t="shared" ca="1" si="124"/>
        <v>19943248.885642655</v>
      </c>
      <c r="FG20" s="40">
        <f t="shared" ca="1" si="124"/>
        <v>21558224.517633136</v>
      </c>
      <c r="FH20" s="40">
        <f t="shared" ca="1" si="124"/>
        <v>23303978.55523238</v>
      </c>
      <c r="FI20" s="40">
        <f t="shared" ca="1" si="124"/>
        <v>25191101.245769687</v>
      </c>
      <c r="FJ20" s="40">
        <f t="shared" ca="1" si="124"/>
        <v>27231040.419582594</v>
      </c>
      <c r="FK20" s="40">
        <f t="shared" ca="1" si="124"/>
        <v>29436170.93585638</v>
      </c>
      <c r="FL20" s="40">
        <f t="shared" ca="1" si="124"/>
        <v>31819869.752087779</v>
      </c>
      <c r="FM20" s="40">
        <f t="shared" ca="1" si="124"/>
        <v>34396597.072566025</v>
      </c>
      <c r="FN20" s="40">
        <f t="shared" ca="1" si="124"/>
        <v>37181984.068141259</v>
      </c>
      <c r="FO20" s="40">
        <f t="shared" ca="1" si="124"/>
        <v>40192927.69941368</v>
      </c>
      <c r="FP20" s="40">
        <f t="shared" ca="1" si="124"/>
        <v>43447693.218568295</v>
      </c>
      <c r="FQ20" s="40">
        <f t="shared" ca="1" si="124"/>
        <v>46966024.971660934</v>
      </c>
      <c r="FR20" s="40">
        <f t="shared" ca="1" si="124"/>
        <v>50769266.173514128</v>
      </c>
      <c r="FS20" s="40">
        <f t="shared" ca="1" si="124"/>
        <v>54880488.381811902</v>
      </c>
      <c r="FT20" s="40">
        <f t="shared" ca="1" si="124"/>
        <v>59324631.455820724</v>
      </c>
      <c r="FU20" s="40">
        <f t="shared" ca="1" si="124"/>
        <v>64128654.848766476</v>
      </c>
      <c r="FV20" s="40">
        <f t="shared" ca="1" si="124"/>
        <v>69321701.151650682</v>
      </c>
      <c r="FW20" s="40">
        <f t="shared" ca="1" si="124"/>
        <v>74935272.880609974</v>
      </c>
      <c r="FX20" s="40">
        <f t="shared" ca="1" si="124"/>
        <v>81003423.580261782</v>
      </c>
      <c r="FY20" s="40">
        <f t="shared" ca="1" si="124"/>
        <v>87562964.402324304</v>
      </c>
      <c r="FZ20" s="40">
        <f t="shared" ca="1" si="124"/>
        <v>94653687.412676334</v>
      </c>
      <c r="GA20" s="40">
        <f t="shared" ca="1" si="124"/>
        <v>102318606.98150168</v>
      </c>
      <c r="GB20" s="40">
        <f t="shared" ca="1" si="124"/>
        <v>110604220.72086066</v>
      </c>
      <c r="GC20" s="40">
        <f t="shared" ca="1" si="124"/>
        <v>119560791.55261113</v>
      </c>
      <c r="GD20" s="40">
        <f t="shared" ca="1" si="124"/>
        <v>129242652.61778423</v>
      </c>
      <c r="GE20" s="40">
        <f t="shared" ca="1" si="124"/>
        <v>129966436.99880001</v>
      </c>
      <c r="GF20" s="40">
        <f t="shared" ca="1" si="124"/>
        <v>129966436.99880001</v>
      </c>
      <c r="GG20" s="40">
        <f t="shared" ca="1" si="124"/>
        <v>129966436.99880001</v>
      </c>
      <c r="GH20" s="40">
        <f t="shared" ca="1" si="124"/>
        <v>129966436.99880001</v>
      </c>
      <c r="GI20" s="40">
        <f t="shared" ca="1" si="124"/>
        <v>129966436.99880001</v>
      </c>
      <c r="GJ20" s="40">
        <f t="shared" ca="1" si="124"/>
        <v>129966436.99880001</v>
      </c>
      <c r="GK20" s="40">
        <f t="shared" ca="1" si="124"/>
        <v>129966436.99880001</v>
      </c>
      <c r="GL20" s="40">
        <f t="shared" ca="1" si="124"/>
        <v>129966436.99880001</v>
      </c>
      <c r="GM20" s="40">
        <f t="shared" ca="1" si="124"/>
        <v>129966436.99880001</v>
      </c>
      <c r="GN20" s="40">
        <f t="shared" ca="1" si="124"/>
        <v>129966436.99880001</v>
      </c>
      <c r="GO20" s="40">
        <f t="shared" ca="1" si="124"/>
        <v>129966436.99880001</v>
      </c>
      <c r="GP20" s="40">
        <f t="shared" ca="1" si="124"/>
        <v>129966436.99880001</v>
      </c>
      <c r="GQ20" s="40">
        <f t="shared" ca="1" si="124"/>
        <v>129966436.99880001</v>
      </c>
      <c r="GR20" s="40">
        <f t="shared" ref="GR20:IN20" ca="1" si="125">GR9*$C$15</f>
        <v>129966436.99880001</v>
      </c>
      <c r="GS20" s="40">
        <f t="shared" ca="1" si="125"/>
        <v>129966436.99880001</v>
      </c>
      <c r="GT20" s="40">
        <f t="shared" ca="1" si="125"/>
        <v>129966436.99880001</v>
      </c>
      <c r="GU20" s="40">
        <f t="shared" ca="1" si="125"/>
        <v>129966436.99880001</v>
      </c>
      <c r="GV20" s="40">
        <f t="shared" ca="1" si="125"/>
        <v>129966436.99880001</v>
      </c>
      <c r="GW20" s="40">
        <f t="shared" ca="1" si="125"/>
        <v>129966436.99880001</v>
      </c>
      <c r="GX20" s="40">
        <f t="shared" ca="1" si="125"/>
        <v>129966436.99880001</v>
      </c>
      <c r="GY20" s="40">
        <f t="shared" ca="1" si="125"/>
        <v>129966436.99880001</v>
      </c>
      <c r="GZ20" s="40">
        <f t="shared" ca="1" si="125"/>
        <v>129966436.99880001</v>
      </c>
      <c r="HA20" s="40">
        <f t="shared" ca="1" si="125"/>
        <v>129966436.99880001</v>
      </c>
      <c r="HB20" s="40">
        <f t="shared" ca="1" si="125"/>
        <v>129966436.99880001</v>
      </c>
      <c r="HC20" s="40">
        <f t="shared" ca="1" si="125"/>
        <v>129966436.99880001</v>
      </c>
      <c r="HD20" s="40">
        <f t="shared" ca="1" si="125"/>
        <v>129966436.99880001</v>
      </c>
      <c r="HE20" s="40">
        <f t="shared" ca="1" si="125"/>
        <v>129966436.99880001</v>
      </c>
      <c r="HF20" s="40">
        <f t="shared" ca="1" si="125"/>
        <v>129966436.99880001</v>
      </c>
      <c r="HG20" s="40">
        <f t="shared" ca="1" si="125"/>
        <v>129966436.99880001</v>
      </c>
      <c r="HH20" s="40">
        <f t="shared" ca="1" si="125"/>
        <v>129966436.99880001</v>
      </c>
      <c r="HI20" s="40">
        <f t="shared" ca="1" si="125"/>
        <v>129966436.99880001</v>
      </c>
      <c r="HJ20" s="40">
        <f t="shared" ca="1" si="125"/>
        <v>129966436.99880001</v>
      </c>
      <c r="HK20" s="40">
        <f t="shared" ca="1" si="125"/>
        <v>129966436.99880001</v>
      </c>
      <c r="HL20" s="40">
        <f t="shared" ca="1" si="125"/>
        <v>129966436.99880001</v>
      </c>
      <c r="HM20" s="40">
        <f t="shared" ca="1" si="125"/>
        <v>129966436.99880001</v>
      </c>
      <c r="HN20" s="40">
        <f t="shared" ca="1" si="125"/>
        <v>129966436.99880001</v>
      </c>
      <c r="HO20" s="40">
        <f t="shared" ca="1" si="125"/>
        <v>129966436.99880001</v>
      </c>
      <c r="HP20" s="40">
        <f t="shared" ca="1" si="125"/>
        <v>129966436.99880001</v>
      </c>
      <c r="HQ20" s="40">
        <f t="shared" ca="1" si="125"/>
        <v>129966436.99880001</v>
      </c>
      <c r="HR20" s="40">
        <f t="shared" ca="1" si="125"/>
        <v>129966436.99880001</v>
      </c>
      <c r="HS20" s="40">
        <f t="shared" ca="1" si="125"/>
        <v>129966436.99880001</v>
      </c>
      <c r="HT20" s="40">
        <f t="shared" ca="1" si="125"/>
        <v>129966436.99880001</v>
      </c>
      <c r="HU20" s="40">
        <f t="shared" ca="1" si="125"/>
        <v>129966436.99880001</v>
      </c>
      <c r="HV20" s="40">
        <f t="shared" ca="1" si="125"/>
        <v>129966436.99880001</v>
      </c>
      <c r="HW20" s="40">
        <f t="shared" ca="1" si="125"/>
        <v>129966436.99880001</v>
      </c>
      <c r="HX20" s="40">
        <f t="shared" ca="1" si="125"/>
        <v>129966436.99880001</v>
      </c>
      <c r="HY20" s="40">
        <f t="shared" ca="1" si="125"/>
        <v>129966436.99880001</v>
      </c>
      <c r="HZ20" s="40">
        <f t="shared" ca="1" si="125"/>
        <v>129966436.99880001</v>
      </c>
      <c r="IA20" s="40">
        <f t="shared" ca="1" si="125"/>
        <v>129966436.99880001</v>
      </c>
      <c r="IB20" s="40">
        <f t="shared" ca="1" si="125"/>
        <v>129966436.99880001</v>
      </c>
      <c r="IC20" s="40">
        <f t="shared" ca="1" si="125"/>
        <v>129966436.99880001</v>
      </c>
      <c r="ID20" s="40">
        <f t="shared" ca="1" si="125"/>
        <v>129966436.99880001</v>
      </c>
      <c r="IE20" s="40">
        <f t="shared" ca="1" si="125"/>
        <v>129966436.99880001</v>
      </c>
      <c r="IF20" s="40">
        <f t="shared" ca="1" si="125"/>
        <v>129966436.99880001</v>
      </c>
      <c r="IG20" s="40">
        <f t="shared" ca="1" si="125"/>
        <v>129966436.99880001</v>
      </c>
      <c r="IH20" s="40">
        <f t="shared" ca="1" si="125"/>
        <v>129966436.99880001</v>
      </c>
      <c r="II20" s="40">
        <f t="shared" ca="1" si="125"/>
        <v>129966436.99880001</v>
      </c>
      <c r="IJ20" s="40">
        <f t="shared" ca="1" si="125"/>
        <v>129966436.99880001</v>
      </c>
      <c r="IK20" s="40">
        <f t="shared" ca="1" si="125"/>
        <v>129966436.99880001</v>
      </c>
      <c r="IL20" s="40">
        <f t="shared" ca="1" si="125"/>
        <v>129966436.99880001</v>
      </c>
      <c r="IM20" s="40">
        <f t="shared" ca="1" si="125"/>
        <v>129966436.99880001</v>
      </c>
      <c r="IN20" s="40">
        <f t="shared" ca="1" si="125"/>
        <v>129966436.99880001</v>
      </c>
    </row>
    <row r="21" spans="2:248" x14ac:dyDescent="0.3">
      <c r="B21" s="19" t="s">
        <v>490</v>
      </c>
      <c r="C21" s="40">
        <f>C20*C19</f>
        <v>2765243340.4000001</v>
      </c>
      <c r="F21" s="19" t="s">
        <v>492</v>
      </c>
      <c r="G21" s="40">
        <f>G10*$C$15</f>
        <v>26.085000000000001</v>
      </c>
      <c r="H21" s="40">
        <f t="shared" ref="H21:BS22" ca="1" si="126">H10*$C$15</f>
        <v>26.555</v>
      </c>
      <c r="I21" s="40">
        <f t="shared" ca="1" si="126"/>
        <v>30.761500000000002</v>
      </c>
      <c r="J21" s="40">
        <f t="shared" ca="1" si="126"/>
        <v>57.527999999999999</v>
      </c>
      <c r="K21" s="40">
        <f t="shared" ca="1" si="126"/>
        <v>91.191749999999999</v>
      </c>
      <c r="L21" s="40">
        <f t="shared" ca="1" si="126"/>
        <v>129.297</v>
      </c>
      <c r="M21" s="40">
        <f t="shared" ca="1" si="126"/>
        <v>252.4605</v>
      </c>
      <c r="N21" s="40">
        <f t="shared" ca="1" si="126"/>
        <v>280.62357142857144</v>
      </c>
      <c r="O21" s="40">
        <f t="shared" ca="1" si="126"/>
        <v>376.49937499999999</v>
      </c>
      <c r="P21" s="40">
        <f t="shared" ca="1" si="126"/>
        <v>454.45866666666672</v>
      </c>
      <c r="Q21" s="40">
        <f t="shared" ca="1" si="126"/>
        <v>551.80349999999999</v>
      </c>
      <c r="R21" s="40">
        <f t="shared" ca="1" si="126"/>
        <v>770.40263636363647</v>
      </c>
      <c r="S21" s="40">
        <f t="shared" ca="1" si="126"/>
        <v>879.88700000000006</v>
      </c>
      <c r="T21" s="40">
        <f t="shared" ca="1" si="126"/>
        <v>1043.682</v>
      </c>
      <c r="U21" s="40">
        <f t="shared" ca="1" si="126"/>
        <v>1184.4939999999999</v>
      </c>
      <c r="V21" s="40">
        <f t="shared" ca="1" si="126"/>
        <v>1289.116</v>
      </c>
      <c r="W21" s="40">
        <f t="shared" ca="1" si="126"/>
        <v>1409.201</v>
      </c>
      <c r="X21" s="40">
        <f t="shared" ca="1" si="126"/>
        <v>1325.588</v>
      </c>
      <c r="Y21" s="40">
        <f t="shared" ca="1" si="126"/>
        <v>1530.367</v>
      </c>
      <c r="Z21" s="40">
        <f t="shared" ca="1" si="126"/>
        <v>1481.4870000000001</v>
      </c>
      <c r="AA21" s="40">
        <f t="shared" ca="1" si="126"/>
        <v>1512.883</v>
      </c>
      <c r="AB21" s="40">
        <f t="shared" ca="1" si="126"/>
        <v>1660.2750000000001</v>
      </c>
      <c r="AC21" s="40">
        <f t="shared" ca="1" si="126"/>
        <v>1774.297</v>
      </c>
      <c r="AD21" s="40">
        <f t="shared" ca="1" si="126"/>
        <v>2004.973</v>
      </c>
      <c r="AE21" s="40">
        <f t="shared" ca="1" si="126"/>
        <v>1867.498</v>
      </c>
      <c r="AF21" s="40">
        <f t="shared" ca="1" si="126"/>
        <v>1802.779</v>
      </c>
      <c r="AG21" s="40">
        <f t="shared" ca="1" si="126"/>
        <v>1771.289</v>
      </c>
      <c r="AH21" s="40">
        <f t="shared" ca="1" si="126"/>
        <v>1669.675</v>
      </c>
      <c r="AI21" s="40">
        <f t="shared" ca="1" si="126"/>
        <v>1598.047</v>
      </c>
      <c r="AJ21" s="40">
        <f t="shared" ca="1" si="126"/>
        <v>1466.9169999999999</v>
      </c>
      <c r="AK21" s="40">
        <f t="shared" ca="1" si="126"/>
        <v>1404.7360000000001</v>
      </c>
      <c r="AL21" s="40">
        <f t="shared" ca="1" si="126"/>
        <v>1409.4359999999999</v>
      </c>
      <c r="AM21" s="40">
        <f t="shared" ca="1" si="126"/>
        <v>987.79899999999998</v>
      </c>
      <c r="AN21" s="40">
        <f t="shared" ca="1" si="126"/>
        <v>365.14300000000003</v>
      </c>
      <c r="AO21" s="40">
        <f t="shared" ca="1" si="126"/>
        <v>260.56799999999998</v>
      </c>
      <c r="AP21" s="40">
        <f t="shared" ca="1" si="126"/>
        <v>418.44099999999997</v>
      </c>
      <c r="AQ21" s="40">
        <f t="shared" ca="1" si="126"/>
        <v>381.26400000000001</v>
      </c>
      <c r="AR21" s="40">
        <f t="shared" ca="1" si="126"/>
        <v>365.096</v>
      </c>
      <c r="AS21" s="40">
        <f t="shared" ca="1" si="126"/>
        <v>382.25099999999998</v>
      </c>
      <c r="AT21" s="40">
        <f t="shared" ca="1" si="126"/>
        <v>539.04300000000001</v>
      </c>
      <c r="AU21" s="40">
        <f t="shared" ca="1" si="126"/>
        <v>600.75400000000002</v>
      </c>
      <c r="AV21" s="40">
        <f t="shared" ca="1" si="126"/>
        <v>678.02200000000005</v>
      </c>
      <c r="AW21" s="40">
        <f t="shared" ca="1" si="126"/>
        <v>664.48599999999999</v>
      </c>
      <c r="AX21" s="40">
        <f t="shared" ca="1" si="126"/>
        <v>832.55799999999999</v>
      </c>
      <c r="AY21" s="40">
        <f t="shared" ca="1" si="126"/>
        <v>984.50900000000001</v>
      </c>
      <c r="AZ21" s="40">
        <f t="shared" ca="1" si="126"/>
        <v>1118.4590000000001</v>
      </c>
      <c r="BA21" s="40">
        <f t="shared" ca="1" si="126"/>
        <v>1244.5129999999999</v>
      </c>
      <c r="BB21" s="40">
        <f t="shared" ca="1" si="126"/>
        <v>1331.886</v>
      </c>
      <c r="BC21" s="40">
        <f t="shared" ca="1" si="126"/>
        <v>1493.7070000000001</v>
      </c>
      <c r="BD21" s="40">
        <f t="shared" ca="1" si="126"/>
        <v>1707.51</v>
      </c>
      <c r="BE21" s="40">
        <f t="shared" ca="1" si="126"/>
        <v>1907.8240000000001</v>
      </c>
      <c r="BF21" s="40">
        <f t="shared" ca="1" si="126"/>
        <v>2382.806</v>
      </c>
      <c r="BG21" s="40">
        <f t="shared" ca="1" si="126"/>
        <v>2730.0889999999999</v>
      </c>
      <c r="BH21" s="40">
        <f t="shared" ca="1" si="126"/>
        <v>3193.462</v>
      </c>
      <c r="BI21" s="40">
        <f t="shared" ca="1" si="126"/>
        <v>3625.674</v>
      </c>
      <c r="BJ21" s="40">
        <f t="shared" ca="1" si="126"/>
        <v>4082.5140000000001</v>
      </c>
      <c r="BK21" s="40">
        <f t="shared" ca="1" si="126"/>
        <v>4677.1109999999999</v>
      </c>
      <c r="BL21" s="40">
        <f t="shared" ca="1" si="126"/>
        <v>5782.5510000000004</v>
      </c>
      <c r="BM21" s="40">
        <f t="shared" ca="1" si="126"/>
        <v>6918.2120000000004</v>
      </c>
      <c r="BN21" s="40">
        <f t="shared" ca="1" si="126"/>
        <v>8076.527</v>
      </c>
      <c r="BO21" s="40">
        <f t="shared" ca="1" si="126"/>
        <v>9097.4609999999993</v>
      </c>
      <c r="BP21" s="40">
        <f t="shared" ca="1" si="126"/>
        <v>10608.699000000001</v>
      </c>
      <c r="BQ21" s="40">
        <f t="shared" ca="1" si="126"/>
        <v>11624.227999999999</v>
      </c>
      <c r="BR21" s="40">
        <f t="shared" ca="1" si="126"/>
        <v>13385.741</v>
      </c>
      <c r="BS21" s="40">
        <f t="shared" ca="1" si="126"/>
        <v>15536.179</v>
      </c>
      <c r="BT21" s="40">
        <f t="shared" ref="BT21:EE23" ca="1" si="127">BT10*$C$15</f>
        <v>17763.978999999999</v>
      </c>
      <c r="BU21" s="40">
        <f t="shared" ca="1" si="127"/>
        <v>19965.975999999999</v>
      </c>
      <c r="BV21" s="40">
        <f t="shared" ca="1" si="127"/>
        <v>21863.272000000001</v>
      </c>
      <c r="BW21" s="40">
        <f t="shared" ca="1" si="127"/>
        <v>23026.804</v>
      </c>
      <c r="BX21" s="40">
        <f t="shared" ca="1" si="127"/>
        <v>25224.335999999999</v>
      </c>
      <c r="BY21" s="40">
        <f t="shared" ca="1" si="127"/>
        <v>27168.584999999999</v>
      </c>
      <c r="BZ21" s="40">
        <f t="shared" ca="1" si="127"/>
        <v>29487.940999999999</v>
      </c>
      <c r="CA21" s="40">
        <f t="shared" ca="1" si="127"/>
        <v>31115.598000000002</v>
      </c>
      <c r="CB21" s="40">
        <f t="shared" ca="1" si="127"/>
        <v>34227.157800000001</v>
      </c>
      <c r="CC21" s="40">
        <f t="shared" ca="1" si="127"/>
        <v>37649.873580000007</v>
      </c>
      <c r="CD21" s="40">
        <f t="shared" ca="1" si="127"/>
        <v>41414.860938000013</v>
      </c>
      <c r="CE21" s="40">
        <f t="shared" ca="1" si="127"/>
        <v>45556.347031800011</v>
      </c>
      <c r="CF21" s="40">
        <f t="shared" ca="1" si="127"/>
        <v>50111.981734980014</v>
      </c>
      <c r="CG21" s="40">
        <f t="shared" ca="1" si="127"/>
        <v>55123.179908478029</v>
      </c>
      <c r="CH21" s="40">
        <f t="shared" ca="1" si="127"/>
        <v>60635.497899325834</v>
      </c>
      <c r="CI21" s="40">
        <f t="shared" ca="1" si="127"/>
        <v>66699.047689258427</v>
      </c>
      <c r="CJ21" s="40">
        <f t="shared" ca="1" si="127"/>
        <v>73368.952458184271</v>
      </c>
      <c r="CK21" s="40">
        <f t="shared" ca="1" si="127"/>
        <v>80705.847704002706</v>
      </c>
      <c r="CL21" s="40">
        <f t="shared" ca="1" si="127"/>
        <v>88776.432474402973</v>
      </c>
      <c r="CM21" s="40">
        <f t="shared" ca="1" si="127"/>
        <v>97654.075721843285</v>
      </c>
      <c r="CN21" s="40">
        <f t="shared" ca="1" si="127"/>
        <v>107419.48329402762</v>
      </c>
      <c r="CO21" s="40">
        <f t="shared" ca="1" si="127"/>
        <v>118161.43162343038</v>
      </c>
      <c r="CP21" s="40">
        <f t="shared" ca="1" si="127"/>
        <v>129977.57478577342</v>
      </c>
      <c r="CQ21" s="40">
        <f t="shared" ca="1" si="127"/>
        <v>142975.33226435079</v>
      </c>
      <c r="CR21" s="40">
        <f t="shared" ca="1" si="127"/>
        <v>157272.86549078586</v>
      </c>
      <c r="CS21" s="40">
        <f t="shared" ca="1" si="127"/>
        <v>173000.15203986445</v>
      </c>
      <c r="CT21" s="40">
        <f t="shared" ca="1" si="127"/>
        <v>190300.16724385091</v>
      </c>
      <c r="CU21" s="40">
        <f t="shared" ca="1" si="127"/>
        <v>209330.18396823603</v>
      </c>
      <c r="CV21" s="40">
        <f t="shared" ca="1" si="127"/>
        <v>230263.20236505964</v>
      </c>
      <c r="CW21" s="40">
        <f t="shared" ca="1" si="127"/>
        <v>253289.52260156561</v>
      </c>
      <c r="CX21" s="40">
        <f t="shared" ca="1" si="127"/>
        <v>278618.47486172221</v>
      </c>
      <c r="CY21" s="40">
        <f t="shared" ca="1" si="127"/>
        <v>306480.32234789443</v>
      </c>
      <c r="CZ21" s="40">
        <f t="shared" ca="1" si="127"/>
        <v>337128.35458268388</v>
      </c>
      <c r="DA21" s="40">
        <f t="shared" ca="1" si="127"/>
        <v>370841.19004095229</v>
      </c>
      <c r="DB21" s="40">
        <f t="shared" ca="1" si="127"/>
        <v>407925.30904504756</v>
      </c>
      <c r="DC21" s="40">
        <f t="shared" ca="1" si="127"/>
        <v>448717.83994955238</v>
      </c>
      <c r="DD21" s="40">
        <f t="shared" ca="1" si="127"/>
        <v>493589.62394450768</v>
      </c>
      <c r="DE21" s="40">
        <f t="shared" ca="1" si="127"/>
        <v>542948.58633895847</v>
      </c>
      <c r="DF21" s="40">
        <f t="shared" ca="1" si="127"/>
        <v>597243.44497285434</v>
      </c>
      <c r="DG21" s="40">
        <f t="shared" ca="1" si="127"/>
        <v>656967.78947013989</v>
      </c>
      <c r="DH21" s="40">
        <f t="shared" ca="1" si="127"/>
        <v>722664.56841715402</v>
      </c>
      <c r="DI21" s="40">
        <f t="shared" ca="1" si="127"/>
        <v>794931.0252588694</v>
      </c>
      <c r="DJ21" s="40">
        <f t="shared" ca="1" si="127"/>
        <v>874424.12778475636</v>
      </c>
      <c r="DK21" s="40">
        <f t="shared" ca="1" si="127"/>
        <v>961866.54056323215</v>
      </c>
      <c r="DL21" s="40">
        <f t="shared" ca="1" si="127"/>
        <v>1058053.1946195555</v>
      </c>
      <c r="DM21" s="40">
        <f t="shared" ca="1" si="127"/>
        <v>1163858.5140815109</v>
      </c>
      <c r="DN21" s="40">
        <f t="shared" ca="1" si="127"/>
        <v>1280244.3654896622</v>
      </c>
      <c r="DO21" s="40">
        <f t="shared" ca="1" si="127"/>
        <v>1408268.8020386286</v>
      </c>
      <c r="DP21" s="40">
        <f t="shared" ca="1" si="127"/>
        <v>1549095.6822424917</v>
      </c>
      <c r="DQ21" s="40">
        <f t="shared" ca="1" si="127"/>
        <v>1704005.2504667409</v>
      </c>
      <c r="DR21" s="40">
        <f t="shared" ca="1" si="127"/>
        <v>1874405.7755134152</v>
      </c>
      <c r="DS21" s="40">
        <f t="shared" ca="1" si="127"/>
        <v>2061846.3530647571</v>
      </c>
      <c r="DT21" s="40">
        <f t="shared" ca="1" si="127"/>
        <v>2268030.988371233</v>
      </c>
      <c r="DU21" s="40">
        <f t="shared" ca="1" si="127"/>
        <v>2494834.0872083567</v>
      </c>
      <c r="DV21" s="40">
        <f t="shared" ca="1" si="127"/>
        <v>2744317.4959291923</v>
      </c>
      <c r="DW21" s="40">
        <f t="shared" ca="1" si="127"/>
        <v>3018749.2455221117</v>
      </c>
      <c r="DX21" s="40">
        <f t="shared" ca="1" si="127"/>
        <v>3320624.1700743232</v>
      </c>
      <c r="DY21" s="40">
        <f t="shared" ca="1" si="127"/>
        <v>3652686.587081756</v>
      </c>
      <c r="DZ21" s="40">
        <f t="shared" ca="1" si="127"/>
        <v>4017955.2457899316</v>
      </c>
      <c r="EA21" s="40">
        <f t="shared" ca="1" si="127"/>
        <v>4419750.7703689244</v>
      </c>
      <c r="EB21" s="40">
        <f t="shared" ca="1" si="127"/>
        <v>4861725.8474058183</v>
      </c>
      <c r="EC21" s="40">
        <f t="shared" ca="1" si="127"/>
        <v>5347898.4321464002</v>
      </c>
      <c r="ED21" s="40">
        <f t="shared" ca="1" si="127"/>
        <v>5882688.2753610397</v>
      </c>
      <c r="EE21" s="40">
        <f t="shared" ca="1" si="127"/>
        <v>6470957.1028971449</v>
      </c>
      <c r="EF21" s="40">
        <f t="shared" ref="EF21:GQ23" ca="1" si="128">EF10*$C$15</f>
        <v>7118052.8131868606</v>
      </c>
      <c r="EG21" s="40">
        <f t="shared" ca="1" si="128"/>
        <v>7829858.0945055475</v>
      </c>
      <c r="EH21" s="40">
        <f t="shared" ca="1" si="128"/>
        <v>8612843.9039561022</v>
      </c>
      <c r="EI21" s="40">
        <f t="shared" ca="1" si="128"/>
        <v>9474128.2943517119</v>
      </c>
      <c r="EJ21" s="40">
        <f t="shared" ca="1" si="128"/>
        <v>10421541.123786885</v>
      </c>
      <c r="EK21" s="40">
        <f t="shared" ca="1" si="128"/>
        <v>11463695.236165574</v>
      </c>
      <c r="EL21" s="40">
        <f t="shared" ca="1" si="128"/>
        <v>12610064.759782132</v>
      </c>
      <c r="EM21" s="40">
        <f t="shared" ca="1" si="128"/>
        <v>13871071.235760346</v>
      </c>
      <c r="EN21" s="40">
        <f t="shared" ca="1" si="128"/>
        <v>15258178.359336382</v>
      </c>
      <c r="EO21" s="40">
        <f t="shared" ca="1" si="128"/>
        <v>16783996.195270021</v>
      </c>
      <c r="EP21" s="40">
        <f t="shared" ca="1" si="128"/>
        <v>18462395.814797025</v>
      </c>
      <c r="EQ21" s="40">
        <f t="shared" ca="1" si="128"/>
        <v>20308635.396276731</v>
      </c>
      <c r="ER21" s="40">
        <f t="shared" ca="1" si="128"/>
        <v>22339498.935904406</v>
      </c>
      <c r="ES21" s="40">
        <f t="shared" ca="1" si="128"/>
        <v>24573448.829494845</v>
      </c>
      <c r="ET21" s="40">
        <f t="shared" ca="1" si="128"/>
        <v>27030793.712444335</v>
      </c>
      <c r="EU21" s="40">
        <f t="shared" ca="1" si="128"/>
        <v>29733873.083688769</v>
      </c>
      <c r="EV21" s="40">
        <f t="shared" ca="1" si="128"/>
        <v>32707260.392057654</v>
      </c>
      <c r="EW21" s="40">
        <f t="shared" ca="1" si="128"/>
        <v>35977986.431263417</v>
      </c>
      <c r="EX21" s="40">
        <f t="shared" ca="1" si="128"/>
        <v>39575785.074389763</v>
      </c>
      <c r="EY21" s="40">
        <f t="shared" ca="1" si="128"/>
        <v>43533363.581828743</v>
      </c>
      <c r="EZ21" s="40">
        <f t="shared" ca="1" si="128"/>
        <v>47886699.940011621</v>
      </c>
      <c r="FA21" s="40">
        <f t="shared" ca="1" si="128"/>
        <v>52675369.934012786</v>
      </c>
      <c r="FB21" s="40">
        <f t="shared" ca="1" si="128"/>
        <v>57942906.927414075</v>
      </c>
      <c r="FC21" s="40">
        <f t="shared" ca="1" si="128"/>
        <v>63737197.620155483</v>
      </c>
      <c r="FD21" s="40">
        <f t="shared" ca="1" si="128"/>
        <v>70110917.382171035</v>
      </c>
      <c r="FE21" s="40">
        <f t="shared" ca="1" si="128"/>
        <v>77122009.120388135</v>
      </c>
      <c r="FF21" s="40">
        <f t="shared" ca="1" si="128"/>
        <v>84834210.032426953</v>
      </c>
      <c r="FG21" s="40">
        <f t="shared" ca="1" si="128"/>
        <v>93317631.035669655</v>
      </c>
      <c r="FH21" s="40">
        <f t="shared" ca="1" si="128"/>
        <v>102649394.13923663</v>
      </c>
      <c r="FI21" s="40">
        <f t="shared" ca="1" si="128"/>
        <v>112914333.55316029</v>
      </c>
      <c r="FJ21" s="40">
        <f t="shared" ca="1" si="128"/>
        <v>124205766.90847634</v>
      </c>
      <c r="FK21" s="40">
        <f t="shared" ca="1" si="128"/>
        <v>129966436.99880001</v>
      </c>
      <c r="FL21" s="40">
        <f t="shared" ca="1" si="128"/>
        <v>129966436.99880001</v>
      </c>
      <c r="FM21" s="40">
        <f t="shared" ca="1" si="128"/>
        <v>129966436.99880001</v>
      </c>
      <c r="FN21" s="40">
        <f t="shared" ca="1" si="128"/>
        <v>129966436.99880001</v>
      </c>
      <c r="FO21" s="40">
        <f t="shared" ca="1" si="128"/>
        <v>129966436.99880001</v>
      </c>
      <c r="FP21" s="40">
        <f t="shared" ca="1" si="128"/>
        <v>129966436.99880001</v>
      </c>
      <c r="FQ21" s="40">
        <f t="shared" ca="1" si="128"/>
        <v>129966436.99880001</v>
      </c>
      <c r="FR21" s="40">
        <f t="shared" ca="1" si="128"/>
        <v>129966436.99880001</v>
      </c>
      <c r="FS21" s="40">
        <f t="shared" ca="1" si="128"/>
        <v>129966436.99880001</v>
      </c>
      <c r="FT21" s="40">
        <f t="shared" ca="1" si="128"/>
        <v>129966436.99880001</v>
      </c>
      <c r="FU21" s="40">
        <f t="shared" ca="1" si="128"/>
        <v>129966436.99880001</v>
      </c>
      <c r="FV21" s="40">
        <f t="shared" ca="1" si="128"/>
        <v>129966436.99880001</v>
      </c>
      <c r="FW21" s="40">
        <f t="shared" ca="1" si="128"/>
        <v>129966436.99880001</v>
      </c>
      <c r="FX21" s="40">
        <f t="shared" ca="1" si="128"/>
        <v>129966436.99880001</v>
      </c>
      <c r="FY21" s="40">
        <f t="shared" ca="1" si="128"/>
        <v>129966436.99880001</v>
      </c>
      <c r="FZ21" s="40">
        <f t="shared" ca="1" si="128"/>
        <v>129966436.99880001</v>
      </c>
      <c r="GA21" s="40">
        <f t="shared" ca="1" si="128"/>
        <v>129966436.99880001</v>
      </c>
      <c r="GB21" s="40">
        <f t="shared" ca="1" si="128"/>
        <v>129966436.99880001</v>
      </c>
      <c r="GC21" s="40">
        <f t="shared" ca="1" si="128"/>
        <v>129966436.99880001</v>
      </c>
      <c r="GD21" s="40">
        <f t="shared" ca="1" si="128"/>
        <v>129966436.99880001</v>
      </c>
      <c r="GE21" s="40">
        <f t="shared" ca="1" si="128"/>
        <v>129966436.99880001</v>
      </c>
      <c r="GF21" s="40">
        <f t="shared" ca="1" si="128"/>
        <v>129966436.99880001</v>
      </c>
      <c r="GG21" s="40">
        <f t="shared" ca="1" si="128"/>
        <v>129966436.99880001</v>
      </c>
      <c r="GH21" s="40">
        <f t="shared" ca="1" si="128"/>
        <v>129966436.99880001</v>
      </c>
      <c r="GI21" s="40">
        <f t="shared" ca="1" si="128"/>
        <v>129966436.99880001</v>
      </c>
      <c r="GJ21" s="40">
        <f t="shared" ca="1" si="128"/>
        <v>129966436.99880001</v>
      </c>
      <c r="GK21" s="40">
        <f t="shared" ca="1" si="128"/>
        <v>129966436.99880001</v>
      </c>
      <c r="GL21" s="40">
        <f t="shared" ca="1" si="128"/>
        <v>129966436.99880001</v>
      </c>
      <c r="GM21" s="40">
        <f t="shared" ca="1" si="128"/>
        <v>129966436.99880001</v>
      </c>
      <c r="GN21" s="40">
        <f t="shared" ca="1" si="128"/>
        <v>129966436.99880001</v>
      </c>
      <c r="GO21" s="40">
        <f t="shared" ca="1" si="128"/>
        <v>129966436.99880001</v>
      </c>
      <c r="GP21" s="40">
        <f t="shared" ca="1" si="128"/>
        <v>129966436.99880001</v>
      </c>
      <c r="GQ21" s="40">
        <f t="shared" ca="1" si="128"/>
        <v>129966436.99880001</v>
      </c>
      <c r="GR21" s="40">
        <f t="shared" ref="GR21:IN23" ca="1" si="129">GR10*$C$15</f>
        <v>129966436.99880001</v>
      </c>
      <c r="GS21" s="40">
        <f t="shared" ca="1" si="129"/>
        <v>129966436.99880001</v>
      </c>
      <c r="GT21" s="40">
        <f t="shared" ca="1" si="129"/>
        <v>129966436.99880001</v>
      </c>
      <c r="GU21" s="40">
        <f t="shared" ca="1" si="129"/>
        <v>129966436.99880001</v>
      </c>
      <c r="GV21" s="40">
        <f t="shared" ca="1" si="129"/>
        <v>129966436.99880001</v>
      </c>
      <c r="GW21" s="40">
        <f t="shared" ca="1" si="129"/>
        <v>129966436.99880001</v>
      </c>
      <c r="GX21" s="40">
        <f t="shared" ca="1" si="129"/>
        <v>129966436.99880001</v>
      </c>
      <c r="GY21" s="40">
        <f t="shared" ca="1" si="129"/>
        <v>129966436.99880001</v>
      </c>
      <c r="GZ21" s="40">
        <f t="shared" ca="1" si="129"/>
        <v>129966436.99880001</v>
      </c>
      <c r="HA21" s="40">
        <f t="shared" ca="1" si="129"/>
        <v>129966436.99880001</v>
      </c>
      <c r="HB21" s="40">
        <f t="shared" ca="1" si="129"/>
        <v>129966436.99880001</v>
      </c>
      <c r="HC21" s="40">
        <f t="shared" ca="1" si="129"/>
        <v>129966436.99880001</v>
      </c>
      <c r="HD21" s="40">
        <f t="shared" ca="1" si="129"/>
        <v>129966436.99880001</v>
      </c>
      <c r="HE21" s="40">
        <f t="shared" ca="1" si="129"/>
        <v>129966436.99880001</v>
      </c>
      <c r="HF21" s="40">
        <f t="shared" ca="1" si="129"/>
        <v>129966436.99880001</v>
      </c>
      <c r="HG21" s="40">
        <f t="shared" ca="1" si="129"/>
        <v>129966436.99880001</v>
      </c>
      <c r="HH21" s="40">
        <f t="shared" ca="1" si="129"/>
        <v>129966436.99880001</v>
      </c>
      <c r="HI21" s="40">
        <f t="shared" ca="1" si="129"/>
        <v>129966436.99880001</v>
      </c>
      <c r="HJ21" s="40">
        <f t="shared" ca="1" si="129"/>
        <v>129966436.99880001</v>
      </c>
      <c r="HK21" s="40">
        <f t="shared" ca="1" si="129"/>
        <v>129966436.99880001</v>
      </c>
      <c r="HL21" s="40">
        <f t="shared" ca="1" si="129"/>
        <v>129966436.99880001</v>
      </c>
      <c r="HM21" s="40">
        <f t="shared" ca="1" si="129"/>
        <v>129966436.99880001</v>
      </c>
      <c r="HN21" s="40">
        <f t="shared" ca="1" si="129"/>
        <v>129966436.99880001</v>
      </c>
      <c r="HO21" s="40">
        <f t="shared" ca="1" si="129"/>
        <v>129966436.99880001</v>
      </c>
      <c r="HP21" s="40">
        <f t="shared" ca="1" si="129"/>
        <v>129966436.99880001</v>
      </c>
      <c r="HQ21" s="40">
        <f t="shared" ca="1" si="129"/>
        <v>129966436.99880001</v>
      </c>
      <c r="HR21" s="40">
        <f t="shared" ca="1" si="129"/>
        <v>129966436.99880001</v>
      </c>
      <c r="HS21" s="40">
        <f t="shared" ca="1" si="129"/>
        <v>129966436.99880001</v>
      </c>
      <c r="HT21" s="40">
        <f t="shared" ca="1" si="129"/>
        <v>129966436.99880001</v>
      </c>
      <c r="HU21" s="40">
        <f t="shared" ca="1" si="129"/>
        <v>129966436.99880001</v>
      </c>
      <c r="HV21" s="40">
        <f t="shared" ca="1" si="129"/>
        <v>129966436.99880001</v>
      </c>
      <c r="HW21" s="40">
        <f t="shared" ca="1" si="129"/>
        <v>129966436.99880001</v>
      </c>
      <c r="HX21" s="40">
        <f t="shared" ca="1" si="129"/>
        <v>129966436.99880001</v>
      </c>
      <c r="HY21" s="40">
        <f t="shared" ca="1" si="129"/>
        <v>129966436.99880001</v>
      </c>
      <c r="HZ21" s="40">
        <f t="shared" ca="1" si="129"/>
        <v>129966436.99880001</v>
      </c>
      <c r="IA21" s="40">
        <f t="shared" ca="1" si="129"/>
        <v>129966436.99880001</v>
      </c>
      <c r="IB21" s="40">
        <f t="shared" ca="1" si="129"/>
        <v>129966436.99880001</v>
      </c>
      <c r="IC21" s="40">
        <f t="shared" ca="1" si="129"/>
        <v>129966436.99880001</v>
      </c>
      <c r="ID21" s="40">
        <f t="shared" ca="1" si="129"/>
        <v>129966436.99880001</v>
      </c>
      <c r="IE21" s="40">
        <f t="shared" ca="1" si="129"/>
        <v>129966436.99880001</v>
      </c>
      <c r="IF21" s="40">
        <f t="shared" ca="1" si="129"/>
        <v>129966436.99880001</v>
      </c>
      <c r="IG21" s="40">
        <f t="shared" ca="1" si="129"/>
        <v>129966436.99880001</v>
      </c>
      <c r="IH21" s="40">
        <f t="shared" ca="1" si="129"/>
        <v>129966436.99880001</v>
      </c>
      <c r="II21" s="40">
        <f t="shared" ca="1" si="129"/>
        <v>129966436.99880001</v>
      </c>
      <c r="IJ21" s="40">
        <f t="shared" ca="1" si="129"/>
        <v>129966436.99880001</v>
      </c>
      <c r="IK21" s="40">
        <f t="shared" ca="1" si="129"/>
        <v>129966436.99880001</v>
      </c>
      <c r="IL21" s="40">
        <f t="shared" ca="1" si="129"/>
        <v>129966436.99880001</v>
      </c>
      <c r="IM21" s="40">
        <f t="shared" ca="1" si="129"/>
        <v>129966436.99880001</v>
      </c>
      <c r="IN21" s="40">
        <f t="shared" ca="1" si="129"/>
        <v>129966436.99880001</v>
      </c>
    </row>
    <row r="22" spans="2:248" x14ac:dyDescent="0.3">
      <c r="C22" s="40"/>
      <c r="F22" s="19" t="s">
        <v>495</v>
      </c>
      <c r="G22" s="40">
        <f t="shared" ref="G22:V23" si="130">G11*$C$15</f>
        <v>26.085000000000001</v>
      </c>
      <c r="H22" s="40">
        <f t="shared" ca="1" si="130"/>
        <v>26.555</v>
      </c>
      <c r="I22" s="40">
        <f t="shared" ca="1" si="130"/>
        <v>30.761500000000002</v>
      </c>
      <c r="J22" s="40">
        <f t="shared" ca="1" si="130"/>
        <v>57.527999999999999</v>
      </c>
      <c r="K22" s="40">
        <f t="shared" ca="1" si="130"/>
        <v>91.191749999999999</v>
      </c>
      <c r="L22" s="40">
        <f t="shared" ca="1" si="130"/>
        <v>129.297</v>
      </c>
      <c r="M22" s="40">
        <f t="shared" ca="1" si="130"/>
        <v>252.4605</v>
      </c>
      <c r="N22" s="40">
        <f t="shared" ca="1" si="130"/>
        <v>280.62357142857144</v>
      </c>
      <c r="O22" s="40">
        <f t="shared" ca="1" si="130"/>
        <v>376.49937499999999</v>
      </c>
      <c r="P22" s="40">
        <f t="shared" ca="1" si="130"/>
        <v>454.45866666666672</v>
      </c>
      <c r="Q22" s="40">
        <f t="shared" ca="1" si="130"/>
        <v>551.80349999999999</v>
      </c>
      <c r="R22" s="40">
        <f t="shared" ca="1" si="130"/>
        <v>770.40263636363647</v>
      </c>
      <c r="S22" s="40">
        <f t="shared" ca="1" si="130"/>
        <v>879.88700000000006</v>
      </c>
      <c r="T22" s="40">
        <f t="shared" ca="1" si="130"/>
        <v>1043.682</v>
      </c>
      <c r="U22" s="40">
        <f t="shared" ca="1" si="130"/>
        <v>1184.4939999999999</v>
      </c>
      <c r="V22" s="40">
        <f t="shared" ca="1" si="130"/>
        <v>1289.116</v>
      </c>
      <c r="W22" s="40">
        <f t="shared" ca="1" si="126"/>
        <v>1409.201</v>
      </c>
      <c r="X22" s="40">
        <f t="shared" ca="1" si="126"/>
        <v>1325.588</v>
      </c>
      <c r="Y22" s="40">
        <f t="shared" ca="1" si="126"/>
        <v>1530.367</v>
      </c>
      <c r="Z22" s="40">
        <f t="shared" ca="1" si="126"/>
        <v>1481.4870000000001</v>
      </c>
      <c r="AA22" s="40">
        <f t="shared" ca="1" si="126"/>
        <v>1512.883</v>
      </c>
      <c r="AB22" s="40">
        <f t="shared" ca="1" si="126"/>
        <v>1660.2750000000001</v>
      </c>
      <c r="AC22" s="40">
        <f t="shared" ca="1" si="126"/>
        <v>1774.297</v>
      </c>
      <c r="AD22" s="40">
        <f t="shared" ca="1" si="126"/>
        <v>2004.973</v>
      </c>
      <c r="AE22" s="40">
        <f t="shared" ca="1" si="126"/>
        <v>1867.498</v>
      </c>
      <c r="AF22" s="40">
        <f t="shared" ca="1" si="126"/>
        <v>1802.779</v>
      </c>
      <c r="AG22" s="40">
        <f t="shared" ca="1" si="126"/>
        <v>1771.289</v>
      </c>
      <c r="AH22" s="40">
        <f t="shared" ca="1" si="126"/>
        <v>1669.675</v>
      </c>
      <c r="AI22" s="40">
        <f t="shared" ca="1" si="126"/>
        <v>1598.047</v>
      </c>
      <c r="AJ22" s="40">
        <f t="shared" ca="1" si="126"/>
        <v>1466.9169999999999</v>
      </c>
      <c r="AK22" s="40">
        <f t="shared" ca="1" si="126"/>
        <v>1404.7360000000001</v>
      </c>
      <c r="AL22" s="40">
        <f t="shared" ca="1" si="126"/>
        <v>1409.4359999999999</v>
      </c>
      <c r="AM22" s="40">
        <f t="shared" ca="1" si="126"/>
        <v>987.79899999999998</v>
      </c>
      <c r="AN22" s="40">
        <f t="shared" ca="1" si="126"/>
        <v>365.14300000000003</v>
      </c>
      <c r="AO22" s="40">
        <f t="shared" ca="1" si="126"/>
        <v>260.56799999999998</v>
      </c>
      <c r="AP22" s="40">
        <f t="shared" ca="1" si="126"/>
        <v>418.44099999999997</v>
      </c>
      <c r="AQ22" s="40">
        <f t="shared" ca="1" si="126"/>
        <v>381.26400000000001</v>
      </c>
      <c r="AR22" s="40">
        <f t="shared" ca="1" si="126"/>
        <v>365.096</v>
      </c>
      <c r="AS22" s="40">
        <f t="shared" ca="1" si="126"/>
        <v>382.25099999999998</v>
      </c>
      <c r="AT22" s="40">
        <f t="shared" ca="1" si="126"/>
        <v>539.04300000000001</v>
      </c>
      <c r="AU22" s="40">
        <f t="shared" ca="1" si="126"/>
        <v>600.75400000000002</v>
      </c>
      <c r="AV22" s="40">
        <f t="shared" ca="1" si="126"/>
        <v>678.02200000000005</v>
      </c>
      <c r="AW22" s="40">
        <f t="shared" ca="1" si="126"/>
        <v>664.48599999999999</v>
      </c>
      <c r="AX22" s="40">
        <f t="shared" ca="1" si="126"/>
        <v>832.55799999999999</v>
      </c>
      <c r="AY22" s="40">
        <f t="shared" ca="1" si="126"/>
        <v>984.50900000000001</v>
      </c>
      <c r="AZ22" s="40">
        <f t="shared" ca="1" si="126"/>
        <v>1118.4590000000001</v>
      </c>
      <c r="BA22" s="40">
        <f t="shared" ca="1" si="126"/>
        <v>1244.5129999999999</v>
      </c>
      <c r="BB22" s="40">
        <f t="shared" ca="1" si="126"/>
        <v>1331.886</v>
      </c>
      <c r="BC22" s="40">
        <f t="shared" ca="1" si="126"/>
        <v>1493.7070000000001</v>
      </c>
      <c r="BD22" s="40">
        <f t="shared" ca="1" si="126"/>
        <v>1707.51</v>
      </c>
      <c r="BE22" s="40">
        <f t="shared" ca="1" si="126"/>
        <v>1907.8240000000001</v>
      </c>
      <c r="BF22" s="40">
        <f t="shared" ca="1" si="126"/>
        <v>2382.806</v>
      </c>
      <c r="BG22" s="40">
        <f t="shared" ca="1" si="126"/>
        <v>2730.0889999999999</v>
      </c>
      <c r="BH22" s="40">
        <f t="shared" ca="1" si="126"/>
        <v>3193.462</v>
      </c>
      <c r="BI22" s="40">
        <f t="shared" ca="1" si="126"/>
        <v>3625.674</v>
      </c>
      <c r="BJ22" s="40">
        <f t="shared" ca="1" si="126"/>
        <v>4082.5140000000001</v>
      </c>
      <c r="BK22" s="40">
        <f t="shared" ca="1" si="126"/>
        <v>4677.1109999999999</v>
      </c>
      <c r="BL22" s="40">
        <f t="shared" ca="1" si="126"/>
        <v>5782.5510000000004</v>
      </c>
      <c r="BM22" s="40">
        <f t="shared" ca="1" si="126"/>
        <v>6918.2120000000004</v>
      </c>
      <c r="BN22" s="40">
        <f t="shared" ca="1" si="126"/>
        <v>8076.527</v>
      </c>
      <c r="BO22" s="40">
        <f t="shared" ca="1" si="126"/>
        <v>9097.4609999999993</v>
      </c>
      <c r="BP22" s="40">
        <f t="shared" ca="1" si="126"/>
        <v>10608.699000000001</v>
      </c>
      <c r="BQ22" s="40">
        <f t="shared" ca="1" si="126"/>
        <v>11624.227999999999</v>
      </c>
      <c r="BR22" s="40">
        <f t="shared" ca="1" si="126"/>
        <v>13385.741</v>
      </c>
      <c r="BS22" s="40">
        <f t="shared" ca="1" si="126"/>
        <v>15536.179</v>
      </c>
      <c r="BT22" s="40">
        <f t="shared" ca="1" si="127"/>
        <v>17763.978999999999</v>
      </c>
      <c r="BU22" s="40">
        <f t="shared" ca="1" si="127"/>
        <v>19965.975999999999</v>
      </c>
      <c r="BV22" s="40">
        <f t="shared" ca="1" si="127"/>
        <v>21863.272000000001</v>
      </c>
      <c r="BW22" s="40">
        <f t="shared" ca="1" si="127"/>
        <v>23026.804</v>
      </c>
      <c r="BX22" s="40">
        <f t="shared" ca="1" si="127"/>
        <v>25224.335999999999</v>
      </c>
      <c r="BY22" s="40">
        <f t="shared" ca="1" si="127"/>
        <v>27168.584999999999</v>
      </c>
      <c r="BZ22" s="40">
        <f t="shared" ca="1" si="127"/>
        <v>29487.940999999999</v>
      </c>
      <c r="CA22" s="40">
        <f t="shared" ca="1" si="127"/>
        <v>31115.598000000002</v>
      </c>
      <c r="CB22" s="40">
        <f t="shared" ca="1" si="127"/>
        <v>38894.497499999998</v>
      </c>
      <c r="CC22" s="40">
        <f t="shared" ca="1" si="127"/>
        <v>48618.121874999997</v>
      </c>
      <c r="CD22" s="40">
        <f t="shared" ca="1" si="127"/>
        <v>60772.65234375</v>
      </c>
      <c r="CE22" s="40">
        <f t="shared" ca="1" si="127"/>
        <v>75965.8154296875</v>
      </c>
      <c r="CF22" s="40">
        <f t="shared" ca="1" si="127"/>
        <v>94957.269287109375</v>
      </c>
      <c r="CG22" s="40">
        <f t="shared" ca="1" si="127"/>
        <v>118696.58660888672</v>
      </c>
      <c r="CH22" s="40">
        <f t="shared" ca="1" si="127"/>
        <v>148370.7332611084</v>
      </c>
      <c r="CI22" s="40">
        <f t="shared" ca="1" si="127"/>
        <v>185463.4165763855</v>
      </c>
      <c r="CJ22" s="40">
        <f t="shared" ca="1" si="127"/>
        <v>231829.27072048187</v>
      </c>
      <c r="CK22" s="40">
        <f t="shared" ca="1" si="127"/>
        <v>289786.58840060234</v>
      </c>
      <c r="CL22" s="40">
        <f t="shared" ca="1" si="127"/>
        <v>362233.23550075293</v>
      </c>
      <c r="CM22" s="40">
        <f t="shared" ca="1" si="127"/>
        <v>452791.54437594116</v>
      </c>
      <c r="CN22" s="40">
        <f t="shared" ca="1" si="127"/>
        <v>565989.43046992645</v>
      </c>
      <c r="CO22" s="40">
        <f t="shared" ca="1" si="127"/>
        <v>707486.78808740806</v>
      </c>
      <c r="CP22" s="40">
        <f t="shared" ca="1" si="127"/>
        <v>884358.48510925996</v>
      </c>
      <c r="CQ22" s="40">
        <f t="shared" ca="1" si="127"/>
        <v>1105448.1063865749</v>
      </c>
      <c r="CR22" s="40">
        <f t="shared" ca="1" si="127"/>
        <v>1381810.1329832186</v>
      </c>
      <c r="CS22" s="40">
        <f t="shared" ca="1" si="127"/>
        <v>1727262.6662290234</v>
      </c>
      <c r="CT22" s="40">
        <f t="shared" ca="1" si="127"/>
        <v>2159078.3327862793</v>
      </c>
      <c r="CU22" s="40">
        <f t="shared" ca="1" si="127"/>
        <v>2698847.915982849</v>
      </c>
      <c r="CV22" s="40">
        <f t="shared" ca="1" si="127"/>
        <v>3373559.894978561</v>
      </c>
      <c r="CW22" s="40">
        <f t="shared" ca="1" si="127"/>
        <v>4216949.8687232006</v>
      </c>
      <c r="CX22" s="40">
        <f t="shared" ca="1" si="127"/>
        <v>5271187.3359040003</v>
      </c>
      <c r="CY22" s="40">
        <f t="shared" ca="1" si="127"/>
        <v>6588984.1698800009</v>
      </c>
      <c r="CZ22" s="40">
        <f t="shared" ca="1" si="127"/>
        <v>8236230.2123500016</v>
      </c>
      <c r="DA22" s="40">
        <f t="shared" ca="1" si="127"/>
        <v>10295287.765437501</v>
      </c>
      <c r="DB22" s="40">
        <f t="shared" ca="1" si="127"/>
        <v>12869109.706796875</v>
      </c>
      <c r="DC22" s="40">
        <f t="shared" ca="1" si="127"/>
        <v>16086387.133496094</v>
      </c>
      <c r="DD22" s="40">
        <f t="shared" ca="1" si="127"/>
        <v>20107983.916870117</v>
      </c>
      <c r="DE22" s="40">
        <f t="shared" ca="1" si="127"/>
        <v>25134979.896087646</v>
      </c>
      <c r="DF22" s="40">
        <f t="shared" ca="1" si="127"/>
        <v>31418724.870109558</v>
      </c>
      <c r="DG22" s="40">
        <f t="shared" ca="1" si="127"/>
        <v>39273406.087636948</v>
      </c>
      <c r="DH22" s="40">
        <f t="shared" ca="1" si="127"/>
        <v>49091757.609546185</v>
      </c>
      <c r="DI22" s="40">
        <f t="shared" ca="1" si="127"/>
        <v>61364697.011932738</v>
      </c>
      <c r="DJ22" s="40">
        <f t="shared" ca="1" si="127"/>
        <v>76705871.264915913</v>
      </c>
      <c r="DK22" s="40">
        <f t="shared" ca="1" si="127"/>
        <v>95882339.081144899</v>
      </c>
      <c r="DL22" s="40">
        <f t="shared" ca="1" si="127"/>
        <v>119852923.85143113</v>
      </c>
      <c r="DM22" s="40">
        <f t="shared" ca="1" si="127"/>
        <v>129966436.99880001</v>
      </c>
      <c r="DN22" s="40">
        <f t="shared" ca="1" si="127"/>
        <v>129966436.99880001</v>
      </c>
      <c r="DO22" s="40">
        <f t="shared" ca="1" si="127"/>
        <v>129966436.99880001</v>
      </c>
      <c r="DP22" s="40">
        <f t="shared" ca="1" si="127"/>
        <v>129966436.99880001</v>
      </c>
      <c r="DQ22" s="40">
        <f t="shared" ca="1" si="127"/>
        <v>129966436.99880001</v>
      </c>
      <c r="DR22" s="40">
        <f t="shared" ca="1" si="127"/>
        <v>129966436.99880001</v>
      </c>
      <c r="DS22" s="40">
        <f t="shared" ca="1" si="127"/>
        <v>129966436.99880001</v>
      </c>
      <c r="DT22" s="40">
        <f t="shared" ca="1" si="127"/>
        <v>129966436.99880001</v>
      </c>
      <c r="DU22" s="40">
        <f t="shared" ca="1" si="127"/>
        <v>129966436.99880001</v>
      </c>
      <c r="DV22" s="40">
        <f t="shared" ca="1" si="127"/>
        <v>129966436.99880001</v>
      </c>
      <c r="DW22" s="40">
        <f t="shared" ca="1" si="127"/>
        <v>129966436.99880001</v>
      </c>
      <c r="DX22" s="40">
        <f t="shared" ca="1" si="127"/>
        <v>129966436.99880001</v>
      </c>
      <c r="DY22" s="40">
        <f t="shared" ca="1" si="127"/>
        <v>129966436.99880001</v>
      </c>
      <c r="DZ22" s="40">
        <f t="shared" ca="1" si="127"/>
        <v>129966436.99880001</v>
      </c>
      <c r="EA22" s="40">
        <f t="shared" ca="1" si="127"/>
        <v>129966436.99880001</v>
      </c>
      <c r="EB22" s="40">
        <f t="shared" ca="1" si="127"/>
        <v>129966436.99880001</v>
      </c>
      <c r="EC22" s="40">
        <f t="shared" ca="1" si="127"/>
        <v>129966436.99880001</v>
      </c>
      <c r="ED22" s="40">
        <f t="shared" ca="1" si="127"/>
        <v>129966436.99880001</v>
      </c>
      <c r="EE22" s="40">
        <f t="shared" ca="1" si="127"/>
        <v>129966436.99880001</v>
      </c>
      <c r="EF22" s="40">
        <f t="shared" ca="1" si="128"/>
        <v>129966436.99880001</v>
      </c>
      <c r="EG22" s="40">
        <f t="shared" ca="1" si="128"/>
        <v>129966436.99880001</v>
      </c>
      <c r="EH22" s="40">
        <f t="shared" ca="1" si="128"/>
        <v>129966436.99880001</v>
      </c>
      <c r="EI22" s="40">
        <f t="shared" ca="1" si="128"/>
        <v>129966436.99880001</v>
      </c>
      <c r="EJ22" s="40">
        <f t="shared" ca="1" si="128"/>
        <v>129966436.99880001</v>
      </c>
      <c r="EK22" s="40">
        <f t="shared" ca="1" si="128"/>
        <v>129966436.99880001</v>
      </c>
      <c r="EL22" s="40">
        <f t="shared" ca="1" si="128"/>
        <v>129966436.99880001</v>
      </c>
      <c r="EM22" s="40">
        <f t="shared" ca="1" si="128"/>
        <v>129966436.99880001</v>
      </c>
      <c r="EN22" s="40">
        <f t="shared" ca="1" si="128"/>
        <v>129966436.99880001</v>
      </c>
      <c r="EO22" s="40">
        <f t="shared" ca="1" si="128"/>
        <v>129966436.99880001</v>
      </c>
      <c r="EP22" s="40">
        <f t="shared" ca="1" si="128"/>
        <v>129966436.99880001</v>
      </c>
      <c r="EQ22" s="40">
        <f t="shared" ca="1" si="128"/>
        <v>129966436.99880001</v>
      </c>
      <c r="ER22" s="40">
        <f t="shared" ca="1" si="128"/>
        <v>129966436.99880001</v>
      </c>
      <c r="ES22" s="40">
        <f t="shared" ca="1" si="128"/>
        <v>129966436.99880001</v>
      </c>
      <c r="ET22" s="40">
        <f t="shared" ca="1" si="128"/>
        <v>129966436.99880001</v>
      </c>
      <c r="EU22" s="40">
        <f t="shared" ca="1" si="128"/>
        <v>129966436.99880001</v>
      </c>
      <c r="EV22" s="40">
        <f t="shared" ca="1" si="128"/>
        <v>129966436.99880001</v>
      </c>
      <c r="EW22" s="40">
        <f t="shared" ca="1" si="128"/>
        <v>129966436.99880001</v>
      </c>
      <c r="EX22" s="40">
        <f t="shared" ca="1" si="128"/>
        <v>129966436.99880001</v>
      </c>
      <c r="EY22" s="40">
        <f t="shared" ca="1" si="128"/>
        <v>129966436.99880001</v>
      </c>
      <c r="EZ22" s="40">
        <f t="shared" ca="1" si="128"/>
        <v>129966436.99880001</v>
      </c>
      <c r="FA22" s="40">
        <f t="shared" ca="1" si="128"/>
        <v>129966436.99880001</v>
      </c>
      <c r="FB22" s="40">
        <f t="shared" ca="1" si="128"/>
        <v>129966436.99880001</v>
      </c>
      <c r="FC22" s="40">
        <f t="shared" ca="1" si="128"/>
        <v>129966436.99880001</v>
      </c>
      <c r="FD22" s="40">
        <f t="shared" ca="1" si="128"/>
        <v>129966436.99880001</v>
      </c>
      <c r="FE22" s="40">
        <f t="shared" ca="1" si="128"/>
        <v>129966436.99880001</v>
      </c>
      <c r="FF22" s="40">
        <f t="shared" ca="1" si="128"/>
        <v>129966436.99880001</v>
      </c>
      <c r="FG22" s="40">
        <f t="shared" ca="1" si="128"/>
        <v>129966436.99880001</v>
      </c>
      <c r="FH22" s="40">
        <f t="shared" ca="1" si="128"/>
        <v>129966436.99880001</v>
      </c>
      <c r="FI22" s="40">
        <f t="shared" ca="1" si="128"/>
        <v>129966436.99880001</v>
      </c>
      <c r="FJ22" s="40">
        <f t="shared" ca="1" si="128"/>
        <v>129966436.99880001</v>
      </c>
      <c r="FK22" s="40">
        <f t="shared" ca="1" si="128"/>
        <v>129966436.99880001</v>
      </c>
      <c r="FL22" s="40">
        <f t="shared" ca="1" si="128"/>
        <v>129966436.99880001</v>
      </c>
      <c r="FM22" s="40">
        <f t="shared" ca="1" si="128"/>
        <v>129966436.99880001</v>
      </c>
      <c r="FN22" s="40">
        <f t="shared" ca="1" si="128"/>
        <v>129966436.99880001</v>
      </c>
      <c r="FO22" s="40">
        <f t="shared" ca="1" si="128"/>
        <v>129966436.99880001</v>
      </c>
      <c r="FP22" s="40">
        <f t="shared" ca="1" si="128"/>
        <v>129966436.99880001</v>
      </c>
      <c r="FQ22" s="40">
        <f t="shared" ca="1" si="128"/>
        <v>129966436.99880001</v>
      </c>
      <c r="FR22" s="40">
        <f t="shared" ca="1" si="128"/>
        <v>129966436.99880001</v>
      </c>
      <c r="FS22" s="40">
        <f t="shared" ca="1" si="128"/>
        <v>129966436.99880001</v>
      </c>
      <c r="FT22" s="40">
        <f t="shared" ca="1" si="128"/>
        <v>129966436.99880001</v>
      </c>
      <c r="FU22" s="40">
        <f t="shared" ca="1" si="128"/>
        <v>129966436.99880001</v>
      </c>
      <c r="FV22" s="40">
        <f t="shared" ca="1" si="128"/>
        <v>129966436.99880001</v>
      </c>
      <c r="FW22" s="40">
        <f t="shared" ca="1" si="128"/>
        <v>129966436.99880001</v>
      </c>
      <c r="FX22" s="40">
        <f t="shared" ca="1" si="128"/>
        <v>129966436.99880001</v>
      </c>
      <c r="FY22" s="40">
        <f t="shared" ca="1" si="128"/>
        <v>129966436.99880001</v>
      </c>
      <c r="FZ22" s="40">
        <f t="shared" ca="1" si="128"/>
        <v>129966436.99880001</v>
      </c>
      <c r="GA22" s="40">
        <f t="shared" ca="1" si="128"/>
        <v>129966436.99880001</v>
      </c>
      <c r="GB22" s="40">
        <f t="shared" ca="1" si="128"/>
        <v>129966436.99880001</v>
      </c>
      <c r="GC22" s="40">
        <f t="shared" ca="1" si="128"/>
        <v>129966436.99880001</v>
      </c>
      <c r="GD22" s="40">
        <f t="shared" ca="1" si="128"/>
        <v>129966436.99880001</v>
      </c>
      <c r="GE22" s="40">
        <f t="shared" ca="1" si="128"/>
        <v>129966436.99880001</v>
      </c>
      <c r="GF22" s="40">
        <f t="shared" ca="1" si="128"/>
        <v>129966436.99880001</v>
      </c>
      <c r="GG22" s="40">
        <f t="shared" ca="1" si="128"/>
        <v>129966436.99880001</v>
      </c>
      <c r="GH22" s="40">
        <f t="shared" ca="1" si="128"/>
        <v>129966436.99880001</v>
      </c>
      <c r="GI22" s="40">
        <f t="shared" ca="1" si="128"/>
        <v>129966436.99880001</v>
      </c>
      <c r="GJ22" s="40">
        <f t="shared" ca="1" si="128"/>
        <v>129966436.99880001</v>
      </c>
      <c r="GK22" s="40">
        <f t="shared" ca="1" si="128"/>
        <v>129966436.99880001</v>
      </c>
      <c r="GL22" s="40">
        <f t="shared" ca="1" si="128"/>
        <v>129966436.99880001</v>
      </c>
      <c r="GM22" s="40">
        <f t="shared" ca="1" si="128"/>
        <v>129966436.99880001</v>
      </c>
      <c r="GN22" s="40">
        <f t="shared" ca="1" si="128"/>
        <v>129966436.99880001</v>
      </c>
      <c r="GO22" s="40">
        <f t="shared" ca="1" si="128"/>
        <v>129966436.99880001</v>
      </c>
      <c r="GP22" s="40">
        <f t="shared" ca="1" si="128"/>
        <v>129966436.99880001</v>
      </c>
      <c r="GQ22" s="40">
        <f t="shared" ca="1" si="128"/>
        <v>129966436.99880001</v>
      </c>
      <c r="GR22" s="40">
        <f t="shared" ca="1" si="129"/>
        <v>129966436.99880001</v>
      </c>
      <c r="GS22" s="40">
        <f t="shared" ca="1" si="129"/>
        <v>129966436.99880001</v>
      </c>
      <c r="GT22" s="40">
        <f t="shared" ca="1" si="129"/>
        <v>129966436.99880001</v>
      </c>
      <c r="GU22" s="40">
        <f t="shared" ca="1" si="129"/>
        <v>129966436.99880001</v>
      </c>
      <c r="GV22" s="40">
        <f t="shared" ca="1" si="129"/>
        <v>129966436.99880001</v>
      </c>
      <c r="GW22" s="40">
        <f t="shared" ca="1" si="129"/>
        <v>129966436.99880001</v>
      </c>
      <c r="GX22" s="40">
        <f t="shared" ca="1" si="129"/>
        <v>129966436.99880001</v>
      </c>
      <c r="GY22" s="40">
        <f t="shared" ca="1" si="129"/>
        <v>129966436.99880001</v>
      </c>
      <c r="GZ22" s="40">
        <f t="shared" ca="1" si="129"/>
        <v>129966436.99880001</v>
      </c>
      <c r="HA22" s="40">
        <f t="shared" ca="1" si="129"/>
        <v>129966436.99880001</v>
      </c>
      <c r="HB22" s="40">
        <f t="shared" ca="1" si="129"/>
        <v>129966436.99880001</v>
      </c>
      <c r="HC22" s="40">
        <f t="shared" ca="1" si="129"/>
        <v>129966436.99880001</v>
      </c>
      <c r="HD22" s="40">
        <f t="shared" ca="1" si="129"/>
        <v>129966436.99880001</v>
      </c>
      <c r="HE22" s="40">
        <f t="shared" ca="1" si="129"/>
        <v>129966436.99880001</v>
      </c>
      <c r="HF22" s="40">
        <f t="shared" ca="1" si="129"/>
        <v>129966436.99880001</v>
      </c>
      <c r="HG22" s="40">
        <f t="shared" ca="1" si="129"/>
        <v>129966436.99880001</v>
      </c>
      <c r="HH22" s="40">
        <f t="shared" ca="1" si="129"/>
        <v>129966436.99880001</v>
      </c>
      <c r="HI22" s="40">
        <f t="shared" ca="1" si="129"/>
        <v>129966436.99880001</v>
      </c>
      <c r="HJ22" s="40">
        <f t="shared" ca="1" si="129"/>
        <v>129966436.99880001</v>
      </c>
      <c r="HK22" s="40">
        <f t="shared" ca="1" si="129"/>
        <v>129966436.99880001</v>
      </c>
      <c r="HL22" s="40">
        <f t="shared" ca="1" si="129"/>
        <v>129966436.99880001</v>
      </c>
      <c r="HM22" s="40">
        <f t="shared" ca="1" si="129"/>
        <v>129966436.99880001</v>
      </c>
      <c r="HN22" s="40">
        <f t="shared" ca="1" si="129"/>
        <v>129966436.99880001</v>
      </c>
      <c r="HO22" s="40">
        <f t="shared" ca="1" si="129"/>
        <v>129966436.99880001</v>
      </c>
      <c r="HP22" s="40">
        <f t="shared" ca="1" si="129"/>
        <v>129966436.99880001</v>
      </c>
      <c r="HQ22" s="40">
        <f t="shared" ca="1" si="129"/>
        <v>129966436.99880001</v>
      </c>
      <c r="HR22" s="40">
        <f t="shared" ca="1" si="129"/>
        <v>129966436.99880001</v>
      </c>
      <c r="HS22" s="40">
        <f t="shared" ca="1" si="129"/>
        <v>129966436.99880001</v>
      </c>
      <c r="HT22" s="40">
        <f t="shared" ca="1" si="129"/>
        <v>129966436.99880001</v>
      </c>
      <c r="HU22" s="40">
        <f t="shared" ca="1" si="129"/>
        <v>129966436.99880001</v>
      </c>
      <c r="HV22" s="40">
        <f t="shared" ca="1" si="129"/>
        <v>129966436.99880001</v>
      </c>
      <c r="HW22" s="40">
        <f t="shared" ca="1" si="129"/>
        <v>129966436.99880001</v>
      </c>
      <c r="HX22" s="40">
        <f t="shared" ca="1" si="129"/>
        <v>129966436.99880001</v>
      </c>
      <c r="HY22" s="40">
        <f t="shared" ca="1" si="129"/>
        <v>129966436.99880001</v>
      </c>
      <c r="HZ22" s="40">
        <f t="shared" ca="1" si="129"/>
        <v>129966436.99880001</v>
      </c>
      <c r="IA22" s="40">
        <f t="shared" ca="1" si="129"/>
        <v>129966436.99880001</v>
      </c>
      <c r="IB22" s="40">
        <f t="shared" ca="1" si="129"/>
        <v>129966436.99880001</v>
      </c>
      <c r="IC22" s="40">
        <f t="shared" ca="1" si="129"/>
        <v>129966436.99880001</v>
      </c>
      <c r="ID22" s="40">
        <f t="shared" ca="1" si="129"/>
        <v>129966436.99880001</v>
      </c>
      <c r="IE22" s="40">
        <f t="shared" ca="1" si="129"/>
        <v>129966436.99880001</v>
      </c>
      <c r="IF22" s="40">
        <f t="shared" ca="1" si="129"/>
        <v>129966436.99880001</v>
      </c>
      <c r="IG22" s="40">
        <f t="shared" ca="1" si="129"/>
        <v>129966436.99880001</v>
      </c>
      <c r="IH22" s="40">
        <f t="shared" ca="1" si="129"/>
        <v>129966436.99880001</v>
      </c>
      <c r="II22" s="40">
        <f t="shared" ca="1" si="129"/>
        <v>129966436.99880001</v>
      </c>
      <c r="IJ22" s="40">
        <f t="shared" ca="1" si="129"/>
        <v>129966436.99880001</v>
      </c>
      <c r="IK22" s="40">
        <f t="shared" ca="1" si="129"/>
        <v>129966436.99880001</v>
      </c>
      <c r="IL22" s="40">
        <f t="shared" ca="1" si="129"/>
        <v>129966436.99880001</v>
      </c>
      <c r="IM22" s="40">
        <f t="shared" ca="1" si="129"/>
        <v>129966436.99880001</v>
      </c>
      <c r="IN22" s="40">
        <f t="shared" ca="1" si="129"/>
        <v>129966436.99880001</v>
      </c>
    </row>
    <row r="23" spans="2:248" x14ac:dyDescent="0.3">
      <c r="B23" s="19" t="s">
        <v>499</v>
      </c>
      <c r="C23" s="54" t="str">
        <f>IF(VLOOKUP(B2,Country_Data!C:I,7,FALSE)="","Not initiated",VLOOKUP(B2,Country_Data!C:I,7,FALSE))</f>
        <v>Not initiated</v>
      </c>
      <c r="F23" s="19" t="s">
        <v>493</v>
      </c>
      <c r="G23" s="40">
        <f t="shared" si="130"/>
        <v>26.085000000000001</v>
      </c>
      <c r="H23" s="40">
        <f t="shared" ref="H23:BS23" ca="1" si="131">H12*$C$15</f>
        <v>26.555</v>
      </c>
      <c r="I23" s="40">
        <f t="shared" ca="1" si="131"/>
        <v>30.761500000000002</v>
      </c>
      <c r="J23" s="40">
        <f t="shared" ca="1" si="131"/>
        <v>57.527999999999999</v>
      </c>
      <c r="K23" s="40">
        <f t="shared" ca="1" si="131"/>
        <v>91.191749999999999</v>
      </c>
      <c r="L23" s="40">
        <f t="shared" ca="1" si="131"/>
        <v>129.297</v>
      </c>
      <c r="M23" s="40">
        <f t="shared" ca="1" si="131"/>
        <v>252.4605</v>
      </c>
      <c r="N23" s="40">
        <f t="shared" ca="1" si="131"/>
        <v>280.62357142857144</v>
      </c>
      <c r="O23" s="40">
        <f t="shared" ca="1" si="131"/>
        <v>376.49937499999999</v>
      </c>
      <c r="P23" s="40">
        <f t="shared" ca="1" si="131"/>
        <v>454.45866666666672</v>
      </c>
      <c r="Q23" s="40">
        <f t="shared" ca="1" si="131"/>
        <v>551.80349999999999</v>
      </c>
      <c r="R23" s="40">
        <f t="shared" ca="1" si="131"/>
        <v>770.40263636363647</v>
      </c>
      <c r="S23" s="40">
        <f t="shared" ca="1" si="131"/>
        <v>879.88700000000006</v>
      </c>
      <c r="T23" s="40">
        <f t="shared" ca="1" si="131"/>
        <v>1043.682</v>
      </c>
      <c r="U23" s="40">
        <f t="shared" ca="1" si="131"/>
        <v>1184.4939999999999</v>
      </c>
      <c r="V23" s="40">
        <f t="shared" ca="1" si="131"/>
        <v>1289.116</v>
      </c>
      <c r="W23" s="40">
        <f t="shared" ca="1" si="131"/>
        <v>1409.201</v>
      </c>
      <c r="X23" s="40">
        <f t="shared" ca="1" si="131"/>
        <v>1325.588</v>
      </c>
      <c r="Y23" s="40">
        <f t="shared" ca="1" si="131"/>
        <v>1530.367</v>
      </c>
      <c r="Z23" s="40">
        <f t="shared" ca="1" si="131"/>
        <v>1481.4870000000001</v>
      </c>
      <c r="AA23" s="40">
        <f t="shared" ca="1" si="131"/>
        <v>1512.883</v>
      </c>
      <c r="AB23" s="40">
        <f t="shared" ca="1" si="131"/>
        <v>1660.2750000000001</v>
      </c>
      <c r="AC23" s="40">
        <f t="shared" ca="1" si="131"/>
        <v>1774.297</v>
      </c>
      <c r="AD23" s="40">
        <f t="shared" ca="1" si="131"/>
        <v>2004.973</v>
      </c>
      <c r="AE23" s="40">
        <f t="shared" ca="1" si="131"/>
        <v>1867.498</v>
      </c>
      <c r="AF23" s="40">
        <f t="shared" ca="1" si="131"/>
        <v>1802.779</v>
      </c>
      <c r="AG23" s="40">
        <f t="shared" ca="1" si="131"/>
        <v>1771.289</v>
      </c>
      <c r="AH23" s="40">
        <f t="shared" ca="1" si="131"/>
        <v>1669.675</v>
      </c>
      <c r="AI23" s="40">
        <f t="shared" ca="1" si="131"/>
        <v>1598.047</v>
      </c>
      <c r="AJ23" s="40">
        <f t="shared" ca="1" si="131"/>
        <v>1466.9169999999999</v>
      </c>
      <c r="AK23" s="40">
        <f t="shared" ca="1" si="131"/>
        <v>1404.7360000000001</v>
      </c>
      <c r="AL23" s="40">
        <f t="shared" ca="1" si="131"/>
        <v>1409.4359999999999</v>
      </c>
      <c r="AM23" s="40">
        <f t="shared" ca="1" si="131"/>
        <v>987.79899999999998</v>
      </c>
      <c r="AN23" s="40">
        <f t="shared" ca="1" si="131"/>
        <v>365.14300000000003</v>
      </c>
      <c r="AO23" s="40">
        <f t="shared" ca="1" si="131"/>
        <v>260.56799999999998</v>
      </c>
      <c r="AP23" s="40">
        <f t="shared" ca="1" si="131"/>
        <v>418.44099999999997</v>
      </c>
      <c r="AQ23" s="40">
        <f t="shared" ca="1" si="131"/>
        <v>381.26400000000001</v>
      </c>
      <c r="AR23" s="40">
        <f t="shared" ca="1" si="131"/>
        <v>365.096</v>
      </c>
      <c r="AS23" s="40">
        <f t="shared" ca="1" si="131"/>
        <v>382.25099999999998</v>
      </c>
      <c r="AT23" s="40">
        <f t="shared" ca="1" si="131"/>
        <v>539.04300000000001</v>
      </c>
      <c r="AU23" s="40">
        <f t="shared" ca="1" si="131"/>
        <v>600.75400000000002</v>
      </c>
      <c r="AV23" s="40">
        <f t="shared" ca="1" si="131"/>
        <v>678.02200000000005</v>
      </c>
      <c r="AW23" s="40">
        <f t="shared" ca="1" si="131"/>
        <v>664.48599999999999</v>
      </c>
      <c r="AX23" s="40">
        <f t="shared" ca="1" si="131"/>
        <v>832.55799999999999</v>
      </c>
      <c r="AY23" s="40">
        <f t="shared" ca="1" si="131"/>
        <v>984.50900000000001</v>
      </c>
      <c r="AZ23" s="40">
        <f t="shared" ca="1" si="131"/>
        <v>1118.4590000000001</v>
      </c>
      <c r="BA23" s="40">
        <f t="shared" ca="1" si="131"/>
        <v>1244.5129999999999</v>
      </c>
      <c r="BB23" s="40">
        <f t="shared" ca="1" si="131"/>
        <v>1331.886</v>
      </c>
      <c r="BC23" s="40">
        <f t="shared" ca="1" si="131"/>
        <v>1493.7070000000001</v>
      </c>
      <c r="BD23" s="40">
        <f t="shared" ca="1" si="131"/>
        <v>1707.51</v>
      </c>
      <c r="BE23" s="40">
        <f t="shared" ca="1" si="131"/>
        <v>1907.8240000000001</v>
      </c>
      <c r="BF23" s="40">
        <f t="shared" ca="1" si="131"/>
        <v>2382.806</v>
      </c>
      <c r="BG23" s="40">
        <f t="shared" ca="1" si="131"/>
        <v>2730.0889999999999</v>
      </c>
      <c r="BH23" s="40">
        <f t="shared" ca="1" si="131"/>
        <v>3193.462</v>
      </c>
      <c r="BI23" s="40">
        <f t="shared" ca="1" si="131"/>
        <v>3625.674</v>
      </c>
      <c r="BJ23" s="40">
        <f t="shared" ca="1" si="131"/>
        <v>4082.5140000000001</v>
      </c>
      <c r="BK23" s="40">
        <f t="shared" ca="1" si="131"/>
        <v>4677.1109999999999</v>
      </c>
      <c r="BL23" s="40">
        <f t="shared" ca="1" si="131"/>
        <v>5782.5510000000004</v>
      </c>
      <c r="BM23" s="40">
        <f t="shared" ca="1" si="131"/>
        <v>6918.2120000000004</v>
      </c>
      <c r="BN23" s="40">
        <f t="shared" ca="1" si="131"/>
        <v>8076.527</v>
      </c>
      <c r="BO23" s="40">
        <f t="shared" ca="1" si="131"/>
        <v>9097.4609999999993</v>
      </c>
      <c r="BP23" s="40">
        <f t="shared" ca="1" si="131"/>
        <v>10608.699000000001</v>
      </c>
      <c r="BQ23" s="40">
        <f t="shared" ca="1" si="131"/>
        <v>11624.227999999999</v>
      </c>
      <c r="BR23" s="40">
        <f t="shared" ca="1" si="131"/>
        <v>13385.741</v>
      </c>
      <c r="BS23" s="40">
        <f t="shared" ca="1" si="131"/>
        <v>15536.179</v>
      </c>
      <c r="BT23" s="40">
        <f t="shared" ca="1" si="127"/>
        <v>17763.978999999999</v>
      </c>
      <c r="BU23" s="40">
        <f t="shared" ca="1" si="127"/>
        <v>19965.975999999999</v>
      </c>
      <c r="BV23" s="40">
        <f t="shared" ca="1" si="127"/>
        <v>21863.272000000001</v>
      </c>
      <c r="BW23" s="40">
        <f t="shared" ca="1" si="127"/>
        <v>23026.804</v>
      </c>
      <c r="BX23" s="40">
        <f t="shared" ca="1" si="127"/>
        <v>25224.335999999999</v>
      </c>
      <c r="BY23" s="40">
        <f t="shared" ca="1" si="127"/>
        <v>27168.584999999999</v>
      </c>
      <c r="BZ23" s="40">
        <f t="shared" ca="1" si="127"/>
        <v>29487.940999999999</v>
      </c>
      <c r="CA23" s="40">
        <f t="shared" ca="1" si="127"/>
        <v>31115.598000000002</v>
      </c>
      <c r="CB23" s="40">
        <f t="shared" ca="1" si="127"/>
        <v>43561.837200000002</v>
      </c>
      <c r="CC23" s="40">
        <f t="shared" ca="1" si="127"/>
        <v>60986.572079999998</v>
      </c>
      <c r="CD23" s="40">
        <f t="shared" ca="1" si="127"/>
        <v>85381.200912</v>
      </c>
      <c r="CE23" s="40">
        <f t="shared" ca="1" si="127"/>
        <v>119533.68127679998</v>
      </c>
      <c r="CF23" s="40">
        <f t="shared" ca="1" si="127"/>
        <v>167347.15378751996</v>
      </c>
      <c r="CG23" s="40">
        <f t="shared" ca="1" si="127"/>
        <v>234286.0153025279</v>
      </c>
      <c r="CH23" s="40">
        <f t="shared" ca="1" si="127"/>
        <v>328000.42142353905</v>
      </c>
      <c r="CI23" s="40">
        <f t="shared" ca="1" si="127"/>
        <v>459200.58999295469</v>
      </c>
      <c r="CJ23" s="40">
        <f t="shared" ca="1" si="127"/>
        <v>642880.82599013648</v>
      </c>
      <c r="CK23" s="40">
        <f t="shared" ca="1" si="127"/>
        <v>900033.15638619103</v>
      </c>
      <c r="CL23" s="40">
        <f t="shared" ca="1" si="127"/>
        <v>1260046.4189406673</v>
      </c>
      <c r="CM23" s="40">
        <f t="shared" ca="1" si="127"/>
        <v>1764064.9865169341</v>
      </c>
      <c r="CN23" s="40">
        <f t="shared" ca="1" si="127"/>
        <v>2469690.9811237077</v>
      </c>
      <c r="CO23" s="40">
        <f t="shared" ca="1" si="127"/>
        <v>3457567.3735731905</v>
      </c>
      <c r="CP23" s="40">
        <f t="shared" ca="1" si="127"/>
        <v>4840594.323002466</v>
      </c>
      <c r="CQ23" s="40">
        <f t="shared" ca="1" si="127"/>
        <v>6776832.0522034513</v>
      </c>
      <c r="CR23" s="40">
        <f t="shared" ca="1" si="127"/>
        <v>9487564.873084832</v>
      </c>
      <c r="CS23" s="40">
        <f t="shared" ca="1" si="127"/>
        <v>13282590.822318763</v>
      </c>
      <c r="CT23" s="40">
        <f t="shared" ca="1" si="127"/>
        <v>18595627.151246268</v>
      </c>
      <c r="CU23" s="40">
        <f t="shared" ca="1" si="127"/>
        <v>26033878.011744775</v>
      </c>
      <c r="CV23" s="40">
        <f t="shared" ca="1" si="127"/>
        <v>36447429.216442682</v>
      </c>
      <c r="CW23" s="40">
        <f t="shared" ca="1" si="127"/>
        <v>51026400.903019749</v>
      </c>
      <c r="CX23" s="40">
        <f t="shared" ca="1" si="127"/>
        <v>71436961.264227644</v>
      </c>
      <c r="CY23" s="40">
        <f t="shared" ca="1" si="127"/>
        <v>100011745.7699187</v>
      </c>
      <c r="CZ23" s="40">
        <f t="shared" ca="1" si="127"/>
        <v>129966436.99880001</v>
      </c>
      <c r="DA23" s="40">
        <f t="shared" ca="1" si="127"/>
        <v>129966436.99880001</v>
      </c>
      <c r="DB23" s="40">
        <f t="shared" ca="1" si="127"/>
        <v>129966436.99880001</v>
      </c>
      <c r="DC23" s="40">
        <f t="shared" ca="1" si="127"/>
        <v>129966436.99880001</v>
      </c>
      <c r="DD23" s="40">
        <f t="shared" ca="1" si="127"/>
        <v>129966436.99880001</v>
      </c>
      <c r="DE23" s="40">
        <f t="shared" ca="1" si="127"/>
        <v>129966436.99880001</v>
      </c>
      <c r="DF23" s="40">
        <f t="shared" ca="1" si="127"/>
        <v>129966436.99880001</v>
      </c>
      <c r="DG23" s="40">
        <f t="shared" ca="1" si="127"/>
        <v>129966436.99880001</v>
      </c>
      <c r="DH23" s="40">
        <f t="shared" ca="1" si="127"/>
        <v>129966436.99880001</v>
      </c>
      <c r="DI23" s="40">
        <f t="shared" ca="1" si="127"/>
        <v>129966436.99880001</v>
      </c>
      <c r="DJ23" s="40">
        <f t="shared" ca="1" si="127"/>
        <v>129966436.99880001</v>
      </c>
      <c r="DK23" s="40">
        <f t="shared" ca="1" si="127"/>
        <v>129966436.99880001</v>
      </c>
      <c r="DL23" s="40">
        <f t="shared" ca="1" si="127"/>
        <v>129966436.99880001</v>
      </c>
      <c r="DM23" s="40">
        <f t="shared" ca="1" si="127"/>
        <v>129966436.99880001</v>
      </c>
      <c r="DN23" s="40">
        <f t="shared" ca="1" si="127"/>
        <v>129966436.99880001</v>
      </c>
      <c r="DO23" s="40">
        <f t="shared" ca="1" si="127"/>
        <v>129966436.99880001</v>
      </c>
      <c r="DP23" s="40">
        <f t="shared" ca="1" si="127"/>
        <v>129966436.99880001</v>
      </c>
      <c r="DQ23" s="40">
        <f t="shared" ca="1" si="127"/>
        <v>129966436.99880001</v>
      </c>
      <c r="DR23" s="40">
        <f t="shared" ca="1" si="127"/>
        <v>129966436.99880001</v>
      </c>
      <c r="DS23" s="40">
        <f t="shared" ca="1" si="127"/>
        <v>129966436.99880001</v>
      </c>
      <c r="DT23" s="40">
        <f t="shared" ca="1" si="127"/>
        <v>129966436.99880001</v>
      </c>
      <c r="DU23" s="40">
        <f t="shared" ca="1" si="127"/>
        <v>129966436.99880001</v>
      </c>
      <c r="DV23" s="40">
        <f t="shared" ca="1" si="127"/>
        <v>129966436.99880001</v>
      </c>
      <c r="DW23" s="40">
        <f t="shared" ca="1" si="127"/>
        <v>129966436.99880001</v>
      </c>
      <c r="DX23" s="40">
        <f t="shared" ca="1" si="127"/>
        <v>129966436.99880001</v>
      </c>
      <c r="DY23" s="40">
        <f t="shared" ca="1" si="127"/>
        <v>129966436.99880001</v>
      </c>
      <c r="DZ23" s="40">
        <f t="shared" ca="1" si="127"/>
        <v>129966436.99880001</v>
      </c>
      <c r="EA23" s="40">
        <f t="shared" ca="1" si="127"/>
        <v>129966436.99880001</v>
      </c>
      <c r="EB23" s="40">
        <f t="shared" ca="1" si="127"/>
        <v>129966436.99880001</v>
      </c>
      <c r="EC23" s="40">
        <f t="shared" ca="1" si="127"/>
        <v>129966436.99880001</v>
      </c>
      <c r="ED23" s="40">
        <f t="shared" ca="1" si="127"/>
        <v>129966436.99880001</v>
      </c>
      <c r="EE23" s="40">
        <f t="shared" ca="1" si="127"/>
        <v>129966436.99880001</v>
      </c>
      <c r="EF23" s="40">
        <f t="shared" ca="1" si="128"/>
        <v>129966436.99880001</v>
      </c>
      <c r="EG23" s="40">
        <f t="shared" ca="1" si="128"/>
        <v>129966436.99880001</v>
      </c>
      <c r="EH23" s="40">
        <f t="shared" ca="1" si="128"/>
        <v>129966436.99880001</v>
      </c>
      <c r="EI23" s="40">
        <f t="shared" ca="1" si="128"/>
        <v>129966436.99880001</v>
      </c>
      <c r="EJ23" s="40">
        <f t="shared" ca="1" si="128"/>
        <v>129966436.99880001</v>
      </c>
      <c r="EK23" s="40">
        <f t="shared" ca="1" si="128"/>
        <v>129966436.99880001</v>
      </c>
      <c r="EL23" s="40">
        <f t="shared" ca="1" si="128"/>
        <v>129966436.99880001</v>
      </c>
      <c r="EM23" s="40">
        <f t="shared" ca="1" si="128"/>
        <v>129966436.99880001</v>
      </c>
      <c r="EN23" s="40">
        <f t="shared" ca="1" si="128"/>
        <v>129966436.99880001</v>
      </c>
      <c r="EO23" s="40">
        <f t="shared" ca="1" si="128"/>
        <v>129966436.99880001</v>
      </c>
      <c r="EP23" s="40">
        <f t="shared" ca="1" si="128"/>
        <v>129966436.99880001</v>
      </c>
      <c r="EQ23" s="40">
        <f t="shared" ca="1" si="128"/>
        <v>129966436.99880001</v>
      </c>
      <c r="ER23" s="40">
        <f t="shared" ca="1" si="128"/>
        <v>129966436.99880001</v>
      </c>
      <c r="ES23" s="40">
        <f t="shared" ca="1" si="128"/>
        <v>129966436.99880001</v>
      </c>
      <c r="ET23" s="40">
        <f t="shared" ca="1" si="128"/>
        <v>129966436.99880001</v>
      </c>
      <c r="EU23" s="40">
        <f t="shared" ca="1" si="128"/>
        <v>129966436.99880001</v>
      </c>
      <c r="EV23" s="40">
        <f t="shared" ca="1" si="128"/>
        <v>129966436.99880001</v>
      </c>
      <c r="EW23" s="40">
        <f t="shared" ca="1" si="128"/>
        <v>129966436.99880001</v>
      </c>
      <c r="EX23" s="40">
        <f t="shared" ca="1" si="128"/>
        <v>129966436.99880001</v>
      </c>
      <c r="EY23" s="40">
        <f t="shared" ca="1" si="128"/>
        <v>129966436.99880001</v>
      </c>
      <c r="EZ23" s="40">
        <f t="shared" ca="1" si="128"/>
        <v>129966436.99880001</v>
      </c>
      <c r="FA23" s="40">
        <f t="shared" ca="1" si="128"/>
        <v>129966436.99880001</v>
      </c>
      <c r="FB23" s="40">
        <f t="shared" ca="1" si="128"/>
        <v>129966436.99880001</v>
      </c>
      <c r="FC23" s="40">
        <f t="shared" ca="1" si="128"/>
        <v>129966436.99880001</v>
      </c>
      <c r="FD23" s="40">
        <f t="shared" ca="1" si="128"/>
        <v>129966436.99880001</v>
      </c>
      <c r="FE23" s="40">
        <f t="shared" ca="1" si="128"/>
        <v>129966436.99880001</v>
      </c>
      <c r="FF23" s="40">
        <f t="shared" ca="1" si="128"/>
        <v>129966436.99880001</v>
      </c>
      <c r="FG23" s="40">
        <f t="shared" ca="1" si="128"/>
        <v>129966436.99880001</v>
      </c>
      <c r="FH23" s="40">
        <f t="shared" ca="1" si="128"/>
        <v>129966436.99880001</v>
      </c>
      <c r="FI23" s="40">
        <f t="shared" ca="1" si="128"/>
        <v>129966436.99880001</v>
      </c>
      <c r="FJ23" s="40">
        <f t="shared" ca="1" si="128"/>
        <v>129966436.99880001</v>
      </c>
      <c r="FK23" s="40">
        <f t="shared" ca="1" si="128"/>
        <v>129966436.99880001</v>
      </c>
      <c r="FL23" s="40">
        <f t="shared" ca="1" si="128"/>
        <v>129966436.99880001</v>
      </c>
      <c r="FM23" s="40">
        <f t="shared" ca="1" si="128"/>
        <v>129966436.99880001</v>
      </c>
      <c r="FN23" s="40">
        <f t="shared" ca="1" si="128"/>
        <v>129966436.99880001</v>
      </c>
      <c r="FO23" s="40">
        <f t="shared" ca="1" si="128"/>
        <v>129966436.99880001</v>
      </c>
      <c r="FP23" s="40">
        <f t="shared" ca="1" si="128"/>
        <v>129966436.99880001</v>
      </c>
      <c r="FQ23" s="40">
        <f t="shared" ca="1" si="128"/>
        <v>129966436.99880001</v>
      </c>
      <c r="FR23" s="40">
        <f t="shared" ca="1" si="128"/>
        <v>129966436.99880001</v>
      </c>
      <c r="FS23" s="40">
        <f t="shared" ca="1" si="128"/>
        <v>129966436.99880001</v>
      </c>
      <c r="FT23" s="40">
        <f t="shared" ca="1" si="128"/>
        <v>129966436.99880001</v>
      </c>
      <c r="FU23" s="40">
        <f t="shared" ca="1" si="128"/>
        <v>129966436.99880001</v>
      </c>
      <c r="FV23" s="40">
        <f t="shared" ca="1" si="128"/>
        <v>129966436.99880001</v>
      </c>
      <c r="FW23" s="40">
        <f t="shared" ca="1" si="128"/>
        <v>129966436.99880001</v>
      </c>
      <c r="FX23" s="40">
        <f t="shared" ca="1" si="128"/>
        <v>129966436.99880001</v>
      </c>
      <c r="FY23" s="40">
        <f t="shared" ca="1" si="128"/>
        <v>129966436.99880001</v>
      </c>
      <c r="FZ23" s="40">
        <f t="shared" ca="1" si="128"/>
        <v>129966436.99880001</v>
      </c>
      <c r="GA23" s="40">
        <f t="shared" ca="1" si="128"/>
        <v>129966436.99880001</v>
      </c>
      <c r="GB23" s="40">
        <f t="shared" ca="1" si="128"/>
        <v>129966436.99880001</v>
      </c>
      <c r="GC23" s="40">
        <f t="shared" ca="1" si="128"/>
        <v>129966436.99880001</v>
      </c>
      <c r="GD23" s="40">
        <f t="shared" ca="1" si="128"/>
        <v>129966436.99880001</v>
      </c>
      <c r="GE23" s="40">
        <f t="shared" ca="1" si="128"/>
        <v>129966436.99880001</v>
      </c>
      <c r="GF23" s="40">
        <f t="shared" ca="1" si="128"/>
        <v>129966436.99880001</v>
      </c>
      <c r="GG23" s="40">
        <f t="shared" ca="1" si="128"/>
        <v>129966436.99880001</v>
      </c>
      <c r="GH23" s="40">
        <f t="shared" ca="1" si="128"/>
        <v>129966436.99880001</v>
      </c>
      <c r="GI23" s="40">
        <f t="shared" ca="1" si="128"/>
        <v>129966436.99880001</v>
      </c>
      <c r="GJ23" s="40">
        <f t="shared" ca="1" si="128"/>
        <v>129966436.99880001</v>
      </c>
      <c r="GK23" s="40">
        <f t="shared" ca="1" si="128"/>
        <v>129966436.99880001</v>
      </c>
      <c r="GL23" s="40">
        <f t="shared" ca="1" si="128"/>
        <v>129966436.99880001</v>
      </c>
      <c r="GM23" s="40">
        <f t="shared" ca="1" si="128"/>
        <v>129966436.99880001</v>
      </c>
      <c r="GN23" s="40">
        <f t="shared" ca="1" si="128"/>
        <v>129966436.99880001</v>
      </c>
      <c r="GO23" s="40">
        <f t="shared" ca="1" si="128"/>
        <v>129966436.99880001</v>
      </c>
      <c r="GP23" s="40">
        <f t="shared" ca="1" si="128"/>
        <v>129966436.99880001</v>
      </c>
      <c r="GQ23" s="40">
        <f t="shared" ca="1" si="128"/>
        <v>129966436.99880001</v>
      </c>
      <c r="GR23" s="40">
        <f t="shared" ca="1" si="129"/>
        <v>129966436.99880001</v>
      </c>
      <c r="GS23" s="40">
        <f t="shared" ca="1" si="129"/>
        <v>129966436.99880001</v>
      </c>
      <c r="GT23" s="40">
        <f t="shared" ca="1" si="129"/>
        <v>129966436.99880001</v>
      </c>
      <c r="GU23" s="40">
        <f t="shared" ca="1" si="129"/>
        <v>129966436.99880001</v>
      </c>
      <c r="GV23" s="40">
        <f t="shared" ca="1" si="129"/>
        <v>129966436.99880001</v>
      </c>
      <c r="GW23" s="40">
        <f t="shared" ca="1" si="129"/>
        <v>129966436.99880001</v>
      </c>
      <c r="GX23" s="40">
        <f t="shared" ca="1" si="129"/>
        <v>129966436.99880001</v>
      </c>
      <c r="GY23" s="40">
        <f t="shared" ca="1" si="129"/>
        <v>129966436.99880001</v>
      </c>
      <c r="GZ23" s="40">
        <f t="shared" ca="1" si="129"/>
        <v>129966436.99880001</v>
      </c>
      <c r="HA23" s="40">
        <f t="shared" ca="1" si="129"/>
        <v>129966436.99880001</v>
      </c>
      <c r="HB23" s="40">
        <f t="shared" ca="1" si="129"/>
        <v>129966436.99880001</v>
      </c>
      <c r="HC23" s="40">
        <f t="shared" ca="1" si="129"/>
        <v>129966436.99880001</v>
      </c>
      <c r="HD23" s="40">
        <f t="shared" ca="1" si="129"/>
        <v>129966436.99880001</v>
      </c>
      <c r="HE23" s="40">
        <f t="shared" ca="1" si="129"/>
        <v>129966436.99880001</v>
      </c>
      <c r="HF23" s="40">
        <f t="shared" ca="1" si="129"/>
        <v>129966436.99880001</v>
      </c>
      <c r="HG23" s="40">
        <f t="shared" ca="1" si="129"/>
        <v>129966436.99880001</v>
      </c>
      <c r="HH23" s="40">
        <f t="shared" ca="1" si="129"/>
        <v>129966436.99880001</v>
      </c>
      <c r="HI23" s="40">
        <f t="shared" ca="1" si="129"/>
        <v>129966436.99880001</v>
      </c>
      <c r="HJ23" s="40">
        <f t="shared" ca="1" si="129"/>
        <v>129966436.99880001</v>
      </c>
      <c r="HK23" s="40">
        <f t="shared" ca="1" si="129"/>
        <v>129966436.99880001</v>
      </c>
      <c r="HL23" s="40">
        <f t="shared" ca="1" si="129"/>
        <v>129966436.99880001</v>
      </c>
      <c r="HM23" s="40">
        <f t="shared" ca="1" si="129"/>
        <v>129966436.99880001</v>
      </c>
      <c r="HN23" s="40">
        <f t="shared" ca="1" si="129"/>
        <v>129966436.99880001</v>
      </c>
      <c r="HO23" s="40">
        <f t="shared" ca="1" si="129"/>
        <v>129966436.99880001</v>
      </c>
      <c r="HP23" s="40">
        <f t="shared" ca="1" si="129"/>
        <v>129966436.99880001</v>
      </c>
      <c r="HQ23" s="40">
        <f t="shared" ca="1" si="129"/>
        <v>129966436.99880001</v>
      </c>
      <c r="HR23" s="40">
        <f t="shared" ca="1" si="129"/>
        <v>129966436.99880001</v>
      </c>
      <c r="HS23" s="40">
        <f t="shared" ca="1" si="129"/>
        <v>129966436.99880001</v>
      </c>
      <c r="HT23" s="40">
        <f t="shared" ca="1" si="129"/>
        <v>129966436.99880001</v>
      </c>
      <c r="HU23" s="40">
        <f t="shared" ca="1" si="129"/>
        <v>129966436.99880001</v>
      </c>
      <c r="HV23" s="40">
        <f t="shared" ca="1" si="129"/>
        <v>129966436.99880001</v>
      </c>
      <c r="HW23" s="40">
        <f t="shared" ca="1" si="129"/>
        <v>129966436.99880001</v>
      </c>
      <c r="HX23" s="40">
        <f t="shared" ca="1" si="129"/>
        <v>129966436.99880001</v>
      </c>
      <c r="HY23" s="40">
        <f t="shared" ca="1" si="129"/>
        <v>129966436.99880001</v>
      </c>
      <c r="HZ23" s="40">
        <f t="shared" ca="1" si="129"/>
        <v>129966436.99880001</v>
      </c>
      <c r="IA23" s="40">
        <f t="shared" ca="1" si="129"/>
        <v>129966436.99880001</v>
      </c>
      <c r="IB23" s="40">
        <f t="shared" ca="1" si="129"/>
        <v>129966436.99880001</v>
      </c>
      <c r="IC23" s="40">
        <f t="shared" ca="1" si="129"/>
        <v>129966436.99880001</v>
      </c>
      <c r="ID23" s="40">
        <f t="shared" ca="1" si="129"/>
        <v>129966436.99880001</v>
      </c>
      <c r="IE23" s="40">
        <f t="shared" ca="1" si="129"/>
        <v>129966436.99880001</v>
      </c>
      <c r="IF23" s="40">
        <f t="shared" ca="1" si="129"/>
        <v>129966436.99880001</v>
      </c>
      <c r="IG23" s="40">
        <f t="shared" ca="1" si="129"/>
        <v>129966436.99880001</v>
      </c>
      <c r="IH23" s="40">
        <f t="shared" ca="1" si="129"/>
        <v>129966436.99880001</v>
      </c>
      <c r="II23" s="40">
        <f t="shared" ca="1" si="129"/>
        <v>129966436.99880001</v>
      </c>
      <c r="IJ23" s="40">
        <f t="shared" ca="1" si="129"/>
        <v>129966436.99880001</v>
      </c>
      <c r="IK23" s="40">
        <f t="shared" ca="1" si="129"/>
        <v>129966436.99880001</v>
      </c>
      <c r="IL23" s="40">
        <f t="shared" ca="1" si="129"/>
        <v>129966436.99880001</v>
      </c>
      <c r="IM23" s="40">
        <f t="shared" ca="1" si="129"/>
        <v>129966436.99880001</v>
      </c>
      <c r="IN23" s="40">
        <f t="shared" ca="1" si="129"/>
        <v>129966436.99880001</v>
      </c>
    </row>
    <row r="24" spans="2:248" x14ac:dyDescent="0.3">
      <c r="B24" s="19" t="s">
        <v>498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473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1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 t="e">
        <f>IF(AND(G20&gt;G19,F20&lt;F19),1,0)</f>
        <v>#N/A</v>
      </c>
      <c r="H26" s="26" t="e">
        <f t="shared" ref="H26:BS26" ca="1" si="136">IF(AND(H20&gt;H19,G20&lt;G19),1,0)</f>
        <v>#N/A</v>
      </c>
      <c r="I26" s="26" t="e">
        <f t="shared" ca="1" si="136"/>
        <v>#N/A</v>
      </c>
      <c r="J26" s="26" t="e">
        <f t="shared" ca="1" si="136"/>
        <v>#N/A</v>
      </c>
      <c r="K26" s="26" t="e">
        <f t="shared" ca="1" si="136"/>
        <v>#N/A</v>
      </c>
      <c r="L26" s="26" t="e">
        <f t="shared" ca="1" si="136"/>
        <v>#N/A</v>
      </c>
      <c r="M26" s="26" t="e">
        <f t="shared" ca="1" si="136"/>
        <v>#N/A</v>
      </c>
      <c r="N26" s="26" t="e">
        <f t="shared" ca="1" si="136"/>
        <v>#N/A</v>
      </c>
      <c r="O26" s="26" t="e">
        <f t="shared" ca="1" si="136"/>
        <v>#N/A</v>
      </c>
      <c r="P26" s="26" t="e">
        <f t="shared" ca="1" si="136"/>
        <v>#N/A</v>
      </c>
      <c r="Q26" s="26" t="e">
        <f t="shared" ca="1" si="136"/>
        <v>#N/A</v>
      </c>
      <c r="R26" s="26" t="e">
        <f t="shared" ca="1" si="136"/>
        <v>#N/A</v>
      </c>
      <c r="S26" s="26" t="e">
        <f t="shared" ca="1" si="136"/>
        <v>#N/A</v>
      </c>
      <c r="T26" s="26" t="e">
        <f t="shared" ca="1" si="136"/>
        <v>#N/A</v>
      </c>
      <c r="U26" s="26" t="e">
        <f t="shared" ca="1" si="136"/>
        <v>#N/A</v>
      </c>
      <c r="V26" s="26" t="e">
        <f t="shared" ca="1" si="136"/>
        <v>#N/A</v>
      </c>
      <c r="W26" s="26" t="e">
        <f t="shared" ca="1" si="136"/>
        <v>#N/A</v>
      </c>
      <c r="X26" s="26" t="e">
        <f t="shared" ca="1" si="136"/>
        <v>#N/A</v>
      </c>
      <c r="Y26" s="26" t="e">
        <f t="shared" ca="1" si="136"/>
        <v>#N/A</v>
      </c>
      <c r="Z26" s="26" t="e">
        <f t="shared" ca="1" si="136"/>
        <v>#N/A</v>
      </c>
      <c r="AA26" s="26" t="e">
        <f t="shared" ca="1" si="136"/>
        <v>#N/A</v>
      </c>
      <c r="AB26" s="26" t="e">
        <f t="shared" ca="1" si="136"/>
        <v>#N/A</v>
      </c>
      <c r="AC26" s="26" t="e">
        <f t="shared" ca="1" si="136"/>
        <v>#N/A</v>
      </c>
      <c r="AD26" s="26" t="e">
        <f t="shared" ca="1" si="136"/>
        <v>#N/A</v>
      </c>
      <c r="AE26" s="26" t="e">
        <f t="shared" ca="1" si="136"/>
        <v>#N/A</v>
      </c>
      <c r="AF26" s="26" t="e">
        <f t="shared" ca="1" si="136"/>
        <v>#N/A</v>
      </c>
      <c r="AG26" s="26" t="e">
        <f t="shared" ca="1" si="136"/>
        <v>#N/A</v>
      </c>
      <c r="AH26" s="26" t="e">
        <f t="shared" ca="1" si="136"/>
        <v>#N/A</v>
      </c>
      <c r="AI26" s="26" t="e">
        <f t="shared" ca="1" si="136"/>
        <v>#N/A</v>
      </c>
      <c r="AJ26" s="26" t="e">
        <f t="shared" ca="1" si="136"/>
        <v>#N/A</v>
      </c>
      <c r="AK26" s="26" t="e">
        <f t="shared" ca="1" si="136"/>
        <v>#N/A</v>
      </c>
      <c r="AL26" s="26" t="e">
        <f t="shared" ca="1" si="136"/>
        <v>#N/A</v>
      </c>
      <c r="AM26" s="26" t="e">
        <f t="shared" ca="1" si="136"/>
        <v>#N/A</v>
      </c>
      <c r="AN26" s="26" t="e">
        <f t="shared" ca="1" si="136"/>
        <v>#N/A</v>
      </c>
      <c r="AO26" s="26" t="e">
        <f t="shared" ca="1" si="136"/>
        <v>#N/A</v>
      </c>
      <c r="AP26" s="26" t="e">
        <f t="shared" ca="1" si="136"/>
        <v>#N/A</v>
      </c>
      <c r="AQ26" s="26" t="e">
        <f t="shared" ca="1" si="136"/>
        <v>#N/A</v>
      </c>
      <c r="AR26" s="26" t="e">
        <f t="shared" ca="1" si="136"/>
        <v>#N/A</v>
      </c>
      <c r="AS26" s="26" t="e">
        <f t="shared" ca="1" si="136"/>
        <v>#N/A</v>
      </c>
      <c r="AT26" s="26" t="e">
        <f t="shared" ca="1" si="136"/>
        <v>#N/A</v>
      </c>
      <c r="AU26" s="26" t="e">
        <f t="shared" ca="1" si="136"/>
        <v>#N/A</v>
      </c>
      <c r="AV26" s="26" t="e">
        <f t="shared" ca="1" si="136"/>
        <v>#N/A</v>
      </c>
      <c r="AW26" s="26" t="e">
        <f t="shared" ca="1" si="136"/>
        <v>#N/A</v>
      </c>
      <c r="AX26" s="26" t="e">
        <f t="shared" ca="1" si="136"/>
        <v>#N/A</v>
      </c>
      <c r="AY26" s="26" t="e">
        <f t="shared" ca="1" si="136"/>
        <v>#N/A</v>
      </c>
      <c r="AZ26" s="26" t="e">
        <f t="shared" ca="1" si="136"/>
        <v>#N/A</v>
      </c>
      <c r="BA26" s="26" t="e">
        <f t="shared" ca="1" si="136"/>
        <v>#N/A</v>
      </c>
      <c r="BB26" s="26" t="e">
        <f t="shared" ca="1" si="136"/>
        <v>#N/A</v>
      </c>
      <c r="BC26" s="26" t="e">
        <f t="shared" ca="1" si="136"/>
        <v>#N/A</v>
      </c>
      <c r="BD26" s="26" t="e">
        <f t="shared" ca="1" si="136"/>
        <v>#N/A</v>
      </c>
      <c r="BE26" s="26" t="e">
        <f t="shared" ca="1" si="136"/>
        <v>#N/A</v>
      </c>
      <c r="BF26" s="26" t="e">
        <f t="shared" ca="1" si="136"/>
        <v>#N/A</v>
      </c>
      <c r="BG26" s="26" t="e">
        <f t="shared" ca="1" si="136"/>
        <v>#N/A</v>
      </c>
      <c r="BH26" s="26" t="e">
        <f t="shared" ca="1" si="136"/>
        <v>#N/A</v>
      </c>
      <c r="BI26" s="26" t="e">
        <f t="shared" ca="1" si="136"/>
        <v>#N/A</v>
      </c>
      <c r="BJ26" s="26" t="e">
        <f t="shared" ca="1" si="136"/>
        <v>#N/A</v>
      </c>
      <c r="BK26" s="26" t="e">
        <f t="shared" ca="1" si="136"/>
        <v>#N/A</v>
      </c>
      <c r="BL26" s="26" t="e">
        <f t="shared" ca="1" si="136"/>
        <v>#N/A</v>
      </c>
      <c r="BM26" s="26" t="e">
        <f t="shared" ca="1" si="136"/>
        <v>#N/A</v>
      </c>
      <c r="BN26" s="26" t="e">
        <f t="shared" ca="1" si="136"/>
        <v>#N/A</v>
      </c>
      <c r="BO26" s="26" t="e">
        <f t="shared" ca="1" si="136"/>
        <v>#N/A</v>
      </c>
      <c r="BP26" s="26" t="e">
        <f t="shared" ca="1" si="136"/>
        <v>#N/A</v>
      </c>
      <c r="BQ26" s="26" t="e">
        <f t="shared" ca="1" si="136"/>
        <v>#N/A</v>
      </c>
      <c r="BR26" s="26" t="e">
        <f t="shared" ca="1" si="136"/>
        <v>#N/A</v>
      </c>
      <c r="BS26" s="26" t="e">
        <f t="shared" ca="1" si="136"/>
        <v>#N/A</v>
      </c>
      <c r="BT26" s="26" t="e">
        <f t="shared" ref="BT26:EE26" ca="1" si="137">IF(AND(BT20&gt;BT19,BS20&lt;BS19),1,0)</f>
        <v>#N/A</v>
      </c>
      <c r="BU26" s="26" t="e">
        <f t="shared" ca="1" si="137"/>
        <v>#N/A</v>
      </c>
      <c r="BV26" s="26" t="e">
        <f t="shared" ca="1" si="137"/>
        <v>#N/A</v>
      </c>
      <c r="BW26" s="26" t="e">
        <f t="shared" ca="1" si="137"/>
        <v>#N/A</v>
      </c>
      <c r="BX26" s="26" t="e">
        <f t="shared" ca="1" si="137"/>
        <v>#N/A</v>
      </c>
      <c r="BY26" s="26" t="e">
        <f t="shared" ca="1" si="137"/>
        <v>#N/A</v>
      </c>
      <c r="BZ26" s="26" t="e">
        <f t="shared" ca="1" si="137"/>
        <v>#N/A</v>
      </c>
      <c r="CA26" s="26" t="e">
        <f t="shared" ca="1" si="137"/>
        <v>#N/A</v>
      </c>
      <c r="CB26" s="26" t="e">
        <f t="shared" ca="1" si="137"/>
        <v>#N/A</v>
      </c>
      <c r="CC26" s="26" t="e">
        <f t="shared" ca="1" si="137"/>
        <v>#N/A</v>
      </c>
      <c r="CD26" s="26" t="e">
        <f t="shared" ca="1" si="137"/>
        <v>#N/A</v>
      </c>
      <c r="CE26" s="26" t="e">
        <f t="shared" ca="1" si="137"/>
        <v>#N/A</v>
      </c>
      <c r="CF26" s="26" t="e">
        <f t="shared" ca="1" si="137"/>
        <v>#N/A</v>
      </c>
      <c r="CG26" s="26" t="e">
        <f t="shared" ca="1" si="137"/>
        <v>#N/A</v>
      </c>
      <c r="CH26" s="26" t="e">
        <f t="shared" ca="1" si="137"/>
        <v>#N/A</v>
      </c>
      <c r="CI26" s="26" t="e">
        <f t="shared" ca="1" si="137"/>
        <v>#N/A</v>
      </c>
      <c r="CJ26" s="26" t="e">
        <f t="shared" ca="1" si="137"/>
        <v>#N/A</v>
      </c>
      <c r="CK26" s="26" t="e">
        <f t="shared" ca="1" si="137"/>
        <v>#N/A</v>
      </c>
      <c r="CL26" s="26" t="e">
        <f t="shared" ca="1" si="137"/>
        <v>#N/A</v>
      </c>
      <c r="CM26" s="26" t="e">
        <f t="shared" ca="1" si="137"/>
        <v>#N/A</v>
      </c>
      <c r="CN26" s="26" t="e">
        <f t="shared" ca="1" si="137"/>
        <v>#N/A</v>
      </c>
      <c r="CO26" s="26" t="e">
        <f t="shared" ca="1" si="137"/>
        <v>#N/A</v>
      </c>
      <c r="CP26" s="26" t="e">
        <f t="shared" ca="1" si="137"/>
        <v>#N/A</v>
      </c>
      <c r="CQ26" s="26" t="e">
        <f t="shared" ca="1" si="137"/>
        <v>#N/A</v>
      </c>
      <c r="CR26" s="26" t="e">
        <f t="shared" ca="1" si="137"/>
        <v>#N/A</v>
      </c>
      <c r="CS26" s="26" t="e">
        <f t="shared" ca="1" si="137"/>
        <v>#N/A</v>
      </c>
      <c r="CT26" s="26" t="e">
        <f t="shared" ca="1" si="137"/>
        <v>#N/A</v>
      </c>
      <c r="CU26" s="26" t="e">
        <f t="shared" ca="1" si="137"/>
        <v>#N/A</v>
      </c>
      <c r="CV26" s="26" t="e">
        <f t="shared" ca="1" si="137"/>
        <v>#N/A</v>
      </c>
      <c r="CW26" s="26" t="e">
        <f t="shared" ca="1" si="137"/>
        <v>#N/A</v>
      </c>
      <c r="CX26" s="26" t="e">
        <f t="shared" ca="1" si="137"/>
        <v>#N/A</v>
      </c>
      <c r="CY26" s="26" t="e">
        <f t="shared" ca="1" si="137"/>
        <v>#N/A</v>
      </c>
      <c r="CZ26" s="26" t="e">
        <f t="shared" ca="1" si="137"/>
        <v>#N/A</v>
      </c>
      <c r="DA26" s="26" t="e">
        <f t="shared" ca="1" si="137"/>
        <v>#N/A</v>
      </c>
      <c r="DB26" s="26" t="e">
        <f t="shared" ca="1" si="137"/>
        <v>#N/A</v>
      </c>
      <c r="DC26" s="26" t="e">
        <f t="shared" ca="1" si="137"/>
        <v>#N/A</v>
      </c>
      <c r="DD26" s="26" t="e">
        <f t="shared" ca="1" si="137"/>
        <v>#N/A</v>
      </c>
      <c r="DE26" s="26" t="e">
        <f t="shared" ca="1" si="137"/>
        <v>#N/A</v>
      </c>
      <c r="DF26" s="26" t="e">
        <f t="shared" ca="1" si="137"/>
        <v>#N/A</v>
      </c>
      <c r="DG26" s="26" t="e">
        <f t="shared" ca="1" si="137"/>
        <v>#N/A</v>
      </c>
      <c r="DH26" s="26" t="e">
        <f t="shared" ca="1" si="137"/>
        <v>#N/A</v>
      </c>
      <c r="DI26" s="26" t="e">
        <f t="shared" ca="1" si="137"/>
        <v>#N/A</v>
      </c>
      <c r="DJ26" s="26" t="e">
        <f t="shared" ca="1" si="137"/>
        <v>#N/A</v>
      </c>
      <c r="DK26" s="26" t="e">
        <f t="shared" ca="1" si="137"/>
        <v>#N/A</v>
      </c>
      <c r="DL26" s="26" t="e">
        <f t="shared" ca="1" si="137"/>
        <v>#N/A</v>
      </c>
      <c r="DM26" s="26" t="e">
        <f t="shared" ca="1" si="137"/>
        <v>#N/A</v>
      </c>
      <c r="DN26" s="26" t="e">
        <f t="shared" ca="1" si="137"/>
        <v>#N/A</v>
      </c>
      <c r="DO26" s="26" t="e">
        <f t="shared" ca="1" si="137"/>
        <v>#N/A</v>
      </c>
      <c r="DP26" s="26" t="e">
        <f t="shared" ca="1" si="137"/>
        <v>#N/A</v>
      </c>
      <c r="DQ26" s="26" t="e">
        <f t="shared" ca="1" si="137"/>
        <v>#N/A</v>
      </c>
      <c r="DR26" s="26" t="e">
        <f t="shared" ca="1" si="137"/>
        <v>#N/A</v>
      </c>
      <c r="DS26" s="26" t="e">
        <f t="shared" ca="1" si="137"/>
        <v>#N/A</v>
      </c>
      <c r="DT26" s="26" t="e">
        <f t="shared" ca="1" si="137"/>
        <v>#N/A</v>
      </c>
      <c r="DU26" s="26" t="e">
        <f t="shared" ca="1" si="137"/>
        <v>#N/A</v>
      </c>
      <c r="DV26" s="26" t="e">
        <f t="shared" ca="1" si="137"/>
        <v>#N/A</v>
      </c>
      <c r="DW26" s="26" t="e">
        <f t="shared" ca="1" si="137"/>
        <v>#N/A</v>
      </c>
      <c r="DX26" s="26" t="e">
        <f t="shared" ca="1" si="137"/>
        <v>#N/A</v>
      </c>
      <c r="DY26" s="26" t="e">
        <f t="shared" ca="1" si="137"/>
        <v>#N/A</v>
      </c>
      <c r="DZ26" s="26" t="e">
        <f t="shared" ca="1" si="137"/>
        <v>#N/A</v>
      </c>
      <c r="EA26" s="26" t="e">
        <f t="shared" ca="1" si="137"/>
        <v>#N/A</v>
      </c>
      <c r="EB26" s="26" t="e">
        <f t="shared" ca="1" si="137"/>
        <v>#N/A</v>
      </c>
      <c r="EC26" s="26" t="e">
        <f t="shared" ca="1" si="137"/>
        <v>#N/A</v>
      </c>
      <c r="ED26" s="26" t="e">
        <f t="shared" ca="1" si="137"/>
        <v>#N/A</v>
      </c>
      <c r="EE26" s="26" t="e">
        <f t="shared" ca="1" si="137"/>
        <v>#N/A</v>
      </c>
      <c r="EF26" s="26" t="e">
        <f t="shared" ref="EF26:GQ26" ca="1" si="138">IF(AND(EF20&gt;EF19,EE20&lt;EE19),1,0)</f>
        <v>#N/A</v>
      </c>
      <c r="EG26" s="26" t="e">
        <f t="shared" ca="1" si="138"/>
        <v>#N/A</v>
      </c>
      <c r="EH26" s="26" t="e">
        <f t="shared" ca="1" si="138"/>
        <v>#N/A</v>
      </c>
      <c r="EI26" s="26" t="e">
        <f t="shared" ca="1" si="138"/>
        <v>#N/A</v>
      </c>
      <c r="EJ26" s="26" t="e">
        <f t="shared" ca="1" si="138"/>
        <v>#N/A</v>
      </c>
      <c r="EK26" s="26" t="e">
        <f t="shared" ca="1" si="138"/>
        <v>#N/A</v>
      </c>
      <c r="EL26" s="26" t="e">
        <f t="shared" ca="1" si="138"/>
        <v>#N/A</v>
      </c>
      <c r="EM26" s="26" t="e">
        <f t="shared" ca="1" si="138"/>
        <v>#N/A</v>
      </c>
      <c r="EN26" s="26" t="e">
        <f t="shared" ca="1" si="138"/>
        <v>#N/A</v>
      </c>
      <c r="EO26" s="26" t="e">
        <f t="shared" ca="1" si="138"/>
        <v>#N/A</v>
      </c>
      <c r="EP26" s="26" t="e">
        <f t="shared" ca="1" si="138"/>
        <v>#N/A</v>
      </c>
      <c r="EQ26" s="26" t="e">
        <f t="shared" ca="1" si="138"/>
        <v>#N/A</v>
      </c>
      <c r="ER26" s="26" t="e">
        <f t="shared" ca="1" si="138"/>
        <v>#N/A</v>
      </c>
      <c r="ES26" s="26" t="e">
        <f t="shared" ca="1" si="138"/>
        <v>#N/A</v>
      </c>
      <c r="ET26" s="26" t="e">
        <f t="shared" ca="1" si="138"/>
        <v>#N/A</v>
      </c>
      <c r="EU26" s="26" t="e">
        <f t="shared" ca="1" si="138"/>
        <v>#N/A</v>
      </c>
      <c r="EV26" s="26" t="e">
        <f t="shared" ca="1" si="138"/>
        <v>#N/A</v>
      </c>
      <c r="EW26" s="26" t="e">
        <f t="shared" ca="1" si="138"/>
        <v>#N/A</v>
      </c>
      <c r="EX26" s="26" t="e">
        <f t="shared" ca="1" si="138"/>
        <v>#N/A</v>
      </c>
      <c r="EY26" s="26" t="e">
        <f t="shared" ca="1" si="138"/>
        <v>#N/A</v>
      </c>
      <c r="EZ26" s="26" t="e">
        <f t="shared" ca="1" si="138"/>
        <v>#N/A</v>
      </c>
      <c r="FA26" s="26" t="e">
        <f t="shared" ca="1" si="138"/>
        <v>#N/A</v>
      </c>
      <c r="FB26" s="26" t="e">
        <f t="shared" ca="1" si="138"/>
        <v>#N/A</v>
      </c>
      <c r="FC26" s="26" t="e">
        <f t="shared" ca="1" si="138"/>
        <v>#N/A</v>
      </c>
      <c r="FD26" s="26" t="e">
        <f t="shared" ca="1" si="138"/>
        <v>#N/A</v>
      </c>
      <c r="FE26" s="26" t="e">
        <f t="shared" ca="1" si="138"/>
        <v>#N/A</v>
      </c>
      <c r="FF26" s="26" t="e">
        <f t="shared" ca="1" si="138"/>
        <v>#N/A</v>
      </c>
      <c r="FG26" s="26" t="e">
        <f t="shared" ca="1" si="138"/>
        <v>#N/A</v>
      </c>
      <c r="FH26" s="26" t="e">
        <f t="shared" ca="1" si="138"/>
        <v>#N/A</v>
      </c>
      <c r="FI26" s="26" t="e">
        <f t="shared" ca="1" si="138"/>
        <v>#N/A</v>
      </c>
      <c r="FJ26" s="26" t="e">
        <f t="shared" ca="1" si="138"/>
        <v>#N/A</v>
      </c>
      <c r="FK26" s="26" t="e">
        <f t="shared" ca="1" si="138"/>
        <v>#N/A</v>
      </c>
      <c r="FL26" s="26" t="e">
        <f t="shared" ca="1" si="138"/>
        <v>#N/A</v>
      </c>
      <c r="FM26" s="26" t="e">
        <f t="shared" ca="1" si="138"/>
        <v>#N/A</v>
      </c>
      <c r="FN26" s="26" t="e">
        <f t="shared" ca="1" si="138"/>
        <v>#N/A</v>
      </c>
      <c r="FO26" s="26" t="e">
        <f t="shared" ca="1" si="138"/>
        <v>#N/A</v>
      </c>
      <c r="FP26" s="26" t="e">
        <f t="shared" ca="1" si="138"/>
        <v>#N/A</v>
      </c>
      <c r="FQ26" s="26" t="e">
        <f t="shared" ca="1" si="138"/>
        <v>#N/A</v>
      </c>
      <c r="FR26" s="26" t="e">
        <f t="shared" ca="1" si="138"/>
        <v>#N/A</v>
      </c>
      <c r="FS26" s="26" t="e">
        <f t="shared" ca="1" si="138"/>
        <v>#N/A</v>
      </c>
      <c r="FT26" s="26" t="e">
        <f t="shared" ca="1" si="138"/>
        <v>#N/A</v>
      </c>
      <c r="FU26" s="26" t="e">
        <f t="shared" ca="1" si="138"/>
        <v>#N/A</v>
      </c>
      <c r="FV26" s="26" t="e">
        <f t="shared" ca="1" si="138"/>
        <v>#N/A</v>
      </c>
      <c r="FW26" s="26" t="e">
        <f t="shared" ca="1" si="138"/>
        <v>#N/A</v>
      </c>
      <c r="FX26" s="26" t="e">
        <f t="shared" ca="1" si="138"/>
        <v>#N/A</v>
      </c>
      <c r="FY26" s="26" t="e">
        <f t="shared" ca="1" si="138"/>
        <v>#N/A</v>
      </c>
      <c r="FZ26" s="26" t="e">
        <f t="shared" ca="1" si="138"/>
        <v>#N/A</v>
      </c>
      <c r="GA26" s="26" t="e">
        <f t="shared" ca="1" si="138"/>
        <v>#N/A</v>
      </c>
      <c r="GB26" s="26" t="e">
        <f t="shared" ca="1" si="138"/>
        <v>#N/A</v>
      </c>
      <c r="GC26" s="26" t="e">
        <f t="shared" ca="1" si="138"/>
        <v>#N/A</v>
      </c>
      <c r="GD26" s="26" t="e">
        <f t="shared" ca="1" si="138"/>
        <v>#N/A</v>
      </c>
      <c r="GE26" s="26" t="e">
        <f t="shared" ca="1" si="138"/>
        <v>#N/A</v>
      </c>
      <c r="GF26" s="26" t="e">
        <f t="shared" ca="1" si="138"/>
        <v>#N/A</v>
      </c>
      <c r="GG26" s="26" t="e">
        <f t="shared" ca="1" si="138"/>
        <v>#N/A</v>
      </c>
      <c r="GH26" s="26" t="e">
        <f t="shared" ca="1" si="138"/>
        <v>#N/A</v>
      </c>
      <c r="GI26" s="26" t="e">
        <f t="shared" ca="1" si="138"/>
        <v>#N/A</v>
      </c>
      <c r="GJ26" s="26" t="e">
        <f t="shared" ca="1" si="138"/>
        <v>#N/A</v>
      </c>
      <c r="GK26" s="26" t="e">
        <f t="shared" ca="1" si="138"/>
        <v>#N/A</v>
      </c>
      <c r="GL26" s="26" t="e">
        <f t="shared" ca="1" si="138"/>
        <v>#N/A</v>
      </c>
      <c r="GM26" s="26" t="e">
        <f t="shared" ca="1" si="138"/>
        <v>#N/A</v>
      </c>
      <c r="GN26" s="26" t="e">
        <f t="shared" ca="1" si="138"/>
        <v>#N/A</v>
      </c>
      <c r="GO26" s="26" t="e">
        <f t="shared" ca="1" si="138"/>
        <v>#N/A</v>
      </c>
      <c r="GP26" s="26" t="e">
        <f t="shared" ca="1" si="138"/>
        <v>#N/A</v>
      </c>
      <c r="GQ26" s="26" t="e">
        <f t="shared" ca="1" si="138"/>
        <v>#N/A</v>
      </c>
      <c r="GR26" s="26" t="e">
        <f t="shared" ref="GR26:IN26" ca="1" si="139">IF(AND(GR20&gt;GR19,GQ20&lt;GQ19),1,0)</f>
        <v>#N/A</v>
      </c>
      <c r="GS26" s="26" t="e">
        <f t="shared" ca="1" si="139"/>
        <v>#N/A</v>
      </c>
      <c r="GT26" s="26" t="e">
        <f t="shared" ca="1" si="139"/>
        <v>#N/A</v>
      </c>
      <c r="GU26" s="26" t="e">
        <f t="shared" ca="1" si="139"/>
        <v>#N/A</v>
      </c>
      <c r="GV26" s="26" t="e">
        <f t="shared" ca="1" si="139"/>
        <v>#N/A</v>
      </c>
      <c r="GW26" s="26" t="e">
        <f t="shared" ca="1" si="139"/>
        <v>#N/A</v>
      </c>
      <c r="GX26" s="26" t="e">
        <f t="shared" ca="1" si="139"/>
        <v>#N/A</v>
      </c>
      <c r="GY26" s="26" t="e">
        <f t="shared" ca="1" si="139"/>
        <v>#N/A</v>
      </c>
      <c r="GZ26" s="26" t="e">
        <f t="shared" ca="1" si="139"/>
        <v>#N/A</v>
      </c>
      <c r="HA26" s="26" t="e">
        <f t="shared" ca="1" si="139"/>
        <v>#N/A</v>
      </c>
      <c r="HB26" s="26" t="e">
        <f t="shared" ca="1" si="139"/>
        <v>#N/A</v>
      </c>
      <c r="HC26" s="26" t="e">
        <f t="shared" ca="1" si="139"/>
        <v>#N/A</v>
      </c>
      <c r="HD26" s="26" t="e">
        <f t="shared" ca="1" si="139"/>
        <v>#N/A</v>
      </c>
      <c r="HE26" s="26" t="e">
        <f t="shared" ca="1" si="139"/>
        <v>#N/A</v>
      </c>
      <c r="HF26" s="26" t="e">
        <f t="shared" ca="1" si="139"/>
        <v>#N/A</v>
      </c>
      <c r="HG26" s="26" t="e">
        <f t="shared" ca="1" si="139"/>
        <v>#N/A</v>
      </c>
      <c r="HH26" s="26" t="e">
        <f t="shared" ca="1" si="139"/>
        <v>#N/A</v>
      </c>
      <c r="HI26" s="26" t="e">
        <f t="shared" ca="1" si="139"/>
        <v>#N/A</v>
      </c>
      <c r="HJ26" s="26" t="e">
        <f t="shared" ca="1" si="139"/>
        <v>#N/A</v>
      </c>
      <c r="HK26" s="26" t="e">
        <f t="shared" ca="1" si="139"/>
        <v>#N/A</v>
      </c>
      <c r="HL26" s="26" t="e">
        <f t="shared" ca="1" si="139"/>
        <v>#N/A</v>
      </c>
      <c r="HM26" s="26" t="e">
        <f t="shared" ca="1" si="139"/>
        <v>#N/A</v>
      </c>
      <c r="HN26" s="26" t="e">
        <f t="shared" ca="1" si="139"/>
        <v>#N/A</v>
      </c>
      <c r="HO26" s="26" t="e">
        <f t="shared" ca="1" si="139"/>
        <v>#N/A</v>
      </c>
      <c r="HP26" s="26" t="e">
        <f t="shared" ca="1" si="139"/>
        <v>#N/A</v>
      </c>
      <c r="HQ26" s="26" t="e">
        <f t="shared" ca="1" si="139"/>
        <v>#N/A</v>
      </c>
      <c r="HR26" s="26" t="e">
        <f t="shared" ca="1" si="139"/>
        <v>#N/A</v>
      </c>
      <c r="HS26" s="26" t="e">
        <f t="shared" ca="1" si="139"/>
        <v>#N/A</v>
      </c>
      <c r="HT26" s="26" t="e">
        <f t="shared" ca="1" si="139"/>
        <v>#N/A</v>
      </c>
      <c r="HU26" s="26" t="e">
        <f t="shared" ca="1" si="139"/>
        <v>#N/A</v>
      </c>
      <c r="HV26" s="26" t="e">
        <f t="shared" ca="1" si="139"/>
        <v>#N/A</v>
      </c>
      <c r="HW26" s="26" t="e">
        <f t="shared" ca="1" si="139"/>
        <v>#N/A</v>
      </c>
      <c r="HX26" s="26" t="e">
        <f t="shared" ca="1" si="139"/>
        <v>#N/A</v>
      </c>
      <c r="HY26" s="26" t="e">
        <f t="shared" ca="1" si="139"/>
        <v>#N/A</v>
      </c>
      <c r="HZ26" s="26" t="e">
        <f t="shared" ca="1" si="139"/>
        <v>#N/A</v>
      </c>
      <c r="IA26" s="26" t="e">
        <f t="shared" ca="1" si="139"/>
        <v>#N/A</v>
      </c>
      <c r="IB26" s="26" t="e">
        <f t="shared" ca="1" si="139"/>
        <v>#N/A</v>
      </c>
      <c r="IC26" s="26" t="e">
        <f t="shared" ca="1" si="139"/>
        <v>#N/A</v>
      </c>
      <c r="ID26" s="26" t="e">
        <f t="shared" ca="1" si="139"/>
        <v>#N/A</v>
      </c>
      <c r="IE26" s="26" t="e">
        <f t="shared" ca="1" si="139"/>
        <v>#N/A</v>
      </c>
      <c r="IF26" s="26" t="e">
        <f t="shared" ca="1" si="139"/>
        <v>#N/A</v>
      </c>
      <c r="IG26" s="26" t="e">
        <f t="shared" ca="1" si="139"/>
        <v>#N/A</v>
      </c>
      <c r="IH26" s="26" t="e">
        <f t="shared" ca="1" si="139"/>
        <v>#N/A</v>
      </c>
      <c r="II26" s="26" t="e">
        <f t="shared" ca="1" si="139"/>
        <v>#N/A</v>
      </c>
      <c r="IJ26" s="26" t="e">
        <f t="shared" ca="1" si="139"/>
        <v>#N/A</v>
      </c>
      <c r="IK26" s="26" t="e">
        <f t="shared" ca="1" si="139"/>
        <v>#N/A</v>
      </c>
      <c r="IL26" s="26" t="e">
        <f t="shared" ca="1" si="139"/>
        <v>#N/A</v>
      </c>
      <c r="IM26" s="26" t="e">
        <f t="shared" ca="1" si="139"/>
        <v>#N/A</v>
      </c>
      <c r="IN26" s="26" t="e">
        <f t="shared" ca="1" si="139"/>
        <v>#N/A</v>
      </c>
    </row>
    <row r="27" spans="2:248" x14ac:dyDescent="0.3">
      <c r="B27" s="19" t="s">
        <v>427</v>
      </c>
      <c r="C27" s="21">
        <f ca="1">IF(C11&lt;0,MAX(G9:IN9)*1.1,_xlfn.MAXIFS(G8:IN8,G8:IN8,"&gt;"&amp;0)*2)</f>
        <v>1324068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503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501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43852</v>
      </c>
      <c r="D29" s="20">
        <f ca="1">G3</f>
        <v>43852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43929</v>
      </c>
      <c r="D30" s="20">
        <f ca="1">IF(D31&lt;TODAY(),TODAY()+3+Projections!Z45,IFERROR(OFFSET(G26,-23,MATCH(1,G26:IN26,0))+3+Projections!Z45,xMax2+3+Projections!Z45))</f>
        <v>43932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World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World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620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275586</v>
      </c>
      <c r="E5" s="6">
        <f>IF(COUNTIF(I5:XFD5,"&gt;"&amp;0)=0,,HLOOKUP(COUNTIF(I5:XFD5,"&gt;"&amp;0)-1,I$1:XFD5,A5+1,FALSE))</f>
        <v>275586</v>
      </c>
      <c r="F5" s="7">
        <f>IF(COUNTIF(I5:XFD5,"&gt;"&amp;0)=0,,HLOOKUP(COUNTIF(I5:XFD5,"&gt;"&amp;0)-MIN($F$1+1,COUNTIF(I5:XFD5,"&gt;"&amp;0)),I$1:XFD5,A5+1,FALSE))</f>
        <v>140886</v>
      </c>
      <c r="G5" s="8">
        <f>IF(COUNTIF(I5:XFD5,"&gt;"&amp;0)=0,,(E5/F5)^(1/MIN(COUNTIF(I5:XFD5,"&gt;"&amp;0)-1,$F$1)))</f>
        <v>1.1436097845786855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  <c r="AH5" s="9">
        <v>121478</v>
      </c>
      <c r="AI5" s="9">
        <v>140886</v>
      </c>
      <c r="AJ5" s="9">
        <v>161807</v>
      </c>
      <c r="AK5" s="9">
        <v>188172</v>
      </c>
      <c r="AL5" s="9">
        <v>213372</v>
      </c>
      <c r="AM5" s="9">
        <v>243453</v>
      </c>
      <c r="AN5" s="9">
        <v>275586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MAX(I6:JF6)</f>
        <v>119827</v>
      </c>
      <c r="E6" s="6">
        <f>IF(COUNTIF(I6:XFD6,"&gt;"&amp;0)=0,,HLOOKUP(COUNTIF(I6:XFD6,"&gt;"&amp;0)-1,I$1:XFD6,A6+1,FALSE))</f>
        <v>119827</v>
      </c>
      <c r="F6" s="7">
        <f>IF(COUNTIF(I6:XFD6,"&gt;"&amp;0)=0,,HLOOKUP(COUNTIF(I6:XFD6,"&gt;"&amp;0)-MIN($F$1+1,COUNTIF(I6:XFD6,"&gt;"&amp;0)),I$1:XFD6,A6+1,FALSE))</f>
        <v>97689</v>
      </c>
      <c r="G6" s="8">
        <f>IF(COUNTIF(I6:XFD6,"&gt;"&amp;0)=0,,(E6/F6)^(1/MIN(COUNTIF(I6:XFD6,"&gt;"&amp;0)-1,$F$1)))</f>
        <v>1.0416979380032696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  <c r="AQ6" s="9">
        <v>92472</v>
      </c>
      <c r="AR6" s="9">
        <v>97689</v>
      </c>
      <c r="AS6" s="9">
        <v>101739</v>
      </c>
      <c r="AT6" s="9">
        <v>105792</v>
      </c>
      <c r="AU6" s="9">
        <v>110574</v>
      </c>
      <c r="AV6" s="9">
        <v>115242</v>
      </c>
      <c r="AW6" s="9">
        <v>119827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Spain</v>
      </c>
      <c r="D7" s="6">
        <f>MAX(I7:JF7)</f>
        <v>119199</v>
      </c>
      <c r="E7" s="6">
        <f>IF(COUNTIF(I7:XFD7,"&gt;"&amp;0)=0,,HLOOKUP(COUNTIF(I7:XFD7,"&gt;"&amp;0)-1,I$1:XFD7,A7+1,FALSE))</f>
        <v>119199</v>
      </c>
      <c r="F7" s="7">
        <f>IF(COUNTIF(I7:XFD7,"&gt;"&amp;0)=0,,HLOOKUP(COUNTIF(I7:XFD7,"&gt;"&amp;0)-MIN($F$1+1,COUNTIF(I7:XFD7,"&gt;"&amp;0)),I$1:XFD7,A7+1,FALSE))</f>
        <v>80110</v>
      </c>
      <c r="G7" s="8">
        <f>IF(COUNTIF(I7:XFD7,"&gt;"&amp;0)=0,,(E7/F7)^(1/MIN(COUNTIF(I7:XFD7,"&gt;"&amp;0)-1,$F$1)))</f>
        <v>1.0827225352131555</v>
      </c>
      <c r="H7" s="13" t="s">
        <v>60</v>
      </c>
      <c r="I7" s="9">
        <v>120</v>
      </c>
      <c r="J7" s="9">
        <v>165</v>
      </c>
      <c r="K7" s="9">
        <v>222</v>
      </c>
      <c r="L7" s="9">
        <v>259</v>
      </c>
      <c r="M7" s="9">
        <v>400</v>
      </c>
      <c r="N7" s="9">
        <v>500</v>
      </c>
      <c r="O7" s="9">
        <v>673</v>
      </c>
      <c r="P7" s="9">
        <v>1073</v>
      </c>
      <c r="Q7" s="9">
        <v>1695</v>
      </c>
      <c r="R7" s="9">
        <v>2277</v>
      </c>
      <c r="S7" s="9">
        <v>3146</v>
      </c>
      <c r="T7" s="9">
        <v>5232</v>
      </c>
      <c r="U7" s="9">
        <v>6391</v>
      </c>
      <c r="V7" s="9">
        <v>7798</v>
      </c>
      <c r="W7" s="9">
        <v>9942</v>
      </c>
      <c r="X7" s="9">
        <v>11748</v>
      </c>
      <c r="Y7" s="9">
        <v>13910</v>
      </c>
      <c r="Z7" s="9">
        <v>17963</v>
      </c>
      <c r="AA7" s="9">
        <v>20410</v>
      </c>
      <c r="AB7" s="9">
        <v>25374</v>
      </c>
      <c r="AC7" s="9">
        <v>28768</v>
      </c>
      <c r="AD7" s="9">
        <v>35136</v>
      </c>
      <c r="AE7" s="9">
        <v>39885</v>
      </c>
      <c r="AF7" s="9">
        <v>49515</v>
      </c>
      <c r="AG7" s="9">
        <v>57786</v>
      </c>
      <c r="AH7" s="9">
        <v>65719</v>
      </c>
      <c r="AI7" s="9">
        <v>73235</v>
      </c>
      <c r="AJ7" s="9">
        <v>80110</v>
      </c>
      <c r="AK7" s="9">
        <v>87956</v>
      </c>
      <c r="AL7" s="9">
        <v>95923</v>
      </c>
      <c r="AM7" s="9">
        <v>104118</v>
      </c>
      <c r="AN7" s="9">
        <v>112065</v>
      </c>
      <c r="AO7" s="9">
        <v>119199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Germany</v>
      </c>
      <c r="D8" s="6">
        <f>MAX(I8:JF8)</f>
        <v>91159</v>
      </c>
      <c r="E8" s="6">
        <f>IF(COUNTIF(I8:XFD8,"&gt;"&amp;0)=0,,HLOOKUP(COUNTIF(I8:XFD8,"&gt;"&amp;0)-1,I$1:XFD8,A8+1,FALSE))</f>
        <v>91159</v>
      </c>
      <c r="F8" s="7">
        <f>IF(COUNTIF(I8:XFD8,"&gt;"&amp;0)=0,,HLOOKUP(COUNTIF(I8:XFD8,"&gt;"&amp;0)-MIN($F$1+1,COUNTIF(I8:XFD8,"&gt;"&amp;0)),I$1:XFD8,A8+1,FALSE))</f>
        <v>62095</v>
      </c>
      <c r="G8" s="8">
        <f>IF(COUNTIF(I8:XFD8,"&gt;"&amp;0)=0,,(E8/F8)^(1/MIN(COUNTIF(I8:XFD8,"&gt;"&amp;0)-1,$F$1)))</f>
        <v>1.0798130808160611</v>
      </c>
      <c r="H8" s="13" t="s">
        <v>53</v>
      </c>
      <c r="I8" s="9">
        <v>130</v>
      </c>
      <c r="J8" s="9">
        <v>159</v>
      </c>
      <c r="K8" s="9">
        <v>196</v>
      </c>
      <c r="L8" s="9">
        <v>262</v>
      </c>
      <c r="M8" s="9">
        <v>482</v>
      </c>
      <c r="N8" s="9">
        <v>670</v>
      </c>
      <c r="O8" s="9">
        <v>799</v>
      </c>
      <c r="P8" s="9">
        <v>1040</v>
      </c>
      <c r="Q8" s="9">
        <v>1176</v>
      </c>
      <c r="R8" s="9">
        <v>1457</v>
      </c>
      <c r="S8" s="9">
        <v>1908</v>
      </c>
      <c r="T8" s="9">
        <v>2745</v>
      </c>
      <c r="U8" s="9">
        <v>3675</v>
      </c>
      <c r="V8" s="9">
        <v>4585</v>
      </c>
      <c r="W8" s="9">
        <v>5795</v>
      </c>
      <c r="X8" s="9">
        <v>7272</v>
      </c>
      <c r="Y8" s="9">
        <v>9257</v>
      </c>
      <c r="Z8" s="9">
        <v>12327</v>
      </c>
      <c r="AA8" s="9">
        <v>15320</v>
      </c>
      <c r="AB8" s="9">
        <v>19848</v>
      </c>
      <c r="AC8" s="9">
        <v>22213</v>
      </c>
      <c r="AD8" s="9">
        <v>24873</v>
      </c>
      <c r="AE8" s="9">
        <v>29056</v>
      </c>
      <c r="AF8" s="9">
        <v>32986</v>
      </c>
      <c r="AG8" s="9">
        <v>37323</v>
      </c>
      <c r="AH8" s="9">
        <v>43938</v>
      </c>
      <c r="AI8" s="9">
        <v>50871</v>
      </c>
      <c r="AJ8" s="9">
        <v>57695</v>
      </c>
      <c r="AK8" s="9">
        <v>62095</v>
      </c>
      <c r="AL8" s="9">
        <v>66885</v>
      </c>
      <c r="AM8" s="9">
        <v>71808</v>
      </c>
      <c r="AN8" s="9">
        <v>77872</v>
      </c>
      <c r="AO8" s="9">
        <v>84794</v>
      </c>
      <c r="AP8" s="9">
        <v>91159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China</v>
      </c>
      <c r="D9" s="6">
        <f>MAX(I9:JF9)</f>
        <v>82511</v>
      </c>
      <c r="E9" s="6">
        <f>IF(COUNTIF(I9:XFD9,"&gt;"&amp;0)=0,,HLOOKUP(COUNTIF(I9:XFD9,"&gt;"&amp;0)-1,I$1:XFD9,A9+1,FALSE))</f>
        <v>82511</v>
      </c>
      <c r="F9" s="7">
        <f>IF(COUNTIF(I9:XFD9,"&gt;"&amp;0)=0,,HLOOKUP(COUNTIF(I9:XFD9,"&gt;"&amp;0)-MIN($F$1+1,COUNTIF(I9:XFD9,"&gt;"&amp;0)),I$1:XFD9,A9+1,FALSE))</f>
        <v>82122</v>
      </c>
      <c r="G9" s="8">
        <f>IF(COUNTIF(I9:XFD9,"&gt;"&amp;0)=0,,(E9/F9)^(1/MIN(COUNTIF(I9:XFD9,"&gt;"&amp;0)-1,$F$1)))</f>
        <v>1.0009455810458718</v>
      </c>
      <c r="H9" s="13" t="s">
        <v>337</v>
      </c>
      <c r="I9" s="9">
        <v>548</v>
      </c>
      <c r="J9" s="9">
        <v>643</v>
      </c>
      <c r="K9" s="9">
        <v>920</v>
      </c>
      <c r="L9" s="9">
        <v>1406</v>
      </c>
      <c r="M9" s="9">
        <v>2075</v>
      </c>
      <c r="N9" s="9">
        <v>2877</v>
      </c>
      <c r="O9" s="9">
        <v>5509</v>
      </c>
      <c r="P9" s="9">
        <v>6087</v>
      </c>
      <c r="Q9" s="9">
        <v>8141</v>
      </c>
      <c r="R9" s="9">
        <v>9802</v>
      </c>
      <c r="S9" s="9">
        <v>11891</v>
      </c>
      <c r="T9" s="9">
        <v>16630</v>
      </c>
      <c r="U9" s="9">
        <v>19716</v>
      </c>
      <c r="V9" s="9">
        <v>23707</v>
      </c>
      <c r="W9" s="9">
        <v>27440</v>
      </c>
      <c r="X9" s="9">
        <v>30587</v>
      </c>
      <c r="Y9" s="9">
        <v>34110</v>
      </c>
      <c r="Z9" s="9">
        <v>36814</v>
      </c>
      <c r="AA9" s="9">
        <v>39829</v>
      </c>
      <c r="AB9" s="9">
        <v>42354</v>
      </c>
      <c r="AC9" s="9">
        <v>44386</v>
      </c>
      <c r="AD9" s="9">
        <v>50000</v>
      </c>
      <c r="AE9" s="9">
        <v>59895</v>
      </c>
      <c r="AF9" s="9">
        <v>66358</v>
      </c>
      <c r="AG9" s="9">
        <v>68413</v>
      </c>
      <c r="AH9" s="9">
        <v>70513</v>
      </c>
      <c r="AI9" s="9">
        <v>72434</v>
      </c>
      <c r="AJ9" s="9">
        <v>74211</v>
      </c>
      <c r="AK9" s="9">
        <v>74619</v>
      </c>
      <c r="AL9" s="9">
        <v>75077</v>
      </c>
      <c r="AM9" s="9">
        <v>75550</v>
      </c>
      <c r="AN9" s="9">
        <v>77001</v>
      </c>
      <c r="AO9" s="9">
        <v>77022</v>
      </c>
      <c r="AP9" s="9">
        <v>77241</v>
      </c>
      <c r="AQ9" s="9">
        <v>77754</v>
      </c>
      <c r="AR9" s="9">
        <v>78166</v>
      </c>
      <c r="AS9" s="9">
        <v>78600</v>
      </c>
      <c r="AT9" s="9">
        <v>78928</v>
      </c>
      <c r="AU9" s="9">
        <v>79356</v>
      </c>
      <c r="AV9" s="9">
        <v>79932</v>
      </c>
      <c r="AW9" s="9">
        <v>80136</v>
      </c>
      <c r="AX9" s="9">
        <v>80261</v>
      </c>
      <c r="AY9" s="9">
        <v>80386</v>
      </c>
      <c r="AZ9" s="9">
        <v>80537</v>
      </c>
      <c r="BA9" s="9">
        <v>80690</v>
      </c>
      <c r="BB9" s="9">
        <v>80770</v>
      </c>
      <c r="BC9" s="9">
        <v>80823</v>
      </c>
      <c r="BD9" s="9">
        <v>80860</v>
      </c>
      <c r="BE9" s="9">
        <v>80887</v>
      </c>
      <c r="BF9" s="9">
        <v>80921</v>
      </c>
      <c r="BG9" s="9">
        <v>80932</v>
      </c>
      <c r="BH9" s="9">
        <v>80945</v>
      </c>
      <c r="BI9" s="9">
        <v>80977</v>
      </c>
      <c r="BJ9" s="9">
        <v>81003</v>
      </c>
      <c r="BK9" s="9">
        <v>81033</v>
      </c>
      <c r="BL9" s="9">
        <v>81058</v>
      </c>
      <c r="BM9" s="9">
        <v>81102</v>
      </c>
      <c r="BN9" s="9">
        <v>81156</v>
      </c>
      <c r="BO9" s="9">
        <v>81250</v>
      </c>
      <c r="BP9" s="9">
        <v>81305</v>
      </c>
      <c r="BQ9" s="9">
        <v>81435</v>
      </c>
      <c r="BR9" s="9">
        <v>81498</v>
      </c>
      <c r="BS9" s="9">
        <v>81591</v>
      </c>
      <c r="BT9" s="9">
        <v>81661</v>
      </c>
      <c r="BU9" s="9">
        <v>81782</v>
      </c>
      <c r="BV9" s="9">
        <v>81897</v>
      </c>
      <c r="BW9" s="9">
        <v>81999</v>
      </c>
      <c r="BX9" s="9">
        <v>82122</v>
      </c>
      <c r="BY9" s="9">
        <v>82198</v>
      </c>
      <c r="BZ9" s="9">
        <v>82279</v>
      </c>
      <c r="CA9" s="9">
        <v>82361</v>
      </c>
      <c r="CB9" s="9">
        <v>82432</v>
      </c>
      <c r="CC9" s="9">
        <v>82511</v>
      </c>
      <c r="CD9" s="9">
        <v>0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MAX(I10:JF10)</f>
        <v>65202</v>
      </c>
      <c r="E10" s="6">
        <f>IF(COUNTIF(I10:XFD10,"&gt;"&amp;0)=0,,HLOOKUP(COUNTIF(I10:XFD10,"&gt;"&amp;0)-1,I$1:XFD10,A10+1,FALSE))</f>
        <v>65202</v>
      </c>
      <c r="F10" s="7">
        <f>IF(COUNTIF(I10:XFD10,"&gt;"&amp;0)=0,,HLOOKUP(COUNTIF(I10:XFD10,"&gt;"&amp;0)-MIN($F$1+1,COUNTIF(I10:XFD10,"&gt;"&amp;0)),I$1:XFD10,A10+1,FALSE))</f>
        <v>40708</v>
      </c>
      <c r="G10" s="8">
        <f>IF(COUNTIF(I10:XFD10,"&gt;"&amp;0)=0,,(E10/F10)^(1/MIN(COUNTIF(I10:XFD10,"&gt;"&amp;0)-1,$F$1)))</f>
        <v>1.0987938761374754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  <c r="AK10" s="9">
        <v>38105</v>
      </c>
      <c r="AL10" s="9">
        <v>40708</v>
      </c>
      <c r="AM10" s="9">
        <v>45170</v>
      </c>
      <c r="AN10" s="9">
        <v>52827</v>
      </c>
      <c r="AO10" s="9">
        <v>57749</v>
      </c>
      <c r="AP10" s="9">
        <v>59929</v>
      </c>
      <c r="AQ10" s="9">
        <v>65202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MAX(I11:JF11)</f>
        <v>38689</v>
      </c>
      <c r="E11" s="6">
        <f>IF(COUNTIF(I11:XFD11,"&gt;"&amp;0)=0,,HLOOKUP(COUNTIF(I11:XFD11,"&gt;"&amp;0)-1,I$1:XFD11,A11+1,FALSE))</f>
        <v>38689</v>
      </c>
      <c r="F11" s="7">
        <f>IF(COUNTIF(I11:XFD11,"&gt;"&amp;0)=0,,HLOOKUP(COUNTIF(I11:XFD11,"&gt;"&amp;0)-MIN($F$1+1,COUNTIF(I11:XFD11,"&gt;"&amp;0)),I$1:XFD11,A11+1,FALSE))</f>
        <v>19780</v>
      </c>
      <c r="G11" s="8">
        <f>IF(COUNTIF(I11:XFD11,"&gt;"&amp;0)=0,,(E11/F11)^(1/MIN(COUNTIF(I11:XFD11,"&gt;"&amp;0)-1,$F$1)))</f>
        <v>1.1435949883856609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3269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  <c r="AF11" s="9">
        <v>17312</v>
      </c>
      <c r="AG11" s="9">
        <v>19780</v>
      </c>
      <c r="AH11" s="9">
        <v>22453</v>
      </c>
      <c r="AI11" s="9">
        <v>25481</v>
      </c>
      <c r="AJ11" s="9">
        <v>29865</v>
      </c>
      <c r="AK11" s="9">
        <v>34173</v>
      </c>
      <c r="AL11" s="9">
        <v>38689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MAX(I12:JF12)</f>
        <v>1092307</v>
      </c>
      <c r="E12" s="6">
        <f>IF(COUNTIF(I12:XFD12,"&gt;"&amp;0)=0,,HLOOKUP(COUNTIF(I12:XFD12,"&gt;"&amp;0)-1,I$1:XFD12,A12+1,FALSE))</f>
        <v>1092307</v>
      </c>
      <c r="F12" s="7">
        <f>IF(COUNTIF(I12:XFD12,"&gt;"&amp;0)=0,,HLOOKUP(COUNTIF(I12:XFD12,"&gt;"&amp;0)-MIN($F$1+1,COUNTIF(I12:XFD12,"&gt;"&amp;0)),I$1:XFD12,A12+1,FALSE))</f>
        <v>717548</v>
      </c>
      <c r="G12" s="8">
        <f>IF(COUNTIF(I12:XFD12,"&gt;"&amp;0)=0,,(E12/F12)^(1/MIN(COUNTIF(I12:XFD12,"&gt;"&amp;0)-1,$F$1)))</f>
        <v>1.0876740113256484</v>
      </c>
      <c r="H12" s="13" t="s">
        <v>604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242053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  <c r="BW12" s="9">
        <v>658374</v>
      </c>
      <c r="BX12" s="9">
        <v>717548</v>
      </c>
      <c r="BY12" s="9">
        <v>779657</v>
      </c>
      <c r="BZ12" s="9">
        <v>854558</v>
      </c>
      <c r="CA12" s="9">
        <v>929458</v>
      </c>
      <c r="CB12" s="9">
        <v>1009785</v>
      </c>
      <c r="CC12" s="9">
        <v>1092307</v>
      </c>
      <c r="CD12" s="9">
        <v>0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MAX(I13:JF13)</f>
        <v>579028</v>
      </c>
      <c r="E13" s="6">
        <f>IF(COUNTIF(I13:XFD13,"&gt;"&amp;0)=0,,HLOOKUP(COUNTIF(I13:XFD13,"&gt;"&amp;0)-1,I$1:XFD13,A13+1,FALSE))</f>
        <v>579028</v>
      </c>
      <c r="F13" s="7">
        <f>IF(COUNTIF(I13:XFD13,"&gt;"&amp;0)=0,,HLOOKUP(COUNTIF(I13:XFD13,"&gt;"&amp;0)-MIN($F$1+1,COUNTIF(I13:XFD13,"&gt;"&amp;0)),I$1:XFD13,A13+1,FALSE))</f>
        <v>393877</v>
      </c>
      <c r="G13" s="8">
        <f>IF(COUNTIF(I13:XFD13,"&gt;"&amp;0)=0,,(E13/F13)^(1/MIN(COUNTIF(I13:XFD13,"&gt;"&amp;0)-1,$F$1)))</f>
        <v>1.0801095072148283</v>
      </c>
      <c r="H13" s="13" t="s">
        <v>607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109607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  <c r="AR13" s="9">
        <v>362825</v>
      </c>
      <c r="AS13" s="9">
        <v>393877</v>
      </c>
      <c r="AT13" s="9">
        <v>426252</v>
      </c>
      <c r="AU13" s="9">
        <v>463747</v>
      </c>
      <c r="AV13" s="9">
        <v>502136</v>
      </c>
      <c r="AW13" s="9">
        <v>539587</v>
      </c>
      <c r="AX13" s="9">
        <v>579028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North America</v>
      </c>
      <c r="D14" s="6">
        <f>MAX(I14:JF14)</f>
        <v>291755</v>
      </c>
      <c r="E14" s="6">
        <f>IF(COUNTIF(I14:XFD14,"&gt;"&amp;0)=0,,HLOOKUP(COUNTIF(I14:XFD14,"&gt;"&amp;0)-1,I$1:XFD14,A14+1,FALSE))</f>
        <v>291755</v>
      </c>
      <c r="F14" s="7">
        <f>IF(COUNTIF(I14:XFD14,"&gt;"&amp;0)=0,,HLOOKUP(COUNTIF(I14:XFD14,"&gt;"&amp;0)-MIN($F$1+1,COUNTIF(I14:XFD14,"&gt;"&amp;0)),I$1:XFD14,A14+1,FALSE))</f>
        <v>149407</v>
      </c>
      <c r="G14" s="8">
        <f>IF(COUNTIF(I14:XFD14,"&gt;"&amp;0)=0,,(E14/F14)^(1/MIN(COUNTIF(I14:XFD14,"&gt;"&amp;0)-1,$F$1)))</f>
        <v>1.1432191019178115</v>
      </c>
      <c r="H14" s="13" t="s">
        <v>609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  <c r="AJ14" s="9">
        <v>129008</v>
      </c>
      <c r="AK14" s="9">
        <v>149407</v>
      </c>
      <c r="AL14" s="9">
        <v>171730</v>
      </c>
      <c r="AM14" s="9">
        <v>199550</v>
      </c>
      <c r="AN14" s="9">
        <v>225966</v>
      </c>
      <c r="AO14" s="9">
        <v>258117</v>
      </c>
      <c r="AP14" s="9">
        <v>291755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MAX(I15:JF15)</f>
        <v>117911</v>
      </c>
      <c r="E15" s="6">
        <f>IF(COUNTIF(I15:XFD15,"&gt;"&amp;0)=0,,HLOOKUP(COUNTIF(I15:XFD15,"&gt;"&amp;0)-1,I$1:XFD15,A15+1,FALSE))</f>
        <v>117911</v>
      </c>
      <c r="F15" s="7">
        <f>IF(COUNTIF(I15:XFD15,"&gt;"&amp;0)=0,,HLOOKUP(COUNTIF(I15:XFD15,"&gt;"&amp;0)-MIN($F$1+1,COUNTIF(I15:XFD15,"&gt;"&amp;0)),I$1:XFD15,A15+1,FALSE))</f>
        <v>106439</v>
      </c>
      <c r="G15" s="8">
        <f>IF(COUNTIF(I15:XFD15,"&gt;"&amp;0)=0,,(E15/F15)^(1/MIN(COUNTIF(I15:XFD15,"&gt;"&amp;0)-1,$F$1)))</f>
        <v>1.0206825909585853</v>
      </c>
      <c r="H15" s="13" t="s">
        <v>606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  <c r="BW15" s="9">
        <v>104697</v>
      </c>
      <c r="BX15" s="9">
        <v>106439</v>
      </c>
      <c r="BY15" s="9">
        <v>107938</v>
      </c>
      <c r="BZ15" s="9">
        <v>110182</v>
      </c>
      <c r="CA15" s="9">
        <v>112645</v>
      </c>
      <c r="CB15" s="9">
        <v>115669</v>
      </c>
      <c r="CC15" s="9">
        <v>117911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MAX(I16:JF16)</f>
        <v>68249</v>
      </c>
      <c r="E16" s="6">
        <f>IF(COUNTIF(I16:XFD16,"&gt;"&amp;0)=0,,HLOOKUP(COUNTIF(I16:XFD16,"&gt;"&amp;0)-1,I$1:XFD16,A16+1,FALSE))</f>
        <v>68249</v>
      </c>
      <c r="F16" s="7">
        <f>IF(COUNTIF(I16:XFD16,"&gt;"&amp;0)=0,,HLOOKUP(COUNTIF(I16:XFD16,"&gt;"&amp;0)-MIN($F$1+1,COUNTIF(I16:XFD16,"&gt;"&amp;0)),I$1:XFD16,A16+1,FALSE))</f>
        <v>47344</v>
      </c>
      <c r="G16" s="8">
        <f>IF(COUNTIF(I16:XFD16,"&gt;"&amp;0)=0,,(E16/F16)^(1/MIN(COUNTIF(I16:XFD16,"&gt;"&amp;0)-1,$F$1)))</f>
        <v>1.0758860312929226</v>
      </c>
      <c r="H16" s="13" t="s">
        <v>608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  <c r="AO16" s="9">
        <v>43425</v>
      </c>
      <c r="AP16" s="9">
        <v>47344</v>
      </c>
      <c r="AQ16" s="9">
        <v>51421</v>
      </c>
      <c r="AR16" s="9">
        <v>55631</v>
      </c>
      <c r="AS16" s="9">
        <v>59872</v>
      </c>
      <c r="AT16" s="9">
        <v>64237</v>
      </c>
      <c r="AU16" s="9">
        <v>68249</v>
      </c>
    </row>
    <row r="17" spans="1:52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MAX(I17:JF17)</f>
        <v>53183</v>
      </c>
      <c r="E17" s="6">
        <f>IF(COUNTIF(I17:XFD17,"&gt;"&amp;0)=0,,HLOOKUP(COUNTIF(I17:XFD17,"&gt;"&amp;0)-1,I$1:XFD17,A17+1,FALSE))</f>
        <v>53183</v>
      </c>
      <c r="F17" s="7">
        <f>IF(COUNTIF(I17:XFD17,"&gt;"&amp;0)=0,,HLOOKUP(COUNTIF(I17:XFD17,"&gt;"&amp;0)-MIN($F$1+1,COUNTIF(I17:XFD17,"&gt;"&amp;0)),I$1:XFD17,A17+1,FALSE))</f>
        <v>38309</v>
      </c>
      <c r="G17" s="8">
        <f>IF(COUNTIF(I17:XFD17,"&gt;"&amp;0)=0,,(E17/F17)^(1/MIN(COUNTIF(I17:XFD17,"&gt;"&amp;0)-1,$F$1)))</f>
        <v>1.0678110315975327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  <c r="AN17" s="9">
        <v>35408</v>
      </c>
      <c r="AO17" s="9">
        <v>38309</v>
      </c>
      <c r="AP17" s="9">
        <v>41495</v>
      </c>
      <c r="AQ17" s="9">
        <v>44605</v>
      </c>
      <c r="AR17" s="9">
        <v>47593</v>
      </c>
      <c r="AS17" s="9">
        <v>50468</v>
      </c>
      <c r="AT17" s="9">
        <v>53183</v>
      </c>
    </row>
    <row r="18" spans="1:52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South America</v>
      </c>
      <c r="D18" s="6">
        <f>MAX(I18:JF18)</f>
        <v>22359</v>
      </c>
      <c r="E18" s="6">
        <f>IF(COUNTIF(I18:XFD18,"&gt;"&amp;0)=0,,HLOOKUP(COUNTIF(I18:XFD18,"&gt;"&amp;0)-1,I$1:XFD18,A18+1,FALSE))</f>
        <v>22359</v>
      </c>
      <c r="F18" s="7">
        <f>IF(COUNTIF(I18:XFD18,"&gt;"&amp;0)=0,,HLOOKUP(COUNTIF(I18:XFD18,"&gt;"&amp;0)-MIN($F$1+1,COUNTIF(I18:XFD18,"&gt;"&amp;0)),I$1:XFD18,A18+1,FALSE))</f>
        <v>11838</v>
      </c>
      <c r="G18" s="8">
        <f>IF(COUNTIF(I18:XFD18,"&gt;"&amp;0)=0,,(E18/F18)^(1/MIN(COUNTIF(I18:XFD18,"&gt;"&amp;0)-1,$F$1)))</f>
        <v>1.1356246428363728</v>
      </c>
      <c r="H18" s="13" t="s">
        <v>610</v>
      </c>
      <c r="I18" s="9">
        <v>134</v>
      </c>
      <c r="J18" s="9">
        <v>153</v>
      </c>
      <c r="K18" s="9">
        <v>305</v>
      </c>
      <c r="L18" s="9">
        <v>371</v>
      </c>
      <c r="M18" s="9">
        <v>427</v>
      </c>
      <c r="N18" s="9">
        <v>635</v>
      </c>
      <c r="O18" s="9">
        <v>919</v>
      </c>
      <c r="P18" s="9">
        <v>1133</v>
      </c>
      <c r="Q18" s="9">
        <v>1604</v>
      </c>
      <c r="R18" s="9">
        <v>2266</v>
      </c>
      <c r="S18" s="9">
        <v>2969</v>
      </c>
      <c r="T18" s="9">
        <v>4204</v>
      </c>
      <c r="U18" s="9">
        <v>5055</v>
      </c>
      <c r="V18" s="9">
        <v>5926</v>
      </c>
      <c r="W18" s="9">
        <v>6804</v>
      </c>
      <c r="X18" s="9">
        <v>7992</v>
      </c>
      <c r="Y18" s="9">
        <v>9251</v>
      </c>
      <c r="Z18" s="9">
        <v>10656</v>
      </c>
      <c r="AA18" s="9">
        <v>11838</v>
      </c>
      <c r="AB18" s="9">
        <v>12874</v>
      </c>
      <c r="AC18" s="9">
        <v>15263</v>
      </c>
      <c r="AD18" s="9">
        <v>17825</v>
      </c>
      <c r="AE18" s="9">
        <v>20247</v>
      </c>
      <c r="AF18" s="9">
        <v>22359</v>
      </c>
    </row>
    <row r="19" spans="1:52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Turkey</v>
      </c>
      <c r="D19" s="6">
        <f>MAX(I19:JF19)</f>
        <v>20921</v>
      </c>
      <c r="E19" s="6">
        <f>IF(COUNTIF(I19:XFD19,"&gt;"&amp;0)=0,,HLOOKUP(COUNTIF(I19:XFD19,"&gt;"&amp;0)-1,I$1:XFD19,A19+1,FALSE))</f>
        <v>20921</v>
      </c>
      <c r="F19" s="7">
        <f>IF(COUNTIF(I19:XFD19,"&gt;"&amp;0)=0,,HLOOKUP(COUNTIF(I19:XFD19,"&gt;"&amp;0)-MIN($F$1+1,COUNTIF(I19:XFD19,"&gt;"&amp;0)),I$1:XFD19,A19+1,FALSE))</f>
        <v>9217</v>
      </c>
      <c r="G19" s="8">
        <f>IF(COUNTIF(I19:XFD19,"&gt;"&amp;0)=0,,(E19/F19)^(1/MIN(COUNTIF(I19:XFD19,"&gt;"&amp;0)-1,$F$1)))</f>
        <v>1.1781445278002032</v>
      </c>
      <c r="H19" s="13" t="s">
        <v>355</v>
      </c>
      <c r="I19" s="9">
        <v>192</v>
      </c>
      <c r="J19" s="9">
        <v>359</v>
      </c>
      <c r="K19" s="9">
        <v>670</v>
      </c>
      <c r="L19" s="9">
        <v>1236</v>
      </c>
      <c r="M19" s="9">
        <v>1529</v>
      </c>
      <c r="N19" s="9">
        <v>1872</v>
      </c>
      <c r="O19" s="9">
        <v>2433</v>
      </c>
      <c r="P19" s="9">
        <v>3629</v>
      </c>
      <c r="Q19" s="9">
        <v>5698</v>
      </c>
      <c r="R19" s="9">
        <v>7402</v>
      </c>
      <c r="S19" s="9">
        <v>9217</v>
      </c>
      <c r="T19" s="9">
        <v>10827</v>
      </c>
      <c r="U19" s="9">
        <v>13531</v>
      </c>
      <c r="V19" s="9">
        <v>15679</v>
      </c>
      <c r="W19" s="9">
        <v>18135</v>
      </c>
      <c r="X19" s="9">
        <v>20921</v>
      </c>
    </row>
    <row r="20" spans="1:52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Switzerland</v>
      </c>
      <c r="D20" s="6">
        <f>MAX(I20:JF20)</f>
        <v>19606</v>
      </c>
      <c r="E20" s="6">
        <f>IF(COUNTIF(I20:XFD20,"&gt;"&amp;0)=0,,HLOOKUP(COUNTIF(I20:XFD20,"&gt;"&amp;0)-1,I$1:XFD20,A20+1,FALSE))</f>
        <v>19606</v>
      </c>
      <c r="F20" s="7">
        <f>IF(COUNTIF(I20:XFD20,"&gt;"&amp;0)=0,,HLOOKUP(COUNTIF(I20:XFD20,"&gt;"&amp;0)-MIN($F$1+1,COUNTIF(I20:XFD20,"&gt;"&amp;0)),I$1:XFD20,A20+1,FALSE))</f>
        <v>14829</v>
      </c>
      <c r="G20" s="8">
        <f>IF(COUNTIF(I20:XFD20,"&gt;"&amp;0)=0,,(E20/F20)^(1/MIN(COUNTIF(I20:XFD20,"&gt;"&amp;0)-1,$F$1)))</f>
        <v>1.0574392503063044</v>
      </c>
      <c r="H20" s="13" t="s">
        <v>77</v>
      </c>
      <c r="I20" s="9">
        <v>114</v>
      </c>
      <c r="J20" s="9">
        <v>214</v>
      </c>
      <c r="K20" s="9">
        <v>268</v>
      </c>
      <c r="L20" s="9">
        <v>337</v>
      </c>
      <c r="M20" s="9">
        <v>374</v>
      </c>
      <c r="N20" s="9">
        <v>491</v>
      </c>
      <c r="O20" s="9">
        <v>652</v>
      </c>
      <c r="P20" s="9">
        <v>652</v>
      </c>
      <c r="Q20" s="9">
        <v>1139</v>
      </c>
      <c r="R20" s="9">
        <v>1359</v>
      </c>
      <c r="S20" s="9">
        <v>2200</v>
      </c>
      <c r="T20" s="9">
        <v>2200</v>
      </c>
      <c r="U20" s="9">
        <v>2700</v>
      </c>
      <c r="V20" s="9">
        <v>3028</v>
      </c>
      <c r="W20" s="9">
        <v>4075</v>
      </c>
      <c r="X20" s="9">
        <v>5294</v>
      </c>
      <c r="Y20" s="9">
        <v>6575</v>
      </c>
      <c r="Z20" s="9">
        <v>7474</v>
      </c>
      <c r="AA20" s="9">
        <v>8795</v>
      </c>
      <c r="AB20" s="9">
        <v>9877</v>
      </c>
      <c r="AC20" s="9">
        <v>10897</v>
      </c>
      <c r="AD20" s="9">
        <v>11811</v>
      </c>
      <c r="AE20" s="9">
        <v>12928</v>
      </c>
      <c r="AF20" s="9">
        <v>14076</v>
      </c>
      <c r="AG20" s="9">
        <v>14829</v>
      </c>
      <c r="AH20" s="9">
        <v>15922</v>
      </c>
      <c r="AI20" s="9">
        <v>16605</v>
      </c>
      <c r="AJ20" s="9">
        <v>17768</v>
      </c>
      <c r="AK20" s="9">
        <v>18827</v>
      </c>
      <c r="AL20" s="9">
        <v>19606</v>
      </c>
    </row>
    <row r="21" spans="1:52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Belgium</v>
      </c>
      <c r="D21" s="6">
        <f>MAX(I21:JF21)</f>
        <v>16770</v>
      </c>
      <c r="E21" s="6">
        <f>IF(COUNTIF(I21:XFD21,"&gt;"&amp;0)=0,,HLOOKUP(COUNTIF(I21:XFD21,"&gt;"&amp;0)-1,I$1:XFD21,A21+1,FALSE))</f>
        <v>16770</v>
      </c>
      <c r="F21" s="7">
        <f>IF(COUNTIF(I21:XFD21,"&gt;"&amp;0)=0,,HLOOKUP(COUNTIF(I21:XFD21,"&gt;"&amp;0)-MIN($F$1+1,COUNTIF(I21:XFD21,"&gt;"&amp;0)),I$1:XFD21,A21+1,FALSE))</f>
        <v>10836</v>
      </c>
      <c r="G21" s="8">
        <f>IF(COUNTIF(I21:XFD21,"&gt;"&amp;0)=0,,(E21/F21)^(1/MIN(COUNTIF(I21:XFD21,"&gt;"&amp;0)-1,$F$1)))</f>
        <v>1.0912715001838367</v>
      </c>
      <c r="H21" s="13" t="s">
        <v>63</v>
      </c>
      <c r="I21" s="9">
        <v>109</v>
      </c>
      <c r="J21" s="9">
        <v>169</v>
      </c>
      <c r="K21" s="9">
        <v>200</v>
      </c>
      <c r="L21" s="9">
        <v>239</v>
      </c>
      <c r="M21" s="9">
        <v>267</v>
      </c>
      <c r="N21" s="9">
        <v>314</v>
      </c>
      <c r="O21" s="9">
        <v>314</v>
      </c>
      <c r="P21" s="9">
        <v>559</v>
      </c>
      <c r="Q21" s="9">
        <v>689</v>
      </c>
      <c r="R21" s="9">
        <v>886</v>
      </c>
      <c r="S21" s="9">
        <v>1058</v>
      </c>
      <c r="T21" s="9">
        <v>1243</v>
      </c>
      <c r="U21" s="9">
        <v>1486</v>
      </c>
      <c r="V21" s="9">
        <v>1795</v>
      </c>
      <c r="W21" s="9">
        <v>2257</v>
      </c>
      <c r="X21" s="9">
        <v>2815</v>
      </c>
      <c r="Y21" s="9">
        <v>3401</v>
      </c>
      <c r="Z21" s="9">
        <v>3743</v>
      </c>
      <c r="AA21" s="9">
        <v>4269</v>
      </c>
      <c r="AB21" s="9">
        <v>4937</v>
      </c>
      <c r="AC21" s="9">
        <v>6235</v>
      </c>
      <c r="AD21" s="9">
        <v>7284</v>
      </c>
      <c r="AE21" s="9">
        <v>9134</v>
      </c>
      <c r="AF21" s="9">
        <v>10836</v>
      </c>
      <c r="AG21" s="9">
        <v>11899</v>
      </c>
      <c r="AH21" s="9">
        <v>12775</v>
      </c>
      <c r="AI21" s="9">
        <v>13964</v>
      </c>
      <c r="AJ21" s="9">
        <v>15348</v>
      </c>
      <c r="AK21" s="9">
        <v>16770</v>
      </c>
    </row>
    <row r="22" spans="1:52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Netherlands</v>
      </c>
      <c r="D22" s="6">
        <f>MAX(I22:JF22)</f>
        <v>15821</v>
      </c>
      <c r="E22" s="6">
        <f>IF(COUNTIF(I22:XFD22,"&gt;"&amp;0)=0,,HLOOKUP(COUNTIF(I22:XFD22,"&gt;"&amp;0)-1,I$1:XFD22,A22+1,FALSE))</f>
        <v>15821</v>
      </c>
      <c r="F22" s="7">
        <f>IF(COUNTIF(I22:XFD22,"&gt;"&amp;0)=0,,HLOOKUP(COUNTIF(I22:XFD22,"&gt;"&amp;0)-MIN($F$1+1,COUNTIF(I22:XFD22,"&gt;"&amp;0)),I$1:XFD22,A22+1,FALSE))</f>
        <v>10930</v>
      </c>
      <c r="G22" s="8">
        <f>IF(COUNTIF(I22:XFD22,"&gt;"&amp;0)=0,,(E22/F22)^(1/MIN(COUNTIF(I22:XFD22,"&gt;"&amp;0)-1,$F$1)))</f>
        <v>1.0767695204739072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</row>
    <row r="23" spans="1:52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Canada</v>
      </c>
      <c r="D23" s="6">
        <f>MAX(I23:JF23)</f>
        <v>12437</v>
      </c>
      <c r="E23" s="6">
        <f>IF(COUNTIF(I23:XFD23,"&gt;"&amp;0)=0,,HLOOKUP(COUNTIF(I23:XFD23,"&gt;"&amp;0)-1,I$1:XFD23,A23+1,FALSE))</f>
        <v>12437</v>
      </c>
      <c r="F23" s="7">
        <f>IF(COUNTIF(I23:XFD23,"&gt;"&amp;0)=0,,HLOOKUP(COUNTIF(I23:XFD23,"&gt;"&amp;0)-MIN($F$1+1,COUNTIF(I23:XFD23,"&gt;"&amp;0)),I$1:XFD23,A23+1,FALSE))</f>
        <v>6280</v>
      </c>
      <c r="G23" s="8">
        <f>IF(COUNTIF(I23:XFD23,"&gt;"&amp;0)=0,,(E23/F23)^(1/MIN(COUNTIF(I23:XFD23,"&gt;"&amp;0)-1,$F$1)))</f>
        <v>1.1464396506567069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</row>
    <row r="24" spans="1:52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Austria</v>
      </c>
      <c r="D24" s="6">
        <f>MAX(I24:JF24)</f>
        <v>11524</v>
      </c>
      <c r="E24" s="6">
        <f>IF(COUNTIF(I24:XFD24,"&gt;"&amp;0)=0,,HLOOKUP(COUNTIF(I24:XFD24,"&gt;"&amp;0)-1,I$1:XFD24,A24+1,FALSE))</f>
        <v>11524</v>
      </c>
      <c r="F24" s="7">
        <f>IF(COUNTIF(I24:XFD24,"&gt;"&amp;0)=0,,HLOOKUP(COUNTIF(I24:XFD24,"&gt;"&amp;0)-MIN($F$1+1,COUNTIF(I24:XFD24,"&gt;"&amp;0)),I$1:XFD24,A24+1,FALSE))</f>
        <v>8788</v>
      </c>
      <c r="G24" s="8">
        <f>IF(COUNTIF(I24:XFD24,"&gt;"&amp;0)=0,,(E24/F24)^(1/MIN(COUNTIF(I24:XFD24,"&gt;"&amp;0)-1,$F$1)))</f>
        <v>1.0557051502729589</v>
      </c>
      <c r="H24" s="13" t="s">
        <v>78</v>
      </c>
      <c r="I24" s="9">
        <v>104</v>
      </c>
      <c r="J24" s="9">
        <v>131</v>
      </c>
      <c r="K24" s="9">
        <v>182</v>
      </c>
      <c r="L24" s="9">
        <v>246</v>
      </c>
      <c r="M24" s="9">
        <v>302</v>
      </c>
      <c r="N24" s="9">
        <v>504</v>
      </c>
      <c r="O24" s="9">
        <v>655</v>
      </c>
      <c r="P24" s="9">
        <v>860</v>
      </c>
      <c r="Q24" s="9">
        <v>1018</v>
      </c>
      <c r="R24" s="9">
        <v>1332</v>
      </c>
      <c r="S24" s="9">
        <v>1646</v>
      </c>
      <c r="T24" s="9">
        <v>2013</v>
      </c>
      <c r="U24" s="9">
        <v>2388</v>
      </c>
      <c r="V24" s="9">
        <v>2814</v>
      </c>
      <c r="W24" s="9">
        <v>3582</v>
      </c>
      <c r="X24" s="9">
        <v>4474</v>
      </c>
      <c r="Y24" s="9">
        <v>5283</v>
      </c>
      <c r="Z24" s="9">
        <v>5588</v>
      </c>
      <c r="AA24" s="9">
        <v>6909</v>
      </c>
      <c r="AB24" s="9">
        <v>7657</v>
      </c>
      <c r="AC24" s="9">
        <v>8271</v>
      </c>
      <c r="AD24" s="9">
        <v>8788</v>
      </c>
      <c r="AE24" s="9">
        <v>9618</v>
      </c>
      <c r="AF24" s="9">
        <v>10180</v>
      </c>
      <c r="AG24" s="9">
        <v>10711</v>
      </c>
      <c r="AH24" s="9">
        <v>11129</v>
      </c>
      <c r="AI24" s="9">
        <v>11524</v>
      </c>
    </row>
    <row r="25" spans="1:52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Korea, South</v>
      </c>
      <c r="D25" s="6">
        <f>MAX(I25:JF25)</f>
        <v>10062</v>
      </c>
      <c r="E25" s="6">
        <f>IF(COUNTIF(I25:XFD25,"&gt;"&amp;0)=0,,HLOOKUP(COUNTIF(I25:XFD25,"&gt;"&amp;0)-1,I$1:XFD25,A25+1,FALSE))</f>
        <v>10062</v>
      </c>
      <c r="F25" s="7">
        <f>IF(COUNTIF(I25:XFD25,"&gt;"&amp;0)=0,,HLOOKUP(COUNTIF(I25:XFD25,"&gt;"&amp;0)-MIN($F$1+1,COUNTIF(I25:XFD25,"&gt;"&amp;0)),I$1:XFD25,A25+1,FALSE))</f>
        <v>9583</v>
      </c>
      <c r="G25" s="8">
        <f>IF(COUNTIF(I25:XFD25,"&gt;"&amp;0)=0,,(E25/F25)^(1/MIN(COUNTIF(I25:XFD25,"&gt;"&amp;0)-1,$F$1)))</f>
        <v>1.0098027869496764</v>
      </c>
      <c r="H25" s="13" t="s">
        <v>339</v>
      </c>
      <c r="I25" s="9">
        <v>104</v>
      </c>
      <c r="J25" s="9">
        <v>204</v>
      </c>
      <c r="K25" s="9">
        <v>433</v>
      </c>
      <c r="L25" s="9">
        <v>602</v>
      </c>
      <c r="M25" s="9">
        <v>833</v>
      </c>
      <c r="N25" s="9">
        <v>977</v>
      </c>
      <c r="O25" s="9">
        <v>1261</v>
      </c>
      <c r="P25" s="9">
        <v>1766</v>
      </c>
      <c r="Q25" s="9">
        <v>2337</v>
      </c>
      <c r="R25" s="9">
        <v>3150</v>
      </c>
      <c r="S25" s="9">
        <v>3736</v>
      </c>
      <c r="T25" s="9">
        <v>4335</v>
      </c>
      <c r="U25" s="9">
        <v>5186</v>
      </c>
      <c r="V25" s="9">
        <v>5621</v>
      </c>
      <c r="W25" s="9">
        <v>6088</v>
      </c>
      <c r="X25" s="9">
        <v>6593</v>
      </c>
      <c r="Y25" s="9">
        <v>7041</v>
      </c>
      <c r="Z25" s="9">
        <v>7314</v>
      </c>
      <c r="AA25" s="9">
        <v>7478</v>
      </c>
      <c r="AB25" s="9">
        <v>7513</v>
      </c>
      <c r="AC25" s="9">
        <v>7755</v>
      </c>
      <c r="AD25" s="9">
        <v>7869</v>
      </c>
      <c r="AE25" s="9">
        <v>7979</v>
      </c>
      <c r="AF25" s="9">
        <v>8086</v>
      </c>
      <c r="AG25" s="9">
        <v>8162</v>
      </c>
      <c r="AH25" s="9">
        <v>8236</v>
      </c>
      <c r="AI25" s="9">
        <v>8320</v>
      </c>
      <c r="AJ25" s="9">
        <v>8413</v>
      </c>
      <c r="AK25" s="9">
        <v>8565</v>
      </c>
      <c r="AL25" s="9">
        <v>8652</v>
      </c>
      <c r="AM25" s="9">
        <v>8799</v>
      </c>
      <c r="AN25" s="9">
        <v>8961</v>
      </c>
      <c r="AO25" s="9">
        <v>8961</v>
      </c>
      <c r="AP25" s="9">
        <v>9037</v>
      </c>
      <c r="AQ25" s="9">
        <v>9137</v>
      </c>
      <c r="AR25" s="9">
        <v>9241</v>
      </c>
      <c r="AS25" s="9">
        <v>9332</v>
      </c>
      <c r="AT25" s="9">
        <v>9478</v>
      </c>
      <c r="AU25" s="9">
        <v>9583</v>
      </c>
      <c r="AV25" s="9">
        <v>9661</v>
      </c>
      <c r="AW25" s="9">
        <v>9786</v>
      </c>
      <c r="AX25" s="9">
        <v>9887</v>
      </c>
      <c r="AY25" s="9">
        <v>9976</v>
      </c>
      <c r="AZ25" s="9">
        <v>10062</v>
      </c>
    </row>
    <row r="26" spans="1:52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MAX(I26:JF26)</f>
        <v>9886</v>
      </c>
      <c r="E26" s="6">
        <f>IF(COUNTIF(I26:XFD26,"&gt;"&amp;0)=0,,HLOOKUP(COUNTIF(I26:XFD26,"&gt;"&amp;0)-1,I$1:XFD26,A26+1,FALSE))</f>
        <v>9886</v>
      </c>
      <c r="F26" s="7">
        <f>IF(COUNTIF(I26:XFD26,"&gt;"&amp;0)=0,,HLOOKUP(COUNTIF(I26:XFD26,"&gt;"&amp;0)-MIN($F$1+1,COUNTIF(I26:XFD26,"&gt;"&amp;0)),I$1:XFD26,A26+1,FALSE))</f>
        <v>5962</v>
      </c>
      <c r="G26" s="8">
        <f>IF(COUNTIF(I26:XFD26,"&gt;"&amp;0)=0,,(E26/F26)^(1/MIN(COUNTIF(I26:XFD26,"&gt;"&amp;0)-1,$F$1)))</f>
        <v>1.1064345451767614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  <c r="X26" s="9">
        <v>5170</v>
      </c>
      <c r="Y26" s="9">
        <v>5962</v>
      </c>
      <c r="Z26" s="9">
        <v>6408</v>
      </c>
      <c r="AA26" s="9">
        <v>7443</v>
      </c>
      <c r="AB26" s="9">
        <v>8251</v>
      </c>
      <c r="AC26" s="9">
        <v>9034</v>
      </c>
      <c r="AD26" s="9">
        <v>9886</v>
      </c>
    </row>
    <row r="27" spans="1:52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Brazil</v>
      </c>
      <c r="D27" s="6">
        <f>MAX(I27:JF27)</f>
        <v>9056</v>
      </c>
      <c r="E27" s="6">
        <f>IF(COUNTIF(I27:XFD27,"&gt;"&amp;0)=0,,HLOOKUP(COUNTIF(I27:XFD27,"&gt;"&amp;0)-1,I$1:XFD27,A27+1,FALSE))</f>
        <v>9056</v>
      </c>
      <c r="F27" s="7">
        <f>IF(COUNTIF(I27:XFD27,"&gt;"&amp;0)=0,,HLOOKUP(COUNTIF(I27:XFD27,"&gt;"&amp;0)-MIN($F$1+1,COUNTIF(I27:XFD27,"&gt;"&amp;0)),I$1:XFD27,A27+1,FALSE))</f>
        <v>4256</v>
      </c>
      <c r="G27" s="8">
        <f>IF(COUNTIF(I27:XFD27,"&gt;"&amp;0)=0,,(E27/F27)^(1/MIN(COUNTIF(I27:XFD27,"&gt;"&amp;0)-1,$F$1)))</f>
        <v>1.1630193994062499</v>
      </c>
      <c r="H27" s="13" t="s">
        <v>81</v>
      </c>
      <c r="I27" s="9">
        <v>151</v>
      </c>
      <c r="J27" s="9">
        <v>151</v>
      </c>
      <c r="K27" s="9">
        <v>162</v>
      </c>
      <c r="L27" s="9">
        <v>200</v>
      </c>
      <c r="M27" s="9">
        <v>321</v>
      </c>
      <c r="N27" s="9">
        <v>372</v>
      </c>
      <c r="O27" s="9">
        <v>621</v>
      </c>
      <c r="P27" s="9">
        <v>793</v>
      </c>
      <c r="Q27" s="9">
        <v>1021</v>
      </c>
      <c r="R27" s="9">
        <v>1546</v>
      </c>
      <c r="S27" s="9">
        <v>1924</v>
      </c>
      <c r="T27" s="9">
        <v>2247</v>
      </c>
      <c r="U27" s="9">
        <v>2554</v>
      </c>
      <c r="V27" s="9">
        <v>2985</v>
      </c>
      <c r="W27" s="9">
        <v>3417</v>
      </c>
      <c r="X27" s="9">
        <v>3904</v>
      </c>
      <c r="Y27" s="9">
        <v>4256</v>
      </c>
      <c r="Z27" s="9">
        <v>4579</v>
      </c>
      <c r="AA27" s="9">
        <v>5717</v>
      </c>
      <c r="AB27" s="9">
        <v>6836</v>
      </c>
      <c r="AC27" s="9">
        <v>8044</v>
      </c>
      <c r="AD27" s="9">
        <v>9056</v>
      </c>
    </row>
    <row r="28" spans="1:52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Israel</v>
      </c>
      <c r="D28" s="6">
        <f>MAX(I28:JF28)</f>
        <v>7428</v>
      </c>
      <c r="E28" s="6">
        <f>IF(COUNTIF(I28:XFD28,"&gt;"&amp;0)=0,,HLOOKUP(COUNTIF(I28:XFD28,"&gt;"&amp;0)-1,I$1:XFD28,A28+1,FALSE))</f>
        <v>7428</v>
      </c>
      <c r="F28" s="7">
        <f>IF(COUNTIF(I28:XFD28,"&gt;"&amp;0)=0,,HLOOKUP(COUNTIF(I28:XFD28,"&gt;"&amp;0)-MIN($F$1+1,COUNTIF(I28:XFD28,"&gt;"&amp;0)),I$1:XFD28,A28+1,FALSE))</f>
        <v>4247</v>
      </c>
      <c r="G28" s="8">
        <f>IF(COUNTIF(I28:XFD28,"&gt;"&amp;0)=0,,(E28/F28)^(1/MIN(COUNTIF(I28:XFD28,"&gt;"&amp;0)-1,$F$1)))</f>
        <v>1.1182989749441667</v>
      </c>
      <c r="H28" s="13" t="s">
        <v>79</v>
      </c>
      <c r="I28" s="9">
        <v>100</v>
      </c>
      <c r="J28" s="9">
        <v>126</v>
      </c>
      <c r="K28" s="9">
        <v>155</v>
      </c>
      <c r="L28" s="9">
        <v>213</v>
      </c>
      <c r="M28" s="9">
        <v>218</v>
      </c>
      <c r="N28" s="9">
        <v>250</v>
      </c>
      <c r="O28" s="9">
        <v>304</v>
      </c>
      <c r="P28" s="9">
        <v>427</v>
      </c>
      <c r="Q28" s="9">
        <v>529</v>
      </c>
      <c r="R28" s="9">
        <v>712</v>
      </c>
      <c r="S28" s="9">
        <v>883</v>
      </c>
      <c r="T28" s="9">
        <v>1071</v>
      </c>
      <c r="U28" s="9">
        <v>1238</v>
      </c>
      <c r="V28" s="9">
        <v>2369</v>
      </c>
      <c r="W28" s="9">
        <v>2693</v>
      </c>
      <c r="X28" s="9">
        <v>3035</v>
      </c>
      <c r="Y28" s="9">
        <v>3619</v>
      </c>
      <c r="Z28" s="9">
        <v>4247</v>
      </c>
      <c r="AA28" s="9">
        <v>4695</v>
      </c>
      <c r="AB28" s="9">
        <v>5358</v>
      </c>
      <c r="AC28" s="9">
        <v>6092</v>
      </c>
      <c r="AD28" s="9">
        <v>6857</v>
      </c>
      <c r="AE28" s="9">
        <v>7428</v>
      </c>
    </row>
    <row r="29" spans="1:52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Africa</v>
      </c>
      <c r="D29" s="6">
        <f>MAX(I29:JF29)</f>
        <v>6807</v>
      </c>
      <c r="E29" s="6">
        <f>IF(COUNTIF(I29:XFD29,"&gt;"&amp;0)=0,,HLOOKUP(COUNTIF(I29:XFD29,"&gt;"&amp;0)-1,I$1:XFD29,A29+1,FALSE))</f>
        <v>6807</v>
      </c>
      <c r="F29" s="7">
        <f>IF(COUNTIF(I29:XFD29,"&gt;"&amp;0)=0,,HLOOKUP(COUNTIF(I29:XFD29,"&gt;"&amp;0)-MIN($F$1+1,COUNTIF(I29:XFD29,"&gt;"&amp;0)),I$1:XFD29,A29+1,FALSE))</f>
        <v>4145</v>
      </c>
      <c r="G29" s="8">
        <f>IF(COUNTIF(I29:XFD29,"&gt;"&amp;0)=0,,(E29/F29)^(1/MIN(COUNTIF(I29:XFD29,"&gt;"&amp;0)-1,$F$1)))</f>
        <v>1.1042978920090019</v>
      </c>
      <c r="H29" s="13" t="s">
        <v>611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  <c r="AA29" s="9">
        <v>3672</v>
      </c>
      <c r="AB29" s="9">
        <v>4145</v>
      </c>
      <c r="AC29" s="9">
        <v>4492</v>
      </c>
      <c r="AD29" s="9">
        <v>4979</v>
      </c>
      <c r="AE29" s="9">
        <v>5444</v>
      </c>
      <c r="AF29" s="9">
        <v>6015</v>
      </c>
      <c r="AG29" s="9">
        <v>6807</v>
      </c>
    </row>
    <row r="30" spans="1:52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Sweden</v>
      </c>
      <c r="D30" s="6">
        <f>MAX(I30:JF30)</f>
        <v>6131</v>
      </c>
      <c r="E30" s="6">
        <f>IF(COUNTIF(I30:XFD30,"&gt;"&amp;0)=0,,HLOOKUP(COUNTIF(I30:XFD30,"&gt;"&amp;0)-1,I$1:XFD30,A30+1,FALSE))</f>
        <v>6131</v>
      </c>
      <c r="F30" s="7">
        <f>IF(COUNTIF(I30:XFD30,"&gt;"&amp;0)=0,,HLOOKUP(COUNTIF(I30:XFD30,"&gt;"&amp;0)-MIN($F$1+1,COUNTIF(I30:XFD30,"&gt;"&amp;0)),I$1:XFD30,A30+1,FALSE))</f>
        <v>3700</v>
      </c>
      <c r="G30" s="8">
        <f>IF(COUNTIF(I30:XFD30,"&gt;"&amp;0)=0,,(E30/F30)^(1/MIN(COUNTIF(I30:XFD30,"&gt;"&amp;0)-1,$F$1)))</f>
        <v>1.1062821840308719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  <c r="AD30" s="9">
        <v>3069</v>
      </c>
      <c r="AE30" s="9">
        <v>3447</v>
      </c>
      <c r="AF30" s="9">
        <v>3700</v>
      </c>
      <c r="AG30" s="9">
        <v>4028</v>
      </c>
      <c r="AH30" s="9">
        <v>4435</v>
      </c>
      <c r="AI30" s="9">
        <v>4947</v>
      </c>
      <c r="AJ30" s="9">
        <v>5568</v>
      </c>
      <c r="AK30" s="9">
        <v>6131</v>
      </c>
    </row>
    <row r="31" spans="1:52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Norway</v>
      </c>
      <c r="D31" s="6">
        <f>MAX(I31:JF31)</f>
        <v>5370</v>
      </c>
      <c r="E31" s="6">
        <f>IF(COUNTIF(I31:XFD31,"&gt;"&amp;0)=0,,HLOOKUP(COUNTIF(I31:XFD31,"&gt;"&amp;0)-1,I$1:XFD31,A31+1,FALSE))</f>
        <v>5370</v>
      </c>
      <c r="F31" s="7">
        <f>IF(COUNTIF(I31:XFD31,"&gt;"&amp;0)=0,,HLOOKUP(COUNTIF(I31:XFD31,"&gt;"&amp;0)-MIN($F$1+1,COUNTIF(I31:XFD31,"&gt;"&amp;0)),I$1:XFD31,A31+1,FALSE))</f>
        <v>4284</v>
      </c>
      <c r="G31" s="8">
        <f>IF(COUNTIF(I31:XFD31,"&gt;"&amp;0)=0,,(E31/F31)^(1/MIN(COUNTIF(I31:XFD31,"&gt;"&amp;0)-1,$F$1)))</f>
        <v>1.0462246898085594</v>
      </c>
      <c r="H31" s="13" t="s">
        <v>85</v>
      </c>
      <c r="I31" s="9">
        <v>108</v>
      </c>
      <c r="J31" s="9">
        <v>147</v>
      </c>
      <c r="K31" s="9">
        <v>176</v>
      </c>
      <c r="L31" s="9">
        <v>205</v>
      </c>
      <c r="M31" s="9">
        <v>400</v>
      </c>
      <c r="N31" s="9">
        <v>598</v>
      </c>
      <c r="O31" s="9">
        <v>702</v>
      </c>
      <c r="P31" s="9">
        <v>996</v>
      </c>
      <c r="Q31" s="9">
        <v>1090</v>
      </c>
      <c r="R31" s="9">
        <v>1221</v>
      </c>
      <c r="S31" s="9">
        <v>1333</v>
      </c>
      <c r="T31" s="9">
        <v>1463</v>
      </c>
      <c r="U31" s="9">
        <v>1550</v>
      </c>
      <c r="V31" s="9">
        <v>1746</v>
      </c>
      <c r="W31" s="9">
        <v>1914</v>
      </c>
      <c r="X31" s="9">
        <v>2118</v>
      </c>
      <c r="Y31" s="9">
        <v>2385</v>
      </c>
      <c r="Z31" s="9">
        <v>2621</v>
      </c>
      <c r="AA31" s="9">
        <v>2863</v>
      </c>
      <c r="AB31" s="9">
        <v>3084</v>
      </c>
      <c r="AC31" s="9">
        <v>3369</v>
      </c>
      <c r="AD31" s="9">
        <v>3755</v>
      </c>
      <c r="AE31" s="9">
        <v>4015</v>
      </c>
      <c r="AF31" s="9">
        <v>4284</v>
      </c>
      <c r="AG31" s="9">
        <v>4445</v>
      </c>
      <c r="AH31" s="9">
        <v>4641</v>
      </c>
      <c r="AI31" s="9">
        <v>4863</v>
      </c>
      <c r="AJ31" s="9">
        <v>5147</v>
      </c>
      <c r="AK31" s="9">
        <v>5370</v>
      </c>
    </row>
    <row r="32" spans="1:52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Australia</v>
      </c>
      <c r="D32" s="6">
        <f>MAX(I32:JF32)</f>
        <v>5330</v>
      </c>
      <c r="E32" s="6">
        <f>IF(COUNTIF(I32:XFD32,"&gt;"&amp;0)=0,,HLOOKUP(COUNTIF(I32:XFD32,"&gt;"&amp;0)-1,I$1:XFD32,A32+1,FALSE))</f>
        <v>5330</v>
      </c>
      <c r="F32" s="7">
        <f>IF(COUNTIF(I32:XFD32,"&gt;"&amp;0)=0,,HLOOKUP(COUNTIF(I32:XFD32,"&gt;"&amp;0)-MIN($F$1+1,COUNTIF(I32:XFD32,"&gt;"&amp;0)),I$1:XFD32,A32+1,FALSE))</f>
        <v>3984</v>
      </c>
      <c r="G32" s="8">
        <f>IF(COUNTIF(I32:XFD32,"&gt;"&amp;0)=0,,(E32/F32)^(1/MIN(COUNTIF(I32:XFD32,"&gt;"&amp;0)-1,$F$1)))</f>
        <v>1.0599407175189344</v>
      </c>
      <c r="H32" s="13" t="s">
        <v>48</v>
      </c>
      <c r="I32" s="9">
        <v>107</v>
      </c>
      <c r="J32" s="9">
        <v>128</v>
      </c>
      <c r="K32" s="9">
        <v>128</v>
      </c>
      <c r="L32" s="9">
        <v>200</v>
      </c>
      <c r="M32" s="9">
        <v>250</v>
      </c>
      <c r="N32" s="9">
        <v>297</v>
      </c>
      <c r="O32" s="9">
        <v>377</v>
      </c>
      <c r="P32" s="9">
        <v>452</v>
      </c>
      <c r="Q32" s="9">
        <v>568</v>
      </c>
      <c r="R32" s="9">
        <v>681</v>
      </c>
      <c r="S32" s="9">
        <v>791</v>
      </c>
      <c r="T32" s="9">
        <v>1071</v>
      </c>
      <c r="U32" s="9">
        <v>1549</v>
      </c>
      <c r="V32" s="9">
        <v>1682</v>
      </c>
      <c r="W32" s="9">
        <v>2044</v>
      </c>
      <c r="X32" s="9">
        <v>2364</v>
      </c>
      <c r="Y32" s="9">
        <v>2810</v>
      </c>
      <c r="Z32" s="9">
        <v>3143</v>
      </c>
      <c r="AA32" s="9">
        <v>3640</v>
      </c>
      <c r="AB32" s="9">
        <v>3984</v>
      </c>
      <c r="AC32" s="9">
        <v>4361</v>
      </c>
      <c r="AD32" s="9">
        <v>4559</v>
      </c>
      <c r="AE32" s="9">
        <v>4862</v>
      </c>
      <c r="AF32" s="9">
        <v>5116</v>
      </c>
      <c r="AG32" s="9">
        <v>5330</v>
      </c>
    </row>
    <row r="33" spans="1:51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Ireland</v>
      </c>
      <c r="D33" s="6">
        <f>MAX(I33:JF33)</f>
        <v>4273</v>
      </c>
      <c r="E33" s="6">
        <f>IF(COUNTIF(I33:XFD33,"&gt;"&amp;0)=0,,HLOOKUP(COUNTIF(I33:XFD33,"&gt;"&amp;0)-1,I$1:XFD33,A33+1,FALSE))</f>
        <v>4273</v>
      </c>
      <c r="F33" s="7">
        <f>IF(COUNTIF(I33:XFD33,"&gt;"&amp;0)=0,,HLOOKUP(COUNTIF(I33:XFD33,"&gt;"&amp;0)-MIN($F$1+1,COUNTIF(I33:XFD33,"&gt;"&amp;0)),I$1:XFD33,A33+1,FALSE))</f>
        <v>2615</v>
      </c>
      <c r="G33" s="8">
        <f>IF(COUNTIF(I33:XFD33,"&gt;"&amp;0)=0,,(E33/F33)^(1/MIN(COUNTIF(I33:XFD33,"&gt;"&amp;0)-1,$F$1)))</f>
        <v>1.1031948859429659</v>
      </c>
      <c r="H33" s="13" t="s">
        <v>98</v>
      </c>
      <c r="I33" s="9">
        <v>129</v>
      </c>
      <c r="J33" s="9">
        <v>129</v>
      </c>
      <c r="K33" s="9">
        <v>169</v>
      </c>
      <c r="L33" s="9">
        <v>223</v>
      </c>
      <c r="M33" s="9">
        <v>292</v>
      </c>
      <c r="N33" s="9">
        <v>557</v>
      </c>
      <c r="O33" s="9">
        <v>683</v>
      </c>
      <c r="P33" s="9">
        <v>785</v>
      </c>
      <c r="Q33" s="9">
        <v>906</v>
      </c>
      <c r="R33" s="9">
        <v>1125</v>
      </c>
      <c r="S33" s="9">
        <v>1329</v>
      </c>
      <c r="T33" s="9">
        <v>1564</v>
      </c>
      <c r="U33" s="9">
        <v>1819</v>
      </c>
      <c r="V33" s="9">
        <v>2121</v>
      </c>
      <c r="W33" s="9">
        <v>2415</v>
      </c>
      <c r="X33" s="9">
        <v>2615</v>
      </c>
      <c r="Y33" s="9">
        <v>2910</v>
      </c>
      <c r="Z33" s="9">
        <v>3235</v>
      </c>
      <c r="AA33" s="9">
        <v>3447</v>
      </c>
      <c r="AB33" s="9">
        <v>3849</v>
      </c>
      <c r="AC33" s="9">
        <v>4273</v>
      </c>
    </row>
    <row r="34" spans="1:51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Russia</v>
      </c>
      <c r="D34" s="6">
        <f>MAX(I34:JF34)</f>
        <v>4149</v>
      </c>
      <c r="E34" s="6">
        <f>IF(COUNTIF(I34:XFD34,"&gt;"&amp;0)=0,,HLOOKUP(COUNTIF(I34:XFD34,"&gt;"&amp;0)-1,I$1:XFD34,A34+1,FALSE))</f>
        <v>4149</v>
      </c>
      <c r="F34" s="7">
        <f>IF(COUNTIF(I34:XFD34,"&gt;"&amp;0)=0,,HLOOKUP(COUNTIF(I34:XFD34,"&gt;"&amp;0)-MIN($F$1+1,COUNTIF(I34:XFD34,"&gt;"&amp;0)),I$1:XFD34,A34+1,FALSE))</f>
        <v>1534</v>
      </c>
      <c r="G34" s="8">
        <f>IF(COUNTIF(I34:XFD34,"&gt;"&amp;0)=0,,(E34/F34)^(1/MIN(COUNTIF(I34:XFD34,"&gt;"&amp;0)-1,$F$1)))</f>
        <v>1.2201791932605208</v>
      </c>
      <c r="H34" s="13" t="s">
        <v>344</v>
      </c>
      <c r="I34" s="9">
        <v>114</v>
      </c>
      <c r="J34" s="9">
        <v>147</v>
      </c>
      <c r="K34" s="9">
        <v>199</v>
      </c>
      <c r="L34" s="9">
        <v>253</v>
      </c>
      <c r="M34" s="9">
        <v>306</v>
      </c>
      <c r="N34" s="9">
        <v>367</v>
      </c>
      <c r="O34" s="9">
        <v>438</v>
      </c>
      <c r="P34" s="9">
        <v>495</v>
      </c>
      <c r="Q34" s="9">
        <v>658</v>
      </c>
      <c r="R34" s="9">
        <v>840</v>
      </c>
      <c r="S34" s="9">
        <v>1036</v>
      </c>
      <c r="T34" s="9">
        <v>1264</v>
      </c>
      <c r="U34" s="9">
        <v>1534</v>
      </c>
      <c r="V34" s="9">
        <v>1836</v>
      </c>
      <c r="W34" s="9">
        <v>2337</v>
      </c>
      <c r="X34" s="9">
        <v>2777</v>
      </c>
      <c r="Y34" s="9">
        <v>3548</v>
      </c>
      <c r="Z34" s="9">
        <v>4149</v>
      </c>
    </row>
    <row r="35" spans="1:51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Czechia</v>
      </c>
      <c r="D35" s="6">
        <f>MAX(I35:JF35)</f>
        <v>4091</v>
      </c>
      <c r="E35" s="6">
        <f>IF(COUNTIF(I35:XFD35,"&gt;"&amp;0)=0,,HLOOKUP(COUNTIF(I35:XFD35,"&gt;"&amp;0)-1,I$1:XFD35,A35+1,FALSE))</f>
        <v>4091</v>
      </c>
      <c r="F35" s="7">
        <f>IF(COUNTIF(I35:XFD35,"&gt;"&amp;0)=0,,HLOOKUP(COUNTIF(I35:XFD35,"&gt;"&amp;0)-MIN($F$1+1,COUNTIF(I35:XFD35,"&gt;"&amp;0)),I$1:XFD35,A35+1,FALSE))</f>
        <v>2817</v>
      </c>
      <c r="G35" s="8">
        <f>IF(COUNTIF(I35:XFD35,"&gt;"&amp;0)=0,,(E35/F35)^(1/MIN(COUNTIF(I35:XFD35,"&gt;"&amp;0)-1,$F$1)))</f>
        <v>1.0774782853772975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  <c r="W35" s="9">
        <v>2279</v>
      </c>
      <c r="X35" s="9">
        <v>2631</v>
      </c>
      <c r="Y35" s="9">
        <v>2817</v>
      </c>
      <c r="Z35" s="9">
        <v>3001</v>
      </c>
      <c r="AA35" s="9">
        <v>3308</v>
      </c>
      <c r="AB35" s="9">
        <v>3508</v>
      </c>
      <c r="AC35" s="9">
        <v>3858</v>
      </c>
      <c r="AD35" s="9">
        <v>4091</v>
      </c>
    </row>
    <row r="36" spans="1:51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Denmark</v>
      </c>
      <c r="D36" s="6">
        <f>MAX(I36:JF36)</f>
        <v>3946</v>
      </c>
      <c r="E36" s="6">
        <f>IF(COUNTIF(I36:XFD36,"&gt;"&amp;0)=0,,HLOOKUP(COUNTIF(I36:XFD36,"&gt;"&amp;0)-1,I$1:XFD36,A36+1,FALSE))</f>
        <v>3946</v>
      </c>
      <c r="F36" s="7">
        <f>IF(COUNTIF(I36:XFD36,"&gt;"&amp;0)=0,,HLOOKUP(COUNTIF(I36:XFD36,"&gt;"&amp;0)-MIN($F$1+1,COUNTIF(I36:XFD36,"&gt;"&amp;0)),I$1:XFD36,A36+1,FALSE))</f>
        <v>2564</v>
      </c>
      <c r="G36" s="8">
        <f>IF(COUNTIF(I36:XFD36,"&gt;"&amp;0)=0,,(E36/F36)^(1/MIN(COUNTIF(I36:XFD36,"&gt;"&amp;0)-1,$F$1)))</f>
        <v>1.0900534957521162</v>
      </c>
      <c r="H36" s="13" t="s">
        <v>87</v>
      </c>
      <c r="I36" s="9">
        <v>264</v>
      </c>
      <c r="J36" s="9">
        <v>444</v>
      </c>
      <c r="K36" s="9">
        <v>617</v>
      </c>
      <c r="L36" s="9">
        <v>804</v>
      </c>
      <c r="M36" s="9">
        <v>836</v>
      </c>
      <c r="N36" s="9">
        <v>875</v>
      </c>
      <c r="O36" s="9">
        <v>933</v>
      </c>
      <c r="P36" s="9">
        <v>1025</v>
      </c>
      <c r="Q36" s="9">
        <v>1116</v>
      </c>
      <c r="R36" s="9">
        <v>1225</v>
      </c>
      <c r="S36" s="9">
        <v>1337</v>
      </c>
      <c r="T36" s="9">
        <v>1420</v>
      </c>
      <c r="U36" s="9">
        <v>1514</v>
      </c>
      <c r="V36" s="9">
        <v>1572</v>
      </c>
      <c r="W36" s="9">
        <v>1718</v>
      </c>
      <c r="X36" s="9">
        <v>1862</v>
      </c>
      <c r="Y36" s="9">
        <v>2023</v>
      </c>
      <c r="Z36" s="9">
        <v>2200</v>
      </c>
      <c r="AA36" s="9">
        <v>2366</v>
      </c>
      <c r="AB36" s="9">
        <v>2564</v>
      </c>
      <c r="AC36" s="9">
        <v>2755</v>
      </c>
      <c r="AD36" s="9">
        <v>3039</v>
      </c>
      <c r="AE36" s="9">
        <v>3290</v>
      </c>
      <c r="AF36" s="9">
        <v>3573</v>
      </c>
      <c r="AG36" s="9">
        <v>3946</v>
      </c>
    </row>
    <row r="37" spans="1:51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Chile</v>
      </c>
      <c r="D37" s="6">
        <f>MAX(I37:JF37)</f>
        <v>3737</v>
      </c>
      <c r="E37" s="6">
        <f>IF(COUNTIF(I37:XFD37,"&gt;"&amp;0)=0,,HLOOKUP(COUNTIF(I37:XFD37,"&gt;"&amp;0)-1,I$1:XFD37,A37+1,FALSE))</f>
        <v>3737</v>
      </c>
      <c r="F37" s="7">
        <f>IF(COUNTIF(I37:XFD37,"&gt;"&amp;0)=0,,HLOOKUP(COUNTIF(I37:XFD37,"&gt;"&amp;0)-MIN($F$1+1,COUNTIF(I37:XFD37,"&gt;"&amp;0)),I$1:XFD37,A37+1,FALSE))</f>
        <v>2139</v>
      </c>
      <c r="G37" s="8">
        <f>IF(COUNTIF(I37:XFD37,"&gt;"&amp;0)=0,,(E37/F37)^(1/MIN(COUNTIF(I37:XFD37,"&gt;"&amp;0)-1,$F$1)))</f>
        <v>1.1180531837956871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  <c r="AA37" s="9">
        <v>3737</v>
      </c>
    </row>
    <row r="38" spans="1:51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Poland</v>
      </c>
      <c r="D38" s="6">
        <f>MAX(I38:JF38)</f>
        <v>3383</v>
      </c>
      <c r="E38" s="6">
        <f>IF(COUNTIF(I38:XFD38,"&gt;"&amp;0)=0,,HLOOKUP(COUNTIF(I38:XFD38,"&gt;"&amp;0)-1,I$1:XFD38,A38+1,FALSE))</f>
        <v>3383</v>
      </c>
      <c r="F38" s="7">
        <f>IF(COUNTIF(I38:XFD38,"&gt;"&amp;0)=0,,HLOOKUP(COUNTIF(I38:XFD38,"&gt;"&amp;0)-MIN($F$1+1,COUNTIF(I38:XFD38,"&gt;"&amp;0)),I$1:XFD38,A38+1,FALSE))</f>
        <v>1862</v>
      </c>
      <c r="G38" s="8">
        <f>IF(COUNTIF(I38:XFD38,"&gt;"&amp;0)=0,,(E38/F38)^(1/MIN(COUNTIF(I38:XFD38,"&gt;"&amp;0)-1,$F$1)))</f>
        <v>1.1268457322960648</v>
      </c>
      <c r="H38" s="13" t="s">
        <v>137</v>
      </c>
      <c r="I38" s="9">
        <v>103</v>
      </c>
      <c r="J38" s="9">
        <v>119</v>
      </c>
      <c r="K38" s="9">
        <v>177</v>
      </c>
      <c r="L38" s="9">
        <v>238</v>
      </c>
      <c r="M38" s="9">
        <v>251</v>
      </c>
      <c r="N38" s="9">
        <v>355</v>
      </c>
      <c r="O38" s="9">
        <v>425</v>
      </c>
      <c r="P38" s="9">
        <v>536</v>
      </c>
      <c r="Q38" s="9">
        <v>634</v>
      </c>
      <c r="R38" s="9">
        <v>749</v>
      </c>
      <c r="S38" s="9">
        <v>901</v>
      </c>
      <c r="T38" s="9">
        <v>1051</v>
      </c>
      <c r="U38" s="9">
        <v>1221</v>
      </c>
      <c r="V38" s="9">
        <v>1389</v>
      </c>
      <c r="W38" s="9">
        <v>1638</v>
      </c>
      <c r="X38" s="9">
        <v>1862</v>
      </c>
      <c r="Y38" s="9">
        <v>2055</v>
      </c>
      <c r="Z38" s="9">
        <v>2311</v>
      </c>
      <c r="AA38" s="9">
        <v>2554</v>
      </c>
      <c r="AB38" s="9">
        <v>2946</v>
      </c>
      <c r="AC38" s="9">
        <v>3383</v>
      </c>
    </row>
    <row r="39" spans="1:51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Ecuador</v>
      </c>
      <c r="D39" s="6">
        <f>MAX(I39:JF39)</f>
        <v>3368</v>
      </c>
      <c r="E39" s="6">
        <f>IF(COUNTIF(I39:XFD39,"&gt;"&amp;0)=0,,HLOOKUP(COUNTIF(I39:XFD39,"&gt;"&amp;0)-1,I$1:XFD39,A39+1,FALSE))</f>
        <v>3368</v>
      </c>
      <c r="F39" s="7">
        <f>IF(COUNTIF(I39:XFD39,"&gt;"&amp;0)=0,,HLOOKUP(COUNTIF(I39:XFD39,"&gt;"&amp;0)-MIN($F$1+1,COUNTIF(I39:XFD39,"&gt;"&amp;0)),I$1:XFD39,A39+1,FALSE))</f>
        <v>1924</v>
      </c>
      <c r="G39" s="8">
        <f>IF(COUNTIF(I39:XFD39,"&gt;"&amp;0)=0,,(E39/F39)^(1/MIN(COUNTIF(I39:XFD39,"&gt;"&amp;0)-1,$F$1)))</f>
        <v>1.1184933414542784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  <c r="S39" s="9">
        <v>1823</v>
      </c>
      <c r="T39" s="9">
        <v>1924</v>
      </c>
      <c r="U39" s="9">
        <v>1962</v>
      </c>
      <c r="V39" s="9">
        <v>2240</v>
      </c>
      <c r="W39" s="9">
        <v>2748</v>
      </c>
      <c r="X39" s="9">
        <v>3163</v>
      </c>
      <c r="Y39" s="9">
        <v>3368</v>
      </c>
    </row>
    <row r="40" spans="1:51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Malaysia</v>
      </c>
      <c r="D40" s="6">
        <f>MAX(I40:JF40)</f>
        <v>3333</v>
      </c>
      <c r="E40" s="6">
        <f>IF(COUNTIF(I40:XFD40,"&gt;"&amp;0)=0,,HLOOKUP(COUNTIF(I40:XFD40,"&gt;"&amp;0)-1,I$1:XFD40,A40+1,FALSE))</f>
        <v>3333</v>
      </c>
      <c r="F40" s="7">
        <f>IF(COUNTIF(I40:XFD40,"&gt;"&amp;0)=0,,HLOOKUP(COUNTIF(I40:XFD40,"&gt;"&amp;0)-MIN($F$1+1,COUNTIF(I40:XFD40,"&gt;"&amp;0)),I$1:XFD40,A40+1,FALSE))</f>
        <v>2470</v>
      </c>
      <c r="G40" s="8">
        <f>IF(COUNTIF(I40:XFD40,"&gt;"&amp;0)=0,,(E40/F40)^(1/MIN(COUNTIF(I40:XFD40,"&gt;"&amp;0)-1,$F$1)))</f>
        <v>1.0617632077487731</v>
      </c>
      <c r="H40" s="13" t="s">
        <v>43</v>
      </c>
      <c r="I40" s="9">
        <v>117</v>
      </c>
      <c r="J40" s="9">
        <v>129</v>
      </c>
      <c r="K40" s="9">
        <v>149</v>
      </c>
      <c r="L40" s="9">
        <v>149</v>
      </c>
      <c r="M40" s="9">
        <v>197</v>
      </c>
      <c r="N40" s="9">
        <v>238</v>
      </c>
      <c r="O40" s="9">
        <v>428</v>
      </c>
      <c r="P40" s="9">
        <v>566</v>
      </c>
      <c r="Q40" s="9">
        <v>673</v>
      </c>
      <c r="R40" s="9">
        <v>790</v>
      </c>
      <c r="S40" s="9">
        <v>900</v>
      </c>
      <c r="T40" s="9">
        <v>1030</v>
      </c>
      <c r="U40" s="9">
        <v>1183</v>
      </c>
      <c r="V40" s="9">
        <v>1306</v>
      </c>
      <c r="W40" s="9">
        <v>1518</v>
      </c>
      <c r="X40" s="9">
        <v>1624</v>
      </c>
      <c r="Y40" s="9">
        <v>1796</v>
      </c>
      <c r="Z40" s="9">
        <v>2031</v>
      </c>
      <c r="AA40" s="9">
        <v>2161</v>
      </c>
      <c r="AB40" s="9">
        <v>2320</v>
      </c>
      <c r="AC40" s="9">
        <v>2470</v>
      </c>
      <c r="AD40" s="9">
        <v>2626</v>
      </c>
      <c r="AE40" s="9">
        <v>2766</v>
      </c>
      <c r="AF40" s="9">
        <v>2908</v>
      </c>
      <c r="AG40" s="9">
        <v>3116</v>
      </c>
      <c r="AH40" s="9">
        <v>3333</v>
      </c>
    </row>
    <row r="41" spans="1:51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Romania</v>
      </c>
      <c r="D41" s="6">
        <f>MAX(I41:JF41)</f>
        <v>3183</v>
      </c>
      <c r="E41" s="6">
        <f>IF(COUNTIF(I41:XFD41,"&gt;"&amp;0)=0,,HLOOKUP(COUNTIF(I41:XFD41,"&gt;"&amp;0)-1,I$1:XFD41,A41+1,FALSE))</f>
        <v>3183</v>
      </c>
      <c r="F41" s="7">
        <f>IF(COUNTIF(I41:XFD41,"&gt;"&amp;0)=0,,HLOOKUP(COUNTIF(I41:XFD41,"&gt;"&amp;0)-MIN($F$1+1,COUNTIF(I41:XFD41,"&gt;"&amp;0)),I$1:XFD41,A41+1,FALSE))</f>
        <v>1815</v>
      </c>
      <c r="G41" s="8">
        <f>IF(COUNTIF(I41:XFD41,"&gt;"&amp;0)=0,,(E41/F41)^(1/MIN(COUNTIF(I41:XFD41,"&gt;"&amp;0)-1,$F$1)))</f>
        <v>1.1189018755969591</v>
      </c>
      <c r="H41" s="13" t="s">
        <v>86</v>
      </c>
      <c r="I41" s="9">
        <v>123</v>
      </c>
      <c r="J41" s="9">
        <v>131</v>
      </c>
      <c r="K41" s="9">
        <v>158</v>
      </c>
      <c r="L41" s="9">
        <v>184</v>
      </c>
      <c r="M41" s="9">
        <v>260</v>
      </c>
      <c r="N41" s="9">
        <v>277</v>
      </c>
      <c r="O41" s="9">
        <v>308</v>
      </c>
      <c r="P41" s="9">
        <v>367</v>
      </c>
      <c r="Q41" s="9">
        <v>433</v>
      </c>
      <c r="R41" s="9">
        <v>576</v>
      </c>
      <c r="S41" s="9">
        <v>794</v>
      </c>
      <c r="T41" s="9">
        <v>906</v>
      </c>
      <c r="U41" s="9">
        <v>1029</v>
      </c>
      <c r="V41" s="9">
        <v>1292</v>
      </c>
      <c r="W41" s="9">
        <v>1452</v>
      </c>
      <c r="X41" s="9">
        <v>1815</v>
      </c>
      <c r="Y41" s="9">
        <v>2109</v>
      </c>
      <c r="Z41" s="9">
        <v>2245</v>
      </c>
      <c r="AA41" s="9">
        <v>2460</v>
      </c>
      <c r="AB41" s="9">
        <v>2738</v>
      </c>
      <c r="AC41" s="9">
        <v>3183</v>
      </c>
    </row>
    <row r="42" spans="1:51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Philippines</v>
      </c>
      <c r="D42" s="6">
        <f>MAX(I42:JF42)</f>
        <v>3018</v>
      </c>
      <c r="E42" s="6">
        <f>IF(COUNTIF(I42:XFD42,"&gt;"&amp;0)=0,,HLOOKUP(COUNTIF(I42:XFD42,"&gt;"&amp;0)-1,I$1:XFD42,A42+1,FALSE))</f>
        <v>3018</v>
      </c>
      <c r="F42" s="7">
        <f>IF(COUNTIF(I42:XFD42,"&gt;"&amp;0)=0,,HLOOKUP(COUNTIF(I42:XFD42,"&gt;"&amp;0)-MIN($F$1+1,COUNTIF(I42:XFD42,"&gt;"&amp;0)),I$1:XFD42,A42+1,FALSE))</f>
        <v>1418</v>
      </c>
      <c r="G42" s="8">
        <f>IF(COUNTIF(I42:XFD42,"&gt;"&amp;0)=0,,(E42/F42)^(1/MIN(COUNTIF(I42:XFD42,"&gt;"&amp;0)-1,$F$1)))</f>
        <v>1.1630773570876416</v>
      </c>
      <c r="H42" s="13" t="s">
        <v>56</v>
      </c>
      <c r="I42" s="9">
        <v>111</v>
      </c>
      <c r="J42" s="9">
        <v>140</v>
      </c>
      <c r="K42" s="9">
        <v>142</v>
      </c>
      <c r="L42" s="9">
        <v>187</v>
      </c>
      <c r="M42" s="9">
        <v>202</v>
      </c>
      <c r="N42" s="9">
        <v>217</v>
      </c>
      <c r="O42" s="9">
        <v>230</v>
      </c>
      <c r="P42" s="9">
        <v>307</v>
      </c>
      <c r="Q42" s="9">
        <v>380</v>
      </c>
      <c r="R42" s="9">
        <v>462</v>
      </c>
      <c r="S42" s="9">
        <v>552</v>
      </c>
      <c r="T42" s="9">
        <v>636</v>
      </c>
      <c r="U42" s="9">
        <v>707</v>
      </c>
      <c r="V42" s="9">
        <v>803</v>
      </c>
      <c r="W42" s="9">
        <v>1075</v>
      </c>
      <c r="X42" s="9">
        <v>1418</v>
      </c>
      <c r="Y42" s="9">
        <v>1546</v>
      </c>
      <c r="Z42" s="9">
        <v>2084</v>
      </c>
      <c r="AA42" s="9">
        <v>2311</v>
      </c>
      <c r="AB42" s="9">
        <v>2633</v>
      </c>
      <c r="AC42" s="9">
        <v>3018</v>
      </c>
    </row>
    <row r="43" spans="1:51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Pakistan</v>
      </c>
      <c r="D43" s="6">
        <f>MAX(I43:JF43)</f>
        <v>2686</v>
      </c>
      <c r="E43" s="6">
        <f>IF(COUNTIF(I43:XFD43,"&gt;"&amp;0)=0,,HLOOKUP(COUNTIF(I43:XFD43,"&gt;"&amp;0)-1,I$1:XFD43,A43+1,FALSE))</f>
        <v>2686</v>
      </c>
      <c r="F43" s="7">
        <f>IF(COUNTIF(I43:XFD43,"&gt;"&amp;0)=0,,HLOOKUP(COUNTIF(I43:XFD43,"&gt;"&amp;0)-MIN($F$1+1,COUNTIF(I43:XFD43,"&gt;"&amp;0)),I$1:XFD43,A43+1,FALSE))</f>
        <v>1597</v>
      </c>
      <c r="G43" s="8">
        <f>IF(COUNTIF(I43:XFD43,"&gt;"&amp;0)=0,,(E43/F43)^(1/MIN(COUNTIF(I43:XFD43,"&gt;"&amp;0)-1,$F$1)))</f>
        <v>1.1095840837400672</v>
      </c>
      <c r="H43" s="13" t="s">
        <v>80</v>
      </c>
      <c r="I43" s="9">
        <v>136</v>
      </c>
      <c r="J43" s="9">
        <v>236</v>
      </c>
      <c r="K43" s="9">
        <v>299</v>
      </c>
      <c r="L43" s="9">
        <v>454</v>
      </c>
      <c r="M43" s="9">
        <v>501</v>
      </c>
      <c r="N43" s="9">
        <v>730</v>
      </c>
      <c r="O43" s="9">
        <v>776</v>
      </c>
      <c r="P43" s="9">
        <v>875</v>
      </c>
      <c r="Q43" s="9">
        <v>972</v>
      </c>
      <c r="R43" s="9">
        <v>1063</v>
      </c>
      <c r="S43" s="9">
        <v>1201</v>
      </c>
      <c r="T43" s="9">
        <v>1373</v>
      </c>
      <c r="U43" s="9">
        <v>1495</v>
      </c>
      <c r="V43" s="9">
        <v>1597</v>
      </c>
      <c r="W43" s="9">
        <v>1717</v>
      </c>
      <c r="X43" s="9">
        <v>1938</v>
      </c>
      <c r="Y43" s="9">
        <v>2118</v>
      </c>
      <c r="Z43" s="9">
        <v>2421</v>
      </c>
      <c r="AA43" s="9">
        <v>2686</v>
      </c>
    </row>
    <row r="44" spans="1:51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Japan</v>
      </c>
      <c r="D44" s="6">
        <f>MAX(I44:JF44)</f>
        <v>2617</v>
      </c>
      <c r="E44" s="6">
        <f>IF(COUNTIF(I44:XFD44,"&gt;"&amp;0)=0,,HLOOKUP(COUNTIF(I44:XFD44,"&gt;"&amp;0)-1,I$1:XFD44,A44+1,FALSE))</f>
        <v>2617</v>
      </c>
      <c r="F44" s="7">
        <f>IF(COUNTIF(I44:XFD44,"&gt;"&amp;0)=0,,HLOOKUP(COUNTIF(I44:XFD44,"&gt;"&amp;0)-MIN($F$1+1,COUNTIF(I44:XFD44,"&gt;"&amp;0)),I$1:XFD44,A44+1,FALSE))</f>
        <v>1866</v>
      </c>
      <c r="G44" s="8">
        <f>IF(COUNTIF(I44:XFD44,"&gt;"&amp;0)=0,,(E44/F44)^(1/MIN(COUNTIF(I44:XFD44,"&gt;"&amp;0)-1,$F$1)))</f>
        <v>1.0699867917348327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  <c r="AW44" s="9">
        <v>2178</v>
      </c>
      <c r="AX44" s="9">
        <v>2495</v>
      </c>
      <c r="AY44" s="9">
        <v>2617</v>
      </c>
    </row>
    <row r="45" spans="1:51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Luxembourg</v>
      </c>
      <c r="D45" s="6">
        <f>MAX(I45:JF45)</f>
        <v>2612</v>
      </c>
      <c r="E45" s="6">
        <f>IF(COUNTIF(I45:XFD45,"&gt;"&amp;0)=0,,HLOOKUP(COUNTIF(I45:XFD45,"&gt;"&amp;0)-1,I$1:XFD45,A45+1,FALSE))</f>
        <v>2612</v>
      </c>
      <c r="F45" s="7">
        <f>IF(COUNTIF(I45:XFD45,"&gt;"&amp;0)=0,,HLOOKUP(COUNTIF(I45:XFD45,"&gt;"&amp;0)-MIN($F$1+1,COUNTIF(I45:XFD45,"&gt;"&amp;0)),I$1:XFD45,A45+1,FALSE))</f>
        <v>1950</v>
      </c>
      <c r="G45" s="8">
        <f>IF(COUNTIF(I45:XFD45,"&gt;"&amp;0)=0,,(E45/F45)^(1/MIN(COUNTIF(I45:XFD45,"&gt;"&amp;0)-1,$F$1)))</f>
        <v>1.0601997860475663</v>
      </c>
      <c r="H45" s="13" t="s">
        <v>99</v>
      </c>
      <c r="I45" s="9">
        <v>140</v>
      </c>
      <c r="J45" s="9">
        <v>203</v>
      </c>
      <c r="K45" s="9">
        <v>335</v>
      </c>
      <c r="L45" s="9">
        <v>484</v>
      </c>
      <c r="M45" s="9">
        <v>670</v>
      </c>
      <c r="N45" s="9">
        <v>798</v>
      </c>
      <c r="O45" s="9">
        <v>875</v>
      </c>
      <c r="P45" s="9">
        <v>1099</v>
      </c>
      <c r="Q45" s="9">
        <v>1333</v>
      </c>
      <c r="R45" s="9">
        <v>1453</v>
      </c>
      <c r="S45" s="9">
        <v>1605</v>
      </c>
      <c r="T45" s="9">
        <v>1831</v>
      </c>
      <c r="U45" s="9">
        <v>1950</v>
      </c>
      <c r="V45" s="9">
        <v>1988</v>
      </c>
      <c r="W45" s="9">
        <v>2178</v>
      </c>
      <c r="X45" s="9">
        <v>2319</v>
      </c>
      <c r="Y45" s="9">
        <v>2487</v>
      </c>
      <c r="Z45" s="9">
        <v>2612</v>
      </c>
    </row>
    <row r="46" spans="1:51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India</v>
      </c>
      <c r="D46" s="6">
        <f>MAX(I46:JF46)</f>
        <v>2567</v>
      </c>
      <c r="E46" s="6">
        <f>IF(COUNTIF(I46:XFD46,"&gt;"&amp;0)=0,,HLOOKUP(COUNTIF(I46:XFD46,"&gt;"&amp;0)-1,I$1:XFD46,A46+1,FALSE))</f>
        <v>2567</v>
      </c>
      <c r="F46" s="7">
        <f>IF(COUNTIF(I46:XFD46,"&gt;"&amp;0)=0,,HLOOKUP(COUNTIF(I46:XFD46,"&gt;"&amp;0)-MIN($F$1+1,COUNTIF(I46:XFD46,"&gt;"&amp;0)),I$1:XFD46,A46+1,FALSE))</f>
        <v>1024</v>
      </c>
      <c r="G46" s="8">
        <f>IF(COUNTIF(I46:XFD46,"&gt;"&amp;0)=0,,(E46/F46)^(1/MIN(COUNTIF(I46:XFD46,"&gt;"&amp;0)-1,$F$1)))</f>
        <v>1.2017805816367024</v>
      </c>
      <c r="H46" s="13" t="s">
        <v>57</v>
      </c>
      <c r="I46" s="9">
        <v>102</v>
      </c>
      <c r="J46" s="9">
        <v>113</v>
      </c>
      <c r="K46" s="9">
        <v>119</v>
      </c>
      <c r="L46" s="9">
        <v>142</v>
      </c>
      <c r="M46" s="9">
        <v>156</v>
      </c>
      <c r="N46" s="9">
        <v>194</v>
      </c>
      <c r="O46" s="9">
        <v>244</v>
      </c>
      <c r="P46" s="9">
        <v>330</v>
      </c>
      <c r="Q46" s="9">
        <v>396</v>
      </c>
      <c r="R46" s="9">
        <v>499</v>
      </c>
      <c r="S46" s="9">
        <v>536</v>
      </c>
      <c r="T46" s="9">
        <v>657</v>
      </c>
      <c r="U46" s="9">
        <v>727</v>
      </c>
      <c r="V46" s="9">
        <v>887</v>
      </c>
      <c r="W46" s="9">
        <v>987</v>
      </c>
      <c r="X46" s="9">
        <v>1024</v>
      </c>
      <c r="Y46" s="9">
        <v>1251</v>
      </c>
      <c r="Z46" s="9">
        <v>1397</v>
      </c>
      <c r="AA46" s="9">
        <v>1998</v>
      </c>
      <c r="AB46" s="9">
        <v>2543</v>
      </c>
      <c r="AC46" s="9">
        <v>2567</v>
      </c>
    </row>
    <row r="47" spans="1:51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Saudi Arabia</v>
      </c>
      <c r="D47" s="6">
        <f>MAX(I47:JF47)</f>
        <v>2039</v>
      </c>
      <c r="E47" s="6">
        <f>IF(COUNTIF(I47:XFD47,"&gt;"&amp;0)=0,,HLOOKUP(COUNTIF(I47:XFD47,"&gt;"&amp;0)-1,I$1:XFD47,A47+1,FALSE))</f>
        <v>2039</v>
      </c>
      <c r="F47" s="7">
        <f>IF(COUNTIF(I47:XFD47,"&gt;"&amp;0)=0,,HLOOKUP(COUNTIF(I47:XFD47,"&gt;"&amp;0)-MIN($F$1+1,COUNTIF(I47:XFD47,"&gt;"&amp;0)),I$1:XFD47,A47+1,FALSE))</f>
        <v>1299</v>
      </c>
      <c r="G47" s="8">
        <f>IF(COUNTIF(I47:XFD47,"&gt;"&amp;0)=0,,(E47/F47)^(1/MIN(COUNTIF(I47:XFD47,"&gt;"&amp;0)-1,$F$1)))</f>
        <v>1.0943635383672758</v>
      </c>
      <c r="H47" s="13" t="s">
        <v>113</v>
      </c>
      <c r="I47" s="9">
        <v>103</v>
      </c>
      <c r="J47" s="9">
        <v>103</v>
      </c>
      <c r="K47" s="9">
        <v>118</v>
      </c>
      <c r="L47" s="9">
        <v>171</v>
      </c>
      <c r="M47" s="9">
        <v>171</v>
      </c>
      <c r="N47" s="9">
        <v>274</v>
      </c>
      <c r="O47" s="9">
        <v>344</v>
      </c>
      <c r="P47" s="9">
        <v>392</v>
      </c>
      <c r="Q47" s="9">
        <v>511</v>
      </c>
      <c r="R47" s="9">
        <v>562</v>
      </c>
      <c r="S47" s="9">
        <v>767</v>
      </c>
      <c r="T47" s="9">
        <v>900</v>
      </c>
      <c r="U47" s="9">
        <v>1012</v>
      </c>
      <c r="V47" s="9">
        <v>1104</v>
      </c>
      <c r="W47" s="9">
        <v>1203</v>
      </c>
      <c r="X47" s="9">
        <v>1299</v>
      </c>
      <c r="Y47" s="9">
        <v>1453</v>
      </c>
      <c r="Z47" s="9">
        <v>1563</v>
      </c>
      <c r="AA47" s="9">
        <v>1720</v>
      </c>
      <c r="AB47" s="9">
        <v>1885</v>
      </c>
      <c r="AC47" s="9">
        <v>2039</v>
      </c>
    </row>
    <row r="48" spans="1:51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Indonesia</v>
      </c>
      <c r="D48" s="6">
        <f>MAX(I48:JF48)</f>
        <v>1986</v>
      </c>
      <c r="E48" s="6">
        <f>IF(COUNTIF(I48:XFD48,"&gt;"&amp;0)=0,,HLOOKUP(COUNTIF(I48:XFD48,"&gt;"&amp;0)-1,I$1:XFD48,A48+1,FALSE))</f>
        <v>1986</v>
      </c>
      <c r="F48" s="7">
        <f>IF(COUNTIF(I48:XFD48,"&gt;"&amp;0)=0,,HLOOKUP(COUNTIF(I48:XFD48,"&gt;"&amp;0)-MIN($F$1+1,COUNTIF(I48:XFD48,"&gt;"&amp;0)),I$1:XFD48,A48+1,FALSE))</f>
        <v>1285</v>
      </c>
      <c r="G48" s="8">
        <f>IF(COUNTIF(I48:XFD48,"&gt;"&amp;0)=0,,(E48/F48)^(1/MIN(COUNTIF(I48:XFD48,"&gt;"&amp;0)-1,$F$1)))</f>
        <v>1.09097606656373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</row>
    <row r="49" spans="1:43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Thailand</v>
      </c>
      <c r="D49" s="6">
        <f>MAX(I49:JF49)</f>
        <v>1978</v>
      </c>
      <c r="E49" s="6">
        <f>IF(COUNTIF(I49:XFD49,"&gt;"&amp;0)=0,,HLOOKUP(COUNTIF(I49:XFD49,"&gt;"&amp;0)-1,I$1:XFD49,A49+1,FALSE))</f>
        <v>1978</v>
      </c>
      <c r="F49" s="7">
        <f>IF(COUNTIF(I49:XFD49,"&gt;"&amp;0)=0,,HLOOKUP(COUNTIF(I49:XFD49,"&gt;"&amp;0)-MIN($F$1+1,COUNTIF(I49:XFD49,"&gt;"&amp;0)),I$1:XFD49,A49+1,FALSE))</f>
        <v>1388</v>
      </c>
      <c r="G49" s="8">
        <f>IF(COUNTIF(I49:XFD49,"&gt;"&amp;0)=0,,(E49/F49)^(1/MIN(COUNTIF(I49:XFD49,"&gt;"&amp;0)-1,$F$1)))</f>
        <v>1.0734142692975881</v>
      </c>
      <c r="H49" s="13" t="s">
        <v>35</v>
      </c>
      <c r="I49" s="9">
        <v>114</v>
      </c>
      <c r="J49" s="9">
        <v>147</v>
      </c>
      <c r="K49" s="9">
        <v>177</v>
      </c>
      <c r="L49" s="9">
        <v>212</v>
      </c>
      <c r="M49" s="9">
        <v>272</v>
      </c>
      <c r="N49" s="9">
        <v>322</v>
      </c>
      <c r="O49" s="9">
        <v>411</v>
      </c>
      <c r="P49" s="9">
        <v>599</v>
      </c>
      <c r="Q49" s="9">
        <v>721</v>
      </c>
      <c r="R49" s="9">
        <v>827</v>
      </c>
      <c r="S49" s="9">
        <v>934</v>
      </c>
      <c r="T49" s="9">
        <v>1045</v>
      </c>
      <c r="U49" s="9">
        <v>1136</v>
      </c>
      <c r="V49" s="9">
        <v>1245</v>
      </c>
      <c r="W49" s="9">
        <v>1388</v>
      </c>
      <c r="X49" s="9">
        <v>1524</v>
      </c>
      <c r="Y49" s="9">
        <v>1651</v>
      </c>
      <c r="Z49" s="9">
        <v>1771</v>
      </c>
      <c r="AA49" s="9">
        <v>1875</v>
      </c>
      <c r="AB49" s="9">
        <v>1978</v>
      </c>
    </row>
    <row r="50" spans="1:43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Finland</v>
      </c>
      <c r="D50" s="6">
        <f>MAX(I50:JF50)</f>
        <v>1615</v>
      </c>
      <c r="E50" s="6">
        <f>IF(COUNTIF(I50:XFD50,"&gt;"&amp;0)=0,,HLOOKUP(COUNTIF(I50:XFD50,"&gt;"&amp;0)-1,I$1:XFD50,A50+1,FALSE))</f>
        <v>1615</v>
      </c>
      <c r="F50" s="7">
        <f>IF(COUNTIF(I50:XFD50,"&gt;"&amp;0)=0,,HLOOKUP(COUNTIF(I50:XFD50,"&gt;"&amp;0)-MIN($F$1+1,COUNTIF(I50:XFD50,"&gt;"&amp;0)),I$1:XFD50,A50+1,FALSE))</f>
        <v>1240</v>
      </c>
      <c r="G50" s="8">
        <f>IF(COUNTIF(I50:XFD50,"&gt;"&amp;0)=0,,(E50/F50)^(1/MIN(COUNTIF(I50:XFD50,"&gt;"&amp;0)-1,$F$1)))</f>
        <v>1.0542659211580812</v>
      </c>
      <c r="H50" s="13" t="s">
        <v>54</v>
      </c>
      <c r="I50" s="9">
        <v>155</v>
      </c>
      <c r="J50" s="9">
        <v>225</v>
      </c>
      <c r="K50" s="9">
        <v>244</v>
      </c>
      <c r="L50" s="9">
        <v>277</v>
      </c>
      <c r="M50" s="9">
        <v>321</v>
      </c>
      <c r="N50" s="9">
        <v>336</v>
      </c>
      <c r="O50" s="9">
        <v>400</v>
      </c>
      <c r="P50" s="9">
        <v>450</v>
      </c>
      <c r="Q50" s="9">
        <v>523</v>
      </c>
      <c r="R50" s="9">
        <v>626</v>
      </c>
      <c r="S50" s="9">
        <v>700</v>
      </c>
      <c r="T50" s="9">
        <v>792</v>
      </c>
      <c r="U50" s="9">
        <v>880</v>
      </c>
      <c r="V50" s="9">
        <v>958</v>
      </c>
      <c r="W50" s="9">
        <v>1041</v>
      </c>
      <c r="X50" s="9">
        <v>1167</v>
      </c>
      <c r="Y50" s="9">
        <v>1240</v>
      </c>
      <c r="Z50" s="9">
        <v>1352</v>
      </c>
      <c r="AA50" s="9">
        <v>1418</v>
      </c>
      <c r="AB50" s="9">
        <v>1446</v>
      </c>
      <c r="AC50" s="9">
        <v>1518</v>
      </c>
      <c r="AD50" s="9">
        <v>1615</v>
      </c>
    </row>
    <row r="51" spans="1:43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Greece</v>
      </c>
      <c r="D51" s="6">
        <f>MAX(I51:JF51)</f>
        <v>1613</v>
      </c>
      <c r="E51" s="6">
        <f>IF(COUNTIF(I51:XFD51,"&gt;"&amp;0)=0,,HLOOKUP(COUNTIF(I51:XFD51,"&gt;"&amp;0)-1,I$1:XFD51,A51+1,FALSE))</f>
        <v>1613</v>
      </c>
      <c r="F51" s="7">
        <f>IF(COUNTIF(I51:XFD51,"&gt;"&amp;0)=0,,HLOOKUP(COUNTIF(I51:XFD51,"&gt;"&amp;0)-MIN($F$1+1,COUNTIF(I51:XFD51,"&gt;"&amp;0)),I$1:XFD51,A51+1,FALSE))</f>
        <v>1156</v>
      </c>
      <c r="G51" s="8">
        <f>IF(COUNTIF(I51:XFD51,"&gt;"&amp;0)=0,,(E51/F51)^(1/MIN(COUNTIF(I51:XFD51,"&gt;"&amp;0)-1,$F$1)))</f>
        <v>1.0688956426175238</v>
      </c>
      <c r="H51" s="13" t="s">
        <v>83</v>
      </c>
      <c r="I51" s="9">
        <v>190</v>
      </c>
      <c r="J51" s="9">
        <v>228</v>
      </c>
      <c r="K51" s="9">
        <v>331</v>
      </c>
      <c r="L51" s="9">
        <v>331</v>
      </c>
      <c r="M51" s="9">
        <v>387</v>
      </c>
      <c r="N51" s="9">
        <v>418</v>
      </c>
      <c r="O51" s="9">
        <v>418</v>
      </c>
      <c r="P51" s="9">
        <v>495</v>
      </c>
      <c r="Q51" s="9">
        <v>530</v>
      </c>
      <c r="R51" s="9">
        <v>624</v>
      </c>
      <c r="S51" s="9">
        <v>695</v>
      </c>
      <c r="T51" s="9">
        <v>743</v>
      </c>
      <c r="U51" s="9">
        <v>821</v>
      </c>
      <c r="V51" s="9">
        <v>892</v>
      </c>
      <c r="W51" s="9">
        <v>966</v>
      </c>
      <c r="X51" s="9">
        <v>1061</v>
      </c>
      <c r="Y51" s="9">
        <v>1156</v>
      </c>
      <c r="Z51" s="9">
        <v>1212</v>
      </c>
      <c r="AA51" s="9">
        <v>1314</v>
      </c>
      <c r="AB51" s="9">
        <v>1415</v>
      </c>
      <c r="AC51" s="9">
        <v>1544</v>
      </c>
      <c r="AD51" s="9">
        <v>1613</v>
      </c>
    </row>
    <row r="52" spans="1:43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Peru</v>
      </c>
      <c r="D52" s="6">
        <f>MAX(I52:JF52)</f>
        <v>1595</v>
      </c>
      <c r="E52" s="6">
        <f>IF(COUNTIF(I52:XFD52,"&gt;"&amp;0)=0,,HLOOKUP(COUNTIF(I52:XFD52,"&gt;"&amp;0)-1,I$1:XFD52,A52+1,FALSE))</f>
        <v>1595</v>
      </c>
      <c r="F52" s="7">
        <f>IF(COUNTIF(I52:XFD52,"&gt;"&amp;0)=0,,HLOOKUP(COUNTIF(I52:XFD52,"&gt;"&amp;0)-MIN($F$1+1,COUNTIF(I52:XFD52,"&gt;"&amp;0)),I$1:XFD52,A52+1,FALSE))</f>
        <v>852</v>
      </c>
      <c r="G52" s="8">
        <f>IF(COUNTIF(I52:XFD52,"&gt;"&amp;0)=0,,(E52/F52)^(1/MIN(COUNTIF(I52:XFD52,"&gt;"&amp;0)-1,$F$1)))</f>
        <v>1.1336114361359655</v>
      </c>
      <c r="H52" s="13" t="s">
        <v>160</v>
      </c>
      <c r="I52" s="9">
        <v>117</v>
      </c>
      <c r="J52" s="9">
        <v>145</v>
      </c>
      <c r="K52" s="9">
        <v>234</v>
      </c>
      <c r="L52" s="9">
        <v>234</v>
      </c>
      <c r="M52" s="9">
        <v>318</v>
      </c>
      <c r="N52" s="9">
        <v>363</v>
      </c>
      <c r="O52" s="9">
        <v>395</v>
      </c>
      <c r="P52" s="9">
        <v>416</v>
      </c>
      <c r="Q52" s="9">
        <v>480</v>
      </c>
      <c r="R52" s="9">
        <v>580</v>
      </c>
      <c r="S52" s="9">
        <v>635</v>
      </c>
      <c r="T52" s="9">
        <v>671</v>
      </c>
      <c r="U52" s="9">
        <v>852</v>
      </c>
      <c r="V52" s="9">
        <v>950</v>
      </c>
      <c r="W52" s="9">
        <v>1065</v>
      </c>
      <c r="X52" s="9">
        <v>1323</v>
      </c>
      <c r="Y52" s="9">
        <v>1414</v>
      </c>
      <c r="Z52" s="9">
        <v>1595</v>
      </c>
    </row>
    <row r="53" spans="1:43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Mexico</v>
      </c>
      <c r="D53" s="6">
        <f>MAX(I53:JF53)</f>
        <v>1510</v>
      </c>
      <c r="E53" s="6">
        <f>IF(COUNTIF(I53:XFD53,"&gt;"&amp;0)=0,,HLOOKUP(COUNTIF(I53:XFD53,"&gt;"&amp;0)-1,I$1:XFD53,A53+1,FALSE))</f>
        <v>1510</v>
      </c>
      <c r="F53" s="7">
        <f>IF(COUNTIF(I53:XFD53,"&gt;"&amp;0)=0,,HLOOKUP(COUNTIF(I53:XFD53,"&gt;"&amp;0)-MIN($F$1+1,COUNTIF(I53:XFD53,"&gt;"&amp;0)),I$1:XFD53,A53+1,FALSE))</f>
        <v>848</v>
      </c>
      <c r="G53" s="8">
        <f>IF(COUNTIF(I53:XFD53,"&gt;"&amp;0)=0,,(E53/F53)^(1/MIN(COUNTIF(I53:XFD53,"&gt;"&amp;0)-1,$F$1)))</f>
        <v>1.1223187512794424</v>
      </c>
      <c r="H53" s="13" t="s">
        <v>94</v>
      </c>
      <c r="I53" s="9">
        <v>118</v>
      </c>
      <c r="J53" s="9">
        <v>164</v>
      </c>
      <c r="K53" s="9">
        <v>203</v>
      </c>
      <c r="L53" s="9">
        <v>251</v>
      </c>
      <c r="M53" s="9">
        <v>316</v>
      </c>
      <c r="N53" s="9">
        <v>367</v>
      </c>
      <c r="O53" s="9">
        <v>405</v>
      </c>
      <c r="P53" s="9">
        <v>475</v>
      </c>
      <c r="Q53" s="9">
        <v>585</v>
      </c>
      <c r="R53" s="9">
        <v>717</v>
      </c>
      <c r="S53" s="9">
        <v>848</v>
      </c>
      <c r="T53" s="9">
        <v>993</v>
      </c>
      <c r="U53" s="9">
        <v>1094</v>
      </c>
      <c r="V53" s="9">
        <v>1215</v>
      </c>
      <c r="W53" s="9">
        <v>1378</v>
      </c>
      <c r="X53" s="9">
        <v>1510</v>
      </c>
    </row>
    <row r="54" spans="1:43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South Africa</v>
      </c>
      <c r="D54" s="6">
        <f>MAX(I54:JF54)</f>
        <v>1505</v>
      </c>
      <c r="E54" s="6">
        <f>IF(COUNTIF(I54:XFD54,"&gt;"&amp;0)=0,,HLOOKUP(COUNTIF(I54:XFD54,"&gt;"&amp;0)-1,I$1:XFD54,A54+1,FALSE))</f>
        <v>1505</v>
      </c>
      <c r="F54" s="7">
        <f>IF(COUNTIF(I54:XFD54,"&gt;"&amp;0)=0,,HLOOKUP(COUNTIF(I54:XFD54,"&gt;"&amp;0)-MIN($F$1+1,COUNTIF(I54:XFD54,"&gt;"&amp;0)),I$1:XFD54,A54+1,FALSE))</f>
        <v>1280</v>
      </c>
      <c r="G54" s="8">
        <f>IF(COUNTIF(I54:XFD54,"&gt;"&amp;0)=0,,(E54/F54)^(1/MIN(COUNTIF(I54:XFD54,"&gt;"&amp;0)-1,$F$1)))</f>
        <v>1.0329167166130528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  <c r="M54" s="9">
        <v>274</v>
      </c>
      <c r="N54" s="9">
        <v>402</v>
      </c>
      <c r="O54" s="9">
        <v>554</v>
      </c>
      <c r="P54" s="9">
        <v>709</v>
      </c>
      <c r="Q54" s="9">
        <v>927</v>
      </c>
      <c r="R54" s="9">
        <v>1170</v>
      </c>
      <c r="S54" s="9">
        <v>1187</v>
      </c>
      <c r="T54" s="9">
        <v>1280</v>
      </c>
      <c r="U54" s="9">
        <v>1326</v>
      </c>
      <c r="V54" s="9">
        <v>1353</v>
      </c>
      <c r="W54" s="9">
        <v>1380</v>
      </c>
      <c r="X54" s="9">
        <v>1462</v>
      </c>
      <c r="Y54" s="9">
        <v>1505</v>
      </c>
    </row>
    <row r="55" spans="1:43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Dominican Republic</v>
      </c>
      <c r="D55" s="6">
        <f>MAX(I55:JF55)</f>
        <v>1488</v>
      </c>
      <c r="E55" s="6">
        <f>IF(COUNTIF(I55:XFD55,"&gt;"&amp;0)=0,,HLOOKUP(COUNTIF(I55:XFD55,"&gt;"&amp;0)-1,I$1:XFD55,A55+1,FALSE))</f>
        <v>1488</v>
      </c>
      <c r="F55" s="7">
        <f>IF(COUNTIF(I55:XFD55,"&gt;"&amp;0)=0,,HLOOKUP(COUNTIF(I55:XFD55,"&gt;"&amp;0)-MIN($F$1+1,COUNTIF(I55:XFD55,"&gt;"&amp;0)),I$1:XFD55,A55+1,FALSE))</f>
        <v>859</v>
      </c>
      <c r="G55" s="8">
        <f>IF(COUNTIF(I55:XFD55,"&gt;"&amp;0)=0,,(E55/F55)^(1/MIN(COUNTIF(I55:XFD55,"&gt;"&amp;0)-1,$F$1)))</f>
        <v>1.1161484319805794</v>
      </c>
      <c r="H55" s="13" t="s">
        <v>106</v>
      </c>
      <c r="I55" s="9">
        <v>112</v>
      </c>
      <c r="J55" s="9">
        <v>202</v>
      </c>
      <c r="K55" s="9">
        <v>245</v>
      </c>
      <c r="L55" s="9">
        <v>312</v>
      </c>
      <c r="M55" s="9">
        <v>392</v>
      </c>
      <c r="N55" s="9">
        <v>488</v>
      </c>
      <c r="O55" s="9">
        <v>581</v>
      </c>
      <c r="P55" s="9">
        <v>719</v>
      </c>
      <c r="Q55" s="9">
        <v>859</v>
      </c>
      <c r="R55" s="9">
        <v>901</v>
      </c>
      <c r="S55" s="9">
        <v>1109</v>
      </c>
      <c r="T55" s="9">
        <v>1284</v>
      </c>
      <c r="U55" s="9">
        <v>1380</v>
      </c>
      <c r="V55" s="9">
        <v>1488</v>
      </c>
    </row>
    <row r="56" spans="1:43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Serbia</v>
      </c>
      <c r="D56" s="6">
        <f>MAX(I56:JF56)</f>
        <v>1476</v>
      </c>
      <c r="E56" s="6">
        <f>IF(COUNTIF(I56:XFD56,"&gt;"&amp;0)=0,,HLOOKUP(COUNTIF(I56:XFD56,"&gt;"&amp;0)-1,I$1:XFD56,A56+1,FALSE))</f>
        <v>1476</v>
      </c>
      <c r="F56" s="7">
        <f>IF(COUNTIF(I56:XFD56,"&gt;"&amp;0)=0,,HLOOKUP(COUNTIF(I56:XFD56,"&gt;"&amp;0)-MIN($F$1+1,COUNTIF(I56:XFD56,"&gt;"&amp;0)),I$1:XFD56,A56+1,FALSE))</f>
        <v>741</v>
      </c>
      <c r="G56" s="8">
        <f>IF(COUNTIF(I56:XFD56,"&gt;"&amp;0)=0,,(E56/F56)^(1/MIN(COUNTIF(I56:XFD56,"&gt;"&amp;0)-1,$F$1)))</f>
        <v>1.1477667249347709</v>
      </c>
      <c r="H56" s="13" t="s">
        <v>161</v>
      </c>
      <c r="I56" s="9">
        <v>103</v>
      </c>
      <c r="J56" s="9">
        <v>135</v>
      </c>
      <c r="K56" s="9">
        <v>171</v>
      </c>
      <c r="L56" s="9">
        <v>222</v>
      </c>
      <c r="M56" s="9">
        <v>249</v>
      </c>
      <c r="N56" s="9">
        <v>303</v>
      </c>
      <c r="O56" s="9">
        <v>384</v>
      </c>
      <c r="P56" s="9">
        <v>384</v>
      </c>
      <c r="Q56" s="9">
        <v>457</v>
      </c>
      <c r="R56" s="9">
        <v>659</v>
      </c>
      <c r="S56" s="9">
        <v>741</v>
      </c>
      <c r="T56" s="9">
        <v>785</v>
      </c>
      <c r="U56" s="9">
        <v>900</v>
      </c>
      <c r="V56" s="9">
        <v>1060</v>
      </c>
      <c r="W56" s="9">
        <v>1171</v>
      </c>
      <c r="X56" s="9">
        <v>1476</v>
      </c>
    </row>
    <row r="57" spans="1:43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Panama</v>
      </c>
      <c r="D57" s="6">
        <f>MAX(I57:JF57)</f>
        <v>1475</v>
      </c>
      <c r="E57" s="6">
        <f>IF(COUNTIF(I57:XFD57,"&gt;"&amp;0)=0,,HLOOKUP(COUNTIF(I57:XFD57,"&gt;"&amp;0)-1,I$1:XFD57,A57+1,FALSE))</f>
        <v>1475</v>
      </c>
      <c r="F57" s="7">
        <f>IF(COUNTIF(I57:XFD57,"&gt;"&amp;0)=0,,HLOOKUP(COUNTIF(I57:XFD57,"&gt;"&amp;0)-MIN($F$1+1,COUNTIF(I57:XFD57,"&gt;"&amp;0)),I$1:XFD57,A57+1,FALSE))</f>
        <v>901</v>
      </c>
      <c r="G57" s="8">
        <f>IF(COUNTIF(I57:XFD57,"&gt;"&amp;0)=0,,(E57/F57)^(1/MIN(COUNTIF(I57:XFD57,"&gt;"&amp;0)-1,$F$1)))</f>
        <v>1.1036044573082757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  <c r="Q57" s="9">
        <v>674</v>
      </c>
      <c r="R57" s="9">
        <v>786</v>
      </c>
      <c r="S57" s="9">
        <v>901</v>
      </c>
      <c r="T57" s="9">
        <v>989</v>
      </c>
      <c r="U57" s="9">
        <v>1181</v>
      </c>
      <c r="V57" s="9">
        <v>1181</v>
      </c>
      <c r="W57" s="9">
        <v>1317</v>
      </c>
      <c r="X57" s="9">
        <v>1475</v>
      </c>
    </row>
    <row r="58" spans="1:43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Iceland</v>
      </c>
      <c r="D58" s="6">
        <f>MAX(I58:JF58)</f>
        <v>1364</v>
      </c>
      <c r="E58" s="6">
        <f>IF(COUNTIF(I58:XFD58,"&gt;"&amp;0)=0,,HLOOKUP(COUNTIF(I58:XFD58,"&gt;"&amp;0)-1,I$1:XFD58,A58+1,FALSE))</f>
        <v>1364</v>
      </c>
      <c r="F58" s="7">
        <f>IF(COUNTIF(I58:XFD58,"&gt;"&amp;0)=0,,HLOOKUP(COUNTIF(I58:XFD58,"&gt;"&amp;0)-MIN($F$1+1,COUNTIF(I58:XFD58,"&gt;"&amp;0)),I$1:XFD58,A58+1,FALSE))</f>
        <v>1020</v>
      </c>
      <c r="G58" s="8">
        <f>IF(COUNTIF(I58:XFD58,"&gt;"&amp;0)=0,,(E58/F58)^(1/MIN(COUNTIF(I58:XFD58,"&gt;"&amp;0)-1,$F$1)))</f>
        <v>1.0598461821605278</v>
      </c>
      <c r="H58" s="13" t="s">
        <v>92</v>
      </c>
      <c r="I58" s="9">
        <v>103</v>
      </c>
      <c r="J58" s="9">
        <v>134</v>
      </c>
      <c r="K58" s="9">
        <v>156</v>
      </c>
      <c r="L58" s="9">
        <v>171</v>
      </c>
      <c r="M58" s="9">
        <v>180</v>
      </c>
      <c r="N58" s="9">
        <v>220</v>
      </c>
      <c r="O58" s="9">
        <v>250</v>
      </c>
      <c r="P58" s="9">
        <v>330</v>
      </c>
      <c r="Q58" s="9">
        <v>409</v>
      </c>
      <c r="R58" s="9">
        <v>473</v>
      </c>
      <c r="S58" s="9">
        <v>568</v>
      </c>
      <c r="T58" s="9">
        <v>588</v>
      </c>
      <c r="U58" s="9">
        <v>648</v>
      </c>
      <c r="V58" s="9">
        <v>737</v>
      </c>
      <c r="W58" s="9">
        <v>802</v>
      </c>
      <c r="X58" s="9">
        <v>890</v>
      </c>
      <c r="Y58" s="9">
        <v>963</v>
      </c>
      <c r="Z58" s="9">
        <v>1020</v>
      </c>
      <c r="AA58" s="9">
        <v>1086</v>
      </c>
      <c r="AB58" s="9">
        <v>1135</v>
      </c>
      <c r="AC58" s="9">
        <v>1220</v>
      </c>
      <c r="AD58" s="9">
        <v>1319</v>
      </c>
      <c r="AE58" s="9">
        <v>1364</v>
      </c>
    </row>
    <row r="59" spans="1:43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Colombia</v>
      </c>
      <c r="D59" s="6">
        <f>MAX(I59:JF59)</f>
        <v>1267</v>
      </c>
      <c r="E59" s="6">
        <f>IF(COUNTIF(I59:XFD59,"&gt;"&amp;0)=0,,HLOOKUP(COUNTIF(I59:XFD59,"&gt;"&amp;0)-1,I$1:XFD59,A59+1,FALSE))</f>
        <v>1267</v>
      </c>
      <c r="F59" s="7">
        <f>IF(COUNTIF(I59:XFD59,"&gt;"&amp;0)=0,,HLOOKUP(COUNTIF(I59:XFD59,"&gt;"&amp;0)-MIN($F$1+1,COUNTIF(I59:XFD59,"&gt;"&amp;0)),I$1:XFD59,A59+1,FALSE))</f>
        <v>702</v>
      </c>
      <c r="G59" s="8">
        <f>IF(COUNTIF(I59:XFD59,"&gt;"&amp;0)=0,,(E59/F59)^(1/MIN(COUNTIF(I59:XFD59,"&gt;"&amp;0)-1,$F$1)))</f>
        <v>1.125350739216322</v>
      </c>
      <c r="H59" s="13" t="s">
        <v>158</v>
      </c>
      <c r="I59" s="9">
        <v>102</v>
      </c>
      <c r="J59" s="9">
        <v>128</v>
      </c>
      <c r="K59" s="9">
        <v>196</v>
      </c>
      <c r="L59" s="9">
        <v>231</v>
      </c>
      <c r="M59" s="9">
        <v>277</v>
      </c>
      <c r="N59" s="9">
        <v>378</v>
      </c>
      <c r="O59" s="9">
        <v>470</v>
      </c>
      <c r="P59" s="9">
        <v>491</v>
      </c>
      <c r="Q59" s="9">
        <v>539</v>
      </c>
      <c r="R59" s="9">
        <v>608</v>
      </c>
      <c r="S59" s="9">
        <v>702</v>
      </c>
      <c r="T59" s="9">
        <v>798</v>
      </c>
      <c r="U59" s="9">
        <v>906</v>
      </c>
      <c r="V59" s="9">
        <v>1065</v>
      </c>
      <c r="W59" s="9">
        <v>1161</v>
      </c>
      <c r="X59" s="9">
        <v>1267</v>
      </c>
    </row>
    <row r="60" spans="1:43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Argentina</v>
      </c>
      <c r="D60" s="6">
        <f>MAX(I60:JF60)</f>
        <v>1265</v>
      </c>
      <c r="E60" s="6">
        <f>IF(COUNTIF(I60:XFD60,"&gt;"&amp;0)=0,,HLOOKUP(COUNTIF(I60:XFD60,"&gt;"&amp;0)-1,I$1:XFD60,A60+1,FALSE))</f>
        <v>1265</v>
      </c>
      <c r="F60" s="7">
        <f>IF(COUNTIF(I60:XFD60,"&gt;"&amp;0)=0,,HLOOKUP(COUNTIF(I60:XFD60,"&gt;"&amp;0)-MIN($F$1+1,COUNTIF(I60:XFD60,"&gt;"&amp;0)),I$1:XFD60,A60+1,FALSE))</f>
        <v>745</v>
      </c>
      <c r="G60" s="8">
        <f>IF(COUNTIF(I60:XFD60,"&gt;"&amp;0)=0,,(E60/F60)^(1/MIN(COUNTIF(I60:XFD60,"&gt;"&amp;0)-1,$F$1)))</f>
        <v>1.1116980670877563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  <c r="P60" s="9">
        <v>589</v>
      </c>
      <c r="Q60" s="9">
        <v>690</v>
      </c>
      <c r="R60" s="9">
        <v>745</v>
      </c>
      <c r="S60" s="9">
        <v>820</v>
      </c>
      <c r="T60" s="9">
        <v>1054</v>
      </c>
      <c r="U60" s="9">
        <v>1054</v>
      </c>
      <c r="V60" s="9">
        <v>1133</v>
      </c>
      <c r="W60" s="9">
        <v>1265</v>
      </c>
    </row>
    <row r="61" spans="1:43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United Arab Emirates</v>
      </c>
      <c r="D61" s="6">
        <f>MAX(I61:JF61)</f>
        <v>1264</v>
      </c>
      <c r="E61" s="6">
        <f>IF(COUNTIF(I61:XFD61,"&gt;"&amp;0)=0,,HLOOKUP(COUNTIF(I61:XFD61,"&gt;"&amp;0)-1,I$1:XFD61,A61+1,FALSE))</f>
        <v>1264</v>
      </c>
      <c r="F61" s="7">
        <f>IF(COUNTIF(I61:XFD61,"&gt;"&amp;0)=0,,HLOOKUP(COUNTIF(I61:XFD61,"&gt;"&amp;0)-MIN($F$1+1,COUNTIF(I61:XFD61,"&gt;"&amp;0)),I$1:XFD61,A61+1,FALSE))</f>
        <v>570</v>
      </c>
      <c r="G61" s="8">
        <f>IF(COUNTIF(I61:XFD61,"&gt;"&amp;0)=0,,(E61/F61)^(1/MIN(COUNTIF(I61:XFD61,"&gt;"&amp;0)-1,$F$1)))</f>
        <v>1.1726662974272772</v>
      </c>
      <c r="H61" s="13" t="s">
        <v>55</v>
      </c>
      <c r="I61" s="9">
        <v>113</v>
      </c>
      <c r="J61" s="9">
        <v>140</v>
      </c>
      <c r="K61" s="9">
        <v>140</v>
      </c>
      <c r="L61" s="9">
        <v>153</v>
      </c>
      <c r="M61" s="9">
        <v>153</v>
      </c>
      <c r="N61" s="9">
        <v>198</v>
      </c>
      <c r="O61" s="9">
        <v>248</v>
      </c>
      <c r="P61" s="9">
        <v>333</v>
      </c>
      <c r="Q61" s="9">
        <v>333</v>
      </c>
      <c r="R61" s="9">
        <v>405</v>
      </c>
      <c r="S61" s="9">
        <v>468</v>
      </c>
      <c r="T61" s="9">
        <v>570</v>
      </c>
      <c r="U61" s="9">
        <v>611</v>
      </c>
      <c r="V61" s="9">
        <v>664</v>
      </c>
      <c r="W61" s="9">
        <v>814</v>
      </c>
      <c r="X61" s="9">
        <v>1024</v>
      </c>
      <c r="Y61" s="9">
        <v>1264</v>
      </c>
    </row>
    <row r="62" spans="1:43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Algeria</v>
      </c>
      <c r="D62" s="6">
        <f>MAX(I62:JF62)</f>
        <v>1171</v>
      </c>
      <c r="E62" s="6">
        <f>IF(COUNTIF(I62:XFD62,"&gt;"&amp;0)=0,,HLOOKUP(COUNTIF(I62:XFD62,"&gt;"&amp;0)-1,I$1:XFD62,A62+1,FALSE))</f>
        <v>1171</v>
      </c>
      <c r="F62" s="7">
        <f>IF(COUNTIF(I62:XFD62,"&gt;"&amp;0)=0,,HLOOKUP(COUNTIF(I62:XFD62,"&gt;"&amp;0)-MIN($F$1+1,COUNTIF(I62:XFD62,"&gt;"&amp;0)),I$1:XFD62,A62+1,FALSE))</f>
        <v>511</v>
      </c>
      <c r="G62" s="8">
        <f>IF(COUNTIF(I62:XFD62,"&gt;"&amp;0)=0,,(E62/F62)^(1/MIN(COUNTIF(I62:XFD62,"&gt;"&amp;0)-1,$F$1)))</f>
        <v>1.1803945590675198</v>
      </c>
      <c r="H62" s="13" t="s">
        <v>75</v>
      </c>
      <c r="I62" s="9">
        <v>139</v>
      </c>
      <c r="J62" s="9">
        <v>201</v>
      </c>
      <c r="K62" s="9">
        <v>230</v>
      </c>
      <c r="L62" s="9">
        <v>264</v>
      </c>
      <c r="M62" s="9">
        <v>302</v>
      </c>
      <c r="N62" s="9">
        <v>367</v>
      </c>
      <c r="O62" s="9">
        <v>409</v>
      </c>
      <c r="P62" s="9">
        <v>454</v>
      </c>
      <c r="Q62" s="9">
        <v>511</v>
      </c>
      <c r="R62" s="9">
        <v>584</v>
      </c>
      <c r="S62" s="9">
        <v>716</v>
      </c>
      <c r="T62" s="9">
        <v>847</v>
      </c>
      <c r="U62" s="9">
        <v>986</v>
      </c>
      <c r="V62" s="9">
        <v>1171</v>
      </c>
    </row>
    <row r="63" spans="1:43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Singapore</v>
      </c>
      <c r="D63" s="6">
        <f>MAX(I63:JF63)</f>
        <v>1114</v>
      </c>
      <c r="E63" s="6">
        <f>IF(COUNTIF(I63:XFD63,"&gt;"&amp;0)=0,,HLOOKUP(COUNTIF(I63:XFD63,"&gt;"&amp;0)-1,I$1:XFD63,A63+1,FALSE))</f>
        <v>1114</v>
      </c>
      <c r="F63" s="7">
        <f>IF(COUNTIF(I63:XFD63,"&gt;"&amp;0)=0,,HLOOKUP(COUNTIF(I63:XFD63,"&gt;"&amp;0)-MIN($F$1+1,COUNTIF(I63:XFD63,"&gt;"&amp;0)),I$1:XFD63,A63+1,FALSE))</f>
        <v>844</v>
      </c>
      <c r="G63" s="8">
        <f>IF(COUNTIF(I63:XFD63,"&gt;"&amp;0)=0,,(E63/F63)^(1/MIN(COUNTIF(I63:XFD63,"&gt;"&amp;0)-1,$F$1)))</f>
        <v>1.0570816863089412</v>
      </c>
      <c r="H63" s="13" t="s">
        <v>40</v>
      </c>
      <c r="I63" s="9">
        <v>102</v>
      </c>
      <c r="J63" s="9">
        <v>106</v>
      </c>
      <c r="K63" s="9">
        <v>108</v>
      </c>
      <c r="L63" s="9">
        <v>110</v>
      </c>
      <c r="M63" s="9">
        <v>110</v>
      </c>
      <c r="N63" s="9">
        <v>117</v>
      </c>
      <c r="O63" s="9">
        <v>130</v>
      </c>
      <c r="P63" s="9">
        <v>138</v>
      </c>
      <c r="Q63" s="9">
        <v>150</v>
      </c>
      <c r="R63" s="9">
        <v>150</v>
      </c>
      <c r="S63" s="9">
        <v>160</v>
      </c>
      <c r="T63" s="9">
        <v>178</v>
      </c>
      <c r="U63" s="9">
        <v>178</v>
      </c>
      <c r="V63" s="9">
        <v>200</v>
      </c>
      <c r="W63" s="9">
        <v>212</v>
      </c>
      <c r="X63" s="9">
        <v>226</v>
      </c>
      <c r="Y63" s="9">
        <v>243</v>
      </c>
      <c r="Z63" s="9">
        <v>266</v>
      </c>
      <c r="AA63" s="9">
        <v>313</v>
      </c>
      <c r="AB63" s="9">
        <v>345</v>
      </c>
      <c r="AC63" s="9">
        <v>385</v>
      </c>
      <c r="AD63" s="9">
        <v>432</v>
      </c>
      <c r="AE63" s="9">
        <v>455</v>
      </c>
      <c r="AF63" s="9">
        <v>509</v>
      </c>
      <c r="AG63" s="9">
        <v>558</v>
      </c>
      <c r="AH63" s="9">
        <v>631</v>
      </c>
      <c r="AI63" s="9">
        <v>683</v>
      </c>
      <c r="AJ63" s="9">
        <v>732</v>
      </c>
      <c r="AK63" s="9">
        <v>802</v>
      </c>
      <c r="AL63" s="9">
        <v>844</v>
      </c>
      <c r="AM63" s="9">
        <v>879</v>
      </c>
      <c r="AN63" s="9">
        <v>926</v>
      </c>
      <c r="AO63" s="9">
        <v>1000</v>
      </c>
      <c r="AP63" s="9">
        <v>1049</v>
      </c>
      <c r="AQ63" s="9">
        <v>1114</v>
      </c>
    </row>
    <row r="64" spans="1:43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Croatia</v>
      </c>
      <c r="D64" s="6">
        <f>MAX(I64:JF64)</f>
        <v>1079</v>
      </c>
      <c r="E64" s="6">
        <f>IF(COUNTIF(I64:XFD64,"&gt;"&amp;0)=0,,HLOOKUP(COUNTIF(I64:XFD64,"&gt;"&amp;0)-1,I$1:XFD64,A64+1,FALSE))</f>
        <v>1079</v>
      </c>
      <c r="F64" s="7">
        <f>IF(COUNTIF(I64:XFD64,"&gt;"&amp;0)=0,,HLOOKUP(COUNTIF(I64:XFD64,"&gt;"&amp;0)-MIN($F$1+1,COUNTIF(I64:XFD64,"&gt;"&amp;0)),I$1:XFD64,A64+1,FALSE))</f>
        <v>713</v>
      </c>
      <c r="G64" s="8">
        <f>IF(COUNTIF(I64:XFD64,"&gt;"&amp;0)=0,,(E64/F64)^(1/MIN(COUNTIF(I64:XFD64,"&gt;"&amp;0)-1,$F$1)))</f>
        <v>1.0863915599503131</v>
      </c>
      <c r="H64" s="13" t="s">
        <v>76</v>
      </c>
      <c r="I64" s="9">
        <v>105</v>
      </c>
      <c r="J64" s="9">
        <v>128</v>
      </c>
      <c r="K64" s="9">
        <v>206</v>
      </c>
      <c r="L64" s="9">
        <v>254</v>
      </c>
      <c r="M64" s="9">
        <v>315</v>
      </c>
      <c r="N64" s="9">
        <v>382</v>
      </c>
      <c r="O64" s="9">
        <v>442</v>
      </c>
      <c r="P64" s="9">
        <v>495</v>
      </c>
      <c r="Q64" s="9">
        <v>586</v>
      </c>
      <c r="R64" s="9">
        <v>657</v>
      </c>
      <c r="S64" s="9">
        <v>713</v>
      </c>
      <c r="T64" s="9">
        <v>790</v>
      </c>
      <c r="U64" s="9">
        <v>867</v>
      </c>
      <c r="V64" s="9">
        <v>963</v>
      </c>
      <c r="W64" s="9">
        <v>1011</v>
      </c>
      <c r="X64" s="9">
        <v>1079</v>
      </c>
    </row>
    <row r="65" spans="1:33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Qatar</v>
      </c>
      <c r="D65" s="6">
        <f>MAX(I65:JF65)</f>
        <v>1075</v>
      </c>
      <c r="E65" s="6">
        <f>IF(COUNTIF(I65:XFD65,"&gt;"&amp;0)=0,,HLOOKUP(COUNTIF(I65:XFD65,"&gt;"&amp;0)-1,I$1:XFD65,A65+1,FALSE))</f>
        <v>1075</v>
      </c>
      <c r="F65" s="7">
        <f>IF(COUNTIF(I65:XFD65,"&gt;"&amp;0)=0,,HLOOKUP(COUNTIF(I65:XFD65,"&gt;"&amp;0)-MIN($F$1+1,COUNTIF(I65:XFD65,"&gt;"&amp;0)),I$1:XFD65,A65+1,FALSE))</f>
        <v>634</v>
      </c>
      <c r="G65" s="8">
        <f>IF(COUNTIF(I65:XFD65,"&gt;"&amp;0)=0,,(E65/F65)^(1/MIN(COUNTIF(I65:XFD65,"&gt;"&amp;0)-1,$F$1)))</f>
        <v>1.1113832350589108</v>
      </c>
      <c r="H65" s="13" t="s">
        <v>101</v>
      </c>
      <c r="I65" s="9">
        <v>262</v>
      </c>
      <c r="J65" s="9">
        <v>262</v>
      </c>
      <c r="K65" s="9">
        <v>320</v>
      </c>
      <c r="L65" s="9">
        <v>337</v>
      </c>
      <c r="M65" s="9">
        <v>401</v>
      </c>
      <c r="N65" s="9">
        <v>439</v>
      </c>
      <c r="O65" s="9">
        <v>439</v>
      </c>
      <c r="P65" s="9">
        <v>452</v>
      </c>
      <c r="Q65" s="9">
        <v>460</v>
      </c>
      <c r="R65" s="9">
        <v>470</v>
      </c>
      <c r="S65" s="9">
        <v>481</v>
      </c>
      <c r="T65" s="9">
        <v>494</v>
      </c>
      <c r="U65" s="9">
        <v>501</v>
      </c>
      <c r="V65" s="9">
        <v>526</v>
      </c>
      <c r="W65" s="9">
        <v>537</v>
      </c>
      <c r="X65" s="9">
        <v>549</v>
      </c>
      <c r="Y65" s="9">
        <v>562</v>
      </c>
      <c r="Z65" s="9">
        <v>590</v>
      </c>
      <c r="AA65" s="9">
        <v>634</v>
      </c>
      <c r="AB65" s="9">
        <v>693</v>
      </c>
      <c r="AC65" s="9">
        <v>781</v>
      </c>
      <c r="AD65" s="9">
        <v>835</v>
      </c>
      <c r="AE65" s="9">
        <v>949</v>
      </c>
      <c r="AF65" s="9">
        <v>1075</v>
      </c>
    </row>
    <row r="66" spans="1:33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Ukraine</v>
      </c>
      <c r="D66" s="6">
        <f>MAX(I66:JF66)</f>
        <v>1072</v>
      </c>
      <c r="E66" s="6">
        <f>IF(COUNTIF(I66:XFD66,"&gt;"&amp;0)=0,,HLOOKUP(COUNTIF(I66:XFD66,"&gt;"&amp;0)-1,I$1:XFD66,A66+1,FALSE))</f>
        <v>1072</v>
      </c>
      <c r="F66" s="7">
        <f>IF(COUNTIF(I66:XFD66,"&gt;"&amp;0)=0,,HLOOKUP(COUNTIF(I66:XFD66,"&gt;"&amp;0)-MIN($F$1+1,COUNTIF(I66:XFD66,"&gt;"&amp;0)),I$1:XFD66,A66+1,FALSE))</f>
        <v>475</v>
      </c>
      <c r="G66" s="8">
        <f>IF(COUNTIF(I66:XFD66,"&gt;"&amp;0)=0,,(E66/F66)^(1/MIN(COUNTIF(I66:XFD66,"&gt;"&amp;0)-1,$F$1)))</f>
        <v>1.1767934301959277</v>
      </c>
      <c r="H66" s="13" t="s">
        <v>129</v>
      </c>
      <c r="I66" s="9">
        <v>145</v>
      </c>
      <c r="J66" s="9">
        <v>196</v>
      </c>
      <c r="K66" s="9">
        <v>310</v>
      </c>
      <c r="L66" s="9">
        <v>356</v>
      </c>
      <c r="M66" s="9">
        <v>475</v>
      </c>
      <c r="N66" s="9">
        <v>548</v>
      </c>
      <c r="O66" s="9">
        <v>645</v>
      </c>
      <c r="P66" s="9">
        <v>794</v>
      </c>
      <c r="Q66" s="9">
        <v>897</v>
      </c>
      <c r="R66" s="9">
        <v>1072</v>
      </c>
    </row>
    <row r="67" spans="1:33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Egypt</v>
      </c>
      <c r="D67" s="6">
        <f>MAX(I67:JF67)</f>
        <v>985</v>
      </c>
      <c r="E67" s="6">
        <f>IF(COUNTIF(I67:XFD67,"&gt;"&amp;0)=0,,HLOOKUP(COUNTIF(I67:XFD67,"&gt;"&amp;0)-1,I$1:XFD67,A67+1,FALSE))</f>
        <v>985</v>
      </c>
      <c r="F67" s="7">
        <f>IF(COUNTIF(I67:XFD67,"&gt;"&amp;0)=0,,HLOOKUP(COUNTIF(I67:XFD67,"&gt;"&amp;0)-MIN($F$1+1,COUNTIF(I67:XFD67,"&gt;"&amp;0)),I$1:XFD67,A67+1,FALSE))</f>
        <v>609</v>
      </c>
      <c r="G67" s="8">
        <f>IF(COUNTIF(I67:XFD67,"&gt;"&amp;0)=0,,(E67/F67)^(1/MIN(COUNTIF(I67:XFD67,"&gt;"&amp;0)-1,$F$1)))</f>
        <v>1.100940346080167</v>
      </c>
      <c r="H67" s="13" t="s">
        <v>65</v>
      </c>
      <c r="I67" s="9">
        <v>109</v>
      </c>
      <c r="J67" s="9">
        <v>110</v>
      </c>
      <c r="K67" s="9">
        <v>150</v>
      </c>
      <c r="L67" s="9">
        <v>196</v>
      </c>
      <c r="M67" s="9">
        <v>196</v>
      </c>
      <c r="N67" s="9">
        <v>256</v>
      </c>
      <c r="O67" s="9">
        <v>285</v>
      </c>
      <c r="P67" s="9">
        <v>294</v>
      </c>
      <c r="Q67" s="9">
        <v>327</v>
      </c>
      <c r="R67" s="9">
        <v>366</v>
      </c>
      <c r="S67" s="9">
        <v>402</v>
      </c>
      <c r="T67" s="9">
        <v>456</v>
      </c>
      <c r="U67" s="9">
        <v>495</v>
      </c>
      <c r="V67" s="9">
        <v>536</v>
      </c>
      <c r="W67" s="9">
        <v>576</v>
      </c>
      <c r="X67" s="9">
        <v>609</v>
      </c>
      <c r="Y67" s="9">
        <v>656</v>
      </c>
      <c r="Z67" s="9">
        <v>710</v>
      </c>
      <c r="AA67" s="9">
        <v>779</v>
      </c>
      <c r="AB67" s="9">
        <v>865</v>
      </c>
      <c r="AC67" s="9">
        <v>985</v>
      </c>
    </row>
    <row r="68" spans="1:33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Estonia</v>
      </c>
      <c r="D68" s="6">
        <f>MAX(I68:JF68)</f>
        <v>961</v>
      </c>
      <c r="E68" s="6">
        <f>IF(COUNTIF(I68:XFD68,"&gt;"&amp;0)=0,,HLOOKUP(COUNTIF(I68:XFD68,"&gt;"&amp;0)-1,I$1:XFD68,A68+1,FALSE))</f>
        <v>961</v>
      </c>
      <c r="F68" s="7">
        <f>IF(COUNTIF(I68:XFD68,"&gt;"&amp;0)=0,,HLOOKUP(COUNTIF(I68:XFD68,"&gt;"&amp;0)-MIN($F$1+1,COUNTIF(I68:XFD68,"&gt;"&amp;0)),I$1:XFD68,A68+1,FALSE))</f>
        <v>679</v>
      </c>
      <c r="G68" s="8">
        <f>IF(COUNTIF(I68:XFD68,"&gt;"&amp;0)=0,,(E68/F68)^(1/MIN(COUNTIF(I68:XFD68,"&gt;"&amp;0)-1,$F$1)))</f>
        <v>1.0719406060207535</v>
      </c>
      <c r="H68" s="13" t="s">
        <v>88</v>
      </c>
      <c r="I68" s="9">
        <v>115</v>
      </c>
      <c r="J68" s="9">
        <v>171</v>
      </c>
      <c r="K68" s="9">
        <v>205</v>
      </c>
      <c r="L68" s="9">
        <v>225</v>
      </c>
      <c r="M68" s="9">
        <v>258</v>
      </c>
      <c r="N68" s="9">
        <v>267</v>
      </c>
      <c r="O68" s="9">
        <v>283</v>
      </c>
      <c r="P68" s="9">
        <v>306</v>
      </c>
      <c r="Q68" s="9">
        <v>326</v>
      </c>
      <c r="R68" s="9">
        <v>352</v>
      </c>
      <c r="S68" s="9">
        <v>369</v>
      </c>
      <c r="T68" s="9">
        <v>404</v>
      </c>
      <c r="U68" s="9">
        <v>538</v>
      </c>
      <c r="V68" s="9">
        <v>575</v>
      </c>
      <c r="W68" s="9">
        <v>645</v>
      </c>
      <c r="X68" s="9">
        <v>679</v>
      </c>
      <c r="Y68" s="9">
        <v>715</v>
      </c>
      <c r="Z68" s="9">
        <v>745</v>
      </c>
      <c r="AA68" s="9">
        <v>779</v>
      </c>
      <c r="AB68" s="9">
        <v>858</v>
      </c>
      <c r="AC68" s="9">
        <v>961</v>
      </c>
    </row>
    <row r="69" spans="1:33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Slovenia</v>
      </c>
      <c r="D69" s="6">
        <f>MAX(I69:JF69)</f>
        <v>934</v>
      </c>
      <c r="E69" s="6">
        <f>IF(COUNTIF(I69:XFD69,"&gt;"&amp;0)=0,,HLOOKUP(COUNTIF(I69:XFD69,"&gt;"&amp;0)-1,I$1:XFD69,A69+1,FALSE))</f>
        <v>934</v>
      </c>
      <c r="F69" s="7">
        <f>IF(COUNTIF(I69:XFD69,"&gt;"&amp;0)=0,,HLOOKUP(COUNTIF(I69:XFD69,"&gt;"&amp;0)-MIN($F$1+1,COUNTIF(I69:XFD69,"&gt;"&amp;0)),I$1:XFD69,A69+1,FALSE))</f>
        <v>730</v>
      </c>
      <c r="G69" s="8">
        <f>IF(COUNTIF(I69:XFD69,"&gt;"&amp;0)=0,,(E69/F69)^(1/MIN(COUNTIF(I69:XFD69,"&gt;"&amp;0)-1,$F$1)))</f>
        <v>1.0505211567728814</v>
      </c>
      <c r="H69" s="13" t="s">
        <v>141</v>
      </c>
      <c r="I69" s="9">
        <v>141</v>
      </c>
      <c r="J69" s="9">
        <v>181</v>
      </c>
      <c r="K69" s="9">
        <v>219</v>
      </c>
      <c r="L69" s="9">
        <v>253</v>
      </c>
      <c r="M69" s="9">
        <v>275</v>
      </c>
      <c r="N69" s="9">
        <v>275</v>
      </c>
      <c r="O69" s="9">
        <v>286</v>
      </c>
      <c r="P69" s="9">
        <v>341</v>
      </c>
      <c r="Q69" s="9">
        <v>383</v>
      </c>
      <c r="R69" s="9">
        <v>414</v>
      </c>
      <c r="S69" s="9">
        <v>442</v>
      </c>
      <c r="T69" s="9">
        <v>480</v>
      </c>
      <c r="U69" s="9">
        <v>528</v>
      </c>
      <c r="V69" s="9">
        <v>562</v>
      </c>
      <c r="W69" s="9">
        <v>632</v>
      </c>
      <c r="X69" s="9">
        <v>684</v>
      </c>
      <c r="Y69" s="9">
        <v>730</v>
      </c>
      <c r="Z69" s="9">
        <v>756</v>
      </c>
      <c r="AA69" s="9">
        <v>802</v>
      </c>
      <c r="AB69" s="9">
        <v>841</v>
      </c>
      <c r="AC69" s="9">
        <v>897</v>
      </c>
      <c r="AD69" s="9">
        <v>934</v>
      </c>
    </row>
    <row r="70" spans="1:33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New Zealand</v>
      </c>
      <c r="D70" s="6">
        <f>MAX(I70:JF70)</f>
        <v>868</v>
      </c>
      <c r="E70" s="6">
        <f>IF(COUNTIF(I70:XFD70,"&gt;"&amp;0)=0,,HLOOKUP(COUNTIF(I70:XFD70,"&gt;"&amp;0)-1,I$1:XFD70,A70+1,FALSE))</f>
        <v>868</v>
      </c>
      <c r="F70" s="7">
        <f>IF(COUNTIF(I70:XFD70,"&gt;"&amp;0)=0,,HLOOKUP(COUNTIF(I70:XFD70,"&gt;"&amp;0)-MIN($F$1+1,COUNTIF(I70:XFD70,"&gt;"&amp;0)),I$1:XFD70,A70+1,FALSE))</f>
        <v>514</v>
      </c>
      <c r="G70" s="8">
        <f>IF(COUNTIF(I70:XFD70,"&gt;"&amp;0)=0,,(E70/F70)^(1/MIN(COUNTIF(I70:XFD70,"&gt;"&amp;0)-1,$F$1)))</f>
        <v>1.1104814831095728</v>
      </c>
      <c r="H70" s="13" t="s">
        <v>95</v>
      </c>
      <c r="I70" s="9">
        <v>102</v>
      </c>
      <c r="J70" s="9">
        <v>102</v>
      </c>
      <c r="K70" s="9">
        <v>155</v>
      </c>
      <c r="L70" s="9">
        <v>205</v>
      </c>
      <c r="M70" s="9">
        <v>283</v>
      </c>
      <c r="N70" s="9">
        <v>368</v>
      </c>
      <c r="O70" s="9">
        <v>451</v>
      </c>
      <c r="P70" s="9">
        <v>514</v>
      </c>
      <c r="Q70" s="9">
        <v>589</v>
      </c>
      <c r="R70" s="9">
        <v>647</v>
      </c>
      <c r="S70" s="9">
        <v>708</v>
      </c>
      <c r="T70" s="9">
        <v>797</v>
      </c>
      <c r="U70" s="9">
        <v>868</v>
      </c>
    </row>
    <row r="71" spans="1:33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Iraq</v>
      </c>
      <c r="D71" s="6">
        <f>MAX(I71:JF71)</f>
        <v>820</v>
      </c>
      <c r="E71" s="6">
        <f>IF(COUNTIF(I71:XFD71,"&gt;"&amp;0)=0,,HLOOKUP(COUNTIF(I71:XFD71,"&gt;"&amp;0)-1,I$1:XFD71,A71+1,FALSE))</f>
        <v>820</v>
      </c>
      <c r="F71" s="7">
        <f>IF(COUNTIF(I71:XFD71,"&gt;"&amp;0)=0,,HLOOKUP(COUNTIF(I71:XFD71,"&gt;"&amp;0)-MIN($F$1+1,COUNTIF(I71:XFD71,"&gt;"&amp;0)),I$1:XFD71,A71+1,FALSE))</f>
        <v>547</v>
      </c>
      <c r="G71" s="8">
        <f>IF(COUNTIF(I71:XFD71,"&gt;"&amp;0)=0,,(E71/F71)^(1/MIN(COUNTIF(I71:XFD71,"&gt;"&amp;0)-1,$F$1)))</f>
        <v>1.0843395669061671</v>
      </c>
      <c r="H71" s="13" t="s">
        <v>70</v>
      </c>
      <c r="I71" s="9">
        <v>101</v>
      </c>
      <c r="J71" s="9">
        <v>110</v>
      </c>
      <c r="K71" s="9">
        <v>116</v>
      </c>
      <c r="L71" s="9">
        <v>124</v>
      </c>
      <c r="M71" s="9">
        <v>154</v>
      </c>
      <c r="N71" s="9">
        <v>164</v>
      </c>
      <c r="O71" s="9">
        <v>192</v>
      </c>
      <c r="P71" s="9">
        <v>208</v>
      </c>
      <c r="Q71" s="9">
        <v>214</v>
      </c>
      <c r="R71" s="9">
        <v>233</v>
      </c>
      <c r="S71" s="9">
        <v>266</v>
      </c>
      <c r="T71" s="9">
        <v>316</v>
      </c>
      <c r="U71" s="9">
        <v>346</v>
      </c>
      <c r="V71" s="9">
        <v>382</v>
      </c>
      <c r="W71" s="9">
        <v>458</v>
      </c>
      <c r="X71" s="9">
        <v>506</v>
      </c>
      <c r="Y71" s="9">
        <v>547</v>
      </c>
      <c r="Z71" s="9">
        <v>630</v>
      </c>
      <c r="AA71" s="9">
        <v>694</v>
      </c>
      <c r="AB71" s="9">
        <v>728</v>
      </c>
      <c r="AC71" s="9">
        <v>772</v>
      </c>
      <c r="AD71" s="9">
        <v>820</v>
      </c>
    </row>
    <row r="72" spans="1:33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Morocco</v>
      </c>
      <c r="D72" s="6">
        <f>MAX(I72:JF72)</f>
        <v>791</v>
      </c>
      <c r="E72" s="6">
        <f>IF(COUNTIF(I72:XFD72,"&gt;"&amp;0)=0,,HLOOKUP(COUNTIF(I72:XFD72,"&gt;"&amp;0)-1,I$1:XFD72,A72+1,FALSE))</f>
        <v>791</v>
      </c>
      <c r="F72" s="7">
        <f>IF(COUNTIF(I72:XFD72,"&gt;"&amp;0)=0,,HLOOKUP(COUNTIF(I72:XFD72,"&gt;"&amp;0)-MIN($F$1+1,COUNTIF(I72:XFD72,"&gt;"&amp;0)),I$1:XFD72,A72+1,FALSE))</f>
        <v>479</v>
      </c>
      <c r="G72" s="8">
        <f>IF(COUNTIF(I72:XFD72,"&gt;"&amp;0)=0,,(E72/F72)^(1/MIN(COUNTIF(I72:XFD72,"&gt;"&amp;0)-1,$F$1)))</f>
        <v>1.1055240479332935</v>
      </c>
      <c r="H72" s="13" t="s">
        <v>112</v>
      </c>
      <c r="I72" s="9">
        <v>115</v>
      </c>
      <c r="J72" s="9">
        <v>143</v>
      </c>
      <c r="K72" s="9">
        <v>170</v>
      </c>
      <c r="L72" s="9">
        <v>225</v>
      </c>
      <c r="M72" s="9">
        <v>275</v>
      </c>
      <c r="N72" s="9">
        <v>345</v>
      </c>
      <c r="O72" s="9">
        <v>402</v>
      </c>
      <c r="P72" s="9">
        <v>479</v>
      </c>
      <c r="Q72" s="9">
        <v>556</v>
      </c>
      <c r="R72" s="9">
        <v>617</v>
      </c>
      <c r="S72" s="9">
        <v>654</v>
      </c>
      <c r="T72" s="9">
        <v>708</v>
      </c>
      <c r="U72" s="9">
        <v>791</v>
      </c>
    </row>
    <row r="73" spans="1:33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Armenia</v>
      </c>
      <c r="D73" s="6">
        <f>MAX(I73:JF73)</f>
        <v>736</v>
      </c>
      <c r="E73" s="6">
        <f>IF(COUNTIF(I73:XFD73,"&gt;"&amp;0)=0,,HLOOKUP(COUNTIF(I73:XFD73,"&gt;"&amp;0)-1,I$1:XFD73,A73+1,FALSE))</f>
        <v>736</v>
      </c>
      <c r="F73" s="7">
        <f>IF(COUNTIF(I73:XFD73,"&gt;"&amp;0)=0,,HLOOKUP(COUNTIF(I73:XFD73,"&gt;"&amp;0)-MIN($F$1+1,COUNTIF(I73:XFD73,"&gt;"&amp;0)),I$1:XFD73,A73+1,FALSE))</f>
        <v>424</v>
      </c>
      <c r="G73" s="8">
        <f>IF(COUNTIF(I73:XFD73,"&gt;"&amp;0)=0,,(E73/F73)^(1/MIN(COUNTIF(I73:XFD73,"&gt;"&amp;0)-1,$F$1)))</f>
        <v>1.1166122590012486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  <c r="Q73" s="9">
        <v>329</v>
      </c>
      <c r="R73" s="9">
        <v>407</v>
      </c>
      <c r="S73" s="9">
        <v>424</v>
      </c>
      <c r="T73" s="9">
        <v>482</v>
      </c>
      <c r="U73" s="9">
        <v>532</v>
      </c>
      <c r="V73" s="9">
        <v>571</v>
      </c>
      <c r="W73" s="9">
        <v>663</v>
      </c>
      <c r="X73" s="9">
        <v>736</v>
      </c>
    </row>
    <row r="74" spans="1:33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Lithuania</v>
      </c>
      <c r="D74" s="6">
        <f>MAX(I74:JF74)</f>
        <v>696</v>
      </c>
      <c r="E74" s="6">
        <f>IF(COUNTIF(I74:XFD74,"&gt;"&amp;0)=0,,HLOOKUP(COUNTIF(I74:XFD74,"&gt;"&amp;0)-1,I$1:XFD74,A74+1,FALSE))</f>
        <v>696</v>
      </c>
      <c r="F74" s="7">
        <f>IF(COUNTIF(I74:XFD74,"&gt;"&amp;0)=0,,HLOOKUP(COUNTIF(I74:XFD74,"&gt;"&amp;0)-MIN($F$1+1,COUNTIF(I74:XFD74,"&gt;"&amp;0)),I$1:XFD74,A74+1,FALSE))</f>
        <v>460</v>
      </c>
      <c r="G74" s="8">
        <f>IF(COUNTIF(I74:XFD74,"&gt;"&amp;0)=0,,(E74/F74)^(1/MIN(COUNTIF(I74:XFD74,"&gt;"&amp;0)-1,$F$1)))</f>
        <v>1.0863512829487585</v>
      </c>
      <c r="H74" s="13" t="s">
        <v>93</v>
      </c>
      <c r="I74" s="9">
        <v>143</v>
      </c>
      <c r="J74" s="9">
        <v>179</v>
      </c>
      <c r="K74" s="9">
        <v>209</v>
      </c>
      <c r="L74" s="9">
        <v>274</v>
      </c>
      <c r="M74" s="9">
        <v>299</v>
      </c>
      <c r="N74" s="9">
        <v>358</v>
      </c>
      <c r="O74" s="9">
        <v>394</v>
      </c>
      <c r="P74" s="9">
        <v>460</v>
      </c>
      <c r="Q74" s="9">
        <v>491</v>
      </c>
      <c r="R74" s="9">
        <v>537</v>
      </c>
      <c r="S74" s="9">
        <v>581</v>
      </c>
      <c r="T74" s="9">
        <v>649</v>
      </c>
      <c r="U74" s="9">
        <v>696</v>
      </c>
    </row>
    <row r="75" spans="1:33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Bahrain</v>
      </c>
      <c r="D75" s="6">
        <f>MAX(I75:JF75)</f>
        <v>672</v>
      </c>
      <c r="E75" s="6">
        <f>IF(COUNTIF(I75:XFD75,"&gt;"&amp;0)=0,,HLOOKUP(COUNTIF(I75:XFD75,"&gt;"&amp;0)-1,I$1:XFD75,A75+1,FALSE))</f>
        <v>672</v>
      </c>
      <c r="F75" s="7">
        <f>IF(COUNTIF(I75:XFD75,"&gt;"&amp;0)=0,,HLOOKUP(COUNTIF(I75:XFD75,"&gt;"&amp;0)-MIN($F$1+1,COUNTIF(I75:XFD75,"&gt;"&amp;0)),I$1:XFD75,A75+1,FALSE))</f>
        <v>499</v>
      </c>
      <c r="G75" s="8">
        <f>IF(COUNTIF(I75:XFD75,"&gt;"&amp;0)=0,,(E75/F75)^(1/MIN(COUNTIF(I75:XFD75,"&gt;"&amp;0)-1,$F$1)))</f>
        <v>1.0613380771221725</v>
      </c>
      <c r="H75" s="13" t="s">
        <v>73</v>
      </c>
      <c r="I75" s="9">
        <v>110</v>
      </c>
      <c r="J75" s="9">
        <v>195</v>
      </c>
      <c r="K75" s="9">
        <v>195</v>
      </c>
      <c r="L75" s="9">
        <v>195</v>
      </c>
      <c r="M75" s="9">
        <v>210</v>
      </c>
      <c r="N75" s="9">
        <v>214</v>
      </c>
      <c r="O75" s="9">
        <v>214</v>
      </c>
      <c r="P75" s="9">
        <v>228</v>
      </c>
      <c r="Q75" s="9">
        <v>256</v>
      </c>
      <c r="R75" s="9">
        <v>278</v>
      </c>
      <c r="S75" s="9">
        <v>285</v>
      </c>
      <c r="T75" s="9">
        <v>305</v>
      </c>
      <c r="U75" s="9">
        <v>334</v>
      </c>
      <c r="V75" s="9">
        <v>377</v>
      </c>
      <c r="W75" s="9">
        <v>392</v>
      </c>
      <c r="X75" s="9">
        <v>419</v>
      </c>
      <c r="Y75" s="9">
        <v>458</v>
      </c>
      <c r="Z75" s="9">
        <v>466</v>
      </c>
      <c r="AA75" s="9">
        <v>476</v>
      </c>
      <c r="AB75" s="9">
        <v>499</v>
      </c>
      <c r="AC75" s="9">
        <v>515</v>
      </c>
      <c r="AD75" s="9">
        <v>567</v>
      </c>
      <c r="AE75" s="9">
        <v>569</v>
      </c>
      <c r="AF75" s="9">
        <v>643</v>
      </c>
      <c r="AG75" s="9">
        <v>672</v>
      </c>
    </row>
    <row r="76" spans="1:33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Hungary</v>
      </c>
      <c r="D76" s="6">
        <f>MAX(I76:JF76)</f>
        <v>623</v>
      </c>
      <c r="E76" s="6">
        <f>IF(COUNTIF(I76:XFD76,"&gt;"&amp;0)=0,,HLOOKUP(COUNTIF(I76:XFD76,"&gt;"&amp;0)-1,I$1:XFD76,A76+1,FALSE))</f>
        <v>623</v>
      </c>
      <c r="F76" s="7">
        <f>IF(COUNTIF(I76:XFD76,"&gt;"&amp;0)=0,,HLOOKUP(COUNTIF(I76:XFD76,"&gt;"&amp;0)-MIN($F$1+1,COUNTIF(I76:XFD76,"&gt;"&amp;0)),I$1:XFD76,A76+1,FALSE))</f>
        <v>408</v>
      </c>
      <c r="G76" s="8">
        <f>IF(COUNTIF(I76:XFD76,"&gt;"&amp;0)=0,,(E76/F76)^(1/MIN(COUNTIF(I76:XFD76,"&gt;"&amp;0)-1,$F$1)))</f>
        <v>1.0883424697301691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  <c r="T76" s="9">
        <v>525</v>
      </c>
      <c r="U76" s="9">
        <v>585</v>
      </c>
      <c r="V76" s="9">
        <v>623</v>
      </c>
    </row>
    <row r="77" spans="1:33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Moldova</v>
      </c>
      <c r="D77" s="6">
        <f>MAX(I77:JF77)</f>
        <v>591</v>
      </c>
      <c r="E77" s="6">
        <f>IF(COUNTIF(I77:XFD77,"&gt;"&amp;0)=0,,HLOOKUP(COUNTIF(I77:XFD77,"&gt;"&amp;0)-1,I$1:XFD77,A77+1,FALSE))</f>
        <v>591</v>
      </c>
      <c r="F77" s="7">
        <f>IF(COUNTIF(I77:XFD77,"&gt;"&amp;0)=0,,HLOOKUP(COUNTIF(I77:XFD77,"&gt;"&amp;0)-MIN($F$1+1,COUNTIF(I77:XFD77,"&gt;"&amp;0)),I$1:XFD77,A77+1,FALSE))</f>
        <v>263</v>
      </c>
      <c r="G77" s="8">
        <f>IF(COUNTIF(I77:XFD77,"&gt;"&amp;0)=0,,(E77/F77)^(1/MIN(COUNTIF(I77:XFD77,"&gt;"&amp;0)-1,$F$1)))</f>
        <v>1.1757807523816772</v>
      </c>
      <c r="H77" s="13" t="s">
        <v>345</v>
      </c>
      <c r="I77" s="9">
        <v>109</v>
      </c>
      <c r="J77" s="9">
        <v>125</v>
      </c>
      <c r="K77" s="9">
        <v>149</v>
      </c>
      <c r="L77" s="9">
        <v>177</v>
      </c>
      <c r="M77" s="9">
        <v>199</v>
      </c>
      <c r="N77" s="9">
        <v>231</v>
      </c>
      <c r="O77" s="9">
        <v>263</v>
      </c>
      <c r="P77" s="9">
        <v>298</v>
      </c>
      <c r="Q77" s="9">
        <v>353</v>
      </c>
      <c r="R77" s="9">
        <v>423</v>
      </c>
      <c r="S77" s="9">
        <v>505</v>
      </c>
      <c r="T77" s="9">
        <v>591</v>
      </c>
    </row>
    <row r="78" spans="1:33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Bosnia and Herzegovina</v>
      </c>
      <c r="D78" s="6">
        <f>MAX(I78:JF78)</f>
        <v>579</v>
      </c>
      <c r="E78" s="6">
        <f>IF(COUNTIF(I78:XFD78,"&gt;"&amp;0)=0,,HLOOKUP(COUNTIF(I78:XFD78,"&gt;"&amp;0)-1,I$1:XFD78,A78+1,FALSE))</f>
        <v>579</v>
      </c>
      <c r="F78" s="7">
        <f>IF(COUNTIF(I78:XFD78,"&gt;"&amp;0)=0,,HLOOKUP(COUNTIF(I78:XFD78,"&gt;"&amp;0)-MIN($F$1+1,COUNTIF(I78:XFD78,"&gt;"&amp;0)),I$1:XFD78,A78+1,FALSE))</f>
        <v>323</v>
      </c>
      <c r="G78" s="8">
        <f>IF(COUNTIF(I78:XFD78,"&gt;"&amp;0)=0,,(E78/F78)^(1/MIN(COUNTIF(I78:XFD78,"&gt;"&amp;0)-1,$F$1)))</f>
        <v>1.1238159931072615</v>
      </c>
      <c r="H78" s="13" t="s">
        <v>140</v>
      </c>
      <c r="I78" s="9">
        <v>126</v>
      </c>
      <c r="J78" s="9">
        <v>136</v>
      </c>
      <c r="K78" s="9">
        <v>166</v>
      </c>
      <c r="L78" s="9">
        <v>176</v>
      </c>
      <c r="M78" s="9">
        <v>191</v>
      </c>
      <c r="N78" s="9">
        <v>237</v>
      </c>
      <c r="O78" s="9">
        <v>258</v>
      </c>
      <c r="P78" s="9">
        <v>323</v>
      </c>
      <c r="Q78" s="9">
        <v>368</v>
      </c>
      <c r="R78" s="9">
        <v>420</v>
      </c>
      <c r="S78" s="9">
        <v>459</v>
      </c>
      <c r="T78" s="9">
        <v>533</v>
      </c>
      <c r="U78" s="9">
        <v>579</v>
      </c>
    </row>
    <row r="79" spans="1:33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Cameroon</v>
      </c>
      <c r="D79" s="6">
        <f>MAX(I79:JF79)</f>
        <v>509</v>
      </c>
      <c r="E79" s="6">
        <f>IF(COUNTIF(I79:XFD79,"&gt;"&amp;0)=0,,HLOOKUP(COUNTIF(I79:XFD79,"&gt;"&amp;0)-1,I$1:XFD79,A79+1,FALSE))</f>
        <v>509</v>
      </c>
      <c r="F79" s="7">
        <f>IF(COUNTIF(I79:XFD79,"&gt;"&amp;0)=0,,HLOOKUP(COUNTIF(I79:XFD79,"&gt;"&amp;0)-MIN($F$1+1,COUNTIF(I79:XFD79,"&gt;"&amp;0)),I$1:XFD79,A79+1,FALSE))</f>
        <v>139</v>
      </c>
      <c r="G79" s="8">
        <f>IF(COUNTIF(I79:XFD79,"&gt;"&amp;0)=0,,(E79/F79)^(1/MIN(COUNTIF(I79:XFD79,"&gt;"&amp;0)-1,$F$1)))</f>
        <v>1.2964046986790039</v>
      </c>
      <c r="H79" s="13" t="s">
        <v>157</v>
      </c>
      <c r="I79" s="9">
        <v>139</v>
      </c>
      <c r="J79" s="9">
        <v>139</v>
      </c>
      <c r="K79" s="9">
        <v>193</v>
      </c>
      <c r="L79" s="9">
        <v>233</v>
      </c>
      <c r="M79" s="9">
        <v>306</v>
      </c>
      <c r="N79" s="9">
        <v>509</v>
      </c>
    </row>
    <row r="80" spans="1:33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Lebanon</v>
      </c>
      <c r="D80" s="6">
        <f>MAX(I80:JF80)</f>
        <v>508</v>
      </c>
      <c r="E80" s="6">
        <f>IF(COUNTIF(I80:XFD80,"&gt;"&amp;0)=0,,HLOOKUP(COUNTIF(I80:XFD80,"&gt;"&amp;0)-1,I$1:XFD80,A80+1,FALSE))</f>
        <v>508</v>
      </c>
      <c r="F80" s="7">
        <f>IF(COUNTIF(I80:XFD80,"&gt;"&amp;0)=0,,HLOOKUP(COUNTIF(I80:XFD80,"&gt;"&amp;0)-MIN($F$1+1,COUNTIF(I80:XFD80,"&gt;"&amp;0)),I$1:XFD80,A80+1,FALSE))</f>
        <v>438</v>
      </c>
      <c r="G80" s="8">
        <f>IF(COUNTIF(I80:XFD80,"&gt;"&amp;0)=0,,(E80/F80)^(1/MIN(COUNTIF(I80:XFD80,"&gt;"&amp;0)-1,$F$1)))</f>
        <v>1.0300965208770121</v>
      </c>
      <c r="H80" s="13" t="s">
        <v>67</v>
      </c>
      <c r="I80" s="9">
        <v>110</v>
      </c>
      <c r="J80" s="9">
        <v>110</v>
      </c>
      <c r="K80" s="9">
        <v>120</v>
      </c>
      <c r="L80" s="9">
        <v>133</v>
      </c>
      <c r="M80" s="9">
        <v>157</v>
      </c>
      <c r="N80" s="9">
        <v>163</v>
      </c>
      <c r="O80" s="9">
        <v>187</v>
      </c>
      <c r="P80" s="9">
        <v>248</v>
      </c>
      <c r="Q80" s="9">
        <v>267</v>
      </c>
      <c r="R80" s="9">
        <v>318</v>
      </c>
      <c r="S80" s="9">
        <v>333</v>
      </c>
      <c r="T80" s="9">
        <v>368</v>
      </c>
      <c r="U80" s="9">
        <v>391</v>
      </c>
      <c r="V80" s="9">
        <v>412</v>
      </c>
      <c r="W80" s="9">
        <v>438</v>
      </c>
      <c r="X80" s="9">
        <v>446</v>
      </c>
      <c r="Y80" s="9">
        <v>470</v>
      </c>
      <c r="Z80" s="9">
        <v>479</v>
      </c>
      <c r="AA80" s="9">
        <v>494</v>
      </c>
      <c r="AB80" s="9">
        <v>508</v>
      </c>
    </row>
    <row r="81" spans="1:29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Tunisia</v>
      </c>
      <c r="D81" s="6">
        <f>MAX(I81:JF81)</f>
        <v>495</v>
      </c>
      <c r="E81" s="6">
        <f>IF(COUNTIF(I81:XFD81,"&gt;"&amp;0)=0,,HLOOKUP(COUNTIF(I81:XFD81,"&gt;"&amp;0)-1,I$1:XFD81,A81+1,FALSE))</f>
        <v>495</v>
      </c>
      <c r="F81" s="7">
        <f>IF(COUNTIF(I81:XFD81,"&gt;"&amp;0)=0,,HLOOKUP(COUNTIF(I81:XFD81,"&gt;"&amp;0)-MIN($F$1+1,COUNTIF(I81:XFD81,"&gt;"&amp;0)),I$1:XFD81,A81+1,FALSE))</f>
        <v>312</v>
      </c>
      <c r="G81" s="8">
        <f>IF(COUNTIF(I81:XFD81,"&gt;"&amp;0)=0,,(E81/F81)^(1/MIN(COUNTIF(I81:XFD81,"&gt;"&amp;0)-1,$F$1)))</f>
        <v>1.0967057512939236</v>
      </c>
      <c r="H81" s="13" t="s">
        <v>138</v>
      </c>
      <c r="I81" s="9">
        <v>114</v>
      </c>
      <c r="J81" s="9">
        <v>173</v>
      </c>
      <c r="K81" s="9">
        <v>197</v>
      </c>
      <c r="L81" s="9">
        <v>227</v>
      </c>
      <c r="M81" s="9">
        <v>278</v>
      </c>
      <c r="N81" s="9">
        <v>312</v>
      </c>
      <c r="O81" s="9">
        <v>312</v>
      </c>
      <c r="P81" s="9">
        <v>394</v>
      </c>
      <c r="Q81" s="9">
        <v>423</v>
      </c>
      <c r="R81" s="9">
        <v>455</v>
      </c>
      <c r="S81" s="9">
        <v>495</v>
      </c>
    </row>
    <row r="82" spans="1:29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Latvia</v>
      </c>
      <c r="D82" s="6">
        <f>MAX(I82:JF82)</f>
        <v>493</v>
      </c>
      <c r="E82" s="6">
        <f>IF(COUNTIF(I82:XFD82,"&gt;"&amp;0)=0,,HLOOKUP(COUNTIF(I82:XFD82,"&gt;"&amp;0)-1,I$1:XFD82,A82+1,FALSE))</f>
        <v>493</v>
      </c>
      <c r="F82" s="7">
        <f>IF(COUNTIF(I82:XFD82,"&gt;"&amp;0)=0,,HLOOKUP(COUNTIF(I82:XFD82,"&gt;"&amp;0)-MIN($F$1+1,COUNTIF(I82:XFD82,"&gt;"&amp;0)),I$1:XFD82,A82+1,FALSE))</f>
        <v>347</v>
      </c>
      <c r="G82" s="8">
        <f>IF(COUNTIF(I82:XFD82,"&gt;"&amp;0)=0,,(E82/F82)^(1/MIN(COUNTIF(I82:XFD82,"&gt;"&amp;0)-1,$F$1)))</f>
        <v>1.0727622658181757</v>
      </c>
      <c r="H82" s="13" t="s">
        <v>111</v>
      </c>
      <c r="I82" s="9">
        <v>111</v>
      </c>
      <c r="J82" s="9">
        <v>124</v>
      </c>
      <c r="K82" s="9">
        <v>139</v>
      </c>
      <c r="L82" s="9">
        <v>180</v>
      </c>
      <c r="M82" s="9">
        <v>197</v>
      </c>
      <c r="N82" s="9">
        <v>221</v>
      </c>
      <c r="O82" s="9">
        <v>244</v>
      </c>
      <c r="P82" s="9">
        <v>280</v>
      </c>
      <c r="Q82" s="9">
        <v>305</v>
      </c>
      <c r="R82" s="9">
        <v>347</v>
      </c>
      <c r="S82" s="9">
        <v>376</v>
      </c>
      <c r="T82" s="9">
        <v>398</v>
      </c>
      <c r="U82" s="9">
        <v>446</v>
      </c>
      <c r="V82" s="9">
        <v>458</v>
      </c>
      <c r="W82" s="9">
        <v>493</v>
      </c>
    </row>
    <row r="83" spans="1:29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Bulgaria</v>
      </c>
      <c r="D83" s="6">
        <f>MAX(I83:JF83)</f>
        <v>485</v>
      </c>
      <c r="E83" s="6">
        <f>IF(COUNTIF(I83:XFD83,"&gt;"&amp;0)=0,,HLOOKUP(COUNTIF(I83:XFD83,"&gt;"&amp;0)-1,I$1:XFD83,A83+1,FALSE))</f>
        <v>485</v>
      </c>
      <c r="F83" s="7">
        <f>IF(COUNTIF(I83:XFD83,"&gt;"&amp;0)=0,,HLOOKUP(COUNTIF(I83:XFD83,"&gt;"&amp;0)-MIN($F$1+1,COUNTIF(I83:XFD83,"&gt;"&amp;0)),I$1:XFD83,A83+1,FALSE))</f>
        <v>346</v>
      </c>
      <c r="G83" s="8">
        <f>IF(COUNTIF(I83:XFD83,"&gt;"&amp;0)=0,,(E83/F83)^(1/MIN(COUNTIF(I83:XFD83,"&gt;"&amp;0)-1,$F$1)))</f>
        <v>1.0698752182077849</v>
      </c>
      <c r="H83" s="13" t="s">
        <v>199</v>
      </c>
      <c r="I83" s="9">
        <v>127</v>
      </c>
      <c r="J83" s="9">
        <v>163</v>
      </c>
      <c r="K83" s="9">
        <v>187</v>
      </c>
      <c r="L83" s="9">
        <v>201</v>
      </c>
      <c r="M83" s="9">
        <v>218</v>
      </c>
      <c r="N83" s="9">
        <v>242</v>
      </c>
      <c r="O83" s="9">
        <v>264</v>
      </c>
      <c r="P83" s="9">
        <v>293</v>
      </c>
      <c r="Q83" s="9">
        <v>331</v>
      </c>
      <c r="R83" s="9">
        <v>346</v>
      </c>
      <c r="S83" s="9">
        <v>359</v>
      </c>
      <c r="T83" s="9">
        <v>399</v>
      </c>
      <c r="U83" s="9">
        <v>422</v>
      </c>
      <c r="V83" s="9">
        <v>457</v>
      </c>
      <c r="W83" s="9">
        <v>485</v>
      </c>
    </row>
    <row r="84" spans="1:29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Kazakhstan</v>
      </c>
      <c r="D84" s="6">
        <f>MAX(I84:JF84)</f>
        <v>464</v>
      </c>
      <c r="E84" s="6">
        <f>IF(COUNTIF(I84:XFD84,"&gt;"&amp;0)=0,,HLOOKUP(COUNTIF(I84:XFD84,"&gt;"&amp;0)-1,I$1:XFD84,A84+1,FALSE))</f>
        <v>464</v>
      </c>
      <c r="F84" s="7">
        <f>IF(COUNTIF(I84:XFD84,"&gt;"&amp;0)=0,,HLOOKUP(COUNTIF(I84:XFD84,"&gt;"&amp;0)-MIN($F$1+1,COUNTIF(I84:XFD84,"&gt;"&amp;0)),I$1:XFD84,A84+1,FALSE))</f>
        <v>284</v>
      </c>
      <c r="G84" s="8">
        <f>IF(COUNTIF(I84:XFD84,"&gt;"&amp;0)=0,,(E84/F84)^(1/MIN(COUNTIF(I84:XFD84,"&gt;"&amp;0)-1,$F$1)))</f>
        <v>1.1031636118968</v>
      </c>
      <c r="H84" s="13" t="s">
        <v>413</v>
      </c>
      <c r="I84" s="9">
        <v>111</v>
      </c>
      <c r="J84" s="9">
        <v>150</v>
      </c>
      <c r="K84" s="9">
        <v>228</v>
      </c>
      <c r="L84" s="9">
        <v>284</v>
      </c>
      <c r="M84" s="9">
        <v>302</v>
      </c>
      <c r="N84" s="9">
        <v>343</v>
      </c>
      <c r="O84" s="9">
        <v>380</v>
      </c>
      <c r="P84" s="9">
        <v>435</v>
      </c>
      <c r="Q84" s="9">
        <v>464</v>
      </c>
    </row>
    <row r="85" spans="1:29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Slovakia</v>
      </c>
      <c r="D85" s="6">
        <f>MAX(I85:JF85)</f>
        <v>450</v>
      </c>
      <c r="E85" s="6">
        <f>IF(COUNTIF(I85:XFD85,"&gt;"&amp;0)=0,,HLOOKUP(COUNTIF(I85:XFD85,"&gt;"&amp;0)-1,I$1:XFD85,A85+1,FALSE))</f>
        <v>450</v>
      </c>
      <c r="F85" s="7">
        <f>IF(COUNTIF(I85:XFD85,"&gt;"&amp;0)=0,,HLOOKUP(COUNTIF(I85:XFD85,"&gt;"&amp;0)-MIN($F$1+1,COUNTIF(I85:XFD85,"&gt;"&amp;0)),I$1:XFD85,A85+1,FALSE))</f>
        <v>314</v>
      </c>
      <c r="G85" s="8">
        <f>IF(COUNTIF(I85:XFD85,"&gt;"&amp;0)=0,,(E85/F85)^(1/MIN(COUNTIF(I85:XFD85,"&gt;"&amp;0)-1,$F$1)))</f>
        <v>1.0746240928650934</v>
      </c>
      <c r="H85" s="13" t="s">
        <v>162</v>
      </c>
      <c r="I85" s="9">
        <v>105</v>
      </c>
      <c r="J85" s="9">
        <v>123</v>
      </c>
      <c r="K85" s="9">
        <v>137</v>
      </c>
      <c r="L85" s="9">
        <v>178</v>
      </c>
      <c r="M85" s="9">
        <v>185</v>
      </c>
      <c r="N85" s="9">
        <v>186</v>
      </c>
      <c r="O85" s="9">
        <v>204</v>
      </c>
      <c r="P85" s="9">
        <v>216</v>
      </c>
      <c r="Q85" s="9">
        <v>226</v>
      </c>
      <c r="R85" s="9">
        <v>269</v>
      </c>
      <c r="S85" s="9">
        <v>292</v>
      </c>
      <c r="T85" s="9">
        <v>314</v>
      </c>
      <c r="U85" s="9">
        <v>336</v>
      </c>
      <c r="V85" s="9">
        <v>363</v>
      </c>
      <c r="W85" s="9">
        <v>400</v>
      </c>
      <c r="X85" s="9">
        <v>426</v>
      </c>
      <c r="Y85" s="9">
        <v>450</v>
      </c>
    </row>
    <row r="86" spans="1:29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Azerbaijan</v>
      </c>
      <c r="D86" s="6">
        <f>MAX(I86:JF86)</f>
        <v>443</v>
      </c>
      <c r="E86" s="6">
        <f>IF(COUNTIF(I86:XFD86,"&gt;"&amp;0)=0,,HLOOKUP(COUNTIF(I86:XFD86,"&gt;"&amp;0)-1,I$1:XFD86,A86+1,FALSE))</f>
        <v>443</v>
      </c>
      <c r="F86" s="7">
        <f>IF(COUNTIF(I86:XFD86,"&gt;"&amp;0)=0,,HLOOKUP(COUNTIF(I86:XFD86,"&gt;"&amp;0)-MIN($F$1+1,COUNTIF(I86:XFD86,"&gt;"&amp;0)),I$1:XFD86,A86+1,FALSE))</f>
        <v>209</v>
      </c>
      <c r="G86" s="8">
        <f>IF(COUNTIF(I86:XFD86,"&gt;"&amp;0)=0,,(E86/F86)^(1/MIN(COUNTIF(I86:XFD86,"&gt;"&amp;0)-1,$F$1)))</f>
        <v>1.1621213716447651</v>
      </c>
      <c r="H86" s="13" t="s">
        <v>104</v>
      </c>
      <c r="I86" s="9">
        <v>122</v>
      </c>
      <c r="J86" s="9">
        <v>165</v>
      </c>
      <c r="K86" s="9">
        <v>182</v>
      </c>
      <c r="L86" s="9">
        <v>209</v>
      </c>
      <c r="M86" s="9">
        <v>273</v>
      </c>
      <c r="N86" s="9">
        <v>298</v>
      </c>
      <c r="O86" s="9">
        <v>359</v>
      </c>
      <c r="P86" s="9">
        <v>400</v>
      </c>
      <c r="Q86" s="9">
        <v>443</v>
      </c>
    </row>
    <row r="87" spans="1:29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Andorra</v>
      </c>
      <c r="D87" s="6">
        <f>MAX(I87:JF87)</f>
        <v>439</v>
      </c>
      <c r="E87" s="6">
        <f>IF(COUNTIF(I87:XFD87,"&gt;"&amp;0)=0,,HLOOKUP(COUNTIF(I87:XFD87,"&gt;"&amp;0)-1,I$1:XFD87,A87+1,FALSE))</f>
        <v>439</v>
      </c>
      <c r="F87" s="7">
        <f>IF(COUNTIF(I87:XFD87,"&gt;"&amp;0)=0,,HLOOKUP(COUNTIF(I87:XFD87,"&gt;"&amp;0)-MIN($F$1+1,COUNTIF(I87:XFD87,"&gt;"&amp;0)),I$1:XFD87,A87+1,FALSE))</f>
        <v>334</v>
      </c>
      <c r="G87" s="8">
        <f>IF(COUNTIF(I87:XFD87,"&gt;"&amp;0)=0,,(E87/F87)^(1/MIN(COUNTIF(I87:XFD87,"&gt;"&amp;0)-1,$F$1)))</f>
        <v>1.0561937924446099</v>
      </c>
      <c r="H87" s="13" t="s">
        <v>109</v>
      </c>
      <c r="I87" s="9">
        <v>113</v>
      </c>
      <c r="J87" s="9">
        <v>133</v>
      </c>
      <c r="K87" s="9">
        <v>164</v>
      </c>
      <c r="L87" s="9">
        <v>188</v>
      </c>
      <c r="M87" s="9">
        <v>224</v>
      </c>
      <c r="N87" s="9">
        <v>267</v>
      </c>
      <c r="O87" s="9">
        <v>308</v>
      </c>
      <c r="P87" s="9">
        <v>334</v>
      </c>
      <c r="Q87" s="9">
        <v>370</v>
      </c>
      <c r="R87" s="9">
        <v>376</v>
      </c>
      <c r="S87" s="9">
        <v>390</v>
      </c>
      <c r="T87" s="9">
        <v>428</v>
      </c>
      <c r="U87" s="9">
        <v>439</v>
      </c>
    </row>
    <row r="88" spans="1:29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North Macedonia</v>
      </c>
      <c r="D88" s="6">
        <f>MAX(I88:JF88)</f>
        <v>430</v>
      </c>
      <c r="E88" s="6">
        <f>IF(COUNTIF(I88:XFD88,"&gt;"&amp;0)=0,,HLOOKUP(COUNTIF(I88:XFD88,"&gt;"&amp;0)-1,I$1:XFD88,A88+1,FALSE))</f>
        <v>430</v>
      </c>
      <c r="F88" s="7">
        <f>IF(COUNTIF(I88:XFD88,"&gt;"&amp;0)=0,,HLOOKUP(COUNTIF(I88:XFD88,"&gt;"&amp;0)-MIN($F$1+1,COUNTIF(I88:XFD88,"&gt;"&amp;0)),I$1:XFD88,A88+1,FALSE))</f>
        <v>259</v>
      </c>
      <c r="G88" s="8">
        <f>IF(COUNTIF(I88:XFD88,"&gt;"&amp;0)=0,,(E88/F88)^(1/MIN(COUNTIF(I88:XFD88,"&gt;"&amp;0)-1,$F$1)))</f>
        <v>1.1067097557241419</v>
      </c>
      <c r="H88" s="13" t="s">
        <v>84</v>
      </c>
      <c r="I88" s="9">
        <v>115</v>
      </c>
      <c r="J88" s="9">
        <v>136</v>
      </c>
      <c r="K88" s="9">
        <v>148</v>
      </c>
      <c r="L88" s="9">
        <v>177</v>
      </c>
      <c r="M88" s="9">
        <v>201</v>
      </c>
      <c r="N88" s="9">
        <v>219</v>
      </c>
      <c r="O88" s="9">
        <v>241</v>
      </c>
      <c r="P88" s="9">
        <v>259</v>
      </c>
      <c r="Q88" s="9">
        <v>285</v>
      </c>
      <c r="R88" s="9">
        <v>329</v>
      </c>
      <c r="S88" s="9">
        <v>354</v>
      </c>
      <c r="T88" s="9">
        <v>384</v>
      </c>
      <c r="U88" s="9">
        <v>430</v>
      </c>
    </row>
    <row r="89" spans="1:29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Kuwait</v>
      </c>
      <c r="D89" s="6">
        <f>MAX(I89:JF89)</f>
        <v>417</v>
      </c>
      <c r="E89" s="6">
        <f>IF(COUNTIF(I89:XFD89,"&gt;"&amp;0)=0,,HLOOKUP(COUNTIF(I89:XFD89,"&gt;"&amp;0)-1,I$1:XFD89,A89+1,FALSE))</f>
        <v>417</v>
      </c>
      <c r="F89" s="7">
        <f>IF(COUNTIF(I89:XFD89,"&gt;"&amp;0)=0,,HLOOKUP(COUNTIF(I89:XFD89,"&gt;"&amp;0)-MIN($F$1+1,COUNTIF(I89:XFD89,"&gt;"&amp;0)),I$1:XFD89,A89+1,FALSE))</f>
        <v>255</v>
      </c>
      <c r="G89" s="8">
        <f>IF(COUNTIF(I89:XFD89,"&gt;"&amp;0)=0,,(E89/F89)^(1/MIN(COUNTIF(I89:XFD89,"&gt;"&amp;0)-1,$F$1)))</f>
        <v>1.103364927302297</v>
      </c>
      <c r="H89" s="13" t="s">
        <v>74</v>
      </c>
      <c r="I89" s="9">
        <v>104</v>
      </c>
      <c r="J89" s="9">
        <v>112</v>
      </c>
      <c r="K89" s="9">
        <v>123</v>
      </c>
      <c r="L89" s="9">
        <v>130</v>
      </c>
      <c r="M89" s="9">
        <v>142</v>
      </c>
      <c r="N89" s="9">
        <v>148</v>
      </c>
      <c r="O89" s="9">
        <v>159</v>
      </c>
      <c r="P89" s="9">
        <v>176</v>
      </c>
      <c r="Q89" s="9">
        <v>188</v>
      </c>
      <c r="R89" s="9">
        <v>189</v>
      </c>
      <c r="S89" s="9">
        <v>191</v>
      </c>
      <c r="T89" s="9">
        <v>195</v>
      </c>
      <c r="U89" s="9">
        <v>208</v>
      </c>
      <c r="V89" s="9">
        <v>225</v>
      </c>
      <c r="W89" s="9">
        <v>235</v>
      </c>
      <c r="X89" s="9">
        <v>255</v>
      </c>
      <c r="Y89" s="9">
        <v>266</v>
      </c>
      <c r="Z89" s="9">
        <v>289</v>
      </c>
      <c r="AA89" s="9">
        <v>317</v>
      </c>
      <c r="AB89" s="9">
        <v>342</v>
      </c>
      <c r="AC89" s="9">
        <v>417</v>
      </c>
    </row>
    <row r="90" spans="1:29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Costa Rica</v>
      </c>
      <c r="D90" s="6">
        <f>MAX(I90:JF90)</f>
        <v>416</v>
      </c>
      <c r="E90" s="6">
        <f>IF(COUNTIF(I90:XFD90,"&gt;"&amp;0)=0,,HLOOKUP(COUNTIF(I90:XFD90,"&gt;"&amp;0)-1,I$1:XFD90,A90+1,FALSE))</f>
        <v>416</v>
      </c>
      <c r="F90" s="7">
        <f>IF(COUNTIF(I90:XFD90,"&gt;"&amp;0)=0,,HLOOKUP(COUNTIF(I90:XFD90,"&gt;"&amp;0)-MIN($F$1+1,COUNTIF(I90:XFD90,"&gt;"&amp;0)),I$1:XFD90,A90+1,FALSE))</f>
        <v>314</v>
      </c>
      <c r="G90" s="8">
        <f>IF(COUNTIF(I90:XFD90,"&gt;"&amp;0)=0,,(E90/F90)^(1/MIN(COUNTIF(I90:XFD90,"&gt;"&amp;0)-1,$F$1)))</f>
        <v>1.0578710603353454</v>
      </c>
      <c r="H90" s="13" t="s">
        <v>159</v>
      </c>
      <c r="I90" s="9">
        <v>117</v>
      </c>
      <c r="J90" s="9">
        <v>134</v>
      </c>
      <c r="K90" s="9">
        <v>158</v>
      </c>
      <c r="L90" s="9">
        <v>177</v>
      </c>
      <c r="M90" s="9">
        <v>201</v>
      </c>
      <c r="N90" s="9">
        <v>231</v>
      </c>
      <c r="O90" s="9">
        <v>263</v>
      </c>
      <c r="P90" s="9">
        <v>295</v>
      </c>
      <c r="Q90" s="9">
        <v>314</v>
      </c>
      <c r="R90" s="9">
        <v>330</v>
      </c>
      <c r="S90" s="9">
        <v>347</v>
      </c>
      <c r="T90" s="9">
        <v>375</v>
      </c>
      <c r="U90" s="9">
        <v>396</v>
      </c>
      <c r="V90" s="9">
        <v>416</v>
      </c>
    </row>
    <row r="91" spans="1:29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Cyprus</v>
      </c>
      <c r="D91" s="6">
        <f>MAX(I91:JF91)</f>
        <v>396</v>
      </c>
      <c r="E91" s="6">
        <f>IF(COUNTIF(I91:XFD91,"&gt;"&amp;0)=0,,HLOOKUP(COUNTIF(I91:XFD91,"&gt;"&amp;0)-1,I$1:XFD91,A91+1,FALSE))</f>
        <v>396</v>
      </c>
      <c r="F91" s="7">
        <f>IF(COUNTIF(I91:XFD91,"&gt;"&amp;0)=0,,HLOOKUP(COUNTIF(I91:XFD91,"&gt;"&amp;0)-MIN($F$1+1,COUNTIF(I91:XFD91,"&gt;"&amp;0)),I$1:XFD91,A91+1,FALSE))</f>
        <v>214</v>
      </c>
      <c r="G91" s="8">
        <f>IF(COUNTIF(I91:XFD91,"&gt;"&amp;0)=0,,(E91/F91)^(1/MIN(COUNTIF(I91:XFD91,"&gt;"&amp;0)-1,$F$1)))</f>
        <v>1.1309835351491324</v>
      </c>
      <c r="H91" s="13" t="s">
        <v>231</v>
      </c>
      <c r="I91" s="9">
        <v>116</v>
      </c>
      <c r="J91" s="9">
        <v>124</v>
      </c>
      <c r="K91" s="9">
        <v>132</v>
      </c>
      <c r="L91" s="9">
        <v>146</v>
      </c>
      <c r="M91" s="9">
        <v>162</v>
      </c>
      <c r="N91" s="9">
        <v>179</v>
      </c>
      <c r="O91" s="9">
        <v>214</v>
      </c>
      <c r="P91" s="9">
        <v>230</v>
      </c>
      <c r="Q91" s="9">
        <v>262</v>
      </c>
      <c r="R91" s="9">
        <v>320</v>
      </c>
      <c r="S91" s="9">
        <v>356</v>
      </c>
      <c r="T91" s="9">
        <v>396</v>
      </c>
    </row>
    <row r="92" spans="1:29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Belarus</v>
      </c>
      <c r="D92" s="6">
        <f>MAX(I92:JF92)</f>
        <v>351</v>
      </c>
      <c r="E92" s="6">
        <f>IF(COUNTIF(I92:XFD92,"&gt;"&amp;0)=0,,HLOOKUP(COUNTIF(I92:XFD92,"&gt;"&amp;0)-1,I$1:XFD92,A92+1,FALSE))</f>
        <v>351</v>
      </c>
      <c r="F92" s="7">
        <f>IF(COUNTIF(I92:XFD92,"&gt;"&amp;0)=0,,HLOOKUP(COUNTIF(I92:XFD92,"&gt;"&amp;0)-MIN($F$1+1,COUNTIF(I92:XFD92,"&gt;"&amp;0)),I$1:XFD92,A92+1,FALSE))</f>
        <v>152</v>
      </c>
      <c r="G92" s="8">
        <f>IF(COUNTIF(I92:XFD92,"&gt;"&amp;0)=0,,(E92/F92)^(1/MIN(COUNTIF(I92:XFD92,"&gt;"&amp;0)-1,$F$1)))</f>
        <v>1.2327240872914074</v>
      </c>
      <c r="H92" s="13" t="s">
        <v>91</v>
      </c>
      <c r="I92" s="9">
        <v>152</v>
      </c>
      <c r="J92" s="9">
        <v>152</v>
      </c>
      <c r="K92" s="9">
        <v>163</v>
      </c>
      <c r="L92" s="9">
        <v>304</v>
      </c>
      <c r="M92" s="9">
        <v>351</v>
      </c>
    </row>
    <row r="93" spans="1:29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Taiwan*</v>
      </c>
      <c r="D93" s="6">
        <f>MAX(I93:JF93)</f>
        <v>348</v>
      </c>
      <c r="E93" s="6">
        <f>IF(COUNTIF(I93:XFD93,"&gt;"&amp;0)=0,,HLOOKUP(COUNTIF(I93:XFD93,"&gt;"&amp;0)-1,I$1:XFD93,A93+1,FALSE))</f>
        <v>348</v>
      </c>
      <c r="F93" s="7">
        <f>IF(COUNTIF(I93:XFD93,"&gt;"&amp;0)=0,,HLOOKUP(COUNTIF(I93:XFD93,"&gt;"&amp;0)-MIN($F$1+1,COUNTIF(I93:XFD93,"&gt;"&amp;0)),I$1:XFD93,A93+1,FALSE))</f>
        <v>298</v>
      </c>
      <c r="G93" s="8">
        <f>IF(COUNTIF(I93:XFD93,"&gt;"&amp;0)=0,,(E93/F93)^(1/MIN(COUNTIF(I93:XFD93,"&gt;"&amp;0)-1,$F$1)))</f>
        <v>1.0315079891270091</v>
      </c>
      <c r="H93" s="13" t="s">
        <v>342</v>
      </c>
      <c r="I93" s="9">
        <v>100</v>
      </c>
      <c r="J93" s="9">
        <v>108</v>
      </c>
      <c r="K93" s="9">
        <v>135</v>
      </c>
      <c r="L93" s="9">
        <v>153</v>
      </c>
      <c r="M93" s="9">
        <v>169</v>
      </c>
      <c r="N93" s="9">
        <v>195</v>
      </c>
      <c r="O93" s="9">
        <v>215</v>
      </c>
      <c r="P93" s="9">
        <v>235</v>
      </c>
      <c r="Q93" s="9">
        <v>252</v>
      </c>
      <c r="R93" s="9">
        <v>267</v>
      </c>
      <c r="S93" s="9">
        <v>283</v>
      </c>
      <c r="T93" s="9">
        <v>298</v>
      </c>
      <c r="U93" s="9">
        <v>306</v>
      </c>
      <c r="V93" s="9">
        <v>322</v>
      </c>
      <c r="W93" s="9">
        <v>329</v>
      </c>
      <c r="X93" s="9">
        <v>339</v>
      </c>
      <c r="Y93" s="9">
        <v>348</v>
      </c>
    </row>
    <row r="94" spans="1:29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Jordan</v>
      </c>
      <c r="D94" s="6">
        <f>MAX(I94:JF94)</f>
        <v>310</v>
      </c>
      <c r="E94" s="6">
        <f>IF(COUNTIF(I94:XFD94,"&gt;"&amp;0)=0,,HLOOKUP(COUNTIF(I94:XFD94,"&gt;"&amp;0)-1,I$1:XFD94,A94+1,FALSE))</f>
        <v>310</v>
      </c>
      <c r="F94" s="7">
        <f>IF(COUNTIF(I94:XFD94,"&gt;"&amp;0)=0,,HLOOKUP(COUNTIF(I94:XFD94,"&gt;"&amp;0)-MIN($F$1+1,COUNTIF(I94:XFD94,"&gt;"&amp;0)),I$1:XFD94,A94+1,FALSE))</f>
        <v>259</v>
      </c>
      <c r="G94" s="8">
        <f>IF(COUNTIF(I94:XFD94,"&gt;"&amp;0)=0,,(E94/F94)^(1/MIN(COUNTIF(I94:XFD94,"&gt;"&amp;0)-1,$F$1)))</f>
        <v>1.0366028199522954</v>
      </c>
      <c r="H94" s="13" t="s">
        <v>125</v>
      </c>
      <c r="I94" s="9">
        <v>112</v>
      </c>
      <c r="J94" s="9">
        <v>127</v>
      </c>
      <c r="K94" s="9">
        <v>154</v>
      </c>
      <c r="L94" s="9">
        <v>172</v>
      </c>
      <c r="M94" s="9">
        <v>212</v>
      </c>
      <c r="N94" s="9">
        <v>235</v>
      </c>
      <c r="O94" s="9">
        <v>246</v>
      </c>
      <c r="P94" s="9">
        <v>259</v>
      </c>
      <c r="Q94" s="9">
        <v>268</v>
      </c>
      <c r="R94" s="9">
        <v>274</v>
      </c>
      <c r="S94" s="9">
        <v>278</v>
      </c>
      <c r="T94" s="9">
        <v>299</v>
      </c>
      <c r="U94" s="9">
        <v>310</v>
      </c>
    </row>
    <row r="95" spans="1:29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Albania</v>
      </c>
      <c r="D95" s="6">
        <f>MAX(I95:JF95)</f>
        <v>304</v>
      </c>
      <c r="E95" s="6">
        <f>IF(COUNTIF(I95:XFD95,"&gt;"&amp;0)=0,,HLOOKUP(COUNTIF(I95:XFD95,"&gt;"&amp;0)-1,I$1:XFD95,A95+1,FALSE))</f>
        <v>304</v>
      </c>
      <c r="F95" s="7">
        <f>IF(COUNTIF(I95:XFD95,"&gt;"&amp;0)=0,,HLOOKUP(COUNTIF(I95:XFD95,"&gt;"&amp;0)-MIN($F$1+1,COUNTIF(I95:XFD95,"&gt;"&amp;0)),I$1:XFD95,A95+1,FALSE))</f>
        <v>212</v>
      </c>
      <c r="G95" s="8">
        <f>IF(COUNTIF(I95:XFD95,"&gt;"&amp;0)=0,,(E95/F95)^(1/MIN(COUNTIF(I95:XFD95,"&gt;"&amp;0)-1,$F$1)))</f>
        <v>1.0747502245718175</v>
      </c>
      <c r="H95" s="13" t="s">
        <v>230</v>
      </c>
      <c r="I95" s="9">
        <v>104</v>
      </c>
      <c r="J95" s="9">
        <v>123</v>
      </c>
      <c r="K95" s="9">
        <v>146</v>
      </c>
      <c r="L95" s="9">
        <v>174</v>
      </c>
      <c r="M95" s="9">
        <v>186</v>
      </c>
      <c r="N95" s="9">
        <v>197</v>
      </c>
      <c r="O95" s="9">
        <v>212</v>
      </c>
      <c r="P95" s="9">
        <v>223</v>
      </c>
      <c r="Q95" s="9">
        <v>243</v>
      </c>
      <c r="R95" s="9">
        <v>259</v>
      </c>
      <c r="S95" s="9">
        <v>277</v>
      </c>
      <c r="T95" s="9">
        <v>304</v>
      </c>
    </row>
    <row r="96" spans="1:29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Burkina Faso</v>
      </c>
      <c r="D96" s="6">
        <f>MAX(I96:JF96)</f>
        <v>302</v>
      </c>
      <c r="E96" s="6">
        <f>IF(COUNTIF(I96:XFD96,"&gt;"&amp;0)=0,,HLOOKUP(COUNTIF(I96:XFD96,"&gt;"&amp;0)-1,I$1:XFD96,A96+1,FALSE))</f>
        <v>302</v>
      </c>
      <c r="F96" s="7">
        <f>IF(COUNTIF(I96:XFD96,"&gt;"&amp;0)=0,,HLOOKUP(COUNTIF(I96:XFD96,"&gt;"&amp;0)-MIN($F$1+1,COUNTIF(I96:XFD96,"&gt;"&amp;0)),I$1:XFD96,A96+1,FALSE))</f>
        <v>222</v>
      </c>
      <c r="G96" s="8">
        <f>IF(COUNTIF(I96:XFD96,"&gt;"&amp;0)=0,,(E96/F96)^(1/MIN(COUNTIF(I96:XFD96,"&gt;"&amp;0)-1,$F$1)))</f>
        <v>1.0634835918555305</v>
      </c>
      <c r="H96" s="13" t="s">
        <v>279</v>
      </c>
      <c r="I96" s="9">
        <v>114</v>
      </c>
      <c r="J96" s="9">
        <v>146</v>
      </c>
      <c r="K96" s="9">
        <v>152</v>
      </c>
      <c r="L96" s="9">
        <v>180</v>
      </c>
      <c r="M96" s="9">
        <v>207</v>
      </c>
      <c r="N96" s="9">
        <v>222</v>
      </c>
      <c r="O96" s="9">
        <v>246</v>
      </c>
      <c r="P96" s="9">
        <v>261</v>
      </c>
      <c r="Q96" s="9">
        <v>282</v>
      </c>
      <c r="R96" s="9">
        <v>288</v>
      </c>
      <c r="S96" s="9">
        <v>302</v>
      </c>
    </row>
    <row r="97" spans="1:28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Afghanistan</v>
      </c>
      <c r="D97" s="6">
        <f>MAX(I97:JF97)</f>
        <v>281</v>
      </c>
      <c r="E97" s="6">
        <f>IF(COUNTIF(I97:XFD97,"&gt;"&amp;0)=0,,HLOOKUP(COUNTIF(I97:XFD97,"&gt;"&amp;0)-1,I$1:XFD97,A97+1,FALSE))</f>
        <v>281</v>
      </c>
      <c r="F97" s="7">
        <f>IF(COUNTIF(I97:XFD97,"&gt;"&amp;0)=0,,HLOOKUP(COUNTIF(I97:XFD97,"&gt;"&amp;0)-MIN($F$1+1,COUNTIF(I97:XFD97,"&gt;"&amp;0)),I$1:XFD97,A97+1,FALSE))</f>
        <v>120</v>
      </c>
      <c r="G97" s="8">
        <f>IF(COUNTIF(I97:XFD97,"&gt;"&amp;0)=0,,(E97/F97)^(1/MIN(COUNTIF(I97:XFD97,"&gt;"&amp;0)-1,$F$1)))</f>
        <v>1.1855094351795548</v>
      </c>
      <c r="H97" s="13" t="s">
        <v>72</v>
      </c>
      <c r="I97" s="9">
        <v>110</v>
      </c>
      <c r="J97" s="9">
        <v>110</v>
      </c>
      <c r="K97" s="9">
        <v>120</v>
      </c>
      <c r="L97" s="9">
        <v>170</v>
      </c>
      <c r="M97" s="9">
        <v>174</v>
      </c>
      <c r="N97" s="9">
        <v>237</v>
      </c>
      <c r="O97" s="9">
        <v>273</v>
      </c>
      <c r="P97" s="9">
        <v>281</v>
      </c>
    </row>
    <row r="98" spans="1:28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Cuba</v>
      </c>
      <c r="D98" s="6">
        <f>MAX(I98:JF98)</f>
        <v>269</v>
      </c>
      <c r="E98" s="6">
        <f>IF(COUNTIF(I98:XFD98,"&gt;"&amp;0)=0,,HLOOKUP(COUNTIF(I98:XFD98,"&gt;"&amp;0)-1,I$1:XFD98,A98+1,FALSE))</f>
        <v>269</v>
      </c>
      <c r="F98" s="7">
        <f>IF(COUNTIF(I98:XFD98,"&gt;"&amp;0)=0,,HLOOKUP(COUNTIF(I98:XFD98,"&gt;"&amp;0)-MIN($F$1+1,COUNTIF(I98:XFD98,"&gt;"&amp;0)),I$1:XFD98,A98+1,FALSE))</f>
        <v>139</v>
      </c>
      <c r="G98" s="8">
        <f>IF(COUNTIF(I98:XFD98,"&gt;"&amp;0)=0,,(E98/F98)^(1/MIN(COUNTIF(I98:XFD98,"&gt;"&amp;0)-1,$F$1)))</f>
        <v>1.1411625109827095</v>
      </c>
      <c r="H98" s="13" t="s">
        <v>410</v>
      </c>
      <c r="I98" s="9">
        <v>119</v>
      </c>
      <c r="J98" s="9">
        <v>139</v>
      </c>
      <c r="K98" s="9">
        <v>170</v>
      </c>
      <c r="L98" s="9">
        <v>186</v>
      </c>
      <c r="M98" s="9">
        <v>212</v>
      </c>
      <c r="N98" s="9">
        <v>233</v>
      </c>
      <c r="O98" s="9">
        <v>269</v>
      </c>
    </row>
    <row r="99" spans="1:28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Oman</v>
      </c>
      <c r="D99" s="6">
        <f>MAX(I99:JF99)</f>
        <v>252</v>
      </c>
      <c r="E99" s="6">
        <f>IF(COUNTIF(I99:XFD99,"&gt;"&amp;0)=0,,HLOOKUP(COUNTIF(I99:XFD99,"&gt;"&amp;0)-1,I$1:XFD99,A99+1,FALSE))</f>
        <v>252</v>
      </c>
      <c r="F99" s="7">
        <f>IF(COUNTIF(I99:XFD99,"&gt;"&amp;0)=0,,HLOOKUP(COUNTIF(I99:XFD99,"&gt;"&amp;0)-MIN($F$1+1,COUNTIF(I99:XFD99,"&gt;"&amp;0)),I$1:XFD99,A99+1,FALSE))</f>
        <v>167</v>
      </c>
      <c r="G99" s="8">
        <f>IF(COUNTIF(I99:XFD99,"&gt;"&amp;0)=0,,(E99/F99)^(1/MIN(COUNTIF(I99:XFD99,"&gt;"&amp;0)-1,$F$1)))</f>
        <v>1.0857674400929671</v>
      </c>
      <c r="H99" s="13" t="s">
        <v>71</v>
      </c>
      <c r="I99" s="9">
        <v>109</v>
      </c>
      <c r="J99" s="9">
        <v>131</v>
      </c>
      <c r="K99" s="9">
        <v>152</v>
      </c>
      <c r="L99" s="9">
        <v>167</v>
      </c>
      <c r="M99" s="9">
        <v>179</v>
      </c>
      <c r="N99" s="9">
        <v>192</v>
      </c>
      <c r="O99" s="9">
        <v>210</v>
      </c>
      <c r="P99" s="9">
        <v>231</v>
      </c>
      <c r="Q99" s="9">
        <v>252</v>
      </c>
    </row>
    <row r="100" spans="1:28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San Marino</v>
      </c>
      <c r="D100" s="6">
        <f>MAX(I100:JF100)</f>
        <v>245</v>
      </c>
      <c r="E100" s="6">
        <f>IF(COUNTIF(I100:XFD100,"&gt;"&amp;0)=0,,HLOOKUP(COUNTIF(I100:XFD100,"&gt;"&amp;0)-1,I$1:XFD100,A100+1,FALSE))</f>
        <v>245</v>
      </c>
      <c r="F100" s="7">
        <f>IF(COUNTIF(I100:XFD100,"&gt;"&amp;0)=0,,HLOOKUP(COUNTIF(I100:XFD100,"&gt;"&amp;0)-MIN($F$1+1,COUNTIF(I100:XFD100,"&gt;"&amp;0)),I$1:XFD100,A100+1,FALSE))</f>
        <v>224</v>
      </c>
      <c r="G100" s="8">
        <f>IF(COUNTIF(I100:XFD100,"&gt;"&amp;0)=0,,(E100/F100)^(1/MIN(COUNTIF(I100:XFD100,"&gt;"&amp;0)-1,$F$1)))</f>
        <v>1.0180840023201989</v>
      </c>
      <c r="H100" s="13" t="s">
        <v>90</v>
      </c>
      <c r="I100" s="9">
        <v>101</v>
      </c>
      <c r="J100" s="9">
        <v>109</v>
      </c>
      <c r="K100" s="9">
        <v>109</v>
      </c>
      <c r="L100" s="9">
        <v>119</v>
      </c>
      <c r="M100" s="9">
        <v>119</v>
      </c>
      <c r="N100" s="9">
        <v>144</v>
      </c>
      <c r="O100" s="9">
        <v>144</v>
      </c>
      <c r="P100" s="9">
        <v>175</v>
      </c>
      <c r="Q100" s="9">
        <v>187</v>
      </c>
      <c r="R100" s="9">
        <v>187</v>
      </c>
      <c r="S100" s="9">
        <v>208</v>
      </c>
      <c r="T100" s="9">
        <v>208</v>
      </c>
      <c r="U100" s="9">
        <v>223</v>
      </c>
      <c r="V100" s="9">
        <v>224</v>
      </c>
      <c r="W100" s="9">
        <v>224</v>
      </c>
      <c r="X100" s="9">
        <v>230</v>
      </c>
      <c r="Y100" s="9">
        <v>236</v>
      </c>
      <c r="Z100" s="9">
        <v>236</v>
      </c>
      <c r="AA100" s="9">
        <v>245</v>
      </c>
      <c r="AB100" s="9">
        <v>245</v>
      </c>
    </row>
    <row r="101" spans="1:28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Vietnam</v>
      </c>
      <c r="D101" s="6">
        <f>MAX(I101:JF101)</f>
        <v>237</v>
      </c>
      <c r="E101" s="6">
        <f>IF(COUNTIF(I101:XFD101,"&gt;"&amp;0)=0,,HLOOKUP(COUNTIF(I101:XFD101,"&gt;"&amp;0)-1,I$1:XFD101,A101+1,FALSE))</f>
        <v>237</v>
      </c>
      <c r="F101" s="7">
        <f>IF(COUNTIF(I101:XFD101,"&gt;"&amp;0)=0,,HLOOKUP(COUNTIF(I101:XFD101,"&gt;"&amp;0)-MIN($F$1+1,COUNTIF(I101:XFD101,"&gt;"&amp;0)),I$1:XFD101,A101+1,FALSE))</f>
        <v>188</v>
      </c>
      <c r="G101" s="8">
        <f>IF(COUNTIF(I101:XFD101,"&gt;"&amp;0)=0,,(E101/F101)^(1/MIN(COUNTIF(I101:XFD101,"&gt;"&amp;0)-1,$F$1)))</f>
        <v>1.0474133364173059</v>
      </c>
      <c r="H101" s="13" t="s">
        <v>343</v>
      </c>
      <c r="I101" s="9">
        <v>113</v>
      </c>
      <c r="J101" s="9">
        <v>123</v>
      </c>
      <c r="K101" s="9">
        <v>134</v>
      </c>
      <c r="L101" s="9">
        <v>141</v>
      </c>
      <c r="M101" s="9">
        <v>153</v>
      </c>
      <c r="N101" s="9">
        <v>163</v>
      </c>
      <c r="O101" s="9">
        <v>174</v>
      </c>
      <c r="P101" s="9">
        <v>188</v>
      </c>
      <c r="Q101" s="9">
        <v>203</v>
      </c>
      <c r="R101" s="9">
        <v>212</v>
      </c>
      <c r="S101" s="9">
        <v>218</v>
      </c>
      <c r="T101" s="9">
        <v>233</v>
      </c>
      <c r="U101" s="9">
        <v>237</v>
      </c>
    </row>
    <row r="102" spans="1:28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>Honduras</v>
      </c>
      <c r="D102" s="6">
        <f>MAX(I102:JF102)</f>
        <v>222</v>
      </c>
      <c r="E102" s="6">
        <f>IF(COUNTIF(I102:XFD102,"&gt;"&amp;0)=0,,HLOOKUP(COUNTIF(I102:XFD102,"&gt;"&amp;0)-1,I$1:XFD102,A102+1,FALSE))</f>
        <v>222</v>
      </c>
      <c r="F102" s="7">
        <f>IF(COUNTIF(I102:XFD102,"&gt;"&amp;0)=0,,HLOOKUP(COUNTIF(I102:XFD102,"&gt;"&amp;0)-MIN($F$1+1,COUNTIF(I102:XFD102,"&gt;"&amp;0)),I$1:XFD102,A102+1,FALSE))</f>
        <v>110</v>
      </c>
      <c r="G102" s="8">
        <f>IF(COUNTIF(I102:XFD102,"&gt;"&amp;0)=0,,(E102/F102)^(1/MIN(COUNTIF(I102:XFD102,"&gt;"&amp;0)-1,$F$1)))</f>
        <v>1.1507793439246243</v>
      </c>
      <c r="H102" s="13" t="s">
        <v>348</v>
      </c>
      <c r="I102" s="9">
        <v>110</v>
      </c>
      <c r="J102" s="9">
        <v>139</v>
      </c>
      <c r="K102" s="9">
        <v>141</v>
      </c>
      <c r="L102" s="9">
        <v>172</v>
      </c>
      <c r="M102" s="9">
        <v>219</v>
      </c>
      <c r="N102" s="9">
        <v>222</v>
      </c>
    </row>
    <row r="103" spans="1:28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>Cote d'Ivoire</v>
      </c>
      <c r="D103" s="6">
        <f>MAX(I103:JF103)</f>
        <v>218</v>
      </c>
      <c r="E103" s="6">
        <f>IF(COUNTIF(I103:XFD103,"&gt;"&amp;0)=0,,HLOOKUP(COUNTIF(I103:XFD103,"&gt;"&amp;0)-1,I$1:XFD103,A103+1,FALSE))</f>
        <v>218</v>
      </c>
      <c r="F103" s="7">
        <f>IF(COUNTIF(I103:XFD103,"&gt;"&amp;0)=0,,HLOOKUP(COUNTIF(I103:XFD103,"&gt;"&amp;0)-MIN($F$1+1,COUNTIF(I103:XFD103,"&gt;"&amp;0)),I$1:XFD103,A103+1,FALSE))</f>
        <v>165</v>
      </c>
      <c r="G103" s="8">
        <f>IF(COUNTIF(I103:XFD103,"&gt;"&amp;0)=0,,(E103/F103)^(1/MIN(COUNTIF(I103:XFD103,"&gt;"&amp;0)-1,$F$1)))</f>
        <v>1.057290937943117</v>
      </c>
      <c r="H103" s="13" t="s">
        <v>352</v>
      </c>
      <c r="I103" s="9">
        <v>101</v>
      </c>
      <c r="J103" s="9">
        <v>101</v>
      </c>
      <c r="K103" s="9">
        <v>165</v>
      </c>
      <c r="L103" s="9">
        <v>168</v>
      </c>
      <c r="M103" s="9">
        <v>179</v>
      </c>
      <c r="N103" s="9">
        <v>190</v>
      </c>
      <c r="O103" s="9">
        <v>194</v>
      </c>
      <c r="P103" s="9">
        <v>218</v>
      </c>
    </row>
    <row r="104" spans="1:28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>Nigeria</v>
      </c>
      <c r="D104" s="6">
        <f>MAX(I104:JF104)</f>
        <v>210</v>
      </c>
      <c r="E104" s="6">
        <f>IF(COUNTIF(I104:XFD104,"&gt;"&amp;0)=0,,HLOOKUP(COUNTIF(I104:XFD104,"&gt;"&amp;0)-1,I$1:XFD104,A104+1,FALSE))</f>
        <v>210</v>
      </c>
      <c r="F104" s="7">
        <f>IF(COUNTIF(I104:XFD104,"&gt;"&amp;0)=0,,HLOOKUP(COUNTIF(I104:XFD104,"&gt;"&amp;0)-MIN($F$1+1,COUNTIF(I104:XFD104,"&gt;"&amp;0)),I$1:XFD104,A104+1,FALSE))</f>
        <v>111</v>
      </c>
      <c r="G104" s="8">
        <f>IF(COUNTIF(I104:XFD104,"&gt;"&amp;0)=0,,(E104/F104)^(1/MIN(COUNTIF(I104:XFD104,"&gt;"&amp;0)-1,$F$1)))</f>
        <v>1.1360024373838433</v>
      </c>
      <c r="H104" s="13" t="s">
        <v>96</v>
      </c>
      <c r="I104" s="9">
        <v>111</v>
      </c>
      <c r="J104" s="9">
        <v>131</v>
      </c>
      <c r="K104" s="9">
        <v>135</v>
      </c>
      <c r="L104" s="9">
        <v>174</v>
      </c>
      <c r="M104" s="9">
        <v>184</v>
      </c>
      <c r="N104" s="9">
        <v>210</v>
      </c>
    </row>
    <row r="105" spans="1:28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>Senegal</v>
      </c>
      <c r="D105" s="6">
        <f>MAX(I105:JF105)</f>
        <v>207</v>
      </c>
      <c r="E105" s="6">
        <f>IF(COUNTIF(I105:XFD105,"&gt;"&amp;0)=0,,HLOOKUP(COUNTIF(I105:XFD105,"&gt;"&amp;0)-1,I$1:XFD105,A105+1,FALSE))</f>
        <v>207</v>
      </c>
      <c r="F105" s="7">
        <f>IF(COUNTIF(I105:XFD105,"&gt;"&amp;0)=0,,HLOOKUP(COUNTIF(I105:XFD105,"&gt;"&amp;0)-MIN($F$1+1,COUNTIF(I105:XFD105,"&gt;"&amp;0)),I$1:XFD105,A105+1,FALSE))</f>
        <v>142</v>
      </c>
      <c r="G105" s="8">
        <f>IF(COUNTIF(I105:XFD105,"&gt;"&amp;0)=0,,(E105/F105)^(1/MIN(COUNTIF(I105:XFD105,"&gt;"&amp;0)-1,$F$1)))</f>
        <v>1.0782920424200635</v>
      </c>
      <c r="H105" s="13" t="s">
        <v>114</v>
      </c>
      <c r="I105" s="9">
        <v>105</v>
      </c>
      <c r="J105" s="9">
        <v>119</v>
      </c>
      <c r="K105" s="9">
        <v>130</v>
      </c>
      <c r="L105" s="9">
        <v>142</v>
      </c>
      <c r="M105" s="9">
        <v>162</v>
      </c>
      <c r="N105" s="9">
        <v>175</v>
      </c>
      <c r="O105" s="9">
        <v>190</v>
      </c>
      <c r="P105" s="9">
        <v>195</v>
      </c>
      <c r="Q105" s="9">
        <v>207</v>
      </c>
    </row>
    <row r="106" spans="1:28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>Malta</v>
      </c>
      <c r="D106" s="6">
        <f>MAX(I106:JF106)</f>
        <v>202</v>
      </c>
      <c r="E106" s="6">
        <f>IF(COUNTIF(I106:XFD106,"&gt;"&amp;0)=0,,HLOOKUP(COUNTIF(I106:XFD106,"&gt;"&amp;0)-1,I$1:XFD106,A106+1,FALSE))</f>
        <v>202</v>
      </c>
      <c r="F106" s="7">
        <f>IF(COUNTIF(I106:XFD106,"&gt;"&amp;0)=0,,HLOOKUP(COUNTIF(I106:XFD106,"&gt;"&amp;0)-MIN($F$1+1,COUNTIF(I106:XFD106,"&gt;"&amp;0)),I$1:XFD106,A106+1,FALSE))</f>
        <v>151</v>
      </c>
      <c r="G106" s="8">
        <f>IF(COUNTIF(I106:XFD106,"&gt;"&amp;0)=0,,(E106/F106)^(1/MIN(COUNTIF(I106:XFD106,"&gt;"&amp;0)-1,$F$1)))</f>
        <v>1.0599243865298906</v>
      </c>
      <c r="H106" s="13" t="s">
        <v>177</v>
      </c>
      <c r="I106" s="9">
        <v>107</v>
      </c>
      <c r="J106" s="9">
        <v>110</v>
      </c>
      <c r="K106" s="9">
        <v>129</v>
      </c>
      <c r="L106" s="9">
        <v>134</v>
      </c>
      <c r="M106" s="9">
        <v>139</v>
      </c>
      <c r="N106" s="9">
        <v>149</v>
      </c>
      <c r="O106" s="9">
        <v>151</v>
      </c>
      <c r="P106" s="9">
        <v>156</v>
      </c>
      <c r="Q106" s="9">
        <v>169</v>
      </c>
      <c r="R106" s="9">
        <v>188</v>
      </c>
      <c r="S106" s="9">
        <v>196</v>
      </c>
      <c r="T106" s="9">
        <v>202</v>
      </c>
    </row>
    <row r="107" spans="1:28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>Sri Lanka</v>
      </c>
      <c r="D107" s="6">
        <f>MAX(I107:JF107)</f>
        <v>159</v>
      </c>
      <c r="E107" s="6">
        <f>IF(COUNTIF(I107:XFD107,"&gt;"&amp;0)=0,,HLOOKUP(COUNTIF(I107:XFD107,"&gt;"&amp;0)-1,I$1:XFD107,A107+1,FALSE))</f>
        <v>159</v>
      </c>
      <c r="F107" s="7">
        <f>IF(COUNTIF(I107:XFD107,"&gt;"&amp;0)=0,,HLOOKUP(COUNTIF(I107:XFD107,"&gt;"&amp;0)-MIN($F$1+1,COUNTIF(I107:XFD107,"&gt;"&amp;0)),I$1:XFD107,A107+1,FALSE))</f>
        <v>117</v>
      </c>
      <c r="G107" s="8">
        <f>IF(COUNTIF(I107:XFD107,"&gt;"&amp;0)=0,,(E107/F107)^(1/MIN(COUNTIF(I107:XFD107,"&gt;"&amp;0)-1,$F$1)))</f>
        <v>1.063266797710132</v>
      </c>
      <c r="H107" s="13" t="s">
        <v>52</v>
      </c>
      <c r="I107" s="9">
        <v>102</v>
      </c>
      <c r="J107" s="9">
        <v>102</v>
      </c>
      <c r="K107" s="9">
        <v>106</v>
      </c>
      <c r="L107" s="9">
        <v>106</v>
      </c>
      <c r="M107" s="9">
        <v>113</v>
      </c>
      <c r="N107" s="9">
        <v>117</v>
      </c>
      <c r="O107" s="9">
        <v>122</v>
      </c>
      <c r="P107" s="9">
        <v>143</v>
      </c>
      <c r="Q107" s="9">
        <v>146</v>
      </c>
      <c r="R107" s="9">
        <v>151</v>
      </c>
      <c r="S107" s="9">
        <v>159</v>
      </c>
    </row>
    <row r="108" spans="1:28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>Georgia</v>
      </c>
      <c r="D108" s="6">
        <f>MAX(I108:JF108)</f>
        <v>155</v>
      </c>
      <c r="E108" s="6">
        <f>IF(COUNTIF(I108:XFD108,"&gt;"&amp;0)=0,,HLOOKUP(COUNTIF(I108:XFD108,"&gt;"&amp;0)-1,I$1:XFD108,A108+1,FALSE))</f>
        <v>155</v>
      </c>
      <c r="F108" s="7">
        <f>IF(COUNTIF(I108:XFD108,"&gt;"&amp;0)=0,,HLOOKUP(COUNTIF(I108:XFD108,"&gt;"&amp;0)-MIN($F$1+1,COUNTIF(I108:XFD108,"&gt;"&amp;0)),I$1:XFD108,A108+1,FALSE))</f>
        <v>103</v>
      </c>
      <c r="G108" s="8">
        <f>IF(COUNTIF(I108:XFD108,"&gt;"&amp;0)=0,,(E108/F108)^(1/MIN(COUNTIF(I108:XFD108,"&gt;"&amp;0)-1,$F$1)))</f>
        <v>1.1075762088499446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</row>
    <row r="109" spans="1:28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>Brunei</v>
      </c>
      <c r="D109" s="6">
        <f>MAX(I109:JF109)</f>
        <v>134</v>
      </c>
      <c r="E109" s="6">
        <f>IF(COUNTIF(I109:XFD109,"&gt;"&amp;0)=0,,HLOOKUP(COUNTIF(I109:XFD109,"&gt;"&amp;0)-1,I$1:XFD109,A109+1,FALSE))</f>
        <v>134</v>
      </c>
      <c r="F109" s="7">
        <f>IF(COUNTIF(I109:XFD109,"&gt;"&amp;0)=0,,HLOOKUP(COUNTIF(I109:XFD109,"&gt;"&amp;0)-MIN($F$1+1,COUNTIF(I109:XFD109,"&gt;"&amp;0)),I$1:XFD109,A109+1,FALSE))</f>
        <v>126</v>
      </c>
      <c r="G109" s="8">
        <f>IF(COUNTIF(I109:XFD109,"&gt;"&amp;0)=0,,(E109/F109)^(1/MIN(COUNTIF(I109:XFD109,"&gt;"&amp;0)-1,$F$1)))</f>
        <v>1.0123876780645376</v>
      </c>
      <c r="H109" s="13" t="s">
        <v>233</v>
      </c>
      <c r="I109" s="9">
        <v>104</v>
      </c>
      <c r="J109" s="9">
        <v>109</v>
      </c>
      <c r="K109" s="9">
        <v>114</v>
      </c>
      <c r="L109" s="9">
        <v>115</v>
      </c>
      <c r="M109" s="9">
        <v>120</v>
      </c>
      <c r="N109" s="9">
        <v>126</v>
      </c>
      <c r="O109" s="9">
        <v>127</v>
      </c>
      <c r="P109" s="9">
        <v>129</v>
      </c>
      <c r="Q109" s="9">
        <v>131</v>
      </c>
      <c r="R109" s="9">
        <v>133</v>
      </c>
      <c r="S109" s="9">
        <v>134</v>
      </c>
    </row>
    <row r="110" spans="1:28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>Congo (Kinshasa)</v>
      </c>
      <c r="D110" s="6">
        <f>MAX(I110:JF110)</f>
        <v>134</v>
      </c>
      <c r="E110" s="6">
        <f>IF(COUNTIF(I110:XFD110,"&gt;"&amp;0)=0,,HLOOKUP(COUNTIF(I110:XFD110,"&gt;"&amp;0)-1,I$1:XFD110,A110+1,FALSE))</f>
        <v>134</v>
      </c>
      <c r="F110" s="7">
        <f>IF(COUNTIF(I110:XFD110,"&gt;"&amp;0)=0,,HLOOKUP(COUNTIF(I110:XFD110,"&gt;"&amp;0)-MIN($F$1+1,COUNTIF(I110:XFD110,"&gt;"&amp;0)),I$1:XFD110,A110+1,FALSE))</f>
        <v>109</v>
      </c>
      <c r="G110" s="8">
        <f>IF(COUNTIF(I110:XFD110,"&gt;"&amp;0)=0,,(E110/F110)^(1/MIN(COUNTIF(I110:XFD110,"&gt;"&amp;0)-1,$F$1)))</f>
        <v>1.108764085892548</v>
      </c>
      <c r="H110" s="13" t="s">
        <v>351</v>
      </c>
      <c r="I110" s="9">
        <v>109</v>
      </c>
      <c r="J110" s="9">
        <v>134</v>
      </c>
      <c r="K110" s="9">
        <v>134</v>
      </c>
    </row>
    <row r="111" spans="1:28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>Bolivia</v>
      </c>
      <c r="D111" s="6">
        <f>MAX(I111:JF111)</f>
        <v>132</v>
      </c>
      <c r="E111" s="6">
        <f>IF(COUNTIF(I111:XFD111,"&gt;"&amp;0)=0,,HLOOKUP(COUNTIF(I111:XFD111,"&gt;"&amp;0)-1,I$1:XFD111,A111+1,FALSE))</f>
        <v>132</v>
      </c>
      <c r="F111" s="7">
        <f>IF(COUNTIF(I111:XFD111,"&gt;"&amp;0)=0,,HLOOKUP(COUNTIF(I111:XFD111,"&gt;"&amp;0)-MIN($F$1+1,COUNTIF(I111:XFD111,"&gt;"&amp;0)),I$1:XFD111,A111+1,FALSE))</f>
        <v>107</v>
      </c>
      <c r="G111" s="8">
        <f>IF(COUNTIF(I111:XFD111,"&gt;"&amp;0)=0,,(E111/F111)^(1/MIN(COUNTIF(I111:XFD111,"&gt;"&amp;0)-1,$F$1)))</f>
        <v>1.0724985602284749</v>
      </c>
      <c r="H111" s="13" t="s">
        <v>346</v>
      </c>
      <c r="I111" s="9">
        <v>107</v>
      </c>
      <c r="J111" s="9">
        <v>115</v>
      </c>
      <c r="K111" s="9">
        <v>123</v>
      </c>
      <c r="L111" s="9">
        <v>132</v>
      </c>
    </row>
    <row r="112" spans="1:28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>Kenya</v>
      </c>
      <c r="D112" s="6">
        <f>MAX(I112:JF112)</f>
        <v>122</v>
      </c>
      <c r="E112" s="6">
        <f>IF(COUNTIF(I112:XFD112,"&gt;"&amp;0)=0,,HLOOKUP(COUNTIF(I112:XFD112,"&gt;"&amp;0)-1,I$1:XFD112,A112+1,FALSE))</f>
        <v>122</v>
      </c>
      <c r="F112" s="7">
        <f>IF(COUNTIF(I112:XFD112,"&gt;"&amp;0)=0,,HLOOKUP(COUNTIF(I112:XFD112,"&gt;"&amp;0)-MIN($F$1+1,COUNTIF(I112:XFD112,"&gt;"&amp;0)),I$1:XFD112,A112+1,FALSE))</f>
        <v>110</v>
      </c>
      <c r="G112" s="8">
        <f>IF(COUNTIF(I112:XFD112,"&gt;"&amp;0)=0,,(E112/F112)^(1/MIN(COUNTIF(I112:XFD112,"&gt;"&amp;0)-1,$F$1)))</f>
        <v>1.1090909090909091</v>
      </c>
      <c r="H112" s="13" t="s">
        <v>423</v>
      </c>
      <c r="I112" s="9">
        <v>110</v>
      </c>
      <c r="J112" s="9">
        <v>122</v>
      </c>
    </row>
    <row r="113" spans="1:14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>Cambodia</v>
      </c>
      <c r="D113" s="6">
        <f>MAX(I113:JF113)</f>
        <v>114</v>
      </c>
      <c r="E113" s="6">
        <f>IF(COUNTIF(I113:XFD113,"&gt;"&amp;0)=0,,HLOOKUP(COUNTIF(I113:XFD113,"&gt;"&amp;0)-1,I$1:XFD113,A113+1,FALSE))</f>
        <v>114</v>
      </c>
      <c r="F113" s="7">
        <f>IF(COUNTIF(I113:XFD113,"&gt;"&amp;0)=0,,HLOOKUP(COUNTIF(I113:XFD113,"&gt;"&amp;0)-MIN($F$1+1,COUNTIF(I113:XFD113,"&gt;"&amp;0)),I$1:XFD113,A113+1,FALSE))</f>
        <v>103</v>
      </c>
      <c r="G113" s="8">
        <f>IF(COUNTIF(I113:XFD113,"&gt;"&amp;0)=0,,(E113/F113)^(1/MIN(COUNTIF(I113:XFD113,"&gt;"&amp;0)-1,$F$1)))</f>
        <v>1.0205012131356173</v>
      </c>
      <c r="H113" s="13" t="s">
        <v>51</v>
      </c>
      <c r="I113" s="9">
        <v>103</v>
      </c>
      <c r="J113" s="9">
        <v>107</v>
      </c>
      <c r="K113" s="9">
        <v>109</v>
      </c>
      <c r="L113" s="9">
        <v>109</v>
      </c>
      <c r="M113" s="9">
        <v>110</v>
      </c>
      <c r="N113" s="9">
        <v>114</v>
      </c>
    </row>
    <row r="114" spans="1:14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MAX(I114:JF114)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14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MAX(I115:JF115)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14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MAX(I116:JF116)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14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MAX(I117:JF117)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14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MAX(I118:JF118)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14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MAX(I119:JF119)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14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MAX(I120:JF120)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14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MAX(I121:JF121)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14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MAX(I122:JF122)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14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MAX(I123:JF123)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14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MAX(I124:JF124)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14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MAX(I125:JF125)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14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MAX(I126:JF126)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14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MAX(I127:JF127)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14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MAX(I128:JF128)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MAX(I129:JF129)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MAX(I130:JF130)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MAX(I131:JF131)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MAX(I132:JF132)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MAX(I135:JF135)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MAX(I136:JF136)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MAX(I137:JF137)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MAX(I138:JF138)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MAX(I139:JF139)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MAX(I140:JF140)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MAX(I141:JF141)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MAX(I142:JF142)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MAX(I143:JF143)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MAX(I144:JF144)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MAX(I145:JF145)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MAX(I146:JF146)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MAX(I147:JF147)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MAX(I148:JF148)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MAX(I149:JF149)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MAX(I150:JF150)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MAX(I151:JF151)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MAX(I152:JF152)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MAX(I153:JF153)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MAX(I154:JF154)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MAX(I155:JF155)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MAX(I156:JF156)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MAX(I157:JF157)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MAX(I158:JF158)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MAX(I159:JF159)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MAX(I160:JF160)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MAX(I161:JF161)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MAX(I162:JF162)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MAX(I163:JF163)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MAX(I164:JF164)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MAX(I166:JF166)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MAX(I167:JF167)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MAX(I168:JF168)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MAX(I169:JF169)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MAX(I170:JF170)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MAX(I171:JF171)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MAX(I172:JF172)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MAX(I173:JF173)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MAX(I174:JF174)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MAX(I175:JF175)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MAX(I176:JF176)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MAX(I177:JF177)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MAX(I178:JF178)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MAX(I179:JF179)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MAX(I180:JF180)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MAX(I181:JF181)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MAX(I182:JF182)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MAX(I183:JF183)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MAX(I184:JF184)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MAX(I185:JF185)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MAX(I186:JF186)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MAX(I187:JF187)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MAX(I188:JF188)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MAX(I189:JF189)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MAX(I190:JF190)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MAX(I191:JF191)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MAX(I192:JF192)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MAX(I193:JF193)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MAX(I194:JF194)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MAX(I195:JF195)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MAX(I196:JF196)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MAX(I197:JF197)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MAX(I199:JF199)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MAX(I200:JF200)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620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14681</v>
      </c>
      <c r="E5" s="6">
        <f>IF(COUNTIF(I5:XFD5,"&gt;"&amp;0)=0,,HLOOKUP(COUNTIF(I5:XFD5,"&gt;"&amp;0)-1,I$1:XFD5,A5+1,FALSE))</f>
        <v>14681</v>
      </c>
      <c r="F5" s="7">
        <f>IF(COUNTIF(I5:XFD5,"&gt;"&amp;0)=0,,HLOOKUP(COUNTIF(I5:XFD5,"&gt;"&amp;0)-MIN($F$1+1,COUNTIF(I5:XFD5,"&gt;"&amp;0)),I$1:XFD5,A5+1,FALSE))</f>
        <v>10779</v>
      </c>
      <c r="G5" s="8">
        <f>IF(COUNTIF(I5:XFD5,"&gt;"&amp;0)=0,,(E5/F5)^(1/MIN(COUNTIF(I5:XFD5,"&gt;"&amp;0)-1,$F$1)))</f>
        <v>1.0637398602621864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  <c r="AO5" s="9">
        <v>10023</v>
      </c>
      <c r="AP5" s="9">
        <v>10779</v>
      </c>
      <c r="AQ5" s="9">
        <v>11591</v>
      </c>
      <c r="AR5" s="9">
        <v>12428</v>
      </c>
      <c r="AS5" s="9">
        <v>13155</v>
      </c>
      <c r="AT5" s="9">
        <v>13915</v>
      </c>
      <c r="AU5" s="9">
        <v>14681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11198</v>
      </c>
      <c r="E6" s="6">
        <f>IF(COUNTIF(I6:XFD6,"&gt;"&amp;0)=0,,HLOOKUP(COUNTIF(I6:XFD6,"&gt;"&amp;0)-1,I$1:XFD6,A6+1,FALSE))</f>
        <v>11198</v>
      </c>
      <c r="F6" s="7">
        <f>IF(COUNTIF(I6:XFD6,"&gt;"&amp;0)=0,,HLOOKUP(COUNTIF(I6:XFD6,"&gt;"&amp;0)-MIN($F$1+1,COUNTIF(I6:XFD6,"&gt;"&amp;0)),I$1:XFD6,A6+1,FALSE))</f>
        <v>6803</v>
      </c>
      <c r="G6" s="8">
        <f>IF(COUNTIF(I6:XFD6,"&gt;"&amp;0)=0,,(E6/F6)^(1/MIN(COUNTIF(I6:XFD6,"&gt;"&amp;0)-1,$F$1)))</f>
        <v>1.1048110224234144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  <c r="AD6" s="9">
        <v>5982</v>
      </c>
      <c r="AE6" s="9">
        <v>6803</v>
      </c>
      <c r="AF6" s="9">
        <v>7716</v>
      </c>
      <c r="AG6" s="9">
        <v>8464</v>
      </c>
      <c r="AH6" s="9">
        <v>9387</v>
      </c>
      <c r="AI6" s="9">
        <v>10348</v>
      </c>
      <c r="AJ6" s="9">
        <v>11198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MAX(I7:BD7)</f>
        <v>7087</v>
      </c>
      <c r="E7" s="6">
        <f>IF(COUNTIF(I7:XFD7,"&gt;"&amp;0)=0,,HLOOKUP(COUNTIF(I7:XFD7,"&gt;"&amp;0)-1,I$1:XFD7,A7+1,FALSE))</f>
        <v>7087</v>
      </c>
      <c r="F7" s="7">
        <f>IF(COUNTIF(I7:XFD7,"&gt;"&amp;0)=0,,HLOOKUP(COUNTIF(I7:XFD7,"&gt;"&amp;0)-MIN($F$1+1,COUNTIF(I7:XFD7,"&gt;"&amp;0)),I$1:XFD7,A7+1,FALSE))</f>
        <v>2467</v>
      </c>
      <c r="G7" s="8">
        <f>IF(COUNTIF(I7:XFD7,"&gt;"&amp;0)=0,,(E7/F7)^(1/MIN(COUNTIF(I7:XFD7,"&gt;"&amp;0)-1,$F$1)))</f>
        <v>1.2349763949002457</v>
      </c>
      <c r="H7" s="13" t="s">
        <v>38</v>
      </c>
      <c r="I7" s="9">
        <v>11</v>
      </c>
      <c r="J7" s="9">
        <v>12</v>
      </c>
      <c r="K7" s="9">
        <v>14</v>
      </c>
      <c r="L7" s="9">
        <v>17</v>
      </c>
      <c r="M7" s="9">
        <v>21</v>
      </c>
      <c r="N7" s="9">
        <v>22</v>
      </c>
      <c r="O7" s="9">
        <v>28</v>
      </c>
      <c r="P7" s="9">
        <v>36</v>
      </c>
      <c r="Q7" s="9">
        <v>40</v>
      </c>
      <c r="R7" s="9">
        <v>47</v>
      </c>
      <c r="S7" s="9">
        <v>54</v>
      </c>
      <c r="T7" s="9">
        <v>63</v>
      </c>
      <c r="U7" s="9">
        <v>85</v>
      </c>
      <c r="V7" s="9">
        <v>108</v>
      </c>
      <c r="W7" s="9">
        <v>118</v>
      </c>
      <c r="X7" s="9">
        <v>200</v>
      </c>
      <c r="Y7" s="9">
        <v>244</v>
      </c>
      <c r="Z7" s="9">
        <v>307</v>
      </c>
      <c r="AA7" s="9">
        <v>417</v>
      </c>
      <c r="AB7" s="9">
        <v>557</v>
      </c>
      <c r="AC7" s="9">
        <v>706</v>
      </c>
      <c r="AD7" s="9">
        <v>942</v>
      </c>
      <c r="AE7" s="9">
        <v>1209</v>
      </c>
      <c r="AF7" s="9">
        <v>1581</v>
      </c>
      <c r="AG7" s="9">
        <v>2026</v>
      </c>
      <c r="AH7" s="9">
        <v>2467</v>
      </c>
      <c r="AI7" s="9">
        <v>2978</v>
      </c>
      <c r="AJ7" s="9">
        <v>3873</v>
      </c>
      <c r="AK7" s="9">
        <v>4757</v>
      </c>
      <c r="AL7" s="9">
        <v>5926</v>
      </c>
      <c r="AM7" s="9">
        <v>7087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6520</v>
      </c>
      <c r="E8" s="6">
        <f>IF(COUNTIF(I8:XFD8,"&gt;"&amp;0)=0,,HLOOKUP(COUNTIF(I8:XFD8,"&gt;"&amp;0)-1,I$1:XFD8,A8+1,FALSE))</f>
        <v>6520</v>
      </c>
      <c r="F8" s="7">
        <f>IF(COUNTIF(I8:XFD8,"&gt;"&amp;0)=0,,HLOOKUP(COUNTIF(I8:XFD8,"&gt;"&amp;0)-MIN($F$1+1,COUNTIF(I8:XFD8,"&gt;"&amp;0)),I$1:XFD8,A8+1,FALSE))</f>
        <v>2611</v>
      </c>
      <c r="G8" s="8">
        <f>IF(COUNTIF(I8:XFD8,"&gt;"&amp;0)=0,,(E8/F8)^(1/MIN(COUNTIF(I8:XFD8,"&gt;"&amp;0)-1,$F$1)))</f>
        <v>1.2008482922324157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  <c r="AE8" s="9">
        <v>2317</v>
      </c>
      <c r="AF8" s="9">
        <v>2611</v>
      </c>
      <c r="AG8" s="9">
        <v>3030</v>
      </c>
      <c r="AH8" s="9">
        <v>3532</v>
      </c>
      <c r="AI8" s="9">
        <v>4043</v>
      </c>
      <c r="AJ8" s="9">
        <v>5398</v>
      </c>
      <c r="AK8" s="9">
        <v>6520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United Kingdom</v>
      </c>
      <c r="D9" s="6">
        <f>MAX(I9:BD9)</f>
        <v>3611</v>
      </c>
      <c r="E9" s="6">
        <f>IF(COUNTIF(I9:XFD9,"&gt;"&amp;0)=0,,HLOOKUP(COUNTIF(I9:XFD9,"&gt;"&amp;0)-1,I$1:XFD9,A9+1,FALSE))</f>
        <v>3611</v>
      </c>
      <c r="F9" s="7">
        <f>IF(COUNTIF(I9:XFD9,"&gt;"&amp;0)=0,,HLOOKUP(COUNTIF(I9:XFD9,"&gt;"&amp;0)-MIN($F$1+1,COUNTIF(I9:XFD9,"&gt;"&amp;0)),I$1:XFD9,A9+1,FALSE))</f>
        <v>1231</v>
      </c>
      <c r="G9" s="8">
        <f>IF(COUNTIF(I9:XFD9,"&gt;"&amp;0)=0,,(E9/F9)^(1/MIN(COUNTIF(I9:XFD9,"&gt;"&amp;0)-1,$F$1)))</f>
        <v>1.2401490562161073</v>
      </c>
      <c r="H9" s="13" t="s">
        <v>349</v>
      </c>
      <c r="I9" s="9">
        <v>8</v>
      </c>
      <c r="J9" s="9">
        <v>10</v>
      </c>
      <c r="K9" s="9">
        <v>11</v>
      </c>
      <c r="L9" s="9">
        <v>21</v>
      </c>
      <c r="M9" s="9">
        <v>35</v>
      </c>
      <c r="N9" s="9">
        <v>56</v>
      </c>
      <c r="O9" s="9">
        <v>71</v>
      </c>
      <c r="P9" s="9">
        <v>104</v>
      </c>
      <c r="Q9" s="9">
        <v>138</v>
      </c>
      <c r="R9" s="9">
        <v>178</v>
      </c>
      <c r="S9" s="9">
        <v>234</v>
      </c>
      <c r="T9" s="9">
        <v>282</v>
      </c>
      <c r="U9" s="9">
        <v>336</v>
      </c>
      <c r="V9" s="9">
        <v>423</v>
      </c>
      <c r="W9" s="9">
        <v>466</v>
      </c>
      <c r="X9" s="9">
        <v>580</v>
      </c>
      <c r="Y9" s="9">
        <v>761</v>
      </c>
      <c r="Z9" s="9">
        <v>1021</v>
      </c>
      <c r="AA9" s="9">
        <v>1231</v>
      </c>
      <c r="AB9" s="9">
        <v>1411</v>
      </c>
      <c r="AC9" s="9">
        <v>1793</v>
      </c>
      <c r="AD9" s="9">
        <v>2357</v>
      </c>
      <c r="AE9" s="9">
        <v>2926</v>
      </c>
      <c r="AF9" s="9">
        <v>3611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China</v>
      </c>
      <c r="D10" s="6">
        <f>MAX(I10:BD10)</f>
        <v>3123</v>
      </c>
      <c r="E10" s="6">
        <f>IF(COUNTIF(I10:XFD10,"&gt;"&amp;0)=0,,HLOOKUP(COUNTIF(I10:XFD10,"&gt;"&amp;0)-1,I$1:XFD10,A10+1,FALSE))</f>
        <v>3326</v>
      </c>
      <c r="F10" s="7">
        <f>IF(COUNTIF(I10:XFD10,"&gt;"&amp;0)=0,,HLOOKUP(COUNTIF(I10:XFD10,"&gt;"&amp;0)-MIN($F$1+1,COUNTIF(I10:XFD10,"&gt;"&amp;0)),I$1:XFD10,A10+1,FALSE))</f>
        <v>3304</v>
      </c>
      <c r="G10" s="8">
        <f>IF(COUNTIF(I10:XFD10,"&gt;"&amp;0)=0,,(E10/F10)^(1/MIN(COUNTIF(I10:XFD10,"&gt;"&amp;0)-1,$F$1)))</f>
        <v>1.0013281862815688</v>
      </c>
      <c r="H10" s="13" t="s">
        <v>337</v>
      </c>
      <c r="I10" s="9">
        <v>17</v>
      </c>
      <c r="J10" s="9">
        <v>18</v>
      </c>
      <c r="K10" s="9">
        <v>26</v>
      </c>
      <c r="L10" s="9">
        <v>42</v>
      </c>
      <c r="M10" s="9">
        <v>56</v>
      </c>
      <c r="N10" s="9">
        <v>82</v>
      </c>
      <c r="O10" s="9">
        <v>131</v>
      </c>
      <c r="P10" s="9">
        <v>133</v>
      </c>
      <c r="Q10" s="9">
        <v>171</v>
      </c>
      <c r="R10" s="9">
        <v>213</v>
      </c>
      <c r="S10" s="9">
        <v>259</v>
      </c>
      <c r="T10" s="9">
        <v>361</v>
      </c>
      <c r="U10" s="9">
        <v>425</v>
      </c>
      <c r="V10" s="9">
        <v>491</v>
      </c>
      <c r="W10" s="9">
        <v>563</v>
      </c>
      <c r="X10" s="9">
        <v>633</v>
      </c>
      <c r="Y10" s="9">
        <v>718</v>
      </c>
      <c r="Z10" s="9">
        <v>805</v>
      </c>
      <c r="AA10" s="9">
        <v>905</v>
      </c>
      <c r="AB10" s="9">
        <v>1012</v>
      </c>
      <c r="AC10" s="9">
        <v>1112</v>
      </c>
      <c r="AD10" s="9">
        <v>1117</v>
      </c>
      <c r="AE10" s="9">
        <v>1369</v>
      </c>
      <c r="AF10" s="9">
        <v>1521</v>
      </c>
      <c r="AG10" s="9">
        <v>1663</v>
      </c>
      <c r="AH10" s="9">
        <v>1766</v>
      </c>
      <c r="AI10" s="9">
        <v>1864</v>
      </c>
      <c r="AJ10" s="9">
        <v>2003</v>
      </c>
      <c r="AK10" s="9">
        <v>2116</v>
      </c>
      <c r="AL10" s="9">
        <v>2238</v>
      </c>
      <c r="AM10" s="9">
        <v>2238</v>
      </c>
      <c r="AN10" s="9">
        <v>2443</v>
      </c>
      <c r="AO10" s="9">
        <v>2445</v>
      </c>
      <c r="AP10" s="9">
        <v>2595</v>
      </c>
      <c r="AQ10" s="9">
        <v>2665</v>
      </c>
      <c r="AR10" s="9">
        <v>2717</v>
      </c>
      <c r="AS10" s="9">
        <v>2746</v>
      </c>
      <c r="AT10" s="9">
        <v>2790</v>
      </c>
      <c r="AU10" s="9">
        <v>2837</v>
      </c>
      <c r="AV10" s="9">
        <v>2872</v>
      </c>
      <c r="AW10" s="9">
        <v>2914</v>
      </c>
      <c r="AX10" s="9">
        <v>2947</v>
      </c>
      <c r="AY10" s="9">
        <v>2983</v>
      </c>
      <c r="AZ10" s="9">
        <v>3015</v>
      </c>
      <c r="BA10" s="9">
        <v>3044</v>
      </c>
      <c r="BB10" s="9">
        <v>3072</v>
      </c>
      <c r="BC10" s="9">
        <v>3100</v>
      </c>
      <c r="BD10" s="9">
        <v>3123</v>
      </c>
      <c r="BE10" s="9">
        <v>3139</v>
      </c>
      <c r="BF10" s="9">
        <v>3161</v>
      </c>
      <c r="BG10" s="9">
        <v>3172</v>
      </c>
      <c r="BH10" s="9">
        <v>3180</v>
      </c>
      <c r="BI10" s="9">
        <v>3193</v>
      </c>
      <c r="BJ10" s="9">
        <v>3203</v>
      </c>
      <c r="BK10" s="9">
        <v>3217</v>
      </c>
      <c r="BL10" s="9">
        <v>3230</v>
      </c>
      <c r="BM10" s="9">
        <v>3241</v>
      </c>
      <c r="BN10" s="9">
        <v>3249</v>
      </c>
      <c r="BO10" s="9">
        <v>3253</v>
      </c>
      <c r="BP10" s="9">
        <v>3259</v>
      </c>
      <c r="BQ10" s="9">
        <v>3274</v>
      </c>
      <c r="BR10" s="9">
        <v>3274</v>
      </c>
      <c r="BS10" s="9">
        <v>3281</v>
      </c>
      <c r="BT10" s="9">
        <v>3285</v>
      </c>
      <c r="BU10" s="9">
        <v>3291</v>
      </c>
      <c r="BV10" s="9">
        <v>3296</v>
      </c>
      <c r="BW10" s="9">
        <v>3299</v>
      </c>
      <c r="BX10" s="9">
        <v>3304</v>
      </c>
      <c r="BY10" s="9">
        <v>3308</v>
      </c>
      <c r="BZ10" s="9">
        <v>3309</v>
      </c>
      <c r="CA10" s="9">
        <v>3316</v>
      </c>
      <c r="CB10" s="9">
        <v>3322</v>
      </c>
      <c r="CC10" s="9">
        <v>3326</v>
      </c>
      <c r="CD10" s="9">
        <v>0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1275</v>
      </c>
      <c r="E11" s="6">
        <f>IF(COUNTIF(I11:XFD11,"&gt;"&amp;0)=0,,HLOOKUP(COUNTIF(I11:XFD11,"&gt;"&amp;0)-1,I$1:XFD11,A11+1,FALSE))</f>
        <v>1275</v>
      </c>
      <c r="F11" s="7">
        <f>IF(COUNTIF(I11:XFD11,"&gt;"&amp;0)=0,,HLOOKUP(COUNTIF(I11:XFD11,"&gt;"&amp;0)-MIN($F$1+1,COUNTIF(I11:XFD11,"&gt;"&amp;0)),I$1:XFD11,A11+1,FALSE))</f>
        <v>533</v>
      </c>
      <c r="G11" s="8">
        <f>IF(COUNTIF(I11:XFD11,"&gt;"&amp;0)=0,,(E11/F11)^(1/MIN(COUNTIF(I11:XFD11,"&gt;"&amp;0)-1,$F$1)))</f>
        <v>1.1905745511352939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  <c r="W11" s="9">
        <v>433</v>
      </c>
      <c r="X11" s="9">
        <v>533</v>
      </c>
      <c r="Y11" s="9">
        <v>645</v>
      </c>
      <c r="Z11" s="9">
        <v>775</v>
      </c>
      <c r="AA11" s="9">
        <v>920</v>
      </c>
      <c r="AB11" s="9">
        <v>1107</v>
      </c>
      <c r="AC11" s="9">
        <v>1275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42679</v>
      </c>
      <c r="E12" s="6">
        <f>IF(COUNTIF(I12:XFD12,"&gt;"&amp;0)=0,,HLOOKUP(COUNTIF(I12:XFD12,"&gt;"&amp;0)-1,I$1:XFD12,A12+1,FALSE))</f>
        <v>42679</v>
      </c>
      <c r="F12" s="7">
        <f>IF(COUNTIF(I12:XFD12,"&gt;"&amp;0)=0,,HLOOKUP(COUNTIF(I12:XFD12,"&gt;"&amp;0)-MIN($F$1+1,COUNTIF(I12:XFD12,"&gt;"&amp;0)),I$1:XFD12,A12+1,FALSE))</f>
        <v>24334</v>
      </c>
      <c r="G12" s="8">
        <f>IF(COUNTIF(I12:XFD12,"&gt;"&amp;0)=0,,(E12/F12)^(1/MIN(COUNTIF(I12:XFD12,"&gt;"&amp;0)-1,$F$1)))</f>
        <v>1.1189228587916569</v>
      </c>
      <c r="H12" s="13" t="s">
        <v>607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  <c r="AP12" s="9">
        <v>21776</v>
      </c>
      <c r="AQ12" s="9">
        <v>24334</v>
      </c>
      <c r="AR12" s="9">
        <v>27207</v>
      </c>
      <c r="AS12" s="9">
        <v>30471</v>
      </c>
      <c r="AT12" s="9">
        <v>33920</v>
      </c>
      <c r="AU12" s="9">
        <v>38451</v>
      </c>
      <c r="AV12" s="9">
        <v>42679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North America</v>
      </c>
      <c r="D13" s="6">
        <f>MAX(I13:BD13)</f>
        <v>7364</v>
      </c>
      <c r="E13" s="6">
        <f>IF(COUNTIF(I13:XFD13,"&gt;"&amp;0)=0,,HLOOKUP(COUNTIF(I13:XFD13,"&gt;"&amp;0)-1,I$1:XFD13,A13+1,FALSE))</f>
        <v>7364</v>
      </c>
      <c r="F13" s="7">
        <f>IF(COUNTIF(I13:XFD13,"&gt;"&amp;0)=0,,HLOOKUP(COUNTIF(I13:XFD13,"&gt;"&amp;0)-MIN($F$1+1,COUNTIF(I13:XFD13,"&gt;"&amp;0)),I$1:XFD13,A13+1,FALSE))</f>
        <v>2570</v>
      </c>
      <c r="G13" s="8">
        <f>IF(COUNTIF(I13:XFD13,"&gt;"&amp;0)=0,,(E13/F13)^(1/MIN(COUNTIF(I13:XFD13,"&gt;"&amp;0)-1,$F$1)))</f>
        <v>1.2343437753800259</v>
      </c>
      <c r="H13" s="13" t="s">
        <v>609</v>
      </c>
      <c r="I13" s="9">
        <v>11</v>
      </c>
      <c r="J13" s="9">
        <v>12</v>
      </c>
      <c r="K13" s="9">
        <v>14</v>
      </c>
      <c r="L13" s="9">
        <v>17</v>
      </c>
      <c r="M13" s="9">
        <v>21</v>
      </c>
      <c r="N13" s="9">
        <v>23</v>
      </c>
      <c r="O13" s="9">
        <v>29</v>
      </c>
      <c r="P13" s="9">
        <v>38</v>
      </c>
      <c r="Q13" s="9">
        <v>42</v>
      </c>
      <c r="R13" s="9">
        <v>49</v>
      </c>
      <c r="S13" s="9">
        <v>56</v>
      </c>
      <c r="T13" s="9">
        <v>65</v>
      </c>
      <c r="U13" s="9">
        <v>90</v>
      </c>
      <c r="V13" s="9">
        <v>114</v>
      </c>
      <c r="W13" s="9">
        <v>128</v>
      </c>
      <c r="X13" s="9">
        <v>214</v>
      </c>
      <c r="Y13" s="9">
        <v>261</v>
      </c>
      <c r="Z13" s="9">
        <v>333</v>
      </c>
      <c r="AA13" s="9">
        <v>447</v>
      </c>
      <c r="AB13" s="9">
        <v>595</v>
      </c>
      <c r="AC13" s="9">
        <v>746</v>
      </c>
      <c r="AD13" s="9">
        <v>989</v>
      </c>
      <c r="AE13" s="9">
        <v>1266</v>
      </c>
      <c r="AF13" s="9">
        <v>1657</v>
      </c>
      <c r="AG13" s="9">
        <v>2119</v>
      </c>
      <c r="AH13" s="9">
        <v>2570</v>
      </c>
      <c r="AI13" s="9">
        <v>3109</v>
      </c>
      <c r="AJ13" s="9">
        <v>4041</v>
      </c>
      <c r="AK13" s="9">
        <v>4936</v>
      </c>
      <c r="AL13" s="9">
        <v>6145</v>
      </c>
      <c r="AM13" s="9">
        <v>7364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World</v>
      </c>
      <c r="D14" s="6">
        <f>MAX(I14:BD14)</f>
        <v>3982</v>
      </c>
      <c r="E14" s="6">
        <f>IF(COUNTIF(I14:XFD14,"&gt;"&amp;0)=0,,HLOOKUP(COUNTIF(I14:XFD14,"&gt;"&amp;0)-1,I$1:XFD14,A14+1,FALSE))</f>
        <v>58708</v>
      </c>
      <c r="F14" s="7">
        <f>IF(COUNTIF(I14:XFD14,"&gt;"&amp;0)=0,,HLOOKUP(COUNTIF(I14:XFD14,"&gt;"&amp;0)-MIN($F$1+1,COUNTIF(I14:XFD14,"&gt;"&amp;0)),I$1:XFD14,A14+1,FALSE))</f>
        <v>33885</v>
      </c>
      <c r="G14" s="8">
        <f>IF(COUNTIF(I14:XFD14,"&gt;"&amp;0)=0,,(E14/F14)^(1/MIN(COUNTIF(I14:XFD14,"&gt;"&amp;0)-1,$F$1)))</f>
        <v>1.1161895676640208</v>
      </c>
      <c r="H14" s="13" t="s">
        <v>604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1666</v>
      </c>
      <c r="AH14" s="9">
        <v>1770</v>
      </c>
      <c r="AI14" s="9">
        <v>1868</v>
      </c>
      <c r="AJ14" s="9">
        <v>2007</v>
      </c>
      <c r="AK14" s="9">
        <v>2122</v>
      </c>
      <c r="AL14" s="9">
        <v>2245</v>
      </c>
      <c r="AM14" s="9">
        <v>2249</v>
      </c>
      <c r="AN14" s="9">
        <v>2456</v>
      </c>
      <c r="AO14" s="9">
        <v>2466</v>
      </c>
      <c r="AP14" s="9">
        <v>2626</v>
      </c>
      <c r="AQ14" s="9">
        <v>2705</v>
      </c>
      <c r="AR14" s="9">
        <v>2766</v>
      </c>
      <c r="AS14" s="9">
        <v>2810</v>
      </c>
      <c r="AT14" s="9">
        <v>2866</v>
      </c>
      <c r="AU14" s="9">
        <v>2935</v>
      </c>
      <c r="AV14" s="9">
        <v>2990</v>
      </c>
      <c r="AW14" s="9">
        <v>3079</v>
      </c>
      <c r="AX14" s="9">
        <v>3154</v>
      </c>
      <c r="AY14" s="9">
        <v>3248</v>
      </c>
      <c r="AZ14" s="9">
        <v>3342</v>
      </c>
      <c r="BA14" s="9">
        <v>3454</v>
      </c>
      <c r="BB14" s="9">
        <v>3552</v>
      </c>
      <c r="BC14" s="9">
        <v>3796</v>
      </c>
      <c r="BD14" s="9">
        <v>3982</v>
      </c>
      <c r="BE14" s="9">
        <v>4256</v>
      </c>
      <c r="BF14" s="9">
        <v>4608</v>
      </c>
      <c r="BG14" s="9">
        <v>4948</v>
      </c>
      <c r="BH14" s="9">
        <v>5400</v>
      </c>
      <c r="BI14" s="9">
        <v>5812</v>
      </c>
      <c r="BJ14" s="9">
        <v>6483</v>
      </c>
      <c r="BK14" s="9">
        <v>7118</v>
      </c>
      <c r="BL14" s="9">
        <v>7938</v>
      </c>
      <c r="BM14" s="9">
        <v>8872</v>
      </c>
      <c r="BN14" s="9">
        <v>9987</v>
      </c>
      <c r="BO14" s="9">
        <v>11290</v>
      </c>
      <c r="BP14" s="9">
        <v>12961</v>
      </c>
      <c r="BQ14" s="9">
        <v>14638</v>
      </c>
      <c r="BR14" s="9">
        <v>16488</v>
      </c>
      <c r="BS14" s="9">
        <v>18605</v>
      </c>
      <c r="BT14" s="9">
        <v>21157</v>
      </c>
      <c r="BU14" s="9">
        <v>23944</v>
      </c>
      <c r="BV14" s="9">
        <v>27168</v>
      </c>
      <c r="BW14" s="9">
        <v>30618</v>
      </c>
      <c r="BX14" s="9">
        <v>33885</v>
      </c>
      <c r="BY14" s="9">
        <v>37536</v>
      </c>
      <c r="BZ14" s="9">
        <v>42054</v>
      </c>
      <c r="CA14" s="9">
        <v>46745</v>
      </c>
      <c r="CB14" s="9">
        <v>52909</v>
      </c>
      <c r="CC14" s="9">
        <v>58708</v>
      </c>
      <c r="CD14" s="9">
        <v>0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Middle East</v>
      </c>
      <c r="D15" s="6">
        <f>MAX(I15:BD15)</f>
        <v>3458</v>
      </c>
      <c r="E15" s="6">
        <f>IF(COUNTIF(I15:XFD15,"&gt;"&amp;0)=0,,HLOOKUP(COUNTIF(I15:XFD15,"&gt;"&amp;0)-1,I$1:XFD15,A15+1,FALSE))</f>
        <v>3458</v>
      </c>
      <c r="F15" s="7">
        <f>IF(COUNTIF(I15:XFD15,"&gt;"&amp;0)=0,,HLOOKUP(COUNTIF(I15:XFD15,"&gt;"&amp;0)-MIN($F$1+1,COUNTIF(I15:XFD15,"&gt;"&amp;0)),I$1:XFD15,A15+1,FALSE))</f>
        <v>2730</v>
      </c>
      <c r="G15" s="8">
        <f>IF(COUNTIF(I15:XFD15,"&gt;"&amp;0)=0,,(E15/F15)^(1/MIN(COUNTIF(I15:XFD15,"&gt;"&amp;0)-1,$F$1)))</f>
        <v>1.0484131712847216</v>
      </c>
      <c r="H15" s="13" t="s">
        <v>608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  <c r="AP15" s="9">
        <v>2452</v>
      </c>
      <c r="AQ15" s="9">
        <v>2595</v>
      </c>
      <c r="AR15" s="9">
        <v>2730</v>
      </c>
      <c r="AS15" s="9">
        <v>2857</v>
      </c>
      <c r="AT15" s="9">
        <v>3012</v>
      </c>
      <c r="AU15" s="9">
        <v>3168</v>
      </c>
      <c r="AV15" s="9">
        <v>3314</v>
      </c>
      <c r="AW15" s="9">
        <v>3458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Iran</v>
      </c>
      <c r="D16" s="6">
        <f>MAX(I16:BD16)</f>
        <v>3294</v>
      </c>
      <c r="E16" s="6">
        <f>IF(COUNTIF(I16:XFD16,"&gt;"&amp;0)=0,,HLOOKUP(COUNTIF(I16:XFD16,"&gt;"&amp;0)-1,I$1:XFD16,A16+1,FALSE))</f>
        <v>3294</v>
      </c>
      <c r="F16" s="7">
        <f>IF(COUNTIF(I16:XFD16,"&gt;"&amp;0)=0,,HLOOKUP(COUNTIF(I16:XFD16,"&gt;"&amp;0)-MIN($F$1+1,COUNTIF(I16:XFD16,"&gt;"&amp;0)),I$1:XFD16,A16+1,FALSE))</f>
        <v>2640</v>
      </c>
      <c r="G16" s="8">
        <f>IF(COUNTIF(I16:XFD16,"&gt;"&amp;0)=0,,(E16/F16)^(1/MIN(COUNTIF(I16:XFD16,"&gt;"&amp;0)-1,$F$1)))</f>
        <v>1.0452590431918638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  <c r="AP16" s="9">
        <v>2378</v>
      </c>
      <c r="AQ16" s="9">
        <v>2517</v>
      </c>
      <c r="AR16" s="9">
        <v>2640</v>
      </c>
      <c r="AS16" s="9">
        <v>2757</v>
      </c>
      <c r="AT16" s="9">
        <v>2898</v>
      </c>
      <c r="AU16" s="9">
        <v>3036</v>
      </c>
      <c r="AV16" s="9">
        <v>3160</v>
      </c>
      <c r="AW16" s="9">
        <v>3294</v>
      </c>
    </row>
    <row r="17" spans="1:82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Asia</v>
      </c>
      <c r="D17" s="6">
        <f>MAX(I17:BD17)</f>
        <v>3189</v>
      </c>
      <c r="E17" s="6">
        <f>IF(COUNTIF(I17:XFD17,"&gt;"&amp;0)=0,,HLOOKUP(COUNTIF(I17:XFD17,"&gt;"&amp;0)-1,I$1:XFD17,A17+1,FALSE))</f>
        <v>4130</v>
      </c>
      <c r="F17" s="7">
        <f>IF(COUNTIF(I17:XFD17,"&gt;"&amp;0)=0,,HLOOKUP(COUNTIF(I17:XFD17,"&gt;"&amp;0)-MIN($F$1+1,COUNTIF(I17:XFD17,"&gt;"&amp;0)),I$1:XFD17,A17+1,FALSE))</f>
        <v>3803</v>
      </c>
      <c r="G17" s="8">
        <f>IF(COUNTIF(I17:XFD17,"&gt;"&amp;0)=0,,(E17/F17)^(1/MIN(COUNTIF(I17:XFD17,"&gt;"&amp;0)-1,$F$1)))</f>
        <v>1.0166342697312445</v>
      </c>
      <c r="H17" s="13" t="s">
        <v>606</v>
      </c>
      <c r="I17" s="9">
        <v>17</v>
      </c>
      <c r="J17" s="9">
        <v>18</v>
      </c>
      <c r="K17" s="9">
        <v>26</v>
      </c>
      <c r="L17" s="9">
        <v>42</v>
      </c>
      <c r="M17" s="9">
        <v>56</v>
      </c>
      <c r="N17" s="9">
        <v>82</v>
      </c>
      <c r="O17" s="9">
        <v>131</v>
      </c>
      <c r="P17" s="9">
        <v>133</v>
      </c>
      <c r="Q17" s="9">
        <v>171</v>
      </c>
      <c r="R17" s="9">
        <v>213</v>
      </c>
      <c r="S17" s="9">
        <v>259</v>
      </c>
      <c r="T17" s="9">
        <v>362</v>
      </c>
      <c r="U17" s="9">
        <v>426</v>
      </c>
      <c r="V17" s="9">
        <v>492</v>
      </c>
      <c r="W17" s="9">
        <v>564</v>
      </c>
      <c r="X17" s="9">
        <v>634</v>
      </c>
      <c r="Y17" s="9">
        <v>719</v>
      </c>
      <c r="Z17" s="9">
        <v>806</v>
      </c>
      <c r="AA17" s="9">
        <v>906</v>
      </c>
      <c r="AB17" s="9">
        <v>1013</v>
      </c>
      <c r="AC17" s="9">
        <v>1113</v>
      </c>
      <c r="AD17" s="9">
        <v>1118</v>
      </c>
      <c r="AE17" s="9">
        <v>1371</v>
      </c>
      <c r="AF17" s="9">
        <v>1523</v>
      </c>
      <c r="AG17" s="9">
        <v>1665</v>
      </c>
      <c r="AH17" s="9">
        <v>1769</v>
      </c>
      <c r="AI17" s="9">
        <v>1867</v>
      </c>
      <c r="AJ17" s="9">
        <v>2006</v>
      </c>
      <c r="AK17" s="9">
        <v>2119</v>
      </c>
      <c r="AL17" s="9">
        <v>2242</v>
      </c>
      <c r="AM17" s="9">
        <v>2243</v>
      </c>
      <c r="AN17" s="9">
        <v>2448</v>
      </c>
      <c r="AO17" s="9">
        <v>2454</v>
      </c>
      <c r="AP17" s="9">
        <v>2606</v>
      </c>
      <c r="AQ17" s="9">
        <v>2678</v>
      </c>
      <c r="AR17" s="9">
        <v>2733</v>
      </c>
      <c r="AS17" s="9">
        <v>2765</v>
      </c>
      <c r="AT17" s="9">
        <v>2809</v>
      </c>
      <c r="AU17" s="9">
        <v>2860</v>
      </c>
      <c r="AV17" s="9">
        <v>2898</v>
      </c>
      <c r="AW17" s="9">
        <v>2951</v>
      </c>
      <c r="AX17" s="9">
        <v>2984</v>
      </c>
      <c r="AY17" s="9">
        <v>3027</v>
      </c>
      <c r="AZ17" s="9">
        <v>3059</v>
      </c>
      <c r="BA17" s="9">
        <v>3095</v>
      </c>
      <c r="BB17" s="9">
        <v>3125</v>
      </c>
      <c r="BC17" s="9">
        <v>3159</v>
      </c>
      <c r="BD17" s="9">
        <v>3189</v>
      </c>
      <c r="BE17" s="9">
        <v>3206</v>
      </c>
      <c r="BF17" s="9">
        <v>3241</v>
      </c>
      <c r="BG17" s="9">
        <v>3260</v>
      </c>
      <c r="BH17" s="9">
        <v>3279</v>
      </c>
      <c r="BI17" s="9">
        <v>3305</v>
      </c>
      <c r="BJ17" s="9">
        <v>3321</v>
      </c>
      <c r="BK17" s="9">
        <v>3341</v>
      </c>
      <c r="BL17" s="9">
        <v>3365</v>
      </c>
      <c r="BM17" s="9">
        <v>3401</v>
      </c>
      <c r="BN17" s="9">
        <v>3424</v>
      </c>
      <c r="BO17" s="9">
        <v>3450</v>
      </c>
      <c r="BP17" s="9">
        <v>3473</v>
      </c>
      <c r="BQ17" s="9">
        <v>3530</v>
      </c>
      <c r="BR17" s="9">
        <v>3549</v>
      </c>
      <c r="BS17" s="9">
        <v>3581</v>
      </c>
      <c r="BT17" s="9">
        <v>3610</v>
      </c>
      <c r="BU17" s="9">
        <v>3664</v>
      </c>
      <c r="BV17" s="9">
        <v>3704</v>
      </c>
      <c r="BW17" s="9">
        <v>3754</v>
      </c>
      <c r="BX17" s="9">
        <v>3803</v>
      </c>
      <c r="BY17" s="9">
        <v>3849</v>
      </c>
      <c r="BZ17" s="9">
        <v>3905</v>
      </c>
      <c r="CA17" s="9">
        <v>3983</v>
      </c>
      <c r="CB17" s="9">
        <v>4059</v>
      </c>
      <c r="CC17" s="9">
        <v>4130</v>
      </c>
      <c r="CD17" s="9">
        <v>0</v>
      </c>
    </row>
    <row r="18" spans="1:82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1490</v>
      </c>
      <c r="E18" s="6">
        <f>IF(COUNTIF(I18:XFD18,"&gt;"&amp;0)=0,,HLOOKUP(COUNTIF(I18:XFD18,"&gt;"&amp;0)-1,I$1:XFD18,A18+1,FALSE))</f>
        <v>1490</v>
      </c>
      <c r="F18" s="7">
        <f>IF(COUNTIF(I18:XFD18,"&gt;"&amp;0)=0,,HLOOKUP(COUNTIF(I18:XFD18,"&gt;"&amp;0)-MIN($F$1+1,COUNTIF(I18:XFD18,"&gt;"&amp;0)),I$1:XFD18,A18+1,FALSE))</f>
        <v>772</v>
      </c>
      <c r="G18" s="8">
        <f>IF(COUNTIF(I18:XFD18,"&gt;"&amp;0)=0,,(E18/F18)^(1/MIN(COUNTIF(I18:XFD18,"&gt;"&amp;0)-1,$F$1)))</f>
        <v>1.1405485943650737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  <c r="AB18" s="9">
        <v>1175</v>
      </c>
      <c r="AC18" s="9">
        <v>1341</v>
      </c>
      <c r="AD18" s="9">
        <v>1490</v>
      </c>
    </row>
    <row r="19" spans="1:82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1143</v>
      </c>
      <c r="E19" s="6">
        <f>IF(COUNTIF(I19:XFD19,"&gt;"&amp;0)=0,,HLOOKUP(COUNTIF(I19:XFD19,"&gt;"&amp;0)-1,I$1:XFD19,A19+1,FALSE))</f>
        <v>1143</v>
      </c>
      <c r="F19" s="7">
        <f>IF(COUNTIF(I19:XFD19,"&gt;"&amp;0)=0,,HLOOKUP(COUNTIF(I19:XFD19,"&gt;"&amp;0)-MIN($F$1+1,COUNTIF(I19:XFD19,"&gt;"&amp;0)),I$1:XFD19,A19+1,FALSE))</f>
        <v>431</v>
      </c>
      <c r="G19" s="8">
        <f>IF(COUNTIF(I19:XFD19,"&gt;"&amp;0)=0,,(E19/F19)^(1/MIN(COUNTIF(I19:XFD19,"&gt;"&amp;0)-1,$F$1)))</f>
        <v>1.2153847760181558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  <c r="Y19" s="9">
        <v>1011</v>
      </c>
      <c r="Z19" s="9">
        <v>1143</v>
      </c>
    </row>
    <row r="20" spans="1:82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South America</v>
      </c>
      <c r="D20" s="6">
        <f>MAX(I20:BD20)</f>
        <v>750</v>
      </c>
      <c r="E20" s="6">
        <f>IF(COUNTIF(I20:XFD20,"&gt;"&amp;0)=0,,HLOOKUP(COUNTIF(I20:XFD20,"&gt;"&amp;0)-1,I$1:XFD20,A20+1,FALSE))</f>
        <v>750</v>
      </c>
      <c r="F20" s="7">
        <f>IF(COUNTIF(I20:XFD20,"&gt;"&amp;0)=0,,HLOOKUP(COUNTIF(I20:XFD20,"&gt;"&amp;0)-MIN($F$1+1,COUNTIF(I20:XFD20,"&gt;"&amp;0)),I$1:XFD20,A20+1,FALSE))</f>
        <v>295</v>
      </c>
      <c r="G20" s="8">
        <f>IF(COUNTIF(I20:XFD20,"&gt;"&amp;0)=0,,(E20/F20)^(1/MIN(COUNTIF(I20:XFD20,"&gt;"&amp;0)-1,$F$1)))</f>
        <v>1.2051687155401376</v>
      </c>
      <c r="H20" s="13" t="s">
        <v>610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</row>
    <row r="21" spans="1:82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Switzerland</v>
      </c>
      <c r="D21" s="6">
        <f>MAX(I21:BD21)</f>
        <v>591</v>
      </c>
      <c r="E21" s="6">
        <f>IF(COUNTIF(I21:XFD21,"&gt;"&amp;0)=0,,HLOOKUP(COUNTIF(I21:XFD21,"&gt;"&amp;0)-1,I$1:XFD21,A21+1,FALSE))</f>
        <v>591</v>
      </c>
      <c r="F21" s="7">
        <f>IF(COUNTIF(I21:XFD21,"&gt;"&amp;0)=0,,HLOOKUP(COUNTIF(I21:XFD21,"&gt;"&amp;0)-MIN($F$1+1,COUNTIF(I21:XFD21,"&gt;"&amp;0)),I$1:XFD21,A21+1,FALSE))</f>
        <v>300</v>
      </c>
      <c r="G21" s="8">
        <f>IF(COUNTIF(I21:XFD21,"&gt;"&amp;0)=0,,(E21/F21)^(1/MIN(COUNTIF(I21:XFD21,"&gt;"&amp;0)-1,$F$1)))</f>
        <v>1.1452313952960391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  <c r="AD21" s="9">
        <v>591</v>
      </c>
    </row>
    <row r="22" spans="1:82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Turkey</v>
      </c>
      <c r="D22" s="6">
        <f>MAX(I22:BD22)</f>
        <v>425</v>
      </c>
      <c r="E22" s="6">
        <f>IF(COUNTIF(I22:XFD22,"&gt;"&amp;0)=0,,HLOOKUP(COUNTIF(I22:XFD22,"&gt;"&amp;0)-1,I$1:XFD22,A22+1,FALSE))</f>
        <v>425</v>
      </c>
      <c r="F22" s="7">
        <f>IF(COUNTIF(I22:XFD22,"&gt;"&amp;0)=0,,HLOOKUP(COUNTIF(I22:XFD22,"&gt;"&amp;0)-MIN($F$1+1,COUNTIF(I22:XFD22,"&gt;"&amp;0)),I$1:XFD22,A22+1,FALSE))</f>
        <v>131</v>
      </c>
      <c r="G22" s="8">
        <f>IF(COUNTIF(I22:XFD22,"&gt;"&amp;0)=0,,(E22/F22)^(1/MIN(COUNTIF(I22:XFD22,"&gt;"&amp;0)-1,$F$1)))</f>
        <v>1.2653874617374017</v>
      </c>
      <c r="H22" s="13" t="s">
        <v>355</v>
      </c>
      <c r="I22" s="9">
        <v>9</v>
      </c>
      <c r="J22" s="9">
        <v>30</v>
      </c>
      <c r="K22" s="9">
        <v>37</v>
      </c>
      <c r="L22" s="9">
        <v>44</v>
      </c>
      <c r="M22" s="9">
        <v>59</v>
      </c>
      <c r="N22" s="9">
        <v>75</v>
      </c>
      <c r="O22" s="9">
        <v>92</v>
      </c>
      <c r="P22" s="9">
        <v>108</v>
      </c>
      <c r="Q22" s="9">
        <v>131</v>
      </c>
      <c r="R22" s="9">
        <v>168</v>
      </c>
      <c r="S22" s="9">
        <v>214</v>
      </c>
      <c r="T22" s="9">
        <v>277</v>
      </c>
      <c r="U22" s="9">
        <v>356</v>
      </c>
      <c r="V22" s="9">
        <v>425</v>
      </c>
    </row>
    <row r="23" spans="1:82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Brazil</v>
      </c>
      <c r="D23" s="6">
        <f>MAX(I23:BD23)</f>
        <v>359</v>
      </c>
      <c r="E23" s="6">
        <f>IF(COUNTIF(I23:XFD23,"&gt;"&amp;0)=0,,HLOOKUP(COUNTIF(I23:XFD23,"&gt;"&amp;0)-1,I$1:XFD23,A23+1,FALSE))</f>
        <v>359</v>
      </c>
      <c r="F23" s="7">
        <f>IF(COUNTIF(I23:XFD23,"&gt;"&amp;0)=0,,HLOOKUP(COUNTIF(I23:XFD23,"&gt;"&amp;0)-MIN($F$1+1,COUNTIF(I23:XFD23,"&gt;"&amp;0)),I$1:XFD23,A23+1,FALSE))</f>
        <v>136</v>
      </c>
      <c r="G23" s="8">
        <f>IF(COUNTIF(I23:XFD23,"&gt;"&amp;0)=0,,(E23/F23)^(1/MIN(COUNTIF(I23:XFD23,"&gt;"&amp;0)-1,$F$1)))</f>
        <v>1.2142583762978358</v>
      </c>
      <c r="H23" s="13" t="s">
        <v>81</v>
      </c>
      <c r="I23" s="9">
        <v>11</v>
      </c>
      <c r="J23" s="9">
        <v>15</v>
      </c>
      <c r="K23" s="9">
        <v>25</v>
      </c>
      <c r="L23" s="9">
        <v>34</v>
      </c>
      <c r="M23" s="9">
        <v>46</v>
      </c>
      <c r="N23" s="9">
        <v>59</v>
      </c>
      <c r="O23" s="9">
        <v>77</v>
      </c>
      <c r="P23" s="9">
        <v>92</v>
      </c>
      <c r="Q23" s="9">
        <v>111</v>
      </c>
      <c r="R23" s="9">
        <v>136</v>
      </c>
      <c r="S23" s="9">
        <v>159</v>
      </c>
      <c r="T23" s="9">
        <v>201</v>
      </c>
      <c r="U23" s="9">
        <v>240</v>
      </c>
      <c r="V23" s="9">
        <v>324</v>
      </c>
      <c r="W23" s="9">
        <v>359</v>
      </c>
    </row>
    <row r="24" spans="1:82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Sweden</v>
      </c>
      <c r="D24" s="6">
        <f>MAX(I24:BD24)</f>
        <v>358</v>
      </c>
      <c r="E24" s="6">
        <f>IF(COUNTIF(I24:XFD24,"&gt;"&amp;0)=0,,HLOOKUP(COUNTIF(I24:XFD24,"&gt;"&amp;0)-1,I$1:XFD24,A24+1,FALSE))</f>
        <v>358</v>
      </c>
      <c r="F24" s="7">
        <f>IF(COUNTIF(I24:XFD24,"&gt;"&amp;0)=0,,HLOOKUP(COUNTIF(I24:XFD24,"&gt;"&amp;0)-MIN($F$1+1,COUNTIF(I24:XFD24,"&gt;"&amp;0)),I$1:XFD24,A24+1,FALSE))</f>
        <v>110</v>
      </c>
      <c r="G24" s="8">
        <f>IF(COUNTIF(I24:XFD24,"&gt;"&amp;0)=0,,(E24/F24)^(1/MIN(COUNTIF(I24:XFD24,"&gt;"&amp;0)-1,$F$1)))</f>
        <v>1.2661876356094779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</row>
    <row r="25" spans="1:82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Africa</v>
      </c>
      <c r="D25" s="6">
        <f>MAX(I25:BD25)</f>
        <v>298</v>
      </c>
      <c r="E25" s="6">
        <f>IF(COUNTIF(I25:XFD25,"&gt;"&amp;0)=0,,HLOOKUP(COUNTIF(I25:XFD25,"&gt;"&amp;0)-1,I$1:XFD25,A25+1,FALSE))</f>
        <v>298</v>
      </c>
      <c r="F25" s="7">
        <f>IF(COUNTIF(I25:XFD25,"&gt;"&amp;0)=0,,HLOOKUP(COUNTIF(I25:XFD25,"&gt;"&amp;0)-MIN($F$1+1,COUNTIF(I25:XFD25,"&gt;"&amp;0)),I$1:XFD25,A25+1,FALSE))</f>
        <v>136</v>
      </c>
      <c r="G25" s="8">
        <f>IF(COUNTIF(I25:XFD25,"&gt;"&amp;0)=0,,(E25/F25)^(1/MIN(COUNTIF(I25:XFD25,"&gt;"&amp;0)-1,$F$1)))</f>
        <v>1.1698642543480657</v>
      </c>
      <c r="H25" s="13" t="s">
        <v>611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</row>
    <row r="26" spans="1:82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MAX(I26:BD26)</f>
        <v>246</v>
      </c>
      <c r="E26" s="6">
        <f>IF(COUNTIF(I26:XFD26,"&gt;"&amp;0)=0,,HLOOKUP(COUNTIF(I26:XFD26,"&gt;"&amp;0)-1,I$1:XFD26,A26+1,FALSE))</f>
        <v>246</v>
      </c>
      <c r="F26" s="7">
        <f>IF(COUNTIF(I26:XFD26,"&gt;"&amp;0)=0,,HLOOKUP(COUNTIF(I26:XFD26,"&gt;"&amp;0)-MIN($F$1+1,COUNTIF(I26:XFD26,"&gt;"&amp;0)),I$1:XFD26,A26+1,FALSE))</f>
        <v>119</v>
      </c>
      <c r="G26" s="8">
        <f>IF(COUNTIF(I26:XFD26,"&gt;"&amp;0)=0,,(E26/F26)^(1/MIN(COUNTIF(I26:XFD26,"&gt;"&amp;0)-1,$F$1)))</f>
        <v>1.1563189130731621</v>
      </c>
      <c r="H26" s="13" t="s">
        <v>108</v>
      </c>
      <c r="I26" s="9">
        <v>12</v>
      </c>
      <c r="J26" s="9">
        <v>14</v>
      </c>
      <c r="K26" s="9">
        <v>23</v>
      </c>
      <c r="L26" s="9">
        <v>33</v>
      </c>
      <c r="M26" s="9">
        <v>43</v>
      </c>
      <c r="N26" s="9">
        <v>60</v>
      </c>
      <c r="O26" s="9">
        <v>76</v>
      </c>
      <c r="P26" s="9">
        <v>100</v>
      </c>
      <c r="Q26" s="9">
        <v>119</v>
      </c>
      <c r="R26" s="9">
        <v>140</v>
      </c>
      <c r="S26" s="9">
        <v>160</v>
      </c>
      <c r="T26" s="9">
        <v>187</v>
      </c>
      <c r="U26" s="9">
        <v>209</v>
      </c>
      <c r="V26" s="9">
        <v>246</v>
      </c>
    </row>
    <row r="27" spans="1:82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Indonesia</v>
      </c>
      <c r="D27" s="6">
        <f>MAX(I27:BD27)</f>
        <v>181</v>
      </c>
      <c r="E27" s="6">
        <f>IF(COUNTIF(I27:XFD27,"&gt;"&amp;0)=0,,HLOOKUP(COUNTIF(I27:XFD27,"&gt;"&amp;0)-1,I$1:XFD27,A27+1,FALSE))</f>
        <v>181</v>
      </c>
      <c r="F27" s="7">
        <f>IF(COUNTIF(I27:XFD27,"&gt;"&amp;0)=0,,HLOOKUP(COUNTIF(I27:XFD27,"&gt;"&amp;0)-MIN($F$1+1,COUNTIF(I27:XFD27,"&gt;"&amp;0)),I$1:XFD27,A27+1,FALSE))</f>
        <v>114</v>
      </c>
      <c r="G27" s="8">
        <f>IF(COUNTIF(I27:XFD27,"&gt;"&amp;0)=0,,(E27/F27)^(1/MIN(COUNTIF(I27:XFD27,"&gt;"&amp;0)-1,$F$1)))</f>
        <v>1.0968689550312276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  <c r="S27" s="9">
        <v>102</v>
      </c>
      <c r="T27" s="9">
        <v>114</v>
      </c>
      <c r="U27" s="9">
        <v>122</v>
      </c>
      <c r="V27" s="9">
        <v>136</v>
      </c>
      <c r="W27" s="9">
        <v>157</v>
      </c>
      <c r="X27" s="9">
        <v>170</v>
      </c>
      <c r="Y27" s="9">
        <v>181</v>
      </c>
    </row>
    <row r="28" spans="1:82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Canada</v>
      </c>
      <c r="D28" s="6">
        <f>MAX(I28:BD28)</f>
        <v>179</v>
      </c>
      <c r="E28" s="6">
        <f>IF(COUNTIF(I28:XFD28,"&gt;"&amp;0)=0,,HLOOKUP(COUNTIF(I28:XFD28,"&gt;"&amp;0)-1,I$1:XFD28,A28+1,FALSE))</f>
        <v>179</v>
      </c>
      <c r="F28" s="7">
        <f>IF(COUNTIF(I28:XFD28,"&gt;"&amp;0)=0,,HLOOKUP(COUNTIF(I28:XFD28,"&gt;"&amp;0)-MIN($F$1+1,COUNTIF(I28:XFD28,"&gt;"&amp;0)),I$1:XFD28,A28+1,FALSE))</f>
        <v>64</v>
      </c>
      <c r="G28" s="8">
        <f>IF(COUNTIF(I28:XFD28,"&gt;"&amp;0)=0,,(E28/F28)^(1/MIN(COUNTIF(I28:XFD28,"&gt;"&amp;0)-1,$F$1)))</f>
        <v>1.2283853021734461</v>
      </c>
      <c r="H28" s="13" t="s">
        <v>45</v>
      </c>
      <c r="I28" s="9">
        <v>8</v>
      </c>
      <c r="J28" s="9">
        <v>9</v>
      </c>
      <c r="K28" s="9">
        <v>12</v>
      </c>
      <c r="L28" s="9">
        <v>19</v>
      </c>
      <c r="M28" s="9">
        <v>21</v>
      </c>
      <c r="N28" s="9">
        <v>25</v>
      </c>
      <c r="O28" s="9">
        <v>26</v>
      </c>
      <c r="P28" s="9">
        <v>30</v>
      </c>
      <c r="Q28" s="9">
        <v>38</v>
      </c>
      <c r="R28" s="9">
        <v>54</v>
      </c>
      <c r="S28" s="9">
        <v>61</v>
      </c>
      <c r="T28" s="9">
        <v>64</v>
      </c>
      <c r="U28" s="9">
        <v>80</v>
      </c>
      <c r="V28" s="9">
        <v>101</v>
      </c>
      <c r="W28" s="9">
        <v>109</v>
      </c>
      <c r="X28" s="9">
        <v>139</v>
      </c>
      <c r="Y28" s="9">
        <v>179</v>
      </c>
    </row>
    <row r="29" spans="1:82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Korea, South</v>
      </c>
      <c r="D29" s="6">
        <f>MAX(I29:BD29)</f>
        <v>174</v>
      </c>
      <c r="E29" s="6">
        <f>IF(COUNTIF(I29:XFD29,"&gt;"&amp;0)=0,,HLOOKUP(COUNTIF(I29:XFD29,"&gt;"&amp;0)-1,I$1:XFD29,A29+1,FALSE))</f>
        <v>174</v>
      </c>
      <c r="F29" s="7">
        <f>IF(COUNTIF(I29:XFD29,"&gt;"&amp;0)=0,,HLOOKUP(COUNTIF(I29:XFD29,"&gt;"&amp;0)-MIN($F$1+1,COUNTIF(I29:XFD29,"&gt;"&amp;0)),I$1:XFD29,A29+1,FALSE))</f>
        <v>152</v>
      </c>
      <c r="G29" s="8">
        <f>IF(COUNTIF(I29:XFD29,"&gt;"&amp;0)=0,,(E29/F29)^(1/MIN(COUNTIF(I29:XFD29,"&gt;"&amp;0)-1,$F$1)))</f>
        <v>1.027403715724799</v>
      </c>
      <c r="H29" s="13" t="s">
        <v>339</v>
      </c>
      <c r="I29" s="9">
        <v>8</v>
      </c>
      <c r="J29" s="9">
        <v>10</v>
      </c>
      <c r="K29" s="9">
        <v>12</v>
      </c>
      <c r="L29" s="9">
        <v>13</v>
      </c>
      <c r="M29" s="9">
        <v>13</v>
      </c>
      <c r="N29" s="9">
        <v>16</v>
      </c>
      <c r="O29" s="9">
        <v>17</v>
      </c>
      <c r="P29" s="9">
        <v>28</v>
      </c>
      <c r="Q29" s="9">
        <v>28</v>
      </c>
      <c r="R29" s="9">
        <v>35</v>
      </c>
      <c r="S29" s="9">
        <v>35</v>
      </c>
      <c r="T29" s="9">
        <v>42</v>
      </c>
      <c r="U29" s="9">
        <v>44</v>
      </c>
      <c r="V29" s="9">
        <v>50</v>
      </c>
      <c r="W29" s="9">
        <v>53</v>
      </c>
      <c r="X29" s="9">
        <v>54</v>
      </c>
      <c r="Y29" s="9">
        <v>60</v>
      </c>
      <c r="Z29" s="9">
        <v>66</v>
      </c>
      <c r="AA29" s="9">
        <v>66</v>
      </c>
      <c r="AB29" s="9">
        <v>72</v>
      </c>
      <c r="AC29" s="9">
        <v>75</v>
      </c>
      <c r="AD29" s="9">
        <v>75</v>
      </c>
      <c r="AE29" s="9">
        <v>81</v>
      </c>
      <c r="AF29" s="9">
        <v>84</v>
      </c>
      <c r="AG29" s="9">
        <v>91</v>
      </c>
      <c r="AH29" s="9">
        <v>94</v>
      </c>
      <c r="AI29" s="9">
        <v>102</v>
      </c>
      <c r="AJ29" s="9">
        <v>111</v>
      </c>
      <c r="AK29" s="9">
        <v>111</v>
      </c>
      <c r="AL29" s="9">
        <v>120</v>
      </c>
      <c r="AM29" s="9">
        <v>126</v>
      </c>
      <c r="AN29" s="9">
        <v>131</v>
      </c>
      <c r="AO29" s="9">
        <v>139</v>
      </c>
      <c r="AP29" s="9">
        <v>144</v>
      </c>
      <c r="AQ29" s="9">
        <v>152</v>
      </c>
      <c r="AR29" s="9">
        <v>158</v>
      </c>
      <c r="AS29" s="9">
        <v>162</v>
      </c>
      <c r="AT29" s="9">
        <v>165</v>
      </c>
      <c r="AU29" s="9">
        <v>169</v>
      </c>
      <c r="AV29" s="9">
        <v>174</v>
      </c>
    </row>
    <row r="30" spans="1:82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Austria</v>
      </c>
      <c r="D30" s="6">
        <f>MAX(I30:BD30)</f>
        <v>168</v>
      </c>
      <c r="E30" s="6">
        <f>IF(COUNTIF(I30:XFD30,"&gt;"&amp;0)=0,,HLOOKUP(COUNTIF(I30:XFD30,"&gt;"&amp;0)-1,I$1:XFD30,A30+1,FALSE))</f>
        <v>168</v>
      </c>
      <c r="F30" s="7">
        <f>IF(COUNTIF(I30:XFD30,"&gt;"&amp;0)=0,,HLOOKUP(COUNTIF(I30:XFD30,"&gt;"&amp;0)-MIN($F$1+1,COUNTIF(I30:XFD30,"&gt;"&amp;0)),I$1:XFD30,A30+1,FALSE))</f>
        <v>86</v>
      </c>
      <c r="G30" s="8">
        <f>IF(COUNTIF(I30:XFD30,"&gt;"&amp;0)=0,,(E30/F30)^(1/MIN(COUNTIF(I30:XFD30,"&gt;"&amp;0)-1,$F$1)))</f>
        <v>1.1433051666577319</v>
      </c>
      <c r="H30" s="13" t="s">
        <v>78</v>
      </c>
      <c r="I30" s="9">
        <v>8</v>
      </c>
      <c r="J30" s="9">
        <v>16</v>
      </c>
      <c r="K30" s="9">
        <v>21</v>
      </c>
      <c r="L30" s="9">
        <v>28</v>
      </c>
      <c r="M30" s="9">
        <v>30</v>
      </c>
      <c r="N30" s="9">
        <v>49</v>
      </c>
      <c r="O30" s="9">
        <v>58</v>
      </c>
      <c r="P30" s="9">
        <v>68</v>
      </c>
      <c r="Q30" s="9">
        <v>86</v>
      </c>
      <c r="R30" s="9">
        <v>108</v>
      </c>
      <c r="S30" s="9">
        <v>128</v>
      </c>
      <c r="T30" s="9">
        <v>146</v>
      </c>
      <c r="U30" s="9">
        <v>158</v>
      </c>
      <c r="V30" s="9">
        <v>168</v>
      </c>
    </row>
    <row r="31" spans="1:82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Ecuador</v>
      </c>
      <c r="D31" s="6">
        <f>MAX(I31:BD31)</f>
        <v>145</v>
      </c>
      <c r="E31" s="6">
        <f>IF(COUNTIF(I31:XFD31,"&gt;"&amp;0)=0,,HLOOKUP(COUNTIF(I31:XFD31,"&gt;"&amp;0)-1,I$1:XFD31,A31+1,FALSE))</f>
        <v>145</v>
      </c>
      <c r="F31" s="7">
        <f>IF(COUNTIF(I31:XFD31,"&gt;"&amp;0)=0,,HLOOKUP(COUNTIF(I31:XFD31,"&gt;"&amp;0)-MIN($F$1+1,COUNTIF(I31:XFD31,"&gt;"&amp;0)),I$1:XFD31,A31+1,FALSE))</f>
        <v>58</v>
      </c>
      <c r="G31" s="8">
        <f>IF(COUNTIF(I31:XFD31,"&gt;"&amp;0)=0,,(E31/F31)^(1/MIN(COUNTIF(I31:XFD31,"&gt;"&amp;0)-1,$F$1)))</f>
        <v>1.2011244339814313</v>
      </c>
      <c r="H31" s="13" t="s">
        <v>103</v>
      </c>
      <c r="I31" s="9">
        <v>14</v>
      </c>
      <c r="J31" s="9">
        <v>18</v>
      </c>
      <c r="K31" s="9">
        <v>27</v>
      </c>
      <c r="L31" s="9">
        <v>28</v>
      </c>
      <c r="M31" s="9">
        <v>34</v>
      </c>
      <c r="N31" s="9">
        <v>36</v>
      </c>
      <c r="O31" s="9">
        <v>48</v>
      </c>
      <c r="P31" s="9">
        <v>58</v>
      </c>
      <c r="Q31" s="9">
        <v>60</v>
      </c>
      <c r="R31" s="9">
        <v>75</v>
      </c>
      <c r="S31" s="9">
        <v>93</v>
      </c>
      <c r="T31" s="9">
        <v>120</v>
      </c>
      <c r="U31" s="9">
        <v>145</v>
      </c>
    </row>
    <row r="32" spans="1:82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Denmark</v>
      </c>
      <c r="D32" s="6">
        <f>MAX(I32:BD32)</f>
        <v>139</v>
      </c>
      <c r="E32" s="6">
        <f>IF(COUNTIF(I32:XFD32,"&gt;"&amp;0)=0,,HLOOKUP(COUNTIF(I32:XFD32,"&gt;"&amp;0)-1,I$1:XFD32,A32+1,FALSE))</f>
        <v>139</v>
      </c>
      <c r="F32" s="7">
        <f>IF(COUNTIF(I32:XFD32,"&gt;"&amp;0)=0,,HLOOKUP(COUNTIF(I32:XFD32,"&gt;"&amp;0)-MIN($F$1+1,COUNTIF(I32:XFD32,"&gt;"&amp;0)),I$1:XFD32,A32+1,FALSE))</f>
        <v>72</v>
      </c>
      <c r="G32" s="8">
        <f>IF(COUNTIF(I32:XFD32,"&gt;"&amp;0)=0,,(E32/F32)^(1/MIN(COUNTIF(I32:XFD32,"&gt;"&amp;0)-1,$F$1)))</f>
        <v>1.1406081246169792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  <c r="P32" s="9">
        <v>52</v>
      </c>
      <c r="Q32" s="9">
        <v>65</v>
      </c>
      <c r="R32" s="9">
        <v>72</v>
      </c>
      <c r="S32" s="9">
        <v>77</v>
      </c>
      <c r="T32" s="9">
        <v>90</v>
      </c>
      <c r="U32" s="9">
        <v>104</v>
      </c>
      <c r="V32" s="9">
        <v>123</v>
      </c>
      <c r="W32" s="9">
        <v>139</v>
      </c>
    </row>
    <row r="33" spans="1:34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Philippines</v>
      </c>
      <c r="D33" s="6">
        <f>MAX(I33:BD33)</f>
        <v>136</v>
      </c>
      <c r="E33" s="6">
        <f>IF(COUNTIF(I33:XFD33,"&gt;"&amp;0)=0,,HLOOKUP(COUNTIF(I33:XFD33,"&gt;"&amp;0)-1,I$1:XFD33,A33+1,FALSE))</f>
        <v>136</v>
      </c>
      <c r="F33" s="7">
        <f>IF(COUNTIF(I33:XFD33,"&gt;"&amp;0)=0,,HLOOKUP(COUNTIF(I33:XFD33,"&gt;"&amp;0)-MIN($F$1+1,COUNTIF(I33:XFD33,"&gt;"&amp;0)),I$1:XFD33,A33+1,FALSE))</f>
        <v>71</v>
      </c>
      <c r="G33" s="8">
        <f>IF(COUNTIF(I33:XFD33,"&gt;"&amp;0)=0,,(E33/F33)^(1/MIN(COUNTIF(I33:XFD33,"&gt;"&amp;0)-1,$F$1)))</f>
        <v>1.1388226911772932</v>
      </c>
      <c r="H33" s="13" t="s">
        <v>56</v>
      </c>
      <c r="I33" s="9">
        <v>8</v>
      </c>
      <c r="J33" s="9">
        <v>11</v>
      </c>
      <c r="K33" s="9">
        <v>12</v>
      </c>
      <c r="L33" s="9">
        <v>12</v>
      </c>
      <c r="M33" s="9">
        <v>19</v>
      </c>
      <c r="N33" s="9">
        <v>17</v>
      </c>
      <c r="O33" s="9">
        <v>18</v>
      </c>
      <c r="P33" s="9">
        <v>19</v>
      </c>
      <c r="Q33" s="9">
        <v>25</v>
      </c>
      <c r="R33" s="9">
        <v>33</v>
      </c>
      <c r="S33" s="9">
        <v>35</v>
      </c>
      <c r="T33" s="9">
        <v>38</v>
      </c>
      <c r="U33" s="9">
        <v>45</v>
      </c>
      <c r="V33" s="9">
        <v>54</v>
      </c>
      <c r="W33" s="9">
        <v>68</v>
      </c>
      <c r="X33" s="9">
        <v>71</v>
      </c>
      <c r="Y33" s="9">
        <v>78</v>
      </c>
      <c r="Z33" s="9">
        <v>88</v>
      </c>
      <c r="AA33" s="9">
        <v>96</v>
      </c>
      <c r="AB33" s="9">
        <v>107</v>
      </c>
      <c r="AC33" s="9">
        <v>136</v>
      </c>
    </row>
    <row r="34" spans="1:34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Romania</v>
      </c>
      <c r="D34" s="6">
        <f>MAX(I34:BD34)</f>
        <v>133</v>
      </c>
      <c r="E34" s="6">
        <f>IF(COUNTIF(I34:XFD34,"&gt;"&amp;0)=0,,HLOOKUP(COUNTIF(I34:XFD34,"&gt;"&amp;0)-1,I$1:XFD34,A34+1,FALSE))</f>
        <v>133</v>
      </c>
      <c r="F34" s="7">
        <f>IF(COUNTIF(I34:XFD34,"&gt;"&amp;0)=0,,HLOOKUP(COUNTIF(I34:XFD34,"&gt;"&amp;0)-MIN($F$1+1,COUNTIF(I34:XFD34,"&gt;"&amp;0)),I$1:XFD34,A34+1,FALSE))</f>
        <v>43</v>
      </c>
      <c r="G34" s="8">
        <f>IF(COUNTIF(I34:XFD34,"&gt;"&amp;0)=0,,(E34/F34)^(1/MIN(COUNTIF(I34:XFD34,"&gt;"&amp;0)-1,$F$1)))</f>
        <v>1.2533623279962143</v>
      </c>
      <c r="H34" s="13" t="s">
        <v>86</v>
      </c>
      <c r="I34" s="9">
        <v>11</v>
      </c>
      <c r="J34" s="9">
        <v>17</v>
      </c>
      <c r="K34" s="9">
        <v>23</v>
      </c>
      <c r="L34" s="9">
        <v>26</v>
      </c>
      <c r="M34" s="9">
        <v>37</v>
      </c>
      <c r="N34" s="9">
        <v>43</v>
      </c>
      <c r="O34" s="9">
        <v>65</v>
      </c>
      <c r="P34" s="9">
        <v>82</v>
      </c>
      <c r="Q34" s="9">
        <v>92</v>
      </c>
      <c r="R34" s="9">
        <v>115</v>
      </c>
      <c r="S34" s="9">
        <v>133</v>
      </c>
    </row>
    <row r="35" spans="1:34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Ireland</v>
      </c>
      <c r="D35" s="6">
        <f>MAX(I35:BD35)</f>
        <v>120</v>
      </c>
      <c r="E35" s="6">
        <f>IF(COUNTIF(I35:XFD35,"&gt;"&amp;0)=0,,HLOOKUP(COUNTIF(I35:XFD35,"&gt;"&amp;0)-1,I$1:XFD35,A35+1,FALSE))</f>
        <v>120</v>
      </c>
      <c r="F35" s="7">
        <f>IF(COUNTIF(I35:XFD35,"&gt;"&amp;0)=0,,HLOOKUP(COUNTIF(I35:XFD35,"&gt;"&amp;0)-MIN($F$1+1,COUNTIF(I35:XFD35,"&gt;"&amp;0)),I$1:XFD35,A35+1,FALSE))</f>
        <v>46</v>
      </c>
      <c r="G35" s="8">
        <f>IF(COUNTIF(I35:XFD35,"&gt;"&amp;0)=0,,(E35/F35)^(1/MIN(COUNTIF(I35:XFD35,"&gt;"&amp;0)-1,$F$1)))</f>
        <v>1.2113919486915226</v>
      </c>
      <c r="H35" s="13" t="s">
        <v>98</v>
      </c>
      <c r="I35" s="9">
        <v>9</v>
      </c>
      <c r="J35" s="9">
        <v>19</v>
      </c>
      <c r="K35" s="9">
        <v>22</v>
      </c>
      <c r="L35" s="9">
        <v>36</v>
      </c>
      <c r="M35" s="9">
        <v>46</v>
      </c>
      <c r="N35" s="9">
        <v>54</v>
      </c>
      <c r="O35" s="9">
        <v>71</v>
      </c>
      <c r="P35" s="9">
        <v>85</v>
      </c>
      <c r="Q35" s="9">
        <v>98</v>
      </c>
      <c r="R35" s="9">
        <v>120</v>
      </c>
    </row>
    <row r="36" spans="1:34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Algeria</v>
      </c>
      <c r="D36" s="6">
        <f>MAX(I36:BD36)</f>
        <v>105</v>
      </c>
      <c r="E36" s="6">
        <f>IF(COUNTIF(I36:XFD36,"&gt;"&amp;0)=0,,HLOOKUP(COUNTIF(I36:XFD36,"&gt;"&amp;0)-1,I$1:XFD36,A36+1,FALSE))</f>
        <v>105</v>
      </c>
      <c r="F36" s="7">
        <f>IF(COUNTIF(I36:XFD36,"&gt;"&amp;0)=0,,HLOOKUP(COUNTIF(I36:XFD36,"&gt;"&amp;0)-MIN($F$1+1,COUNTIF(I36:XFD36,"&gt;"&amp;0)),I$1:XFD36,A36+1,FALSE))</f>
        <v>31</v>
      </c>
      <c r="G36" s="8">
        <f>IF(COUNTIF(I36:XFD36,"&gt;"&amp;0)=0,,(E36/F36)^(1/MIN(COUNTIF(I36:XFD36,"&gt;"&amp;0)-1,$F$1)))</f>
        <v>1.2763374754341015</v>
      </c>
      <c r="H36" s="13" t="s">
        <v>75</v>
      </c>
      <c r="I36" s="9">
        <v>9</v>
      </c>
      <c r="J36" s="9">
        <v>11</v>
      </c>
      <c r="K36" s="9">
        <v>15</v>
      </c>
      <c r="L36" s="9">
        <v>17</v>
      </c>
      <c r="M36" s="9">
        <v>17</v>
      </c>
      <c r="N36" s="9">
        <v>19</v>
      </c>
      <c r="O36" s="9">
        <v>21</v>
      </c>
      <c r="P36" s="9">
        <v>25</v>
      </c>
      <c r="Q36" s="9">
        <v>26</v>
      </c>
      <c r="R36" s="9">
        <v>29</v>
      </c>
      <c r="S36" s="9">
        <v>31</v>
      </c>
      <c r="T36" s="9">
        <v>35</v>
      </c>
      <c r="U36" s="9">
        <v>44</v>
      </c>
      <c r="V36" s="9">
        <v>58</v>
      </c>
      <c r="W36" s="9">
        <v>86</v>
      </c>
      <c r="X36" s="9">
        <v>105</v>
      </c>
    </row>
    <row r="37" spans="1:34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India</v>
      </c>
      <c r="D37" s="6">
        <f>MAX(I37:BD37)</f>
        <v>72</v>
      </c>
      <c r="E37" s="6">
        <f>IF(COUNTIF(I37:XFD37,"&gt;"&amp;0)=0,,HLOOKUP(COUNTIF(I37:XFD37,"&gt;"&amp;0)-1,I$1:XFD37,A37+1,FALSE))</f>
        <v>72</v>
      </c>
      <c r="F37" s="7">
        <f>IF(COUNTIF(I37:XFD37,"&gt;"&amp;0)=0,,HLOOKUP(COUNTIF(I37:XFD37,"&gt;"&amp;0)-MIN($F$1+1,COUNTIF(I37:XFD37,"&gt;"&amp;0)),I$1:XFD37,A37+1,FALSE))</f>
        <v>27</v>
      </c>
      <c r="G37" s="8">
        <f>IF(COUNTIF(I37:XFD37,"&gt;"&amp;0)=0,,(E37/F37)^(1/MIN(COUNTIF(I37:XFD37,"&gt;"&amp;0)-1,$F$1)))</f>
        <v>1.2167286837864115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  <c r="T37" s="9">
        <v>72</v>
      </c>
    </row>
    <row r="38" spans="1:34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Poland</v>
      </c>
      <c r="D38" s="6">
        <f>MAX(I38:BD38)</f>
        <v>71</v>
      </c>
      <c r="E38" s="6">
        <f>IF(COUNTIF(I38:XFD38,"&gt;"&amp;0)=0,,HLOOKUP(COUNTIF(I38:XFD38,"&gt;"&amp;0)-1,I$1:XFD38,A38+1,FALSE))</f>
        <v>71</v>
      </c>
      <c r="F38" s="7">
        <f>IF(COUNTIF(I38:XFD38,"&gt;"&amp;0)=0,,HLOOKUP(COUNTIF(I38:XFD38,"&gt;"&amp;0)-MIN($F$1+1,COUNTIF(I38:XFD38,"&gt;"&amp;0)),I$1:XFD38,A38+1,FALSE))</f>
        <v>22</v>
      </c>
      <c r="G38" s="8">
        <f>IF(COUNTIF(I38:XFD38,"&gt;"&amp;0)=0,,(E38/F38)^(1/MIN(COUNTIF(I38:XFD38,"&gt;"&amp;0)-1,$F$1)))</f>
        <v>1.2640583842594302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</row>
    <row r="39" spans="1:34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Dominican Republic</v>
      </c>
      <c r="D39" s="6">
        <f>MAX(I39:BD39)</f>
        <v>68</v>
      </c>
      <c r="E39" s="6">
        <f>IF(COUNTIF(I39:XFD39,"&gt;"&amp;0)=0,,HLOOKUP(COUNTIF(I39:XFD39,"&gt;"&amp;0)-1,I$1:XFD39,A39+1,FALSE))</f>
        <v>68</v>
      </c>
      <c r="F39" s="7">
        <f>IF(COUNTIF(I39:XFD39,"&gt;"&amp;0)=0,,HLOOKUP(COUNTIF(I39:XFD39,"&gt;"&amp;0)-MIN($F$1+1,COUNTIF(I39:XFD39,"&gt;"&amp;0)),I$1:XFD39,A39+1,FALSE))</f>
        <v>39</v>
      </c>
      <c r="G39" s="8">
        <f>IF(COUNTIF(I39:XFD39,"&gt;"&amp;0)=0,,(E39/F39)^(1/MIN(COUNTIF(I39:XFD39,"&gt;"&amp;0)-1,$F$1)))</f>
        <v>1.1176063511697278</v>
      </c>
      <c r="H39" s="13" t="s">
        <v>106</v>
      </c>
      <c r="I39" s="9">
        <v>10</v>
      </c>
      <c r="J39" s="9">
        <v>10</v>
      </c>
      <c r="K39" s="9">
        <v>20</v>
      </c>
      <c r="L39" s="9">
        <v>28</v>
      </c>
      <c r="M39" s="9">
        <v>39</v>
      </c>
      <c r="N39" s="9">
        <v>42</v>
      </c>
      <c r="O39" s="9">
        <v>51</v>
      </c>
      <c r="P39" s="9">
        <v>57</v>
      </c>
      <c r="Q39" s="9">
        <v>60</v>
      </c>
      <c r="R39" s="9">
        <v>68</v>
      </c>
    </row>
    <row r="40" spans="1:34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Egypt</v>
      </c>
      <c r="D40" s="6">
        <f>MAX(I40:BD40)</f>
        <v>66</v>
      </c>
      <c r="E40" s="6">
        <f>IF(COUNTIF(I40:XFD40,"&gt;"&amp;0)=0,,HLOOKUP(COUNTIF(I40:XFD40,"&gt;"&amp;0)-1,I$1:XFD40,A40+1,FALSE))</f>
        <v>66</v>
      </c>
      <c r="F40" s="7">
        <f>IF(COUNTIF(I40:XFD40,"&gt;"&amp;0)=0,,HLOOKUP(COUNTIF(I40:XFD40,"&gt;"&amp;0)-MIN($F$1+1,COUNTIF(I40:XFD40,"&gt;"&amp;0)),I$1:XFD40,A40+1,FALSE))</f>
        <v>40</v>
      </c>
      <c r="G40" s="8">
        <f>IF(COUNTIF(I40:XFD40,"&gt;"&amp;0)=0,,(E40/F40)^(1/MIN(COUNTIF(I40:XFD40,"&gt;"&amp;0)-1,$F$1)))</f>
        <v>1.1053422964928694</v>
      </c>
      <c r="H40" s="13" t="s">
        <v>65</v>
      </c>
      <c r="I40" s="9">
        <v>8</v>
      </c>
      <c r="J40" s="9">
        <v>10</v>
      </c>
      <c r="K40" s="9">
        <v>14</v>
      </c>
      <c r="L40" s="9">
        <v>19</v>
      </c>
      <c r="M40" s="9">
        <v>20</v>
      </c>
      <c r="N40" s="9">
        <v>21</v>
      </c>
      <c r="O40" s="9">
        <v>24</v>
      </c>
      <c r="P40" s="9">
        <v>30</v>
      </c>
      <c r="Q40" s="9">
        <v>36</v>
      </c>
      <c r="R40" s="9">
        <v>40</v>
      </c>
      <c r="S40" s="9">
        <v>41</v>
      </c>
      <c r="T40" s="9">
        <v>46</v>
      </c>
      <c r="U40" s="9">
        <v>52</v>
      </c>
      <c r="V40" s="9">
        <v>58</v>
      </c>
      <c r="W40" s="9">
        <v>66</v>
      </c>
    </row>
    <row r="41" spans="1:34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Japan</v>
      </c>
      <c r="D41" s="6">
        <f>MAX(I41:BD41)</f>
        <v>63</v>
      </c>
      <c r="E41" s="6">
        <f>IF(COUNTIF(I41:XFD41,"&gt;"&amp;0)=0,,HLOOKUP(COUNTIF(I41:XFD41,"&gt;"&amp;0)-1,I$1:XFD41,A41+1,FALSE))</f>
        <v>63</v>
      </c>
      <c r="F41" s="7">
        <f>IF(COUNTIF(I41:XFD41,"&gt;"&amp;0)=0,,HLOOKUP(COUNTIF(I41:XFD41,"&gt;"&amp;0)-MIN($F$1+1,COUNTIF(I41:XFD41,"&gt;"&amp;0)),I$1:XFD41,A41+1,FALSE))</f>
        <v>54</v>
      </c>
      <c r="G41" s="8">
        <f>IF(COUNTIF(I41:XFD41,"&gt;"&amp;0)=0,,(E41/F41)^(1/MIN(COUNTIF(I41:XFD41,"&gt;"&amp;0)-1,$F$1)))</f>
        <v>1.0313103064775451</v>
      </c>
      <c r="H41" s="13" t="s">
        <v>36</v>
      </c>
      <c r="I41" s="9">
        <v>10</v>
      </c>
      <c r="J41" s="9">
        <v>10</v>
      </c>
      <c r="K41" s="9">
        <v>15</v>
      </c>
      <c r="L41" s="9">
        <v>16</v>
      </c>
      <c r="M41" s="9">
        <v>19</v>
      </c>
      <c r="N41" s="9">
        <v>22</v>
      </c>
      <c r="O41" s="9">
        <v>22</v>
      </c>
      <c r="P41" s="9">
        <v>27</v>
      </c>
      <c r="Q41" s="9">
        <v>29</v>
      </c>
      <c r="R41" s="9">
        <v>29</v>
      </c>
      <c r="S41" s="9">
        <v>29</v>
      </c>
      <c r="T41" s="9">
        <v>33</v>
      </c>
      <c r="U41" s="9">
        <v>35</v>
      </c>
      <c r="V41" s="9">
        <v>41</v>
      </c>
      <c r="W41" s="9">
        <v>42</v>
      </c>
      <c r="X41" s="9">
        <v>43</v>
      </c>
      <c r="Y41" s="9">
        <v>45</v>
      </c>
      <c r="Z41" s="9">
        <v>47</v>
      </c>
      <c r="AA41" s="9">
        <v>49</v>
      </c>
      <c r="AB41" s="9">
        <v>52</v>
      </c>
      <c r="AC41" s="9">
        <v>54</v>
      </c>
      <c r="AD41" s="9">
        <v>54</v>
      </c>
      <c r="AE41" s="9">
        <v>56</v>
      </c>
      <c r="AF41" s="9">
        <v>57</v>
      </c>
      <c r="AG41" s="9">
        <v>62</v>
      </c>
      <c r="AH41" s="9">
        <v>63</v>
      </c>
    </row>
    <row r="42" spans="1:34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Greece</v>
      </c>
      <c r="D42" s="6">
        <f>MAX(I42:BD42)</f>
        <v>63</v>
      </c>
      <c r="E42" s="6">
        <f>IF(COUNTIF(I42:XFD42,"&gt;"&amp;0)=0,,HLOOKUP(COUNTIF(I42:XFD42,"&gt;"&amp;0)-1,I$1:XFD42,A42+1,FALSE))</f>
        <v>63</v>
      </c>
      <c r="F42" s="7">
        <f>IF(COUNTIF(I42:XFD42,"&gt;"&amp;0)=0,,HLOOKUP(COUNTIF(I42:XFD42,"&gt;"&amp;0)-MIN($F$1+1,COUNTIF(I42:XFD42,"&gt;"&amp;0)),I$1:XFD42,A42+1,FALSE))</f>
        <v>38</v>
      </c>
      <c r="G42" s="8">
        <f>IF(COUNTIF(I42:XFD42,"&gt;"&amp;0)=0,,(E42/F42)^(1/MIN(COUNTIF(I42:XFD42,"&gt;"&amp;0)-1,$F$1)))</f>
        <v>1.106398021719422</v>
      </c>
      <c r="H42" s="13" t="s">
        <v>83</v>
      </c>
      <c r="I42" s="9">
        <v>13</v>
      </c>
      <c r="J42" s="9">
        <v>15</v>
      </c>
      <c r="K42" s="9">
        <v>17</v>
      </c>
      <c r="L42" s="9">
        <v>20</v>
      </c>
      <c r="M42" s="9">
        <v>22</v>
      </c>
      <c r="N42" s="9">
        <v>26</v>
      </c>
      <c r="O42" s="9">
        <v>28</v>
      </c>
      <c r="P42" s="9">
        <v>32</v>
      </c>
      <c r="Q42" s="9">
        <v>38</v>
      </c>
      <c r="R42" s="9">
        <v>43</v>
      </c>
      <c r="S42" s="9">
        <v>49</v>
      </c>
      <c r="T42" s="9">
        <v>50</v>
      </c>
      <c r="U42" s="9">
        <v>53</v>
      </c>
      <c r="V42" s="9">
        <v>63</v>
      </c>
    </row>
    <row r="43" spans="1:34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Peru</v>
      </c>
      <c r="D43" s="6">
        <f>MAX(I43:BD43)</f>
        <v>61</v>
      </c>
      <c r="E43" s="6">
        <f>IF(COUNTIF(I43:XFD43,"&gt;"&amp;0)=0,,HLOOKUP(COUNTIF(I43:XFD43,"&gt;"&amp;0)-1,I$1:XFD43,A43+1,FALSE))</f>
        <v>61</v>
      </c>
      <c r="F43" s="7">
        <f>IF(COUNTIF(I43:XFD43,"&gt;"&amp;0)=0,,HLOOKUP(COUNTIF(I43:XFD43,"&gt;"&amp;0)-MIN($F$1+1,COUNTIF(I43:XFD43,"&gt;"&amp;0)),I$1:XFD43,A43+1,FALSE))</f>
        <v>18</v>
      </c>
      <c r="G43" s="8">
        <f>IF(COUNTIF(I43:XFD43,"&gt;"&amp;0)=0,,(E43/F43)^(1/MIN(COUNTIF(I43:XFD43,"&gt;"&amp;0)-1,$F$1)))</f>
        <v>1.2764725090252995</v>
      </c>
      <c r="H43" s="13" t="s">
        <v>160</v>
      </c>
      <c r="I43" s="9">
        <v>9</v>
      </c>
      <c r="J43" s="9">
        <v>9</v>
      </c>
      <c r="K43" s="9">
        <v>11</v>
      </c>
      <c r="L43" s="9">
        <v>16</v>
      </c>
      <c r="M43" s="9">
        <v>18</v>
      </c>
      <c r="N43" s="9">
        <v>24</v>
      </c>
      <c r="O43" s="9">
        <v>30</v>
      </c>
      <c r="P43" s="9">
        <v>38</v>
      </c>
      <c r="Q43" s="9">
        <v>55</v>
      </c>
      <c r="R43" s="9">
        <v>61</v>
      </c>
    </row>
    <row r="44" spans="1:34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Norway</v>
      </c>
      <c r="D44" s="6">
        <f>MAX(I44:BD44)</f>
        <v>59</v>
      </c>
      <c r="E44" s="6">
        <f>IF(COUNTIF(I44:XFD44,"&gt;"&amp;0)=0,,HLOOKUP(COUNTIF(I44:XFD44,"&gt;"&amp;0)-1,I$1:XFD44,A44+1,FALSE))</f>
        <v>59</v>
      </c>
      <c r="F44" s="7">
        <f>IF(COUNTIF(I44:XFD44,"&gt;"&amp;0)=0,,HLOOKUP(COUNTIF(I44:XFD44,"&gt;"&amp;0)-MIN($F$1+1,COUNTIF(I44:XFD44,"&gt;"&amp;0)),I$1:XFD44,A44+1,FALSE))</f>
        <v>25</v>
      </c>
      <c r="G44" s="8">
        <f>IF(COUNTIF(I44:XFD44,"&gt;"&amp;0)=0,,(E44/F44)^(1/MIN(COUNTIF(I44:XFD44,"&gt;"&amp;0)-1,$F$1)))</f>
        <v>1.1873599626786842</v>
      </c>
      <c r="H44" s="13" t="s">
        <v>85</v>
      </c>
      <c r="I44" s="9">
        <v>10</v>
      </c>
      <c r="J44" s="9">
        <v>12</v>
      </c>
      <c r="K44" s="9">
        <v>14</v>
      </c>
      <c r="L44" s="9">
        <v>14</v>
      </c>
      <c r="M44" s="9">
        <v>19</v>
      </c>
      <c r="N44" s="9">
        <v>23</v>
      </c>
      <c r="O44" s="9">
        <v>25</v>
      </c>
      <c r="P44" s="9">
        <v>32</v>
      </c>
      <c r="Q44" s="9">
        <v>39</v>
      </c>
      <c r="R44" s="9">
        <v>44</v>
      </c>
      <c r="S44" s="9">
        <v>50</v>
      </c>
      <c r="T44" s="9">
        <v>59</v>
      </c>
    </row>
    <row r="45" spans="1:34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Iraq</v>
      </c>
      <c r="D45" s="6">
        <f>MAX(I45:BD45)</f>
        <v>54</v>
      </c>
      <c r="E45" s="6">
        <f>IF(COUNTIF(I45:XFD45,"&gt;"&amp;0)=0,,HLOOKUP(COUNTIF(I45:XFD45,"&gt;"&amp;0)-1,I$1:XFD45,A45+1,FALSE))</f>
        <v>54</v>
      </c>
      <c r="F45" s="7">
        <f>IF(COUNTIF(I45:XFD45,"&gt;"&amp;0)=0,,HLOOKUP(COUNTIF(I45:XFD45,"&gt;"&amp;0)-MIN($F$1+1,COUNTIF(I45:XFD45,"&gt;"&amp;0)),I$1:XFD45,A45+1,FALSE))</f>
        <v>42</v>
      </c>
      <c r="G45" s="8">
        <f>IF(COUNTIF(I45:XFD45,"&gt;"&amp;0)=0,,(E45/F45)^(1/MIN(COUNTIF(I45:XFD45,"&gt;"&amp;0)-1,$F$1)))</f>
        <v>1.0515474967972804</v>
      </c>
      <c r="H45" s="13" t="s">
        <v>70</v>
      </c>
      <c r="I45" s="9">
        <v>8</v>
      </c>
      <c r="J45" s="9">
        <v>9</v>
      </c>
      <c r="K45" s="9">
        <v>10</v>
      </c>
      <c r="L45" s="9">
        <v>10</v>
      </c>
      <c r="M45" s="9">
        <v>10</v>
      </c>
      <c r="N45" s="9">
        <v>11</v>
      </c>
      <c r="O45" s="9">
        <v>12</v>
      </c>
      <c r="P45" s="9">
        <v>13</v>
      </c>
      <c r="Q45" s="9">
        <v>17</v>
      </c>
      <c r="R45" s="9">
        <v>17</v>
      </c>
      <c r="S45" s="9">
        <v>20</v>
      </c>
      <c r="T45" s="9">
        <v>23</v>
      </c>
      <c r="U45" s="9">
        <v>27</v>
      </c>
      <c r="V45" s="9">
        <v>29</v>
      </c>
      <c r="W45" s="9">
        <v>36</v>
      </c>
      <c r="X45" s="9">
        <v>40</v>
      </c>
      <c r="Y45" s="9">
        <v>42</v>
      </c>
      <c r="Z45" s="9">
        <v>42</v>
      </c>
      <c r="AA45" s="9">
        <v>46</v>
      </c>
      <c r="AB45" s="9">
        <v>50</v>
      </c>
      <c r="AC45" s="9">
        <v>52</v>
      </c>
      <c r="AD45" s="9">
        <v>54</v>
      </c>
      <c r="AE45" s="9">
        <v>54</v>
      </c>
    </row>
    <row r="46" spans="1:34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Malaysia</v>
      </c>
      <c r="D46" s="6">
        <f>MAX(I46:BD46)</f>
        <v>53</v>
      </c>
      <c r="E46" s="6">
        <f>IF(COUNTIF(I46:XFD46,"&gt;"&amp;0)=0,,HLOOKUP(COUNTIF(I46:XFD46,"&gt;"&amp;0)-1,I$1:XFD46,A46+1,FALSE))</f>
        <v>53</v>
      </c>
      <c r="F46" s="7">
        <f>IF(COUNTIF(I46:XFD46,"&gt;"&amp;0)=0,,HLOOKUP(COUNTIF(I46:XFD46,"&gt;"&amp;0)-MIN($F$1+1,COUNTIF(I46:XFD46,"&gt;"&amp;0)),I$1:XFD46,A46+1,FALSE))</f>
        <v>35</v>
      </c>
      <c r="G46" s="8">
        <f>IF(COUNTIF(I46:XFD46,"&gt;"&amp;0)=0,,(E46/F46)^(1/MIN(COUNTIF(I46:XFD46,"&gt;"&amp;0)-1,$F$1)))</f>
        <v>1.08652960720048</v>
      </c>
      <c r="H46" s="13" t="s">
        <v>43</v>
      </c>
      <c r="I46" s="9">
        <v>10</v>
      </c>
      <c r="J46" s="9">
        <v>14</v>
      </c>
      <c r="K46" s="9">
        <v>16</v>
      </c>
      <c r="L46" s="9">
        <v>20</v>
      </c>
      <c r="M46" s="9">
        <v>23</v>
      </c>
      <c r="N46" s="9">
        <v>26</v>
      </c>
      <c r="O46" s="9">
        <v>27</v>
      </c>
      <c r="P46" s="9">
        <v>35</v>
      </c>
      <c r="Q46" s="9">
        <v>37</v>
      </c>
      <c r="R46" s="9">
        <v>43</v>
      </c>
      <c r="S46" s="9">
        <v>45</v>
      </c>
      <c r="T46" s="9">
        <v>50</v>
      </c>
      <c r="U46" s="9">
        <v>53</v>
      </c>
    </row>
    <row r="47" spans="1:34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Czechia</v>
      </c>
      <c r="D47" s="6">
        <f>MAX(I47:BD47)</f>
        <v>53</v>
      </c>
      <c r="E47" s="6">
        <f>IF(COUNTIF(I47:XFD47,"&gt;"&amp;0)=0,,HLOOKUP(COUNTIF(I47:XFD47,"&gt;"&amp;0)-1,I$1:XFD47,A47+1,FALSE))</f>
        <v>53</v>
      </c>
      <c r="F47" s="7">
        <f>IF(COUNTIF(I47:XFD47,"&gt;"&amp;0)=0,,HLOOKUP(COUNTIF(I47:XFD47,"&gt;"&amp;0)-MIN($F$1+1,COUNTIF(I47:XFD47,"&gt;"&amp;0)),I$1:XFD47,A47+1,FALSE))</f>
        <v>16</v>
      </c>
      <c r="G47" s="8">
        <f>IF(COUNTIF(I47:XFD47,"&gt;"&amp;0)=0,,(E47/F47)^(1/MIN(COUNTIF(I47:XFD47,"&gt;"&amp;0)-1,$F$1)))</f>
        <v>1.2706653212075216</v>
      </c>
      <c r="H47" s="13" t="s">
        <v>341</v>
      </c>
      <c r="I47" s="9">
        <v>9</v>
      </c>
      <c r="J47" s="9">
        <v>9</v>
      </c>
      <c r="K47" s="9">
        <v>11</v>
      </c>
      <c r="L47" s="9">
        <v>16</v>
      </c>
      <c r="M47" s="9">
        <v>23</v>
      </c>
      <c r="N47" s="9">
        <v>31</v>
      </c>
      <c r="O47" s="9">
        <v>39</v>
      </c>
      <c r="P47" s="9">
        <v>44</v>
      </c>
      <c r="Q47" s="9">
        <v>53</v>
      </c>
    </row>
    <row r="48" spans="1:34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Mexico</v>
      </c>
      <c r="D48" s="6">
        <f>MAX(I48:BD48)</f>
        <v>50</v>
      </c>
      <c r="E48" s="6">
        <f>IF(COUNTIF(I48:XFD48,"&gt;"&amp;0)=0,,HLOOKUP(COUNTIF(I48:XFD48,"&gt;"&amp;0)-1,I$1:XFD48,A48+1,FALSE))</f>
        <v>50</v>
      </c>
      <c r="F48" s="7">
        <f>IF(COUNTIF(I48:XFD48,"&gt;"&amp;0)=0,,HLOOKUP(COUNTIF(I48:XFD48,"&gt;"&amp;0)-MIN($F$1+1,COUNTIF(I48:XFD48,"&gt;"&amp;0)),I$1:XFD48,A48+1,FALSE))</f>
        <v>16</v>
      </c>
      <c r="G48" s="8">
        <f>IF(COUNTIF(I48:XFD48,"&gt;"&amp;0)=0,,(E48/F48)^(1/MIN(COUNTIF(I48:XFD48,"&gt;"&amp;0)-1,$F$1)))</f>
        <v>1.2559432157547901</v>
      </c>
      <c r="H48" s="13" t="s">
        <v>94</v>
      </c>
      <c r="I48" s="9">
        <v>8</v>
      </c>
      <c r="J48" s="9">
        <v>12</v>
      </c>
      <c r="K48" s="9">
        <v>16</v>
      </c>
      <c r="L48" s="9">
        <v>20</v>
      </c>
      <c r="M48" s="9">
        <v>28</v>
      </c>
      <c r="N48" s="9">
        <v>29</v>
      </c>
      <c r="O48" s="9">
        <v>37</v>
      </c>
      <c r="P48" s="9">
        <v>50</v>
      </c>
    </row>
    <row r="49" spans="1:25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Morocco</v>
      </c>
      <c r="D49" s="6">
        <f>MAX(I49:BD49)</f>
        <v>48</v>
      </c>
      <c r="E49" s="6">
        <f>IF(COUNTIF(I49:XFD49,"&gt;"&amp;0)=0,,HLOOKUP(COUNTIF(I49:XFD49,"&gt;"&amp;0)-1,I$1:XFD49,A49+1,FALSE))</f>
        <v>48</v>
      </c>
      <c r="F49" s="7">
        <f>IF(COUNTIF(I49:XFD49,"&gt;"&amp;0)=0,,HLOOKUP(COUNTIF(I49:XFD49,"&gt;"&amp;0)-MIN($F$1+1,COUNTIF(I49:XFD49,"&gt;"&amp;0)),I$1:XFD49,A49+1,FALSE))</f>
        <v>26</v>
      </c>
      <c r="G49" s="8">
        <f>IF(COUNTIF(I49:XFD49,"&gt;"&amp;0)=0,,(E49/F49)^(1/MIN(COUNTIF(I49:XFD49,"&gt;"&amp;0)-1,$F$1)))</f>
        <v>1.1304557777866477</v>
      </c>
      <c r="H49" s="13" t="s">
        <v>112</v>
      </c>
      <c r="I49" s="9">
        <v>11</v>
      </c>
      <c r="J49" s="9">
        <v>23</v>
      </c>
      <c r="K49" s="9">
        <v>25</v>
      </c>
      <c r="L49" s="9">
        <v>26</v>
      </c>
      <c r="M49" s="9">
        <v>33</v>
      </c>
      <c r="N49" s="9">
        <v>36</v>
      </c>
      <c r="O49" s="9">
        <v>39</v>
      </c>
      <c r="P49" s="9">
        <v>44</v>
      </c>
      <c r="Q49" s="9">
        <v>48</v>
      </c>
    </row>
    <row r="50" spans="1:25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Israel</v>
      </c>
      <c r="D50" s="6">
        <f>MAX(I50:BD50)</f>
        <v>40</v>
      </c>
      <c r="E50" s="6">
        <f>IF(COUNTIF(I50:XFD50,"&gt;"&amp;0)=0,,HLOOKUP(COUNTIF(I50:XFD50,"&gt;"&amp;0)-1,I$1:XFD50,A50+1,FALSE))</f>
        <v>40</v>
      </c>
      <c r="F50" s="7">
        <f>IF(COUNTIF(I50:XFD50,"&gt;"&amp;0)=0,,HLOOKUP(COUNTIF(I50:XFD50,"&gt;"&amp;0)-MIN($F$1+1,COUNTIF(I50:XFD50,"&gt;"&amp;0)),I$1:XFD50,A50+1,FALSE))</f>
        <v>15</v>
      </c>
      <c r="G50" s="8">
        <f>IF(COUNTIF(I50:XFD50,"&gt;"&amp;0)=0,,(E50/F50)^(1/MIN(COUNTIF(I50:XFD50,"&gt;"&amp;0)-1,$F$1)))</f>
        <v>1.2167286837864115</v>
      </c>
      <c r="H50" s="13" t="s">
        <v>79</v>
      </c>
      <c r="I50" s="9">
        <v>8</v>
      </c>
      <c r="J50" s="9">
        <v>12</v>
      </c>
      <c r="K50" s="9">
        <v>12</v>
      </c>
      <c r="L50" s="9">
        <v>15</v>
      </c>
      <c r="M50" s="9">
        <v>16</v>
      </c>
      <c r="N50" s="9">
        <v>20</v>
      </c>
      <c r="O50" s="9">
        <v>26</v>
      </c>
      <c r="P50" s="9">
        <v>36</v>
      </c>
      <c r="Q50" s="9">
        <v>40</v>
      </c>
    </row>
    <row r="51" spans="1:25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Pakistan</v>
      </c>
      <c r="D51" s="6">
        <f>MAX(I51:BD51)</f>
        <v>40</v>
      </c>
      <c r="E51" s="6">
        <f>IF(COUNTIF(I51:XFD51,"&gt;"&amp;0)=0,,HLOOKUP(COUNTIF(I51:XFD51,"&gt;"&amp;0)-1,I$1:XFD51,A51+1,FALSE))</f>
        <v>40</v>
      </c>
      <c r="F51" s="7">
        <f>IF(COUNTIF(I51:XFD51,"&gt;"&amp;0)=0,,HLOOKUP(COUNTIF(I51:XFD51,"&gt;"&amp;0)-MIN($F$1+1,COUNTIF(I51:XFD51,"&gt;"&amp;0)),I$1:XFD51,A51+1,FALSE))</f>
        <v>14</v>
      </c>
      <c r="G51" s="8">
        <f>IF(COUNTIF(I51:XFD51,"&gt;"&amp;0)=0,,(E51/F51)^(1/MIN(COUNTIF(I51:XFD51,"&gt;"&amp;0)-1,$F$1)))</f>
        <v>1.2336341725167208</v>
      </c>
      <c r="H51" s="13" t="s">
        <v>80</v>
      </c>
      <c r="I51" s="9">
        <v>8</v>
      </c>
      <c r="J51" s="9">
        <v>9</v>
      </c>
      <c r="K51" s="9">
        <v>11</v>
      </c>
      <c r="L51" s="9">
        <v>12</v>
      </c>
      <c r="M51" s="9">
        <v>14</v>
      </c>
      <c r="N51" s="9">
        <v>21</v>
      </c>
      <c r="O51" s="9">
        <v>26</v>
      </c>
      <c r="P51" s="9">
        <v>27</v>
      </c>
      <c r="Q51" s="9">
        <v>34</v>
      </c>
      <c r="R51" s="9">
        <v>40</v>
      </c>
    </row>
    <row r="52" spans="1:25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Serbia</v>
      </c>
      <c r="D52" s="6">
        <f>MAX(I52:BD52)</f>
        <v>39</v>
      </c>
      <c r="E52" s="6">
        <f>IF(COUNTIF(I52:XFD52,"&gt;"&amp;0)=0,,HLOOKUP(COUNTIF(I52:XFD52,"&gt;"&amp;0)-1,I$1:XFD52,A52+1,FALSE))</f>
        <v>39</v>
      </c>
      <c r="F52" s="7">
        <f>IF(COUNTIF(I52:XFD52,"&gt;"&amp;0)=0,,HLOOKUP(COUNTIF(I52:XFD52,"&gt;"&amp;0)-MIN($F$1+1,COUNTIF(I52:XFD52,"&gt;"&amp;0)),I$1:XFD52,A52+1,FALSE))</f>
        <v>13</v>
      </c>
      <c r="G52" s="8">
        <f>IF(COUNTIF(I52:XFD52,"&gt;"&amp;0)=0,,(E52/F52)^(1/MIN(COUNTIF(I52:XFD52,"&gt;"&amp;0)-1,$F$1)))</f>
        <v>1.2457309396155174</v>
      </c>
      <c r="H52" s="13" t="s">
        <v>161</v>
      </c>
      <c r="I52" s="9">
        <v>10</v>
      </c>
      <c r="J52" s="9">
        <v>13</v>
      </c>
      <c r="K52" s="9">
        <v>16</v>
      </c>
      <c r="L52" s="9">
        <v>16</v>
      </c>
      <c r="M52" s="9">
        <v>28</v>
      </c>
      <c r="N52" s="9">
        <v>31</v>
      </c>
      <c r="O52" s="9">
        <v>39</v>
      </c>
    </row>
    <row r="53" spans="1:25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Argentina</v>
      </c>
      <c r="D53" s="6">
        <f>MAX(I53:BD53)</f>
        <v>39</v>
      </c>
      <c r="E53" s="6">
        <f>IF(COUNTIF(I53:XFD53,"&gt;"&amp;0)=0,,HLOOKUP(COUNTIF(I53:XFD53,"&gt;"&amp;0)-1,I$1:XFD53,A53+1,FALSE))</f>
        <v>39</v>
      </c>
      <c r="F53" s="7">
        <f>IF(COUNTIF(I53:XFD53,"&gt;"&amp;0)=0,,HLOOKUP(COUNTIF(I53:XFD53,"&gt;"&amp;0)-MIN($F$1+1,COUNTIF(I53:XFD53,"&gt;"&amp;0)),I$1:XFD53,A53+1,FALSE))</f>
        <v>19</v>
      </c>
      <c r="G53" s="8">
        <f>IF(COUNTIF(I53:XFD53,"&gt;"&amp;0)=0,,(E53/F53)^(1/MIN(COUNTIF(I53:XFD53,"&gt;"&amp;0)-1,$F$1)))</f>
        <v>1.1546814827060505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</row>
    <row r="54" spans="1:25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Panama</v>
      </c>
      <c r="D54" s="6">
        <f>MAX(I54:BD54)</f>
        <v>37</v>
      </c>
      <c r="E54" s="6">
        <f>IF(COUNTIF(I54:XFD54,"&gt;"&amp;0)=0,,HLOOKUP(COUNTIF(I54:XFD54,"&gt;"&amp;0)-1,I$1:XFD54,A54+1,FALSE))</f>
        <v>37</v>
      </c>
      <c r="F54" s="7">
        <f>IF(COUNTIF(I54:XFD54,"&gt;"&amp;0)=0,,HLOOKUP(COUNTIF(I54:XFD54,"&gt;"&amp;0)-MIN($F$1+1,COUNTIF(I54:XFD54,"&gt;"&amp;0)),I$1:XFD54,A54+1,FALSE))</f>
        <v>17</v>
      </c>
      <c r="G54" s="8">
        <f>IF(COUNTIF(I54:XFD54,"&gt;"&amp;0)=0,,(E54/F54)^(1/MIN(COUNTIF(I54:XFD54,"&gt;"&amp;0)-1,$F$1)))</f>
        <v>1.168289734165707</v>
      </c>
      <c r="H54" s="13" t="s">
        <v>283</v>
      </c>
      <c r="I54" s="9">
        <v>8</v>
      </c>
      <c r="J54" s="9">
        <v>8</v>
      </c>
      <c r="K54" s="9">
        <v>9</v>
      </c>
      <c r="L54" s="9">
        <v>14</v>
      </c>
      <c r="M54" s="9">
        <v>17</v>
      </c>
      <c r="N54" s="9">
        <v>24</v>
      </c>
      <c r="O54" s="9">
        <v>30</v>
      </c>
      <c r="P54" s="9">
        <v>30</v>
      </c>
      <c r="Q54" s="9">
        <v>32</v>
      </c>
      <c r="R54" s="9">
        <v>37</v>
      </c>
    </row>
    <row r="55" spans="1:25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Russia</v>
      </c>
      <c r="D55" s="6">
        <f>MAX(I55:BD55)</f>
        <v>34</v>
      </c>
      <c r="E55" s="6">
        <f>IF(COUNTIF(I55:XFD55,"&gt;"&amp;0)=0,,HLOOKUP(COUNTIF(I55:XFD55,"&gt;"&amp;0)-1,I$1:XFD55,A55+1,FALSE))</f>
        <v>34</v>
      </c>
      <c r="F55" s="7">
        <f>IF(COUNTIF(I55:XFD55,"&gt;"&amp;0)=0,,HLOOKUP(COUNTIF(I55:XFD55,"&gt;"&amp;0)-MIN($F$1+1,COUNTIF(I55:XFD55,"&gt;"&amp;0)),I$1:XFD55,A55+1,FALSE))</f>
        <v>8</v>
      </c>
      <c r="G55" s="8">
        <f>IF(COUNTIF(I55:XFD55,"&gt;"&amp;0)=0,,(E55/F55)^(1/MIN(COUNTIF(I55:XFD55,"&gt;"&amp;0)-1,$F$1)))</f>
        <v>1.3356042305195701</v>
      </c>
      <c r="H55" s="13" t="s">
        <v>344</v>
      </c>
      <c r="I55" s="9">
        <v>8</v>
      </c>
      <c r="J55" s="9">
        <v>9</v>
      </c>
      <c r="K55" s="9">
        <v>17</v>
      </c>
      <c r="L55" s="9">
        <v>24</v>
      </c>
      <c r="M55" s="9">
        <v>30</v>
      </c>
      <c r="N55" s="9">
        <v>34</v>
      </c>
    </row>
    <row r="56" spans="1:25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Luxembourg</v>
      </c>
      <c r="D56" s="6">
        <f>MAX(I56:BD56)</f>
        <v>31</v>
      </c>
      <c r="E56" s="6">
        <f>IF(COUNTIF(I56:XFD56,"&gt;"&amp;0)=0,,HLOOKUP(COUNTIF(I56:XFD56,"&gt;"&amp;0)-1,I$1:XFD56,A56+1,FALSE))</f>
        <v>31</v>
      </c>
      <c r="F56" s="7">
        <f>IF(COUNTIF(I56:XFD56,"&gt;"&amp;0)=0,,HLOOKUP(COUNTIF(I56:XFD56,"&gt;"&amp;0)-MIN($F$1+1,COUNTIF(I56:XFD56,"&gt;"&amp;0)),I$1:XFD56,A56+1,FALSE))</f>
        <v>21</v>
      </c>
      <c r="G56" s="8">
        <f>IF(COUNTIF(I56:XFD56,"&gt;"&amp;0)=0,,(E56/F56)^(1/MIN(COUNTIF(I56:XFD56,"&gt;"&amp;0)-1,$F$1)))</f>
        <v>1.0810069343078312</v>
      </c>
      <c r="H56" s="13" t="s">
        <v>99</v>
      </c>
      <c r="I56" s="9">
        <v>8</v>
      </c>
      <c r="J56" s="9">
        <v>8</v>
      </c>
      <c r="K56" s="9">
        <v>8</v>
      </c>
      <c r="L56" s="9">
        <v>8</v>
      </c>
      <c r="M56" s="9">
        <v>8</v>
      </c>
      <c r="N56" s="9">
        <v>9</v>
      </c>
      <c r="O56" s="9">
        <v>15</v>
      </c>
      <c r="P56" s="9">
        <v>18</v>
      </c>
      <c r="Q56" s="9">
        <v>21</v>
      </c>
      <c r="R56" s="9">
        <v>22</v>
      </c>
      <c r="S56" s="9">
        <v>23</v>
      </c>
      <c r="T56" s="9">
        <v>29</v>
      </c>
      <c r="U56" s="9">
        <v>30</v>
      </c>
      <c r="V56" s="9">
        <v>31</v>
      </c>
    </row>
    <row r="57" spans="1:25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>San Marino</v>
      </c>
      <c r="D57" s="6">
        <f>MAX(I57:BD57)</f>
        <v>30</v>
      </c>
      <c r="E57" s="6">
        <f>IF(COUNTIF(I57:XFD57,"&gt;"&amp;0)=0,,HLOOKUP(COUNTIF(I57:XFD57,"&gt;"&amp;0)-1,I$1:XFD57,A57+1,FALSE))</f>
        <v>30</v>
      </c>
      <c r="F57" s="7">
        <f>IF(COUNTIF(I57:XFD57,"&gt;"&amp;0)=0,,HLOOKUP(COUNTIF(I57:XFD57,"&gt;"&amp;0)-MIN($F$1+1,COUNTIF(I57:XFD57,"&gt;"&amp;0)),I$1:XFD57,A57+1,FALSE))</f>
        <v>22</v>
      </c>
      <c r="G57" s="8">
        <f>IF(COUNTIF(I57:XFD57,"&gt;"&amp;0)=0,,(E57/F57)^(1/MIN(COUNTIF(I57:XFD57,"&gt;"&amp;0)-1,$F$1)))</f>
        <v>1.0639953128150836</v>
      </c>
      <c r="H57" s="13" t="s">
        <v>90</v>
      </c>
      <c r="I57" s="9">
        <v>11</v>
      </c>
      <c r="J57" s="9">
        <v>11</v>
      </c>
      <c r="K57" s="9">
        <v>14</v>
      </c>
      <c r="L57" s="9">
        <v>20</v>
      </c>
      <c r="M57" s="9">
        <v>20</v>
      </c>
      <c r="N57" s="9">
        <v>20</v>
      </c>
      <c r="O57" s="9">
        <v>21</v>
      </c>
      <c r="P57" s="9">
        <v>21</v>
      </c>
      <c r="Q57" s="9">
        <v>21</v>
      </c>
      <c r="R57" s="9">
        <v>21</v>
      </c>
      <c r="S57" s="9">
        <v>22</v>
      </c>
      <c r="T57" s="9">
        <v>22</v>
      </c>
      <c r="U57" s="9">
        <v>25</v>
      </c>
      <c r="V57" s="9">
        <v>26</v>
      </c>
      <c r="W57" s="9">
        <v>26</v>
      </c>
      <c r="X57" s="9">
        <v>30</v>
      </c>
      <c r="Y57" s="9">
        <v>30</v>
      </c>
    </row>
    <row r="58" spans="1:25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>Australia</v>
      </c>
      <c r="D58" s="6">
        <f>MAX(I58:BD58)</f>
        <v>28</v>
      </c>
      <c r="E58" s="6">
        <f>IF(COUNTIF(I58:XFD58,"&gt;"&amp;0)=0,,HLOOKUP(COUNTIF(I58:XFD58,"&gt;"&amp;0)-1,I$1:XFD58,A58+1,FALSE))</f>
        <v>28</v>
      </c>
      <c r="F58" s="7">
        <f>IF(COUNTIF(I58:XFD58,"&gt;"&amp;0)=0,,HLOOKUP(COUNTIF(I58:XFD58,"&gt;"&amp;0)-MIN($F$1+1,COUNTIF(I58:XFD58,"&gt;"&amp;0)),I$1:XFD58,A58+1,FALSE))</f>
        <v>16</v>
      </c>
      <c r="G58" s="8">
        <f>IF(COUNTIF(I58:XFD58,"&gt;"&amp;0)=0,,(E58/F58)^(1/MIN(COUNTIF(I58:XFD58,"&gt;"&amp;0)-1,$F$1)))</f>
        <v>1.1184269147201447</v>
      </c>
      <c r="H58" s="13" t="s">
        <v>48</v>
      </c>
      <c r="I58" s="9">
        <v>8</v>
      </c>
      <c r="J58" s="9">
        <v>8</v>
      </c>
      <c r="K58" s="9">
        <v>13</v>
      </c>
      <c r="L58" s="9">
        <v>13</v>
      </c>
      <c r="M58" s="9">
        <v>14</v>
      </c>
      <c r="N58" s="9">
        <v>16</v>
      </c>
      <c r="O58" s="9">
        <v>17</v>
      </c>
      <c r="P58" s="9">
        <v>18</v>
      </c>
      <c r="Q58" s="9">
        <v>20</v>
      </c>
      <c r="R58" s="9">
        <v>24</v>
      </c>
      <c r="S58" s="9">
        <v>28</v>
      </c>
    </row>
    <row r="59" spans="1:25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>Ukraine</v>
      </c>
      <c r="D59" s="6">
        <f>MAX(I59:BD59)</f>
        <v>27</v>
      </c>
      <c r="E59" s="6">
        <f>IF(COUNTIF(I59:XFD59,"&gt;"&amp;0)=0,,HLOOKUP(COUNTIF(I59:XFD59,"&gt;"&amp;0)-1,I$1:XFD59,A59+1,FALSE))</f>
        <v>27</v>
      </c>
      <c r="F59" s="7">
        <f>IF(COUNTIF(I59:XFD59,"&gt;"&amp;0)=0,,HLOOKUP(COUNTIF(I59:XFD59,"&gt;"&amp;0)-MIN($F$1+1,COUNTIF(I59:XFD59,"&gt;"&amp;0)),I$1:XFD59,A59+1,FALSE))</f>
        <v>10</v>
      </c>
      <c r="G59" s="8">
        <f>IF(COUNTIF(I59:XFD59,"&gt;"&amp;0)=0,,(E59/F59)^(1/MIN(COUNTIF(I59:XFD59,"&gt;"&amp;0)-1,$F$1)))</f>
        <v>1.2197554094669347</v>
      </c>
      <c r="H59" s="13" t="s">
        <v>129</v>
      </c>
      <c r="I59" s="9">
        <v>9</v>
      </c>
      <c r="J59" s="9">
        <v>10</v>
      </c>
      <c r="K59" s="9">
        <v>13</v>
      </c>
      <c r="L59" s="9">
        <v>17</v>
      </c>
      <c r="M59" s="9">
        <v>20</v>
      </c>
      <c r="N59" s="9">
        <v>22</v>
      </c>
      <c r="O59" s="9">
        <v>27</v>
      </c>
    </row>
    <row r="60" spans="1:25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>Hungary</v>
      </c>
      <c r="D60" s="6">
        <f>MAX(I60:BD60)</f>
        <v>26</v>
      </c>
      <c r="E60" s="6">
        <f>IF(COUNTIF(I60:XFD60,"&gt;"&amp;0)=0,,HLOOKUP(COUNTIF(I60:XFD60,"&gt;"&amp;0)-1,I$1:XFD60,A60+1,FALSE))</f>
        <v>26</v>
      </c>
      <c r="F60" s="7">
        <f>IF(COUNTIF(I60:XFD60,"&gt;"&amp;0)=0,,HLOOKUP(COUNTIF(I60:XFD60,"&gt;"&amp;0)-MIN($F$1+1,COUNTIF(I60:XFD60,"&gt;"&amp;0)),I$1:XFD60,A60+1,FALSE))</f>
        <v>13</v>
      </c>
      <c r="G60" s="8">
        <f>IF(COUNTIF(I60:XFD60,"&gt;"&amp;0)=0,,(E60/F60)^(1/MIN(COUNTIF(I60:XFD60,"&gt;"&amp;0)-1,$F$1)))</f>
        <v>1.1486983549970351</v>
      </c>
      <c r="H60" s="13" t="s">
        <v>132</v>
      </c>
      <c r="I60" s="9">
        <v>9</v>
      </c>
      <c r="J60" s="9">
        <v>10</v>
      </c>
      <c r="K60" s="9">
        <v>10</v>
      </c>
      <c r="L60" s="9">
        <v>10</v>
      </c>
      <c r="M60" s="9">
        <v>11</v>
      </c>
      <c r="N60" s="9">
        <v>13</v>
      </c>
      <c r="O60" s="9">
        <v>15</v>
      </c>
      <c r="P60" s="9">
        <v>16</v>
      </c>
      <c r="Q60" s="9">
        <v>20</v>
      </c>
      <c r="R60" s="9">
        <v>21</v>
      </c>
      <c r="S60" s="9">
        <v>26</v>
      </c>
    </row>
    <row r="61" spans="1:25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>Saudi Arabia</v>
      </c>
      <c r="D61" s="6">
        <f>MAX(I61:BD61)</f>
        <v>25</v>
      </c>
      <c r="E61" s="6">
        <f>IF(COUNTIF(I61:XFD61,"&gt;"&amp;0)=0,,HLOOKUP(COUNTIF(I61:XFD61,"&gt;"&amp;0)-1,I$1:XFD61,A61+1,FALSE))</f>
        <v>25</v>
      </c>
      <c r="F61" s="7">
        <f>IF(COUNTIF(I61:XFD61,"&gt;"&amp;0)=0,,HLOOKUP(COUNTIF(I61:XFD61,"&gt;"&amp;0)-MIN($F$1+1,COUNTIF(I61:XFD61,"&gt;"&amp;0)),I$1:XFD61,A61+1,FALSE))</f>
        <v>8</v>
      </c>
      <c r="G61" s="8">
        <f>IF(COUNTIF(I61:XFD61,"&gt;"&amp;0)=0,,(E61/F61)^(1/MIN(COUNTIF(I61:XFD61,"&gt;"&amp;0)-1,$F$1)))</f>
        <v>1.2559432157547901</v>
      </c>
      <c r="H61" s="13" t="s">
        <v>113</v>
      </c>
      <c r="I61" s="9">
        <v>8</v>
      </c>
      <c r="J61" s="9">
        <v>8</v>
      </c>
      <c r="K61" s="9">
        <v>10</v>
      </c>
      <c r="L61" s="9">
        <v>16</v>
      </c>
      <c r="M61" s="9">
        <v>21</v>
      </c>
      <c r="N61" s="9">
        <v>25</v>
      </c>
    </row>
    <row r="62" spans="1:25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>Colombia</v>
      </c>
      <c r="D62" s="6">
        <f>MAX(I62:BD62)</f>
        <v>25</v>
      </c>
      <c r="E62" s="6">
        <f>IF(COUNTIF(I62:XFD62,"&gt;"&amp;0)=0,,HLOOKUP(COUNTIF(I62:XFD62,"&gt;"&amp;0)-1,I$1:XFD62,A62+1,FALSE))</f>
        <v>25</v>
      </c>
      <c r="F62" s="7">
        <f>IF(COUNTIF(I62:XFD62,"&gt;"&amp;0)=0,,HLOOKUP(COUNTIF(I62:XFD62,"&gt;"&amp;0)-MIN($F$1+1,COUNTIF(I62:XFD62,"&gt;"&amp;0)),I$1:XFD62,A62+1,FALSE))</f>
        <v>10</v>
      </c>
      <c r="G62" s="8">
        <f>IF(COUNTIF(I62:XFD62,"&gt;"&amp;0)=0,,(E62/F62)^(1/MIN(COUNTIF(I62:XFD62,"&gt;"&amp;0)-1,$F$1)))</f>
        <v>1.2011244339814313</v>
      </c>
      <c r="H62" s="13" t="s">
        <v>158</v>
      </c>
      <c r="I62" s="9">
        <v>10</v>
      </c>
      <c r="J62" s="9">
        <v>12</v>
      </c>
      <c r="K62" s="9">
        <v>16</v>
      </c>
      <c r="L62" s="9">
        <v>17</v>
      </c>
      <c r="M62" s="9">
        <v>19</v>
      </c>
      <c r="N62" s="9">
        <v>25</v>
      </c>
    </row>
    <row r="63" spans="1:25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>Chile</v>
      </c>
      <c r="D63" s="6">
        <f>MAX(I63:BD63)</f>
        <v>22</v>
      </c>
      <c r="E63" s="6">
        <f>IF(COUNTIF(I63:XFD63,"&gt;"&amp;0)=0,,HLOOKUP(COUNTIF(I63:XFD63,"&gt;"&amp;0)-1,I$1:XFD63,A63+1,FALSE))</f>
        <v>22</v>
      </c>
      <c r="F63" s="7">
        <f>IF(COUNTIF(I63:XFD63,"&gt;"&amp;0)=0,,HLOOKUP(COUNTIF(I63:XFD63,"&gt;"&amp;0)-MIN($F$1+1,COUNTIF(I63:XFD63,"&gt;"&amp;0)),I$1:XFD63,A63+1,FALSE))</f>
        <v>8</v>
      </c>
      <c r="G63" s="8">
        <f>IF(COUNTIF(I63:XFD63,"&gt;"&amp;0)=0,,(E63/F63)^(1/MIN(COUNTIF(I63:XFD63,"&gt;"&amp;0)-1,$F$1)))</f>
        <v>1.2877547884506972</v>
      </c>
      <c r="H63" s="13" t="s">
        <v>124</v>
      </c>
      <c r="I63" s="9">
        <v>8</v>
      </c>
      <c r="J63" s="9">
        <v>12</v>
      </c>
      <c r="K63" s="9">
        <v>16</v>
      </c>
      <c r="L63" s="9">
        <v>18</v>
      </c>
      <c r="M63" s="9">
        <v>22</v>
      </c>
    </row>
    <row r="64" spans="1:25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>Finland</v>
      </c>
      <c r="D64" s="6">
        <f>MAX(I64:BD64)</f>
        <v>20</v>
      </c>
      <c r="E64" s="6">
        <f>IF(COUNTIF(I64:XFD64,"&gt;"&amp;0)=0,,HLOOKUP(COUNTIF(I64:XFD64,"&gt;"&amp;0)-1,I$1:XFD64,A64+1,FALSE))</f>
        <v>20</v>
      </c>
      <c r="F64" s="7">
        <f>IF(COUNTIF(I64:XFD64,"&gt;"&amp;0)=0,,HLOOKUP(COUNTIF(I64:XFD64,"&gt;"&amp;0)-MIN($F$1+1,COUNTIF(I64:XFD64,"&gt;"&amp;0)),I$1:XFD64,A64+1,FALSE))</f>
        <v>11</v>
      </c>
      <c r="G64" s="8">
        <f>IF(COUNTIF(I64:XFD64,"&gt;"&amp;0)=0,,(E64/F64)^(1/MIN(COUNTIF(I64:XFD64,"&gt;"&amp;0)-1,$F$1)))</f>
        <v>1.1270092020979254</v>
      </c>
      <c r="H64" s="13" t="s">
        <v>54</v>
      </c>
      <c r="I64" s="9">
        <v>9</v>
      </c>
      <c r="J64" s="9">
        <v>11</v>
      </c>
      <c r="K64" s="9">
        <v>13</v>
      </c>
      <c r="L64" s="9">
        <v>17</v>
      </c>
      <c r="M64" s="9">
        <v>17</v>
      </c>
      <c r="N64" s="9">
        <v>19</v>
      </c>
      <c r="O64" s="9">
        <v>20</v>
      </c>
    </row>
    <row r="65" spans="1:16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>Slovenia</v>
      </c>
      <c r="D65" s="6">
        <f>MAX(I65:BD65)</f>
        <v>20</v>
      </c>
      <c r="E65" s="6">
        <f>IF(COUNTIF(I65:XFD65,"&gt;"&amp;0)=0,,HLOOKUP(COUNTIF(I65:XFD65,"&gt;"&amp;0)-1,I$1:XFD65,A65+1,FALSE))</f>
        <v>20</v>
      </c>
      <c r="F65" s="7">
        <f>IF(COUNTIF(I65:XFD65,"&gt;"&amp;0)=0,,HLOOKUP(COUNTIF(I65:XFD65,"&gt;"&amp;0)-MIN($F$1+1,COUNTIF(I65:XFD65,"&gt;"&amp;0)),I$1:XFD65,A65+1,FALSE))</f>
        <v>11</v>
      </c>
      <c r="G65" s="8">
        <f>IF(COUNTIF(I65:XFD65,"&gt;"&amp;0)=0,,(E65/F65)^(1/MIN(COUNTIF(I65:XFD65,"&gt;"&amp;0)-1,$F$1)))</f>
        <v>1.1270092020979254</v>
      </c>
      <c r="H65" s="13" t="s">
        <v>141</v>
      </c>
      <c r="I65" s="9">
        <v>9</v>
      </c>
      <c r="J65" s="9">
        <v>9</v>
      </c>
      <c r="K65" s="9">
        <v>11</v>
      </c>
      <c r="L65" s="9">
        <v>11</v>
      </c>
      <c r="M65" s="9">
        <v>15</v>
      </c>
      <c r="N65" s="9">
        <v>15</v>
      </c>
      <c r="O65" s="9">
        <v>17</v>
      </c>
      <c r="P65" s="9">
        <v>20</v>
      </c>
    </row>
    <row r="66" spans="1:16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>Thailand</v>
      </c>
      <c r="D66" s="6">
        <f>MAX(I66:BD66)</f>
        <v>19</v>
      </c>
      <c r="E66" s="6">
        <f>IF(COUNTIF(I66:XFD66,"&gt;"&amp;0)=0,,HLOOKUP(COUNTIF(I66:XFD66,"&gt;"&amp;0)-1,I$1:XFD66,A66+1,FALSE))</f>
        <v>19</v>
      </c>
      <c r="F66" s="7">
        <f>IF(COUNTIF(I66:XFD66,"&gt;"&amp;0)=0,,HLOOKUP(COUNTIF(I66:XFD66,"&gt;"&amp;0)-MIN($F$1+1,COUNTIF(I66:XFD66,"&gt;"&amp;0)),I$1:XFD66,A66+1,FALSE))</f>
        <v>9</v>
      </c>
      <c r="G66" s="8">
        <f>IF(COUNTIF(I66:XFD66,"&gt;"&amp;0)=0,,(E66/F66)^(1/MIN(COUNTIF(I66:XFD66,"&gt;"&amp;0)-1,$F$1)))</f>
        <v>1.2053905236534581</v>
      </c>
      <c r="H66" s="13" t="s">
        <v>35</v>
      </c>
      <c r="I66" s="9">
        <v>9</v>
      </c>
      <c r="J66" s="9">
        <v>10</v>
      </c>
      <c r="K66" s="9">
        <v>12</v>
      </c>
      <c r="L66" s="9">
        <v>15</v>
      </c>
      <c r="M66" s="9">
        <v>19</v>
      </c>
    </row>
    <row r="67" spans="1:16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>Tunisia</v>
      </c>
      <c r="D67" s="6">
        <f>MAX(I67:BD67)</f>
        <v>18</v>
      </c>
      <c r="E67" s="6">
        <f>IF(COUNTIF(I67:XFD67,"&gt;"&amp;0)=0,,HLOOKUP(COUNTIF(I67:XFD67,"&gt;"&amp;0)-1,I$1:XFD67,A67+1,FALSE))</f>
        <v>18</v>
      </c>
      <c r="F67" s="7">
        <f>IF(COUNTIF(I67:XFD67,"&gt;"&amp;0)=0,,HLOOKUP(COUNTIF(I67:XFD67,"&gt;"&amp;0)-MIN($F$1+1,COUNTIF(I67:XFD67,"&gt;"&amp;0)),I$1:XFD67,A67+1,FALSE))</f>
        <v>8</v>
      </c>
      <c r="G67" s="8">
        <f>IF(COUNTIF(I67:XFD67,"&gt;"&amp;0)=0,,(E67/F67)^(1/MIN(COUNTIF(I67:XFD67,"&gt;"&amp;0)-1,$F$1)))</f>
        <v>1.1760790225246736</v>
      </c>
      <c r="H67" s="13" t="s">
        <v>138</v>
      </c>
      <c r="I67" s="9">
        <v>8</v>
      </c>
      <c r="J67" s="9">
        <v>8</v>
      </c>
      <c r="K67" s="9">
        <v>8</v>
      </c>
      <c r="L67" s="9">
        <v>10</v>
      </c>
      <c r="M67" s="9">
        <v>12</v>
      </c>
      <c r="N67" s="9">
        <v>14</v>
      </c>
      <c r="O67" s="9">
        <v>18</v>
      </c>
    </row>
    <row r="68" spans="1:16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>Lebanon</v>
      </c>
      <c r="D68" s="6">
        <f>MAX(I68:BD68)</f>
        <v>17</v>
      </c>
      <c r="E68" s="6">
        <f>IF(COUNTIF(I68:XFD68,"&gt;"&amp;0)=0,,HLOOKUP(COUNTIF(I68:XFD68,"&gt;"&amp;0)-1,I$1:XFD68,A68+1,FALSE))</f>
        <v>17</v>
      </c>
      <c r="F68" s="7">
        <f>IF(COUNTIF(I68:XFD68,"&gt;"&amp;0)=0,,HLOOKUP(COUNTIF(I68:XFD68,"&gt;"&amp;0)-MIN($F$1+1,COUNTIF(I68:XFD68,"&gt;"&amp;0)),I$1:XFD68,A68+1,FALSE))</f>
        <v>10</v>
      </c>
      <c r="G68" s="8">
        <f>IF(COUNTIF(I68:XFD68,"&gt;"&amp;0)=0,,(E68/F68)^(1/MIN(COUNTIF(I68:XFD68,"&gt;"&amp;0)-1,$F$1)))</f>
        <v>1.1119615859385787</v>
      </c>
      <c r="H68" s="13" t="s">
        <v>67</v>
      </c>
      <c r="I68" s="9">
        <v>8</v>
      </c>
      <c r="J68" s="9">
        <v>8</v>
      </c>
      <c r="K68" s="9">
        <v>10</v>
      </c>
      <c r="L68" s="9">
        <v>11</v>
      </c>
      <c r="M68" s="9">
        <v>12</v>
      </c>
      <c r="N68" s="9">
        <v>14</v>
      </c>
      <c r="O68" s="9">
        <v>16</v>
      </c>
      <c r="P68" s="9">
        <v>17</v>
      </c>
    </row>
    <row r="69" spans="1:16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>Albania</v>
      </c>
      <c r="D69" s="6">
        <f>MAX(I69:BD69)</f>
        <v>17</v>
      </c>
      <c r="E69" s="6">
        <f>IF(COUNTIF(I69:XFD69,"&gt;"&amp;0)=0,,HLOOKUP(COUNTIF(I69:XFD69,"&gt;"&amp;0)-1,I$1:XFD69,A69+1,FALSE))</f>
        <v>17</v>
      </c>
      <c r="F69" s="7">
        <f>IF(COUNTIF(I69:XFD69,"&gt;"&amp;0)=0,,HLOOKUP(COUNTIF(I69:XFD69,"&gt;"&amp;0)-MIN($F$1+1,COUNTIF(I69:XFD69,"&gt;"&amp;0)),I$1:XFD69,A69+1,FALSE))</f>
        <v>10</v>
      </c>
      <c r="G69" s="8">
        <f>IF(COUNTIF(I69:XFD69,"&gt;"&amp;0)=0,,(E69/F69)^(1/MIN(COUNTIF(I69:XFD69,"&gt;"&amp;0)-1,$F$1)))</f>
        <v>1.1119615859385787</v>
      </c>
      <c r="H69" s="13" t="s">
        <v>230</v>
      </c>
      <c r="I69" s="9">
        <v>8</v>
      </c>
      <c r="J69" s="9">
        <v>10</v>
      </c>
      <c r="K69" s="9">
        <v>10</v>
      </c>
      <c r="L69" s="9">
        <v>11</v>
      </c>
      <c r="M69" s="9">
        <v>15</v>
      </c>
      <c r="N69" s="9">
        <v>15</v>
      </c>
      <c r="O69" s="9">
        <v>16</v>
      </c>
      <c r="P69" s="9">
        <v>17</v>
      </c>
    </row>
    <row r="70" spans="1:16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>Bosnia and Herzegovina</v>
      </c>
      <c r="D70" s="6">
        <f>MAX(I70:BD70)</f>
        <v>17</v>
      </c>
      <c r="E70" s="6">
        <f>IF(COUNTIF(I70:XFD70,"&gt;"&amp;0)=0,,HLOOKUP(COUNTIF(I70:XFD70,"&gt;"&amp;0)-1,I$1:XFD70,A70+1,FALSE))</f>
        <v>17</v>
      </c>
      <c r="F70" s="7">
        <f>IF(COUNTIF(I70:XFD70,"&gt;"&amp;0)=0,,HLOOKUP(COUNTIF(I70:XFD70,"&gt;"&amp;0)-MIN($F$1+1,COUNTIF(I70:XFD70,"&gt;"&amp;0)),I$1:XFD70,A70+1,FALSE))</f>
        <v>10</v>
      </c>
      <c r="G70" s="8">
        <f>IF(COUNTIF(I70:XFD70,"&gt;"&amp;0)=0,,(E70/F70)^(1/MIN(COUNTIF(I70:XFD70,"&gt;"&amp;0)-1,$F$1)))</f>
        <v>1.1418583454354265</v>
      </c>
      <c r="H70" s="13" t="s">
        <v>140</v>
      </c>
      <c r="I70" s="9">
        <v>10</v>
      </c>
      <c r="J70" s="9">
        <v>13</v>
      </c>
      <c r="K70" s="9">
        <v>13</v>
      </c>
      <c r="L70" s="9">
        <v>16</v>
      </c>
      <c r="M70" s="9">
        <v>17</v>
      </c>
    </row>
    <row r="71" spans="1:16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>Burkina Faso</v>
      </c>
      <c r="D71" s="6">
        <f>MAX(I71:BD71)</f>
        <v>16</v>
      </c>
      <c r="E71" s="6">
        <f>IF(COUNTIF(I71:XFD71,"&gt;"&amp;0)=0,,HLOOKUP(COUNTIF(I71:XFD71,"&gt;"&amp;0)-1,I$1:XFD71,A71+1,FALSE))</f>
        <v>16</v>
      </c>
      <c r="F71" s="7">
        <f>IF(COUNTIF(I71:XFD71,"&gt;"&amp;0)=0,,HLOOKUP(COUNTIF(I71:XFD71,"&gt;"&amp;0)-MIN($F$1+1,COUNTIF(I71:XFD71,"&gt;"&amp;0)),I$1:XFD71,A71+1,FALSE))</f>
        <v>12</v>
      </c>
      <c r="G71" s="8">
        <f>IF(COUNTIF(I71:XFD71,"&gt;"&amp;0)=0,,(E71/F71)^(1/MIN(COUNTIF(I71:XFD71,"&gt;"&amp;0)-1,$F$1)))</f>
        <v>1.0592238410488122</v>
      </c>
      <c r="H71" s="13" t="s">
        <v>279</v>
      </c>
      <c r="I71" s="9">
        <v>9</v>
      </c>
      <c r="J71" s="9">
        <v>11</v>
      </c>
      <c r="K71" s="9">
        <v>12</v>
      </c>
      <c r="L71" s="9">
        <v>12</v>
      </c>
      <c r="M71" s="9">
        <v>14</v>
      </c>
      <c r="N71" s="9">
        <v>16</v>
      </c>
      <c r="O71" s="9">
        <v>16</v>
      </c>
      <c r="P71" s="9">
        <v>16</v>
      </c>
    </row>
    <row r="72" spans="1:16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>Andorra</v>
      </c>
      <c r="D72" s="6">
        <f>MAX(I72:BD72)</f>
        <v>16</v>
      </c>
      <c r="E72" s="6">
        <f>IF(COUNTIF(I72:XFD72,"&gt;"&amp;0)=0,,HLOOKUP(COUNTIF(I72:XFD72,"&gt;"&amp;0)-1,I$1:XFD72,A72+1,FALSE))</f>
        <v>16</v>
      </c>
      <c r="F72" s="7">
        <f>IF(COUNTIF(I72:XFD72,"&gt;"&amp;0)=0,,HLOOKUP(COUNTIF(I72:XFD72,"&gt;"&amp;0)-MIN($F$1+1,COUNTIF(I72:XFD72,"&gt;"&amp;0)),I$1:XFD72,A72+1,FALSE))</f>
        <v>8</v>
      </c>
      <c r="G72" s="8">
        <f>IF(COUNTIF(I72:XFD72,"&gt;"&amp;0)=0,,(E72/F72)^(1/MIN(COUNTIF(I72:XFD72,"&gt;"&amp;0)-1,$F$1)))</f>
        <v>1.189207115002721</v>
      </c>
      <c r="H72" s="13" t="s">
        <v>109</v>
      </c>
      <c r="I72" s="9">
        <v>8</v>
      </c>
      <c r="J72" s="9">
        <v>12</v>
      </c>
      <c r="K72" s="9">
        <v>14</v>
      </c>
      <c r="L72" s="9">
        <v>15</v>
      </c>
      <c r="M72" s="9">
        <v>16</v>
      </c>
    </row>
    <row r="73" spans="1:16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>Honduras</v>
      </c>
      <c r="D73" s="6">
        <f>MAX(I73:BD73)</f>
        <v>15</v>
      </c>
      <c r="E73" s="6">
        <f>IF(COUNTIF(I73:XFD73,"&gt;"&amp;0)=0,,HLOOKUP(COUNTIF(I73:XFD73,"&gt;"&amp;0)-1,I$1:XFD73,A73+1,FALSE))</f>
        <v>15</v>
      </c>
      <c r="F73" s="7">
        <f>IF(COUNTIF(I73:XFD73,"&gt;"&amp;0)=0,,HLOOKUP(COUNTIF(I73:XFD73,"&gt;"&amp;0)-MIN($F$1+1,COUNTIF(I73:XFD73,"&gt;"&amp;0)),I$1:XFD73,A73+1,FALSE))</f>
        <v>10</v>
      </c>
      <c r="G73" s="8">
        <f>IF(COUNTIF(I73:XFD73,"&gt;"&amp;0)=0,,(E73/F73)^(1/MIN(COUNTIF(I73:XFD73,"&gt;"&amp;0)-1,$F$1)))</f>
        <v>1.2247448713915889</v>
      </c>
      <c r="H73" s="13" t="s">
        <v>348</v>
      </c>
      <c r="I73" s="9">
        <v>10</v>
      </c>
      <c r="J73" s="9">
        <v>14</v>
      </c>
      <c r="K73" s="9">
        <v>15</v>
      </c>
    </row>
    <row r="74" spans="1:16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>Bulgaria</v>
      </c>
      <c r="D74" s="6">
        <f>MAX(I74:BD74)</f>
        <v>14</v>
      </c>
      <c r="E74" s="6">
        <f>IF(COUNTIF(I74:XFD74,"&gt;"&amp;0)=0,,HLOOKUP(COUNTIF(I74:XFD74,"&gt;"&amp;0)-1,I$1:XFD74,A74+1,FALSE))</f>
        <v>14</v>
      </c>
      <c r="F74" s="7">
        <f>IF(COUNTIF(I74:XFD74,"&gt;"&amp;0)=0,,HLOOKUP(COUNTIF(I74:XFD74,"&gt;"&amp;0)-MIN($F$1+1,COUNTIF(I74:XFD74,"&gt;"&amp;0)),I$1:XFD74,A74+1,FALSE))</f>
        <v>8</v>
      </c>
      <c r="G74" s="8">
        <f>IF(COUNTIF(I74:XFD74,"&gt;"&amp;0)=0,,(E74/F74)^(1/MIN(COUNTIF(I74:XFD74,"&gt;"&amp;0)-1,$F$1)))</f>
        <v>1.1184269147201447</v>
      </c>
      <c r="H74" s="13" t="s">
        <v>199</v>
      </c>
      <c r="I74" s="9">
        <v>8</v>
      </c>
      <c r="J74" s="9">
        <v>8</v>
      </c>
      <c r="K74" s="9">
        <v>8</v>
      </c>
      <c r="L74" s="9">
        <v>10</v>
      </c>
      <c r="M74" s="9">
        <v>10</v>
      </c>
      <c r="N74" s="9">
        <v>14</v>
      </c>
    </row>
    <row r="75" spans="1:16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>Congo (Kinshasa)</v>
      </c>
      <c r="D75" s="6">
        <f>MAX(I75:BD75)</f>
        <v>13</v>
      </c>
      <c r="E75" s="6">
        <f>IF(COUNTIF(I75:XFD75,"&gt;"&amp;0)=0,,HLOOKUP(COUNTIF(I75:XFD75,"&gt;"&amp;0)-1,I$1:XFD75,A75+1,FALSE))</f>
        <v>13</v>
      </c>
      <c r="F75" s="7">
        <f>IF(COUNTIF(I75:XFD75,"&gt;"&amp;0)=0,,HLOOKUP(COUNTIF(I75:XFD75,"&gt;"&amp;0)-MIN($F$1+1,COUNTIF(I75:XFD75,"&gt;"&amp;0)),I$1:XFD75,A75+1,FALSE))</f>
        <v>8</v>
      </c>
      <c r="G75" s="8">
        <f>IF(COUNTIF(I75:XFD75,"&gt;"&amp;0)=0,,(E75/F75)^(1/MIN(COUNTIF(I75:XFD75,"&gt;"&amp;0)-1,$F$1)))</f>
        <v>1.1290504321766128</v>
      </c>
      <c r="H75" s="13" t="s">
        <v>351</v>
      </c>
      <c r="I75" s="9">
        <v>8</v>
      </c>
      <c r="J75" s="9">
        <v>8</v>
      </c>
      <c r="K75" s="9">
        <v>9</v>
      </c>
      <c r="L75" s="9">
        <v>13</v>
      </c>
      <c r="M75" s="9">
        <v>13</v>
      </c>
    </row>
    <row r="76" spans="1:16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>Estonia</v>
      </c>
      <c r="D76" s="6">
        <f>MAX(I76:BD76)</f>
        <v>12</v>
      </c>
      <c r="E76" s="6">
        <f>IF(COUNTIF(I76:XFD76,"&gt;"&amp;0)=0,,HLOOKUP(COUNTIF(I76:XFD76,"&gt;"&amp;0)-1,I$1:XFD76,A76+1,FALSE))</f>
        <v>12</v>
      </c>
      <c r="F76" s="7">
        <f>IF(COUNTIF(I76:XFD76,"&gt;"&amp;0)=0,,HLOOKUP(COUNTIF(I76:XFD76,"&gt;"&amp;0)-MIN($F$1+1,COUNTIF(I76:XFD76,"&gt;"&amp;0)),I$1:XFD76,A76+1,FALSE))</f>
        <v>11</v>
      </c>
      <c r="G76" s="8">
        <f>IF(COUNTIF(I76:XFD76,"&gt;"&amp;0)=0,,(E76/F76)^(1/MIN(COUNTIF(I76:XFD76,"&gt;"&amp;0)-1,$F$1)))</f>
        <v>1.0909090909090908</v>
      </c>
      <c r="H76" s="13" t="s">
        <v>88</v>
      </c>
      <c r="I76" s="9">
        <v>11</v>
      </c>
      <c r="J76" s="9">
        <v>12</v>
      </c>
    </row>
    <row r="77" spans="1:16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>North Macedonia</v>
      </c>
      <c r="D77" s="6">
        <f>MAX(I77:BD77)</f>
        <v>12</v>
      </c>
      <c r="E77" s="6">
        <f>IF(COUNTIF(I77:XFD77,"&gt;"&amp;0)=0,,HLOOKUP(COUNTIF(I77:XFD77,"&gt;"&amp;0)-1,I$1:XFD77,A77+1,FALSE))</f>
        <v>12</v>
      </c>
      <c r="F77" s="7">
        <f>IF(COUNTIF(I77:XFD77,"&gt;"&amp;0)=0,,HLOOKUP(COUNTIF(I77:XFD77,"&gt;"&amp;0)-MIN($F$1+1,COUNTIF(I77:XFD77,"&gt;"&amp;0)),I$1:XFD77,A77+1,FALSE))</f>
        <v>9</v>
      </c>
      <c r="G77" s="8">
        <f>IF(COUNTIF(I77:XFD77,"&gt;"&amp;0)=0,,(E77/F77)^(1/MIN(COUNTIF(I77:XFD77,"&gt;"&amp;0)-1,$F$1)))</f>
        <v>1.1006424162982089</v>
      </c>
      <c r="H77" s="13" t="s">
        <v>84</v>
      </c>
      <c r="I77" s="9">
        <v>9</v>
      </c>
      <c r="J77" s="9">
        <v>11</v>
      </c>
      <c r="K77" s="9">
        <v>11</v>
      </c>
      <c r="L77" s="9">
        <v>12</v>
      </c>
    </row>
    <row r="78" spans="1:16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>Cyprus</v>
      </c>
      <c r="D78" s="6">
        <f>MAX(I78:BD78)</f>
        <v>11</v>
      </c>
      <c r="E78" s="6">
        <f>IF(COUNTIF(I78:XFD78,"&gt;"&amp;0)=0,,HLOOKUP(COUNTIF(I78:XFD78,"&gt;"&amp;0)-1,I$1:XFD78,A78+1,FALSE))</f>
        <v>11</v>
      </c>
      <c r="F78" s="7">
        <f>IF(COUNTIF(I78:XFD78,"&gt;"&amp;0)=0,,HLOOKUP(COUNTIF(I78:XFD78,"&gt;"&amp;0)-MIN($F$1+1,COUNTIF(I78:XFD78,"&gt;"&amp;0)),I$1:XFD78,A78+1,FALSE))</f>
        <v>8</v>
      </c>
      <c r="G78" s="8">
        <f>IF(COUNTIF(I78:XFD78,"&gt;"&amp;0)=0,,(E78/F78)^(1/MIN(COUNTIF(I78:XFD78,"&gt;"&amp;0)-1,$F$1)))</f>
        <v>1.1119900452846578</v>
      </c>
      <c r="H78" s="13" t="s">
        <v>231</v>
      </c>
      <c r="I78" s="9">
        <v>8</v>
      </c>
      <c r="J78" s="9">
        <v>9</v>
      </c>
      <c r="K78" s="9">
        <v>10</v>
      </c>
      <c r="L78" s="9">
        <v>11</v>
      </c>
    </row>
    <row r="79" spans="1:16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>United Arab Emirates</v>
      </c>
      <c r="D79" s="6">
        <f>MAX(I79:BD79)</f>
        <v>9</v>
      </c>
      <c r="E79" s="6">
        <f>IF(COUNTIF(I79:XFD79,"&gt;"&amp;0)=0,,HLOOKUP(COUNTIF(I79:XFD79,"&gt;"&amp;0)-1,I$1:XFD79,A79+1,FALSE))</f>
        <v>9</v>
      </c>
      <c r="F79" s="7">
        <f>IF(COUNTIF(I79:XFD79,"&gt;"&amp;0)=0,,HLOOKUP(COUNTIF(I79:XFD79,"&gt;"&amp;0)-MIN($F$1+1,COUNTIF(I79:XFD79,"&gt;"&amp;0)),I$1:XFD79,A79+1,FALSE))</f>
        <v>8</v>
      </c>
      <c r="G79" s="8">
        <f>IF(COUNTIF(I79:XFD79,"&gt;"&amp;0)=0,,(E79/F79)^(1/MIN(COUNTIF(I79:XFD79,"&gt;"&amp;0)-1,$F$1)))</f>
        <v>1.0606601717798212</v>
      </c>
      <c r="H79" s="13" t="s">
        <v>55</v>
      </c>
      <c r="I79" s="9">
        <v>8</v>
      </c>
      <c r="J79" s="9">
        <v>8</v>
      </c>
      <c r="K79" s="9">
        <v>9</v>
      </c>
    </row>
    <row r="80" spans="1:16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>South Africa</v>
      </c>
      <c r="D80" s="6">
        <f>MAX(I80:BD80)</f>
        <v>9</v>
      </c>
      <c r="E80" s="6">
        <f>IF(COUNTIF(I80:XFD80,"&gt;"&amp;0)=0,,HLOOKUP(COUNTIF(I80:XFD80,"&gt;"&amp;0)-1,I$1:XFD80,A80+1,FALSE))</f>
        <v>9</v>
      </c>
      <c r="F80" s="7">
        <f>IF(COUNTIF(I80:XFD80,"&gt;"&amp;0)=0,,HLOOKUP(COUNTIF(I80:XFD80,"&gt;"&amp;0)-MIN($F$1+1,COUNTIF(I80:XFD80,"&gt;"&amp;0)),I$1:XFD80,A80+1,FALSE))</f>
        <v>9</v>
      </c>
      <c r="G80" s="8" t="e">
        <f>IF(COUNTIF(I80:XFD80,"&gt;"&amp;0)=0,,(E80/F80)^(1/MIN(COUNTIF(I80:XFD80,"&gt;"&amp;0)-1,$F$1)))</f>
        <v>#DIV/0!</v>
      </c>
      <c r="H80" s="13" t="s">
        <v>145</v>
      </c>
      <c r="I80" s="9">
        <v>9</v>
      </c>
    </row>
    <row r="81" spans="1:12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>Lithuania</v>
      </c>
      <c r="D81" s="6">
        <f>MAX(I81:BD81)</f>
        <v>9</v>
      </c>
      <c r="E81" s="6">
        <f>IF(COUNTIF(I81:XFD81,"&gt;"&amp;0)=0,,HLOOKUP(COUNTIF(I81:XFD81,"&gt;"&amp;0)-1,I$1:XFD81,A81+1,FALSE))</f>
        <v>9</v>
      </c>
      <c r="F81" s="7">
        <f>IF(COUNTIF(I81:XFD81,"&gt;"&amp;0)=0,,HLOOKUP(COUNTIF(I81:XFD81,"&gt;"&amp;0)-MIN($F$1+1,COUNTIF(I81:XFD81,"&gt;"&amp;0)),I$1:XFD81,A81+1,FALSE))</f>
        <v>8</v>
      </c>
      <c r="G81" s="8">
        <f>IF(COUNTIF(I81:XFD81,"&gt;"&amp;0)=0,,(E81/F81)^(1/MIN(COUNTIF(I81:XFD81,"&gt;"&amp;0)-1,$F$1)))</f>
        <v>1.040041911525952</v>
      </c>
      <c r="H81" s="13" t="s">
        <v>93</v>
      </c>
      <c r="I81" s="9">
        <v>8</v>
      </c>
      <c r="J81" s="9">
        <v>8</v>
      </c>
      <c r="K81" s="9">
        <v>9</v>
      </c>
      <c r="L81" s="9">
        <v>9</v>
      </c>
    </row>
    <row r="82" spans="1:12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>Bolivia</v>
      </c>
      <c r="D82" s="6">
        <f>MAX(I82:BD82)</f>
        <v>9</v>
      </c>
      <c r="E82" s="6">
        <f>IF(COUNTIF(I82:XFD82,"&gt;"&amp;0)=0,,HLOOKUP(COUNTIF(I82:XFD82,"&gt;"&amp;0)-1,I$1:XFD82,A82+1,FALSE))</f>
        <v>9</v>
      </c>
      <c r="F82" s="7">
        <f>IF(COUNTIF(I82:XFD82,"&gt;"&amp;0)=0,,HLOOKUP(COUNTIF(I82:XFD82,"&gt;"&amp;0)-MIN($F$1+1,COUNTIF(I82:XFD82,"&gt;"&amp;0)),I$1:XFD82,A82+1,FALSE))</f>
        <v>8</v>
      </c>
      <c r="G82" s="8">
        <f>IF(COUNTIF(I82:XFD82,"&gt;"&amp;0)=0,,(E82/F82)^(1/MIN(COUNTIF(I82:XFD82,"&gt;"&amp;0)-1,$F$1)))</f>
        <v>1.125</v>
      </c>
      <c r="H82" s="13" t="s">
        <v>346</v>
      </c>
      <c r="I82" s="9">
        <v>8</v>
      </c>
      <c r="J82" s="9">
        <v>9</v>
      </c>
    </row>
    <row r="83" spans="1:12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>Croatia</v>
      </c>
      <c r="D83" s="6">
        <f>MAX(I83:BD83)</f>
        <v>8</v>
      </c>
      <c r="E83" s="6">
        <f>IF(COUNTIF(I83:XFD83,"&gt;"&amp;0)=0,,HLOOKUP(COUNTIF(I83:XFD83,"&gt;"&amp;0)-1,I$1:XFD83,A83+1,FALSE))</f>
        <v>8</v>
      </c>
      <c r="F83" s="7">
        <f>IF(COUNTIF(I83:XFD83,"&gt;"&amp;0)=0,,HLOOKUP(COUNTIF(I83:XFD83,"&gt;"&amp;0)-MIN($F$1+1,COUNTIF(I83:XFD83,"&gt;"&amp;0)),I$1:XFD83,A83+1,FALSE))</f>
        <v>8</v>
      </c>
      <c r="G83" s="8" t="e">
        <f>IF(COUNTIF(I83:XFD83,"&gt;"&amp;0)=0,,(E83/F83)^(1/MIN(COUNTIF(I83:XFD83,"&gt;"&amp;0)-1,$F$1)))</f>
        <v>#DIV/0!</v>
      </c>
      <c r="H83" s="13" t="s">
        <v>76</v>
      </c>
      <c r="I83" s="9">
        <v>8</v>
      </c>
    </row>
    <row r="84" spans="1:12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>Moldova</v>
      </c>
      <c r="D84" s="6">
        <f>MAX(I84:BD84)</f>
        <v>8</v>
      </c>
      <c r="E84" s="6">
        <f>IF(COUNTIF(I84:XFD84,"&gt;"&amp;0)=0,,HLOOKUP(COUNTIF(I84:XFD84,"&gt;"&amp;0)-1,I$1:XFD84,A84+1,FALSE))</f>
        <v>8</v>
      </c>
      <c r="F84" s="7">
        <f>IF(COUNTIF(I84:XFD84,"&gt;"&amp;0)=0,,HLOOKUP(COUNTIF(I84:XFD84,"&gt;"&amp;0)-MIN($F$1+1,COUNTIF(I84:XFD84,"&gt;"&amp;0)),I$1:XFD84,A84+1,FALSE))</f>
        <v>8</v>
      </c>
      <c r="G84" s="8" t="e">
        <f>IF(COUNTIF(I84:XFD84,"&gt;"&amp;0)=0,,(E84/F84)^(1/MIN(COUNTIF(I84:XFD84,"&gt;"&amp;0)-1,$F$1)))</f>
        <v>#DIV/0!</v>
      </c>
      <c r="H84" s="13" t="s">
        <v>345</v>
      </c>
      <c r="I84" s="9">
        <v>8</v>
      </c>
    </row>
    <row r="85" spans="1:12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>Cameroon</v>
      </c>
      <c r="D85" s="6">
        <f>MAX(I85:BD85)</f>
        <v>8</v>
      </c>
      <c r="E85" s="6">
        <f>IF(COUNTIF(I85:XFD85,"&gt;"&amp;0)=0,,HLOOKUP(COUNTIF(I85:XFD85,"&gt;"&amp;0)-1,I$1:XFD85,A85+1,FALSE))</f>
        <v>8</v>
      </c>
      <c r="F85" s="7">
        <f>IF(COUNTIF(I85:XFD85,"&gt;"&amp;0)=0,,HLOOKUP(COUNTIF(I85:XFD85,"&gt;"&amp;0)-MIN($F$1+1,COUNTIF(I85:XFD85,"&gt;"&amp;0)),I$1:XFD85,A85+1,FALSE))</f>
        <v>8</v>
      </c>
      <c r="G85" s="8" t="e">
        <f>IF(COUNTIF(I85:XFD85,"&gt;"&amp;0)=0,,(E85/F85)^(1/MIN(COUNTIF(I85:XFD85,"&gt;"&amp;0)-1,$F$1)))</f>
        <v>#DIV/0!</v>
      </c>
      <c r="H85" s="13" t="s">
        <v>157</v>
      </c>
      <c r="I85" s="9">
        <v>8</v>
      </c>
    </row>
    <row r="86" spans="1:12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12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12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12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12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12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12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12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12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12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12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569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570</v>
      </c>
      <c r="P1" s="52" t="s">
        <v>571</v>
      </c>
      <c r="Q1" s="52" t="s">
        <v>605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82511</v>
      </c>
      <c r="G2" s="41">
        <f>MAX(CumulativeDead!2:2)</f>
        <v>3326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4.0309776878234414E-2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606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119827</v>
      </c>
      <c r="G3" s="41">
        <f>MAX(CumulativeDead!3:3)</f>
        <v>14681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0.1225182972118137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607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53183</v>
      </c>
      <c r="G4" s="41">
        <f>MAX(CumulativeDead!4:4)</f>
        <v>3294</v>
      </c>
      <c r="J4" s="41">
        <v>83992949</v>
      </c>
      <c r="K4" s="52">
        <v>0</v>
      </c>
      <c r="L4" s="41">
        <v>0</v>
      </c>
      <c r="M4" s="69">
        <f t="shared" si="0"/>
        <v>6.1937085158791344E-2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608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10062</v>
      </c>
      <c r="G5" s="41">
        <f>MAX(CumulativeDead!5:5)</f>
        <v>174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1.7292784734645201E-2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606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119199</v>
      </c>
      <c r="G6" s="41">
        <f>MAX(CumulativeDead!6:6)</f>
        <v>11198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9.3943741138767939E-2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607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91159</v>
      </c>
      <c r="G7" s="41">
        <f>MAX(CumulativeDead!7:7)</f>
        <v>1275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1.3986550971379677E-2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607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65202</v>
      </c>
      <c r="G8" s="41">
        <f>MAX(CumulativeDead!8:8)</f>
        <v>6520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9.9996932609429157E-2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607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275586</v>
      </c>
      <c r="G9" s="41">
        <f>MAX(CumulativeDead!9:9)</f>
        <v>7087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2.5716110397480278E-2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609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19606</v>
      </c>
      <c r="G10" s="41">
        <f>MAX(CumulativeDead!10:10)</f>
        <v>591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3.0143833520350913E-2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607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5370</v>
      </c>
      <c r="G11" s="41">
        <f>MAX(CumulativeDead!11:11)</f>
        <v>59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1.0986964618249535E-2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607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6131</v>
      </c>
      <c r="G12" s="41">
        <f>MAX(CumulativeDead!12:12)</f>
        <v>358</v>
      </c>
      <c r="J12" s="41">
        <v>10099265</v>
      </c>
      <c r="K12" s="52">
        <v>5.8</v>
      </c>
      <c r="L12" s="41">
        <v>585.75736999999992</v>
      </c>
      <c r="M12" s="69">
        <f t="shared" si="0"/>
        <v>5.8391779481324416E-2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607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3946</v>
      </c>
      <c r="G13" s="41">
        <f>MAX(CumulativeDead!13:13)</f>
        <v>139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3.5225544855549927E-2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607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15821</v>
      </c>
      <c r="G14" s="41">
        <f>MAX(CumulativeDead!14:14)</f>
        <v>1490</v>
      </c>
      <c r="J14" s="41">
        <v>17134872</v>
      </c>
      <c r="K14" s="52">
        <v>0</v>
      </c>
      <c r="L14" s="41">
        <v>0</v>
      </c>
      <c r="M14" s="69">
        <f t="shared" si="0"/>
        <v>9.4178623348713741E-2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607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38689</v>
      </c>
      <c r="G15" s="41">
        <f>MAX(CumulativeDead!15:15)</f>
        <v>3611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9.333402259040037E-2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607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2617</v>
      </c>
      <c r="G16" s="41">
        <f>MAX(CumulativeDead!16:16)</f>
        <v>63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2.4073366450133742E-2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606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16770</v>
      </c>
      <c r="G18" s="41">
        <f>MAX(CumulativeDead!18:18)</f>
        <v>1143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6.8157423971377459E-2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607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11524</v>
      </c>
      <c r="G19" s="41">
        <f>MAX(CumulativeDead!19:19)</f>
        <v>168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1.4578271433530025E-2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607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1075</v>
      </c>
      <c r="G20" s="41">
        <f>MAX(CumulativeDead!20:20)</f>
        <v>3</v>
      </c>
      <c r="J20" s="41">
        <v>2881053</v>
      </c>
      <c r="K20" s="52">
        <v>0</v>
      </c>
      <c r="L20" s="41">
        <v>0</v>
      </c>
      <c r="M20" s="69">
        <f t="shared" si="0"/>
        <v>2.7906976744186047E-3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608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5330</v>
      </c>
      <c r="G21" s="41">
        <f>MAX(CumulativeDead!21:21)</f>
        <v>28</v>
      </c>
      <c r="J21" s="41">
        <v>25499884</v>
      </c>
      <c r="K21" s="52">
        <v>0</v>
      </c>
      <c r="L21" s="41">
        <v>0</v>
      </c>
      <c r="M21" s="69">
        <f t="shared" si="0"/>
        <v>5.2532833020637899E-3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612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1114</v>
      </c>
      <c r="G22" s="41">
        <f>MAX(CumulativeDead!22:22)</f>
        <v>5</v>
      </c>
      <c r="J22" s="41">
        <v>5850342</v>
      </c>
      <c r="K22" s="52">
        <v>0</v>
      </c>
      <c r="L22" s="41">
        <v>0</v>
      </c>
      <c r="M22" s="69">
        <f t="shared" si="0"/>
        <v>4.4883303411131061E-3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606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3333</v>
      </c>
      <c r="G23" s="41">
        <f>MAX(CumulativeDead!23:23)</f>
        <v>53</v>
      </c>
      <c r="J23" s="41">
        <v>32365999</v>
      </c>
      <c r="K23" s="52">
        <v>0</v>
      </c>
      <c r="L23" s="41">
        <v>0</v>
      </c>
      <c r="M23" s="69">
        <f t="shared" si="0"/>
        <v>1.5901590159015901E-2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606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12437</v>
      </c>
      <c r="G24" s="41">
        <f>MAX(CumulativeDead!24:24)</f>
        <v>179</v>
      </c>
      <c r="J24" s="41">
        <v>37742154</v>
      </c>
      <c r="K24" s="52">
        <v>0</v>
      </c>
      <c r="L24" s="41">
        <v>0</v>
      </c>
      <c r="M24" s="69">
        <f t="shared" si="0"/>
        <v>1.4392538393503256E-2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609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1613</v>
      </c>
      <c r="G25" s="41">
        <f>MAX(CumulativeDead!25:25)</f>
        <v>63</v>
      </c>
      <c r="J25" s="41">
        <v>10423054</v>
      </c>
      <c r="K25" s="52">
        <v>6</v>
      </c>
      <c r="L25" s="41">
        <v>625.38324</v>
      </c>
      <c r="M25" s="69">
        <f t="shared" si="0"/>
        <v>3.9057656540607562E-2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607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672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5.9523809523809521E-3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608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7428</v>
      </c>
      <c r="G27" s="41">
        <f>MAX(CumulativeDead!27:27)</f>
        <v>40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5.3850296176628969E-3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608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1615</v>
      </c>
      <c r="G28" s="41">
        <f>MAX(CumulativeDead!28:28)</f>
        <v>20</v>
      </c>
      <c r="J28" s="41">
        <v>5540720</v>
      </c>
      <c r="K28" s="52">
        <v>6.1</v>
      </c>
      <c r="L28" s="41">
        <v>337.98392000000001</v>
      </c>
      <c r="M28" s="69">
        <f t="shared" si="0"/>
        <v>1.238390092879257E-2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607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9056</v>
      </c>
      <c r="G29" s="41">
        <f>MAX(CumulativeDead!29:29)</f>
        <v>359</v>
      </c>
      <c r="J29" s="41">
        <v>212559417</v>
      </c>
      <c r="K29" s="52">
        <v>0</v>
      </c>
      <c r="L29" s="41">
        <v>0</v>
      </c>
      <c r="M29" s="69">
        <f t="shared" si="0"/>
        <v>3.9642226148409891E-2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610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4091</v>
      </c>
      <c r="G30" s="41">
        <f>MAX(CumulativeDead!30:30)</f>
        <v>53</v>
      </c>
      <c r="J30" s="41">
        <v>10708981</v>
      </c>
      <c r="K30" s="52">
        <v>11.6</v>
      </c>
      <c r="L30" s="41">
        <v>1242.241796</v>
      </c>
      <c r="M30" s="69">
        <f t="shared" si="0"/>
        <v>1.2955267660718651E-2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607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934</v>
      </c>
      <c r="G31" s="41">
        <f>MAX(CumulativeDead!31:31)</f>
        <v>20</v>
      </c>
      <c r="J31" s="41">
        <v>2078938</v>
      </c>
      <c r="K31" s="52">
        <v>6.4</v>
      </c>
      <c r="L31" s="41">
        <v>133.05203200000003</v>
      </c>
      <c r="M31" s="69">
        <f t="shared" si="0"/>
        <v>2.1413276231263382E-2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607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1364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3.6656891495601175E-3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607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9886</v>
      </c>
      <c r="G33" s="41">
        <f>MAX(CumulativeDead!33:33)</f>
        <v>246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2.4883673882257738E-2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607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820</v>
      </c>
      <c r="G34" s="41">
        <f>MAX(CumulativeDead!34:34)</f>
        <v>54</v>
      </c>
      <c r="J34" s="41">
        <v>40222493</v>
      </c>
      <c r="K34" s="52">
        <v>0</v>
      </c>
      <c r="L34" s="41">
        <v>0</v>
      </c>
      <c r="M34" s="69">
        <f t="shared" ref="M34:M65" si="2">G34/F34</f>
        <v>6.5853658536585369E-2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608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4273</v>
      </c>
      <c r="G35" s="41">
        <f>MAX(CumulativeDead!35:35)</f>
        <v>120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2.8083313831032061E-2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607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3183</v>
      </c>
      <c r="G36" s="41">
        <f>MAX(CumulativeDead!36:36)</f>
        <v>133</v>
      </c>
      <c r="J36" s="41">
        <v>19237691</v>
      </c>
      <c r="K36" s="52">
        <v>21.4</v>
      </c>
      <c r="L36" s="41">
        <v>4116.8658740000001</v>
      </c>
      <c r="M36" s="69">
        <f t="shared" si="2"/>
        <v>4.1784480050267046E-2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607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2039</v>
      </c>
      <c r="G37" s="41">
        <f>MAX(CumulativeDead!37:37)</f>
        <v>25</v>
      </c>
      <c r="J37" s="41">
        <v>34813871</v>
      </c>
      <c r="K37" s="52">
        <v>0</v>
      </c>
      <c r="L37" s="41">
        <v>0</v>
      </c>
      <c r="M37" s="69">
        <f t="shared" si="2"/>
        <v>1.2260912211868563E-2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608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1264</v>
      </c>
      <c r="G38" s="41">
        <f>MAX(CumulativeDead!38:38)</f>
        <v>9</v>
      </c>
      <c r="J38" s="41">
        <v>9890402</v>
      </c>
      <c r="K38" s="52">
        <v>0</v>
      </c>
      <c r="L38" s="41">
        <v>0</v>
      </c>
      <c r="M38" s="69">
        <f t="shared" si="2"/>
        <v>7.1202531645569618E-3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608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2567</v>
      </c>
      <c r="G39" s="41">
        <f>MAX(CumulativeDead!39:39)</f>
        <v>72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2.8048305414881184E-2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606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985</v>
      </c>
      <c r="G40" s="41">
        <f>MAX(CumulativeDead!40:40)</f>
        <v>66</v>
      </c>
      <c r="J40" s="41">
        <v>102334404</v>
      </c>
      <c r="K40" s="52">
        <v>0</v>
      </c>
      <c r="L40" s="41">
        <v>0</v>
      </c>
      <c r="M40" s="69">
        <f t="shared" si="2"/>
        <v>6.7005076142131983E-2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611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417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608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245</v>
      </c>
      <c r="G42" s="41">
        <f>MAX(CumulativeDead!42:42)</f>
        <v>30</v>
      </c>
      <c r="J42" s="41">
        <v>33931</v>
      </c>
      <c r="K42" s="52">
        <v>0</v>
      </c>
      <c r="L42" s="41">
        <v>0</v>
      </c>
      <c r="M42" s="69">
        <f t="shared" si="2"/>
        <v>0.12244897959183673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607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961</v>
      </c>
      <c r="G43" s="41">
        <f>MAX(CumulativeDead!43:43)</f>
        <v>12</v>
      </c>
      <c r="J43" s="41">
        <v>1326535</v>
      </c>
      <c r="K43" s="52">
        <v>14.6</v>
      </c>
      <c r="L43" s="41">
        <v>193.67410999999998</v>
      </c>
      <c r="M43" s="69">
        <f t="shared" si="2"/>
        <v>1.2486992715920915E-2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607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508</v>
      </c>
      <c r="G44" s="41">
        <f>MAX(CumulativeDead!44:44)</f>
        <v>17</v>
      </c>
      <c r="J44" s="41">
        <v>6825445</v>
      </c>
      <c r="K44" s="52">
        <v>0</v>
      </c>
      <c r="L44" s="41">
        <v>0</v>
      </c>
      <c r="M44" s="69">
        <f t="shared" si="2"/>
        <v>3.3464566929133861E-2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608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1978</v>
      </c>
      <c r="G45" s="41">
        <f>MAX(CumulativeDead!45:45)</f>
        <v>19</v>
      </c>
      <c r="J45" s="41">
        <v>69799978</v>
      </c>
      <c r="K45" s="52">
        <v>0</v>
      </c>
      <c r="L45" s="41">
        <v>0</v>
      </c>
      <c r="M45" s="69">
        <f t="shared" si="2"/>
        <v>9.6056622851365021E-3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606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1986</v>
      </c>
      <c r="G46" s="41">
        <f>MAX(CumulativeDead!46:46)</f>
        <v>181</v>
      </c>
      <c r="J46" s="41">
        <v>273523615</v>
      </c>
      <c r="K46" s="52">
        <v>0</v>
      </c>
      <c r="L46" s="41">
        <v>0</v>
      </c>
      <c r="M46" s="69">
        <f t="shared" si="2"/>
        <v>9.1137965760322251E-2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606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3383</v>
      </c>
      <c r="G47" s="41">
        <f>MAX(CumulativeDead!47:47)</f>
        <v>71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2.0987289388117055E-2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607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3018</v>
      </c>
      <c r="G48" s="41">
        <f>MAX(CumulativeDead!48:48)</f>
        <v>136</v>
      </c>
      <c r="J48" s="41">
        <v>109581078</v>
      </c>
      <c r="K48" s="52">
        <v>0</v>
      </c>
      <c r="L48" s="41">
        <v>0</v>
      </c>
      <c r="M48" s="69">
        <f t="shared" si="2"/>
        <v>4.5062955599734923E-2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606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348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1.4367816091954023E-2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606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237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606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4149</v>
      </c>
      <c r="G51" s="41">
        <f>MAX(CumulativeDead!51:51)</f>
        <v>34</v>
      </c>
      <c r="J51" s="41">
        <v>145934462</v>
      </c>
      <c r="K51" s="52">
        <v>0</v>
      </c>
      <c r="L51" s="41">
        <v>0</v>
      </c>
      <c r="M51" s="69">
        <f t="shared" si="2"/>
        <v>8.1947457218606891E-3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606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3737</v>
      </c>
      <c r="G52" s="41">
        <f>MAX(CumulativeDead!52:52)</f>
        <v>22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5.8870751940058872E-3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610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134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7.462686567164179E-3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606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1476</v>
      </c>
      <c r="G54" s="41">
        <f>MAX(CumulativeDead!54:54)</f>
        <v>39</v>
      </c>
      <c r="J54" s="41">
        <v>8737371</v>
      </c>
      <c r="K54" s="52" t="s">
        <v>511</v>
      </c>
      <c r="L54" s="41" t="e">
        <v>#VALUE!</v>
      </c>
      <c r="M54" s="69">
        <f t="shared" si="2"/>
        <v>2.6422764227642278E-2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607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2612</v>
      </c>
      <c r="G55" s="41">
        <f>MAX(CumulativeDead!55:55)</f>
        <v>31</v>
      </c>
      <c r="J55" s="41">
        <v>625978</v>
      </c>
      <c r="K55" s="52">
        <v>24.8</v>
      </c>
      <c r="L55" s="41">
        <v>155.24254400000001</v>
      </c>
      <c r="M55" s="69">
        <f t="shared" si="2"/>
        <v>1.1868300153139357E-2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607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304</v>
      </c>
      <c r="G56" s="41">
        <f>MAX(CumulativeDead!56:56)</f>
        <v>17</v>
      </c>
      <c r="J56" s="41">
        <v>2877797</v>
      </c>
      <c r="K56" s="52" t="s">
        <v>511</v>
      </c>
      <c r="L56" s="41" t="e">
        <v>#VALUE!</v>
      </c>
      <c r="M56" s="69">
        <f t="shared" si="2"/>
        <v>5.5921052631578948E-2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607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1079</v>
      </c>
      <c r="G57" s="41">
        <f>MAX(CumulativeDead!57:57)</f>
        <v>8</v>
      </c>
      <c r="J57" s="41">
        <v>4105267</v>
      </c>
      <c r="K57" s="52">
        <v>14.7</v>
      </c>
      <c r="L57" s="41">
        <v>603.47424899999999</v>
      </c>
      <c r="M57" s="69">
        <f t="shared" si="2"/>
        <v>7.4142724745134385E-3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607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450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2.2222222222222222E-3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607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1265</v>
      </c>
      <c r="G59" s="41">
        <f>MAX(CumulativeDead!59:59)</f>
        <v>39</v>
      </c>
      <c r="J59" s="41">
        <v>45195774</v>
      </c>
      <c r="K59" s="52" t="s">
        <v>511</v>
      </c>
      <c r="L59" s="41" t="e">
        <v>#VALUE!</v>
      </c>
      <c r="M59" s="69">
        <f t="shared" si="2"/>
        <v>3.0830039525691699E-2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610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2686</v>
      </c>
      <c r="G60" s="41">
        <f>MAX(CumulativeDead!60:60)</f>
        <v>40</v>
      </c>
      <c r="J60" s="41">
        <v>220892340</v>
      </c>
      <c r="K60" s="52">
        <v>0</v>
      </c>
      <c r="L60" s="41">
        <v>0</v>
      </c>
      <c r="M60" s="69">
        <f t="shared" si="2"/>
        <v>1.4892032762472078E-2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606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1595</v>
      </c>
      <c r="G61" s="41">
        <f>MAX(CumulativeDead!61:61)</f>
        <v>61</v>
      </c>
      <c r="J61" s="41">
        <v>32971854</v>
      </c>
      <c r="K61" s="52">
        <v>0</v>
      </c>
      <c r="L61" s="41">
        <v>0</v>
      </c>
      <c r="M61" s="69">
        <f t="shared" si="2"/>
        <v>3.8244514106583069E-2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610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351</v>
      </c>
      <c r="G62" s="41">
        <f>MAX(CumulativeDead!62:62)</f>
        <v>4</v>
      </c>
      <c r="J62" s="41">
        <v>9449323</v>
      </c>
      <c r="K62" s="52" t="s">
        <v>511</v>
      </c>
      <c r="L62" s="41" t="e">
        <v>#VALUE!</v>
      </c>
      <c r="M62" s="69">
        <f t="shared" si="2"/>
        <v>1.1396011396011397E-2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607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1475</v>
      </c>
      <c r="G63" s="41">
        <f>MAX(CumulativeDead!63:63)</f>
        <v>37</v>
      </c>
      <c r="J63" s="41">
        <v>4314767</v>
      </c>
      <c r="K63" s="52" t="s">
        <v>511</v>
      </c>
      <c r="L63" s="41" t="e">
        <v>#VALUE!</v>
      </c>
      <c r="M63" s="69">
        <f t="shared" si="2"/>
        <v>2.5084745762711864E-2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609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1171</v>
      </c>
      <c r="G64" s="41">
        <f>MAX(CumulativeDead!64:64)</f>
        <v>105</v>
      </c>
      <c r="J64" s="41">
        <v>43851044</v>
      </c>
      <c r="K64" s="52" t="s">
        <v>511</v>
      </c>
      <c r="L64" s="41" t="e">
        <v>#VALUE!</v>
      </c>
      <c r="M64" s="69">
        <f t="shared" si="2"/>
        <v>8.9666951323655E-2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611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155</v>
      </c>
      <c r="G65" s="41">
        <f>MAX(CumulativeDead!65:65)</f>
        <v>0</v>
      </c>
      <c r="J65" s="41">
        <v>3989167</v>
      </c>
      <c r="K65" s="52" t="s">
        <v>511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607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1505</v>
      </c>
      <c r="G66" s="41">
        <f>MAX(CumulativeDead!66:66)</f>
        <v>9</v>
      </c>
      <c r="J66" s="41">
        <v>59308690</v>
      </c>
      <c r="K66" s="52">
        <v>0</v>
      </c>
      <c r="L66" s="41">
        <v>0</v>
      </c>
      <c r="M66" s="69">
        <f t="shared" ref="M66:M97" si="4">G66/F66</f>
        <v>5.980066445182724E-3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611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485</v>
      </c>
      <c r="G67" s="41">
        <f>MAX(CumulativeDead!67:67)</f>
        <v>14</v>
      </c>
      <c r="J67" s="41">
        <v>6948445</v>
      </c>
      <c r="K67" s="52">
        <v>12.2</v>
      </c>
      <c r="L67" s="41">
        <v>847.71028999999987</v>
      </c>
      <c r="M67" s="69">
        <f t="shared" si="4"/>
        <v>2.88659793814433E-2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607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416</v>
      </c>
      <c r="G68" s="41">
        <f>MAX(CumulativeDead!68:68)</f>
        <v>2</v>
      </c>
      <c r="J68" s="41">
        <v>5094118</v>
      </c>
      <c r="K68" s="52" t="s">
        <v>511</v>
      </c>
      <c r="L68" s="41" t="e">
        <v>#VALUE!</v>
      </c>
      <c r="M68" s="69">
        <f t="shared" si="4"/>
        <v>4.807692307692308E-3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609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623</v>
      </c>
      <c r="G69" s="41">
        <f>MAX(CumulativeDead!69:69)</f>
        <v>26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4.1733547351524881E-2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607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252</v>
      </c>
      <c r="G70" s="41">
        <f>MAX(CumulativeDead!70:70)</f>
        <v>1</v>
      </c>
      <c r="J70" s="41">
        <v>5106626</v>
      </c>
      <c r="K70" s="52" t="s">
        <v>511</v>
      </c>
      <c r="L70" s="41" t="e">
        <v>#VALUE!</v>
      </c>
      <c r="M70" s="69">
        <f t="shared" si="4"/>
        <v>3.968253968253968E-3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608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3368</v>
      </c>
      <c r="G71" s="41">
        <f>MAX(CumulativeDead!71:71)</f>
        <v>145</v>
      </c>
      <c r="J71" s="41">
        <v>17643054</v>
      </c>
      <c r="K71" s="52">
        <v>0</v>
      </c>
      <c r="L71" s="41">
        <v>0</v>
      </c>
      <c r="M71" s="69">
        <f t="shared" si="4"/>
        <v>4.3052256532066506E-2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610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493</v>
      </c>
      <c r="G72" s="41">
        <f>MAX(CumulativeDead!72:72)</f>
        <v>1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2.0283975659229209E-3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607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495</v>
      </c>
      <c r="G73" s="41">
        <f>MAX(CumulativeDead!73:73)</f>
        <v>18</v>
      </c>
      <c r="J73" s="41">
        <v>11818619</v>
      </c>
      <c r="K73" s="52" t="s">
        <v>511</v>
      </c>
      <c r="L73" s="41" t="e">
        <v>#VALUE!</v>
      </c>
      <c r="M73" s="69">
        <f t="shared" si="4"/>
        <v>3.6363636363636362E-2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611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443</v>
      </c>
      <c r="G74" s="41">
        <f>MAX(CumulativeDead!74:74)</f>
        <v>5</v>
      </c>
      <c r="J74" s="41">
        <v>10139177</v>
      </c>
      <c r="K74" s="52" t="s">
        <v>511</v>
      </c>
      <c r="L74" s="41" t="e">
        <v>#VALUE!</v>
      </c>
      <c r="M74" s="69">
        <f t="shared" si="4"/>
        <v>1.1286681715575621E-2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606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396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2.7777777777777776E-2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607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430</v>
      </c>
      <c r="G76" s="41">
        <f>MAX(CumulativeDead!76:76)</f>
        <v>12</v>
      </c>
      <c r="J76" s="41">
        <v>2083374</v>
      </c>
      <c r="K76" s="52" t="s">
        <v>511</v>
      </c>
      <c r="L76" s="41" t="e">
        <v>#VALUE!</v>
      </c>
      <c r="M76" s="69">
        <f t="shared" si="4"/>
        <v>2.7906976744186046E-2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607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579</v>
      </c>
      <c r="G77" s="41">
        <f>MAX(CumulativeDead!77:77)</f>
        <v>17</v>
      </c>
      <c r="J77" s="41">
        <v>3280819</v>
      </c>
      <c r="K77" s="52" t="s">
        <v>511</v>
      </c>
      <c r="L77" s="41" t="e">
        <v>#VALUE!</v>
      </c>
      <c r="M77" s="69">
        <f t="shared" si="4"/>
        <v>2.9360967184801381E-2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607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1267</v>
      </c>
      <c r="G78" s="41">
        <f>MAX(CumulativeDead!78:78)</f>
        <v>25</v>
      </c>
      <c r="J78" s="41">
        <v>50882891</v>
      </c>
      <c r="K78" s="52" t="s">
        <v>511</v>
      </c>
      <c r="L78" s="41" t="e">
        <v>#VALUE!</v>
      </c>
      <c r="M78" s="69">
        <f t="shared" si="4"/>
        <v>1.973164956590371E-2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610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202</v>
      </c>
      <c r="G79" s="41">
        <f>MAX(CumulativeDead!79:79)</f>
        <v>0</v>
      </c>
      <c r="J79" s="41">
        <v>441543</v>
      </c>
      <c r="K79" s="52" t="s">
        <v>511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607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1510</v>
      </c>
      <c r="G80" s="41">
        <f>MAX(CumulativeDead!80:80)</f>
        <v>50</v>
      </c>
      <c r="J80" s="41">
        <v>128932753</v>
      </c>
      <c r="K80" s="52" t="s">
        <v>511</v>
      </c>
      <c r="L80" s="41" t="e">
        <v>#VALUE!</v>
      </c>
      <c r="M80" s="69">
        <f t="shared" si="4"/>
        <v>3.3112582781456956E-2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609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207</v>
      </c>
      <c r="G81" s="41">
        <f>MAX(CumulativeDead!81:81)</f>
        <v>1</v>
      </c>
      <c r="J81" s="41">
        <v>16743927</v>
      </c>
      <c r="K81" s="52" t="s">
        <v>511</v>
      </c>
      <c r="L81" s="41" t="e">
        <v>#VALUE!</v>
      </c>
      <c r="M81" s="69">
        <f t="shared" si="4"/>
        <v>4.830917874396135E-3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611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606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736</v>
      </c>
      <c r="G83" s="41">
        <f>MAX(CumulativeDead!83:83)</f>
        <v>7</v>
      </c>
      <c r="J83" s="41">
        <v>2963243</v>
      </c>
      <c r="K83" s="52" t="s">
        <v>511</v>
      </c>
      <c r="L83" s="41" t="e">
        <v>#VALUE!</v>
      </c>
      <c r="M83" s="69">
        <f t="shared" si="4"/>
        <v>9.5108695652173919E-3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607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47</v>
      </c>
      <c r="G84" s="41">
        <f>MAX(CumulativeDead!84:84)</f>
        <v>3</v>
      </c>
      <c r="J84" s="41">
        <v>2961167</v>
      </c>
      <c r="K84" s="52" t="s">
        <v>511</v>
      </c>
      <c r="L84" s="41" t="e">
        <v>#VALUE!</v>
      </c>
      <c r="M84" s="69">
        <f t="shared" si="4"/>
        <v>6.3829787234042548E-2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609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281</v>
      </c>
      <c r="G85" s="41">
        <f>MAX(CumulativeDead!85:85)</f>
        <v>6</v>
      </c>
      <c r="J85" s="41">
        <v>38928346</v>
      </c>
      <c r="K85" s="52" t="s">
        <v>511</v>
      </c>
      <c r="L85" s="41" t="e">
        <v>#VALUE!</v>
      </c>
      <c r="M85" s="69">
        <f t="shared" si="4"/>
        <v>2.1352313167259787E-2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608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791</v>
      </c>
      <c r="G86" s="41">
        <f>MAX(CumulativeDead!86:86)</f>
        <v>48</v>
      </c>
      <c r="J86" s="41">
        <v>36910560</v>
      </c>
      <c r="K86" s="52" t="s">
        <v>511</v>
      </c>
      <c r="L86" s="41" t="e">
        <v>#VALUE!</v>
      </c>
      <c r="M86" s="69">
        <f t="shared" si="4"/>
        <v>6.0682680151706699E-2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611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696</v>
      </c>
      <c r="G87" s="41">
        <f>MAX(CumulativeDead!87:87)</f>
        <v>9</v>
      </c>
      <c r="J87" s="41">
        <v>2722289</v>
      </c>
      <c r="K87" s="52">
        <v>15.5</v>
      </c>
      <c r="L87" s="41">
        <v>421.95479499999999</v>
      </c>
      <c r="M87" s="69">
        <f t="shared" si="4"/>
        <v>1.2931034482758621E-2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607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591</v>
      </c>
      <c r="G88" s="41">
        <f>MAX(CumulativeDead!88:88)</f>
        <v>8</v>
      </c>
      <c r="J88" s="41">
        <v>4033963</v>
      </c>
      <c r="K88" s="52" t="s">
        <v>511</v>
      </c>
      <c r="L88" s="41" t="e">
        <v>#VALUE!</v>
      </c>
      <c r="M88" s="69">
        <f t="shared" si="4"/>
        <v>1.3536379018612521E-2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607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92</v>
      </c>
      <c r="G89" s="41">
        <f>MAX(CumulativeDead!89:89)</f>
        <v>3</v>
      </c>
      <c r="J89" s="41">
        <v>7132538</v>
      </c>
      <c r="K89" s="52" t="s">
        <v>511</v>
      </c>
      <c r="L89" s="41" t="e">
        <v>#VALUE!</v>
      </c>
      <c r="M89" s="69">
        <f t="shared" si="4"/>
        <v>3.2608695652173912E-2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610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159</v>
      </c>
      <c r="G90" s="41">
        <f>MAX(CumulativeDead!90:90)</f>
        <v>4</v>
      </c>
      <c r="J90" s="41">
        <v>21413249</v>
      </c>
      <c r="K90" s="52" t="s">
        <v>511</v>
      </c>
      <c r="L90" s="41" t="e">
        <v>#VALUE!</v>
      </c>
      <c r="M90" s="69">
        <f t="shared" si="4"/>
        <v>2.5157232704402517E-2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606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114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610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1488</v>
      </c>
      <c r="G92" s="41">
        <f>MAX(CumulativeDead!92:92)</f>
        <v>68</v>
      </c>
      <c r="J92" s="41">
        <v>10847910</v>
      </c>
      <c r="K92" s="52" t="s">
        <v>511</v>
      </c>
      <c r="L92" s="41" t="e">
        <v>#VALUE!</v>
      </c>
      <c r="M92" s="69">
        <f t="shared" si="4"/>
        <v>4.5698924731182797E-2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610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611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868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1.152073732718894E-3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612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611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20921</v>
      </c>
      <c r="G96" s="41">
        <f>MAX(CumulativeDead!96:96)</f>
        <v>425</v>
      </c>
      <c r="J96" s="41">
        <v>84339067</v>
      </c>
      <c r="K96" s="52" t="s">
        <v>511</v>
      </c>
      <c r="L96" s="41" t="e">
        <v>#VALUE!</v>
      </c>
      <c r="M96" s="69">
        <f t="shared" si="4"/>
        <v>2.0314516514506956E-2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607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269</v>
      </c>
      <c r="G97" s="41">
        <f>MAX(CumulativeDead!97:97)</f>
        <v>6</v>
      </c>
      <c r="J97" s="41">
        <v>11326616</v>
      </c>
      <c r="K97" s="52" t="s">
        <v>511</v>
      </c>
      <c r="L97" s="41" t="e">
        <v>#VALUE!</v>
      </c>
      <c r="M97" s="69">
        <f t="shared" si="4"/>
        <v>2.2304832713754646E-2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609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464</v>
      </c>
      <c r="G98" s="41">
        <f>MAX(CumulativeDead!98:98)</f>
        <v>6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1.2931034482758621E-2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606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61</v>
      </c>
      <c r="G99" s="41">
        <f>MAX(CumulativeDead!99:99)</f>
        <v>6</v>
      </c>
      <c r="J99" s="41">
        <v>164689383</v>
      </c>
      <c r="K99" s="52" t="s">
        <v>511</v>
      </c>
      <c r="L99" s="41" t="e">
        <v>#VALUE!</v>
      </c>
      <c r="M99" s="69">
        <f t="shared" si="6"/>
        <v>9.8360655737704916E-2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606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132</v>
      </c>
      <c r="G100" s="41">
        <f>MAX(CumulativeDead!100:100)</f>
        <v>9</v>
      </c>
      <c r="J100" s="41">
        <v>11673021</v>
      </c>
      <c r="K100" s="52" t="s">
        <v>511</v>
      </c>
      <c r="L100" s="41" t="e">
        <v>#VALUE!</v>
      </c>
      <c r="M100" s="69">
        <f t="shared" si="6"/>
        <v>6.8181818181818177E-2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610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611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1072</v>
      </c>
      <c r="G102" s="41">
        <f>MAX(CumulativeDead!102:102)</f>
        <v>27</v>
      </c>
      <c r="J102" s="41">
        <v>43733762</v>
      </c>
      <c r="K102" s="52" t="s">
        <v>511</v>
      </c>
      <c r="L102" s="41" t="e">
        <v>#VALUE!</v>
      </c>
      <c r="M102" s="69">
        <f t="shared" si="6"/>
        <v>2.5186567164179104E-2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607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611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302</v>
      </c>
      <c r="G104" s="41">
        <f>MAX(CumulativeDead!104:104)</f>
        <v>16</v>
      </c>
      <c r="J104" s="41">
        <v>20903273</v>
      </c>
      <c r="K104" s="52" t="s">
        <v>511</v>
      </c>
      <c r="L104" s="41" t="e">
        <v>#VALUE!</v>
      </c>
      <c r="M104" s="69">
        <f t="shared" si="6"/>
        <v>5.2980132450331126E-2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611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509</v>
      </c>
      <c r="G105" s="41">
        <f>MAX(CumulativeDead!105:105)</f>
        <v>8</v>
      </c>
      <c r="J105" s="41">
        <v>26545863</v>
      </c>
      <c r="K105" s="52" t="s">
        <v>511</v>
      </c>
      <c r="L105" s="41" t="e">
        <v>#VALUE!</v>
      </c>
      <c r="M105" s="69">
        <f t="shared" si="6"/>
        <v>1.5717092337917484E-2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611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134</v>
      </c>
      <c r="G106" s="41">
        <f>MAX(CumulativeDead!106:106)</f>
        <v>13</v>
      </c>
      <c r="K106" s="52" t="s">
        <v>511</v>
      </c>
      <c r="L106" s="41" t="e">
        <v>#N/A</v>
      </c>
      <c r="M106" s="69">
        <f t="shared" si="6"/>
        <v>9.7014925373134331E-2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611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222</v>
      </c>
      <c r="G107" s="41">
        <f>MAX(CumulativeDead!107:107)</f>
        <v>15</v>
      </c>
      <c r="J107" s="41">
        <v>9904607</v>
      </c>
      <c r="K107" s="52" t="s">
        <v>511</v>
      </c>
      <c r="L107" s="41" t="e">
        <v>#VALUE!</v>
      </c>
      <c r="M107" s="69">
        <f t="shared" si="6"/>
        <v>6.7567567567567571E-2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610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64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1.5625E-2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607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210</v>
      </c>
      <c r="G109" s="41">
        <f>MAX(CumulativeDead!109:109)</f>
        <v>4</v>
      </c>
      <c r="J109" s="41">
        <v>206139589</v>
      </c>
      <c r="K109" s="52" t="s">
        <v>511</v>
      </c>
      <c r="L109" s="41" t="e">
        <v>#VALUE!</v>
      </c>
      <c r="M109" s="69">
        <f t="shared" si="6"/>
        <v>1.9047619047619049E-2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611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439</v>
      </c>
      <c r="G110" s="41">
        <f>MAX(CumulativeDead!110:110)</f>
        <v>16</v>
      </c>
      <c r="J110" s="41">
        <v>77265</v>
      </c>
      <c r="K110" s="52" t="s">
        <v>511</v>
      </c>
      <c r="L110" s="41" t="e">
        <v>#VALUE!</v>
      </c>
      <c r="M110" s="69">
        <f t="shared" si="6"/>
        <v>3.644646924829157E-2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607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15</v>
      </c>
      <c r="G111" s="41">
        <f>MAX(CumulativeDead!111:111)</f>
        <v>0</v>
      </c>
      <c r="J111" s="41">
        <v>97929</v>
      </c>
      <c r="K111" s="52" t="s">
        <v>511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609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606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609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218</v>
      </c>
      <c r="G114" s="41">
        <f>MAX(CumulativeDead!114:114)</f>
        <v>1</v>
      </c>
      <c r="K114" s="52" t="s">
        <v>511</v>
      </c>
      <c r="L114" s="41" t="e">
        <v>#N/A</v>
      </c>
      <c r="M114" s="69">
        <f t="shared" si="6"/>
        <v>4.5871559633027525E-3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611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35</v>
      </c>
      <c r="G115" s="41">
        <f>MAX(CumulativeDead!115:115)</f>
        <v>0</v>
      </c>
      <c r="J115" s="41">
        <v>114963588</v>
      </c>
      <c r="K115" s="52" t="s">
        <v>511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611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610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73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611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23</v>
      </c>
      <c r="G118" s="41">
        <f>MAX(CumulativeDead!118:118)</f>
        <v>4</v>
      </c>
      <c r="J118" s="41">
        <v>786552</v>
      </c>
      <c r="K118" s="52" t="s">
        <v>511</v>
      </c>
      <c r="L118" s="41" t="e">
        <v>#VALUE!</v>
      </c>
      <c r="M118" s="69">
        <f t="shared" si="6"/>
        <v>0.17391304347826086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610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7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607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310</v>
      </c>
      <c r="G120" s="41">
        <f>MAX(CumulativeDead!120:120)</f>
        <v>5</v>
      </c>
      <c r="J120" s="41">
        <v>10203134</v>
      </c>
      <c r="K120" s="52" t="s">
        <v>511</v>
      </c>
      <c r="L120" s="41" t="e">
        <v>#VALUE!</v>
      </c>
      <c r="M120" s="69">
        <f t="shared" si="6"/>
        <v>1.6129032258064516E-2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608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122</v>
      </c>
      <c r="G121" s="41">
        <f>MAX(CumulativeDead!121:121)</f>
        <v>4</v>
      </c>
      <c r="J121" s="41">
        <v>53771296</v>
      </c>
      <c r="K121" s="52" t="s">
        <v>511</v>
      </c>
      <c r="L121" s="41" t="e">
        <v>#VALUE!</v>
      </c>
      <c r="M121" s="69">
        <f t="shared" si="6"/>
        <v>3.2786885245901641E-2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611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75</v>
      </c>
      <c r="G122" s="41">
        <f>MAX(CumulativeDead!122:122)</f>
        <v>0</v>
      </c>
      <c r="J122" s="41">
        <v>38128</v>
      </c>
      <c r="K122" s="52" t="s">
        <v>511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607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14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606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6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606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10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0.2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611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611</v>
      </c>
    </row>
    <row r="127" spans="1:17" x14ac:dyDescent="0.3">
      <c r="A127" s="52">
        <v>126</v>
      </c>
      <c r="B127" s="2" t="s">
        <v>604</v>
      </c>
      <c r="C127" s="2" t="s">
        <v>604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58708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606</v>
      </c>
      <c r="C128" s="2" t="s">
        <v>606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4130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607</v>
      </c>
      <c r="C129" s="2" t="s">
        <v>607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42679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609</v>
      </c>
      <c r="C130" s="2" t="s">
        <v>609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7364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610</v>
      </c>
      <c r="C131" s="2" t="s">
        <v>610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750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611</v>
      </c>
      <c r="C132" s="2" t="s">
        <v>611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298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608</v>
      </c>
      <c r="C133" s="2" t="s">
        <v>608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3458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58708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605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0</v>
      </c>
      <c r="BY2">
        <f>SUMIF(ConfirmedRaw!$B:$B,$B2,ConfirmedRaw!CA:CA)</f>
        <v>0</v>
      </c>
      <c r="BZ2">
        <f>SUMIF(ConfirmedRaw!$B:$B,$B2,ConfirmedRaw!CB:CB)</f>
        <v>0</v>
      </c>
      <c r="CA2">
        <f>SUMIF(ConfirmedRaw!$B:$B,$B2,ConfirmedRaw!CC:CC)</f>
        <v>0</v>
      </c>
      <c r="CB2">
        <f>SUMIF(ConfirmedRaw!$B:$B,$B2,ConfirmedRaw!CD:CD)</f>
        <v>0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0</v>
      </c>
      <c r="BY3">
        <f>SUMIF(ConfirmedRaw!$B:$B,$B3,ConfirmedRaw!CA:CA)</f>
        <v>0</v>
      </c>
      <c r="BZ3">
        <f>SUMIF(ConfirmedRaw!$B:$B,$B3,ConfirmedRaw!CB:CB)</f>
        <v>0</v>
      </c>
      <c r="CA3">
        <f>SUMIF(ConfirmedRaw!$B:$B,$B3,ConfirmedRaw!CC:CC)</f>
        <v>0</v>
      </c>
      <c r="CB3">
        <f>SUMIF(ConfirmedRaw!$B:$B,$B3,ConfirmedRaw!CD:CD)</f>
        <v>0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0</v>
      </c>
      <c r="BY4">
        <f>SUMIF(ConfirmedRaw!$B:$B,$B4,ConfirmedRaw!CA:CA)</f>
        <v>0</v>
      </c>
      <c r="BZ4">
        <f>SUMIF(ConfirmedRaw!$B:$B,$B4,ConfirmedRaw!CB:CB)</f>
        <v>0</v>
      </c>
      <c r="CA4">
        <f>SUMIF(ConfirmedRaw!$B:$B,$B4,ConfirmedRaw!CC:CC)</f>
        <v>0</v>
      </c>
      <c r="CB4">
        <f>SUMIF(ConfirmedRaw!$B:$B,$B4,ConfirmedRaw!CD:CD)</f>
        <v>0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7" t="s">
        <v>606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0</v>
      </c>
      <c r="BY5">
        <f>SUMIF(ConfirmedRaw!$B:$B,$B5,ConfirmedRaw!CA:CA)</f>
        <v>0</v>
      </c>
      <c r="BZ5">
        <f>SUMIF(ConfirmedRaw!$B:$B,$B5,ConfirmedRaw!CB:CB)</f>
        <v>0</v>
      </c>
      <c r="CA5">
        <f>SUMIF(ConfirmedRaw!$B:$B,$B5,ConfirmedRaw!CC:CC)</f>
        <v>0</v>
      </c>
      <c r="CB5">
        <f>SUMIF(ConfirmedRaw!$B:$B,$B5,ConfirmedRaw!CD:CD)</f>
        <v>0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0</v>
      </c>
      <c r="BY6">
        <f>SUMIF(ConfirmedRaw!$B:$B,$B6,ConfirmedRaw!CA:CA)</f>
        <v>0</v>
      </c>
      <c r="BZ6">
        <f>SUMIF(ConfirmedRaw!$B:$B,$B6,ConfirmedRaw!CB:CB)</f>
        <v>0</v>
      </c>
      <c r="CA6">
        <f>SUMIF(ConfirmedRaw!$B:$B,$B6,ConfirmedRaw!CC:CC)</f>
        <v>0</v>
      </c>
      <c r="CB6">
        <f>SUMIF(ConfirmedRaw!$B:$B,$B6,ConfirmedRaw!CD:CD)</f>
        <v>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0</v>
      </c>
      <c r="BY7">
        <f>SUMIF(ConfirmedRaw!$B:$B,$B7,ConfirmedRaw!CA:CA)</f>
        <v>0</v>
      </c>
      <c r="BZ7">
        <f>SUMIF(ConfirmedRaw!$B:$B,$B7,ConfirmedRaw!CB:CB)</f>
        <v>0</v>
      </c>
      <c r="CA7">
        <f>SUMIF(ConfirmedRaw!$B:$B,$B7,ConfirmedRaw!CC:CC)</f>
        <v>0</v>
      </c>
      <c r="CB7">
        <f>SUMIF(ConfirmedRaw!$B:$B,$B7,ConfirmedRaw!CD:CD)</f>
        <v>0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0</v>
      </c>
      <c r="BY8">
        <f>SUMIF(ConfirmedRaw!$B:$B,$B8,ConfirmedRaw!CA:CA)</f>
        <v>0</v>
      </c>
      <c r="BZ8">
        <f>SUMIF(ConfirmedRaw!$B:$B,$B8,ConfirmedRaw!CB:CB)</f>
        <v>0</v>
      </c>
      <c r="CA8">
        <f>SUMIF(ConfirmedRaw!$B:$B,$B8,ConfirmedRaw!CC:CC)</f>
        <v>0</v>
      </c>
      <c r="CB8">
        <f>SUMIF(ConfirmedRaw!$B:$B,$B8,ConfirmedRaw!CD:CD)</f>
        <v>0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140886</v>
      </c>
      <c r="BS9">
        <f>SUMIF(ConfirmedRaw!$B:$B,$B9,ConfirmedRaw!BU:BU)</f>
        <v>161807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243453</v>
      </c>
      <c r="BW9">
        <f>SUMIF(ConfirmedRaw!$B:$B,$B9,ConfirmedRaw!BY:BY)</f>
        <v>275586</v>
      </c>
      <c r="BX9">
        <f>SUMIF(ConfirmedRaw!$B:$B,$B9,ConfirmedRaw!BZ:BZ)</f>
        <v>0</v>
      </c>
      <c r="BY9">
        <f>SUMIF(ConfirmedRaw!$B:$B,$B9,ConfirmedRaw!CA:CA)</f>
        <v>0</v>
      </c>
      <c r="BZ9">
        <f>SUMIF(ConfirmedRaw!$B:$B,$B9,ConfirmedRaw!CB:CB)</f>
        <v>0</v>
      </c>
      <c r="CA9">
        <f>SUMIF(ConfirmedRaw!$B:$B,$B9,ConfirmedRaw!CC:CC)</f>
        <v>0</v>
      </c>
      <c r="CB9">
        <f>SUMIF(ConfirmedRaw!$B:$B,$B9,ConfirmedRaw!CD:CD)</f>
        <v>0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0</v>
      </c>
      <c r="BY10">
        <f>SUMIF(ConfirmedRaw!$B:$B,$B10,ConfirmedRaw!CA:CA)</f>
        <v>0</v>
      </c>
      <c r="BZ10">
        <f>SUMIF(ConfirmedRaw!$B:$B,$B10,ConfirmedRaw!CB:CB)</f>
        <v>0</v>
      </c>
      <c r="CA10">
        <f>SUMIF(ConfirmedRaw!$B:$B,$B10,ConfirmedRaw!CC:CC)</f>
        <v>0</v>
      </c>
      <c r="CB10">
        <f>SUMIF(ConfirmedRaw!$B:$B,$B10,ConfirmedRaw!CD:CD)</f>
        <v>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0</v>
      </c>
      <c r="BY11">
        <f>SUMIF(ConfirmedRaw!$B:$B,$B11,ConfirmedRaw!CA:CA)</f>
        <v>0</v>
      </c>
      <c r="BZ11">
        <f>SUMIF(ConfirmedRaw!$B:$B,$B11,ConfirmedRaw!CB:CB)</f>
        <v>0</v>
      </c>
      <c r="CA11">
        <f>SUMIF(ConfirmedRaw!$B:$B,$B11,ConfirmedRaw!CC:CC)</f>
        <v>0</v>
      </c>
      <c r="CB11">
        <f>SUMIF(ConfirmedRaw!$B:$B,$B11,ConfirmedRaw!CD:CD)</f>
        <v>0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0</v>
      </c>
      <c r="BY12">
        <f>SUMIF(ConfirmedRaw!$B:$B,$B12,ConfirmedRaw!CA:CA)</f>
        <v>0</v>
      </c>
      <c r="BZ12">
        <f>SUMIF(ConfirmedRaw!$B:$B,$B12,ConfirmedRaw!CB:CB)</f>
        <v>0</v>
      </c>
      <c r="CA12">
        <f>SUMIF(ConfirmedRaw!$B:$B,$B12,ConfirmedRaw!CC:CC)</f>
        <v>0</v>
      </c>
      <c r="CB12">
        <f>SUMIF(ConfirmedRaw!$B:$B,$B12,ConfirmedRaw!CD:CD)</f>
        <v>0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0</v>
      </c>
      <c r="BY13">
        <f>SUMIF(ConfirmedRaw!$B:$B,$B13,ConfirmedRaw!CA:CA)</f>
        <v>0</v>
      </c>
      <c r="BZ13">
        <f>SUMIF(ConfirmedRaw!$B:$B,$B13,ConfirmedRaw!CB:CB)</f>
        <v>0</v>
      </c>
      <c r="CA13">
        <f>SUMIF(ConfirmedRaw!$B:$B,$B13,ConfirmedRaw!CC:CC)</f>
        <v>0</v>
      </c>
      <c r="CB13">
        <f>SUMIF(ConfirmedRaw!$B:$B,$B13,ConfirmedRaw!CD:CD)</f>
        <v>0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0</v>
      </c>
      <c r="BY14">
        <f>SUMIF(ConfirmedRaw!$B:$B,$B14,ConfirmedRaw!CA:CA)</f>
        <v>0</v>
      </c>
      <c r="BZ14">
        <f>SUMIF(ConfirmedRaw!$B:$B,$B14,ConfirmedRaw!CB:CB)</f>
        <v>0</v>
      </c>
      <c r="CA14">
        <f>SUMIF(ConfirmedRaw!$B:$B,$B14,ConfirmedRaw!CC:CC)</f>
        <v>0</v>
      </c>
      <c r="CB14">
        <f>SUMIF(ConfirmedRaw!$B:$B,$B14,ConfirmedRaw!CD:CD)</f>
        <v>0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0</v>
      </c>
      <c r="BY15">
        <f>SUMIF(ConfirmedRaw!$B:$B,$B15,ConfirmedRaw!CA:CA)</f>
        <v>0</v>
      </c>
      <c r="BZ15">
        <f>SUMIF(ConfirmedRaw!$B:$B,$B15,ConfirmedRaw!CB:CB)</f>
        <v>0</v>
      </c>
      <c r="CA15">
        <f>SUMIF(ConfirmedRaw!$B:$B,$B15,ConfirmedRaw!CC:CC)</f>
        <v>0</v>
      </c>
      <c r="CB15">
        <f>SUMIF(ConfirmedRaw!$B:$B,$B15,ConfirmedRaw!CD:CD)</f>
        <v>0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0</v>
      </c>
      <c r="BY16">
        <f>SUMIF(ConfirmedRaw!$B:$B,$B16,ConfirmedRaw!CA:CA)</f>
        <v>0</v>
      </c>
      <c r="BZ16">
        <f>SUMIF(ConfirmedRaw!$B:$B,$B16,ConfirmedRaw!CB:CB)</f>
        <v>0</v>
      </c>
      <c r="CA16">
        <f>SUMIF(ConfirmedRaw!$B:$B,$B16,ConfirmedRaw!CC:CC)</f>
        <v>0</v>
      </c>
      <c r="CB16">
        <f>SUMIF(ConfirmedRaw!$B:$B,$B16,ConfirmedRaw!CD:CD)</f>
        <v>0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0</v>
      </c>
      <c r="BY18">
        <f>SUMIF(ConfirmedRaw!$B:$B,$B18,ConfirmedRaw!CA:CA)</f>
        <v>0</v>
      </c>
      <c r="BZ18">
        <f>SUMIF(ConfirmedRaw!$B:$B,$B18,ConfirmedRaw!CB:CB)</f>
        <v>0</v>
      </c>
      <c r="CA18">
        <f>SUMIF(ConfirmedRaw!$B:$B,$B18,ConfirmedRaw!CC:CC)</f>
        <v>0</v>
      </c>
      <c r="CB18">
        <f>SUMIF(ConfirmedRaw!$B:$B,$B18,ConfirmedRaw!CD:CD)</f>
        <v>0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0</v>
      </c>
      <c r="BY19">
        <f>SUMIF(ConfirmedRaw!$B:$B,$B19,ConfirmedRaw!CA:CA)</f>
        <v>0</v>
      </c>
      <c r="BZ19">
        <f>SUMIF(ConfirmedRaw!$B:$B,$B19,ConfirmedRaw!CB:CB)</f>
        <v>0</v>
      </c>
      <c r="CA19">
        <f>SUMIF(ConfirmedRaw!$B:$B,$B19,ConfirmedRaw!CC:CC)</f>
        <v>0</v>
      </c>
      <c r="CB19">
        <f>SUMIF(ConfirmedRaw!$B:$B,$B19,ConfirmedRaw!CD:CD)</f>
        <v>0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0</v>
      </c>
      <c r="BY20">
        <f>SUMIF(ConfirmedRaw!$B:$B,$B20,ConfirmedRaw!CA:CA)</f>
        <v>0</v>
      </c>
      <c r="BZ20">
        <f>SUMIF(ConfirmedRaw!$B:$B,$B20,ConfirmedRaw!CB:CB)</f>
        <v>0</v>
      </c>
      <c r="CA20">
        <f>SUMIF(ConfirmedRaw!$B:$B,$B20,ConfirmedRaw!CC:CC)</f>
        <v>0</v>
      </c>
      <c r="CB20">
        <f>SUMIF(ConfirmedRaw!$B:$B,$B20,ConfirmedRaw!CD:CD)</f>
        <v>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0</v>
      </c>
      <c r="BY21">
        <f>SUMIF(ConfirmedRaw!$B:$B,$B21,ConfirmedRaw!CA:CA)</f>
        <v>0</v>
      </c>
      <c r="BZ21">
        <f>SUMIF(ConfirmedRaw!$B:$B,$B21,ConfirmedRaw!CB:CB)</f>
        <v>0</v>
      </c>
      <c r="CA21">
        <f>SUMIF(ConfirmedRaw!$B:$B,$B21,ConfirmedRaw!CC:CC)</f>
        <v>0</v>
      </c>
      <c r="CB21">
        <f>SUMIF(ConfirmedRaw!$B:$B,$B21,ConfirmedRaw!CD:CD)</f>
        <v>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0</v>
      </c>
      <c r="BY22">
        <f>SUMIF(ConfirmedRaw!$B:$B,$B22,ConfirmedRaw!CA:CA)</f>
        <v>0</v>
      </c>
      <c r="BZ22">
        <f>SUMIF(ConfirmedRaw!$B:$B,$B22,ConfirmedRaw!CB:CB)</f>
        <v>0</v>
      </c>
      <c r="CA22">
        <f>SUMIF(ConfirmedRaw!$B:$B,$B22,ConfirmedRaw!CC:CC)</f>
        <v>0</v>
      </c>
      <c r="CB22">
        <f>SUMIF(ConfirmedRaw!$B:$B,$B22,ConfirmedRaw!CD:CD)</f>
        <v>0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0</v>
      </c>
      <c r="BY23">
        <f>SUMIF(ConfirmedRaw!$B:$B,$B23,ConfirmedRaw!CA:CA)</f>
        <v>0</v>
      </c>
      <c r="BZ23">
        <f>SUMIF(ConfirmedRaw!$B:$B,$B23,ConfirmedRaw!CB:CB)</f>
        <v>0</v>
      </c>
      <c r="CA23">
        <f>SUMIF(ConfirmedRaw!$B:$B,$B23,ConfirmedRaw!CC:CC)</f>
        <v>0</v>
      </c>
      <c r="CB23">
        <f>SUMIF(ConfirmedRaw!$B:$B,$B23,ConfirmedRaw!CD:CD)</f>
        <v>0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0</v>
      </c>
      <c r="BY24">
        <f>SUMIF(ConfirmedRaw!$B:$B,$B24,ConfirmedRaw!CA:CA)</f>
        <v>0</v>
      </c>
      <c r="BZ24">
        <f>SUMIF(ConfirmedRaw!$B:$B,$B24,ConfirmedRaw!CB:CB)</f>
        <v>0</v>
      </c>
      <c r="CA24">
        <f>SUMIF(ConfirmedRaw!$B:$B,$B24,ConfirmedRaw!CC:CC)</f>
        <v>0</v>
      </c>
      <c r="CB24">
        <f>SUMIF(ConfirmedRaw!$B:$B,$B24,ConfirmedRaw!CD:CD)</f>
        <v>0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0</v>
      </c>
      <c r="BY25">
        <f>SUMIF(ConfirmedRaw!$B:$B,$B25,ConfirmedRaw!CA:CA)</f>
        <v>0</v>
      </c>
      <c r="BZ25">
        <f>SUMIF(ConfirmedRaw!$B:$B,$B25,ConfirmedRaw!CB:CB)</f>
        <v>0</v>
      </c>
      <c r="CA25">
        <f>SUMIF(ConfirmedRaw!$B:$B,$B25,ConfirmedRaw!CC:CC)</f>
        <v>0</v>
      </c>
      <c r="CB25">
        <f>SUMIF(ConfirmedRaw!$B:$B,$B25,ConfirmedRaw!CD:CD)</f>
        <v>0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0</v>
      </c>
      <c r="BY26">
        <f>SUMIF(ConfirmedRaw!$B:$B,$B26,ConfirmedRaw!CA:CA)</f>
        <v>0</v>
      </c>
      <c r="BZ26">
        <f>SUMIF(ConfirmedRaw!$B:$B,$B26,ConfirmedRaw!CB:CB)</f>
        <v>0</v>
      </c>
      <c r="CA26">
        <f>SUMIF(ConfirmedRaw!$B:$B,$B26,ConfirmedRaw!CC:CC)</f>
        <v>0</v>
      </c>
      <c r="CB26">
        <f>SUMIF(ConfirmedRaw!$B:$B,$B26,ConfirmedRaw!CD:CD)</f>
        <v>0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0</v>
      </c>
      <c r="BY27">
        <f>SUMIF(ConfirmedRaw!$B:$B,$B27,ConfirmedRaw!CA:CA)</f>
        <v>0</v>
      </c>
      <c r="BZ27">
        <f>SUMIF(ConfirmedRaw!$B:$B,$B27,ConfirmedRaw!CB:CB)</f>
        <v>0</v>
      </c>
      <c r="CA27">
        <f>SUMIF(ConfirmedRaw!$B:$B,$B27,ConfirmedRaw!CC:CC)</f>
        <v>0</v>
      </c>
      <c r="CB27">
        <f>SUMIF(ConfirmedRaw!$B:$B,$B27,ConfirmedRaw!CD:CD)</f>
        <v>0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0</v>
      </c>
      <c r="BY28">
        <f>SUMIF(ConfirmedRaw!$B:$B,$B28,ConfirmedRaw!CA:CA)</f>
        <v>0</v>
      </c>
      <c r="BZ28">
        <f>SUMIF(ConfirmedRaw!$B:$B,$B28,ConfirmedRaw!CB:CB)</f>
        <v>0</v>
      </c>
      <c r="CA28">
        <f>SUMIF(ConfirmedRaw!$B:$B,$B28,ConfirmedRaw!CC:CC)</f>
        <v>0</v>
      </c>
      <c r="CB28">
        <f>SUMIF(ConfirmedRaw!$B:$B,$B28,ConfirmedRaw!CD:CD)</f>
        <v>0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0</v>
      </c>
      <c r="BY29">
        <f>SUMIF(ConfirmedRaw!$B:$B,$B29,ConfirmedRaw!CA:CA)</f>
        <v>0</v>
      </c>
      <c r="BZ29">
        <f>SUMIF(ConfirmedRaw!$B:$B,$B29,ConfirmedRaw!CB:CB)</f>
        <v>0</v>
      </c>
      <c r="CA29">
        <f>SUMIF(ConfirmedRaw!$B:$B,$B29,ConfirmedRaw!CC:CC)</f>
        <v>0</v>
      </c>
      <c r="CB29">
        <f>SUMIF(ConfirmedRaw!$B:$B,$B29,ConfirmedRaw!CD:CD)</f>
        <v>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7" t="s">
        <v>607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0</v>
      </c>
      <c r="BY30">
        <f>SUMIF(ConfirmedRaw!$B:$B,$B30,ConfirmedRaw!CA:CA)</f>
        <v>0</v>
      </c>
      <c r="BZ30">
        <f>SUMIF(ConfirmedRaw!$B:$B,$B30,ConfirmedRaw!CB:CB)</f>
        <v>0</v>
      </c>
      <c r="CA30">
        <f>SUMIF(ConfirmedRaw!$B:$B,$B30,ConfirmedRaw!CC:CC)</f>
        <v>0</v>
      </c>
      <c r="CB30">
        <f>SUMIF(ConfirmedRaw!$B:$B,$B30,ConfirmedRaw!CD:CD)</f>
        <v>0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0</v>
      </c>
      <c r="BY31">
        <f>SUMIF(ConfirmedRaw!$B:$B,$B31,ConfirmedRaw!CA:CA)</f>
        <v>0</v>
      </c>
      <c r="BZ31">
        <f>SUMIF(ConfirmedRaw!$B:$B,$B31,ConfirmedRaw!CB:CB)</f>
        <v>0</v>
      </c>
      <c r="CA31">
        <f>SUMIF(ConfirmedRaw!$B:$B,$B31,ConfirmedRaw!CC:CC)</f>
        <v>0</v>
      </c>
      <c r="CB31">
        <f>SUMIF(ConfirmedRaw!$B:$B,$B31,ConfirmedRaw!CD:CD)</f>
        <v>0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0</v>
      </c>
      <c r="BY32">
        <f>SUMIF(ConfirmedRaw!$B:$B,$B32,ConfirmedRaw!CA:CA)</f>
        <v>0</v>
      </c>
      <c r="BZ32">
        <f>SUMIF(ConfirmedRaw!$B:$B,$B32,ConfirmedRaw!CB:CB)</f>
        <v>0</v>
      </c>
      <c r="CA32">
        <f>SUMIF(ConfirmedRaw!$B:$B,$B32,ConfirmedRaw!CC:CC)</f>
        <v>0</v>
      </c>
      <c r="CB32">
        <f>SUMIF(ConfirmedRaw!$B:$B,$B32,ConfirmedRaw!CD:CD)</f>
        <v>0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0</v>
      </c>
      <c r="BY33">
        <f>SUMIF(ConfirmedRaw!$B:$B,$B33,ConfirmedRaw!CA:CA)</f>
        <v>0</v>
      </c>
      <c r="BZ33">
        <f>SUMIF(ConfirmedRaw!$B:$B,$B33,ConfirmedRaw!CB:CB)</f>
        <v>0</v>
      </c>
      <c r="CA33">
        <f>SUMIF(ConfirmedRaw!$B:$B,$B33,ConfirmedRaw!CC:CC)</f>
        <v>0</v>
      </c>
      <c r="CB33">
        <f>SUMIF(ConfirmedRaw!$B:$B,$B33,ConfirmedRaw!CD:CD)</f>
        <v>0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0</v>
      </c>
      <c r="BY34">
        <f>SUMIF(ConfirmedRaw!$B:$B,$B34,ConfirmedRaw!CA:CA)</f>
        <v>0</v>
      </c>
      <c r="BZ34">
        <f>SUMIF(ConfirmedRaw!$B:$B,$B34,ConfirmedRaw!CB:CB)</f>
        <v>0</v>
      </c>
      <c r="CA34">
        <f>SUMIF(ConfirmedRaw!$B:$B,$B34,ConfirmedRaw!CC:CC)</f>
        <v>0</v>
      </c>
      <c r="CB34">
        <f>SUMIF(ConfirmedRaw!$B:$B,$B34,ConfirmedRaw!CD:CD)</f>
        <v>0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0</v>
      </c>
      <c r="BY35">
        <f>SUMIF(ConfirmedRaw!$B:$B,$B35,ConfirmedRaw!CA:CA)</f>
        <v>0</v>
      </c>
      <c r="BZ35">
        <f>SUMIF(ConfirmedRaw!$B:$B,$B35,ConfirmedRaw!CB:CB)</f>
        <v>0</v>
      </c>
      <c r="CA35">
        <f>SUMIF(ConfirmedRaw!$B:$B,$B35,ConfirmedRaw!CC:CC)</f>
        <v>0</v>
      </c>
      <c r="CB35">
        <f>SUMIF(ConfirmedRaw!$B:$B,$B35,ConfirmedRaw!CD:CD)</f>
        <v>0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0</v>
      </c>
      <c r="BY36">
        <f>SUMIF(ConfirmedRaw!$B:$B,$B36,ConfirmedRaw!CA:CA)</f>
        <v>0</v>
      </c>
      <c r="BZ36">
        <f>SUMIF(ConfirmedRaw!$B:$B,$B36,ConfirmedRaw!CB:CB)</f>
        <v>0</v>
      </c>
      <c r="CA36">
        <f>SUMIF(ConfirmedRaw!$B:$B,$B36,ConfirmedRaw!CC:CC)</f>
        <v>0</v>
      </c>
      <c r="CB36">
        <f>SUMIF(ConfirmedRaw!$B:$B,$B36,ConfirmedRaw!CD:CD)</f>
        <v>0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0</v>
      </c>
      <c r="BY37">
        <f>SUMIF(ConfirmedRaw!$B:$B,$B37,ConfirmedRaw!CA:CA)</f>
        <v>0</v>
      </c>
      <c r="BZ37">
        <f>SUMIF(ConfirmedRaw!$B:$B,$B37,ConfirmedRaw!CB:CB)</f>
        <v>0</v>
      </c>
      <c r="CA37">
        <f>SUMIF(ConfirmedRaw!$B:$B,$B37,ConfirmedRaw!CC:CC)</f>
        <v>0</v>
      </c>
      <c r="CB37">
        <f>SUMIF(ConfirmedRaw!$B:$B,$B37,ConfirmedRaw!CD:CD)</f>
        <v>0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0</v>
      </c>
      <c r="BY38">
        <f>SUMIF(ConfirmedRaw!$B:$B,$B38,ConfirmedRaw!CA:CA)</f>
        <v>0</v>
      </c>
      <c r="BZ38">
        <f>SUMIF(ConfirmedRaw!$B:$B,$B38,ConfirmedRaw!CB:CB)</f>
        <v>0</v>
      </c>
      <c r="CA38">
        <f>SUMIF(ConfirmedRaw!$B:$B,$B38,ConfirmedRaw!CC:CC)</f>
        <v>0</v>
      </c>
      <c r="CB38">
        <f>SUMIF(ConfirmedRaw!$B:$B,$B38,ConfirmedRaw!CD:CD)</f>
        <v>0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0</v>
      </c>
      <c r="BY39">
        <f>SUMIF(ConfirmedRaw!$B:$B,$B39,ConfirmedRaw!CA:CA)</f>
        <v>0</v>
      </c>
      <c r="BZ39">
        <f>SUMIF(ConfirmedRaw!$B:$B,$B39,ConfirmedRaw!CB:CB)</f>
        <v>0</v>
      </c>
      <c r="CA39">
        <f>SUMIF(ConfirmedRaw!$B:$B,$B39,ConfirmedRaw!CC:CC)</f>
        <v>0</v>
      </c>
      <c r="CB39">
        <f>SUMIF(ConfirmedRaw!$B:$B,$B39,ConfirmedRaw!CD:CD)</f>
        <v>0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0</v>
      </c>
      <c r="BY40">
        <f>SUMIF(ConfirmedRaw!$B:$B,$B40,ConfirmedRaw!CA:CA)</f>
        <v>0</v>
      </c>
      <c r="BZ40">
        <f>SUMIF(ConfirmedRaw!$B:$B,$B40,ConfirmedRaw!CB:CB)</f>
        <v>0</v>
      </c>
      <c r="CA40">
        <f>SUMIF(ConfirmedRaw!$B:$B,$B40,ConfirmedRaw!CC:CC)</f>
        <v>0</v>
      </c>
      <c r="CB40">
        <f>SUMIF(ConfirmedRaw!$B:$B,$B40,ConfirmedRaw!CD:CD)</f>
        <v>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0</v>
      </c>
      <c r="BY41">
        <f>SUMIF(ConfirmedRaw!$B:$B,$B41,ConfirmedRaw!CA:CA)</f>
        <v>0</v>
      </c>
      <c r="BZ41">
        <f>SUMIF(ConfirmedRaw!$B:$B,$B41,ConfirmedRaw!CB:CB)</f>
        <v>0</v>
      </c>
      <c r="CA41">
        <f>SUMIF(ConfirmedRaw!$B:$B,$B41,ConfirmedRaw!CC:CC)</f>
        <v>0</v>
      </c>
      <c r="CB41">
        <f>SUMIF(ConfirmedRaw!$B:$B,$B41,ConfirmedRaw!CD:CD)</f>
        <v>0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0</v>
      </c>
      <c r="BY42">
        <f>SUMIF(ConfirmedRaw!$B:$B,$B42,ConfirmedRaw!CA:CA)</f>
        <v>0</v>
      </c>
      <c r="BZ42">
        <f>SUMIF(ConfirmedRaw!$B:$B,$B42,ConfirmedRaw!CB:CB)</f>
        <v>0</v>
      </c>
      <c r="CA42">
        <f>SUMIF(ConfirmedRaw!$B:$B,$B42,ConfirmedRaw!CC:CC)</f>
        <v>0</v>
      </c>
      <c r="CB42">
        <f>SUMIF(ConfirmedRaw!$B:$B,$B42,ConfirmedRaw!CD:CD)</f>
        <v>0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0</v>
      </c>
      <c r="BY43">
        <f>SUMIF(ConfirmedRaw!$B:$B,$B43,ConfirmedRaw!CA:CA)</f>
        <v>0</v>
      </c>
      <c r="BZ43">
        <f>SUMIF(ConfirmedRaw!$B:$B,$B43,ConfirmedRaw!CB:CB)</f>
        <v>0</v>
      </c>
      <c r="CA43">
        <f>SUMIF(ConfirmedRaw!$B:$B,$B43,ConfirmedRaw!CC:CC)</f>
        <v>0</v>
      </c>
      <c r="CB43">
        <f>SUMIF(ConfirmedRaw!$B:$B,$B43,ConfirmedRaw!CD:CD)</f>
        <v>0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0</v>
      </c>
      <c r="BY44">
        <f>SUMIF(ConfirmedRaw!$B:$B,$B44,ConfirmedRaw!CA:CA)</f>
        <v>0</v>
      </c>
      <c r="BZ44">
        <f>SUMIF(ConfirmedRaw!$B:$B,$B44,ConfirmedRaw!CB:CB)</f>
        <v>0</v>
      </c>
      <c r="CA44">
        <f>SUMIF(ConfirmedRaw!$B:$B,$B44,ConfirmedRaw!CC:CC)</f>
        <v>0</v>
      </c>
      <c r="CB44">
        <f>SUMIF(ConfirmedRaw!$B:$B,$B44,ConfirmedRaw!CD:CD)</f>
        <v>0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0</v>
      </c>
      <c r="BY45">
        <f>SUMIF(ConfirmedRaw!$B:$B,$B45,ConfirmedRaw!CA:CA)</f>
        <v>0</v>
      </c>
      <c r="BZ45">
        <f>SUMIF(ConfirmedRaw!$B:$B,$B45,ConfirmedRaw!CB:CB)</f>
        <v>0</v>
      </c>
      <c r="CA45">
        <f>SUMIF(ConfirmedRaw!$B:$B,$B45,ConfirmedRaw!CC:CC)</f>
        <v>0</v>
      </c>
      <c r="CB45">
        <f>SUMIF(ConfirmedRaw!$B:$B,$B45,ConfirmedRaw!CD:CD)</f>
        <v>0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0</v>
      </c>
      <c r="BY46">
        <f>SUMIF(ConfirmedRaw!$B:$B,$B46,ConfirmedRaw!CA:CA)</f>
        <v>0</v>
      </c>
      <c r="BZ46">
        <f>SUMIF(ConfirmedRaw!$B:$B,$B46,ConfirmedRaw!CB:CB)</f>
        <v>0</v>
      </c>
      <c r="CA46">
        <f>SUMIF(ConfirmedRaw!$B:$B,$B46,ConfirmedRaw!CC:CC)</f>
        <v>0</v>
      </c>
      <c r="CB46">
        <f>SUMIF(ConfirmedRaw!$B:$B,$B46,ConfirmedRaw!CD:CD)</f>
        <v>0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0</v>
      </c>
      <c r="BY47">
        <f>SUMIF(ConfirmedRaw!$B:$B,$B47,ConfirmedRaw!CA:CA)</f>
        <v>0</v>
      </c>
      <c r="BZ47">
        <f>SUMIF(ConfirmedRaw!$B:$B,$B47,ConfirmedRaw!CB:CB)</f>
        <v>0</v>
      </c>
      <c r="CA47">
        <f>SUMIF(ConfirmedRaw!$B:$B,$B47,ConfirmedRaw!CC:CC)</f>
        <v>0</v>
      </c>
      <c r="CB47">
        <f>SUMIF(ConfirmedRaw!$B:$B,$B47,ConfirmedRaw!CD:CD)</f>
        <v>0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0</v>
      </c>
      <c r="BY48">
        <f>SUMIF(ConfirmedRaw!$B:$B,$B48,ConfirmedRaw!CA:CA)</f>
        <v>0</v>
      </c>
      <c r="BZ48">
        <f>SUMIF(ConfirmedRaw!$B:$B,$B48,ConfirmedRaw!CB:CB)</f>
        <v>0</v>
      </c>
      <c r="CA48">
        <f>SUMIF(ConfirmedRaw!$B:$B,$B48,ConfirmedRaw!CC:CC)</f>
        <v>0</v>
      </c>
      <c r="CB48">
        <f>SUMIF(ConfirmedRaw!$B:$B,$B48,ConfirmedRaw!CD:CD)</f>
        <v>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0</v>
      </c>
      <c r="BY49">
        <f>SUMIF(ConfirmedRaw!$B:$B,$B49,ConfirmedRaw!CA:CA)</f>
        <v>0</v>
      </c>
      <c r="BZ49">
        <f>SUMIF(ConfirmedRaw!$B:$B,$B49,ConfirmedRaw!CB:CB)</f>
        <v>0</v>
      </c>
      <c r="CA49">
        <f>SUMIF(ConfirmedRaw!$B:$B,$B49,ConfirmedRaw!CC:CC)</f>
        <v>0</v>
      </c>
      <c r="CB49">
        <f>SUMIF(ConfirmedRaw!$B:$B,$B49,ConfirmedRaw!CD:CD)</f>
        <v>0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0</v>
      </c>
      <c r="BY50">
        <f>SUMIF(ConfirmedRaw!$B:$B,$B50,ConfirmedRaw!CA:CA)</f>
        <v>0</v>
      </c>
      <c r="BZ50">
        <f>SUMIF(ConfirmedRaw!$B:$B,$B50,ConfirmedRaw!CB:CB)</f>
        <v>0</v>
      </c>
      <c r="CA50">
        <f>SUMIF(ConfirmedRaw!$B:$B,$B50,ConfirmedRaw!CC:CC)</f>
        <v>0</v>
      </c>
      <c r="CB50">
        <f>SUMIF(ConfirmedRaw!$B:$B,$B50,ConfirmedRaw!CD:CD)</f>
        <v>0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0</v>
      </c>
      <c r="BY51">
        <f>SUMIF(ConfirmedRaw!$B:$B,$B51,ConfirmedRaw!CA:CA)</f>
        <v>0</v>
      </c>
      <c r="BZ51">
        <f>SUMIF(ConfirmedRaw!$B:$B,$B51,ConfirmedRaw!CB:CB)</f>
        <v>0</v>
      </c>
      <c r="CA51">
        <f>SUMIF(ConfirmedRaw!$B:$B,$B51,ConfirmedRaw!CC:CC)</f>
        <v>0</v>
      </c>
      <c r="CB51">
        <f>SUMIF(ConfirmedRaw!$B:$B,$B51,ConfirmedRaw!CD:CD)</f>
        <v>0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0</v>
      </c>
      <c r="BY52">
        <f>SUMIF(ConfirmedRaw!$B:$B,$B52,ConfirmedRaw!CA:CA)</f>
        <v>0</v>
      </c>
      <c r="BZ52">
        <f>SUMIF(ConfirmedRaw!$B:$B,$B52,ConfirmedRaw!CB:CB)</f>
        <v>0</v>
      </c>
      <c r="CA52">
        <f>SUMIF(ConfirmedRaw!$B:$B,$B52,ConfirmedRaw!CC:CC)</f>
        <v>0</v>
      </c>
      <c r="CB52">
        <f>SUMIF(ConfirmedRaw!$B:$B,$B52,ConfirmedRaw!CD:CD)</f>
        <v>0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0</v>
      </c>
      <c r="BY53">
        <f>SUMIF(ConfirmedRaw!$B:$B,$B53,ConfirmedRaw!CA:CA)</f>
        <v>0</v>
      </c>
      <c r="BZ53">
        <f>SUMIF(ConfirmedRaw!$B:$B,$B53,ConfirmedRaw!CB:CB)</f>
        <v>0</v>
      </c>
      <c r="CA53">
        <f>SUMIF(ConfirmedRaw!$B:$B,$B53,ConfirmedRaw!CC:CC)</f>
        <v>0</v>
      </c>
      <c r="CB53">
        <f>SUMIF(ConfirmedRaw!$B:$B,$B53,ConfirmedRaw!CD:CD)</f>
        <v>0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0</v>
      </c>
      <c r="BY54">
        <f>SUMIF(ConfirmedRaw!$B:$B,$B54,ConfirmedRaw!CA:CA)</f>
        <v>0</v>
      </c>
      <c r="BZ54">
        <f>SUMIF(ConfirmedRaw!$B:$B,$B54,ConfirmedRaw!CB:CB)</f>
        <v>0</v>
      </c>
      <c r="CA54">
        <f>SUMIF(ConfirmedRaw!$B:$B,$B54,ConfirmedRaw!CC:CC)</f>
        <v>0</v>
      </c>
      <c r="CB54">
        <f>SUMIF(ConfirmedRaw!$B:$B,$B54,ConfirmedRaw!CD:CD)</f>
        <v>0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0</v>
      </c>
      <c r="BY55">
        <f>SUMIF(ConfirmedRaw!$B:$B,$B55,ConfirmedRaw!CA:CA)</f>
        <v>0</v>
      </c>
      <c r="BZ55">
        <f>SUMIF(ConfirmedRaw!$B:$B,$B55,ConfirmedRaw!CB:CB)</f>
        <v>0</v>
      </c>
      <c r="CA55">
        <f>SUMIF(ConfirmedRaw!$B:$B,$B55,ConfirmedRaw!CC:CC)</f>
        <v>0</v>
      </c>
      <c r="CB55">
        <f>SUMIF(ConfirmedRaw!$B:$B,$B55,ConfirmedRaw!CD:CD)</f>
        <v>0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0</v>
      </c>
      <c r="BY56">
        <f>SUMIF(ConfirmedRaw!$B:$B,$B56,ConfirmedRaw!CA:CA)</f>
        <v>0</v>
      </c>
      <c r="BZ56">
        <f>SUMIF(ConfirmedRaw!$B:$B,$B56,ConfirmedRaw!CB:CB)</f>
        <v>0</v>
      </c>
      <c r="CA56">
        <f>SUMIF(ConfirmedRaw!$B:$B,$B56,ConfirmedRaw!CC:CC)</f>
        <v>0</v>
      </c>
      <c r="CB56">
        <f>SUMIF(ConfirmedRaw!$B:$B,$B56,ConfirmedRaw!CD:CD)</f>
        <v>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0</v>
      </c>
      <c r="BY57">
        <f>SUMIF(ConfirmedRaw!$B:$B,$B57,ConfirmedRaw!CA:CA)</f>
        <v>0</v>
      </c>
      <c r="BZ57">
        <f>SUMIF(ConfirmedRaw!$B:$B,$B57,ConfirmedRaw!CB:CB)</f>
        <v>0</v>
      </c>
      <c r="CA57">
        <f>SUMIF(ConfirmedRaw!$B:$B,$B57,ConfirmedRaw!CC:CC)</f>
        <v>0</v>
      </c>
      <c r="CB57">
        <f>SUMIF(ConfirmedRaw!$B:$B,$B57,ConfirmedRaw!CD:CD)</f>
        <v>0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0</v>
      </c>
      <c r="BY58">
        <f>SUMIF(ConfirmedRaw!$B:$B,$B58,ConfirmedRaw!CA:CA)</f>
        <v>0</v>
      </c>
      <c r="BZ58">
        <f>SUMIF(ConfirmedRaw!$B:$B,$B58,ConfirmedRaw!CB:CB)</f>
        <v>0</v>
      </c>
      <c r="CA58">
        <f>SUMIF(ConfirmedRaw!$B:$B,$B58,ConfirmedRaw!CC:CC)</f>
        <v>0</v>
      </c>
      <c r="CB58">
        <f>SUMIF(ConfirmedRaw!$B:$B,$B58,ConfirmedRaw!CD:CD)</f>
        <v>0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0</v>
      </c>
      <c r="BY59">
        <f>SUMIF(ConfirmedRaw!$B:$B,$B59,ConfirmedRaw!CA:CA)</f>
        <v>0</v>
      </c>
      <c r="BZ59">
        <f>SUMIF(ConfirmedRaw!$B:$B,$B59,ConfirmedRaw!CB:CB)</f>
        <v>0</v>
      </c>
      <c r="CA59">
        <f>SUMIF(ConfirmedRaw!$B:$B,$B59,ConfirmedRaw!CC:CC)</f>
        <v>0</v>
      </c>
      <c r="CB59">
        <f>SUMIF(ConfirmedRaw!$B:$B,$B59,ConfirmedRaw!CD:CD)</f>
        <v>0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0</v>
      </c>
      <c r="BY60">
        <f>SUMIF(ConfirmedRaw!$B:$B,$B60,ConfirmedRaw!CA:CA)</f>
        <v>0</v>
      </c>
      <c r="BZ60">
        <f>SUMIF(ConfirmedRaw!$B:$B,$B60,ConfirmedRaw!CB:CB)</f>
        <v>0</v>
      </c>
      <c r="CA60">
        <f>SUMIF(ConfirmedRaw!$B:$B,$B60,ConfirmedRaw!CC:CC)</f>
        <v>0</v>
      </c>
      <c r="CB60">
        <f>SUMIF(ConfirmedRaw!$B:$B,$B60,ConfirmedRaw!CD:CD)</f>
        <v>0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0</v>
      </c>
      <c r="BY61">
        <f>SUMIF(ConfirmedRaw!$B:$B,$B61,ConfirmedRaw!CA:CA)</f>
        <v>0</v>
      </c>
      <c r="BZ61">
        <f>SUMIF(ConfirmedRaw!$B:$B,$B61,ConfirmedRaw!CB:CB)</f>
        <v>0</v>
      </c>
      <c r="CA61">
        <f>SUMIF(ConfirmedRaw!$B:$B,$B61,ConfirmedRaw!CC:CC)</f>
        <v>0</v>
      </c>
      <c r="CB61">
        <f>SUMIF(ConfirmedRaw!$B:$B,$B61,ConfirmedRaw!CD:CD)</f>
        <v>0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0</v>
      </c>
      <c r="BY62">
        <f>SUMIF(ConfirmedRaw!$B:$B,$B62,ConfirmedRaw!CA:CA)</f>
        <v>0</v>
      </c>
      <c r="BZ62">
        <f>SUMIF(ConfirmedRaw!$B:$B,$B62,ConfirmedRaw!CB:CB)</f>
        <v>0</v>
      </c>
      <c r="CA62">
        <f>SUMIF(ConfirmedRaw!$B:$B,$B62,ConfirmedRaw!CC:CC)</f>
        <v>0</v>
      </c>
      <c r="CB62">
        <f>SUMIF(ConfirmedRaw!$B:$B,$B62,ConfirmedRaw!CD:CD)</f>
        <v>0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0</v>
      </c>
      <c r="BY63">
        <f>SUMIF(ConfirmedRaw!$B:$B,$B63,ConfirmedRaw!CA:CA)</f>
        <v>0</v>
      </c>
      <c r="BZ63">
        <f>SUMIF(ConfirmedRaw!$B:$B,$B63,ConfirmedRaw!CB:CB)</f>
        <v>0</v>
      </c>
      <c r="CA63">
        <f>SUMIF(ConfirmedRaw!$B:$B,$B63,ConfirmedRaw!CC:CC)</f>
        <v>0</v>
      </c>
      <c r="CB63">
        <f>SUMIF(ConfirmedRaw!$B:$B,$B63,ConfirmedRaw!CD:CD)</f>
        <v>0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0</v>
      </c>
      <c r="BY64">
        <f>SUMIF(ConfirmedRaw!$B:$B,$B64,ConfirmedRaw!CA:CA)</f>
        <v>0</v>
      </c>
      <c r="BZ64">
        <f>SUMIF(ConfirmedRaw!$B:$B,$B64,ConfirmedRaw!CB:CB)</f>
        <v>0</v>
      </c>
      <c r="CA64">
        <f>SUMIF(ConfirmedRaw!$B:$B,$B64,ConfirmedRaw!CC:CC)</f>
        <v>0</v>
      </c>
      <c r="CB64">
        <f>SUMIF(ConfirmedRaw!$B:$B,$B64,ConfirmedRaw!CD:CD)</f>
        <v>0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0</v>
      </c>
      <c r="BY65">
        <f>SUMIF(ConfirmedRaw!$B:$B,$B65,ConfirmedRaw!CA:CA)</f>
        <v>0</v>
      </c>
      <c r="BZ65">
        <f>SUMIF(ConfirmedRaw!$B:$B,$B65,ConfirmedRaw!CB:CB)</f>
        <v>0</v>
      </c>
      <c r="CA65">
        <f>SUMIF(ConfirmedRaw!$B:$B,$B65,ConfirmedRaw!CC:CC)</f>
        <v>0</v>
      </c>
      <c r="CB65">
        <f>SUMIF(ConfirmedRaw!$B:$B,$B65,ConfirmedRaw!CD:CD)</f>
        <v>0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0</v>
      </c>
      <c r="BY66">
        <f>SUMIF(ConfirmedRaw!$B:$B,$B66,ConfirmedRaw!CA:CA)</f>
        <v>0</v>
      </c>
      <c r="BZ66">
        <f>SUMIF(ConfirmedRaw!$B:$B,$B66,ConfirmedRaw!CB:CB)</f>
        <v>0</v>
      </c>
      <c r="CA66">
        <f>SUMIF(ConfirmedRaw!$B:$B,$B66,ConfirmedRaw!CC:CC)</f>
        <v>0</v>
      </c>
      <c r="CB66">
        <f>SUMIF(ConfirmedRaw!$B:$B,$B66,ConfirmedRaw!CD:CD)</f>
        <v>0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0</v>
      </c>
      <c r="BY67">
        <f>SUMIF(ConfirmedRaw!$B:$B,$B67,ConfirmedRaw!CA:CA)</f>
        <v>0</v>
      </c>
      <c r="BZ67">
        <f>SUMIF(ConfirmedRaw!$B:$B,$B67,ConfirmedRaw!CB:CB)</f>
        <v>0</v>
      </c>
      <c r="CA67">
        <f>SUMIF(ConfirmedRaw!$B:$B,$B67,ConfirmedRaw!CC:CC)</f>
        <v>0</v>
      </c>
      <c r="CB67">
        <f>SUMIF(ConfirmedRaw!$B:$B,$B67,ConfirmedRaw!CD:CD)</f>
        <v>0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0</v>
      </c>
      <c r="BY68">
        <f>SUMIF(ConfirmedRaw!$B:$B,$B68,ConfirmedRaw!CA:CA)</f>
        <v>0</v>
      </c>
      <c r="BZ68">
        <f>SUMIF(ConfirmedRaw!$B:$B,$B68,ConfirmedRaw!CB:CB)</f>
        <v>0</v>
      </c>
      <c r="CA68">
        <f>SUMIF(ConfirmedRaw!$B:$B,$B68,ConfirmedRaw!CC:CC)</f>
        <v>0</v>
      </c>
      <c r="CB68">
        <f>SUMIF(ConfirmedRaw!$B:$B,$B68,ConfirmedRaw!CD:CD)</f>
        <v>0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0</v>
      </c>
      <c r="BY69">
        <f>SUMIF(ConfirmedRaw!$B:$B,$B69,ConfirmedRaw!CA:CA)</f>
        <v>0</v>
      </c>
      <c r="BZ69">
        <f>SUMIF(ConfirmedRaw!$B:$B,$B69,ConfirmedRaw!CB:CB)</f>
        <v>0</v>
      </c>
      <c r="CA69">
        <f>SUMIF(ConfirmedRaw!$B:$B,$B69,ConfirmedRaw!CC:CC)</f>
        <v>0</v>
      </c>
      <c r="CB69">
        <f>SUMIF(ConfirmedRaw!$B:$B,$B69,ConfirmedRaw!CD:CD)</f>
        <v>0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0</v>
      </c>
      <c r="BY70">
        <f>SUMIF(ConfirmedRaw!$B:$B,$B70,ConfirmedRaw!CA:CA)</f>
        <v>0</v>
      </c>
      <c r="BZ70">
        <f>SUMIF(ConfirmedRaw!$B:$B,$B70,ConfirmedRaw!CB:CB)</f>
        <v>0</v>
      </c>
      <c r="CA70">
        <f>SUMIF(ConfirmedRaw!$B:$B,$B70,ConfirmedRaw!CC:CC)</f>
        <v>0</v>
      </c>
      <c r="CB70">
        <f>SUMIF(ConfirmedRaw!$B:$B,$B70,ConfirmedRaw!CD:CD)</f>
        <v>0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0</v>
      </c>
      <c r="BY71">
        <f>SUMIF(ConfirmedRaw!$B:$B,$B71,ConfirmedRaw!CA:CA)</f>
        <v>0</v>
      </c>
      <c r="BZ71">
        <f>SUMIF(ConfirmedRaw!$B:$B,$B71,ConfirmedRaw!CB:CB)</f>
        <v>0</v>
      </c>
      <c r="CA71">
        <f>SUMIF(ConfirmedRaw!$B:$B,$B71,ConfirmedRaw!CC:CC)</f>
        <v>0</v>
      </c>
      <c r="CB71">
        <f>SUMIF(ConfirmedRaw!$B:$B,$B71,ConfirmedRaw!CD:CD)</f>
        <v>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0</v>
      </c>
      <c r="BY72">
        <f>SUMIF(ConfirmedRaw!$B:$B,$B72,ConfirmedRaw!CA:CA)</f>
        <v>0</v>
      </c>
      <c r="BZ72">
        <f>SUMIF(ConfirmedRaw!$B:$B,$B72,ConfirmedRaw!CB:CB)</f>
        <v>0</v>
      </c>
      <c r="CA72">
        <f>SUMIF(ConfirmedRaw!$B:$B,$B72,ConfirmedRaw!CC:CC)</f>
        <v>0</v>
      </c>
      <c r="CB72">
        <f>SUMIF(ConfirmedRaw!$B:$B,$B72,ConfirmedRaw!CD:CD)</f>
        <v>0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0</v>
      </c>
      <c r="BY73">
        <f>SUMIF(ConfirmedRaw!$B:$B,$B73,ConfirmedRaw!CA:CA)</f>
        <v>0</v>
      </c>
      <c r="BZ73">
        <f>SUMIF(ConfirmedRaw!$B:$B,$B73,ConfirmedRaw!CB:CB)</f>
        <v>0</v>
      </c>
      <c r="CA73">
        <f>SUMIF(ConfirmedRaw!$B:$B,$B73,ConfirmedRaw!CC:CC)</f>
        <v>0</v>
      </c>
      <c r="CB73">
        <f>SUMIF(ConfirmedRaw!$B:$B,$B73,ConfirmedRaw!CD:CD)</f>
        <v>0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0</v>
      </c>
      <c r="BY74">
        <f>SUMIF(ConfirmedRaw!$B:$B,$B74,ConfirmedRaw!CA:CA)</f>
        <v>0</v>
      </c>
      <c r="BZ74">
        <f>SUMIF(ConfirmedRaw!$B:$B,$B74,ConfirmedRaw!CB:CB)</f>
        <v>0</v>
      </c>
      <c r="CA74">
        <f>SUMIF(ConfirmedRaw!$B:$B,$B74,ConfirmedRaw!CC:CC)</f>
        <v>0</v>
      </c>
      <c r="CB74">
        <f>SUMIF(ConfirmedRaw!$B:$B,$B74,ConfirmedRaw!CD:CD)</f>
        <v>0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0</v>
      </c>
      <c r="BY75">
        <f>SUMIF(ConfirmedRaw!$B:$B,$B75,ConfirmedRaw!CA:CA)</f>
        <v>0</v>
      </c>
      <c r="BZ75">
        <f>SUMIF(ConfirmedRaw!$B:$B,$B75,ConfirmedRaw!CB:CB)</f>
        <v>0</v>
      </c>
      <c r="CA75">
        <f>SUMIF(ConfirmedRaw!$B:$B,$B75,ConfirmedRaw!CC:CC)</f>
        <v>0</v>
      </c>
      <c r="CB75">
        <f>SUMIF(ConfirmedRaw!$B:$B,$B75,ConfirmedRaw!CD:CD)</f>
        <v>0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0</v>
      </c>
      <c r="BY76">
        <f>SUMIF(ConfirmedRaw!$B:$B,$B76,ConfirmedRaw!CA:CA)</f>
        <v>0</v>
      </c>
      <c r="BZ76">
        <f>SUMIF(ConfirmedRaw!$B:$B,$B76,ConfirmedRaw!CB:CB)</f>
        <v>0</v>
      </c>
      <c r="CA76">
        <f>SUMIF(ConfirmedRaw!$B:$B,$B76,ConfirmedRaw!CC:CC)</f>
        <v>0</v>
      </c>
      <c r="CB76">
        <f>SUMIF(ConfirmedRaw!$B:$B,$B76,ConfirmedRaw!CD:CD)</f>
        <v>0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0</v>
      </c>
      <c r="BY77">
        <f>SUMIF(ConfirmedRaw!$B:$B,$B77,ConfirmedRaw!CA:CA)</f>
        <v>0</v>
      </c>
      <c r="BZ77">
        <f>SUMIF(ConfirmedRaw!$B:$B,$B77,ConfirmedRaw!CB:CB)</f>
        <v>0</v>
      </c>
      <c r="CA77">
        <f>SUMIF(ConfirmedRaw!$B:$B,$B77,ConfirmedRaw!CC:CC)</f>
        <v>0</v>
      </c>
      <c r="CB77">
        <f>SUMIF(ConfirmedRaw!$B:$B,$B77,ConfirmedRaw!CD:CD)</f>
        <v>0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0</v>
      </c>
      <c r="BY78">
        <f>SUMIF(ConfirmedRaw!$B:$B,$B78,ConfirmedRaw!CA:CA)</f>
        <v>0</v>
      </c>
      <c r="BZ78">
        <f>SUMIF(ConfirmedRaw!$B:$B,$B78,ConfirmedRaw!CB:CB)</f>
        <v>0</v>
      </c>
      <c r="CA78">
        <f>SUMIF(ConfirmedRaw!$B:$B,$B78,ConfirmedRaw!CC:CC)</f>
        <v>0</v>
      </c>
      <c r="CB78">
        <f>SUMIF(ConfirmedRaw!$B:$B,$B78,ConfirmedRaw!CD:CD)</f>
        <v>0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0</v>
      </c>
      <c r="BY79">
        <f>SUMIF(ConfirmedRaw!$B:$B,$B79,ConfirmedRaw!CA:CA)</f>
        <v>0</v>
      </c>
      <c r="BZ79">
        <f>SUMIF(ConfirmedRaw!$B:$B,$B79,ConfirmedRaw!CB:CB)</f>
        <v>0</v>
      </c>
      <c r="CA79">
        <f>SUMIF(ConfirmedRaw!$B:$B,$B79,ConfirmedRaw!CC:CC)</f>
        <v>0</v>
      </c>
      <c r="CB79">
        <f>SUMIF(ConfirmedRaw!$B:$B,$B79,ConfirmedRaw!CD:CD)</f>
        <v>0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0</v>
      </c>
      <c r="BY80">
        <f>SUMIF(ConfirmedRaw!$B:$B,$B80,ConfirmedRaw!CA:CA)</f>
        <v>0</v>
      </c>
      <c r="BZ80">
        <f>SUMIF(ConfirmedRaw!$B:$B,$B80,ConfirmedRaw!CB:CB)</f>
        <v>0</v>
      </c>
      <c r="CA80">
        <f>SUMIF(ConfirmedRaw!$B:$B,$B80,ConfirmedRaw!CC:CC)</f>
        <v>0</v>
      </c>
      <c r="CB80">
        <f>SUMIF(ConfirmedRaw!$B:$B,$B80,ConfirmedRaw!CD:CD)</f>
        <v>0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0</v>
      </c>
      <c r="BY81">
        <f>SUMIF(ConfirmedRaw!$B:$B,$B81,ConfirmedRaw!CA:CA)</f>
        <v>0</v>
      </c>
      <c r="BZ81">
        <f>SUMIF(ConfirmedRaw!$B:$B,$B81,ConfirmedRaw!CB:CB)</f>
        <v>0</v>
      </c>
      <c r="CA81">
        <f>SUMIF(ConfirmedRaw!$B:$B,$B81,ConfirmedRaw!CC:CC)</f>
        <v>0</v>
      </c>
      <c r="CB81">
        <f>SUMIF(ConfirmedRaw!$B:$B,$B81,ConfirmedRaw!CD:CD)</f>
        <v>0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0</v>
      </c>
      <c r="BY82">
        <f>SUMIF(ConfirmedRaw!$B:$B,$B82,ConfirmedRaw!CA:CA)</f>
        <v>0</v>
      </c>
      <c r="BZ82">
        <f>SUMIF(ConfirmedRaw!$B:$B,$B82,ConfirmedRaw!CB:CB)</f>
        <v>0</v>
      </c>
      <c r="CA82">
        <f>SUMIF(ConfirmedRaw!$B:$B,$B82,ConfirmedRaw!CC:CC)</f>
        <v>0</v>
      </c>
      <c r="CB82">
        <f>SUMIF(ConfirmedRaw!$B:$B,$B82,ConfirmedRaw!CD:CD)</f>
        <v>0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0</v>
      </c>
      <c r="BY83">
        <f>SUMIF(ConfirmedRaw!$B:$B,$B83,ConfirmedRaw!CA:CA)</f>
        <v>0</v>
      </c>
      <c r="BZ83">
        <f>SUMIF(ConfirmedRaw!$B:$B,$B83,ConfirmedRaw!CB:CB)</f>
        <v>0</v>
      </c>
      <c r="CA83">
        <f>SUMIF(ConfirmedRaw!$B:$B,$B83,ConfirmedRaw!CC:CC)</f>
        <v>0</v>
      </c>
      <c r="CB83">
        <f>SUMIF(ConfirmedRaw!$B:$B,$B83,ConfirmedRaw!CD:CD)</f>
        <v>0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0</v>
      </c>
      <c r="BY84">
        <f>SUMIF(ConfirmedRaw!$B:$B,$B84,ConfirmedRaw!CA:CA)</f>
        <v>0</v>
      </c>
      <c r="BZ84">
        <f>SUMIF(ConfirmedRaw!$B:$B,$B84,ConfirmedRaw!CB:CB)</f>
        <v>0</v>
      </c>
      <c r="CA84">
        <f>SUMIF(ConfirmedRaw!$B:$B,$B84,ConfirmedRaw!CC:CC)</f>
        <v>0</v>
      </c>
      <c r="CB84">
        <f>SUMIF(ConfirmedRaw!$B:$B,$B84,ConfirmedRaw!CD:CD)</f>
        <v>0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0</v>
      </c>
      <c r="BY85">
        <f>SUMIF(ConfirmedRaw!$B:$B,$B85,ConfirmedRaw!CA:CA)</f>
        <v>0</v>
      </c>
      <c r="BZ85">
        <f>SUMIF(ConfirmedRaw!$B:$B,$B85,ConfirmedRaw!CB:CB)</f>
        <v>0</v>
      </c>
      <c r="CA85">
        <f>SUMIF(ConfirmedRaw!$B:$B,$B85,ConfirmedRaw!CC:CC)</f>
        <v>0</v>
      </c>
      <c r="CB85">
        <f>SUMIF(ConfirmedRaw!$B:$B,$B85,ConfirmedRaw!CD:CD)</f>
        <v>0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0</v>
      </c>
      <c r="BY86">
        <f>SUMIF(ConfirmedRaw!$B:$B,$B86,ConfirmedRaw!CA:CA)</f>
        <v>0</v>
      </c>
      <c r="BZ86">
        <f>SUMIF(ConfirmedRaw!$B:$B,$B86,ConfirmedRaw!CB:CB)</f>
        <v>0</v>
      </c>
      <c r="CA86">
        <f>SUMIF(ConfirmedRaw!$B:$B,$B86,ConfirmedRaw!CC:CC)</f>
        <v>0</v>
      </c>
      <c r="CB86">
        <f>SUMIF(ConfirmedRaw!$B:$B,$B86,ConfirmedRaw!CD:CD)</f>
        <v>0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0</v>
      </c>
      <c r="BY87">
        <f>SUMIF(ConfirmedRaw!$B:$B,$B87,ConfirmedRaw!CA:CA)</f>
        <v>0</v>
      </c>
      <c r="BZ87">
        <f>SUMIF(ConfirmedRaw!$B:$B,$B87,ConfirmedRaw!CB:CB)</f>
        <v>0</v>
      </c>
      <c r="CA87">
        <f>SUMIF(ConfirmedRaw!$B:$B,$B87,ConfirmedRaw!CC:CC)</f>
        <v>0</v>
      </c>
      <c r="CB87">
        <f>SUMIF(ConfirmedRaw!$B:$B,$B87,ConfirmedRaw!CD:CD)</f>
        <v>0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0</v>
      </c>
      <c r="BY88">
        <f>SUMIF(ConfirmedRaw!$B:$B,$B88,ConfirmedRaw!CA:CA)</f>
        <v>0</v>
      </c>
      <c r="BZ88">
        <f>SUMIF(ConfirmedRaw!$B:$B,$B88,ConfirmedRaw!CB:CB)</f>
        <v>0</v>
      </c>
      <c r="CA88">
        <f>SUMIF(ConfirmedRaw!$B:$B,$B88,ConfirmedRaw!CC:CC)</f>
        <v>0</v>
      </c>
      <c r="CB88">
        <f>SUMIF(ConfirmedRaw!$B:$B,$B88,ConfirmedRaw!CD:CD)</f>
        <v>0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0</v>
      </c>
      <c r="BY89">
        <f>SUMIF(ConfirmedRaw!$B:$B,$B89,ConfirmedRaw!CA:CA)</f>
        <v>0</v>
      </c>
      <c r="BZ89">
        <f>SUMIF(ConfirmedRaw!$B:$B,$B89,ConfirmedRaw!CB:CB)</f>
        <v>0</v>
      </c>
      <c r="CA89">
        <f>SUMIF(ConfirmedRaw!$B:$B,$B89,ConfirmedRaw!CC:CC)</f>
        <v>0</v>
      </c>
      <c r="CB89">
        <f>SUMIF(ConfirmedRaw!$B:$B,$B89,ConfirmedRaw!CD:CD)</f>
        <v>0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0</v>
      </c>
      <c r="BY90">
        <f>SUMIF(ConfirmedRaw!$B:$B,$B90,ConfirmedRaw!CA:CA)</f>
        <v>0</v>
      </c>
      <c r="BZ90">
        <f>SUMIF(ConfirmedRaw!$B:$B,$B90,ConfirmedRaw!CB:CB)</f>
        <v>0</v>
      </c>
      <c r="CA90">
        <f>SUMIF(ConfirmedRaw!$B:$B,$B90,ConfirmedRaw!CC:CC)</f>
        <v>0</v>
      </c>
      <c r="CB90">
        <f>SUMIF(ConfirmedRaw!$B:$B,$B90,ConfirmedRaw!CD:CD)</f>
        <v>0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0</v>
      </c>
      <c r="BY91">
        <f>SUMIF(ConfirmedRaw!$B:$B,$B91,ConfirmedRaw!CA:CA)</f>
        <v>0</v>
      </c>
      <c r="BZ91">
        <f>SUMIF(ConfirmedRaw!$B:$B,$B91,ConfirmedRaw!CB:CB)</f>
        <v>0</v>
      </c>
      <c r="CA91">
        <f>SUMIF(ConfirmedRaw!$B:$B,$B91,ConfirmedRaw!CC:CC)</f>
        <v>0</v>
      </c>
      <c r="CB91">
        <f>SUMIF(ConfirmedRaw!$B:$B,$B91,ConfirmedRaw!CD:CD)</f>
        <v>0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0</v>
      </c>
      <c r="BY92">
        <f>SUMIF(ConfirmedRaw!$B:$B,$B92,ConfirmedRaw!CA:CA)</f>
        <v>0</v>
      </c>
      <c r="BZ92">
        <f>SUMIF(ConfirmedRaw!$B:$B,$B92,ConfirmedRaw!CB:CB)</f>
        <v>0</v>
      </c>
      <c r="CA92">
        <f>SUMIF(ConfirmedRaw!$B:$B,$B92,ConfirmedRaw!CC:CC)</f>
        <v>0</v>
      </c>
      <c r="CB92">
        <f>SUMIF(ConfirmedRaw!$B:$B,$B92,ConfirmedRaw!CD:CD)</f>
        <v>0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0</v>
      </c>
      <c r="BY94">
        <f>SUMIF(ConfirmedRaw!$B:$B,$B94,ConfirmedRaw!CA:CA)</f>
        <v>0</v>
      </c>
      <c r="BZ94">
        <f>SUMIF(ConfirmedRaw!$B:$B,$B94,ConfirmedRaw!CB:CB)</f>
        <v>0</v>
      </c>
      <c r="CA94">
        <f>SUMIF(ConfirmedRaw!$B:$B,$B94,ConfirmedRaw!CC:CC)</f>
        <v>0</v>
      </c>
      <c r="CB94">
        <f>SUMIF(ConfirmedRaw!$B:$B,$B94,ConfirmedRaw!CD:CD)</f>
        <v>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0</v>
      </c>
      <c r="BY96">
        <f>SUMIF(ConfirmedRaw!$B:$B,$B96,ConfirmedRaw!CA:CA)</f>
        <v>0</v>
      </c>
      <c r="BZ96">
        <f>SUMIF(ConfirmedRaw!$B:$B,$B96,ConfirmedRaw!CB:CB)</f>
        <v>0</v>
      </c>
      <c r="CA96">
        <f>SUMIF(ConfirmedRaw!$B:$B,$B96,ConfirmedRaw!CC:CC)</f>
        <v>0</v>
      </c>
      <c r="CB96">
        <f>SUMIF(ConfirmedRaw!$B:$B,$B96,ConfirmedRaw!CD:CD)</f>
        <v>0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0</v>
      </c>
      <c r="BY97">
        <f>SUMIF(ConfirmedRaw!$B:$B,$B97,ConfirmedRaw!CA:CA)</f>
        <v>0</v>
      </c>
      <c r="BZ97">
        <f>SUMIF(ConfirmedRaw!$B:$B,$B97,ConfirmedRaw!CB:CB)</f>
        <v>0</v>
      </c>
      <c r="CA97">
        <f>SUMIF(ConfirmedRaw!$B:$B,$B97,ConfirmedRaw!CC:CC)</f>
        <v>0</v>
      </c>
      <c r="CB97">
        <f>SUMIF(ConfirmedRaw!$B:$B,$B97,ConfirmedRaw!CD:CD)</f>
        <v>0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0</v>
      </c>
      <c r="BY98">
        <f>SUMIF(ConfirmedRaw!$B:$B,$B98,ConfirmedRaw!CA:CA)</f>
        <v>0</v>
      </c>
      <c r="BZ98">
        <f>SUMIF(ConfirmedRaw!$B:$B,$B98,ConfirmedRaw!CB:CB)</f>
        <v>0</v>
      </c>
      <c r="CA98">
        <f>SUMIF(ConfirmedRaw!$B:$B,$B98,ConfirmedRaw!CC:CC)</f>
        <v>0</v>
      </c>
      <c r="CB98">
        <f>SUMIF(ConfirmedRaw!$B:$B,$B98,ConfirmedRaw!CD:CD)</f>
        <v>0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0</v>
      </c>
      <c r="BY99">
        <f>SUMIF(ConfirmedRaw!$B:$B,$B99,ConfirmedRaw!CA:CA)</f>
        <v>0</v>
      </c>
      <c r="BZ99">
        <f>SUMIF(ConfirmedRaw!$B:$B,$B99,ConfirmedRaw!CB:CB)</f>
        <v>0</v>
      </c>
      <c r="CA99">
        <f>SUMIF(ConfirmedRaw!$B:$B,$B99,ConfirmedRaw!CC:CC)</f>
        <v>0</v>
      </c>
      <c r="CB99">
        <f>SUMIF(ConfirmedRaw!$B:$B,$B99,ConfirmedRaw!CD:CD)</f>
        <v>0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0</v>
      </c>
      <c r="BY100">
        <f>SUMIF(ConfirmedRaw!$B:$B,$B100,ConfirmedRaw!CA:CA)</f>
        <v>0</v>
      </c>
      <c r="BZ100">
        <f>SUMIF(ConfirmedRaw!$B:$B,$B100,ConfirmedRaw!CB:CB)</f>
        <v>0</v>
      </c>
      <c r="CA100">
        <f>SUMIF(ConfirmedRaw!$B:$B,$B100,ConfirmedRaw!CC:CC)</f>
        <v>0</v>
      </c>
      <c r="CB100">
        <f>SUMIF(ConfirmedRaw!$B:$B,$B100,ConfirmedRaw!CD:CD)</f>
        <v>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0</v>
      </c>
      <c r="BY102">
        <f>SUMIF(ConfirmedRaw!$B:$B,$B102,ConfirmedRaw!CA:CA)</f>
        <v>0</v>
      </c>
      <c r="BZ102">
        <f>SUMIF(ConfirmedRaw!$B:$B,$B102,ConfirmedRaw!CB:CB)</f>
        <v>0</v>
      </c>
      <c r="CA102">
        <f>SUMIF(ConfirmedRaw!$B:$B,$B102,ConfirmedRaw!CC:CC)</f>
        <v>0</v>
      </c>
      <c r="CB102">
        <f>SUMIF(ConfirmedRaw!$B:$B,$B102,ConfirmedRaw!CD:CD)</f>
        <v>0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0</v>
      </c>
      <c r="BY104">
        <f>SUMIF(ConfirmedRaw!$B:$B,$B104,ConfirmedRaw!CA:CA)</f>
        <v>0</v>
      </c>
      <c r="BZ104">
        <f>SUMIF(ConfirmedRaw!$B:$B,$B104,ConfirmedRaw!CB:CB)</f>
        <v>0</v>
      </c>
      <c r="CA104">
        <f>SUMIF(ConfirmedRaw!$B:$B,$B104,ConfirmedRaw!CC:CC)</f>
        <v>0</v>
      </c>
      <c r="CB104">
        <f>SUMIF(ConfirmedRaw!$B:$B,$B104,ConfirmedRaw!CD:CD)</f>
        <v>0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0</v>
      </c>
      <c r="BY105">
        <f>SUMIF(ConfirmedRaw!$B:$B,$B105,ConfirmedRaw!CA:CA)</f>
        <v>0</v>
      </c>
      <c r="BZ105">
        <f>SUMIF(ConfirmedRaw!$B:$B,$B105,ConfirmedRaw!CB:CB)</f>
        <v>0</v>
      </c>
      <c r="CA105">
        <f>SUMIF(ConfirmedRaw!$B:$B,$B105,ConfirmedRaw!CC:CC)</f>
        <v>0</v>
      </c>
      <c r="CB105">
        <f>SUMIF(ConfirmedRaw!$B:$B,$B105,ConfirmedRaw!CD:CD)</f>
        <v>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0</v>
      </c>
      <c r="BY106">
        <f>SUMIF(ConfirmedRaw!$B:$B,$B106,ConfirmedRaw!CA:CA)</f>
        <v>0</v>
      </c>
      <c r="BZ106">
        <f>SUMIF(ConfirmedRaw!$B:$B,$B106,ConfirmedRaw!CB:CB)</f>
        <v>0</v>
      </c>
      <c r="CA106">
        <f>SUMIF(ConfirmedRaw!$B:$B,$B106,ConfirmedRaw!CC:CC)</f>
        <v>0</v>
      </c>
      <c r="CB106">
        <f>SUMIF(ConfirmedRaw!$B:$B,$B106,ConfirmedRaw!CD:CD)</f>
        <v>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0</v>
      </c>
      <c r="BY107">
        <f>SUMIF(ConfirmedRaw!$B:$B,$B107,ConfirmedRaw!CA:CA)</f>
        <v>0</v>
      </c>
      <c r="BZ107">
        <f>SUMIF(ConfirmedRaw!$B:$B,$B107,ConfirmedRaw!CB:CB)</f>
        <v>0</v>
      </c>
      <c r="CA107">
        <f>SUMIF(ConfirmedRaw!$B:$B,$B107,ConfirmedRaw!CC:CC)</f>
        <v>0</v>
      </c>
      <c r="CB107">
        <f>SUMIF(ConfirmedRaw!$B:$B,$B107,ConfirmedRaw!CD:CD)</f>
        <v>0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0</v>
      </c>
      <c r="BY108">
        <f>SUMIF(ConfirmedRaw!$B:$B,$B108,ConfirmedRaw!CA:CA)</f>
        <v>0</v>
      </c>
      <c r="BZ108">
        <f>SUMIF(ConfirmedRaw!$B:$B,$B108,ConfirmedRaw!CB:CB)</f>
        <v>0</v>
      </c>
      <c r="CA108">
        <f>SUMIF(ConfirmedRaw!$B:$B,$B108,ConfirmedRaw!CC:CC)</f>
        <v>0</v>
      </c>
      <c r="CB108">
        <f>SUMIF(ConfirmedRaw!$B:$B,$B108,ConfirmedRaw!CD:CD)</f>
        <v>0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0</v>
      </c>
      <c r="BY109">
        <f>SUMIF(ConfirmedRaw!$B:$B,$B109,ConfirmedRaw!CA:CA)</f>
        <v>0</v>
      </c>
      <c r="BZ109">
        <f>SUMIF(ConfirmedRaw!$B:$B,$B109,ConfirmedRaw!CB:CB)</f>
        <v>0</v>
      </c>
      <c r="CA109">
        <f>SUMIF(ConfirmedRaw!$B:$B,$B109,ConfirmedRaw!CC:CC)</f>
        <v>0</v>
      </c>
      <c r="CB109">
        <f>SUMIF(ConfirmedRaw!$B:$B,$B109,ConfirmedRaw!CD:CD)</f>
        <v>0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0</v>
      </c>
      <c r="BY110">
        <f>SUMIF(ConfirmedRaw!$B:$B,$B110,ConfirmedRaw!CA:CA)</f>
        <v>0</v>
      </c>
      <c r="BZ110">
        <f>SUMIF(ConfirmedRaw!$B:$B,$B110,ConfirmedRaw!CB:CB)</f>
        <v>0</v>
      </c>
      <c r="CA110">
        <f>SUMIF(ConfirmedRaw!$B:$B,$B110,ConfirmedRaw!CC:CC)</f>
        <v>0</v>
      </c>
      <c r="CB110">
        <f>SUMIF(ConfirmedRaw!$B:$B,$B110,ConfirmedRaw!CD:CD)</f>
        <v>0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0</v>
      </c>
      <c r="BY111">
        <f>SUMIF(ConfirmedRaw!$B:$B,$B111,ConfirmedRaw!CA:CA)</f>
        <v>0</v>
      </c>
      <c r="BZ111">
        <f>SUMIF(ConfirmedRaw!$B:$B,$B111,ConfirmedRaw!CB:CB)</f>
        <v>0</v>
      </c>
      <c r="CA111">
        <f>SUMIF(ConfirmedRaw!$B:$B,$B111,ConfirmedRaw!CC:CC)</f>
        <v>0</v>
      </c>
      <c r="CB111">
        <f>SUMIF(ConfirmedRaw!$B:$B,$B111,ConfirmedRaw!CD:CD)</f>
        <v>0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0</v>
      </c>
      <c r="BY112">
        <f>SUMIF(ConfirmedRaw!$B:$B,$B112,ConfirmedRaw!CA:CA)</f>
        <v>0</v>
      </c>
      <c r="BZ112">
        <f>SUMIF(ConfirmedRaw!$B:$B,$B112,ConfirmedRaw!CB:CB)</f>
        <v>0</v>
      </c>
      <c r="CA112">
        <f>SUMIF(ConfirmedRaw!$B:$B,$B112,ConfirmedRaw!CC:CC)</f>
        <v>0</v>
      </c>
      <c r="CB112">
        <f>SUMIF(ConfirmedRaw!$B:$B,$B112,ConfirmedRaw!CD:CD)</f>
        <v>0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0</v>
      </c>
      <c r="BY114">
        <f>SUMIF(ConfirmedRaw!$B:$B,$B114,ConfirmedRaw!CA:CA)</f>
        <v>0</v>
      </c>
      <c r="BZ114">
        <f>SUMIF(ConfirmedRaw!$B:$B,$B114,ConfirmedRaw!CB:CB)</f>
        <v>0</v>
      </c>
      <c r="CA114">
        <f>SUMIF(ConfirmedRaw!$B:$B,$B114,ConfirmedRaw!CC:CC)</f>
        <v>0</v>
      </c>
      <c r="CB114">
        <f>SUMIF(ConfirmedRaw!$B:$B,$B114,ConfirmedRaw!CD:CD)</f>
        <v>0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0</v>
      </c>
      <c r="BY115">
        <f>SUMIF(ConfirmedRaw!$B:$B,$B115,ConfirmedRaw!CA:CA)</f>
        <v>0</v>
      </c>
      <c r="BZ115">
        <f>SUMIF(ConfirmedRaw!$B:$B,$B115,ConfirmedRaw!CB:CB)</f>
        <v>0</v>
      </c>
      <c r="CA115">
        <f>SUMIF(ConfirmedRaw!$B:$B,$B115,ConfirmedRaw!CC:CC)</f>
        <v>0</v>
      </c>
      <c r="CB115">
        <f>SUMIF(ConfirmedRaw!$B:$B,$B115,ConfirmedRaw!CD:CD)</f>
        <v>0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0</v>
      </c>
      <c r="BY117">
        <f>SUMIF(ConfirmedRaw!$B:$B,$B117,ConfirmedRaw!CA:CA)</f>
        <v>0</v>
      </c>
      <c r="BZ117">
        <f>SUMIF(ConfirmedRaw!$B:$B,$B117,ConfirmedRaw!CB:CB)</f>
        <v>0</v>
      </c>
      <c r="CA117">
        <f>SUMIF(ConfirmedRaw!$B:$B,$B117,ConfirmedRaw!CC:CC)</f>
        <v>0</v>
      </c>
      <c r="CB117">
        <f>SUMIF(ConfirmedRaw!$B:$B,$B117,ConfirmedRaw!CD:CD)</f>
        <v>0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0</v>
      </c>
      <c r="BY118">
        <f>SUMIF(ConfirmedRaw!$B:$B,$B118,ConfirmedRaw!CA:CA)</f>
        <v>0</v>
      </c>
      <c r="BZ118">
        <f>SUMIF(ConfirmedRaw!$B:$B,$B118,ConfirmedRaw!CB:CB)</f>
        <v>0</v>
      </c>
      <c r="CA118">
        <f>SUMIF(ConfirmedRaw!$B:$B,$B118,ConfirmedRaw!CC:CC)</f>
        <v>0</v>
      </c>
      <c r="CB118">
        <f>SUMIF(ConfirmedRaw!$B:$B,$B118,ConfirmedRaw!CD:CD)</f>
        <v>0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0</v>
      </c>
      <c r="BY119">
        <f>SUMIF(ConfirmedRaw!$B:$B,$B119,ConfirmedRaw!CA:CA)</f>
        <v>0</v>
      </c>
      <c r="BZ119">
        <f>SUMIF(ConfirmedRaw!$B:$B,$B119,ConfirmedRaw!CB:CB)</f>
        <v>0</v>
      </c>
      <c r="CA119">
        <f>SUMIF(ConfirmedRaw!$B:$B,$B119,ConfirmedRaw!CC:CC)</f>
        <v>0</v>
      </c>
      <c r="CB119">
        <f>SUMIF(ConfirmedRaw!$B:$B,$B119,ConfirmedRaw!CD:CD)</f>
        <v>0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0</v>
      </c>
      <c r="BY120">
        <f>SUMIF(ConfirmedRaw!$B:$B,$B120,ConfirmedRaw!CA:CA)</f>
        <v>0</v>
      </c>
      <c r="BZ120">
        <f>SUMIF(ConfirmedRaw!$B:$B,$B120,ConfirmedRaw!CB:CB)</f>
        <v>0</v>
      </c>
      <c r="CA120">
        <f>SUMIF(ConfirmedRaw!$B:$B,$B120,ConfirmedRaw!CC:CC)</f>
        <v>0</v>
      </c>
      <c r="CB120">
        <f>SUMIF(ConfirmedRaw!$B:$B,$B120,ConfirmedRaw!CD:CD)</f>
        <v>0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0</v>
      </c>
      <c r="BY121">
        <f>SUMIF(ConfirmedRaw!$B:$B,$B121,ConfirmedRaw!CA:CA)</f>
        <v>0</v>
      </c>
      <c r="BZ121">
        <f>SUMIF(ConfirmedRaw!$B:$B,$B121,ConfirmedRaw!CB:CB)</f>
        <v>0</v>
      </c>
      <c r="CA121">
        <f>SUMIF(ConfirmedRaw!$B:$B,$B121,ConfirmedRaw!CC:CC)</f>
        <v>0</v>
      </c>
      <c r="CB121">
        <f>SUMIF(ConfirmedRaw!$B:$B,$B121,ConfirmedRaw!CD:CD)</f>
        <v>0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0</v>
      </c>
      <c r="BY122">
        <f>SUMIF(ConfirmedRaw!$B:$B,$B122,ConfirmedRaw!CA:CA)</f>
        <v>0</v>
      </c>
      <c r="BZ122">
        <f>SUMIF(ConfirmedRaw!$B:$B,$B122,ConfirmedRaw!CB:CB)</f>
        <v>0</v>
      </c>
      <c r="CA122">
        <f>SUMIF(ConfirmedRaw!$B:$B,$B122,ConfirmedRaw!CC:CC)</f>
        <v>0</v>
      </c>
      <c r="CB122">
        <f>SUMIF(ConfirmedRaw!$B:$B,$B122,ConfirmedRaw!CD:CD)</f>
        <v>0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0</v>
      </c>
      <c r="BY123">
        <f>SUMIF(ConfirmedRaw!$B:$B,$B123,ConfirmedRaw!CA:CA)</f>
        <v>0</v>
      </c>
      <c r="BZ123">
        <f>SUMIF(ConfirmedRaw!$B:$B,$B123,ConfirmedRaw!CB:CB)</f>
        <v>0</v>
      </c>
      <c r="CA123">
        <f>SUMIF(ConfirmedRaw!$B:$B,$B123,ConfirmedRaw!CC:CC)</f>
        <v>0</v>
      </c>
      <c r="CB123">
        <f>SUMIF(ConfirmedRaw!$B:$B,$B123,ConfirmedRaw!CD:CD)</f>
        <v>0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0</v>
      </c>
      <c r="BY124">
        <f>SUMIF(ConfirmedRaw!$B:$B,$B124,ConfirmedRaw!CA:CA)</f>
        <v>0</v>
      </c>
      <c r="BZ124">
        <f>SUMIF(ConfirmedRaw!$B:$B,$B124,ConfirmedRaw!CB:CB)</f>
        <v>0</v>
      </c>
      <c r="CA124">
        <f>SUMIF(ConfirmedRaw!$B:$B,$B124,ConfirmedRaw!CC:CC)</f>
        <v>0</v>
      </c>
      <c r="CB124">
        <f>SUMIF(ConfirmedRaw!$B:$B,$B124,ConfirmedRaw!CD:CD)</f>
        <v>0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0</v>
      </c>
      <c r="BY125">
        <f>SUMIF(ConfirmedRaw!$B:$B,$B125,ConfirmedRaw!CA:CA)</f>
        <v>0</v>
      </c>
      <c r="BZ125">
        <f>SUMIF(ConfirmedRaw!$B:$B,$B125,ConfirmedRaw!CB:CB)</f>
        <v>0</v>
      </c>
      <c r="CA125">
        <f>SUMIF(ConfirmedRaw!$B:$B,$B125,ConfirmedRaw!CC:CC)</f>
        <v>0</v>
      </c>
      <c r="CB125">
        <f>SUMIF(ConfirmedRaw!$B:$B,$B125,ConfirmedRaw!CD:CD)</f>
        <v>0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0</v>
      </c>
      <c r="BY126">
        <f>SUMIF(ConfirmedRaw!$B:$B,$B126,ConfirmedRaw!CA:CA)</f>
        <v>0</v>
      </c>
      <c r="BZ126">
        <f>SUMIF(ConfirmedRaw!$B:$B,$B126,ConfirmedRaw!CB:CB)</f>
        <v>0</v>
      </c>
      <c r="CA126">
        <f>SUMIF(ConfirmedRaw!$B:$B,$B126,ConfirmedRaw!CC:CC)</f>
        <v>0</v>
      </c>
      <c r="CB126">
        <f>SUMIF(ConfirmedRaw!$B:$B,$B126,ConfirmedRaw!CD:CD)</f>
        <v>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7"/>
      <c r="B127" s="2" t="s">
        <v>604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242053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717548</v>
      </c>
      <c r="BS127">
        <f t="shared" si="2"/>
        <v>779657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1009785</v>
      </c>
      <c r="BW127">
        <f t="shared" si="3"/>
        <v>1092307</v>
      </c>
      <c r="BX127">
        <f t="shared" si="3"/>
        <v>0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606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0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607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609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14800</v>
      </c>
      <c r="BI130">
        <f t="shared" si="9"/>
        <v>20466</v>
      </c>
      <c r="BJ130">
        <f t="shared" si="9"/>
        <v>27324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149407</v>
      </c>
      <c r="BS130">
        <f t="shared" si="10"/>
        <v>171730</v>
      </c>
      <c r="BT130">
        <f t="shared" si="10"/>
        <v>199550</v>
      </c>
      <c r="BU130">
        <f t="shared" si="10"/>
        <v>225966</v>
      </c>
      <c r="BV130">
        <f t="shared" si="11"/>
        <v>258117</v>
      </c>
      <c r="BW130">
        <f t="shared" si="11"/>
        <v>291755</v>
      </c>
      <c r="BX130">
        <f t="shared" si="11"/>
        <v>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610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0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611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0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608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0</v>
      </c>
      <c r="BY2">
        <f>SUMIF(DeadRaw!$B:$B,$B2,DeadRaw!CA:CA)</f>
        <v>0</v>
      </c>
      <c r="BZ2">
        <f>SUMIF(DeadRaw!$B:$B,$B2,DeadRaw!CB:CB)</f>
        <v>0</v>
      </c>
      <c r="CA2">
        <f>SUMIF(DeadRaw!$B:$B,$B2,DeadRaw!CC:CC)</f>
        <v>0</v>
      </c>
      <c r="CB2">
        <f>SUMIF(DeadRaw!$B:$B,$B2,DeadRaw!CD:CD)</f>
        <v>0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0</v>
      </c>
      <c r="BY3">
        <f>SUMIF(DeadRaw!$B:$B,$B3,DeadRaw!CA:CA)</f>
        <v>0</v>
      </c>
      <c r="BZ3">
        <f>SUMIF(DeadRaw!$B:$B,$B3,DeadRaw!CB:CB)</f>
        <v>0</v>
      </c>
      <c r="CA3">
        <f>SUMIF(DeadRaw!$B:$B,$B3,DeadRaw!CC:CC)</f>
        <v>0</v>
      </c>
      <c r="CB3">
        <f>SUMIF(DeadRaw!$B:$B,$B3,DeadRaw!CD:CD)</f>
        <v>0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0</v>
      </c>
      <c r="BY4">
        <f>SUMIF(DeadRaw!$B:$B,$B4,DeadRaw!CA:CA)</f>
        <v>0</v>
      </c>
      <c r="BZ4">
        <f>SUMIF(DeadRaw!$B:$B,$B4,DeadRaw!CB:CB)</f>
        <v>0</v>
      </c>
      <c r="CA4">
        <f>SUMIF(DeadRaw!$B:$B,$B4,DeadRaw!CC:CC)</f>
        <v>0</v>
      </c>
      <c r="CB4">
        <f>SUMIF(DeadRaw!$B:$B,$B4,DeadRaw!CD:CD)</f>
        <v>0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7" t="s">
        <v>606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0</v>
      </c>
      <c r="BY5">
        <f>SUMIF(DeadRaw!$B:$B,$B5,DeadRaw!CA:CA)</f>
        <v>0</v>
      </c>
      <c r="BZ5">
        <f>SUMIF(DeadRaw!$B:$B,$B5,DeadRaw!CB:CB)</f>
        <v>0</v>
      </c>
      <c r="CA5">
        <f>SUMIF(DeadRaw!$B:$B,$B5,DeadRaw!CC:CC)</f>
        <v>0</v>
      </c>
      <c r="CB5">
        <f>SUMIF(DeadRaw!$B:$B,$B5,DeadRaw!CD:CD)</f>
        <v>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0</v>
      </c>
      <c r="BY6">
        <f>SUMIF(DeadRaw!$B:$B,$B6,DeadRaw!CA:CA)</f>
        <v>0</v>
      </c>
      <c r="BZ6">
        <f>SUMIF(DeadRaw!$B:$B,$B6,DeadRaw!CB:CB)</f>
        <v>0</v>
      </c>
      <c r="CA6">
        <f>SUMIF(DeadRaw!$B:$B,$B6,DeadRaw!CC:CC)</f>
        <v>0</v>
      </c>
      <c r="CB6">
        <f>SUMIF(DeadRaw!$B:$B,$B6,DeadRaw!CD:CD)</f>
        <v>0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0</v>
      </c>
      <c r="BY7">
        <f>SUMIF(DeadRaw!$B:$B,$B7,DeadRaw!CA:CA)</f>
        <v>0</v>
      </c>
      <c r="BZ7">
        <f>SUMIF(DeadRaw!$B:$B,$B7,DeadRaw!CB:CB)</f>
        <v>0</v>
      </c>
      <c r="CA7">
        <f>SUMIF(DeadRaw!$B:$B,$B7,DeadRaw!CC:CC)</f>
        <v>0</v>
      </c>
      <c r="CB7">
        <f>SUMIF(DeadRaw!$B:$B,$B7,DeadRaw!CD:CD)</f>
        <v>0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0</v>
      </c>
      <c r="BY8">
        <f>SUMIF(DeadRaw!$B:$B,$B8,DeadRaw!CA:CA)</f>
        <v>0</v>
      </c>
      <c r="BZ8">
        <f>SUMIF(DeadRaw!$B:$B,$B8,DeadRaw!CB:CB)</f>
        <v>0</v>
      </c>
      <c r="CA8">
        <f>SUMIF(DeadRaw!$B:$B,$B8,DeadRaw!CC:CC)</f>
        <v>0</v>
      </c>
      <c r="CB8">
        <f>SUMIF(DeadRaw!$B:$B,$B8,DeadRaw!CD:CD)</f>
        <v>0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0</v>
      </c>
      <c r="BY9">
        <f>SUMIF(DeadRaw!$B:$B,$B9,DeadRaw!CA:CA)</f>
        <v>0</v>
      </c>
      <c r="BZ9">
        <f>SUMIF(DeadRaw!$B:$B,$B9,DeadRaw!CB:CB)</f>
        <v>0</v>
      </c>
      <c r="CA9">
        <f>SUMIF(DeadRaw!$B:$B,$B9,DeadRaw!CC:CC)</f>
        <v>0</v>
      </c>
      <c r="CB9">
        <f>SUMIF(DeadRaw!$B:$B,$B9,DeadRaw!CD:CD)</f>
        <v>0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0</v>
      </c>
      <c r="BY10">
        <f>SUMIF(DeadRaw!$B:$B,$B10,DeadRaw!CA:CA)</f>
        <v>0</v>
      </c>
      <c r="BZ10">
        <f>SUMIF(DeadRaw!$B:$B,$B10,DeadRaw!CB:CB)</f>
        <v>0</v>
      </c>
      <c r="CA10">
        <f>SUMIF(DeadRaw!$B:$B,$B10,DeadRaw!CC:CC)</f>
        <v>0</v>
      </c>
      <c r="CB10">
        <f>SUMIF(DeadRaw!$B:$B,$B10,DeadRaw!CD:CD)</f>
        <v>0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0</v>
      </c>
      <c r="BY11">
        <f>SUMIF(DeadRaw!$B:$B,$B11,DeadRaw!CA:CA)</f>
        <v>0</v>
      </c>
      <c r="BZ11">
        <f>SUMIF(DeadRaw!$B:$B,$B11,DeadRaw!CB:CB)</f>
        <v>0</v>
      </c>
      <c r="CA11">
        <f>SUMIF(DeadRaw!$B:$B,$B11,DeadRaw!CC:CC)</f>
        <v>0</v>
      </c>
      <c r="CB11">
        <f>SUMIF(DeadRaw!$B:$B,$B11,DeadRaw!CD:CD)</f>
        <v>0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0</v>
      </c>
      <c r="BY12">
        <f>SUMIF(DeadRaw!$B:$B,$B12,DeadRaw!CA:CA)</f>
        <v>0</v>
      </c>
      <c r="BZ12">
        <f>SUMIF(DeadRaw!$B:$B,$B12,DeadRaw!CB:CB)</f>
        <v>0</v>
      </c>
      <c r="CA12">
        <f>SUMIF(DeadRaw!$B:$B,$B12,DeadRaw!CC:CC)</f>
        <v>0</v>
      </c>
      <c r="CB12">
        <f>SUMIF(DeadRaw!$B:$B,$B12,DeadRaw!CD:CD)</f>
        <v>0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0</v>
      </c>
      <c r="BY13">
        <f>SUMIF(DeadRaw!$B:$B,$B13,DeadRaw!CA:CA)</f>
        <v>0</v>
      </c>
      <c r="BZ13">
        <f>SUMIF(DeadRaw!$B:$B,$B13,DeadRaw!CB:CB)</f>
        <v>0</v>
      </c>
      <c r="CA13">
        <f>SUMIF(DeadRaw!$B:$B,$B13,DeadRaw!CC:CC)</f>
        <v>0</v>
      </c>
      <c r="CB13">
        <f>SUMIF(DeadRaw!$B:$B,$B13,DeadRaw!CD:CD)</f>
        <v>0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0</v>
      </c>
      <c r="BY14">
        <f>SUMIF(DeadRaw!$B:$B,$B14,DeadRaw!CA:CA)</f>
        <v>0</v>
      </c>
      <c r="BZ14">
        <f>SUMIF(DeadRaw!$B:$B,$B14,DeadRaw!CB:CB)</f>
        <v>0</v>
      </c>
      <c r="CA14">
        <f>SUMIF(DeadRaw!$B:$B,$B14,DeadRaw!CC:CC)</f>
        <v>0</v>
      </c>
      <c r="CB14">
        <f>SUMIF(DeadRaw!$B:$B,$B14,DeadRaw!CD:CD)</f>
        <v>0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0</v>
      </c>
      <c r="BY15">
        <f>SUMIF(DeadRaw!$B:$B,$B15,DeadRaw!CA:CA)</f>
        <v>0</v>
      </c>
      <c r="BZ15">
        <f>SUMIF(DeadRaw!$B:$B,$B15,DeadRaw!CB:CB)</f>
        <v>0</v>
      </c>
      <c r="CA15">
        <f>SUMIF(DeadRaw!$B:$B,$B15,DeadRaw!CC:CC)</f>
        <v>0</v>
      </c>
      <c r="CB15">
        <f>SUMIF(DeadRaw!$B:$B,$B15,DeadRaw!CD:CD)</f>
        <v>0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0</v>
      </c>
      <c r="BY16">
        <f>SUMIF(DeadRaw!$B:$B,$B16,DeadRaw!CA:CA)</f>
        <v>0</v>
      </c>
      <c r="BZ16">
        <f>SUMIF(DeadRaw!$B:$B,$B16,DeadRaw!CB:CB)</f>
        <v>0</v>
      </c>
      <c r="CA16">
        <f>SUMIF(DeadRaw!$B:$B,$B16,DeadRaw!CC:CC)</f>
        <v>0</v>
      </c>
      <c r="CB16">
        <f>SUMIF(DeadRaw!$B:$B,$B16,DeadRaw!CD:CD)</f>
        <v>0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0</v>
      </c>
      <c r="BY18">
        <f>SUMIF(DeadRaw!$B:$B,$B18,DeadRaw!CA:CA)</f>
        <v>0</v>
      </c>
      <c r="BZ18">
        <f>SUMIF(DeadRaw!$B:$B,$B18,DeadRaw!CB:CB)</f>
        <v>0</v>
      </c>
      <c r="CA18">
        <f>SUMIF(DeadRaw!$B:$B,$B18,DeadRaw!CC:CC)</f>
        <v>0</v>
      </c>
      <c r="CB18">
        <f>SUMIF(DeadRaw!$B:$B,$B18,DeadRaw!CD:CD)</f>
        <v>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0</v>
      </c>
      <c r="BY19">
        <f>SUMIF(DeadRaw!$B:$B,$B19,DeadRaw!CA:CA)</f>
        <v>0</v>
      </c>
      <c r="BZ19">
        <f>SUMIF(DeadRaw!$B:$B,$B19,DeadRaw!CB:CB)</f>
        <v>0</v>
      </c>
      <c r="CA19">
        <f>SUMIF(DeadRaw!$B:$B,$B19,DeadRaw!CC:CC)</f>
        <v>0</v>
      </c>
      <c r="CB19">
        <f>SUMIF(DeadRaw!$B:$B,$B19,DeadRaw!CD:CD)</f>
        <v>0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0</v>
      </c>
      <c r="BY20">
        <f>SUMIF(DeadRaw!$B:$B,$B20,DeadRaw!CA:CA)</f>
        <v>0</v>
      </c>
      <c r="BZ20">
        <f>SUMIF(DeadRaw!$B:$B,$B20,DeadRaw!CB:CB)</f>
        <v>0</v>
      </c>
      <c r="CA20">
        <f>SUMIF(DeadRaw!$B:$B,$B20,DeadRaw!CC:CC)</f>
        <v>0</v>
      </c>
      <c r="CB20">
        <f>SUMIF(DeadRaw!$B:$B,$B20,DeadRaw!CD:CD)</f>
        <v>0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0</v>
      </c>
      <c r="BY21">
        <f>SUMIF(DeadRaw!$B:$B,$B21,DeadRaw!CA:CA)</f>
        <v>0</v>
      </c>
      <c r="BZ21">
        <f>SUMIF(DeadRaw!$B:$B,$B21,DeadRaw!CB:CB)</f>
        <v>0</v>
      </c>
      <c r="CA21">
        <f>SUMIF(DeadRaw!$B:$B,$B21,DeadRaw!CC:CC)</f>
        <v>0</v>
      </c>
      <c r="CB21">
        <f>SUMIF(DeadRaw!$B:$B,$B21,DeadRaw!CD:CD)</f>
        <v>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0</v>
      </c>
      <c r="BY22">
        <f>SUMIF(DeadRaw!$B:$B,$B22,DeadRaw!CA:CA)</f>
        <v>0</v>
      </c>
      <c r="BZ22">
        <f>SUMIF(DeadRaw!$B:$B,$B22,DeadRaw!CB:CB)</f>
        <v>0</v>
      </c>
      <c r="CA22">
        <f>SUMIF(DeadRaw!$B:$B,$B22,DeadRaw!CC:CC)</f>
        <v>0</v>
      </c>
      <c r="CB22">
        <f>SUMIF(DeadRaw!$B:$B,$B22,DeadRaw!CD:CD)</f>
        <v>0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0</v>
      </c>
      <c r="BY23">
        <f>SUMIF(DeadRaw!$B:$B,$B23,DeadRaw!CA:CA)</f>
        <v>0</v>
      </c>
      <c r="BZ23">
        <f>SUMIF(DeadRaw!$B:$B,$B23,DeadRaw!CB:CB)</f>
        <v>0</v>
      </c>
      <c r="CA23">
        <f>SUMIF(DeadRaw!$B:$B,$B23,DeadRaw!CC:CC)</f>
        <v>0</v>
      </c>
      <c r="CB23">
        <f>SUMIF(DeadRaw!$B:$B,$B23,DeadRaw!CD:CD)</f>
        <v>0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0</v>
      </c>
      <c r="BY24">
        <f>SUMIF(DeadRaw!$B:$B,$B24,DeadRaw!CA:CA)</f>
        <v>0</v>
      </c>
      <c r="BZ24">
        <f>SUMIF(DeadRaw!$B:$B,$B24,DeadRaw!CB:CB)</f>
        <v>0</v>
      </c>
      <c r="CA24">
        <f>SUMIF(DeadRaw!$B:$B,$B24,DeadRaw!CC:CC)</f>
        <v>0</v>
      </c>
      <c r="CB24">
        <f>SUMIF(DeadRaw!$B:$B,$B24,DeadRaw!CD:CD)</f>
        <v>0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0</v>
      </c>
      <c r="BY25">
        <f>SUMIF(DeadRaw!$B:$B,$B25,DeadRaw!CA:CA)</f>
        <v>0</v>
      </c>
      <c r="BZ25">
        <f>SUMIF(DeadRaw!$B:$B,$B25,DeadRaw!CB:CB)</f>
        <v>0</v>
      </c>
      <c r="CA25">
        <f>SUMIF(DeadRaw!$B:$B,$B25,DeadRaw!CC:CC)</f>
        <v>0</v>
      </c>
      <c r="CB25">
        <f>SUMIF(DeadRaw!$B:$B,$B25,DeadRaw!CD:CD)</f>
        <v>0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0</v>
      </c>
      <c r="BY26">
        <f>SUMIF(DeadRaw!$B:$B,$B26,DeadRaw!CA:CA)</f>
        <v>0</v>
      </c>
      <c r="BZ26">
        <f>SUMIF(DeadRaw!$B:$B,$B26,DeadRaw!CB:CB)</f>
        <v>0</v>
      </c>
      <c r="CA26">
        <f>SUMIF(DeadRaw!$B:$B,$B26,DeadRaw!CC:CC)</f>
        <v>0</v>
      </c>
      <c r="CB26">
        <f>SUMIF(DeadRaw!$B:$B,$B26,DeadRaw!CD:CD)</f>
        <v>0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0</v>
      </c>
      <c r="BY27">
        <f>SUMIF(DeadRaw!$B:$B,$B27,DeadRaw!CA:CA)</f>
        <v>0</v>
      </c>
      <c r="BZ27">
        <f>SUMIF(DeadRaw!$B:$B,$B27,DeadRaw!CB:CB)</f>
        <v>0</v>
      </c>
      <c r="CA27">
        <f>SUMIF(DeadRaw!$B:$B,$B27,DeadRaw!CC:CC)</f>
        <v>0</v>
      </c>
      <c r="CB27">
        <f>SUMIF(DeadRaw!$B:$B,$B27,DeadRaw!CD:CD)</f>
        <v>0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0</v>
      </c>
      <c r="BY28">
        <f>SUMIF(DeadRaw!$B:$B,$B28,DeadRaw!CA:CA)</f>
        <v>0</v>
      </c>
      <c r="BZ28">
        <f>SUMIF(DeadRaw!$B:$B,$B28,DeadRaw!CB:CB)</f>
        <v>0</v>
      </c>
      <c r="CA28">
        <f>SUMIF(DeadRaw!$B:$B,$B28,DeadRaw!CC:CC)</f>
        <v>0</v>
      </c>
      <c r="CB28">
        <f>SUMIF(DeadRaw!$B:$B,$B28,DeadRaw!CD:CD)</f>
        <v>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0</v>
      </c>
      <c r="BY29">
        <f>SUMIF(DeadRaw!$B:$B,$B29,DeadRaw!CA:CA)</f>
        <v>0</v>
      </c>
      <c r="BZ29">
        <f>SUMIF(DeadRaw!$B:$B,$B29,DeadRaw!CB:CB)</f>
        <v>0</v>
      </c>
      <c r="CA29">
        <f>SUMIF(DeadRaw!$B:$B,$B29,DeadRaw!CC:CC)</f>
        <v>0</v>
      </c>
      <c r="CB29">
        <f>SUMIF(DeadRaw!$B:$B,$B29,DeadRaw!CD:CD)</f>
        <v>0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7" t="s">
        <v>607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0</v>
      </c>
      <c r="BY30">
        <f>SUMIF(DeadRaw!$B:$B,$B30,DeadRaw!CA:CA)</f>
        <v>0</v>
      </c>
      <c r="BZ30">
        <f>SUMIF(DeadRaw!$B:$B,$B30,DeadRaw!CB:CB)</f>
        <v>0</v>
      </c>
      <c r="CA30">
        <f>SUMIF(DeadRaw!$B:$B,$B30,DeadRaw!CC:CC)</f>
        <v>0</v>
      </c>
      <c r="CB30">
        <f>SUMIF(DeadRaw!$B:$B,$B30,DeadRaw!CD:CD)</f>
        <v>0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0</v>
      </c>
      <c r="BY31">
        <f>SUMIF(DeadRaw!$B:$B,$B31,DeadRaw!CA:CA)</f>
        <v>0</v>
      </c>
      <c r="BZ31">
        <f>SUMIF(DeadRaw!$B:$B,$B31,DeadRaw!CB:CB)</f>
        <v>0</v>
      </c>
      <c r="CA31">
        <f>SUMIF(DeadRaw!$B:$B,$B31,DeadRaw!CC:CC)</f>
        <v>0</v>
      </c>
      <c r="CB31">
        <f>SUMIF(DeadRaw!$B:$B,$B31,DeadRaw!CD:CD)</f>
        <v>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0</v>
      </c>
      <c r="BY32">
        <f>SUMIF(DeadRaw!$B:$B,$B32,DeadRaw!CA:CA)</f>
        <v>0</v>
      </c>
      <c r="BZ32">
        <f>SUMIF(DeadRaw!$B:$B,$B32,DeadRaw!CB:CB)</f>
        <v>0</v>
      </c>
      <c r="CA32">
        <f>SUMIF(DeadRaw!$B:$B,$B32,DeadRaw!CC:CC)</f>
        <v>0</v>
      </c>
      <c r="CB32">
        <f>SUMIF(DeadRaw!$B:$B,$B32,DeadRaw!CD:CD)</f>
        <v>0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0</v>
      </c>
      <c r="BY33">
        <f>SUMIF(DeadRaw!$B:$B,$B33,DeadRaw!CA:CA)</f>
        <v>0</v>
      </c>
      <c r="BZ33">
        <f>SUMIF(DeadRaw!$B:$B,$B33,DeadRaw!CB:CB)</f>
        <v>0</v>
      </c>
      <c r="CA33">
        <f>SUMIF(DeadRaw!$B:$B,$B33,DeadRaw!CC:CC)</f>
        <v>0</v>
      </c>
      <c r="CB33">
        <f>SUMIF(DeadRaw!$B:$B,$B33,DeadRaw!CD:CD)</f>
        <v>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0</v>
      </c>
      <c r="BY34">
        <f>SUMIF(DeadRaw!$B:$B,$B34,DeadRaw!CA:CA)</f>
        <v>0</v>
      </c>
      <c r="BZ34">
        <f>SUMIF(DeadRaw!$B:$B,$B34,DeadRaw!CB:CB)</f>
        <v>0</v>
      </c>
      <c r="CA34">
        <f>SUMIF(DeadRaw!$B:$B,$B34,DeadRaw!CC:CC)</f>
        <v>0</v>
      </c>
      <c r="CB34">
        <f>SUMIF(DeadRaw!$B:$B,$B34,DeadRaw!CD:CD)</f>
        <v>0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0</v>
      </c>
      <c r="BY35">
        <f>SUMIF(DeadRaw!$B:$B,$B35,DeadRaw!CA:CA)</f>
        <v>0</v>
      </c>
      <c r="BZ35">
        <f>SUMIF(DeadRaw!$B:$B,$B35,DeadRaw!CB:CB)</f>
        <v>0</v>
      </c>
      <c r="CA35">
        <f>SUMIF(DeadRaw!$B:$B,$B35,DeadRaw!CC:CC)</f>
        <v>0</v>
      </c>
      <c r="CB35">
        <f>SUMIF(DeadRaw!$B:$B,$B35,DeadRaw!CD:CD)</f>
        <v>0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0</v>
      </c>
      <c r="BY36">
        <f>SUMIF(DeadRaw!$B:$B,$B36,DeadRaw!CA:CA)</f>
        <v>0</v>
      </c>
      <c r="BZ36">
        <f>SUMIF(DeadRaw!$B:$B,$B36,DeadRaw!CB:CB)</f>
        <v>0</v>
      </c>
      <c r="CA36">
        <f>SUMIF(DeadRaw!$B:$B,$B36,DeadRaw!CC:CC)</f>
        <v>0</v>
      </c>
      <c r="CB36">
        <f>SUMIF(DeadRaw!$B:$B,$B36,DeadRaw!CD:CD)</f>
        <v>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0</v>
      </c>
      <c r="BY37">
        <f>SUMIF(DeadRaw!$B:$B,$B37,DeadRaw!CA:CA)</f>
        <v>0</v>
      </c>
      <c r="BZ37">
        <f>SUMIF(DeadRaw!$B:$B,$B37,DeadRaw!CB:CB)</f>
        <v>0</v>
      </c>
      <c r="CA37">
        <f>SUMIF(DeadRaw!$B:$B,$B37,DeadRaw!CC:CC)</f>
        <v>0</v>
      </c>
      <c r="CB37">
        <f>SUMIF(DeadRaw!$B:$B,$B37,DeadRaw!CD:CD)</f>
        <v>0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0</v>
      </c>
      <c r="BY38">
        <f>SUMIF(DeadRaw!$B:$B,$B38,DeadRaw!CA:CA)</f>
        <v>0</v>
      </c>
      <c r="BZ38">
        <f>SUMIF(DeadRaw!$B:$B,$B38,DeadRaw!CB:CB)</f>
        <v>0</v>
      </c>
      <c r="CA38">
        <f>SUMIF(DeadRaw!$B:$B,$B38,DeadRaw!CC:CC)</f>
        <v>0</v>
      </c>
      <c r="CB38">
        <f>SUMIF(DeadRaw!$B:$B,$B38,DeadRaw!CD:CD)</f>
        <v>0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0</v>
      </c>
      <c r="BY39">
        <f>SUMIF(DeadRaw!$B:$B,$B39,DeadRaw!CA:CA)</f>
        <v>0</v>
      </c>
      <c r="BZ39">
        <f>SUMIF(DeadRaw!$B:$B,$B39,DeadRaw!CB:CB)</f>
        <v>0</v>
      </c>
      <c r="CA39">
        <f>SUMIF(DeadRaw!$B:$B,$B39,DeadRaw!CC:CC)</f>
        <v>0</v>
      </c>
      <c r="CB39">
        <f>SUMIF(DeadRaw!$B:$B,$B39,DeadRaw!CD:CD)</f>
        <v>0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0</v>
      </c>
      <c r="BY40">
        <f>SUMIF(DeadRaw!$B:$B,$B40,DeadRaw!CA:CA)</f>
        <v>0</v>
      </c>
      <c r="BZ40">
        <f>SUMIF(DeadRaw!$B:$B,$B40,DeadRaw!CB:CB)</f>
        <v>0</v>
      </c>
      <c r="CA40">
        <f>SUMIF(DeadRaw!$B:$B,$B40,DeadRaw!CC:CC)</f>
        <v>0</v>
      </c>
      <c r="CB40">
        <f>SUMIF(DeadRaw!$B:$B,$B40,DeadRaw!CD:CD)</f>
        <v>0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0</v>
      </c>
      <c r="BY41">
        <f>SUMIF(DeadRaw!$B:$B,$B41,DeadRaw!CA:CA)</f>
        <v>0</v>
      </c>
      <c r="BZ41">
        <f>SUMIF(DeadRaw!$B:$B,$B41,DeadRaw!CB:CB)</f>
        <v>0</v>
      </c>
      <c r="CA41">
        <f>SUMIF(DeadRaw!$B:$B,$B41,DeadRaw!CC:CC)</f>
        <v>0</v>
      </c>
      <c r="CB41">
        <f>SUMIF(DeadRaw!$B:$B,$B41,DeadRaw!CD:CD)</f>
        <v>0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0</v>
      </c>
      <c r="BY42">
        <f>SUMIF(DeadRaw!$B:$B,$B42,DeadRaw!CA:CA)</f>
        <v>0</v>
      </c>
      <c r="BZ42">
        <f>SUMIF(DeadRaw!$B:$B,$B42,DeadRaw!CB:CB)</f>
        <v>0</v>
      </c>
      <c r="CA42">
        <f>SUMIF(DeadRaw!$B:$B,$B42,DeadRaw!CC:CC)</f>
        <v>0</v>
      </c>
      <c r="CB42">
        <f>SUMIF(DeadRaw!$B:$B,$B42,DeadRaw!CD:CD)</f>
        <v>0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0</v>
      </c>
      <c r="BY43">
        <f>SUMIF(DeadRaw!$B:$B,$B43,DeadRaw!CA:CA)</f>
        <v>0</v>
      </c>
      <c r="BZ43">
        <f>SUMIF(DeadRaw!$B:$B,$B43,DeadRaw!CB:CB)</f>
        <v>0</v>
      </c>
      <c r="CA43">
        <f>SUMIF(DeadRaw!$B:$B,$B43,DeadRaw!CC:CC)</f>
        <v>0</v>
      </c>
      <c r="CB43">
        <f>SUMIF(DeadRaw!$B:$B,$B43,DeadRaw!CD:CD)</f>
        <v>0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0</v>
      </c>
      <c r="BY44">
        <f>SUMIF(DeadRaw!$B:$B,$B44,DeadRaw!CA:CA)</f>
        <v>0</v>
      </c>
      <c r="BZ44">
        <f>SUMIF(DeadRaw!$B:$B,$B44,DeadRaw!CB:CB)</f>
        <v>0</v>
      </c>
      <c r="CA44">
        <f>SUMIF(DeadRaw!$B:$B,$B44,DeadRaw!CC:CC)</f>
        <v>0</v>
      </c>
      <c r="CB44">
        <f>SUMIF(DeadRaw!$B:$B,$B44,DeadRaw!CD:CD)</f>
        <v>0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0</v>
      </c>
      <c r="BY45">
        <f>SUMIF(DeadRaw!$B:$B,$B45,DeadRaw!CA:CA)</f>
        <v>0</v>
      </c>
      <c r="BZ45">
        <f>SUMIF(DeadRaw!$B:$B,$B45,DeadRaw!CB:CB)</f>
        <v>0</v>
      </c>
      <c r="CA45">
        <f>SUMIF(DeadRaw!$B:$B,$B45,DeadRaw!CC:CC)</f>
        <v>0</v>
      </c>
      <c r="CB45">
        <f>SUMIF(DeadRaw!$B:$B,$B45,DeadRaw!CD:CD)</f>
        <v>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0</v>
      </c>
      <c r="BY46">
        <f>SUMIF(DeadRaw!$B:$B,$B46,DeadRaw!CA:CA)</f>
        <v>0</v>
      </c>
      <c r="BZ46">
        <f>SUMIF(DeadRaw!$B:$B,$B46,DeadRaw!CB:CB)</f>
        <v>0</v>
      </c>
      <c r="CA46">
        <f>SUMIF(DeadRaw!$B:$B,$B46,DeadRaw!CC:CC)</f>
        <v>0</v>
      </c>
      <c r="CB46">
        <f>SUMIF(DeadRaw!$B:$B,$B46,DeadRaw!CD:CD)</f>
        <v>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0</v>
      </c>
      <c r="BY47">
        <f>SUMIF(DeadRaw!$B:$B,$B47,DeadRaw!CA:CA)</f>
        <v>0</v>
      </c>
      <c r="BZ47">
        <f>SUMIF(DeadRaw!$B:$B,$B47,DeadRaw!CB:CB)</f>
        <v>0</v>
      </c>
      <c r="CA47">
        <f>SUMIF(DeadRaw!$B:$B,$B47,DeadRaw!CC:CC)</f>
        <v>0</v>
      </c>
      <c r="CB47">
        <f>SUMIF(DeadRaw!$B:$B,$B47,DeadRaw!CD:CD)</f>
        <v>0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0</v>
      </c>
      <c r="BY48">
        <f>SUMIF(DeadRaw!$B:$B,$B48,DeadRaw!CA:CA)</f>
        <v>0</v>
      </c>
      <c r="BZ48">
        <f>SUMIF(DeadRaw!$B:$B,$B48,DeadRaw!CB:CB)</f>
        <v>0</v>
      </c>
      <c r="CA48">
        <f>SUMIF(DeadRaw!$B:$B,$B48,DeadRaw!CC:CC)</f>
        <v>0</v>
      </c>
      <c r="CB48">
        <f>SUMIF(DeadRaw!$B:$B,$B48,DeadRaw!CD:CD)</f>
        <v>0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0</v>
      </c>
      <c r="BY49">
        <f>SUMIF(DeadRaw!$B:$B,$B49,DeadRaw!CA:CA)</f>
        <v>0</v>
      </c>
      <c r="BZ49">
        <f>SUMIF(DeadRaw!$B:$B,$B49,DeadRaw!CB:CB)</f>
        <v>0</v>
      </c>
      <c r="CA49">
        <f>SUMIF(DeadRaw!$B:$B,$B49,DeadRaw!CC:CC)</f>
        <v>0</v>
      </c>
      <c r="CB49">
        <f>SUMIF(DeadRaw!$B:$B,$B49,DeadRaw!CD:CD)</f>
        <v>0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0</v>
      </c>
      <c r="BY51">
        <f>SUMIF(DeadRaw!$B:$B,$B51,DeadRaw!CA:CA)</f>
        <v>0</v>
      </c>
      <c r="BZ51">
        <f>SUMIF(DeadRaw!$B:$B,$B51,DeadRaw!CB:CB)</f>
        <v>0</v>
      </c>
      <c r="CA51">
        <f>SUMIF(DeadRaw!$B:$B,$B51,DeadRaw!CC:CC)</f>
        <v>0</v>
      </c>
      <c r="CB51">
        <f>SUMIF(DeadRaw!$B:$B,$B51,DeadRaw!CD:CD)</f>
        <v>0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0</v>
      </c>
      <c r="BY52">
        <f>SUMIF(DeadRaw!$B:$B,$B52,DeadRaw!CA:CA)</f>
        <v>0</v>
      </c>
      <c r="BZ52">
        <f>SUMIF(DeadRaw!$B:$B,$B52,DeadRaw!CB:CB)</f>
        <v>0</v>
      </c>
      <c r="CA52">
        <f>SUMIF(DeadRaw!$B:$B,$B52,DeadRaw!CC:CC)</f>
        <v>0</v>
      </c>
      <c r="CB52">
        <f>SUMIF(DeadRaw!$B:$B,$B52,DeadRaw!CD:CD)</f>
        <v>0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0</v>
      </c>
      <c r="BY53">
        <f>SUMIF(DeadRaw!$B:$B,$B53,DeadRaw!CA:CA)</f>
        <v>0</v>
      </c>
      <c r="BZ53">
        <f>SUMIF(DeadRaw!$B:$B,$B53,DeadRaw!CB:CB)</f>
        <v>0</v>
      </c>
      <c r="CA53">
        <f>SUMIF(DeadRaw!$B:$B,$B53,DeadRaw!CC:CC)</f>
        <v>0</v>
      </c>
      <c r="CB53">
        <f>SUMIF(DeadRaw!$B:$B,$B53,DeadRaw!CD:CD)</f>
        <v>0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0</v>
      </c>
      <c r="BY54">
        <f>SUMIF(DeadRaw!$B:$B,$B54,DeadRaw!CA:CA)</f>
        <v>0</v>
      </c>
      <c r="BZ54">
        <f>SUMIF(DeadRaw!$B:$B,$B54,DeadRaw!CB:CB)</f>
        <v>0</v>
      </c>
      <c r="CA54">
        <f>SUMIF(DeadRaw!$B:$B,$B54,DeadRaw!CC:CC)</f>
        <v>0</v>
      </c>
      <c r="CB54">
        <f>SUMIF(DeadRaw!$B:$B,$B54,DeadRaw!CD:CD)</f>
        <v>0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0</v>
      </c>
      <c r="BY55">
        <f>SUMIF(DeadRaw!$B:$B,$B55,DeadRaw!CA:CA)</f>
        <v>0</v>
      </c>
      <c r="BZ55">
        <f>SUMIF(DeadRaw!$B:$B,$B55,DeadRaw!CB:CB)</f>
        <v>0</v>
      </c>
      <c r="CA55">
        <f>SUMIF(DeadRaw!$B:$B,$B55,DeadRaw!CC:CC)</f>
        <v>0</v>
      </c>
      <c r="CB55">
        <f>SUMIF(DeadRaw!$B:$B,$B55,DeadRaw!CD:CD)</f>
        <v>0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0</v>
      </c>
      <c r="BY56">
        <f>SUMIF(DeadRaw!$B:$B,$B56,DeadRaw!CA:CA)</f>
        <v>0</v>
      </c>
      <c r="BZ56">
        <f>SUMIF(DeadRaw!$B:$B,$B56,DeadRaw!CB:CB)</f>
        <v>0</v>
      </c>
      <c r="CA56">
        <f>SUMIF(DeadRaw!$B:$B,$B56,DeadRaw!CC:CC)</f>
        <v>0</v>
      </c>
      <c r="CB56">
        <f>SUMIF(DeadRaw!$B:$B,$B56,DeadRaw!CD:CD)</f>
        <v>0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0</v>
      </c>
      <c r="BY57">
        <f>SUMIF(DeadRaw!$B:$B,$B57,DeadRaw!CA:CA)</f>
        <v>0</v>
      </c>
      <c r="BZ57">
        <f>SUMIF(DeadRaw!$B:$B,$B57,DeadRaw!CB:CB)</f>
        <v>0</v>
      </c>
      <c r="CA57">
        <f>SUMIF(DeadRaw!$B:$B,$B57,DeadRaw!CC:CC)</f>
        <v>0</v>
      </c>
      <c r="CB57">
        <f>SUMIF(DeadRaw!$B:$B,$B57,DeadRaw!CD:CD)</f>
        <v>0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0</v>
      </c>
      <c r="BY58">
        <f>SUMIF(DeadRaw!$B:$B,$B58,DeadRaw!CA:CA)</f>
        <v>0</v>
      </c>
      <c r="BZ58">
        <f>SUMIF(DeadRaw!$B:$B,$B58,DeadRaw!CB:CB)</f>
        <v>0</v>
      </c>
      <c r="CA58">
        <f>SUMIF(DeadRaw!$B:$B,$B58,DeadRaw!CC:CC)</f>
        <v>0</v>
      </c>
      <c r="CB58">
        <f>SUMIF(DeadRaw!$B:$B,$B58,DeadRaw!CD:CD)</f>
        <v>0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0</v>
      </c>
      <c r="BY59">
        <f>SUMIF(DeadRaw!$B:$B,$B59,DeadRaw!CA:CA)</f>
        <v>0</v>
      </c>
      <c r="BZ59">
        <f>SUMIF(DeadRaw!$B:$B,$B59,DeadRaw!CB:CB)</f>
        <v>0</v>
      </c>
      <c r="CA59">
        <f>SUMIF(DeadRaw!$B:$B,$B59,DeadRaw!CC:CC)</f>
        <v>0</v>
      </c>
      <c r="CB59">
        <f>SUMIF(DeadRaw!$B:$B,$B59,DeadRaw!CD:CD)</f>
        <v>0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0</v>
      </c>
      <c r="BY60">
        <f>SUMIF(DeadRaw!$B:$B,$B60,DeadRaw!CA:CA)</f>
        <v>0</v>
      </c>
      <c r="BZ60">
        <f>SUMIF(DeadRaw!$B:$B,$B60,DeadRaw!CB:CB)</f>
        <v>0</v>
      </c>
      <c r="CA60">
        <f>SUMIF(DeadRaw!$B:$B,$B60,DeadRaw!CC:CC)</f>
        <v>0</v>
      </c>
      <c r="CB60">
        <f>SUMIF(DeadRaw!$B:$B,$B60,DeadRaw!CD:CD)</f>
        <v>0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0</v>
      </c>
      <c r="BY61">
        <f>SUMIF(DeadRaw!$B:$B,$B61,DeadRaw!CA:CA)</f>
        <v>0</v>
      </c>
      <c r="BZ61">
        <f>SUMIF(DeadRaw!$B:$B,$B61,DeadRaw!CB:CB)</f>
        <v>0</v>
      </c>
      <c r="CA61">
        <f>SUMIF(DeadRaw!$B:$B,$B61,DeadRaw!CC:CC)</f>
        <v>0</v>
      </c>
      <c r="CB61">
        <f>SUMIF(DeadRaw!$B:$B,$B61,DeadRaw!CD:CD)</f>
        <v>0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0</v>
      </c>
      <c r="BY62">
        <f>SUMIF(DeadRaw!$B:$B,$B62,DeadRaw!CA:CA)</f>
        <v>0</v>
      </c>
      <c r="BZ62">
        <f>SUMIF(DeadRaw!$B:$B,$B62,DeadRaw!CB:CB)</f>
        <v>0</v>
      </c>
      <c r="CA62">
        <f>SUMIF(DeadRaw!$B:$B,$B62,DeadRaw!CC:CC)</f>
        <v>0</v>
      </c>
      <c r="CB62">
        <f>SUMIF(DeadRaw!$B:$B,$B62,DeadRaw!CD:CD)</f>
        <v>0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0</v>
      </c>
      <c r="BY63">
        <f>SUMIF(DeadRaw!$B:$B,$B63,DeadRaw!CA:CA)</f>
        <v>0</v>
      </c>
      <c r="BZ63">
        <f>SUMIF(DeadRaw!$B:$B,$B63,DeadRaw!CB:CB)</f>
        <v>0</v>
      </c>
      <c r="CA63">
        <f>SUMIF(DeadRaw!$B:$B,$B63,DeadRaw!CC:CC)</f>
        <v>0</v>
      </c>
      <c r="CB63">
        <f>SUMIF(DeadRaw!$B:$B,$B63,DeadRaw!CD:CD)</f>
        <v>0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0</v>
      </c>
      <c r="BY64">
        <f>SUMIF(DeadRaw!$B:$B,$B64,DeadRaw!CA:CA)</f>
        <v>0</v>
      </c>
      <c r="BZ64">
        <f>SUMIF(DeadRaw!$B:$B,$B64,DeadRaw!CB:CB)</f>
        <v>0</v>
      </c>
      <c r="CA64">
        <f>SUMIF(DeadRaw!$B:$B,$B64,DeadRaw!CC:CC)</f>
        <v>0</v>
      </c>
      <c r="CB64">
        <f>SUMIF(DeadRaw!$B:$B,$B64,DeadRaw!CD:CD)</f>
        <v>0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0</v>
      </c>
      <c r="BY65">
        <f>SUMIF(DeadRaw!$B:$B,$B65,DeadRaw!CA:CA)</f>
        <v>0</v>
      </c>
      <c r="BZ65">
        <f>SUMIF(DeadRaw!$B:$B,$B65,DeadRaw!CB:CB)</f>
        <v>0</v>
      </c>
      <c r="CA65">
        <f>SUMIF(DeadRaw!$B:$B,$B65,DeadRaw!CC:CC)</f>
        <v>0</v>
      </c>
      <c r="CB65">
        <f>SUMIF(DeadRaw!$B:$B,$B65,DeadRaw!CD:CD)</f>
        <v>0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0</v>
      </c>
      <c r="BY66">
        <f>SUMIF(DeadRaw!$B:$B,$B66,DeadRaw!CA:CA)</f>
        <v>0</v>
      </c>
      <c r="BZ66">
        <f>SUMIF(DeadRaw!$B:$B,$B66,DeadRaw!CB:CB)</f>
        <v>0</v>
      </c>
      <c r="CA66">
        <f>SUMIF(DeadRaw!$B:$B,$B66,DeadRaw!CC:CC)</f>
        <v>0</v>
      </c>
      <c r="CB66">
        <f>SUMIF(DeadRaw!$B:$B,$B66,DeadRaw!CD:CD)</f>
        <v>0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0</v>
      </c>
      <c r="BY67">
        <f>SUMIF(DeadRaw!$B:$B,$B67,DeadRaw!CA:CA)</f>
        <v>0</v>
      </c>
      <c r="BZ67">
        <f>SUMIF(DeadRaw!$B:$B,$B67,DeadRaw!CB:CB)</f>
        <v>0</v>
      </c>
      <c r="CA67">
        <f>SUMIF(DeadRaw!$B:$B,$B67,DeadRaw!CC:CC)</f>
        <v>0</v>
      </c>
      <c r="CB67">
        <f>SUMIF(DeadRaw!$B:$B,$B67,DeadRaw!CD:CD)</f>
        <v>0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0</v>
      </c>
      <c r="BY68">
        <f>SUMIF(DeadRaw!$B:$B,$B68,DeadRaw!CA:CA)</f>
        <v>0</v>
      </c>
      <c r="BZ68">
        <f>SUMIF(DeadRaw!$B:$B,$B68,DeadRaw!CB:CB)</f>
        <v>0</v>
      </c>
      <c r="CA68">
        <f>SUMIF(DeadRaw!$B:$B,$B68,DeadRaw!CC:CC)</f>
        <v>0</v>
      </c>
      <c r="CB68">
        <f>SUMIF(DeadRaw!$B:$B,$B68,DeadRaw!CD:CD)</f>
        <v>0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0</v>
      </c>
      <c r="BY69">
        <f>SUMIF(DeadRaw!$B:$B,$B69,DeadRaw!CA:CA)</f>
        <v>0</v>
      </c>
      <c r="BZ69">
        <f>SUMIF(DeadRaw!$B:$B,$B69,DeadRaw!CB:CB)</f>
        <v>0</v>
      </c>
      <c r="CA69">
        <f>SUMIF(DeadRaw!$B:$B,$B69,DeadRaw!CC:CC)</f>
        <v>0</v>
      </c>
      <c r="CB69">
        <f>SUMIF(DeadRaw!$B:$B,$B69,DeadRaw!CD:CD)</f>
        <v>0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0</v>
      </c>
      <c r="BY70">
        <f>SUMIF(DeadRaw!$B:$B,$B70,DeadRaw!CA:CA)</f>
        <v>0</v>
      </c>
      <c r="BZ70">
        <f>SUMIF(DeadRaw!$B:$B,$B70,DeadRaw!CB:CB)</f>
        <v>0</v>
      </c>
      <c r="CA70">
        <f>SUMIF(DeadRaw!$B:$B,$B70,DeadRaw!CC:CC)</f>
        <v>0</v>
      </c>
      <c r="CB70">
        <f>SUMIF(DeadRaw!$B:$B,$B70,DeadRaw!CD:CD)</f>
        <v>0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0</v>
      </c>
      <c r="BY71">
        <f>SUMIF(DeadRaw!$B:$B,$B71,DeadRaw!CA:CA)</f>
        <v>0</v>
      </c>
      <c r="BZ71">
        <f>SUMIF(DeadRaw!$B:$B,$B71,DeadRaw!CB:CB)</f>
        <v>0</v>
      </c>
      <c r="CA71">
        <f>SUMIF(DeadRaw!$B:$B,$B71,DeadRaw!CC:CC)</f>
        <v>0</v>
      </c>
      <c r="CB71">
        <f>SUMIF(DeadRaw!$B:$B,$B71,DeadRaw!CD:CD)</f>
        <v>0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0</v>
      </c>
      <c r="BY72">
        <f>SUMIF(DeadRaw!$B:$B,$B72,DeadRaw!CA:CA)</f>
        <v>0</v>
      </c>
      <c r="BZ72">
        <f>SUMIF(DeadRaw!$B:$B,$B72,DeadRaw!CB:CB)</f>
        <v>0</v>
      </c>
      <c r="CA72">
        <f>SUMIF(DeadRaw!$B:$B,$B72,DeadRaw!CC:CC)</f>
        <v>0</v>
      </c>
      <c r="CB72">
        <f>SUMIF(DeadRaw!$B:$B,$B72,DeadRaw!CD:CD)</f>
        <v>0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0</v>
      </c>
      <c r="BY73">
        <f>SUMIF(DeadRaw!$B:$B,$B73,DeadRaw!CA:CA)</f>
        <v>0</v>
      </c>
      <c r="BZ73">
        <f>SUMIF(DeadRaw!$B:$B,$B73,DeadRaw!CB:CB)</f>
        <v>0</v>
      </c>
      <c r="CA73">
        <f>SUMIF(DeadRaw!$B:$B,$B73,DeadRaw!CC:CC)</f>
        <v>0</v>
      </c>
      <c r="CB73">
        <f>SUMIF(DeadRaw!$B:$B,$B73,DeadRaw!CD:CD)</f>
        <v>0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0</v>
      </c>
      <c r="BY74">
        <f>SUMIF(DeadRaw!$B:$B,$B74,DeadRaw!CA:CA)</f>
        <v>0</v>
      </c>
      <c r="BZ74">
        <f>SUMIF(DeadRaw!$B:$B,$B74,DeadRaw!CB:CB)</f>
        <v>0</v>
      </c>
      <c r="CA74">
        <f>SUMIF(DeadRaw!$B:$B,$B74,DeadRaw!CC:CC)</f>
        <v>0</v>
      </c>
      <c r="CB74">
        <f>SUMIF(DeadRaw!$B:$B,$B74,DeadRaw!CD:CD)</f>
        <v>0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0</v>
      </c>
      <c r="BY75">
        <f>SUMIF(DeadRaw!$B:$B,$B75,DeadRaw!CA:CA)</f>
        <v>0</v>
      </c>
      <c r="BZ75">
        <f>SUMIF(DeadRaw!$B:$B,$B75,DeadRaw!CB:CB)</f>
        <v>0</v>
      </c>
      <c r="CA75">
        <f>SUMIF(DeadRaw!$B:$B,$B75,DeadRaw!CC:CC)</f>
        <v>0</v>
      </c>
      <c r="CB75">
        <f>SUMIF(DeadRaw!$B:$B,$B75,DeadRaw!CD:CD)</f>
        <v>0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0</v>
      </c>
      <c r="BY76">
        <f>SUMIF(DeadRaw!$B:$B,$B76,DeadRaw!CA:CA)</f>
        <v>0</v>
      </c>
      <c r="BZ76">
        <f>SUMIF(DeadRaw!$B:$B,$B76,DeadRaw!CB:CB)</f>
        <v>0</v>
      </c>
      <c r="CA76">
        <f>SUMIF(DeadRaw!$B:$B,$B76,DeadRaw!CC:CC)</f>
        <v>0</v>
      </c>
      <c r="CB76">
        <f>SUMIF(DeadRaw!$B:$B,$B76,DeadRaw!CD:CD)</f>
        <v>0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0</v>
      </c>
      <c r="BY77">
        <f>SUMIF(DeadRaw!$B:$B,$B77,DeadRaw!CA:CA)</f>
        <v>0</v>
      </c>
      <c r="BZ77">
        <f>SUMIF(DeadRaw!$B:$B,$B77,DeadRaw!CB:CB)</f>
        <v>0</v>
      </c>
      <c r="CA77">
        <f>SUMIF(DeadRaw!$B:$B,$B77,DeadRaw!CC:CC)</f>
        <v>0</v>
      </c>
      <c r="CB77">
        <f>SUMIF(DeadRaw!$B:$B,$B77,DeadRaw!CD:CD)</f>
        <v>0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0</v>
      </c>
      <c r="BY78">
        <f>SUMIF(DeadRaw!$B:$B,$B78,DeadRaw!CA:CA)</f>
        <v>0</v>
      </c>
      <c r="BZ78">
        <f>SUMIF(DeadRaw!$B:$B,$B78,DeadRaw!CB:CB)</f>
        <v>0</v>
      </c>
      <c r="CA78">
        <f>SUMIF(DeadRaw!$B:$B,$B78,DeadRaw!CC:CC)</f>
        <v>0</v>
      </c>
      <c r="CB78">
        <f>SUMIF(DeadRaw!$B:$B,$B78,DeadRaw!CD:CD)</f>
        <v>0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0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0</v>
      </c>
      <c r="BY80">
        <f>SUMIF(DeadRaw!$B:$B,$B80,DeadRaw!CA:CA)</f>
        <v>0</v>
      </c>
      <c r="BZ80">
        <f>SUMIF(DeadRaw!$B:$B,$B80,DeadRaw!CB:CB)</f>
        <v>0</v>
      </c>
      <c r="CA80">
        <f>SUMIF(DeadRaw!$B:$B,$B80,DeadRaw!CC:CC)</f>
        <v>0</v>
      </c>
      <c r="CB80">
        <f>SUMIF(DeadRaw!$B:$B,$B80,DeadRaw!CD:CD)</f>
        <v>0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0</v>
      </c>
      <c r="BY81">
        <f>SUMIF(DeadRaw!$B:$B,$B81,DeadRaw!CA:CA)</f>
        <v>0</v>
      </c>
      <c r="BZ81">
        <f>SUMIF(DeadRaw!$B:$B,$B81,DeadRaw!CB:CB)</f>
        <v>0</v>
      </c>
      <c r="CA81">
        <f>SUMIF(DeadRaw!$B:$B,$B81,DeadRaw!CC:CC)</f>
        <v>0</v>
      </c>
      <c r="CB81">
        <f>SUMIF(DeadRaw!$B:$B,$B81,DeadRaw!CD:CD)</f>
        <v>0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0</v>
      </c>
      <c r="BY83">
        <f>SUMIF(DeadRaw!$B:$B,$B83,DeadRaw!CA:CA)</f>
        <v>0</v>
      </c>
      <c r="BZ83">
        <f>SUMIF(DeadRaw!$B:$B,$B83,DeadRaw!CB:CB)</f>
        <v>0</v>
      </c>
      <c r="CA83">
        <f>SUMIF(DeadRaw!$B:$B,$B83,DeadRaw!CC:CC)</f>
        <v>0</v>
      </c>
      <c r="CB83">
        <f>SUMIF(DeadRaw!$B:$B,$B83,DeadRaw!CD:CD)</f>
        <v>0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0</v>
      </c>
      <c r="BY84">
        <f>SUMIF(DeadRaw!$B:$B,$B84,DeadRaw!CA:CA)</f>
        <v>0</v>
      </c>
      <c r="BZ84">
        <f>SUMIF(DeadRaw!$B:$B,$B84,DeadRaw!CB:CB)</f>
        <v>0</v>
      </c>
      <c r="CA84">
        <f>SUMIF(DeadRaw!$B:$B,$B84,DeadRaw!CC:CC)</f>
        <v>0</v>
      </c>
      <c r="CB84">
        <f>SUMIF(DeadRaw!$B:$B,$B84,DeadRaw!CD:CD)</f>
        <v>0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0</v>
      </c>
      <c r="BY85">
        <f>SUMIF(DeadRaw!$B:$B,$B85,DeadRaw!CA:CA)</f>
        <v>0</v>
      </c>
      <c r="BZ85">
        <f>SUMIF(DeadRaw!$B:$B,$B85,DeadRaw!CB:CB)</f>
        <v>0</v>
      </c>
      <c r="CA85">
        <f>SUMIF(DeadRaw!$B:$B,$B85,DeadRaw!CC:CC)</f>
        <v>0</v>
      </c>
      <c r="CB85">
        <f>SUMIF(DeadRaw!$B:$B,$B85,DeadRaw!CD:CD)</f>
        <v>0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0</v>
      </c>
      <c r="BY86">
        <f>SUMIF(DeadRaw!$B:$B,$B86,DeadRaw!CA:CA)</f>
        <v>0</v>
      </c>
      <c r="BZ86">
        <f>SUMIF(DeadRaw!$B:$B,$B86,DeadRaw!CB:CB)</f>
        <v>0</v>
      </c>
      <c r="CA86">
        <f>SUMIF(DeadRaw!$B:$B,$B86,DeadRaw!CC:CC)</f>
        <v>0</v>
      </c>
      <c r="CB86">
        <f>SUMIF(DeadRaw!$B:$B,$B86,DeadRaw!CD:CD)</f>
        <v>0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0</v>
      </c>
      <c r="BY87">
        <f>SUMIF(DeadRaw!$B:$B,$B87,DeadRaw!CA:CA)</f>
        <v>0</v>
      </c>
      <c r="BZ87">
        <f>SUMIF(DeadRaw!$B:$B,$B87,DeadRaw!CB:CB)</f>
        <v>0</v>
      </c>
      <c r="CA87">
        <f>SUMIF(DeadRaw!$B:$B,$B87,DeadRaw!CC:CC)</f>
        <v>0</v>
      </c>
      <c r="CB87">
        <f>SUMIF(DeadRaw!$B:$B,$B87,DeadRaw!CD:CD)</f>
        <v>0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0</v>
      </c>
      <c r="BY88">
        <f>SUMIF(DeadRaw!$B:$B,$B88,DeadRaw!CA:CA)</f>
        <v>0</v>
      </c>
      <c r="BZ88">
        <f>SUMIF(DeadRaw!$B:$B,$B88,DeadRaw!CB:CB)</f>
        <v>0</v>
      </c>
      <c r="CA88">
        <f>SUMIF(DeadRaw!$B:$B,$B88,DeadRaw!CC:CC)</f>
        <v>0</v>
      </c>
      <c r="CB88">
        <f>SUMIF(DeadRaw!$B:$B,$B88,DeadRaw!CD:CD)</f>
        <v>0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0</v>
      </c>
      <c r="BY89">
        <f>SUMIF(DeadRaw!$B:$B,$B89,DeadRaw!CA:CA)</f>
        <v>0</v>
      </c>
      <c r="BZ89">
        <f>SUMIF(DeadRaw!$B:$B,$B89,DeadRaw!CB:CB)</f>
        <v>0</v>
      </c>
      <c r="CA89">
        <f>SUMIF(DeadRaw!$B:$B,$B89,DeadRaw!CC:CC)</f>
        <v>0</v>
      </c>
      <c r="CB89">
        <f>SUMIF(DeadRaw!$B:$B,$B89,DeadRaw!CD:CD)</f>
        <v>0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0</v>
      </c>
      <c r="BY90">
        <f>SUMIF(DeadRaw!$B:$B,$B90,DeadRaw!CA:CA)</f>
        <v>0</v>
      </c>
      <c r="BZ90">
        <f>SUMIF(DeadRaw!$B:$B,$B90,DeadRaw!CB:CB)</f>
        <v>0</v>
      </c>
      <c r="CA90">
        <f>SUMIF(DeadRaw!$B:$B,$B90,DeadRaw!CC:CC)</f>
        <v>0</v>
      </c>
      <c r="CB90">
        <f>SUMIF(DeadRaw!$B:$B,$B90,DeadRaw!CD:CD)</f>
        <v>0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0</v>
      </c>
      <c r="BY92">
        <f>SUMIF(DeadRaw!$B:$B,$B92,DeadRaw!CA:CA)</f>
        <v>0</v>
      </c>
      <c r="BZ92">
        <f>SUMIF(DeadRaw!$B:$B,$B92,DeadRaw!CB:CB)</f>
        <v>0</v>
      </c>
      <c r="CA92">
        <f>SUMIF(DeadRaw!$B:$B,$B92,DeadRaw!CC:CC)</f>
        <v>0</v>
      </c>
      <c r="CB92">
        <f>SUMIF(DeadRaw!$B:$B,$B92,DeadRaw!CD:CD)</f>
        <v>0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0</v>
      </c>
      <c r="BY94">
        <f>SUMIF(DeadRaw!$B:$B,$B94,DeadRaw!CA:CA)</f>
        <v>0</v>
      </c>
      <c r="BZ94">
        <f>SUMIF(DeadRaw!$B:$B,$B94,DeadRaw!CB:CB)</f>
        <v>0</v>
      </c>
      <c r="CA94">
        <f>SUMIF(DeadRaw!$B:$B,$B94,DeadRaw!CC:CC)</f>
        <v>0</v>
      </c>
      <c r="CB94">
        <f>SUMIF(DeadRaw!$B:$B,$B94,DeadRaw!CD:CD)</f>
        <v>0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0</v>
      </c>
      <c r="BY96">
        <f>SUMIF(DeadRaw!$B:$B,$B96,DeadRaw!CA:CA)</f>
        <v>0</v>
      </c>
      <c r="BZ96">
        <f>SUMIF(DeadRaw!$B:$B,$B96,DeadRaw!CB:CB)</f>
        <v>0</v>
      </c>
      <c r="CA96">
        <f>SUMIF(DeadRaw!$B:$B,$B96,DeadRaw!CC:CC)</f>
        <v>0</v>
      </c>
      <c r="CB96">
        <f>SUMIF(DeadRaw!$B:$B,$B96,DeadRaw!CD:CD)</f>
        <v>0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0</v>
      </c>
      <c r="BY97">
        <f>SUMIF(DeadRaw!$B:$B,$B97,DeadRaw!CA:CA)</f>
        <v>0</v>
      </c>
      <c r="BZ97">
        <f>SUMIF(DeadRaw!$B:$B,$B97,DeadRaw!CB:CB)</f>
        <v>0</v>
      </c>
      <c r="CA97">
        <f>SUMIF(DeadRaw!$B:$B,$B97,DeadRaw!CC:CC)</f>
        <v>0</v>
      </c>
      <c r="CB97">
        <f>SUMIF(DeadRaw!$B:$B,$B97,DeadRaw!CD:CD)</f>
        <v>0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0</v>
      </c>
      <c r="BY98">
        <f>SUMIF(DeadRaw!$B:$B,$B98,DeadRaw!CA:CA)</f>
        <v>0</v>
      </c>
      <c r="BZ98">
        <f>SUMIF(DeadRaw!$B:$B,$B98,DeadRaw!CB:CB)</f>
        <v>0</v>
      </c>
      <c r="CA98">
        <f>SUMIF(DeadRaw!$B:$B,$B98,DeadRaw!CC:CC)</f>
        <v>0</v>
      </c>
      <c r="CB98">
        <f>SUMIF(DeadRaw!$B:$B,$B98,DeadRaw!CD:CD)</f>
        <v>0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0</v>
      </c>
      <c r="BY99">
        <f>SUMIF(DeadRaw!$B:$B,$B99,DeadRaw!CA:CA)</f>
        <v>0</v>
      </c>
      <c r="BZ99">
        <f>SUMIF(DeadRaw!$B:$B,$B99,DeadRaw!CB:CB)</f>
        <v>0</v>
      </c>
      <c r="CA99">
        <f>SUMIF(DeadRaw!$B:$B,$B99,DeadRaw!CC:CC)</f>
        <v>0</v>
      </c>
      <c r="CB99">
        <f>SUMIF(DeadRaw!$B:$B,$B99,DeadRaw!CD:CD)</f>
        <v>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0</v>
      </c>
      <c r="BY100">
        <f>SUMIF(DeadRaw!$B:$B,$B100,DeadRaw!CA:CA)</f>
        <v>0</v>
      </c>
      <c r="BZ100">
        <f>SUMIF(DeadRaw!$B:$B,$B100,DeadRaw!CB:CB)</f>
        <v>0</v>
      </c>
      <c r="CA100">
        <f>SUMIF(DeadRaw!$B:$B,$B100,DeadRaw!CC:CC)</f>
        <v>0</v>
      </c>
      <c r="CB100">
        <f>SUMIF(DeadRaw!$B:$B,$B100,DeadRaw!CD:CD)</f>
        <v>0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0</v>
      </c>
      <c r="BY102">
        <f>SUMIF(DeadRaw!$B:$B,$B102,DeadRaw!CA:CA)</f>
        <v>0</v>
      </c>
      <c r="BZ102">
        <f>SUMIF(DeadRaw!$B:$B,$B102,DeadRaw!CB:CB)</f>
        <v>0</v>
      </c>
      <c r="CA102">
        <f>SUMIF(DeadRaw!$B:$B,$B102,DeadRaw!CC:CC)</f>
        <v>0</v>
      </c>
      <c r="CB102">
        <f>SUMIF(DeadRaw!$B:$B,$B102,DeadRaw!CD:CD)</f>
        <v>0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0</v>
      </c>
      <c r="BY104">
        <f>SUMIF(DeadRaw!$B:$B,$B104,DeadRaw!CA:CA)</f>
        <v>0</v>
      </c>
      <c r="BZ104">
        <f>SUMIF(DeadRaw!$B:$B,$B104,DeadRaw!CB:CB)</f>
        <v>0</v>
      </c>
      <c r="CA104">
        <f>SUMIF(DeadRaw!$B:$B,$B104,DeadRaw!CC:CC)</f>
        <v>0</v>
      </c>
      <c r="CB104">
        <f>SUMIF(DeadRaw!$B:$B,$B104,DeadRaw!CD:CD)</f>
        <v>0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0</v>
      </c>
      <c r="BY105">
        <f>SUMIF(DeadRaw!$B:$B,$B105,DeadRaw!CA:CA)</f>
        <v>0</v>
      </c>
      <c r="BZ105">
        <f>SUMIF(DeadRaw!$B:$B,$B105,DeadRaw!CB:CB)</f>
        <v>0</v>
      </c>
      <c r="CA105">
        <f>SUMIF(DeadRaw!$B:$B,$B105,DeadRaw!CC:CC)</f>
        <v>0</v>
      </c>
      <c r="CB105">
        <f>SUMIF(DeadRaw!$B:$B,$B105,DeadRaw!CD:CD)</f>
        <v>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0</v>
      </c>
      <c r="BY106">
        <f>SUMIF(DeadRaw!$B:$B,$B106,DeadRaw!CA:CA)</f>
        <v>0</v>
      </c>
      <c r="BZ106">
        <f>SUMIF(DeadRaw!$B:$B,$B106,DeadRaw!CB:CB)</f>
        <v>0</v>
      </c>
      <c r="CA106">
        <f>SUMIF(DeadRaw!$B:$B,$B106,DeadRaw!CC:CC)</f>
        <v>0</v>
      </c>
      <c r="CB106">
        <f>SUMIF(DeadRaw!$B:$B,$B106,DeadRaw!CD:CD)</f>
        <v>0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0</v>
      </c>
      <c r="BY107">
        <f>SUMIF(DeadRaw!$B:$B,$B107,DeadRaw!CA:CA)</f>
        <v>0</v>
      </c>
      <c r="BZ107">
        <f>SUMIF(DeadRaw!$B:$B,$B107,DeadRaw!CB:CB)</f>
        <v>0</v>
      </c>
      <c r="CA107">
        <f>SUMIF(DeadRaw!$B:$B,$B107,DeadRaw!CC:CC)</f>
        <v>0</v>
      </c>
      <c r="CB107">
        <f>SUMIF(DeadRaw!$B:$B,$B107,DeadRaw!CD:CD)</f>
        <v>0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0</v>
      </c>
      <c r="BY108">
        <f>SUMIF(DeadRaw!$B:$B,$B108,DeadRaw!CA:CA)</f>
        <v>0</v>
      </c>
      <c r="BZ108">
        <f>SUMIF(DeadRaw!$B:$B,$B108,DeadRaw!CB:CB)</f>
        <v>0</v>
      </c>
      <c r="CA108">
        <f>SUMIF(DeadRaw!$B:$B,$B108,DeadRaw!CC:CC)</f>
        <v>0</v>
      </c>
      <c r="CB108">
        <f>SUMIF(DeadRaw!$B:$B,$B108,DeadRaw!CD:CD)</f>
        <v>0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0</v>
      </c>
      <c r="BY109">
        <f>SUMIF(DeadRaw!$B:$B,$B109,DeadRaw!CA:CA)</f>
        <v>0</v>
      </c>
      <c r="BZ109">
        <f>SUMIF(DeadRaw!$B:$B,$B109,DeadRaw!CB:CB)</f>
        <v>0</v>
      </c>
      <c r="CA109">
        <f>SUMIF(DeadRaw!$B:$B,$B109,DeadRaw!CC:CC)</f>
        <v>0</v>
      </c>
      <c r="CB109">
        <f>SUMIF(DeadRaw!$B:$B,$B109,DeadRaw!CD:CD)</f>
        <v>0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0</v>
      </c>
      <c r="BY110">
        <f>SUMIF(DeadRaw!$B:$B,$B110,DeadRaw!CA:CA)</f>
        <v>0</v>
      </c>
      <c r="BZ110">
        <f>SUMIF(DeadRaw!$B:$B,$B110,DeadRaw!CB:CB)</f>
        <v>0</v>
      </c>
      <c r="CA110">
        <f>SUMIF(DeadRaw!$B:$B,$B110,DeadRaw!CC:CC)</f>
        <v>0</v>
      </c>
      <c r="CB110">
        <f>SUMIF(DeadRaw!$B:$B,$B110,DeadRaw!CD:CD)</f>
        <v>0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0</v>
      </c>
      <c r="CB111">
        <f>SUMIF(DeadRaw!$B:$B,$B111,DeadRaw!CD:CD)</f>
        <v>0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0</v>
      </c>
      <c r="BY114">
        <f>SUMIF(DeadRaw!$B:$B,$B114,DeadRaw!CA:CA)</f>
        <v>0</v>
      </c>
      <c r="BZ114">
        <f>SUMIF(DeadRaw!$B:$B,$B114,DeadRaw!CB:CB)</f>
        <v>0</v>
      </c>
      <c r="CA114">
        <f>SUMIF(DeadRaw!$B:$B,$B114,DeadRaw!CC:CC)</f>
        <v>0</v>
      </c>
      <c r="CB114">
        <f>SUMIF(DeadRaw!$B:$B,$B114,DeadRaw!CD:CD)</f>
        <v>0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0</v>
      </c>
      <c r="BZ115">
        <f>SUMIF(DeadRaw!$B:$B,$B115,DeadRaw!CB:CB)</f>
        <v>0</v>
      </c>
      <c r="CA115">
        <f>SUMIF(DeadRaw!$B:$B,$B115,DeadRaw!CC:CC)</f>
        <v>0</v>
      </c>
      <c r="CB115">
        <f>SUMIF(DeadRaw!$B:$B,$B115,DeadRaw!CD:CD)</f>
        <v>0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0</v>
      </c>
      <c r="BY118">
        <f>SUMIF(DeadRaw!$B:$B,$B118,DeadRaw!CA:CA)</f>
        <v>0</v>
      </c>
      <c r="BZ118">
        <f>SUMIF(DeadRaw!$B:$B,$B118,DeadRaw!CB:CB)</f>
        <v>0</v>
      </c>
      <c r="CA118">
        <f>SUMIF(DeadRaw!$B:$B,$B118,DeadRaw!CC:CC)</f>
        <v>0</v>
      </c>
      <c r="CB118">
        <f>SUMIF(DeadRaw!$B:$B,$B118,DeadRaw!CD:CD)</f>
        <v>0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0</v>
      </c>
      <c r="BY120">
        <f>SUMIF(DeadRaw!$B:$B,$B120,DeadRaw!CA:CA)</f>
        <v>0</v>
      </c>
      <c r="BZ120">
        <f>SUMIF(DeadRaw!$B:$B,$B120,DeadRaw!CB:CB)</f>
        <v>0</v>
      </c>
      <c r="CA120">
        <f>SUMIF(DeadRaw!$B:$B,$B120,DeadRaw!CC:CC)</f>
        <v>0</v>
      </c>
      <c r="CB120">
        <f>SUMIF(DeadRaw!$B:$B,$B120,DeadRaw!CD:CD)</f>
        <v>0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0</v>
      </c>
      <c r="BY121">
        <f>SUMIF(DeadRaw!$B:$B,$B121,DeadRaw!CA:CA)</f>
        <v>0</v>
      </c>
      <c r="BZ121">
        <f>SUMIF(DeadRaw!$B:$B,$B121,DeadRaw!CB:CB)</f>
        <v>0</v>
      </c>
      <c r="CA121">
        <f>SUMIF(DeadRaw!$B:$B,$B121,DeadRaw!CC:CC)</f>
        <v>0</v>
      </c>
      <c r="CB121">
        <f>SUMIF(DeadRaw!$B:$B,$B121,DeadRaw!CD:CD)</f>
        <v>0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0</v>
      </c>
      <c r="BY122">
        <f>SUMIF(DeadRaw!$B:$B,$B122,DeadRaw!CA:CA)</f>
        <v>0</v>
      </c>
      <c r="BZ122">
        <f>SUMIF(DeadRaw!$B:$B,$B122,DeadRaw!CB:CB)</f>
        <v>0</v>
      </c>
      <c r="CA122">
        <f>SUMIF(DeadRaw!$B:$B,$B122,DeadRaw!CC:CC)</f>
        <v>0</v>
      </c>
      <c r="CB122">
        <f>SUMIF(DeadRaw!$B:$B,$B122,DeadRaw!CD:CD)</f>
        <v>0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0</v>
      </c>
      <c r="BY125">
        <f>SUMIF(DeadRaw!$B:$B,$B125,DeadRaw!CA:CA)</f>
        <v>0</v>
      </c>
      <c r="BZ125">
        <f>SUMIF(DeadRaw!$B:$B,$B125,DeadRaw!CB:CB)</f>
        <v>0</v>
      </c>
      <c r="CA125">
        <f>SUMIF(DeadRaw!$B:$B,$B125,DeadRaw!CC:CC)</f>
        <v>0</v>
      </c>
      <c r="CB125">
        <f>SUMIF(DeadRaw!$B:$B,$B125,DeadRaw!CD:CD)</f>
        <v>0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0</v>
      </c>
      <c r="BY126">
        <f>SUMIF(DeadRaw!$B:$B,$B126,DeadRaw!CA:CA)</f>
        <v>0</v>
      </c>
      <c r="BZ126">
        <f>SUMIF(DeadRaw!$B:$B,$B126,DeadRaw!CB:CB)</f>
        <v>0</v>
      </c>
      <c r="CA126">
        <f>SUMIF(DeadRaw!$B:$B,$B126,DeadRaw!CC:CC)</f>
        <v>0</v>
      </c>
      <c r="CB126">
        <f>SUMIF(DeadRaw!$B:$B,$B126,DeadRaw!CD:CD)</f>
        <v>0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7"/>
      <c r="B127" s="2" t="s">
        <v>604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0</v>
      </c>
      <c r="BY127">
        <f t="shared" si="3"/>
        <v>0</v>
      </c>
      <c r="BZ127">
        <f t="shared" si="3"/>
        <v>0</v>
      </c>
      <c r="CA127">
        <f t="shared" si="3"/>
        <v>0</v>
      </c>
      <c r="CB127">
        <f t="shared" si="3"/>
        <v>0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7"/>
      <c r="B128" s="2" t="s">
        <v>606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0</v>
      </c>
      <c r="BY128">
        <f t="shared" si="10"/>
        <v>0</v>
      </c>
      <c r="BZ128">
        <f t="shared" si="10"/>
        <v>0</v>
      </c>
      <c r="CA128">
        <f t="shared" ref="BV128:DD133" si="11">SUMIFS(CA$2:CA$126,$A$2:$A$126,$B128)</f>
        <v>0</v>
      </c>
      <c r="CB128">
        <f t="shared" si="11"/>
        <v>0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7"/>
      <c r="B129" s="2" t="s">
        <v>607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0</v>
      </c>
      <c r="BY129">
        <f t="shared" si="11"/>
        <v>0</v>
      </c>
      <c r="BZ129">
        <f t="shared" si="11"/>
        <v>0</v>
      </c>
      <c r="CA129">
        <f t="shared" si="11"/>
        <v>0</v>
      </c>
      <c r="CB129">
        <f t="shared" si="11"/>
        <v>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7"/>
      <c r="B130" s="2" t="s">
        <v>609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0</v>
      </c>
      <c r="BY130">
        <f t="shared" si="11"/>
        <v>0</v>
      </c>
      <c r="BZ130">
        <f t="shared" si="11"/>
        <v>0</v>
      </c>
      <c r="CA130">
        <f t="shared" si="11"/>
        <v>0</v>
      </c>
      <c r="CB130">
        <f t="shared" si="11"/>
        <v>0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7"/>
      <c r="B131" s="2" t="s">
        <v>610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0</v>
      </c>
      <c r="BY131">
        <f t="shared" si="11"/>
        <v>0</v>
      </c>
      <c r="BZ131">
        <f t="shared" si="11"/>
        <v>0</v>
      </c>
      <c r="CA131">
        <f t="shared" si="11"/>
        <v>0</v>
      </c>
      <c r="CB131">
        <f t="shared" si="11"/>
        <v>0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7"/>
      <c r="B132" s="2" t="s">
        <v>611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0</v>
      </c>
      <c r="BY132">
        <f t="shared" si="11"/>
        <v>0</v>
      </c>
      <c r="BZ132">
        <f t="shared" si="11"/>
        <v>0</v>
      </c>
      <c r="CA132">
        <f t="shared" si="11"/>
        <v>0</v>
      </c>
      <c r="CB132">
        <f t="shared" si="11"/>
        <v>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7"/>
      <c r="B133" s="2" t="s">
        <v>608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0</v>
      </c>
      <c r="BY133">
        <f t="shared" si="11"/>
        <v>0</v>
      </c>
      <c r="BZ133">
        <f t="shared" si="11"/>
        <v>0</v>
      </c>
      <c r="CA133">
        <f t="shared" si="11"/>
        <v>0</v>
      </c>
      <c r="CB133">
        <f t="shared" si="11"/>
        <v>0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573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574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575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576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577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578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Y259"/>
  <sheetViews>
    <sheetView workbookViewId="0">
      <selection sqref="A1:CA1000"/>
    </sheetView>
  </sheetViews>
  <sheetFormatPr defaultRowHeight="14.4" x14ac:dyDescent="0.3"/>
  <sheetData>
    <row r="1" spans="1:77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</row>
    <row r="2" spans="1:7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</row>
    <row r="3" spans="1:7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</row>
    <row r="4" spans="1:7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</row>
    <row r="5" spans="1:7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</row>
    <row r="6" spans="1:77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</row>
    <row r="7" spans="1:7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</row>
    <row r="8" spans="1:7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</row>
    <row r="9" spans="1:7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</row>
    <row r="10" spans="1:7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</row>
    <row r="11" spans="1:7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</row>
    <row r="12" spans="1:7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</row>
    <row r="13" spans="1:7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</row>
    <row r="14" spans="1:7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</row>
    <row r="15" spans="1:7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</row>
    <row r="16" spans="1:7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</row>
    <row r="17" spans="1:7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</row>
    <row r="18" spans="1:7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</row>
    <row r="19" spans="1:7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</row>
    <row r="20" spans="1:77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</row>
    <row r="21" spans="1:7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</row>
    <row r="22" spans="1:7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</row>
    <row r="23" spans="1:77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</row>
    <row r="24" spans="1:7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</row>
    <row r="25" spans="1:7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</row>
    <row r="26" spans="1:77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</row>
    <row r="27" spans="1:7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</row>
    <row r="28" spans="1:7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</row>
    <row r="29" spans="1:7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</row>
    <row r="30" spans="1:7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</row>
    <row r="31" spans="1:7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</row>
    <row r="32" spans="1:7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</row>
    <row r="33" spans="1:7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</row>
    <row r="34" spans="1:77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</row>
    <row r="35" spans="1:7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</row>
    <row r="36" spans="1:7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</row>
    <row r="37" spans="1:7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</row>
    <row r="38" spans="1:7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</row>
    <row r="39" spans="1:7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</row>
    <row r="40" spans="1:7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</row>
    <row r="41" spans="1:7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</row>
    <row r="42" spans="1:77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</row>
    <row r="43" spans="1:77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</row>
    <row r="44" spans="1:7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</row>
    <row r="45" spans="1:77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</row>
    <row r="46" spans="1:7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</row>
    <row r="47" spans="1:7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</row>
    <row r="48" spans="1:77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</row>
    <row r="49" spans="1:77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</row>
    <row r="50" spans="1:7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</row>
    <row r="51" spans="1:77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</row>
    <row r="52" spans="1:7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</row>
    <row r="53" spans="1:77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</row>
    <row r="54" spans="1:7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</row>
    <row r="55" spans="1:7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</row>
    <row r="56" spans="1:7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</row>
    <row r="57" spans="1:77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</row>
    <row r="58" spans="1:77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</row>
    <row r="59" spans="1:77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</row>
    <row r="60" spans="1:77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</row>
    <row r="61" spans="1:77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</row>
    <row r="62" spans="1:77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</row>
    <row r="63" spans="1:7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</row>
    <row r="64" spans="1:77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</row>
    <row r="65" spans="1:77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</row>
    <row r="66" spans="1:7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</row>
    <row r="67" spans="1:77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</row>
    <row r="68" spans="1:77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</row>
    <row r="69" spans="1:7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</row>
    <row r="70" spans="1:77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</row>
    <row r="71" spans="1:77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</row>
    <row r="72" spans="1:7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</row>
    <row r="73" spans="1:7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</row>
    <row r="74" spans="1:7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</row>
    <row r="75" spans="1:77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</row>
    <row r="76" spans="1:77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</row>
    <row r="77" spans="1:77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</row>
    <row r="78" spans="1:77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</row>
    <row r="79" spans="1:7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</row>
    <row r="80" spans="1:7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</row>
    <row r="81" spans="1:7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</row>
    <row r="82" spans="1:77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</row>
    <row r="83" spans="1:77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</row>
    <row r="84" spans="1:7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</row>
    <row r="85" spans="1:77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</row>
    <row r="86" spans="1:7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</row>
    <row r="87" spans="1:7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</row>
    <row r="88" spans="1:7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</row>
    <row r="89" spans="1:7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</row>
    <row r="90" spans="1:7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</row>
    <row r="91" spans="1:7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</row>
    <row r="92" spans="1:7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</row>
    <row r="93" spans="1:77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</row>
    <row r="94" spans="1:7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</row>
    <row r="95" spans="1:77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</row>
    <row r="96" spans="1:7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</row>
    <row r="97" spans="1:77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</row>
    <row r="98" spans="1:7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</row>
    <row r="99" spans="1:7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</row>
    <row r="100" spans="1:7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</row>
    <row r="101" spans="1:77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</row>
    <row r="102" spans="1:77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</row>
    <row r="103" spans="1:77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</row>
    <row r="104" spans="1:7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</row>
    <row r="105" spans="1:77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</row>
    <row r="106" spans="1:7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</row>
    <row r="107" spans="1:77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</row>
    <row r="108" spans="1:7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</row>
    <row r="109" spans="1:7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</row>
    <row r="110" spans="1:7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</row>
    <row r="111" spans="1:7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</row>
    <row r="112" spans="1:77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</row>
    <row r="113" spans="1:77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</row>
    <row r="114" spans="1:7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</row>
    <row r="115" spans="1:7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</row>
    <row r="116" spans="1:7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</row>
    <row r="117" spans="1:7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</row>
    <row r="118" spans="1:7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</row>
    <row r="119" spans="1:77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</row>
    <row r="120" spans="1:77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</row>
    <row r="121" spans="1:7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</row>
    <row r="122" spans="1:7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</row>
    <row r="123" spans="1:77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</row>
    <row r="124" spans="1:7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</row>
    <row r="125" spans="1:77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</row>
    <row r="126" spans="1:7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</row>
    <row r="127" spans="1:7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</row>
    <row r="128" spans="1:77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</row>
    <row r="129" spans="2:7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</row>
    <row r="130" spans="2:7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</row>
    <row r="131" spans="2:7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</row>
    <row r="132" spans="2:7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</row>
    <row r="133" spans="2:7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</row>
    <row r="134" spans="2:7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</row>
    <row r="135" spans="2:7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</row>
    <row r="136" spans="2:7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</row>
    <row r="137" spans="2:7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</row>
    <row r="138" spans="2:7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</row>
    <row r="139" spans="2:7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</row>
    <row r="140" spans="2:7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</row>
    <row r="141" spans="2:77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</row>
    <row r="142" spans="2:7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</row>
    <row r="143" spans="2:7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</row>
    <row r="144" spans="2:7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</row>
    <row r="145" spans="2:77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</row>
    <row r="146" spans="2:7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</row>
    <row r="147" spans="2:77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</row>
    <row r="148" spans="2:7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</row>
    <row r="149" spans="2:7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</row>
    <row r="150" spans="2:77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</row>
    <row r="151" spans="2:7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</row>
    <row r="152" spans="2:7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</row>
    <row r="153" spans="2:7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</row>
    <row r="154" spans="2:77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</row>
    <row r="155" spans="2:7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</row>
    <row r="156" spans="2:7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</row>
    <row r="157" spans="2:7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</row>
    <row r="158" spans="2:77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</row>
    <row r="159" spans="2:77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</row>
    <row r="160" spans="2:7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</row>
    <row r="161" spans="1:7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</row>
    <row r="162" spans="1:7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</row>
    <row r="163" spans="1:7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</row>
    <row r="164" spans="1:77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</row>
    <row r="165" spans="1:7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</row>
    <row r="166" spans="1:77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</row>
    <row r="167" spans="1:7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</row>
    <row r="168" spans="1:7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</row>
    <row r="169" spans="1:77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</row>
    <row r="170" spans="1:77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</row>
    <row r="171" spans="1:7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</row>
    <row r="172" spans="1:7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</row>
    <row r="173" spans="1:77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</row>
    <row r="174" spans="1:77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</row>
    <row r="175" spans="1:7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</row>
    <row r="176" spans="1:7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</row>
    <row r="177" spans="2:7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</row>
    <row r="178" spans="2:7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</row>
    <row r="179" spans="2:7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</row>
    <row r="180" spans="2:7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</row>
    <row r="181" spans="2:77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</row>
    <row r="182" spans="2:7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</row>
    <row r="183" spans="2:7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</row>
    <row r="184" spans="2:7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</row>
    <row r="185" spans="2:7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</row>
    <row r="186" spans="2:7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</row>
    <row r="187" spans="2:7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</row>
    <row r="188" spans="2:7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</row>
    <row r="189" spans="2:7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</row>
    <row r="190" spans="2:77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</row>
    <row r="191" spans="2:77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</row>
    <row r="192" spans="2:77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</row>
    <row r="193" spans="2:7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</row>
    <row r="194" spans="2:7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</row>
    <row r="195" spans="2:7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</row>
    <row r="196" spans="2:7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</row>
    <row r="197" spans="2:77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</row>
    <row r="198" spans="2:7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</row>
    <row r="199" spans="2:7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</row>
    <row r="200" spans="2:7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</row>
    <row r="201" spans="2:77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</row>
    <row r="202" spans="2:7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</row>
    <row r="203" spans="2:7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</row>
    <row r="204" spans="2:7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</row>
    <row r="205" spans="2:7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</row>
    <row r="206" spans="2:77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</row>
    <row r="207" spans="2:7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</row>
    <row r="208" spans="2:7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</row>
    <row r="209" spans="1:77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</row>
    <row r="210" spans="1:77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</row>
    <row r="211" spans="1:77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</row>
    <row r="212" spans="1:7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</row>
    <row r="213" spans="1:77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</row>
    <row r="214" spans="1:7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</row>
    <row r="215" spans="1:7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</row>
    <row r="216" spans="1:77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</row>
    <row r="217" spans="1:7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</row>
    <row r="218" spans="1:7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</row>
    <row r="219" spans="1:77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</row>
    <row r="220" spans="1:7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</row>
    <row r="221" spans="1:7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</row>
    <row r="222" spans="1:7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</row>
    <row r="223" spans="1:77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</row>
    <row r="224" spans="1:77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</row>
    <row r="225" spans="1:7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</row>
    <row r="226" spans="1:77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</row>
    <row r="227" spans="1:77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</row>
    <row r="228" spans="1:77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</row>
    <row r="229" spans="1:77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</row>
    <row r="230" spans="1:77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</row>
    <row r="231" spans="1:77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</row>
    <row r="232" spans="1:77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</row>
    <row r="233" spans="1:7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</row>
    <row r="234" spans="1:77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</row>
    <row r="235" spans="1:77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</row>
    <row r="236" spans="1:77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</row>
    <row r="237" spans="1:77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</row>
    <row r="238" spans="1:77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</row>
    <row r="239" spans="1:77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</row>
    <row r="240" spans="1:77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</row>
    <row r="241" spans="1:77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</row>
    <row r="242" spans="1:77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</row>
    <row r="243" spans="1:77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</row>
    <row r="244" spans="1:77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</row>
    <row r="245" spans="1:77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</row>
    <row r="246" spans="1:77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</row>
    <row r="247" spans="1:77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</row>
    <row r="248" spans="1:77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</row>
    <row r="249" spans="1:77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</row>
    <row r="250" spans="1:77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</row>
    <row r="251" spans="1:77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</row>
    <row r="252" spans="1:77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</row>
    <row r="253" spans="1:77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</row>
    <row r="254" spans="1:77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</row>
    <row r="255" spans="1:77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</row>
    <row r="256" spans="1:77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</row>
    <row r="257" spans="1:77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</row>
    <row r="258" spans="1:77" x14ac:dyDescent="0.3">
      <c r="A258" t="s">
        <v>624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</row>
    <row r="259" spans="1:77" x14ac:dyDescent="0.3">
      <c r="B259" t="s">
        <v>625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Y259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7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</row>
    <row r="2" spans="1:77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</row>
    <row r="3" spans="1:77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</row>
    <row r="4" spans="1:77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</row>
    <row r="5" spans="1:77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</row>
    <row r="6" spans="1:77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</row>
    <row r="7" spans="1:77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</row>
    <row r="8" spans="1:77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</row>
    <row r="9" spans="1:77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</row>
    <row r="10" spans="1:77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</row>
    <row r="11" spans="1:77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</row>
    <row r="12" spans="1:77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</row>
    <row r="13" spans="1:77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</row>
    <row r="14" spans="1:77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</row>
    <row r="15" spans="1:77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</row>
    <row r="16" spans="1:77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</row>
    <row r="17" spans="1:77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</row>
    <row r="18" spans="1:77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</row>
    <row r="19" spans="1:77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</row>
    <row r="20" spans="1:77" x14ac:dyDescent="0.3">
      <c r="B20" t="s">
        <v>579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</row>
    <row r="21" spans="1:77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</row>
    <row r="22" spans="1:77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</row>
    <row r="23" spans="1:77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</row>
    <row r="24" spans="1:77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</row>
    <row r="25" spans="1:77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</row>
    <row r="26" spans="1:77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</row>
    <row r="27" spans="1:77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</row>
    <row r="28" spans="1:77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</row>
    <row r="29" spans="1:77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</row>
    <row r="30" spans="1:77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</row>
    <row r="31" spans="1:77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</row>
    <row r="32" spans="1:77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</row>
    <row r="33" spans="1:77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</row>
    <row r="34" spans="1:77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</row>
    <row r="35" spans="1:77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</row>
    <row r="36" spans="1:77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</row>
    <row r="37" spans="1:77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</row>
    <row r="38" spans="1:77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</row>
    <row r="39" spans="1:77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</row>
    <row r="40" spans="1:77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</row>
    <row r="41" spans="1:77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</row>
    <row r="42" spans="1:77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</row>
    <row r="43" spans="1:77" x14ac:dyDescent="0.3">
      <c r="A43" t="s">
        <v>466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</row>
    <row r="44" spans="1:77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</row>
    <row r="45" spans="1:77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</row>
    <row r="46" spans="1:77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</row>
    <row r="47" spans="1:77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</row>
    <row r="48" spans="1:77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</row>
    <row r="49" spans="1:77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</row>
    <row r="50" spans="1:77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</row>
    <row r="51" spans="1:77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</row>
    <row r="52" spans="1:77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</row>
    <row r="53" spans="1:77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</row>
    <row r="54" spans="1:77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</row>
    <row r="55" spans="1:77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</row>
    <row r="56" spans="1:77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</row>
    <row r="57" spans="1:77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</row>
    <row r="58" spans="1:77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</row>
    <row r="59" spans="1:77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</row>
    <row r="60" spans="1:77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</row>
    <row r="61" spans="1:77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</row>
    <row r="62" spans="1:77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</row>
    <row r="63" spans="1:77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</row>
    <row r="64" spans="1:77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</row>
    <row r="65" spans="1:77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</row>
    <row r="66" spans="1:77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</row>
    <row r="67" spans="1:77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</row>
    <row r="68" spans="1:77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</row>
    <row r="69" spans="1:77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</row>
    <row r="70" spans="1:77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</row>
    <row r="71" spans="1:77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</row>
    <row r="72" spans="1:77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</row>
    <row r="73" spans="1:77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</row>
    <row r="74" spans="1:77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</row>
    <row r="75" spans="1:77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</row>
    <row r="76" spans="1:77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</row>
    <row r="77" spans="1:77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</row>
    <row r="78" spans="1:77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</row>
    <row r="79" spans="1:77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</row>
    <row r="80" spans="1:77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</row>
    <row r="81" spans="1:77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</row>
    <row r="82" spans="1:77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</row>
    <row r="83" spans="1:77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</row>
    <row r="84" spans="1:77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</row>
    <row r="85" spans="1:77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</row>
    <row r="86" spans="1:77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</row>
    <row r="87" spans="1:77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</row>
    <row r="88" spans="1:77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</row>
    <row r="89" spans="1:77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</row>
    <row r="90" spans="1:77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</row>
    <row r="91" spans="1:77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</row>
    <row r="92" spans="1:77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</row>
    <row r="93" spans="1:77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</row>
    <row r="94" spans="1:77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</row>
    <row r="95" spans="1:77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</row>
    <row r="96" spans="1:77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</row>
    <row r="97" spans="1:77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</row>
    <row r="98" spans="1:77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</row>
    <row r="99" spans="1:77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</row>
    <row r="100" spans="1:77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</row>
    <row r="101" spans="1:77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</row>
    <row r="102" spans="1:77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</row>
    <row r="103" spans="1:77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</row>
    <row r="104" spans="1:77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</row>
    <row r="105" spans="1:77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</row>
    <row r="106" spans="1:77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</row>
    <row r="107" spans="1:77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</row>
    <row r="108" spans="1:77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</row>
    <row r="109" spans="1:77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</row>
    <row r="110" spans="1:77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</row>
    <row r="111" spans="1:77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</row>
    <row r="112" spans="1:77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</row>
    <row r="113" spans="1:77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</row>
    <row r="114" spans="1:77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</row>
    <row r="115" spans="1:77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</row>
    <row r="116" spans="1:77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</row>
    <row r="117" spans="1:77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</row>
    <row r="118" spans="1:77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</row>
    <row r="119" spans="1:77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</row>
    <row r="120" spans="1:77" x14ac:dyDescent="0.3">
      <c r="B120" t="s">
        <v>580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</row>
    <row r="121" spans="1:77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</row>
    <row r="122" spans="1:77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</row>
    <row r="123" spans="1:77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</row>
    <row r="124" spans="1:77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</row>
    <row r="125" spans="1:77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</row>
    <row r="126" spans="1:77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</row>
    <row r="127" spans="1:77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</row>
    <row r="128" spans="1:77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</row>
    <row r="129" spans="2:77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</row>
    <row r="130" spans="2:77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</row>
    <row r="131" spans="2:77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</row>
    <row r="132" spans="2:77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</row>
    <row r="133" spans="2:77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</row>
    <row r="134" spans="2:77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</row>
    <row r="135" spans="2:77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</row>
    <row r="136" spans="2:77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</row>
    <row r="137" spans="2:77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</row>
    <row r="138" spans="2:77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</row>
    <row r="139" spans="2:77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</row>
    <row r="140" spans="2:77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</row>
    <row r="141" spans="2:77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</row>
    <row r="142" spans="2:77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</row>
    <row r="143" spans="2:77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</row>
    <row r="144" spans="2:77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</row>
    <row r="145" spans="2:77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</row>
    <row r="146" spans="2:77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</row>
    <row r="147" spans="2:77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</row>
    <row r="148" spans="2:77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</row>
    <row r="149" spans="2:77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</row>
    <row r="150" spans="2:77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</row>
    <row r="151" spans="2:77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</row>
    <row r="152" spans="2:77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</row>
    <row r="153" spans="2:77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</row>
    <row r="154" spans="2:77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</row>
    <row r="155" spans="2:77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</row>
    <row r="156" spans="2:77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</row>
    <row r="157" spans="2:77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</row>
    <row r="158" spans="2:77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</row>
    <row r="159" spans="2:77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</row>
    <row r="160" spans="2:77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</row>
    <row r="161" spans="1:77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</row>
    <row r="162" spans="1:77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</row>
    <row r="163" spans="1:77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</row>
    <row r="164" spans="1:77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</row>
    <row r="165" spans="1:77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</row>
    <row r="166" spans="1:77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</row>
    <row r="167" spans="1:77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</row>
    <row r="168" spans="1:77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</row>
    <row r="169" spans="1:77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</row>
    <row r="170" spans="1:77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</row>
    <row r="171" spans="1:77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</row>
    <row r="172" spans="1:77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</row>
    <row r="173" spans="1:77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</row>
    <row r="174" spans="1:77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</row>
    <row r="175" spans="1:77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</row>
    <row r="176" spans="1:77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</row>
    <row r="177" spans="2:77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</row>
    <row r="178" spans="2:77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</row>
    <row r="179" spans="2:77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</row>
    <row r="180" spans="2:77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</row>
    <row r="181" spans="2:77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</row>
    <row r="182" spans="2:77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</row>
    <row r="183" spans="2:77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</row>
    <row r="184" spans="2:77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</row>
    <row r="185" spans="2:77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</row>
    <row r="186" spans="2:77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</row>
    <row r="187" spans="2:77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</row>
    <row r="188" spans="2:77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</row>
    <row r="189" spans="2:77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</row>
    <row r="190" spans="2:77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</row>
    <row r="191" spans="2:77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</row>
    <row r="192" spans="2:77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</row>
    <row r="193" spans="2:77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</row>
    <row r="194" spans="2:77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</row>
    <row r="195" spans="2:77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</row>
    <row r="196" spans="2:77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</row>
    <row r="197" spans="2:77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</row>
    <row r="198" spans="2:77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</row>
    <row r="199" spans="2:77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</row>
    <row r="200" spans="2:77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</row>
    <row r="201" spans="2:77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</row>
    <row r="202" spans="2:77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</row>
    <row r="203" spans="2:77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</row>
    <row r="204" spans="2:77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</row>
    <row r="205" spans="2:77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</row>
    <row r="206" spans="2:77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</row>
    <row r="207" spans="2:77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</row>
    <row r="208" spans="2:77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</row>
    <row r="209" spans="1:77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</row>
    <row r="210" spans="1:77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</row>
    <row r="211" spans="1:77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</row>
    <row r="212" spans="1:77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</row>
    <row r="213" spans="1:77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</row>
    <row r="214" spans="1:77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</row>
    <row r="215" spans="1:77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</row>
    <row r="216" spans="1:77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</row>
    <row r="217" spans="1:77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</row>
    <row r="218" spans="1:77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</row>
    <row r="219" spans="1:77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</row>
    <row r="220" spans="1:77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</row>
    <row r="221" spans="1:77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</row>
    <row r="222" spans="1:77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</row>
    <row r="223" spans="1:77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</row>
    <row r="224" spans="1:77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</row>
    <row r="225" spans="1:77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</row>
    <row r="226" spans="1:77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</row>
    <row r="227" spans="1:77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140886</v>
      </c>
      <c r="BU227">
        <v>161807</v>
      </c>
      <c r="BV227">
        <v>188172</v>
      </c>
      <c r="BW227">
        <v>213372</v>
      </c>
      <c r="BX227">
        <v>243453</v>
      </c>
      <c r="BY227">
        <v>275586</v>
      </c>
    </row>
    <row r="228" spans="1:77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</row>
    <row r="229" spans="1:77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</row>
    <row r="230" spans="1:77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</row>
    <row r="231" spans="1:77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</row>
    <row r="232" spans="1:77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</row>
    <row r="233" spans="1:77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</row>
    <row r="234" spans="1:77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</row>
    <row r="235" spans="1:77" x14ac:dyDescent="0.3">
      <c r="B235" t="s">
        <v>559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</row>
    <row r="236" spans="1:77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</row>
    <row r="237" spans="1:77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</row>
    <row r="238" spans="1:77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</row>
    <row r="239" spans="1:77" x14ac:dyDescent="0.3">
      <c r="B239" t="s">
        <v>581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</row>
    <row r="240" spans="1:77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</row>
    <row r="241" spans="1:77" x14ac:dyDescent="0.3">
      <c r="B241" t="s">
        <v>590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</row>
    <row r="242" spans="1:77" x14ac:dyDescent="0.3">
      <c r="B242" t="s">
        <v>591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</row>
    <row r="243" spans="1:77" x14ac:dyDescent="0.3">
      <c r="B243" t="s">
        <v>595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</row>
    <row r="244" spans="1:77" x14ac:dyDescent="0.3">
      <c r="B244" t="s">
        <v>596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</row>
    <row r="245" spans="1:77" x14ac:dyDescent="0.3">
      <c r="B245" t="s">
        <v>597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</row>
    <row r="246" spans="1:77" x14ac:dyDescent="0.3">
      <c r="B246" t="s">
        <v>598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</row>
    <row r="247" spans="1:77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</row>
    <row r="248" spans="1:77" x14ac:dyDescent="0.3">
      <c r="A248" t="s">
        <v>599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</row>
    <row r="249" spans="1:77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</row>
    <row r="250" spans="1:77" x14ac:dyDescent="0.3">
      <c r="B250" t="s">
        <v>614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</row>
    <row r="251" spans="1:77" x14ac:dyDescent="0.3">
      <c r="A251" t="s">
        <v>615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</row>
    <row r="252" spans="1:77" x14ac:dyDescent="0.3">
      <c r="A252" t="s">
        <v>616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</row>
    <row r="253" spans="1:77" x14ac:dyDescent="0.3">
      <c r="A253" t="s">
        <v>617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</row>
    <row r="254" spans="1:77" x14ac:dyDescent="0.3">
      <c r="B254" t="s">
        <v>618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</row>
    <row r="255" spans="1:77" x14ac:dyDescent="0.3">
      <c r="B255" t="s">
        <v>619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</row>
    <row r="256" spans="1:77" x14ac:dyDescent="0.3">
      <c r="B256" t="s">
        <v>621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</row>
    <row r="257" spans="1:77" x14ac:dyDescent="0.3">
      <c r="B257" t="s">
        <v>622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</row>
    <row r="258" spans="1:77" x14ac:dyDescent="0.3">
      <c r="A258" t="s">
        <v>624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</row>
    <row r="259" spans="1:77" x14ac:dyDescent="0.3">
      <c r="B259" t="s">
        <v>625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2020-04-04T07:51:06Z</dcterms:modified>
</cp:coreProperties>
</file>